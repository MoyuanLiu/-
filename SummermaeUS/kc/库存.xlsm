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<sst xmlns="http://schemas.openxmlformats.org/spreadsheetml/2006/main" count="3956">
  <si>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</si>
  <si>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</si>
  <si>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</si>
  <si>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</si>
  <si>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</si>
  <si>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</si>
  <si>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</si>
  <si>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</si>
  <si>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LYQ-HM1205-BR-M</t>
  </si>
  <si>
    <t>X00198XS3T</t>
  </si>
  <si>
    <t>B01MPXO3HC</t>
  </si>
  <si>
    <t>Summer Mae Women's Lace Up Front V Neck Long Sleeve Knit Sweater Dress Top</t>
  </si>
  <si>
    <t>LYQ-HM1205-W0-S</t>
  </si>
  <si>
    <t>X0019ZGFU5</t>
  </si>
  <si>
    <t>B01M69CL5T</t>
  </si>
  <si>
    <t>LYQ-ZQ1880-ZL-L</t>
  </si>
  <si>
    <t>X001KC8K23</t>
  </si>
  <si>
    <t>B074N2S5HM</t>
  </si>
  <si>
    <t>Lace Mini Dress for Women Party Bodycon Spaghetti Strap Halter Floral Cocktail Dress Navy L</t>
  </si>
  <si>
    <t>LYQ-ZQ3550-E0-5X</t>
  </si>
  <si>
    <t>X001JBBPEZ</t>
  </si>
  <si>
    <t>B071ZYZ4WT</t>
  </si>
  <si>
    <t>Summer Mae Women Plus Size Ethnic Printed Splicing Casual Pocket Dress</t>
  </si>
  <si>
    <t>LYQ-ZQ3550-PI-3X</t>
  </si>
  <si>
    <t>X001LAAVM1</t>
  </si>
  <si>
    <t>B071JLRTDQ</t>
  </si>
  <si>
    <t>LYQ-ZQ3550-E0-3X</t>
  </si>
  <si>
    <t>X001JBB29D</t>
  </si>
  <si>
    <t>B071FZWXQ8</t>
  </si>
  <si>
    <t>LYQ-ZQ3550-E0-M</t>
  </si>
  <si>
    <t>X001KTGKGT</t>
  </si>
  <si>
    <t>B071FZWYWN</t>
  </si>
  <si>
    <t>WOMEN'S BOUTIQUE Summer Mae Women Plus Size Ethnic Printed Splicing Casual Pocket Dress</t>
  </si>
  <si>
    <t>LYQ-ZQ3550-E0-2X</t>
  </si>
  <si>
    <t>X001JBBPEP</t>
  </si>
  <si>
    <t>B072JT4NS9</t>
  </si>
  <si>
    <t>LYQ-ZQ3550-PI-5X</t>
  </si>
  <si>
    <t>X001LO2K9T</t>
  </si>
  <si>
    <t>B072MF2GWB</t>
  </si>
  <si>
    <t>LYQ-ZQD390-G0-S</t>
  </si>
  <si>
    <t>X001LES39P</t>
  </si>
  <si>
    <t>B075MBJY9Z</t>
  </si>
  <si>
    <t>Summer Mae Women's Oversized Knitted Sweater Long Sleeve V-neck Loose Pullover Tunic</t>
  </si>
  <si>
    <t>YZ-CLD072-K0-XXL</t>
  </si>
  <si>
    <t>X001GU2X6X</t>
  </si>
  <si>
    <t>B073CYK7WC</t>
  </si>
  <si>
    <t>Summer Mae Women's Halter Scalloped One Piece Swimsuit Solid Color Backless Bathing Suit Black</t>
  </si>
  <si>
    <t>YZ-CLD072-K0-XL</t>
  </si>
  <si>
    <t>X001GU2X7H</t>
  </si>
  <si>
    <t>B073CYD47B</t>
  </si>
  <si>
    <t>YZ-HM111-K0-L</t>
  </si>
  <si>
    <t>X001DZX0A9</t>
  </si>
  <si>
    <t>B06XWQQ8BD</t>
  </si>
  <si>
    <t>Summer Mae Women's Off The Shoulder Frill Geometric Striped One Piece Bathing Suit Bikini</t>
  </si>
  <si>
    <t>YZ-HM111-K0-XL</t>
  </si>
  <si>
    <t>X001E7AJTV</t>
  </si>
  <si>
    <t>B06XWQSHYX</t>
  </si>
  <si>
    <t>YZ-HM1727-Pi-M</t>
  </si>
  <si>
    <t>X001CF3A1T</t>
  </si>
  <si>
    <t>B06W5JMC3G</t>
  </si>
  <si>
    <t>Women One Piece Swimsuit Deep V-Neck Pattern Swimwear Cross-Back High Cut Monokini Bathing Suits Pink M</t>
  </si>
  <si>
    <t>YZ-HM1728-ZL-M</t>
  </si>
  <si>
    <t>X001FVWNB3</t>
  </si>
  <si>
    <t>B071DV9D1Q</t>
  </si>
  <si>
    <t>Summer Mae Womens One Piece Floral Lace Swimwear Printed Multi-Rope Harness Bathing Suit</t>
  </si>
  <si>
    <t>YZ-HM1727-Pi-2XL</t>
  </si>
  <si>
    <t>X001DGZV3R</t>
  </si>
  <si>
    <t>B06XRGKYBC</t>
  </si>
  <si>
    <t>Women One Piece Swimsuit Deep V-Neck Pattern Swimwear Cross-Back High Cut Monokini Bathing Suits Pink 2XL</t>
  </si>
  <si>
    <t>YZ-HM1727-Pi-3XL</t>
  </si>
  <si>
    <t>X001DFML9P</t>
  </si>
  <si>
    <t>B06XRW7ZB3</t>
  </si>
  <si>
    <t>Women One Piece Swimsuit Deep V-Neck Pattern Swimwear Cross-Back High Cut Monokini Bathing Suits Pink 3XL</t>
  </si>
  <si>
    <t>YZ-HM1727-Pi-L</t>
  </si>
  <si>
    <t>X001CDPKJ1</t>
  </si>
  <si>
    <t>B06WGVW1TW</t>
  </si>
  <si>
    <t>Women One Piece Swimsuit Deep V-Neck Pattern Swimwear Cross-Back High Cut Monokini Bathing Suits Pink L</t>
  </si>
  <si>
    <t>YZ-HM1727-Pi-XL</t>
  </si>
  <si>
    <t>X001CDPKIR</t>
  </si>
  <si>
    <t>B06WRXM3GY</t>
  </si>
  <si>
    <t>Women One Piece Swimsuit Deep V-Neck Pattern Swimwear Cross-Back High Cut Monokini Bathing Suits Pink XL</t>
  </si>
  <si>
    <t>YZ-HM241-G0-L</t>
  </si>
  <si>
    <t>X001B2BX85</t>
  </si>
  <si>
    <t>B01MCW20WY</t>
  </si>
  <si>
    <t>Summer Mae Womens Halter Neck Wrap One Piece Padded Tankini Swimsuit Monokini Swimwear,Arm Green(halter),L(US size:6-8)</t>
  </si>
  <si>
    <t>YZ-HM17845-YH-XL</t>
  </si>
  <si>
    <t>X001DC43XZ</t>
  </si>
  <si>
    <t>B06WGTX4V8</t>
  </si>
  <si>
    <t>Summer Mae Women One Piece Vintage Floral Printed Pin Up Backless Triangle Monokini Swimsuits</t>
  </si>
  <si>
    <t>YZ-HM1728-ZL-L</t>
  </si>
  <si>
    <t>X001FW35TB</t>
  </si>
  <si>
    <t>B071DV9DK1</t>
  </si>
  <si>
    <t>YZ-HM1757-K0-S</t>
  </si>
  <si>
    <t>X001GW4ZZD</t>
  </si>
  <si>
    <t>B071G5PTHM</t>
  </si>
  <si>
    <t>Summer Mae Women's High Neck Green Leaves Print Lace Up One Piece Monokini Swimsuit</t>
  </si>
  <si>
    <t>YZ-HM1727-Pi-S</t>
  </si>
  <si>
    <t>X001CDN20Z</t>
  </si>
  <si>
    <t>B06VYFC3HZ</t>
  </si>
  <si>
    <t>Women One Piece Swimsuit Deep V-Neck Pattern Swimwear Cross-Back High Cut Monokini Bathing Suits Pink S</t>
  </si>
  <si>
    <t>YZ-HM1727-Pi-5XL</t>
  </si>
  <si>
    <t>X001DGZV5P</t>
  </si>
  <si>
    <t>B06XRVQGKC</t>
  </si>
  <si>
    <t>Women One Piece Swimsuit Deep V-Neck Pattern Swimwear Cross-Back High Cut Monokini Bathing Suits Pink 5XL</t>
  </si>
  <si>
    <t>YZ-HM2508-R0-M</t>
  </si>
  <si>
    <t>X001GU23SB</t>
  </si>
  <si>
    <t>B071KKDKCC</t>
  </si>
  <si>
    <t>Summer Bay Women's Halter Swimsuit One Piece Swimwear Sexy Summer Swimsuit</t>
  </si>
  <si>
    <t>YZ-HM241-ZL-XL</t>
  </si>
  <si>
    <t>X001B3CYYB</t>
  </si>
  <si>
    <t>B01M6Z8GFX</t>
  </si>
  <si>
    <t>Summer Mae Women's Halter Neck Wrap One Piece Padded Tankini Swimsuit Monokini Swimwear</t>
  </si>
  <si>
    <t>YZ-HMBKN17015-OR-XL</t>
  </si>
  <si>
    <t>X001G4N6GZ</t>
  </si>
  <si>
    <t>B072HN8VX9</t>
  </si>
  <si>
    <t>Summer Mae Women's Sexy Bandage Bikini Set Push-up Padded 2 Piece Swimsuit Swimwear</t>
  </si>
  <si>
    <t>YZ-JY2526-R0-2XL</t>
  </si>
  <si>
    <t>X001B6K6IJ</t>
  </si>
  <si>
    <t>B01N4L3QB1</t>
  </si>
  <si>
    <t>Summer Mae Women's Plus Size Padded Vintage Printing Halter High Waisted Bikini Set</t>
  </si>
  <si>
    <t>YZ-SUBL03-K0-L</t>
  </si>
  <si>
    <t>X001T38AGJ</t>
  </si>
  <si>
    <t>B07DNXGR2H</t>
  </si>
  <si>
    <t>One Piece Mesh Swimsuit Classic Strappy V Neck Monokini Swimwear</t>
  </si>
  <si>
    <t>YZ-SUBL03-K0-S</t>
  </si>
  <si>
    <t>X001T37QD7</t>
  </si>
  <si>
    <t>B07DNWTWYZ</t>
  </si>
  <si>
    <t>YZ-SUZQ388-W0-XS</t>
  </si>
  <si>
    <t>X001S8PY8R</t>
  </si>
  <si>
    <t>B07D2YC55G</t>
  </si>
  <si>
    <t>Women One Piece High Cut Deep V-Neck Halter Swimsuit Lace Vintage Swimwear White</t>
  </si>
  <si>
    <t>YZ-SUZQ388-W0-M</t>
  </si>
  <si>
    <t>X001S6HRKH</t>
  </si>
  <si>
    <t>B07D35DJ26</t>
  </si>
  <si>
    <t>YZ-SUZQ388-W0-S</t>
  </si>
  <si>
    <t>X001S6K7MH</t>
  </si>
  <si>
    <t>B07D322V4M</t>
  </si>
  <si>
    <t>YZ-SUZQ388-W0-L</t>
  </si>
  <si>
    <t>X001S8489X</t>
  </si>
  <si>
    <t>B07D33PXF9</t>
  </si>
  <si>
    <t>YZ-SUZQ388-K0-XL</t>
  </si>
  <si>
    <t>X001QGSLWR</t>
  </si>
  <si>
    <t>B07BPW5ZSV</t>
  </si>
  <si>
    <t>Women One Piece High Cut Deep V-Neck Halter Swimsuit Lace Mesh Vintage Swimwear Black</t>
  </si>
  <si>
    <t>YZ-SUZQ388-W0-XL</t>
  </si>
  <si>
    <t>X001S6K7MR</t>
  </si>
  <si>
    <t>B07D32N4L4</t>
  </si>
  <si>
    <t>YZ-SUZQ388-K0-L</t>
  </si>
  <si>
    <t>X001QIBP37</t>
  </si>
  <si>
    <t>B07CCMGJKF</t>
  </si>
  <si>
    <t>YZ-SUZQ388-K0-M</t>
  </si>
  <si>
    <t>X001QGSM5D</t>
  </si>
  <si>
    <t>B07BPWRCZZ</t>
  </si>
  <si>
    <t>YZ-SUZQBL03-B0-2X</t>
  </si>
  <si>
    <t>X001QXYX09</t>
  </si>
  <si>
    <t>B07C2SKKBG</t>
  </si>
  <si>
    <t>YZ-SUZQBL03-R2-3X</t>
  </si>
  <si>
    <t>X001S9C321</t>
  </si>
  <si>
    <t>B07D4B1TLQ</t>
  </si>
  <si>
    <t>One Piece Mesh Swimsuit Classic Strappy V Neck Monokini Swimwear Pink</t>
  </si>
  <si>
    <t>YZ-SUZQBL03-K0-S</t>
  </si>
  <si>
    <t>X001QXYX0J</t>
  </si>
  <si>
    <t>B07C2TL72C</t>
  </si>
  <si>
    <t>YZ-SUZQBL03-B0-XL</t>
  </si>
  <si>
    <t>X001QYLQQR</t>
  </si>
  <si>
    <t>B07C323BGV</t>
  </si>
  <si>
    <t>YZ-ZQ1519-K0-5X</t>
  </si>
  <si>
    <t>X001H7BV8V</t>
  </si>
  <si>
    <t>B071GQZJ9X</t>
  </si>
  <si>
    <t>Summer Mae Women's Plus Size Striped Two Piece Black Bowknot Tankini Tank Top &amp; Bottom</t>
  </si>
  <si>
    <t>YZ-ZQ1521BFXL</t>
  </si>
  <si>
    <t>X0018WXJZD</t>
  </si>
  <si>
    <t>B01GJPCZZ2</t>
  </si>
  <si>
    <t>Summer Mae Women's One Piece Bathing Suit Tankini Swimdress Cover up Swimsuit XS</t>
  </si>
  <si>
    <t>YZ-ZQ1521GW4XL</t>
  </si>
  <si>
    <t>X0018C9047</t>
  </si>
  <si>
    <t>B01GJPB7DS</t>
  </si>
  <si>
    <t>Summer Mae Women's One Piece Bathing Suit Tankini Swimdress Cover up Swimsuit L</t>
  </si>
  <si>
    <t>YZ-ZQ1521KF2XL</t>
  </si>
  <si>
    <t>X00169TU47</t>
  </si>
  <si>
    <t>B01I2I95HU</t>
  </si>
  <si>
    <t>Summer Mae Women's One Piece Bathing Suit Tankini Swimdress Cover up Swimsuit S</t>
  </si>
  <si>
    <t>YZ-ZQ1521RF2XL</t>
  </si>
  <si>
    <t>X001B4ZO5L</t>
  </si>
  <si>
    <t>B01GJPCE9O</t>
  </si>
  <si>
    <t>YZ-ZQ1521KF3XL</t>
  </si>
  <si>
    <t>X0015Z11NF</t>
  </si>
  <si>
    <t>B01I2I96ME</t>
  </si>
  <si>
    <t>Summer Mae Women's One Piece Bathing Suit Tankini Swimdress Cover up Swimsuit M</t>
  </si>
  <si>
    <t>YZ-ZQ1521WP5XL</t>
  </si>
  <si>
    <t>X0014MM5MP</t>
  </si>
  <si>
    <t>B01GJPBRLK</t>
  </si>
  <si>
    <t>Summer Mae Women's One Piece Bathing Suit Tankini Swimdress Cover up Swimsuit XL White Point</t>
  </si>
  <si>
    <t>YZ-ZQ1521KF5XL</t>
  </si>
  <si>
    <t>X00160QMIN</t>
  </si>
  <si>
    <t>B01I2I95SO</t>
  </si>
  <si>
    <t>Summer Mae Women's One Piece Bathing Suit Tankini Swimdress Cover up Swimsuit XL</t>
  </si>
  <si>
    <t>YZ-ZQ1521GW2XL</t>
  </si>
  <si>
    <t>X001AIGKYH</t>
  </si>
  <si>
    <t>B01GJPB27E</t>
  </si>
  <si>
    <t>YZ-ZQ1521RM5XL</t>
  </si>
  <si>
    <t>X00159EO3P</t>
  </si>
  <si>
    <t>B01GJPCOC6</t>
  </si>
  <si>
    <t>Summer Mae Women's One Piece Bathing Suit Tankini Swimdress Cover up Swimsuit XL Blue</t>
  </si>
  <si>
    <t>YZ-ZQ1521RFXL</t>
  </si>
  <si>
    <t>X001AY60UZ</t>
  </si>
  <si>
    <t>B01GJPC14C</t>
  </si>
  <si>
    <t>YZ-ZQ1521GF2XL</t>
  </si>
  <si>
    <t>X0014MM5L1</t>
  </si>
  <si>
    <t>B01GJPD542</t>
  </si>
  <si>
    <t>YZ-ZQ15827W0XL</t>
  </si>
  <si>
    <t>X0015PUINT</t>
  </si>
  <si>
    <t>B01ID5DYO2</t>
  </si>
  <si>
    <t>Summer Mae Women's Plus Size Swim Dress Printed-Hem Ruffled Swimwear</t>
  </si>
  <si>
    <t>YZ-ZQ16598R0L</t>
  </si>
  <si>
    <t>X0016AJVM7</t>
  </si>
  <si>
    <t>B01IMZ2QGK</t>
  </si>
  <si>
    <t>Summer Mae Women's American Open-BackRed White Blue Patriotic Tankini M</t>
  </si>
  <si>
    <t>YZ-ZQBL03-B0-3XL</t>
  </si>
  <si>
    <t>X001OF797D</t>
  </si>
  <si>
    <t>B0792TB9G8</t>
  </si>
  <si>
    <t>Summer Mae Women's Blue Mesh One Piece Vintage Swimsuit Tank Swimwear</t>
  </si>
  <si>
    <t>YZ-ZQ789K0XL</t>
  </si>
  <si>
    <t>X0015LS65Z</t>
  </si>
  <si>
    <t>B01H7076HA</t>
  </si>
  <si>
    <t>Summer Mae Womens Plus Size Back Polka Dot Classic 2 Pc Plus Size Tankini L</t>
  </si>
  <si>
    <t>YZ-ZQBL03-B0-2XL</t>
  </si>
  <si>
    <t>X001ODSUSR</t>
  </si>
  <si>
    <t>B0792THM1S</t>
  </si>
  <si>
    <t>YZ-ZQ789K05XL</t>
  </si>
  <si>
    <t>X0015N6X1H</t>
  </si>
  <si>
    <t>B01H7079W2</t>
  </si>
  <si>
    <t>Summer Mae Womens Plus Size Back Polka Dot Classic 2 Pc Plus Size Tankini 4XL</t>
  </si>
  <si>
    <t>YZ-ZQ789K04XL</t>
  </si>
  <si>
    <t>X0015N6X1R</t>
  </si>
  <si>
    <t>B01H7078BY</t>
  </si>
  <si>
    <t>Summer Mae Womens Plus Size Back Polka Dot Classic 2 Pc Plus Size Tankini 3XL</t>
  </si>
  <si>
    <t>YZ-ZQBL03-R2-2XL</t>
  </si>
  <si>
    <t>X001OF796T</t>
  </si>
  <si>
    <t>B0792TD85L</t>
  </si>
  <si>
    <t>YZ-ZQBL03-K0-XL</t>
  </si>
  <si>
    <t>X001CZLO3Z</t>
  </si>
  <si>
    <t>B01N1ELDWA</t>
  </si>
  <si>
    <t>Summer Mae Women's Black Mesh One Piece Vintage Swimsuit Halter Swimwear</t>
  </si>
  <si>
    <t>YZ-ZQFT1816-O0-L</t>
  </si>
  <si>
    <t>X001HYNY9D</t>
  </si>
  <si>
    <t>B073XH5765</t>
  </si>
  <si>
    <t>Summer Mae Women's Yellow/Orange Lace Mesh Swimwear Two Piece Halter Tankini Top &amp; Bottom</t>
  </si>
  <si>
    <t>YZ-ZQFT1816-Y0-M</t>
  </si>
  <si>
    <t>X001IJ1BXD</t>
  </si>
  <si>
    <t>B073XHDS44</t>
  </si>
  <si>
    <t>YZ-ZQBL03-K0-S</t>
  </si>
  <si>
    <t>X001E1ZG63</t>
  </si>
  <si>
    <t>B01N406GK7</t>
  </si>
  <si>
    <t>YZ-ZQBL03-B0-S</t>
  </si>
  <si>
    <t>X001OEYLMZ</t>
  </si>
  <si>
    <t>B06ZYY38PQ</t>
  </si>
  <si>
    <t>YZ-ZQBL03-K0-3X</t>
  </si>
  <si>
    <t>X001GZYKSR</t>
  </si>
  <si>
    <t>B073GLS8H2</t>
  </si>
  <si>
    <t>Summer Mae Women's Black Mesh One Piece Vintage Swimsuit Tank Swimwear</t>
  </si>
  <si>
    <t>YZ-ZQBL03-R2-S</t>
  </si>
  <si>
    <t>X001OF6JVZ</t>
  </si>
  <si>
    <t>B0792SW5YQ</t>
  </si>
  <si>
    <t>YZ-ZQBL03-K0-M</t>
  </si>
  <si>
    <t>X001D0OK6R</t>
  </si>
  <si>
    <t>B01N74K227</t>
  </si>
  <si>
    <t>YZ-ZQBL03-K0-L</t>
  </si>
  <si>
    <t>X001D0OK6H</t>
  </si>
  <si>
    <t>B01MYM265E</t>
  </si>
  <si>
    <t>YZ-ZQMICAIK02XL</t>
  </si>
  <si>
    <t>X001DOQ39F</t>
  </si>
  <si>
    <t>B01HZ9S0P0</t>
  </si>
  <si>
    <t>Summer Mae Stylish Cross Back Camo Tankini Set for Women</t>
  </si>
  <si>
    <t>YZ-ZQBL03-R2-XL</t>
  </si>
  <si>
    <t>X001OF5T7Z</t>
  </si>
  <si>
    <t>B0792TY4YT</t>
  </si>
  <si>
    <t>YZ-ZQBL03-K0-2X</t>
  </si>
  <si>
    <t>X001F98FCV</t>
  </si>
  <si>
    <t>B071L9XNCJ</t>
  </si>
  <si>
    <t>YZ-ZQBL03-R2-3XL</t>
  </si>
  <si>
    <t>X001OF4TJT</t>
  </si>
  <si>
    <t>B0792SQRWB</t>
  </si>
  <si>
    <t>YZ-ZQFT1816-O0-5X</t>
  </si>
  <si>
    <t>X001J1LFSL</t>
  </si>
  <si>
    <t>B073XH5FBN</t>
  </si>
  <si>
    <t>YZ-ZQFT1816-Y0-4X</t>
  </si>
  <si>
    <t>X001IIHQTH</t>
  </si>
  <si>
    <t>B073XJM9NF</t>
  </si>
  <si>
    <t>YZ-ZQFT1816-O0-3X</t>
  </si>
  <si>
    <t>X001HXW8UZ</t>
  </si>
  <si>
    <t>B073XGW9SF</t>
  </si>
  <si>
    <t>YZ-ZQQ9227-K0-2X</t>
  </si>
  <si>
    <t>X001FZHEIV</t>
  </si>
  <si>
    <t>B071F8DKYJ</t>
  </si>
  <si>
    <t>Summer Mae Women Plus Size Mesh Swimwear Two Piece Halter Tankini Swimdress Cover up</t>
  </si>
  <si>
    <t>YZ-ZQSG16121E02XL</t>
  </si>
  <si>
    <t>X0017SD9YT</t>
  </si>
  <si>
    <t>B01J7RL0OG</t>
  </si>
  <si>
    <t>Summer Mae Plus Size Floral Printed Blouson Plus Size Swimwear Tankini US 12-14</t>
  </si>
  <si>
    <t>YZ-ZQQ9217-K0-3X</t>
  </si>
  <si>
    <t>X001QO8BQF</t>
  </si>
  <si>
    <t>B07BV8T7ZW</t>
  </si>
  <si>
    <t>Summer Mae Women Plus Black Mesh Split Swimwear Two Piece Halter Tankini Swimdress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</si>
  <si>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</si>
  <si>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</si>
  <si>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</si>
  <si>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</si>
  <si>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</si>
  <si>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</si>
  <si>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</si>
  <si>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</si>
  <si>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</si>
  <si>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</si>
  <si>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</si>
  <si>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</si>
  <si>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</si>
  <si>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</si>
  <si>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</si>
  <si>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</si>
  <si>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</si>
  <si>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</si>
  <si>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</si>
  <si>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</si>
  <si>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</si>
  <si>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</si>
  <si>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</si>
  <si>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</si>
  <si>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</si>
  <si>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</si>
  <si>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</si>
  <si>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</si>
  <si>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</si>
  <si>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</si>
  <si>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</si>
  <si>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</si>
  <si>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YZ-HM688-K0-L</t>
  </si>
  <si>
    <t>X001C72BS5</t>
  </si>
  <si>
    <t>B01N02OUSI</t>
  </si>
  <si>
    <t>Summer Bay Women Sexy Padded Tassel Lace One Piece Swimsuits</t>
  </si>
  <si>
    <t>New</t>
  </si>
  <si>
    <t>USD</t>
  </si>
  <si>
    <t>Low traffic</t>
  </si>
  <si>
    <t>Create Sale</t>
  </si>
  <si>
    <t>5.79E-4 cuft</t>
  </si>
  <si>
    <t>Apparel</t>
  </si>
  <si>
    <t>YZ-HM17845-YH-M</t>
  </si>
  <si>
    <t>X001DC5KBJ</t>
  </si>
  <si>
    <t>B06X6LTGGL</t>
  </si>
  <si>
    <t>Advertise listing</t>
  </si>
  <si>
    <t>0.065546 cuft</t>
  </si>
  <si>
    <t>YZ-ZQ6189G046</t>
  </si>
  <si>
    <t>X0014XT2HP</t>
  </si>
  <si>
    <t>B01H6E6ZPG</t>
  </si>
  <si>
    <t>Summer Mae Women's Plus Size Retro Floral Two Pieces Tankini Top &amp; Bottom Swimsuit 46 Green</t>
  </si>
  <si>
    <t>0.007969 cuft</t>
  </si>
  <si>
    <t>YZ-ZQ15827W05XL</t>
  </si>
  <si>
    <t>X0015OY4NZ</t>
  </si>
  <si>
    <t>B01ID5EO6E</t>
  </si>
  <si>
    <t>Improve recommendations</t>
  </si>
  <si>
    <t>0.051178 cuft</t>
  </si>
  <si>
    <t>LYQ-ZQPC01-P0-S</t>
  </si>
  <si>
    <t>X001LS93OF</t>
  </si>
  <si>
    <t>B075QFSJCK</t>
  </si>
  <si>
    <t>Summer Mae Women's Heart Pattern Patchwork Knitted Sweater Round Neck Loose Pullover</t>
  </si>
  <si>
    <t>0.174001 cuft</t>
  </si>
  <si>
    <t>LYQ-LY064-K0-4XL</t>
  </si>
  <si>
    <t>X001D9G2B9</t>
  </si>
  <si>
    <t>B01N5OOTTL</t>
  </si>
  <si>
    <t>Summer Mae Chiffon Short Sleeve V-neck Dress Knee Length Ruched Dress for Women K0 4XL</t>
  </si>
  <si>
    <t>0.088546 cuft</t>
  </si>
  <si>
    <t>0.115703 cuft</t>
  </si>
  <si>
    <t>YZ-ZQadn1601-B1-XL</t>
  </si>
  <si>
    <t>X001CR3LYX</t>
  </si>
  <si>
    <t>B01M366JZA</t>
  </si>
  <si>
    <t>Summer Mae Women's Attractive Floral Print One Piece Swimsuit Adjustable Swimwear</t>
  </si>
  <si>
    <t>0.044078 cuft</t>
  </si>
  <si>
    <t>LYQ-ZQ2973-W1-S</t>
  </si>
  <si>
    <t>X001KI5KED</t>
  </si>
  <si>
    <t>B01LXHBWVD</t>
  </si>
  <si>
    <t>Womens Knitted Long Sweater Dress Tunic Beige S</t>
  </si>
  <si>
    <t>Low conversion</t>
  </si>
  <si>
    <t>0.247574 cuft</t>
  </si>
  <si>
    <t>YZ-CFAM005-LABUGR-S</t>
  </si>
  <si>
    <t>X001CV1R45</t>
  </si>
  <si>
    <t>B01MS4OP3B</t>
  </si>
  <si>
    <t>Summer Mae FlYang Women's Long Sleeve Casual Loose Dress,Lake Blue Green,S</t>
  </si>
  <si>
    <t>0.001042 cuft</t>
  </si>
  <si>
    <t>LYQ-ZQ2973-KQ-S</t>
  </si>
  <si>
    <t>X001KHZHQ5</t>
  </si>
  <si>
    <t>B01M0327M1</t>
  </si>
  <si>
    <t>Womens Knitted Long Sweater Dress Tunic Khaki S</t>
  </si>
  <si>
    <t>0.138007 cuft</t>
  </si>
  <si>
    <t>LYQ-1001-P0-XS</t>
  </si>
  <si>
    <t>X001MDP4KL</t>
  </si>
  <si>
    <t>B0777MZQLP</t>
  </si>
  <si>
    <t>Summer Mae Long Sleeve Lace Dress A Line Casual Tunic Mini Purple Dress XS</t>
  </si>
  <si>
    <t>0.110629 cuft</t>
  </si>
  <si>
    <t>YZ-ZQ17986W0-S</t>
  </si>
  <si>
    <t>X001F54NY9</t>
  </si>
  <si>
    <t>B01M2WKW8D</t>
  </si>
  <si>
    <t>Summer Mae Women's Plus Size Swimdress Floral Convertible Tankini Swimsuit Beachwear</t>
  </si>
  <si>
    <t>0.086138 cuft</t>
  </si>
  <si>
    <t>YZ-JY5694-K0-L</t>
  </si>
  <si>
    <t>X0019O4V0R</t>
  </si>
  <si>
    <t>B01M3PZ1R5</t>
  </si>
  <si>
    <t>Summer Joy Women's Plus Size Ruched Printing Shorts Bikini Set</t>
  </si>
  <si>
    <t>0.106481 cuft</t>
  </si>
  <si>
    <t>YZ-HM5263-R0-S</t>
  </si>
  <si>
    <t>X001GTRLVV</t>
  </si>
  <si>
    <t>B06XYLNQ1F</t>
  </si>
  <si>
    <t>Summer Bay Women One Piece Solid Color Off-shoulder Flounce Monokini Swimwear</t>
  </si>
  <si>
    <t>0.054618 cuft</t>
  </si>
  <si>
    <t>YZ-ZQ19758-K0-L</t>
  </si>
  <si>
    <t>X001E07NAL</t>
  </si>
  <si>
    <t>B01N0A39UA</t>
  </si>
  <si>
    <t>Summer Mae Women's Plus Size Halter V-Neck Stripes Swimwear One Piece Swimsuit</t>
  </si>
  <si>
    <t>0.061718 cuft</t>
  </si>
  <si>
    <t>LYQ-ZQ3550-PI-XL</t>
  </si>
  <si>
    <t>X001KTGKGJ</t>
  </si>
  <si>
    <t>B072QB3CPP</t>
  </si>
  <si>
    <t>0.098046 cuft</t>
  </si>
  <si>
    <t>YZ-HM5263-R0-L</t>
  </si>
  <si>
    <t>X001GU18B9</t>
  </si>
  <si>
    <t>B06XYHXMWL</t>
  </si>
  <si>
    <t>0.054572 cuft</t>
  </si>
  <si>
    <t>YZ-SUZQ187-K0-3X</t>
  </si>
  <si>
    <t>X001R8Z6D1</t>
  </si>
  <si>
    <t>B07CH7K683</t>
  </si>
  <si>
    <t>Women Maternity Pregnancy Halter Black Floral Tankini Swimsuit</t>
  </si>
  <si>
    <t>0.128951 cuft</t>
  </si>
  <si>
    <t>0.078314 cuft</t>
  </si>
  <si>
    <t>YZ-ZQ15827W0L</t>
  </si>
  <si>
    <t>X0015O410L</t>
  </si>
  <si>
    <t>B01ID5DVN6</t>
  </si>
  <si>
    <t>0.034896 cuft</t>
  </si>
  <si>
    <t>LYQ-CSM048-G0-S</t>
  </si>
  <si>
    <t>X001LQOG7V</t>
  </si>
  <si>
    <t>B074PRQCYP</t>
  </si>
  <si>
    <t>Summer Mae Women's Long Sleeve Cable Knit Casual Sweater Dress with Pockets</t>
  </si>
  <si>
    <t>0.190356 cuft</t>
  </si>
  <si>
    <t>YZ-ZQ7777R012</t>
  </si>
  <si>
    <t>X001D7ZMWV</t>
  </si>
  <si>
    <t>B01N2BADBU</t>
  </si>
  <si>
    <t>Summer Mae Women's Plus Size Swimdress One Piece Cover Up Swimsuit Tankini Beachwear</t>
  </si>
  <si>
    <t>0.284113 cuft</t>
  </si>
  <si>
    <t>YZ-ZQ1617K0XL</t>
  </si>
  <si>
    <t>X0014X0JVD</t>
  </si>
  <si>
    <t>B01EJI4QKI</t>
  </si>
  <si>
    <t>Summer Mae 50s Elegant Inspired Retro Vintage One Piece Pin Up Monokinis Swimsuit Black,Medium2(US size:8-10) Tag Size XL</t>
  </si>
  <si>
    <t>0.075349 cuft</t>
  </si>
  <si>
    <t>LYQ-ZQ2973-E0-S</t>
  </si>
  <si>
    <t>X001KI0L3D</t>
  </si>
  <si>
    <t>B01M0ES8Z0</t>
  </si>
  <si>
    <t>Womens Knitted Long Sweater Dress Tunic Grey S</t>
  </si>
  <si>
    <t>0.240424 cuft</t>
  </si>
  <si>
    <t>YZ-ZQ6189G052</t>
  </si>
  <si>
    <t>X0014VKI9D</t>
  </si>
  <si>
    <t>B01H6DXDIO</t>
  </si>
  <si>
    <t>Summer Mae Women's Plus Size Retro Floral Two Pieces Tankini Top &amp; Bottom Swimsuit 52 Green</t>
  </si>
  <si>
    <t>YZ-HM7035-DJG0-M</t>
  </si>
  <si>
    <t>X001HPTUV3</t>
  </si>
  <si>
    <t>B07214CVZK</t>
  </si>
  <si>
    <t>Summer Mae Women Sexy Leaves Print Lace Up Padding One Piece Monokini Swimsuit Bikini</t>
  </si>
  <si>
    <t>0.105403 cuft</t>
  </si>
  <si>
    <t>LYQ-ZQ1117-G7-L</t>
  </si>
  <si>
    <t>X001LEYY2F</t>
  </si>
  <si>
    <t>B075ZRHZK5</t>
  </si>
  <si>
    <t>Women Lace Long Sleeve Tunic Top Blouse Loose Dress</t>
  </si>
  <si>
    <t>0.101878 cuft</t>
  </si>
  <si>
    <t>LYQ-1001-B0-M</t>
  </si>
  <si>
    <t>X001MDOZEH</t>
  </si>
  <si>
    <t>B0777JTZQW</t>
  </si>
  <si>
    <t>Long Sleeve Lace Dress A Line Casual Tunic Mini Dress Blue US 8-10</t>
  </si>
  <si>
    <t>YZ-HM17077-PI-L</t>
  </si>
  <si>
    <t>X001ES4Y3H</t>
  </si>
  <si>
    <t>B06XYB2BTQ</t>
  </si>
  <si>
    <t>Summer Bay Women's Two Piece Off Shoulder Swimsuits High Waisted Bikini Set</t>
  </si>
  <si>
    <t>0.046035 cuft</t>
  </si>
  <si>
    <t>YZ-HM241-ZL-S</t>
  </si>
  <si>
    <t>X001B3CQ71</t>
  </si>
  <si>
    <t>B01MF9XXYO</t>
  </si>
  <si>
    <t>0.055606 cuft</t>
  </si>
  <si>
    <t>YZ-SUZQBL03-K0-3X</t>
  </si>
  <si>
    <t>X001QXYWZZ</t>
  </si>
  <si>
    <t>B07C2ZZPZ6</t>
  </si>
  <si>
    <t>0.091416 cuft</t>
  </si>
  <si>
    <t>YZ-HMBKN30-K0YH-M</t>
  </si>
  <si>
    <t>X001D94FNB</t>
  </si>
  <si>
    <t>B06XSZCYJ3</t>
  </si>
  <si>
    <t>Women's Front Cross Printing Bottom Halter Bikini Set</t>
  </si>
  <si>
    <t>0.055621 cuft</t>
  </si>
  <si>
    <t>0.085896 cuft</t>
  </si>
  <si>
    <t>Edit listing</t>
  </si>
  <si>
    <t>YZ-HM5263-W0-L</t>
  </si>
  <si>
    <t>X001EZTG9R</t>
  </si>
  <si>
    <t>B06XYK5PPM</t>
  </si>
  <si>
    <t>0.140932 cuft</t>
  </si>
  <si>
    <t>YZ-HMBKN30-B0YH-S</t>
  </si>
  <si>
    <t>X001D8K9PZ</t>
  </si>
  <si>
    <t>B06XSNCK1P</t>
  </si>
  <si>
    <t>YZ-HM241-DS-L</t>
  </si>
  <si>
    <t>X0015KBFQ3</t>
  </si>
  <si>
    <t>B01HZ2XKJ8</t>
  </si>
  <si>
    <t>Summer Mae Women's Halter Neck Wrap One Piece Padded Tankini Swimsuit Monokini Swimwear Grey L</t>
  </si>
  <si>
    <t>0.055 cuft</t>
  </si>
  <si>
    <t>YZ-HMBKN30-K0YH-L</t>
  </si>
  <si>
    <t>X001DB1BB3</t>
  </si>
  <si>
    <t>B06XSZDHF6</t>
  </si>
  <si>
    <t>YZ-ZQ15827R2S</t>
  </si>
  <si>
    <t>X0017JH84F</t>
  </si>
  <si>
    <t>B01LW1G9P6</t>
  </si>
  <si>
    <t>0.035284 cuft</t>
  </si>
  <si>
    <t>YZ-ZQ1733-SB-XL</t>
  </si>
  <si>
    <t>X001FZJI21</t>
  </si>
  <si>
    <t>B071YD3ZML</t>
  </si>
  <si>
    <t>WOMEN'S BOUTIQUE Summer Mae Women's Push Up Polka Dot Swimwear Two Piece Boyshort Bkini</t>
  </si>
  <si>
    <t>0.079001 cuft</t>
  </si>
  <si>
    <t>0.108889 cuft</t>
  </si>
  <si>
    <t>YZ-ZQ1733-K0-XL</t>
  </si>
  <si>
    <t>X001FZAQKJ</t>
  </si>
  <si>
    <t>B071R2J8ZP</t>
  </si>
  <si>
    <t>YZ-HM7889-B0-1X</t>
  </si>
  <si>
    <t>X001GEII2H</t>
  </si>
  <si>
    <t>B071LG1GCV</t>
  </si>
  <si>
    <t>Summer Bay Women's Plus Size Swim Mesh High Neck One Piece Swimsuit</t>
  </si>
  <si>
    <t>0.089253 cuft</t>
  </si>
  <si>
    <t>MZ-JY1616-KH</t>
  </si>
  <si>
    <t>X0018RQYIR</t>
  </si>
  <si>
    <t>B01LZ1Z3TP</t>
  </si>
  <si>
    <t>Summer Mae Men's Stars Knit Warm Cap Velvet Slouchy Beanie Hat</t>
  </si>
  <si>
    <t>0.090903 cuft</t>
  </si>
  <si>
    <t>LYQ-1001-R0-XS</t>
  </si>
  <si>
    <t>X001MDP4J7</t>
  </si>
  <si>
    <t>B0777C1FYN</t>
  </si>
  <si>
    <t>Summer Mae Long Sleeve Lace Dress A Line Casual Tunic Mini Red Dress US 0-2</t>
  </si>
  <si>
    <t>YZ-CLNK78-K0-M</t>
  </si>
  <si>
    <t>X001GW2HIF</t>
  </si>
  <si>
    <t>B07311V9HP</t>
  </si>
  <si>
    <t>Summer Mae Women's Fashion Triangle Bikini Set Tie Two Piece Swimsuits Black</t>
  </si>
  <si>
    <t>YZ-ZQ1733-NB-2XL</t>
  </si>
  <si>
    <t>X001GTRLVL</t>
  </si>
  <si>
    <t>B06ZZBQM3B</t>
  </si>
  <si>
    <t>YZ-ZQ1521RM2XL</t>
  </si>
  <si>
    <t>X001AX4SGT</t>
  </si>
  <si>
    <t>B01GJPCGZ6</t>
  </si>
  <si>
    <t>Summer Mae Women's One Piece Bathing Suit Tankini Swimdress Cover Up Swimsuit S(US size:4-6), Tag size: 2XL</t>
  </si>
  <si>
    <t>LYQ-ZQ2973-W1-L</t>
  </si>
  <si>
    <t>X001KI3BRL</t>
  </si>
  <si>
    <t>B01LZREQ3F</t>
  </si>
  <si>
    <t>Womens Knitted Long Sweater Dress Tunic Beige L</t>
  </si>
  <si>
    <t>0.194481 cuft</t>
  </si>
  <si>
    <t>YZ-ZQ15921-B0-L</t>
  </si>
  <si>
    <t>X001GU18AZ</t>
  </si>
  <si>
    <t>B07228XRT9</t>
  </si>
  <si>
    <t>Summer Mae Women's Two Piece colorful Print Swimwear Tankini Top With Short</t>
  </si>
  <si>
    <t>0.069513 cuft</t>
  </si>
  <si>
    <t>YZ-HM17077-K0-L</t>
  </si>
  <si>
    <t>X001FMF2N3</t>
  </si>
  <si>
    <t>B06XY63NPZ</t>
  </si>
  <si>
    <t>0.046924 cuft</t>
  </si>
  <si>
    <t>YZ-JY2526-R0-3XL</t>
  </si>
  <si>
    <t>X001B9FR0D</t>
  </si>
  <si>
    <t>B01MT6CBRR</t>
  </si>
  <si>
    <t>0.056942 cuft</t>
  </si>
  <si>
    <t>YZ-ZQ15827R2M</t>
  </si>
  <si>
    <t>X0017JT8D9</t>
  </si>
  <si>
    <t>B01LWE20EB</t>
  </si>
  <si>
    <t>YZ-ZQ15921-B0-2X</t>
  </si>
  <si>
    <t>X001H76MCV</t>
  </si>
  <si>
    <t>B071D5BVVF</t>
  </si>
  <si>
    <t>YZ-HM7035-DJG0-L</t>
  </si>
  <si>
    <t>X001HPRSRL</t>
  </si>
  <si>
    <t>B071WP4TYK</t>
  </si>
  <si>
    <t>LYQ-ZQS1741-G7-XL</t>
  </si>
  <si>
    <t>X001L3T67T</t>
  </si>
  <si>
    <t>B075FRVWPL</t>
  </si>
  <si>
    <t>Summer Mae Women Long Sleeve Solid Irregular Button Casual Loose T-Shirt Tunic Top Dress</t>
  </si>
  <si>
    <t>0.104092 cuft</t>
  </si>
  <si>
    <t>0.054627 cuft</t>
  </si>
  <si>
    <t>LYQ-1001-P0-L</t>
  </si>
  <si>
    <t>X001MDUZQJ</t>
  </si>
  <si>
    <t>B0777DP49T</t>
  </si>
  <si>
    <t>Long Sleeve Lace Dress A Line Casual Tunic Mini Purple Dress L</t>
  </si>
  <si>
    <t>YZ-HMBKN30-WR-XL</t>
  </si>
  <si>
    <t>X001D8B9N1</t>
  </si>
  <si>
    <t>B06XSSG9RZ</t>
  </si>
  <si>
    <t>LYQ-ZQ2973-ZL-L</t>
  </si>
  <si>
    <t>X001KVJ6LN</t>
  </si>
  <si>
    <t>B075F1G31B</t>
  </si>
  <si>
    <t>Womens Knitted Long Sweater Dress Tunic Navy L</t>
  </si>
  <si>
    <t>0.271564 cuft</t>
  </si>
  <si>
    <t>YZ-HM1683-G0-48</t>
  </si>
  <si>
    <t>X001G4MP03</t>
  </si>
  <si>
    <t>B01JZ1FYEQ</t>
  </si>
  <si>
    <t>Summer Mae Women's One Piece Bathing Suit Slim Tummy Control Swimwear 48 Green</t>
  </si>
  <si>
    <t>0.142908 cuft</t>
  </si>
  <si>
    <t>YZ-ZQadn1601-B1-S</t>
  </si>
  <si>
    <t>X001CQPSHR</t>
  </si>
  <si>
    <t>B01M3YW8FW</t>
  </si>
  <si>
    <t>LYQ-ZQTN2611-BD-4X</t>
  </si>
  <si>
    <t>X001LOLLYT</t>
  </si>
  <si>
    <t>B07547DDHD</t>
  </si>
  <si>
    <t>Summer Mae Women Plus Size V-neck Tunic Top Long Sleeve Solid Chiffon Shirt Blouse Burgundy</t>
  </si>
  <si>
    <t>0.183016 cuft</t>
  </si>
  <si>
    <t>LYQ-ZQ8200-K0-XL</t>
  </si>
  <si>
    <t>X001H4X2VD</t>
  </si>
  <si>
    <t>B0734VXSD6</t>
  </si>
  <si>
    <t>Women's V-Neck Long Sleeves Wrap Waist Long Kimono Maxi Dress Black and White XL</t>
  </si>
  <si>
    <t>0.13224 cuft</t>
  </si>
  <si>
    <t>WJ-ZQ650-C3</t>
  </si>
  <si>
    <t>X001APNII1</t>
  </si>
  <si>
    <t>B01MA1KLWC</t>
  </si>
  <si>
    <t>Summer Mae Kids Girls Boys Stylish Warm Plaid Scarf Gorgeous Wrap Shawl</t>
  </si>
  <si>
    <t>0.074133 cuft</t>
  </si>
  <si>
    <t>LYQ-ZQPC01-BD-M</t>
  </si>
  <si>
    <t>X001LS93NV</t>
  </si>
  <si>
    <t>B075QFRYJF</t>
  </si>
  <si>
    <t>0.144 cuft</t>
  </si>
  <si>
    <t>YZ-ZQ19758-K0-M</t>
  </si>
  <si>
    <t>X001E1D025</t>
  </si>
  <si>
    <t>B01MTJWG2A</t>
  </si>
  <si>
    <t>0.063201 cuft</t>
  </si>
  <si>
    <t>LYQ-1001-P0-M</t>
  </si>
  <si>
    <t>X001MDRA2V</t>
  </si>
  <si>
    <t>B0777L43KP</t>
  </si>
  <si>
    <t>Summer Mae Long Sleeve Lace Dress A Line Casual Tunic Mini Purple Dress M</t>
  </si>
  <si>
    <t>LYQ-ZQ2973-P0-2XL</t>
  </si>
  <si>
    <t>X001LEYGDH</t>
  </si>
  <si>
    <t>B075SCX9V6</t>
  </si>
  <si>
    <t>Womens Knitted Long Sweater Dress Tunic Purplish Red XXL</t>
  </si>
  <si>
    <t>0.155194 cuft</t>
  </si>
  <si>
    <t>LYQ-ZQ2973-ZL-XL</t>
  </si>
  <si>
    <t>X001KVR2M3</t>
  </si>
  <si>
    <t>B075DX6NTH</t>
  </si>
  <si>
    <t>Womens Knitted Long Sweater Dress Tunic Navy XL</t>
  </si>
  <si>
    <t>0.209108 cuft</t>
  </si>
  <si>
    <t>0.042519 cuft</t>
  </si>
  <si>
    <t>YZ-HMBKN967-B0-L</t>
  </si>
  <si>
    <t>X001CZ9FT5</t>
  </si>
  <si>
    <t>B06XFS7QB2</t>
  </si>
  <si>
    <t>Summer Mae Women's Sky Blue Lace Up Leopard Bottom Padding Bikini Set</t>
  </si>
  <si>
    <t>0.045079 cuft</t>
  </si>
  <si>
    <t>LYQ-ZQLC00-K0-XL</t>
  </si>
  <si>
    <t>X0018C8LIX</t>
  </si>
  <si>
    <t>B01LZ8BCKM</t>
  </si>
  <si>
    <t>Summer Mae Women's Long Sleeve White Crochet Lace Patchwork A-Line Purple Dresses</t>
  </si>
  <si>
    <t>0.083634 cuft</t>
  </si>
  <si>
    <t>LYQ-ZQLP01-P0-M</t>
  </si>
  <si>
    <t>X001B27MOJ</t>
  </si>
  <si>
    <t>B01M5IXS33</t>
  </si>
  <si>
    <t>Summer Mae Women's Purple Long Sleeve Sequin Patch Pocket Shirt Tunic Top</t>
  </si>
  <si>
    <t>0.05894 cuft</t>
  </si>
  <si>
    <t>YZ-ZQ17958P0-5XL</t>
  </si>
  <si>
    <t>X001ATM149</t>
  </si>
  <si>
    <t>B01M7P6REV</t>
  </si>
  <si>
    <t>Summer Mae Women's Plus Size Swimwear One Piece Spirit Swimsuit Purple and Pink</t>
  </si>
  <si>
    <t>0.092151 cuft</t>
  </si>
  <si>
    <t>YZ-ZQ17986W0-M</t>
  </si>
  <si>
    <t>X001F3NHSJ</t>
  </si>
  <si>
    <t>B01M2487BX</t>
  </si>
  <si>
    <t>LYQ-LY064-K0-M</t>
  </si>
  <si>
    <t>X001D8S2VN</t>
  </si>
  <si>
    <t>B01MT8EESO</t>
  </si>
  <si>
    <t>Summer Mae Chiffon Short Sleeve V-neck Dress Knee Length Ruched Dress for Women K0 M</t>
  </si>
  <si>
    <t>YZ-ZQ1732-B0-XL</t>
  </si>
  <si>
    <t>X001FLZOGJ</t>
  </si>
  <si>
    <t>B01N3Q73FG</t>
  </si>
  <si>
    <t>Summer Mae Women's Colorful Print Swimwear Two Piece Boyshort Bkini</t>
  </si>
  <si>
    <t>0.078003 cuft</t>
  </si>
  <si>
    <t>WJ-ZQ650-C8</t>
  </si>
  <si>
    <t>X001ABPAX1</t>
  </si>
  <si>
    <t>B01MAUCEHQ</t>
  </si>
  <si>
    <t>YZ-ZQ19758-K0-4XL</t>
  </si>
  <si>
    <t>X001E07NAV</t>
  </si>
  <si>
    <t>B01N01UI76</t>
  </si>
  <si>
    <t>0.122228 cuft</t>
  </si>
  <si>
    <t>LYQ-ZQPC01-BD-XXL</t>
  </si>
  <si>
    <t>X001LT8GRT</t>
  </si>
  <si>
    <t>B075QG9WBY</t>
  </si>
  <si>
    <t>OUTDOOR WEAR Summer Mae Women's Heart Pattern Patchwork Knitted Sweater Round Neck Loose Pullover</t>
  </si>
  <si>
    <t>0.175409 cuft</t>
  </si>
  <si>
    <t>LYQ-ZQ8200-K0-L</t>
  </si>
  <si>
    <t>X001H4TZOV</t>
  </si>
  <si>
    <t>B0734TVMF1</t>
  </si>
  <si>
    <t>Women's V-Neck Long Sleeves Wrap Waist Long Kimono Maxi Dress Black and White L</t>
  </si>
  <si>
    <t>YZ-ZQ1521GWXL</t>
  </si>
  <si>
    <t>X001APOJ2P</t>
  </si>
  <si>
    <t>B01GJPB094</t>
  </si>
  <si>
    <t>YZ-ZQ1617-BH-3XL</t>
  </si>
  <si>
    <t>X001ECMQVF</t>
  </si>
  <si>
    <t>B01MS460RR</t>
  </si>
  <si>
    <t>Summer Mae 50s Elegant Inspired Retro Vintage One Piece Pin Up Monokinis Swimsuit, Blue Floral, 3XL ASIAN/14-16 (US)</t>
  </si>
  <si>
    <t>0.07552 cuft</t>
  </si>
  <si>
    <t>YZ-ZQ6189B046</t>
  </si>
  <si>
    <t>X0014XSUWD</t>
  </si>
  <si>
    <t>B01H6DXCB2</t>
  </si>
  <si>
    <t>Summer Mae Women's Plus Size Retro Floral Two Pieces Tankini Top &amp; Bottom Swimsuit 46 Blue</t>
  </si>
  <si>
    <t>YZ-ZQ0707-G0-XL</t>
  </si>
  <si>
    <t>X001HPSW3F</t>
  </si>
  <si>
    <t>B072XGWC9X</t>
  </si>
  <si>
    <t>Summer Mae Women's Push Up Solid/Striped bikini set Top &amp; Striped/Polka Dot Bkini Bottom</t>
  </si>
  <si>
    <t>0.059784 cuft</t>
  </si>
  <si>
    <t>LYQ-ZQ1117-K0-XL</t>
  </si>
  <si>
    <t>X001LEYXU3</t>
  </si>
  <si>
    <t>B0759GNDPX</t>
  </si>
  <si>
    <t>LYQ-ZQTN2611-BD-2X</t>
  </si>
  <si>
    <t>X001LO2F9J</t>
  </si>
  <si>
    <t>B07548R8JT</t>
  </si>
  <si>
    <t>0.06049 cuft</t>
  </si>
  <si>
    <t>LYQ-1001-Z0-S</t>
  </si>
  <si>
    <t>X001MD0RV7</t>
  </si>
  <si>
    <t>B0777L24S5</t>
  </si>
  <si>
    <t>Summer Mae Long Sleeve Lace Dress A Line Casual Tunic Mini Dress Violet S</t>
  </si>
  <si>
    <t>0.110677 cuft</t>
  </si>
  <si>
    <t>0.011095 cuft</t>
  </si>
  <si>
    <t>YZ-ZQ15827W02XL</t>
  </si>
  <si>
    <t>X0015MLB3N</t>
  </si>
  <si>
    <t>B01ID5E5ZY</t>
  </si>
  <si>
    <t>0.034375 cuft</t>
  </si>
  <si>
    <t>LYQ-HM1205-K0-S</t>
  </si>
  <si>
    <t>X001JZ7U4Z</t>
  </si>
  <si>
    <t>B07433FQ65</t>
  </si>
  <si>
    <t>0.207004 cuft</t>
  </si>
  <si>
    <t>YZ-ZQZY456-R0-S</t>
  </si>
  <si>
    <t>X001J7K6G7</t>
  </si>
  <si>
    <t>B0721Q1J3G</t>
  </si>
  <si>
    <t>WOMEN'S BOUTIQUE Summer Mae Women's V-Neck Watermelon Print One Piece Swimsuit</t>
  </si>
  <si>
    <t>5.8E-5 cuft</t>
  </si>
  <si>
    <t>YZ-HMBKN1715-R0-S</t>
  </si>
  <si>
    <t>X001EL6YMN</t>
  </si>
  <si>
    <t>B07115MLY8</t>
  </si>
  <si>
    <t>Summer Mae Women 2 Pcs Bikini Set Triangle Top Brazilian Bottom Velvet Swimsuit Swimwear</t>
  </si>
  <si>
    <t>0.038366 cuft</t>
  </si>
  <si>
    <t>LYQ-ZQ2973-K0-M</t>
  </si>
  <si>
    <t>X001KPDVSN</t>
  </si>
  <si>
    <t>B075F1391S</t>
  </si>
  <si>
    <t>Womens Knitted Long Sweater Dress Tunic Black M</t>
  </si>
  <si>
    <t>0.161054 cuft</t>
  </si>
  <si>
    <t>LYQ-1001-N0-2XL</t>
  </si>
  <si>
    <t>X001MDR99F</t>
  </si>
  <si>
    <t>B0777DQV5G</t>
  </si>
  <si>
    <t>Long Sleeve Lace Dress A Line Casual Tunic Mini Dress Brown US 18W</t>
  </si>
  <si>
    <t>LYQ-1001-K0-S</t>
  </si>
  <si>
    <t>X001MDS1BZ</t>
  </si>
  <si>
    <t>B0777GWWNL</t>
  </si>
  <si>
    <t>Long Sleeve Lace Dress A Line Casual Tunic Mini Dress Black US 4-6</t>
  </si>
  <si>
    <t>YZ-ZQ1521WP3XL</t>
  </si>
  <si>
    <t>X0014MM8VN</t>
  </si>
  <si>
    <t>B01GJPBNN2</t>
  </si>
  <si>
    <t>0.205885 cuft</t>
  </si>
  <si>
    <t>YZ-SUBL03-K0-M</t>
  </si>
  <si>
    <t>X001T37WDB</t>
  </si>
  <si>
    <t>B07DNXW5SB</t>
  </si>
  <si>
    <t>0.118949 cuft</t>
  </si>
  <si>
    <t>YZ-HMBKN30-B0YH-XL</t>
  </si>
  <si>
    <t>X001D97YRZ</t>
  </si>
  <si>
    <t>B06XSNJZ8L</t>
  </si>
  <si>
    <t>Women's Front Cross Printing Bottom Halter Bikini Set Color: Blue With Floral Bottom Size:XL</t>
  </si>
  <si>
    <t>LYQ-ZQ1117-G7-S</t>
  </si>
  <si>
    <t>X001LEYO7F</t>
  </si>
  <si>
    <t>B075ZRSKHP</t>
  </si>
  <si>
    <t>YZ-ZQ15921-B0-XL</t>
  </si>
  <si>
    <t>X001H7BV95</t>
  </si>
  <si>
    <t>B07229CYMB</t>
  </si>
  <si>
    <t>YZ-ZQ1519-K0-L</t>
  </si>
  <si>
    <t>X001GW3VFN</t>
  </si>
  <si>
    <t>B072R2KFMD</t>
  </si>
  <si>
    <t>LYQ-ZQ2973-KQ-L</t>
  </si>
  <si>
    <t>X001KI3E7N</t>
  </si>
  <si>
    <t>B01LY4R9YJ</t>
  </si>
  <si>
    <t>Womens Knitted Long Sweater Dress Tunic Khaki L</t>
  </si>
  <si>
    <t>0.216953 cuft</t>
  </si>
  <si>
    <t>LYQ-ZQ1117-K0-2XL</t>
  </si>
  <si>
    <t>X001MNO4A7</t>
  </si>
  <si>
    <t>B077GRN54F</t>
  </si>
  <si>
    <t>Women Lace Dress Long Sleeve Loose Tunic Tops Stitching Casual Blouses Black XXL</t>
  </si>
  <si>
    <t>YZ-ZQ15827W0M</t>
  </si>
  <si>
    <t>X0017JT8DJ</t>
  </si>
  <si>
    <t>B01LVXE7OG</t>
  </si>
  <si>
    <t>LYQ-ZQ1117-E0-XL</t>
  </si>
  <si>
    <t>X001LEYXTT</t>
  </si>
  <si>
    <t>B075ZQ96Y9</t>
  </si>
  <si>
    <t>LYQ-1001-N0-XS</t>
  </si>
  <si>
    <t>X001MDRA3P</t>
  </si>
  <si>
    <t>B0777KHKFN</t>
  </si>
  <si>
    <t>Summer Mae Long Sleeve Lace Dress A Line Casual Tunic Mini Dress Brown US 0-2</t>
  </si>
  <si>
    <t>YZ-ZQ47121-K0-L</t>
  </si>
  <si>
    <t>X001J5EXJZ</t>
  </si>
  <si>
    <t>B01N8P3P19</t>
  </si>
  <si>
    <t>WOMEN'S BOUTIQUE Summer Mae Women's Black Mesh Ring Swimwear One Piece Swimsuit Bikini</t>
  </si>
  <si>
    <t>LYQ-1001-W0-XL</t>
  </si>
  <si>
    <t>X001MDOZVP</t>
  </si>
  <si>
    <t>B0777JDW3Z</t>
  </si>
  <si>
    <t>Summer Mae Long Sleeve Lace Dress A Line Casual Tunic Mini White Dress XL</t>
  </si>
  <si>
    <t>YZ-HMBKN30-PI-L</t>
  </si>
  <si>
    <t>X001D8CBWJ</t>
  </si>
  <si>
    <t>B06XSZDDYQ</t>
  </si>
  <si>
    <t>LYQ-CL6287-B0-L</t>
  </si>
  <si>
    <t>X001IIHQTR</t>
  </si>
  <si>
    <t>B0748FQTDN</t>
  </si>
  <si>
    <t>Summer Mae Women's Sexy Cut Out Cold Shoulder Solid Color T-shirt Swing Dress With Pockets Blue Large</t>
  </si>
  <si>
    <t>0.098877 cuft</t>
  </si>
  <si>
    <t>YZ-HM17077-B0-XL</t>
  </si>
  <si>
    <t>X001FKJN3P</t>
  </si>
  <si>
    <t>B06XYK2FNV</t>
  </si>
  <si>
    <t>0.057969 cuft</t>
  </si>
  <si>
    <t>YZ-HM1689-R0-54</t>
  </si>
  <si>
    <t>X001EDDBN1</t>
  </si>
  <si>
    <t>B01IEYL9FI</t>
  </si>
  <si>
    <t>Summer Mae Women's Plus Size Flower Prints Triangle One Piece Swimsuits Red 54</t>
  </si>
  <si>
    <t>0.128115 cuft</t>
  </si>
  <si>
    <t>LYQ-ZQS1741-G7-L</t>
  </si>
  <si>
    <t>X001L3XOD1</t>
  </si>
  <si>
    <t>B075FPKCBK</t>
  </si>
  <si>
    <t>LYQ-HM1205-BR-L</t>
  </si>
  <si>
    <t>X0019MHRUF</t>
  </si>
  <si>
    <t>B01M29W1XF</t>
  </si>
  <si>
    <t>YZ-ZQ565-R0-XL</t>
  </si>
  <si>
    <t>X001GXD6R5</t>
  </si>
  <si>
    <t>B071JRJQWZ</t>
  </si>
  <si>
    <t>Summer Mae Women's Off Shoulder Blushing Pink Floral One Piece Ruffle Swimsuit</t>
  </si>
  <si>
    <t>0.133126 cuft</t>
  </si>
  <si>
    <t>LYQ-CL61652-R6-M</t>
  </si>
  <si>
    <t>X001JQXWVJ</t>
  </si>
  <si>
    <t>B074QGMP5Z</t>
  </si>
  <si>
    <t>Summer Jun Women's Solid Color Bell Sleeve Casual Tunic Top T-Shirt Swing Loose Dress Pink M</t>
  </si>
  <si>
    <t>0.084609 cuft</t>
  </si>
  <si>
    <t>LYQ-1001-G7-2XL</t>
  </si>
  <si>
    <t>X001MD5GMR</t>
  </si>
  <si>
    <t>B0777BRRF9</t>
  </si>
  <si>
    <t>Long Sleeve Lace Dress A Line Casual Tunic Mini Dress Army Green US 18W</t>
  </si>
  <si>
    <t>YZ-HM7040-ZL-XL</t>
  </si>
  <si>
    <t>X001H7BV8L</t>
  </si>
  <si>
    <t>B072XCPKG1</t>
  </si>
  <si>
    <t>Summer Bay Women One Piece Deep V Neck Plunge Contrast Edged Getaway Halter Monokini Swimsuits</t>
  </si>
  <si>
    <t>0.083491 cuft</t>
  </si>
  <si>
    <t>LYQ-CL0045-Y0-L</t>
  </si>
  <si>
    <t>X001JIDGLD</t>
  </si>
  <si>
    <t>B074QFW9C4</t>
  </si>
  <si>
    <t>Summer Jun Women's Solid Color Short Sleeve Tunic Top T-shirt Swing Dress,Yellow,Large</t>
  </si>
  <si>
    <t>WT-ZQ921-K0-L</t>
  </si>
  <si>
    <t>X001LEYPT7</t>
  </si>
  <si>
    <t>B01M0D9U04</t>
  </si>
  <si>
    <t>Summer Mae Women Plus Size Hooded Zip Up Military Anorak Jacket Coat Outwear</t>
  </si>
  <si>
    <t>0.216159 cuft</t>
  </si>
  <si>
    <t>WJ-ZQ650-C9</t>
  </si>
  <si>
    <t>X001BE0UFF</t>
  </si>
  <si>
    <t>B01M2UYD3I</t>
  </si>
  <si>
    <t>0.074236 cuft</t>
  </si>
  <si>
    <t>LYQ-ZQ2973-KQ-XL</t>
  </si>
  <si>
    <t>X001KI0WOB</t>
  </si>
  <si>
    <t>B01M0328CI</t>
  </si>
  <si>
    <t>Womens Knitted Long Sweater Dress Tunic Khaki XL</t>
  </si>
  <si>
    <t>0.191796 cuft</t>
  </si>
  <si>
    <t>YZ-ZQ16597B0M</t>
  </si>
  <si>
    <t>X001E9NU27</t>
  </si>
  <si>
    <t>B01HTJ8SVM</t>
  </si>
  <si>
    <t>Summer Mae Women's Classic Striped Two Piece Swimwear Plus Size Tankini Top &amp; Bottom M</t>
  </si>
  <si>
    <t>0.062502 cuft</t>
  </si>
  <si>
    <t>LYQ-ZQPC01-ZL-M</t>
  </si>
  <si>
    <t>X001M1TR6Z</t>
  </si>
  <si>
    <t>B075QGJ6CW</t>
  </si>
  <si>
    <t>0.160616 cuft</t>
  </si>
  <si>
    <t>LYQ-1001-W0-M</t>
  </si>
  <si>
    <t>X001MDP4JR</t>
  </si>
  <si>
    <t>B0777F7ZK9</t>
  </si>
  <si>
    <t>Long Sleeve Lace Dress A Line Casual Tunic Mini White Dress M</t>
  </si>
  <si>
    <t>YZ-CFAM005-LABUGR-L</t>
  </si>
  <si>
    <t>X001CWG60T</t>
  </si>
  <si>
    <t>B01N4LAK3O</t>
  </si>
  <si>
    <t>Summer Mae FlYang Women's Long Sleeve Casual Loose Dress,Lake Blue Green,L</t>
  </si>
  <si>
    <t>YZ-ZQ1521RM3XL</t>
  </si>
  <si>
    <t>X001AFE3AX</t>
  </si>
  <si>
    <t>B01GJPCIL8</t>
  </si>
  <si>
    <t>LYQ-HMQZZ-MOM-2XL</t>
  </si>
  <si>
    <t>X001A3W1R7</t>
  </si>
  <si>
    <t>B01M7X7MYF</t>
  </si>
  <si>
    <t>Summer Jun Mother and Daughter Lace Stitching Dress Family Look Clothes women 2XL</t>
  </si>
  <si>
    <t>LYQ-LY064-B0-3XL</t>
  </si>
  <si>
    <t>X001DEI2NZ</t>
  </si>
  <si>
    <t>B01MY7KVJY</t>
  </si>
  <si>
    <t>Summer Mae Chiffon Short Sleeve V-neck Dress Knee Length Ruched Dress for Women B0 3XL</t>
  </si>
  <si>
    <t>YZ-ZQ0707-PITW-M</t>
  </si>
  <si>
    <t>X001HPSW35</t>
  </si>
  <si>
    <t>B072XGTQGD</t>
  </si>
  <si>
    <t>WOMEN'S BOUTIQUE Summer Mae Women's Push Up Solid/Striped Bikini Set Top &amp; Striped/Polka Dot Bkini Bottom</t>
  </si>
  <si>
    <t>YZ-HMBKN967-K0-L</t>
  </si>
  <si>
    <t>X001FEV05F</t>
  </si>
  <si>
    <t>B07116N1LG</t>
  </si>
  <si>
    <t>Lower price</t>
  </si>
  <si>
    <t>LYQ-ZQLP01-P0-S</t>
  </si>
  <si>
    <t>X001B832PL</t>
  </si>
  <si>
    <t>B01M3XKHTA</t>
  </si>
  <si>
    <t>0.0625 cuft</t>
  </si>
  <si>
    <t>LYQ-LY064-OR-4XL</t>
  </si>
  <si>
    <t>X001D9L8OP</t>
  </si>
  <si>
    <t>B01MS6QZQB</t>
  </si>
  <si>
    <t>Summer Mae Chiffon Short Sleeve V-Neck Dress Knee Length Ruched Dress For Women OR 4XL</t>
  </si>
  <si>
    <t>LYQ-ZQPC01-E0-XL</t>
  </si>
  <si>
    <t>X001LT4RQ3</t>
  </si>
  <si>
    <t>B075QF33TV</t>
  </si>
  <si>
    <t>Standard</t>
  </si>
  <si>
    <t>YZ-HM111-YH-S</t>
  </si>
  <si>
    <t>X001GI5L91</t>
  </si>
  <si>
    <t>B071GQNCYS</t>
  </si>
  <si>
    <t>WJ-ZQ650-C7</t>
  </si>
  <si>
    <t>X0018P8UO5</t>
  </si>
  <si>
    <t>B01MAUCETC</t>
  </si>
  <si>
    <t>LYQ-ZQPC01-P0-XXL</t>
  </si>
  <si>
    <t>X001LT8HSR</t>
  </si>
  <si>
    <t>B075QG2WMF</t>
  </si>
  <si>
    <t>0.15416 cuft</t>
  </si>
  <si>
    <t>LYQ-ZQ7900-W0-XXL</t>
  </si>
  <si>
    <t>X001JDN3TX</t>
  </si>
  <si>
    <t>B0742CHPKN</t>
  </si>
  <si>
    <t>Summer Mae Women's Summer Styling Sleeveless Floral Print Lace High Neck Midi Sun Dress</t>
  </si>
  <si>
    <t>0.070941 cuft</t>
  </si>
  <si>
    <t>YZ-CL912-FB-XL</t>
  </si>
  <si>
    <t>X001HC5NNP</t>
  </si>
  <si>
    <t>B071X8ZZVZ</t>
  </si>
  <si>
    <t>Summer Bay Women's Solid Color Off Shoulder Ruffle One Piece Swimsuit High Cut Chic Bikini</t>
  </si>
  <si>
    <t>0.12974 cuft</t>
  </si>
  <si>
    <t>YZ-ZQ1521GF5XL</t>
  </si>
  <si>
    <t>X0014LFUOV</t>
  </si>
  <si>
    <t>B01GJPDY52</t>
  </si>
  <si>
    <t>YZ-ZQ1521BLXL</t>
  </si>
  <si>
    <t>X0014KLVC7</t>
  </si>
  <si>
    <t>B01GJPB23I</t>
  </si>
  <si>
    <t>WJ-ZQ650-C11</t>
  </si>
  <si>
    <t>X0018VMH89</t>
  </si>
  <si>
    <t>B01M22BQTJ</t>
  </si>
  <si>
    <t>0.07425 cuft</t>
  </si>
  <si>
    <t>LYQ-CSM048-GR1-XL</t>
  </si>
  <si>
    <t>X001LREEFJ</t>
  </si>
  <si>
    <t>B074PS35PF</t>
  </si>
  <si>
    <t>YZ-HM7889-B0-4X</t>
  </si>
  <si>
    <t>X001GEIGTR</t>
  </si>
  <si>
    <t>B0711RJCRZ</t>
  </si>
  <si>
    <t>YZ-ZQA100-B0-L</t>
  </si>
  <si>
    <t>X001CYL5FX</t>
  </si>
  <si>
    <t>B01MA3UEU3</t>
  </si>
  <si>
    <t>Summer Mae Women's Floral Print Swimwear Mesh Splice Tankini Top &amp; Bottom Blue</t>
  </si>
  <si>
    <t>0.101645 cuft</t>
  </si>
  <si>
    <t>YZ-ZQ6667G044</t>
  </si>
  <si>
    <t>X0014EMN39</t>
  </si>
  <si>
    <t>B01GFMMHAW</t>
  </si>
  <si>
    <t>Summer Mae Women's Plus Size Swimdress One Piece Cover Up Swimsuit Tankini Beachwear 44 Teal</t>
  </si>
  <si>
    <t>0.284039 cuft</t>
  </si>
  <si>
    <t>LYQ-ZQ3550-E0-XL</t>
  </si>
  <si>
    <t>X001JBB29N</t>
  </si>
  <si>
    <t>B071FZWWBS</t>
  </si>
  <si>
    <t>YZ-ZQ15921-B0-M</t>
  </si>
  <si>
    <t>X001GU23S1</t>
  </si>
  <si>
    <t>B06ZZN8QHJ</t>
  </si>
  <si>
    <t>MZ-JY1616-R0</t>
  </si>
  <si>
    <t>X0018QYEX5</t>
  </si>
  <si>
    <t>B01LZ1Z414</t>
  </si>
  <si>
    <t>0.111031 cuft</t>
  </si>
  <si>
    <t>YZ-HM17077-CO-M</t>
  </si>
  <si>
    <t>X001GW2LL3</t>
  </si>
  <si>
    <t>B06XYLBKBR</t>
  </si>
  <si>
    <t>LYQ-1001-G7-S</t>
  </si>
  <si>
    <t>X001MDUZQT</t>
  </si>
  <si>
    <t>B0777H6HZP</t>
  </si>
  <si>
    <t>Long Sleeve Lace Dress A Line Casual Tunic Mini Dress Army Green US 4-6</t>
  </si>
  <si>
    <t>YZ-HM17845-YH-S</t>
  </si>
  <si>
    <t>X001DCOXFN</t>
  </si>
  <si>
    <t>B06W2PGTD7</t>
  </si>
  <si>
    <t>YZ-ZQ1521KF4XL</t>
  </si>
  <si>
    <t>X0015Z11N5</t>
  </si>
  <si>
    <t>B01I2I94LC</t>
  </si>
  <si>
    <t>YZ-HMBKN30-K0-M</t>
  </si>
  <si>
    <t>X001D8CBWT</t>
  </si>
  <si>
    <t>B06XSHBCWZ</t>
  </si>
  <si>
    <t>LYQ-ZQ7900-W0-S</t>
  </si>
  <si>
    <t>X001JDYF0J</t>
  </si>
  <si>
    <t>B0742BFRFZ</t>
  </si>
  <si>
    <t>LYQ-CLBAH002-S</t>
  </si>
  <si>
    <t>X001LVFU0N</t>
  </si>
  <si>
    <t>B075893214</t>
  </si>
  <si>
    <t>Summer Mae Women's V Neck Bohemian Tie Vintage Printed Ethnic Style Beach Dress S</t>
  </si>
  <si>
    <t>0.060597 cuft</t>
  </si>
  <si>
    <t>LYQ-1001New-P0-XS</t>
  </si>
  <si>
    <t>X001NKSI3D</t>
  </si>
  <si>
    <t>B0789GWZ7R</t>
  </si>
  <si>
    <t>Women's Stitching Lace Dress A Line Casual Tunic Mini Purple Dress XS</t>
  </si>
  <si>
    <t>0.175121 cuft</t>
  </si>
  <si>
    <t>YZ-HMBKN16024-G0-L</t>
  </si>
  <si>
    <t>X001GLB2CD</t>
  </si>
  <si>
    <t>B07314MWWM</t>
  </si>
  <si>
    <t>Summer Mae Women's Pineapple Printing Halter Padding Bikini Set</t>
  </si>
  <si>
    <t>0.054426 cuft</t>
  </si>
  <si>
    <t>YZ-ZQ6667ZL46</t>
  </si>
  <si>
    <t>X0014X11VZ</t>
  </si>
  <si>
    <t>B01GFMMG80</t>
  </si>
  <si>
    <t>Summer Mae Women's Plus Size Swimdress One Piece Cover Up Swimsuit Tankini Beachwear 46 Navyblue</t>
  </si>
  <si>
    <t>YZ-ZQ6667R050</t>
  </si>
  <si>
    <t>X0014EFB33</t>
  </si>
  <si>
    <t>B01GFMMEYG</t>
  </si>
  <si>
    <t>Summer Mae Women's Plus Size Swimdress One Piece Cover Up Swimsuit Tankini Beachwear 50 Red</t>
  </si>
  <si>
    <t>LYQ-ZQS1741-W0-L</t>
  </si>
  <si>
    <t>X001L3FWQD</t>
  </si>
  <si>
    <t>B075FPB5TN</t>
  </si>
  <si>
    <t>LYQ-ZQ8200-K0-M</t>
  </si>
  <si>
    <t>X001H4TL6D</t>
  </si>
  <si>
    <t>B0734V8QLP</t>
  </si>
  <si>
    <t>Women's V-Neck Long Sleeves Wrap Waist Long Kimono Maxi Dress Black and White M</t>
  </si>
  <si>
    <t>LYQ-ZQ2973-ZL-S</t>
  </si>
  <si>
    <t>X001KT6Q2R</t>
  </si>
  <si>
    <t>B075DZZT79</t>
  </si>
  <si>
    <t>Womens Knitted Long Sweater Dress Tunic Navy S</t>
  </si>
  <si>
    <t>0.130919 cuft</t>
  </si>
  <si>
    <t>LYQ-LY064-OR-M</t>
  </si>
  <si>
    <t>X001DB2WYN</t>
  </si>
  <si>
    <t>B01MZ944E4</t>
  </si>
  <si>
    <t>Summer Mae Chiffon Short Sleeve V-Neck Dress Knee Length Ruched Dress For Women OR M</t>
  </si>
  <si>
    <t>LYQ-ZQ1117-BD-XL</t>
  </si>
  <si>
    <t>X001LEZAZ5</t>
  </si>
  <si>
    <t>B075ZQJDVC</t>
  </si>
  <si>
    <t>LYQ-ZQ1117-BD-S</t>
  </si>
  <si>
    <t>X001LEXYIF</t>
  </si>
  <si>
    <t>B075ZR64XY</t>
  </si>
  <si>
    <t>YZ-ZQ15827BS4XL</t>
  </si>
  <si>
    <t>X001BTQQNP</t>
  </si>
  <si>
    <t>B01N6P009T</t>
  </si>
  <si>
    <t>LYQ-CL6408NO-G0-L</t>
  </si>
  <si>
    <t>X001IPFC73</t>
  </si>
  <si>
    <t>B0749DS1D6</t>
  </si>
  <si>
    <t>Summer Jun Women's Pockets Casual Tunic Swing T-shirt Tie Dye Ombre Dress</t>
  </si>
  <si>
    <t>0.117867 cuft</t>
  </si>
  <si>
    <t>LYQ-ZQ1117-KQ-S</t>
  </si>
  <si>
    <t>X001LEYGWD</t>
  </si>
  <si>
    <t>B0759PF567</t>
  </si>
  <si>
    <t>YZ-ZQ15827B02XL</t>
  </si>
  <si>
    <t>X001918YIZ</t>
  </si>
  <si>
    <t>B01M63OPA2</t>
  </si>
  <si>
    <t>YZ-ZQ7777R018</t>
  </si>
  <si>
    <t>X001D7L3PV</t>
  </si>
  <si>
    <t>B01MYH3XG5</t>
  </si>
  <si>
    <t>YZ-CLNK78-BD-M</t>
  </si>
  <si>
    <t>X001GW2LLD</t>
  </si>
  <si>
    <t>B07311BK1Z</t>
  </si>
  <si>
    <t>Summer Mae Women's Fashion Triangle Bikini Set Tie Two Piece Swimsuits Wine Red</t>
  </si>
  <si>
    <t>YZ-ZQ1521RLXL</t>
  </si>
  <si>
    <t>X001AOKTL1</t>
  </si>
  <si>
    <t>B01GJPBTJU</t>
  </si>
  <si>
    <t>LYQ-1001-Z0-XS</t>
  </si>
  <si>
    <t>X001MDP51T</t>
  </si>
  <si>
    <t>B0777H7DHH</t>
  </si>
  <si>
    <t>Summer Mae Long Sleeve Lace Dress A Line Casual Tunic Mini Dress Violet XS</t>
  </si>
  <si>
    <t>LYQ-HM1205-BR-XL</t>
  </si>
  <si>
    <t>X0019I3S7F</t>
  </si>
  <si>
    <t>B01M9G5R04</t>
  </si>
  <si>
    <t>YZ-ZQ15921-R0-L</t>
  </si>
  <si>
    <t>X001HYXCS1</t>
  </si>
  <si>
    <t>B071DFVNKL</t>
  </si>
  <si>
    <t>YZ-HM241-G0-S</t>
  </si>
  <si>
    <t>X001B2505R</t>
  </si>
  <si>
    <t>B01MF97PBG</t>
  </si>
  <si>
    <t>LYQ-CL6408SL-G0XL</t>
  </si>
  <si>
    <t>X001IIHE35</t>
  </si>
  <si>
    <t>B0749JQKHD</t>
  </si>
  <si>
    <t>0.118 cuft</t>
  </si>
  <si>
    <t>YZ-HM1683-BDZL-56</t>
  </si>
  <si>
    <t>X001EEH45B</t>
  </si>
  <si>
    <t>B01JZ1H6OW</t>
  </si>
  <si>
    <t>Summer Mae Women's One Piece Bathing Suit Slim Tummy Control Swimwear 56 Dot ZL</t>
  </si>
  <si>
    <t>LYQ-ZQPC01-BD-L</t>
  </si>
  <si>
    <t>X001LT8GS3</t>
  </si>
  <si>
    <t>B075QF68SY</t>
  </si>
  <si>
    <t>0.151034 cuft</t>
  </si>
  <si>
    <t>LYQ-1001New-P0-L</t>
  </si>
  <si>
    <t>X001NLBYH9</t>
  </si>
  <si>
    <t>B0789FVCFX</t>
  </si>
  <si>
    <t>Summer Mae Women's Stitching Lace Dress A Line Casual Tunic Mini Purple Dress L</t>
  </si>
  <si>
    <t>LYQ-ZQ3550-PI-L</t>
  </si>
  <si>
    <t>X001KQXQDR</t>
  </si>
  <si>
    <t>B072JT7VHC</t>
  </si>
  <si>
    <t>YZ-CL912-BS-L</t>
  </si>
  <si>
    <t>X001HCNA2B</t>
  </si>
  <si>
    <t>B072R2LJVG</t>
  </si>
  <si>
    <t>YZ-SUBL03-K0-XS</t>
  </si>
  <si>
    <t>X001T37QDH</t>
  </si>
  <si>
    <t>B07DNX562P</t>
  </si>
  <si>
    <t>LYQ-CL6287-G7-M</t>
  </si>
  <si>
    <t>X001IJ1BX3</t>
  </si>
  <si>
    <t>B0748G9CH7</t>
  </si>
  <si>
    <t>Summer Mae Women's Sexy Cut Out Cold Shoulder Solid Color T-shirt Swing Dress With Pockets Army Green Medium</t>
  </si>
  <si>
    <t>YZ-HMVS-W0-S</t>
  </si>
  <si>
    <t>X001D1PFJ7</t>
  </si>
  <si>
    <t>B06WPBGWT1</t>
  </si>
  <si>
    <t>Summer Bay Women Backless Two Piece Letter VS Printed Bikini Padded Swimwear Set</t>
  </si>
  <si>
    <t>0.046276 cuft</t>
  </si>
  <si>
    <t>YZ-ZQ17958P0-S</t>
  </si>
  <si>
    <t>X001EJ744H</t>
  </si>
  <si>
    <t>B01M6WIQ5S</t>
  </si>
  <si>
    <t>YZ-JY7015-R0-L</t>
  </si>
  <si>
    <t>X001B9BOUZ</t>
  </si>
  <si>
    <t>B01M3Y0ZDC</t>
  </si>
  <si>
    <t>Summer Joy Women's Lace Splicing Halter Padding Tank Bikini Set</t>
  </si>
  <si>
    <t>YZ-CL0393-B0-XL</t>
  </si>
  <si>
    <t>X001GI4YIZ</t>
  </si>
  <si>
    <t>B071ZS3WSM</t>
  </si>
  <si>
    <t>Summer Bay Womens Sexy V Neck Backless One Piece Dark Blue Coconut Palm Tree Print Swimsuit</t>
  </si>
  <si>
    <t>0.127604 cuft</t>
  </si>
  <si>
    <t>LYQ-1001-P0-XL</t>
  </si>
  <si>
    <t>X001MDOZVF</t>
  </si>
  <si>
    <t>B07778JRS9</t>
  </si>
  <si>
    <t>Summer Mae Long Sleeve Lace Dress A Line Casual Tunic Mini Purple Dress XL</t>
  </si>
  <si>
    <t>LYQ-ZQTN2611-PI-2X</t>
  </si>
  <si>
    <t>X001L3T6Q5</t>
  </si>
  <si>
    <t>B075487SJS</t>
  </si>
  <si>
    <t>Summer Mae Women Plus Size V-neck Tunic Top Long Sleeve Solid Chiffon Shirt Blouse Pink</t>
  </si>
  <si>
    <t>LYQ-ZQ1117-BD-M</t>
  </si>
  <si>
    <t>X001LEYMXB</t>
  </si>
  <si>
    <t>B075ZQDPWY</t>
  </si>
  <si>
    <t>LYQ-ZQPC01-B0-S</t>
  </si>
  <si>
    <t>X001LT4VUZ</t>
  </si>
  <si>
    <t>B075QG34Q6</t>
  </si>
  <si>
    <t>YZ-ZQFT1816-O0-M</t>
  </si>
  <si>
    <t>X001HYKM75</t>
  </si>
  <si>
    <t>B073XH9RWZ</t>
  </si>
  <si>
    <t>YZ-ZQ1732-R0-L</t>
  </si>
  <si>
    <t>X001GZTMYT</t>
  </si>
  <si>
    <t>B01N8XQPF6</t>
  </si>
  <si>
    <t>WOMEN'S BOUTIQUE Summer Mae Women's colorful Print Swimwear Two Piece Boyshort Bkini</t>
  </si>
  <si>
    <t>0.049421 cuft</t>
  </si>
  <si>
    <t>YZ-HMBKN0193-W0-XL</t>
  </si>
  <si>
    <t>X001G4N5BV</t>
  </si>
  <si>
    <t>B072JY35C1</t>
  </si>
  <si>
    <t>Summer Bay Women's Floral Top Stripe Bottom Padding Bikini Set</t>
  </si>
  <si>
    <t>0.025393 cuft</t>
  </si>
  <si>
    <t>YZ-HM174164-SY-4XL</t>
  </si>
  <si>
    <t>X001CO0SOR</t>
  </si>
  <si>
    <t>B01MZ4I332</t>
  </si>
  <si>
    <t>Summer Mae Women's Plus-Size Tonal Leaf Swim Dress Two Piece Swimsuit 4XL</t>
  </si>
  <si>
    <t>0.093093 cuft</t>
  </si>
  <si>
    <t>LYQ-1001New-P0-S</t>
  </si>
  <si>
    <t>X001NLBYHJ</t>
  </si>
  <si>
    <t>B0789G37HF</t>
  </si>
  <si>
    <t>Summer Mae Women's Stitching Lace Dress A Line Casual Tunic Mini Purple Dress S</t>
  </si>
  <si>
    <t>YZ-ZQ17985-P0-5X</t>
  </si>
  <si>
    <t>X001GXAWSV</t>
  </si>
  <si>
    <t>B06ZYX6MBT</t>
  </si>
  <si>
    <t>WOMEN'S BOUTIQUE Summer Mae Women's Purple Pattern Swimwear Two Piece Tankini Top &amp; Bottom</t>
  </si>
  <si>
    <t>0.056288 cuft</t>
  </si>
  <si>
    <t>YZ-ZQ17845-K0-L</t>
  </si>
  <si>
    <t>X001GKV3SH</t>
  </si>
  <si>
    <t>B071X91S9F</t>
  </si>
  <si>
    <t>Summer Mae Women's Plus Size Black Polka Dot Mesh Swimwear One Piece Swimdress</t>
  </si>
  <si>
    <t>0.055355 cuft</t>
  </si>
  <si>
    <t>YZ-ZQMICAIK03XL</t>
  </si>
  <si>
    <t>X001DNJPYB</t>
  </si>
  <si>
    <t>B01HZ9S43S</t>
  </si>
  <si>
    <t>0.08508 cuft</t>
  </si>
  <si>
    <t>YZ-ZQ1521RF4XL</t>
  </si>
  <si>
    <t>X0016IPCX1</t>
  </si>
  <si>
    <t>B01GJPCTJO</t>
  </si>
  <si>
    <t>YZ-ZQ298N0XL</t>
  </si>
  <si>
    <t>X00153IZ8L</t>
  </si>
  <si>
    <t>B01H14OYL8</t>
  </si>
  <si>
    <t>Summer Mae Womens Totem Bandeau 2 Pc Plus Size Tankini Brown</t>
  </si>
  <si>
    <t>0.092625 cuft</t>
  </si>
  <si>
    <t>YZ-ZQ15827B0S</t>
  </si>
  <si>
    <t>X0018S4DTD</t>
  </si>
  <si>
    <t>B01M63RTZE</t>
  </si>
  <si>
    <t>0.01628 cuft</t>
  </si>
  <si>
    <t>MZ-JY1616-CF</t>
  </si>
  <si>
    <t>X0018TJN83</t>
  </si>
  <si>
    <t>B01LZDLADE</t>
  </si>
  <si>
    <t>0.110866 cuft</t>
  </si>
  <si>
    <t>LYQ-CL0045-Y0-XL</t>
  </si>
  <si>
    <t>X001JISLHH</t>
  </si>
  <si>
    <t>B074QHQT8R</t>
  </si>
  <si>
    <t>Summer Jun Women's Solid Color Short Sleeve Tunic Top T-shirt Swing Dress,Yellow,X-Large</t>
  </si>
  <si>
    <t>WT-ZQ921-G7-4XL</t>
  </si>
  <si>
    <t>X001LEPQ31</t>
  </si>
  <si>
    <t>B01M0D9R8F</t>
  </si>
  <si>
    <t>LYQ-ZQ2973-BD-XL</t>
  </si>
  <si>
    <t>X001KTH7B1</t>
  </si>
  <si>
    <t>B01M032BV1</t>
  </si>
  <si>
    <t>Womens Knitted Long Sweater Dress Tunic Burgundy XL</t>
  </si>
  <si>
    <t>0.225067 cuft</t>
  </si>
  <si>
    <t>YZ-HM241-SH-XL</t>
  </si>
  <si>
    <t>X0015PTW6X</t>
  </si>
  <si>
    <t>B01IMU4LEK</t>
  </si>
  <si>
    <t>0.056333 cuft</t>
  </si>
  <si>
    <t>LYQ-ZQ8200-FB-S</t>
  </si>
  <si>
    <t>X001EHQCPV</t>
  </si>
  <si>
    <t>B01LYUSTJT</t>
  </si>
  <si>
    <t>Women's V-Neck Long Sleeves Wrap Waist Long Kimono Maxi Dress Blue and White S</t>
  </si>
  <si>
    <t>0.102607 cuft</t>
  </si>
  <si>
    <t>LYQ-HM1205-KH-XL</t>
  </si>
  <si>
    <t>X0019YQGNH</t>
  </si>
  <si>
    <t>B01MCYXYTX</t>
  </si>
  <si>
    <t>YZ-ZQ1521RM4XL</t>
  </si>
  <si>
    <t>X0018EV3GN</t>
  </si>
  <si>
    <t>B01GJPCKIO</t>
  </si>
  <si>
    <t>YZ-CLD072-W0-M</t>
  </si>
  <si>
    <t>X001H775W7</t>
  </si>
  <si>
    <t>B073CX5K4P</t>
  </si>
  <si>
    <t>Summer Mae Women's Halter Scalloped One Piece Swimsuit Solid Color Backless Bathing Suit White</t>
  </si>
  <si>
    <t>0.048439 cuft</t>
  </si>
  <si>
    <t>YZ-ZQ6189P054</t>
  </si>
  <si>
    <t>X0014VB437</t>
  </si>
  <si>
    <t>B01H6DXBQI</t>
  </si>
  <si>
    <t>Summer Mae Women's Plus Size Retro Floral Two Pieces Tankini Top &amp; Bottom Swimsuit 54 Purple</t>
  </si>
  <si>
    <t>YZ-ZQ15905-K0-S</t>
  </si>
  <si>
    <t>X001GLFOOZ</t>
  </si>
  <si>
    <t>B06ZYW3BC1</t>
  </si>
  <si>
    <t>Summer Mae Women's Black/White Mesh Swimwear Two Piece Halter Tankini Top &amp; Bottom</t>
  </si>
  <si>
    <t>0.070241 cuft</t>
  </si>
  <si>
    <t>YZ-ZQ19758-K0-5XL</t>
  </si>
  <si>
    <t>X001E07MP7</t>
  </si>
  <si>
    <t>B01N3OVJCL</t>
  </si>
  <si>
    <t>0.059038 cuft</t>
  </si>
  <si>
    <t>LYQ-WH885-ZL-L</t>
  </si>
  <si>
    <t>X0019RN7DV</t>
  </si>
  <si>
    <t>B01MEG45FE</t>
  </si>
  <si>
    <t>Summer Mae Women's Long Sleeve Casual Loose T-Shirt Dress Stitching Color Dark Blue M</t>
  </si>
  <si>
    <t>0.090712 cuft</t>
  </si>
  <si>
    <t>LYQ-ZQ3550-PI-S</t>
  </si>
  <si>
    <t>X001KQXTCP</t>
  </si>
  <si>
    <t>B071JLRH8Z</t>
  </si>
  <si>
    <t>YZ-ZQ15827B04XL</t>
  </si>
  <si>
    <t>X001918O7L</t>
  </si>
  <si>
    <t>B01M9AOWZ2</t>
  </si>
  <si>
    <t>YZ-HM1478-Wi-M</t>
  </si>
  <si>
    <t>X001H4N2XL</t>
  </si>
  <si>
    <t>B072R58C18</t>
  </si>
  <si>
    <t>Summer Bay Womens One Piece Bikini Out Deep Plunge Keyhole Backless Monokini Swimwear</t>
  </si>
  <si>
    <t>SHJ-ZQLS01-B0-4XL</t>
  </si>
  <si>
    <t>X001F91ZS7</t>
  </si>
  <si>
    <t>B01M0MD17L</t>
  </si>
  <si>
    <t>Summer Mae Women's Plus size Harbor Slit Shoulder Beach Dress</t>
  </si>
  <si>
    <t>0.091375 cuft</t>
  </si>
  <si>
    <t>LYQ-HM1205-KH-L</t>
  </si>
  <si>
    <t>X0019XG4O9</t>
  </si>
  <si>
    <t>B01M3V96EA</t>
  </si>
  <si>
    <t>YZ-HM1683-R0-52</t>
  </si>
  <si>
    <t>X001GRHP6T</t>
  </si>
  <si>
    <t>B01JZ1FSJ2</t>
  </si>
  <si>
    <t>Summer Mae Women's One Piece Bathing Suit Slim Tummy Control Swimwear 52 Red</t>
  </si>
  <si>
    <t>YZ-ZQSG16121R03XL</t>
  </si>
  <si>
    <t>X0018QFK47</t>
  </si>
  <si>
    <t>B01MA5X2Y4</t>
  </si>
  <si>
    <t>Summer Mae Plus Size Diamond Blouson Plus Size Swimwear Tankini US 14-16</t>
  </si>
  <si>
    <t>0.127552 cuft</t>
  </si>
  <si>
    <t>LYQ-ZQPC01-E0-M</t>
  </si>
  <si>
    <t>X001LSB7BH</t>
  </si>
  <si>
    <t>B075QF627M</t>
  </si>
  <si>
    <t>LYQ-HM1205-BR-S</t>
  </si>
  <si>
    <t>X0019MHRU5</t>
  </si>
  <si>
    <t>B01M29W17K</t>
  </si>
  <si>
    <t>YZ-HM6175-B0-L</t>
  </si>
  <si>
    <t>X001D1PBTV</t>
  </si>
  <si>
    <t>B06VWQQZLK</t>
  </si>
  <si>
    <t>Women's One Piece Solid Color Off-shoulder Flounce Monokini Swimwear</t>
  </si>
  <si>
    <t>LYQ-CL0045-K0-XL</t>
  </si>
  <si>
    <t>X001JIDGM7</t>
  </si>
  <si>
    <t>B074QQ1QJF</t>
  </si>
  <si>
    <t>Summer Jun Women's Solid Color Short Sleeve Casual Tunic Top T-Shirt Swing Dress Black XL</t>
  </si>
  <si>
    <t>YZ-HM111-B0-L</t>
  </si>
  <si>
    <t>X001FZKD7Z</t>
  </si>
  <si>
    <t>B0714MHMB7</t>
  </si>
  <si>
    <t>YZ-HM1683-BDB0-50</t>
  </si>
  <si>
    <t>X001IFCB0T</t>
  </si>
  <si>
    <t>B01JZ1GO3G</t>
  </si>
  <si>
    <t>Summer Mae Women's One Piece Bathing Suit Slim Tummy Control Swimwear 50 Dot Blue</t>
  </si>
  <si>
    <t>YZ-ZQ6667ZL44</t>
  </si>
  <si>
    <t>X0014WXADX</t>
  </si>
  <si>
    <t>B01GFMMFGS</t>
  </si>
  <si>
    <t>Summer Mae Women's Plus Size Swimdress One Piece Cover Up Swimsuit Tankini Beachwear 44 Navyblue</t>
  </si>
  <si>
    <t>YZ-HM0047-P0-S</t>
  </si>
  <si>
    <t>X001FGLK35</t>
  </si>
  <si>
    <t>B0727W7P79</t>
  </si>
  <si>
    <t>Summer Bay Womens Thin Shoulder Straps Ruched Low-waisted Bikini Swimsuit</t>
  </si>
  <si>
    <t>YZ-ZQ8867-B0-M</t>
  </si>
  <si>
    <t>X001EL1ZWH</t>
  </si>
  <si>
    <t>B01MDUUIF8</t>
  </si>
  <si>
    <t>Summer Mae Women's Blue Flare Print One Piece Swimsuit Ruffle Swimwear</t>
  </si>
  <si>
    <t>0.067839 cuft</t>
  </si>
  <si>
    <t>YZ-HM7035-DJG0-XL</t>
  </si>
  <si>
    <t>X001K8I10X</t>
  </si>
  <si>
    <t>B071G5C3M3</t>
  </si>
  <si>
    <t>YZ-HM1683-G0-56</t>
  </si>
  <si>
    <t>X001G4IKG1</t>
  </si>
  <si>
    <t>B01JZ1G43G</t>
  </si>
  <si>
    <t>Summer Mae Women's One Piece Bathing Suit Slim Tummy Control Swimwear 56 Green</t>
  </si>
  <si>
    <t>YZ-HM5263-R0-M</t>
  </si>
  <si>
    <t>X001GTRLZH</t>
  </si>
  <si>
    <t>B06XYL2F6S</t>
  </si>
  <si>
    <t>Summer Bay Women One Piece Solid Color Off-shoulder Flounce Monokini Swimwear, Red01, Medium</t>
  </si>
  <si>
    <t>YZ-ZQ19758-K0-2XL</t>
  </si>
  <si>
    <t>X001E0VHOT</t>
  </si>
  <si>
    <t>B01N3S4VXV</t>
  </si>
  <si>
    <t>0.063409 cuft</t>
  </si>
  <si>
    <t>LYQ-HM1205-KH-M</t>
  </si>
  <si>
    <t>X0019Z07H7</t>
  </si>
  <si>
    <t>B01M8NN6DC</t>
  </si>
  <si>
    <t>YZ-ZQ1521WPXL</t>
  </si>
  <si>
    <t>X0014LFUP5</t>
  </si>
  <si>
    <t>B01GJPBKEE</t>
  </si>
  <si>
    <t>LYQ-ZQ1117-C0-M</t>
  </si>
  <si>
    <t>X001LEYL1J</t>
  </si>
  <si>
    <t>B075ZQJC1P</t>
  </si>
  <si>
    <t>LYQ-CLBAH002-M</t>
  </si>
  <si>
    <t>X001LWCPFF</t>
  </si>
  <si>
    <t>B0758CM83M</t>
  </si>
  <si>
    <t>Summer Mae Women's V Neck Bohemian Tie Vintage Printed Ethnic Style Beach Dress M</t>
  </si>
  <si>
    <t>YZ-ZQ15921-R0-M</t>
  </si>
  <si>
    <t>X001HYKX7J</t>
  </si>
  <si>
    <t>B071CVTX5C</t>
  </si>
  <si>
    <t>LYQ-1001-P0-S</t>
  </si>
  <si>
    <t>X001MDYH45</t>
  </si>
  <si>
    <t>B0777CQWCV</t>
  </si>
  <si>
    <t>Long Sleeve Lace Dress A Line Casual Tunic Mini Purple Dress S</t>
  </si>
  <si>
    <t>YZ-ZQ8867-B0-XL</t>
  </si>
  <si>
    <t>X001EKR27F</t>
  </si>
  <si>
    <t>B01M6CMXFJ</t>
  </si>
  <si>
    <t>0.063061 cuft</t>
  </si>
  <si>
    <t>LYQ-ZQ2W00-K0-M</t>
  </si>
  <si>
    <t>X001A9U6R3</t>
  </si>
  <si>
    <t>B01LY5QHGQ</t>
  </si>
  <si>
    <t>Summer Mae Women's Long Sleeve Loose Irregular Hem A-Line Casual Dress …</t>
  </si>
  <si>
    <t>0.084315 cuft</t>
  </si>
  <si>
    <t>LYQ-ZQ2973-W1-M</t>
  </si>
  <si>
    <t>X001L33CVZ</t>
  </si>
  <si>
    <t>B01LXT1NL3</t>
  </si>
  <si>
    <t>Womens Knitted Long Sweater Dress Tunic Beige M</t>
  </si>
  <si>
    <t>0.18104 cuft</t>
  </si>
  <si>
    <t>LYQ-ZQ2973-G0-M</t>
  </si>
  <si>
    <t>X001KT6PZF</t>
  </si>
  <si>
    <t>B075DVVKVY</t>
  </si>
  <si>
    <t>Womens Knitted Long Sweater Dress Tunic Green M</t>
  </si>
  <si>
    <t>0.18732 cuft</t>
  </si>
  <si>
    <t>YZ-ZQadn1601-B1-M</t>
  </si>
  <si>
    <t>X001CR3SEL</t>
  </si>
  <si>
    <t>B01M366E1Z</t>
  </si>
  <si>
    <t>YZ-CL7042-R0-L</t>
  </si>
  <si>
    <t>X001GW237P</t>
  </si>
  <si>
    <t>B072WQ927L</t>
  </si>
  <si>
    <t>Summer Bay Women's Deep V Star Print One piece Swimsuit Backless Monokini Bikini</t>
  </si>
  <si>
    <t>0.071156 cuft</t>
  </si>
  <si>
    <t>LYQ-ZQ2973-ZL-2XL</t>
  </si>
  <si>
    <t>X001LEYE1B</t>
  </si>
  <si>
    <t>B075SFXNMF</t>
  </si>
  <si>
    <t>Womens Knitted Long Sweater Dress Tunic Navy XXL</t>
  </si>
  <si>
    <t>0.194961 cuft</t>
  </si>
  <si>
    <t>YZ-CLNK78-B6-L</t>
  </si>
  <si>
    <t>X001GW3VFD</t>
  </si>
  <si>
    <t>B07317KJJ6</t>
  </si>
  <si>
    <t>Women's Fashion Triangle Bikini Set Tie Two Piece Swimsuits Light Blue</t>
  </si>
  <si>
    <t>WJ-ZQ650-C1</t>
  </si>
  <si>
    <t>X0018PRBPT</t>
  </si>
  <si>
    <t>B01MF4FR0N</t>
  </si>
  <si>
    <t>LYQ-ZQ2973-KQ-2XL</t>
  </si>
  <si>
    <t>X001L3T72X</t>
  </si>
  <si>
    <t>B01MQPCTYE</t>
  </si>
  <si>
    <t>Womens Knitted Long Sweater Dress Tunic Khaki XXL</t>
  </si>
  <si>
    <t>YZ-HM241-DS-2XL</t>
  </si>
  <si>
    <t>X001B3ROCX</t>
  </si>
  <si>
    <t>B01HZ2XMYQ</t>
  </si>
  <si>
    <t>Summer Mae Women's Halter Neck Wrap One Piece Padded Tankini Swimsuit Monokini Swimwear Grey 2XL</t>
  </si>
  <si>
    <t>YZ-ZQ16597B0XL</t>
  </si>
  <si>
    <t>X001E7MJRV</t>
  </si>
  <si>
    <t>B01HTJ90K0</t>
  </si>
  <si>
    <t>Summer Mae Women's Classic Striped Two Piece Swimwear Plus Size Tankini Top &amp; Bottom XL</t>
  </si>
  <si>
    <t>SHJ-ZQLS01-B0-XL</t>
  </si>
  <si>
    <t>X001FXZW19</t>
  </si>
  <si>
    <t>B01M0MD17O</t>
  </si>
  <si>
    <t>Summer Mae Women's Plus Size Harbor Slit Shoulder Beach Dress</t>
  </si>
  <si>
    <t>0.128694 cuft</t>
  </si>
  <si>
    <t>LYQ-1001-N0-S</t>
  </si>
  <si>
    <t>X001MD0WF3</t>
  </si>
  <si>
    <t>B0777JP85J</t>
  </si>
  <si>
    <t>Summer Mae Long Sleeve Lace Dress A Line Casual Tunic Mini Dress Brown US 4-6</t>
  </si>
  <si>
    <t>YZ-HM241-G0-2XL</t>
  </si>
  <si>
    <t>X001B3E1R9</t>
  </si>
  <si>
    <t>B01MF9PTOL</t>
  </si>
  <si>
    <t>YZ-ZQ6189B048</t>
  </si>
  <si>
    <t>X0014VKI8J</t>
  </si>
  <si>
    <t>B01H6DXCVW</t>
  </si>
  <si>
    <t>Summer Mae Women's Plus Size Retro Floral Two Pieces Tankini Top &amp; Bottom Swimsuit 48 Blue</t>
  </si>
  <si>
    <t>0.107014 cuft</t>
  </si>
  <si>
    <t>YZ-HMBKN967-R0-L</t>
  </si>
  <si>
    <t>X001EX05CL</t>
  </si>
  <si>
    <t>B07117Q43M</t>
  </si>
  <si>
    <t>SHJ-ZQLS12-K0-XL</t>
  </si>
  <si>
    <t>X001FCCWM7</t>
  </si>
  <si>
    <t>B071S45R26</t>
  </si>
  <si>
    <t>Summer Mae Women's Plus Size V-Neck Gradient Lace Beach Dress</t>
  </si>
  <si>
    <t>0.029787 cuft</t>
  </si>
  <si>
    <t>YZ-HM7889-R0-1X</t>
  </si>
  <si>
    <t>X001GEIK1L</t>
  </si>
  <si>
    <t>B071VSGVFX</t>
  </si>
  <si>
    <t>YZ-ZQ6189B050</t>
  </si>
  <si>
    <t>X0014PFAL5</t>
  </si>
  <si>
    <t>B01H6DXDHA</t>
  </si>
  <si>
    <t>Summer Mae Women's Plus Size Retro Floral Two Pieces Tankini Top &amp; Bottom Swimsuit 50 Blue</t>
  </si>
  <si>
    <t>0.079688 cuft</t>
  </si>
  <si>
    <t>YZ-HMBKN30-ZL-XL</t>
  </si>
  <si>
    <t>X001DBEJRV</t>
  </si>
  <si>
    <t>B06XT1CWTK</t>
  </si>
  <si>
    <t>YZ-ZQ1617-BH-M</t>
  </si>
  <si>
    <t>X001ELZ51T</t>
  </si>
  <si>
    <t>B01MR2SNCF</t>
  </si>
  <si>
    <t>Summer Mae 50s Elegant Inspired Retro Vintage One Piece Pin Up Monokinis Swimsuit,Red and Floral,Small(US size:4-6)</t>
  </si>
  <si>
    <t>YZ-ZQ1521GW5XL</t>
  </si>
  <si>
    <t>X001AVQ2GF</t>
  </si>
  <si>
    <t>B01GJPBG4I</t>
  </si>
  <si>
    <t>LYQ-ZQS1741-K0-S</t>
  </si>
  <si>
    <t>X001M0M03N</t>
  </si>
  <si>
    <t>B075FT71MF</t>
  </si>
  <si>
    <t>LYQ-ZQS1741-G7-S</t>
  </si>
  <si>
    <t>X001L3T683</t>
  </si>
  <si>
    <t>B075FSK3ZF</t>
  </si>
  <si>
    <t>LYQ-1001-Z0-L</t>
  </si>
  <si>
    <t>X001MDYH3V</t>
  </si>
  <si>
    <t>B0777FCWN1</t>
  </si>
  <si>
    <t>Long Sleeve Lace Dress A Line Casual Tunic Mini Dress Violet L</t>
  </si>
  <si>
    <t>0.095863 cuft</t>
  </si>
  <si>
    <t>YZ-HM241-R0-XL</t>
  </si>
  <si>
    <t>X001B3CYYL</t>
  </si>
  <si>
    <t>B01MFA54OG</t>
  </si>
  <si>
    <t>YZ-ZQQ9227-K0-S</t>
  </si>
  <si>
    <t>X001FZDO85</t>
  </si>
  <si>
    <t>B07233M5T8</t>
  </si>
  <si>
    <t>YZ-HM17845-YH-L</t>
  </si>
  <si>
    <t>X001DBXDZF</t>
  </si>
  <si>
    <t>B06W5D2991</t>
  </si>
  <si>
    <t>LYQ-HMQZZ-MOM-S</t>
  </si>
  <si>
    <t>X001A89ZJJ</t>
  </si>
  <si>
    <t>B01M5IWX76</t>
  </si>
  <si>
    <t>Summer Jun Mother and Daughter Lace Stitching Dress Family Look Clothes women S</t>
  </si>
  <si>
    <t>YZ-ZQ1521KFXL</t>
  </si>
  <si>
    <t>X00191N42V</t>
  </si>
  <si>
    <t>B01I2I94IA</t>
  </si>
  <si>
    <t>YZ-ZQ6189P052</t>
  </si>
  <si>
    <t>X0014XSUW3</t>
  </si>
  <si>
    <t>B01H6DXB8Q</t>
  </si>
  <si>
    <t>Summer Mae Women's Plus Size Retro Floral Two Pieces Tankini Top &amp; Bottom Swimsuit 52 Purple</t>
  </si>
  <si>
    <t>LYQ-LY064-K0-2XL</t>
  </si>
  <si>
    <t>X001D9G2A5</t>
  </si>
  <si>
    <t>B01N107R7Z</t>
  </si>
  <si>
    <t>Summer Mae Chiffon Short Sleeve V-neck Dress Knee Length Ruched Dress for Women K0 2XL</t>
  </si>
  <si>
    <t>YZ-HM241-G0-XL</t>
  </si>
  <si>
    <t>X001B413YH</t>
  </si>
  <si>
    <t>B01MA69GN2</t>
  </si>
  <si>
    <t>LYQ-ZQ2973-BD-L</t>
  </si>
  <si>
    <t>X001KI2TB5</t>
  </si>
  <si>
    <t>B01LX5LAQB</t>
  </si>
  <si>
    <t>Womens Knitted Long Sweater Dress Tunic Burgundy L</t>
  </si>
  <si>
    <t>0.172004 cuft</t>
  </si>
  <si>
    <t>LYQ-ZQ2973-G0-XL</t>
  </si>
  <si>
    <t>X001LEP5R3</t>
  </si>
  <si>
    <t>B075DQ1SJZ</t>
  </si>
  <si>
    <t>Womens Knitted Long Sweater Dress Tunic Green XL</t>
  </si>
  <si>
    <t>0.215572 cuft</t>
  </si>
  <si>
    <t>YZ-ZQ1617K0M</t>
  </si>
  <si>
    <t>X00150PDXT</t>
  </si>
  <si>
    <t>B01EJI4LYY</t>
  </si>
  <si>
    <t>Summer Mae 50s Elegant Inspired Retro Vintage One Piece Pin Up Monokinis Swimsuit,Black,Small(US size:4-6)</t>
  </si>
  <si>
    <t>YZ-HM111-B0-S</t>
  </si>
  <si>
    <t>X001FZKQRH</t>
  </si>
  <si>
    <t>B071W2X9CV</t>
  </si>
  <si>
    <t>LYQ-ZQ3550-PI-4X</t>
  </si>
  <si>
    <t>X001LOLZYP</t>
  </si>
  <si>
    <t>B071WJY8WZ</t>
  </si>
  <si>
    <t>LYQ-ZQ1117-E0-M</t>
  </si>
  <si>
    <t>X001LEYJ3J</t>
  </si>
  <si>
    <t>B075ZQJC1V</t>
  </si>
  <si>
    <t>LYQ-1001-K0-XL</t>
  </si>
  <si>
    <t>X001MD6B4T</t>
  </si>
  <si>
    <t>B0777F354Z</t>
  </si>
  <si>
    <t>Long Sleeve Lace Dress A Line Casual Tunic Mini Dress Black US 16-18</t>
  </si>
  <si>
    <t>LYQ-ZQ3550-PI-M</t>
  </si>
  <si>
    <t>X001KRMYAR</t>
  </si>
  <si>
    <t>B072MF4D46</t>
  </si>
  <si>
    <t>LYQ-ZQTN2611-PI-5X</t>
  </si>
  <si>
    <t>X001L33CW9</t>
  </si>
  <si>
    <t>B075474WTH</t>
  </si>
  <si>
    <t>YZ-HMBKN30-PI-S</t>
  </si>
  <si>
    <t>X001D8K9Q9</t>
  </si>
  <si>
    <t>B06XSFJG3Z</t>
  </si>
  <si>
    <t>YZ-HM6175-K0-M</t>
  </si>
  <si>
    <t>X001CVQB2N</t>
  </si>
  <si>
    <t>B06W2MGY1F</t>
  </si>
  <si>
    <t>YZ-HM241-R0-S</t>
  </si>
  <si>
    <t>X001B413YR</t>
  </si>
  <si>
    <t>B01MFA53BD</t>
  </si>
  <si>
    <t>YZ-ZQTWA1-K0-S</t>
  </si>
  <si>
    <t>X001GTXI9F</t>
  </si>
  <si>
    <t>B0722NGPT8</t>
  </si>
  <si>
    <t>Summer Mae Women's Plus Size Black Striped Two Piece Tankini Push up Top &amp; Bottom</t>
  </si>
  <si>
    <t>0.078741 cuft</t>
  </si>
  <si>
    <t>YZ-HM7889-R0-4X</t>
  </si>
  <si>
    <t>X001FZHOJP</t>
  </si>
  <si>
    <t>B071VS5T89</t>
  </si>
  <si>
    <t>YZ-HM241-DS-M</t>
  </si>
  <si>
    <t>X0015PUEIN</t>
  </si>
  <si>
    <t>B01HZ2XQSI</t>
  </si>
  <si>
    <t>Summer Mae Women's Halter Neck Wrap One Piece Padded Tankini Swimsuit Monokini Swimwear Grey M</t>
  </si>
  <si>
    <t>LYQ-ZQ1117-K0-S</t>
  </si>
  <si>
    <t>X001LEYRKJ</t>
  </si>
  <si>
    <t>B0759N5P24</t>
  </si>
  <si>
    <t>YZ-CL060-XL</t>
  </si>
  <si>
    <t>X001HC5DBR</t>
  </si>
  <si>
    <t>B071GYJZHG</t>
  </si>
  <si>
    <t>Summer Bay Women's Halter African Print Two Piece Swimsuit High Waisted Chic Bikini Set</t>
  </si>
  <si>
    <t>LYQ-LY064-B0-4XL</t>
  </si>
  <si>
    <t>X001DB2WEX</t>
  </si>
  <si>
    <t>B01MZ93SA6</t>
  </si>
  <si>
    <t>Summer Mae Chiffon Short Sleeve V-Neck Dress Knee Length Ruched Dress For Women B0 4XL</t>
  </si>
  <si>
    <t>YZ-ZQ16597B0L</t>
  </si>
  <si>
    <t>X001E84CDT</t>
  </si>
  <si>
    <t>B01HTJ8YUM</t>
  </si>
  <si>
    <t>Summer Mae Women's Classic Striped Two Piece Swimwear Plus Size Tankini Top &amp; Bottom L</t>
  </si>
  <si>
    <t>YZ-ZQ6189B054</t>
  </si>
  <si>
    <t>X0014VKI89</t>
  </si>
  <si>
    <t>B01H6DX8YI</t>
  </si>
  <si>
    <t>Summer Mae Women's Plus Size Retro Floral Two Pieces Tankini Top &amp; Bottom Swimsuit 54 Blue</t>
  </si>
  <si>
    <t>LYQ-ZQ2973-W1-2XL</t>
  </si>
  <si>
    <t>X001L3VLKJ</t>
  </si>
  <si>
    <t>B01N58NBSP</t>
  </si>
  <si>
    <t>Womens Knitted Long Sweater Dress Tunic Beige XXL</t>
  </si>
  <si>
    <t>0.14902 cuft</t>
  </si>
  <si>
    <t>LYQ-ZQS1741-K0-L</t>
  </si>
  <si>
    <t>X001LZFW0R</t>
  </si>
  <si>
    <t>B075FRZ96H</t>
  </si>
  <si>
    <t>0.114543 cuft</t>
  </si>
  <si>
    <t>YZ-ZQ15921-P0-L</t>
  </si>
  <si>
    <t>X001HZ2J25</t>
  </si>
  <si>
    <t>B06ZY75RWB</t>
  </si>
  <si>
    <t>YZ-CLD072-K0-3XL</t>
  </si>
  <si>
    <t>X001H7CFNB</t>
  </si>
  <si>
    <t>B073CXW7RR</t>
  </si>
  <si>
    <t>Women's Halter Scalloped One Piece Swimsuit Solid Color Backless Bathing Suit Black</t>
  </si>
  <si>
    <t>LYQ-ZQPC01-BD-S</t>
  </si>
  <si>
    <t>X001LT4VUF</t>
  </si>
  <si>
    <t>B075QFJ2MX</t>
  </si>
  <si>
    <t>YZ-ZQ112B0M</t>
  </si>
  <si>
    <t>X0014LFUOL</t>
  </si>
  <si>
    <t>B01GCGA3J8</t>
  </si>
  <si>
    <t>Summer Mae Backless One Piece Monokini Halter Pad Bikini Swimsuits Swimwear,Navy Blue,Tag Size M=US Size S</t>
  </si>
  <si>
    <t>0.023764 cuft</t>
  </si>
  <si>
    <t>LYQ-ZQ1117-C0-S</t>
  </si>
  <si>
    <t>X001LEYEU7</t>
  </si>
  <si>
    <t>B075ZZXCGZ</t>
  </si>
  <si>
    <t>LYQ-ZQ1117-B0-S</t>
  </si>
  <si>
    <t>X001LEXYI5</t>
  </si>
  <si>
    <t>B075ZPXY11</t>
  </si>
  <si>
    <t>YZ-HM7035-DJG0-S</t>
  </si>
  <si>
    <t>X001K8M2P3</t>
  </si>
  <si>
    <t>B07214KML1</t>
  </si>
  <si>
    <t>LYQ-ZQ8200-FB-XL</t>
  </si>
  <si>
    <t>X001F3NJI7</t>
  </si>
  <si>
    <t>B01LZI8LDE</t>
  </si>
  <si>
    <t>Women's V-Neck Long Sleeves Wrap Waist Long Kimono Maxi Dress Blue and White XL</t>
  </si>
  <si>
    <t>0.157687 cuft</t>
  </si>
  <si>
    <t>YZ-ZQ6189B052</t>
  </si>
  <si>
    <t>X0014PFAKV</t>
  </si>
  <si>
    <t>B01H6DXE1U</t>
  </si>
  <si>
    <t>Summer Mae Women's Plus Size Retro Floral Two Pieces Tankini Top &amp; Bottom Swimsuit 52 Blue</t>
  </si>
  <si>
    <t>0.083044 cuft</t>
  </si>
  <si>
    <t>YZ-ZQ6189Y046</t>
  </si>
  <si>
    <t>X0014VKI93</t>
  </si>
  <si>
    <t>B01H6DX9LA</t>
  </si>
  <si>
    <t>Summer Mae Women's Plus Size Retro Floral Two Pieces Tankini Top &amp; Bottom Swimsuit 46 Yellow</t>
  </si>
  <si>
    <t>LYQ-1001-B0-XS</t>
  </si>
  <si>
    <t>X001MDRA3F</t>
  </si>
  <si>
    <t>B0777FG5F3</t>
  </si>
  <si>
    <t>Long Sleeve Lace Dress A Line Casual Tunic Mini Dress Blue US 0-2</t>
  </si>
  <si>
    <t>YZ-HM241-K0-2XL</t>
  </si>
  <si>
    <t>X0015NR20X</t>
  </si>
  <si>
    <t>B01HZ2XMAA</t>
  </si>
  <si>
    <t>Summer Mae Women's Halter Neck Wrap One Piece Padded Tankini Swimsuit Monokini Swimwear Black 2XL</t>
  </si>
  <si>
    <t>YZ-ZQ15827R2L</t>
  </si>
  <si>
    <t>X0015OKL1T</t>
  </si>
  <si>
    <t>B01ID5DUD2</t>
  </si>
  <si>
    <t>0.034864 cuft</t>
  </si>
  <si>
    <t>LYQ-1001-N0-L</t>
  </si>
  <si>
    <t>X001MDR9JP</t>
  </si>
  <si>
    <t>B077782WBB</t>
  </si>
  <si>
    <t>Long Sleeve Lace Dress A Line Casual Tunic Mini Dress Brown US 12-14</t>
  </si>
  <si>
    <t>YZ-ZQXZ345-G0-XL</t>
  </si>
  <si>
    <t>X001J7JM2L</t>
  </si>
  <si>
    <t>B0743C6848</t>
  </si>
  <si>
    <t>Summer Mae Women's Deep V-Neck High Cut Cute Floral Green Leaves One Piece Halter Cross Back Swimsuit</t>
  </si>
  <si>
    <t>YZ-HM241-G0-3XL</t>
  </si>
  <si>
    <t>X001B413ZB</t>
  </si>
  <si>
    <t>B01MAZ1MWP</t>
  </si>
  <si>
    <t>YZ-ZQ15827W0S</t>
  </si>
  <si>
    <t>X0017J5CQV</t>
  </si>
  <si>
    <t>B01LVUY9NL</t>
  </si>
  <si>
    <t>YZ-ZQ1521RL3XL</t>
  </si>
  <si>
    <t>X001APOIZ3</t>
  </si>
  <si>
    <t>B01GJPBY22</t>
  </si>
  <si>
    <t>LYQ-ZQ8200-K0-S</t>
  </si>
  <si>
    <t>X001H4X2EP</t>
  </si>
  <si>
    <t>B0734TK7GF</t>
  </si>
  <si>
    <t>Women's V-Neck Long Sleeves Wrap Waist Long Kimono Maxi Dress Black and White S</t>
  </si>
  <si>
    <t>LYQ-ZQ1117-C0-2XL</t>
  </si>
  <si>
    <t>X001MNOCM7</t>
  </si>
  <si>
    <t>B077GRD45J</t>
  </si>
  <si>
    <t>Women Lace Dress Long Sleeve Loose Tunic Tops Stitching Casual Blouses Coffee XXL</t>
  </si>
  <si>
    <t>WJ-ZQ650-C4</t>
  </si>
  <si>
    <t>X001AQ6E1X</t>
  </si>
  <si>
    <t>B01M2UYFMQ</t>
  </si>
  <si>
    <t>LYQ-ZQS1741-G7-M</t>
  </si>
  <si>
    <t>X001L3FX6H</t>
  </si>
  <si>
    <t>B075FSBGCN</t>
  </si>
  <si>
    <t>0.050362 cuft</t>
  </si>
  <si>
    <t>YZ-HM241-K0-L</t>
  </si>
  <si>
    <t>X0015NQMFT</t>
  </si>
  <si>
    <t>B01HZ2XJW6</t>
  </si>
  <si>
    <t>Summer Mae Women's Halter Neck Wrap One Piece Padded Tankini Swimsuit Monokini Swimwear Black L</t>
  </si>
  <si>
    <t>YZ-ZQ16103ZL3XL</t>
  </si>
  <si>
    <t>X001CYL5FD</t>
  </si>
  <si>
    <t>B01IQP4Y6Q</t>
  </si>
  <si>
    <t>Summer Mae Women's Vintage Floral Polka Dot One Piece Swimwear Cover Up Swimdress 3XL Blue</t>
  </si>
  <si>
    <t>0.11734 cuft</t>
  </si>
  <si>
    <t>LYQ-CL6408NO-K0-L</t>
  </si>
  <si>
    <t>X001IJ6SXV</t>
  </si>
  <si>
    <t>B07496B6ZV</t>
  </si>
  <si>
    <t>0.16158 cuft</t>
  </si>
  <si>
    <t>YZ-HM6175-G0-M</t>
  </si>
  <si>
    <t>X001CWBOCT</t>
  </si>
  <si>
    <t>B06WD5WS19</t>
  </si>
  <si>
    <t>YZ-HM1728-ZL-S-New</t>
  </si>
  <si>
    <t>X001O23YIT</t>
  </si>
  <si>
    <t>B078TCMCWF</t>
  </si>
  <si>
    <t>Summer Mae One Piece Floral Lace Swimwear Printed Multi-Rope Harness Bikini</t>
  </si>
  <si>
    <t>0.005725 cuft</t>
  </si>
  <si>
    <t>YZ-ZQ1733-SB-3XL</t>
  </si>
  <si>
    <t>X001FZJ61T</t>
  </si>
  <si>
    <t>B071CTW4K6</t>
  </si>
  <si>
    <t>LYQ-ZQS1741-W0-XL</t>
  </si>
  <si>
    <t>X001L3EEQ7</t>
  </si>
  <si>
    <t>B075FRZ79M</t>
  </si>
  <si>
    <t>LYQ-1001-G7-XS</t>
  </si>
  <si>
    <t>X001MD5FO1</t>
  </si>
  <si>
    <t>B0777M2SSK</t>
  </si>
  <si>
    <t>Summer Mae Long Sleeve Lace Dress A Line Casual Tunic Mini Dress Army Green US 0-2</t>
  </si>
  <si>
    <t>YZ-HM688-K0-XL</t>
  </si>
  <si>
    <t>X001C6DTYL</t>
  </si>
  <si>
    <t>B01N0AY376</t>
  </si>
  <si>
    <t>YZ-HMBKN30-B0YH-M</t>
  </si>
  <si>
    <t>X001DB1BHH</t>
  </si>
  <si>
    <t>B06XSQCDV5</t>
  </si>
  <si>
    <t>YZ-ZQQ9227-K0-L</t>
  </si>
  <si>
    <t>X001FZF7N5</t>
  </si>
  <si>
    <t>B0716XWQ18</t>
  </si>
  <si>
    <t>YZ-ZQ1733-NB-3XL</t>
  </si>
  <si>
    <t>X001GU1WDD</t>
  </si>
  <si>
    <t>B071DDXBNN</t>
  </si>
  <si>
    <t>Summer Mae Women's Push Up Polka Dot Swimwear Two Piece Boyshort Bkini</t>
  </si>
  <si>
    <t>SHJ-ZQLS01-B0-2XL</t>
  </si>
  <si>
    <t>X001F98XRN</t>
  </si>
  <si>
    <t>B01M1VYGY2</t>
  </si>
  <si>
    <t>0.104932 cuft</t>
  </si>
  <si>
    <t>LYQ-1001New-P0-M</t>
  </si>
  <si>
    <t>X001NL3FVR</t>
  </si>
  <si>
    <t>B0789GR5XL</t>
  </si>
  <si>
    <t>Summer Mae Women's Stitching Lace Dress A Line Casual Tunic Mini Purple Dress M</t>
  </si>
  <si>
    <t>LYQ-1001-G0-XS</t>
  </si>
  <si>
    <t>X001MD8G5L</t>
  </si>
  <si>
    <t>B0777LB6ZK</t>
  </si>
  <si>
    <t>Summer Mae Long Sleeve Lace Dress A Line Casual Tunic Mini Green Dress XS</t>
  </si>
  <si>
    <t>LYQ-ZQ2973-BD-S</t>
  </si>
  <si>
    <t>X001KI2TBF</t>
  </si>
  <si>
    <t>B01LWI564H</t>
  </si>
  <si>
    <t>Womens Knitted Long Sweater Dress Tunic Burgundy S</t>
  </si>
  <si>
    <t>0.18949 cuft</t>
  </si>
  <si>
    <t>YZ-SUZQ9441-K0-2XL</t>
  </si>
  <si>
    <t>X001QA19KT</t>
  </si>
  <si>
    <t>B07B8FCMXM</t>
  </si>
  <si>
    <t>Summer Mae Womens High Waisted Bikini Set Flounce Top Two Piece Polka Dot Swimsuit</t>
  </si>
  <si>
    <t>YZ-ZQ1521RF3XL</t>
  </si>
  <si>
    <t>X001AY2HZR</t>
  </si>
  <si>
    <t>B01GJPCQQK</t>
  </si>
  <si>
    <t>LYQ-1001-G0-S</t>
  </si>
  <si>
    <t>X001MDQN0B</t>
  </si>
  <si>
    <t>B0777FB3HX</t>
  </si>
  <si>
    <t>Summer Mae Long Sleeve Lace Dress A Line Casual Tunic Mini Green Dress S</t>
  </si>
  <si>
    <t>YZ-HMBKN0193-W0-XXL</t>
  </si>
  <si>
    <t>X001G4L71L</t>
  </si>
  <si>
    <t>B071G5PW8X</t>
  </si>
  <si>
    <t>YZ-HM7035-G0-L</t>
  </si>
  <si>
    <t>X001GX6FHN</t>
  </si>
  <si>
    <t>B071G5K8VC</t>
  </si>
  <si>
    <t>YZ-CLNK78-W0-M</t>
  </si>
  <si>
    <t>X001GW2LAT</t>
  </si>
  <si>
    <t>B0731369K1</t>
  </si>
  <si>
    <t>Summer Mae Women's Fashion Triangle Bikini Set Tie Two Piece Swimsuits White</t>
  </si>
  <si>
    <t>LYQ-ZQ7900-W0-XL</t>
  </si>
  <si>
    <t>X001JDY60N</t>
  </si>
  <si>
    <t>B0742D7GXV</t>
  </si>
  <si>
    <t>WOMEN'S BOUTIQUE Summer Mae Women's Summer Styling Sleeveless Floral Print Lace High Neck Midi Sun Dress</t>
  </si>
  <si>
    <t>YZ-ZQ15827B0L</t>
  </si>
  <si>
    <t>X001918O7B</t>
  </si>
  <si>
    <t>B01M24AUH7</t>
  </si>
  <si>
    <t>YZ-ZQ1521WP4XL</t>
  </si>
  <si>
    <t>X0014N7UDX</t>
  </si>
  <si>
    <t>B01GJPBP4E</t>
  </si>
  <si>
    <t>LYQ-1001-Z0-M</t>
  </si>
  <si>
    <t>X001MDOZDX</t>
  </si>
  <si>
    <t>B0777JXDMP</t>
  </si>
  <si>
    <t>Long Sleeve Lace Dress A Line Casual Tunic Mini Dress Violet M</t>
  </si>
  <si>
    <t>LYQ-ZQ1117-KQ-M</t>
  </si>
  <si>
    <t>X001LEYE1L</t>
  </si>
  <si>
    <t>B0759HSQBZ</t>
  </si>
  <si>
    <t>YZ-ZQ15921-P0-M</t>
  </si>
  <si>
    <t>X001HYKX6Z</t>
  </si>
  <si>
    <t>B06ZXXQDY3</t>
  </si>
  <si>
    <t>YZ-HM1711-B0-XL</t>
  </si>
  <si>
    <t>X001FW3Z1T</t>
  </si>
  <si>
    <t>B072M4H5V5</t>
  </si>
  <si>
    <t>Summer Bay Women's One Piece Halter Floral Print Swimsuit Bathing Suit</t>
  </si>
  <si>
    <t>0.049319 cuft</t>
  </si>
  <si>
    <t>YZ-HM17077-K0-XL</t>
  </si>
  <si>
    <t>X001FM97TN</t>
  </si>
  <si>
    <t>B06XY9HVBV</t>
  </si>
  <si>
    <t>LYQ-ZQ2973-E0-M</t>
  </si>
  <si>
    <t>X001KI2ZZZ</t>
  </si>
  <si>
    <t>B01LWI58YH</t>
  </si>
  <si>
    <t>Womens Knitted Long Sweater Dress Tunic Grey M</t>
  </si>
  <si>
    <t>0.066821 cuft</t>
  </si>
  <si>
    <t>LYQ-ZQ3550-E0-S</t>
  </si>
  <si>
    <t>X001KSUQ6Z</t>
  </si>
  <si>
    <t>B071ZYZ988</t>
  </si>
  <si>
    <t>YZ-CL912-W0-M</t>
  </si>
  <si>
    <t>X001GRHPKP</t>
  </si>
  <si>
    <t>B072R1HHMD</t>
  </si>
  <si>
    <t>YZ-HM241-R0-M</t>
  </si>
  <si>
    <t>X001B2CFNR</t>
  </si>
  <si>
    <t>B01MAZ1FP5</t>
  </si>
  <si>
    <t>YZ-CL060-L</t>
  </si>
  <si>
    <t>X001HC5NNF</t>
  </si>
  <si>
    <t>B071XHPGKM</t>
  </si>
  <si>
    <t>YZ-HMBKN30-WR-L</t>
  </si>
  <si>
    <t>X001DB216R</t>
  </si>
  <si>
    <t>B06XSNGL26</t>
  </si>
  <si>
    <t>LYQ-ZQ1117-E0-2XL</t>
  </si>
  <si>
    <t>X001MNP50F</t>
  </si>
  <si>
    <t>B077GRQ13K</t>
  </si>
  <si>
    <t>Women Lace Dress Long Sleeve Loose Tunic Tops Stitching Casual Blouses Grey XXL</t>
  </si>
  <si>
    <t>YZ-ZQXZ345-G0-S</t>
  </si>
  <si>
    <t>X001J777OV</t>
  </si>
  <si>
    <t>B0743CBQYG</t>
  </si>
  <si>
    <t>WOMEN'S BOUTIQUE Summer Mae Women's Deep V-Neck High Cut Cute Floral Green Leaves One Piece Halter Cross Back Swimsuit</t>
  </si>
  <si>
    <t>YZ-SUZQBL03-B0-L</t>
  </si>
  <si>
    <t>X001QXK8V7</t>
  </si>
  <si>
    <t>B07CFKRZVH</t>
  </si>
  <si>
    <t>YZ-HMBKN1715-R0-M</t>
  </si>
  <si>
    <t>X001EL20SF</t>
  </si>
  <si>
    <t>B071KV1GG7</t>
  </si>
  <si>
    <t>0.040608 cuft</t>
  </si>
  <si>
    <t>LYQ-1001-R0-S</t>
  </si>
  <si>
    <t>X001MDP433</t>
  </si>
  <si>
    <t>B0777JDLP8</t>
  </si>
  <si>
    <t>Summer Mae Long Sleeve Lace Dress A Line Casual Tunic Mini Red Dress US 4-6</t>
  </si>
  <si>
    <t>YZ-HMBKN30-PI-XL</t>
  </si>
  <si>
    <t>X001DBDZ53</t>
  </si>
  <si>
    <t>B06XSSMMLJ</t>
  </si>
  <si>
    <t>YZ-ZQ6667G046</t>
  </si>
  <si>
    <t>X0014ABR35</t>
  </si>
  <si>
    <t>B01GFMMI92</t>
  </si>
  <si>
    <t>Summer Mae Women's Plus Size Swimdress One Piece Cover Up Swimsuit Tankini Beachwear 46 Teal</t>
  </si>
  <si>
    <t>LYQ-ZQ1117-C0-L</t>
  </si>
  <si>
    <t>X001LEYO6V</t>
  </si>
  <si>
    <t>B075ZQJC1R</t>
  </si>
  <si>
    <t>YZ-HM111-K0-S</t>
  </si>
  <si>
    <t>X001E9CHZN</t>
  </si>
  <si>
    <t>B06XWPMW26</t>
  </si>
  <si>
    <t>YZ-HM174164-SY-XL</t>
  </si>
  <si>
    <t>X001CNZPK5</t>
  </si>
  <si>
    <t>B01MR0QBC4</t>
  </si>
  <si>
    <t>Summer Mae Women's Plus-Size Tonal Leaf Swim Dress Two Piece Swimsuit XL</t>
  </si>
  <si>
    <t>YZ-HM111-K0-M</t>
  </si>
  <si>
    <t>X001E2ZSUL</t>
  </si>
  <si>
    <t>B06XWQGYFH</t>
  </si>
  <si>
    <t>LYQ-ZQ2973-P0-L</t>
  </si>
  <si>
    <t>X001KT6QUT</t>
  </si>
  <si>
    <t>B075DYGP3N</t>
  </si>
  <si>
    <t>Womens Knitted Long Sweater Dress Tunic Purplish Red L</t>
  </si>
  <si>
    <t>0.189021 cuft</t>
  </si>
  <si>
    <t>YZ-CL912-K0-S</t>
  </si>
  <si>
    <t>X001GBWWX1</t>
  </si>
  <si>
    <t>B072R3C18F</t>
  </si>
  <si>
    <t>LYQ-LY064-G0-M</t>
  </si>
  <si>
    <t>X001DB2WEN</t>
  </si>
  <si>
    <t>B01MS6QYZ3</t>
  </si>
  <si>
    <t>Summer Mae Chiffon Short Sleeve V-neck Dress Knee Length Ruched Dress for Women G0 M</t>
  </si>
  <si>
    <t>LYQ-LY064-G0-3XL</t>
  </si>
  <si>
    <t>X001D2HXAF</t>
  </si>
  <si>
    <t>B01MS6R0M9</t>
  </si>
  <si>
    <t>Summer Mae Chiffon Short Sleeve V-neck Dress Knee Length Ruched Dress for Women G0 3XL</t>
  </si>
  <si>
    <t>YZ-HM7889-B0-2X</t>
  </si>
  <si>
    <t>X001GEP0RN</t>
  </si>
  <si>
    <t>B0723428Q9</t>
  </si>
  <si>
    <t>LYQ-ZQ2973-P0-XL</t>
  </si>
  <si>
    <t>X001KSUZQ1</t>
  </si>
  <si>
    <t>B075DY2GNT</t>
  </si>
  <si>
    <t>Womens Knitted Long Sweater Dress Tunic Purplish Red XL</t>
  </si>
  <si>
    <t>0.140442 cuft</t>
  </si>
  <si>
    <t>LYQ-LY064-K0-3XL</t>
  </si>
  <si>
    <t>X001D8PY9V</t>
  </si>
  <si>
    <t>B01MY7KV6H</t>
  </si>
  <si>
    <t>Summer Mae Chiffon Short Sleeve V-Neck Dress Knee Length Ruched Dress For Women K0 3XL</t>
  </si>
  <si>
    <t>YZ-ZQ6189G050</t>
  </si>
  <si>
    <t>X0014PFAN3</t>
  </si>
  <si>
    <t>B01H6DXCYE</t>
  </si>
  <si>
    <t>Summer Mae Women's Plus Size Retro Floral Two Pieces Tankini Top &amp; Bottom Swimsuit 50 Green</t>
  </si>
  <si>
    <t>YZ-CLD072-W0-L</t>
  </si>
  <si>
    <t>X001H775AT</t>
  </si>
  <si>
    <t>B073CXKTN6</t>
  </si>
  <si>
    <t>Women's Halter Scalloped One Piece Swimsuit Solid Color Backless Bathing Suit White</t>
  </si>
  <si>
    <t>LYQ-ZQ2973-E0-2XL</t>
  </si>
  <si>
    <t>X001L3T6QP</t>
  </si>
  <si>
    <t>B01MSSER4Z</t>
  </si>
  <si>
    <t>Womens Knitted Long Sweater Dress Tunic Grey XXL</t>
  </si>
  <si>
    <t>0.185692 cuft</t>
  </si>
  <si>
    <t>YZ-HMBKN17015-OR-L</t>
  </si>
  <si>
    <t>X001G4MPB7</t>
  </si>
  <si>
    <t>B072L84WMS</t>
  </si>
  <si>
    <t>Summer Mae Women's Sexy Bandage Bikini Set Push-up Padded 2 Piece Swimsuit Swimwear,Orange, Size Large</t>
  </si>
  <si>
    <t>0.060935 cuft</t>
  </si>
  <si>
    <t>LYQ-ZQ1117-G7-XL</t>
  </si>
  <si>
    <t>X001LEYJ39</t>
  </si>
  <si>
    <t>B075ZRMSHF</t>
  </si>
  <si>
    <t>LYQ-1001-R0-M</t>
  </si>
  <si>
    <t>X001MDP4DD</t>
  </si>
  <si>
    <t>B0777L43KM</t>
  </si>
  <si>
    <t>Long Sleeve Lace Dress A Line Casual Tunic Mini Red Dress US 8-10</t>
  </si>
  <si>
    <t>LYQ-ZQ2973-G0-S</t>
  </si>
  <si>
    <t>X001LER0HV</t>
  </si>
  <si>
    <t>B075DTZMV1</t>
  </si>
  <si>
    <t>Womens Knitted Long Sweater Dress Tunic Green S</t>
  </si>
  <si>
    <t>0.176291 cuft</t>
  </si>
  <si>
    <t>YZ-ZQ1521GW3XL</t>
  </si>
  <si>
    <t>X001AC964T</t>
  </si>
  <si>
    <t>B01GJPB4CC</t>
  </si>
  <si>
    <t>YZ-SUZQ9441-K0-M</t>
  </si>
  <si>
    <t>X001QA2KK7</t>
  </si>
  <si>
    <t>B07B8HRR64</t>
  </si>
  <si>
    <t>YZ-ZQ6189P050</t>
  </si>
  <si>
    <t>X0014OB8PN</t>
  </si>
  <si>
    <t>B01H6DXAP0</t>
  </si>
  <si>
    <t>Summer Mae Women's Plus Size Retro Floral Two Pieces Tankini Top &amp; Bottom Swimsuit 50 Purple</t>
  </si>
  <si>
    <t>LYQ-1001-B0-L</t>
  </si>
  <si>
    <t>X001MDP4K1</t>
  </si>
  <si>
    <t>B0777F31HR</t>
  </si>
  <si>
    <t>Summer Mae Long Sleeve Lace Dress A Line Casual Tunic Mini Dress Blue US 12-14</t>
  </si>
  <si>
    <t>LYQ-ZQ1117-G7-2XL</t>
  </si>
  <si>
    <t>X001MNO4AH</t>
  </si>
  <si>
    <t>B077GRMXK8</t>
  </si>
  <si>
    <t>Women Lace Dress Long Sleeve Loose Tunic Tops Stitching Casual Blouses Army Green XXL</t>
  </si>
  <si>
    <t>YZ-ZQTWA1-K0-M</t>
  </si>
  <si>
    <t>X001GBKTFT</t>
  </si>
  <si>
    <t>B072F2P9BN</t>
  </si>
  <si>
    <t>LYQ-LY064-G0-4XL</t>
  </si>
  <si>
    <t>X001DEH28V</t>
  </si>
  <si>
    <t>B01MY7KX6S</t>
  </si>
  <si>
    <t>Summer Mae Chiffon Short Sleeve V-Neck Dress Knee Length Ruched Dress For Women G0 4XL</t>
  </si>
  <si>
    <t>LYQ-ZQ1117-B0-XL</t>
  </si>
  <si>
    <t>X001LEYL23</t>
  </si>
  <si>
    <t>B075ZQRB44</t>
  </si>
  <si>
    <t>YZ-ZQ15827B0M</t>
  </si>
  <si>
    <t>X00191D0TX</t>
  </si>
  <si>
    <t>B01M63RJG4</t>
  </si>
  <si>
    <t>LYQ-ZQ2973-P0-S</t>
  </si>
  <si>
    <t>X001KVJ6M7</t>
  </si>
  <si>
    <t>B075F354DH</t>
  </si>
  <si>
    <t>Womens Knitted Long Sweater Dress Tunic Purplish Red S</t>
  </si>
  <si>
    <t>0.179789 cuft</t>
  </si>
  <si>
    <t>LYQ-ZQ1117-B0-L</t>
  </si>
  <si>
    <t>X001LEYXTJ</t>
  </si>
  <si>
    <t>B075ZQJC1K</t>
  </si>
  <si>
    <t>LYQ-CL6408SL-K0XL</t>
  </si>
  <si>
    <t>X001IJ1B5V</t>
  </si>
  <si>
    <t>B0749GG9C5</t>
  </si>
  <si>
    <t>LYQ-CSM048-K0-S</t>
  </si>
  <si>
    <t>X001KHZ463</t>
  </si>
  <si>
    <t>B074PR63YW</t>
  </si>
  <si>
    <t>LYQ-ZQMB170005-K0-XL</t>
  </si>
  <si>
    <t>X001JWTFMX</t>
  </si>
  <si>
    <t>B072HWD6ZB</t>
  </si>
  <si>
    <t>Summer Mae Women Plus Size Black Cold Shoulder Ruffle Bowknot Sleeve Dress Black Large</t>
  </si>
  <si>
    <t>0.066134 cuft</t>
  </si>
  <si>
    <t>LYQ-ZQ3550-E0-4X</t>
  </si>
  <si>
    <t>X001JBAFZP</t>
  </si>
  <si>
    <t>B071FZW8CS</t>
  </si>
  <si>
    <t>YZ-ZQ15827B0XL</t>
  </si>
  <si>
    <t>X001918CBT</t>
  </si>
  <si>
    <t>B01M5B2ISR</t>
  </si>
  <si>
    <t>YZ-HM241-SH-L</t>
  </si>
  <si>
    <t>X0015OK2FT</t>
  </si>
  <si>
    <t>B01IMU4KQE</t>
  </si>
  <si>
    <t>LYQ-CSM048-G0-L</t>
  </si>
  <si>
    <t>X001LRDMWZ</t>
  </si>
  <si>
    <t>B074PS9L37</t>
  </si>
  <si>
    <t>LYQ-1001New-P0-XL</t>
  </si>
  <si>
    <t>X001NL98QX</t>
  </si>
  <si>
    <t>B0789HNYYF</t>
  </si>
  <si>
    <t>Women's Stitching Lace Dress A Line Casual Tunic Mini Purple Dress XL</t>
  </si>
  <si>
    <t>0.175208 cuft</t>
  </si>
  <si>
    <t>YZ-ZQ298N05XL</t>
  </si>
  <si>
    <t>X0016FT4MJ</t>
  </si>
  <si>
    <t>B01JOJ3LOE</t>
  </si>
  <si>
    <t>YZ-ZQ1197-KW-XL</t>
  </si>
  <si>
    <t>X001HPRSS5</t>
  </si>
  <si>
    <t>B072R5CGYB</t>
  </si>
  <si>
    <t>Summer Mae Women's Twill Striped One Piece backeless Swimsuit</t>
  </si>
  <si>
    <t>0.059865 cuft</t>
  </si>
  <si>
    <t>LYQ-1001-G7-M</t>
  </si>
  <si>
    <t>X001MD5GAT</t>
  </si>
  <si>
    <t>B0777DPRZ8</t>
  </si>
  <si>
    <t>Summer Mae Long Sleeve Lace Dress A Line Casual Tunic Mini Dress Army Green US 8-10</t>
  </si>
  <si>
    <t>LYQ-ZQ2973-K0-2XL</t>
  </si>
  <si>
    <t>X001LER0T9</t>
  </si>
  <si>
    <t>B075S6T35L</t>
  </si>
  <si>
    <t>Womens Knitted Long Sweater Dress Tunic Black XXL</t>
  </si>
  <si>
    <t>LYQ-ZQ1117-KQ-XL</t>
  </si>
  <si>
    <t>X001LEYRK9</t>
  </si>
  <si>
    <t>B0759GSQT4</t>
  </si>
  <si>
    <t>LYQ-ZQPC01-P0-M</t>
  </si>
  <si>
    <t>X001LS939P</t>
  </si>
  <si>
    <t>B075QG43N6</t>
  </si>
  <si>
    <t>0.219829 cuft</t>
  </si>
  <si>
    <t>YZ-HMBKN17015-OR-M</t>
  </si>
  <si>
    <t>X001G4N12J</t>
  </si>
  <si>
    <t>B071VD3X3X</t>
  </si>
  <si>
    <t>LYQ-1001-P0-2XL</t>
  </si>
  <si>
    <t>X001MDYZKV</t>
  </si>
  <si>
    <t>B0777JL61C</t>
  </si>
  <si>
    <t>Long Sleeve Lace Dress A Line Casual Tunic Mini Purple Dress 2XL</t>
  </si>
  <si>
    <t>YZ-ZQMS02-K0-M</t>
  </si>
  <si>
    <t>X001GU2PK7</t>
  </si>
  <si>
    <t>B0722Z56WB</t>
  </si>
  <si>
    <t>Summer Mae Women's Black Mesh One Piece Crochet Ruffled Swimsuit Tank Swimwear</t>
  </si>
  <si>
    <t>0.10467 cuft</t>
  </si>
  <si>
    <t>YZ-ZQ17986W0-5XL</t>
  </si>
  <si>
    <t>X001EGQJE1</t>
  </si>
  <si>
    <t>B01M3PLOQL</t>
  </si>
  <si>
    <t>LYQ-ZQTN2611-BD-3X</t>
  </si>
  <si>
    <t>X001LO2K99</t>
  </si>
  <si>
    <t>B07547G9T1</t>
  </si>
  <si>
    <t>LYQ-CSM048-GR1-L</t>
  </si>
  <si>
    <t>X001LREMTH</t>
  </si>
  <si>
    <t>B074PRDCG7</t>
  </si>
  <si>
    <t>YZ-ZQFT1816-Y0-S</t>
  </si>
  <si>
    <t>X001IJ1DJ5</t>
  </si>
  <si>
    <t>B073XJM9N5</t>
  </si>
  <si>
    <t>YZ-ZQ1519-K0-S</t>
  </si>
  <si>
    <t>X001GW237Z</t>
  </si>
  <si>
    <t>B072R2D57G</t>
  </si>
  <si>
    <t>YZ-HMBKN30-PI-M</t>
  </si>
  <si>
    <t>X001D92281</t>
  </si>
  <si>
    <t>B06XSWRDZY</t>
  </si>
  <si>
    <t>SJ-HM1995-W0</t>
  </si>
  <si>
    <t>X0014GUIW5</t>
  </si>
  <si>
    <t>B01GFM5LEQ</t>
  </si>
  <si>
    <t>Summer Mae Women's Sexy Crochet Tunic Hollow Out Cover-ups Beachwear Bikini Dress White</t>
  </si>
  <si>
    <t>SHJ-ZQLS01-B0-3XL</t>
  </si>
  <si>
    <t>X001F7K3DR</t>
  </si>
  <si>
    <t>B01LXD9QIS</t>
  </si>
  <si>
    <t>0.082967 cuft</t>
  </si>
  <si>
    <t>LYQ-1001-B0-XL</t>
  </si>
  <si>
    <t>X001MDR995</t>
  </si>
  <si>
    <t>B0777F9T9H</t>
  </si>
  <si>
    <t>Long Sleeve Lace Dress A Line Casual Tunic Mini Dress Blue US 16-18</t>
  </si>
  <si>
    <t>YZ-HM6175-R0-M</t>
  </si>
  <si>
    <t>X001CW4EET</t>
  </si>
  <si>
    <t>B06W57JDKH</t>
  </si>
  <si>
    <t>YZ-HMSG001-G0-L</t>
  </si>
  <si>
    <t>X001FMJ8B5</t>
  </si>
  <si>
    <t>B01J7T07WA</t>
  </si>
  <si>
    <t>Summer Mae Women's Back Geometry Tankini Top With Boyshorts Grey L</t>
  </si>
  <si>
    <t>0.037926 cuft</t>
  </si>
  <si>
    <t>YZ-ZQXZ345-G0-L</t>
  </si>
  <si>
    <t>X001J72Z61</t>
  </si>
  <si>
    <t>B0743D5KZ6</t>
  </si>
  <si>
    <t>YZ-SUZQ388-K0-XS</t>
  </si>
  <si>
    <t>X001QIBOFB</t>
  </si>
  <si>
    <t>B07BPSHDV6</t>
  </si>
  <si>
    <t>LYQ-ZQ1117-G7-M</t>
  </si>
  <si>
    <t>X001LEZ3E3</t>
  </si>
  <si>
    <t>B075ZQSQ1X</t>
  </si>
  <si>
    <t>YZ-ZQ15827BSS</t>
  </si>
  <si>
    <t>X001BQYEFF</t>
  </si>
  <si>
    <t>B01N4M5SU1</t>
  </si>
  <si>
    <t>YZ-SUZQBL03-B0-M</t>
  </si>
  <si>
    <t>X001QY970J</t>
  </si>
  <si>
    <t>B07C2V3Q7B</t>
  </si>
  <si>
    <t>LYQ-ZQ7900-W0-L</t>
  </si>
  <si>
    <t>X001JDYEDR</t>
  </si>
  <si>
    <t>B0742J1LL6</t>
  </si>
  <si>
    <t>LYQ-ZQ2973-W1-XL</t>
  </si>
  <si>
    <t>X001KI0L3N</t>
  </si>
  <si>
    <t>B01M0Q1U1V</t>
  </si>
  <si>
    <t>Womens Knitted Long Sweater Dress Tunic Beige XL</t>
  </si>
  <si>
    <t>0.135043 cuft</t>
  </si>
  <si>
    <t>LYQ-ZQPC01-ZL-XL</t>
  </si>
  <si>
    <t>X001LS939F</t>
  </si>
  <si>
    <t>B075QFX5T8</t>
  </si>
  <si>
    <t>LYQ-ZQ456-E0-S</t>
  </si>
  <si>
    <t>X0018IGTOZ</t>
  </si>
  <si>
    <t>B01LASSISG</t>
  </si>
  <si>
    <t>Summer Mae Women long Sleeve Loose Clothing Elbow Patch Casual Dress Heather Grey</t>
  </si>
  <si>
    <t>0.088773 cuft</t>
  </si>
  <si>
    <t>WJ-ZQ650-C5</t>
  </si>
  <si>
    <t>X001BIBT4H</t>
  </si>
  <si>
    <t>B01M2UY9B7</t>
  </si>
  <si>
    <t>LYQ-1001-B0-2XL</t>
  </si>
  <si>
    <t>X001MDP43N</t>
  </si>
  <si>
    <t>B0777GVVG3</t>
  </si>
  <si>
    <t>Long Sleeve Lace Dress A Line Casual Tunic Mini Dress Blue US 18W</t>
  </si>
  <si>
    <t>YZ-ZQ1519-K0-M</t>
  </si>
  <si>
    <t>X001J5RXS3</t>
  </si>
  <si>
    <t>B0721Q4VHJ</t>
  </si>
  <si>
    <t>YZ-HM241-K0-S</t>
  </si>
  <si>
    <t>X0015PUEID</t>
  </si>
  <si>
    <t>B01I4KVTG6</t>
  </si>
  <si>
    <t>Summer Mae Women's Halter Neck Wrap 1PC Padded Tankini Swimsuit Black S</t>
  </si>
  <si>
    <t>YZ-ZQ1521BL4XL</t>
  </si>
  <si>
    <t>X0014MV0V7</t>
  </si>
  <si>
    <t>B01GJPBB7U</t>
  </si>
  <si>
    <t>Summer Mae Women's One Piece Bathing Suit Tankini Swimdress Cover up Swimsuit L Leaves</t>
  </si>
  <si>
    <t>LYQ-1001-N0-XL</t>
  </si>
  <si>
    <t>X001MDRA35</t>
  </si>
  <si>
    <t>B0777KY2MV</t>
  </si>
  <si>
    <t>Long Sleeve Lace Dress A Line Casual Tunic Mini Dress Brown US 16-18</t>
  </si>
  <si>
    <t>LYQ-ZQ2973-K0-L</t>
  </si>
  <si>
    <t>X001KV4ZTB</t>
  </si>
  <si>
    <t>B075DYJSB8</t>
  </si>
  <si>
    <t>Womens Knitted Long Sweater Dress Tunic Black L</t>
  </si>
  <si>
    <t>LYQ-HM1205-W0-M</t>
  </si>
  <si>
    <t>X0019Z04UH</t>
  </si>
  <si>
    <t>B01M4OHRH9</t>
  </si>
  <si>
    <t>YZ-ZQ1519-K0-4X</t>
  </si>
  <si>
    <t>X001H7CR8J</t>
  </si>
  <si>
    <t>B072N5C21N</t>
  </si>
  <si>
    <t>LYQ-ZQD390-E0-S</t>
  </si>
  <si>
    <t>X001KYBA9V</t>
  </si>
  <si>
    <t>B075MC6YYJ</t>
  </si>
  <si>
    <t>Summer Mae Women's Oversized Knitted Sweater Long Sleeve V-neck Loose Pullover Tunic Grey Small</t>
  </si>
  <si>
    <t>YZ-HM5036-W0-2XL</t>
  </si>
  <si>
    <t>X001DHUJSX</t>
  </si>
  <si>
    <t>B01J5AL88S</t>
  </si>
  <si>
    <t>Summer Mae Women's Plus Size Wrap Bandeau Colorblock Swimdress White 2XL</t>
  </si>
  <si>
    <t>0.108237 cuft</t>
  </si>
  <si>
    <t>LYQ-1001-W0-2XL</t>
  </si>
  <si>
    <t>X001MDPQ9P</t>
  </si>
  <si>
    <t>B0777H7826</t>
  </si>
  <si>
    <t>Summer Mae Long Sleeve Lace Dress A Line Casual Tunic Mini White Dress 2XL</t>
  </si>
  <si>
    <t>YZ-ZQA31-K0-M</t>
  </si>
  <si>
    <t>X001CZLO4J</t>
  </si>
  <si>
    <t>B01MSJRM6K</t>
  </si>
  <si>
    <t>Summer Mae Women's Halter Ruffled Two Piece Swimsuits Swimdress with Short</t>
  </si>
  <si>
    <t>0.094023 cuft</t>
  </si>
  <si>
    <t>YZ-HM241-K0-XL</t>
  </si>
  <si>
    <t>X0015PTCDV</t>
  </si>
  <si>
    <t>B01HZ2XL56</t>
  </si>
  <si>
    <t>Summer Mae Women's Halter Neck Wrap One Piece Padded Tankini Swimsuit Monokini Swimwear Black 1XL</t>
  </si>
  <si>
    <t>YZ-ZQ6189P048</t>
  </si>
  <si>
    <t>X0014YL9XT</t>
  </si>
  <si>
    <t>B01H6DXA46</t>
  </si>
  <si>
    <t>Summer Mae Women's Plus Size Retro Floral Two Pieces Tankini Top &amp; Bottom Swimsuit 48 Purple</t>
  </si>
  <si>
    <t>YZ-HM241-SH-S</t>
  </si>
  <si>
    <t>X0015PK8LV</t>
  </si>
  <si>
    <t>B01IMU4IWK</t>
  </si>
  <si>
    <t>Summer Mae Women's Halter Neck Wrap 1PC Padded Tankini Swimsuit Dark Grey S</t>
  </si>
  <si>
    <t>0.045 cuft</t>
  </si>
  <si>
    <t>YZ-SUZQ9441-K0-3XL</t>
  </si>
  <si>
    <t>X001QA10IZ</t>
  </si>
  <si>
    <t>B07B8MVFY7</t>
  </si>
  <si>
    <t>Womens High Waisted Bikini Set Flounce Top Two Piece Polka Dot Swimsuit</t>
  </si>
  <si>
    <t>YZ-ZQ1521BF4XL</t>
  </si>
  <si>
    <t>X0016JQJZ5</t>
  </si>
  <si>
    <t>B01GJPD8YY</t>
  </si>
  <si>
    <t>YZ-ZQ1732-K0-XL</t>
  </si>
  <si>
    <t>X001GFUQYJ</t>
  </si>
  <si>
    <t>B01MSJPEBR</t>
  </si>
  <si>
    <t>0.072262 cuft</t>
  </si>
  <si>
    <t>LYQ-CL6287-FB-L</t>
  </si>
  <si>
    <t>X001IJ1B5B</t>
  </si>
  <si>
    <t>B0748FMXDW</t>
  </si>
  <si>
    <t>Summer Mae Women's Sexy Cut Out Cold Shoulder Solid Color T-shirt Swing Dress With Pockets Sapphire Blue Large</t>
  </si>
  <si>
    <t>YZ-HMBKN30-ZL-M</t>
  </si>
  <si>
    <t>X001DB216H</t>
  </si>
  <si>
    <t>B06XSSJB6H</t>
  </si>
  <si>
    <t>YZ-ZQ15827BSL</t>
  </si>
  <si>
    <t>X001BTL6UX</t>
  </si>
  <si>
    <t>B01MS5K1L7</t>
  </si>
  <si>
    <t>YZ-HM1683-B0-50</t>
  </si>
  <si>
    <t>X001GRSBHL</t>
  </si>
  <si>
    <t>B01JZ1G7TC</t>
  </si>
  <si>
    <t>Summer Mae Women's One Piece Bathing Suit Slim Tummy Control Swimwear 50 Blue</t>
  </si>
  <si>
    <t>YZ-ZQ1521BL2XL</t>
  </si>
  <si>
    <t>X0014LFUXR</t>
  </si>
  <si>
    <t>B01GJPB4DQ</t>
  </si>
  <si>
    <t>YZ-HM1683-B0-52</t>
  </si>
  <si>
    <t>X001GRHUUP</t>
  </si>
  <si>
    <t>B01JZ1G9CC</t>
  </si>
  <si>
    <t>Summer Mae Women's One Piece Bathing Suit Slim Tummy Control Swimwear 52 Blue</t>
  </si>
  <si>
    <t>LYQ-ZQ2973-G0-L</t>
  </si>
  <si>
    <t>X001LEYGWN</t>
  </si>
  <si>
    <t>B075F3X74H</t>
  </si>
  <si>
    <t>Womens Knitted Long Sweater Dress Tunic Green L</t>
  </si>
  <si>
    <t>0.172831 cuft</t>
  </si>
  <si>
    <t>LYQ-ZQPC01-B0-XXL</t>
  </si>
  <si>
    <t>X001LT7XUP</t>
  </si>
  <si>
    <t>B075QG9LYC</t>
  </si>
  <si>
    <t>YZ-ZQ1126-K0-XL</t>
  </si>
  <si>
    <t>X001GZTMZ3</t>
  </si>
  <si>
    <t>B072QKZRMX</t>
  </si>
  <si>
    <t>Summer Mae Women's Plus Size Black Ruffle Off-The-Shoulder One Piece Halter Swimsuit</t>
  </si>
  <si>
    <t>0.094785 cuft</t>
  </si>
  <si>
    <t>YZ-ZQ1519-K0-3X</t>
  </si>
  <si>
    <t>X001GW2CHV</t>
  </si>
  <si>
    <t>B072N5BZ1C</t>
  </si>
  <si>
    <t>LYQ-HM1205-KH-S</t>
  </si>
  <si>
    <t>X0019XG4NZ</t>
  </si>
  <si>
    <t>B01MCYYCOC</t>
  </si>
  <si>
    <t>YZ-ZQ1521RL4XL</t>
  </si>
  <si>
    <t>X001AO5VWD</t>
  </si>
  <si>
    <t>B01GJPC03E</t>
  </si>
  <si>
    <t>YZ-ZQ15827BSM</t>
  </si>
  <si>
    <t>X001BWPFP7</t>
  </si>
  <si>
    <t>B01MU8T1OI</t>
  </si>
  <si>
    <t>LYQ-ZQ1117-E0-L</t>
  </si>
  <si>
    <t>X001LEYMXL</t>
  </si>
  <si>
    <t>B075ZR29P4</t>
  </si>
  <si>
    <t>YZ-HM7889-R0-3X</t>
  </si>
  <si>
    <t>X001FZQY9B</t>
  </si>
  <si>
    <t>B072BWC6S6</t>
  </si>
  <si>
    <t>LYQ-ZQ2973-K0-S</t>
  </si>
  <si>
    <t>X001KVJ6LX</t>
  </si>
  <si>
    <t>B075DSPS1B</t>
  </si>
  <si>
    <t>Womens Knitted Long Sweater Dress Tunic Black S</t>
  </si>
  <si>
    <t>0.164378 cuft</t>
  </si>
  <si>
    <t>YZ-ZQLS062-K0-M</t>
  </si>
  <si>
    <t>X001D62U1N</t>
  </si>
  <si>
    <t>B01M66LNMA</t>
  </si>
  <si>
    <t>Summer Mae Women's Pineapple Print Swimwear Three Piece Tankini Bikini Top &amp; Bottom</t>
  </si>
  <si>
    <t>0.084757 cuft</t>
  </si>
  <si>
    <t>YZ-ZQ1617ZL3XL</t>
  </si>
  <si>
    <t>X00156IUKV</t>
  </si>
  <si>
    <t>B01F372SJU</t>
  </si>
  <si>
    <t>Summer Mae 50s Elegant Inspired Retro Vintage One Piece Pin Up Monokinis Swimsuit,Navy Blue,X-Large1(US size:14-16)</t>
  </si>
  <si>
    <t>YZ-HM0052-B0-S</t>
  </si>
  <si>
    <t>X001H8JAER</t>
  </si>
  <si>
    <t>B073GQGSQ7</t>
  </si>
  <si>
    <t>Summer Mae Womens Sexy Swimwear Slim Fit Halter Bikini Backless One Piece Swimsuits</t>
  </si>
  <si>
    <t>0.039367 cuft</t>
  </si>
  <si>
    <t>YZ-HM174164-SY-2XL</t>
  </si>
  <si>
    <t>X001CTH3VD</t>
  </si>
  <si>
    <t>B01N6LKJIY</t>
  </si>
  <si>
    <t>Summer Mae Women's Plus-Size Tonal Leaf Swim Dress Two Piece Swimsuit 2XL</t>
  </si>
  <si>
    <t>YZ-HM1727-Pi-4XL</t>
  </si>
  <si>
    <t>X001DH08KR</t>
  </si>
  <si>
    <t>B06XRVQKRT</t>
  </si>
  <si>
    <t>Women One Piece Swimsuit Deep V-Neck Pattern Swimwear Cross-Back High Cut Monokini Bathing Suits Pink 4XL</t>
  </si>
  <si>
    <t>YZ-ZQ15827R2XL</t>
  </si>
  <si>
    <t>X0015PUGNL</t>
  </si>
  <si>
    <t>B01ID5DXEI</t>
  </si>
  <si>
    <t>LYQ-ZQPC01-ZL-XXL</t>
  </si>
  <si>
    <t>X001LT8HS7</t>
  </si>
  <si>
    <t>B075QG2WMH</t>
  </si>
  <si>
    <t>YZ-HM241-SH-M</t>
  </si>
  <si>
    <t>X0015KTY1B</t>
  </si>
  <si>
    <t>B01IMU4JK6</t>
  </si>
  <si>
    <t>YZ-ZQ6189Y048</t>
  </si>
  <si>
    <t>X0014VB43H</t>
  </si>
  <si>
    <t>B01H6DXA64</t>
  </si>
  <si>
    <t>Summer Mae Women's Plus Size Retro Floral Two Pieces Tankini Top &amp; Bottom Swimsuit 48 Yellow</t>
  </si>
  <si>
    <t>YZ-ZQ17984-R0-2X</t>
  </si>
  <si>
    <t>X001EG0LGX</t>
  </si>
  <si>
    <t>B06Y6CWDF6</t>
  </si>
  <si>
    <t>WOMEN'S BOUTIQUE Summer Mae Women's Rose Floral Swimwear Two Piece Tank Tankini Top &amp; Swim Skirt</t>
  </si>
  <si>
    <t>0.142216 cuft</t>
  </si>
  <si>
    <t>LYQ-ZQ8200-P0-XL</t>
  </si>
  <si>
    <t>X001E0D6BB</t>
  </si>
  <si>
    <t>B01LX89686</t>
  </si>
  <si>
    <t>Women's V-Neck Long Sleeves Wrap Waist Long Kimono Maxi Dress Purple XL</t>
  </si>
  <si>
    <t>0.108625 cuft</t>
  </si>
  <si>
    <t>YZ-ZQ1521BL3XL</t>
  </si>
  <si>
    <t>X0014MTGR7</t>
  </si>
  <si>
    <t>B01GJPB6J8</t>
  </si>
  <si>
    <t>LYQ-ZQPC01-P0-L</t>
  </si>
  <si>
    <t>X001LT4W6X</t>
  </si>
  <si>
    <t>B075QFVY82</t>
  </si>
  <si>
    <t>0.213405 cuft</t>
  </si>
  <si>
    <t>YZ-HM1683-BDZL-48</t>
  </si>
  <si>
    <t>X001G4L71V</t>
  </si>
  <si>
    <t>B01JZ1H11U</t>
  </si>
  <si>
    <t>Summer Mae Women's One Piece Bathing Suit Slim Tummy Control Swimwear 48 Dot ZL</t>
  </si>
  <si>
    <t>LYQ-CL0045-Y0-M</t>
  </si>
  <si>
    <t>X001JISLGN</t>
  </si>
  <si>
    <t>B074QH1CSP</t>
  </si>
  <si>
    <t>Summer Jun Women's Solid Color Short Sleeve Tunic Top T-shirt Swing Dress,Yellow,Medium</t>
  </si>
  <si>
    <t>YZ-HMBKN30-K0-S</t>
  </si>
  <si>
    <t>X001D982NF</t>
  </si>
  <si>
    <t>B06XSWRDZX</t>
  </si>
  <si>
    <t>YZ-SUZQBL03-B0-3X</t>
  </si>
  <si>
    <t>X001QY970T</t>
  </si>
  <si>
    <t>B07C2XLZBH</t>
  </si>
  <si>
    <t>LYQ-ZQ1669-B0-XL</t>
  </si>
  <si>
    <t>X001JJP4GH</t>
  </si>
  <si>
    <t>B073S5CYWG</t>
  </si>
  <si>
    <t>Summer Mae Women's Summer Boho Strapess Banana Leaves Print Wrap Pockets Maxi Dress</t>
  </si>
  <si>
    <t>0.057863 cuft</t>
  </si>
  <si>
    <t>WJ-ZQ650-C6</t>
  </si>
  <si>
    <t>X001BEBD5B</t>
  </si>
  <si>
    <t>B01MCRDA4D</t>
  </si>
  <si>
    <t>LYQ-CSM048-GR0-M</t>
  </si>
  <si>
    <t>X001LRDE9B</t>
  </si>
  <si>
    <t>B074PRZ2YJ</t>
  </si>
  <si>
    <t>YZ-HM1683-ZL-48</t>
  </si>
  <si>
    <t>X001IEOVL7</t>
  </si>
  <si>
    <t>B01JZ1GDPK</t>
  </si>
  <si>
    <t>Summer Mae Women's One Piece Bathing Suit Slim Tummy Control Swimwear 48 ZL</t>
  </si>
  <si>
    <t>YZ-ZQ1521RMXL</t>
  </si>
  <si>
    <t>X001AWFP7V</t>
  </si>
  <si>
    <t>B01GJPCF2K</t>
  </si>
  <si>
    <t>YZ-ZQ17986W0-L</t>
  </si>
  <si>
    <t>X001F54NYT</t>
  </si>
  <si>
    <t>B01M5AYY5V</t>
  </si>
  <si>
    <t>YZ-CL912-BS-M</t>
  </si>
  <si>
    <t>X001HC5D5X</t>
  </si>
  <si>
    <t>B071X91XB2</t>
  </si>
  <si>
    <t>Summer Mae Women's Printed Long Sleeve UV Protection Rash Guard Swimwear Beachwear?New</t>
  </si>
  <si>
    <t>0.109466 cuft</t>
  </si>
  <si>
    <t>YZ-CLNK78-B6-M</t>
  </si>
  <si>
    <t>X001GW2CHB</t>
  </si>
  <si>
    <t>B072ZXDD9Z</t>
  </si>
  <si>
    <t>Summer Mae Women's Fashion Triangle Bikini Set Tie Two Piece Swimsuits Light Blue</t>
  </si>
  <si>
    <t>LYQ-ZQPC01-P0-XL</t>
  </si>
  <si>
    <t>X001LT4VUP</t>
  </si>
  <si>
    <t>B075QFT2HP</t>
  </si>
  <si>
    <t>0.228662 cuft</t>
  </si>
  <si>
    <t>YZ-ZQ1521GF3XL</t>
  </si>
  <si>
    <t>X0014B4L8H</t>
  </si>
  <si>
    <t>B01GJPD7PY</t>
  </si>
  <si>
    <t>LYQ-ZQS1741-K0-M</t>
  </si>
  <si>
    <t>X001M0MLAZ</t>
  </si>
  <si>
    <t>B075FRN818</t>
  </si>
  <si>
    <t>0.10159 cuft</t>
  </si>
  <si>
    <t>LYQ-ZQ2973-G0-2XL</t>
  </si>
  <si>
    <t>X001LEYM9F</t>
  </si>
  <si>
    <t>B075S4N213</t>
  </si>
  <si>
    <t>Womens Knitted Long Sweater Dress Tunic Green XXL</t>
  </si>
  <si>
    <t>0.149478 cuft</t>
  </si>
  <si>
    <t>YZ-ZQ19758-K0-S</t>
  </si>
  <si>
    <t>X001DZMVVD</t>
  </si>
  <si>
    <t>B01N05XVJ7</t>
  </si>
  <si>
    <t>0.053775 cuft</t>
  </si>
  <si>
    <t>YZ-HM0034-TW-L</t>
  </si>
  <si>
    <t>X001H8JPMT</t>
  </si>
  <si>
    <t>B073VFB5XC</t>
  </si>
  <si>
    <t>Summer Mae Women Stripe Sexy High Cute Halter Bikini One Piece</t>
  </si>
  <si>
    <t>0.056259 cuft</t>
  </si>
  <si>
    <t>YZ-HMBKN30-K0YH-XL</t>
  </si>
  <si>
    <t>X001DBDZ4T</t>
  </si>
  <si>
    <t>B06XSWPWK4</t>
  </si>
  <si>
    <t>YZ-ZQ6189Y052</t>
  </si>
  <si>
    <t>X0014XSFZP</t>
  </si>
  <si>
    <t>B01H6DXBBS</t>
  </si>
  <si>
    <t>Summer Mae Women's Plus Size Retro Floral Two Pieces Tankini Top &amp; Bottom Swimsuit 52 Yellow</t>
  </si>
  <si>
    <t>LYQ-ZQ1117-K0-M</t>
  </si>
  <si>
    <t>X001LEZAZF</t>
  </si>
  <si>
    <t>B0759HJLBJ</t>
  </si>
  <si>
    <t>LYQ-ZQ2973-K0-XL</t>
  </si>
  <si>
    <t>X001KYFBZF</t>
  </si>
  <si>
    <t>B075DRB3ZD</t>
  </si>
  <si>
    <t>Womens Knitted Long Sweater Dress Tunic Black XL</t>
  </si>
  <si>
    <t>0.077824 cuft</t>
  </si>
  <si>
    <t>YZ-HMSG001-G0-M</t>
  </si>
  <si>
    <t>X001FKA587</t>
  </si>
  <si>
    <t>B01J7T05W2</t>
  </si>
  <si>
    <t>Summer Mae Women's Back Geometry Tankini Top With Boyshorts Grey M</t>
  </si>
  <si>
    <t>LYQ-1001-K0-M</t>
  </si>
  <si>
    <t>X001MDS1MT</t>
  </si>
  <si>
    <t>B0777KRF6G</t>
  </si>
  <si>
    <t>Long Sleeve Lace Dress A Line Casual Tunic Mini Dress Black US 8-10</t>
  </si>
  <si>
    <t>YZ-HM1728-ZL-XL</t>
  </si>
  <si>
    <t>X001FVIB3H</t>
  </si>
  <si>
    <t>B071DV9G8Z</t>
  </si>
  <si>
    <t>LYQ-ZQPC01-B0-L</t>
  </si>
  <si>
    <t>X001LT4RPT</t>
  </si>
  <si>
    <t>B075QFKN44</t>
  </si>
  <si>
    <t>YZ-ZQSG16121E03XL</t>
  </si>
  <si>
    <t>X0017RWSZL</t>
  </si>
  <si>
    <t>B01J7RL2DA</t>
  </si>
  <si>
    <t>Summer Mae Plus Size Floral Printed Blouson Plus Size Swimwear Tankini US 14-16</t>
  </si>
  <si>
    <t>LYQ-ZQMB3811-E0-3X</t>
  </si>
  <si>
    <t>X001KRGNAJ</t>
  </si>
  <si>
    <t>B0753CJL7F</t>
  </si>
  <si>
    <t>Summer Mae Women Plus Size Black/Grey Turtleneck Long Sleeve Tunic Sweater Dress</t>
  </si>
  <si>
    <t>0.128249 cuft</t>
  </si>
  <si>
    <t>YZ-ZQ47121-K0-M</t>
  </si>
  <si>
    <t>X001J5QDRZ</t>
  </si>
  <si>
    <t>B01N3PMV0O</t>
  </si>
  <si>
    <t>Summer Mae Women's Black Mesh Ring Swimwear One Piece Swimsuit Bikini</t>
  </si>
  <si>
    <t>YZ-ZQ7777B018</t>
  </si>
  <si>
    <t>X001CLL3WL</t>
  </si>
  <si>
    <t>B01MV36PGF</t>
  </si>
  <si>
    <t>YZ-HMBKN30-ZL-L</t>
  </si>
  <si>
    <t>X001D94FMR</t>
  </si>
  <si>
    <t>B06XSP3TCT</t>
  </si>
  <si>
    <t>YZ-SUZQ9441-K0-S</t>
  </si>
  <si>
    <t>X001QA24AD</t>
  </si>
  <si>
    <t>B07B8HZ787</t>
  </si>
  <si>
    <t>LYQ-1001-Z0-XL</t>
  </si>
  <si>
    <t>X001MDYH4F</t>
  </si>
  <si>
    <t>B0777FFKBW</t>
  </si>
  <si>
    <t>Summer Mae Long Sleeve Lace Dress A Line Casual Tunic Mini Dress Violet XL</t>
  </si>
  <si>
    <t>YZ-ZQ1521BF2XL</t>
  </si>
  <si>
    <t>X00191NLEH</t>
  </si>
  <si>
    <t>B01GJPD21S</t>
  </si>
  <si>
    <t>LYQ-ZQMB3811-E0-XL</t>
  </si>
  <si>
    <t>X001LEZNMF</t>
  </si>
  <si>
    <t>B0753BXSXM</t>
  </si>
  <si>
    <t>LYQ-ZQ1117-B0-M</t>
  </si>
  <si>
    <t>X001LEYETX</t>
  </si>
  <si>
    <t>B075ZRBHC3</t>
  </si>
  <si>
    <t>LYQ-ZQ1117-K0-L</t>
  </si>
  <si>
    <t>X001LEYY2P</t>
  </si>
  <si>
    <t>B0759SMCZL</t>
  </si>
  <si>
    <t>YZ-ZQ19758-K0-XL</t>
  </si>
  <si>
    <t>X001E07MPH</t>
  </si>
  <si>
    <t>B01MQFD56D</t>
  </si>
  <si>
    <t>0.025342 cuft</t>
  </si>
  <si>
    <t>LYQ-1001New-P0-2XL</t>
  </si>
  <si>
    <t>X001NLCCTN</t>
  </si>
  <si>
    <t>B0789F983Z</t>
  </si>
  <si>
    <t>Summer Mae Women's Stitching Lace Dress A Line Casual Tunic Mini Purple Dress 2XL</t>
  </si>
  <si>
    <t>LYQ-ZQMB3811-E0-2X</t>
  </si>
  <si>
    <t>X001LEZA2D</t>
  </si>
  <si>
    <t>B0753FD8N6</t>
  </si>
  <si>
    <t>LYQ-CL0045-Y0-S</t>
  </si>
  <si>
    <t>X001JIN66X</t>
  </si>
  <si>
    <t>B074QJ62P3</t>
  </si>
  <si>
    <t>Summer Jun Women's Solid Color Short Sleeve Casual Tunic Top T-shirt Swing Dress Yellow S</t>
  </si>
  <si>
    <t>YZ-ZQ8867-B0-L</t>
  </si>
  <si>
    <t>X001EKZN85</t>
  </si>
  <si>
    <t>B01MG8TRFZ</t>
  </si>
  <si>
    <t>0.06997 cuft</t>
  </si>
  <si>
    <t>LYQ-ZQ1117-BD-2XL</t>
  </si>
  <si>
    <t>X001MNP99R</t>
  </si>
  <si>
    <t>B077GS3C1X</t>
  </si>
  <si>
    <t>Women Lace Dress Long Sleeve Loose Tunic Tops Stitching Casual Blouses Burgundy XXL</t>
  </si>
  <si>
    <t>YZ-ZQZY456-R0-L</t>
  </si>
  <si>
    <t>X001J777P5</t>
  </si>
  <si>
    <t>B072N57JLZ</t>
  </si>
  <si>
    <t>Summer Mae Women's V-Neck Watermelon Print One Piece Swimsuit</t>
  </si>
  <si>
    <t>0.065928 cuft</t>
  </si>
  <si>
    <t>LYQ-ZQPC01-BD-XL</t>
  </si>
  <si>
    <t>X001LT6RH5</t>
  </si>
  <si>
    <t>B075QFJGTB</t>
  </si>
  <si>
    <t>YZ-ZQ0707-Y0TW-L</t>
  </si>
  <si>
    <t>X001HPQXYP</t>
  </si>
  <si>
    <t>B072XJNSSR</t>
  </si>
  <si>
    <t>Summer Mae Women's Push Up Solid/Striped Bikini Set Top &amp; Striped/Polka Dot Bkini Bottom</t>
  </si>
  <si>
    <t>YZ-SM-HM30CH-XL</t>
  </si>
  <si>
    <t>X001B58C7H</t>
  </si>
  <si>
    <t>B01M8QZC0V</t>
  </si>
  <si>
    <t>Summer Mae Women's Sexy colorful One Piece Beachwear Bikini Monokini Swimsuit</t>
  </si>
  <si>
    <t>0.111481 cuft</t>
  </si>
  <si>
    <t>WJ-ZQ650-C10</t>
  </si>
  <si>
    <t>X001BIBT47</t>
  </si>
  <si>
    <t>B01MECQ070</t>
  </si>
  <si>
    <t>LYQ-1001-Z0-2XL</t>
  </si>
  <si>
    <t>X001MD5GMH</t>
  </si>
  <si>
    <t>B0777K2GXR</t>
  </si>
  <si>
    <t>Long Sleeve Lace Dress A Line Casual Tunic Mini Dress Violet 2XL</t>
  </si>
  <si>
    <t>LYQ-1001-W0-L</t>
  </si>
  <si>
    <t>X001MDUZPZ</t>
  </si>
  <si>
    <t>B0777F1BV6</t>
  </si>
  <si>
    <t>Long Sleeve Lace Dress A Line Casual Tunic Mini White Dress L</t>
  </si>
  <si>
    <t>LYQ-HM1205-OR-S</t>
  </si>
  <si>
    <t>X001A1T78P</t>
  </si>
  <si>
    <t>B01M7UYYSQ</t>
  </si>
  <si>
    <t>YZ-HM7040-ZL-M</t>
  </si>
  <si>
    <t>X001H775WH</t>
  </si>
  <si>
    <t>B072XBZ442</t>
  </si>
  <si>
    <t>YZ-HMBKN16024-Y0-M</t>
  </si>
  <si>
    <t>X001EL20RV</t>
  </si>
  <si>
    <t>B06XFQKV5X</t>
  </si>
  <si>
    <t>0.058834 cuft</t>
  </si>
  <si>
    <t>YZ-HM174164-SY-3XL</t>
  </si>
  <si>
    <t>X001CO0SP1</t>
  </si>
  <si>
    <t>B01NH0VOD4</t>
  </si>
  <si>
    <t>Summer Mae Women's Plus-Size Tonal Leaf Swim Dress Two Piece Swimsuit 3XL</t>
  </si>
  <si>
    <t>LYQ-ZQ2973-ZL-M</t>
  </si>
  <si>
    <t>X001KPKAYB</t>
  </si>
  <si>
    <t>B075F2BYYZ</t>
  </si>
  <si>
    <t>Womens Knitted Long Sweater Dress Tunic Navy M</t>
  </si>
  <si>
    <t>YZ-ZQ14976-Y0-3X</t>
  </si>
  <si>
    <t>X001GDDN73</t>
  </si>
  <si>
    <t>B071CF5CXC</t>
  </si>
  <si>
    <t>WOMEN'S BOUTIQUE Summer Mae Women's Striped Swimwear Two Piece Halter Tankini Top &amp; Bottom</t>
  </si>
  <si>
    <t>0.07695 cuft</t>
  </si>
  <si>
    <t>YZ-HM17077-CO-L</t>
  </si>
  <si>
    <t>X001GRSAOZ</t>
  </si>
  <si>
    <t>B06XYMP9HX</t>
  </si>
  <si>
    <t>LYQ-1001-R0-2XL</t>
  </si>
  <si>
    <t>X001MDP4D3</t>
  </si>
  <si>
    <t>B0777FB3HW</t>
  </si>
  <si>
    <t>Long Sleeve Lace Dress A Line Casual Tunic Mini Red Dress US 18W</t>
  </si>
  <si>
    <t>YZ-ZQZY456-R0-M</t>
  </si>
  <si>
    <t>X001J7784F</t>
  </si>
  <si>
    <t>B071X8Z4K4</t>
  </si>
  <si>
    <t>YZ-JY2526-R0-4XL</t>
  </si>
  <si>
    <t>X001BCMX07</t>
  </si>
  <si>
    <t>B01N1ZLVZB</t>
  </si>
  <si>
    <t>YZ-HM7889-R0-5X</t>
  </si>
  <si>
    <t>X001FZRMB5</t>
  </si>
  <si>
    <t>B071S6ZVDW</t>
  </si>
  <si>
    <t>LYQ-ZQ2973-KQ-M</t>
  </si>
  <si>
    <t>X001KCCC5J</t>
  </si>
  <si>
    <t>B01LXHBU2Q</t>
  </si>
  <si>
    <t>Womens Knitted Long Sweater Dress Tunic Khaki M</t>
  </si>
  <si>
    <t>0.199563 cuft</t>
  </si>
  <si>
    <t>LYQ-ZQTN2611-PI-XL</t>
  </si>
  <si>
    <t>X001L3FXML</t>
  </si>
  <si>
    <t>B07547GGF1</t>
  </si>
  <si>
    <t>YZ-JY5694-K0-M</t>
  </si>
  <si>
    <t>X0019J46N9</t>
  </si>
  <si>
    <t>B01M3PZ378</t>
  </si>
  <si>
    <t>0.103819 cuft</t>
  </si>
  <si>
    <t>YZ-ZQ789K0L</t>
  </si>
  <si>
    <t>X00163MJH3</t>
  </si>
  <si>
    <t>B01H7074XQ</t>
  </si>
  <si>
    <t>Summer Mae Womens Plus Size Back Polka Dot Classic 2 Pc Plus Size Tankini M</t>
  </si>
  <si>
    <t>LYQ-ZQ3550-E0-L</t>
  </si>
  <si>
    <t>X001JBB9TB</t>
  </si>
  <si>
    <t>B071FZX594</t>
  </si>
  <si>
    <t>YZ-ZQFT1816-O0-S</t>
  </si>
  <si>
    <t>X001IJ1B5L</t>
  </si>
  <si>
    <t>B073XHGJDM</t>
  </si>
  <si>
    <t>WOMEN'S BOUTIQUE Summer Mae Women's Yellow/Orange Lace Mesh Swimwear Two Piece Halter Tankini Top &amp; Bottom</t>
  </si>
  <si>
    <t>MZ-JY1616-ZL</t>
  </si>
  <si>
    <t>X0018QYEXF</t>
  </si>
  <si>
    <t>B01LWRZHVZ</t>
  </si>
  <si>
    <t>0.108614 cuft</t>
  </si>
  <si>
    <t>YZ-ZQ1521RL2XL</t>
  </si>
  <si>
    <t>X001AO60K5</t>
  </si>
  <si>
    <t>B01GJPBW4C</t>
  </si>
  <si>
    <t>YZ-ZQ1521BF5XL</t>
  </si>
  <si>
    <t>X0015HZULR</t>
  </si>
  <si>
    <t>B01GJPDNQ2</t>
  </si>
  <si>
    <t>LYQ-ZQD270-K0-XL</t>
  </si>
  <si>
    <t>X001KYBJZV</t>
  </si>
  <si>
    <t>B075895X9S</t>
  </si>
  <si>
    <t>OUTDOOR WEAR Summer Mae Women's Oversized Knitted Sweater Long Sleeve V-Neck Loose Pullover Dress</t>
  </si>
  <si>
    <t>0.135057 cuft</t>
  </si>
  <si>
    <t>LYQ-ZQ1117-C0-XL</t>
  </si>
  <si>
    <t>X001LEYUNN</t>
  </si>
  <si>
    <t>B075ZR659T</t>
  </si>
  <si>
    <t>LYQ-CL0045-K0-S</t>
  </si>
  <si>
    <t>X001JIDCI5</t>
  </si>
  <si>
    <t>B074QKCL9C</t>
  </si>
  <si>
    <t>Summer Jun Women's Solid Color Short Sleeve Tunic Top T-shirt Swing Dress,Black,Small</t>
  </si>
  <si>
    <t>YZ-ZQMICAIK0M</t>
  </si>
  <si>
    <t>X001DNJQ95</t>
  </si>
  <si>
    <t>B01HZ9RULA</t>
  </si>
  <si>
    <t>YZ-JY7105-K0-XL</t>
  </si>
  <si>
    <t>X001E2IXLR</t>
  </si>
  <si>
    <t>B01N0X4A6O</t>
  </si>
  <si>
    <t>Summer Joy Women's Plus Size Vintage Printing Tassels High Waisted Bikini Set</t>
  </si>
  <si>
    <t>0.11186 cuft</t>
  </si>
  <si>
    <t>YZ-HM7889-B0-5X</t>
  </si>
  <si>
    <t>X001GEOAGF</t>
  </si>
  <si>
    <t>B072342844</t>
  </si>
  <si>
    <t>YZ-HM6175-B0-M</t>
  </si>
  <si>
    <t>X001CW3PMV</t>
  </si>
  <si>
    <t>B06W2MDDQL</t>
  </si>
  <si>
    <t>YZ-HMBKN17015-K0-XL</t>
  </si>
  <si>
    <t>X001GZTHZ3</t>
  </si>
  <si>
    <t>B0727W8HKN</t>
  </si>
  <si>
    <t>LYQ-CL6287-G7-L</t>
  </si>
  <si>
    <t>X001IIVOI1</t>
  </si>
  <si>
    <t>B0748FGBZZ</t>
  </si>
  <si>
    <t>Summer Mae Women's Sexy Cut Out Cold Shoulder Solid Color T-shirt Swing Dress With Pockets Army Green Large</t>
  </si>
  <si>
    <t>YZ-HM1683-B0-48</t>
  </si>
  <si>
    <t>X001GRHPKZ</t>
  </si>
  <si>
    <t>B01JZ1G5L2</t>
  </si>
  <si>
    <t>Summer Mae Women's One Piece Bathing Suit Slim Tummy Control Swimwear 48 Blue</t>
  </si>
  <si>
    <t>YZ-CFAM005-LABUGR-M</t>
  </si>
  <si>
    <t>X001CWGM67</t>
  </si>
  <si>
    <t>B01MZ72B1Y</t>
  </si>
  <si>
    <t>FlYang Women's Long Sleeve Casual Loose Dress,Lake Blue Green,M</t>
  </si>
  <si>
    <t>YZ-HM111-B0-XL</t>
  </si>
  <si>
    <t>X001FZ64OV</t>
  </si>
  <si>
    <t>B0717777H3</t>
  </si>
  <si>
    <t>SHJ-ZQLS12-K0-L</t>
  </si>
  <si>
    <t>X001FBWR55</t>
  </si>
  <si>
    <t>B07286PW93</t>
  </si>
  <si>
    <t>YZ-ZQ1521GFXL</t>
  </si>
  <si>
    <t>X0014LFUK5</t>
  </si>
  <si>
    <t>B01GJPD23G</t>
  </si>
  <si>
    <t>YZ-ZQ16597B04XL</t>
  </si>
  <si>
    <t>X001E110BN</t>
  </si>
  <si>
    <t>B01HTJ8VB4</t>
  </si>
  <si>
    <t>Summer Mae Women's Classic Striped Two Piece Swimwear Plus Size Tankini Top &amp; Bottom 4XL</t>
  </si>
  <si>
    <t>YZ-ZQ1521WP2XL</t>
  </si>
  <si>
    <t>X0014LFUYB</t>
  </si>
  <si>
    <t>B01GJPBMDI</t>
  </si>
  <si>
    <t>YZ-HM5036-W0-L</t>
  </si>
  <si>
    <t>X001DHYLFF</t>
  </si>
  <si>
    <t>B01J5AL630</t>
  </si>
  <si>
    <t>Summer Mae Women's Plus Size Wrap Bandeau Colorblock Swimdress White L</t>
  </si>
  <si>
    <t>LYQ-LY064-B0-L</t>
  </si>
  <si>
    <t>X001D9LI2H</t>
  </si>
  <si>
    <t>B01MY7KTQZ</t>
  </si>
  <si>
    <t>Summer Mae Chiffon Short Sleeve V-neck Dress Knee Length Ruched Dress for Women B0 L</t>
  </si>
  <si>
    <t>YZ-ZQTWA1-K0-4X</t>
  </si>
  <si>
    <t>X001GKVS19</t>
  </si>
  <si>
    <t>B0711BYGBJ</t>
  </si>
  <si>
    <t>YZ-ZQ16597B02XL</t>
  </si>
  <si>
    <t>X001E2GGK7</t>
  </si>
  <si>
    <t>B01HTJ8QUK</t>
  </si>
  <si>
    <t>Summer Mae Women's Classic Striped Two Piece Swimwear Plus Size Tankini Top &amp; Bottom 2XL</t>
  </si>
  <si>
    <t>YZ-ZQ16103ZL2XL</t>
  </si>
  <si>
    <t>X001CYKYGT</t>
  </si>
  <si>
    <t>B01IQP4X8A</t>
  </si>
  <si>
    <t>Summer Mae Women's Vintage Floral Polka Dot One Piece Swimwear Cover Up Swimdress 2XL Blue</t>
  </si>
  <si>
    <t>0.121345 cuft</t>
  </si>
  <si>
    <t>YZ-HM0052-B0-XL</t>
  </si>
  <si>
    <t>X001H8JO57</t>
  </si>
  <si>
    <t>B073GMZ65D</t>
  </si>
  <si>
    <t>0.040602 cuft</t>
  </si>
  <si>
    <t>YZ-ZQ112B0L</t>
  </si>
  <si>
    <t>X0014MM8VD</t>
  </si>
  <si>
    <t>B01GCGA578</t>
  </si>
  <si>
    <t>Summer Mae Backless One Piece Monokini Halter Pad Bikini Swimsuits Swimwear M Navyblue</t>
  </si>
  <si>
    <t>LYQ-ZQ2973-BD-2XL</t>
  </si>
  <si>
    <t>X001KPKD75</t>
  </si>
  <si>
    <t>B01MTTW6NH</t>
  </si>
  <si>
    <t>Womens Knitted Long Sweater Dress Tunic Burgundy XXL</t>
  </si>
  <si>
    <t>0.151015 cuft</t>
  </si>
  <si>
    <t>YZ-ZQ6189G048</t>
  </si>
  <si>
    <t>X0014VKI7Z</t>
  </si>
  <si>
    <t>B01H6DXCGM</t>
  </si>
  <si>
    <t>Summer Mae Women's Plus Size Retro Floral Two Pieces Tankini Top &amp; Bottom Swimsuit 48 Green</t>
  </si>
  <si>
    <t>YZ-ZQ298N03XL</t>
  </si>
  <si>
    <t>X00153NWV1</t>
  </si>
  <si>
    <t>B01H14P2PK</t>
  </si>
  <si>
    <t>YZ-HMBKN30-K0YH-S</t>
  </si>
  <si>
    <t>X001D982MV</t>
  </si>
  <si>
    <t>B06XSYXTSJ</t>
  </si>
  <si>
    <t>LYQ-ZQTN2611-PI-3X</t>
  </si>
  <si>
    <t>X001L3T68D</t>
  </si>
  <si>
    <t>B07547DJVV</t>
  </si>
  <si>
    <t>LYQ-ZQ1117-BD-L</t>
  </si>
  <si>
    <t>X001LEYY2Z</t>
  </si>
  <si>
    <t>B075ZQBS8N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</si>
  <si>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</si>
  <si>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</si>
  <si>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</si>
  <si>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</si>
  <si>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</si>
  <si>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</si>
  <si>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</si>
  <si>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</si>
  <si>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</si>
  <si>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</si>
  <si>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</si>
  <si>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</si>
  <si>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</si>
  <si>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</si>
  <si>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LYQ-1001-K0-L</t>
  </si>
  <si>
    <t>X001MDS7OL</t>
  </si>
  <si>
    <t>B0777GWWNN</t>
  </si>
  <si>
    <t>Summer Mae Long Sleeve Lace Dress A Line Casual Tunic Mini Dress Black US 12-14</t>
  </si>
  <si>
    <t>LYQ-1001-R0-L</t>
  </si>
  <si>
    <t>X001MDZVI1</t>
  </si>
  <si>
    <t>B0777GWBGY</t>
  </si>
  <si>
    <t>Long Sleeve Lace Dress A Line Casual Tunic Mini Red Dress US 12-14</t>
  </si>
  <si>
    <t>LYQ-1001-R0-XL</t>
  </si>
  <si>
    <t>X001MD69PZ</t>
  </si>
  <si>
    <t>B0777J1PXR</t>
  </si>
  <si>
    <t>Summer Mae Long Sleeve Lace Dress A Line Casual Tunic Mini Red Dress US 16-18</t>
  </si>
  <si>
    <t>LYQ-CL0045-K0-L</t>
  </si>
  <si>
    <t>X001JIMMQX</t>
  </si>
  <si>
    <t>B074QKV2VR</t>
  </si>
  <si>
    <t>Summer Jun Women's Solid Color Short Sleeve Casual Tunic Top T-Shirt Swing Dress Black L</t>
  </si>
  <si>
    <t>LYQ-CL6287-K0-L</t>
  </si>
  <si>
    <t>X001IIPT9B</t>
  </si>
  <si>
    <t>B0748FHP41</t>
  </si>
  <si>
    <t>Summer Mae Women's Sexy Cut Out Cold Shoulder Solid Color T-Shirt Swing Dress with Pockets Black Large</t>
  </si>
  <si>
    <t>LYQ-CLBAH002-L</t>
  </si>
  <si>
    <t>X001LW5L01</t>
  </si>
  <si>
    <t>B0758936QQ</t>
  </si>
  <si>
    <t>Summer Mae Women's V Neck Bohemian Tie Vintage Printed Ethnic Style Beach Dress L</t>
  </si>
  <si>
    <t>LYQ-CLBAH002-XL</t>
  </si>
  <si>
    <t>X001LVFU0D</t>
  </si>
  <si>
    <t>B0758D78JH</t>
  </si>
  <si>
    <t>Summer Mae Women's V Neck Bohemian Tie Vintage Printed Ethnic Style Beach Dress Plus Size</t>
  </si>
  <si>
    <t>LYQ-HM1205-OR-M</t>
  </si>
  <si>
    <t>X001A20HMT</t>
  </si>
  <si>
    <t>B01M29W35H</t>
  </si>
  <si>
    <t>LYQ-HM1205-W0-L</t>
  </si>
  <si>
    <t>X001A1T7H1</t>
  </si>
  <si>
    <t>B01M29W3LC</t>
  </si>
  <si>
    <t>LYQ-LY064-G0-L</t>
  </si>
  <si>
    <t>X001D8CJFN</t>
  </si>
  <si>
    <t>B01N4NCSUX</t>
  </si>
  <si>
    <t>Summer Mae Chiffon Short Sleeve V-neck Dress Knee Length Ruched Dress for Women G0 L</t>
  </si>
  <si>
    <t>LYQ-ZQ1117-B0-2XL</t>
  </si>
  <si>
    <t>X001MNRRCT</t>
  </si>
  <si>
    <t>B077GRGTF5</t>
  </si>
  <si>
    <t>LYQ-ZQ1117-E0-S</t>
  </si>
  <si>
    <t>X001LEYUNX</t>
  </si>
  <si>
    <t>B075ZRHBRF</t>
  </si>
  <si>
    <t>LYQ-ZQ1117-KQ-2XL</t>
  </si>
  <si>
    <t>X001MNP1UT</t>
  </si>
  <si>
    <t>B077GSPWG6</t>
  </si>
  <si>
    <t>LYQ-ZQ1117-KQ-L</t>
  </si>
  <si>
    <t>X001LEZ3DT</t>
  </si>
  <si>
    <t>B0759H896D</t>
  </si>
  <si>
    <t>LYQ-ZQ1428-R0-M</t>
  </si>
  <si>
    <t>X001K39VXT</t>
  </si>
  <si>
    <t>B074FWP234</t>
  </si>
  <si>
    <t>Summer Mae Women's Summer Boho Off The Shoulder Floral Embroidered Puffy Casual Dress</t>
  </si>
  <si>
    <t>LYQ-ZQ1428-Y0-S</t>
  </si>
  <si>
    <t>X001K3A7BT</t>
  </si>
  <si>
    <t>B074FVXYZ5</t>
  </si>
  <si>
    <t>LYQ-ZQ1669-B0-L</t>
  </si>
  <si>
    <t>X001JK2OQJ</t>
  </si>
  <si>
    <t>B073S4R4CR</t>
  </si>
  <si>
    <t>LYQ-ZQ1669-B0-M</t>
  </si>
  <si>
    <t>X001K6CHWN</t>
  </si>
  <si>
    <t>B073S4ZN9Q</t>
  </si>
  <si>
    <t>LYQ-ZQ1669-B0-S</t>
  </si>
  <si>
    <t>X001K6BDHD</t>
  </si>
  <si>
    <t>B073S4X67S</t>
  </si>
  <si>
    <t>LYQ-ZQ1880-R0-M</t>
  </si>
  <si>
    <t>X001KPKCQ7</t>
  </si>
  <si>
    <t>B074MTPMFD</t>
  </si>
  <si>
    <t>Lace Mini Dress for Women Party Bodycon Spaghetti Strap Halter Floral Cocktail Dress Red M</t>
  </si>
  <si>
    <t>LYQ-ZQ1880-R0-S</t>
  </si>
  <si>
    <t>X001KPK947</t>
  </si>
  <si>
    <t>B074N1VL93</t>
  </si>
  <si>
    <t>Lace Mini Dress for Women Party Bodycon Spaghetti Strap Halter Floral Cocktail Dress Red S</t>
  </si>
  <si>
    <t>LYQ-ZQ1880-R0-XL</t>
  </si>
  <si>
    <t>X001KP7M4H</t>
  </si>
  <si>
    <t>B074MWWWNP</t>
  </si>
  <si>
    <t>Lace Mini Dress for Women Party Bodycon Spaghetti Strap Halter Floral Cocktail Dress Red XL</t>
  </si>
  <si>
    <t>LYQ-ZQ1880-ZL-M</t>
  </si>
  <si>
    <t>X001KCC2IL</t>
  </si>
  <si>
    <t>B074MZR55T</t>
  </si>
  <si>
    <t>Lace Mini Dress For Women Party Bodycon Spaghetti Strap Halter Floral Cocktail Dress Navy M</t>
  </si>
  <si>
    <t>LYQ-ZQ1880-ZL-S</t>
  </si>
  <si>
    <t>X001KC6QGP</t>
  </si>
  <si>
    <t>B074MZDN1H</t>
  </si>
  <si>
    <t>Lace Mini Dress for Women Party Bodycon Spaghetti Strap Halter Floral Cocktail Dress Navy S</t>
  </si>
  <si>
    <t>LYQ-ZQ1880-ZL-XL</t>
  </si>
  <si>
    <t>X001KC8CUX</t>
  </si>
  <si>
    <t>B074N28J1W</t>
  </si>
  <si>
    <t>Lace Mini Dress for Women Party Bodycon Spaghetti Strap Halter Floral Cocktail Dress Navy XL</t>
  </si>
  <si>
    <t>LYQ-ZQ2973-BD-M</t>
  </si>
  <si>
    <t>X001KC8CPD</t>
  </si>
  <si>
    <t>B01LY4R8RV</t>
  </si>
  <si>
    <t>Womens Knitted Long Sweater Dress Tunic Burgundy M</t>
  </si>
  <si>
    <t>LYQ-ZQ2973-E0-XL</t>
  </si>
  <si>
    <t>X001KXVGYB</t>
  </si>
  <si>
    <t>B01LWI559G</t>
  </si>
  <si>
    <t>Womens Knitted Long Sweater Dress Tunic Grey XL</t>
  </si>
  <si>
    <t>LYQ-ZQ2W00-K0-L</t>
  </si>
  <si>
    <t>X001A8O1CF</t>
  </si>
  <si>
    <t>B01LY5QLVQ</t>
  </si>
  <si>
    <t>WOMEN'S BOUTIQUE Summer Mae Women's Long Sleeve Loose Irregular Hem A-Line Casual Dress …</t>
  </si>
  <si>
    <t>LYQ-ZQ2W00-K0-XL</t>
  </si>
  <si>
    <t>X001A6HXPT</t>
  </si>
  <si>
    <t>B01LX6KKQV</t>
  </si>
  <si>
    <t>LYQ-ZQ3550-PI-2X</t>
  </si>
  <si>
    <t>X001LONJ0X</t>
  </si>
  <si>
    <t>B071FZX1KP</t>
  </si>
  <si>
    <t>LYQ-ZQ8200-FB-L</t>
  </si>
  <si>
    <t>X001EGXOTJ</t>
  </si>
  <si>
    <t>B01LWKSW4Z</t>
  </si>
  <si>
    <t>Women's V-Neck Long Sleeves Wrap Waist Long Kimono Maxi Dress Blue and White L</t>
  </si>
  <si>
    <t>LYQ-ZQ8200-FB-M</t>
  </si>
  <si>
    <t>X001EHEO4H</t>
  </si>
  <si>
    <t>B01M1G9E2V</t>
  </si>
  <si>
    <t>Women's V-Neck Long Sleeves Wrap Waist Long Kimono Maxi Dress Blue and White M</t>
  </si>
  <si>
    <t>LYQ-ZQ8200-P0-L</t>
  </si>
  <si>
    <t>X001E7MK4X</t>
  </si>
  <si>
    <t>B01M0T6MS9</t>
  </si>
  <si>
    <t>Women's V-Neck Long Sleeves Wrap Waist Long Kimono Maxi Dress Purple L</t>
  </si>
  <si>
    <t>LYQ-ZQ8200-P0-M</t>
  </si>
  <si>
    <t>X001DZSILZ</t>
  </si>
  <si>
    <t>B01LZI8HZ2</t>
  </si>
  <si>
    <t>Women's V-Neck Long Sleeves Wrap Waist Long Kimono Maxi Dress Purple M</t>
  </si>
  <si>
    <t>LYQ-ZQ8200-P0-S</t>
  </si>
  <si>
    <t>X001F55SWZ</t>
  </si>
  <si>
    <t>B01M05QDKR</t>
  </si>
  <si>
    <t>Women's V-Neck Long Sleeves Wrap Waist Long Kimono Maxi Dress Purple S</t>
  </si>
  <si>
    <t>LYQ-ZQC910-K0-XL</t>
  </si>
  <si>
    <t>X001JISLGX</t>
  </si>
  <si>
    <t>B074NYF6Q6</t>
  </si>
  <si>
    <t>Summer Mae Women's Fashion Plus Size Long Sleeve Striped V-Neck Pocket T-Shirt Dress</t>
  </si>
  <si>
    <t>LYQ-ZQD270-P0-XL</t>
  </si>
  <si>
    <t>X001KNNC6L</t>
  </si>
  <si>
    <t>B07587KC2D</t>
  </si>
  <si>
    <t>Summer Mae Women's Oversized Knitted Sweater Long Sleeve V-Neck Loose Pullover Dress</t>
  </si>
  <si>
    <t>LYQ-ZQD390-K0-S</t>
  </si>
  <si>
    <t>X001LES8IV</t>
  </si>
  <si>
    <t>B075MB62X5</t>
  </si>
  <si>
    <t>LYQ-ZQMB170005-K0-2X</t>
  </si>
  <si>
    <t>X001JWU5S1</t>
  </si>
  <si>
    <t>B071F3KJKN</t>
  </si>
  <si>
    <t>Summer Mae Women Plus Size Black Cold Shoulder Ruffle Bowknot Sleeve Dress Black X-Large</t>
  </si>
  <si>
    <t>LYQ-ZQMB3811-E0-5X</t>
  </si>
  <si>
    <t>X001KMO1FX</t>
  </si>
  <si>
    <t>B0753DHB1P</t>
  </si>
  <si>
    <t>Summer Mae Women Plus Size Black/Grey Turtleneck Long Sleeve Tunic Sweater Dress US 18-20</t>
  </si>
  <si>
    <t>LYQ-ZQMB3811-E0-6X</t>
  </si>
  <si>
    <t>X001LB4GQR</t>
  </si>
  <si>
    <t>B0753CZWL2</t>
  </si>
  <si>
    <t>LYQ-ZQMB3811-K0-3X</t>
  </si>
  <si>
    <t>X001KROSJH</t>
  </si>
  <si>
    <t>B0753FJDM6</t>
  </si>
  <si>
    <t>LYQ-ZQPC01-E0-L</t>
  </si>
  <si>
    <t>X001LT8HTB</t>
  </si>
  <si>
    <t>B075QG84P4</t>
  </si>
  <si>
    <t>LYQ-ZQPC01-E0-S</t>
  </si>
  <si>
    <t>X001LSB7B7</t>
  </si>
  <si>
    <t>B075QGL2XX</t>
  </si>
  <si>
    <t>LYQ-ZQPC01-E0-XXL</t>
  </si>
  <si>
    <t>X001M0S5PP</t>
  </si>
  <si>
    <t>B075QG5YLG</t>
  </si>
  <si>
    <t>LYQ-ZQPC01-ZL-L</t>
  </si>
  <si>
    <t>X001LT8HSH</t>
  </si>
  <si>
    <t>B075QG6CKV</t>
  </si>
  <si>
    <t>LYQ-ZQS1741-W0-M</t>
  </si>
  <si>
    <t>X001L3FVUZ</t>
  </si>
  <si>
    <t>B075FSS7TQ</t>
  </si>
  <si>
    <t>LYQ-ZQS1741-W0-S</t>
  </si>
  <si>
    <t>X001L3FX67</t>
  </si>
  <si>
    <t>B075FSQW9M</t>
  </si>
  <si>
    <t>MNQ-N718-W0-M</t>
  </si>
  <si>
    <t>X0014PX6ED</t>
  </si>
  <si>
    <t>B01GZPCVVO</t>
  </si>
  <si>
    <t>Summer Jun Women's Long Sleeve Chiffon A-Line Lace Stitching Trim Mini Dress White M</t>
  </si>
  <si>
    <t>PJ-ZQ0976-K0</t>
  </si>
  <si>
    <t>X001NPZBZ1</t>
  </si>
  <si>
    <t>B078JLBC1D</t>
  </si>
  <si>
    <t>Summer Mae Women's Oversized Knitted Cardigan Sweater Herringbone Bohemian Poncho Shawl Black</t>
  </si>
  <si>
    <t>PJ-ZQ0976-O0</t>
  </si>
  <si>
    <t>X001MKD0B9</t>
  </si>
  <si>
    <t>B075V4TRKG</t>
  </si>
  <si>
    <t>Summer Mae Women's Oversized Knitted Cardigan Sweater Herringbone Bohemian Poncho Shawl</t>
  </si>
  <si>
    <t>SHJ-ZQLS12-K0-2XL</t>
  </si>
  <si>
    <t>X001FCDNYD</t>
  </si>
  <si>
    <t>B071NXTGQ7</t>
  </si>
  <si>
    <t>SHJ-ZQLS12-K0-3XL</t>
  </si>
  <si>
    <t>X001FDH3DT</t>
  </si>
  <si>
    <t>B072BRN4WX</t>
  </si>
  <si>
    <t>WT-ZQ921-K0-2XL</t>
  </si>
  <si>
    <t>X001K8M2FD</t>
  </si>
  <si>
    <t>B01M0D9SKE</t>
  </si>
  <si>
    <t>YZ-CFAM005-ARGR-M</t>
  </si>
  <si>
    <t>X001CWBTTH</t>
  </si>
  <si>
    <t>B01N6O3X8C</t>
  </si>
  <si>
    <t>Summer Mae FlYang Women's Long Sleeve Casual Loose Dress,Army Green,M</t>
  </si>
  <si>
    <t>YZ-CL0001-R0-XS</t>
  </si>
  <si>
    <t>X001I660RD</t>
  </si>
  <si>
    <t>B0747GNTLQ</t>
  </si>
  <si>
    <t>Summer Mae Women's High Neck Halter Bikini Set Floral Printing Two Piece Tassel Swimsuits</t>
  </si>
  <si>
    <t>YZ-CL0001-R1-S</t>
  </si>
  <si>
    <t>X001I6R2XT</t>
  </si>
  <si>
    <t>B0747G9VSM</t>
  </si>
  <si>
    <t>YZ-CL0001-R2-M</t>
  </si>
  <si>
    <t>X001I6XN1J</t>
  </si>
  <si>
    <t>B0747PS755</t>
  </si>
  <si>
    <t>YZ-CL0001-R4-XL</t>
  </si>
  <si>
    <t>X001I66127</t>
  </si>
  <si>
    <t>B0747NZWQC</t>
  </si>
  <si>
    <t>YZ-CL0393-B0-M</t>
  </si>
  <si>
    <t>X001GI86CZ</t>
  </si>
  <si>
    <t>B071FT1T1V</t>
  </si>
  <si>
    <t>YZ-CL1717-W0-M</t>
  </si>
  <si>
    <t>X001GW4ZZN</t>
  </si>
  <si>
    <t>B0721B3FJ5</t>
  </si>
  <si>
    <t>Summer Bay Womens's Sexy Halter Triangle Top Bikini Swimwear Bull Print Chic Bikini Set</t>
  </si>
  <si>
    <t>YZ-CL7042-R0-M</t>
  </si>
  <si>
    <t>X001GW2LB3</t>
  </si>
  <si>
    <t>B072WRGSKK</t>
  </si>
  <si>
    <t>YZ-CL7042-ZL-M</t>
  </si>
  <si>
    <t>X001GVV4UN</t>
  </si>
  <si>
    <t>B072WQDBJF</t>
  </si>
  <si>
    <t>YZ-CL912-K0-XL</t>
  </si>
  <si>
    <t>X001GBWWWR</t>
  </si>
  <si>
    <t>B071GQYK3C</t>
  </si>
  <si>
    <t>YZ-CLD072-MU-M</t>
  </si>
  <si>
    <t>X001H7DPRL</t>
  </si>
  <si>
    <t>B073CWHCR4</t>
  </si>
  <si>
    <t>Summer Mae Women's Halter Striped One Piece Swimsuit Backless Bathing Suit</t>
  </si>
  <si>
    <t>YZ-CLD072-MU-S</t>
  </si>
  <si>
    <t>X001H76MCL</t>
  </si>
  <si>
    <t>B073CVM27M</t>
  </si>
  <si>
    <t>Women's Halter Striped One Piece Swimsuit Backless Bathing Suit</t>
  </si>
  <si>
    <t>YZ-HM0669-W0-M</t>
  </si>
  <si>
    <t>X001G4N5BL</t>
  </si>
  <si>
    <t>B072FSB2X8</t>
  </si>
  <si>
    <t>Summer Mae Womens Sexy V Neck Backless One Piece Coconut Palm Tree Print Swimsuit</t>
  </si>
  <si>
    <t>YZ-HM0669-W0-S</t>
  </si>
  <si>
    <t>X001G4NB33</t>
  </si>
  <si>
    <t>B071ZJS9TY</t>
  </si>
  <si>
    <t>YZ-HM111-B0-M</t>
  </si>
  <si>
    <t>X001FZJI1R</t>
  </si>
  <si>
    <t>B07121WQTP</t>
  </si>
  <si>
    <t>YZ-HM111-YH-M</t>
  </si>
  <si>
    <t>X001GI6V9P</t>
  </si>
  <si>
    <t>B072KK64R2</t>
  </si>
  <si>
    <t>YZ-HM1423-Y0-2XL</t>
  </si>
  <si>
    <t>X0014MWISV</t>
  </si>
  <si>
    <t>B01GRSGBRY</t>
  </si>
  <si>
    <t>Unknown</t>
  </si>
  <si>
    <t>YZ-HM1478-Wi-L</t>
  </si>
  <si>
    <t>X001H4UFH7</t>
  </si>
  <si>
    <t>B072N7NGJV</t>
  </si>
  <si>
    <t>YZ-HM1683-BDB0-52</t>
  </si>
  <si>
    <t>X001IFFMPP</t>
  </si>
  <si>
    <t>B01JZ1GPOE</t>
  </si>
  <si>
    <t>Summer Mae Women's One Piece Bathing Suit Slim Tummy Control Swimwear 52 Dot Blue</t>
  </si>
  <si>
    <t>YZ-HM1683-BDG0-54</t>
  </si>
  <si>
    <t>X001G4N0M5</t>
  </si>
  <si>
    <t>B01JZ1GY40</t>
  </si>
  <si>
    <t>Summer Mae Women's One Piece Bathing Suit Slim Tummy Control Swimwear 54 Dot Green</t>
  </si>
  <si>
    <t>YZ-HM1683-ZL-52</t>
  </si>
  <si>
    <t>X001G4L6W1</t>
  </si>
  <si>
    <t>B01JZ1GH5Q</t>
  </si>
  <si>
    <t>Summer Mae Women's One Piece Bathing Suit Slim Tummy Control Swimwear 52 ZL</t>
  </si>
  <si>
    <t>YZ-HM1689-R0-50</t>
  </si>
  <si>
    <t>X001EDDBMR</t>
  </si>
  <si>
    <t>B01IEYL5BG</t>
  </si>
  <si>
    <t>Summer Mae Women's Plus Size Flower Prints Triangle One Piece Swimsuits Red 50</t>
  </si>
  <si>
    <t>YZ-HM1689-R0-52</t>
  </si>
  <si>
    <t>X001EEF1A1</t>
  </si>
  <si>
    <t>B01IEYL7DC</t>
  </si>
  <si>
    <t>Summer Mae Women's Plus Size Flower Prints Triangle One Piece Swimsuits Red 52</t>
  </si>
  <si>
    <t>YZ-HM17-G0-2XL</t>
  </si>
  <si>
    <t>X001D5U4WV</t>
  </si>
  <si>
    <t>B01M9J1UQF</t>
  </si>
  <si>
    <t>YZ-HM17077-B0-L</t>
  </si>
  <si>
    <t>X001ERCVBZ</t>
  </si>
  <si>
    <t>B06XYLTFBH</t>
  </si>
  <si>
    <t>YZ-HM17077-PI-S</t>
  </si>
  <si>
    <t>X001ES3QGD</t>
  </si>
  <si>
    <t>B06XY73NTQ</t>
  </si>
  <si>
    <t>YZ-HM17077-W0-M</t>
  </si>
  <si>
    <t>X001ER7D45</t>
  </si>
  <si>
    <t>B06XYJKYYL</t>
  </si>
  <si>
    <t>YZ-HM17077-W0-XL</t>
  </si>
  <si>
    <t>X001ES3KK5</t>
  </si>
  <si>
    <t>B06XY6ZH8F</t>
  </si>
  <si>
    <t>YZ-HM1757-K0-L</t>
  </si>
  <si>
    <t>X001GHT3W3</t>
  </si>
  <si>
    <t>B071JRNY83</t>
  </si>
  <si>
    <t>YZ-HM1757-K0-M</t>
  </si>
  <si>
    <t>X001GI5Y4D</t>
  </si>
  <si>
    <t>B071WPNKQC</t>
  </si>
  <si>
    <t>YZ-HM1757-K0-XL</t>
  </si>
  <si>
    <t>X001GW1XZD</t>
  </si>
  <si>
    <t>B071JRP9Y6</t>
  </si>
  <si>
    <t>YZ-HM1757-Pi-M</t>
  </si>
  <si>
    <t>X001GIDFWB</t>
  </si>
  <si>
    <t>B071WPRS8L</t>
  </si>
  <si>
    <t>YZ-HM1757-Pi-S</t>
  </si>
  <si>
    <t>X001GXDH2T</t>
  </si>
  <si>
    <t>B07214K5VF</t>
  </si>
  <si>
    <t>YZ-HM1757-Pi-XL</t>
  </si>
  <si>
    <t>X001GXAWSL</t>
  </si>
  <si>
    <t>B072JXZ2R9</t>
  </si>
  <si>
    <t>YZ-HM241-DS-XL</t>
  </si>
  <si>
    <t>X0015KT3KD</t>
  </si>
  <si>
    <t>B01HZ2XLTC</t>
  </si>
  <si>
    <t>Summer Mae Women's Halter Neck Wrap One Piece Padded Tankini Swimsuit Monokini Swimwear Grey 1XL</t>
  </si>
  <si>
    <t>YZ-HM241-G0-M</t>
  </si>
  <si>
    <t>X001B1XPYV</t>
  </si>
  <si>
    <t>B01M4LK8AN</t>
  </si>
  <si>
    <t>YZ-HM241-K0-3XL</t>
  </si>
  <si>
    <t>X001B2LGHN</t>
  </si>
  <si>
    <t>B01HZ2XNAY</t>
  </si>
  <si>
    <t>Summer Mae Women's Halter Neck Wrap One Piece Padded Tankini Swimsuit Monokini Swimwear Black 3XL</t>
  </si>
  <si>
    <t>YZ-HM241-K0-M</t>
  </si>
  <si>
    <t>X0015PSULV</t>
  </si>
  <si>
    <t>B01HZ2XIO0</t>
  </si>
  <si>
    <t>Summer Mae Women's Halter Neck Wrap One Piece Padded Tankini Swimsuit Monokini Swimwear Black M</t>
  </si>
  <si>
    <t>YZ-HM241-R0-2XL</t>
  </si>
  <si>
    <t>X001B2RBU9</t>
  </si>
  <si>
    <t>B01M2ZNWBP</t>
  </si>
  <si>
    <t>YZ-HM241-R0-L</t>
  </si>
  <si>
    <t>X001B413Z1</t>
  </si>
  <si>
    <t>B01MFA5E72</t>
  </si>
  <si>
    <t>YZ-HM241-SH-2XL</t>
  </si>
  <si>
    <t>X001B3CYXR</t>
  </si>
  <si>
    <t>B01IMU4IZC</t>
  </si>
  <si>
    <t>YZ-HM241-SH-3XL</t>
  </si>
  <si>
    <t>X001B2AISV</t>
  </si>
  <si>
    <t>B01IMU4JJW</t>
  </si>
  <si>
    <t>YZ-HM241-SH-5XL</t>
  </si>
  <si>
    <t>X001B3CYY1</t>
  </si>
  <si>
    <t>B01IMU4LYK</t>
  </si>
  <si>
    <t>YZ-HM241-ZL-2XL</t>
  </si>
  <si>
    <t>X001B2CFNH</t>
  </si>
  <si>
    <t>B01M3SC55F</t>
  </si>
  <si>
    <t>Summer Mae Womens Halter Neck Wrap One Piece Padded Tankini Swimsuit Monokini Swimwear,Blue(halter),2X(US size:10-12)</t>
  </si>
  <si>
    <t>YZ-HM241-ZL-3XL</t>
  </si>
  <si>
    <t>X001B2RBTZ</t>
  </si>
  <si>
    <t>B01MAZ1CFG</t>
  </si>
  <si>
    <t>YZ-HM241-ZL-L</t>
  </si>
  <si>
    <t>X001B2LWR7</t>
  </si>
  <si>
    <t>B01M8KQKBA</t>
  </si>
  <si>
    <t>YZ-HM241-ZL-M</t>
  </si>
  <si>
    <t>X001B2RBUJ</t>
  </si>
  <si>
    <t>B01MEHF7UE</t>
  </si>
  <si>
    <t>YZ-HM5036-W0-XL</t>
  </si>
  <si>
    <t>X001DHUJRJ</t>
  </si>
  <si>
    <t>B01J5AL720</t>
  </si>
  <si>
    <t>Summer Mae Women's Plus Size Wrap Bandeau Colorblock Swimdress White XL</t>
  </si>
  <si>
    <t>YZ-HM7035-G0-M</t>
  </si>
  <si>
    <t>X001GXDH33</t>
  </si>
  <si>
    <t>B0721433YC</t>
  </si>
  <si>
    <t>YZ-HM7035-G0-XL</t>
  </si>
  <si>
    <t>X001GX6NQV</t>
  </si>
  <si>
    <t>B07213Q8SN</t>
  </si>
  <si>
    <t>YZ-HM7040-ZL-S</t>
  </si>
  <si>
    <t>X001H7DPRV</t>
  </si>
  <si>
    <t>B072XFCM1L</t>
  </si>
  <si>
    <t>YZ-HMBKN17015-K0-L</t>
  </si>
  <si>
    <t>X001GI8D8H</t>
  </si>
  <si>
    <t>B0722PSKP8</t>
  </si>
  <si>
    <t>YZ-HMBKN17015-K0-M</t>
  </si>
  <si>
    <t>X001GI67HV</t>
  </si>
  <si>
    <t>B072F2R837</t>
  </si>
  <si>
    <t>YZ-HMBKN17015-OR-S</t>
  </si>
  <si>
    <t>X001G4N7LT</t>
  </si>
  <si>
    <t>B071RSHZBJ</t>
  </si>
  <si>
    <t>YZ-HMJ005-K0-L</t>
  </si>
  <si>
    <t>X001CRSX8R</t>
  </si>
  <si>
    <t>B01N3M0QSA</t>
  </si>
  <si>
    <t>Summer Mae Women Fringe Swimsuits Two Pieces Halter Tassels Tankini Bathing Suits</t>
  </si>
  <si>
    <t>YZ-JY2526-R0-XL</t>
  </si>
  <si>
    <t>X001B9EI8F</t>
  </si>
  <si>
    <t>B01MT6CCQX</t>
  </si>
  <si>
    <t>YZ-JY3233-K0-M</t>
  </si>
  <si>
    <t>X0016PY3OX</t>
  </si>
  <si>
    <t>B01J5A1I9W</t>
  </si>
  <si>
    <t>Summer Mae Women's Padded One Piece Vintage Printing Mesh Bikini Swimsuit Black Medium(US Size:6-8)</t>
  </si>
  <si>
    <t>YZ-JY3233-K0-S</t>
  </si>
  <si>
    <t>X0016QO347</t>
  </si>
  <si>
    <t>B01J5A1H6Q</t>
  </si>
  <si>
    <t>Summer Mae Women's Padded One Piece Vintage Printing Mesh Bikini Swimsuit</t>
  </si>
  <si>
    <t>YZ-JY3233-K0-XL</t>
  </si>
  <si>
    <t>X0016QO3F1</t>
  </si>
  <si>
    <t>B01J5A1KEK</t>
  </si>
  <si>
    <t>YZ-JY3233-K0-XS</t>
  </si>
  <si>
    <t>X001AI936T</t>
  </si>
  <si>
    <t>B01NCJBIK7</t>
  </si>
  <si>
    <t>YZ-JY3288-B0-1L</t>
  </si>
  <si>
    <t>X0014H48EX</t>
  </si>
  <si>
    <t>B01G6QHUIG</t>
  </si>
  <si>
    <t>Summer Mae Women's One Piece Printed Lace Swimwear Bathing Swimsuit Large(US size:12-14) Flower</t>
  </si>
  <si>
    <t>YZ-JY5694-K0-3XL</t>
  </si>
  <si>
    <t>X0019HHQID</t>
  </si>
  <si>
    <t>B01M2X9OND</t>
  </si>
  <si>
    <t>YZ-JY5694-K0-4XL</t>
  </si>
  <si>
    <t>X0019NZG9N</t>
  </si>
  <si>
    <t>B01MCTLBRC</t>
  </si>
  <si>
    <t>YZ-JY5694-K0-XL</t>
  </si>
  <si>
    <t>X0019JAWT1</t>
  </si>
  <si>
    <t>B01M5BEDMO</t>
  </si>
  <si>
    <t>YZ-JY7015-R0-XL</t>
  </si>
  <si>
    <t>X001BCIG0N</t>
  </si>
  <si>
    <t>B01M3Y0VZS</t>
  </si>
  <si>
    <t>YZ-JY8419-B0-2XL</t>
  </si>
  <si>
    <t>X0014H553V</t>
  </si>
  <si>
    <t>B01GHBF7L2</t>
  </si>
  <si>
    <t>YZ-JY8419-ZL-2XL</t>
  </si>
  <si>
    <t>X0014H4VVD</t>
  </si>
  <si>
    <t>B01GHBF4SI</t>
  </si>
  <si>
    <t>YZ-SM-HM30CH-L</t>
  </si>
  <si>
    <t>X001AZHZOJ</t>
  </si>
  <si>
    <t>B01M5JZGEH</t>
  </si>
  <si>
    <t>Summer Mae Women's Sexy Colorful One Piece Beachwear Bikini Monokini Swimsuit</t>
  </si>
  <si>
    <t>YZ-SU16103-R0-2XL</t>
  </si>
  <si>
    <t>X001S6TSW7</t>
  </si>
  <si>
    <t>B07D36B2SR</t>
  </si>
  <si>
    <t>Women One Piece Mesh Polka Dot Bathing Suit</t>
  </si>
  <si>
    <t>YZ-SU16103-R0-L</t>
  </si>
  <si>
    <t>X001S6TSWH</t>
  </si>
  <si>
    <t>B07D35ZV5K</t>
  </si>
  <si>
    <t>YZ-SU16103-ZL-2XL</t>
  </si>
  <si>
    <t>X001S89ZZF</t>
  </si>
  <si>
    <t>B07D37R82G</t>
  </si>
  <si>
    <t>YZ-SU1617-BH-4XL</t>
  </si>
  <si>
    <t>X001S8DC6N</t>
  </si>
  <si>
    <t>B07D32YV4G</t>
  </si>
  <si>
    <t>Women One Piece 50s Vintage Halter Swimsuit</t>
  </si>
  <si>
    <t>YZ-SU1617-BH-M</t>
  </si>
  <si>
    <t>X001S8DI8P</t>
  </si>
  <si>
    <t>B07D365CHW</t>
  </si>
  <si>
    <t>YZ-SU1617-BH-XL</t>
  </si>
  <si>
    <t>X001S8D597</t>
  </si>
  <si>
    <t>B07D35DQJY</t>
  </si>
  <si>
    <t>YZ-SU1617-K0-M</t>
  </si>
  <si>
    <t>X001S6L09B</t>
  </si>
  <si>
    <t>B07D35P43Q</t>
  </si>
  <si>
    <t>YZ-SU1617-KH-L</t>
  </si>
  <si>
    <t>X001S6L2CL</t>
  </si>
  <si>
    <t>B07D371RRG</t>
  </si>
  <si>
    <t>YZ-SU1617-KH-M</t>
  </si>
  <si>
    <t>X001S89ZJ1</t>
  </si>
  <si>
    <t>B07D37BXTF</t>
  </si>
  <si>
    <t>YZ-SU1617-ZL-L</t>
  </si>
  <si>
    <t>X001S8A8QZ</t>
  </si>
  <si>
    <t>B07D324TXY</t>
  </si>
  <si>
    <t>YZ-SU1617-ZL-XL</t>
  </si>
  <si>
    <t>X001S8A8R9</t>
  </si>
  <si>
    <t>B07D31NQYT</t>
  </si>
  <si>
    <t>YZ-SU45984-K0-5XL</t>
  </si>
  <si>
    <t>X001S8AD5V</t>
  </si>
  <si>
    <t>B07D35TPTM</t>
  </si>
  <si>
    <t>Women Plus Size One Piece Black Boyshort Swimsuit</t>
  </si>
  <si>
    <t>YZ-SU45984-K0-L</t>
  </si>
  <si>
    <t>X001S8A329</t>
  </si>
  <si>
    <t>B07D37FZPP</t>
  </si>
  <si>
    <t>YZ-SU45984-K0-M</t>
  </si>
  <si>
    <t>X001S8A32J</t>
  </si>
  <si>
    <t>B07D35NS5G</t>
  </si>
  <si>
    <t>YZ-SUA100-G0-XL</t>
  </si>
  <si>
    <t>X001S8DGMD</t>
  </si>
  <si>
    <t>B07D36ZJHZ</t>
  </si>
  <si>
    <t>Women Mesh Printing Tankini Swimsuit</t>
  </si>
  <si>
    <t>YZ-SUBL03-B0-L</t>
  </si>
  <si>
    <t>X001T37R77</t>
  </si>
  <si>
    <t>B07DNY16RV</t>
  </si>
  <si>
    <t>YZ-SUBL03-B0-M</t>
  </si>
  <si>
    <t>X001T3822L</t>
  </si>
  <si>
    <t>B07DNY8PJY</t>
  </si>
  <si>
    <t>YZ-SUBL03-B0-S</t>
  </si>
  <si>
    <t>X001T210RB</t>
  </si>
  <si>
    <t>B07DNXLPTS</t>
  </si>
  <si>
    <t>YZ-SUBL03-B0-XL</t>
  </si>
  <si>
    <t>X001T37WDL</t>
  </si>
  <si>
    <t>B07DNZRXKL</t>
  </si>
  <si>
    <t>YZ-SUBL03-B0-XS</t>
  </si>
  <si>
    <t>X001T37WD1</t>
  </si>
  <si>
    <t>B07DNYR669</t>
  </si>
  <si>
    <t>YZ-SUBL03-K0-XL</t>
  </si>
  <si>
    <t>X001T38587</t>
  </si>
  <si>
    <t>B07DNXSYFS</t>
  </si>
  <si>
    <t>YZ-SUBL03-R2-L</t>
  </si>
  <si>
    <t>X001T2HKFH</t>
  </si>
  <si>
    <t>B07DNYV69N</t>
  </si>
  <si>
    <t>YZ-SUBL03-R2-M</t>
  </si>
  <si>
    <t>X001T2HH9V</t>
  </si>
  <si>
    <t>B07DNX211T</t>
  </si>
  <si>
    <t>YZ-SUBL03-R2-S</t>
  </si>
  <si>
    <t>X001T37ZS3</t>
  </si>
  <si>
    <t>B07DNXLQ64</t>
  </si>
  <si>
    <t>YZ-SUBL03-R2-XL</t>
  </si>
  <si>
    <t>X001T37ZRT</t>
  </si>
  <si>
    <t>B07DNY398H</t>
  </si>
  <si>
    <t>YZ-SUBL03-R2-XS</t>
  </si>
  <si>
    <t>X001T2HKF7</t>
  </si>
  <si>
    <t>B07DNXZ2CM</t>
  </si>
  <si>
    <t>YZ-SULS062-K0-2XL</t>
  </si>
  <si>
    <t>X001S6KNDF</t>
  </si>
  <si>
    <t>B07D34N291</t>
  </si>
  <si>
    <t>Women Pineapple Printing Bikini Tankini Swimsuit</t>
  </si>
  <si>
    <t>YZ-SULS062-K0-L</t>
  </si>
  <si>
    <t>X001S6TR6J</t>
  </si>
  <si>
    <t>B07D3474TR</t>
  </si>
  <si>
    <t>YZ-SULS062-K0-M</t>
  </si>
  <si>
    <t>X001S8DFVZ</t>
  </si>
  <si>
    <t>B07D34LPR8</t>
  </si>
  <si>
    <t>YZ-SULS062-K0-S</t>
  </si>
  <si>
    <t>X001S6L03R</t>
  </si>
  <si>
    <t>B07D358S97</t>
  </si>
  <si>
    <t>YZ-SULS062-K0-XL</t>
  </si>
  <si>
    <t>X001S8AAFJ</t>
  </si>
  <si>
    <t>B07D352K7Y</t>
  </si>
  <si>
    <t>YZ-SUTWA100-K0-2XL</t>
  </si>
  <si>
    <t>X001S87V7T</t>
  </si>
  <si>
    <t>B07D35YPV3</t>
  </si>
  <si>
    <t>Women Plus Size Striped Tankini Swimsuit</t>
  </si>
  <si>
    <t>YZ-SUTWA100-K0-5XL</t>
  </si>
  <si>
    <t>X001S87V7J</t>
  </si>
  <si>
    <t>B07D33Q58D</t>
  </si>
  <si>
    <t>YZ-SUTWA100-K0-L</t>
  </si>
  <si>
    <t>X001S75QW7</t>
  </si>
  <si>
    <t>B07D36L6MD</t>
  </si>
  <si>
    <t>YZ-SUTWA100-K0-M</t>
  </si>
  <si>
    <t>X001S75QWH</t>
  </si>
  <si>
    <t>B07D37QCZK</t>
  </si>
  <si>
    <t>YZ-SUTWA100-K0-S</t>
  </si>
  <si>
    <t>X001S89W0N</t>
  </si>
  <si>
    <t>B07D34X254</t>
  </si>
  <si>
    <t>YZ-SUTWA100-K0-XL</t>
  </si>
  <si>
    <t>X001S6K8OT</t>
  </si>
  <si>
    <t>B07D3778CP</t>
  </si>
  <si>
    <t>YZ-SUXZBL03-B0-L</t>
  </si>
  <si>
    <t>X001TQXKF7</t>
  </si>
  <si>
    <t>B07F6BLFTN</t>
  </si>
  <si>
    <t>YZ-SUXZBL03-K0-S</t>
  </si>
  <si>
    <t>X001TTYEVN</t>
  </si>
  <si>
    <t>B07F8FTX4T</t>
  </si>
  <si>
    <t>YZ-SUXZBL03-R2-S</t>
  </si>
  <si>
    <t>X001TQX21T</t>
  </si>
  <si>
    <t>B07F6HR7YR</t>
  </si>
  <si>
    <t>YZ-SUZQ161-E0-2XL</t>
  </si>
  <si>
    <t>X001R8AV4F</t>
  </si>
  <si>
    <t>B07CH9Y7K5</t>
  </si>
  <si>
    <t>Summer Mae Plus Size Dew Drops Blouson Plus Size Swimwear Tankini</t>
  </si>
  <si>
    <t>YZ-SUZQ161-E0-3XL</t>
  </si>
  <si>
    <t>X001R8BNFV</t>
  </si>
  <si>
    <t>B07CH388TJ</t>
  </si>
  <si>
    <t>YZ-SUZQ161-E0-L</t>
  </si>
  <si>
    <t>X001R8Z9P1</t>
  </si>
  <si>
    <t>B07CHCBML8</t>
  </si>
  <si>
    <t>YZ-SUZQ161-E0-XL</t>
  </si>
  <si>
    <t>X001R8BN8X</t>
  </si>
  <si>
    <t>B07CHD7YDD</t>
  </si>
  <si>
    <t>YZ-SUZQ161-R0-2XL</t>
  </si>
  <si>
    <t>X001R8GR75</t>
  </si>
  <si>
    <t>B07CH38Z1D</t>
  </si>
  <si>
    <t>Summer Mae Plus Size Diamond Blouson Plus Size Swimwear Tankini</t>
  </si>
  <si>
    <t>YZ-SUZQ161-R0-3XL</t>
  </si>
  <si>
    <t>X001R8CPOT</t>
  </si>
  <si>
    <t>B07CH8N96M</t>
  </si>
  <si>
    <t>YZ-SUZQ161-R0-L</t>
  </si>
  <si>
    <t>X001R8CL6B</t>
  </si>
  <si>
    <t>B07CHBJLT7</t>
  </si>
  <si>
    <t>YZ-SUZQ161-R0-XL</t>
  </si>
  <si>
    <t>X001R8YT07</t>
  </si>
  <si>
    <t>B07CH8BG9T</t>
  </si>
  <si>
    <t>YZ-SUZQ161-Y0-2XL</t>
  </si>
  <si>
    <t>X001R8CPP3</t>
  </si>
  <si>
    <t>B07CH8ZYWP</t>
  </si>
  <si>
    <t>Summer Mae Plus Size Yellow Floral Print Blouson Plus Size Swimwear Tankini Top &amp; Boyshort</t>
  </si>
  <si>
    <t>YZ-SUZQ161-Y0-3XL</t>
  </si>
  <si>
    <t>X001R8CPPD</t>
  </si>
  <si>
    <t>B07CHBP1PW</t>
  </si>
  <si>
    <t>YZ-SUZQ161-Y0-L</t>
  </si>
  <si>
    <t>X001R8YT0H</t>
  </si>
  <si>
    <t>B07CH78752</t>
  </si>
  <si>
    <t>YZ-SUZQ161-Y0-XL</t>
  </si>
  <si>
    <t>X001R8Z68B</t>
  </si>
  <si>
    <t>B07CHBJS4Y</t>
  </si>
  <si>
    <t>YZ-SUZQ172-B0-L</t>
  </si>
  <si>
    <t>X001RA4TL9</t>
  </si>
  <si>
    <t>B07CJXQH2R</t>
  </si>
  <si>
    <t>YZ-SUZQ172-B0-M</t>
  </si>
  <si>
    <t>X001R9LT59</t>
  </si>
  <si>
    <t>B07CJ1JD3F</t>
  </si>
  <si>
    <t>YZ-SUZQ172-B0-S</t>
  </si>
  <si>
    <t>X001R9I52T</t>
  </si>
  <si>
    <t>B07CJ1NH2F</t>
  </si>
  <si>
    <t>YZ-SUZQ172-B0-XL</t>
  </si>
  <si>
    <t>X001R9LTIL</t>
  </si>
  <si>
    <t>B07CJ811T6</t>
  </si>
  <si>
    <t>YZ-SUZQ172-K0-L</t>
  </si>
  <si>
    <t>X001R9LTIB</t>
  </si>
  <si>
    <t>B07CJ3GRHK</t>
  </si>
  <si>
    <t>YZ-SUZQ172-K0-M</t>
  </si>
  <si>
    <t>X001R9756B</t>
  </si>
  <si>
    <t>B07CJVVBTX</t>
  </si>
  <si>
    <t>YZ-SUZQ172-K0-S</t>
  </si>
  <si>
    <t>X001RA35T1</t>
  </si>
  <si>
    <t>B07CJ19WPM</t>
  </si>
  <si>
    <t>YZ-SUZQ172-K0-XL</t>
  </si>
  <si>
    <t>X001R9I5BF</t>
  </si>
  <si>
    <t>B07CJZ6LZZ</t>
  </si>
  <si>
    <t>YZ-SUZQ172-R0-L</t>
  </si>
  <si>
    <t>X001R9I5FL</t>
  </si>
  <si>
    <t>B07CJTGLX7</t>
  </si>
  <si>
    <t>YZ-SUZQ172-R0-M</t>
  </si>
  <si>
    <t>X001R9LTI1</t>
  </si>
  <si>
    <t>B07CJ3GR8G</t>
  </si>
  <si>
    <t>YZ-SUZQ172-R0-S</t>
  </si>
  <si>
    <t>X001R9I5FV</t>
  </si>
  <si>
    <t>B07CJ387X7</t>
  </si>
  <si>
    <t>YZ-SUZQ172-R0-XL</t>
  </si>
  <si>
    <t>X001RA4BT9</t>
  </si>
  <si>
    <t>B07CJDBBSS</t>
  </si>
  <si>
    <t>YZ-SUZQ173-K0-2XL</t>
  </si>
  <si>
    <t>X001RA4BSP</t>
  </si>
  <si>
    <t>B07CJ1PTQ5</t>
  </si>
  <si>
    <t>YZ-SUZQ173-K0-3XL</t>
  </si>
  <si>
    <t>X001RA53UP</t>
  </si>
  <si>
    <t>B07CJYCGGS</t>
  </si>
  <si>
    <t>YZ-SUZQ173-K0-L</t>
  </si>
  <si>
    <t>X001RA4TKZ</t>
  </si>
  <si>
    <t>B07CJ9RWQ6</t>
  </si>
  <si>
    <t>YZ-SUZQ173-K0-M</t>
  </si>
  <si>
    <t>X001RA4955</t>
  </si>
  <si>
    <t>B07CJ1PWZB</t>
  </si>
  <si>
    <t>YZ-SUZQ173-K0-S</t>
  </si>
  <si>
    <t>X001RA53UZ</t>
  </si>
  <si>
    <t>B07CJ6WLGG</t>
  </si>
  <si>
    <t>YZ-SUZQ173-K0-XL</t>
  </si>
  <si>
    <t>X001R9I2FJ</t>
  </si>
  <si>
    <t>B07CJF5LQT</t>
  </si>
  <si>
    <t>YZ-SUZQ173-NB-2XL</t>
  </si>
  <si>
    <t>X001RA530P</t>
  </si>
  <si>
    <t>B07CJ3C2XG</t>
  </si>
  <si>
    <t>YZ-SUZQ173-NB-3XL</t>
  </si>
  <si>
    <t>X001R9I5BZ</t>
  </si>
  <si>
    <t>B07CJY9W65</t>
  </si>
  <si>
    <t>YZ-SUZQ173-NB-L</t>
  </si>
  <si>
    <t>X001R9I52J</t>
  </si>
  <si>
    <t>B07CK18FMX</t>
  </si>
  <si>
    <t>YZ-SUZQ173-NB-M</t>
  </si>
  <si>
    <t>X001R9AZTF</t>
  </si>
  <si>
    <t>B07CJF3483</t>
  </si>
  <si>
    <t>YZ-SUZQ173-NB-S</t>
  </si>
  <si>
    <t>X001RA35SR</t>
  </si>
  <si>
    <t>B07CJ9Y3C3</t>
  </si>
  <si>
    <t>YZ-SUZQ173-NB-XL</t>
  </si>
  <si>
    <t>X001RA6FHP</t>
  </si>
  <si>
    <t>B07CJ1NH59</t>
  </si>
  <si>
    <t>YZ-SUZQ173-R0-2XL</t>
  </si>
  <si>
    <t>X001RA6FHF</t>
  </si>
  <si>
    <t>B07CJ9RZB4</t>
  </si>
  <si>
    <t>YZ-SUZQ173-R0-3XL</t>
  </si>
  <si>
    <t>X001RA4BSZ</t>
  </si>
  <si>
    <t>B07CK1NZ6H</t>
  </si>
  <si>
    <t>YZ-SUZQ173-R0-L</t>
  </si>
  <si>
    <t>X001RA4TLJ</t>
  </si>
  <si>
    <t>B07CJ5MBL8</t>
  </si>
  <si>
    <t>YZ-SUZQ173-R0-M</t>
  </si>
  <si>
    <t>X001R9I5B5</t>
  </si>
  <si>
    <t>B07CJ1SD2Z</t>
  </si>
  <si>
    <t>YZ-SUZQ173-R0-S</t>
  </si>
  <si>
    <t>X001RA6FHZ</t>
  </si>
  <si>
    <t>B07CJ9NLVW</t>
  </si>
  <si>
    <t>YZ-SUZQ173-R0-XL</t>
  </si>
  <si>
    <t>X001RA35TL</t>
  </si>
  <si>
    <t>B07CJ8246X</t>
  </si>
  <si>
    <t>YZ-SUZQ173-SB-2XL</t>
  </si>
  <si>
    <t>X001R97561</t>
  </si>
  <si>
    <t>B07CJ9XRWF</t>
  </si>
  <si>
    <t>YZ-SUZQ173-SB-3XL</t>
  </si>
  <si>
    <t>X001RA35TB</t>
  </si>
  <si>
    <t>B07CJYKKVS</t>
  </si>
  <si>
    <t>YZ-SUZQ173-SB-L</t>
  </si>
  <si>
    <t>X001RA4TKP</t>
  </si>
  <si>
    <t>B07CJCZQJD</t>
  </si>
  <si>
    <t>YZ-SUZQ173-SB-M</t>
  </si>
  <si>
    <t>X001RA495F</t>
  </si>
  <si>
    <t>B07CJ1Q3FM</t>
  </si>
  <si>
    <t>YZ-SUZQ173-SB-S</t>
  </si>
  <si>
    <t>X001R9I5BP</t>
  </si>
  <si>
    <t>B07CJ389VG</t>
  </si>
  <si>
    <t>YZ-SUZQ173-SB-XL</t>
  </si>
  <si>
    <t>X001RA4TLT</t>
  </si>
  <si>
    <t>B07CJ7X284</t>
  </si>
  <si>
    <t>YZ-SUZQ187-K0-2X</t>
  </si>
  <si>
    <t>X001R8PJVP</t>
  </si>
  <si>
    <t>B07CH3G195</t>
  </si>
  <si>
    <t>YZ-SUZQ187-K0-4X</t>
  </si>
  <si>
    <t>X001R8CKRL</t>
  </si>
  <si>
    <t>B07CH72K5P</t>
  </si>
  <si>
    <t>YZ-SUZQ187-K0-5X</t>
  </si>
  <si>
    <t>X001R8PT15</t>
  </si>
  <si>
    <t>B07CHFZ9KK</t>
  </si>
  <si>
    <t>YZ-SUZQ187-K0-L</t>
  </si>
  <si>
    <t>X001R8PTE7</t>
  </si>
  <si>
    <t>B07CJPP2HT</t>
  </si>
  <si>
    <t>YZ-SUZQ187-K0-M</t>
  </si>
  <si>
    <t>X001R8AQJZ</t>
  </si>
  <si>
    <t>B07CJWY9N9</t>
  </si>
  <si>
    <t>YZ-SUZQ187-K0-S</t>
  </si>
  <si>
    <t>X001R8Z6CR</t>
  </si>
  <si>
    <t>B07CH3G196</t>
  </si>
  <si>
    <t>YZ-SUZQ187-K0-XL</t>
  </si>
  <si>
    <t>X001R8PTDX</t>
  </si>
  <si>
    <t>B07CH91KDL</t>
  </si>
  <si>
    <t>YZ-SUZQ388-K0-S</t>
  </si>
  <si>
    <t>X001QGSM53</t>
  </si>
  <si>
    <t>B07C97VM95</t>
  </si>
  <si>
    <t>YZ-SUZQ598-R0-2XL</t>
  </si>
  <si>
    <t>X001QC2T47</t>
  </si>
  <si>
    <t>B07BMT2LDQ</t>
  </si>
  <si>
    <t>Summer Mae Women American Stars and Stripes Flag Open-Back Red White Blue Tankini Top &amp; Bottom</t>
  </si>
  <si>
    <t>YZ-SUZQ598-R0-3XL</t>
  </si>
  <si>
    <t>X001QCJ05X</t>
  </si>
  <si>
    <t>B07BMQRTNW</t>
  </si>
  <si>
    <t>YZ-SUZQ598-R0-5XL</t>
  </si>
  <si>
    <t>X001QCJ067</t>
  </si>
  <si>
    <t>B07BMT1VTS</t>
  </si>
  <si>
    <t>YZ-SUZQ598-R0-L</t>
  </si>
  <si>
    <t>X001QCHF91</t>
  </si>
  <si>
    <t>B07BMQKB6S</t>
  </si>
  <si>
    <t>YZ-SUZQ598-R0-XL</t>
  </si>
  <si>
    <t>X001QBVKM5</t>
  </si>
  <si>
    <t>B07BMPP7H3</t>
  </si>
  <si>
    <t>YZ-SUZQ733-K0-2XL</t>
  </si>
  <si>
    <t>X001R9SHBD</t>
  </si>
  <si>
    <t>B07CHBVGJK</t>
  </si>
  <si>
    <t>YZ-SUZQ733-K0-3XL</t>
  </si>
  <si>
    <t>X001R9PD5V</t>
  </si>
  <si>
    <t>B07CJQYFH5</t>
  </si>
  <si>
    <t>YZ-SUZQ733-K0-L</t>
  </si>
  <si>
    <t>X001RA76A5</t>
  </si>
  <si>
    <t>B07CHHGQGL</t>
  </si>
  <si>
    <t>YZ-SUZQ733-K0-M</t>
  </si>
  <si>
    <t>X001R9BRGP</t>
  </si>
  <si>
    <t>B07CHFKQRL</t>
  </si>
  <si>
    <t>YZ-SUZQ733-K0-S</t>
  </si>
  <si>
    <t>X001RA7D35</t>
  </si>
  <si>
    <t>B07CH9955Q</t>
  </si>
  <si>
    <t>YZ-SUZQ733-K0-XL</t>
  </si>
  <si>
    <t>X001R9SH6D</t>
  </si>
  <si>
    <t>B07CHFZBFJ</t>
  </si>
  <si>
    <t>YZ-SUZQ733-NB-2XL</t>
  </si>
  <si>
    <t>X001R9S9GB</t>
  </si>
  <si>
    <t>B07CHH1ZF7</t>
  </si>
  <si>
    <t>YZ-SUZQ733-NB-3XL</t>
  </si>
  <si>
    <t>X001R9SH6N</t>
  </si>
  <si>
    <t>B07CHG6ZJL</t>
  </si>
  <si>
    <t>YZ-SUZQ733-NB-L</t>
  </si>
  <si>
    <t>X001R9PCVV</t>
  </si>
  <si>
    <t>B07CJRBMM7</t>
  </si>
  <si>
    <t>YZ-SUZQ733-NB-M</t>
  </si>
  <si>
    <t>X001R9SHDB</t>
  </si>
  <si>
    <t>B07CHH8T9K</t>
  </si>
  <si>
    <t>YZ-SUZQ733-NB-S</t>
  </si>
  <si>
    <t>X001R9E8X9</t>
  </si>
  <si>
    <t>B07CHFWQ3Z</t>
  </si>
  <si>
    <t>YZ-SUZQ733-NB-XL</t>
  </si>
  <si>
    <t>X001R9PCW5</t>
  </si>
  <si>
    <t>B07CHCMWRN</t>
  </si>
  <si>
    <t>YZ-SUZQ733-R0-2XL</t>
  </si>
  <si>
    <t>X001R9SHDL</t>
  </si>
  <si>
    <t>B07CHD9PBZ</t>
  </si>
  <si>
    <t>YZ-SUZQ733-R0-3XL</t>
  </si>
  <si>
    <t>X001R9S4HF</t>
  </si>
  <si>
    <t>B07CHCB27B</t>
  </si>
  <si>
    <t>YZ-SUZQ733-R0-L</t>
  </si>
  <si>
    <t>X001R9SHB3</t>
  </si>
  <si>
    <t>B07CHLJ63K</t>
  </si>
  <si>
    <t>YZ-SUZQ733-R0-M</t>
  </si>
  <si>
    <t>X001R9PD5L</t>
  </si>
  <si>
    <t>B07CHGDCPY</t>
  </si>
  <si>
    <t>YZ-SUZQ733-R0-S</t>
  </si>
  <si>
    <t>X001R9E8WP</t>
  </si>
  <si>
    <t>B07CHGT6L1</t>
  </si>
  <si>
    <t>YZ-SUZQ733-R0-XL</t>
  </si>
  <si>
    <t>X001RA9923</t>
  </si>
  <si>
    <t>B07CHGQNH4</t>
  </si>
  <si>
    <t>YZ-SUZQ733-SB-2XL</t>
  </si>
  <si>
    <t>X001R9BRGZ</t>
  </si>
  <si>
    <t>B07CHC4M19</t>
  </si>
  <si>
    <t>YZ-SUZQ733-SB-3XL</t>
  </si>
  <si>
    <t>X001R9BRGF</t>
  </si>
  <si>
    <t>B07CHF7MPT</t>
  </si>
  <si>
    <t>YZ-SUZQ733-SB-L</t>
  </si>
  <si>
    <t>X001R9E8XJ</t>
  </si>
  <si>
    <t>B07CHGT6L6</t>
  </si>
  <si>
    <t>YZ-SUZQ733-SB-M</t>
  </si>
  <si>
    <t>X001RA769L</t>
  </si>
  <si>
    <t>B07CHJVSW9</t>
  </si>
  <si>
    <t>YZ-SUZQ733-SB-S</t>
  </si>
  <si>
    <t>X001R9S9BB</t>
  </si>
  <si>
    <t>B07CHJFW78</t>
  </si>
  <si>
    <t>YZ-SUZQ733-SB-XL</t>
  </si>
  <si>
    <t>X001R9E8WZ</t>
  </si>
  <si>
    <t>B07CHDYG1P</t>
  </si>
  <si>
    <t>YZ-SUZQ9441-K0-L</t>
  </si>
  <si>
    <t>X001QA29E9</t>
  </si>
  <si>
    <t>B07B8NQ96W</t>
  </si>
  <si>
    <t>YZ-SUZQ9441-K0-XL</t>
  </si>
  <si>
    <t>X001Q95LT5</t>
  </si>
  <si>
    <t>B07B8JNKXH</t>
  </si>
  <si>
    <t>YZ-SUZQBL03-B0-S</t>
  </si>
  <si>
    <t>X001QXK0UV</t>
  </si>
  <si>
    <t>B07C2THD9D</t>
  </si>
  <si>
    <t>YZ-SUZQBL03-K0-2X</t>
  </si>
  <si>
    <t>X001QXZ1KF</t>
  </si>
  <si>
    <t>B07C2TPXH2</t>
  </si>
  <si>
    <t>YZ-SUZQBL03-K0-L</t>
  </si>
  <si>
    <t>X001QXYXLX</t>
  </si>
  <si>
    <t>B07C33GLGD</t>
  </si>
  <si>
    <t>YZ-SUZQBL03-K0-M</t>
  </si>
  <si>
    <t>X001QYLQQ7</t>
  </si>
  <si>
    <t>B07C315RX4</t>
  </si>
  <si>
    <t>YZ-SUZQBL03-K0-XL</t>
  </si>
  <si>
    <t>X001QYLQQH</t>
  </si>
  <si>
    <t>B07C33Y4BX</t>
  </si>
  <si>
    <t>YZ-SUZQBL03-R2-2X</t>
  </si>
  <si>
    <t>X001S9C32B</t>
  </si>
  <si>
    <t>B07D49GLC3</t>
  </si>
  <si>
    <t>YZ-SUZQBL03-R2-L</t>
  </si>
  <si>
    <t>X001S9C32L</t>
  </si>
  <si>
    <t>B07D4B2SC5</t>
  </si>
  <si>
    <t>YZ-SUZQBL03-R2-M</t>
  </si>
  <si>
    <t>X001SAABR9</t>
  </si>
  <si>
    <t>B07D49XT2D</t>
  </si>
  <si>
    <t>YZ-SUZQBL03-R2-S</t>
  </si>
  <si>
    <t>X001S9C7SV</t>
  </si>
  <si>
    <t>B07D49HX8J</t>
  </si>
  <si>
    <t>YZ-SUZQBL03-R2-XL</t>
  </si>
  <si>
    <t>X001SA98PZ</t>
  </si>
  <si>
    <t>B07D49SG55</t>
  </si>
  <si>
    <t>YZ-WHZ766-R0-L</t>
  </si>
  <si>
    <t>X001GTPK6T</t>
  </si>
  <si>
    <t>B07315KZWG</t>
  </si>
  <si>
    <t>Summer Mae Women's Bikini Set Padded Patriotic Swimwear American Flag Fringe Tassel Swimsuits</t>
  </si>
  <si>
    <t>YZ-WHZ766-R0-XL</t>
  </si>
  <si>
    <t>X001GRHP6J</t>
  </si>
  <si>
    <t>B07316FMFN</t>
  </si>
  <si>
    <t>YZ-ZQ-18745K0-S</t>
  </si>
  <si>
    <t>X001FZ64AF</t>
  </si>
  <si>
    <t>B072C5MHBZ</t>
  </si>
  <si>
    <t>Summer Mae Women′s Maternity Pregnancy V-Neck Paisley Tankini Swimsuit</t>
  </si>
  <si>
    <t>YZ-ZQ0707-ORTW-XL</t>
  </si>
  <si>
    <t>X001JDY2WF</t>
  </si>
  <si>
    <t>B072XHG5TP</t>
  </si>
  <si>
    <t>YZ-ZQ0707-PITW-XL</t>
  </si>
  <si>
    <t>X001JDY725</t>
  </si>
  <si>
    <t>B072XHF543</t>
  </si>
  <si>
    <t>YZ-ZQ112B0XL</t>
  </si>
  <si>
    <t>X0014LFUCN</t>
  </si>
  <si>
    <t>B01GCGA6TU</t>
  </si>
  <si>
    <t>Summer Mae Backless One Piece Monokini Halter Pad Bikini Swimsuits Swimwear L NavyBlue</t>
  </si>
  <si>
    <t>YZ-ZQ1197-KW-L</t>
  </si>
  <si>
    <t>X001HPRSRV</t>
  </si>
  <si>
    <t>B071XCQWMX</t>
  </si>
  <si>
    <t>YZ-ZQ1197-W0-M</t>
  </si>
  <si>
    <t>X001HGPAD9</t>
  </si>
  <si>
    <t>B0721SV43N</t>
  </si>
  <si>
    <t>Summer Mae Women's Plus Size V-Neck Black Tankini Flowy Swimsuit</t>
  </si>
  <si>
    <t>YZ-ZQ14578-K0-3X</t>
  </si>
  <si>
    <t>X001HXUULT</t>
  </si>
  <si>
    <t>B072JVZFVF</t>
  </si>
  <si>
    <t>YZ-ZQ1519-K0-2X</t>
  </si>
  <si>
    <t>X001GW4ZZ3</t>
  </si>
  <si>
    <t>B071GQZ7YX</t>
  </si>
  <si>
    <t>Summer Mae Women's Plus Size Striped Two Piece Black Bowknot Tankini Tank Top &amp; Bottom 2X(US size:12-14)</t>
  </si>
  <si>
    <t>YZ-ZQ1521BF3XL</t>
  </si>
  <si>
    <t>X0018Z8N0L</t>
  </si>
  <si>
    <t>B01GJPD5GA</t>
  </si>
  <si>
    <t>YZ-ZQ1521BL5XL</t>
  </si>
  <si>
    <t>X0014LFUCX</t>
  </si>
  <si>
    <t>B01GJPBHRY</t>
  </si>
  <si>
    <t>YZ-ZQ1521GF4XL</t>
  </si>
  <si>
    <t>X0014N7TNJ</t>
  </si>
  <si>
    <t>B01GJPDHY0</t>
  </si>
  <si>
    <t>YZ-ZQ1521RF5XL</t>
  </si>
  <si>
    <t>X0015A23KP</t>
  </si>
  <si>
    <t>B01GJPCWIW</t>
  </si>
  <si>
    <t>Summer Mae Women's One Piece Bathing Suit Tankini Swimdress Cover up Swimsuit XL RED</t>
  </si>
  <si>
    <t>YZ-ZQ1521RL5XL</t>
  </si>
  <si>
    <t>X0015L1AC1</t>
  </si>
  <si>
    <t>B01GJPC3KE</t>
  </si>
  <si>
    <t>YZ-ZQ15827B05XL</t>
  </si>
  <si>
    <t>X001917G6V</t>
  </si>
  <si>
    <t>B01M63S2EX</t>
  </si>
  <si>
    <t>YZ-ZQ15827BS2XL</t>
  </si>
  <si>
    <t>X001BQTU0J</t>
  </si>
  <si>
    <t>B01N7QCQ1E</t>
  </si>
  <si>
    <t>YZ-ZQ15827BS3XL</t>
  </si>
  <si>
    <t>X001BTQCSJ</t>
  </si>
  <si>
    <t>B01N7QD931</t>
  </si>
  <si>
    <t>YZ-ZQ15827BS5XL</t>
  </si>
  <si>
    <t>X001BT77UV</t>
  </si>
  <si>
    <t>B01MR44UPW</t>
  </si>
  <si>
    <t>YZ-ZQ15827BSXL</t>
  </si>
  <si>
    <t>X001BWO1K7</t>
  </si>
  <si>
    <t>B01N0Z0LFC</t>
  </si>
  <si>
    <t>YZ-ZQ15827R22XL</t>
  </si>
  <si>
    <t>X0015JVF37</t>
  </si>
  <si>
    <t>B01ID5EIO2</t>
  </si>
  <si>
    <t>YZ-ZQ15827R23XL</t>
  </si>
  <si>
    <t>X0015KD0VL</t>
  </si>
  <si>
    <t>B01ID5EK2C</t>
  </si>
  <si>
    <t>YZ-ZQ15827R24XL</t>
  </si>
  <si>
    <t>X0015KUJDD</t>
  </si>
  <si>
    <t>B01ID5ENI8</t>
  </si>
  <si>
    <t>YZ-ZQ15827R25XL</t>
  </si>
  <si>
    <t>X0015PV2JD</t>
  </si>
  <si>
    <t>B01ID5EXA6</t>
  </si>
  <si>
    <t>YZ-ZQ15827W03XL</t>
  </si>
  <si>
    <t>X0015JVW71</t>
  </si>
  <si>
    <t>B01ID5ECQ6</t>
  </si>
  <si>
    <t>YZ-ZQ15827W04XL</t>
  </si>
  <si>
    <t>X0015MLB7J</t>
  </si>
  <si>
    <t>B01ID5EFL8</t>
  </si>
  <si>
    <t>YZ-ZQ15905-K0-2X</t>
  </si>
  <si>
    <t>X001F3NJFF</t>
  </si>
  <si>
    <t>B06ZZ5TKNQ</t>
  </si>
  <si>
    <t>YZ-ZQ15905-K0-4X</t>
  </si>
  <si>
    <t>X001H7CR8T</t>
  </si>
  <si>
    <t>B06Y62MZM6</t>
  </si>
  <si>
    <t>Summer Mae Women's Black Mesh Swimwear Two Piece Halter Tankini Top &amp; Bottom, Size 4XL</t>
  </si>
  <si>
    <t>YZ-ZQ15905-K0-5X</t>
  </si>
  <si>
    <t>X001I6XNRN</t>
  </si>
  <si>
    <t>B071CDFSFR</t>
  </si>
  <si>
    <t>YZ-ZQ15905-K0-L</t>
  </si>
  <si>
    <t>X001GKVPOT</t>
  </si>
  <si>
    <t>B071CDC3YZ</t>
  </si>
  <si>
    <t>YZ-ZQ15905-K0-M</t>
  </si>
  <si>
    <t>X001F3NHUR</t>
  </si>
  <si>
    <t>B071CDDRHX</t>
  </si>
  <si>
    <t>YZ-ZQ15905-K0-XL</t>
  </si>
  <si>
    <t>X001F4UXNZ</t>
  </si>
  <si>
    <t>B06Y6NFQS5</t>
  </si>
  <si>
    <t>YZ-ZQ15905-W0-2X</t>
  </si>
  <si>
    <t>X001F59XG7</t>
  </si>
  <si>
    <t>B06ZZG49ZW</t>
  </si>
  <si>
    <t>YZ-ZQ15905-W0-3X</t>
  </si>
  <si>
    <t>X001GL95XL</t>
  </si>
  <si>
    <t>B06Y66Z7N5</t>
  </si>
  <si>
    <t>YZ-ZQ15905-W0-4X</t>
  </si>
  <si>
    <t>X001GKY5C3</t>
  </si>
  <si>
    <t>B06ZZG6KGY</t>
  </si>
  <si>
    <t>YZ-ZQ15905-W0-5X</t>
  </si>
  <si>
    <t>X001GL9EKF</t>
  </si>
  <si>
    <t>B06Y6L14GL</t>
  </si>
  <si>
    <t>YZ-ZQ15905-W0-S</t>
  </si>
  <si>
    <t>X001F3NJBJ</t>
  </si>
  <si>
    <t>B06ZZG68SC</t>
  </si>
  <si>
    <t>YZ-ZQ15919-B0-4X</t>
  </si>
  <si>
    <t>X001H12S5H</t>
  </si>
  <si>
    <t>B07193YJ6Z</t>
  </si>
  <si>
    <t>Summer Mae Women's Plus Size Navy Polka Dot Two Piece Tankini Tank Top &amp; Belted Bottom</t>
  </si>
  <si>
    <t>YZ-ZQ15919-B0-5X</t>
  </si>
  <si>
    <t>X001H12A69</t>
  </si>
  <si>
    <t>B0716JJZFV</t>
  </si>
  <si>
    <t>YZ-ZQ15919-B0-S</t>
  </si>
  <si>
    <t>X001F4ABFZ</t>
  </si>
  <si>
    <t>B072F2NPVP</t>
  </si>
  <si>
    <t>YZ-ZQ15921-B0-3X</t>
  </si>
  <si>
    <t>X001GU23RH</t>
  </si>
  <si>
    <t>B071CL9WTT</t>
  </si>
  <si>
    <t>YZ-ZQ15921-B0-4X</t>
  </si>
  <si>
    <t>X001GTRM0B</t>
  </si>
  <si>
    <t>B071D5BWZ6</t>
  </si>
  <si>
    <t>YZ-ZQ15921-P0-3X</t>
  </si>
  <si>
    <t>X001GU1WDX</t>
  </si>
  <si>
    <t>B071D5C3V9</t>
  </si>
  <si>
    <t>YZ-ZQ15921-R0-XL</t>
  </si>
  <si>
    <t>X001HYVKVR</t>
  </si>
  <si>
    <t>B071CLB473</t>
  </si>
  <si>
    <t>YZ-ZQ16103R0L</t>
  </si>
  <si>
    <t>X001F8SYKF</t>
  </si>
  <si>
    <t>B01IQP5CUS</t>
  </si>
  <si>
    <t>Summer Mae Women's Vintage Floral Polka Dot One Piece Swimwear Cover Up Swimdress L Red</t>
  </si>
  <si>
    <t>YZ-ZQ16103ZLL</t>
  </si>
  <si>
    <t>X001CYL5FN</t>
  </si>
  <si>
    <t>B01IQP4W5Y</t>
  </si>
  <si>
    <t>Summer Mae Women's Vintage Floral Polka Dot One Piece Swimwear Cover Up Swimdress L Blue</t>
  </si>
  <si>
    <t>YZ-ZQ1617-BH-XL</t>
  </si>
  <si>
    <t>X001EMJLVX</t>
  </si>
  <si>
    <t>B01N6NMRAM</t>
  </si>
  <si>
    <t>Summer Mae 50s Elegant Inspired Retro Vintage One Piece Pin Up Monokinis Swimsuit,Red and Floral,Medium2(US size:8-10)</t>
  </si>
  <si>
    <t>YZ-ZQ1617-KH-3XL</t>
  </si>
  <si>
    <t>X001DC9VYB</t>
  </si>
  <si>
    <t>B01N4KSFCJ</t>
  </si>
  <si>
    <t>Summer Mae 50s Elegant Inspired Retro Vintage One Piece Pin Up Monokinis Swimsuit,Black and Floral,X-Large1(US size:14-16)</t>
  </si>
  <si>
    <t>YZ-ZQ1617-KH-4XL</t>
  </si>
  <si>
    <t>X001DIJ1C7</t>
  </si>
  <si>
    <t>B01NAPZ2X1</t>
  </si>
  <si>
    <t>Summer Mae 50s Elegant Inspired Retro Vintage One Piece Pin Up Monokinis Swimsuit,Black and Floral,X-Large2(US size:16-18)</t>
  </si>
  <si>
    <t>YZ-ZQ1617-KH-M</t>
  </si>
  <si>
    <t>X001EMJLS1</t>
  </si>
  <si>
    <t>B01NBRG6IY</t>
  </si>
  <si>
    <t>Summer Mae 50s Elegant Inspired Retro Vintage One Piece Pin Up Monokinis Swimsuit,Black and Floral,Small(US size:4-6)</t>
  </si>
  <si>
    <t>YZ-ZQ1617K0L</t>
  </si>
  <si>
    <t>X0014NP1TX</t>
  </si>
  <si>
    <t>B01EJI4ON2</t>
  </si>
  <si>
    <t>Summer Mae 50s Elegant Inspired Retro Vintage One Piece Pin Up Monokinis Swimsuit,Black,Medium1(US size:6-8)</t>
  </si>
  <si>
    <t>YZ-ZQ1617ZL2XL</t>
  </si>
  <si>
    <t>X00156IUGP</t>
  </si>
  <si>
    <t>B01FM4ZIQ4</t>
  </si>
  <si>
    <t>Summer Mae 50s Elegant Inspired Retro Vintage One Piece Pin Up Monokinis Swimsuit,Navy Blue,Large(US size:12-14)</t>
  </si>
  <si>
    <t>YZ-ZQ1617ZLL</t>
  </si>
  <si>
    <t>X00152HHXB</t>
  </si>
  <si>
    <t>B01EJI50HG</t>
  </si>
  <si>
    <t>Summer Mae 50s Elegant Inspired Retro Vintage One Piece Pin Up Monokinis Swimsuit,Navy Blue,Medium1(US size:6-8)</t>
  </si>
  <si>
    <t>YZ-ZQ1617ZLXL</t>
  </si>
  <si>
    <t>X00156IUL5</t>
  </si>
  <si>
    <t>B01EJI51MK</t>
  </si>
  <si>
    <t>Summer Mae 50s Elegant Inspired Retro Vintage One Piece Pin Up Monokinis Swimsuit,Navy Blue,Medium2(US size:8-10)</t>
  </si>
  <si>
    <t>YZ-ZQ16597B03XL</t>
  </si>
  <si>
    <t>X001E6P3BB</t>
  </si>
  <si>
    <t>B01HTJ8TH0</t>
  </si>
  <si>
    <t>Summer Mae Women's Classic Striped Two Piece Swimwear Plus Size Tankini Top &amp; Bottom 3XL</t>
  </si>
  <si>
    <t>YZ-ZQ16598R02XL</t>
  </si>
  <si>
    <t>X001697QY3</t>
  </si>
  <si>
    <t>B01IMZ2SWC</t>
  </si>
  <si>
    <t>Summer Mae Women's American Open-BackRed White Blue Patriotic Tankini 2XL</t>
  </si>
  <si>
    <t>YZ-ZQ16598R03XL</t>
  </si>
  <si>
    <t>X001694ZSX</t>
  </si>
  <si>
    <t>B01IMZ2R4G</t>
  </si>
  <si>
    <t>Summer Mae Women's American Open-BackRed White Blue Patriotic Tankini 2X</t>
  </si>
  <si>
    <t>YZ-ZQ16598R05XL</t>
  </si>
  <si>
    <t>X001697QYD</t>
  </si>
  <si>
    <t>B01IMZ2TJO</t>
  </si>
  <si>
    <t>Summer Mae Women's American Open-BackRed White Blue Patriotic Tankini</t>
  </si>
  <si>
    <t>YZ-ZQ16598R0XL</t>
  </si>
  <si>
    <t>X00168IEI1</t>
  </si>
  <si>
    <t>B01IMZ2RPU</t>
  </si>
  <si>
    <t>YZ-ZQ1715-W0-XL</t>
  </si>
  <si>
    <t>X001JA72V1</t>
  </si>
  <si>
    <t>B073GRRY4V</t>
  </si>
  <si>
    <t>Summer Mae Women's V-Neck Mesh One Piece Vintage Swimsuit Tropical Print Swimwear</t>
  </si>
  <si>
    <t>YZ-ZQ1732-B0-L</t>
  </si>
  <si>
    <t>X001FN3S47</t>
  </si>
  <si>
    <t>B01MXIU4BF</t>
  </si>
  <si>
    <t>YZ-ZQ1732-K0-M</t>
  </si>
  <si>
    <t>X001GFSTS9</t>
  </si>
  <si>
    <t>B01N8XD46Q</t>
  </si>
  <si>
    <t>YZ-ZQ1732-R0-S</t>
  </si>
  <si>
    <t>X001GZWQUL</t>
  </si>
  <si>
    <t>Summer Mae Women's colorful Print Swimwear Two Piece Boyshort Bkini</t>
  </si>
  <si>
    <t>YZ-ZQ1732-R0-XL</t>
  </si>
  <si>
    <t>X001GZYAMN</t>
  </si>
  <si>
    <t>B01MQGNHWU</t>
  </si>
  <si>
    <t>YZ-ZQ1733-K0-2XL</t>
  </si>
  <si>
    <t>X001H11T1V</t>
  </si>
  <si>
    <t>B07226XSQF</t>
  </si>
  <si>
    <t>YZ-ZQ1733-NB-S</t>
  </si>
  <si>
    <t>X001G4NB3N</t>
  </si>
  <si>
    <t>B071R2JBPG</t>
  </si>
  <si>
    <t>YZ-ZQ1733-NB-XL</t>
  </si>
  <si>
    <t>X001FZJI1H</t>
  </si>
  <si>
    <t>B06ZYRBYHV</t>
  </si>
  <si>
    <t>YZ-ZQ1733-R0-3XL</t>
  </si>
  <si>
    <t>X001H8J9LB</t>
  </si>
  <si>
    <t>B071DDXDDY</t>
  </si>
  <si>
    <t>YZ-ZQ1733-R0-L</t>
  </si>
  <si>
    <t>X001H8JP47</t>
  </si>
  <si>
    <t>B071YD4GRF</t>
  </si>
  <si>
    <t>YZ-ZQ1733-R0-S</t>
  </si>
  <si>
    <t>X001H8J9LL</t>
  </si>
  <si>
    <t>B06ZZM9ZP1</t>
  </si>
  <si>
    <t>YZ-ZQ1733-R0-XL</t>
  </si>
  <si>
    <t>X001H11TI9</t>
  </si>
  <si>
    <t>B071CTW8CQ</t>
  </si>
  <si>
    <t>YZ-ZQ1733-SB-2XL</t>
  </si>
  <si>
    <t>X001H11Q41</t>
  </si>
  <si>
    <t>B06ZZWQLH1</t>
  </si>
  <si>
    <t>YZ-ZQ1733-SB-S</t>
  </si>
  <si>
    <t>X001FZ64A5</t>
  </si>
  <si>
    <t>B07226T9GX</t>
  </si>
  <si>
    <t>YZ-ZQ17845-K0-2X</t>
  </si>
  <si>
    <t>X001GLFOMH</t>
  </si>
  <si>
    <t>B072KKH8WZ</t>
  </si>
  <si>
    <t>YZ-ZQ17845-K0-3X</t>
  </si>
  <si>
    <t>X001GL4USB</t>
  </si>
  <si>
    <t>B071GQY56N</t>
  </si>
  <si>
    <t>YZ-ZQ17845-K0-4X</t>
  </si>
  <si>
    <t>X001GKYOUV</t>
  </si>
  <si>
    <t>B071KBYLSC</t>
  </si>
  <si>
    <t>YZ-ZQ17845-K0-XL</t>
  </si>
  <si>
    <t>X001GKV3SR</t>
  </si>
  <si>
    <t>B071KBYSLV</t>
  </si>
  <si>
    <t>YZ-ZQ17958P0-4XL</t>
  </si>
  <si>
    <t>X001ATK781</t>
  </si>
  <si>
    <t>B01M7P7585</t>
  </si>
  <si>
    <t>YZ-ZQ17984-R0-XL</t>
  </si>
  <si>
    <t>X001EGANT3</t>
  </si>
  <si>
    <t>B06ZY1J8H4</t>
  </si>
  <si>
    <t>YZ-ZQ17985-P0-3X</t>
  </si>
  <si>
    <t>X001GRHPL9</t>
  </si>
  <si>
    <t>B071XXTJKJ</t>
  </si>
  <si>
    <t>Summer Mae Women's Purple Pattern Swimwear Two Piece Tankini Top &amp; Bottom</t>
  </si>
  <si>
    <t>YZ-ZQ17985-P0-4X</t>
  </si>
  <si>
    <t>X001GX6FHD</t>
  </si>
  <si>
    <t>B071XYKR1F</t>
  </si>
  <si>
    <t>YZ-ZQ17986W0-2XL</t>
  </si>
  <si>
    <t>X001E0VHI5</t>
  </si>
  <si>
    <t>B01M2WVR0W</t>
  </si>
  <si>
    <t>YZ-ZQ17986W0-XL</t>
  </si>
  <si>
    <t>X001E07MD9</t>
  </si>
  <si>
    <t>B01M63PZ3C</t>
  </si>
  <si>
    <t>YZ-ZQ18758-K0-2X</t>
  </si>
  <si>
    <t>X001ERCVFL</t>
  </si>
  <si>
    <t>B071CPSVZQ</t>
  </si>
  <si>
    <t>Summer Mae Women Maternity Pregnancy Halter 2XL Black Floral Tankini Swimsuit</t>
  </si>
  <si>
    <t>YZ-ZQ18758-K0-M</t>
  </si>
  <si>
    <t>X001ETCP9L</t>
  </si>
  <si>
    <t>B071QXGL9W</t>
  </si>
  <si>
    <t>Summer Mae Women Maternity Pregnancy Halter Black Floral Tankini Swimsuit</t>
  </si>
  <si>
    <t>YZ-ZQ18758-K0-XL</t>
  </si>
  <si>
    <t>X001EMW5EX</t>
  </si>
  <si>
    <t>B071XNKXKR</t>
  </si>
  <si>
    <t>YZ-ZQ298N04XL</t>
  </si>
  <si>
    <t>X00153NWVB</t>
  </si>
  <si>
    <t>B01H14P57U</t>
  </si>
  <si>
    <t>YZ-ZQ388-K0-L</t>
  </si>
  <si>
    <t>X001PR1UVL</t>
  </si>
  <si>
    <t>B07B7GLDBN</t>
  </si>
  <si>
    <t>Summer Mae Women's High Cut Deep V-Neck Black Lace Mesh One Piece Halter Swimsuit Vintage Swimwear</t>
  </si>
  <si>
    <t>YZ-ZQ45984K02XL</t>
  </si>
  <si>
    <t>X0015HLTYJ</t>
  </si>
  <si>
    <t>B01HZL9Q92</t>
  </si>
  <si>
    <t>Summer Mae Women's One Piece Swimwear Plus Size Bandeau Belted Swimsuit</t>
  </si>
  <si>
    <t>YZ-ZQ45984K04XL</t>
  </si>
  <si>
    <t>X0015LSJ1V</t>
  </si>
  <si>
    <t>B01HZL9W8M</t>
  </si>
  <si>
    <t>YZ-ZQ47121-K0-S</t>
  </si>
  <si>
    <t>X001J5RRP7</t>
  </si>
  <si>
    <t>B01N02KCLW</t>
  </si>
  <si>
    <t>YZ-ZQ565-R0-S</t>
  </si>
  <si>
    <t>X001H9WQOR</t>
  </si>
  <si>
    <t>B07213TXLD</t>
  </si>
  <si>
    <t>WOMEN'S BOUTIQUE Summer Mae Women's Off Shoulder Blushing Pink Floral One Piece Ruffle Swimsuit</t>
  </si>
  <si>
    <t>YZ-ZQ6258B050</t>
  </si>
  <si>
    <t>X001DOQ395</t>
  </si>
  <si>
    <t>B01I1ED7NS</t>
  </si>
  <si>
    <t>Summer Mae Women's Plus Size Two Pieces Floral Tankini Top &amp; Bottom Swimsuit 50 Blue</t>
  </si>
  <si>
    <t>YZ-ZQ6258K050</t>
  </si>
  <si>
    <t>X0014PFAMT</t>
  </si>
  <si>
    <t>B01H53IODE</t>
  </si>
  <si>
    <t>Summer Mae Women's Plus Size Two Pieces Floral Tankini Top &amp; Bottom Swimsuit 50 Black</t>
  </si>
  <si>
    <t>YZ-ZQ6667G048</t>
  </si>
  <si>
    <t>X0014EMN3J</t>
  </si>
  <si>
    <t>B01GFMMJ3W</t>
  </si>
  <si>
    <t>Summer Mae Womens High Waisted Bikini Set Flounce Top Two Piece Swimsuit</t>
  </si>
  <si>
    <t>YZ-ZQ6667G052</t>
  </si>
  <si>
    <t>X0014EFA4D</t>
  </si>
  <si>
    <t>B01GFMMDY2</t>
  </si>
  <si>
    <t>Summer Mae Women's Plus Size Swimdress One Piece Cover Up Swimsuit Tankini Beachwear 52 Teal</t>
  </si>
  <si>
    <t>YZ-ZQ6667G054</t>
  </si>
  <si>
    <t>X0014ER04B</t>
  </si>
  <si>
    <t>B01GFMMEQO</t>
  </si>
  <si>
    <t>Summer Mae Women's Plus Size Swimdress One Piece Cover Up Swimsuit Tankini Beachwear 54 Teal</t>
  </si>
  <si>
    <t>YZ-ZQ6667R044</t>
  </si>
  <si>
    <t>X0013SPHJN</t>
  </si>
  <si>
    <t>B01GFMMCLG</t>
  </si>
  <si>
    <t>Summer Mae Women's Plus Size Swimdress One Piece Cover Up Swimsuit Tankini Beachwear 44 Red</t>
  </si>
  <si>
    <t>YZ-ZQ6667R054</t>
  </si>
  <si>
    <t>X0014ABR2V</t>
  </si>
  <si>
    <t>B01GFMMGIU</t>
  </si>
  <si>
    <t>Summer Mae Women's Plus Size Swimdress One Piece Cover Up Swimsuit Tankini Beachwear 54 Red</t>
  </si>
  <si>
    <t>YZ-ZQ6667ZL48</t>
  </si>
  <si>
    <t>X0014XQA43</t>
  </si>
  <si>
    <t>B01GFMMGZS</t>
  </si>
  <si>
    <t>YZ-ZQ6667ZL50</t>
  </si>
  <si>
    <t>X0014VFQOF</t>
  </si>
  <si>
    <t>B01GFMMHUM</t>
  </si>
  <si>
    <t>Summer Mae Women's Plus Size Swimdress One Piece Cover Up Swimsuit Tankini Beachwear 50 Navyblue</t>
  </si>
  <si>
    <t>YZ-ZQ6667ZL54</t>
  </si>
  <si>
    <t>X0014O9IGJ</t>
  </si>
  <si>
    <t>B01GFMMJ9G</t>
  </si>
  <si>
    <t>Summer Mae Women's Plus Size Swimdress One Piece Cover Up Swimsuit Tankini Beachwear 54 Navyblue</t>
  </si>
  <si>
    <t>YZ-ZQ7777B016</t>
  </si>
  <si>
    <t>X001CK5R65</t>
  </si>
  <si>
    <t>B01MV4A279</t>
  </si>
  <si>
    <t>YZ-ZQ7777B020</t>
  </si>
  <si>
    <t>X001CR3K3F</t>
  </si>
  <si>
    <t>B01N4WV17D</t>
  </si>
  <si>
    <t>YZ-ZQ7777R014</t>
  </si>
  <si>
    <t>X001D7ZMWL</t>
  </si>
  <si>
    <t>B01MZIOFYK</t>
  </si>
  <si>
    <t>YZ-ZQ7777R016</t>
  </si>
  <si>
    <t>X001DAIHVL</t>
  </si>
  <si>
    <t>B01N19VXLX</t>
  </si>
  <si>
    <t>YZ-ZQ7777R020</t>
  </si>
  <si>
    <t>X001FZKER9</t>
  </si>
  <si>
    <t>B01N19VWT1</t>
  </si>
  <si>
    <t>YZ-ZQ789K02XL</t>
  </si>
  <si>
    <t>X0015HWUIN</t>
  </si>
  <si>
    <t>B01H70785K</t>
  </si>
  <si>
    <t>Summer Mae Womens Plus Size Back Polka Dot Classic 2 Pc Plus Size Tankini XL</t>
  </si>
  <si>
    <t>YZ-ZQ789K03XL</t>
  </si>
  <si>
    <t>X0015N6X8P</t>
  </si>
  <si>
    <t>B01H7076OS</t>
  </si>
  <si>
    <t>Summer Mae Womens Plus Size Back Polka Dot Classic 2 Pc Plus Size Tankini 2XL</t>
  </si>
  <si>
    <t>YZ-ZQA100-B0-M</t>
  </si>
  <si>
    <t>X001D0RHV7</t>
  </si>
  <si>
    <t>B01M3PY9Y9</t>
  </si>
  <si>
    <t>YZ-ZQA100-G0-L</t>
  </si>
  <si>
    <t>X001CZLO49</t>
  </si>
  <si>
    <t>B01M24M2ND</t>
  </si>
  <si>
    <t>Summer Mae Women's Floral Print Swimwear Mesh Splice Tankini Top &amp; Bottom Teal</t>
  </si>
  <si>
    <t>YZ-ZQA100-G0-M</t>
  </si>
  <si>
    <t>X001CY808X</t>
  </si>
  <si>
    <t>B01MDM3JTR</t>
  </si>
  <si>
    <t>YZ-ZQBL03-B0-L</t>
  </si>
  <si>
    <t>X001ODWNAN</t>
  </si>
  <si>
    <t>B06ZZJ4BFJ</t>
  </si>
  <si>
    <t>YZ-ZQBL03-B0-M</t>
  </si>
  <si>
    <t>X001OF6J6P</t>
  </si>
  <si>
    <t>B06ZZJ46LT</t>
  </si>
  <si>
    <t>YZ-ZQBL03-B0-XL</t>
  </si>
  <si>
    <t>X001OF6N7F</t>
  </si>
  <si>
    <t>B06ZXSMH66</t>
  </si>
  <si>
    <t>YZ-ZQBL03-R2-L</t>
  </si>
  <si>
    <t>X001OF5ES9</t>
  </si>
  <si>
    <t>B0792SSMZK</t>
  </si>
  <si>
    <t>YZ-ZQBL03-R2-M</t>
  </si>
  <si>
    <t>X001ODWV05</t>
  </si>
  <si>
    <t>B0792T7FW3</t>
  </si>
  <si>
    <t>YZ-ZQFT1816-O0-2X</t>
  </si>
  <si>
    <t>X001HYNY93</t>
  </si>
  <si>
    <t>B073XHCMCV</t>
  </si>
  <si>
    <t>YZ-ZQFT1816-O0-4X</t>
  </si>
  <si>
    <t>X001IJ2QCX</t>
  </si>
  <si>
    <t>B073XGWPDJ</t>
  </si>
  <si>
    <t>YZ-ZQFT1816-O0-XL</t>
  </si>
  <si>
    <t>X001HZ3Q45</t>
  </si>
  <si>
    <t>B073XHCN93</t>
  </si>
  <si>
    <t>YZ-ZQFT1816-Y0-2X</t>
  </si>
  <si>
    <t>X001HZ3Q4F</t>
  </si>
  <si>
    <t>B073XJ1L2G</t>
  </si>
  <si>
    <t>YZ-ZQFT1816-Y0-3X</t>
  </si>
  <si>
    <t>X001HXUUM3</t>
  </si>
  <si>
    <t>B073XHCKV4</t>
  </si>
  <si>
    <t>YZ-ZQFT1816-Y0-5X</t>
  </si>
  <si>
    <t>X001IIHE3F</t>
  </si>
  <si>
    <t>B073XGJC5S</t>
  </si>
  <si>
    <t>YZ-ZQFT1816-Y0-L</t>
  </si>
  <si>
    <t>X001HZ2J2F</t>
  </si>
  <si>
    <t>B073XH8KDN</t>
  </si>
  <si>
    <t>YZ-ZQFT1816-Y0-XL</t>
  </si>
  <si>
    <t>X001HYKX79</t>
  </si>
  <si>
    <t>B073XJK24D</t>
  </si>
  <si>
    <t>YZ-ZQHL02-G0-M</t>
  </si>
  <si>
    <t>X001JF5UVZ</t>
  </si>
  <si>
    <t>B074C743SB</t>
  </si>
  <si>
    <t>YZ-ZQHL02-G0-XL</t>
  </si>
  <si>
    <t>X001JDUZEJ</t>
  </si>
  <si>
    <t>B074C6Y974</t>
  </si>
  <si>
    <t>YZ-ZQLS062-K0-2XL</t>
  </si>
  <si>
    <t>X001D5FSSV</t>
  </si>
  <si>
    <t>B01M6ZE12A</t>
  </si>
  <si>
    <t>YZ-ZQLS062-K0-3XL</t>
  </si>
  <si>
    <t>X001D68LIT</t>
  </si>
  <si>
    <t>B01MDOWAY0</t>
  </si>
  <si>
    <t>YZ-ZQLS062-K0-S</t>
  </si>
  <si>
    <t>X001E1CZ17</t>
  </si>
  <si>
    <t>B01MAZ6J54</t>
  </si>
  <si>
    <t>YZ-ZQLS062-K0-XL</t>
  </si>
  <si>
    <t>X001DAGD35</t>
  </si>
  <si>
    <t>B01M9DKD73</t>
  </si>
  <si>
    <t>YZ-ZQMICAIK04XL</t>
  </si>
  <si>
    <t>X001DQTKCP</t>
  </si>
  <si>
    <t>B01HZ9S8D4</t>
  </si>
  <si>
    <t>YZ-ZQMICAIK05XL</t>
  </si>
  <si>
    <t>X001DNJPZP</t>
  </si>
  <si>
    <t>B01HZ9SBMM</t>
  </si>
  <si>
    <t>YZ-ZQMICAIK0L</t>
  </si>
  <si>
    <t>X001DNJPZF</t>
  </si>
  <si>
    <t>B01HZ9RXTE</t>
  </si>
  <si>
    <t>YZ-ZQMICAIK0XL</t>
  </si>
  <si>
    <t>X001DOPPG7</t>
  </si>
  <si>
    <t>B01HZ9S1GS</t>
  </si>
  <si>
    <t>YZ-ZQMS02-K0-L</t>
  </si>
  <si>
    <t>X001GU2PJX</t>
  </si>
  <si>
    <t>B071S378VC</t>
  </si>
  <si>
    <t>YZ-ZQOM388-K0-2XL</t>
  </si>
  <si>
    <t>X001J5RRTX</t>
  </si>
  <si>
    <t>B0744JDRD1</t>
  </si>
  <si>
    <t>YZ-ZQOM388-K0-M</t>
  </si>
  <si>
    <t>X001JWSH3B</t>
  </si>
  <si>
    <t>B0744J8ZXB</t>
  </si>
  <si>
    <t>YZ-ZQOM388-K0-S</t>
  </si>
  <si>
    <t>X001JWU5RR</t>
  </si>
  <si>
    <t>B0744JF7G3</t>
  </si>
  <si>
    <t>YZ-ZQOM388-K0-XL</t>
  </si>
  <si>
    <t>X001J5RRU7</t>
  </si>
  <si>
    <t>B0744HVPCV</t>
  </si>
  <si>
    <t>YZ-ZQOM388-W0-2XL</t>
  </si>
  <si>
    <t>X001J5RXRT</t>
  </si>
  <si>
    <t>B0744HT59V</t>
  </si>
  <si>
    <t>Summer Mae Women's High Cut Deep V-Neck White Lace Mesh One Piece Halter Swimsuit Vintage Swimwear</t>
  </si>
  <si>
    <t>YZ-ZQOM388-W0-L</t>
  </si>
  <si>
    <t>X001J5IEL3</t>
  </si>
  <si>
    <t>B0744HLBYM</t>
  </si>
  <si>
    <t>YZ-ZQOM388-W0-M</t>
  </si>
  <si>
    <t>X001JWTFMN</t>
  </si>
  <si>
    <t>B0744JTZNM</t>
  </si>
  <si>
    <t>YZ-ZQOM388-W0-S</t>
  </si>
  <si>
    <t>X001JWT7OJ</t>
  </si>
  <si>
    <t>B0744HRKXC</t>
  </si>
  <si>
    <t>YZ-ZQOM388-W0-XL</t>
  </si>
  <si>
    <t>X001J5RQCV</t>
  </si>
  <si>
    <t>B0744HC665</t>
  </si>
  <si>
    <t>YZ-ZQQ9217-K0-2X</t>
  </si>
  <si>
    <t>X001QPE7EJ</t>
  </si>
  <si>
    <t>B07BVLR8XC</t>
  </si>
  <si>
    <t>YZ-ZQQ9217-K0-4X</t>
  </si>
  <si>
    <t>X001QNWXAL</t>
  </si>
  <si>
    <t>B07BVLR6YY</t>
  </si>
  <si>
    <t>YZ-ZQQ9217-K0-5X</t>
  </si>
  <si>
    <t>X001QO8BQP</t>
  </si>
  <si>
    <t>B07BVLVJCR</t>
  </si>
  <si>
    <t>YZ-ZQQ9217-K0-L</t>
  </si>
  <si>
    <t>X001QPFCBB</t>
  </si>
  <si>
    <t>B07BVLRGBT</t>
  </si>
  <si>
    <t>YZ-ZQQ9217-K0-M</t>
  </si>
  <si>
    <t>X001QPE0PZ</t>
  </si>
  <si>
    <t>B07BVMWNPM</t>
  </si>
  <si>
    <t>YZ-ZQQ9217-K0-S</t>
  </si>
  <si>
    <t>X001QPE7JT</t>
  </si>
  <si>
    <t>B07C9XTFLF</t>
  </si>
  <si>
    <t>YZ-ZQQ9217-K0-XL</t>
  </si>
  <si>
    <t>X001QPBYK9</t>
  </si>
  <si>
    <t>B07BVLMQXC</t>
  </si>
  <si>
    <t>YZ-ZQQ9227-K0-3X</t>
  </si>
  <si>
    <t>X001FZFSQ1</t>
  </si>
  <si>
    <t>B0719JB654</t>
  </si>
  <si>
    <t>YZ-ZQQ9227-K0-4X</t>
  </si>
  <si>
    <t>X001H7CNXD</t>
  </si>
  <si>
    <t>B071S72FLG</t>
  </si>
  <si>
    <t>YZ-ZQQ9227-K0-5X</t>
  </si>
  <si>
    <t>X001H7BV9F</t>
  </si>
  <si>
    <t>B071VRWZL7</t>
  </si>
  <si>
    <t>YZ-ZQQ9227-K0-M</t>
  </si>
  <si>
    <t>X001FZHJH7</t>
  </si>
  <si>
    <t>B071HV4WLH</t>
  </si>
  <si>
    <t>YZ-ZQQ9227-K0-XL</t>
  </si>
  <si>
    <t>X001FZDNCH</t>
  </si>
  <si>
    <t>B0716XWMWZ</t>
  </si>
  <si>
    <t>YZ-ZQSG16121R0L</t>
  </si>
  <si>
    <t>X0018XU41J</t>
  </si>
  <si>
    <t>B01MEH1KL4</t>
  </si>
  <si>
    <t>Summer Mae Plus Size Diamond Blouson Plus Size Swimwear Tankini US 8-10</t>
  </si>
  <si>
    <t>YZ-ZQSG16124Y02XL</t>
  </si>
  <si>
    <t>X0017P0PCL</t>
  </si>
  <si>
    <t>B01J7R97LE</t>
  </si>
  <si>
    <t>Summer Mae Plus Size Yellow Floral Print Blouson Plus Size Swimwear Tankini</t>
  </si>
  <si>
    <t>YZ-ZQSG16124Y0L</t>
  </si>
  <si>
    <t>X0017PR8GR</t>
  </si>
  <si>
    <t>B01J7R90RU</t>
  </si>
  <si>
    <t>YZ-ZQTWA1-K0-2X</t>
  </si>
  <si>
    <t>X001GBWAYH</t>
  </si>
  <si>
    <t>B0727W6Q2W</t>
  </si>
  <si>
    <t>YZ-ZQTWA1-K0-3X</t>
  </si>
  <si>
    <t>X001GKYBHR</t>
  </si>
  <si>
    <t>B0713XLRV4</t>
  </si>
  <si>
    <t>YZ-ZQTWA1-K0-5X</t>
  </si>
  <si>
    <t>X001GKVPP3</t>
  </si>
  <si>
    <t>B071NMDDC3</t>
  </si>
  <si>
    <t>YZ-ZQadn1601-B1-L</t>
  </si>
  <si>
    <t>X001CR30YT</t>
  </si>
  <si>
    <t>B01MFGOWLQ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</si>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</sst>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6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7" borderId="3" applyNumberFormat="0" applyFont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14" fillId="21" borderId="2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</xdr:colOff>
          <xdr:row>0</xdr:row>
          <xdr:rowOff>161925</xdr:rowOff>
        </xdr:from>
        <xdr:to>
          <xdr:col>8</xdr:col>
          <xdr:colOff>1499870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4885" y="161925"/>
              <a:ext cx="149098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</xdr:row>
          <xdr:rowOff>0</xdr:rowOff>
        </xdr:from>
        <xdr:to>
          <xdr:col>17</xdr:col>
          <xdr:colOff>0</xdr:colOff>
          <xdr:row>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82435" y="180975"/>
              <a:ext cx="13620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84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2</v>
      </c>
      <c r="F2" s="3">
        <v>1</v>
      </c>
      <c r="G2" s="3">
        <v>1</v>
      </c>
      <c r="H2" s="3">
        <v>0</v>
      </c>
      <c r="I2" s="5"/>
    </row>
    <row r="3" spans="1:9">
      <c r="A3" s="3" t="s">
        <v>12</v>
      </c>
      <c r="B3" s="3" t="s">
        <v>13</v>
      </c>
      <c r="C3" s="3" t="s">
        <v>14</v>
      </c>
      <c r="D3" s="3" t="s">
        <v>11</v>
      </c>
      <c r="E3" s="3">
        <v>2</v>
      </c>
      <c r="F3" s="3">
        <v>1</v>
      </c>
      <c r="G3" s="3">
        <v>1</v>
      </c>
      <c r="H3" s="3">
        <v>0</v>
      </c>
      <c r="I3" s="5"/>
    </row>
    <row r="4" spans="1:9">
      <c r="A4" s="3" t="s">
        <v>15</v>
      </c>
      <c r="B4" s="3" t="s">
        <v>16</v>
      </c>
      <c r="C4" s="3" t="s">
        <v>17</v>
      </c>
      <c r="D4" s="3" t="s">
        <v>18</v>
      </c>
      <c r="E4" s="3">
        <v>1</v>
      </c>
      <c r="F4" s="3">
        <v>0</v>
      </c>
      <c r="G4" s="3">
        <v>0</v>
      </c>
      <c r="H4" s="3">
        <v>1</v>
      </c>
      <c r="I4" s="5"/>
    </row>
    <row r="5" spans="1:9">
      <c r="A5" s="3" t="s">
        <v>19</v>
      </c>
      <c r="B5" s="3" t="s">
        <v>20</v>
      </c>
      <c r="C5" s="3" t="s">
        <v>21</v>
      </c>
      <c r="D5" s="3" t="s">
        <v>22</v>
      </c>
      <c r="E5" s="3">
        <v>3</v>
      </c>
      <c r="F5" s="3">
        <v>2</v>
      </c>
      <c r="G5" s="3">
        <v>0</v>
      </c>
      <c r="H5" s="3">
        <v>1</v>
      </c>
      <c r="I5" s="5"/>
    </row>
    <row r="6" spans="1:9">
      <c r="A6" s="3" t="s">
        <v>23</v>
      </c>
      <c r="B6" s="3" t="s">
        <v>24</v>
      </c>
      <c r="C6" s="3" t="s">
        <v>25</v>
      </c>
      <c r="D6" s="3" t="s">
        <v>22</v>
      </c>
      <c r="E6" s="3">
        <v>2</v>
      </c>
      <c r="F6" s="3">
        <v>1</v>
      </c>
      <c r="G6" s="3">
        <v>1</v>
      </c>
      <c r="H6" s="3">
        <v>0</v>
      </c>
      <c r="I6" s="5"/>
    </row>
    <row r="7" spans="1:9">
      <c r="A7" s="3" t="s">
        <v>26</v>
      </c>
      <c r="B7" s="3" t="s">
        <v>27</v>
      </c>
      <c r="C7" s="3" t="s">
        <v>28</v>
      </c>
      <c r="D7" s="3" t="s">
        <v>22</v>
      </c>
      <c r="E7" s="3">
        <v>1</v>
      </c>
      <c r="F7" s="3">
        <v>1</v>
      </c>
      <c r="G7" s="3">
        <v>0</v>
      </c>
      <c r="H7" s="3">
        <v>0</v>
      </c>
      <c r="I7" s="5"/>
    </row>
    <row r="8" spans="1:9">
      <c r="A8" s="3" t="s">
        <v>29</v>
      </c>
      <c r="B8" s="3" t="s">
        <v>30</v>
      </c>
      <c r="C8" s="3" t="s">
        <v>31</v>
      </c>
      <c r="D8" s="3" t="s">
        <v>32</v>
      </c>
      <c r="E8" s="3">
        <v>1</v>
      </c>
      <c r="F8" s="3">
        <v>0</v>
      </c>
      <c r="G8" s="3">
        <v>0</v>
      </c>
      <c r="H8" s="3">
        <v>1</v>
      </c>
      <c r="I8" s="5"/>
    </row>
    <row r="9" spans="1:9">
      <c r="A9" s="3" t="s">
        <v>33</v>
      </c>
      <c r="B9" s="3" t="s">
        <v>34</v>
      </c>
      <c r="C9" s="3" t="s">
        <v>35</v>
      </c>
      <c r="D9" s="3" t="s">
        <v>22</v>
      </c>
      <c r="E9" s="3">
        <v>2</v>
      </c>
      <c r="F9" s="3">
        <v>0</v>
      </c>
      <c r="G9" s="3">
        <v>1</v>
      </c>
      <c r="H9" s="3">
        <v>1</v>
      </c>
      <c r="I9" s="5"/>
    </row>
    <row r="10" spans="1:9">
      <c r="A10" s="3" t="s">
        <v>36</v>
      </c>
      <c r="B10" s="3" t="s">
        <v>37</v>
      </c>
      <c r="C10" s="3" t="s">
        <v>38</v>
      </c>
      <c r="D10" s="3" t="s">
        <v>22</v>
      </c>
      <c r="E10" s="3">
        <v>1</v>
      </c>
      <c r="F10" s="3">
        <v>0</v>
      </c>
      <c r="G10" s="3">
        <v>0</v>
      </c>
      <c r="H10" s="3">
        <v>1</v>
      </c>
      <c r="I10" s="5"/>
    </row>
    <row r="11" spans="1:9">
      <c r="A11" s="3" t="s">
        <v>39</v>
      </c>
      <c r="B11" s="3" t="s">
        <v>40</v>
      </c>
      <c r="C11" s="3" t="s">
        <v>41</v>
      </c>
      <c r="D11" s="3" t="s">
        <v>42</v>
      </c>
      <c r="E11" s="3">
        <v>1</v>
      </c>
      <c r="F11" s="3">
        <v>0</v>
      </c>
      <c r="G11" s="3">
        <v>0</v>
      </c>
      <c r="H11" s="3">
        <v>1</v>
      </c>
      <c r="I11" s="5"/>
    </row>
    <row r="12" spans="1:9">
      <c r="A12" s="3" t="s">
        <v>43</v>
      </c>
      <c r="B12" s="3" t="s">
        <v>44</v>
      </c>
      <c r="C12" s="3" t="s">
        <v>45</v>
      </c>
      <c r="D12" s="3" t="s">
        <v>46</v>
      </c>
      <c r="E12" s="3">
        <v>1</v>
      </c>
      <c r="F12" s="3">
        <v>0</v>
      </c>
      <c r="G12" s="3">
        <v>0</v>
      </c>
      <c r="H12" s="3">
        <v>1</v>
      </c>
      <c r="I12" s="5"/>
    </row>
    <row r="13" spans="1:9">
      <c r="A13" s="3" t="s">
        <v>47</v>
      </c>
      <c r="B13" s="3" t="s">
        <v>48</v>
      </c>
      <c r="C13" s="3" t="s">
        <v>49</v>
      </c>
      <c r="D13" s="3" t="s">
        <v>46</v>
      </c>
      <c r="E13" s="3">
        <v>1</v>
      </c>
      <c r="F13" s="3">
        <v>1</v>
      </c>
      <c r="G13" s="3">
        <v>0</v>
      </c>
      <c r="H13" s="3">
        <v>0</v>
      </c>
      <c r="I13" s="5"/>
    </row>
    <row r="14" spans="1:9">
      <c r="A14" s="3" t="s">
        <v>50</v>
      </c>
      <c r="B14" s="3" t="s">
        <v>51</v>
      </c>
      <c r="C14" s="3" t="s">
        <v>52</v>
      </c>
      <c r="D14" s="3" t="s">
        <v>53</v>
      </c>
      <c r="E14" s="3">
        <v>1</v>
      </c>
      <c r="F14" s="3">
        <v>0</v>
      </c>
      <c r="G14" s="3">
        <v>1</v>
      </c>
      <c r="H14" s="3">
        <v>0</v>
      </c>
      <c r="I14" s="5"/>
    </row>
    <row r="15" spans="1:9">
      <c r="A15" s="3" t="s">
        <v>54</v>
      </c>
      <c r="B15" s="3" t="s">
        <v>55</v>
      </c>
      <c r="C15" s="3" t="s">
        <v>56</v>
      </c>
      <c r="D15" s="3" t="s">
        <v>53</v>
      </c>
      <c r="E15" s="3">
        <v>3</v>
      </c>
      <c r="F15" s="3">
        <v>1</v>
      </c>
      <c r="G15" s="3">
        <v>1</v>
      </c>
      <c r="H15" s="3">
        <v>1</v>
      </c>
      <c r="I15" s="5"/>
    </row>
    <row r="16" spans="1:9">
      <c r="A16" s="3" t="s">
        <v>57</v>
      </c>
      <c r="B16" s="3" t="s">
        <v>58</v>
      </c>
      <c r="C16" s="3" t="s">
        <v>59</v>
      </c>
      <c r="D16" s="3" t="s">
        <v>60</v>
      </c>
      <c r="E16" s="3">
        <v>6</v>
      </c>
      <c r="F16" s="3">
        <v>1</v>
      </c>
      <c r="G16" s="3">
        <v>2</v>
      </c>
      <c r="H16" s="3">
        <v>3</v>
      </c>
      <c r="I16" s="5"/>
    </row>
    <row r="17" spans="1:9">
      <c r="A17" s="3" t="s">
        <v>61</v>
      </c>
      <c r="B17" s="3" t="s">
        <v>62</v>
      </c>
      <c r="C17" s="3" t="s">
        <v>63</v>
      </c>
      <c r="D17" s="3" t="s">
        <v>64</v>
      </c>
      <c r="E17" s="3">
        <v>1</v>
      </c>
      <c r="F17" s="3">
        <v>0</v>
      </c>
      <c r="G17" s="3">
        <v>1</v>
      </c>
      <c r="H17" s="3">
        <v>0</v>
      </c>
      <c r="I17" s="5"/>
    </row>
    <row r="18" spans="1:9">
      <c r="A18" s="3" t="s">
        <v>65</v>
      </c>
      <c r="B18" s="3" t="s">
        <v>66</v>
      </c>
      <c r="C18" s="3" t="s">
        <v>67</v>
      </c>
      <c r="D18" s="3" t="s">
        <v>68</v>
      </c>
      <c r="E18" s="3">
        <v>1</v>
      </c>
      <c r="F18" s="3">
        <v>0</v>
      </c>
      <c r="G18" s="3">
        <v>1</v>
      </c>
      <c r="H18" s="3">
        <v>0</v>
      </c>
      <c r="I18" s="5"/>
    </row>
    <row r="19" spans="1:9">
      <c r="A19" s="3" t="s">
        <v>69</v>
      </c>
      <c r="B19" s="3" t="s">
        <v>70</v>
      </c>
      <c r="C19" s="3" t="s">
        <v>71</v>
      </c>
      <c r="D19" s="3" t="s">
        <v>72</v>
      </c>
      <c r="E19" s="3">
        <v>1</v>
      </c>
      <c r="F19" s="3">
        <v>1</v>
      </c>
      <c r="G19" s="3">
        <v>0</v>
      </c>
      <c r="H19" s="3">
        <v>0</v>
      </c>
      <c r="I19" s="5"/>
    </row>
    <row r="20" spans="1:9">
      <c r="A20" s="3" t="s">
        <v>73</v>
      </c>
      <c r="B20" s="3" t="s">
        <v>74</v>
      </c>
      <c r="C20" s="3" t="s">
        <v>75</v>
      </c>
      <c r="D20" s="3" t="s">
        <v>76</v>
      </c>
      <c r="E20" s="3">
        <v>11</v>
      </c>
      <c r="F20" s="3">
        <v>5</v>
      </c>
      <c r="G20" s="3">
        <v>3</v>
      </c>
      <c r="H20" s="3">
        <v>3</v>
      </c>
      <c r="I20" s="5"/>
    </row>
    <row r="21" spans="1:9">
      <c r="A21" s="3" t="s">
        <v>77</v>
      </c>
      <c r="B21" s="3" t="s">
        <v>78</v>
      </c>
      <c r="C21" s="3" t="s">
        <v>79</v>
      </c>
      <c r="D21" s="3" t="s">
        <v>80</v>
      </c>
      <c r="E21" s="3">
        <v>6</v>
      </c>
      <c r="F21" s="3">
        <v>1</v>
      </c>
      <c r="G21" s="3">
        <v>1</v>
      </c>
      <c r="H21" s="3">
        <v>4</v>
      </c>
      <c r="I21" s="5"/>
    </row>
    <row r="22" spans="1:9">
      <c r="A22" s="3" t="s">
        <v>81</v>
      </c>
      <c r="B22" s="3" t="s">
        <v>82</v>
      </c>
      <c r="C22" s="3" t="s">
        <v>83</v>
      </c>
      <c r="D22" s="3" t="s">
        <v>84</v>
      </c>
      <c r="E22" s="3">
        <v>1</v>
      </c>
      <c r="F22" s="3">
        <v>0</v>
      </c>
      <c r="G22" s="3">
        <v>1</v>
      </c>
      <c r="H22" s="3">
        <v>0</v>
      </c>
      <c r="I22" s="5"/>
    </row>
    <row r="23" spans="1:9">
      <c r="A23" s="3" t="s">
        <v>85</v>
      </c>
      <c r="B23" s="3" t="s">
        <v>86</v>
      </c>
      <c r="C23" s="3" t="s">
        <v>87</v>
      </c>
      <c r="D23" s="3" t="s">
        <v>88</v>
      </c>
      <c r="E23" s="3">
        <v>1</v>
      </c>
      <c r="F23" s="3">
        <v>1</v>
      </c>
      <c r="G23" s="3">
        <v>0</v>
      </c>
      <c r="H23" s="3">
        <v>0</v>
      </c>
      <c r="I23" s="5"/>
    </row>
    <row r="24" spans="1:9">
      <c r="A24" s="3" t="s">
        <v>89</v>
      </c>
      <c r="B24" s="3" t="s">
        <v>90</v>
      </c>
      <c r="C24" s="3" t="s">
        <v>91</v>
      </c>
      <c r="D24" s="3" t="s">
        <v>64</v>
      </c>
      <c r="E24" s="3">
        <v>2</v>
      </c>
      <c r="F24" s="3">
        <v>0</v>
      </c>
      <c r="G24" s="3">
        <v>1</v>
      </c>
      <c r="H24" s="3">
        <v>1</v>
      </c>
      <c r="I24" s="5"/>
    </row>
    <row r="25" spans="1:9">
      <c r="A25" s="3" t="s">
        <v>92</v>
      </c>
      <c r="B25" s="3" t="s">
        <v>93</v>
      </c>
      <c r="C25" s="3" t="s">
        <v>94</v>
      </c>
      <c r="D25" s="3" t="s">
        <v>95</v>
      </c>
      <c r="E25" s="3">
        <v>1</v>
      </c>
      <c r="F25" s="3">
        <v>0</v>
      </c>
      <c r="G25" s="3">
        <v>1</v>
      </c>
      <c r="H25" s="3">
        <v>0</v>
      </c>
      <c r="I25" s="5"/>
    </row>
    <row r="26" spans="1:9">
      <c r="A26" s="3" t="s">
        <v>96</v>
      </c>
      <c r="B26" s="3" t="s">
        <v>97</v>
      </c>
      <c r="C26" s="3" t="s">
        <v>98</v>
      </c>
      <c r="D26" s="3" t="s">
        <v>99</v>
      </c>
      <c r="E26" s="3">
        <v>2</v>
      </c>
      <c r="F26" s="3">
        <v>1</v>
      </c>
      <c r="G26" s="3">
        <v>1</v>
      </c>
      <c r="H26" s="3">
        <v>0</v>
      </c>
      <c r="I26" s="5"/>
    </row>
    <row r="27" spans="1:9">
      <c r="A27" s="3" t="s">
        <v>100</v>
      </c>
      <c r="B27" s="3" t="s">
        <v>101</v>
      </c>
      <c r="C27" s="3" t="s">
        <v>102</v>
      </c>
      <c r="D27" s="3" t="s">
        <v>103</v>
      </c>
      <c r="E27" s="3">
        <v>3</v>
      </c>
      <c r="F27" s="3">
        <v>0</v>
      </c>
      <c r="G27" s="3">
        <v>1</v>
      </c>
      <c r="H27" s="3">
        <v>2</v>
      </c>
      <c r="I27" s="5"/>
    </row>
    <row r="28" spans="1:9">
      <c r="A28" s="3" t="s">
        <v>104</v>
      </c>
      <c r="B28" s="3" t="s">
        <v>105</v>
      </c>
      <c r="C28" s="3" t="s">
        <v>106</v>
      </c>
      <c r="D28" s="3" t="s">
        <v>107</v>
      </c>
      <c r="E28" s="3">
        <v>1</v>
      </c>
      <c r="F28" s="3">
        <v>1</v>
      </c>
      <c r="G28" s="3">
        <v>0</v>
      </c>
      <c r="H28" s="3">
        <v>0</v>
      </c>
      <c r="I28" s="5"/>
    </row>
    <row r="29" spans="1:9">
      <c r="A29" s="3" t="s">
        <v>108</v>
      </c>
      <c r="B29" s="3" t="s">
        <v>109</v>
      </c>
      <c r="C29" s="3" t="s">
        <v>110</v>
      </c>
      <c r="D29" s="3" t="s">
        <v>111</v>
      </c>
      <c r="E29" s="3">
        <v>1</v>
      </c>
      <c r="F29" s="3">
        <v>0</v>
      </c>
      <c r="G29" s="3">
        <v>1</v>
      </c>
      <c r="H29" s="3">
        <v>0</v>
      </c>
      <c r="I29" s="5"/>
    </row>
    <row r="30" spans="1:9">
      <c r="A30" s="3" t="s">
        <v>112</v>
      </c>
      <c r="B30" s="3" t="s">
        <v>113</v>
      </c>
      <c r="C30" s="3" t="s">
        <v>114</v>
      </c>
      <c r="D30" s="3" t="s">
        <v>115</v>
      </c>
      <c r="E30" s="3">
        <v>1</v>
      </c>
      <c r="F30" s="3">
        <v>1</v>
      </c>
      <c r="G30" s="3">
        <v>0</v>
      </c>
      <c r="H30" s="3">
        <v>0</v>
      </c>
      <c r="I30" s="5"/>
    </row>
    <row r="31" spans="1:9">
      <c r="A31" s="3" t="s">
        <v>116</v>
      </c>
      <c r="B31" s="3" t="s">
        <v>117</v>
      </c>
      <c r="C31" s="3" t="s">
        <v>118</v>
      </c>
      <c r="D31" s="3" t="s">
        <v>119</v>
      </c>
      <c r="E31" s="3">
        <v>1</v>
      </c>
      <c r="F31" s="3">
        <v>0</v>
      </c>
      <c r="G31" s="3">
        <v>0</v>
      </c>
      <c r="H31" s="3">
        <v>1</v>
      </c>
      <c r="I31" s="5"/>
    </row>
    <row r="32" spans="1:9">
      <c r="A32" s="3" t="s">
        <v>120</v>
      </c>
      <c r="B32" s="3" t="s">
        <v>121</v>
      </c>
      <c r="C32" s="3" t="s">
        <v>122</v>
      </c>
      <c r="D32" s="3" t="s">
        <v>123</v>
      </c>
      <c r="E32" s="3">
        <v>4</v>
      </c>
      <c r="F32" s="3">
        <v>1</v>
      </c>
      <c r="G32" s="3">
        <v>0</v>
      </c>
      <c r="H32" s="3">
        <v>3</v>
      </c>
      <c r="I32" s="5"/>
    </row>
    <row r="33" spans="1:9">
      <c r="A33" s="3" t="s">
        <v>124</v>
      </c>
      <c r="B33" s="3" t="s">
        <v>125</v>
      </c>
      <c r="C33" s="3" t="s">
        <v>126</v>
      </c>
      <c r="D33" s="3" t="s">
        <v>123</v>
      </c>
      <c r="E33" s="3">
        <v>1</v>
      </c>
      <c r="F33" s="3">
        <v>1</v>
      </c>
      <c r="G33" s="3">
        <v>0</v>
      </c>
      <c r="H33" s="3">
        <v>0</v>
      </c>
      <c r="I33" s="5"/>
    </row>
    <row r="34" spans="1:9">
      <c r="A34" s="3" t="s">
        <v>127</v>
      </c>
      <c r="B34" s="3" t="s">
        <v>128</v>
      </c>
      <c r="C34" s="3" t="s">
        <v>129</v>
      </c>
      <c r="D34" s="3" t="s">
        <v>130</v>
      </c>
      <c r="E34" s="3">
        <v>2</v>
      </c>
      <c r="F34" s="3">
        <v>1</v>
      </c>
      <c r="G34" s="3">
        <v>0</v>
      </c>
      <c r="H34" s="3">
        <v>1</v>
      </c>
      <c r="I34" s="5"/>
    </row>
    <row r="35" spans="1:9">
      <c r="A35" s="3" t="s">
        <v>131</v>
      </c>
      <c r="B35" s="3" t="s">
        <v>132</v>
      </c>
      <c r="C35" s="3" t="s">
        <v>133</v>
      </c>
      <c r="D35" s="3" t="s">
        <v>130</v>
      </c>
      <c r="E35" s="3">
        <v>1</v>
      </c>
      <c r="F35" s="3">
        <v>1</v>
      </c>
      <c r="G35" s="3">
        <v>0</v>
      </c>
      <c r="H35" s="3">
        <v>0</v>
      </c>
      <c r="I35" s="5"/>
    </row>
    <row r="36" spans="1:9">
      <c r="A36" s="3" t="s">
        <v>134</v>
      </c>
      <c r="B36" s="3" t="s">
        <v>135</v>
      </c>
      <c r="C36" s="3" t="s">
        <v>136</v>
      </c>
      <c r="D36" s="3" t="s">
        <v>130</v>
      </c>
      <c r="E36" s="3">
        <v>2</v>
      </c>
      <c r="F36" s="3">
        <v>2</v>
      </c>
      <c r="G36" s="3">
        <v>0</v>
      </c>
      <c r="H36" s="3">
        <v>0</v>
      </c>
      <c r="I36" s="5"/>
    </row>
    <row r="37" spans="1:9">
      <c r="A37" s="3" t="s">
        <v>137</v>
      </c>
      <c r="B37" s="3" t="s">
        <v>138</v>
      </c>
      <c r="C37" s="3" t="s">
        <v>139</v>
      </c>
      <c r="D37" s="3" t="s">
        <v>130</v>
      </c>
      <c r="E37" s="3">
        <v>5</v>
      </c>
      <c r="F37" s="3">
        <v>2</v>
      </c>
      <c r="G37" s="3">
        <v>1</v>
      </c>
      <c r="H37" s="3">
        <v>2</v>
      </c>
      <c r="I37" s="5"/>
    </row>
    <row r="38" spans="1:9">
      <c r="A38" s="3" t="s">
        <v>140</v>
      </c>
      <c r="B38" s="3" t="s">
        <v>141</v>
      </c>
      <c r="C38" s="3" t="s">
        <v>142</v>
      </c>
      <c r="D38" s="3" t="s">
        <v>143</v>
      </c>
      <c r="E38" s="3">
        <v>2</v>
      </c>
      <c r="F38" s="3">
        <v>1</v>
      </c>
      <c r="G38" s="3">
        <v>1</v>
      </c>
      <c r="H38" s="3">
        <v>0</v>
      </c>
      <c r="I38" s="5"/>
    </row>
    <row r="39" spans="1:9">
      <c r="A39" s="3" t="s">
        <v>144</v>
      </c>
      <c r="B39" s="3" t="s">
        <v>145</v>
      </c>
      <c r="C39" s="3" t="s">
        <v>146</v>
      </c>
      <c r="D39" s="3" t="s">
        <v>130</v>
      </c>
      <c r="E39" s="3">
        <v>1</v>
      </c>
      <c r="F39" s="3">
        <v>0</v>
      </c>
      <c r="G39" s="3">
        <v>0</v>
      </c>
      <c r="H39" s="3">
        <v>1</v>
      </c>
      <c r="I39" s="5"/>
    </row>
    <row r="40" spans="1:9">
      <c r="A40" s="3" t="s">
        <v>147</v>
      </c>
      <c r="B40" s="3" t="s">
        <v>148</v>
      </c>
      <c r="C40" s="3" t="s">
        <v>149</v>
      </c>
      <c r="D40" s="3" t="s">
        <v>143</v>
      </c>
      <c r="E40" s="3">
        <v>1</v>
      </c>
      <c r="F40" s="3">
        <v>1</v>
      </c>
      <c r="G40" s="3">
        <v>0</v>
      </c>
      <c r="H40" s="3">
        <v>0</v>
      </c>
      <c r="I40" s="5"/>
    </row>
    <row r="41" spans="1:9">
      <c r="A41" s="3" t="s">
        <v>150</v>
      </c>
      <c r="B41" s="3" t="s">
        <v>151</v>
      </c>
      <c r="C41" s="3" t="s">
        <v>152</v>
      </c>
      <c r="D41" s="3" t="s">
        <v>143</v>
      </c>
      <c r="E41" s="3">
        <v>2</v>
      </c>
      <c r="F41" s="3">
        <v>1</v>
      </c>
      <c r="G41" s="3">
        <v>0</v>
      </c>
      <c r="H41" s="3">
        <v>1</v>
      </c>
      <c r="I41" s="5"/>
    </row>
    <row r="42" spans="1:9">
      <c r="A42" s="3" t="s">
        <v>153</v>
      </c>
      <c r="B42" s="3" t="s">
        <v>154</v>
      </c>
      <c r="C42" s="3" t="s">
        <v>155</v>
      </c>
      <c r="D42" s="3" t="s">
        <v>123</v>
      </c>
      <c r="E42" s="3">
        <v>2</v>
      </c>
      <c r="F42" s="3">
        <v>1</v>
      </c>
      <c r="G42" s="3">
        <v>0</v>
      </c>
      <c r="H42" s="3">
        <v>1</v>
      </c>
      <c r="I42" s="5"/>
    </row>
    <row r="43" spans="1:9">
      <c r="A43" s="3" t="s">
        <v>156</v>
      </c>
      <c r="B43" s="3" t="s">
        <v>157</v>
      </c>
      <c r="C43" s="3" t="s">
        <v>158</v>
      </c>
      <c r="D43" s="3" t="s">
        <v>159</v>
      </c>
      <c r="E43" s="3">
        <v>1</v>
      </c>
      <c r="F43" s="3">
        <v>0</v>
      </c>
      <c r="G43" s="3">
        <v>0</v>
      </c>
      <c r="H43" s="3">
        <v>1</v>
      </c>
      <c r="I43" s="5"/>
    </row>
    <row r="44" spans="1:9">
      <c r="A44" s="3" t="s">
        <v>160</v>
      </c>
      <c r="B44" s="3" t="s">
        <v>161</v>
      </c>
      <c r="C44" s="3" t="s">
        <v>162</v>
      </c>
      <c r="D44" s="3" t="s">
        <v>123</v>
      </c>
      <c r="E44" s="3">
        <v>1</v>
      </c>
      <c r="F44" s="3">
        <v>1</v>
      </c>
      <c r="G44" s="3">
        <v>0</v>
      </c>
      <c r="H44" s="3">
        <v>0</v>
      </c>
      <c r="I44" s="5"/>
    </row>
    <row r="45" spans="1:9">
      <c r="A45" s="3" t="s">
        <v>163</v>
      </c>
      <c r="B45" s="3" t="s">
        <v>164</v>
      </c>
      <c r="C45" s="3" t="s">
        <v>165</v>
      </c>
      <c r="D45" s="3" t="s">
        <v>123</v>
      </c>
      <c r="E45" s="3">
        <v>1</v>
      </c>
      <c r="F45" s="3">
        <v>0</v>
      </c>
      <c r="G45" s="3">
        <v>0</v>
      </c>
      <c r="H45" s="3">
        <v>1</v>
      </c>
      <c r="I45" s="5"/>
    </row>
    <row r="46" spans="1:9">
      <c r="A46" s="3" t="s">
        <v>166</v>
      </c>
      <c r="B46" s="3" t="s">
        <v>167</v>
      </c>
      <c r="C46" s="3" t="s">
        <v>168</v>
      </c>
      <c r="D46" s="3" t="s">
        <v>169</v>
      </c>
      <c r="E46" s="3">
        <v>1</v>
      </c>
      <c r="F46" s="3">
        <v>0</v>
      </c>
      <c r="G46" s="3">
        <v>0</v>
      </c>
      <c r="H46" s="3">
        <v>1</v>
      </c>
      <c r="I46" s="5"/>
    </row>
    <row r="47" spans="1:9">
      <c r="A47" s="3" t="s">
        <v>170</v>
      </c>
      <c r="B47" s="3" t="s">
        <v>171</v>
      </c>
      <c r="C47" s="3" t="s">
        <v>172</v>
      </c>
      <c r="D47" s="3" t="s">
        <v>173</v>
      </c>
      <c r="E47" s="3">
        <v>1</v>
      </c>
      <c r="F47" s="3">
        <v>0</v>
      </c>
      <c r="G47" s="3">
        <v>1</v>
      </c>
      <c r="H47" s="3">
        <v>0</v>
      </c>
      <c r="I47" s="5"/>
    </row>
    <row r="48" spans="1:9">
      <c r="A48" s="3" t="s">
        <v>174</v>
      </c>
      <c r="B48" s="3" t="s">
        <v>175</v>
      </c>
      <c r="C48" s="3" t="s">
        <v>176</v>
      </c>
      <c r="D48" s="3" t="s">
        <v>177</v>
      </c>
      <c r="E48" s="3">
        <v>1</v>
      </c>
      <c r="F48" s="3">
        <v>0</v>
      </c>
      <c r="G48" s="3">
        <v>0</v>
      </c>
      <c r="H48" s="3">
        <v>1</v>
      </c>
      <c r="I48" s="5"/>
    </row>
    <row r="49" spans="1:9">
      <c r="A49" s="3" t="s">
        <v>178</v>
      </c>
      <c r="B49" s="3" t="s">
        <v>179</v>
      </c>
      <c r="C49" s="3" t="s">
        <v>180</v>
      </c>
      <c r="D49" s="3" t="s">
        <v>181</v>
      </c>
      <c r="E49" s="3">
        <v>1</v>
      </c>
      <c r="F49" s="3">
        <v>0</v>
      </c>
      <c r="G49" s="3">
        <v>1</v>
      </c>
      <c r="H49" s="3">
        <v>0</v>
      </c>
      <c r="I49" s="5"/>
    </row>
    <row r="50" spans="1:9">
      <c r="A50" s="3" t="s">
        <v>182</v>
      </c>
      <c r="B50" s="3" t="s">
        <v>183</v>
      </c>
      <c r="C50" s="3" t="s">
        <v>184</v>
      </c>
      <c r="D50" s="3" t="s">
        <v>181</v>
      </c>
      <c r="E50" s="3">
        <v>2</v>
      </c>
      <c r="F50" s="3">
        <v>1</v>
      </c>
      <c r="G50" s="3">
        <v>1</v>
      </c>
      <c r="H50" s="3">
        <v>0</v>
      </c>
      <c r="I50" s="5"/>
    </row>
    <row r="51" spans="1:9">
      <c r="A51" s="3" t="s">
        <v>185</v>
      </c>
      <c r="B51" s="3" t="s">
        <v>186</v>
      </c>
      <c r="C51" s="3" t="s">
        <v>187</v>
      </c>
      <c r="D51" s="3" t="s">
        <v>188</v>
      </c>
      <c r="E51" s="3">
        <v>2</v>
      </c>
      <c r="F51" s="3">
        <v>1</v>
      </c>
      <c r="G51" s="3">
        <v>1</v>
      </c>
      <c r="H51" s="3">
        <v>0</v>
      </c>
      <c r="I51" s="5"/>
    </row>
    <row r="52" spans="1:9">
      <c r="A52" s="3" t="s">
        <v>189</v>
      </c>
      <c r="B52" s="3" t="s">
        <v>190</v>
      </c>
      <c r="C52" s="3" t="s">
        <v>191</v>
      </c>
      <c r="D52" s="3" t="s">
        <v>192</v>
      </c>
      <c r="E52" s="3">
        <v>2</v>
      </c>
      <c r="F52" s="3">
        <v>1</v>
      </c>
      <c r="G52" s="3">
        <v>1</v>
      </c>
      <c r="H52" s="3">
        <v>0</v>
      </c>
      <c r="I52" s="5"/>
    </row>
    <row r="53" spans="1:9">
      <c r="A53" s="3" t="s">
        <v>193</v>
      </c>
      <c r="B53" s="3" t="s">
        <v>194</v>
      </c>
      <c r="C53" s="3" t="s">
        <v>195</v>
      </c>
      <c r="D53" s="3" t="s">
        <v>196</v>
      </c>
      <c r="E53" s="3">
        <v>2</v>
      </c>
      <c r="F53" s="3">
        <v>0</v>
      </c>
      <c r="G53" s="3">
        <v>0</v>
      </c>
      <c r="H53" s="3">
        <v>2</v>
      </c>
      <c r="I53" s="5"/>
    </row>
    <row r="54" spans="1:9">
      <c r="A54" s="3" t="s">
        <v>197</v>
      </c>
      <c r="B54" s="3" t="s">
        <v>198</v>
      </c>
      <c r="C54" s="3" t="s">
        <v>199</v>
      </c>
      <c r="D54" s="3" t="s">
        <v>181</v>
      </c>
      <c r="E54" s="3">
        <v>1</v>
      </c>
      <c r="F54" s="3">
        <v>0</v>
      </c>
      <c r="G54" s="3">
        <v>0</v>
      </c>
      <c r="H54" s="3">
        <v>1</v>
      </c>
      <c r="I54" s="5"/>
    </row>
    <row r="55" spans="1:9">
      <c r="A55" s="3" t="s">
        <v>200</v>
      </c>
      <c r="B55" s="3" t="s">
        <v>201</v>
      </c>
      <c r="C55" s="3" t="s">
        <v>202</v>
      </c>
      <c r="D55" s="3" t="s">
        <v>203</v>
      </c>
      <c r="E55" s="3">
        <v>1</v>
      </c>
      <c r="F55" s="3">
        <v>0</v>
      </c>
      <c r="G55" s="3">
        <v>0</v>
      </c>
      <c r="H55" s="3">
        <v>1</v>
      </c>
      <c r="I55" s="5"/>
    </row>
    <row r="56" spans="1:9">
      <c r="A56" s="3" t="s">
        <v>204</v>
      </c>
      <c r="B56" s="3" t="s">
        <v>205</v>
      </c>
      <c r="C56" s="3" t="s">
        <v>206</v>
      </c>
      <c r="D56" s="3" t="s">
        <v>173</v>
      </c>
      <c r="E56" s="3">
        <v>1</v>
      </c>
      <c r="F56" s="3">
        <v>0</v>
      </c>
      <c r="G56" s="3">
        <v>1</v>
      </c>
      <c r="H56" s="3">
        <v>0</v>
      </c>
      <c r="I56" s="5"/>
    </row>
    <row r="57" spans="1:9">
      <c r="A57" s="3" t="s">
        <v>207</v>
      </c>
      <c r="B57" s="3" t="s">
        <v>208</v>
      </c>
      <c r="C57" s="3" t="s">
        <v>209</v>
      </c>
      <c r="D57" s="3" t="s">
        <v>181</v>
      </c>
      <c r="E57" s="3">
        <v>2</v>
      </c>
      <c r="F57" s="3">
        <v>1</v>
      </c>
      <c r="G57" s="3">
        <v>1</v>
      </c>
      <c r="H57" s="3">
        <v>0</v>
      </c>
      <c r="I57" s="5"/>
    </row>
    <row r="58" spans="1:9">
      <c r="A58" s="3" t="s">
        <v>210</v>
      </c>
      <c r="B58" s="3" t="s">
        <v>211</v>
      </c>
      <c r="C58" s="3" t="s">
        <v>212</v>
      </c>
      <c r="D58" s="3" t="s">
        <v>213</v>
      </c>
      <c r="E58" s="3">
        <v>1</v>
      </c>
      <c r="F58" s="3">
        <v>0</v>
      </c>
      <c r="G58" s="3">
        <v>1</v>
      </c>
      <c r="H58" s="3">
        <v>0</v>
      </c>
      <c r="I58" s="5"/>
    </row>
    <row r="59" spans="1:9">
      <c r="A59" s="3" t="s">
        <v>214</v>
      </c>
      <c r="B59" s="3" t="s">
        <v>215</v>
      </c>
      <c r="C59" s="3" t="s">
        <v>216</v>
      </c>
      <c r="D59" s="3" t="s">
        <v>217</v>
      </c>
      <c r="E59" s="3">
        <v>3</v>
      </c>
      <c r="F59" s="3">
        <v>0</v>
      </c>
      <c r="G59" s="3">
        <v>0</v>
      </c>
      <c r="H59" s="3">
        <v>3</v>
      </c>
      <c r="I59" s="5"/>
    </row>
    <row r="60" spans="1:9">
      <c r="A60" s="3" t="s">
        <v>218</v>
      </c>
      <c r="B60" s="3" t="s">
        <v>219</v>
      </c>
      <c r="C60" s="3" t="s">
        <v>220</v>
      </c>
      <c r="D60" s="3" t="s">
        <v>221</v>
      </c>
      <c r="E60" s="3">
        <v>1</v>
      </c>
      <c r="F60" s="3">
        <v>0</v>
      </c>
      <c r="G60" s="3">
        <v>0</v>
      </c>
      <c r="H60" s="3">
        <v>1</v>
      </c>
      <c r="I60" s="5"/>
    </row>
    <row r="61" spans="1:9">
      <c r="A61" s="3" t="s">
        <v>222</v>
      </c>
      <c r="B61" s="3" t="s">
        <v>223</v>
      </c>
      <c r="C61" s="3" t="s">
        <v>224</v>
      </c>
      <c r="D61" s="3" t="s">
        <v>225</v>
      </c>
      <c r="E61" s="3">
        <v>1</v>
      </c>
      <c r="F61" s="3">
        <v>0</v>
      </c>
      <c r="G61" s="3">
        <v>1</v>
      </c>
      <c r="H61" s="3">
        <v>0</v>
      </c>
      <c r="I61" s="5"/>
    </row>
    <row r="62" spans="1:9">
      <c r="A62" s="3" t="s">
        <v>226</v>
      </c>
      <c r="B62" s="3" t="s">
        <v>227</v>
      </c>
      <c r="C62" s="3" t="s">
        <v>228</v>
      </c>
      <c r="D62" s="3" t="s">
        <v>221</v>
      </c>
      <c r="E62" s="3">
        <v>1</v>
      </c>
      <c r="F62" s="3">
        <v>0</v>
      </c>
      <c r="G62" s="3">
        <v>0</v>
      </c>
      <c r="H62" s="3">
        <v>1</v>
      </c>
      <c r="I62" s="5"/>
    </row>
    <row r="63" spans="1:9">
      <c r="A63" s="3" t="s">
        <v>229</v>
      </c>
      <c r="B63" s="3" t="s">
        <v>230</v>
      </c>
      <c r="C63" s="3" t="s">
        <v>231</v>
      </c>
      <c r="D63" s="3" t="s">
        <v>232</v>
      </c>
      <c r="E63" s="3">
        <v>2</v>
      </c>
      <c r="F63" s="3">
        <v>1</v>
      </c>
      <c r="G63" s="3">
        <v>1</v>
      </c>
      <c r="H63" s="3">
        <v>0</v>
      </c>
      <c r="I63" s="5"/>
    </row>
    <row r="64" spans="1:9">
      <c r="A64" s="3" t="s">
        <v>233</v>
      </c>
      <c r="B64" s="3" t="s">
        <v>234</v>
      </c>
      <c r="C64" s="3" t="s">
        <v>235</v>
      </c>
      <c r="D64" s="3" t="s">
        <v>236</v>
      </c>
      <c r="E64" s="3">
        <v>1</v>
      </c>
      <c r="F64" s="3">
        <v>1</v>
      </c>
      <c r="G64" s="3">
        <v>0</v>
      </c>
      <c r="H64" s="3">
        <v>0</v>
      </c>
      <c r="I64" s="5"/>
    </row>
    <row r="65" spans="1:9">
      <c r="A65" s="3" t="s">
        <v>237</v>
      </c>
      <c r="B65" s="3" t="s">
        <v>238</v>
      </c>
      <c r="C65" s="3" t="s">
        <v>239</v>
      </c>
      <c r="D65" s="3" t="s">
        <v>221</v>
      </c>
      <c r="E65" s="3">
        <v>3</v>
      </c>
      <c r="F65" s="3">
        <v>2</v>
      </c>
      <c r="G65" s="3">
        <v>0</v>
      </c>
      <c r="H65" s="3">
        <v>1</v>
      </c>
      <c r="I65" s="5"/>
    </row>
    <row r="66" spans="1:9">
      <c r="A66" s="3" t="s">
        <v>240</v>
      </c>
      <c r="B66" s="3" t="s">
        <v>241</v>
      </c>
      <c r="C66" s="3" t="s">
        <v>242</v>
      </c>
      <c r="D66" s="3" t="s">
        <v>243</v>
      </c>
      <c r="E66" s="3">
        <v>2</v>
      </c>
      <c r="F66" s="3">
        <v>0</v>
      </c>
      <c r="G66" s="3">
        <v>0</v>
      </c>
      <c r="H66" s="3">
        <v>2</v>
      </c>
      <c r="I66" s="5"/>
    </row>
    <row r="67" spans="1:9">
      <c r="A67" s="3" t="s">
        <v>244</v>
      </c>
      <c r="B67" s="3" t="s">
        <v>245</v>
      </c>
      <c r="C67" s="3" t="s">
        <v>246</v>
      </c>
      <c r="D67" s="3" t="s">
        <v>247</v>
      </c>
      <c r="E67" s="3">
        <v>2</v>
      </c>
      <c r="F67" s="3">
        <v>0</v>
      </c>
      <c r="G67" s="3">
        <v>0</v>
      </c>
      <c r="H67" s="3">
        <v>2</v>
      </c>
      <c r="I67" s="5"/>
    </row>
    <row r="68" spans="1:9">
      <c r="A68" s="3" t="s">
        <v>248</v>
      </c>
      <c r="B68" s="3" t="s">
        <v>249</v>
      </c>
      <c r="C68" s="3" t="s">
        <v>250</v>
      </c>
      <c r="D68" s="3" t="s">
        <v>247</v>
      </c>
      <c r="E68" s="3">
        <v>1</v>
      </c>
      <c r="F68" s="3">
        <v>0</v>
      </c>
      <c r="G68" s="3">
        <v>0</v>
      </c>
      <c r="H68" s="3">
        <v>1</v>
      </c>
      <c r="I68" s="5"/>
    </row>
    <row r="69" spans="1:9">
      <c r="A69" s="3" t="s">
        <v>251</v>
      </c>
      <c r="B69" s="3" t="s">
        <v>252</v>
      </c>
      <c r="C69" s="3" t="s">
        <v>253</v>
      </c>
      <c r="D69" s="3" t="s">
        <v>243</v>
      </c>
      <c r="E69" s="3">
        <v>1</v>
      </c>
      <c r="F69" s="3">
        <v>0</v>
      </c>
      <c r="G69" s="3">
        <v>0</v>
      </c>
      <c r="H69" s="3">
        <v>1</v>
      </c>
      <c r="I69" s="5"/>
    </row>
    <row r="70" spans="1:9">
      <c r="A70" s="3" t="s">
        <v>254</v>
      </c>
      <c r="B70" s="3" t="s">
        <v>255</v>
      </c>
      <c r="C70" s="3" t="s">
        <v>256</v>
      </c>
      <c r="D70" s="3" t="s">
        <v>221</v>
      </c>
      <c r="E70" s="3">
        <v>1</v>
      </c>
      <c r="F70" s="3">
        <v>0</v>
      </c>
      <c r="G70" s="3">
        <v>1</v>
      </c>
      <c r="H70" s="3">
        <v>0</v>
      </c>
      <c r="I70" s="5"/>
    </row>
    <row r="71" spans="1:9">
      <c r="A71" s="3" t="s">
        <v>257</v>
      </c>
      <c r="B71" s="3" t="s">
        <v>258</v>
      </c>
      <c r="C71" s="3" t="s">
        <v>259</v>
      </c>
      <c r="D71" s="3" t="s">
        <v>260</v>
      </c>
      <c r="E71" s="3">
        <v>1</v>
      </c>
      <c r="F71" s="3">
        <v>0</v>
      </c>
      <c r="G71" s="3">
        <v>0</v>
      </c>
      <c r="H71" s="3">
        <v>1</v>
      </c>
      <c r="I71" s="5"/>
    </row>
    <row r="72" spans="1:9">
      <c r="A72" s="3" t="s">
        <v>261</v>
      </c>
      <c r="B72" s="3" t="s">
        <v>262</v>
      </c>
      <c r="C72" s="3" t="s">
        <v>263</v>
      </c>
      <c r="D72" s="3" t="s">
        <v>221</v>
      </c>
      <c r="E72" s="3">
        <v>1</v>
      </c>
      <c r="F72" s="3">
        <v>0</v>
      </c>
      <c r="G72" s="3">
        <v>0</v>
      </c>
      <c r="H72" s="3">
        <v>1</v>
      </c>
      <c r="I72" s="5"/>
    </row>
    <row r="73" spans="1:9">
      <c r="A73" s="3" t="s">
        <v>264</v>
      </c>
      <c r="B73" s="3" t="s">
        <v>265</v>
      </c>
      <c r="C73" s="3" t="s">
        <v>266</v>
      </c>
      <c r="D73" s="3" t="s">
        <v>243</v>
      </c>
      <c r="E73" s="3">
        <v>8</v>
      </c>
      <c r="F73" s="3">
        <v>2</v>
      </c>
      <c r="G73" s="3">
        <v>3</v>
      </c>
      <c r="H73" s="3">
        <v>3</v>
      </c>
      <c r="I73" s="5"/>
    </row>
    <row r="74" spans="1:9">
      <c r="A74" s="3" t="s">
        <v>267</v>
      </c>
      <c r="B74" s="3" t="s">
        <v>268</v>
      </c>
      <c r="C74" s="3" t="s">
        <v>269</v>
      </c>
      <c r="D74" s="3" t="s">
        <v>243</v>
      </c>
      <c r="E74" s="3">
        <v>4</v>
      </c>
      <c r="F74" s="3">
        <v>1</v>
      </c>
      <c r="G74" s="3">
        <v>2</v>
      </c>
      <c r="H74" s="3">
        <v>1</v>
      </c>
      <c r="I74" s="5"/>
    </row>
    <row r="75" spans="1:9">
      <c r="A75" s="3" t="s">
        <v>270</v>
      </c>
      <c r="B75" s="3" t="s">
        <v>271</v>
      </c>
      <c r="C75" s="3" t="s">
        <v>272</v>
      </c>
      <c r="D75" s="3" t="s">
        <v>273</v>
      </c>
      <c r="E75" s="3">
        <v>2</v>
      </c>
      <c r="F75" s="3">
        <v>0</v>
      </c>
      <c r="G75" s="3">
        <v>2</v>
      </c>
      <c r="H75" s="3">
        <v>0</v>
      </c>
      <c r="I75" s="5"/>
    </row>
    <row r="76" spans="1:9">
      <c r="A76" s="3" t="s">
        <v>274</v>
      </c>
      <c r="B76" s="3" t="s">
        <v>275</v>
      </c>
      <c r="C76" s="3" t="s">
        <v>276</v>
      </c>
      <c r="D76" s="3" t="s">
        <v>221</v>
      </c>
      <c r="E76" s="3">
        <v>2</v>
      </c>
      <c r="F76" s="3">
        <v>2</v>
      </c>
      <c r="G76" s="3">
        <v>0</v>
      </c>
      <c r="H76" s="3">
        <v>0</v>
      </c>
      <c r="I76" s="5"/>
    </row>
    <row r="77" spans="1:9">
      <c r="A77" s="3" t="s">
        <v>277</v>
      </c>
      <c r="B77" s="3" t="s">
        <v>278</v>
      </c>
      <c r="C77" s="3" t="s">
        <v>279</v>
      </c>
      <c r="D77" s="3" t="s">
        <v>260</v>
      </c>
      <c r="E77" s="3">
        <v>1</v>
      </c>
      <c r="F77" s="3">
        <v>1</v>
      </c>
      <c r="G77" s="3">
        <v>0</v>
      </c>
      <c r="H77" s="3">
        <v>0</v>
      </c>
      <c r="I77" s="5"/>
    </row>
    <row r="78" spans="1:9">
      <c r="A78" s="3" t="s">
        <v>280</v>
      </c>
      <c r="B78" s="3" t="s">
        <v>281</v>
      </c>
      <c r="C78" s="3" t="s">
        <v>282</v>
      </c>
      <c r="D78" s="3" t="s">
        <v>221</v>
      </c>
      <c r="E78" s="3">
        <v>2</v>
      </c>
      <c r="F78" s="3">
        <v>1</v>
      </c>
      <c r="G78" s="3">
        <v>0</v>
      </c>
      <c r="H78" s="3">
        <v>1</v>
      </c>
      <c r="I78" s="5"/>
    </row>
    <row r="79" spans="1:9">
      <c r="A79" s="3" t="s">
        <v>283</v>
      </c>
      <c r="B79" s="3" t="s">
        <v>284</v>
      </c>
      <c r="C79" s="3" t="s">
        <v>285</v>
      </c>
      <c r="D79" s="3" t="s">
        <v>247</v>
      </c>
      <c r="E79" s="3">
        <v>1</v>
      </c>
      <c r="F79" s="3">
        <v>1</v>
      </c>
      <c r="G79" s="3">
        <v>0</v>
      </c>
      <c r="H79" s="3">
        <v>0</v>
      </c>
      <c r="I79" s="5"/>
    </row>
    <row r="80" spans="1:9">
      <c r="A80" s="3" t="s">
        <v>286</v>
      </c>
      <c r="B80" s="3" t="s">
        <v>287</v>
      </c>
      <c r="C80" s="3" t="s">
        <v>288</v>
      </c>
      <c r="D80" s="3" t="s">
        <v>247</v>
      </c>
      <c r="E80" s="3">
        <v>2</v>
      </c>
      <c r="F80" s="3">
        <v>0</v>
      </c>
      <c r="G80" s="3">
        <v>0</v>
      </c>
      <c r="H80" s="3">
        <v>2</v>
      </c>
      <c r="I80" s="5"/>
    </row>
    <row r="81" spans="1:9">
      <c r="A81" s="3" t="s">
        <v>289</v>
      </c>
      <c r="B81" s="3" t="s">
        <v>290</v>
      </c>
      <c r="C81" s="3" t="s">
        <v>291</v>
      </c>
      <c r="D81" s="3" t="s">
        <v>247</v>
      </c>
      <c r="E81" s="3">
        <v>2</v>
      </c>
      <c r="F81" s="3">
        <v>1</v>
      </c>
      <c r="G81" s="3">
        <v>0</v>
      </c>
      <c r="H81" s="3">
        <v>1</v>
      </c>
      <c r="I81" s="5"/>
    </row>
    <row r="82" spans="1:9">
      <c r="A82" s="3" t="s">
        <v>292</v>
      </c>
      <c r="B82" s="3" t="s">
        <v>293</v>
      </c>
      <c r="C82" s="3" t="s">
        <v>294</v>
      </c>
      <c r="D82" s="3" t="s">
        <v>295</v>
      </c>
      <c r="E82" s="3">
        <v>1</v>
      </c>
      <c r="F82" s="3">
        <v>0</v>
      </c>
      <c r="G82" s="3">
        <v>1</v>
      </c>
      <c r="H82" s="3">
        <v>0</v>
      </c>
      <c r="I82" s="5"/>
    </row>
    <row r="83" spans="1:9">
      <c r="A83" s="3" t="s">
        <v>296</v>
      </c>
      <c r="B83" s="3" t="s">
        <v>297</v>
      </c>
      <c r="C83" s="3" t="s">
        <v>298</v>
      </c>
      <c r="D83" s="3" t="s">
        <v>299</v>
      </c>
      <c r="E83" s="3">
        <v>1</v>
      </c>
      <c r="F83" s="3">
        <v>0</v>
      </c>
      <c r="G83" s="3">
        <v>0</v>
      </c>
      <c r="H83" s="3">
        <v>1</v>
      </c>
      <c r="I83" s="5"/>
    </row>
    <row r="84" spans="1:9">
      <c r="A84" s="3" t="s">
        <v>300</v>
      </c>
      <c r="B84" s="3" t="s">
        <v>301</v>
      </c>
      <c r="C84" s="3" t="s">
        <v>302</v>
      </c>
      <c r="D84" s="3" t="s">
        <v>303</v>
      </c>
      <c r="E84" s="3">
        <v>1</v>
      </c>
      <c r="F84" s="3">
        <v>0</v>
      </c>
      <c r="G84" s="3">
        <v>1</v>
      </c>
      <c r="H84" s="3">
        <v>0</v>
      </c>
      <c r="I84" s="5"/>
    </row>
    <row r="85" spans="1:9">
      <c r="A85" s="6"/>
      <c r="B85" s="6"/>
      <c r="C85" s="6"/>
      <c r="D85" s="6"/>
      <c r="E85" s="6"/>
      <c r="F85" s="6"/>
      <c r="G85" s="6"/>
      <c r="H85" s="6"/>
      <c r="I85" s="5"/>
    </row>
    <row r="86" spans="1:9">
      <c r="A86" s="6"/>
      <c r="B86" s="6"/>
      <c r="C86" s="6"/>
      <c r="D86" s="6"/>
      <c r="E86" s="6"/>
      <c r="F86" s="6"/>
      <c r="G86" s="6"/>
      <c r="H86" s="6"/>
      <c r="I86" s="5"/>
    </row>
    <row r="87" spans="1:9">
      <c r="A87" s="6"/>
      <c r="B87" s="6"/>
      <c r="C87" s="6"/>
      <c r="D87" s="6"/>
      <c r="E87" s="6"/>
      <c r="F87" s="6"/>
      <c r="G87" s="6"/>
      <c r="H87" s="6"/>
      <c r="I87" s="5"/>
    </row>
    <row r="88" spans="1:9">
      <c r="A88" s="6"/>
      <c r="B88" s="6"/>
      <c r="C88" s="6"/>
      <c r="D88" s="6"/>
      <c r="E88" s="6"/>
      <c r="F88" s="6"/>
      <c r="G88" s="6"/>
      <c r="H88" s="6"/>
      <c r="I88" s="5"/>
    </row>
    <row r="89" spans="1:9">
      <c r="A89" s="6"/>
      <c r="B89" s="6"/>
      <c r="C89" s="6"/>
      <c r="D89" s="6"/>
      <c r="E89" s="6"/>
      <c r="F89" s="6"/>
      <c r="G89" s="6"/>
      <c r="H89" s="6"/>
      <c r="I89" s="5"/>
    </row>
    <row r="90" spans="1:9">
      <c r="A90" s="6"/>
      <c r="B90" s="6"/>
      <c r="C90" s="6"/>
      <c r="D90" s="6"/>
      <c r="E90" s="6"/>
      <c r="F90" s="6"/>
      <c r="G90" s="6"/>
      <c r="H90" s="6"/>
      <c r="I90" s="5"/>
    </row>
    <row r="91" spans="1:9">
      <c r="A91" s="6"/>
      <c r="B91" s="6"/>
      <c r="C91" s="6"/>
      <c r="D91" s="6"/>
      <c r="E91" s="6"/>
      <c r="F91" s="6"/>
      <c r="G91" s="6"/>
      <c r="H91" s="6"/>
      <c r="I91" s="5"/>
    </row>
    <row r="92" spans="1:9">
      <c r="A92" s="6"/>
      <c r="B92" s="6"/>
      <c r="C92" s="6"/>
      <c r="D92" s="6"/>
      <c r="E92" s="6"/>
      <c r="F92" s="6"/>
      <c r="G92" s="6"/>
      <c r="H92" s="6"/>
      <c r="I92" s="5"/>
    </row>
    <row r="93" spans="1:9">
      <c r="A93" s="6"/>
      <c r="B93" s="6"/>
      <c r="C93" s="6"/>
      <c r="D93" s="6"/>
      <c r="E93" s="6"/>
      <c r="F93" s="6"/>
      <c r="G93" s="6"/>
      <c r="H93" s="6"/>
      <c r="I93" s="5"/>
    </row>
    <row r="94" spans="1:9">
      <c r="A94" s="6"/>
      <c r="B94" s="6"/>
      <c r="C94" s="6"/>
      <c r="D94" s="6"/>
      <c r="E94" s="6"/>
      <c r="F94" s="6"/>
      <c r="G94" s="6"/>
      <c r="H94" s="6"/>
      <c r="I94" s="5"/>
    </row>
    <row r="95" spans="1:9">
      <c r="A95" s="6"/>
      <c r="B95" s="6"/>
      <c r="C95" s="6"/>
      <c r="D95" s="6"/>
      <c r="E95" s="6"/>
      <c r="F95" s="6"/>
      <c r="G95" s="6"/>
      <c r="H95" s="6"/>
      <c r="I95" s="5"/>
    </row>
    <row r="96" spans="1:9">
      <c r="A96" s="6"/>
      <c r="B96" s="6"/>
      <c r="C96" s="6"/>
      <c r="D96" s="6"/>
      <c r="E96" s="6"/>
      <c r="F96" s="6"/>
      <c r="G96" s="6"/>
      <c r="H96" s="6"/>
      <c r="I96" s="5"/>
    </row>
    <row r="97" spans="1:9">
      <c r="A97" s="6"/>
      <c r="B97" s="6"/>
      <c r="C97" s="6"/>
      <c r="D97" s="6"/>
      <c r="E97" s="6"/>
      <c r="F97" s="6"/>
      <c r="G97" s="6"/>
      <c r="H97" s="6"/>
      <c r="I97" s="5"/>
    </row>
    <row r="98" spans="1:9">
      <c r="A98" s="6"/>
      <c r="B98" s="6"/>
      <c r="C98" s="6"/>
      <c r="D98" s="6"/>
      <c r="E98" s="6"/>
      <c r="F98" s="6"/>
      <c r="G98" s="6"/>
      <c r="H98" s="6"/>
      <c r="I98" s="5"/>
    </row>
    <row r="99" spans="1:9">
      <c r="A99" s="6"/>
      <c r="B99" s="6"/>
      <c r="C99" s="6"/>
      <c r="D99" s="6"/>
      <c r="E99" s="6"/>
      <c r="F99" s="6"/>
      <c r="G99" s="6"/>
      <c r="H99" s="6"/>
      <c r="I99" s="5"/>
    </row>
    <row r="100" spans="1:9">
      <c r="A100" s="6"/>
      <c r="B100" s="6"/>
      <c r="C100" s="6"/>
      <c r="D100" s="6"/>
      <c r="E100" s="6"/>
      <c r="F100" s="6"/>
      <c r="G100" s="6"/>
      <c r="H100" s="6"/>
      <c r="I100" s="5"/>
    </row>
    <row r="101" spans="1:9">
      <c r="A101" s="6"/>
      <c r="B101" s="6"/>
      <c r="C101" s="6"/>
      <c r="D101" s="6"/>
      <c r="E101" s="6"/>
      <c r="F101" s="6"/>
      <c r="G101" s="6"/>
      <c r="H101" s="6"/>
      <c r="I101" s="5"/>
    </row>
    <row r="102" spans="1:9">
      <c r="A102" s="6"/>
      <c r="B102" s="6"/>
      <c r="C102" s="6"/>
      <c r="D102" s="6"/>
      <c r="E102" s="6"/>
      <c r="F102" s="6"/>
      <c r="G102" s="6"/>
      <c r="H102" s="6"/>
      <c r="I102" s="5"/>
    </row>
    <row r="103" spans="1:9">
      <c r="A103" s="6"/>
      <c r="B103" s="6"/>
      <c r="C103" s="6"/>
      <c r="D103" s="6"/>
      <c r="E103" s="6"/>
      <c r="F103" s="6"/>
      <c r="G103" s="6"/>
      <c r="H103" s="6"/>
      <c r="I103" s="5"/>
    </row>
    <row r="104" spans="1:9">
      <c r="A104" s="6"/>
      <c r="B104" s="6"/>
      <c r="C104" s="6"/>
      <c r="D104" s="6"/>
      <c r="E104" s="6"/>
      <c r="F104" s="6"/>
      <c r="G104" s="6"/>
      <c r="H104" s="6"/>
      <c r="I104" s="5"/>
    </row>
    <row r="105" spans="1:9">
      <c r="A105" s="6"/>
      <c r="B105" s="6"/>
      <c r="C105" s="6"/>
      <c r="D105" s="6"/>
      <c r="E105" s="6"/>
      <c r="F105" s="6"/>
      <c r="G105" s="6"/>
      <c r="H105" s="6"/>
      <c r="I105" s="5"/>
    </row>
    <row r="106" spans="1:9">
      <c r="A106" s="6"/>
      <c r="B106" s="6"/>
      <c r="C106" s="6"/>
      <c r="D106" s="6"/>
      <c r="E106" s="6"/>
      <c r="F106" s="6"/>
      <c r="G106" s="6"/>
      <c r="H106" s="6"/>
      <c r="I106" s="5"/>
    </row>
    <row r="107" spans="1:9">
      <c r="A107" s="6"/>
      <c r="B107" s="6"/>
      <c r="C107" s="6"/>
      <c r="D107" s="6"/>
      <c r="E107" s="6"/>
      <c r="F107" s="6"/>
      <c r="G107" s="6"/>
      <c r="H107" s="6"/>
      <c r="I107" s="5"/>
    </row>
    <row r="108" spans="1:9">
      <c r="A108" s="6"/>
      <c r="B108" s="6"/>
      <c r="C108" s="6"/>
      <c r="D108" s="6"/>
      <c r="E108" s="6"/>
      <c r="F108" s="6"/>
      <c r="G108" s="6"/>
      <c r="H108" s="6"/>
      <c r="I108" s="5"/>
    </row>
    <row r="109" spans="1:9">
      <c r="A109" s="6"/>
      <c r="B109" s="6"/>
      <c r="C109" s="6"/>
      <c r="D109" s="6"/>
      <c r="E109" s="6"/>
      <c r="F109" s="6"/>
      <c r="G109" s="6"/>
      <c r="H109" s="6"/>
      <c r="I109" s="5"/>
    </row>
    <row r="110" spans="1:9">
      <c r="A110" s="6"/>
      <c r="B110" s="6"/>
      <c r="C110" s="6"/>
      <c r="D110" s="6"/>
      <c r="E110" s="6"/>
      <c r="F110" s="6"/>
      <c r="G110" s="6"/>
      <c r="H110" s="6"/>
      <c r="I110" s="5"/>
    </row>
    <row r="111" spans="1:9">
      <c r="A111" s="6"/>
      <c r="B111" s="6"/>
      <c r="C111" s="6"/>
      <c r="D111" s="6"/>
      <c r="E111" s="6"/>
      <c r="F111" s="6"/>
      <c r="G111" s="6"/>
      <c r="H111" s="6"/>
      <c r="I111" s="5"/>
    </row>
    <row r="112" spans="1:9">
      <c r="A112" s="6"/>
      <c r="B112" s="6"/>
      <c r="C112" s="6"/>
      <c r="D112" s="6"/>
      <c r="E112" s="6"/>
      <c r="F112" s="6"/>
      <c r="G112" s="6"/>
      <c r="H112" s="6"/>
      <c r="I112" s="5"/>
    </row>
    <row r="113" spans="1:9">
      <c r="A113" s="6"/>
      <c r="B113" s="6"/>
      <c r="C113" s="6"/>
      <c r="D113" s="6"/>
      <c r="E113" s="6"/>
      <c r="F113" s="6"/>
      <c r="G113" s="6"/>
      <c r="H113" s="6"/>
      <c r="I113" s="5"/>
    </row>
    <row r="114" spans="1:9">
      <c r="A114" s="6"/>
      <c r="B114" s="6"/>
      <c r="C114" s="6"/>
      <c r="D114" s="6"/>
      <c r="E114" s="6"/>
      <c r="F114" s="6"/>
      <c r="G114" s="6"/>
      <c r="H114" s="6"/>
      <c r="I114" s="5"/>
    </row>
    <row r="115" spans="1:9">
      <c r="A115" s="6"/>
      <c r="B115" s="6"/>
      <c r="C115" s="6"/>
      <c r="D115" s="6"/>
      <c r="E115" s="6"/>
      <c r="F115" s="6"/>
      <c r="G115" s="6"/>
      <c r="H115" s="6"/>
      <c r="I115" s="5"/>
    </row>
    <row r="116" spans="1:9">
      <c r="A116" s="6"/>
      <c r="B116" s="6"/>
      <c r="C116" s="6"/>
      <c r="D116" s="6"/>
      <c r="E116" s="6"/>
      <c r="F116" s="6"/>
      <c r="G116" s="6"/>
      <c r="H116" s="6"/>
      <c r="I116" s="5"/>
    </row>
    <row r="117" spans="1:9">
      <c r="A117" s="6"/>
      <c r="B117" s="6"/>
      <c r="C117" s="6"/>
      <c r="D117" s="6"/>
      <c r="E117" s="6"/>
      <c r="F117" s="6"/>
      <c r="G117" s="6"/>
      <c r="H117" s="6"/>
      <c r="I117" s="5"/>
    </row>
    <row r="118" spans="1:9">
      <c r="A118" s="6"/>
      <c r="B118" s="6"/>
      <c r="C118" s="6"/>
      <c r="D118" s="6"/>
      <c r="E118" s="6"/>
      <c r="F118" s="6"/>
      <c r="G118" s="6"/>
      <c r="H118" s="6"/>
      <c r="I118" s="5"/>
    </row>
    <row r="119" spans="1:9">
      <c r="A119" s="6"/>
      <c r="B119" s="6"/>
      <c r="C119" s="6"/>
      <c r="D119" s="6"/>
      <c r="E119" s="6"/>
      <c r="F119" s="6"/>
      <c r="G119" s="6"/>
      <c r="H119" s="6"/>
      <c r="I119" s="5"/>
    </row>
    <row r="120" spans="1:9">
      <c r="A120" s="6"/>
      <c r="B120" s="6"/>
      <c r="C120" s="6"/>
      <c r="D120" s="6"/>
      <c r="E120" s="6"/>
      <c r="F120" s="6"/>
      <c r="G120" s="6"/>
      <c r="H120" s="6"/>
      <c r="I120" s="5"/>
    </row>
    <row r="121" spans="1:9">
      <c r="A121" s="6"/>
      <c r="B121" s="6"/>
      <c r="C121" s="6"/>
      <c r="D121" s="6"/>
      <c r="E121" s="6"/>
      <c r="F121" s="6"/>
      <c r="G121" s="6"/>
      <c r="H121" s="6"/>
      <c r="I121" s="5"/>
    </row>
    <row r="122" spans="1:9">
      <c r="A122" s="6"/>
      <c r="B122" s="6"/>
      <c r="C122" s="6"/>
      <c r="D122" s="6"/>
      <c r="E122" s="6"/>
      <c r="F122" s="6"/>
      <c r="G122" s="6"/>
      <c r="H122" s="6"/>
      <c r="I122" s="5"/>
    </row>
    <row r="123" spans="1:9">
      <c r="A123" s="6"/>
      <c r="B123" s="6"/>
      <c r="C123" s="6"/>
      <c r="D123" s="6"/>
      <c r="E123" s="6"/>
      <c r="F123" s="6"/>
      <c r="G123" s="6"/>
      <c r="H123" s="6"/>
      <c r="I123" s="5"/>
    </row>
    <row r="124" spans="1:9">
      <c r="A124" s="6"/>
      <c r="B124" s="6"/>
      <c r="C124" s="6"/>
      <c r="D124" s="6"/>
      <c r="E124" s="6"/>
      <c r="F124" s="6"/>
      <c r="G124" s="6"/>
      <c r="H124" s="6"/>
      <c r="I124" s="5"/>
    </row>
    <row r="125" spans="1:9">
      <c r="A125" s="6"/>
      <c r="B125" s="6"/>
      <c r="C125" s="6"/>
      <c r="D125" s="6"/>
      <c r="E125" s="6"/>
      <c r="F125" s="6"/>
      <c r="G125" s="6"/>
      <c r="H125" s="6"/>
      <c r="I125" s="5"/>
    </row>
    <row r="126" spans="1:9">
      <c r="A126" s="6"/>
      <c r="B126" s="6"/>
      <c r="C126" s="6"/>
      <c r="D126" s="6"/>
      <c r="E126" s="6"/>
      <c r="F126" s="6"/>
      <c r="G126" s="6"/>
      <c r="H126" s="6"/>
      <c r="I126" s="5"/>
    </row>
    <row r="127" spans="1:9">
      <c r="A127" s="6"/>
      <c r="B127" s="6"/>
      <c r="C127" s="6"/>
      <c r="D127" s="6"/>
      <c r="E127" s="6"/>
      <c r="F127" s="6"/>
      <c r="G127" s="6"/>
      <c r="H127" s="6"/>
      <c r="I127" s="5"/>
    </row>
    <row r="128" spans="1:9">
      <c r="A128" s="6"/>
      <c r="B128" s="6"/>
      <c r="C128" s="6"/>
      <c r="D128" s="6"/>
      <c r="E128" s="6"/>
      <c r="F128" s="6"/>
      <c r="G128" s="6"/>
      <c r="H128" s="6"/>
      <c r="I128" s="5"/>
    </row>
    <row r="129" spans="1:9">
      <c r="A129" s="6"/>
      <c r="B129" s="6"/>
      <c r="C129" s="6"/>
      <c r="D129" s="6"/>
      <c r="E129" s="6"/>
      <c r="F129" s="6"/>
      <c r="G129" s="6"/>
      <c r="H129" s="6"/>
      <c r="I129" s="5"/>
    </row>
    <row r="130" spans="1:9">
      <c r="A130" s="6"/>
      <c r="B130" s="6"/>
      <c r="C130" s="6"/>
      <c r="D130" s="6"/>
      <c r="E130" s="6"/>
      <c r="F130" s="6"/>
      <c r="G130" s="6"/>
      <c r="H130" s="6"/>
      <c r="I130" s="5"/>
    </row>
    <row r="131" spans="1:9">
      <c r="A131" s="6"/>
      <c r="B131" s="6"/>
      <c r="C131" s="6"/>
      <c r="D131" s="6"/>
      <c r="E131" s="6"/>
      <c r="F131" s="6"/>
      <c r="G131" s="6"/>
      <c r="H131" s="6"/>
      <c r="I131" s="5"/>
    </row>
    <row r="132" spans="1:9">
      <c r="A132" s="6"/>
      <c r="B132" s="6"/>
      <c r="C132" s="6"/>
      <c r="D132" s="6"/>
      <c r="E132" s="6"/>
      <c r="F132" s="6"/>
      <c r="G132" s="6"/>
      <c r="H132" s="6"/>
      <c r="I132" s="5"/>
    </row>
    <row r="133" spans="1:9">
      <c r="A133" s="6"/>
      <c r="B133" s="6"/>
      <c r="C133" s="6"/>
      <c r="D133" s="6"/>
      <c r="E133" s="6"/>
      <c r="F133" s="6"/>
      <c r="G133" s="6"/>
      <c r="H133" s="6"/>
      <c r="I133" s="5"/>
    </row>
    <row r="134" spans="1:9">
      <c r="A134" s="6"/>
      <c r="B134" s="6"/>
      <c r="C134" s="6"/>
      <c r="D134" s="6"/>
      <c r="E134" s="6"/>
      <c r="F134" s="6"/>
      <c r="G134" s="6"/>
      <c r="H134" s="6"/>
      <c r="I134" s="5"/>
    </row>
    <row r="135" spans="1:9">
      <c r="A135" s="6"/>
      <c r="B135" s="6"/>
      <c r="C135" s="6"/>
      <c r="D135" s="6"/>
      <c r="E135" s="6"/>
      <c r="F135" s="6"/>
      <c r="G135" s="6"/>
      <c r="H135" s="6"/>
      <c r="I135" s="5"/>
    </row>
    <row r="136" spans="1:9">
      <c r="A136" s="6"/>
      <c r="B136" s="6"/>
      <c r="C136" s="6"/>
      <c r="D136" s="6"/>
      <c r="E136" s="6"/>
      <c r="F136" s="6"/>
      <c r="G136" s="6"/>
      <c r="H136" s="6"/>
      <c r="I136" s="5"/>
    </row>
    <row r="137" spans="1:9">
      <c r="A137" s="6"/>
      <c r="B137" s="6"/>
      <c r="C137" s="6"/>
      <c r="D137" s="6"/>
      <c r="E137" s="6"/>
      <c r="F137" s="6"/>
      <c r="G137" s="6"/>
      <c r="H137" s="6"/>
      <c r="I137" s="5"/>
    </row>
    <row r="138" spans="1:9">
      <c r="A138" s="6"/>
      <c r="B138" s="6"/>
      <c r="C138" s="6"/>
      <c r="D138" s="6"/>
      <c r="E138" s="6"/>
      <c r="F138" s="6"/>
      <c r="G138" s="6"/>
      <c r="H138" s="6"/>
      <c r="I138" s="5"/>
    </row>
    <row r="139" spans="1:9">
      <c r="A139" s="6"/>
      <c r="B139" s="6"/>
      <c r="C139" s="6"/>
      <c r="D139" s="6"/>
      <c r="E139" s="6"/>
      <c r="F139" s="6"/>
      <c r="G139" s="6"/>
      <c r="H139" s="6"/>
      <c r="I139" s="5"/>
    </row>
    <row r="140" spans="1:9">
      <c r="A140" s="6"/>
      <c r="B140" s="6"/>
      <c r="C140" s="6"/>
      <c r="D140" s="6"/>
      <c r="E140" s="6"/>
      <c r="F140" s="6"/>
      <c r="G140" s="6"/>
      <c r="H140" s="6"/>
      <c r="I140" s="5"/>
    </row>
    <row r="141" spans="1:9">
      <c r="A141" s="6"/>
      <c r="B141" s="6"/>
      <c r="C141" s="6"/>
      <c r="D141" s="6"/>
      <c r="E141" s="6"/>
      <c r="F141" s="6"/>
      <c r="G141" s="6"/>
      <c r="H141" s="6"/>
      <c r="I141" s="5"/>
    </row>
    <row r="142" spans="1:9">
      <c r="A142" s="6"/>
      <c r="B142" s="6"/>
      <c r="C142" s="6"/>
      <c r="D142" s="6"/>
      <c r="E142" s="6"/>
      <c r="F142" s="6"/>
      <c r="G142" s="6"/>
      <c r="H142" s="6"/>
      <c r="I142" s="5"/>
    </row>
    <row r="143" spans="1:9">
      <c r="A143" s="6"/>
      <c r="B143" s="6"/>
      <c r="C143" s="6"/>
      <c r="D143" s="6"/>
      <c r="E143" s="6"/>
      <c r="F143" s="6"/>
      <c r="G143" s="6"/>
      <c r="H143" s="6"/>
      <c r="I143" s="5"/>
    </row>
    <row r="144" spans="1:9">
      <c r="A144" s="6"/>
      <c r="B144" s="6"/>
      <c r="C144" s="6"/>
      <c r="D144" s="6"/>
      <c r="E144" s="6"/>
      <c r="F144" s="6"/>
      <c r="G144" s="6"/>
      <c r="H144" s="6"/>
      <c r="I144" s="5"/>
    </row>
    <row r="145" spans="1:9">
      <c r="A145" s="6"/>
      <c r="B145" s="6"/>
      <c r="C145" s="6"/>
      <c r="D145" s="6"/>
      <c r="E145" s="6"/>
      <c r="F145" s="6"/>
      <c r="G145" s="6"/>
      <c r="H145" s="6"/>
      <c r="I145" s="5"/>
    </row>
    <row r="146" spans="1:9">
      <c r="A146" s="6"/>
      <c r="B146" s="6"/>
      <c r="C146" s="6"/>
      <c r="D146" s="6"/>
      <c r="E146" s="6"/>
      <c r="F146" s="6"/>
      <c r="G146" s="6"/>
      <c r="H146" s="6"/>
      <c r="I146" s="5"/>
    </row>
    <row r="147" spans="1:9">
      <c r="A147" s="6"/>
      <c r="B147" s="6"/>
      <c r="C147" s="6"/>
      <c r="D147" s="6"/>
      <c r="E147" s="6"/>
      <c r="F147" s="6"/>
      <c r="G147" s="6"/>
      <c r="H147" s="6"/>
      <c r="I147" s="5"/>
    </row>
    <row r="148" spans="1:9">
      <c r="A148" s="6"/>
      <c r="B148" s="6"/>
      <c r="C148" s="6"/>
      <c r="D148" s="6"/>
      <c r="E148" s="6"/>
      <c r="F148" s="6"/>
      <c r="G148" s="6"/>
      <c r="H148" s="6"/>
      <c r="I148" s="5"/>
    </row>
    <row r="149" spans="1:9">
      <c r="A149" s="6"/>
      <c r="B149" s="6"/>
      <c r="C149" s="6"/>
      <c r="D149" s="6"/>
      <c r="E149" s="6"/>
      <c r="F149" s="6"/>
      <c r="G149" s="6"/>
      <c r="H149" s="6"/>
      <c r="I149" s="5"/>
    </row>
    <row r="150" spans="1:9">
      <c r="A150" s="6"/>
      <c r="B150" s="6"/>
      <c r="C150" s="6"/>
      <c r="D150" s="6"/>
      <c r="E150" s="6"/>
      <c r="F150" s="6"/>
      <c r="G150" s="6"/>
      <c r="H150" s="6"/>
      <c r="I150" s="5"/>
    </row>
    <row r="151" spans="1:9">
      <c r="A151" s="6"/>
      <c r="B151" s="6"/>
      <c r="C151" s="6"/>
      <c r="D151" s="6"/>
      <c r="E151" s="6"/>
      <c r="F151" s="6"/>
      <c r="G151" s="6"/>
      <c r="H151" s="6"/>
      <c r="I151" s="5"/>
    </row>
    <row r="152" spans="1:9">
      <c r="A152" s="6"/>
      <c r="B152" s="6"/>
      <c r="C152" s="6"/>
      <c r="D152" s="6"/>
      <c r="E152" s="6"/>
      <c r="F152" s="6"/>
      <c r="G152" s="6"/>
      <c r="H152" s="6"/>
      <c r="I152" s="5"/>
    </row>
    <row r="153" spans="1:9">
      <c r="A153" s="6"/>
      <c r="B153" s="6"/>
      <c r="C153" s="6"/>
      <c r="D153" s="6"/>
      <c r="E153" s="6"/>
      <c r="F153" s="6"/>
      <c r="G153" s="6"/>
      <c r="H153" s="6"/>
      <c r="I153" s="5"/>
    </row>
    <row r="154" spans="1:9">
      <c r="A154" s="6"/>
      <c r="B154" s="6"/>
      <c r="C154" s="6"/>
      <c r="D154" s="6"/>
      <c r="E154" s="6"/>
      <c r="F154" s="6"/>
      <c r="G154" s="6"/>
      <c r="H154" s="6"/>
      <c r="I154" s="5"/>
    </row>
    <row r="155" spans="1:9">
      <c r="A155" s="6"/>
      <c r="B155" s="6"/>
      <c r="C155" s="6"/>
      <c r="D155" s="6"/>
      <c r="E155" s="6"/>
      <c r="F155" s="6"/>
      <c r="G155" s="6"/>
      <c r="H155" s="6"/>
      <c r="I155" s="5"/>
    </row>
    <row r="156" spans="1:9">
      <c r="A156" s="6"/>
      <c r="B156" s="6"/>
      <c r="C156" s="6"/>
      <c r="D156" s="6"/>
      <c r="E156" s="6"/>
      <c r="F156" s="6"/>
      <c r="G156" s="6"/>
      <c r="H156" s="6"/>
      <c r="I156" s="5"/>
    </row>
    <row r="157" spans="1:9">
      <c r="A157" s="6"/>
      <c r="B157" s="6"/>
      <c r="C157" s="6"/>
      <c r="D157" s="6"/>
      <c r="E157" s="6"/>
      <c r="F157" s="6"/>
      <c r="G157" s="6"/>
      <c r="H157" s="6"/>
      <c r="I157" s="5"/>
    </row>
    <row r="158" spans="1:9">
      <c r="A158" s="6"/>
      <c r="B158" s="6"/>
      <c r="C158" s="6"/>
      <c r="D158" s="6"/>
      <c r="E158" s="6"/>
      <c r="F158" s="6"/>
      <c r="G158" s="6"/>
      <c r="H158" s="6"/>
      <c r="I158" s="5"/>
    </row>
    <row r="159" spans="1:9">
      <c r="A159" s="6"/>
      <c r="B159" s="6"/>
      <c r="C159" s="6"/>
      <c r="D159" s="6"/>
      <c r="E159" s="6"/>
      <c r="F159" s="6"/>
      <c r="G159" s="6"/>
      <c r="H159" s="6"/>
      <c r="I159" s="5"/>
    </row>
    <row r="160" spans="1:9">
      <c r="A160" s="6"/>
      <c r="B160" s="6"/>
      <c r="C160" s="6"/>
      <c r="D160" s="6"/>
      <c r="E160" s="6"/>
      <c r="F160" s="6"/>
      <c r="G160" s="6"/>
      <c r="H160" s="6"/>
      <c r="I160" s="5"/>
    </row>
    <row r="161" spans="1:9">
      <c r="A161" s="6"/>
      <c r="B161" s="6"/>
      <c r="C161" s="6"/>
      <c r="D161" s="6"/>
      <c r="E161" s="6"/>
      <c r="F161" s="6"/>
      <c r="G161" s="6"/>
      <c r="H161" s="6"/>
      <c r="I161" s="5"/>
    </row>
    <row r="162" spans="1:9">
      <c r="A162" s="6"/>
      <c r="B162" s="6"/>
      <c r="C162" s="6"/>
      <c r="D162" s="6"/>
      <c r="E162" s="6"/>
      <c r="F162" s="6"/>
      <c r="G162" s="6"/>
      <c r="H162" s="6"/>
      <c r="I162" s="5"/>
    </row>
    <row r="163" spans="1:9">
      <c r="A163" s="6"/>
      <c r="B163" s="6"/>
      <c r="C163" s="6"/>
      <c r="D163" s="6"/>
      <c r="E163" s="6"/>
      <c r="F163" s="6"/>
      <c r="G163" s="6"/>
      <c r="H163" s="6"/>
      <c r="I163" s="5"/>
    </row>
    <row r="164" spans="1:9">
      <c r="A164" s="6"/>
      <c r="B164" s="6"/>
      <c r="C164" s="6"/>
      <c r="D164" s="6"/>
      <c r="E164" s="6"/>
      <c r="F164" s="6"/>
      <c r="G164" s="6"/>
      <c r="H164" s="6"/>
      <c r="I164" s="5"/>
    </row>
    <row r="165" spans="1:9">
      <c r="A165" s="6"/>
      <c r="B165" s="6"/>
      <c r="C165" s="6"/>
      <c r="D165" s="6"/>
      <c r="E165" s="6"/>
      <c r="F165" s="6"/>
      <c r="G165" s="6"/>
      <c r="H165" s="6"/>
      <c r="I165" s="5"/>
    </row>
    <row r="166" spans="1:9">
      <c r="A166" s="6"/>
      <c r="B166" s="6"/>
      <c r="C166" s="6"/>
      <c r="D166" s="6"/>
      <c r="E166" s="6"/>
      <c r="F166" s="6"/>
      <c r="G166" s="6"/>
      <c r="H166" s="6"/>
      <c r="I166" s="5"/>
    </row>
    <row r="167" spans="1:9">
      <c r="A167" s="6"/>
      <c r="B167" s="6"/>
      <c r="C167" s="6"/>
      <c r="D167" s="6"/>
      <c r="E167" s="6"/>
      <c r="F167" s="6"/>
      <c r="G167" s="6"/>
      <c r="H167" s="6"/>
      <c r="I167" s="5"/>
    </row>
    <row r="168" spans="1:9">
      <c r="A168" s="6"/>
      <c r="B168" s="6"/>
      <c r="C168" s="6"/>
      <c r="D168" s="6"/>
      <c r="E168" s="6"/>
      <c r="F168" s="6"/>
      <c r="G168" s="6"/>
      <c r="H168" s="6"/>
      <c r="I168" s="5"/>
    </row>
    <row r="169" spans="1:9">
      <c r="A169" s="6"/>
      <c r="B169" s="6"/>
      <c r="C169" s="6"/>
      <c r="D169" s="6"/>
      <c r="E169" s="6"/>
      <c r="F169" s="6"/>
      <c r="G169" s="6"/>
      <c r="H169" s="6"/>
      <c r="I169" s="5"/>
    </row>
    <row r="170" spans="1:9">
      <c r="A170" s="6"/>
      <c r="B170" s="6"/>
      <c r="C170" s="6"/>
      <c r="D170" s="6"/>
      <c r="E170" s="6"/>
      <c r="F170" s="6"/>
      <c r="G170" s="6"/>
      <c r="H170" s="6"/>
      <c r="I170" s="5"/>
    </row>
    <row r="171" spans="1:9">
      <c r="A171" s="6"/>
      <c r="B171" s="6"/>
      <c r="C171" s="6"/>
      <c r="D171" s="6"/>
      <c r="E171" s="6"/>
      <c r="F171" s="6"/>
      <c r="G171" s="6"/>
      <c r="H171" s="6"/>
      <c r="I171" s="5"/>
    </row>
    <row r="172" spans="1:9">
      <c r="A172" s="6"/>
      <c r="B172" s="6"/>
      <c r="C172" s="6"/>
      <c r="D172" s="6"/>
      <c r="E172" s="6"/>
      <c r="F172" s="6"/>
      <c r="G172" s="6"/>
      <c r="H172" s="6"/>
      <c r="I172" s="5"/>
    </row>
    <row r="173" spans="1:9">
      <c r="A173" s="6"/>
      <c r="B173" s="6"/>
      <c r="C173" s="6"/>
      <c r="D173" s="6"/>
      <c r="E173" s="6"/>
      <c r="F173" s="6"/>
      <c r="G173" s="6"/>
      <c r="H173" s="6"/>
      <c r="I173" s="5"/>
    </row>
    <row r="174" spans="1:9">
      <c r="A174" s="6"/>
      <c r="B174" s="6"/>
      <c r="C174" s="6"/>
      <c r="D174" s="6"/>
      <c r="E174" s="6"/>
      <c r="F174" s="6"/>
      <c r="G174" s="6"/>
      <c r="H174" s="6"/>
      <c r="I174" s="5"/>
    </row>
    <row r="175" spans="1:9">
      <c r="A175" s="6"/>
      <c r="B175" s="6"/>
      <c r="C175" s="6"/>
      <c r="D175" s="6"/>
      <c r="E175" s="6"/>
      <c r="F175" s="6"/>
      <c r="G175" s="6"/>
      <c r="H175" s="6"/>
      <c r="I175" s="5"/>
    </row>
    <row r="176" spans="1:9">
      <c r="A176" s="6"/>
      <c r="B176" s="6"/>
      <c r="C176" s="6"/>
      <c r="D176" s="6"/>
      <c r="E176" s="6"/>
      <c r="F176" s="6"/>
      <c r="G176" s="6"/>
      <c r="H176" s="6"/>
      <c r="I176" s="5"/>
    </row>
    <row r="177" spans="1:9">
      <c r="A177" s="6"/>
      <c r="B177" s="6"/>
      <c r="C177" s="6"/>
      <c r="D177" s="6"/>
      <c r="E177" s="6"/>
      <c r="F177" s="6"/>
      <c r="G177" s="6"/>
      <c r="H177" s="6"/>
      <c r="I177" s="5"/>
    </row>
    <row r="178" spans="1:9">
      <c r="A178" s="6"/>
      <c r="B178" s="6"/>
      <c r="C178" s="6"/>
      <c r="D178" s="6"/>
      <c r="E178" s="6"/>
      <c r="F178" s="6"/>
      <c r="G178" s="6"/>
      <c r="H178" s="6"/>
      <c r="I178" s="5"/>
    </row>
    <row r="179" spans="1:9">
      <c r="A179" s="6"/>
      <c r="B179" s="6"/>
      <c r="C179" s="6"/>
      <c r="D179" s="6"/>
      <c r="E179" s="6"/>
      <c r="F179" s="6"/>
      <c r="G179" s="6"/>
      <c r="H179" s="6"/>
      <c r="I179" s="5"/>
    </row>
    <row r="180" spans="1:9">
      <c r="A180" s="6"/>
      <c r="B180" s="6"/>
      <c r="C180" s="6"/>
      <c r="D180" s="6"/>
      <c r="E180" s="6"/>
      <c r="F180" s="6"/>
      <c r="G180" s="6"/>
      <c r="H180" s="6"/>
      <c r="I180" s="5"/>
    </row>
    <row r="181" spans="1:9">
      <c r="A181" s="6"/>
      <c r="B181" s="6"/>
      <c r="C181" s="6"/>
      <c r="D181" s="6"/>
      <c r="E181" s="6"/>
      <c r="F181" s="6"/>
      <c r="G181" s="6"/>
      <c r="H181" s="6"/>
      <c r="I181" s="5"/>
    </row>
    <row r="182" spans="1:9">
      <c r="A182" s="6"/>
      <c r="B182" s="6"/>
      <c r="C182" s="6"/>
      <c r="D182" s="6"/>
      <c r="E182" s="6"/>
      <c r="F182" s="6"/>
      <c r="G182" s="6"/>
      <c r="H182" s="6"/>
      <c r="I182" s="5"/>
    </row>
    <row r="183" spans="1:9">
      <c r="A183" s="6"/>
      <c r="B183" s="6"/>
      <c r="C183" s="6"/>
      <c r="D183" s="6"/>
      <c r="E183" s="6"/>
      <c r="F183" s="6"/>
      <c r="G183" s="6"/>
      <c r="H183" s="6"/>
      <c r="I183" s="5"/>
    </row>
    <row r="184" spans="1:9">
      <c r="A184" s="6"/>
      <c r="B184" s="6"/>
      <c r="C184" s="6"/>
      <c r="D184" s="6"/>
      <c r="E184" s="6"/>
      <c r="F184" s="6"/>
      <c r="G184" s="6"/>
      <c r="H184" s="6"/>
      <c r="I184" s="5"/>
    </row>
    <row r="185" spans="1:9">
      <c r="A185" s="6"/>
      <c r="B185" s="6"/>
      <c r="C185" s="6"/>
      <c r="D185" s="6"/>
      <c r="E185" s="6"/>
      <c r="F185" s="6"/>
      <c r="G185" s="6"/>
      <c r="H185" s="6"/>
      <c r="I185" s="5"/>
    </row>
    <row r="186" spans="1:9">
      <c r="A186" s="6"/>
      <c r="B186" s="6"/>
      <c r="C186" s="6"/>
      <c r="D186" s="6"/>
      <c r="E186" s="6"/>
      <c r="F186" s="6"/>
      <c r="G186" s="6"/>
      <c r="H186" s="6"/>
      <c r="I186" s="5"/>
    </row>
    <row r="187" spans="1:9">
      <c r="A187" s="6"/>
      <c r="B187" s="6"/>
      <c r="C187" s="6"/>
      <c r="D187" s="6"/>
      <c r="E187" s="6"/>
      <c r="F187" s="6"/>
      <c r="G187" s="6"/>
      <c r="H187" s="6"/>
      <c r="I187" s="5"/>
    </row>
    <row r="188" spans="1:9">
      <c r="A188" s="6"/>
      <c r="B188" s="6"/>
      <c r="C188" s="6"/>
      <c r="D188" s="6"/>
      <c r="E188" s="6"/>
      <c r="F188" s="6"/>
      <c r="G188" s="6"/>
      <c r="H188" s="6"/>
      <c r="I188" s="5"/>
    </row>
    <row r="189" spans="1:9">
      <c r="A189" s="6"/>
      <c r="B189" s="6"/>
      <c r="C189" s="6"/>
      <c r="D189" s="6"/>
      <c r="E189" s="6"/>
      <c r="F189" s="6"/>
      <c r="G189" s="6"/>
      <c r="H189" s="6"/>
      <c r="I189" s="5"/>
    </row>
    <row r="190" spans="1:9">
      <c r="A190" s="6"/>
      <c r="B190" s="6"/>
      <c r="C190" s="6"/>
      <c r="D190" s="6"/>
      <c r="E190" s="6"/>
      <c r="F190" s="6"/>
      <c r="G190" s="6"/>
      <c r="H190" s="6"/>
      <c r="I190" s="5"/>
    </row>
    <row r="191" spans="1:9">
      <c r="A191" s="6"/>
      <c r="B191" s="6"/>
      <c r="C191" s="6"/>
      <c r="D191" s="6"/>
      <c r="E191" s="6"/>
      <c r="F191" s="6"/>
      <c r="G191" s="6"/>
      <c r="H191" s="6"/>
      <c r="I191" s="5"/>
    </row>
    <row r="192" spans="1:9">
      <c r="A192" s="6"/>
      <c r="B192" s="6"/>
      <c r="C192" s="6"/>
      <c r="D192" s="6"/>
      <c r="E192" s="6"/>
      <c r="F192" s="6"/>
      <c r="G192" s="6"/>
      <c r="H192" s="6"/>
      <c r="I192" s="5"/>
    </row>
    <row r="193" spans="1:9">
      <c r="A193" s="6"/>
      <c r="B193" s="6"/>
      <c r="C193" s="6"/>
      <c r="D193" s="6"/>
      <c r="E193" s="6"/>
      <c r="F193" s="6"/>
      <c r="G193" s="6"/>
      <c r="H193" s="6"/>
      <c r="I193" s="5"/>
    </row>
    <row r="194" spans="1:9">
      <c r="A194" s="6"/>
      <c r="B194" s="6"/>
      <c r="C194" s="6"/>
      <c r="D194" s="6"/>
      <c r="E194" s="6"/>
      <c r="F194" s="6"/>
      <c r="G194" s="6"/>
      <c r="H194" s="6"/>
      <c r="I194" s="5"/>
    </row>
    <row r="195" spans="1:9">
      <c r="A195" s="6"/>
      <c r="B195" s="6"/>
      <c r="C195" s="6"/>
      <c r="D195" s="6"/>
      <c r="E195" s="6"/>
      <c r="F195" s="6"/>
      <c r="G195" s="6"/>
      <c r="H195" s="6"/>
      <c r="I195" s="5"/>
    </row>
    <row r="196" spans="1:9">
      <c r="A196" s="6"/>
      <c r="B196" s="6"/>
      <c r="C196" s="6"/>
      <c r="D196" s="6"/>
      <c r="E196" s="6"/>
      <c r="F196" s="6"/>
      <c r="G196" s="6"/>
      <c r="H196" s="6"/>
      <c r="I196" s="5"/>
    </row>
    <row r="197" spans="1:9">
      <c r="A197" s="6"/>
      <c r="B197" s="6"/>
      <c r="C197" s="6"/>
      <c r="D197" s="6"/>
      <c r="E197" s="6"/>
      <c r="F197" s="6"/>
      <c r="G197" s="6"/>
      <c r="H197" s="6"/>
      <c r="I197" s="5"/>
    </row>
    <row r="198" spans="1:9">
      <c r="A198" s="6"/>
      <c r="B198" s="6"/>
      <c r="C198" s="6"/>
      <c r="D198" s="6"/>
      <c r="E198" s="6"/>
      <c r="F198" s="6"/>
      <c r="G198" s="6"/>
      <c r="H198" s="6"/>
      <c r="I198" s="5"/>
    </row>
    <row r="199" spans="1:9">
      <c r="A199" s="6"/>
      <c r="B199" s="6"/>
      <c r="C199" s="6"/>
      <c r="D199" s="6"/>
      <c r="E199" s="6"/>
      <c r="F199" s="6"/>
      <c r="G199" s="6"/>
      <c r="H199" s="6"/>
      <c r="I199" s="5"/>
    </row>
    <row r="200" spans="1:9">
      <c r="A200" s="6"/>
      <c r="B200" s="6"/>
      <c r="C200" s="6"/>
      <c r="D200" s="6"/>
      <c r="E200" s="6"/>
      <c r="F200" s="6"/>
      <c r="G200" s="6"/>
      <c r="H200" s="6"/>
      <c r="I200" s="5"/>
    </row>
    <row r="201" spans="1:9">
      <c r="A201" s="6"/>
      <c r="B201" s="6"/>
      <c r="C201" s="6"/>
      <c r="D201" s="6"/>
      <c r="E201" s="6"/>
      <c r="F201" s="6"/>
      <c r="G201" s="6"/>
      <c r="H201" s="6"/>
      <c r="I201" s="5"/>
    </row>
    <row r="202" spans="1:9">
      <c r="A202" s="6"/>
      <c r="B202" s="6"/>
      <c r="C202" s="6"/>
      <c r="D202" s="6"/>
      <c r="E202" s="6"/>
      <c r="F202" s="6"/>
      <c r="G202" s="6"/>
      <c r="H202" s="6"/>
      <c r="I202" s="5"/>
    </row>
    <row r="203" spans="1:9">
      <c r="A203" s="6"/>
      <c r="B203" s="6"/>
      <c r="C203" s="6"/>
      <c r="D203" s="6"/>
      <c r="E203" s="6"/>
      <c r="F203" s="6"/>
      <c r="G203" s="6"/>
      <c r="H203" s="6"/>
      <c r="I203" s="5"/>
    </row>
    <row r="204" spans="1:9">
      <c r="A204" s="6"/>
      <c r="B204" s="6"/>
      <c r="C204" s="6"/>
      <c r="D204" s="6"/>
      <c r="E204" s="6"/>
      <c r="F204" s="6"/>
      <c r="G204" s="6"/>
      <c r="H204" s="6"/>
      <c r="I204" s="5"/>
    </row>
    <row r="205" spans="1:9">
      <c r="A205" s="6"/>
      <c r="B205" s="6"/>
      <c r="C205" s="6"/>
      <c r="D205" s="6"/>
      <c r="E205" s="6"/>
      <c r="F205" s="6"/>
      <c r="G205" s="6"/>
      <c r="H205" s="6"/>
      <c r="I205" s="5"/>
    </row>
    <row r="206" spans="1:9">
      <c r="A206" s="6"/>
      <c r="B206" s="6"/>
      <c r="C206" s="6"/>
      <c r="D206" s="6"/>
      <c r="E206" s="6"/>
      <c r="F206" s="6"/>
      <c r="G206" s="6"/>
      <c r="H206" s="6"/>
      <c r="I206" s="5"/>
    </row>
    <row r="207" spans="1:9">
      <c r="A207" s="6"/>
      <c r="B207" s="6"/>
      <c r="C207" s="6"/>
      <c r="D207" s="6"/>
      <c r="E207" s="6"/>
      <c r="F207" s="6"/>
      <c r="G207" s="6"/>
      <c r="H207" s="6"/>
      <c r="I207" s="5"/>
    </row>
    <row r="208" spans="1:9">
      <c r="A208" s="6"/>
      <c r="B208" s="6"/>
      <c r="C208" s="6"/>
      <c r="D208" s="6"/>
      <c r="E208" s="6"/>
      <c r="F208" s="6"/>
      <c r="G208" s="6"/>
      <c r="H208" s="6"/>
      <c r="I208" s="5"/>
    </row>
    <row r="209" spans="1:9">
      <c r="A209" s="6"/>
      <c r="B209" s="6"/>
      <c r="C209" s="6"/>
      <c r="D209" s="6"/>
      <c r="E209" s="6"/>
      <c r="F209" s="6"/>
      <c r="G209" s="6"/>
      <c r="H209" s="6"/>
      <c r="I209" s="5"/>
    </row>
    <row r="210" spans="1:9">
      <c r="A210" s="6"/>
      <c r="B210" s="6"/>
      <c r="C210" s="6"/>
      <c r="D210" s="6"/>
      <c r="E210" s="6"/>
      <c r="F210" s="6"/>
      <c r="G210" s="6"/>
      <c r="H210" s="6"/>
      <c r="I210" s="5"/>
    </row>
    <row r="211" spans="1:9">
      <c r="A211" s="6"/>
      <c r="B211" s="6"/>
      <c r="C211" s="6"/>
      <c r="D211" s="6"/>
      <c r="E211" s="6"/>
      <c r="F211" s="6"/>
      <c r="G211" s="6"/>
      <c r="H211" s="6"/>
      <c r="I211" s="5"/>
    </row>
    <row r="212" spans="1:9">
      <c r="A212" s="6"/>
      <c r="B212" s="6"/>
      <c r="C212" s="6"/>
      <c r="D212" s="6"/>
      <c r="E212" s="6"/>
      <c r="F212" s="6"/>
      <c r="G212" s="6"/>
      <c r="H212" s="6"/>
      <c r="I212" s="5"/>
    </row>
    <row r="213" spans="1:9">
      <c r="A213" s="6"/>
      <c r="B213" s="6"/>
      <c r="C213" s="6"/>
      <c r="D213" s="6"/>
      <c r="E213" s="6"/>
      <c r="F213" s="6"/>
      <c r="G213" s="6"/>
      <c r="H213" s="6"/>
      <c r="I213" s="5"/>
    </row>
    <row r="214" spans="1:9">
      <c r="A214" s="6"/>
      <c r="B214" s="6"/>
      <c r="C214" s="6"/>
      <c r="D214" s="6"/>
      <c r="E214" s="6"/>
      <c r="F214" s="6"/>
      <c r="G214" s="6"/>
      <c r="H214" s="6"/>
      <c r="I214" s="5"/>
    </row>
    <row r="215" spans="1:9">
      <c r="A215" s="6"/>
      <c r="B215" s="6"/>
      <c r="C215" s="6"/>
      <c r="D215" s="6"/>
      <c r="E215" s="6"/>
      <c r="F215" s="6"/>
      <c r="G215" s="6"/>
      <c r="H215" s="6"/>
      <c r="I215" s="5"/>
    </row>
    <row r="216" spans="1:9">
      <c r="A216" s="6"/>
      <c r="B216" s="6"/>
      <c r="C216" s="6"/>
      <c r="D216" s="6"/>
      <c r="E216" s="6"/>
      <c r="F216" s="6"/>
      <c r="G216" s="6"/>
      <c r="H216" s="6"/>
      <c r="I216" s="5"/>
    </row>
    <row r="217" spans="1:9">
      <c r="A217" s="6"/>
      <c r="B217" s="6"/>
      <c r="C217" s="6"/>
      <c r="D217" s="6"/>
      <c r="E217" s="6"/>
      <c r="F217" s="6"/>
      <c r="G217" s="6"/>
      <c r="H217" s="6"/>
      <c r="I217" s="5"/>
    </row>
    <row r="218" spans="1:9">
      <c r="A218" s="6"/>
      <c r="B218" s="6"/>
      <c r="C218" s="6"/>
      <c r="D218" s="6"/>
      <c r="E218" s="6"/>
      <c r="F218" s="6"/>
      <c r="G218" s="6"/>
      <c r="H218" s="6"/>
      <c r="I218" s="5"/>
    </row>
    <row r="219" spans="1:9">
      <c r="A219" s="6"/>
      <c r="B219" s="6"/>
      <c r="C219" s="6"/>
      <c r="D219" s="6"/>
      <c r="E219" s="6"/>
      <c r="F219" s="6"/>
      <c r="G219" s="6"/>
      <c r="H219" s="6"/>
      <c r="I219" s="5"/>
    </row>
    <row r="220" spans="1:9">
      <c r="A220" s="6"/>
      <c r="B220" s="6"/>
      <c r="C220" s="6"/>
      <c r="D220" s="6"/>
      <c r="E220" s="6"/>
      <c r="F220" s="6"/>
      <c r="G220" s="6"/>
      <c r="H220" s="6"/>
      <c r="I220" s="5"/>
    </row>
    <row r="221" spans="1:9">
      <c r="A221" s="6"/>
      <c r="B221" s="6"/>
      <c r="C221" s="6"/>
      <c r="D221" s="6"/>
      <c r="E221" s="6"/>
      <c r="F221" s="6"/>
      <c r="G221" s="6"/>
      <c r="H221" s="6"/>
      <c r="I221" s="5"/>
    </row>
    <row r="222" spans="1:9">
      <c r="A222" s="6"/>
      <c r="B222" s="6"/>
      <c r="C222" s="6"/>
      <c r="D222" s="6"/>
      <c r="E222" s="6"/>
      <c r="F222" s="6"/>
      <c r="G222" s="6"/>
      <c r="H222" s="6"/>
      <c r="I222" s="5"/>
    </row>
    <row r="223" spans="1:9">
      <c r="A223" s="6"/>
      <c r="B223" s="6"/>
      <c r="C223" s="6"/>
      <c r="D223" s="6"/>
      <c r="E223" s="6"/>
      <c r="F223" s="6"/>
      <c r="G223" s="6"/>
      <c r="H223" s="6"/>
      <c r="I223" s="5"/>
    </row>
    <row r="224" spans="1:9">
      <c r="A224" s="6"/>
      <c r="B224" s="6"/>
      <c r="C224" s="6"/>
      <c r="D224" s="6"/>
      <c r="E224" s="6"/>
      <c r="F224" s="6"/>
      <c r="G224" s="6"/>
      <c r="H224" s="6"/>
      <c r="I224" s="5"/>
    </row>
    <row r="225" spans="1:9">
      <c r="A225" s="6"/>
      <c r="B225" s="6"/>
      <c r="C225" s="6"/>
      <c r="D225" s="6"/>
      <c r="E225" s="6"/>
      <c r="F225" s="6"/>
      <c r="G225" s="6"/>
      <c r="H225" s="6"/>
      <c r="I225" s="5"/>
    </row>
    <row r="226" spans="1:9">
      <c r="A226" s="6"/>
      <c r="B226" s="6"/>
      <c r="C226" s="6"/>
      <c r="D226" s="6"/>
      <c r="E226" s="6"/>
      <c r="F226" s="6"/>
      <c r="G226" s="6"/>
      <c r="H226" s="6"/>
      <c r="I226" s="5"/>
    </row>
    <row r="227" spans="1:9">
      <c r="A227" s="6"/>
      <c r="B227" s="6"/>
      <c r="C227" s="6"/>
      <c r="D227" s="6"/>
      <c r="E227" s="6"/>
      <c r="F227" s="6"/>
      <c r="G227" s="6"/>
      <c r="H227" s="6"/>
      <c r="I227" s="5"/>
    </row>
    <row r="228" spans="1:9">
      <c r="A228" s="6"/>
      <c r="B228" s="6"/>
      <c r="C228" s="6"/>
      <c r="D228" s="6"/>
      <c r="E228" s="6"/>
      <c r="F228" s="6"/>
      <c r="G228" s="6"/>
      <c r="H228" s="6"/>
      <c r="I228" s="5"/>
    </row>
    <row r="229" spans="1:9">
      <c r="A229" s="6"/>
      <c r="B229" s="6"/>
      <c r="C229" s="6"/>
      <c r="D229" s="6"/>
      <c r="E229" s="6"/>
      <c r="F229" s="6"/>
      <c r="G229" s="6"/>
      <c r="H229" s="6"/>
      <c r="I229" s="5"/>
    </row>
    <row r="230" spans="1:9">
      <c r="A230" s="6"/>
      <c r="B230" s="6"/>
      <c r="C230" s="6"/>
      <c r="D230" s="6"/>
      <c r="E230" s="6"/>
      <c r="F230" s="6"/>
      <c r="G230" s="6"/>
      <c r="H230" s="6"/>
      <c r="I230" s="5"/>
    </row>
    <row r="231" spans="1:9">
      <c r="A231" s="6"/>
      <c r="B231" s="6"/>
      <c r="C231" s="6"/>
      <c r="D231" s="6"/>
      <c r="E231" s="6"/>
      <c r="F231" s="6"/>
      <c r="G231" s="6"/>
      <c r="H231" s="6"/>
      <c r="I231" s="5"/>
    </row>
    <row r="232" spans="1:9">
      <c r="A232" s="6"/>
      <c r="B232" s="6"/>
      <c r="C232" s="6"/>
      <c r="D232" s="6"/>
      <c r="E232" s="6"/>
      <c r="F232" s="6"/>
      <c r="G232" s="6"/>
      <c r="H232" s="6"/>
      <c r="I232" s="5"/>
    </row>
    <row r="233" spans="1:9">
      <c r="A233" s="6"/>
      <c r="B233" s="6"/>
      <c r="C233" s="6"/>
      <c r="D233" s="6"/>
      <c r="E233" s="6"/>
      <c r="F233" s="6"/>
      <c r="G233" s="6"/>
      <c r="H233" s="6"/>
      <c r="I233" s="5"/>
    </row>
    <row r="234" spans="1:9">
      <c r="A234" s="6"/>
      <c r="B234" s="6"/>
      <c r="C234" s="6"/>
      <c r="D234" s="6"/>
      <c r="E234" s="6"/>
      <c r="F234" s="6"/>
      <c r="G234" s="6"/>
      <c r="H234" s="6"/>
      <c r="I234" s="5"/>
    </row>
    <row r="235" spans="1:9">
      <c r="A235" s="6"/>
      <c r="B235" s="6"/>
      <c r="C235" s="6"/>
      <c r="D235" s="6"/>
      <c r="E235" s="6"/>
      <c r="F235" s="6"/>
      <c r="G235" s="6"/>
      <c r="H235" s="6"/>
      <c r="I235" s="5"/>
    </row>
    <row r="236" spans="1:9">
      <c r="A236" s="6"/>
      <c r="B236" s="6"/>
      <c r="C236" s="6"/>
      <c r="D236" s="6"/>
      <c r="E236" s="6"/>
      <c r="F236" s="6"/>
      <c r="G236" s="6"/>
      <c r="H236" s="6"/>
      <c r="I236" s="5"/>
    </row>
    <row r="237" spans="1:9">
      <c r="A237" s="6"/>
      <c r="B237" s="6"/>
      <c r="C237" s="6"/>
      <c r="D237" s="6"/>
      <c r="E237" s="6"/>
      <c r="F237" s="6"/>
      <c r="G237" s="6"/>
      <c r="H237" s="6"/>
      <c r="I237" s="5"/>
    </row>
    <row r="238" spans="1:9">
      <c r="A238" s="6"/>
      <c r="B238" s="6"/>
      <c r="C238" s="6"/>
      <c r="D238" s="6"/>
      <c r="E238" s="6"/>
      <c r="F238" s="6"/>
      <c r="G238" s="6"/>
      <c r="H238" s="6"/>
      <c r="I238" s="5"/>
    </row>
    <row r="239" spans="1:9">
      <c r="A239" s="6"/>
      <c r="B239" s="6"/>
      <c r="C239" s="6"/>
      <c r="D239" s="6"/>
      <c r="E239" s="6"/>
      <c r="F239" s="6"/>
      <c r="G239" s="6"/>
      <c r="H239" s="6"/>
      <c r="I239" s="5"/>
    </row>
    <row r="240" spans="1:9">
      <c r="A240" s="6"/>
      <c r="B240" s="6"/>
      <c r="C240" s="6"/>
      <c r="D240" s="6"/>
      <c r="E240" s="6"/>
      <c r="F240" s="6"/>
      <c r="G240" s="6"/>
      <c r="H240" s="6"/>
      <c r="I240" s="5"/>
    </row>
    <row r="241" spans="1:9">
      <c r="A241" s="6"/>
      <c r="B241" s="6"/>
      <c r="C241" s="6"/>
      <c r="D241" s="6"/>
      <c r="E241" s="6"/>
      <c r="F241" s="6"/>
      <c r="G241" s="6"/>
      <c r="H241" s="6"/>
      <c r="I241" s="5"/>
    </row>
    <row r="242" spans="1:9">
      <c r="A242" s="6"/>
      <c r="B242" s="6"/>
      <c r="C242" s="6"/>
      <c r="D242" s="6"/>
      <c r="E242" s="6"/>
      <c r="F242" s="6"/>
      <c r="G242" s="6"/>
      <c r="H242" s="6"/>
      <c r="I242" s="5"/>
    </row>
    <row r="243" spans="1:9">
      <c r="A243" s="6"/>
      <c r="B243" s="6"/>
      <c r="C243" s="6"/>
      <c r="D243" s="6"/>
      <c r="E243" s="6"/>
      <c r="F243" s="6"/>
      <c r="G243" s="6"/>
      <c r="H243" s="6"/>
      <c r="I243" s="5"/>
    </row>
    <row r="244" spans="1:9">
      <c r="A244" s="6"/>
      <c r="B244" s="6"/>
      <c r="C244" s="6"/>
      <c r="D244" s="6"/>
      <c r="E244" s="6"/>
      <c r="F244" s="6"/>
      <c r="G244" s="6"/>
      <c r="H244" s="6"/>
      <c r="I244" s="5"/>
    </row>
    <row r="245" spans="1:9">
      <c r="A245" s="6"/>
      <c r="B245" s="6"/>
      <c r="C245" s="6"/>
      <c r="D245" s="6"/>
      <c r="E245" s="6"/>
      <c r="F245" s="6"/>
      <c r="G245" s="6"/>
      <c r="H245" s="6"/>
      <c r="I245" s="5"/>
    </row>
    <row r="246" spans="1:9">
      <c r="A246" s="6"/>
      <c r="B246" s="6"/>
      <c r="C246" s="6"/>
      <c r="D246" s="6"/>
      <c r="E246" s="6"/>
      <c r="F246" s="6"/>
      <c r="G246" s="6"/>
      <c r="H246" s="6"/>
      <c r="I246" s="5"/>
    </row>
    <row r="247" spans="1:9">
      <c r="A247" s="6"/>
      <c r="B247" s="6"/>
      <c r="C247" s="6"/>
      <c r="D247" s="6"/>
      <c r="E247" s="6"/>
      <c r="F247" s="6"/>
      <c r="G247" s="6"/>
      <c r="H247" s="6"/>
      <c r="I247" s="5"/>
    </row>
    <row r="248" spans="1:9">
      <c r="A248" s="6"/>
      <c r="B248" s="6"/>
      <c r="C248" s="6"/>
      <c r="D248" s="6"/>
      <c r="E248" s="6"/>
      <c r="F248" s="6"/>
      <c r="G248" s="6"/>
      <c r="H248" s="6"/>
      <c r="I248" s="5"/>
    </row>
    <row r="249" spans="1:9">
      <c r="A249" s="6"/>
      <c r="B249" s="6"/>
      <c r="C249" s="6"/>
      <c r="D249" s="6"/>
      <c r="E249" s="6"/>
      <c r="F249" s="6"/>
      <c r="G249" s="6"/>
      <c r="H249" s="6"/>
      <c r="I249" s="5"/>
    </row>
    <row r="250" spans="1:9">
      <c r="A250" s="6"/>
      <c r="B250" s="6"/>
      <c r="C250" s="6"/>
      <c r="D250" s="6"/>
      <c r="E250" s="6"/>
      <c r="F250" s="6"/>
      <c r="G250" s="6"/>
      <c r="H250" s="6"/>
      <c r="I250" s="5"/>
    </row>
    <row r="251" spans="1:9">
      <c r="A251" s="6"/>
      <c r="B251" s="6"/>
      <c r="C251" s="6"/>
      <c r="D251" s="6"/>
      <c r="E251" s="6"/>
      <c r="F251" s="6"/>
      <c r="G251" s="6"/>
      <c r="H251" s="6"/>
      <c r="I251" s="5"/>
    </row>
    <row r="252" spans="1:9">
      <c r="A252" s="6"/>
      <c r="B252" s="6"/>
      <c r="C252" s="6"/>
      <c r="D252" s="6"/>
      <c r="E252" s="6"/>
      <c r="F252" s="6"/>
      <c r="G252" s="6"/>
      <c r="H252" s="6"/>
      <c r="I252" s="5"/>
    </row>
    <row r="253" spans="1:9">
      <c r="A253" s="6"/>
      <c r="B253" s="6"/>
      <c r="C253" s="6"/>
      <c r="D253" s="6"/>
      <c r="E253" s="6"/>
      <c r="F253" s="6"/>
      <c r="G253" s="6"/>
      <c r="H253" s="6"/>
      <c r="I253" s="5"/>
    </row>
    <row r="254" spans="1:9">
      <c r="A254" s="6"/>
      <c r="B254" s="6"/>
      <c r="C254" s="6"/>
      <c r="D254" s="6"/>
      <c r="E254" s="6"/>
      <c r="F254" s="6"/>
      <c r="G254" s="6"/>
      <c r="H254" s="6"/>
      <c r="I254" s="5"/>
    </row>
    <row r="255" spans="1:9">
      <c r="A255" s="6"/>
      <c r="B255" s="6"/>
      <c r="C255" s="6"/>
      <c r="D255" s="6"/>
      <c r="E255" s="6"/>
      <c r="F255" s="6"/>
      <c r="G255" s="6"/>
      <c r="H255" s="6"/>
      <c r="I255" s="5"/>
    </row>
    <row r="256" spans="1:9">
      <c r="A256" s="6"/>
      <c r="B256" s="6"/>
      <c r="C256" s="6"/>
      <c r="D256" s="6"/>
      <c r="E256" s="6"/>
      <c r="F256" s="6"/>
      <c r="G256" s="6"/>
      <c r="H256" s="6"/>
      <c r="I256" s="5"/>
    </row>
    <row r="257" spans="1:9">
      <c r="A257" s="6"/>
      <c r="B257" s="6"/>
      <c r="C257" s="6"/>
      <c r="D257" s="6"/>
      <c r="E257" s="6"/>
      <c r="F257" s="6"/>
      <c r="G257" s="6"/>
      <c r="H257" s="6"/>
      <c r="I257" s="5"/>
    </row>
    <row r="258" spans="1:9">
      <c r="A258" s="6"/>
      <c r="B258" s="6"/>
      <c r="C258" s="6"/>
      <c r="D258" s="6"/>
      <c r="E258" s="6"/>
      <c r="F258" s="6"/>
      <c r="G258" s="6"/>
      <c r="H258" s="6"/>
      <c r="I258" s="5"/>
    </row>
    <row r="259" spans="1:9">
      <c r="A259" s="6"/>
      <c r="B259" s="6"/>
      <c r="C259" s="6"/>
      <c r="D259" s="6"/>
      <c r="E259" s="6"/>
      <c r="F259" s="6"/>
      <c r="G259" s="6"/>
      <c r="H259" s="6"/>
      <c r="I259" s="5"/>
    </row>
    <row r="260" spans="1:9">
      <c r="A260" s="6"/>
      <c r="B260" s="6"/>
      <c r="C260" s="6"/>
      <c r="D260" s="6"/>
      <c r="E260" s="6"/>
      <c r="F260" s="6"/>
      <c r="G260" s="6"/>
      <c r="H260" s="6"/>
      <c r="I260" s="5"/>
    </row>
    <row r="261" spans="1:9">
      <c r="A261" s="6"/>
      <c r="B261" s="6"/>
      <c r="C261" s="6"/>
      <c r="D261" s="6"/>
      <c r="E261" s="6"/>
      <c r="F261" s="6"/>
      <c r="G261" s="6"/>
      <c r="H261" s="6"/>
      <c r="I261" s="5"/>
    </row>
    <row r="262" spans="1:9">
      <c r="A262" s="6"/>
      <c r="B262" s="6"/>
      <c r="C262" s="6"/>
      <c r="D262" s="6"/>
      <c r="E262" s="6"/>
      <c r="F262" s="6"/>
      <c r="G262" s="6"/>
      <c r="H262" s="6"/>
      <c r="I262" s="5"/>
    </row>
    <row r="263" spans="1:9">
      <c r="A263" s="6"/>
      <c r="B263" s="6"/>
      <c r="C263" s="6"/>
      <c r="D263" s="6"/>
      <c r="E263" s="6"/>
      <c r="F263" s="6"/>
      <c r="G263" s="6"/>
      <c r="H263" s="6"/>
      <c r="I263" s="5"/>
    </row>
    <row r="264" spans="1:9">
      <c r="A264" s="6"/>
      <c r="B264" s="6"/>
      <c r="C264" s="6"/>
      <c r="D264" s="6"/>
      <c r="E264" s="6"/>
      <c r="F264" s="6"/>
      <c r="G264" s="6"/>
      <c r="H264" s="6"/>
      <c r="I264" s="5"/>
    </row>
    <row r="265" spans="1:9">
      <c r="A265" s="6"/>
      <c r="B265" s="6"/>
      <c r="C265" s="6"/>
      <c r="D265" s="6"/>
      <c r="E265" s="6"/>
      <c r="F265" s="6"/>
      <c r="G265" s="6"/>
      <c r="H265" s="6"/>
      <c r="I265" s="5"/>
    </row>
    <row r="266" spans="1:9">
      <c r="A266" s="6"/>
      <c r="B266" s="6"/>
      <c r="C266" s="6"/>
      <c r="D266" s="6"/>
      <c r="E266" s="6"/>
      <c r="F266" s="6"/>
      <c r="G266" s="6"/>
      <c r="H266" s="6"/>
      <c r="I266" s="5"/>
    </row>
    <row r="267" spans="1:9">
      <c r="A267" s="6"/>
      <c r="B267" s="6"/>
      <c r="C267" s="6"/>
      <c r="D267" s="6"/>
      <c r="E267" s="6"/>
      <c r="F267" s="6"/>
      <c r="G267" s="6"/>
      <c r="H267" s="6"/>
      <c r="I267" s="5"/>
    </row>
    <row r="268" spans="1:9">
      <c r="A268" s="6"/>
      <c r="B268" s="6"/>
      <c r="C268" s="6"/>
      <c r="D268" s="6"/>
      <c r="E268" s="6"/>
      <c r="F268" s="6"/>
      <c r="G268" s="6"/>
      <c r="H268" s="6"/>
      <c r="I268" s="5"/>
    </row>
    <row r="269" spans="1:9">
      <c r="A269" s="6"/>
      <c r="B269" s="6"/>
      <c r="C269" s="6"/>
      <c r="D269" s="6"/>
      <c r="E269" s="6"/>
      <c r="F269" s="6"/>
      <c r="G269" s="6"/>
      <c r="H269" s="6"/>
      <c r="I269" s="5"/>
    </row>
    <row r="270" spans="1:9">
      <c r="A270" s="6"/>
      <c r="B270" s="6"/>
      <c r="C270" s="6"/>
      <c r="D270" s="6"/>
      <c r="E270" s="6"/>
      <c r="F270" s="6"/>
      <c r="G270" s="6"/>
      <c r="H270" s="6"/>
      <c r="I270" s="5"/>
    </row>
    <row r="271" spans="1:9">
      <c r="A271" s="6"/>
      <c r="B271" s="6"/>
      <c r="C271" s="6"/>
      <c r="D271" s="6"/>
      <c r="E271" s="6"/>
      <c r="F271" s="6"/>
      <c r="G271" s="6"/>
      <c r="H271" s="6"/>
      <c r="I271" s="5"/>
    </row>
    <row r="272" spans="1:9">
      <c r="A272" s="6"/>
      <c r="B272" s="6"/>
      <c r="C272" s="6"/>
      <c r="D272" s="6"/>
      <c r="E272" s="6"/>
      <c r="F272" s="6"/>
      <c r="G272" s="6"/>
      <c r="H272" s="6"/>
      <c r="I272" s="5"/>
    </row>
    <row r="273" spans="1:9">
      <c r="A273" s="6"/>
      <c r="B273" s="6"/>
      <c r="C273" s="6"/>
      <c r="D273" s="6"/>
      <c r="E273" s="6"/>
      <c r="F273" s="6"/>
      <c r="G273" s="6"/>
      <c r="H273" s="6"/>
      <c r="I273" s="5"/>
    </row>
    <row r="274" spans="1:9">
      <c r="A274" s="6"/>
      <c r="B274" s="6"/>
      <c r="C274" s="6"/>
      <c r="D274" s="6"/>
      <c r="E274" s="6"/>
      <c r="F274" s="6"/>
      <c r="G274" s="6"/>
      <c r="H274" s="6"/>
      <c r="I274" s="5"/>
    </row>
    <row r="275" spans="1:9">
      <c r="A275" s="6"/>
      <c r="B275" s="6"/>
      <c r="C275" s="6"/>
      <c r="D275" s="6"/>
      <c r="E275" s="6"/>
      <c r="F275" s="6"/>
      <c r="G275" s="6"/>
      <c r="H275" s="6"/>
      <c r="I275" s="5"/>
    </row>
    <row r="276" spans="1:9">
      <c r="A276" s="6"/>
      <c r="B276" s="6"/>
      <c r="C276" s="6"/>
      <c r="D276" s="6"/>
      <c r="E276" s="6"/>
      <c r="F276" s="6"/>
      <c r="G276" s="6"/>
      <c r="H276" s="6"/>
      <c r="I276" s="5"/>
    </row>
    <row r="277" spans="1:9">
      <c r="A277" s="6"/>
      <c r="B277" s="6"/>
      <c r="C277" s="6"/>
      <c r="D277" s="6"/>
      <c r="E277" s="6"/>
      <c r="F277" s="6"/>
      <c r="G277" s="6"/>
      <c r="H277" s="6"/>
      <c r="I277" s="5"/>
    </row>
    <row r="278" spans="1:9">
      <c r="A278" s="6"/>
      <c r="B278" s="6"/>
      <c r="C278" s="6"/>
      <c r="D278" s="6"/>
      <c r="E278" s="6"/>
      <c r="F278" s="6"/>
      <c r="G278" s="6"/>
      <c r="H278" s="6"/>
      <c r="I278" s="5"/>
    </row>
    <row r="279" spans="1:9">
      <c r="A279" s="6"/>
      <c r="B279" s="6"/>
      <c r="C279" s="6"/>
      <c r="D279" s="6"/>
      <c r="E279" s="6"/>
      <c r="F279" s="6"/>
      <c r="G279" s="6"/>
      <c r="H279" s="6"/>
      <c r="I279" s="5"/>
    </row>
    <row r="280" spans="1:9">
      <c r="A280" s="6"/>
      <c r="B280" s="6"/>
      <c r="C280" s="6"/>
      <c r="D280" s="6"/>
      <c r="E280" s="6"/>
      <c r="F280" s="6"/>
      <c r="G280" s="6"/>
      <c r="H280" s="6"/>
      <c r="I280" s="5"/>
    </row>
    <row r="281" spans="1:9">
      <c r="A281" s="6"/>
      <c r="B281" s="6"/>
      <c r="C281" s="6"/>
      <c r="D281" s="6"/>
      <c r="E281" s="6"/>
      <c r="F281" s="6"/>
      <c r="G281" s="6"/>
      <c r="H281" s="6"/>
      <c r="I281" s="5"/>
    </row>
    <row r="282" spans="1:9">
      <c r="A282" s="6"/>
      <c r="B282" s="6"/>
      <c r="C282" s="6"/>
      <c r="D282" s="6"/>
      <c r="E282" s="6"/>
      <c r="F282" s="6"/>
      <c r="G282" s="6"/>
      <c r="H282" s="6"/>
      <c r="I282" s="5"/>
    </row>
    <row r="283" spans="1:9">
      <c r="A283" s="6"/>
      <c r="B283" s="6"/>
      <c r="C283" s="6"/>
      <c r="D283" s="6"/>
      <c r="E283" s="6"/>
      <c r="F283" s="6"/>
      <c r="G283" s="6"/>
      <c r="H283" s="6"/>
      <c r="I283" s="5"/>
    </row>
    <row r="284" spans="1:9">
      <c r="A284" s="6"/>
      <c r="B284" s="6"/>
      <c r="C284" s="6"/>
      <c r="D284" s="6"/>
      <c r="E284" s="6"/>
      <c r="F284" s="6"/>
      <c r="G284" s="6"/>
      <c r="H284" s="6"/>
      <c r="I284" s="5"/>
    </row>
    <row r="285" spans="1:9">
      <c r="A285" s="6"/>
      <c r="B285" s="6"/>
      <c r="C285" s="6"/>
      <c r="D285" s="6"/>
      <c r="E285" s="6"/>
      <c r="F285" s="6"/>
      <c r="G285" s="6"/>
      <c r="H285" s="6"/>
      <c r="I285" s="5"/>
    </row>
    <row r="286" spans="1:9">
      <c r="A286" s="6"/>
      <c r="B286" s="6"/>
      <c r="C286" s="6"/>
      <c r="D286" s="6"/>
      <c r="E286" s="6"/>
      <c r="F286" s="6"/>
      <c r="G286" s="6"/>
      <c r="H286" s="6"/>
      <c r="I286" s="5"/>
    </row>
    <row r="287" spans="1:9">
      <c r="A287" s="6"/>
      <c r="B287" s="6"/>
      <c r="C287" s="6"/>
      <c r="D287" s="6"/>
      <c r="E287" s="6"/>
      <c r="F287" s="6"/>
      <c r="G287" s="6"/>
      <c r="H287" s="6"/>
      <c r="I287" s="5"/>
    </row>
    <row r="288" spans="1:9">
      <c r="A288" s="6"/>
      <c r="B288" s="6"/>
      <c r="C288" s="6"/>
      <c r="D288" s="6"/>
      <c r="E288" s="6"/>
      <c r="F288" s="6"/>
      <c r="G288" s="6"/>
      <c r="H288" s="6"/>
      <c r="I288" s="5"/>
    </row>
    <row r="289" spans="1:9">
      <c r="A289" s="6"/>
      <c r="B289" s="6"/>
      <c r="C289" s="6"/>
      <c r="D289" s="6"/>
      <c r="E289" s="6"/>
      <c r="F289" s="6"/>
      <c r="G289" s="6"/>
      <c r="H289" s="6"/>
      <c r="I289" s="5"/>
    </row>
    <row r="290" spans="1:9">
      <c r="A290" s="6"/>
      <c r="B290" s="6"/>
      <c r="C290" s="6"/>
      <c r="D290" s="6"/>
      <c r="E290" s="6"/>
      <c r="F290" s="6"/>
      <c r="G290" s="6"/>
      <c r="H290" s="6"/>
      <c r="I290" s="5"/>
    </row>
    <row r="291" spans="1:9">
      <c r="A291" s="6"/>
      <c r="B291" s="6"/>
      <c r="C291" s="6"/>
      <c r="D291" s="6"/>
      <c r="E291" s="6"/>
      <c r="F291" s="6"/>
      <c r="G291" s="6"/>
      <c r="H291" s="6"/>
      <c r="I291" s="5"/>
    </row>
    <row r="292" spans="1:9">
      <c r="A292" s="6"/>
      <c r="B292" s="6"/>
      <c r="C292" s="6"/>
      <c r="D292" s="6"/>
      <c r="E292" s="6"/>
      <c r="F292" s="6"/>
      <c r="G292" s="6"/>
      <c r="H292" s="6"/>
      <c r="I292" s="5"/>
    </row>
    <row r="293" spans="1:9">
      <c r="A293" s="6"/>
      <c r="B293" s="6"/>
      <c r="C293" s="6"/>
      <c r="D293" s="6"/>
      <c r="E293" s="6"/>
      <c r="F293" s="6"/>
      <c r="G293" s="6"/>
      <c r="H293" s="6"/>
      <c r="I293" s="5"/>
    </row>
    <row r="294" spans="1:9">
      <c r="A294" s="6"/>
      <c r="B294" s="6"/>
      <c r="C294" s="6"/>
      <c r="D294" s="6"/>
      <c r="E294" s="6"/>
      <c r="F294" s="6"/>
      <c r="G294" s="6"/>
      <c r="H294" s="6"/>
      <c r="I294" s="5"/>
    </row>
    <row r="295" spans="1:9">
      <c r="A295" s="6"/>
      <c r="B295" s="6"/>
      <c r="C295" s="6"/>
      <c r="D295" s="6"/>
      <c r="E295" s="6"/>
      <c r="F295" s="6"/>
      <c r="G295" s="6"/>
      <c r="H295" s="6"/>
      <c r="I295" s="5"/>
    </row>
    <row r="296" spans="1:9">
      <c r="A296" s="6"/>
      <c r="B296" s="6"/>
      <c r="C296" s="6"/>
      <c r="D296" s="6"/>
      <c r="E296" s="6"/>
      <c r="F296" s="6"/>
      <c r="G296" s="6"/>
      <c r="H296" s="6"/>
      <c r="I296" s="5"/>
    </row>
    <row r="297" spans="1:9">
      <c r="A297" s="6"/>
      <c r="B297" s="6"/>
      <c r="C297" s="6"/>
      <c r="D297" s="6"/>
      <c r="E297" s="6"/>
      <c r="F297" s="6"/>
      <c r="G297" s="6"/>
      <c r="H297" s="6"/>
      <c r="I297" s="5"/>
    </row>
    <row r="298" spans="1:9">
      <c r="A298" s="6"/>
      <c r="B298" s="6"/>
      <c r="C298" s="6"/>
      <c r="D298" s="6"/>
      <c r="E298" s="6"/>
      <c r="F298" s="6"/>
      <c r="G298" s="6"/>
      <c r="H298" s="6"/>
      <c r="I298" s="5"/>
    </row>
    <row r="299" spans="1:9">
      <c r="A299" s="6"/>
      <c r="B299" s="6"/>
      <c r="C299" s="6"/>
      <c r="D299" s="6"/>
      <c r="E299" s="6"/>
      <c r="F299" s="6"/>
      <c r="G299" s="6"/>
      <c r="H299" s="6"/>
      <c r="I299" s="5"/>
    </row>
    <row r="300" spans="1:9">
      <c r="A300" s="6"/>
      <c r="B300" s="6"/>
      <c r="C300" s="6"/>
      <c r="D300" s="6"/>
      <c r="E300" s="6"/>
      <c r="F300" s="6"/>
      <c r="G300" s="6"/>
      <c r="H300" s="6"/>
      <c r="I300" s="5"/>
    </row>
    <row r="301" spans="1:9">
      <c r="A301" s="6"/>
      <c r="B301" s="6"/>
      <c r="C301" s="6"/>
      <c r="D301" s="6"/>
      <c r="E301" s="6"/>
      <c r="F301" s="6"/>
      <c r="G301" s="6"/>
      <c r="H301" s="6"/>
      <c r="I301" s="5"/>
    </row>
    <row r="302" spans="1:9">
      <c r="A302" s="6"/>
      <c r="B302" s="6"/>
      <c r="C302" s="6"/>
      <c r="D302" s="6"/>
      <c r="E302" s="6"/>
      <c r="F302" s="6"/>
      <c r="G302" s="6"/>
      <c r="H302" s="6"/>
      <c r="I302" s="5"/>
    </row>
    <row r="303" spans="1:9">
      <c r="A303" s="6"/>
      <c r="B303" s="6"/>
      <c r="C303" s="6"/>
      <c r="D303" s="6"/>
      <c r="E303" s="6"/>
      <c r="F303" s="6"/>
      <c r="G303" s="6"/>
      <c r="H303" s="6"/>
      <c r="I303" s="5"/>
    </row>
    <row r="304" spans="1:9">
      <c r="A304" s="6"/>
      <c r="B304" s="6"/>
      <c r="C304" s="6"/>
      <c r="D304" s="6"/>
      <c r="E304" s="6"/>
      <c r="F304" s="6"/>
      <c r="G304" s="6"/>
      <c r="H304" s="6"/>
      <c r="I304" s="5"/>
    </row>
    <row r="305" spans="1:9">
      <c r="A305" s="6"/>
      <c r="B305" s="6"/>
      <c r="C305" s="6"/>
      <c r="D305" s="6"/>
      <c r="E305" s="6"/>
      <c r="F305" s="6"/>
      <c r="G305" s="6"/>
      <c r="H305" s="6"/>
      <c r="I305" s="5"/>
    </row>
    <row r="306" spans="1:9">
      <c r="A306" s="6"/>
      <c r="B306" s="6"/>
      <c r="C306" s="6"/>
      <c r="D306" s="6"/>
      <c r="E306" s="6"/>
      <c r="F306" s="6"/>
      <c r="G306" s="6"/>
      <c r="H306" s="6"/>
      <c r="I306" s="5"/>
    </row>
    <row r="307" spans="1:9">
      <c r="A307" s="6"/>
      <c r="B307" s="6"/>
      <c r="C307" s="6"/>
      <c r="D307" s="6"/>
      <c r="E307" s="6"/>
      <c r="F307" s="6"/>
      <c r="G307" s="6"/>
      <c r="H307" s="6"/>
      <c r="I307" s="5"/>
    </row>
    <row r="308" spans="1:9">
      <c r="A308" s="6"/>
      <c r="B308" s="6"/>
      <c r="C308" s="6"/>
      <c r="D308" s="6"/>
      <c r="E308" s="6"/>
      <c r="F308" s="6"/>
      <c r="G308" s="6"/>
      <c r="H308" s="6"/>
      <c r="I308" s="5"/>
    </row>
    <row r="309" spans="1:9">
      <c r="A309" s="6"/>
      <c r="B309" s="6"/>
      <c r="C309" s="6"/>
      <c r="D309" s="6"/>
      <c r="E309" s="6"/>
      <c r="F309" s="6"/>
      <c r="G309" s="6"/>
      <c r="H309" s="6"/>
      <c r="I309" s="5"/>
    </row>
    <row r="310" spans="1:9">
      <c r="A310" s="6"/>
      <c r="B310" s="6"/>
      <c r="C310" s="6"/>
      <c r="D310" s="6"/>
      <c r="E310" s="6"/>
      <c r="F310" s="6"/>
      <c r="G310" s="6"/>
      <c r="H310" s="6"/>
      <c r="I310" s="5"/>
    </row>
    <row r="311" spans="1:9">
      <c r="A311" s="6"/>
      <c r="B311" s="6"/>
      <c r="C311" s="6"/>
      <c r="D311" s="6"/>
      <c r="E311" s="6"/>
      <c r="F311" s="6"/>
      <c r="G311" s="6"/>
      <c r="H311" s="6"/>
      <c r="I311" s="5"/>
    </row>
    <row r="312" spans="1:9">
      <c r="A312" s="6"/>
      <c r="B312" s="6"/>
      <c r="C312" s="6"/>
      <c r="D312" s="6"/>
      <c r="E312" s="6"/>
      <c r="F312" s="6"/>
      <c r="G312" s="6"/>
      <c r="H312" s="6"/>
      <c r="I312" s="5"/>
    </row>
    <row r="313" spans="1:9">
      <c r="A313" s="6"/>
      <c r="B313" s="6"/>
      <c r="C313" s="6"/>
      <c r="D313" s="6"/>
      <c r="E313" s="6"/>
      <c r="F313" s="6"/>
      <c r="G313" s="6"/>
      <c r="H313" s="6"/>
      <c r="I313" s="5"/>
    </row>
    <row r="314" spans="1:9">
      <c r="A314" s="6"/>
      <c r="B314" s="6"/>
      <c r="C314" s="6"/>
      <c r="D314" s="6"/>
      <c r="E314" s="6"/>
      <c r="F314" s="6"/>
      <c r="G314" s="6"/>
      <c r="H314" s="6"/>
      <c r="I314" s="5"/>
    </row>
    <row r="315" spans="1:9">
      <c r="A315" s="6"/>
      <c r="B315" s="6"/>
      <c r="C315" s="6"/>
      <c r="D315" s="6"/>
      <c r="E315" s="6"/>
      <c r="F315" s="6"/>
      <c r="G315" s="6"/>
      <c r="H315" s="6"/>
      <c r="I315" s="5"/>
    </row>
    <row r="316" spans="1:9">
      <c r="A316" s="6"/>
      <c r="B316" s="6"/>
      <c r="C316" s="6"/>
      <c r="D316" s="6"/>
      <c r="E316" s="6"/>
      <c r="F316" s="6"/>
      <c r="G316" s="6"/>
      <c r="H316" s="6"/>
      <c r="I316" s="5"/>
    </row>
    <row r="317" spans="1:9">
      <c r="A317" s="6"/>
      <c r="B317" s="6"/>
      <c r="C317" s="6"/>
      <c r="D317" s="6"/>
      <c r="E317" s="6"/>
      <c r="F317" s="6"/>
      <c r="G317" s="6"/>
      <c r="H317" s="6"/>
      <c r="I317" s="5"/>
    </row>
    <row r="318" spans="1:9">
      <c r="A318" s="6"/>
      <c r="B318" s="6"/>
      <c r="C318" s="6"/>
      <c r="D318" s="6"/>
      <c r="E318" s="6"/>
      <c r="F318" s="6"/>
      <c r="G318" s="6"/>
      <c r="H318" s="6"/>
      <c r="I318" s="5"/>
    </row>
    <row r="319" spans="1:9">
      <c r="A319" s="6"/>
      <c r="B319" s="6"/>
      <c r="C319" s="6"/>
      <c r="D319" s="6"/>
      <c r="E319" s="6"/>
      <c r="F319" s="6"/>
      <c r="G319" s="6"/>
      <c r="H319" s="6"/>
      <c r="I319" s="5"/>
    </row>
    <row r="320" spans="1:9">
      <c r="A320" s="6"/>
      <c r="B320" s="6"/>
      <c r="C320" s="6"/>
      <c r="D320" s="6"/>
      <c r="E320" s="6"/>
      <c r="F320" s="6"/>
      <c r="G320" s="6"/>
      <c r="H320" s="6"/>
      <c r="I320" s="5"/>
    </row>
    <row r="321" spans="1:9">
      <c r="A321" s="6"/>
      <c r="B321" s="6"/>
      <c r="C321" s="6"/>
      <c r="D321" s="6"/>
      <c r="E321" s="6"/>
      <c r="F321" s="6"/>
      <c r="G321" s="6"/>
      <c r="H321" s="6"/>
      <c r="I321" s="5"/>
    </row>
    <row r="322" spans="1:9">
      <c r="A322" s="6"/>
      <c r="B322" s="6"/>
      <c r="C322" s="6"/>
      <c r="D322" s="6"/>
      <c r="E322" s="6"/>
      <c r="F322" s="6"/>
      <c r="G322" s="6"/>
      <c r="H322" s="6"/>
      <c r="I322" s="5"/>
    </row>
    <row r="323" spans="1:9">
      <c r="A323" s="6"/>
      <c r="B323" s="6"/>
      <c r="C323" s="6"/>
      <c r="D323" s="6"/>
      <c r="E323" s="6"/>
      <c r="F323" s="6"/>
      <c r="G323" s="6"/>
      <c r="H323" s="6"/>
      <c r="I323" s="5"/>
    </row>
    <row r="324" spans="1:9">
      <c r="A324" s="6"/>
      <c r="B324" s="6"/>
      <c r="C324" s="6"/>
      <c r="D324" s="6"/>
      <c r="E324" s="6"/>
      <c r="F324" s="6"/>
      <c r="G324" s="6"/>
      <c r="H324" s="6"/>
      <c r="I324" s="5"/>
    </row>
    <row r="325" spans="1:9">
      <c r="A325" s="6"/>
      <c r="B325" s="6"/>
      <c r="C325" s="6"/>
      <c r="D325" s="6"/>
      <c r="E325" s="6"/>
      <c r="F325" s="6"/>
      <c r="G325" s="6"/>
      <c r="H325" s="6"/>
      <c r="I325" s="5"/>
    </row>
    <row r="326" spans="1:9">
      <c r="A326" s="6"/>
      <c r="B326" s="6"/>
      <c r="C326" s="6"/>
      <c r="D326" s="6"/>
      <c r="E326" s="6"/>
      <c r="F326" s="6"/>
      <c r="G326" s="6"/>
      <c r="H326" s="6"/>
      <c r="I326" s="5"/>
    </row>
    <row r="327" spans="1:9">
      <c r="A327" s="6"/>
      <c r="B327" s="6"/>
      <c r="C327" s="6"/>
      <c r="D327" s="6"/>
      <c r="E327" s="6"/>
      <c r="F327" s="6"/>
      <c r="G327" s="6"/>
      <c r="H327" s="6"/>
      <c r="I327" s="5"/>
    </row>
    <row r="328" spans="1:9">
      <c r="A328" s="6"/>
      <c r="B328" s="6"/>
      <c r="C328" s="6"/>
      <c r="D328" s="6"/>
      <c r="E328" s="6"/>
      <c r="F328" s="6"/>
      <c r="G328" s="6"/>
      <c r="H328" s="6"/>
      <c r="I328" s="5"/>
    </row>
    <row r="329" spans="1:9">
      <c r="A329" s="6"/>
      <c r="B329" s="6"/>
      <c r="C329" s="6"/>
      <c r="D329" s="6"/>
      <c r="E329" s="6"/>
      <c r="F329" s="6"/>
      <c r="G329" s="6"/>
      <c r="H329" s="6"/>
      <c r="I329" s="5"/>
    </row>
    <row r="330" spans="1:9">
      <c r="A330" s="6"/>
      <c r="B330" s="6"/>
      <c r="C330" s="6"/>
      <c r="D330" s="6"/>
      <c r="E330" s="6"/>
      <c r="F330" s="6"/>
      <c r="G330" s="6"/>
      <c r="H330" s="6"/>
      <c r="I330" s="5"/>
    </row>
    <row r="331" spans="1:9">
      <c r="A331" s="6"/>
      <c r="B331" s="6"/>
      <c r="C331" s="6"/>
      <c r="D331" s="6"/>
      <c r="E331" s="6"/>
      <c r="F331" s="6"/>
      <c r="G331" s="6"/>
      <c r="H331" s="6"/>
      <c r="I331" s="5"/>
    </row>
    <row r="332" spans="1:9">
      <c r="A332" s="6"/>
      <c r="B332" s="6"/>
      <c r="C332" s="6"/>
      <c r="D332" s="6"/>
      <c r="E332" s="6"/>
      <c r="F332" s="6"/>
      <c r="G332" s="6"/>
      <c r="H332" s="6"/>
      <c r="I332" s="5"/>
    </row>
    <row r="333" spans="1:9">
      <c r="A333" s="6"/>
      <c r="B333" s="6"/>
      <c r="C333" s="6"/>
      <c r="D333" s="6"/>
      <c r="E333" s="6"/>
      <c r="F333" s="6"/>
      <c r="G333" s="6"/>
      <c r="H333" s="6"/>
      <c r="I333" s="5"/>
    </row>
    <row r="334" spans="1:9">
      <c r="A334" s="6"/>
      <c r="B334" s="6"/>
      <c r="C334" s="6"/>
      <c r="D334" s="6"/>
      <c r="E334" s="6"/>
      <c r="F334" s="6"/>
      <c r="G334" s="6"/>
      <c r="H334" s="6"/>
      <c r="I334" s="5"/>
    </row>
    <row r="335" spans="1:9">
      <c r="A335" s="6"/>
      <c r="B335" s="6"/>
      <c r="C335" s="6"/>
      <c r="D335" s="6"/>
      <c r="E335" s="6"/>
      <c r="F335" s="6"/>
      <c r="G335" s="6"/>
      <c r="H335" s="6"/>
      <c r="I335" s="5"/>
    </row>
    <row r="336" spans="1:9">
      <c r="A336" s="6"/>
      <c r="B336" s="6"/>
      <c r="C336" s="6"/>
      <c r="D336" s="6"/>
      <c r="E336" s="6"/>
      <c r="F336" s="6"/>
      <c r="G336" s="6"/>
      <c r="H336" s="6"/>
      <c r="I336" s="5"/>
    </row>
    <row r="337" spans="1:9">
      <c r="A337" s="6"/>
      <c r="B337" s="6"/>
      <c r="C337" s="6"/>
      <c r="D337" s="6"/>
      <c r="E337" s="6"/>
      <c r="F337" s="6"/>
      <c r="G337" s="6"/>
      <c r="H337" s="6"/>
      <c r="I337" s="5"/>
    </row>
    <row r="338" spans="1:9">
      <c r="A338" s="6"/>
      <c r="B338" s="6"/>
      <c r="C338" s="6"/>
      <c r="D338" s="6"/>
      <c r="E338" s="6"/>
      <c r="F338" s="6"/>
      <c r="G338" s="6"/>
      <c r="H338" s="6"/>
      <c r="I338" s="5"/>
    </row>
    <row r="339" spans="1:9">
      <c r="A339" s="6"/>
      <c r="B339" s="6"/>
      <c r="C339" s="6"/>
      <c r="D339" s="6"/>
      <c r="E339" s="6"/>
      <c r="F339" s="6"/>
      <c r="G339" s="6"/>
      <c r="H339" s="6"/>
      <c r="I339" s="5"/>
    </row>
    <row r="340" spans="1:9">
      <c r="A340" s="6"/>
      <c r="B340" s="6"/>
      <c r="C340" s="6"/>
      <c r="D340" s="6"/>
      <c r="E340" s="6"/>
      <c r="F340" s="6"/>
      <c r="G340" s="6"/>
      <c r="H340" s="6"/>
      <c r="I340" s="5"/>
    </row>
    <row r="341" spans="1:9">
      <c r="A341" s="6"/>
      <c r="B341" s="6"/>
      <c r="C341" s="6"/>
      <c r="D341" s="6"/>
      <c r="E341" s="6"/>
      <c r="F341" s="6"/>
      <c r="G341" s="6"/>
      <c r="H341" s="6"/>
      <c r="I341" s="5"/>
    </row>
    <row r="342" spans="1:9">
      <c r="A342" s="6"/>
      <c r="B342" s="6"/>
      <c r="C342" s="6"/>
      <c r="D342" s="6"/>
      <c r="E342" s="6"/>
      <c r="F342" s="6"/>
      <c r="G342" s="6"/>
      <c r="H342" s="6"/>
      <c r="I342" s="5"/>
    </row>
    <row r="343" spans="1:9">
      <c r="A343" s="6"/>
      <c r="B343" s="6"/>
      <c r="C343" s="6"/>
      <c r="D343" s="6"/>
      <c r="E343" s="6"/>
      <c r="F343" s="6"/>
      <c r="G343" s="6"/>
      <c r="H343" s="6"/>
      <c r="I343" s="5"/>
    </row>
    <row r="344" spans="1:9">
      <c r="A344" s="6"/>
      <c r="B344" s="6"/>
      <c r="C344" s="6"/>
      <c r="D344" s="6"/>
      <c r="E344" s="6"/>
      <c r="F344" s="6"/>
      <c r="G344" s="6"/>
      <c r="H344" s="6"/>
      <c r="I344" s="5"/>
    </row>
    <row r="345" spans="1:9">
      <c r="A345" s="6"/>
      <c r="B345" s="6"/>
      <c r="C345" s="6"/>
      <c r="D345" s="6"/>
      <c r="E345" s="6"/>
      <c r="F345" s="6"/>
      <c r="G345" s="6"/>
      <c r="H345" s="6"/>
      <c r="I345" s="5"/>
    </row>
    <row r="346" spans="1:9">
      <c r="A346" s="6"/>
      <c r="B346" s="6"/>
      <c r="C346" s="6"/>
      <c r="D346" s="6"/>
      <c r="E346" s="6"/>
      <c r="F346" s="6"/>
      <c r="G346" s="6"/>
      <c r="H346" s="6"/>
      <c r="I346" s="5"/>
    </row>
    <row r="347" spans="1:9">
      <c r="A347" s="6"/>
      <c r="B347" s="6"/>
      <c r="C347" s="6"/>
      <c r="D347" s="6"/>
      <c r="E347" s="6"/>
      <c r="F347" s="6"/>
      <c r="G347" s="6"/>
      <c r="H347" s="6"/>
      <c r="I347" s="5"/>
    </row>
    <row r="348" spans="1:9">
      <c r="A348" s="6"/>
      <c r="B348" s="6"/>
      <c r="C348" s="6"/>
      <c r="D348" s="6"/>
      <c r="E348" s="6"/>
      <c r="F348" s="6"/>
      <c r="G348" s="6"/>
      <c r="H348" s="6"/>
      <c r="I348" s="5"/>
    </row>
    <row r="349" spans="1:9">
      <c r="A349" s="6"/>
      <c r="B349" s="6"/>
      <c r="C349" s="6"/>
      <c r="D349" s="6"/>
      <c r="E349" s="6"/>
      <c r="F349" s="6"/>
      <c r="G349" s="6"/>
      <c r="H349" s="6"/>
      <c r="I349" s="5"/>
    </row>
    <row r="350" spans="1:9">
      <c r="A350" s="6"/>
      <c r="B350" s="6"/>
      <c r="C350" s="6"/>
      <c r="D350" s="6"/>
      <c r="E350" s="6"/>
      <c r="F350" s="6"/>
      <c r="G350" s="6"/>
      <c r="H350" s="6"/>
      <c r="I350" s="5"/>
    </row>
    <row r="351" spans="1:9">
      <c r="A351" s="6"/>
      <c r="B351" s="6"/>
      <c r="C351" s="6"/>
      <c r="D351" s="6"/>
      <c r="E351" s="6"/>
      <c r="F351" s="6"/>
      <c r="G351" s="6"/>
      <c r="H351" s="6"/>
      <c r="I351" s="5"/>
    </row>
    <row r="352" spans="1:9">
      <c r="A352" s="6"/>
      <c r="B352" s="6"/>
      <c r="C352" s="6"/>
      <c r="D352" s="6"/>
      <c r="E352" s="6"/>
      <c r="F352" s="6"/>
      <c r="G352" s="6"/>
      <c r="H352" s="6"/>
      <c r="I352" s="5"/>
    </row>
    <row r="353" spans="1:9">
      <c r="A353" s="6"/>
      <c r="B353" s="6"/>
      <c r="C353" s="6"/>
      <c r="D353" s="6"/>
      <c r="E353" s="6"/>
      <c r="F353" s="6"/>
      <c r="G353" s="6"/>
      <c r="H353" s="6"/>
      <c r="I353" s="5"/>
    </row>
    <row r="354" spans="1:9">
      <c r="A354" s="6"/>
      <c r="B354" s="6"/>
      <c r="C354" s="6"/>
      <c r="D354" s="6"/>
      <c r="E354" s="6"/>
      <c r="F354" s="6"/>
      <c r="G354" s="6"/>
      <c r="H354" s="6"/>
      <c r="I354" s="5"/>
    </row>
    <row r="355" spans="1:9">
      <c r="A355" s="6"/>
      <c r="B355" s="6"/>
      <c r="C355" s="6"/>
      <c r="D355" s="6"/>
      <c r="E355" s="6"/>
      <c r="F355" s="6"/>
      <c r="G355" s="6"/>
      <c r="H355" s="6"/>
      <c r="I355" s="5"/>
    </row>
    <row r="356" spans="1:9">
      <c r="A356" s="6"/>
      <c r="B356" s="6"/>
      <c r="C356" s="6"/>
      <c r="D356" s="6"/>
      <c r="E356" s="6"/>
      <c r="F356" s="6"/>
      <c r="G356" s="6"/>
      <c r="H356" s="6"/>
      <c r="I356" s="5"/>
    </row>
    <row r="357" spans="1:9">
      <c r="A357" s="6"/>
      <c r="B357" s="6"/>
      <c r="C357" s="6"/>
      <c r="D357" s="6"/>
      <c r="E357" s="6"/>
      <c r="F357" s="6"/>
      <c r="G357" s="6"/>
      <c r="H357" s="6"/>
      <c r="I357" s="5"/>
    </row>
    <row r="358" spans="1:9">
      <c r="A358" s="6"/>
      <c r="B358" s="6"/>
      <c r="C358" s="6"/>
      <c r="D358" s="6"/>
      <c r="E358" s="6"/>
      <c r="F358" s="6"/>
      <c r="G358" s="6"/>
      <c r="H358" s="6"/>
      <c r="I358" s="5"/>
    </row>
    <row r="359" spans="1:9">
      <c r="A359" s="6"/>
      <c r="B359" s="6"/>
      <c r="C359" s="6"/>
      <c r="D359" s="6"/>
      <c r="E359" s="6"/>
      <c r="F359" s="6"/>
      <c r="G359" s="6"/>
      <c r="H359" s="6"/>
      <c r="I359" s="5"/>
    </row>
    <row r="360" spans="1:9">
      <c r="A360" s="6"/>
      <c r="B360" s="6"/>
      <c r="C360" s="6"/>
      <c r="D360" s="6"/>
      <c r="E360" s="6"/>
      <c r="F360" s="6"/>
      <c r="G360" s="6"/>
      <c r="H360" s="6"/>
      <c r="I360" s="5"/>
    </row>
    <row r="361" spans="1:9">
      <c r="A361" s="6"/>
      <c r="B361" s="6"/>
      <c r="C361" s="6"/>
      <c r="D361" s="6"/>
      <c r="E361" s="6"/>
      <c r="F361" s="6"/>
      <c r="G361" s="6"/>
      <c r="H361" s="6"/>
      <c r="I361" s="5"/>
    </row>
    <row r="362" spans="1:9">
      <c r="A362" s="6"/>
      <c r="B362" s="6"/>
      <c r="C362" s="6"/>
      <c r="D362" s="6"/>
      <c r="E362" s="6"/>
      <c r="F362" s="6"/>
      <c r="G362" s="6"/>
      <c r="H362" s="6"/>
      <c r="I362" s="5"/>
    </row>
    <row r="363" spans="1:9">
      <c r="A363" s="6"/>
      <c r="B363" s="6"/>
      <c r="C363" s="6"/>
      <c r="D363" s="6"/>
      <c r="E363" s="6"/>
      <c r="F363" s="6"/>
      <c r="G363" s="6"/>
      <c r="H363" s="6"/>
      <c r="I363" s="5"/>
    </row>
    <row r="364" spans="1:9">
      <c r="A364" s="6"/>
      <c r="B364" s="6"/>
      <c r="C364" s="6"/>
      <c r="D364" s="6"/>
      <c r="E364" s="6"/>
      <c r="F364" s="6"/>
      <c r="G364" s="6"/>
      <c r="H364" s="6"/>
      <c r="I364" s="5"/>
    </row>
    <row r="365" spans="1:9">
      <c r="A365" s="6"/>
      <c r="B365" s="6"/>
      <c r="C365" s="6"/>
      <c r="D365" s="6"/>
      <c r="E365" s="6"/>
      <c r="F365" s="6"/>
      <c r="G365" s="6"/>
      <c r="H365" s="6"/>
      <c r="I365" s="5"/>
    </row>
    <row r="366" spans="1:9">
      <c r="A366" s="6"/>
      <c r="B366" s="6"/>
      <c r="C366" s="6"/>
      <c r="D366" s="6"/>
      <c r="E366" s="6"/>
      <c r="F366" s="6"/>
      <c r="G366" s="6"/>
      <c r="H366" s="6"/>
      <c r="I366" s="5"/>
    </row>
    <row r="367" spans="1:9">
      <c r="A367" s="6"/>
      <c r="B367" s="6"/>
      <c r="C367" s="6"/>
      <c r="D367" s="6"/>
      <c r="E367" s="6"/>
      <c r="F367" s="6"/>
      <c r="G367" s="6"/>
      <c r="H367" s="6"/>
      <c r="I367" s="5"/>
    </row>
    <row r="368" spans="1:9">
      <c r="A368" s="6"/>
      <c r="B368" s="6"/>
      <c r="C368" s="6"/>
      <c r="D368" s="6"/>
      <c r="E368" s="6"/>
      <c r="F368" s="6"/>
      <c r="G368" s="6"/>
      <c r="H368" s="6"/>
      <c r="I368" s="5"/>
    </row>
    <row r="369" spans="1:9">
      <c r="A369" s="6"/>
      <c r="B369" s="6"/>
      <c r="C369" s="6"/>
      <c r="D369" s="6"/>
      <c r="E369" s="6"/>
      <c r="F369" s="6"/>
      <c r="G369" s="6"/>
      <c r="H369" s="6"/>
      <c r="I369" s="5"/>
    </row>
    <row r="370" spans="1:9">
      <c r="A370" s="6"/>
      <c r="B370" s="6"/>
      <c r="C370" s="6"/>
      <c r="D370" s="6"/>
      <c r="E370" s="6"/>
      <c r="F370" s="6"/>
      <c r="G370" s="6"/>
      <c r="H370" s="6"/>
      <c r="I370" s="5"/>
    </row>
    <row r="371" spans="1:9">
      <c r="A371" s="6"/>
      <c r="B371" s="6"/>
      <c r="C371" s="6"/>
      <c r="D371" s="6"/>
      <c r="E371" s="6"/>
      <c r="F371" s="6"/>
      <c r="G371" s="6"/>
      <c r="H371" s="6"/>
      <c r="I371" s="5"/>
    </row>
    <row r="372" spans="1:9">
      <c r="A372" s="6"/>
      <c r="B372" s="6"/>
      <c r="C372" s="6"/>
      <c r="D372" s="6"/>
      <c r="E372" s="6"/>
      <c r="F372" s="6"/>
      <c r="G372" s="6"/>
      <c r="H372" s="6"/>
      <c r="I372" s="5"/>
    </row>
    <row r="373" spans="1:9">
      <c r="A373" s="6"/>
      <c r="B373" s="6"/>
      <c r="C373" s="6"/>
      <c r="D373" s="6"/>
      <c r="E373" s="6"/>
      <c r="F373" s="6"/>
      <c r="G373" s="6"/>
      <c r="H373" s="6"/>
      <c r="I373" s="5"/>
    </row>
    <row r="374" spans="1:9">
      <c r="A374" s="6"/>
      <c r="B374" s="6"/>
      <c r="C374" s="6"/>
      <c r="D374" s="6"/>
      <c r="E374" s="6"/>
      <c r="F374" s="6"/>
      <c r="G374" s="6"/>
      <c r="H374" s="6"/>
      <c r="I374" s="5"/>
    </row>
    <row r="375" spans="1:9">
      <c r="A375" s="6"/>
      <c r="B375" s="6"/>
      <c r="C375" s="6"/>
      <c r="D375" s="6"/>
      <c r="E375" s="6"/>
      <c r="F375" s="6"/>
      <c r="G375" s="6"/>
      <c r="H375" s="6"/>
      <c r="I375" s="5"/>
    </row>
    <row r="376" spans="1:9">
      <c r="A376" s="6"/>
      <c r="B376" s="6"/>
      <c r="C376" s="6"/>
      <c r="D376" s="6"/>
      <c r="E376" s="6"/>
      <c r="F376" s="6"/>
      <c r="G376" s="6"/>
      <c r="H376" s="6"/>
      <c r="I376" s="5"/>
    </row>
    <row r="377" spans="1:9">
      <c r="A377" s="6"/>
      <c r="B377" s="6"/>
      <c r="C377" s="6"/>
      <c r="D377" s="6"/>
      <c r="E377" s="6"/>
      <c r="F377" s="6"/>
      <c r="G377" s="6"/>
      <c r="H377" s="6"/>
      <c r="I377" s="5"/>
    </row>
    <row r="378" spans="1:9">
      <c r="A378" s="6"/>
      <c r="B378" s="6"/>
      <c r="C378" s="6"/>
      <c r="D378" s="6"/>
      <c r="E378" s="6"/>
      <c r="F378" s="6"/>
      <c r="G378" s="6"/>
      <c r="H378" s="6"/>
      <c r="I378" s="5"/>
    </row>
    <row r="379" spans="1:9">
      <c r="A379" s="6"/>
      <c r="B379" s="6"/>
      <c r="C379" s="6"/>
      <c r="D379" s="6"/>
      <c r="E379" s="6"/>
      <c r="F379" s="6"/>
      <c r="G379" s="6"/>
      <c r="H379" s="6"/>
      <c r="I379" s="5"/>
    </row>
    <row r="380" spans="1:9">
      <c r="A380" s="6"/>
      <c r="B380" s="6"/>
      <c r="C380" s="6"/>
      <c r="D380" s="6"/>
      <c r="E380" s="6"/>
      <c r="F380" s="6"/>
      <c r="G380" s="6"/>
      <c r="H380" s="6"/>
      <c r="I380" s="5"/>
    </row>
    <row r="381" spans="1:9">
      <c r="A381" s="6"/>
      <c r="B381" s="6"/>
      <c r="C381" s="6"/>
      <c r="D381" s="6"/>
      <c r="E381" s="6"/>
      <c r="F381" s="6"/>
      <c r="G381" s="6"/>
      <c r="H381" s="6"/>
      <c r="I381" s="5"/>
    </row>
    <row r="382" spans="1:9">
      <c r="A382" s="6"/>
      <c r="B382" s="6"/>
      <c r="C382" s="6"/>
      <c r="D382" s="6"/>
      <c r="E382" s="6"/>
      <c r="F382" s="6"/>
      <c r="G382" s="6"/>
      <c r="H382" s="6"/>
      <c r="I382" s="5"/>
    </row>
    <row r="383" spans="1:9">
      <c r="A383" s="6"/>
      <c r="B383" s="6"/>
      <c r="C383" s="6"/>
      <c r="D383" s="6"/>
      <c r="E383" s="6"/>
      <c r="F383" s="6"/>
      <c r="G383" s="6"/>
      <c r="H383" s="6"/>
      <c r="I383" s="5"/>
    </row>
    <row r="384" spans="1:9">
      <c r="A384" s="6"/>
      <c r="B384" s="6"/>
      <c r="C384" s="6"/>
      <c r="D384" s="6"/>
      <c r="E384" s="6"/>
      <c r="F384" s="6"/>
      <c r="G384" s="6"/>
      <c r="H384" s="6"/>
      <c r="I384" s="5"/>
    </row>
    <row r="385" spans="1:9">
      <c r="A385" s="6"/>
      <c r="B385" s="6"/>
      <c r="C385" s="6"/>
      <c r="D385" s="6"/>
      <c r="E385" s="6"/>
      <c r="F385" s="6"/>
      <c r="G385" s="6"/>
      <c r="H385" s="6"/>
      <c r="I385" s="5"/>
    </row>
    <row r="386" spans="1:9">
      <c r="A386" s="6"/>
      <c r="B386" s="6"/>
      <c r="C386" s="6"/>
      <c r="D386" s="6"/>
      <c r="E386" s="6"/>
      <c r="F386" s="6"/>
      <c r="G386" s="6"/>
      <c r="H386" s="6"/>
      <c r="I386" s="5"/>
    </row>
    <row r="387" spans="1:9">
      <c r="A387" s="6"/>
      <c r="B387" s="6"/>
      <c r="C387" s="6"/>
      <c r="D387" s="6"/>
      <c r="E387" s="6"/>
      <c r="F387" s="6"/>
      <c r="G387" s="6"/>
      <c r="H387" s="6"/>
      <c r="I387" s="5"/>
    </row>
    <row r="388" spans="1:9">
      <c r="A388" s="6"/>
      <c r="B388" s="6"/>
      <c r="C388" s="6"/>
      <c r="D388" s="6"/>
      <c r="E388" s="6"/>
      <c r="F388" s="6"/>
      <c r="G388" s="6"/>
      <c r="H388" s="6"/>
      <c r="I388" s="5"/>
    </row>
    <row r="389" spans="1:9">
      <c r="A389" s="6"/>
      <c r="B389" s="6"/>
      <c r="C389" s="6"/>
      <c r="D389" s="6"/>
      <c r="E389" s="6"/>
      <c r="F389" s="6"/>
      <c r="G389" s="6"/>
      <c r="H389" s="6"/>
      <c r="I389" s="5"/>
    </row>
    <row r="390" spans="1:9">
      <c r="A390" s="6"/>
      <c r="B390" s="6"/>
      <c r="C390" s="6"/>
      <c r="D390" s="6"/>
      <c r="E390" s="6"/>
      <c r="F390" s="6"/>
      <c r="G390" s="6"/>
      <c r="H390" s="6"/>
      <c r="I390" s="5"/>
    </row>
    <row r="391" spans="1:9">
      <c r="A391" s="6"/>
      <c r="B391" s="6"/>
      <c r="C391" s="6"/>
      <c r="D391" s="6"/>
      <c r="E391" s="6"/>
      <c r="F391" s="6"/>
      <c r="G391" s="6"/>
      <c r="H391" s="6"/>
      <c r="I391" s="5"/>
    </row>
    <row r="392" spans="1:9">
      <c r="A392" s="6"/>
      <c r="B392" s="6"/>
      <c r="C392" s="6"/>
      <c r="D392" s="6"/>
      <c r="E392" s="6"/>
      <c r="F392" s="6"/>
      <c r="G392" s="6"/>
      <c r="H392" s="6"/>
      <c r="I392" s="5"/>
    </row>
    <row r="393" spans="1:9">
      <c r="A393" s="6"/>
      <c r="B393" s="6"/>
      <c r="C393" s="6"/>
      <c r="D393" s="6"/>
      <c r="E393" s="6"/>
      <c r="F393" s="6"/>
      <c r="G393" s="6"/>
      <c r="H393" s="6"/>
      <c r="I393" s="5"/>
    </row>
    <row r="394" spans="1:9">
      <c r="A394" s="6"/>
      <c r="B394" s="6"/>
      <c r="C394" s="6"/>
      <c r="D394" s="6"/>
      <c r="E394" s="6"/>
      <c r="F394" s="6"/>
      <c r="G394" s="6"/>
      <c r="H394" s="6"/>
      <c r="I394" s="5"/>
    </row>
    <row r="395" spans="1:9">
      <c r="A395" s="6"/>
      <c r="B395" s="6"/>
      <c r="C395" s="6"/>
      <c r="D395" s="6"/>
      <c r="E395" s="6"/>
      <c r="F395" s="6"/>
      <c r="G395" s="6"/>
      <c r="H395" s="6"/>
      <c r="I395" s="5"/>
    </row>
    <row r="396" spans="1:9">
      <c r="A396" s="6"/>
      <c r="B396" s="6"/>
      <c r="C396" s="6"/>
      <c r="D396" s="6"/>
      <c r="E396" s="6"/>
      <c r="F396" s="6"/>
      <c r="G396" s="6"/>
      <c r="H396" s="6"/>
      <c r="I396" s="5"/>
    </row>
    <row r="397" spans="1:9">
      <c r="A397" s="6"/>
      <c r="B397" s="6"/>
      <c r="C397" s="6"/>
      <c r="D397" s="6"/>
      <c r="E397" s="6"/>
      <c r="F397" s="6"/>
      <c r="G397" s="6"/>
      <c r="H397" s="6"/>
      <c r="I397" s="5"/>
    </row>
    <row r="398" spans="1:9">
      <c r="A398" s="6"/>
      <c r="B398" s="6"/>
      <c r="C398" s="6"/>
      <c r="D398" s="6"/>
      <c r="E398" s="6"/>
      <c r="F398" s="6"/>
      <c r="G398" s="6"/>
      <c r="H398" s="6"/>
      <c r="I398" s="5"/>
    </row>
    <row r="399" spans="1:9">
      <c r="A399" s="6"/>
      <c r="B399" s="6"/>
      <c r="C399" s="6"/>
      <c r="D399" s="6"/>
      <c r="E399" s="6"/>
      <c r="F399" s="6"/>
      <c r="G399" s="6"/>
      <c r="H399" s="6"/>
      <c r="I399" s="5"/>
    </row>
    <row r="400" spans="1:9">
      <c r="A400" s="6"/>
      <c r="B400" s="6"/>
      <c r="C400" s="6"/>
      <c r="D400" s="6"/>
      <c r="E400" s="6"/>
      <c r="F400" s="6"/>
      <c r="G400" s="6"/>
      <c r="H400" s="6"/>
      <c r="I400" s="5"/>
    </row>
    <row r="401" spans="1:9">
      <c r="A401" s="6"/>
      <c r="B401" s="6"/>
      <c r="C401" s="6"/>
      <c r="D401" s="6"/>
      <c r="E401" s="6"/>
      <c r="F401" s="6"/>
      <c r="G401" s="6"/>
      <c r="H401" s="6"/>
      <c r="I401" s="5"/>
    </row>
    <row r="402" spans="1:9">
      <c r="A402" s="6"/>
      <c r="B402" s="6"/>
      <c r="C402" s="6"/>
      <c r="D402" s="6"/>
      <c r="E402" s="6"/>
      <c r="F402" s="6"/>
      <c r="G402" s="6"/>
      <c r="H402" s="6"/>
      <c r="I402" s="5"/>
    </row>
    <row r="403" spans="1:9">
      <c r="A403" s="6"/>
      <c r="B403" s="6"/>
      <c r="C403" s="6"/>
      <c r="D403" s="6"/>
      <c r="E403" s="6"/>
      <c r="F403" s="6"/>
      <c r="G403" s="6"/>
      <c r="H403" s="6"/>
      <c r="I403" s="5"/>
    </row>
    <row r="404" spans="1:9">
      <c r="A404" s="6"/>
      <c r="B404" s="6"/>
      <c r="C404" s="6"/>
      <c r="D404" s="6"/>
      <c r="E404" s="6"/>
      <c r="F404" s="6"/>
      <c r="G404" s="6"/>
      <c r="H404" s="6"/>
      <c r="I404" s="5"/>
    </row>
    <row r="405" spans="1:9">
      <c r="A405" s="6"/>
      <c r="B405" s="6"/>
      <c r="C405" s="6"/>
      <c r="D405" s="6"/>
      <c r="E405" s="6"/>
      <c r="F405" s="6"/>
      <c r="G405" s="6"/>
      <c r="H405" s="6"/>
      <c r="I405" s="5"/>
    </row>
    <row r="406" spans="1:9">
      <c r="A406" s="6"/>
      <c r="B406" s="6"/>
      <c r="C406" s="6"/>
      <c r="D406" s="6"/>
      <c r="E406" s="6"/>
      <c r="F406" s="6"/>
      <c r="G406" s="6"/>
      <c r="H406" s="6"/>
      <c r="I406" s="5"/>
    </row>
    <row r="407" spans="1:9">
      <c r="A407" s="6"/>
      <c r="B407" s="6"/>
      <c r="C407" s="6"/>
      <c r="D407" s="6"/>
      <c r="E407" s="6"/>
      <c r="F407" s="6"/>
      <c r="G407" s="6"/>
      <c r="H407" s="6"/>
      <c r="I407" s="5"/>
    </row>
    <row r="408" spans="1:9">
      <c r="A408" s="6"/>
      <c r="B408" s="6"/>
      <c r="C408" s="6"/>
      <c r="D408" s="6"/>
      <c r="E408" s="6"/>
      <c r="F408" s="6"/>
      <c r="G408" s="6"/>
      <c r="H408" s="6"/>
      <c r="I408" s="5"/>
    </row>
    <row r="409" spans="1:9">
      <c r="A409" s="6"/>
      <c r="B409" s="6"/>
      <c r="C409" s="6"/>
      <c r="D409" s="6"/>
      <c r="E409" s="6"/>
      <c r="F409" s="6"/>
      <c r="G409" s="6"/>
      <c r="H409" s="6"/>
      <c r="I409" s="5"/>
    </row>
    <row r="410" spans="1:9">
      <c r="A410" s="6"/>
      <c r="B410" s="6"/>
      <c r="C410" s="6"/>
      <c r="D410" s="6"/>
      <c r="E410" s="6"/>
      <c r="F410" s="6"/>
      <c r="G410" s="6"/>
      <c r="H410" s="6"/>
      <c r="I410" s="5"/>
    </row>
    <row r="411" spans="1:9">
      <c r="A411" s="6"/>
      <c r="B411" s="6"/>
      <c r="C411" s="6"/>
      <c r="D411" s="6"/>
      <c r="E411" s="6"/>
      <c r="F411" s="6"/>
      <c r="G411" s="6"/>
      <c r="H411" s="6"/>
      <c r="I411" s="5"/>
    </row>
    <row r="412" spans="1:9">
      <c r="A412" s="6"/>
      <c r="B412" s="6"/>
      <c r="C412" s="6"/>
      <c r="D412" s="6"/>
      <c r="E412" s="6"/>
      <c r="F412" s="6"/>
      <c r="G412" s="6"/>
      <c r="H412" s="6"/>
      <c r="I412" s="5"/>
    </row>
    <row r="413" spans="1:9">
      <c r="A413" s="6"/>
      <c r="B413" s="6"/>
      <c r="C413" s="6"/>
      <c r="D413" s="6"/>
      <c r="E413" s="6"/>
      <c r="F413" s="6"/>
      <c r="G413" s="6"/>
      <c r="H413" s="6"/>
      <c r="I413" s="5"/>
    </row>
    <row r="414" spans="1:9">
      <c r="A414" s="6"/>
      <c r="B414" s="6"/>
      <c r="C414" s="6"/>
      <c r="D414" s="6"/>
      <c r="E414" s="6"/>
      <c r="F414" s="6"/>
      <c r="G414" s="6"/>
      <c r="H414" s="6"/>
      <c r="I414" s="5"/>
    </row>
    <row r="415" spans="1:9">
      <c r="A415" s="6"/>
      <c r="B415" s="6"/>
      <c r="C415" s="6"/>
      <c r="D415" s="6"/>
      <c r="E415" s="6"/>
      <c r="F415" s="6"/>
      <c r="G415" s="6"/>
      <c r="H415" s="6"/>
      <c r="I415" s="5"/>
    </row>
    <row r="416" spans="1:9">
      <c r="A416" s="6"/>
      <c r="B416" s="6"/>
      <c r="C416" s="6"/>
      <c r="D416" s="6"/>
      <c r="E416" s="6"/>
      <c r="F416" s="6"/>
      <c r="G416" s="6"/>
      <c r="H416" s="6"/>
      <c r="I416" s="5"/>
    </row>
    <row r="417" spans="1:9">
      <c r="A417" s="6"/>
      <c r="B417" s="6"/>
      <c r="C417" s="6"/>
      <c r="D417" s="6"/>
      <c r="E417" s="6"/>
      <c r="F417" s="6"/>
      <c r="G417" s="6"/>
      <c r="H417" s="6"/>
      <c r="I417" s="5"/>
    </row>
    <row r="418" spans="1:9">
      <c r="A418" s="6"/>
      <c r="B418" s="6"/>
      <c r="C418" s="6"/>
      <c r="D418" s="6"/>
      <c r="E418" s="6"/>
      <c r="F418" s="6"/>
      <c r="G418" s="6"/>
      <c r="H418" s="6"/>
      <c r="I418" s="5"/>
    </row>
    <row r="419" spans="1:9">
      <c r="A419" s="6"/>
      <c r="B419" s="6"/>
      <c r="C419" s="6"/>
      <c r="D419" s="6"/>
      <c r="E419" s="6"/>
      <c r="F419" s="6"/>
      <c r="G419" s="6"/>
      <c r="H419" s="6"/>
      <c r="I419" s="5"/>
    </row>
    <row r="420" spans="1:9">
      <c r="A420" s="6"/>
      <c r="B420" s="6"/>
      <c r="C420" s="6"/>
      <c r="D420" s="6"/>
      <c r="E420" s="6"/>
      <c r="F420" s="6"/>
      <c r="G420" s="6"/>
      <c r="H420" s="6"/>
      <c r="I420" s="5"/>
    </row>
    <row r="421" spans="1:9">
      <c r="A421" s="6"/>
      <c r="B421" s="6"/>
      <c r="C421" s="6"/>
      <c r="D421" s="6"/>
      <c r="E421" s="6"/>
      <c r="F421" s="6"/>
      <c r="G421" s="6"/>
      <c r="H421" s="6"/>
      <c r="I421" s="5"/>
    </row>
    <row r="422" spans="1:9">
      <c r="A422" s="6"/>
      <c r="B422" s="6"/>
      <c r="C422" s="6"/>
      <c r="D422" s="6"/>
      <c r="E422" s="6"/>
      <c r="F422" s="6"/>
      <c r="G422" s="6"/>
      <c r="H422" s="6"/>
      <c r="I422" s="5"/>
    </row>
    <row r="423" spans="1:9">
      <c r="A423" s="6"/>
      <c r="B423" s="6"/>
      <c r="C423" s="6"/>
      <c r="D423" s="6"/>
      <c r="E423" s="6"/>
      <c r="F423" s="6"/>
      <c r="G423" s="6"/>
      <c r="H423" s="6"/>
      <c r="I423" s="5"/>
    </row>
    <row r="424" spans="1:9">
      <c r="A424" s="6"/>
      <c r="B424" s="6"/>
      <c r="C424" s="6"/>
      <c r="D424" s="6"/>
      <c r="E424" s="6"/>
      <c r="F424" s="6"/>
      <c r="G424" s="6"/>
      <c r="H424" s="6"/>
      <c r="I424" s="5"/>
    </row>
    <row r="425" spans="1:9">
      <c r="A425" s="6"/>
      <c r="B425" s="6"/>
      <c r="C425" s="6"/>
      <c r="D425" s="6"/>
      <c r="E425" s="6"/>
      <c r="F425" s="6"/>
      <c r="G425" s="6"/>
      <c r="H425" s="6"/>
      <c r="I425" s="5"/>
    </row>
    <row r="426" spans="1:9">
      <c r="A426" s="6"/>
      <c r="B426" s="6"/>
      <c r="C426" s="6"/>
      <c r="D426" s="6"/>
      <c r="E426" s="6"/>
      <c r="F426" s="6"/>
      <c r="G426" s="6"/>
      <c r="H426" s="6"/>
      <c r="I426" s="5"/>
    </row>
    <row r="427" spans="1:9">
      <c r="A427" s="6"/>
      <c r="B427" s="6"/>
      <c r="C427" s="6"/>
      <c r="D427" s="6"/>
      <c r="E427" s="6"/>
      <c r="F427" s="6"/>
      <c r="G427" s="6"/>
      <c r="H427" s="6"/>
      <c r="I427" s="5"/>
    </row>
    <row r="428" spans="1:9">
      <c r="A428" s="6"/>
      <c r="B428" s="6"/>
      <c r="C428" s="6"/>
      <c r="D428" s="6"/>
      <c r="E428" s="6"/>
      <c r="F428" s="6"/>
      <c r="G428" s="6"/>
      <c r="H428" s="6"/>
      <c r="I428" s="5"/>
    </row>
    <row r="429" spans="1:9">
      <c r="A429" s="6"/>
      <c r="B429" s="6"/>
      <c r="C429" s="6"/>
      <c r="D429" s="6"/>
      <c r="E429" s="6"/>
      <c r="F429" s="6"/>
      <c r="G429" s="6"/>
      <c r="H429" s="6"/>
      <c r="I429" s="5"/>
    </row>
    <row r="430" spans="1:9">
      <c r="A430" s="6"/>
      <c r="B430" s="6"/>
      <c r="C430" s="6"/>
      <c r="D430" s="6"/>
      <c r="E430" s="6"/>
      <c r="F430" s="6"/>
      <c r="G430" s="6"/>
      <c r="H430" s="6"/>
      <c r="I430" s="5"/>
    </row>
    <row r="431" spans="1:9">
      <c r="A431" s="6"/>
      <c r="B431" s="6"/>
      <c r="C431" s="6"/>
      <c r="D431" s="6"/>
      <c r="E431" s="6"/>
      <c r="F431" s="6"/>
      <c r="G431" s="6"/>
      <c r="H431" s="6"/>
      <c r="I431" s="5"/>
    </row>
    <row r="432" spans="1:9">
      <c r="A432" s="6"/>
      <c r="B432" s="6"/>
      <c r="C432" s="6"/>
      <c r="D432" s="6"/>
      <c r="E432" s="6"/>
      <c r="F432" s="6"/>
      <c r="G432" s="6"/>
      <c r="H432" s="6"/>
      <c r="I432" s="5"/>
    </row>
    <row r="433" spans="1:9">
      <c r="A433" s="6"/>
      <c r="B433" s="6"/>
      <c r="C433" s="6"/>
      <c r="D433" s="6"/>
      <c r="E433" s="6"/>
      <c r="F433" s="6"/>
      <c r="G433" s="6"/>
      <c r="H433" s="6"/>
      <c r="I433" s="5"/>
    </row>
    <row r="434" spans="1:9">
      <c r="A434" s="6"/>
      <c r="B434" s="6"/>
      <c r="C434" s="6"/>
      <c r="D434" s="6"/>
      <c r="E434" s="6"/>
      <c r="F434" s="6"/>
      <c r="G434" s="6"/>
      <c r="H434" s="6"/>
      <c r="I434" s="5"/>
    </row>
    <row r="435" spans="1:9">
      <c r="A435" s="6"/>
      <c r="B435" s="6"/>
      <c r="C435" s="6"/>
      <c r="D435" s="6"/>
      <c r="E435" s="6"/>
      <c r="F435" s="6"/>
      <c r="G435" s="6"/>
      <c r="H435" s="6"/>
      <c r="I435" s="5"/>
    </row>
    <row r="436" spans="1:9">
      <c r="A436" s="6"/>
      <c r="B436" s="6"/>
      <c r="C436" s="6"/>
      <c r="D436" s="6"/>
      <c r="E436" s="6"/>
      <c r="F436" s="6"/>
      <c r="G436" s="6"/>
      <c r="H436" s="6"/>
      <c r="I436" s="5"/>
    </row>
    <row r="437" spans="1:9">
      <c r="A437" s="6"/>
      <c r="B437" s="6"/>
      <c r="C437" s="6"/>
      <c r="D437" s="6"/>
      <c r="E437" s="6"/>
      <c r="F437" s="6"/>
      <c r="G437" s="6"/>
      <c r="H437" s="6"/>
      <c r="I437" s="5"/>
    </row>
    <row r="438" spans="1:9">
      <c r="A438" s="6"/>
      <c r="B438" s="6"/>
      <c r="C438" s="6"/>
      <c r="D438" s="6"/>
      <c r="E438" s="6"/>
      <c r="F438" s="6"/>
      <c r="G438" s="6"/>
      <c r="H438" s="6"/>
      <c r="I438" s="5"/>
    </row>
    <row r="439" spans="1:9">
      <c r="A439" s="6"/>
      <c r="B439" s="6"/>
      <c r="C439" s="6"/>
      <c r="D439" s="6"/>
      <c r="E439" s="6"/>
      <c r="F439" s="6"/>
      <c r="G439" s="6"/>
      <c r="H439" s="6"/>
      <c r="I439" s="5"/>
    </row>
    <row r="440" spans="1:9">
      <c r="A440" s="6"/>
      <c r="B440" s="6"/>
      <c r="C440" s="6"/>
      <c r="D440" s="6"/>
      <c r="E440" s="6"/>
      <c r="F440" s="6"/>
      <c r="G440" s="6"/>
      <c r="H440" s="6"/>
      <c r="I440" s="5"/>
    </row>
    <row r="441" spans="1:9">
      <c r="A441" s="6"/>
      <c r="B441" s="6"/>
      <c r="C441" s="6"/>
      <c r="D441" s="6"/>
      <c r="E441" s="6"/>
      <c r="F441" s="6"/>
      <c r="G441" s="6"/>
      <c r="H441" s="6"/>
      <c r="I441" s="5"/>
    </row>
    <row r="442" spans="1:9">
      <c r="A442" s="6"/>
      <c r="B442" s="6"/>
      <c r="C442" s="6"/>
      <c r="D442" s="6"/>
      <c r="E442" s="6"/>
      <c r="F442" s="6"/>
      <c r="G442" s="6"/>
      <c r="H442" s="6"/>
      <c r="I442" s="5"/>
    </row>
    <row r="443" spans="1:9">
      <c r="A443" s="6"/>
      <c r="B443" s="6"/>
      <c r="C443" s="6"/>
      <c r="D443" s="6"/>
      <c r="E443" s="6"/>
      <c r="F443" s="6"/>
      <c r="G443" s="6"/>
      <c r="H443" s="6"/>
      <c r="I443" s="5"/>
    </row>
    <row r="444" spans="1:9">
      <c r="A444" s="6"/>
      <c r="B444" s="6"/>
      <c r="C444" s="6"/>
      <c r="D444" s="6"/>
      <c r="E444" s="6"/>
      <c r="F444" s="6"/>
      <c r="G444" s="6"/>
      <c r="H444" s="6"/>
      <c r="I444" s="5"/>
    </row>
    <row r="445" spans="1:9">
      <c r="A445" s="6"/>
      <c r="B445" s="6"/>
      <c r="C445" s="6"/>
      <c r="D445" s="6"/>
      <c r="E445" s="6"/>
      <c r="F445" s="6"/>
      <c r="G445" s="6"/>
      <c r="H445" s="6"/>
      <c r="I445" s="5"/>
    </row>
    <row r="446" spans="1:9">
      <c r="A446" s="6"/>
      <c r="B446" s="6"/>
      <c r="C446" s="6"/>
      <c r="D446" s="6"/>
      <c r="E446" s="6"/>
      <c r="F446" s="6"/>
      <c r="G446" s="6"/>
      <c r="H446" s="6"/>
      <c r="I446" s="5"/>
    </row>
    <row r="447" spans="1:9">
      <c r="A447" s="6"/>
      <c r="B447" s="6"/>
      <c r="C447" s="6"/>
      <c r="D447" s="6"/>
      <c r="E447" s="6"/>
      <c r="F447" s="6"/>
      <c r="G447" s="6"/>
      <c r="H447" s="6"/>
      <c r="I447" s="5"/>
    </row>
    <row r="448" spans="1:9">
      <c r="A448" s="6"/>
      <c r="B448" s="6"/>
      <c r="C448" s="6"/>
      <c r="D448" s="6"/>
      <c r="E448" s="6"/>
      <c r="F448" s="6"/>
      <c r="G448" s="6"/>
      <c r="H448" s="6"/>
      <c r="I448" s="5"/>
    </row>
    <row r="449" spans="1:9">
      <c r="A449" s="6"/>
      <c r="B449" s="6"/>
      <c r="C449" s="6"/>
      <c r="D449" s="6"/>
      <c r="E449" s="6"/>
      <c r="F449" s="6"/>
      <c r="G449" s="6"/>
      <c r="H449" s="6"/>
      <c r="I449" s="5"/>
    </row>
    <row r="450" spans="1:9">
      <c r="A450" s="6"/>
      <c r="B450" s="6"/>
      <c r="C450" s="6"/>
      <c r="D450" s="6"/>
      <c r="E450" s="6"/>
      <c r="F450" s="6"/>
      <c r="G450" s="6"/>
      <c r="H450" s="6"/>
      <c r="I450" s="5"/>
    </row>
    <row r="451" spans="1:9">
      <c r="A451" s="6"/>
      <c r="B451" s="6"/>
      <c r="C451" s="6"/>
      <c r="D451" s="6"/>
      <c r="E451" s="6"/>
      <c r="F451" s="6"/>
      <c r="G451" s="6"/>
      <c r="H451" s="6"/>
      <c r="I451" s="5"/>
    </row>
    <row r="452" spans="1:9">
      <c r="A452" s="6"/>
      <c r="B452" s="6"/>
      <c r="C452" s="6"/>
      <c r="D452" s="6"/>
      <c r="E452" s="6"/>
      <c r="F452" s="6"/>
      <c r="G452" s="6"/>
      <c r="H452" s="6"/>
      <c r="I452" s="5"/>
    </row>
    <row r="453" spans="1:9">
      <c r="A453" s="6"/>
      <c r="B453" s="6"/>
      <c r="C453" s="6"/>
      <c r="D453" s="6"/>
      <c r="E453" s="6"/>
      <c r="F453" s="6"/>
      <c r="G453" s="6"/>
      <c r="H453" s="6"/>
      <c r="I453" s="5"/>
    </row>
    <row r="454" spans="1:9">
      <c r="A454" s="6"/>
      <c r="B454" s="6"/>
      <c r="C454" s="6"/>
      <c r="D454" s="6"/>
      <c r="E454" s="6"/>
      <c r="F454" s="6"/>
      <c r="G454" s="6"/>
      <c r="H454" s="6"/>
      <c r="I454" s="5"/>
    </row>
    <row r="455" spans="1:9">
      <c r="A455" s="6"/>
      <c r="B455" s="6"/>
      <c r="C455" s="6"/>
      <c r="D455" s="6"/>
      <c r="E455" s="6"/>
      <c r="F455" s="6"/>
      <c r="G455" s="6"/>
      <c r="H455" s="6"/>
      <c r="I455" s="5"/>
    </row>
    <row r="456" spans="1:9">
      <c r="A456" s="6"/>
      <c r="B456" s="6"/>
      <c r="C456" s="6"/>
      <c r="D456" s="6"/>
      <c r="E456" s="6"/>
      <c r="F456" s="6"/>
      <c r="G456" s="6"/>
      <c r="H456" s="6"/>
      <c r="I456" s="5"/>
    </row>
    <row r="457" spans="1:9">
      <c r="A457" s="6"/>
      <c r="B457" s="6"/>
      <c r="C457" s="6"/>
      <c r="D457" s="6"/>
      <c r="E457" s="6"/>
      <c r="F457" s="6"/>
      <c r="G457" s="6"/>
      <c r="H457" s="6"/>
      <c r="I457" s="5"/>
    </row>
    <row r="458" spans="1:9">
      <c r="A458" s="6"/>
      <c r="B458" s="6"/>
      <c r="C458" s="6"/>
      <c r="D458" s="6"/>
      <c r="E458" s="6"/>
      <c r="F458" s="6"/>
      <c r="G458" s="6"/>
      <c r="H458" s="6"/>
      <c r="I458" s="5"/>
    </row>
    <row r="459" spans="1:9">
      <c r="A459" s="6"/>
      <c r="B459" s="6"/>
      <c r="C459" s="6"/>
      <c r="D459" s="6"/>
      <c r="E459" s="6"/>
      <c r="F459" s="6"/>
      <c r="G459" s="6"/>
      <c r="H459" s="6"/>
      <c r="I459" s="5"/>
    </row>
    <row r="460" spans="1:9">
      <c r="A460" s="6"/>
      <c r="B460" s="6"/>
      <c r="C460" s="6"/>
      <c r="D460" s="6"/>
      <c r="E460" s="6"/>
      <c r="F460" s="6"/>
      <c r="G460" s="6"/>
      <c r="H460" s="6"/>
      <c r="I460" s="5"/>
    </row>
    <row r="461" spans="1:9">
      <c r="A461" s="6"/>
      <c r="B461" s="6"/>
      <c r="C461" s="6"/>
      <c r="D461" s="6"/>
      <c r="E461" s="6"/>
      <c r="F461" s="6"/>
      <c r="G461" s="6"/>
      <c r="H461" s="6"/>
      <c r="I461" s="5"/>
    </row>
    <row r="462" spans="1:9">
      <c r="A462" s="6"/>
      <c r="B462" s="6"/>
      <c r="C462" s="6"/>
      <c r="D462" s="6"/>
      <c r="E462" s="6"/>
      <c r="F462" s="6"/>
      <c r="G462" s="6"/>
      <c r="H462" s="6"/>
      <c r="I462" s="5"/>
    </row>
    <row r="463" spans="1:9">
      <c r="A463" s="6"/>
      <c r="B463" s="6"/>
      <c r="C463" s="6"/>
      <c r="D463" s="6"/>
      <c r="E463" s="6"/>
      <c r="F463" s="6"/>
      <c r="G463" s="6"/>
      <c r="H463" s="6"/>
      <c r="I463" s="5"/>
    </row>
    <row r="464" spans="1:9">
      <c r="A464" s="6"/>
      <c r="B464" s="6"/>
      <c r="C464" s="6"/>
      <c r="D464" s="6"/>
      <c r="E464" s="6"/>
      <c r="F464" s="6"/>
      <c r="G464" s="6"/>
      <c r="H464" s="6"/>
      <c r="I464" s="5"/>
    </row>
    <row r="465" spans="1:9">
      <c r="A465" s="6"/>
      <c r="B465" s="6"/>
      <c r="C465" s="6"/>
      <c r="D465" s="6"/>
      <c r="E465" s="6"/>
      <c r="F465" s="6"/>
      <c r="G465" s="6"/>
      <c r="H465" s="6"/>
      <c r="I465" s="5"/>
    </row>
    <row r="466" spans="1:9">
      <c r="A466" s="6"/>
      <c r="B466" s="6"/>
      <c r="C466" s="6"/>
      <c r="D466" s="6"/>
      <c r="E466" s="6"/>
      <c r="F466" s="6"/>
      <c r="G466" s="6"/>
      <c r="H466" s="6"/>
      <c r="I466" s="5"/>
    </row>
    <row r="467" spans="1:9">
      <c r="A467" s="6"/>
      <c r="B467" s="6"/>
      <c r="C467" s="6"/>
      <c r="D467" s="6"/>
      <c r="E467" s="6"/>
      <c r="F467" s="6"/>
      <c r="G467" s="6"/>
      <c r="H467" s="6"/>
      <c r="I467" s="5"/>
    </row>
    <row r="468" spans="1:9">
      <c r="A468" s="6"/>
      <c r="B468" s="6"/>
      <c r="C468" s="6"/>
      <c r="D468" s="6"/>
      <c r="E468" s="6"/>
      <c r="F468" s="6"/>
      <c r="G468" s="6"/>
      <c r="H468" s="6"/>
      <c r="I468" s="5"/>
    </row>
    <row r="469" spans="1:9">
      <c r="A469" s="6"/>
      <c r="B469" s="6"/>
      <c r="C469" s="6"/>
      <c r="D469" s="6"/>
      <c r="E469" s="6"/>
      <c r="F469" s="6"/>
      <c r="G469" s="6"/>
      <c r="H469" s="6"/>
      <c r="I469" s="5"/>
    </row>
    <row r="470" spans="1:9">
      <c r="A470" s="6"/>
      <c r="B470" s="6"/>
      <c r="C470" s="6"/>
      <c r="D470" s="6"/>
      <c r="E470" s="6"/>
      <c r="F470" s="6"/>
      <c r="G470" s="6"/>
      <c r="H470" s="6"/>
      <c r="I470" s="5"/>
    </row>
    <row r="471" spans="1:9">
      <c r="A471" s="6"/>
      <c r="B471" s="6"/>
      <c r="C471" s="6"/>
      <c r="D471" s="6"/>
      <c r="E471" s="6"/>
      <c r="F471" s="6"/>
      <c r="G471" s="6"/>
      <c r="H471" s="6"/>
      <c r="I471" s="5"/>
    </row>
    <row r="472" spans="1:9">
      <c r="A472" s="6"/>
      <c r="B472" s="6"/>
      <c r="C472" s="6"/>
      <c r="D472" s="6"/>
      <c r="E472" s="6"/>
      <c r="F472" s="6"/>
      <c r="G472" s="6"/>
      <c r="H472" s="6"/>
      <c r="I472" s="5"/>
    </row>
    <row r="473" spans="1:9">
      <c r="A473" s="6"/>
      <c r="B473" s="6"/>
      <c r="C473" s="6"/>
      <c r="D473" s="6"/>
      <c r="E473" s="6"/>
      <c r="F473" s="6"/>
      <c r="G473" s="6"/>
      <c r="H473" s="6"/>
      <c r="I473" s="5"/>
    </row>
    <row r="474" spans="1:9">
      <c r="A474" s="6"/>
      <c r="B474" s="6"/>
      <c r="C474" s="6"/>
      <c r="D474" s="6"/>
      <c r="E474" s="6"/>
      <c r="F474" s="6"/>
      <c r="G474" s="6"/>
      <c r="H474" s="6"/>
      <c r="I474" s="5"/>
    </row>
    <row r="475" spans="1:9">
      <c r="A475" s="6"/>
      <c r="B475" s="6"/>
      <c r="C475" s="6"/>
      <c r="D475" s="6"/>
      <c r="E475" s="6"/>
      <c r="F475" s="6"/>
      <c r="G475" s="6"/>
      <c r="H475" s="6"/>
      <c r="I475" s="5"/>
    </row>
    <row r="476" spans="1:9">
      <c r="A476" s="6"/>
      <c r="B476" s="6"/>
      <c r="C476" s="6"/>
      <c r="D476" s="6"/>
      <c r="E476" s="6"/>
      <c r="F476" s="6"/>
      <c r="G476" s="6"/>
      <c r="H476" s="6"/>
      <c r="I476" s="5"/>
    </row>
    <row r="477" spans="1:9">
      <c r="A477" s="6"/>
      <c r="B477" s="6"/>
      <c r="C477" s="6"/>
      <c r="D477" s="6"/>
      <c r="E477" s="6"/>
      <c r="F477" s="6"/>
      <c r="G477" s="6"/>
      <c r="H477" s="6"/>
      <c r="I477" s="5"/>
    </row>
    <row r="478" spans="1:9">
      <c r="A478" s="6"/>
      <c r="B478" s="6"/>
      <c r="C478" s="6"/>
      <c r="D478" s="6"/>
      <c r="E478" s="6"/>
      <c r="F478" s="6"/>
      <c r="G478" s="6"/>
      <c r="H478" s="6"/>
      <c r="I478" s="5"/>
    </row>
    <row r="479" spans="1:9">
      <c r="A479" s="6"/>
      <c r="B479" s="6"/>
      <c r="C479" s="6"/>
      <c r="D479" s="6"/>
      <c r="E479" s="6"/>
      <c r="F479" s="6"/>
      <c r="G479" s="6"/>
      <c r="H479" s="6"/>
      <c r="I479" s="5"/>
    </row>
    <row r="480" spans="1:9">
      <c r="A480" s="6"/>
      <c r="B480" s="6"/>
      <c r="C480" s="6"/>
      <c r="D480" s="6"/>
      <c r="E480" s="6"/>
      <c r="F480" s="6"/>
      <c r="G480" s="6"/>
      <c r="H480" s="6"/>
      <c r="I480" s="5"/>
    </row>
    <row r="481" spans="1:9">
      <c r="A481" s="6"/>
      <c r="B481" s="6"/>
      <c r="C481" s="6"/>
      <c r="D481" s="6"/>
      <c r="E481" s="6"/>
      <c r="F481" s="6"/>
      <c r="G481" s="6"/>
      <c r="H481" s="6"/>
      <c r="I481" s="5"/>
    </row>
    <row r="482" spans="1:9">
      <c r="A482" s="6"/>
      <c r="B482" s="6"/>
      <c r="C482" s="6"/>
      <c r="D482" s="6"/>
      <c r="E482" s="6"/>
      <c r="F482" s="6"/>
      <c r="G482" s="6"/>
      <c r="H482" s="6"/>
      <c r="I482" s="5"/>
    </row>
    <row r="483" spans="1:9">
      <c r="A483" s="6"/>
      <c r="B483" s="6"/>
      <c r="C483" s="6"/>
      <c r="D483" s="6"/>
      <c r="E483" s="6"/>
      <c r="F483" s="6"/>
      <c r="G483" s="6"/>
      <c r="H483" s="6"/>
      <c r="I483" s="5"/>
    </row>
    <row r="484" spans="1:9">
      <c r="A484" s="6"/>
      <c r="B484" s="6"/>
      <c r="C484" s="6"/>
      <c r="D484" s="6"/>
      <c r="E484" s="6"/>
      <c r="F484" s="6"/>
      <c r="G484" s="6"/>
      <c r="H484" s="6"/>
      <c r="I484" s="5"/>
    </row>
    <row r="485" spans="1:9">
      <c r="A485" s="6"/>
      <c r="B485" s="6"/>
      <c r="C485" s="6"/>
      <c r="D485" s="6"/>
      <c r="E485" s="6"/>
      <c r="F485" s="6"/>
      <c r="G485" s="6"/>
      <c r="H485" s="6"/>
      <c r="I485" s="5"/>
    </row>
    <row r="486" spans="1:9">
      <c r="A486" s="6"/>
      <c r="B486" s="6"/>
      <c r="C486" s="6"/>
      <c r="D486" s="6"/>
      <c r="E486" s="6"/>
      <c r="F486" s="6"/>
      <c r="G486" s="6"/>
      <c r="H486" s="6"/>
      <c r="I486" s="5"/>
    </row>
    <row r="487" spans="1:9">
      <c r="A487" s="6"/>
      <c r="B487" s="6"/>
      <c r="C487" s="6"/>
      <c r="D487" s="6"/>
      <c r="E487" s="6"/>
      <c r="F487" s="6"/>
      <c r="G487" s="6"/>
      <c r="H487" s="6"/>
      <c r="I487" s="5"/>
    </row>
    <row r="488" spans="1:9">
      <c r="A488" s="6"/>
      <c r="B488" s="6"/>
      <c r="C488" s="6"/>
      <c r="D488" s="6"/>
      <c r="E488" s="6"/>
      <c r="F488" s="6"/>
      <c r="G488" s="6"/>
      <c r="H488" s="6"/>
      <c r="I488" s="5"/>
    </row>
    <row r="489" spans="1:9">
      <c r="A489" s="6"/>
      <c r="B489" s="6"/>
      <c r="C489" s="6"/>
      <c r="D489" s="6"/>
      <c r="E489" s="6"/>
      <c r="F489" s="6"/>
      <c r="G489" s="6"/>
      <c r="H489" s="6"/>
      <c r="I489" s="5"/>
    </row>
    <row r="490" spans="1:9">
      <c r="A490" s="6"/>
      <c r="B490" s="6"/>
      <c r="C490" s="6"/>
      <c r="D490" s="6"/>
      <c r="E490" s="6"/>
      <c r="F490" s="6"/>
      <c r="G490" s="6"/>
      <c r="H490" s="6"/>
      <c r="I490" s="5"/>
    </row>
    <row r="491" spans="1:9">
      <c r="A491" s="6"/>
      <c r="B491" s="6"/>
      <c r="C491" s="6"/>
      <c r="D491" s="6"/>
      <c r="E491" s="6"/>
      <c r="F491" s="6"/>
      <c r="G491" s="6"/>
      <c r="H491" s="6"/>
      <c r="I491" s="5"/>
    </row>
    <row r="492" spans="1:9">
      <c r="A492" s="6"/>
      <c r="B492" s="6"/>
      <c r="C492" s="6"/>
      <c r="D492" s="6"/>
      <c r="E492" s="6"/>
      <c r="F492" s="6"/>
      <c r="G492" s="6"/>
      <c r="H492" s="6"/>
      <c r="I492" s="5"/>
    </row>
    <row r="493" spans="1:9">
      <c r="A493" s="6"/>
      <c r="B493" s="6"/>
      <c r="C493" s="6"/>
      <c r="D493" s="6"/>
      <c r="E493" s="6"/>
      <c r="F493" s="6"/>
      <c r="G493" s="6"/>
      <c r="H493" s="6"/>
      <c r="I493" s="5"/>
    </row>
    <row r="494" spans="1:9">
      <c r="A494" s="6"/>
      <c r="B494" s="6"/>
      <c r="C494" s="6"/>
      <c r="D494" s="6"/>
      <c r="E494" s="6"/>
      <c r="F494" s="6"/>
      <c r="G494" s="6"/>
      <c r="H494" s="6"/>
      <c r="I494" s="5"/>
    </row>
    <row r="495" spans="1:9">
      <c r="A495" s="6"/>
      <c r="B495" s="6"/>
      <c r="C495" s="6"/>
      <c r="D495" s="6"/>
      <c r="E495" s="6"/>
      <c r="F495" s="6"/>
      <c r="G495" s="6"/>
      <c r="H495" s="6"/>
      <c r="I495" s="5"/>
    </row>
    <row r="496" spans="1:9">
      <c r="A496" s="6"/>
      <c r="B496" s="6"/>
      <c r="C496" s="6"/>
      <c r="D496" s="6"/>
      <c r="E496" s="6"/>
      <c r="F496" s="6"/>
      <c r="G496" s="6"/>
      <c r="H496" s="6"/>
      <c r="I496" s="5"/>
    </row>
    <row r="497" spans="1:9">
      <c r="A497" s="6"/>
      <c r="B497" s="6"/>
      <c r="C497" s="6"/>
      <c r="D497" s="6"/>
      <c r="E497" s="6"/>
      <c r="F497" s="6"/>
      <c r="G497" s="6"/>
      <c r="H497" s="6"/>
      <c r="I497" s="5"/>
    </row>
    <row r="498" spans="1:9">
      <c r="A498" s="6"/>
      <c r="B498" s="6"/>
      <c r="C498" s="6"/>
      <c r="D498" s="6"/>
      <c r="E498" s="6"/>
      <c r="F498" s="6"/>
      <c r="G498" s="6"/>
      <c r="H498" s="6"/>
      <c r="I498" s="5"/>
    </row>
    <row r="499" spans="1:9">
      <c r="A499" s="6"/>
      <c r="B499" s="6"/>
      <c r="C499" s="6"/>
      <c r="D499" s="6"/>
      <c r="E499" s="6"/>
      <c r="F499" s="6"/>
      <c r="G499" s="6"/>
      <c r="H499" s="6"/>
      <c r="I499" s="5"/>
    </row>
    <row r="500" spans="1:9">
      <c r="A500" s="6"/>
      <c r="B500" s="6"/>
      <c r="C500" s="6"/>
      <c r="D500" s="6"/>
      <c r="E500" s="6"/>
      <c r="F500" s="6"/>
      <c r="G500" s="6"/>
      <c r="H500" s="6"/>
      <c r="I500" s="5"/>
    </row>
    <row r="501" spans="1:9">
      <c r="A501" s="6"/>
      <c r="B501" s="6"/>
      <c r="C501" s="6"/>
      <c r="D501" s="6"/>
      <c r="E501" s="6"/>
      <c r="F501" s="6"/>
      <c r="G501" s="6"/>
      <c r="H501" s="6"/>
      <c r="I501" s="5"/>
    </row>
    <row r="502" spans="1:9">
      <c r="A502" s="6"/>
      <c r="B502" s="6"/>
      <c r="C502" s="6"/>
      <c r="D502" s="6"/>
      <c r="E502" s="6"/>
      <c r="F502" s="6"/>
      <c r="G502" s="6"/>
      <c r="H502" s="6"/>
      <c r="I502" s="5"/>
    </row>
    <row r="503" spans="1:9">
      <c r="A503" s="6"/>
      <c r="B503" s="6"/>
      <c r="C503" s="6"/>
      <c r="D503" s="6"/>
      <c r="E503" s="6"/>
      <c r="F503" s="6"/>
      <c r="G503" s="6"/>
      <c r="H503" s="6"/>
      <c r="I503" s="5"/>
    </row>
    <row r="504" spans="1:9">
      <c r="A504" s="6"/>
      <c r="B504" s="6"/>
      <c r="C504" s="6"/>
      <c r="D504" s="6"/>
      <c r="E504" s="6"/>
      <c r="F504" s="6"/>
      <c r="G504" s="6"/>
      <c r="H504" s="6"/>
      <c r="I504" s="5"/>
    </row>
    <row r="505" spans="1:9">
      <c r="A505" s="6"/>
      <c r="B505" s="6"/>
      <c r="C505" s="6"/>
      <c r="D505" s="6"/>
      <c r="E505" s="6"/>
      <c r="F505" s="6"/>
      <c r="G505" s="6"/>
      <c r="H505" s="6"/>
      <c r="I505" s="5"/>
    </row>
    <row r="506" spans="1:9">
      <c r="A506" s="6"/>
      <c r="B506" s="6"/>
      <c r="C506" s="6"/>
      <c r="D506" s="6"/>
      <c r="E506" s="6"/>
      <c r="F506" s="6"/>
      <c r="G506" s="6"/>
      <c r="H506" s="6"/>
      <c r="I506" s="5"/>
    </row>
    <row r="507" spans="1:9">
      <c r="A507" s="6"/>
      <c r="B507" s="6"/>
      <c r="C507" s="6"/>
      <c r="D507" s="6"/>
      <c r="E507" s="6"/>
      <c r="F507" s="6"/>
      <c r="G507" s="6"/>
      <c r="H507" s="6"/>
      <c r="I507" s="5"/>
    </row>
    <row r="508" spans="1:9">
      <c r="A508" s="6"/>
      <c r="B508" s="6"/>
      <c r="C508" s="6"/>
      <c r="D508" s="6"/>
      <c r="E508" s="6"/>
      <c r="F508" s="6"/>
      <c r="G508" s="6"/>
      <c r="H508" s="6"/>
      <c r="I508" s="5"/>
    </row>
    <row r="509" spans="1:9">
      <c r="A509" s="6"/>
      <c r="B509" s="6"/>
      <c r="C509" s="6"/>
      <c r="D509" s="6"/>
      <c r="E509" s="6"/>
      <c r="F509" s="6"/>
      <c r="G509" s="6"/>
      <c r="H509" s="6"/>
      <c r="I509" s="5"/>
    </row>
    <row r="510" spans="1:9">
      <c r="A510" s="6"/>
      <c r="B510" s="6"/>
      <c r="C510" s="6"/>
      <c r="D510" s="6"/>
      <c r="E510" s="6"/>
      <c r="F510" s="6"/>
      <c r="G510" s="6"/>
      <c r="H510" s="6"/>
      <c r="I510" s="5"/>
    </row>
    <row r="511" spans="1:9">
      <c r="A511" s="6"/>
      <c r="B511" s="6"/>
      <c r="C511" s="6"/>
      <c r="D511" s="6"/>
      <c r="E511" s="6"/>
      <c r="F511" s="6"/>
      <c r="G511" s="6"/>
      <c r="H511" s="6"/>
      <c r="I511" s="5"/>
    </row>
    <row r="512" spans="1:9">
      <c r="A512" s="6"/>
      <c r="B512" s="6"/>
      <c r="C512" s="6"/>
      <c r="D512" s="6"/>
      <c r="E512" s="6"/>
      <c r="F512" s="6"/>
      <c r="G512" s="6"/>
      <c r="H512" s="6"/>
      <c r="I512" s="5"/>
    </row>
    <row r="513" spans="1:9">
      <c r="A513" s="6"/>
      <c r="B513" s="6"/>
      <c r="C513" s="6"/>
      <c r="D513" s="6"/>
      <c r="E513" s="6"/>
      <c r="F513" s="6"/>
      <c r="G513" s="6"/>
      <c r="H513" s="6"/>
      <c r="I513" s="5"/>
    </row>
    <row r="514" spans="1:9">
      <c r="A514" s="6"/>
      <c r="B514" s="6"/>
      <c r="C514" s="6"/>
      <c r="D514" s="6"/>
      <c r="E514" s="6"/>
      <c r="F514" s="6"/>
      <c r="G514" s="6"/>
      <c r="H514" s="6"/>
      <c r="I514" s="5"/>
    </row>
    <row r="515" spans="1:9">
      <c r="A515" s="6"/>
      <c r="B515" s="6"/>
      <c r="C515" s="6"/>
      <c r="D515" s="6"/>
      <c r="E515" s="6"/>
      <c r="F515" s="6"/>
      <c r="G515" s="6"/>
      <c r="H515" s="6"/>
      <c r="I515" s="5"/>
    </row>
    <row r="516" spans="1:9">
      <c r="A516" s="6"/>
      <c r="B516" s="6"/>
      <c r="C516" s="6"/>
      <c r="D516" s="6"/>
      <c r="E516" s="6"/>
      <c r="F516" s="6"/>
      <c r="G516" s="6"/>
      <c r="H516" s="6"/>
      <c r="I516" s="5"/>
    </row>
    <row r="517" spans="1:9">
      <c r="A517" s="6"/>
      <c r="B517" s="6"/>
      <c r="C517" s="6"/>
      <c r="D517" s="6"/>
      <c r="E517" s="6"/>
      <c r="F517" s="6"/>
      <c r="G517" s="6"/>
      <c r="H517" s="6"/>
      <c r="I517" s="5"/>
    </row>
    <row r="518" spans="1:9">
      <c r="A518" s="6"/>
      <c r="B518" s="6"/>
      <c r="C518" s="6"/>
      <c r="D518" s="6"/>
      <c r="E518" s="6"/>
      <c r="F518" s="6"/>
      <c r="G518" s="6"/>
      <c r="H518" s="6"/>
      <c r="I518" s="5"/>
    </row>
    <row r="519" spans="1:9">
      <c r="A519" s="6"/>
      <c r="B519" s="6"/>
      <c r="C519" s="6"/>
      <c r="D519" s="6"/>
      <c r="E519" s="6"/>
      <c r="F519" s="6"/>
      <c r="G519" s="6"/>
      <c r="H519" s="6"/>
      <c r="I519" s="5"/>
    </row>
    <row r="520" spans="1:9">
      <c r="A520" s="6"/>
      <c r="B520" s="6"/>
      <c r="C520" s="6"/>
      <c r="D520" s="6"/>
      <c r="E520" s="6"/>
      <c r="F520" s="6"/>
      <c r="G520" s="6"/>
      <c r="H520" s="6"/>
      <c r="I520" s="5"/>
    </row>
    <row r="521" spans="1:9">
      <c r="A521" s="6"/>
      <c r="B521" s="6"/>
      <c r="C521" s="6"/>
      <c r="D521" s="6"/>
      <c r="E521" s="6"/>
      <c r="F521" s="6"/>
      <c r="G521" s="6"/>
      <c r="H521" s="6"/>
      <c r="I521" s="5"/>
    </row>
    <row r="522" spans="1:9">
      <c r="A522" s="6"/>
      <c r="B522" s="6"/>
      <c r="C522" s="6"/>
      <c r="D522" s="6"/>
      <c r="E522" s="6"/>
      <c r="F522" s="6"/>
      <c r="G522" s="6"/>
      <c r="H522" s="6"/>
      <c r="I522" s="5"/>
    </row>
    <row r="523" spans="1:9">
      <c r="A523" s="6"/>
      <c r="B523" s="6"/>
      <c r="C523" s="6"/>
      <c r="D523" s="6"/>
      <c r="E523" s="6"/>
      <c r="F523" s="6"/>
      <c r="G523" s="6"/>
      <c r="H523" s="6"/>
      <c r="I523" s="5"/>
    </row>
    <row r="524" spans="1:9">
      <c r="A524" s="6"/>
      <c r="B524" s="6"/>
      <c r="C524" s="6"/>
      <c r="D524" s="6"/>
      <c r="E524" s="6"/>
      <c r="F524" s="6"/>
      <c r="G524" s="6"/>
      <c r="H524" s="6"/>
      <c r="I524" s="5"/>
    </row>
    <row r="525" spans="1:9">
      <c r="A525" s="6"/>
      <c r="B525" s="6"/>
      <c r="C525" s="6"/>
      <c r="D525" s="6"/>
      <c r="E525" s="6"/>
      <c r="F525" s="6"/>
      <c r="G525" s="6"/>
      <c r="H525" s="6"/>
      <c r="I525" s="5"/>
    </row>
    <row r="526" spans="1:9">
      <c r="A526" s="6"/>
      <c r="B526" s="6"/>
      <c r="C526" s="6"/>
      <c r="D526" s="6"/>
      <c r="E526" s="6"/>
      <c r="F526" s="6"/>
      <c r="G526" s="6"/>
      <c r="H526" s="6"/>
      <c r="I526" s="5"/>
    </row>
    <row r="527" spans="1:9">
      <c r="A527" s="6"/>
      <c r="B527" s="6"/>
      <c r="C527" s="6"/>
      <c r="D527" s="6"/>
      <c r="E527" s="6"/>
      <c r="F527" s="6"/>
      <c r="G527" s="6"/>
      <c r="H527" s="6"/>
      <c r="I527" s="5"/>
    </row>
    <row r="528" spans="1:9">
      <c r="A528" s="6"/>
      <c r="B528" s="6"/>
      <c r="C528" s="6"/>
      <c r="D528" s="6"/>
      <c r="E528" s="6"/>
      <c r="F528" s="6"/>
      <c r="G528" s="6"/>
      <c r="H528" s="6"/>
      <c r="I528" s="5"/>
    </row>
    <row r="529" spans="1:9">
      <c r="A529" s="6"/>
      <c r="B529" s="6"/>
      <c r="C529" s="6"/>
      <c r="D529" s="6"/>
      <c r="E529" s="6"/>
      <c r="F529" s="6"/>
      <c r="G529" s="6"/>
      <c r="H529" s="6"/>
      <c r="I529" s="5"/>
    </row>
    <row r="530" spans="1:9">
      <c r="A530" s="6"/>
      <c r="B530" s="6"/>
      <c r="C530" s="6"/>
      <c r="D530" s="6"/>
      <c r="E530" s="6"/>
      <c r="F530" s="6"/>
      <c r="G530" s="6"/>
      <c r="H530" s="6"/>
      <c r="I530" s="5"/>
    </row>
    <row r="531" spans="1:9">
      <c r="A531" s="6"/>
      <c r="B531" s="6"/>
      <c r="C531" s="6"/>
      <c r="D531" s="6"/>
      <c r="E531" s="6"/>
      <c r="F531" s="6"/>
      <c r="G531" s="6"/>
      <c r="H531" s="6"/>
      <c r="I531" s="5"/>
    </row>
    <row r="532" spans="1:9">
      <c r="A532" s="6"/>
      <c r="B532" s="6"/>
      <c r="C532" s="6"/>
      <c r="D532" s="6"/>
      <c r="E532" s="6"/>
      <c r="F532" s="6"/>
      <c r="G532" s="6"/>
      <c r="H532" s="6"/>
      <c r="I532" s="5"/>
    </row>
    <row r="533" spans="1:9">
      <c r="A533" s="6"/>
      <c r="B533" s="6"/>
      <c r="C533" s="6"/>
      <c r="D533" s="6"/>
      <c r="E533" s="6"/>
      <c r="F533" s="6"/>
      <c r="G533" s="6"/>
      <c r="H533" s="6"/>
      <c r="I533" s="5"/>
    </row>
    <row r="534" spans="1:9">
      <c r="A534" s="6"/>
      <c r="B534" s="6"/>
      <c r="C534" s="6"/>
      <c r="D534" s="6"/>
      <c r="E534" s="6"/>
      <c r="F534" s="6"/>
      <c r="G534" s="6"/>
      <c r="H534" s="6"/>
      <c r="I534" s="5"/>
    </row>
    <row r="535" spans="1:9">
      <c r="A535" s="6"/>
      <c r="B535" s="6"/>
      <c r="C535" s="6"/>
      <c r="D535" s="6"/>
      <c r="E535" s="6"/>
      <c r="F535" s="6"/>
      <c r="G535" s="6"/>
      <c r="H535" s="6"/>
      <c r="I535" s="5"/>
    </row>
    <row r="536" spans="1:9">
      <c r="A536" s="6"/>
      <c r="B536" s="6"/>
      <c r="C536" s="6"/>
      <c r="D536" s="6"/>
      <c r="E536" s="6"/>
      <c r="F536" s="6"/>
      <c r="G536" s="6"/>
      <c r="H536" s="6"/>
      <c r="I536" s="5"/>
    </row>
    <row r="537" spans="1:9">
      <c r="A537" s="6"/>
      <c r="B537" s="6"/>
      <c r="C537" s="6"/>
      <c r="D537" s="6"/>
      <c r="E537" s="6"/>
      <c r="F537" s="6"/>
      <c r="G537" s="6"/>
      <c r="H537" s="6"/>
      <c r="I537" s="5"/>
    </row>
    <row r="538" spans="1:9">
      <c r="A538" s="6"/>
      <c r="B538" s="6"/>
      <c r="C538" s="6"/>
      <c r="D538" s="6"/>
      <c r="E538" s="6"/>
      <c r="F538" s="6"/>
      <c r="G538" s="6"/>
      <c r="H538" s="6"/>
      <c r="I538" s="5"/>
    </row>
    <row r="539" spans="1:9">
      <c r="A539" s="6"/>
      <c r="B539" s="6"/>
      <c r="C539" s="6"/>
      <c r="D539" s="6"/>
      <c r="E539" s="6"/>
      <c r="F539" s="6"/>
      <c r="G539" s="6"/>
      <c r="H539" s="6"/>
      <c r="I539" s="5"/>
    </row>
    <row r="540" spans="1:9">
      <c r="A540" s="6"/>
      <c r="B540" s="6"/>
      <c r="C540" s="6"/>
      <c r="D540" s="6"/>
      <c r="E540" s="6"/>
      <c r="F540" s="6"/>
      <c r="G540" s="6"/>
      <c r="H540" s="6"/>
      <c r="I540" s="5"/>
    </row>
    <row r="541" spans="1:9">
      <c r="A541" s="6"/>
      <c r="B541" s="6"/>
      <c r="C541" s="6"/>
      <c r="D541" s="6"/>
      <c r="E541" s="6"/>
      <c r="F541" s="6"/>
      <c r="G541" s="6"/>
      <c r="H541" s="6"/>
      <c r="I541" s="5"/>
    </row>
    <row r="542" spans="1:9">
      <c r="A542" s="6"/>
      <c r="B542" s="6"/>
      <c r="C542" s="6"/>
      <c r="D542" s="6"/>
      <c r="E542" s="6"/>
      <c r="F542" s="6"/>
      <c r="G542" s="6"/>
      <c r="H542" s="6"/>
      <c r="I542" s="5"/>
    </row>
    <row r="543" spans="1:9">
      <c r="A543" s="6"/>
      <c r="B543" s="6"/>
      <c r="C543" s="6"/>
      <c r="D543" s="6"/>
      <c r="E543" s="6"/>
      <c r="F543" s="6"/>
      <c r="G543" s="6"/>
      <c r="H543" s="6"/>
      <c r="I543" s="5"/>
    </row>
    <row r="544" spans="1:9">
      <c r="A544" s="6"/>
      <c r="B544" s="6"/>
      <c r="C544" s="6"/>
      <c r="D544" s="6"/>
      <c r="E544" s="6"/>
      <c r="F544" s="6"/>
      <c r="G544" s="6"/>
      <c r="H544" s="6"/>
      <c r="I544" s="5"/>
    </row>
    <row r="545" spans="1:9">
      <c r="A545" s="6"/>
      <c r="B545" s="6"/>
      <c r="C545" s="6"/>
      <c r="D545" s="6"/>
      <c r="E545" s="6"/>
      <c r="F545" s="6"/>
      <c r="G545" s="6"/>
      <c r="H545" s="6"/>
      <c r="I545" s="5"/>
    </row>
    <row r="546" spans="1:9">
      <c r="A546" s="6"/>
      <c r="B546" s="6"/>
      <c r="C546" s="6"/>
      <c r="D546" s="6"/>
      <c r="E546" s="6"/>
      <c r="F546" s="6"/>
      <c r="G546" s="6"/>
      <c r="H546" s="6"/>
      <c r="I546" s="5"/>
    </row>
    <row r="547" spans="1:9">
      <c r="A547" s="6"/>
      <c r="B547" s="6"/>
      <c r="C547" s="6"/>
      <c r="D547" s="6"/>
      <c r="E547" s="6"/>
      <c r="F547" s="6"/>
      <c r="G547" s="6"/>
      <c r="H547" s="6"/>
      <c r="I547" s="5"/>
    </row>
    <row r="548" spans="1:9">
      <c r="A548" s="6"/>
      <c r="B548" s="6"/>
      <c r="C548" s="6"/>
      <c r="D548" s="6"/>
      <c r="E548" s="6"/>
      <c r="F548" s="6"/>
      <c r="G548" s="6"/>
      <c r="H548" s="6"/>
      <c r="I548" s="5"/>
    </row>
    <row r="549" spans="1:9">
      <c r="A549" s="6"/>
      <c r="B549" s="6"/>
      <c r="C549" s="6"/>
      <c r="D549" s="6"/>
      <c r="E549" s="6"/>
      <c r="F549" s="6"/>
      <c r="G549" s="6"/>
      <c r="H549" s="6"/>
      <c r="I549" s="5"/>
    </row>
    <row r="550" spans="1:9">
      <c r="A550" s="6"/>
      <c r="B550" s="6"/>
      <c r="C550" s="6"/>
      <c r="D550" s="6"/>
      <c r="E550" s="6"/>
      <c r="F550" s="6"/>
      <c r="G550" s="6"/>
      <c r="H550" s="6"/>
      <c r="I550" s="5"/>
    </row>
    <row r="551" spans="1:9">
      <c r="A551" s="6"/>
      <c r="B551" s="6"/>
      <c r="C551" s="6"/>
      <c r="D551" s="6"/>
      <c r="E551" s="6"/>
      <c r="F551" s="6"/>
      <c r="G551" s="6"/>
      <c r="H551" s="6"/>
      <c r="I551" s="5"/>
    </row>
    <row r="552" spans="1:9">
      <c r="A552" s="6"/>
      <c r="B552" s="6"/>
      <c r="C552" s="6"/>
      <c r="D552" s="6"/>
      <c r="E552" s="6"/>
      <c r="F552" s="6"/>
      <c r="G552" s="6"/>
      <c r="H552" s="6"/>
      <c r="I552" s="5"/>
    </row>
    <row r="553" spans="1:9">
      <c r="A553" s="6"/>
      <c r="B553" s="6"/>
      <c r="C553" s="6"/>
      <c r="D553" s="6"/>
      <c r="E553" s="6"/>
      <c r="F553" s="6"/>
      <c r="G553" s="6"/>
      <c r="H553" s="6"/>
      <c r="I553" s="5"/>
    </row>
    <row r="554" spans="1:9">
      <c r="A554" s="6"/>
      <c r="B554" s="6"/>
      <c r="C554" s="6"/>
      <c r="D554" s="6"/>
      <c r="E554" s="6"/>
      <c r="F554" s="6"/>
      <c r="G554" s="6"/>
      <c r="H554" s="6"/>
      <c r="I554" s="5"/>
    </row>
    <row r="555" spans="1:9">
      <c r="A555" s="6"/>
      <c r="B555" s="6"/>
      <c r="C555" s="6"/>
      <c r="D555" s="6"/>
      <c r="E555" s="6"/>
      <c r="F555" s="6"/>
      <c r="G555" s="6"/>
      <c r="H555" s="6"/>
      <c r="I555" s="5"/>
    </row>
    <row r="556" spans="1:9">
      <c r="A556" s="6"/>
      <c r="B556" s="6"/>
      <c r="C556" s="6"/>
      <c r="D556" s="6"/>
      <c r="E556" s="6"/>
      <c r="F556" s="6"/>
      <c r="G556" s="6"/>
      <c r="H556" s="6"/>
      <c r="I556" s="5"/>
    </row>
    <row r="557" spans="1:9">
      <c r="A557" s="6"/>
      <c r="B557" s="6"/>
      <c r="C557" s="6"/>
      <c r="D557" s="6"/>
      <c r="E557" s="6"/>
      <c r="F557" s="6"/>
      <c r="G557" s="6"/>
      <c r="H557" s="6"/>
      <c r="I557" s="5"/>
    </row>
    <row r="558" spans="1:9">
      <c r="A558" s="6"/>
      <c r="B558" s="6"/>
      <c r="C558" s="6"/>
      <c r="D558" s="6"/>
      <c r="E558" s="6"/>
      <c r="F558" s="6"/>
      <c r="G558" s="6"/>
      <c r="H558" s="6"/>
      <c r="I558" s="5"/>
    </row>
    <row r="559" spans="1:9">
      <c r="A559" s="6"/>
      <c r="B559" s="6"/>
      <c r="C559" s="6"/>
      <c r="D559" s="6"/>
      <c r="E559" s="6"/>
      <c r="F559" s="6"/>
      <c r="G559" s="6"/>
      <c r="H559" s="6"/>
      <c r="I559" s="5"/>
    </row>
    <row r="560" spans="1:9">
      <c r="A560" s="6"/>
      <c r="B560" s="6"/>
      <c r="C560" s="6"/>
      <c r="D560" s="6"/>
      <c r="E560" s="6"/>
      <c r="F560" s="6"/>
      <c r="G560" s="6"/>
      <c r="H560" s="6"/>
      <c r="I560" s="5"/>
    </row>
    <row r="561" spans="1:9">
      <c r="A561" s="6"/>
      <c r="B561" s="6"/>
      <c r="C561" s="6"/>
      <c r="D561" s="6"/>
      <c r="E561" s="6"/>
      <c r="F561" s="6"/>
      <c r="G561" s="6"/>
      <c r="H561" s="6"/>
      <c r="I561" s="5"/>
    </row>
    <row r="562" spans="1:9">
      <c r="A562" s="6"/>
      <c r="B562" s="6"/>
      <c r="C562" s="6"/>
      <c r="D562" s="6"/>
      <c r="E562" s="6"/>
      <c r="F562" s="6"/>
      <c r="G562" s="6"/>
      <c r="H562" s="6"/>
      <c r="I562" s="5"/>
    </row>
    <row r="563" spans="1:9">
      <c r="A563" s="6"/>
      <c r="B563" s="6"/>
      <c r="C563" s="6"/>
      <c r="D563" s="6"/>
      <c r="E563" s="6"/>
      <c r="F563" s="6"/>
      <c r="G563" s="6"/>
      <c r="H563" s="6"/>
      <c r="I563" s="5"/>
    </row>
    <row r="564" spans="1:9">
      <c r="A564" s="6"/>
      <c r="B564" s="6"/>
      <c r="C564" s="6"/>
      <c r="D564" s="6"/>
      <c r="E564" s="6"/>
      <c r="F564" s="6"/>
      <c r="G564" s="6"/>
      <c r="H564" s="6"/>
      <c r="I564" s="5"/>
    </row>
    <row r="565" spans="1:9">
      <c r="A565" s="6"/>
      <c r="B565" s="6"/>
      <c r="C565" s="6"/>
      <c r="D565" s="6"/>
      <c r="E565" s="6"/>
      <c r="F565" s="6"/>
      <c r="G565" s="6"/>
      <c r="H565" s="6"/>
      <c r="I565" s="5"/>
    </row>
    <row r="566" spans="1:9">
      <c r="A566" s="6"/>
      <c r="B566" s="6"/>
      <c r="C566" s="6"/>
      <c r="D566" s="6"/>
      <c r="E566" s="6"/>
      <c r="F566" s="6"/>
      <c r="G566" s="6"/>
      <c r="H566" s="6"/>
      <c r="I566" s="5"/>
    </row>
    <row r="567" spans="1:9">
      <c r="A567" s="6"/>
      <c r="B567" s="6"/>
      <c r="C567" s="6"/>
      <c r="D567" s="6"/>
      <c r="E567" s="6"/>
      <c r="F567" s="6"/>
      <c r="G567" s="6"/>
      <c r="H567" s="6"/>
      <c r="I567" s="5"/>
    </row>
    <row r="568" spans="1:9">
      <c r="A568" s="6"/>
      <c r="B568" s="6"/>
      <c r="C568" s="6"/>
      <c r="D568" s="6"/>
      <c r="E568" s="6"/>
      <c r="F568" s="6"/>
      <c r="G568" s="6"/>
      <c r="H568" s="6"/>
      <c r="I568" s="5"/>
    </row>
    <row r="569" spans="1:9">
      <c r="A569" s="6"/>
      <c r="B569" s="6"/>
      <c r="C569" s="6"/>
      <c r="D569" s="6"/>
      <c r="E569" s="6"/>
      <c r="F569" s="6"/>
      <c r="G569" s="6"/>
      <c r="H569" s="6"/>
      <c r="I569" s="5"/>
    </row>
    <row r="570" spans="1:9">
      <c r="A570" s="6"/>
      <c r="B570" s="6"/>
      <c r="C570" s="6"/>
      <c r="D570" s="6"/>
      <c r="E570" s="6"/>
      <c r="F570" s="6"/>
      <c r="G570" s="6"/>
      <c r="H570" s="6"/>
      <c r="I570" s="5"/>
    </row>
    <row r="571" spans="1:9">
      <c r="A571" s="6"/>
      <c r="B571" s="6"/>
      <c r="C571" s="6"/>
      <c r="D571" s="6"/>
      <c r="E571" s="6"/>
      <c r="F571" s="6"/>
      <c r="G571" s="6"/>
      <c r="H571" s="6"/>
      <c r="I571" s="5"/>
    </row>
    <row r="572" spans="1:9">
      <c r="A572" s="6"/>
      <c r="B572" s="6"/>
      <c r="C572" s="6"/>
      <c r="D572" s="6"/>
      <c r="E572" s="6"/>
      <c r="F572" s="6"/>
      <c r="G572" s="6"/>
      <c r="H572" s="6"/>
      <c r="I572" s="5"/>
    </row>
    <row r="573" spans="1:9">
      <c r="A573" s="6"/>
      <c r="B573" s="6"/>
      <c r="C573" s="6"/>
      <c r="D573" s="6"/>
      <c r="E573" s="6"/>
      <c r="F573" s="6"/>
      <c r="G573" s="6"/>
      <c r="H573" s="6"/>
      <c r="I573" s="5"/>
    </row>
    <row r="574" spans="1:9">
      <c r="A574" s="6"/>
      <c r="B574" s="6"/>
      <c r="C574" s="6"/>
      <c r="D574" s="6"/>
      <c r="E574" s="6"/>
      <c r="F574" s="6"/>
      <c r="G574" s="6"/>
      <c r="H574" s="6"/>
      <c r="I574" s="5"/>
    </row>
    <row r="575" spans="1:9">
      <c r="A575" s="6"/>
      <c r="B575" s="6"/>
      <c r="C575" s="6"/>
      <c r="D575" s="6"/>
      <c r="E575" s="6"/>
      <c r="F575" s="6"/>
      <c r="G575" s="6"/>
      <c r="H575" s="6"/>
      <c r="I575" s="5"/>
    </row>
    <row r="576" spans="1:9">
      <c r="A576" s="6"/>
      <c r="B576" s="6"/>
      <c r="C576" s="6"/>
      <c r="D576" s="6"/>
      <c r="E576" s="6"/>
      <c r="F576" s="6"/>
      <c r="G576" s="6"/>
      <c r="H576" s="6"/>
      <c r="I576" s="5"/>
    </row>
    <row r="577" spans="1:9">
      <c r="A577" s="6"/>
      <c r="B577" s="6"/>
      <c r="C577" s="6"/>
      <c r="D577" s="6"/>
      <c r="E577" s="6"/>
      <c r="F577" s="6"/>
      <c r="G577" s="6"/>
      <c r="H577" s="6"/>
      <c r="I577" s="5"/>
    </row>
    <row r="578" spans="1:9">
      <c r="A578" s="6"/>
      <c r="B578" s="6"/>
      <c r="C578" s="6"/>
      <c r="D578" s="6"/>
      <c r="E578" s="6"/>
      <c r="F578" s="6"/>
      <c r="G578" s="6"/>
      <c r="H578" s="6"/>
      <c r="I578" s="5"/>
    </row>
    <row r="579" spans="1:9">
      <c r="A579" s="6"/>
      <c r="B579" s="6"/>
      <c r="C579" s="6"/>
      <c r="D579" s="6"/>
      <c r="E579" s="6"/>
      <c r="F579" s="6"/>
      <c r="G579" s="6"/>
      <c r="H579" s="6"/>
      <c r="I579" s="5"/>
    </row>
    <row r="580" spans="1:9">
      <c r="A580" s="6"/>
      <c r="B580" s="6"/>
      <c r="C580" s="6"/>
      <c r="D580" s="6"/>
      <c r="E580" s="6"/>
      <c r="F580" s="6"/>
      <c r="G580" s="6"/>
      <c r="H580" s="6"/>
      <c r="I580" s="5"/>
    </row>
    <row r="581" spans="1:9">
      <c r="A581" s="6"/>
      <c r="B581" s="6"/>
      <c r="C581" s="6"/>
      <c r="D581" s="6"/>
      <c r="E581" s="6"/>
      <c r="F581" s="6"/>
      <c r="G581" s="6"/>
      <c r="H581" s="6"/>
      <c r="I581" s="5"/>
    </row>
    <row r="582" spans="1:9">
      <c r="A582" s="6"/>
      <c r="B582" s="6"/>
      <c r="C582" s="6"/>
      <c r="D582" s="6"/>
      <c r="E582" s="6"/>
      <c r="F582" s="6"/>
      <c r="G582" s="6"/>
      <c r="H582" s="6"/>
      <c r="I582" s="5"/>
    </row>
    <row r="583" spans="1:9">
      <c r="A583" s="6"/>
      <c r="B583" s="6"/>
      <c r="C583" s="6"/>
      <c r="D583" s="6"/>
      <c r="E583" s="6"/>
      <c r="F583" s="6"/>
      <c r="G583" s="6"/>
      <c r="H583" s="6"/>
      <c r="I583" s="5"/>
    </row>
    <row r="584" spans="1:9">
      <c r="A584" s="6"/>
      <c r="B584" s="6"/>
      <c r="C584" s="6"/>
      <c r="D584" s="6"/>
      <c r="E584" s="6"/>
      <c r="F584" s="6"/>
      <c r="G584" s="6"/>
      <c r="H584" s="6"/>
      <c r="I584" s="5"/>
    </row>
    <row r="585" spans="1:9">
      <c r="A585" s="6"/>
      <c r="B585" s="6"/>
      <c r="C585" s="6"/>
      <c r="D585" s="6"/>
      <c r="E585" s="6"/>
      <c r="F585" s="6"/>
      <c r="G585" s="6"/>
      <c r="H585" s="6"/>
      <c r="I585" s="5"/>
    </row>
    <row r="586" spans="1:9">
      <c r="A586" s="6"/>
      <c r="B586" s="6"/>
      <c r="C586" s="6"/>
      <c r="D586" s="6"/>
      <c r="E586" s="6"/>
      <c r="F586" s="6"/>
      <c r="G586" s="6"/>
      <c r="H586" s="6"/>
      <c r="I586" s="5"/>
    </row>
    <row r="587" spans="1:9">
      <c r="A587" s="6"/>
      <c r="B587" s="6"/>
      <c r="C587" s="6"/>
      <c r="D587" s="6"/>
      <c r="E587" s="6"/>
      <c r="F587" s="6"/>
      <c r="G587" s="6"/>
      <c r="H587" s="6"/>
      <c r="I587" s="5"/>
    </row>
    <row r="588" spans="1:9">
      <c r="A588" s="6"/>
      <c r="B588" s="6"/>
      <c r="C588" s="6"/>
      <c r="D588" s="6"/>
      <c r="E588" s="6"/>
      <c r="F588" s="6"/>
      <c r="G588" s="6"/>
      <c r="H588" s="6"/>
      <c r="I588" s="5"/>
    </row>
    <row r="589" spans="1:9">
      <c r="A589" s="6"/>
      <c r="B589" s="6"/>
      <c r="C589" s="6"/>
      <c r="D589" s="6"/>
      <c r="E589" s="6"/>
      <c r="F589" s="6"/>
      <c r="G589" s="6"/>
      <c r="H589" s="6"/>
      <c r="I589" s="5"/>
    </row>
    <row r="590" spans="1:9">
      <c r="A590" s="6"/>
      <c r="B590" s="6"/>
      <c r="C590" s="6"/>
      <c r="D590" s="6"/>
      <c r="E590" s="6"/>
      <c r="F590" s="6"/>
      <c r="G590" s="6"/>
      <c r="H590" s="6"/>
      <c r="I590" s="5"/>
    </row>
    <row r="591" spans="1:9">
      <c r="A591" s="6"/>
      <c r="B591" s="6"/>
      <c r="C591" s="6"/>
      <c r="D591" s="6"/>
      <c r="E591" s="6"/>
      <c r="F591" s="6"/>
      <c r="G591" s="6"/>
      <c r="H591" s="6"/>
      <c r="I591" s="5"/>
    </row>
    <row r="592" spans="1:9">
      <c r="A592" s="6"/>
      <c r="B592" s="6"/>
      <c r="C592" s="6"/>
      <c r="D592" s="6"/>
      <c r="E592" s="6"/>
      <c r="F592" s="6"/>
      <c r="G592" s="6"/>
      <c r="H592" s="6"/>
      <c r="I592" s="5"/>
    </row>
    <row r="593" spans="1:9">
      <c r="A593" s="6"/>
      <c r="B593" s="6"/>
      <c r="C593" s="6"/>
      <c r="D593" s="6"/>
      <c r="E593" s="6"/>
      <c r="F593" s="6"/>
      <c r="G593" s="6"/>
      <c r="H593" s="6"/>
      <c r="I593" s="5"/>
    </row>
    <row r="594" spans="1:9">
      <c r="A594" s="6"/>
      <c r="B594" s="6"/>
      <c r="C594" s="6"/>
      <c r="D594" s="6"/>
      <c r="E594" s="6"/>
      <c r="F594" s="6"/>
      <c r="G594" s="6"/>
      <c r="H594" s="6"/>
      <c r="I594" s="5"/>
    </row>
    <row r="595" spans="1:9">
      <c r="A595" s="6"/>
      <c r="B595" s="6"/>
      <c r="C595" s="6"/>
      <c r="D595" s="6"/>
      <c r="E595" s="6"/>
      <c r="F595" s="6"/>
      <c r="G595" s="6"/>
      <c r="H595" s="6"/>
      <c r="I595" s="5"/>
    </row>
    <row r="596" spans="1:9">
      <c r="A596" s="6"/>
      <c r="B596" s="6"/>
      <c r="C596" s="6"/>
      <c r="D596" s="6"/>
      <c r="E596" s="6"/>
      <c r="F596" s="6"/>
      <c r="G596" s="6"/>
      <c r="H596" s="6"/>
      <c r="I596" s="5"/>
    </row>
    <row r="597" spans="1:9">
      <c r="A597" s="6"/>
      <c r="B597" s="6"/>
      <c r="C597" s="6"/>
      <c r="D597" s="6"/>
      <c r="E597" s="6"/>
      <c r="F597" s="6"/>
      <c r="G597" s="6"/>
      <c r="H597" s="6"/>
      <c r="I597" s="5"/>
    </row>
    <row r="598" spans="1:9">
      <c r="A598" s="6"/>
      <c r="B598" s="6"/>
      <c r="C598" s="6"/>
      <c r="D598" s="6"/>
      <c r="E598" s="6"/>
      <c r="F598" s="6"/>
      <c r="G598" s="6"/>
      <c r="H598" s="6"/>
      <c r="I598" s="5"/>
    </row>
    <row r="599" spans="1:9">
      <c r="A599" s="6"/>
      <c r="B599" s="6"/>
      <c r="C599" s="6"/>
      <c r="D599" s="6"/>
      <c r="E599" s="6"/>
      <c r="F599" s="6"/>
      <c r="G599" s="6"/>
      <c r="H599" s="6"/>
      <c r="I599" s="5"/>
    </row>
    <row r="600" spans="1:9">
      <c r="A600" s="6"/>
      <c r="B600" s="6"/>
      <c r="C600" s="6"/>
      <c r="D600" s="6"/>
      <c r="E600" s="6"/>
      <c r="F600" s="6"/>
      <c r="G600" s="6"/>
      <c r="H600" s="6"/>
      <c r="I600" s="5"/>
    </row>
    <row r="601" spans="1:9">
      <c r="A601" s="6"/>
      <c r="B601" s="6"/>
      <c r="C601" s="6"/>
      <c r="D601" s="6"/>
      <c r="E601" s="6"/>
      <c r="F601" s="6"/>
      <c r="G601" s="6"/>
      <c r="H601" s="6"/>
      <c r="I601" s="5"/>
    </row>
    <row r="602" spans="1:9">
      <c r="A602" s="6"/>
      <c r="B602" s="6"/>
      <c r="C602" s="6"/>
      <c r="D602" s="6"/>
      <c r="E602" s="6"/>
      <c r="F602" s="6"/>
      <c r="G602" s="6"/>
      <c r="H602" s="6"/>
      <c r="I602" s="5"/>
    </row>
    <row r="603" spans="1:9">
      <c r="A603" s="6"/>
      <c r="B603" s="6"/>
      <c r="C603" s="6"/>
      <c r="D603" s="6"/>
      <c r="E603" s="6"/>
      <c r="F603" s="6"/>
      <c r="G603" s="6"/>
      <c r="H603" s="6"/>
      <c r="I603" s="5"/>
    </row>
    <row r="604" spans="1:9">
      <c r="A604" s="6"/>
      <c r="B604" s="6"/>
      <c r="C604" s="6"/>
      <c r="D604" s="6"/>
      <c r="E604" s="6"/>
      <c r="F604" s="6"/>
      <c r="G604" s="6"/>
      <c r="H604" s="6"/>
      <c r="I604" s="5"/>
    </row>
    <row r="605" spans="1:9">
      <c r="A605" s="6"/>
      <c r="B605" s="6"/>
      <c r="C605" s="6"/>
      <c r="D605" s="6"/>
      <c r="E605" s="6"/>
      <c r="F605" s="6"/>
      <c r="G605" s="6"/>
      <c r="H605" s="6"/>
      <c r="I605" s="5"/>
    </row>
    <row r="606" spans="1:9">
      <c r="A606" s="6"/>
      <c r="B606" s="6"/>
      <c r="C606" s="6"/>
      <c r="D606" s="6"/>
      <c r="E606" s="6"/>
      <c r="F606" s="6"/>
      <c r="G606" s="6"/>
      <c r="H606" s="6"/>
      <c r="I606" s="5"/>
    </row>
    <row r="607" spans="1:9">
      <c r="A607" s="6"/>
      <c r="B607" s="6"/>
      <c r="C607" s="6"/>
      <c r="D607" s="6"/>
      <c r="E607" s="6"/>
      <c r="F607" s="6"/>
      <c r="G607" s="6"/>
      <c r="H607" s="6"/>
      <c r="I607" s="5"/>
    </row>
    <row r="608" spans="1:9">
      <c r="A608" s="6"/>
      <c r="B608" s="6"/>
      <c r="C608" s="6"/>
      <c r="D608" s="6"/>
      <c r="E608" s="6"/>
      <c r="F608" s="6"/>
      <c r="G608" s="6"/>
      <c r="H608" s="6"/>
      <c r="I608" s="5"/>
    </row>
    <row r="609" spans="1:9">
      <c r="A609" s="6"/>
      <c r="B609" s="6"/>
      <c r="C609" s="6"/>
      <c r="D609" s="6"/>
      <c r="E609" s="6"/>
      <c r="F609" s="6"/>
      <c r="G609" s="6"/>
      <c r="H609" s="6"/>
      <c r="I609" s="5"/>
    </row>
    <row r="610" spans="1:9">
      <c r="A610" s="6"/>
      <c r="B610" s="6"/>
      <c r="C610" s="6"/>
      <c r="D610" s="6"/>
      <c r="E610" s="6"/>
      <c r="F610" s="6"/>
      <c r="G610" s="6"/>
      <c r="H610" s="6"/>
      <c r="I610" s="5"/>
    </row>
    <row r="611" spans="1:9">
      <c r="A611" s="6"/>
      <c r="B611" s="6"/>
      <c r="C611" s="6"/>
      <c r="D611" s="6"/>
      <c r="E611" s="6"/>
      <c r="F611" s="6"/>
      <c r="G611" s="6"/>
      <c r="H611" s="6"/>
      <c r="I611" s="5"/>
    </row>
    <row r="612" spans="1:9">
      <c r="A612" s="6"/>
      <c r="B612" s="6"/>
      <c r="C612" s="6"/>
      <c r="D612" s="6"/>
      <c r="E612" s="6"/>
      <c r="F612" s="6"/>
      <c r="G612" s="6"/>
      <c r="H612" s="6"/>
      <c r="I612" s="5"/>
    </row>
    <row r="613" spans="1:9">
      <c r="A613" s="6"/>
      <c r="B613" s="6"/>
      <c r="C613" s="6"/>
      <c r="D613" s="6"/>
      <c r="E613" s="6"/>
      <c r="F613" s="6"/>
      <c r="G613" s="6"/>
      <c r="H613" s="6"/>
      <c r="I613" s="5"/>
    </row>
    <row r="614" spans="1:9">
      <c r="A614" s="6"/>
      <c r="B614" s="6"/>
      <c r="C614" s="6"/>
      <c r="D614" s="6"/>
      <c r="E614" s="6"/>
      <c r="F614" s="6"/>
      <c r="G614" s="6"/>
      <c r="H614" s="6"/>
      <c r="I614" s="5"/>
    </row>
    <row r="615" spans="1:9">
      <c r="A615" s="6"/>
      <c r="B615" s="6"/>
      <c r="C615" s="6"/>
      <c r="D615" s="6"/>
      <c r="E615" s="6"/>
      <c r="F615" s="6"/>
      <c r="G615" s="6"/>
      <c r="H615" s="6"/>
      <c r="I615" s="5"/>
    </row>
    <row r="616" spans="1:9">
      <c r="A616" s="6"/>
      <c r="B616" s="6"/>
      <c r="C616" s="6"/>
      <c r="D616" s="6"/>
      <c r="E616" s="6"/>
      <c r="F616" s="6"/>
      <c r="G616" s="6"/>
      <c r="H616" s="6"/>
      <c r="I616" s="5"/>
    </row>
    <row r="617" spans="1:9">
      <c r="A617" s="6"/>
      <c r="B617" s="6"/>
      <c r="C617" s="6"/>
      <c r="D617" s="6"/>
      <c r="E617" s="6"/>
      <c r="F617" s="6"/>
      <c r="G617" s="6"/>
      <c r="H617" s="6"/>
      <c r="I617" s="5"/>
    </row>
    <row r="618" spans="1:9">
      <c r="A618" s="6"/>
      <c r="B618" s="6"/>
      <c r="C618" s="6"/>
      <c r="D618" s="6"/>
      <c r="E618" s="6"/>
      <c r="F618" s="6"/>
      <c r="G618" s="6"/>
      <c r="H618" s="6"/>
      <c r="I618" s="5"/>
    </row>
    <row r="619" spans="1:9">
      <c r="A619" s="6"/>
      <c r="B619" s="6"/>
      <c r="C619" s="6"/>
      <c r="D619" s="6"/>
      <c r="E619" s="6"/>
      <c r="F619" s="6"/>
      <c r="G619" s="6"/>
      <c r="H619" s="6"/>
      <c r="I619" s="5"/>
    </row>
    <row r="620" spans="1:9">
      <c r="A620" s="6"/>
      <c r="B620" s="6"/>
      <c r="C620" s="6"/>
      <c r="D620" s="6"/>
      <c r="E620" s="6"/>
      <c r="F620" s="6"/>
      <c r="G620" s="6"/>
      <c r="H620" s="6"/>
      <c r="I620" s="5"/>
    </row>
    <row r="621" spans="1:9">
      <c r="A621" s="6"/>
      <c r="B621" s="6"/>
      <c r="C621" s="6"/>
      <c r="D621" s="6"/>
      <c r="E621" s="6"/>
      <c r="F621" s="6"/>
      <c r="G621" s="6"/>
      <c r="H621" s="6"/>
      <c r="I621" s="5"/>
    </row>
    <row r="622" spans="1:9">
      <c r="A622" s="6"/>
      <c r="B622" s="6"/>
      <c r="C622" s="6"/>
      <c r="D622" s="6"/>
      <c r="E622" s="6"/>
      <c r="F622" s="6"/>
      <c r="G622" s="6"/>
      <c r="H622" s="6"/>
      <c r="I622" s="5"/>
    </row>
    <row r="623" spans="1:9">
      <c r="A623" s="6"/>
      <c r="B623" s="6"/>
      <c r="C623" s="6"/>
      <c r="D623" s="6"/>
      <c r="E623" s="6"/>
      <c r="F623" s="6"/>
      <c r="G623" s="6"/>
      <c r="H623" s="6"/>
      <c r="I623" s="5"/>
    </row>
    <row r="624" spans="1:9">
      <c r="A624" s="6"/>
      <c r="B624" s="6"/>
      <c r="C624" s="6"/>
      <c r="D624" s="6"/>
      <c r="E624" s="6"/>
      <c r="F624" s="6"/>
      <c r="G624" s="6"/>
      <c r="H624" s="6"/>
      <c r="I624" s="5"/>
    </row>
    <row r="625" spans="1:9">
      <c r="A625" s="6"/>
      <c r="B625" s="6"/>
      <c r="C625" s="6"/>
      <c r="D625" s="6"/>
      <c r="E625" s="6"/>
      <c r="F625" s="6"/>
      <c r="G625" s="6"/>
      <c r="H625" s="6"/>
      <c r="I625" s="5"/>
    </row>
    <row r="626" spans="1:9">
      <c r="A626" s="6"/>
      <c r="B626" s="6"/>
      <c r="C626" s="6"/>
      <c r="D626" s="6"/>
      <c r="E626" s="6"/>
      <c r="F626" s="6"/>
      <c r="G626" s="6"/>
      <c r="H626" s="6"/>
      <c r="I626" s="5"/>
    </row>
    <row r="627" spans="1:9">
      <c r="A627" s="6"/>
      <c r="B627" s="6"/>
      <c r="C627" s="6"/>
      <c r="D627" s="6"/>
      <c r="E627" s="6"/>
      <c r="F627" s="6"/>
      <c r="G627" s="6"/>
      <c r="H627" s="6"/>
      <c r="I627" s="5"/>
    </row>
    <row r="628" spans="1:9">
      <c r="A628" s="6"/>
      <c r="B628" s="6"/>
      <c r="C628" s="6"/>
      <c r="D628" s="6"/>
      <c r="E628" s="6"/>
      <c r="F628" s="6"/>
      <c r="G628" s="6"/>
      <c r="H628" s="6"/>
      <c r="I628" s="5"/>
    </row>
    <row r="629" spans="1:9">
      <c r="A629" s="6"/>
      <c r="B629" s="6"/>
      <c r="C629" s="6"/>
      <c r="D629" s="6"/>
      <c r="E629" s="6"/>
      <c r="F629" s="6"/>
      <c r="G629" s="6"/>
      <c r="H629" s="6"/>
      <c r="I629" s="5"/>
    </row>
    <row r="630" spans="1:9">
      <c r="A630" s="6"/>
      <c r="B630" s="6"/>
      <c r="C630" s="6"/>
      <c r="D630" s="6"/>
      <c r="E630" s="6"/>
      <c r="F630" s="6"/>
      <c r="G630" s="6"/>
      <c r="H630" s="6"/>
      <c r="I630" s="5"/>
    </row>
    <row r="631" spans="1:9">
      <c r="A631" s="6"/>
      <c r="B631" s="6"/>
      <c r="C631" s="6"/>
      <c r="D631" s="6"/>
      <c r="E631" s="6"/>
      <c r="F631" s="6"/>
      <c r="G631" s="6"/>
      <c r="H631" s="6"/>
      <c r="I631" s="5"/>
    </row>
    <row r="632" spans="1:9">
      <c r="A632" s="6"/>
      <c r="B632" s="6"/>
      <c r="C632" s="6"/>
      <c r="D632" s="6"/>
      <c r="E632" s="6"/>
      <c r="F632" s="6"/>
      <c r="G632" s="6"/>
      <c r="H632" s="6"/>
      <c r="I632" s="5"/>
    </row>
    <row r="633" spans="1:9">
      <c r="A633" s="6"/>
      <c r="B633" s="6"/>
      <c r="C633" s="6"/>
      <c r="D633" s="6"/>
      <c r="E633" s="6"/>
      <c r="F633" s="6"/>
      <c r="G633" s="6"/>
      <c r="H633" s="6"/>
      <c r="I633" s="5"/>
    </row>
    <row r="634" spans="1:9">
      <c r="A634" s="6"/>
      <c r="B634" s="6"/>
      <c r="C634" s="6"/>
      <c r="D634" s="6"/>
      <c r="E634" s="6"/>
      <c r="F634" s="6"/>
      <c r="G634" s="6"/>
      <c r="H634" s="6"/>
      <c r="I634" s="5"/>
    </row>
    <row r="635" spans="1:9">
      <c r="A635" s="6"/>
      <c r="B635" s="6"/>
      <c r="C635" s="6"/>
      <c r="D635" s="6"/>
      <c r="E635" s="6"/>
      <c r="F635" s="6"/>
      <c r="G635" s="6"/>
      <c r="H635" s="6"/>
      <c r="I635" s="5"/>
    </row>
    <row r="636" spans="1:9">
      <c r="A636" s="6"/>
      <c r="B636" s="6"/>
      <c r="C636" s="6"/>
      <c r="D636" s="6"/>
      <c r="E636" s="6"/>
      <c r="F636" s="6"/>
      <c r="G636" s="6"/>
      <c r="H636" s="6"/>
      <c r="I636" s="5"/>
    </row>
    <row r="637" spans="1:9">
      <c r="A637" s="6"/>
      <c r="B637" s="6"/>
      <c r="C637" s="6"/>
      <c r="D637" s="6"/>
      <c r="E637" s="6"/>
      <c r="F637" s="6"/>
      <c r="G637" s="6"/>
      <c r="H637" s="6"/>
      <c r="I637" s="5"/>
    </row>
    <row r="638" spans="1:8">
      <c r="A638" s="6"/>
      <c r="B638" s="6"/>
      <c r="C638" s="6"/>
      <c r="D638" s="6"/>
      <c r="E638" s="6"/>
      <c r="F638" s="6"/>
      <c r="G638" s="6"/>
      <c r="H638" s="6"/>
    </row>
    <row r="639" spans="1:8">
      <c r="A639" s="6"/>
      <c r="B639" s="6"/>
      <c r="C639" s="6"/>
      <c r="D639" s="6"/>
      <c r="E639" s="6"/>
      <c r="F639" s="6"/>
      <c r="G639" s="6"/>
      <c r="H639" s="6"/>
    </row>
    <row r="640" spans="1:8">
      <c r="A640" s="6"/>
      <c r="B640" s="6"/>
      <c r="C640" s="6"/>
      <c r="D640" s="6"/>
      <c r="E640" s="6"/>
      <c r="F640" s="6"/>
      <c r="G640" s="6"/>
      <c r="H640" s="6"/>
    </row>
    <row r="641" spans="1:8">
      <c r="A641" s="6"/>
      <c r="B641" s="6"/>
      <c r="C641" s="6"/>
      <c r="D641" s="6"/>
      <c r="E641" s="6"/>
      <c r="F641" s="6"/>
      <c r="G641" s="6"/>
      <c r="H641" s="6"/>
    </row>
    <row r="642" spans="1:8">
      <c r="A642" s="6"/>
      <c r="B642" s="6"/>
      <c r="C642" s="6"/>
      <c r="D642" s="6"/>
      <c r="E642" s="6"/>
      <c r="F642" s="6"/>
      <c r="G642" s="6"/>
      <c r="H642" s="6"/>
    </row>
    <row r="643" spans="1:8">
      <c r="A643" s="6"/>
      <c r="B643" s="6"/>
      <c r="C643" s="6"/>
      <c r="D643" s="6"/>
      <c r="E643" s="6"/>
      <c r="F643" s="6"/>
      <c r="G643" s="6"/>
      <c r="H643" s="6"/>
    </row>
    <row r="644" spans="1:8">
      <c r="A644" s="6"/>
      <c r="B644" s="6"/>
      <c r="C644" s="6"/>
      <c r="D644" s="6"/>
      <c r="E644" s="6"/>
      <c r="F644" s="6"/>
      <c r="G644" s="6"/>
      <c r="H644" s="6"/>
    </row>
    <row r="645" spans="1:8">
      <c r="A645" s="6"/>
      <c r="B645" s="6"/>
      <c r="C645" s="6"/>
      <c r="D645" s="6"/>
      <c r="E645" s="6"/>
      <c r="F645" s="6"/>
      <c r="G645" s="6"/>
      <c r="H645" s="6"/>
    </row>
    <row r="646" spans="1:8">
      <c r="A646" s="6"/>
      <c r="B646" s="6"/>
      <c r="C646" s="6"/>
      <c r="D646" s="6"/>
      <c r="E646" s="6"/>
      <c r="F646" s="6"/>
      <c r="G646" s="6"/>
      <c r="H646" s="6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8890</xdr:colOff>
                <xdr:row>0</xdr:row>
                <xdr:rowOff>161925</xdr:rowOff>
              </from>
              <to>
                <xdr:col>8</xdr:col>
                <xdr:colOff>1499870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650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1" width="12.625"/>
    <col min="32" max="32" width="11.5"/>
    <col min="33" max="34" width="12.625"/>
  </cols>
  <sheetData>
    <row r="1" spans="1:36">
      <c r="A1" s="3" t="s">
        <v>304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305</v>
      </c>
      <c r="G1" s="3" t="s">
        <v>306</v>
      </c>
      <c r="H1" s="3" t="s">
        <v>307</v>
      </c>
      <c r="I1" s="3" t="s">
        <v>308</v>
      </c>
      <c r="J1" s="3" t="s">
        <v>309</v>
      </c>
      <c r="K1" s="3" t="s">
        <v>310</v>
      </c>
      <c r="L1" s="3" t="s">
        <v>311</v>
      </c>
      <c r="M1" s="3" t="s">
        <v>312</v>
      </c>
      <c r="N1" s="3" t="s">
        <v>313</v>
      </c>
      <c r="O1" s="3" t="s">
        <v>314</v>
      </c>
      <c r="P1" s="3" t="s">
        <v>315</v>
      </c>
      <c r="Q1" s="3" t="s">
        <v>316</v>
      </c>
      <c r="R1" s="3" t="s">
        <v>317</v>
      </c>
      <c r="S1" s="3" t="s">
        <v>318</v>
      </c>
      <c r="T1" s="3" t="s">
        <v>319</v>
      </c>
      <c r="U1" s="3" t="s">
        <v>320</v>
      </c>
      <c r="V1" s="3" t="s">
        <v>321</v>
      </c>
      <c r="W1" s="3" t="s">
        <v>322</v>
      </c>
      <c r="X1" s="3" t="s">
        <v>323</v>
      </c>
      <c r="Y1" s="3" t="s">
        <v>324</v>
      </c>
      <c r="Z1" s="3" t="s">
        <v>325</v>
      </c>
      <c r="AA1" s="3" t="s">
        <v>326</v>
      </c>
      <c r="AB1" s="3" t="s">
        <v>327</v>
      </c>
      <c r="AC1" s="3" t="s">
        <v>328</v>
      </c>
      <c r="AD1" s="3" t="s">
        <v>329</v>
      </c>
      <c r="AE1" s="3" t="s">
        <v>330</v>
      </c>
      <c r="AF1" s="3" t="s">
        <v>331</v>
      </c>
      <c r="AG1" s="3" t="s">
        <v>332</v>
      </c>
      <c r="AH1" s="3" t="s">
        <v>333</v>
      </c>
      <c r="AI1" s="3" t="s">
        <v>334</v>
      </c>
      <c r="AJ1" s="3" t="s">
        <v>335</v>
      </c>
    </row>
    <row r="2" spans="1:36">
      <c r="A2" s="4">
        <v>43288</v>
      </c>
      <c r="B2" s="3" t="s">
        <v>336</v>
      </c>
      <c r="C2" s="3" t="s">
        <v>337</v>
      </c>
      <c r="D2" s="3" t="s">
        <v>338</v>
      </c>
      <c r="E2" s="3" t="s">
        <v>339</v>
      </c>
      <c r="F2" s="3" t="s">
        <v>340</v>
      </c>
      <c r="G2" s="3">
        <v>3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3</v>
      </c>
      <c r="N2" s="3" t="s">
        <v>341</v>
      </c>
      <c r="O2" s="3">
        <v>0</v>
      </c>
      <c r="P2" s="3">
        <v>0</v>
      </c>
      <c r="Q2" s="3">
        <v>3</v>
      </c>
      <c r="R2" s="3">
        <v>1.5</v>
      </c>
      <c r="S2" s="3">
        <v>0</v>
      </c>
      <c r="T2" s="3">
        <v>0</v>
      </c>
      <c r="U2" s="3">
        <v>0</v>
      </c>
      <c r="V2" s="3">
        <v>0</v>
      </c>
      <c r="W2" s="3" t="s">
        <v>342</v>
      </c>
      <c r="X2" s="3">
        <v>19.9</v>
      </c>
      <c r="Y2" s="3">
        <v>19.9</v>
      </c>
      <c r="Z2" s="3">
        <v>16.42</v>
      </c>
      <c r="AA2" s="3">
        <v>0</v>
      </c>
      <c r="AB2" s="3" t="s">
        <v>343</v>
      </c>
      <c r="AC2" s="3">
        <v>0</v>
      </c>
      <c r="AD2" s="3">
        <v>15.92</v>
      </c>
      <c r="AE2" s="3">
        <v>63</v>
      </c>
      <c r="AF2" s="3">
        <v>0</v>
      </c>
      <c r="AG2" s="3">
        <v>1.628169</v>
      </c>
      <c r="AH2" s="3">
        <v>0</v>
      </c>
      <c r="AI2" s="3" t="s">
        <v>344</v>
      </c>
      <c r="AJ2" s="3" t="s">
        <v>345</v>
      </c>
    </row>
    <row r="3" spans="1:36">
      <c r="A3" s="4">
        <v>43288</v>
      </c>
      <c r="B3" s="3" t="s">
        <v>346</v>
      </c>
      <c r="C3" s="3" t="s">
        <v>347</v>
      </c>
      <c r="D3" s="3" t="s">
        <v>348</v>
      </c>
      <c r="E3" s="3" t="s">
        <v>88</v>
      </c>
      <c r="F3" s="3" t="s">
        <v>340</v>
      </c>
      <c r="G3" s="3">
        <v>8</v>
      </c>
      <c r="H3" s="3">
        <v>0</v>
      </c>
      <c r="I3" s="3">
        <v>2</v>
      </c>
      <c r="J3" s="3">
        <v>5</v>
      </c>
      <c r="K3" s="3">
        <v>1</v>
      </c>
      <c r="L3" s="3">
        <v>0</v>
      </c>
      <c r="M3" s="3">
        <v>0</v>
      </c>
      <c r="N3" s="3" t="s">
        <v>341</v>
      </c>
      <c r="O3" s="3">
        <v>4</v>
      </c>
      <c r="P3" s="3">
        <v>2.95</v>
      </c>
      <c r="Q3" s="3">
        <v>0</v>
      </c>
      <c r="R3" s="3">
        <v>0</v>
      </c>
      <c r="S3" s="3">
        <v>1</v>
      </c>
      <c r="T3" s="3">
        <v>5</v>
      </c>
      <c r="U3" s="3">
        <v>7</v>
      </c>
      <c r="V3" s="3">
        <v>7</v>
      </c>
      <c r="W3" s="3" t="s">
        <v>342</v>
      </c>
      <c r="X3" s="3">
        <v>16.99</v>
      </c>
      <c r="Y3" s="3">
        <v>16.99</v>
      </c>
      <c r="Z3" s="3">
        <v>16.99</v>
      </c>
      <c r="AA3" s="3">
        <v>0</v>
      </c>
      <c r="AB3" s="3" t="s">
        <v>349</v>
      </c>
      <c r="AC3" s="3">
        <v>9</v>
      </c>
      <c r="AD3" s="3">
        <v>16.99</v>
      </c>
      <c r="AE3" s="3">
        <v>0</v>
      </c>
      <c r="AF3" s="3">
        <v>0</v>
      </c>
      <c r="AG3" s="3">
        <v>0</v>
      </c>
      <c r="AH3" s="3">
        <v>0.538461538461538</v>
      </c>
      <c r="AI3" s="3" t="s">
        <v>350</v>
      </c>
      <c r="AJ3" s="3" t="s">
        <v>345</v>
      </c>
    </row>
    <row r="4" spans="1:36">
      <c r="A4" s="4">
        <v>43288</v>
      </c>
      <c r="B4" s="3" t="s">
        <v>351</v>
      </c>
      <c r="C4" s="3" t="s">
        <v>352</v>
      </c>
      <c r="D4" s="3" t="s">
        <v>353</v>
      </c>
      <c r="E4" s="3" t="s">
        <v>354</v>
      </c>
      <c r="F4" s="3" t="s">
        <v>340</v>
      </c>
      <c r="G4" s="3">
        <v>5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5</v>
      </c>
      <c r="N4" s="3" t="s">
        <v>341</v>
      </c>
      <c r="O4" s="3">
        <v>0</v>
      </c>
      <c r="P4" s="3">
        <v>0</v>
      </c>
      <c r="Q4" s="3">
        <v>5</v>
      </c>
      <c r="R4" s="3">
        <v>2.5</v>
      </c>
      <c r="S4" s="3">
        <v>0</v>
      </c>
      <c r="T4" s="3">
        <v>0</v>
      </c>
      <c r="U4" s="3">
        <v>0</v>
      </c>
      <c r="V4" s="3">
        <v>0</v>
      </c>
      <c r="W4" s="3" t="s">
        <v>342</v>
      </c>
      <c r="X4" s="3">
        <v>22.99</v>
      </c>
      <c r="Y4" s="3">
        <v>22.99</v>
      </c>
      <c r="Z4" s="3">
        <v>22.99</v>
      </c>
      <c r="AA4" s="3">
        <v>0</v>
      </c>
      <c r="AB4" s="3" t="s">
        <v>343</v>
      </c>
      <c r="AC4" s="3">
        <v>0</v>
      </c>
      <c r="AD4" s="3">
        <v>18.39</v>
      </c>
      <c r="AE4" s="3">
        <v>63</v>
      </c>
      <c r="AF4" s="3">
        <v>0</v>
      </c>
      <c r="AG4" s="3">
        <v>13.629029</v>
      </c>
      <c r="AH4" s="3">
        <v>0</v>
      </c>
      <c r="AI4" s="3" t="s">
        <v>355</v>
      </c>
      <c r="AJ4" s="3" t="s">
        <v>345</v>
      </c>
    </row>
    <row r="5" spans="1:36">
      <c r="A5" s="4">
        <v>43288</v>
      </c>
      <c r="B5" s="3" t="s">
        <v>356</v>
      </c>
      <c r="C5" s="3" t="s">
        <v>357</v>
      </c>
      <c r="D5" s="3" t="s">
        <v>358</v>
      </c>
      <c r="E5" s="3" t="s">
        <v>213</v>
      </c>
      <c r="F5" s="3" t="s">
        <v>340</v>
      </c>
      <c r="G5" s="3">
        <v>7</v>
      </c>
      <c r="H5" s="3">
        <v>0</v>
      </c>
      <c r="I5" s="3">
        <v>4</v>
      </c>
      <c r="J5" s="3">
        <v>3</v>
      </c>
      <c r="K5" s="3">
        <v>0</v>
      </c>
      <c r="L5" s="3">
        <v>0</v>
      </c>
      <c r="M5" s="3">
        <v>0</v>
      </c>
      <c r="N5" s="3" t="s">
        <v>341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2</v>
      </c>
      <c r="U5" s="3">
        <v>4</v>
      </c>
      <c r="V5" s="3">
        <v>5</v>
      </c>
      <c r="W5" s="3"/>
      <c r="X5" s="3">
        <v>20.99</v>
      </c>
      <c r="Y5" s="3">
        <v>20.99</v>
      </c>
      <c r="Z5" s="3">
        <v>20.99</v>
      </c>
      <c r="AA5" s="3">
        <v>0</v>
      </c>
      <c r="AB5" s="3" t="s">
        <v>359</v>
      </c>
      <c r="AC5" s="3">
        <v>7</v>
      </c>
      <c r="AD5" s="3">
        <v>20.99</v>
      </c>
      <c r="AE5" s="3">
        <v>0</v>
      </c>
      <c r="AF5" s="3">
        <v>0</v>
      </c>
      <c r="AG5" s="3">
        <v>0</v>
      </c>
      <c r="AH5" s="3">
        <v>0.625</v>
      </c>
      <c r="AI5" s="3" t="s">
        <v>360</v>
      </c>
      <c r="AJ5" s="3" t="s">
        <v>345</v>
      </c>
    </row>
    <row r="6" spans="1:36">
      <c r="A6" s="4">
        <v>43288</v>
      </c>
      <c r="B6" s="3" t="s">
        <v>361</v>
      </c>
      <c r="C6" s="3" t="s">
        <v>362</v>
      </c>
      <c r="D6" s="3" t="s">
        <v>363</v>
      </c>
      <c r="E6" s="3" t="s">
        <v>364</v>
      </c>
      <c r="F6" s="3" t="s">
        <v>340</v>
      </c>
      <c r="G6" s="3">
        <v>3</v>
      </c>
      <c r="H6" s="3">
        <v>0</v>
      </c>
      <c r="I6" s="3">
        <v>0</v>
      </c>
      <c r="J6" s="3">
        <v>3</v>
      </c>
      <c r="K6" s="3">
        <v>0</v>
      </c>
      <c r="L6" s="3">
        <v>0</v>
      </c>
      <c r="M6" s="3">
        <v>0</v>
      </c>
      <c r="N6" s="3" t="s">
        <v>341</v>
      </c>
      <c r="O6" s="3">
        <v>2</v>
      </c>
      <c r="P6" s="3">
        <v>3.91</v>
      </c>
      <c r="Q6" s="3">
        <v>0</v>
      </c>
      <c r="R6" s="3">
        <v>0</v>
      </c>
      <c r="S6" s="3">
        <v>0</v>
      </c>
      <c r="T6" s="3">
        <v>0</v>
      </c>
      <c r="U6" s="3">
        <v>1</v>
      </c>
      <c r="V6" s="3">
        <v>1</v>
      </c>
      <c r="W6" s="3" t="s">
        <v>342</v>
      </c>
      <c r="X6" s="3">
        <v>17.99</v>
      </c>
      <c r="Y6" s="3">
        <v>17.99</v>
      </c>
      <c r="Z6" s="3">
        <v>17.99</v>
      </c>
      <c r="AA6" s="3">
        <v>0</v>
      </c>
      <c r="AB6" s="3" t="s">
        <v>349</v>
      </c>
      <c r="AC6" s="3">
        <v>0</v>
      </c>
      <c r="AD6" s="3">
        <v>16.12</v>
      </c>
      <c r="AE6" s="3">
        <v>105</v>
      </c>
      <c r="AF6" s="3">
        <v>0</v>
      </c>
      <c r="AG6" s="3">
        <v>85.821532</v>
      </c>
      <c r="AH6" s="3">
        <v>0.222222222222222</v>
      </c>
      <c r="AI6" s="3" t="s">
        <v>365</v>
      </c>
      <c r="AJ6" s="3" t="s">
        <v>345</v>
      </c>
    </row>
    <row r="7" spans="1:36">
      <c r="A7" s="4">
        <v>43288</v>
      </c>
      <c r="B7" s="3" t="s">
        <v>366</v>
      </c>
      <c r="C7" s="3" t="s">
        <v>367</v>
      </c>
      <c r="D7" s="3" t="s">
        <v>368</v>
      </c>
      <c r="E7" s="3" t="s">
        <v>369</v>
      </c>
      <c r="F7" s="3" t="s">
        <v>340</v>
      </c>
      <c r="G7" s="3">
        <v>3</v>
      </c>
      <c r="H7" s="3">
        <v>0</v>
      </c>
      <c r="I7" s="3">
        <v>1</v>
      </c>
      <c r="J7" s="3">
        <v>0</v>
      </c>
      <c r="K7" s="3">
        <v>0</v>
      </c>
      <c r="L7" s="3">
        <v>2</v>
      </c>
      <c r="M7" s="3">
        <v>0</v>
      </c>
      <c r="N7" s="3" t="s">
        <v>341</v>
      </c>
      <c r="O7" s="3">
        <v>1</v>
      </c>
      <c r="P7" s="3">
        <v>1</v>
      </c>
      <c r="Q7" s="3">
        <v>1</v>
      </c>
      <c r="R7" s="3">
        <v>1.99</v>
      </c>
      <c r="S7" s="3">
        <v>0</v>
      </c>
      <c r="T7" s="3">
        <v>0</v>
      </c>
      <c r="U7" s="3">
        <v>1</v>
      </c>
      <c r="V7" s="3">
        <v>1</v>
      </c>
      <c r="W7" s="3" t="s">
        <v>342</v>
      </c>
      <c r="X7" s="3">
        <v>18.96</v>
      </c>
      <c r="Y7" s="3">
        <v>18.96</v>
      </c>
      <c r="Z7" s="3">
        <v>18.96</v>
      </c>
      <c r="AA7" s="3">
        <v>0</v>
      </c>
      <c r="AB7" s="3" t="s">
        <v>349</v>
      </c>
      <c r="AC7" s="3">
        <v>0</v>
      </c>
      <c r="AD7" s="3">
        <v>16.73</v>
      </c>
      <c r="AE7" s="3">
        <v>217</v>
      </c>
      <c r="AF7" s="3">
        <v>0</v>
      </c>
      <c r="AG7" s="3">
        <v>52.072397</v>
      </c>
      <c r="AH7" s="3">
        <v>0.333333333333333</v>
      </c>
      <c r="AI7" s="3" t="s">
        <v>370</v>
      </c>
      <c r="AJ7" s="3" t="s">
        <v>345</v>
      </c>
    </row>
    <row r="8" spans="1:36">
      <c r="A8" s="4">
        <v>43288</v>
      </c>
      <c r="B8" s="3" t="s">
        <v>137</v>
      </c>
      <c r="C8" s="3" t="s">
        <v>138</v>
      </c>
      <c r="D8" s="3" t="s">
        <v>139</v>
      </c>
      <c r="E8" s="3" t="s">
        <v>130</v>
      </c>
      <c r="F8" s="3" t="s">
        <v>340</v>
      </c>
      <c r="G8" s="3">
        <v>9</v>
      </c>
      <c r="H8" s="3">
        <v>0</v>
      </c>
      <c r="I8" s="3">
        <v>9</v>
      </c>
      <c r="J8" s="3">
        <v>0</v>
      </c>
      <c r="K8" s="3">
        <v>0</v>
      </c>
      <c r="L8" s="3">
        <v>0</v>
      </c>
      <c r="M8" s="3">
        <v>0</v>
      </c>
      <c r="N8" s="3" t="s">
        <v>341</v>
      </c>
      <c r="O8" s="3">
        <v>0</v>
      </c>
      <c r="P8" s="3">
        <v>0</v>
      </c>
      <c r="Q8" s="3">
        <v>0</v>
      </c>
      <c r="R8" s="3">
        <v>0</v>
      </c>
      <c r="S8" s="3">
        <v>5</v>
      </c>
      <c r="T8" s="3">
        <v>12</v>
      </c>
      <c r="U8" s="3">
        <v>12</v>
      </c>
      <c r="V8" s="3">
        <v>12</v>
      </c>
      <c r="W8" s="3"/>
      <c r="X8" s="3">
        <v>39.99</v>
      </c>
      <c r="Y8" s="3">
        <v>19.99</v>
      </c>
      <c r="Z8" s="3">
        <v>19.99</v>
      </c>
      <c r="AA8" s="3">
        <v>0</v>
      </c>
      <c r="AB8" s="3" t="s">
        <v>359</v>
      </c>
      <c r="AC8" s="3">
        <v>12</v>
      </c>
      <c r="AD8" s="3">
        <v>19.99</v>
      </c>
      <c r="AE8" s="3">
        <v>0</v>
      </c>
      <c r="AF8" s="3">
        <v>0</v>
      </c>
      <c r="AG8" s="3">
        <v>0</v>
      </c>
      <c r="AH8" s="3">
        <v>1.5</v>
      </c>
      <c r="AI8" s="3" t="s">
        <v>371</v>
      </c>
      <c r="AJ8" s="3" t="s">
        <v>345</v>
      </c>
    </row>
    <row r="9" spans="1:36">
      <c r="A9" s="4">
        <v>43288</v>
      </c>
      <c r="B9" s="3" t="s">
        <v>372</v>
      </c>
      <c r="C9" s="3" t="s">
        <v>373</v>
      </c>
      <c r="D9" s="3" t="s">
        <v>374</v>
      </c>
      <c r="E9" s="3" t="s">
        <v>375</v>
      </c>
      <c r="F9" s="3" t="s">
        <v>340</v>
      </c>
      <c r="G9" s="3">
        <v>5</v>
      </c>
      <c r="H9" s="3">
        <v>0</v>
      </c>
      <c r="I9" s="3">
        <v>1</v>
      </c>
      <c r="J9" s="3">
        <v>0</v>
      </c>
      <c r="K9" s="3">
        <v>0</v>
      </c>
      <c r="L9" s="3">
        <v>4</v>
      </c>
      <c r="M9" s="3">
        <v>0</v>
      </c>
      <c r="N9" s="3" t="s">
        <v>341</v>
      </c>
      <c r="O9" s="3">
        <v>1</v>
      </c>
      <c r="P9" s="3">
        <v>0.5</v>
      </c>
      <c r="Q9" s="3">
        <v>3</v>
      </c>
      <c r="R9" s="3">
        <v>2.98</v>
      </c>
      <c r="S9" s="3">
        <v>3</v>
      </c>
      <c r="T9" s="3">
        <v>7</v>
      </c>
      <c r="U9" s="3">
        <v>8</v>
      </c>
      <c r="V9" s="3">
        <v>9</v>
      </c>
      <c r="W9" s="3" t="s">
        <v>342</v>
      </c>
      <c r="X9" s="3">
        <v>18.99</v>
      </c>
      <c r="Y9" s="3">
        <v>18.99</v>
      </c>
      <c r="Z9" s="3">
        <v>18.99</v>
      </c>
      <c r="AA9" s="3">
        <v>0</v>
      </c>
      <c r="AB9" s="3" t="s">
        <v>349</v>
      </c>
      <c r="AC9" s="3">
        <v>7</v>
      </c>
      <c r="AD9" s="3">
        <v>18.99</v>
      </c>
      <c r="AE9" s="3">
        <v>0</v>
      </c>
      <c r="AF9" s="3">
        <v>0</v>
      </c>
      <c r="AG9" s="3">
        <v>0</v>
      </c>
      <c r="AH9" s="3">
        <v>0.878048780487804</v>
      </c>
      <c r="AI9" s="3" t="s">
        <v>376</v>
      </c>
      <c r="AJ9" s="3" t="s">
        <v>345</v>
      </c>
    </row>
    <row r="10" spans="1:36">
      <c r="A10" s="4">
        <v>43288</v>
      </c>
      <c r="B10" s="3" t="s">
        <v>377</v>
      </c>
      <c r="C10" s="3" t="s">
        <v>378</v>
      </c>
      <c r="D10" s="3" t="s">
        <v>379</v>
      </c>
      <c r="E10" s="3" t="s">
        <v>380</v>
      </c>
      <c r="F10" s="3" t="s">
        <v>340</v>
      </c>
      <c r="G10" s="3">
        <v>11</v>
      </c>
      <c r="H10" s="3">
        <v>0</v>
      </c>
      <c r="I10" s="3">
        <v>2</v>
      </c>
      <c r="J10" s="3">
        <v>9</v>
      </c>
      <c r="K10" s="3">
        <v>0</v>
      </c>
      <c r="L10" s="3">
        <v>0</v>
      </c>
      <c r="M10" s="3">
        <v>0</v>
      </c>
      <c r="N10" s="3" t="s">
        <v>341</v>
      </c>
      <c r="O10" s="3">
        <v>6</v>
      </c>
      <c r="P10" s="3">
        <v>16.72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2</v>
      </c>
      <c r="W10" s="3" t="s">
        <v>381</v>
      </c>
      <c r="X10" s="3">
        <v>16.99</v>
      </c>
      <c r="Y10" s="3">
        <v>16.99</v>
      </c>
      <c r="Z10" s="3">
        <v>16.99</v>
      </c>
      <c r="AA10" s="3">
        <v>0</v>
      </c>
      <c r="AB10" s="3" t="s">
        <v>343</v>
      </c>
      <c r="AC10" s="3">
        <v>4</v>
      </c>
      <c r="AD10" s="3">
        <v>14.76</v>
      </c>
      <c r="AE10" s="3">
        <v>14</v>
      </c>
      <c r="AF10" s="3">
        <v>0</v>
      </c>
      <c r="AG10" s="3">
        <v>446.231155</v>
      </c>
      <c r="AH10" s="3">
        <v>0.114285714285714</v>
      </c>
      <c r="AI10" s="3" t="s">
        <v>382</v>
      </c>
      <c r="AJ10" s="3" t="s">
        <v>345</v>
      </c>
    </row>
    <row r="11" spans="1:36">
      <c r="A11" s="4">
        <v>43288</v>
      </c>
      <c r="B11" s="3" t="s">
        <v>383</v>
      </c>
      <c r="C11" s="3" t="s">
        <v>384</v>
      </c>
      <c r="D11" s="3" t="s">
        <v>385</v>
      </c>
      <c r="E11" s="3" t="s">
        <v>386</v>
      </c>
      <c r="F11" s="3" t="s">
        <v>340</v>
      </c>
      <c r="G11" s="3">
        <v>1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</v>
      </c>
      <c r="N11" s="3" t="s">
        <v>341</v>
      </c>
      <c r="O11" s="3">
        <v>0</v>
      </c>
      <c r="P11" s="3">
        <v>0</v>
      </c>
      <c r="Q11" s="3">
        <v>1</v>
      </c>
      <c r="R11" s="3">
        <v>0.5</v>
      </c>
      <c r="S11" s="3">
        <v>0</v>
      </c>
      <c r="T11" s="3">
        <v>0</v>
      </c>
      <c r="U11" s="3">
        <v>0</v>
      </c>
      <c r="V11" s="3">
        <v>0</v>
      </c>
      <c r="W11" s="3" t="s">
        <v>342</v>
      </c>
      <c r="X11" s="3">
        <v>18.9</v>
      </c>
      <c r="Y11" s="3">
        <v>18.9</v>
      </c>
      <c r="Z11" s="3">
        <v>18.9</v>
      </c>
      <c r="AA11" s="3">
        <v>0</v>
      </c>
      <c r="AB11" s="3" t="s">
        <v>343</v>
      </c>
      <c r="AC11" s="3">
        <v>0</v>
      </c>
      <c r="AD11" s="3">
        <v>15.12</v>
      </c>
      <c r="AE11" s="3">
        <v>63</v>
      </c>
      <c r="AF11" s="3">
        <v>0</v>
      </c>
      <c r="AG11" s="3">
        <v>0.585161</v>
      </c>
      <c r="AH11" s="3">
        <v>0</v>
      </c>
      <c r="AI11" s="3" t="s">
        <v>387</v>
      </c>
      <c r="AJ11" s="3" t="s">
        <v>345</v>
      </c>
    </row>
    <row r="12" spans="1:36">
      <c r="A12" s="4">
        <v>43288</v>
      </c>
      <c r="B12" s="3" t="s">
        <v>388</v>
      </c>
      <c r="C12" s="3" t="s">
        <v>389</v>
      </c>
      <c r="D12" s="3" t="s">
        <v>390</v>
      </c>
      <c r="E12" s="3" t="s">
        <v>391</v>
      </c>
      <c r="F12" s="3" t="s">
        <v>340</v>
      </c>
      <c r="G12" s="3">
        <v>8</v>
      </c>
      <c r="H12" s="3">
        <v>0</v>
      </c>
      <c r="I12" s="3">
        <v>0</v>
      </c>
      <c r="J12" s="3">
        <v>8</v>
      </c>
      <c r="K12" s="3">
        <v>0</v>
      </c>
      <c r="L12" s="3">
        <v>0</v>
      </c>
      <c r="M12" s="3">
        <v>0</v>
      </c>
      <c r="N12" s="3" t="s">
        <v>341</v>
      </c>
      <c r="O12" s="3">
        <v>2</v>
      </c>
      <c r="P12" s="3">
        <v>3.1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3</v>
      </c>
      <c r="W12" s="3" t="s">
        <v>381</v>
      </c>
      <c r="X12" s="3">
        <v>16.99</v>
      </c>
      <c r="Y12" s="3">
        <v>16.99</v>
      </c>
      <c r="Z12" s="3">
        <v>16.99</v>
      </c>
      <c r="AA12" s="3">
        <v>0</v>
      </c>
      <c r="AB12" s="3" t="s">
        <v>359</v>
      </c>
      <c r="AC12" s="3">
        <v>8</v>
      </c>
      <c r="AD12" s="3">
        <v>16.99</v>
      </c>
      <c r="AE12" s="3">
        <v>0</v>
      </c>
      <c r="AF12" s="3">
        <v>0</v>
      </c>
      <c r="AG12" s="3">
        <v>0</v>
      </c>
      <c r="AH12" s="3">
        <v>0.222222222222222</v>
      </c>
      <c r="AI12" s="3" t="s">
        <v>392</v>
      </c>
      <c r="AJ12" s="3" t="s">
        <v>345</v>
      </c>
    </row>
    <row r="13" spans="1:36">
      <c r="A13" s="4">
        <v>43288</v>
      </c>
      <c r="B13" s="3" t="s">
        <v>393</v>
      </c>
      <c r="C13" s="3" t="s">
        <v>394</v>
      </c>
      <c r="D13" s="3" t="s">
        <v>395</v>
      </c>
      <c r="E13" s="3" t="s">
        <v>396</v>
      </c>
      <c r="F13" s="3" t="s">
        <v>340</v>
      </c>
      <c r="G13" s="3">
        <v>4</v>
      </c>
      <c r="H13" s="3">
        <v>0</v>
      </c>
      <c r="I13" s="3">
        <v>0</v>
      </c>
      <c r="J13" s="3">
        <v>4</v>
      </c>
      <c r="K13" s="3">
        <v>0</v>
      </c>
      <c r="L13" s="3">
        <v>0</v>
      </c>
      <c r="M13" s="3">
        <v>0</v>
      </c>
      <c r="N13" s="3" t="s">
        <v>341</v>
      </c>
      <c r="O13" s="3">
        <v>4</v>
      </c>
      <c r="P13" s="3">
        <v>4.98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342</v>
      </c>
      <c r="X13" s="3">
        <v>15.99</v>
      </c>
      <c r="Y13" s="3">
        <v>15.99</v>
      </c>
      <c r="Z13" s="3">
        <v>15.99</v>
      </c>
      <c r="AA13" s="3">
        <v>0</v>
      </c>
      <c r="AB13" s="3" t="s">
        <v>349</v>
      </c>
      <c r="AC13" s="3">
        <v>0</v>
      </c>
      <c r="AD13" s="3">
        <v>14.09</v>
      </c>
      <c r="AE13" s="3">
        <v>182</v>
      </c>
      <c r="AF13" s="3">
        <v>0</v>
      </c>
      <c r="AG13" s="3">
        <v>81.616569</v>
      </c>
      <c r="AH13" s="3">
        <v>0</v>
      </c>
      <c r="AI13" s="3" t="s">
        <v>397</v>
      </c>
      <c r="AJ13" s="3" t="s">
        <v>345</v>
      </c>
    </row>
    <row r="14" spans="1:36">
      <c r="A14" s="4">
        <v>43288</v>
      </c>
      <c r="B14" s="3" t="s">
        <v>398</v>
      </c>
      <c r="C14" s="3" t="s">
        <v>399</v>
      </c>
      <c r="D14" s="3" t="s">
        <v>400</v>
      </c>
      <c r="E14" s="3" t="s">
        <v>401</v>
      </c>
      <c r="F14" s="3" t="s">
        <v>340</v>
      </c>
      <c r="G14" s="3">
        <v>1</v>
      </c>
      <c r="H14" s="3">
        <v>0</v>
      </c>
      <c r="I14" s="3">
        <v>1</v>
      </c>
      <c r="J14" s="3">
        <v>0</v>
      </c>
      <c r="K14" s="3">
        <v>0</v>
      </c>
      <c r="L14" s="3">
        <v>0</v>
      </c>
      <c r="M14" s="3">
        <v>0</v>
      </c>
      <c r="N14" s="3" t="s">
        <v>341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2</v>
      </c>
      <c r="W14" s="3" t="s">
        <v>381</v>
      </c>
      <c r="X14" s="3">
        <v>19.99</v>
      </c>
      <c r="Y14" s="3">
        <v>19.99</v>
      </c>
      <c r="Z14" s="3">
        <v>19.99</v>
      </c>
      <c r="AA14" s="3">
        <v>0</v>
      </c>
      <c r="AB14" s="3" t="s">
        <v>343</v>
      </c>
      <c r="AC14" s="3">
        <v>0</v>
      </c>
      <c r="AD14" s="3">
        <v>18.3</v>
      </c>
      <c r="AE14" s="3">
        <v>175</v>
      </c>
      <c r="AF14" s="3">
        <v>0</v>
      </c>
      <c r="AG14" s="3">
        <v>18.352508</v>
      </c>
      <c r="AH14" s="3">
        <v>1.33333333333333</v>
      </c>
      <c r="AI14" s="3" t="s">
        <v>402</v>
      </c>
      <c r="AJ14" s="3" t="s">
        <v>345</v>
      </c>
    </row>
    <row r="15" spans="1:36">
      <c r="A15" s="4">
        <v>43288</v>
      </c>
      <c r="B15" s="3" t="s">
        <v>403</v>
      </c>
      <c r="C15" s="3" t="s">
        <v>404</v>
      </c>
      <c r="D15" s="3" t="s">
        <v>405</v>
      </c>
      <c r="E15" s="3" t="s">
        <v>406</v>
      </c>
      <c r="F15" s="3" t="s">
        <v>340</v>
      </c>
      <c r="G15" s="3">
        <v>5</v>
      </c>
      <c r="H15" s="3">
        <v>0</v>
      </c>
      <c r="I15" s="3">
        <v>3</v>
      </c>
      <c r="J15" s="3">
        <v>0</v>
      </c>
      <c r="K15" s="3">
        <v>0</v>
      </c>
      <c r="L15" s="3">
        <v>0</v>
      </c>
      <c r="M15" s="3">
        <v>2</v>
      </c>
      <c r="N15" s="3" t="s">
        <v>341</v>
      </c>
      <c r="O15" s="3">
        <v>0</v>
      </c>
      <c r="P15" s="3">
        <v>0</v>
      </c>
      <c r="Q15" s="3">
        <v>2</v>
      </c>
      <c r="R15" s="3">
        <v>4.79</v>
      </c>
      <c r="S15" s="3">
        <v>1</v>
      </c>
      <c r="T15" s="3">
        <v>1</v>
      </c>
      <c r="U15" s="3">
        <v>4</v>
      </c>
      <c r="V15" s="3">
        <v>5</v>
      </c>
      <c r="W15" s="3" t="s">
        <v>342</v>
      </c>
      <c r="X15" s="3">
        <v>18.98</v>
      </c>
      <c r="Y15" s="3">
        <v>18.98</v>
      </c>
      <c r="Z15" s="3">
        <v>18.98</v>
      </c>
      <c r="AA15" s="3">
        <v>0</v>
      </c>
      <c r="AB15" s="3" t="s">
        <v>349</v>
      </c>
      <c r="AC15" s="3">
        <v>0</v>
      </c>
      <c r="AD15" s="3">
        <v>14.36</v>
      </c>
      <c r="AE15" s="3">
        <v>231</v>
      </c>
      <c r="AF15" s="3">
        <v>0</v>
      </c>
      <c r="AG15" s="3">
        <v>51.797947</v>
      </c>
      <c r="AH15" s="3">
        <v>0.833333333333333</v>
      </c>
      <c r="AI15" s="3" t="s">
        <v>407</v>
      </c>
      <c r="AJ15" s="3" t="s">
        <v>345</v>
      </c>
    </row>
    <row r="16" spans="1:36">
      <c r="A16" s="4">
        <v>43288</v>
      </c>
      <c r="B16" s="3" t="s">
        <v>408</v>
      </c>
      <c r="C16" s="3" t="s">
        <v>409</v>
      </c>
      <c r="D16" s="3" t="s">
        <v>410</v>
      </c>
      <c r="E16" s="3" t="s">
        <v>411</v>
      </c>
      <c r="F16" s="3" t="s">
        <v>340</v>
      </c>
      <c r="G16" s="3">
        <v>2</v>
      </c>
      <c r="H16" s="3">
        <v>0</v>
      </c>
      <c r="I16" s="3">
        <v>0</v>
      </c>
      <c r="J16" s="3">
        <v>0</v>
      </c>
      <c r="K16" s="3">
        <v>0</v>
      </c>
      <c r="L16" s="3">
        <v>2</v>
      </c>
      <c r="M16" s="3">
        <v>0</v>
      </c>
      <c r="N16" s="3" t="s">
        <v>341</v>
      </c>
      <c r="O16" s="3">
        <v>0</v>
      </c>
      <c r="P16" s="3">
        <v>0</v>
      </c>
      <c r="Q16" s="3">
        <v>2</v>
      </c>
      <c r="R16" s="3">
        <v>2.46</v>
      </c>
      <c r="S16" s="3">
        <v>0</v>
      </c>
      <c r="T16" s="3">
        <v>0</v>
      </c>
      <c r="U16" s="3">
        <v>0</v>
      </c>
      <c r="V16" s="3">
        <v>0</v>
      </c>
      <c r="W16" s="3" t="s">
        <v>342</v>
      </c>
      <c r="X16" s="3">
        <v>18.99</v>
      </c>
      <c r="Y16" s="3">
        <v>18.99</v>
      </c>
      <c r="Z16" s="3">
        <v>18.99</v>
      </c>
      <c r="AA16" s="3">
        <v>0</v>
      </c>
      <c r="AB16" s="3" t="s">
        <v>343</v>
      </c>
      <c r="AC16" s="3">
        <v>0</v>
      </c>
      <c r="AD16" s="3">
        <v>15.19</v>
      </c>
      <c r="AE16" s="3">
        <v>63</v>
      </c>
      <c r="AF16" s="3">
        <v>0</v>
      </c>
      <c r="AG16" s="3">
        <v>16.355429</v>
      </c>
      <c r="AH16" s="3">
        <v>0</v>
      </c>
      <c r="AI16" s="3" t="s">
        <v>412</v>
      </c>
      <c r="AJ16" s="3" t="s">
        <v>345</v>
      </c>
    </row>
    <row r="17" spans="1:36">
      <c r="A17" s="4">
        <v>43288</v>
      </c>
      <c r="B17" s="3" t="s">
        <v>413</v>
      </c>
      <c r="C17" s="3" t="s">
        <v>414</v>
      </c>
      <c r="D17" s="3" t="s">
        <v>415</v>
      </c>
      <c r="E17" s="3" t="s">
        <v>416</v>
      </c>
      <c r="F17" s="3" t="s">
        <v>340</v>
      </c>
      <c r="G17" s="3">
        <v>10</v>
      </c>
      <c r="H17" s="3">
        <v>0</v>
      </c>
      <c r="I17" s="3">
        <v>1</v>
      </c>
      <c r="J17" s="3">
        <v>1</v>
      </c>
      <c r="K17" s="3">
        <v>1</v>
      </c>
      <c r="L17" s="3">
        <v>7</v>
      </c>
      <c r="M17" s="3">
        <v>0</v>
      </c>
      <c r="N17" s="3" t="s">
        <v>341</v>
      </c>
      <c r="O17" s="3">
        <v>1</v>
      </c>
      <c r="P17" s="3">
        <v>0.69</v>
      </c>
      <c r="Q17" s="3">
        <v>7</v>
      </c>
      <c r="R17" s="3">
        <v>9.72</v>
      </c>
      <c r="S17" s="3">
        <v>0</v>
      </c>
      <c r="T17" s="3">
        <v>0</v>
      </c>
      <c r="U17" s="3">
        <v>2</v>
      </c>
      <c r="V17" s="3">
        <v>3</v>
      </c>
      <c r="W17" s="3" t="s">
        <v>381</v>
      </c>
      <c r="X17" s="3">
        <v>19.99</v>
      </c>
      <c r="Y17" s="3">
        <v>19.99</v>
      </c>
      <c r="Z17" s="3">
        <v>19.99</v>
      </c>
      <c r="AA17" s="3">
        <v>0</v>
      </c>
      <c r="AB17" s="3" t="s">
        <v>359</v>
      </c>
      <c r="AC17" s="3">
        <v>9</v>
      </c>
      <c r="AD17" s="3">
        <v>19.99</v>
      </c>
      <c r="AE17" s="3">
        <v>0</v>
      </c>
      <c r="AF17" s="3">
        <v>0</v>
      </c>
      <c r="AG17" s="3">
        <v>0</v>
      </c>
      <c r="AH17" s="3">
        <v>0.27906976744186</v>
      </c>
      <c r="AI17" s="3" t="s">
        <v>417</v>
      </c>
      <c r="AJ17" s="3" t="s">
        <v>345</v>
      </c>
    </row>
    <row r="18" spans="1:36">
      <c r="A18" s="4">
        <v>43288</v>
      </c>
      <c r="B18" s="3" t="s">
        <v>418</v>
      </c>
      <c r="C18" s="3" t="s">
        <v>419</v>
      </c>
      <c r="D18" s="3" t="s">
        <v>420</v>
      </c>
      <c r="E18" s="3" t="s">
        <v>22</v>
      </c>
      <c r="F18" s="3" t="s">
        <v>340</v>
      </c>
      <c r="G18" s="3">
        <v>5</v>
      </c>
      <c r="H18" s="3">
        <v>0</v>
      </c>
      <c r="I18" s="3">
        <v>5</v>
      </c>
      <c r="J18" s="3">
        <v>0</v>
      </c>
      <c r="K18" s="3">
        <v>0</v>
      </c>
      <c r="L18" s="3">
        <v>0</v>
      </c>
      <c r="M18" s="3">
        <v>0</v>
      </c>
      <c r="N18" s="3" t="s">
        <v>341</v>
      </c>
      <c r="O18" s="3">
        <v>0</v>
      </c>
      <c r="P18" s="3">
        <v>0</v>
      </c>
      <c r="Q18" s="3">
        <v>0</v>
      </c>
      <c r="R18" s="3">
        <v>0</v>
      </c>
      <c r="S18" s="3">
        <v>2</v>
      </c>
      <c r="T18" s="3">
        <v>12</v>
      </c>
      <c r="U18" s="3">
        <v>26</v>
      </c>
      <c r="V18" s="3">
        <v>34</v>
      </c>
      <c r="W18" s="3"/>
      <c r="X18" s="3">
        <v>14.99</v>
      </c>
      <c r="Y18" s="3">
        <v>14.99</v>
      </c>
      <c r="Z18" s="3">
        <v>14.99</v>
      </c>
      <c r="AA18" s="3">
        <v>0</v>
      </c>
      <c r="AB18" s="3" t="s">
        <v>359</v>
      </c>
      <c r="AC18" s="3">
        <v>7</v>
      </c>
      <c r="AD18" s="3">
        <v>14.99</v>
      </c>
      <c r="AE18" s="3">
        <v>0</v>
      </c>
      <c r="AF18" s="3">
        <v>0</v>
      </c>
      <c r="AG18" s="3">
        <v>0</v>
      </c>
      <c r="AH18" s="3">
        <v>7.1578947368421</v>
      </c>
      <c r="AI18" s="3" t="s">
        <v>421</v>
      </c>
      <c r="AJ18" s="3" t="s">
        <v>345</v>
      </c>
    </row>
    <row r="19" spans="1:36">
      <c r="A19" s="4">
        <v>43288</v>
      </c>
      <c r="B19" s="3" t="s">
        <v>422</v>
      </c>
      <c r="C19" s="3" t="s">
        <v>423</v>
      </c>
      <c r="D19" s="3" t="s">
        <v>424</v>
      </c>
      <c r="E19" s="3" t="s">
        <v>411</v>
      </c>
      <c r="F19" s="3" t="s">
        <v>340</v>
      </c>
      <c r="G19" s="3">
        <v>1</v>
      </c>
      <c r="H19" s="3">
        <v>0</v>
      </c>
      <c r="I19" s="3">
        <v>0</v>
      </c>
      <c r="J19" s="3">
        <v>0</v>
      </c>
      <c r="K19" s="3">
        <v>0</v>
      </c>
      <c r="L19" s="3">
        <v>1</v>
      </c>
      <c r="M19" s="3">
        <v>0</v>
      </c>
      <c r="N19" s="3" t="s">
        <v>341</v>
      </c>
      <c r="O19" s="3">
        <v>0</v>
      </c>
      <c r="P19" s="3">
        <v>0</v>
      </c>
      <c r="Q19" s="3">
        <v>1</v>
      </c>
      <c r="R19" s="3">
        <v>1.23</v>
      </c>
      <c r="S19" s="3">
        <v>0</v>
      </c>
      <c r="T19" s="3">
        <v>0</v>
      </c>
      <c r="U19" s="3">
        <v>0</v>
      </c>
      <c r="V19" s="3">
        <v>0</v>
      </c>
      <c r="W19" s="3" t="s">
        <v>342</v>
      </c>
      <c r="X19" s="3">
        <v>19.9</v>
      </c>
      <c r="Y19" s="3">
        <v>19.9</v>
      </c>
      <c r="Z19" s="3">
        <v>19.5</v>
      </c>
      <c r="AA19" s="3">
        <v>0</v>
      </c>
      <c r="AB19" s="3" t="s">
        <v>343</v>
      </c>
      <c r="AC19" s="3">
        <v>0</v>
      </c>
      <c r="AD19" s="3">
        <v>15.92</v>
      </c>
      <c r="AE19" s="3">
        <v>63</v>
      </c>
      <c r="AF19" s="3">
        <v>0</v>
      </c>
      <c r="AG19" s="3">
        <v>8.198783</v>
      </c>
      <c r="AH19" s="3">
        <v>0</v>
      </c>
      <c r="AI19" s="3" t="s">
        <v>425</v>
      </c>
      <c r="AJ19" s="3" t="s">
        <v>345</v>
      </c>
    </row>
    <row r="20" spans="1:36">
      <c r="A20" s="4">
        <v>43288</v>
      </c>
      <c r="B20" s="3" t="s">
        <v>426</v>
      </c>
      <c r="C20" s="3" t="s">
        <v>427</v>
      </c>
      <c r="D20" s="3" t="s">
        <v>428</v>
      </c>
      <c r="E20" s="3" t="s">
        <v>429</v>
      </c>
      <c r="F20" s="3" t="s">
        <v>340</v>
      </c>
      <c r="G20" s="3">
        <v>7</v>
      </c>
      <c r="H20" s="3">
        <v>0</v>
      </c>
      <c r="I20" s="3">
        <v>7</v>
      </c>
      <c r="J20" s="3">
        <v>0</v>
      </c>
      <c r="K20" s="3">
        <v>0</v>
      </c>
      <c r="L20" s="3">
        <v>0</v>
      </c>
      <c r="M20" s="3">
        <v>0</v>
      </c>
      <c r="N20" s="3" t="s">
        <v>341</v>
      </c>
      <c r="O20" s="3">
        <v>0</v>
      </c>
      <c r="P20" s="3">
        <v>0</v>
      </c>
      <c r="Q20" s="3">
        <v>0</v>
      </c>
      <c r="R20" s="3">
        <v>0</v>
      </c>
      <c r="S20" s="3">
        <v>1</v>
      </c>
      <c r="T20" s="3">
        <v>6</v>
      </c>
      <c r="U20" s="3">
        <v>15</v>
      </c>
      <c r="V20" s="3">
        <v>15</v>
      </c>
      <c r="W20" s="3"/>
      <c r="X20" s="3">
        <v>19.99</v>
      </c>
      <c r="Y20" s="3">
        <v>19.99</v>
      </c>
      <c r="Z20" s="3">
        <v>19.99</v>
      </c>
      <c r="AA20" s="3">
        <v>0</v>
      </c>
      <c r="AB20" s="3" t="s">
        <v>359</v>
      </c>
      <c r="AC20" s="3">
        <v>8</v>
      </c>
      <c r="AD20" s="3">
        <v>19.99</v>
      </c>
      <c r="AE20" s="3">
        <v>0</v>
      </c>
      <c r="AF20" s="3">
        <v>0</v>
      </c>
      <c r="AG20" s="3">
        <v>0</v>
      </c>
      <c r="AH20" s="3">
        <v>2.36842105263157</v>
      </c>
      <c r="AI20" s="3" t="s">
        <v>430</v>
      </c>
      <c r="AJ20" s="3" t="s">
        <v>345</v>
      </c>
    </row>
    <row r="21" spans="1:36">
      <c r="A21" s="4">
        <v>43288</v>
      </c>
      <c r="B21" s="3" t="s">
        <v>50</v>
      </c>
      <c r="C21" s="3" t="s">
        <v>51</v>
      </c>
      <c r="D21" s="3" t="s">
        <v>52</v>
      </c>
      <c r="E21" s="3" t="s">
        <v>53</v>
      </c>
      <c r="F21" s="3" t="s">
        <v>340</v>
      </c>
      <c r="G21" s="3">
        <v>34</v>
      </c>
      <c r="H21" s="3">
        <v>0</v>
      </c>
      <c r="I21" s="3">
        <v>34</v>
      </c>
      <c r="J21" s="3">
        <v>0</v>
      </c>
      <c r="K21" s="3">
        <v>0</v>
      </c>
      <c r="L21" s="3">
        <v>0</v>
      </c>
      <c r="M21" s="3">
        <v>0</v>
      </c>
      <c r="N21" s="3" t="s">
        <v>341</v>
      </c>
      <c r="O21" s="3">
        <v>0</v>
      </c>
      <c r="P21" s="3">
        <v>0</v>
      </c>
      <c r="Q21" s="3">
        <v>0</v>
      </c>
      <c r="R21" s="3">
        <v>0</v>
      </c>
      <c r="S21" s="3">
        <v>3</v>
      </c>
      <c r="T21" s="3">
        <v>32</v>
      </c>
      <c r="U21" s="3">
        <v>78</v>
      </c>
      <c r="V21" s="3">
        <v>116</v>
      </c>
      <c r="W21" s="3"/>
      <c r="X21" s="3">
        <v>18.98</v>
      </c>
      <c r="Y21" s="3">
        <v>18.98</v>
      </c>
      <c r="Z21" s="3">
        <v>18.98</v>
      </c>
      <c r="AA21" s="3">
        <v>0</v>
      </c>
      <c r="AB21" s="3" t="s">
        <v>359</v>
      </c>
      <c r="AC21" s="3">
        <v>37</v>
      </c>
      <c r="AD21" s="3">
        <v>18.98</v>
      </c>
      <c r="AE21" s="3">
        <v>0</v>
      </c>
      <c r="AF21" s="3">
        <v>0</v>
      </c>
      <c r="AG21" s="3">
        <v>0</v>
      </c>
      <c r="AH21" s="3">
        <v>3.68253968253968</v>
      </c>
      <c r="AI21" s="3" t="s">
        <v>431</v>
      </c>
      <c r="AJ21" s="3" t="s">
        <v>345</v>
      </c>
    </row>
    <row r="22" spans="1:36">
      <c r="A22" s="4">
        <v>43288</v>
      </c>
      <c r="B22" s="3" t="s">
        <v>432</v>
      </c>
      <c r="C22" s="3" t="s">
        <v>433</v>
      </c>
      <c r="D22" s="3" t="s">
        <v>434</v>
      </c>
      <c r="E22" s="3" t="s">
        <v>213</v>
      </c>
      <c r="F22" s="3" t="s">
        <v>340</v>
      </c>
      <c r="G22" s="3">
        <v>6</v>
      </c>
      <c r="H22" s="3">
        <v>0</v>
      </c>
      <c r="I22" s="3">
        <v>0</v>
      </c>
      <c r="J22" s="3">
        <v>6</v>
      </c>
      <c r="K22" s="3">
        <v>0</v>
      </c>
      <c r="L22" s="3">
        <v>0</v>
      </c>
      <c r="M22" s="3">
        <v>0</v>
      </c>
      <c r="N22" s="3" t="s">
        <v>341</v>
      </c>
      <c r="O22" s="3">
        <v>1</v>
      </c>
      <c r="P22" s="3">
        <v>0.39</v>
      </c>
      <c r="Q22" s="3">
        <v>0</v>
      </c>
      <c r="R22" s="3">
        <v>0</v>
      </c>
      <c r="S22" s="3">
        <v>0</v>
      </c>
      <c r="T22" s="3">
        <v>1</v>
      </c>
      <c r="U22" s="3">
        <v>2</v>
      </c>
      <c r="V22" s="3">
        <v>3</v>
      </c>
      <c r="W22" s="3"/>
      <c r="X22" s="3">
        <v>20.99</v>
      </c>
      <c r="Y22" s="3">
        <v>20.99</v>
      </c>
      <c r="Z22" s="3">
        <v>20.99</v>
      </c>
      <c r="AA22" s="3">
        <v>0</v>
      </c>
      <c r="AB22" s="3" t="s">
        <v>359</v>
      </c>
      <c r="AC22" s="3">
        <v>6</v>
      </c>
      <c r="AD22" s="3">
        <v>20.99</v>
      </c>
      <c r="AE22" s="3">
        <v>0</v>
      </c>
      <c r="AF22" s="3">
        <v>0</v>
      </c>
      <c r="AG22" s="3">
        <v>0</v>
      </c>
      <c r="AH22" s="3">
        <v>0.342857142857142</v>
      </c>
      <c r="AI22" s="3" t="s">
        <v>435</v>
      </c>
      <c r="AJ22" s="3" t="s">
        <v>345</v>
      </c>
    </row>
    <row r="23" spans="1:36">
      <c r="A23" s="4">
        <v>43288</v>
      </c>
      <c r="B23" s="3" t="s">
        <v>436</v>
      </c>
      <c r="C23" s="3" t="s">
        <v>437</v>
      </c>
      <c r="D23" s="3" t="s">
        <v>438</v>
      </c>
      <c r="E23" s="3" t="s">
        <v>439</v>
      </c>
      <c r="F23" s="3" t="s">
        <v>340</v>
      </c>
      <c r="G23" s="3">
        <v>1</v>
      </c>
      <c r="H23" s="3">
        <v>0</v>
      </c>
      <c r="I23" s="3">
        <v>0</v>
      </c>
      <c r="J23" s="3">
        <v>0</v>
      </c>
      <c r="K23" s="3">
        <v>1</v>
      </c>
      <c r="L23" s="3">
        <v>0</v>
      </c>
      <c r="M23" s="3">
        <v>0</v>
      </c>
      <c r="N23" s="3" t="s">
        <v>341</v>
      </c>
      <c r="O23" s="3">
        <v>1</v>
      </c>
      <c r="P23" s="3">
        <v>2.14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381</v>
      </c>
      <c r="X23" s="3">
        <v>16.99</v>
      </c>
      <c r="Y23" s="3">
        <v>16.99</v>
      </c>
      <c r="Z23" s="3">
        <v>16.99</v>
      </c>
      <c r="AA23" s="3">
        <v>0</v>
      </c>
      <c r="AB23" s="3" t="s">
        <v>343</v>
      </c>
      <c r="AC23" s="3">
        <v>0</v>
      </c>
      <c r="AD23" s="3">
        <v>15.01</v>
      </c>
      <c r="AE23" s="3">
        <v>35</v>
      </c>
      <c r="AF23" s="3">
        <v>0</v>
      </c>
      <c r="AG23" s="3">
        <v>30.253738</v>
      </c>
      <c r="AH23" s="3">
        <v>0</v>
      </c>
      <c r="AI23" s="3" t="s">
        <v>440</v>
      </c>
      <c r="AJ23" s="3" t="s">
        <v>345</v>
      </c>
    </row>
    <row r="24" spans="1:36">
      <c r="A24" s="4">
        <v>43288</v>
      </c>
      <c r="B24" s="3" t="s">
        <v>441</v>
      </c>
      <c r="C24" s="3" t="s">
        <v>442</v>
      </c>
      <c r="D24" s="3" t="s">
        <v>443</v>
      </c>
      <c r="E24" s="3" t="s">
        <v>444</v>
      </c>
      <c r="F24" s="3" t="s">
        <v>340</v>
      </c>
      <c r="G24" s="3">
        <v>1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 t="s">
        <v>341</v>
      </c>
      <c r="O24" s="3">
        <v>0</v>
      </c>
      <c r="P24" s="3">
        <v>0</v>
      </c>
      <c r="Q24" s="3">
        <v>1</v>
      </c>
      <c r="R24" s="3">
        <v>6.39</v>
      </c>
      <c r="S24" s="3">
        <v>0</v>
      </c>
      <c r="T24" s="3">
        <v>0</v>
      </c>
      <c r="U24" s="3">
        <v>0</v>
      </c>
      <c r="V24" s="3">
        <v>0</v>
      </c>
      <c r="W24" s="3" t="s">
        <v>342</v>
      </c>
      <c r="X24" s="3">
        <v>23.99</v>
      </c>
      <c r="Y24" s="3">
        <v>23.99</v>
      </c>
      <c r="Z24" s="3">
        <v>23.99</v>
      </c>
      <c r="AA24" s="3">
        <v>0</v>
      </c>
      <c r="AB24" s="3" t="s">
        <v>343</v>
      </c>
      <c r="AC24" s="3">
        <v>0</v>
      </c>
      <c r="AD24" s="3">
        <v>19.19</v>
      </c>
      <c r="AE24" s="3">
        <v>63</v>
      </c>
      <c r="AF24" s="3">
        <v>0</v>
      </c>
      <c r="AG24" s="3">
        <v>41.957623</v>
      </c>
      <c r="AH24" s="3">
        <v>0</v>
      </c>
      <c r="AI24" s="3" t="s">
        <v>445</v>
      </c>
      <c r="AJ24" s="3" t="s">
        <v>345</v>
      </c>
    </row>
    <row r="25" spans="1:36">
      <c r="A25" s="4">
        <v>43288</v>
      </c>
      <c r="B25" s="3" t="s">
        <v>446</v>
      </c>
      <c r="C25" s="3" t="s">
        <v>447</v>
      </c>
      <c r="D25" s="3" t="s">
        <v>448</v>
      </c>
      <c r="E25" s="3" t="s">
        <v>449</v>
      </c>
      <c r="F25" s="3" t="s">
        <v>340</v>
      </c>
      <c r="G25" s="3">
        <v>1</v>
      </c>
      <c r="H25" s="3">
        <v>0</v>
      </c>
      <c r="I25" s="3">
        <v>0</v>
      </c>
      <c r="J25" s="3">
        <v>1</v>
      </c>
      <c r="K25" s="3">
        <v>0</v>
      </c>
      <c r="L25" s="3">
        <v>0</v>
      </c>
      <c r="M25" s="3">
        <v>0</v>
      </c>
      <c r="N25" s="3" t="s">
        <v>341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 t="s">
        <v>342</v>
      </c>
      <c r="X25" s="3">
        <v>12.99</v>
      </c>
      <c r="Y25" s="3">
        <v>12.99</v>
      </c>
      <c r="Z25" s="3">
        <v>12.99</v>
      </c>
      <c r="AA25" s="3">
        <v>0</v>
      </c>
      <c r="AB25" s="3" t="s">
        <v>349</v>
      </c>
      <c r="AC25" s="3">
        <v>1</v>
      </c>
      <c r="AD25" s="3">
        <v>12.99</v>
      </c>
      <c r="AE25" s="3">
        <v>0</v>
      </c>
      <c r="AF25" s="3">
        <v>0</v>
      </c>
      <c r="AG25" s="3">
        <v>0</v>
      </c>
      <c r="AH25" s="3">
        <v>0</v>
      </c>
      <c r="AI25" s="3" t="s">
        <v>450</v>
      </c>
      <c r="AJ25" s="3" t="s">
        <v>345</v>
      </c>
    </row>
    <row r="26" spans="1:36">
      <c r="A26" s="4">
        <v>43288</v>
      </c>
      <c r="B26" s="3" t="s">
        <v>451</v>
      </c>
      <c r="C26" s="3" t="s">
        <v>452</v>
      </c>
      <c r="D26" s="3" t="s">
        <v>453</v>
      </c>
      <c r="E26" s="3" t="s">
        <v>454</v>
      </c>
      <c r="F26" s="3" t="s">
        <v>340</v>
      </c>
      <c r="G26" s="3">
        <v>8</v>
      </c>
      <c r="H26" s="3">
        <v>0</v>
      </c>
      <c r="I26" s="3">
        <v>0</v>
      </c>
      <c r="J26" s="3">
        <v>8</v>
      </c>
      <c r="K26" s="3">
        <v>0</v>
      </c>
      <c r="L26" s="3">
        <v>0</v>
      </c>
      <c r="M26" s="3">
        <v>0</v>
      </c>
      <c r="N26" s="3" t="s">
        <v>341</v>
      </c>
      <c r="O26" s="3">
        <v>5</v>
      </c>
      <c r="P26" s="3">
        <v>13.52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1</v>
      </c>
      <c r="W26" s="3" t="s">
        <v>381</v>
      </c>
      <c r="X26" s="3">
        <v>16.99</v>
      </c>
      <c r="Y26" s="3">
        <v>16.99</v>
      </c>
      <c r="Z26" s="3">
        <v>16.99</v>
      </c>
      <c r="AA26" s="3">
        <v>0</v>
      </c>
      <c r="AB26" s="3" t="s">
        <v>343</v>
      </c>
      <c r="AC26" s="3">
        <v>4</v>
      </c>
      <c r="AD26" s="3">
        <v>14.45</v>
      </c>
      <c r="AE26" s="3">
        <v>14</v>
      </c>
      <c r="AF26" s="3">
        <v>0</v>
      </c>
      <c r="AG26" s="3">
        <v>306.31312</v>
      </c>
      <c r="AH26" s="3">
        <v>0.0909090909090909</v>
      </c>
      <c r="AI26" s="3" t="s">
        <v>455</v>
      </c>
      <c r="AJ26" s="3" t="s">
        <v>345</v>
      </c>
    </row>
    <row r="27" spans="1:36">
      <c r="A27" s="4">
        <v>43288</v>
      </c>
      <c r="B27" s="3" t="s">
        <v>456</v>
      </c>
      <c r="C27" s="3" t="s">
        <v>457</v>
      </c>
      <c r="D27" s="3" t="s">
        <v>458</v>
      </c>
      <c r="E27" s="3" t="s">
        <v>459</v>
      </c>
      <c r="F27" s="3" t="s">
        <v>340</v>
      </c>
      <c r="G27" s="3">
        <v>4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 s="3" t="s">
        <v>341</v>
      </c>
      <c r="O27" s="3">
        <v>0</v>
      </c>
      <c r="P27" s="3">
        <v>0</v>
      </c>
      <c r="Q27" s="3">
        <v>4</v>
      </c>
      <c r="R27" s="3">
        <v>2</v>
      </c>
      <c r="S27" s="3">
        <v>0</v>
      </c>
      <c r="T27" s="3">
        <v>0</v>
      </c>
      <c r="U27" s="3">
        <v>1</v>
      </c>
      <c r="V27" s="3">
        <v>1</v>
      </c>
      <c r="W27" s="3" t="s">
        <v>342</v>
      </c>
      <c r="X27" s="3">
        <v>17.99</v>
      </c>
      <c r="Y27" s="3">
        <v>17.99</v>
      </c>
      <c r="Z27" s="3">
        <v>17.99</v>
      </c>
      <c r="AA27" s="3">
        <v>0</v>
      </c>
      <c r="AB27" s="3" t="s">
        <v>343</v>
      </c>
      <c r="AC27" s="3">
        <v>0</v>
      </c>
      <c r="AD27" s="3">
        <v>14.39</v>
      </c>
      <c r="AE27" s="3">
        <v>63</v>
      </c>
      <c r="AF27" s="3">
        <v>0</v>
      </c>
      <c r="AG27" s="3">
        <v>6.181965</v>
      </c>
      <c r="AH27" s="3">
        <v>0.222222222222222</v>
      </c>
      <c r="AI27" s="3" t="s">
        <v>355</v>
      </c>
      <c r="AJ27" s="3" t="s">
        <v>345</v>
      </c>
    </row>
    <row r="28" spans="1:36">
      <c r="A28" s="4">
        <v>43288</v>
      </c>
      <c r="B28" s="3" t="s">
        <v>460</v>
      </c>
      <c r="C28" s="3" t="s">
        <v>461</v>
      </c>
      <c r="D28" s="3" t="s">
        <v>462</v>
      </c>
      <c r="E28" s="3" t="s">
        <v>463</v>
      </c>
      <c r="F28" s="3" t="s">
        <v>340</v>
      </c>
      <c r="G28" s="3">
        <v>1</v>
      </c>
      <c r="H28" s="3">
        <v>0</v>
      </c>
      <c r="I28" s="3">
        <v>1</v>
      </c>
      <c r="J28" s="3">
        <v>0</v>
      </c>
      <c r="K28" s="3">
        <v>0</v>
      </c>
      <c r="L28" s="3">
        <v>0</v>
      </c>
      <c r="M28" s="3">
        <v>0</v>
      </c>
      <c r="N28" s="3" t="s">
        <v>341</v>
      </c>
      <c r="O28" s="3">
        <v>0</v>
      </c>
      <c r="P28" s="3">
        <v>0</v>
      </c>
      <c r="Q28" s="3">
        <v>0</v>
      </c>
      <c r="R28" s="3">
        <v>0</v>
      </c>
      <c r="S28" s="3">
        <v>1</v>
      </c>
      <c r="T28" s="3">
        <v>1</v>
      </c>
      <c r="U28" s="3">
        <v>4</v>
      </c>
      <c r="V28" s="3">
        <v>4</v>
      </c>
      <c r="W28" s="3"/>
      <c r="X28" s="3">
        <v>16.99</v>
      </c>
      <c r="Y28" s="3">
        <v>16.99</v>
      </c>
      <c r="Z28" s="3">
        <v>16.99</v>
      </c>
      <c r="AA28" s="3">
        <v>0</v>
      </c>
      <c r="AB28" s="3" t="s">
        <v>359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2.28571428571428</v>
      </c>
      <c r="AI28" s="3" t="s">
        <v>464</v>
      </c>
      <c r="AJ28" s="3" t="s">
        <v>345</v>
      </c>
    </row>
    <row r="29" spans="1:36">
      <c r="A29" s="4">
        <v>43288</v>
      </c>
      <c r="B29" s="3" t="s">
        <v>465</v>
      </c>
      <c r="C29" s="3" t="s">
        <v>466</v>
      </c>
      <c r="D29" s="3" t="s">
        <v>467</v>
      </c>
      <c r="E29" s="3" t="s">
        <v>468</v>
      </c>
      <c r="F29" s="3" t="s">
        <v>340</v>
      </c>
      <c r="G29" s="3">
        <v>5</v>
      </c>
      <c r="H29" s="3">
        <v>0</v>
      </c>
      <c r="I29" s="3">
        <v>0</v>
      </c>
      <c r="J29" s="3">
        <v>0</v>
      </c>
      <c r="K29" s="3">
        <v>5</v>
      </c>
      <c r="L29" s="3">
        <v>0</v>
      </c>
      <c r="M29" s="3">
        <v>0</v>
      </c>
      <c r="N29" s="3" t="s">
        <v>341</v>
      </c>
      <c r="O29" s="3">
        <v>5</v>
      </c>
      <c r="P29" s="3">
        <v>5.73</v>
      </c>
      <c r="Q29" s="3">
        <v>0</v>
      </c>
      <c r="R29" s="3">
        <v>0</v>
      </c>
      <c r="S29" s="3">
        <v>1</v>
      </c>
      <c r="T29" s="3">
        <v>1</v>
      </c>
      <c r="U29" s="3">
        <v>1</v>
      </c>
      <c r="V29" s="3">
        <v>2</v>
      </c>
      <c r="W29" s="3" t="s">
        <v>342</v>
      </c>
      <c r="X29" s="3">
        <v>17.99</v>
      </c>
      <c r="Y29" s="3">
        <v>17.99</v>
      </c>
      <c r="Z29" s="3">
        <v>17.99</v>
      </c>
      <c r="AA29" s="3">
        <v>0</v>
      </c>
      <c r="AB29" s="3" t="s">
        <v>349</v>
      </c>
      <c r="AC29" s="3">
        <v>0</v>
      </c>
      <c r="AD29" s="3">
        <v>15.33</v>
      </c>
      <c r="AE29" s="3">
        <v>217</v>
      </c>
      <c r="AF29" s="3">
        <v>0</v>
      </c>
      <c r="AG29" s="3">
        <v>119.148687</v>
      </c>
      <c r="AH29" s="3">
        <v>0.266666666666666</v>
      </c>
      <c r="AI29" s="3" t="s">
        <v>469</v>
      </c>
      <c r="AJ29" s="3" t="s">
        <v>345</v>
      </c>
    </row>
    <row r="30" spans="1:36">
      <c r="A30" s="4">
        <v>43288</v>
      </c>
      <c r="B30" s="3" t="s">
        <v>470</v>
      </c>
      <c r="C30" s="3" t="s">
        <v>471</v>
      </c>
      <c r="D30" s="3" t="s">
        <v>472</v>
      </c>
      <c r="E30" s="3" t="s">
        <v>473</v>
      </c>
      <c r="F30" s="3" t="s">
        <v>340</v>
      </c>
      <c r="G30" s="3">
        <v>9</v>
      </c>
      <c r="H30" s="3">
        <v>0</v>
      </c>
      <c r="I30" s="3">
        <v>2</v>
      </c>
      <c r="J30" s="3">
        <v>7</v>
      </c>
      <c r="K30" s="3">
        <v>0</v>
      </c>
      <c r="L30" s="3">
        <v>0</v>
      </c>
      <c r="M30" s="3">
        <v>0</v>
      </c>
      <c r="N30" s="3" t="s">
        <v>341</v>
      </c>
      <c r="O30" s="3">
        <v>7</v>
      </c>
      <c r="P30" s="3">
        <v>8.71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342</v>
      </c>
      <c r="X30" s="3">
        <v>15.99</v>
      </c>
      <c r="Y30" s="3">
        <v>15.99</v>
      </c>
      <c r="Z30" s="3">
        <v>15.99</v>
      </c>
      <c r="AA30" s="3">
        <v>0</v>
      </c>
      <c r="AB30" s="3" t="s">
        <v>349</v>
      </c>
      <c r="AC30" s="3">
        <v>0</v>
      </c>
      <c r="AD30" s="3">
        <v>14.07</v>
      </c>
      <c r="AE30" s="3">
        <v>154</v>
      </c>
      <c r="AF30" s="3">
        <v>0</v>
      </c>
      <c r="AG30" s="3">
        <v>186.80606</v>
      </c>
      <c r="AH30" s="3">
        <v>0</v>
      </c>
      <c r="AI30" s="3" t="s">
        <v>397</v>
      </c>
      <c r="AJ30" s="3" t="s">
        <v>345</v>
      </c>
    </row>
    <row r="31" spans="1:36">
      <c r="A31" s="4">
        <v>43288</v>
      </c>
      <c r="B31" s="3" t="s">
        <v>474</v>
      </c>
      <c r="C31" s="3" t="s">
        <v>475</v>
      </c>
      <c r="D31" s="3" t="s">
        <v>476</v>
      </c>
      <c r="E31" s="3" t="s">
        <v>477</v>
      </c>
      <c r="F31" s="3" t="s">
        <v>340</v>
      </c>
      <c r="G31" s="3">
        <v>4</v>
      </c>
      <c r="H31" s="3">
        <v>0</v>
      </c>
      <c r="I31" s="3">
        <v>1</v>
      </c>
      <c r="J31" s="3">
        <v>0</v>
      </c>
      <c r="K31" s="3">
        <v>0</v>
      </c>
      <c r="L31" s="3">
        <v>3</v>
      </c>
      <c r="M31" s="3">
        <v>0</v>
      </c>
      <c r="N31" s="3" t="s">
        <v>341</v>
      </c>
      <c r="O31" s="3">
        <v>1</v>
      </c>
      <c r="P31" s="3">
        <v>0.52</v>
      </c>
      <c r="Q31" s="3">
        <v>2</v>
      </c>
      <c r="R31" s="3">
        <v>2.08</v>
      </c>
      <c r="S31" s="3">
        <v>0</v>
      </c>
      <c r="T31" s="3">
        <v>0</v>
      </c>
      <c r="U31" s="3">
        <v>1</v>
      </c>
      <c r="V31" s="3">
        <v>1</v>
      </c>
      <c r="W31" s="3" t="s">
        <v>342</v>
      </c>
      <c r="X31" s="3">
        <v>18.18</v>
      </c>
      <c r="Y31" s="3">
        <v>18.18</v>
      </c>
      <c r="Z31" s="3">
        <v>18.18</v>
      </c>
      <c r="AA31" s="3">
        <v>0</v>
      </c>
      <c r="AB31" s="3" t="s">
        <v>359</v>
      </c>
      <c r="AC31" s="3">
        <v>4</v>
      </c>
      <c r="AD31" s="3">
        <v>18.18</v>
      </c>
      <c r="AE31" s="3">
        <v>0</v>
      </c>
      <c r="AF31" s="3">
        <v>0</v>
      </c>
      <c r="AG31" s="3">
        <v>0</v>
      </c>
      <c r="AH31" s="3">
        <v>0.266666666666666</v>
      </c>
      <c r="AI31" s="3" t="s">
        <v>478</v>
      </c>
      <c r="AJ31" s="3" t="s">
        <v>345</v>
      </c>
    </row>
    <row r="32" spans="1:36">
      <c r="A32" s="4">
        <v>43288</v>
      </c>
      <c r="B32" s="3" t="s">
        <v>479</v>
      </c>
      <c r="C32" s="3" t="s">
        <v>480</v>
      </c>
      <c r="D32" s="3" t="s">
        <v>481</v>
      </c>
      <c r="E32" s="3" t="s">
        <v>111</v>
      </c>
      <c r="F32" s="3" t="s">
        <v>340</v>
      </c>
      <c r="G32" s="3">
        <v>3</v>
      </c>
      <c r="H32" s="3">
        <v>0</v>
      </c>
      <c r="I32" s="3">
        <v>3</v>
      </c>
      <c r="J32" s="3">
        <v>0</v>
      </c>
      <c r="K32" s="3">
        <v>0</v>
      </c>
      <c r="L32" s="3">
        <v>0</v>
      </c>
      <c r="M32" s="3">
        <v>0</v>
      </c>
      <c r="N32" s="3" t="s">
        <v>341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3</v>
      </c>
      <c r="U32" s="3">
        <v>3</v>
      </c>
      <c r="V32" s="3">
        <v>3</v>
      </c>
      <c r="W32" s="3"/>
      <c r="X32" s="3">
        <v>16.99</v>
      </c>
      <c r="Y32" s="3">
        <v>16.99</v>
      </c>
      <c r="Z32" s="3">
        <v>16.99</v>
      </c>
      <c r="AA32" s="3">
        <v>0</v>
      </c>
      <c r="AB32" s="3" t="s">
        <v>359</v>
      </c>
      <c r="AC32" s="3">
        <v>3</v>
      </c>
      <c r="AD32" s="3">
        <v>16.99</v>
      </c>
      <c r="AE32" s="3">
        <v>0</v>
      </c>
      <c r="AF32" s="3">
        <v>0</v>
      </c>
      <c r="AG32" s="3">
        <v>0</v>
      </c>
      <c r="AH32" s="3">
        <v>0.8</v>
      </c>
      <c r="AI32" s="3" t="s">
        <v>482</v>
      </c>
      <c r="AJ32" s="3" t="s">
        <v>345</v>
      </c>
    </row>
    <row r="33" spans="1:36">
      <c r="A33" s="4">
        <v>43288</v>
      </c>
      <c r="B33" s="3" t="s">
        <v>483</v>
      </c>
      <c r="C33" s="3" t="s">
        <v>484</v>
      </c>
      <c r="D33" s="3" t="s">
        <v>485</v>
      </c>
      <c r="E33" s="3" t="s">
        <v>123</v>
      </c>
      <c r="F33" s="3" t="s">
        <v>340</v>
      </c>
      <c r="G33" s="3">
        <v>1</v>
      </c>
      <c r="H33" s="3">
        <v>0</v>
      </c>
      <c r="I33" s="3">
        <v>1</v>
      </c>
      <c r="J33" s="3">
        <v>0</v>
      </c>
      <c r="K33" s="3">
        <v>0</v>
      </c>
      <c r="L33" s="3">
        <v>0</v>
      </c>
      <c r="M33" s="3">
        <v>0</v>
      </c>
      <c r="N33" s="3" t="s">
        <v>341</v>
      </c>
      <c r="O33" s="3">
        <v>0</v>
      </c>
      <c r="P33" s="3">
        <v>0</v>
      </c>
      <c r="Q33" s="3">
        <v>0</v>
      </c>
      <c r="R33" s="3">
        <v>0</v>
      </c>
      <c r="S33" s="3">
        <v>1</v>
      </c>
      <c r="T33" s="3">
        <v>1</v>
      </c>
      <c r="U33" s="3">
        <v>6</v>
      </c>
      <c r="V33" s="3">
        <v>6</v>
      </c>
      <c r="W33" s="3"/>
      <c r="X33" s="3">
        <v>19.99</v>
      </c>
      <c r="Y33" s="3">
        <v>19.99</v>
      </c>
      <c r="Z33" s="3">
        <v>19.99</v>
      </c>
      <c r="AA33" s="3">
        <v>0</v>
      </c>
      <c r="AB33" s="3" t="s">
        <v>359</v>
      </c>
      <c r="AC33" s="3">
        <v>2</v>
      </c>
      <c r="AD33" s="3">
        <v>19.99</v>
      </c>
      <c r="AE33" s="3">
        <v>0</v>
      </c>
      <c r="AF33" s="3">
        <v>0</v>
      </c>
      <c r="AG33" s="3">
        <v>0</v>
      </c>
      <c r="AH33" s="3">
        <v>3</v>
      </c>
      <c r="AI33" s="3" t="s">
        <v>486</v>
      </c>
      <c r="AJ33" s="3" t="s">
        <v>345</v>
      </c>
    </row>
    <row r="34" spans="1:36">
      <c r="A34" s="4">
        <v>43288</v>
      </c>
      <c r="B34" s="3" t="s">
        <v>487</v>
      </c>
      <c r="C34" s="3" t="s">
        <v>488</v>
      </c>
      <c r="D34" s="3" t="s">
        <v>489</v>
      </c>
      <c r="E34" s="3" t="s">
        <v>490</v>
      </c>
      <c r="F34" s="3" t="s">
        <v>340</v>
      </c>
      <c r="G34" s="3">
        <v>2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2</v>
      </c>
      <c r="N34" s="3" t="s">
        <v>341</v>
      </c>
      <c r="O34" s="3">
        <v>0</v>
      </c>
      <c r="P34" s="3">
        <v>0</v>
      </c>
      <c r="Q34" s="3">
        <v>2</v>
      </c>
      <c r="R34" s="3">
        <v>2.5</v>
      </c>
      <c r="S34" s="3">
        <v>0</v>
      </c>
      <c r="T34" s="3">
        <v>0</v>
      </c>
      <c r="U34" s="3">
        <v>0</v>
      </c>
      <c r="V34" s="3">
        <v>0</v>
      </c>
      <c r="W34" s="3" t="s">
        <v>342</v>
      </c>
      <c r="X34" s="3">
        <v>16.99</v>
      </c>
      <c r="Y34" s="3">
        <v>16.99</v>
      </c>
      <c r="Z34" s="3">
        <v>16.99</v>
      </c>
      <c r="AA34" s="3">
        <v>0</v>
      </c>
      <c r="AB34" s="3" t="s">
        <v>343</v>
      </c>
      <c r="AC34" s="3">
        <v>0</v>
      </c>
      <c r="AD34" s="3">
        <v>13.59</v>
      </c>
      <c r="AE34" s="3">
        <v>63</v>
      </c>
      <c r="AF34" s="3">
        <v>0</v>
      </c>
      <c r="AG34" s="3">
        <v>16.542668</v>
      </c>
      <c r="AH34" s="3">
        <v>0</v>
      </c>
      <c r="AI34" s="3" t="s">
        <v>491</v>
      </c>
      <c r="AJ34" s="3" t="s">
        <v>345</v>
      </c>
    </row>
    <row r="35" spans="1:36">
      <c r="A35" s="4">
        <v>43288</v>
      </c>
      <c r="B35" s="3" t="s">
        <v>204</v>
      </c>
      <c r="C35" s="3" t="s">
        <v>205</v>
      </c>
      <c r="D35" s="3" t="s">
        <v>206</v>
      </c>
      <c r="E35" s="3" t="s">
        <v>173</v>
      </c>
      <c r="F35" s="3" t="s">
        <v>340</v>
      </c>
      <c r="G35" s="3">
        <v>6</v>
      </c>
      <c r="H35" s="3">
        <v>0</v>
      </c>
      <c r="I35" s="3">
        <v>1</v>
      </c>
      <c r="J35" s="3">
        <v>3</v>
      </c>
      <c r="K35" s="3">
        <v>0</v>
      </c>
      <c r="L35" s="3">
        <v>1</v>
      </c>
      <c r="M35" s="3">
        <v>1</v>
      </c>
      <c r="N35" s="3" t="s">
        <v>341</v>
      </c>
      <c r="O35" s="3">
        <v>0</v>
      </c>
      <c r="P35" s="3">
        <v>0</v>
      </c>
      <c r="Q35" s="3">
        <v>2</v>
      </c>
      <c r="R35" s="3">
        <v>3.86</v>
      </c>
      <c r="S35" s="3">
        <v>0</v>
      </c>
      <c r="T35" s="3">
        <v>1</v>
      </c>
      <c r="U35" s="3">
        <v>3</v>
      </c>
      <c r="V35" s="3">
        <v>5</v>
      </c>
      <c r="W35" s="3"/>
      <c r="X35" s="3">
        <v>19.38</v>
      </c>
      <c r="Y35" s="3">
        <v>19.38</v>
      </c>
      <c r="Z35" s="3">
        <v>19.38</v>
      </c>
      <c r="AA35" s="3">
        <v>0</v>
      </c>
      <c r="AB35" s="3" t="s">
        <v>343</v>
      </c>
      <c r="AC35" s="3">
        <v>0</v>
      </c>
      <c r="AD35" s="3">
        <v>14.51</v>
      </c>
      <c r="AE35" s="3">
        <v>147</v>
      </c>
      <c r="AF35" s="3">
        <v>0</v>
      </c>
      <c r="AG35" s="3">
        <v>42.162652</v>
      </c>
      <c r="AH35" s="3">
        <v>0.625</v>
      </c>
      <c r="AI35" s="3" t="s">
        <v>492</v>
      </c>
      <c r="AJ35" s="3" t="s">
        <v>345</v>
      </c>
    </row>
    <row r="36" spans="1:36">
      <c r="A36" s="4">
        <v>43288</v>
      </c>
      <c r="B36" s="3" t="s">
        <v>147</v>
      </c>
      <c r="C36" s="3" t="s">
        <v>148</v>
      </c>
      <c r="D36" s="3" t="s">
        <v>149</v>
      </c>
      <c r="E36" s="3" t="s">
        <v>143</v>
      </c>
      <c r="F36" s="3" t="s">
        <v>340</v>
      </c>
      <c r="G36" s="3">
        <v>1</v>
      </c>
      <c r="H36" s="3">
        <v>0</v>
      </c>
      <c r="I36" s="3">
        <v>1</v>
      </c>
      <c r="J36" s="3">
        <v>0</v>
      </c>
      <c r="K36" s="3">
        <v>0</v>
      </c>
      <c r="L36" s="3">
        <v>0</v>
      </c>
      <c r="M36" s="3">
        <v>0</v>
      </c>
      <c r="N36" s="3" t="s">
        <v>341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39</v>
      </c>
      <c r="U36" s="3">
        <v>60</v>
      </c>
      <c r="V36" s="3">
        <v>62</v>
      </c>
      <c r="W36" s="3"/>
      <c r="X36" s="3"/>
      <c r="Y36" s="3"/>
      <c r="Z36" s="3">
        <v>-1</v>
      </c>
      <c r="AA36" s="3">
        <v>-1</v>
      </c>
      <c r="AB36" s="3" t="s">
        <v>493</v>
      </c>
      <c r="AC36" s="3">
        <v>1</v>
      </c>
      <c r="AD36" s="3">
        <v>19.99</v>
      </c>
      <c r="AE36" s="3">
        <v>0</v>
      </c>
      <c r="AF36" s="3">
        <v>0</v>
      </c>
      <c r="AG36" s="3">
        <v>0</v>
      </c>
      <c r="AH36" s="3">
        <v>13.2857142857142</v>
      </c>
      <c r="AI36" s="3" t="s">
        <v>371</v>
      </c>
      <c r="AJ36" s="3" t="s">
        <v>345</v>
      </c>
    </row>
    <row r="37" spans="1:36">
      <c r="A37" s="4">
        <v>43288</v>
      </c>
      <c r="B37" s="3" t="s">
        <v>494</v>
      </c>
      <c r="C37" s="3" t="s">
        <v>495</v>
      </c>
      <c r="D37" s="3" t="s">
        <v>496</v>
      </c>
      <c r="E37" s="3" t="s">
        <v>411</v>
      </c>
      <c r="F37" s="3" t="s">
        <v>340</v>
      </c>
      <c r="G37" s="3">
        <v>1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1</v>
      </c>
      <c r="N37" s="3" t="s">
        <v>341</v>
      </c>
      <c r="O37" s="3">
        <v>0</v>
      </c>
      <c r="P37" s="3">
        <v>0</v>
      </c>
      <c r="Q37" s="3">
        <v>1</v>
      </c>
      <c r="R37" s="3">
        <v>3.17</v>
      </c>
      <c r="S37" s="3">
        <v>0</v>
      </c>
      <c r="T37" s="3">
        <v>0</v>
      </c>
      <c r="U37" s="3">
        <v>0</v>
      </c>
      <c r="V37" s="3">
        <v>0</v>
      </c>
      <c r="W37" s="3" t="s">
        <v>342</v>
      </c>
      <c r="X37" s="3">
        <v>18.99</v>
      </c>
      <c r="Y37" s="3">
        <v>18.99</v>
      </c>
      <c r="Z37" s="3">
        <v>18.99</v>
      </c>
      <c r="AA37" s="3">
        <v>0</v>
      </c>
      <c r="AB37" s="3" t="s">
        <v>343</v>
      </c>
      <c r="AC37" s="3">
        <v>0</v>
      </c>
      <c r="AD37" s="3">
        <v>16.95</v>
      </c>
      <c r="AE37" s="3">
        <v>182</v>
      </c>
      <c r="AF37" s="3">
        <v>0</v>
      </c>
      <c r="AG37" s="3">
        <v>25.135321</v>
      </c>
      <c r="AH37" s="3">
        <v>0</v>
      </c>
      <c r="AI37" s="3" t="s">
        <v>497</v>
      </c>
      <c r="AJ37" s="3" t="s">
        <v>345</v>
      </c>
    </row>
    <row r="38" spans="1:36">
      <c r="A38" s="4">
        <v>43288</v>
      </c>
      <c r="B38" s="3" t="s">
        <v>498</v>
      </c>
      <c r="C38" s="3" t="s">
        <v>499</v>
      </c>
      <c r="D38" s="3" t="s">
        <v>500</v>
      </c>
      <c r="E38" s="3" t="s">
        <v>490</v>
      </c>
      <c r="F38" s="3" t="s">
        <v>340</v>
      </c>
      <c r="G38" s="3">
        <v>1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1</v>
      </c>
      <c r="N38" s="3" t="s">
        <v>341</v>
      </c>
      <c r="O38" s="3">
        <v>0</v>
      </c>
      <c r="P38" s="3">
        <v>0</v>
      </c>
      <c r="Q38" s="3">
        <v>1</v>
      </c>
      <c r="R38" s="3">
        <v>1.25</v>
      </c>
      <c r="S38" s="3">
        <v>0</v>
      </c>
      <c r="T38" s="3">
        <v>0</v>
      </c>
      <c r="U38" s="3">
        <v>0</v>
      </c>
      <c r="V38" s="3">
        <v>0</v>
      </c>
      <c r="W38" s="3" t="s">
        <v>342</v>
      </c>
      <c r="X38" s="3">
        <v>16.99</v>
      </c>
      <c r="Y38" s="3">
        <v>16.99</v>
      </c>
      <c r="Z38" s="3">
        <v>16.99</v>
      </c>
      <c r="AA38" s="3">
        <v>0</v>
      </c>
      <c r="AB38" s="3" t="s">
        <v>343</v>
      </c>
      <c r="AC38" s="3">
        <v>0</v>
      </c>
      <c r="AD38" s="3">
        <v>13.59</v>
      </c>
      <c r="AE38" s="3">
        <v>63</v>
      </c>
      <c r="AF38" s="3">
        <v>0</v>
      </c>
      <c r="AG38" s="3">
        <v>8.271334</v>
      </c>
      <c r="AH38" s="3">
        <v>0</v>
      </c>
      <c r="AI38" s="3" t="s">
        <v>491</v>
      </c>
      <c r="AJ38" s="3" t="s">
        <v>345</v>
      </c>
    </row>
    <row r="39" spans="1:36">
      <c r="A39" s="4">
        <v>43288</v>
      </c>
      <c r="B39" s="3" t="s">
        <v>501</v>
      </c>
      <c r="C39" s="3" t="s">
        <v>502</v>
      </c>
      <c r="D39" s="3" t="s">
        <v>503</v>
      </c>
      <c r="E39" s="3" t="s">
        <v>504</v>
      </c>
      <c r="F39" s="3" t="s">
        <v>340</v>
      </c>
      <c r="G39" s="3">
        <v>1</v>
      </c>
      <c r="H39" s="3">
        <v>0</v>
      </c>
      <c r="I39" s="3">
        <v>0</v>
      </c>
      <c r="J39" s="3">
        <v>0</v>
      </c>
      <c r="K39" s="3">
        <v>0</v>
      </c>
      <c r="L39" s="3">
        <v>1</v>
      </c>
      <c r="M39" s="3">
        <v>0</v>
      </c>
      <c r="N39" s="3" t="s">
        <v>341</v>
      </c>
      <c r="O39" s="3">
        <v>0</v>
      </c>
      <c r="P39" s="3">
        <v>0</v>
      </c>
      <c r="Q39" s="3">
        <v>1</v>
      </c>
      <c r="R39" s="3">
        <v>1.24</v>
      </c>
      <c r="S39" s="3">
        <v>0</v>
      </c>
      <c r="T39" s="3">
        <v>1</v>
      </c>
      <c r="U39" s="3">
        <v>2</v>
      </c>
      <c r="V39" s="3">
        <v>3</v>
      </c>
      <c r="W39" s="3"/>
      <c r="X39" s="3"/>
      <c r="Y39" s="3"/>
      <c r="Z39" s="3">
        <v>-1</v>
      </c>
      <c r="AA39" s="3">
        <v>-1</v>
      </c>
      <c r="AB39" s="3" t="s">
        <v>493</v>
      </c>
      <c r="AC39" s="3">
        <v>1</v>
      </c>
      <c r="AD39" s="3">
        <v>16.99</v>
      </c>
      <c r="AE39" s="3">
        <v>0</v>
      </c>
      <c r="AF39" s="3">
        <v>0</v>
      </c>
      <c r="AG39" s="3">
        <v>0</v>
      </c>
      <c r="AH39" s="3">
        <v>1.2</v>
      </c>
      <c r="AI39" s="3" t="s">
        <v>505</v>
      </c>
      <c r="AJ39" s="3" t="s">
        <v>345</v>
      </c>
    </row>
    <row r="40" spans="1:36">
      <c r="A40" s="4">
        <v>43288</v>
      </c>
      <c r="B40" s="3" t="s">
        <v>506</v>
      </c>
      <c r="C40" s="3" t="s">
        <v>507</v>
      </c>
      <c r="D40" s="3" t="s">
        <v>508</v>
      </c>
      <c r="E40" s="3" t="s">
        <v>490</v>
      </c>
      <c r="F40" s="3" t="s">
        <v>340</v>
      </c>
      <c r="G40" s="3">
        <v>1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1</v>
      </c>
      <c r="N40" s="3" t="s">
        <v>341</v>
      </c>
      <c r="O40" s="3">
        <v>0</v>
      </c>
      <c r="P40" s="3">
        <v>0</v>
      </c>
      <c r="Q40" s="3">
        <v>1</v>
      </c>
      <c r="R40" s="3">
        <v>1.25</v>
      </c>
      <c r="S40" s="3">
        <v>0</v>
      </c>
      <c r="T40" s="3">
        <v>0</v>
      </c>
      <c r="U40" s="3">
        <v>0</v>
      </c>
      <c r="V40" s="3">
        <v>0</v>
      </c>
      <c r="W40" s="3" t="s">
        <v>342</v>
      </c>
      <c r="X40" s="3">
        <v>16.99</v>
      </c>
      <c r="Y40" s="3">
        <v>16.99</v>
      </c>
      <c r="Z40" s="3">
        <v>16.99</v>
      </c>
      <c r="AA40" s="3">
        <v>0</v>
      </c>
      <c r="AB40" s="3" t="s">
        <v>343</v>
      </c>
      <c r="AC40" s="3">
        <v>0</v>
      </c>
      <c r="AD40" s="3">
        <v>13.59</v>
      </c>
      <c r="AE40" s="3">
        <v>63</v>
      </c>
      <c r="AF40" s="3">
        <v>0</v>
      </c>
      <c r="AG40" s="3">
        <v>8.271334</v>
      </c>
      <c r="AH40" s="3">
        <v>0</v>
      </c>
      <c r="AI40" s="3" t="s">
        <v>491</v>
      </c>
      <c r="AJ40" s="3" t="s">
        <v>345</v>
      </c>
    </row>
    <row r="41" spans="1:36">
      <c r="A41" s="4">
        <v>43288</v>
      </c>
      <c r="B41" s="3" t="s">
        <v>509</v>
      </c>
      <c r="C41" s="3" t="s">
        <v>510</v>
      </c>
      <c r="D41" s="3" t="s">
        <v>511</v>
      </c>
      <c r="E41" s="3" t="s">
        <v>213</v>
      </c>
      <c r="F41" s="3" t="s">
        <v>340</v>
      </c>
      <c r="G41" s="3">
        <v>9</v>
      </c>
      <c r="H41" s="3">
        <v>0</v>
      </c>
      <c r="I41" s="3">
        <v>0</v>
      </c>
      <c r="J41" s="3">
        <v>5</v>
      </c>
      <c r="K41" s="3">
        <v>0</v>
      </c>
      <c r="L41" s="3">
        <v>1</v>
      </c>
      <c r="M41" s="3">
        <v>3</v>
      </c>
      <c r="N41" s="3" t="s">
        <v>341</v>
      </c>
      <c r="O41" s="3">
        <v>0</v>
      </c>
      <c r="P41" s="3">
        <v>0</v>
      </c>
      <c r="Q41" s="3">
        <v>4</v>
      </c>
      <c r="R41" s="3">
        <v>3.17</v>
      </c>
      <c r="S41" s="3">
        <v>0</v>
      </c>
      <c r="T41" s="3">
        <v>0</v>
      </c>
      <c r="U41" s="3">
        <v>0</v>
      </c>
      <c r="V41" s="3">
        <v>0</v>
      </c>
      <c r="W41" s="3" t="s">
        <v>381</v>
      </c>
      <c r="X41" s="3">
        <v>20.99</v>
      </c>
      <c r="Y41" s="3">
        <v>20.99</v>
      </c>
      <c r="Z41" s="3">
        <v>20.99</v>
      </c>
      <c r="AA41" s="3">
        <v>0</v>
      </c>
      <c r="AB41" s="3" t="s">
        <v>343</v>
      </c>
      <c r="AC41" s="3">
        <v>0</v>
      </c>
      <c r="AD41" s="3">
        <v>14.98</v>
      </c>
      <c r="AE41" s="3">
        <v>364</v>
      </c>
      <c r="AF41" s="3">
        <v>0</v>
      </c>
      <c r="AG41" s="3">
        <v>72.39103</v>
      </c>
      <c r="AH41" s="3">
        <v>0</v>
      </c>
      <c r="AI41" s="3" t="s">
        <v>512</v>
      </c>
      <c r="AJ41" s="3" t="s">
        <v>345</v>
      </c>
    </row>
    <row r="42" spans="1:36">
      <c r="A42" s="4">
        <v>43288</v>
      </c>
      <c r="B42" s="3" t="s">
        <v>513</v>
      </c>
      <c r="C42" s="3" t="s">
        <v>514</v>
      </c>
      <c r="D42" s="3" t="s">
        <v>515</v>
      </c>
      <c r="E42" s="3" t="s">
        <v>516</v>
      </c>
      <c r="F42" s="3" t="s">
        <v>340</v>
      </c>
      <c r="G42" s="3">
        <v>2</v>
      </c>
      <c r="H42" s="3">
        <v>0</v>
      </c>
      <c r="I42" s="3">
        <v>0</v>
      </c>
      <c r="J42" s="3">
        <v>0</v>
      </c>
      <c r="K42" s="3">
        <v>0</v>
      </c>
      <c r="L42" s="3">
        <v>2</v>
      </c>
      <c r="M42" s="3">
        <v>0</v>
      </c>
      <c r="N42" s="3" t="s">
        <v>341</v>
      </c>
      <c r="O42" s="3">
        <v>2</v>
      </c>
      <c r="P42" s="3">
        <v>1.78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342</v>
      </c>
      <c r="X42" s="3">
        <v>17.99</v>
      </c>
      <c r="Y42" s="3">
        <v>17.99</v>
      </c>
      <c r="Z42" s="3">
        <v>17.99</v>
      </c>
      <c r="AA42" s="3">
        <v>0</v>
      </c>
      <c r="AB42" s="3" t="s">
        <v>349</v>
      </c>
      <c r="AC42" s="3">
        <v>0</v>
      </c>
      <c r="AD42" s="3">
        <v>16.42</v>
      </c>
      <c r="AE42" s="3">
        <v>105</v>
      </c>
      <c r="AF42" s="3">
        <v>0</v>
      </c>
      <c r="AG42" s="3">
        <v>37.172906</v>
      </c>
      <c r="AH42" s="3">
        <v>0</v>
      </c>
      <c r="AI42" s="3" t="s">
        <v>517</v>
      </c>
      <c r="AJ42" s="3" t="s">
        <v>345</v>
      </c>
    </row>
    <row r="43" spans="1:36">
      <c r="A43" s="4">
        <v>43288</v>
      </c>
      <c r="B43" s="3" t="s">
        <v>274</v>
      </c>
      <c r="C43" s="3" t="s">
        <v>275</v>
      </c>
      <c r="D43" s="3" t="s">
        <v>276</v>
      </c>
      <c r="E43" s="3" t="s">
        <v>221</v>
      </c>
      <c r="F43" s="3" t="s">
        <v>340</v>
      </c>
      <c r="G43" s="3">
        <v>2</v>
      </c>
      <c r="H43" s="3">
        <v>0</v>
      </c>
      <c r="I43" s="3">
        <v>2</v>
      </c>
      <c r="J43" s="3">
        <v>0</v>
      </c>
      <c r="K43" s="3">
        <v>0</v>
      </c>
      <c r="L43" s="3">
        <v>0</v>
      </c>
      <c r="M43" s="3">
        <v>0</v>
      </c>
      <c r="N43" s="3" t="s">
        <v>341</v>
      </c>
      <c r="O43" s="3">
        <v>0</v>
      </c>
      <c r="P43" s="3">
        <v>0</v>
      </c>
      <c r="Q43" s="3">
        <v>0</v>
      </c>
      <c r="R43" s="3">
        <v>0</v>
      </c>
      <c r="S43" s="3">
        <v>2</v>
      </c>
      <c r="T43" s="3">
        <v>7</v>
      </c>
      <c r="U43" s="3">
        <v>17</v>
      </c>
      <c r="V43" s="3">
        <v>17</v>
      </c>
      <c r="W43" s="3"/>
      <c r="X43" s="3">
        <v>39.99</v>
      </c>
      <c r="Y43" s="3">
        <v>19.99</v>
      </c>
      <c r="Z43" s="3">
        <v>19.99</v>
      </c>
      <c r="AA43" s="3">
        <v>0</v>
      </c>
      <c r="AB43" s="3" t="s">
        <v>359</v>
      </c>
      <c r="AC43" s="3">
        <v>5</v>
      </c>
      <c r="AD43" s="3">
        <v>19.99</v>
      </c>
      <c r="AE43" s="3">
        <v>0</v>
      </c>
      <c r="AF43" s="3">
        <v>0</v>
      </c>
      <c r="AG43" s="3">
        <v>0</v>
      </c>
      <c r="AH43" s="3">
        <v>4.85714285714285</v>
      </c>
      <c r="AI43" s="3" t="s">
        <v>518</v>
      </c>
      <c r="AJ43" s="3" t="s">
        <v>345</v>
      </c>
    </row>
    <row r="44" spans="1:36">
      <c r="A44" s="4">
        <v>43288</v>
      </c>
      <c r="B44" s="3" t="s">
        <v>519</v>
      </c>
      <c r="C44" s="3" t="s">
        <v>520</v>
      </c>
      <c r="D44" s="3" t="s">
        <v>521</v>
      </c>
      <c r="E44" s="3" t="s">
        <v>516</v>
      </c>
      <c r="F44" s="3" t="s">
        <v>340</v>
      </c>
      <c r="G44" s="3">
        <v>1</v>
      </c>
      <c r="H44" s="3">
        <v>0</v>
      </c>
      <c r="I44" s="3">
        <v>0</v>
      </c>
      <c r="J44" s="3">
        <v>1</v>
      </c>
      <c r="K44" s="3">
        <v>0</v>
      </c>
      <c r="L44" s="3">
        <v>0</v>
      </c>
      <c r="M44" s="3">
        <v>0</v>
      </c>
      <c r="N44" s="3" t="s">
        <v>341</v>
      </c>
      <c r="O44" s="3">
        <v>1</v>
      </c>
      <c r="P44" s="3">
        <v>0.89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 t="s">
        <v>342</v>
      </c>
      <c r="X44" s="3">
        <v>17.99</v>
      </c>
      <c r="Y44" s="3">
        <v>17.99</v>
      </c>
      <c r="Z44" s="3">
        <v>17.99</v>
      </c>
      <c r="AA44" s="3">
        <v>0</v>
      </c>
      <c r="AB44" s="3" t="s">
        <v>349</v>
      </c>
      <c r="AC44" s="3">
        <v>0</v>
      </c>
      <c r="AD44" s="3">
        <v>16.59</v>
      </c>
      <c r="AE44" s="3">
        <v>35</v>
      </c>
      <c r="AF44" s="3">
        <v>0</v>
      </c>
      <c r="AG44" s="3">
        <v>19.045899</v>
      </c>
      <c r="AH44" s="3">
        <v>0</v>
      </c>
      <c r="AI44" s="3" t="s">
        <v>517</v>
      </c>
      <c r="AJ44" s="3" t="s">
        <v>345</v>
      </c>
    </row>
    <row r="45" spans="1:36">
      <c r="A45" s="4">
        <v>43288</v>
      </c>
      <c r="B45" s="3" t="s">
        <v>522</v>
      </c>
      <c r="C45" s="3" t="s">
        <v>523</v>
      </c>
      <c r="D45" s="3" t="s">
        <v>524</v>
      </c>
      <c r="E45" s="3" t="s">
        <v>525</v>
      </c>
      <c r="F45" s="3" t="s">
        <v>340</v>
      </c>
      <c r="G45" s="3">
        <v>3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3</v>
      </c>
      <c r="N45" s="3" t="s">
        <v>341</v>
      </c>
      <c r="O45" s="3">
        <v>0</v>
      </c>
      <c r="P45" s="3">
        <v>0</v>
      </c>
      <c r="Q45" s="3">
        <v>3</v>
      </c>
      <c r="R45" s="3">
        <v>6.02</v>
      </c>
      <c r="S45" s="3">
        <v>0</v>
      </c>
      <c r="T45" s="3">
        <v>0</v>
      </c>
      <c r="U45" s="3">
        <v>0</v>
      </c>
      <c r="V45" s="3">
        <v>0</v>
      </c>
      <c r="W45" s="3" t="s">
        <v>342</v>
      </c>
      <c r="X45" s="3">
        <v>19.99</v>
      </c>
      <c r="Y45" s="3">
        <v>19.99</v>
      </c>
      <c r="Z45" s="3">
        <v>19.99</v>
      </c>
      <c r="AA45" s="3">
        <v>0</v>
      </c>
      <c r="AB45" s="3" t="s">
        <v>343</v>
      </c>
      <c r="AC45" s="3">
        <v>0</v>
      </c>
      <c r="AD45" s="3">
        <v>15.99</v>
      </c>
      <c r="AE45" s="3">
        <v>63</v>
      </c>
      <c r="AF45" s="3">
        <v>0</v>
      </c>
      <c r="AG45" s="3">
        <v>39.408275</v>
      </c>
      <c r="AH45" s="3">
        <v>0</v>
      </c>
      <c r="AI45" s="3" t="s">
        <v>526</v>
      </c>
      <c r="AJ45" s="3" t="s">
        <v>345</v>
      </c>
    </row>
    <row r="46" spans="1:36">
      <c r="A46" s="4">
        <v>43288</v>
      </c>
      <c r="B46" s="3" t="s">
        <v>85</v>
      </c>
      <c r="C46" s="3" t="s">
        <v>86</v>
      </c>
      <c r="D46" s="3" t="s">
        <v>87</v>
      </c>
      <c r="E46" s="3" t="s">
        <v>88</v>
      </c>
      <c r="F46" s="3" t="s">
        <v>340</v>
      </c>
      <c r="G46" s="3">
        <v>2</v>
      </c>
      <c r="H46" s="3">
        <v>0</v>
      </c>
      <c r="I46" s="3">
        <v>2</v>
      </c>
      <c r="J46" s="3">
        <v>0</v>
      </c>
      <c r="K46" s="3">
        <v>0</v>
      </c>
      <c r="L46" s="3">
        <v>0</v>
      </c>
      <c r="M46" s="3">
        <v>0</v>
      </c>
      <c r="N46" s="3" t="s">
        <v>341</v>
      </c>
      <c r="O46" s="3">
        <v>0</v>
      </c>
      <c r="P46" s="3">
        <v>0</v>
      </c>
      <c r="Q46" s="3">
        <v>0</v>
      </c>
      <c r="R46" s="3">
        <v>0</v>
      </c>
      <c r="S46" s="3">
        <v>1</v>
      </c>
      <c r="T46" s="3">
        <v>4</v>
      </c>
      <c r="U46" s="3">
        <v>7</v>
      </c>
      <c r="V46" s="3">
        <v>7</v>
      </c>
      <c r="W46" s="3" t="s">
        <v>342</v>
      </c>
      <c r="X46" s="3">
        <v>16.99</v>
      </c>
      <c r="Y46" s="3">
        <v>16.99</v>
      </c>
      <c r="Z46" s="3">
        <v>16.99</v>
      </c>
      <c r="AA46" s="3">
        <v>0</v>
      </c>
      <c r="AB46" s="3" t="s">
        <v>349</v>
      </c>
      <c r="AC46" s="3">
        <v>3</v>
      </c>
      <c r="AD46" s="3">
        <v>16.99</v>
      </c>
      <c r="AE46" s="3">
        <v>0</v>
      </c>
      <c r="AF46" s="3">
        <v>0</v>
      </c>
      <c r="AG46" s="3">
        <v>0</v>
      </c>
      <c r="AH46" s="3">
        <v>1.07692307692307</v>
      </c>
      <c r="AI46" s="3" t="s">
        <v>350</v>
      </c>
      <c r="AJ46" s="3" t="s">
        <v>345</v>
      </c>
    </row>
    <row r="47" spans="1:36">
      <c r="A47" s="4">
        <v>43288</v>
      </c>
      <c r="B47" s="3" t="s">
        <v>527</v>
      </c>
      <c r="C47" s="3" t="s">
        <v>528</v>
      </c>
      <c r="D47" s="3" t="s">
        <v>529</v>
      </c>
      <c r="E47" s="3" t="s">
        <v>530</v>
      </c>
      <c r="F47" s="3" t="s">
        <v>340</v>
      </c>
      <c r="G47" s="3">
        <v>4</v>
      </c>
      <c r="H47" s="3">
        <v>0</v>
      </c>
      <c r="I47" s="3">
        <v>0</v>
      </c>
      <c r="J47" s="3">
        <v>0</v>
      </c>
      <c r="K47" s="3">
        <v>4</v>
      </c>
      <c r="L47" s="3">
        <v>0</v>
      </c>
      <c r="M47" s="3">
        <v>0</v>
      </c>
      <c r="N47" s="3" t="s">
        <v>341</v>
      </c>
      <c r="O47" s="3">
        <v>4</v>
      </c>
      <c r="P47" s="3">
        <v>4.09</v>
      </c>
      <c r="Q47" s="3">
        <v>0</v>
      </c>
      <c r="R47" s="3">
        <v>0</v>
      </c>
      <c r="S47" s="3">
        <v>0</v>
      </c>
      <c r="T47" s="3">
        <v>1</v>
      </c>
      <c r="U47" s="3">
        <v>1</v>
      </c>
      <c r="V47" s="3">
        <v>1</v>
      </c>
      <c r="W47" s="3" t="s">
        <v>342</v>
      </c>
      <c r="X47" s="3">
        <v>9.98</v>
      </c>
      <c r="Y47" s="3">
        <v>9.98</v>
      </c>
      <c r="Z47" s="3">
        <v>9.98</v>
      </c>
      <c r="AA47" s="3">
        <v>0</v>
      </c>
      <c r="AB47" s="3" t="s">
        <v>359</v>
      </c>
      <c r="AC47" s="3">
        <v>4</v>
      </c>
      <c r="AD47" s="3">
        <v>9.98</v>
      </c>
      <c r="AE47" s="3">
        <v>0</v>
      </c>
      <c r="AF47" s="3">
        <v>0</v>
      </c>
      <c r="AG47" s="3">
        <v>0</v>
      </c>
      <c r="AH47" s="3">
        <v>0.210526315789473</v>
      </c>
      <c r="AI47" s="3" t="s">
        <v>531</v>
      </c>
      <c r="AJ47" s="3" t="s">
        <v>345</v>
      </c>
    </row>
    <row r="48" spans="1:36">
      <c r="A48" s="4">
        <v>43288</v>
      </c>
      <c r="B48" s="3" t="s">
        <v>532</v>
      </c>
      <c r="C48" s="3" t="s">
        <v>533</v>
      </c>
      <c r="D48" s="3" t="s">
        <v>534</v>
      </c>
      <c r="E48" s="3" t="s">
        <v>535</v>
      </c>
      <c r="F48" s="3" t="s">
        <v>340</v>
      </c>
      <c r="G48" s="3">
        <v>2</v>
      </c>
      <c r="H48" s="3">
        <v>0</v>
      </c>
      <c r="I48" s="3">
        <v>0</v>
      </c>
      <c r="J48" s="3">
        <v>2</v>
      </c>
      <c r="K48" s="3">
        <v>0</v>
      </c>
      <c r="L48" s="3">
        <v>0</v>
      </c>
      <c r="M48" s="3">
        <v>0</v>
      </c>
      <c r="N48" s="3" t="s">
        <v>341</v>
      </c>
      <c r="O48" s="3">
        <v>1</v>
      </c>
      <c r="P48" s="3">
        <v>1.24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342</v>
      </c>
      <c r="X48" s="3">
        <v>15.99</v>
      </c>
      <c r="Y48" s="3">
        <v>15.99</v>
      </c>
      <c r="Z48" s="3">
        <v>15.99</v>
      </c>
      <c r="AA48" s="3">
        <v>0</v>
      </c>
      <c r="AB48" s="3" t="s">
        <v>349</v>
      </c>
      <c r="AC48" s="3">
        <v>2</v>
      </c>
      <c r="AD48" s="3">
        <v>15.99</v>
      </c>
      <c r="AE48" s="3">
        <v>0</v>
      </c>
      <c r="AF48" s="3">
        <v>0</v>
      </c>
      <c r="AG48" s="3">
        <v>0</v>
      </c>
      <c r="AH48" s="3">
        <v>0</v>
      </c>
      <c r="AI48" s="3" t="s">
        <v>397</v>
      </c>
      <c r="AJ48" s="3" t="s">
        <v>345</v>
      </c>
    </row>
    <row r="49" spans="1:36">
      <c r="A49" s="4">
        <v>43288</v>
      </c>
      <c r="B49" s="3" t="s">
        <v>536</v>
      </c>
      <c r="C49" s="3" t="s">
        <v>537</v>
      </c>
      <c r="D49" s="3" t="s">
        <v>538</v>
      </c>
      <c r="E49" s="3" t="s">
        <v>539</v>
      </c>
      <c r="F49" s="3" t="s">
        <v>340</v>
      </c>
      <c r="G49" s="3">
        <v>3</v>
      </c>
      <c r="H49" s="3">
        <v>0</v>
      </c>
      <c r="I49" s="3">
        <v>0</v>
      </c>
      <c r="J49" s="3">
        <v>0</v>
      </c>
      <c r="K49" s="3">
        <v>0</v>
      </c>
      <c r="L49" s="3">
        <v>3</v>
      </c>
      <c r="M49" s="3">
        <v>0</v>
      </c>
      <c r="N49" s="3" t="s">
        <v>341</v>
      </c>
      <c r="O49" s="3">
        <v>0</v>
      </c>
      <c r="P49" s="3">
        <v>0</v>
      </c>
      <c r="Q49" s="3">
        <v>3</v>
      </c>
      <c r="R49" s="3">
        <v>1.5</v>
      </c>
      <c r="S49" s="3">
        <v>0</v>
      </c>
      <c r="T49" s="3">
        <v>0</v>
      </c>
      <c r="U49" s="3">
        <v>0</v>
      </c>
      <c r="V49" s="3">
        <v>0</v>
      </c>
      <c r="W49" s="3" t="s">
        <v>342</v>
      </c>
      <c r="X49" s="3">
        <v>19.9</v>
      </c>
      <c r="Y49" s="3">
        <v>19.9</v>
      </c>
      <c r="Z49" s="3">
        <v>19.9</v>
      </c>
      <c r="AA49" s="3">
        <v>0</v>
      </c>
      <c r="AB49" s="3" t="s">
        <v>343</v>
      </c>
      <c r="AC49" s="3">
        <v>0</v>
      </c>
      <c r="AD49" s="3">
        <v>15.92</v>
      </c>
      <c r="AE49" s="3">
        <v>63</v>
      </c>
      <c r="AF49" s="3">
        <v>0</v>
      </c>
      <c r="AG49" s="3">
        <v>1.628169</v>
      </c>
      <c r="AH49" s="3">
        <v>0</v>
      </c>
      <c r="AI49" s="3" t="s">
        <v>344</v>
      </c>
      <c r="AJ49" s="3" t="s">
        <v>345</v>
      </c>
    </row>
    <row r="50" spans="1:36">
      <c r="A50" s="4">
        <v>43288</v>
      </c>
      <c r="B50" s="3" t="s">
        <v>540</v>
      </c>
      <c r="C50" s="3" t="s">
        <v>541</v>
      </c>
      <c r="D50" s="3" t="s">
        <v>542</v>
      </c>
      <c r="E50" s="3" t="s">
        <v>516</v>
      </c>
      <c r="F50" s="3" t="s">
        <v>340</v>
      </c>
      <c r="G50" s="3">
        <v>1</v>
      </c>
      <c r="H50" s="3">
        <v>0</v>
      </c>
      <c r="I50" s="3">
        <v>1</v>
      </c>
      <c r="J50" s="3">
        <v>0</v>
      </c>
      <c r="K50" s="3">
        <v>0</v>
      </c>
      <c r="L50" s="3">
        <v>0</v>
      </c>
      <c r="M50" s="3">
        <v>0</v>
      </c>
      <c r="N50" s="3" t="s">
        <v>341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342</v>
      </c>
      <c r="X50" s="3">
        <v>17.99</v>
      </c>
      <c r="Y50" s="3">
        <v>17.99</v>
      </c>
      <c r="Z50" s="3">
        <v>17.99</v>
      </c>
      <c r="AA50" s="3">
        <v>0</v>
      </c>
      <c r="AB50" s="3" t="s">
        <v>349</v>
      </c>
      <c r="AC50" s="3">
        <v>0</v>
      </c>
      <c r="AD50" s="3">
        <v>16.42</v>
      </c>
      <c r="AE50" s="3">
        <v>217</v>
      </c>
      <c r="AF50" s="3">
        <v>0</v>
      </c>
      <c r="AG50" s="3">
        <v>16.031319</v>
      </c>
      <c r="AH50" s="3">
        <v>0</v>
      </c>
      <c r="AI50" s="3" t="s">
        <v>517</v>
      </c>
      <c r="AJ50" s="3" t="s">
        <v>345</v>
      </c>
    </row>
    <row r="51" spans="1:36">
      <c r="A51" s="4">
        <v>43288</v>
      </c>
      <c r="B51" s="3" t="s">
        <v>543</v>
      </c>
      <c r="C51" s="3" t="s">
        <v>544</v>
      </c>
      <c r="D51" s="3" t="s">
        <v>545</v>
      </c>
      <c r="E51" s="3" t="s">
        <v>546</v>
      </c>
      <c r="F51" s="3" t="s">
        <v>340</v>
      </c>
      <c r="G51" s="3">
        <v>9</v>
      </c>
      <c r="H51" s="3">
        <v>0</v>
      </c>
      <c r="I51" s="3">
        <v>1</v>
      </c>
      <c r="J51" s="3">
        <v>5</v>
      </c>
      <c r="K51" s="3">
        <v>0</v>
      </c>
      <c r="L51" s="3">
        <v>2</v>
      </c>
      <c r="M51" s="3">
        <v>1</v>
      </c>
      <c r="N51" s="3" t="s">
        <v>341</v>
      </c>
      <c r="O51" s="3">
        <v>2</v>
      </c>
      <c r="P51" s="3">
        <v>1.93</v>
      </c>
      <c r="Q51" s="3">
        <v>1</v>
      </c>
      <c r="R51" s="3">
        <v>1.93</v>
      </c>
      <c r="S51" s="3">
        <v>1</v>
      </c>
      <c r="T51" s="3">
        <v>3</v>
      </c>
      <c r="U51" s="3">
        <v>3</v>
      </c>
      <c r="V51" s="3">
        <v>3</v>
      </c>
      <c r="W51" s="3"/>
      <c r="X51" s="3">
        <v>19.99</v>
      </c>
      <c r="Y51" s="3">
        <v>19.99</v>
      </c>
      <c r="Z51" s="3">
        <v>19.99</v>
      </c>
      <c r="AA51" s="3">
        <v>0</v>
      </c>
      <c r="AB51" s="3" t="s">
        <v>359</v>
      </c>
      <c r="AC51" s="3">
        <v>9</v>
      </c>
      <c r="AD51" s="3">
        <v>19.99</v>
      </c>
      <c r="AE51" s="3">
        <v>0</v>
      </c>
      <c r="AF51" s="3">
        <v>0</v>
      </c>
      <c r="AG51" s="3">
        <v>0</v>
      </c>
      <c r="AH51" s="3">
        <v>0.25531914893617</v>
      </c>
      <c r="AI51" s="3" t="s">
        <v>492</v>
      </c>
      <c r="AJ51" s="3" t="s">
        <v>345</v>
      </c>
    </row>
    <row r="52" spans="1:36">
      <c r="A52" s="4">
        <v>43288</v>
      </c>
      <c r="B52" s="3" t="s">
        <v>134</v>
      </c>
      <c r="C52" s="3" t="s">
        <v>135</v>
      </c>
      <c r="D52" s="3" t="s">
        <v>136</v>
      </c>
      <c r="E52" s="3" t="s">
        <v>130</v>
      </c>
      <c r="F52" s="3" t="s">
        <v>340</v>
      </c>
      <c r="G52" s="3">
        <v>4</v>
      </c>
      <c r="H52" s="3">
        <v>0</v>
      </c>
      <c r="I52" s="3">
        <v>4</v>
      </c>
      <c r="J52" s="3">
        <v>0</v>
      </c>
      <c r="K52" s="3">
        <v>0</v>
      </c>
      <c r="L52" s="3">
        <v>0</v>
      </c>
      <c r="M52" s="3">
        <v>0</v>
      </c>
      <c r="N52" s="3" t="s">
        <v>341</v>
      </c>
      <c r="O52" s="3">
        <v>0</v>
      </c>
      <c r="P52" s="3">
        <v>0</v>
      </c>
      <c r="Q52" s="3">
        <v>0</v>
      </c>
      <c r="R52" s="3">
        <v>0</v>
      </c>
      <c r="S52" s="3">
        <v>8</v>
      </c>
      <c r="T52" s="3">
        <v>15</v>
      </c>
      <c r="U52" s="3">
        <v>15</v>
      </c>
      <c r="V52" s="3">
        <v>15</v>
      </c>
      <c r="W52" s="3"/>
      <c r="X52" s="3">
        <v>39.99</v>
      </c>
      <c r="Y52" s="3">
        <v>19.99</v>
      </c>
      <c r="Z52" s="3">
        <v>19.99</v>
      </c>
      <c r="AA52" s="3">
        <v>0</v>
      </c>
      <c r="AB52" s="3" t="s">
        <v>359</v>
      </c>
      <c r="AC52" s="3">
        <v>9</v>
      </c>
      <c r="AD52" s="3">
        <v>19.99</v>
      </c>
      <c r="AE52" s="3">
        <v>0</v>
      </c>
      <c r="AF52" s="3">
        <v>0</v>
      </c>
      <c r="AG52" s="3">
        <v>0</v>
      </c>
      <c r="AH52" s="3">
        <v>3</v>
      </c>
      <c r="AI52" s="3" t="s">
        <v>371</v>
      </c>
      <c r="AJ52" s="3" t="s">
        <v>345</v>
      </c>
    </row>
    <row r="53" spans="1:36">
      <c r="A53" s="4">
        <v>43288</v>
      </c>
      <c r="B53" s="3" t="s">
        <v>547</v>
      </c>
      <c r="C53" s="3" t="s">
        <v>548</v>
      </c>
      <c r="D53" s="3" t="s">
        <v>549</v>
      </c>
      <c r="E53" s="3" t="s">
        <v>550</v>
      </c>
      <c r="F53" s="3" t="s">
        <v>340</v>
      </c>
      <c r="G53" s="3">
        <v>6</v>
      </c>
      <c r="H53" s="3">
        <v>0</v>
      </c>
      <c r="I53" s="3">
        <v>0</v>
      </c>
      <c r="J53" s="3">
        <v>6</v>
      </c>
      <c r="K53" s="3">
        <v>0</v>
      </c>
      <c r="L53" s="3">
        <v>0</v>
      </c>
      <c r="M53" s="3">
        <v>0</v>
      </c>
      <c r="N53" s="3" t="s">
        <v>341</v>
      </c>
      <c r="O53" s="3">
        <v>3</v>
      </c>
      <c r="P53" s="3">
        <v>6.57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381</v>
      </c>
      <c r="X53" s="3">
        <v>17.99</v>
      </c>
      <c r="Y53" s="3">
        <v>17.99</v>
      </c>
      <c r="Z53" s="3">
        <v>17.99</v>
      </c>
      <c r="AA53" s="3">
        <v>0</v>
      </c>
      <c r="AB53" s="3" t="s">
        <v>343</v>
      </c>
      <c r="AC53" s="3">
        <v>3</v>
      </c>
      <c r="AD53" s="3">
        <v>16.56</v>
      </c>
      <c r="AE53" s="3">
        <v>21</v>
      </c>
      <c r="AF53" s="3">
        <v>0</v>
      </c>
      <c r="AG53" s="3">
        <v>200.171806</v>
      </c>
      <c r="AH53" s="3">
        <v>0</v>
      </c>
      <c r="AI53" s="3" t="s">
        <v>551</v>
      </c>
      <c r="AJ53" s="3" t="s">
        <v>345</v>
      </c>
    </row>
    <row r="54" spans="1:36">
      <c r="A54" s="4">
        <v>43288</v>
      </c>
      <c r="B54" s="3" t="s">
        <v>254</v>
      </c>
      <c r="C54" s="3" t="s">
        <v>255</v>
      </c>
      <c r="D54" s="3" t="s">
        <v>256</v>
      </c>
      <c r="E54" s="3" t="s">
        <v>221</v>
      </c>
      <c r="F54" s="3" t="s">
        <v>340</v>
      </c>
      <c r="G54" s="3">
        <v>5</v>
      </c>
      <c r="H54" s="3">
        <v>0</v>
      </c>
      <c r="I54" s="3">
        <v>5</v>
      </c>
      <c r="J54" s="3">
        <v>0</v>
      </c>
      <c r="K54" s="3">
        <v>0</v>
      </c>
      <c r="L54" s="3">
        <v>0</v>
      </c>
      <c r="M54" s="3">
        <v>0</v>
      </c>
      <c r="N54" s="3" t="s">
        <v>341</v>
      </c>
      <c r="O54" s="3">
        <v>0</v>
      </c>
      <c r="P54" s="3">
        <v>0</v>
      </c>
      <c r="Q54" s="3">
        <v>0</v>
      </c>
      <c r="R54" s="3">
        <v>0</v>
      </c>
      <c r="S54" s="3">
        <v>4</v>
      </c>
      <c r="T54" s="3">
        <v>8</v>
      </c>
      <c r="U54" s="3">
        <v>15</v>
      </c>
      <c r="V54" s="3">
        <v>15</v>
      </c>
      <c r="W54" s="3"/>
      <c r="X54" s="3">
        <v>19.99</v>
      </c>
      <c r="Y54" s="3">
        <v>19.99</v>
      </c>
      <c r="Z54" s="3">
        <v>19.99</v>
      </c>
      <c r="AA54" s="3">
        <v>0</v>
      </c>
      <c r="AB54" s="3" t="s">
        <v>359</v>
      </c>
      <c r="AC54" s="3">
        <v>8</v>
      </c>
      <c r="AD54" s="3">
        <v>19.99</v>
      </c>
      <c r="AE54" s="3">
        <v>0</v>
      </c>
      <c r="AF54" s="3">
        <v>0</v>
      </c>
      <c r="AG54" s="3">
        <v>0</v>
      </c>
      <c r="AH54" s="3">
        <v>3.75</v>
      </c>
      <c r="AI54" s="3" t="s">
        <v>518</v>
      </c>
      <c r="AJ54" s="3" t="s">
        <v>345</v>
      </c>
    </row>
    <row r="55" spans="1:36">
      <c r="A55" s="4">
        <v>43288</v>
      </c>
      <c r="B55" s="3" t="s">
        <v>552</v>
      </c>
      <c r="C55" s="3" t="s">
        <v>553</v>
      </c>
      <c r="D55" s="3" t="s">
        <v>554</v>
      </c>
      <c r="E55" s="3" t="s">
        <v>555</v>
      </c>
      <c r="F55" s="3" t="s">
        <v>340</v>
      </c>
      <c r="G55" s="3">
        <v>3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3</v>
      </c>
      <c r="N55" s="3" t="s">
        <v>341</v>
      </c>
      <c r="O55" s="3">
        <v>0</v>
      </c>
      <c r="P55" s="3">
        <v>0</v>
      </c>
      <c r="Q55" s="3">
        <v>3</v>
      </c>
      <c r="R55" s="3">
        <v>4.69</v>
      </c>
      <c r="S55" s="3">
        <v>0</v>
      </c>
      <c r="T55" s="3">
        <v>0</v>
      </c>
      <c r="U55" s="3">
        <v>0</v>
      </c>
      <c r="V55" s="3">
        <v>0</v>
      </c>
      <c r="W55" s="3" t="s">
        <v>381</v>
      </c>
      <c r="X55" s="3">
        <v>19.99</v>
      </c>
      <c r="Y55" s="3">
        <v>19.99</v>
      </c>
      <c r="Z55" s="3">
        <v>19.99</v>
      </c>
      <c r="AA55" s="3">
        <v>0</v>
      </c>
      <c r="AB55" s="3" t="s">
        <v>343</v>
      </c>
      <c r="AC55" s="3">
        <v>0</v>
      </c>
      <c r="AD55" s="3">
        <v>15.99</v>
      </c>
      <c r="AE55" s="3">
        <v>63</v>
      </c>
      <c r="AF55" s="3">
        <v>0</v>
      </c>
      <c r="AG55" s="3">
        <v>30.888787</v>
      </c>
      <c r="AH55" s="3">
        <v>0</v>
      </c>
      <c r="AI55" s="3" t="s">
        <v>556</v>
      </c>
      <c r="AJ55" s="3" t="s">
        <v>345</v>
      </c>
    </row>
    <row r="56" spans="1:36">
      <c r="A56" s="4">
        <v>43288</v>
      </c>
      <c r="B56" s="3" t="s">
        <v>557</v>
      </c>
      <c r="C56" s="3" t="s">
        <v>558</v>
      </c>
      <c r="D56" s="3" t="s">
        <v>559</v>
      </c>
      <c r="E56" s="3" t="s">
        <v>477</v>
      </c>
      <c r="F56" s="3" t="s">
        <v>340</v>
      </c>
      <c r="G56" s="3">
        <v>4</v>
      </c>
      <c r="H56" s="3">
        <v>0</v>
      </c>
      <c r="I56" s="3">
        <v>0</v>
      </c>
      <c r="J56" s="3">
        <v>0</v>
      </c>
      <c r="K56" s="3">
        <v>0</v>
      </c>
      <c r="L56" s="3">
        <v>4</v>
      </c>
      <c r="M56" s="3">
        <v>0</v>
      </c>
      <c r="N56" s="3" t="s">
        <v>341</v>
      </c>
      <c r="O56" s="3">
        <v>1</v>
      </c>
      <c r="P56" s="3">
        <v>0.53</v>
      </c>
      <c r="Q56" s="3">
        <v>3</v>
      </c>
      <c r="R56" s="3">
        <v>3.17</v>
      </c>
      <c r="S56" s="3">
        <v>0</v>
      </c>
      <c r="T56" s="3">
        <v>0</v>
      </c>
      <c r="U56" s="3">
        <v>0</v>
      </c>
      <c r="V56" s="3">
        <v>0</v>
      </c>
      <c r="W56" s="3" t="s">
        <v>342</v>
      </c>
      <c r="X56" s="3">
        <v>18.18</v>
      </c>
      <c r="Y56" s="3">
        <v>18.18</v>
      </c>
      <c r="Z56" s="3">
        <v>18.18</v>
      </c>
      <c r="AA56" s="3">
        <v>0</v>
      </c>
      <c r="AB56" s="3" t="s">
        <v>343</v>
      </c>
      <c r="AC56" s="3">
        <v>0</v>
      </c>
      <c r="AD56" s="3">
        <v>16.72</v>
      </c>
      <c r="AE56" s="3">
        <v>119</v>
      </c>
      <c r="AF56" s="3">
        <v>0</v>
      </c>
      <c r="AG56" s="3">
        <v>61.653773</v>
      </c>
      <c r="AH56" s="3">
        <v>0</v>
      </c>
      <c r="AI56" s="3" t="s">
        <v>560</v>
      </c>
      <c r="AJ56" s="3" t="s">
        <v>345</v>
      </c>
    </row>
    <row r="57" spans="1:36">
      <c r="A57" s="4">
        <v>43288</v>
      </c>
      <c r="B57" s="3" t="s">
        <v>561</v>
      </c>
      <c r="C57" s="3" t="s">
        <v>562</v>
      </c>
      <c r="D57" s="3" t="s">
        <v>563</v>
      </c>
      <c r="E57" s="3" t="s">
        <v>119</v>
      </c>
      <c r="F57" s="3" t="s">
        <v>340</v>
      </c>
      <c r="G57" s="3">
        <v>18</v>
      </c>
      <c r="H57" s="3">
        <v>0</v>
      </c>
      <c r="I57" s="3">
        <v>0</v>
      </c>
      <c r="J57" s="3">
        <v>0</v>
      </c>
      <c r="K57" s="3">
        <v>0</v>
      </c>
      <c r="L57" s="3">
        <v>17</v>
      </c>
      <c r="M57" s="3">
        <v>1</v>
      </c>
      <c r="N57" s="3" t="s">
        <v>341</v>
      </c>
      <c r="O57" s="3">
        <v>1</v>
      </c>
      <c r="P57" s="3">
        <v>0.64</v>
      </c>
      <c r="Q57" s="3">
        <v>17</v>
      </c>
      <c r="R57" s="3">
        <v>21.78</v>
      </c>
      <c r="S57" s="3">
        <v>0</v>
      </c>
      <c r="T57" s="3">
        <v>5</v>
      </c>
      <c r="U57" s="3">
        <v>6</v>
      </c>
      <c r="V57" s="3">
        <v>6</v>
      </c>
      <c r="W57" s="3" t="s">
        <v>381</v>
      </c>
      <c r="X57" s="3">
        <v>18.98</v>
      </c>
      <c r="Y57" s="3">
        <v>18.98</v>
      </c>
      <c r="Z57" s="3">
        <v>18.98</v>
      </c>
      <c r="AA57" s="3">
        <v>0</v>
      </c>
      <c r="AB57" s="3" t="s">
        <v>359</v>
      </c>
      <c r="AC57" s="3">
        <v>18</v>
      </c>
      <c r="AD57" s="3">
        <v>18.98</v>
      </c>
      <c r="AE57" s="3">
        <v>0</v>
      </c>
      <c r="AF57" s="3">
        <v>0</v>
      </c>
      <c r="AG57" s="3">
        <v>0</v>
      </c>
      <c r="AH57" s="3">
        <v>0.266666666666666</v>
      </c>
      <c r="AI57" s="3" t="s">
        <v>564</v>
      </c>
      <c r="AJ57" s="3" t="s">
        <v>345</v>
      </c>
    </row>
    <row r="58" spans="1:36">
      <c r="A58" s="4">
        <v>43288</v>
      </c>
      <c r="B58" s="3" t="s">
        <v>565</v>
      </c>
      <c r="C58" s="3" t="s">
        <v>566</v>
      </c>
      <c r="D58" s="3" t="s">
        <v>567</v>
      </c>
      <c r="E58" s="3" t="s">
        <v>213</v>
      </c>
      <c r="F58" s="3" t="s">
        <v>340</v>
      </c>
      <c r="G58" s="3">
        <v>12</v>
      </c>
      <c r="H58" s="3">
        <v>0</v>
      </c>
      <c r="I58" s="3">
        <v>1</v>
      </c>
      <c r="J58" s="3">
        <v>11</v>
      </c>
      <c r="K58" s="3">
        <v>0</v>
      </c>
      <c r="L58" s="3">
        <v>0</v>
      </c>
      <c r="M58" s="3">
        <v>0</v>
      </c>
      <c r="N58" s="3" t="s">
        <v>341</v>
      </c>
      <c r="O58" s="3">
        <v>6</v>
      </c>
      <c r="P58" s="3">
        <v>2.35</v>
      </c>
      <c r="Q58" s="3">
        <v>0</v>
      </c>
      <c r="R58" s="3">
        <v>0</v>
      </c>
      <c r="S58" s="3">
        <v>0</v>
      </c>
      <c r="T58" s="3">
        <v>0</v>
      </c>
      <c r="U58" s="3">
        <v>1</v>
      </c>
      <c r="V58" s="3">
        <v>3</v>
      </c>
      <c r="W58" s="3" t="s">
        <v>381</v>
      </c>
      <c r="X58" s="3">
        <v>20.99</v>
      </c>
      <c r="Y58" s="3">
        <v>20.99</v>
      </c>
      <c r="Z58" s="3">
        <v>20.99</v>
      </c>
      <c r="AA58" s="3">
        <v>0</v>
      </c>
      <c r="AB58" s="3" t="s">
        <v>343</v>
      </c>
      <c r="AC58" s="3">
        <v>0</v>
      </c>
      <c r="AD58" s="3">
        <v>16.96</v>
      </c>
      <c r="AE58" s="3">
        <v>364</v>
      </c>
      <c r="AF58" s="3">
        <v>0</v>
      </c>
      <c r="AG58" s="3">
        <v>132.28503</v>
      </c>
      <c r="AH58" s="3">
        <v>0.23076923076923</v>
      </c>
      <c r="AI58" s="3" t="s">
        <v>435</v>
      </c>
      <c r="AJ58" s="3" t="s">
        <v>345</v>
      </c>
    </row>
    <row r="59" spans="1:36">
      <c r="A59" s="4">
        <v>43288</v>
      </c>
      <c r="B59" s="3" t="s">
        <v>568</v>
      </c>
      <c r="C59" s="3" t="s">
        <v>569</v>
      </c>
      <c r="D59" s="3" t="s">
        <v>570</v>
      </c>
      <c r="E59" s="3" t="s">
        <v>555</v>
      </c>
      <c r="F59" s="3" t="s">
        <v>340</v>
      </c>
      <c r="G59" s="3">
        <v>4</v>
      </c>
      <c r="H59" s="3">
        <v>0</v>
      </c>
      <c r="I59" s="3">
        <v>0</v>
      </c>
      <c r="J59" s="3">
        <v>2</v>
      </c>
      <c r="K59" s="3">
        <v>0</v>
      </c>
      <c r="L59" s="3">
        <v>2</v>
      </c>
      <c r="M59" s="3">
        <v>0</v>
      </c>
      <c r="N59" s="3" t="s">
        <v>341</v>
      </c>
      <c r="O59" s="3">
        <v>4</v>
      </c>
      <c r="P59" s="3">
        <v>3.13</v>
      </c>
      <c r="Q59" s="3">
        <v>0</v>
      </c>
      <c r="R59" s="3">
        <v>0</v>
      </c>
      <c r="S59" s="3">
        <v>0</v>
      </c>
      <c r="T59" s="3">
        <v>0</v>
      </c>
      <c r="U59" s="3">
        <v>2</v>
      </c>
      <c r="V59" s="3">
        <v>2</v>
      </c>
      <c r="W59" s="3" t="s">
        <v>381</v>
      </c>
      <c r="X59" s="3">
        <v>19.99</v>
      </c>
      <c r="Y59" s="3">
        <v>19.99</v>
      </c>
      <c r="Z59" s="3">
        <v>19.99</v>
      </c>
      <c r="AA59" s="3">
        <v>0</v>
      </c>
      <c r="AB59" s="3" t="s">
        <v>343</v>
      </c>
      <c r="AC59" s="3">
        <v>0</v>
      </c>
      <c r="AD59" s="3">
        <v>16.73</v>
      </c>
      <c r="AE59" s="3">
        <v>364</v>
      </c>
      <c r="AF59" s="3">
        <v>0</v>
      </c>
      <c r="AG59" s="3">
        <v>57.111615</v>
      </c>
      <c r="AH59" s="3">
        <v>0.38095238095238</v>
      </c>
      <c r="AI59" s="3" t="s">
        <v>556</v>
      </c>
      <c r="AJ59" s="3" t="s">
        <v>345</v>
      </c>
    </row>
    <row r="60" spans="1:36">
      <c r="A60" s="4">
        <v>43288</v>
      </c>
      <c r="B60" s="3" t="s">
        <v>571</v>
      </c>
      <c r="C60" s="3" t="s">
        <v>572</v>
      </c>
      <c r="D60" s="3" t="s">
        <v>573</v>
      </c>
      <c r="E60" s="3" t="s">
        <v>463</v>
      </c>
      <c r="F60" s="3" t="s">
        <v>340</v>
      </c>
      <c r="G60" s="3">
        <v>1</v>
      </c>
      <c r="H60" s="3">
        <v>0</v>
      </c>
      <c r="I60" s="3">
        <v>0</v>
      </c>
      <c r="J60" s="3">
        <v>1</v>
      </c>
      <c r="K60" s="3">
        <v>0</v>
      </c>
      <c r="L60" s="3">
        <v>0</v>
      </c>
      <c r="M60" s="3">
        <v>0</v>
      </c>
      <c r="N60" s="3" t="s">
        <v>341</v>
      </c>
      <c r="O60" s="3">
        <v>1</v>
      </c>
      <c r="P60" s="3">
        <v>1.19</v>
      </c>
      <c r="Q60" s="3">
        <v>0</v>
      </c>
      <c r="R60" s="3">
        <v>0</v>
      </c>
      <c r="S60" s="3">
        <v>1</v>
      </c>
      <c r="T60" s="3">
        <v>1</v>
      </c>
      <c r="U60" s="3">
        <v>1</v>
      </c>
      <c r="V60" s="3">
        <v>1</v>
      </c>
      <c r="W60" s="3"/>
      <c r="X60" s="3">
        <v>16.99</v>
      </c>
      <c r="Y60" s="3">
        <v>16.99</v>
      </c>
      <c r="Z60" s="3">
        <v>16.99</v>
      </c>
      <c r="AA60" s="3">
        <v>0</v>
      </c>
      <c r="AB60" s="3" t="s">
        <v>343</v>
      </c>
      <c r="AC60" s="3">
        <v>0</v>
      </c>
      <c r="AD60" s="3">
        <v>15.44</v>
      </c>
      <c r="AE60" s="3">
        <v>84</v>
      </c>
      <c r="AF60" s="3">
        <v>0</v>
      </c>
      <c r="AG60" s="3">
        <v>42.644476</v>
      </c>
      <c r="AH60" s="3">
        <v>0.571428571428571</v>
      </c>
      <c r="AI60" s="3" t="s">
        <v>464</v>
      </c>
      <c r="AJ60" s="3" t="s">
        <v>345</v>
      </c>
    </row>
    <row r="61" spans="1:36">
      <c r="A61" s="4">
        <v>43288</v>
      </c>
      <c r="B61" s="3" t="s">
        <v>144</v>
      </c>
      <c r="C61" s="3" t="s">
        <v>145</v>
      </c>
      <c r="D61" s="3" t="s">
        <v>146</v>
      </c>
      <c r="E61" s="3" t="s">
        <v>130</v>
      </c>
      <c r="F61" s="3" t="s">
        <v>340</v>
      </c>
      <c r="G61" s="3">
        <v>12</v>
      </c>
      <c r="H61" s="3">
        <v>0</v>
      </c>
      <c r="I61" s="3">
        <v>12</v>
      </c>
      <c r="J61" s="3">
        <v>0</v>
      </c>
      <c r="K61" s="3">
        <v>0</v>
      </c>
      <c r="L61" s="3">
        <v>0</v>
      </c>
      <c r="M61" s="3">
        <v>0</v>
      </c>
      <c r="N61" s="3" t="s">
        <v>341</v>
      </c>
      <c r="O61" s="3">
        <v>0</v>
      </c>
      <c r="P61" s="3">
        <v>0</v>
      </c>
      <c r="Q61" s="3">
        <v>0</v>
      </c>
      <c r="R61" s="3">
        <v>0</v>
      </c>
      <c r="S61" s="3">
        <v>5</v>
      </c>
      <c r="T61" s="3">
        <v>8</v>
      </c>
      <c r="U61" s="3">
        <v>8</v>
      </c>
      <c r="V61" s="3">
        <v>8</v>
      </c>
      <c r="W61" s="3"/>
      <c r="X61" s="3">
        <v>39.99</v>
      </c>
      <c r="Y61" s="3">
        <v>19.99</v>
      </c>
      <c r="Z61" s="3">
        <v>19.99</v>
      </c>
      <c r="AA61" s="3">
        <v>0</v>
      </c>
      <c r="AB61" s="3" t="s">
        <v>359</v>
      </c>
      <c r="AC61" s="3">
        <v>14</v>
      </c>
      <c r="AD61" s="3">
        <v>19.99</v>
      </c>
      <c r="AE61" s="3">
        <v>0</v>
      </c>
      <c r="AF61" s="3">
        <v>0</v>
      </c>
      <c r="AG61" s="3">
        <v>0</v>
      </c>
      <c r="AH61" s="3">
        <v>0.666666666666666</v>
      </c>
      <c r="AI61" s="3" t="s">
        <v>371</v>
      </c>
      <c r="AJ61" s="3" t="s">
        <v>345</v>
      </c>
    </row>
    <row r="62" spans="1:36">
      <c r="A62" s="4">
        <v>43288</v>
      </c>
      <c r="B62" s="3" t="s">
        <v>574</v>
      </c>
      <c r="C62" s="3" t="s">
        <v>575</v>
      </c>
      <c r="D62" s="3" t="s">
        <v>576</v>
      </c>
      <c r="E62" s="3" t="s">
        <v>577</v>
      </c>
      <c r="F62" s="3" t="s">
        <v>340</v>
      </c>
      <c r="G62" s="3">
        <v>4</v>
      </c>
      <c r="H62" s="3">
        <v>0</v>
      </c>
      <c r="I62" s="3">
        <v>1</v>
      </c>
      <c r="J62" s="3">
        <v>1</v>
      </c>
      <c r="K62" s="3">
        <v>2</v>
      </c>
      <c r="L62" s="3">
        <v>0</v>
      </c>
      <c r="M62" s="3">
        <v>0</v>
      </c>
      <c r="N62" s="3" t="s">
        <v>341</v>
      </c>
      <c r="O62" s="3">
        <v>2</v>
      </c>
      <c r="P62" s="3">
        <v>2.34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1</v>
      </c>
      <c r="W62" s="3" t="s">
        <v>342</v>
      </c>
      <c r="X62" s="3">
        <v>16.99</v>
      </c>
      <c r="Y62" s="3">
        <v>16.99</v>
      </c>
      <c r="Z62" s="3">
        <v>16.99</v>
      </c>
      <c r="AA62" s="3">
        <v>0</v>
      </c>
      <c r="AB62" s="3" t="s">
        <v>349</v>
      </c>
      <c r="AC62" s="3">
        <v>0</v>
      </c>
      <c r="AD62" s="3">
        <v>14.85</v>
      </c>
      <c r="AE62" s="3">
        <v>224</v>
      </c>
      <c r="AF62" s="3">
        <v>0</v>
      </c>
      <c r="AG62" s="3">
        <v>74.588525</v>
      </c>
      <c r="AH62" s="3">
        <v>0.266666666666666</v>
      </c>
      <c r="AI62" s="3" t="s">
        <v>578</v>
      </c>
      <c r="AJ62" s="3" t="s">
        <v>345</v>
      </c>
    </row>
    <row r="63" spans="1:36">
      <c r="A63" s="4">
        <v>43288</v>
      </c>
      <c r="B63" s="3" t="s">
        <v>166</v>
      </c>
      <c r="C63" s="3" t="s">
        <v>167</v>
      </c>
      <c r="D63" s="3" t="s">
        <v>168</v>
      </c>
      <c r="E63" s="3" t="s">
        <v>169</v>
      </c>
      <c r="F63" s="3" t="s">
        <v>340</v>
      </c>
      <c r="G63" s="3">
        <v>4</v>
      </c>
      <c r="H63" s="3">
        <v>1</v>
      </c>
      <c r="I63" s="3">
        <v>1</v>
      </c>
      <c r="J63" s="3">
        <v>3</v>
      </c>
      <c r="K63" s="3">
        <v>0</v>
      </c>
      <c r="L63" s="3">
        <v>0</v>
      </c>
      <c r="M63" s="3">
        <v>0</v>
      </c>
      <c r="N63" s="3" t="s">
        <v>341</v>
      </c>
      <c r="O63" s="3">
        <v>2</v>
      </c>
      <c r="P63" s="3">
        <v>1.22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1</v>
      </c>
      <c r="W63" s="3"/>
      <c r="X63" s="3"/>
      <c r="Y63" s="3"/>
      <c r="Z63" s="3">
        <v>-1</v>
      </c>
      <c r="AA63" s="3">
        <v>-1</v>
      </c>
      <c r="AB63" s="3" t="s">
        <v>493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0.17391304347826</v>
      </c>
      <c r="AI63" s="3" t="s">
        <v>579</v>
      </c>
      <c r="AJ63" s="3" t="s">
        <v>345</v>
      </c>
    </row>
    <row r="64" spans="1:36">
      <c r="A64" s="4">
        <v>43288</v>
      </c>
      <c r="B64" s="3" t="s">
        <v>580</v>
      </c>
      <c r="C64" s="3" t="s">
        <v>581</v>
      </c>
      <c r="D64" s="3" t="s">
        <v>582</v>
      </c>
      <c r="E64" s="3" t="s">
        <v>583</v>
      </c>
      <c r="F64" s="3" t="s">
        <v>340</v>
      </c>
      <c r="G64" s="3">
        <v>13</v>
      </c>
      <c r="H64" s="3">
        <v>0</v>
      </c>
      <c r="I64" s="3">
        <v>0</v>
      </c>
      <c r="J64" s="3">
        <v>13</v>
      </c>
      <c r="K64" s="3">
        <v>0</v>
      </c>
      <c r="L64" s="3">
        <v>0</v>
      </c>
      <c r="M64" s="3">
        <v>0</v>
      </c>
      <c r="N64" s="3" t="s">
        <v>341</v>
      </c>
      <c r="O64" s="3">
        <v>13</v>
      </c>
      <c r="P64" s="3">
        <v>16.18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1</v>
      </c>
      <c r="W64" s="3" t="s">
        <v>342</v>
      </c>
      <c r="X64" s="3">
        <v>15.99</v>
      </c>
      <c r="Y64" s="3">
        <v>15.99</v>
      </c>
      <c r="Z64" s="3">
        <v>15.99</v>
      </c>
      <c r="AA64" s="3">
        <v>0</v>
      </c>
      <c r="AB64" s="3" t="s">
        <v>349</v>
      </c>
      <c r="AC64" s="3">
        <v>0</v>
      </c>
      <c r="AD64" s="3">
        <v>13.33</v>
      </c>
      <c r="AE64" s="3">
        <v>217</v>
      </c>
      <c r="AF64" s="3">
        <v>0</v>
      </c>
      <c r="AG64" s="3">
        <v>258.320171</v>
      </c>
      <c r="AH64" s="3">
        <v>0.0615384615384615</v>
      </c>
      <c r="AI64" s="3" t="s">
        <v>397</v>
      </c>
      <c r="AJ64" s="3" t="s">
        <v>345</v>
      </c>
    </row>
    <row r="65" spans="1:36">
      <c r="A65" s="4">
        <v>43288</v>
      </c>
      <c r="B65" s="3" t="s">
        <v>584</v>
      </c>
      <c r="C65" s="3" t="s">
        <v>585</v>
      </c>
      <c r="D65" s="3" t="s">
        <v>586</v>
      </c>
      <c r="E65" s="3" t="s">
        <v>490</v>
      </c>
      <c r="F65" s="3" t="s">
        <v>340</v>
      </c>
      <c r="G65" s="3">
        <v>3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3</v>
      </c>
      <c r="N65" s="3" t="s">
        <v>341</v>
      </c>
      <c r="O65" s="3">
        <v>0</v>
      </c>
      <c r="P65" s="3">
        <v>0</v>
      </c>
      <c r="Q65" s="3">
        <v>3</v>
      </c>
      <c r="R65" s="3">
        <v>3.75</v>
      </c>
      <c r="S65" s="3">
        <v>0</v>
      </c>
      <c r="T65" s="3">
        <v>0</v>
      </c>
      <c r="U65" s="3">
        <v>0</v>
      </c>
      <c r="V65" s="3">
        <v>0</v>
      </c>
      <c r="W65" s="3" t="s">
        <v>342</v>
      </c>
      <c r="X65" s="3">
        <v>16.99</v>
      </c>
      <c r="Y65" s="3">
        <v>16.99</v>
      </c>
      <c r="Z65" s="3">
        <v>16.99</v>
      </c>
      <c r="AA65" s="3">
        <v>0</v>
      </c>
      <c r="AB65" s="3" t="s">
        <v>343</v>
      </c>
      <c r="AC65" s="3">
        <v>0</v>
      </c>
      <c r="AD65" s="3">
        <v>13.59</v>
      </c>
      <c r="AE65" s="3">
        <v>63</v>
      </c>
      <c r="AF65" s="3">
        <v>0</v>
      </c>
      <c r="AG65" s="3">
        <v>24.814002</v>
      </c>
      <c r="AH65" s="3">
        <v>0</v>
      </c>
      <c r="AI65" s="3" t="s">
        <v>491</v>
      </c>
      <c r="AJ65" s="3" t="s">
        <v>345</v>
      </c>
    </row>
    <row r="66" spans="1:36">
      <c r="A66" s="4">
        <v>43288</v>
      </c>
      <c r="B66" s="3" t="s">
        <v>587</v>
      </c>
      <c r="C66" s="3" t="s">
        <v>588</v>
      </c>
      <c r="D66" s="3" t="s">
        <v>589</v>
      </c>
      <c r="E66" s="3" t="s">
        <v>590</v>
      </c>
      <c r="F66" s="3" t="s">
        <v>340</v>
      </c>
      <c r="G66" s="3">
        <v>6</v>
      </c>
      <c r="H66" s="3">
        <v>0</v>
      </c>
      <c r="I66" s="3">
        <v>1</v>
      </c>
      <c r="J66" s="3">
        <v>5</v>
      </c>
      <c r="K66" s="3">
        <v>0</v>
      </c>
      <c r="L66" s="3">
        <v>0</v>
      </c>
      <c r="M66" s="3">
        <v>0</v>
      </c>
      <c r="N66" s="3" t="s">
        <v>341</v>
      </c>
      <c r="O66" s="3">
        <v>3</v>
      </c>
      <c r="P66" s="3">
        <v>9.18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381</v>
      </c>
      <c r="X66" s="3">
        <v>18.99</v>
      </c>
      <c r="Y66" s="3">
        <v>18.99</v>
      </c>
      <c r="Z66" s="3">
        <v>18.99</v>
      </c>
      <c r="AA66" s="3">
        <v>0</v>
      </c>
      <c r="AB66" s="3" t="s">
        <v>343</v>
      </c>
      <c r="AC66" s="3">
        <v>2</v>
      </c>
      <c r="AD66" s="3">
        <v>16.23</v>
      </c>
      <c r="AE66" s="3">
        <v>14</v>
      </c>
      <c r="AF66" s="3">
        <v>0</v>
      </c>
      <c r="AG66" s="3">
        <v>254.935063</v>
      </c>
      <c r="AH66" s="3">
        <v>0</v>
      </c>
      <c r="AI66" s="3" t="s">
        <v>591</v>
      </c>
      <c r="AJ66" s="3" t="s">
        <v>345</v>
      </c>
    </row>
    <row r="67" spans="1:36">
      <c r="A67" s="4">
        <v>43288</v>
      </c>
      <c r="B67" s="3" t="s">
        <v>592</v>
      </c>
      <c r="C67" s="3" t="s">
        <v>593</v>
      </c>
      <c r="D67" s="3" t="s">
        <v>594</v>
      </c>
      <c r="E67" s="3" t="s">
        <v>595</v>
      </c>
      <c r="F67" s="3" t="s">
        <v>340</v>
      </c>
      <c r="G67" s="3">
        <v>2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2</v>
      </c>
      <c r="N67" s="3" t="s">
        <v>341</v>
      </c>
      <c r="O67" s="3">
        <v>0</v>
      </c>
      <c r="P67" s="3">
        <v>0</v>
      </c>
      <c r="Q67" s="3">
        <v>2</v>
      </c>
      <c r="R67" s="3">
        <v>6.44</v>
      </c>
      <c r="S67" s="3">
        <v>0</v>
      </c>
      <c r="T67" s="3">
        <v>0</v>
      </c>
      <c r="U67" s="3">
        <v>0</v>
      </c>
      <c r="V67" s="3">
        <v>0</v>
      </c>
      <c r="W67" s="3" t="s">
        <v>342</v>
      </c>
      <c r="X67" s="3">
        <v>23.88</v>
      </c>
      <c r="Y67" s="3">
        <v>23.88</v>
      </c>
      <c r="Z67" s="3">
        <v>23.88</v>
      </c>
      <c r="AA67" s="3">
        <v>0</v>
      </c>
      <c r="AB67" s="3" t="s">
        <v>343</v>
      </c>
      <c r="AC67" s="3">
        <v>0</v>
      </c>
      <c r="AD67" s="3">
        <v>21.29</v>
      </c>
      <c r="AE67" s="3">
        <v>91</v>
      </c>
      <c r="AF67" s="3">
        <v>0</v>
      </c>
      <c r="AG67" s="3">
        <v>58.009535</v>
      </c>
      <c r="AH67" s="3">
        <v>0</v>
      </c>
      <c r="AI67" s="3" t="s">
        <v>596</v>
      </c>
      <c r="AJ67" s="3" t="s">
        <v>345</v>
      </c>
    </row>
    <row r="68" spans="1:36">
      <c r="A68" s="4">
        <v>43288</v>
      </c>
      <c r="B68" s="3" t="s">
        <v>597</v>
      </c>
      <c r="C68" s="3" t="s">
        <v>598</v>
      </c>
      <c r="D68" s="3" t="s">
        <v>599</v>
      </c>
      <c r="E68" s="3" t="s">
        <v>375</v>
      </c>
      <c r="F68" s="3" t="s">
        <v>340</v>
      </c>
      <c r="G68" s="3">
        <v>2</v>
      </c>
      <c r="H68" s="3">
        <v>0</v>
      </c>
      <c r="I68" s="3">
        <v>2</v>
      </c>
      <c r="J68" s="3">
        <v>0</v>
      </c>
      <c r="K68" s="3">
        <v>0</v>
      </c>
      <c r="L68" s="3">
        <v>0</v>
      </c>
      <c r="M68" s="3">
        <v>0</v>
      </c>
      <c r="N68" s="3" t="s">
        <v>341</v>
      </c>
      <c r="O68" s="3">
        <v>0</v>
      </c>
      <c r="P68" s="3">
        <v>0</v>
      </c>
      <c r="Q68" s="3">
        <v>0</v>
      </c>
      <c r="R68" s="3">
        <v>0</v>
      </c>
      <c r="S68" s="3">
        <v>1</v>
      </c>
      <c r="T68" s="3">
        <v>2</v>
      </c>
      <c r="U68" s="3">
        <v>4</v>
      </c>
      <c r="V68" s="3">
        <v>7</v>
      </c>
      <c r="W68" s="3" t="s">
        <v>342</v>
      </c>
      <c r="X68" s="3">
        <v>18.99</v>
      </c>
      <c r="Y68" s="3">
        <v>18.99</v>
      </c>
      <c r="Z68" s="3">
        <v>18.99</v>
      </c>
      <c r="AA68" s="3">
        <v>0</v>
      </c>
      <c r="AB68" s="3" t="s">
        <v>349</v>
      </c>
      <c r="AC68" s="3">
        <v>1</v>
      </c>
      <c r="AD68" s="3">
        <v>14.84</v>
      </c>
      <c r="AE68" s="3">
        <v>56</v>
      </c>
      <c r="AF68" s="3">
        <v>0</v>
      </c>
      <c r="AG68" s="3">
        <v>2.167083</v>
      </c>
      <c r="AH68" s="3">
        <v>1.55555555555555</v>
      </c>
      <c r="AI68" s="3" t="s">
        <v>376</v>
      </c>
      <c r="AJ68" s="3" t="s">
        <v>345</v>
      </c>
    </row>
    <row r="69" spans="1:36">
      <c r="A69" s="4">
        <v>43288</v>
      </c>
      <c r="B69" s="3" t="s">
        <v>600</v>
      </c>
      <c r="C69" s="3" t="s">
        <v>601</v>
      </c>
      <c r="D69" s="3" t="s">
        <v>602</v>
      </c>
      <c r="E69" s="3" t="s">
        <v>603</v>
      </c>
      <c r="F69" s="3" t="s">
        <v>340</v>
      </c>
      <c r="G69" s="3">
        <v>1</v>
      </c>
      <c r="H69" s="3">
        <v>0</v>
      </c>
      <c r="I69" s="3">
        <v>1</v>
      </c>
      <c r="J69" s="3">
        <v>0</v>
      </c>
      <c r="K69" s="3">
        <v>0</v>
      </c>
      <c r="L69" s="3">
        <v>0</v>
      </c>
      <c r="M69" s="3">
        <v>0</v>
      </c>
      <c r="N69" s="3" t="s">
        <v>341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1</v>
      </c>
      <c r="V69" s="3">
        <v>1</v>
      </c>
      <c r="W69" s="3" t="s">
        <v>342</v>
      </c>
      <c r="X69" s="3">
        <v>18.99</v>
      </c>
      <c r="Y69" s="3">
        <v>18.99</v>
      </c>
      <c r="Z69" s="3">
        <v>18.99</v>
      </c>
      <c r="AA69" s="3">
        <v>0</v>
      </c>
      <c r="AB69" s="3" t="s">
        <v>349</v>
      </c>
      <c r="AC69" s="3">
        <v>0</v>
      </c>
      <c r="AD69" s="3">
        <v>17.35</v>
      </c>
      <c r="AE69" s="3">
        <v>189</v>
      </c>
      <c r="AF69" s="3">
        <v>0</v>
      </c>
      <c r="AG69" s="3">
        <v>18.470378</v>
      </c>
      <c r="AH69" s="3">
        <v>1</v>
      </c>
      <c r="AI69" s="3" t="s">
        <v>604</v>
      </c>
      <c r="AJ69" s="3" t="s">
        <v>345</v>
      </c>
    </row>
    <row r="70" spans="1:36">
      <c r="A70" s="4">
        <v>43288</v>
      </c>
      <c r="B70" s="3" t="s">
        <v>605</v>
      </c>
      <c r="C70" s="3" t="s">
        <v>606</v>
      </c>
      <c r="D70" s="3" t="s">
        <v>607</v>
      </c>
      <c r="E70" s="3" t="s">
        <v>608</v>
      </c>
      <c r="F70" s="3" t="s">
        <v>340</v>
      </c>
      <c r="G70" s="3">
        <v>1</v>
      </c>
      <c r="H70" s="3">
        <v>0</v>
      </c>
      <c r="I70" s="3">
        <v>1</v>
      </c>
      <c r="J70" s="3">
        <v>0</v>
      </c>
      <c r="K70" s="3">
        <v>0</v>
      </c>
      <c r="L70" s="3">
        <v>0</v>
      </c>
      <c r="M70" s="3">
        <v>0</v>
      </c>
      <c r="N70" s="3" t="s">
        <v>341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3</v>
      </c>
      <c r="W70" s="3"/>
      <c r="X70" s="3"/>
      <c r="Y70" s="3"/>
      <c r="Z70" s="3">
        <v>-1</v>
      </c>
      <c r="AA70" s="3">
        <v>-1</v>
      </c>
      <c r="AB70" s="3" t="s">
        <v>493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2</v>
      </c>
      <c r="AI70" s="3" t="s">
        <v>609</v>
      </c>
      <c r="AJ70" s="3" t="s">
        <v>345</v>
      </c>
    </row>
    <row r="71" spans="1:36">
      <c r="A71" s="4">
        <v>43288</v>
      </c>
      <c r="B71" s="3" t="s">
        <v>610</v>
      </c>
      <c r="C71" s="3" t="s">
        <v>611</v>
      </c>
      <c r="D71" s="3" t="s">
        <v>612</v>
      </c>
      <c r="E71" s="3" t="s">
        <v>613</v>
      </c>
      <c r="F71" s="3" t="s">
        <v>340</v>
      </c>
      <c r="G71" s="3">
        <v>4</v>
      </c>
      <c r="H71" s="3">
        <v>0</v>
      </c>
      <c r="I71" s="3">
        <v>0</v>
      </c>
      <c r="J71" s="3">
        <v>0</v>
      </c>
      <c r="K71" s="3">
        <v>4</v>
      </c>
      <c r="L71" s="3">
        <v>0</v>
      </c>
      <c r="M71" s="3">
        <v>0</v>
      </c>
      <c r="N71" s="3" t="s">
        <v>341</v>
      </c>
      <c r="O71" s="3">
        <v>4</v>
      </c>
      <c r="P71" s="3">
        <v>3.33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342</v>
      </c>
      <c r="X71" s="3">
        <v>12.99</v>
      </c>
      <c r="Y71" s="3">
        <v>12.99</v>
      </c>
      <c r="Z71" s="3">
        <v>12.99</v>
      </c>
      <c r="AA71" s="3">
        <v>0</v>
      </c>
      <c r="AB71" s="3" t="s">
        <v>349</v>
      </c>
      <c r="AC71" s="3">
        <v>1</v>
      </c>
      <c r="AD71" s="3">
        <v>11.8</v>
      </c>
      <c r="AE71" s="3">
        <v>42</v>
      </c>
      <c r="AF71" s="3">
        <v>0</v>
      </c>
      <c r="AG71" s="3">
        <v>61.427848</v>
      </c>
      <c r="AH71" s="3">
        <v>0</v>
      </c>
      <c r="AI71" s="3" t="s">
        <v>614</v>
      </c>
      <c r="AJ71" s="3" t="s">
        <v>345</v>
      </c>
    </row>
    <row r="72" spans="1:36">
      <c r="A72" s="4">
        <v>43288</v>
      </c>
      <c r="B72" s="3" t="s">
        <v>615</v>
      </c>
      <c r="C72" s="3" t="s">
        <v>616</v>
      </c>
      <c r="D72" s="3" t="s">
        <v>617</v>
      </c>
      <c r="E72" s="3" t="s">
        <v>364</v>
      </c>
      <c r="F72" s="3" t="s">
        <v>340</v>
      </c>
      <c r="G72" s="3">
        <v>5</v>
      </c>
      <c r="H72" s="3">
        <v>0</v>
      </c>
      <c r="I72" s="3">
        <v>0</v>
      </c>
      <c r="J72" s="3">
        <v>5</v>
      </c>
      <c r="K72" s="3">
        <v>0</v>
      </c>
      <c r="L72" s="3">
        <v>0</v>
      </c>
      <c r="M72" s="3">
        <v>0</v>
      </c>
      <c r="N72" s="3" t="s">
        <v>341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342</v>
      </c>
      <c r="X72" s="3">
        <v>17.99</v>
      </c>
      <c r="Y72" s="3">
        <v>17.99</v>
      </c>
      <c r="Z72" s="3">
        <v>17.99</v>
      </c>
      <c r="AA72" s="3">
        <v>0</v>
      </c>
      <c r="AB72" s="3" t="s">
        <v>349</v>
      </c>
      <c r="AC72" s="3">
        <v>0</v>
      </c>
      <c r="AD72" s="3">
        <v>16.79</v>
      </c>
      <c r="AE72" s="3">
        <v>105</v>
      </c>
      <c r="AF72" s="3">
        <v>0</v>
      </c>
      <c r="AG72" s="3">
        <v>126.323769</v>
      </c>
      <c r="AH72" s="3">
        <v>0</v>
      </c>
      <c r="AI72" s="3" t="s">
        <v>618</v>
      </c>
      <c r="AJ72" s="3" t="s">
        <v>345</v>
      </c>
    </row>
    <row r="73" spans="1:36">
      <c r="A73" s="4">
        <v>43288</v>
      </c>
      <c r="B73" s="3" t="s">
        <v>619</v>
      </c>
      <c r="C73" s="3" t="s">
        <v>620</v>
      </c>
      <c r="D73" s="3" t="s">
        <v>621</v>
      </c>
      <c r="E73" s="3" t="s">
        <v>416</v>
      </c>
      <c r="F73" s="3" t="s">
        <v>340</v>
      </c>
      <c r="G73" s="3">
        <v>2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2</v>
      </c>
      <c r="N73" s="3" t="s">
        <v>341</v>
      </c>
      <c r="O73" s="3">
        <v>0</v>
      </c>
      <c r="P73" s="3">
        <v>0</v>
      </c>
      <c r="Q73" s="3">
        <v>2</v>
      </c>
      <c r="R73" s="3">
        <v>2.84</v>
      </c>
      <c r="S73" s="3">
        <v>0</v>
      </c>
      <c r="T73" s="3">
        <v>0</v>
      </c>
      <c r="U73" s="3">
        <v>1</v>
      </c>
      <c r="V73" s="3">
        <v>1</v>
      </c>
      <c r="W73" s="3" t="s">
        <v>381</v>
      </c>
      <c r="X73" s="3">
        <v>18.99</v>
      </c>
      <c r="Y73" s="3">
        <v>18.99</v>
      </c>
      <c r="Z73" s="3">
        <v>18.99</v>
      </c>
      <c r="AA73" s="3">
        <v>0</v>
      </c>
      <c r="AB73" s="3" t="s">
        <v>343</v>
      </c>
      <c r="AC73" s="3">
        <v>0</v>
      </c>
      <c r="AD73" s="3">
        <v>16.46</v>
      </c>
      <c r="AE73" s="3">
        <v>266</v>
      </c>
      <c r="AF73" s="3">
        <v>0</v>
      </c>
      <c r="AG73" s="3">
        <v>30.505002</v>
      </c>
      <c r="AH73" s="3">
        <v>0.4</v>
      </c>
      <c r="AI73" s="3" t="s">
        <v>622</v>
      </c>
      <c r="AJ73" s="3" t="s">
        <v>345</v>
      </c>
    </row>
    <row r="74" spans="1:36">
      <c r="A74" s="4">
        <v>43288</v>
      </c>
      <c r="B74" s="3" t="s">
        <v>623</v>
      </c>
      <c r="C74" s="3" t="s">
        <v>624</v>
      </c>
      <c r="D74" s="3" t="s">
        <v>625</v>
      </c>
      <c r="E74" s="3" t="s">
        <v>626</v>
      </c>
      <c r="F74" s="3" t="s">
        <v>340</v>
      </c>
      <c r="G74" s="3">
        <v>3</v>
      </c>
      <c r="H74" s="3">
        <v>0</v>
      </c>
      <c r="I74" s="3">
        <v>0</v>
      </c>
      <c r="J74" s="3">
        <v>3</v>
      </c>
      <c r="K74" s="3">
        <v>0</v>
      </c>
      <c r="L74" s="3">
        <v>0</v>
      </c>
      <c r="M74" s="3">
        <v>0</v>
      </c>
      <c r="N74" s="3" t="s">
        <v>341</v>
      </c>
      <c r="O74" s="3">
        <v>3</v>
      </c>
      <c r="P74" s="3">
        <v>3.73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 t="s">
        <v>342</v>
      </c>
      <c r="X74" s="3">
        <v>15.99</v>
      </c>
      <c r="Y74" s="3">
        <v>15.99</v>
      </c>
      <c r="Z74" s="3">
        <v>15.99</v>
      </c>
      <c r="AA74" s="3">
        <v>0</v>
      </c>
      <c r="AB74" s="3" t="s">
        <v>349</v>
      </c>
      <c r="AC74" s="3">
        <v>0</v>
      </c>
      <c r="AD74" s="3">
        <v>14.53</v>
      </c>
      <c r="AE74" s="3">
        <v>91</v>
      </c>
      <c r="AF74" s="3">
        <v>0</v>
      </c>
      <c r="AG74" s="3">
        <v>64.353638</v>
      </c>
      <c r="AH74" s="3">
        <v>0</v>
      </c>
      <c r="AI74" s="3" t="s">
        <v>397</v>
      </c>
      <c r="AJ74" s="3" t="s">
        <v>345</v>
      </c>
    </row>
    <row r="75" spans="1:36">
      <c r="A75" s="4">
        <v>43288</v>
      </c>
      <c r="B75" s="3" t="s">
        <v>627</v>
      </c>
      <c r="C75" s="3" t="s">
        <v>628</v>
      </c>
      <c r="D75" s="3" t="s">
        <v>629</v>
      </c>
      <c r="E75" s="3" t="s">
        <v>630</v>
      </c>
      <c r="F75" s="3" t="s">
        <v>340</v>
      </c>
      <c r="G75" s="3">
        <v>4</v>
      </c>
      <c r="H75" s="3">
        <v>0</v>
      </c>
      <c r="I75" s="3">
        <v>0</v>
      </c>
      <c r="J75" s="3">
        <v>4</v>
      </c>
      <c r="K75" s="3">
        <v>0</v>
      </c>
      <c r="L75" s="3">
        <v>0</v>
      </c>
      <c r="M75" s="3">
        <v>0</v>
      </c>
      <c r="N75" s="3" t="s">
        <v>341</v>
      </c>
      <c r="O75" s="3">
        <v>4</v>
      </c>
      <c r="P75" s="3">
        <v>6.99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1</v>
      </c>
      <c r="W75" s="3" t="s">
        <v>381</v>
      </c>
      <c r="X75" s="3">
        <v>19.99</v>
      </c>
      <c r="Y75" s="3">
        <v>19.99</v>
      </c>
      <c r="Z75" s="3">
        <v>19.99</v>
      </c>
      <c r="AA75" s="3">
        <v>0</v>
      </c>
      <c r="AB75" s="3" t="s">
        <v>343</v>
      </c>
      <c r="AC75" s="3">
        <v>1</v>
      </c>
      <c r="AD75" s="3">
        <v>17.96</v>
      </c>
      <c r="AE75" s="3">
        <v>35</v>
      </c>
      <c r="AF75" s="3">
        <v>0</v>
      </c>
      <c r="AG75" s="3">
        <v>114.906397</v>
      </c>
      <c r="AH75" s="3">
        <v>0.148148148148148</v>
      </c>
      <c r="AI75" s="3" t="s">
        <v>631</v>
      </c>
      <c r="AJ75" s="3" t="s">
        <v>345</v>
      </c>
    </row>
    <row r="76" spans="1:36">
      <c r="A76" s="4">
        <v>43288</v>
      </c>
      <c r="B76" s="3" t="s">
        <v>632</v>
      </c>
      <c r="C76" s="3" t="s">
        <v>633</v>
      </c>
      <c r="D76" s="3" t="s">
        <v>634</v>
      </c>
      <c r="E76" s="3" t="s">
        <v>635</v>
      </c>
      <c r="F76" s="3" t="s">
        <v>340</v>
      </c>
      <c r="G76" s="3">
        <v>5</v>
      </c>
      <c r="H76" s="3">
        <v>0</v>
      </c>
      <c r="I76" s="3">
        <v>0</v>
      </c>
      <c r="J76" s="3">
        <v>5</v>
      </c>
      <c r="K76" s="3">
        <v>0</v>
      </c>
      <c r="L76" s="3">
        <v>0</v>
      </c>
      <c r="M76" s="3">
        <v>0</v>
      </c>
      <c r="N76" s="3" t="s">
        <v>341</v>
      </c>
      <c r="O76" s="3">
        <v>2</v>
      </c>
      <c r="P76" s="3">
        <v>4.7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1</v>
      </c>
      <c r="W76" s="3" t="s">
        <v>381</v>
      </c>
      <c r="X76" s="3">
        <v>18.99</v>
      </c>
      <c r="Y76" s="3">
        <v>18.99</v>
      </c>
      <c r="Z76" s="3">
        <v>18.99</v>
      </c>
      <c r="AA76" s="3">
        <v>0</v>
      </c>
      <c r="AB76" s="3" t="s">
        <v>343</v>
      </c>
      <c r="AC76" s="3">
        <v>2</v>
      </c>
      <c r="AD76" s="3">
        <v>17.76</v>
      </c>
      <c r="AE76" s="3">
        <v>42</v>
      </c>
      <c r="AF76" s="3">
        <v>0</v>
      </c>
      <c r="AG76" s="3">
        <v>168.101158</v>
      </c>
      <c r="AH76" s="3">
        <v>0.148148148148148</v>
      </c>
      <c r="AI76" s="3" t="s">
        <v>636</v>
      </c>
      <c r="AJ76" s="3" t="s">
        <v>345</v>
      </c>
    </row>
    <row r="77" spans="1:36">
      <c r="A77" s="4">
        <v>43288</v>
      </c>
      <c r="B77" s="3" t="s">
        <v>207</v>
      </c>
      <c r="C77" s="3" t="s">
        <v>208</v>
      </c>
      <c r="D77" s="3" t="s">
        <v>209</v>
      </c>
      <c r="E77" s="3" t="s">
        <v>181</v>
      </c>
      <c r="F77" s="3" t="s">
        <v>340</v>
      </c>
      <c r="G77" s="3">
        <v>5</v>
      </c>
      <c r="H77" s="3">
        <v>0</v>
      </c>
      <c r="I77" s="3">
        <v>5</v>
      </c>
      <c r="J77" s="3">
        <v>0</v>
      </c>
      <c r="K77" s="3">
        <v>0</v>
      </c>
      <c r="L77" s="3">
        <v>0</v>
      </c>
      <c r="M77" s="3">
        <v>0</v>
      </c>
      <c r="N77" s="3" t="s">
        <v>341</v>
      </c>
      <c r="O77" s="3">
        <v>0</v>
      </c>
      <c r="P77" s="3">
        <v>0</v>
      </c>
      <c r="Q77" s="3">
        <v>0</v>
      </c>
      <c r="R77" s="3">
        <v>0</v>
      </c>
      <c r="S77" s="3">
        <v>1</v>
      </c>
      <c r="T77" s="3">
        <v>6</v>
      </c>
      <c r="U77" s="3">
        <v>10</v>
      </c>
      <c r="V77" s="3">
        <v>14</v>
      </c>
      <c r="W77" s="3"/>
      <c r="X77" s="3">
        <v>14.99</v>
      </c>
      <c r="Y77" s="3">
        <v>14.99</v>
      </c>
      <c r="Z77" s="3">
        <v>14.99</v>
      </c>
      <c r="AA77" s="3">
        <v>0</v>
      </c>
      <c r="AB77" s="3" t="s">
        <v>359</v>
      </c>
      <c r="AC77" s="3">
        <v>4</v>
      </c>
      <c r="AD77" s="3">
        <v>14.99</v>
      </c>
      <c r="AE77" s="3">
        <v>0</v>
      </c>
      <c r="AF77" s="3">
        <v>0</v>
      </c>
      <c r="AG77" s="3">
        <v>0</v>
      </c>
      <c r="AH77" s="3">
        <v>1.75</v>
      </c>
      <c r="AI77" s="3" t="s">
        <v>637</v>
      </c>
      <c r="AJ77" s="3" t="s">
        <v>345</v>
      </c>
    </row>
    <row r="78" spans="1:36">
      <c r="A78" s="4">
        <v>43288</v>
      </c>
      <c r="B78" s="3" t="s">
        <v>638</v>
      </c>
      <c r="C78" s="3" t="s">
        <v>639</v>
      </c>
      <c r="D78" s="3" t="s">
        <v>640</v>
      </c>
      <c r="E78" s="3" t="s">
        <v>641</v>
      </c>
      <c r="F78" s="3" t="s">
        <v>340</v>
      </c>
      <c r="G78" s="3">
        <v>4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 s="3" t="s">
        <v>341</v>
      </c>
      <c r="O78" s="3">
        <v>0</v>
      </c>
      <c r="P78" s="3">
        <v>0</v>
      </c>
      <c r="Q78" s="3">
        <v>4</v>
      </c>
      <c r="R78" s="3">
        <v>4.06</v>
      </c>
      <c r="S78" s="3">
        <v>0</v>
      </c>
      <c r="T78" s="3">
        <v>0</v>
      </c>
      <c r="U78" s="3">
        <v>0</v>
      </c>
      <c r="V78" s="3">
        <v>0</v>
      </c>
      <c r="W78" s="3" t="s">
        <v>342</v>
      </c>
      <c r="X78" s="3">
        <v>18.9</v>
      </c>
      <c r="Y78" s="3">
        <v>18.9</v>
      </c>
      <c r="Z78" s="3">
        <v>18.9</v>
      </c>
      <c r="AA78" s="3">
        <v>0</v>
      </c>
      <c r="AB78" s="3" t="s">
        <v>343</v>
      </c>
      <c r="AC78" s="3">
        <v>0</v>
      </c>
      <c r="AD78" s="3">
        <v>17.14</v>
      </c>
      <c r="AE78" s="3">
        <v>140</v>
      </c>
      <c r="AF78" s="3">
        <v>0</v>
      </c>
      <c r="AG78" s="3">
        <v>61.214067</v>
      </c>
      <c r="AH78" s="3">
        <v>0</v>
      </c>
      <c r="AI78" s="3" t="s">
        <v>642</v>
      </c>
      <c r="AJ78" s="3" t="s">
        <v>345</v>
      </c>
    </row>
    <row r="79" spans="1:36">
      <c r="A79" s="4">
        <v>43288</v>
      </c>
      <c r="B79" s="3" t="s">
        <v>643</v>
      </c>
      <c r="C79" s="3" t="s">
        <v>644</v>
      </c>
      <c r="D79" s="3" t="s">
        <v>645</v>
      </c>
      <c r="E79" s="3" t="s">
        <v>646</v>
      </c>
      <c r="F79" s="3" t="s">
        <v>340</v>
      </c>
      <c r="G79" s="3">
        <v>1</v>
      </c>
      <c r="H79" s="3">
        <v>0</v>
      </c>
      <c r="I79" s="3">
        <v>1</v>
      </c>
      <c r="J79" s="3">
        <v>0</v>
      </c>
      <c r="K79" s="3">
        <v>0</v>
      </c>
      <c r="L79" s="3">
        <v>0</v>
      </c>
      <c r="M79" s="3">
        <v>0</v>
      </c>
      <c r="N79" s="3" t="s">
        <v>341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342</v>
      </c>
      <c r="X79" s="3">
        <v>16.99</v>
      </c>
      <c r="Y79" s="3">
        <v>16.99</v>
      </c>
      <c r="Z79" s="3">
        <v>16.99</v>
      </c>
      <c r="AA79" s="3">
        <v>0</v>
      </c>
      <c r="AB79" s="3" t="s">
        <v>349</v>
      </c>
      <c r="AC79" s="3">
        <v>0</v>
      </c>
      <c r="AD79" s="3">
        <v>16.06</v>
      </c>
      <c r="AE79" s="3">
        <v>14</v>
      </c>
      <c r="AF79" s="3">
        <v>0</v>
      </c>
      <c r="AG79" s="3">
        <v>18.054332</v>
      </c>
      <c r="AH79" s="3">
        <v>0</v>
      </c>
      <c r="AI79" s="3" t="s">
        <v>647</v>
      </c>
      <c r="AJ79" s="3" t="s">
        <v>345</v>
      </c>
    </row>
    <row r="80" spans="1:36">
      <c r="A80" s="4">
        <v>43288</v>
      </c>
      <c r="B80" s="3" t="s">
        <v>648</v>
      </c>
      <c r="C80" s="3" t="s">
        <v>649</v>
      </c>
      <c r="D80" s="3" t="s">
        <v>650</v>
      </c>
      <c r="E80" s="3" t="s">
        <v>651</v>
      </c>
      <c r="F80" s="3" t="s">
        <v>340</v>
      </c>
      <c r="G80" s="3">
        <v>5</v>
      </c>
      <c r="H80" s="3">
        <v>0</v>
      </c>
      <c r="I80" s="3">
        <v>0</v>
      </c>
      <c r="J80" s="3">
        <v>1</v>
      </c>
      <c r="K80" s="3">
        <v>2</v>
      </c>
      <c r="L80" s="3">
        <v>2</v>
      </c>
      <c r="M80" s="3">
        <v>0</v>
      </c>
      <c r="N80" s="3" t="s">
        <v>341</v>
      </c>
      <c r="O80" s="3">
        <v>4</v>
      </c>
      <c r="P80" s="3">
        <v>2.65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 t="s">
        <v>342</v>
      </c>
      <c r="X80" s="3">
        <v>14.99</v>
      </c>
      <c r="Y80" s="3">
        <v>14.99</v>
      </c>
      <c r="Z80" s="3">
        <v>14.99</v>
      </c>
      <c r="AA80" s="3">
        <v>0</v>
      </c>
      <c r="AB80" s="3" t="s">
        <v>349</v>
      </c>
      <c r="AC80" s="3">
        <v>0</v>
      </c>
      <c r="AD80" s="3">
        <v>13.51</v>
      </c>
      <c r="AE80" s="3">
        <v>203</v>
      </c>
      <c r="AF80" s="3">
        <v>0</v>
      </c>
      <c r="AG80" s="3">
        <v>68.93561</v>
      </c>
      <c r="AH80" s="3">
        <v>0</v>
      </c>
      <c r="AI80" s="3" t="s">
        <v>652</v>
      </c>
      <c r="AJ80" s="3" t="s">
        <v>345</v>
      </c>
    </row>
    <row r="81" spans="1:36">
      <c r="A81" s="4">
        <v>43288</v>
      </c>
      <c r="B81" s="3" t="s">
        <v>653</v>
      </c>
      <c r="C81" s="3" t="s">
        <v>654</v>
      </c>
      <c r="D81" s="3" t="s">
        <v>655</v>
      </c>
      <c r="E81" s="3" t="s">
        <v>656</v>
      </c>
      <c r="F81" s="3" t="s">
        <v>340</v>
      </c>
      <c r="G81" s="3">
        <v>1</v>
      </c>
      <c r="H81" s="3">
        <v>0</v>
      </c>
      <c r="I81" s="3">
        <v>0</v>
      </c>
      <c r="J81" s="3">
        <v>0</v>
      </c>
      <c r="K81" s="3">
        <v>0</v>
      </c>
      <c r="L81" s="3">
        <v>1</v>
      </c>
      <c r="M81" s="3">
        <v>0</v>
      </c>
      <c r="N81" s="3" t="s">
        <v>341</v>
      </c>
      <c r="O81" s="3">
        <v>0</v>
      </c>
      <c r="P81" s="3">
        <v>0</v>
      </c>
      <c r="Q81" s="3">
        <v>1</v>
      </c>
      <c r="R81" s="3">
        <v>2.07</v>
      </c>
      <c r="S81" s="3">
        <v>0</v>
      </c>
      <c r="T81" s="3">
        <v>0</v>
      </c>
      <c r="U81" s="3">
        <v>0</v>
      </c>
      <c r="V81" s="3">
        <v>2</v>
      </c>
      <c r="W81" s="3" t="s">
        <v>342</v>
      </c>
      <c r="X81" s="3">
        <v>16.99</v>
      </c>
      <c r="Y81" s="3">
        <v>16.99</v>
      </c>
      <c r="Z81" s="3">
        <v>16.99</v>
      </c>
      <c r="AA81" s="3">
        <v>0</v>
      </c>
      <c r="AB81" s="3" t="s">
        <v>349</v>
      </c>
      <c r="AC81" s="3">
        <v>0</v>
      </c>
      <c r="AD81" s="3">
        <v>15.35</v>
      </c>
      <c r="AE81" s="3">
        <v>70</v>
      </c>
      <c r="AF81" s="3">
        <v>0</v>
      </c>
      <c r="AG81" s="3">
        <v>19.547534</v>
      </c>
      <c r="AH81" s="3">
        <v>1.14285714285714</v>
      </c>
      <c r="AI81" s="3" t="s">
        <v>657</v>
      </c>
      <c r="AJ81" s="3" t="s">
        <v>345</v>
      </c>
    </row>
    <row r="82" spans="1:36">
      <c r="A82" s="4">
        <v>43288</v>
      </c>
      <c r="B82" s="3" t="s">
        <v>658</v>
      </c>
      <c r="C82" s="3" t="s">
        <v>659</v>
      </c>
      <c r="D82" s="3" t="s">
        <v>660</v>
      </c>
      <c r="E82" s="3" t="s">
        <v>401</v>
      </c>
      <c r="F82" s="3" t="s">
        <v>340</v>
      </c>
      <c r="G82" s="3">
        <v>3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2</v>
      </c>
      <c r="N82" s="3" t="s">
        <v>341</v>
      </c>
      <c r="O82" s="3">
        <v>0</v>
      </c>
      <c r="P82" s="3">
        <v>0</v>
      </c>
      <c r="Q82" s="3">
        <v>2</v>
      </c>
      <c r="R82" s="3">
        <v>3.88</v>
      </c>
      <c r="S82" s="3">
        <v>0</v>
      </c>
      <c r="T82" s="3">
        <v>0</v>
      </c>
      <c r="U82" s="3">
        <v>0</v>
      </c>
      <c r="V82" s="3">
        <v>0</v>
      </c>
      <c r="W82" s="3" t="s">
        <v>381</v>
      </c>
      <c r="X82" s="3">
        <v>19.99</v>
      </c>
      <c r="Y82" s="3">
        <v>19.99</v>
      </c>
      <c r="Z82" s="3">
        <v>19.99</v>
      </c>
      <c r="AA82" s="3">
        <v>0</v>
      </c>
      <c r="AB82" s="3" t="s">
        <v>359</v>
      </c>
      <c r="AC82" s="3">
        <v>3</v>
      </c>
      <c r="AD82" s="3">
        <v>19.99</v>
      </c>
      <c r="AE82" s="3">
        <v>0</v>
      </c>
      <c r="AF82" s="3">
        <v>0</v>
      </c>
      <c r="AG82" s="3">
        <v>0</v>
      </c>
      <c r="AH82" s="3">
        <v>0</v>
      </c>
      <c r="AI82" s="3" t="s">
        <v>402</v>
      </c>
      <c r="AJ82" s="3" t="s">
        <v>345</v>
      </c>
    </row>
    <row r="83" spans="1:36">
      <c r="A83" s="4">
        <v>43288</v>
      </c>
      <c r="B83" s="3" t="s">
        <v>661</v>
      </c>
      <c r="C83" s="3" t="s">
        <v>662</v>
      </c>
      <c r="D83" s="3" t="s">
        <v>663</v>
      </c>
      <c r="E83" s="3" t="s">
        <v>664</v>
      </c>
      <c r="F83" s="3" t="s">
        <v>340</v>
      </c>
      <c r="G83" s="3">
        <v>1</v>
      </c>
      <c r="H83" s="3">
        <v>0</v>
      </c>
      <c r="I83" s="3">
        <v>1</v>
      </c>
      <c r="J83" s="3">
        <v>0</v>
      </c>
      <c r="K83" s="3">
        <v>0</v>
      </c>
      <c r="L83" s="3">
        <v>0</v>
      </c>
      <c r="M83" s="3">
        <v>0</v>
      </c>
      <c r="N83" s="3" t="s">
        <v>341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1</v>
      </c>
      <c r="W83" s="3" t="s">
        <v>342</v>
      </c>
      <c r="X83" s="3">
        <v>18.96</v>
      </c>
      <c r="Y83" s="3">
        <v>18.96</v>
      </c>
      <c r="Z83" s="3">
        <v>18.96</v>
      </c>
      <c r="AA83" s="3">
        <v>0</v>
      </c>
      <c r="AB83" s="3" t="s">
        <v>349</v>
      </c>
      <c r="AC83" s="3">
        <v>0</v>
      </c>
      <c r="AD83" s="3">
        <v>17.49</v>
      </c>
      <c r="AE83" s="3">
        <v>126</v>
      </c>
      <c r="AF83" s="3">
        <v>0</v>
      </c>
      <c r="AG83" s="3">
        <v>18.526522</v>
      </c>
      <c r="AH83" s="3">
        <v>1</v>
      </c>
      <c r="AI83" s="3" t="s">
        <v>370</v>
      </c>
      <c r="AJ83" s="3" t="s">
        <v>345</v>
      </c>
    </row>
    <row r="84" spans="1:36">
      <c r="A84" s="4">
        <v>43288</v>
      </c>
      <c r="B84" s="3" t="s">
        <v>665</v>
      </c>
      <c r="C84" s="3" t="s">
        <v>666</v>
      </c>
      <c r="D84" s="3" t="s">
        <v>667</v>
      </c>
      <c r="E84" s="3" t="s">
        <v>668</v>
      </c>
      <c r="F84" s="3" t="s">
        <v>340</v>
      </c>
      <c r="G84" s="3">
        <v>1</v>
      </c>
      <c r="H84" s="3">
        <v>0</v>
      </c>
      <c r="I84" s="3">
        <v>0</v>
      </c>
      <c r="J84" s="3">
        <v>0</v>
      </c>
      <c r="K84" s="3">
        <v>1</v>
      </c>
      <c r="L84" s="3">
        <v>0</v>
      </c>
      <c r="M84" s="3">
        <v>0</v>
      </c>
      <c r="N84" s="3" t="s">
        <v>341</v>
      </c>
      <c r="O84" s="3">
        <v>1</v>
      </c>
      <c r="P84" s="3">
        <v>0.88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342</v>
      </c>
      <c r="X84" s="3">
        <v>17.99</v>
      </c>
      <c r="Y84" s="3">
        <v>17.99</v>
      </c>
      <c r="Z84" s="3">
        <v>17.99</v>
      </c>
      <c r="AA84" s="3">
        <v>0</v>
      </c>
      <c r="AB84" s="3" t="s">
        <v>343</v>
      </c>
      <c r="AC84" s="3">
        <v>0</v>
      </c>
      <c r="AD84" s="3">
        <v>16.44</v>
      </c>
      <c r="AE84" s="3">
        <v>147</v>
      </c>
      <c r="AF84" s="3">
        <v>0</v>
      </c>
      <c r="AG84" s="3">
        <v>17.427734</v>
      </c>
      <c r="AH84" s="3">
        <v>0</v>
      </c>
      <c r="AI84" s="3" t="s">
        <v>669</v>
      </c>
      <c r="AJ84" s="3" t="s">
        <v>345</v>
      </c>
    </row>
    <row r="85" spans="1:36">
      <c r="A85" s="4">
        <v>43288</v>
      </c>
      <c r="B85" s="3" t="s">
        <v>670</v>
      </c>
      <c r="C85" s="3" t="s">
        <v>671</v>
      </c>
      <c r="D85" s="3" t="s">
        <v>672</v>
      </c>
      <c r="E85" s="3" t="s">
        <v>613</v>
      </c>
      <c r="F85" s="3" t="s">
        <v>340</v>
      </c>
      <c r="G85" s="3">
        <v>2</v>
      </c>
      <c r="H85" s="3">
        <v>0</v>
      </c>
      <c r="I85" s="3">
        <v>0</v>
      </c>
      <c r="J85" s="3">
        <v>2</v>
      </c>
      <c r="K85" s="3">
        <v>0</v>
      </c>
      <c r="L85" s="3">
        <v>0</v>
      </c>
      <c r="M85" s="3">
        <v>0</v>
      </c>
      <c r="N85" s="3" t="s">
        <v>341</v>
      </c>
      <c r="O85" s="3">
        <v>2</v>
      </c>
      <c r="P85" s="3">
        <v>1.66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342</v>
      </c>
      <c r="X85" s="3">
        <v>12.99</v>
      </c>
      <c r="Y85" s="3">
        <v>12.99</v>
      </c>
      <c r="Z85" s="3">
        <v>12.99</v>
      </c>
      <c r="AA85" s="3">
        <v>0</v>
      </c>
      <c r="AB85" s="3" t="s">
        <v>349</v>
      </c>
      <c r="AC85" s="3">
        <v>0</v>
      </c>
      <c r="AD85" s="3">
        <v>11.87</v>
      </c>
      <c r="AE85" s="3">
        <v>70</v>
      </c>
      <c r="AF85" s="3">
        <v>0</v>
      </c>
      <c r="AG85" s="3">
        <v>29.970986</v>
      </c>
      <c r="AH85" s="3">
        <v>0</v>
      </c>
      <c r="AI85" s="3" t="s">
        <v>614</v>
      </c>
      <c r="AJ85" s="3" t="s">
        <v>345</v>
      </c>
    </row>
    <row r="86" spans="1:36">
      <c r="A86" s="4">
        <v>43288</v>
      </c>
      <c r="B86" s="3" t="s">
        <v>673</v>
      </c>
      <c r="C86" s="3" t="s">
        <v>674</v>
      </c>
      <c r="D86" s="3" t="s">
        <v>675</v>
      </c>
      <c r="E86" s="3" t="s">
        <v>416</v>
      </c>
      <c r="F86" s="3" t="s">
        <v>340</v>
      </c>
      <c r="G86" s="3">
        <v>1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1</v>
      </c>
      <c r="N86" s="3" t="s">
        <v>341</v>
      </c>
      <c r="O86" s="3">
        <v>0</v>
      </c>
      <c r="P86" s="3">
        <v>0</v>
      </c>
      <c r="Q86" s="3">
        <v>1</v>
      </c>
      <c r="R86" s="3">
        <v>2.75</v>
      </c>
      <c r="S86" s="3">
        <v>0</v>
      </c>
      <c r="T86" s="3">
        <v>0</v>
      </c>
      <c r="U86" s="3">
        <v>1</v>
      </c>
      <c r="V86" s="3">
        <v>1</v>
      </c>
      <c r="W86" s="3" t="s">
        <v>381</v>
      </c>
      <c r="X86" s="3">
        <v>19.99</v>
      </c>
      <c r="Y86" s="3">
        <v>19.99</v>
      </c>
      <c r="Z86" s="3">
        <v>19.99</v>
      </c>
      <c r="AA86" s="3">
        <v>0</v>
      </c>
      <c r="AB86" s="3" t="s">
        <v>343</v>
      </c>
      <c r="AC86" s="3">
        <v>0</v>
      </c>
      <c r="AD86" s="3">
        <v>18.2</v>
      </c>
      <c r="AE86" s="3">
        <v>91</v>
      </c>
      <c r="AF86" s="3">
        <v>0</v>
      </c>
      <c r="AG86" s="3">
        <v>17.268372</v>
      </c>
      <c r="AH86" s="3">
        <v>0.666666666666666</v>
      </c>
      <c r="AI86" s="3" t="s">
        <v>676</v>
      </c>
      <c r="AJ86" s="3" t="s">
        <v>345</v>
      </c>
    </row>
    <row r="87" spans="1:36">
      <c r="A87" s="4">
        <v>43288</v>
      </c>
      <c r="B87" s="3" t="s">
        <v>677</v>
      </c>
      <c r="C87" s="3" t="s">
        <v>678</v>
      </c>
      <c r="D87" s="3" t="s">
        <v>679</v>
      </c>
      <c r="E87" s="3" t="s">
        <v>680</v>
      </c>
      <c r="F87" s="3" t="s">
        <v>340</v>
      </c>
      <c r="G87" s="3">
        <v>10</v>
      </c>
      <c r="H87" s="3">
        <v>0</v>
      </c>
      <c r="I87" s="3">
        <v>0</v>
      </c>
      <c r="J87" s="3">
        <v>10</v>
      </c>
      <c r="K87" s="3">
        <v>0</v>
      </c>
      <c r="L87" s="3">
        <v>0</v>
      </c>
      <c r="M87" s="3">
        <v>0</v>
      </c>
      <c r="N87" s="3" t="s">
        <v>341</v>
      </c>
      <c r="O87" s="3">
        <v>8</v>
      </c>
      <c r="P87" s="3">
        <v>15.79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1</v>
      </c>
      <c r="W87" s="3" t="s">
        <v>342</v>
      </c>
      <c r="X87" s="3">
        <v>15.99</v>
      </c>
      <c r="Y87" s="3">
        <v>15.99</v>
      </c>
      <c r="Z87" s="3">
        <v>15.99</v>
      </c>
      <c r="AA87" s="3">
        <v>0</v>
      </c>
      <c r="AB87" s="3" t="s">
        <v>349</v>
      </c>
      <c r="AC87" s="3">
        <v>5</v>
      </c>
      <c r="AD87" s="3">
        <v>14.8</v>
      </c>
      <c r="AE87" s="3">
        <v>14</v>
      </c>
      <c r="AF87" s="3">
        <v>0</v>
      </c>
      <c r="AG87" s="3">
        <v>307.826482</v>
      </c>
      <c r="AH87" s="3">
        <v>0.0975609756097561</v>
      </c>
      <c r="AI87" s="3" t="s">
        <v>681</v>
      </c>
      <c r="AJ87" s="3" t="s">
        <v>345</v>
      </c>
    </row>
    <row r="88" spans="1:36">
      <c r="A88" s="4">
        <v>43288</v>
      </c>
      <c r="B88" s="3" t="s">
        <v>682</v>
      </c>
      <c r="C88" s="3" t="s">
        <v>683</v>
      </c>
      <c r="D88" s="3" t="s">
        <v>684</v>
      </c>
      <c r="E88" s="3" t="s">
        <v>685</v>
      </c>
      <c r="F88" s="3" t="s">
        <v>340</v>
      </c>
      <c r="G88" s="3">
        <v>3</v>
      </c>
      <c r="H88" s="3">
        <v>0</v>
      </c>
      <c r="I88" s="3">
        <v>3</v>
      </c>
      <c r="J88" s="3">
        <v>0</v>
      </c>
      <c r="K88" s="3">
        <v>0</v>
      </c>
      <c r="L88" s="3">
        <v>0</v>
      </c>
      <c r="M88" s="3">
        <v>0</v>
      </c>
      <c r="N88" s="3" t="s">
        <v>341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4</v>
      </c>
      <c r="W88" s="3"/>
      <c r="X88" s="3"/>
      <c r="Y88" s="3"/>
      <c r="Z88" s="3">
        <v>-1</v>
      </c>
      <c r="AA88" s="3">
        <v>-1</v>
      </c>
      <c r="AB88" s="3" t="s">
        <v>493</v>
      </c>
      <c r="AC88" s="3">
        <v>0</v>
      </c>
      <c r="AD88" s="3">
        <v>0</v>
      </c>
      <c r="AE88" s="3">
        <v>0</v>
      </c>
      <c r="AF88" s="3">
        <v>0</v>
      </c>
      <c r="AG88" s="3">
        <v>0</v>
      </c>
      <c r="AH88" s="3">
        <v>1.45454545454545</v>
      </c>
      <c r="AI88" s="3" t="s">
        <v>609</v>
      </c>
      <c r="AJ88" s="3" t="s">
        <v>345</v>
      </c>
    </row>
    <row r="89" spans="1:36">
      <c r="A89" s="4">
        <v>43288</v>
      </c>
      <c r="B89" s="3" t="s">
        <v>686</v>
      </c>
      <c r="C89" s="3" t="s">
        <v>687</v>
      </c>
      <c r="D89" s="3" t="s">
        <v>688</v>
      </c>
      <c r="E89" s="3" t="s">
        <v>173</v>
      </c>
      <c r="F89" s="3" t="s">
        <v>340</v>
      </c>
      <c r="G89" s="3">
        <v>22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  <c r="M89" s="3">
        <v>22</v>
      </c>
      <c r="N89" s="3" t="s">
        <v>341</v>
      </c>
      <c r="O89" s="3">
        <v>0</v>
      </c>
      <c r="P89" s="3">
        <v>0</v>
      </c>
      <c r="Q89" s="3">
        <v>22</v>
      </c>
      <c r="R89" s="3">
        <v>42.53</v>
      </c>
      <c r="S89" s="3">
        <v>0</v>
      </c>
      <c r="T89" s="3">
        <v>0</v>
      </c>
      <c r="U89" s="3">
        <v>0</v>
      </c>
      <c r="V89" s="3">
        <v>0</v>
      </c>
      <c r="W89" s="3" t="s">
        <v>381</v>
      </c>
      <c r="X89" s="3">
        <v>19.38</v>
      </c>
      <c r="Y89" s="3">
        <v>19.38</v>
      </c>
      <c r="Z89" s="3">
        <v>19.38</v>
      </c>
      <c r="AA89" s="3">
        <v>0</v>
      </c>
      <c r="AB89" s="3" t="s">
        <v>343</v>
      </c>
      <c r="AC89" s="3">
        <v>0</v>
      </c>
      <c r="AD89" s="3">
        <v>15.5</v>
      </c>
      <c r="AE89" s="3">
        <v>63</v>
      </c>
      <c r="AF89" s="3">
        <v>0</v>
      </c>
      <c r="AG89" s="3">
        <v>277.596959</v>
      </c>
      <c r="AH89" s="3">
        <v>0</v>
      </c>
      <c r="AI89" s="3" t="s">
        <v>492</v>
      </c>
      <c r="AJ89" s="3" t="s">
        <v>345</v>
      </c>
    </row>
    <row r="90" spans="1:36">
      <c r="A90" s="4">
        <v>43288</v>
      </c>
      <c r="B90" s="3" t="s">
        <v>689</v>
      </c>
      <c r="C90" s="3" t="s">
        <v>690</v>
      </c>
      <c r="D90" s="3" t="s">
        <v>691</v>
      </c>
      <c r="E90" s="3" t="s">
        <v>692</v>
      </c>
      <c r="F90" s="3" t="s">
        <v>340</v>
      </c>
      <c r="G90" s="3">
        <v>2</v>
      </c>
      <c r="H90" s="3">
        <v>0</v>
      </c>
      <c r="I90" s="3">
        <v>1</v>
      </c>
      <c r="J90" s="3">
        <v>1</v>
      </c>
      <c r="K90" s="3">
        <v>0</v>
      </c>
      <c r="L90" s="3">
        <v>0</v>
      </c>
      <c r="M90" s="3">
        <v>0</v>
      </c>
      <c r="N90" s="3" t="s">
        <v>341</v>
      </c>
      <c r="O90" s="3">
        <v>0</v>
      </c>
      <c r="P90" s="3">
        <v>0</v>
      </c>
      <c r="Q90" s="3">
        <v>0</v>
      </c>
      <c r="R90" s="3">
        <v>0</v>
      </c>
      <c r="S90" s="3">
        <v>1</v>
      </c>
      <c r="T90" s="3">
        <v>2</v>
      </c>
      <c r="U90" s="3">
        <v>5</v>
      </c>
      <c r="V90" s="3">
        <v>5</v>
      </c>
      <c r="W90" s="3" t="s">
        <v>342</v>
      </c>
      <c r="X90" s="3">
        <v>15.99</v>
      </c>
      <c r="Y90" s="3">
        <v>15.99</v>
      </c>
      <c r="Z90" s="3">
        <v>15.99</v>
      </c>
      <c r="AA90" s="3">
        <v>0</v>
      </c>
      <c r="AB90" s="3" t="s">
        <v>349</v>
      </c>
      <c r="AC90" s="3">
        <v>0</v>
      </c>
      <c r="AD90" s="3">
        <v>11.24</v>
      </c>
      <c r="AE90" s="3">
        <v>21</v>
      </c>
      <c r="AF90" s="3">
        <v>0</v>
      </c>
      <c r="AG90" s="3">
        <v>14.650039</v>
      </c>
      <c r="AH90" s="3">
        <v>1.17647058823529</v>
      </c>
      <c r="AI90" s="3" t="s">
        <v>693</v>
      </c>
      <c r="AJ90" s="3" t="s">
        <v>345</v>
      </c>
    </row>
    <row r="91" spans="1:36">
      <c r="A91" s="4">
        <v>43288</v>
      </c>
      <c r="B91" s="3" t="s">
        <v>694</v>
      </c>
      <c r="C91" s="3" t="s">
        <v>695</v>
      </c>
      <c r="D91" s="3" t="s">
        <v>696</v>
      </c>
      <c r="E91" s="3" t="s">
        <v>697</v>
      </c>
      <c r="F91" s="3" t="s">
        <v>340</v>
      </c>
      <c r="G91" s="3">
        <v>3</v>
      </c>
      <c r="H91" s="3">
        <v>0</v>
      </c>
      <c r="I91" s="3">
        <v>0</v>
      </c>
      <c r="J91" s="3">
        <v>1</v>
      </c>
      <c r="K91" s="3">
        <v>0</v>
      </c>
      <c r="L91" s="3">
        <v>0</v>
      </c>
      <c r="M91" s="3">
        <v>2</v>
      </c>
      <c r="N91" s="3" t="s">
        <v>341</v>
      </c>
      <c r="O91" s="3">
        <v>1</v>
      </c>
      <c r="P91" s="3">
        <v>0.09</v>
      </c>
      <c r="Q91" s="3">
        <v>2</v>
      </c>
      <c r="R91" s="3">
        <v>1</v>
      </c>
      <c r="S91" s="3">
        <v>0</v>
      </c>
      <c r="T91" s="3">
        <v>0</v>
      </c>
      <c r="U91" s="3">
        <v>0</v>
      </c>
      <c r="V91" s="3">
        <v>0</v>
      </c>
      <c r="W91" s="3" t="s">
        <v>342</v>
      </c>
      <c r="X91" s="3">
        <v>22.99</v>
      </c>
      <c r="Y91" s="3">
        <v>22.99</v>
      </c>
      <c r="Z91" s="3">
        <v>22.99</v>
      </c>
      <c r="AA91" s="3">
        <v>0</v>
      </c>
      <c r="AB91" s="3" t="s">
        <v>359</v>
      </c>
      <c r="AC91" s="3">
        <v>3</v>
      </c>
      <c r="AD91" s="3">
        <v>22.99</v>
      </c>
      <c r="AE91" s="3">
        <v>0</v>
      </c>
      <c r="AF91" s="3">
        <v>0</v>
      </c>
      <c r="AG91" s="3">
        <v>0</v>
      </c>
      <c r="AH91" s="3">
        <v>0</v>
      </c>
      <c r="AI91" s="3" t="s">
        <v>355</v>
      </c>
      <c r="AJ91" s="3" t="s">
        <v>345</v>
      </c>
    </row>
    <row r="92" spans="1:36">
      <c r="A92" s="4">
        <v>43288</v>
      </c>
      <c r="B92" s="3" t="s">
        <v>698</v>
      </c>
      <c r="C92" s="3" t="s">
        <v>699</v>
      </c>
      <c r="D92" s="3" t="s">
        <v>700</v>
      </c>
      <c r="E92" s="3" t="s">
        <v>701</v>
      </c>
      <c r="F92" s="3" t="s">
        <v>340</v>
      </c>
      <c r="G92" s="3">
        <v>4</v>
      </c>
      <c r="H92" s="3">
        <v>0</v>
      </c>
      <c r="I92" s="3">
        <v>0</v>
      </c>
      <c r="J92" s="3">
        <v>1</v>
      </c>
      <c r="K92" s="3">
        <v>0</v>
      </c>
      <c r="L92" s="3">
        <v>3</v>
      </c>
      <c r="M92" s="3">
        <v>0</v>
      </c>
      <c r="N92" s="3" t="s">
        <v>341</v>
      </c>
      <c r="O92" s="3">
        <v>3</v>
      </c>
      <c r="P92" s="3">
        <v>2.02</v>
      </c>
      <c r="Q92" s="3">
        <v>0</v>
      </c>
      <c r="R92" s="3">
        <v>0</v>
      </c>
      <c r="S92" s="3">
        <v>0</v>
      </c>
      <c r="T92" s="3">
        <v>0</v>
      </c>
      <c r="U92" s="3">
        <v>1</v>
      </c>
      <c r="V92" s="3">
        <v>1</v>
      </c>
      <c r="W92" s="3" t="s">
        <v>342</v>
      </c>
      <c r="X92" s="3">
        <v>13.99</v>
      </c>
      <c r="Y92" s="3">
        <v>13.99</v>
      </c>
      <c r="Z92" s="3">
        <v>13.99</v>
      </c>
      <c r="AA92" s="3">
        <v>0</v>
      </c>
      <c r="AB92" s="3" t="s">
        <v>349</v>
      </c>
      <c r="AC92" s="3">
        <v>0</v>
      </c>
      <c r="AD92" s="3">
        <v>11.16</v>
      </c>
      <c r="AE92" s="3">
        <v>364</v>
      </c>
      <c r="AF92" s="3">
        <v>0</v>
      </c>
      <c r="AG92" s="3">
        <v>37.805879</v>
      </c>
      <c r="AH92" s="3">
        <v>0.210526315789473</v>
      </c>
      <c r="AI92" s="3" t="s">
        <v>702</v>
      </c>
      <c r="AJ92" s="3" t="s">
        <v>345</v>
      </c>
    </row>
    <row r="93" spans="1:36">
      <c r="A93" s="4">
        <v>43288</v>
      </c>
      <c r="B93" s="3" t="s">
        <v>703</v>
      </c>
      <c r="C93" s="3" t="s">
        <v>704</v>
      </c>
      <c r="D93" s="3" t="s">
        <v>705</v>
      </c>
      <c r="E93" s="3" t="s">
        <v>468</v>
      </c>
      <c r="F93" s="3" t="s">
        <v>340</v>
      </c>
      <c r="G93" s="3">
        <v>5</v>
      </c>
      <c r="H93" s="3">
        <v>0</v>
      </c>
      <c r="I93" s="3">
        <v>0</v>
      </c>
      <c r="J93" s="3">
        <v>0</v>
      </c>
      <c r="K93" s="3">
        <v>5</v>
      </c>
      <c r="L93" s="3">
        <v>0</v>
      </c>
      <c r="M93" s="3">
        <v>0</v>
      </c>
      <c r="N93" s="3" t="s">
        <v>341</v>
      </c>
      <c r="O93" s="3">
        <v>5</v>
      </c>
      <c r="P93" s="3">
        <v>5.74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342</v>
      </c>
      <c r="X93" s="3">
        <v>17.99</v>
      </c>
      <c r="Y93" s="3">
        <v>17.99</v>
      </c>
      <c r="Z93" s="3">
        <v>17.99</v>
      </c>
      <c r="AA93" s="3">
        <v>0</v>
      </c>
      <c r="AB93" s="3" t="s">
        <v>343</v>
      </c>
      <c r="AC93" s="3">
        <v>0</v>
      </c>
      <c r="AD93" s="3">
        <v>15.19</v>
      </c>
      <c r="AE93" s="3">
        <v>224</v>
      </c>
      <c r="AF93" s="3">
        <v>0</v>
      </c>
      <c r="AG93" s="3">
        <v>97.979416</v>
      </c>
      <c r="AH93" s="3">
        <v>0</v>
      </c>
      <c r="AI93" s="3" t="s">
        <v>469</v>
      </c>
      <c r="AJ93" s="3" t="s">
        <v>345</v>
      </c>
    </row>
    <row r="94" spans="1:36">
      <c r="A94" s="4">
        <v>43288</v>
      </c>
      <c r="B94" s="3" t="s">
        <v>706</v>
      </c>
      <c r="C94" s="3" t="s">
        <v>707</v>
      </c>
      <c r="D94" s="3" t="s">
        <v>708</v>
      </c>
      <c r="E94" s="3" t="s">
        <v>603</v>
      </c>
      <c r="F94" s="3" t="s">
        <v>340</v>
      </c>
      <c r="G94" s="3">
        <v>4</v>
      </c>
      <c r="H94" s="3">
        <v>0</v>
      </c>
      <c r="I94" s="3">
        <v>0</v>
      </c>
      <c r="J94" s="3">
        <v>1</v>
      </c>
      <c r="K94" s="3">
        <v>3</v>
      </c>
      <c r="L94" s="3">
        <v>0</v>
      </c>
      <c r="M94" s="3">
        <v>0</v>
      </c>
      <c r="N94" s="3" t="s">
        <v>341</v>
      </c>
      <c r="O94" s="3">
        <v>3</v>
      </c>
      <c r="P94" s="3">
        <v>6.18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342</v>
      </c>
      <c r="X94" s="3">
        <v>17.99</v>
      </c>
      <c r="Y94" s="3">
        <v>17.99</v>
      </c>
      <c r="Z94" s="3">
        <v>17.99</v>
      </c>
      <c r="AA94" s="3">
        <v>0</v>
      </c>
      <c r="AB94" s="3" t="s">
        <v>343</v>
      </c>
      <c r="AC94" s="3">
        <v>0</v>
      </c>
      <c r="AD94" s="3">
        <v>14.52</v>
      </c>
      <c r="AE94" s="3">
        <v>294</v>
      </c>
      <c r="AF94" s="3">
        <v>0</v>
      </c>
      <c r="AG94" s="3">
        <v>109.064264</v>
      </c>
      <c r="AH94" s="3">
        <v>0</v>
      </c>
      <c r="AI94" s="3" t="s">
        <v>604</v>
      </c>
      <c r="AJ94" s="3" t="s">
        <v>345</v>
      </c>
    </row>
    <row r="95" spans="1:36">
      <c r="A95" s="4">
        <v>43288</v>
      </c>
      <c r="B95" s="3" t="s">
        <v>283</v>
      </c>
      <c r="C95" s="3" t="s">
        <v>284</v>
      </c>
      <c r="D95" s="3" t="s">
        <v>285</v>
      </c>
      <c r="E95" s="3" t="s">
        <v>247</v>
      </c>
      <c r="F95" s="3" t="s">
        <v>340</v>
      </c>
      <c r="G95" s="3">
        <v>4</v>
      </c>
      <c r="H95" s="3">
        <v>0</v>
      </c>
      <c r="I95" s="3">
        <v>4</v>
      </c>
      <c r="J95" s="3">
        <v>0</v>
      </c>
      <c r="K95" s="3">
        <v>0</v>
      </c>
      <c r="L95" s="3">
        <v>0</v>
      </c>
      <c r="M95" s="3">
        <v>0</v>
      </c>
      <c r="N95" s="3" t="s">
        <v>341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22</v>
      </c>
      <c r="V95" s="3">
        <v>32</v>
      </c>
      <c r="W95" s="3" t="s">
        <v>381</v>
      </c>
      <c r="X95" s="3">
        <v>39.99</v>
      </c>
      <c r="Y95" s="3">
        <v>19.99</v>
      </c>
      <c r="Z95" s="3">
        <v>19.99</v>
      </c>
      <c r="AA95" s="3">
        <v>0</v>
      </c>
      <c r="AB95" s="3" t="s">
        <v>359</v>
      </c>
      <c r="AC95" s="3">
        <v>5</v>
      </c>
      <c r="AD95" s="3">
        <v>19.99</v>
      </c>
      <c r="AE95" s="3">
        <v>0</v>
      </c>
      <c r="AF95" s="3">
        <v>0</v>
      </c>
      <c r="AG95" s="3">
        <v>0</v>
      </c>
      <c r="AH95" s="3">
        <v>4.57142857142857</v>
      </c>
      <c r="AI95" s="3" t="s">
        <v>709</v>
      </c>
      <c r="AJ95" s="3" t="s">
        <v>345</v>
      </c>
    </row>
    <row r="96" spans="1:36">
      <c r="A96" s="4">
        <v>43288</v>
      </c>
      <c r="B96" s="3" t="s">
        <v>710</v>
      </c>
      <c r="C96" s="3" t="s">
        <v>711</v>
      </c>
      <c r="D96" s="3" t="s">
        <v>712</v>
      </c>
      <c r="E96" s="3" t="s">
        <v>713</v>
      </c>
      <c r="F96" s="3" t="s">
        <v>340</v>
      </c>
      <c r="G96" s="3">
        <v>4</v>
      </c>
      <c r="H96" s="3">
        <v>0</v>
      </c>
      <c r="I96" s="3">
        <v>1</v>
      </c>
      <c r="J96" s="3">
        <v>3</v>
      </c>
      <c r="K96" s="3">
        <v>0</v>
      </c>
      <c r="L96" s="3">
        <v>0</v>
      </c>
      <c r="M96" s="3">
        <v>0</v>
      </c>
      <c r="N96" s="3" t="s">
        <v>341</v>
      </c>
      <c r="O96" s="3">
        <v>2</v>
      </c>
      <c r="P96" s="3">
        <v>2.49</v>
      </c>
      <c r="Q96" s="3">
        <v>0</v>
      </c>
      <c r="R96" s="3">
        <v>0</v>
      </c>
      <c r="S96" s="3">
        <v>0</v>
      </c>
      <c r="T96" s="3">
        <v>0</v>
      </c>
      <c r="U96" s="3">
        <v>1</v>
      </c>
      <c r="V96" s="3">
        <v>2</v>
      </c>
      <c r="W96" s="3" t="s">
        <v>342</v>
      </c>
      <c r="X96" s="3">
        <v>15.99</v>
      </c>
      <c r="Y96" s="3">
        <v>15.99</v>
      </c>
      <c r="Z96" s="3">
        <v>15.99</v>
      </c>
      <c r="AA96" s="3">
        <v>0</v>
      </c>
      <c r="AB96" s="3" t="s">
        <v>349</v>
      </c>
      <c r="AC96" s="3">
        <v>0</v>
      </c>
      <c r="AD96" s="3">
        <v>14.25</v>
      </c>
      <c r="AE96" s="3">
        <v>168</v>
      </c>
      <c r="AF96" s="3">
        <v>0</v>
      </c>
      <c r="AG96" s="3">
        <v>76.591543</v>
      </c>
      <c r="AH96" s="3">
        <v>0.444444444444444</v>
      </c>
      <c r="AI96" s="3" t="s">
        <v>714</v>
      </c>
      <c r="AJ96" s="3" t="s">
        <v>345</v>
      </c>
    </row>
    <row r="97" spans="1:36">
      <c r="A97" s="4">
        <v>43288</v>
      </c>
      <c r="B97" s="3" t="s">
        <v>264</v>
      </c>
      <c r="C97" s="3" t="s">
        <v>265</v>
      </c>
      <c r="D97" s="3" t="s">
        <v>266</v>
      </c>
      <c r="E97" s="3" t="s">
        <v>243</v>
      </c>
      <c r="F97" s="3" t="s">
        <v>340</v>
      </c>
      <c r="G97" s="3">
        <v>7</v>
      </c>
      <c r="H97" s="3">
        <v>0</v>
      </c>
      <c r="I97" s="3">
        <v>7</v>
      </c>
      <c r="J97" s="3">
        <v>0</v>
      </c>
      <c r="K97" s="3">
        <v>0</v>
      </c>
      <c r="L97" s="3">
        <v>0</v>
      </c>
      <c r="M97" s="3">
        <v>0</v>
      </c>
      <c r="N97" s="3" t="s">
        <v>341</v>
      </c>
      <c r="O97" s="3">
        <v>0</v>
      </c>
      <c r="P97" s="3">
        <v>0</v>
      </c>
      <c r="Q97" s="3">
        <v>0</v>
      </c>
      <c r="R97" s="3">
        <v>0</v>
      </c>
      <c r="S97" s="3">
        <v>12</v>
      </c>
      <c r="T97" s="3">
        <v>99</v>
      </c>
      <c r="U97" s="3">
        <v>204</v>
      </c>
      <c r="V97" s="3">
        <v>271</v>
      </c>
      <c r="W97" s="3"/>
      <c r="X97" s="3">
        <v>19.99</v>
      </c>
      <c r="Y97" s="3">
        <v>19.99</v>
      </c>
      <c r="Z97" s="3">
        <v>19.99</v>
      </c>
      <c r="AA97" s="3">
        <v>0</v>
      </c>
      <c r="AB97" s="3" t="s">
        <v>359</v>
      </c>
      <c r="AC97" s="3">
        <v>9</v>
      </c>
      <c r="AD97" s="3">
        <v>19.99</v>
      </c>
      <c r="AE97" s="3">
        <v>0</v>
      </c>
      <c r="AF97" s="3">
        <v>0</v>
      </c>
      <c r="AG97" s="3">
        <v>0</v>
      </c>
      <c r="AH97" s="3">
        <v>7.58041958041958</v>
      </c>
      <c r="AI97" s="3" t="s">
        <v>715</v>
      </c>
      <c r="AJ97" s="3" t="s">
        <v>345</v>
      </c>
    </row>
    <row r="98" spans="1:36">
      <c r="A98" s="4">
        <v>43288</v>
      </c>
      <c r="B98" s="3" t="s">
        <v>716</v>
      </c>
      <c r="C98" s="3" t="s">
        <v>717</v>
      </c>
      <c r="D98" s="3" t="s">
        <v>718</v>
      </c>
      <c r="E98" s="3" t="s">
        <v>213</v>
      </c>
      <c r="F98" s="3" t="s">
        <v>340</v>
      </c>
      <c r="G98" s="3">
        <v>6</v>
      </c>
      <c r="H98" s="3">
        <v>0</v>
      </c>
      <c r="I98" s="3">
        <v>3</v>
      </c>
      <c r="J98" s="3">
        <v>3</v>
      </c>
      <c r="K98" s="3">
        <v>0</v>
      </c>
      <c r="L98" s="3">
        <v>0</v>
      </c>
      <c r="M98" s="3">
        <v>0</v>
      </c>
      <c r="N98" s="3" t="s">
        <v>341</v>
      </c>
      <c r="O98" s="3">
        <v>0</v>
      </c>
      <c r="P98" s="3">
        <v>0</v>
      </c>
      <c r="Q98" s="3">
        <v>0</v>
      </c>
      <c r="R98" s="3">
        <v>0</v>
      </c>
      <c r="S98" s="3">
        <v>1</v>
      </c>
      <c r="T98" s="3">
        <v>2</v>
      </c>
      <c r="U98" s="3">
        <v>6</v>
      </c>
      <c r="V98" s="3">
        <v>11</v>
      </c>
      <c r="W98" s="3"/>
      <c r="X98" s="3">
        <v>18.59</v>
      </c>
      <c r="Y98" s="3">
        <v>18.59</v>
      </c>
      <c r="Z98" s="3">
        <v>18.59</v>
      </c>
      <c r="AA98" s="3">
        <v>0</v>
      </c>
      <c r="AB98" s="3" t="s">
        <v>359</v>
      </c>
      <c r="AC98" s="3">
        <v>6</v>
      </c>
      <c r="AD98" s="3">
        <v>18.59</v>
      </c>
      <c r="AE98" s="3">
        <v>0</v>
      </c>
      <c r="AF98" s="3">
        <v>0</v>
      </c>
      <c r="AG98" s="3">
        <v>0</v>
      </c>
      <c r="AH98" s="3">
        <v>1.12820512820512</v>
      </c>
      <c r="AI98" s="3" t="s">
        <v>719</v>
      </c>
      <c r="AJ98" s="3" t="s">
        <v>345</v>
      </c>
    </row>
    <row r="99" spans="1:36">
      <c r="A99" s="4">
        <v>43288</v>
      </c>
      <c r="B99" s="3" t="s">
        <v>720</v>
      </c>
      <c r="C99" s="3" t="s">
        <v>721</v>
      </c>
      <c r="D99" s="3" t="s">
        <v>722</v>
      </c>
      <c r="E99" s="3" t="s">
        <v>11</v>
      </c>
      <c r="F99" s="3" t="s">
        <v>340</v>
      </c>
      <c r="G99" s="3">
        <v>4</v>
      </c>
      <c r="H99" s="3">
        <v>0</v>
      </c>
      <c r="I99" s="3">
        <v>0</v>
      </c>
      <c r="J99" s="3">
        <v>1</v>
      </c>
      <c r="K99" s="3">
        <v>3</v>
      </c>
      <c r="L99" s="3">
        <v>0</v>
      </c>
      <c r="M99" s="3">
        <v>0</v>
      </c>
      <c r="N99" s="3" t="s">
        <v>341</v>
      </c>
      <c r="O99" s="3">
        <v>4</v>
      </c>
      <c r="P99" s="3">
        <v>9.32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342</v>
      </c>
      <c r="X99" s="3">
        <v>25.99</v>
      </c>
      <c r="Y99" s="3">
        <v>25.99</v>
      </c>
      <c r="Z99" s="3">
        <v>25.99</v>
      </c>
      <c r="AA99" s="3">
        <v>0</v>
      </c>
      <c r="AB99" s="3" t="s">
        <v>349</v>
      </c>
      <c r="AC99" s="3">
        <v>0</v>
      </c>
      <c r="AD99" s="3">
        <v>23.15</v>
      </c>
      <c r="AE99" s="3">
        <v>126</v>
      </c>
      <c r="AF99" s="3">
        <v>0</v>
      </c>
      <c r="AG99" s="3">
        <v>143.203109</v>
      </c>
      <c r="AH99" s="3">
        <v>0</v>
      </c>
      <c r="AI99" s="3" t="s">
        <v>723</v>
      </c>
      <c r="AJ99" s="3" t="s">
        <v>345</v>
      </c>
    </row>
    <row r="100" spans="1:36">
      <c r="A100" s="4">
        <v>43288</v>
      </c>
      <c r="B100" s="3" t="s">
        <v>724</v>
      </c>
      <c r="C100" s="3" t="s">
        <v>725</v>
      </c>
      <c r="D100" s="3" t="s">
        <v>726</v>
      </c>
      <c r="E100" s="3" t="s">
        <v>727</v>
      </c>
      <c r="F100" s="3" t="s">
        <v>340</v>
      </c>
      <c r="G100" s="3">
        <v>4</v>
      </c>
      <c r="H100" s="3">
        <v>0</v>
      </c>
      <c r="I100" s="3">
        <v>0</v>
      </c>
      <c r="J100" s="3">
        <v>0</v>
      </c>
      <c r="K100" s="3">
        <v>0</v>
      </c>
      <c r="L100" s="3">
        <v>4</v>
      </c>
      <c r="M100" s="3">
        <v>0</v>
      </c>
      <c r="N100" s="3" t="s">
        <v>341</v>
      </c>
      <c r="O100" s="3">
        <v>4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342</v>
      </c>
      <c r="X100" s="3">
        <v>16.99</v>
      </c>
      <c r="Y100" s="3">
        <v>16.99</v>
      </c>
      <c r="Z100" s="3">
        <v>16.99</v>
      </c>
      <c r="AA100" s="3">
        <v>0</v>
      </c>
      <c r="AB100" s="3" t="s">
        <v>349</v>
      </c>
      <c r="AC100" s="3">
        <v>0</v>
      </c>
      <c r="AD100" s="3">
        <v>14.67</v>
      </c>
      <c r="AE100" s="3">
        <v>364</v>
      </c>
      <c r="AF100" s="3">
        <v>0</v>
      </c>
      <c r="AG100" s="3">
        <v>31.079524</v>
      </c>
      <c r="AH100" s="3">
        <v>0</v>
      </c>
      <c r="AI100" s="3" t="s">
        <v>728</v>
      </c>
      <c r="AJ100" s="3" t="s">
        <v>345</v>
      </c>
    </row>
    <row r="101" spans="1:36">
      <c r="A101" s="4">
        <v>43288</v>
      </c>
      <c r="B101" s="3" t="s">
        <v>729</v>
      </c>
      <c r="C101" s="3" t="s">
        <v>730</v>
      </c>
      <c r="D101" s="3" t="s">
        <v>731</v>
      </c>
      <c r="E101" s="3" t="s">
        <v>732</v>
      </c>
      <c r="F101" s="3" t="s">
        <v>340</v>
      </c>
      <c r="G101" s="3">
        <v>2</v>
      </c>
      <c r="H101" s="3">
        <v>0</v>
      </c>
      <c r="I101" s="3">
        <v>0</v>
      </c>
      <c r="J101" s="3">
        <v>0</v>
      </c>
      <c r="K101" s="3">
        <v>0</v>
      </c>
      <c r="L101" s="3">
        <v>1</v>
      </c>
      <c r="M101" s="3">
        <v>1</v>
      </c>
      <c r="N101" s="3" t="s">
        <v>341</v>
      </c>
      <c r="O101" s="3">
        <v>1</v>
      </c>
      <c r="P101" s="3">
        <v>0.43</v>
      </c>
      <c r="Q101" s="3">
        <v>1</v>
      </c>
      <c r="R101" s="3">
        <v>0.86</v>
      </c>
      <c r="S101" s="3">
        <v>0</v>
      </c>
      <c r="T101" s="3">
        <v>0</v>
      </c>
      <c r="U101" s="3">
        <v>1</v>
      </c>
      <c r="V101" s="3">
        <v>1</v>
      </c>
      <c r="W101" s="3" t="s">
        <v>342</v>
      </c>
      <c r="X101" s="3">
        <v>19.99</v>
      </c>
      <c r="Y101" s="3">
        <v>19.99</v>
      </c>
      <c r="Z101" s="3">
        <v>19.99</v>
      </c>
      <c r="AA101" s="3">
        <v>0</v>
      </c>
      <c r="AB101" s="3" t="s">
        <v>349</v>
      </c>
      <c r="AC101" s="3">
        <v>0</v>
      </c>
      <c r="AD101" s="3">
        <v>16.39</v>
      </c>
      <c r="AE101" s="3">
        <v>364</v>
      </c>
      <c r="AF101" s="3">
        <v>0</v>
      </c>
      <c r="AG101" s="3">
        <v>22.361907</v>
      </c>
      <c r="AH101" s="3">
        <v>0.4</v>
      </c>
      <c r="AI101" s="3" t="s">
        <v>733</v>
      </c>
      <c r="AJ101" s="3" t="s">
        <v>345</v>
      </c>
    </row>
    <row r="102" spans="1:36">
      <c r="A102" s="4">
        <v>43288</v>
      </c>
      <c r="B102" s="3" t="s">
        <v>734</v>
      </c>
      <c r="C102" s="3" t="s">
        <v>735</v>
      </c>
      <c r="D102" s="3" t="s">
        <v>736</v>
      </c>
      <c r="E102" s="3" t="s">
        <v>737</v>
      </c>
      <c r="F102" s="3" t="s">
        <v>340</v>
      </c>
      <c r="G102" s="3">
        <v>10</v>
      </c>
      <c r="H102" s="3">
        <v>0</v>
      </c>
      <c r="I102" s="3">
        <v>1</v>
      </c>
      <c r="J102" s="3">
        <v>9</v>
      </c>
      <c r="K102" s="3">
        <v>0</v>
      </c>
      <c r="L102" s="3">
        <v>0</v>
      </c>
      <c r="M102" s="3">
        <v>0</v>
      </c>
      <c r="N102" s="3" t="s">
        <v>341</v>
      </c>
      <c r="O102" s="3">
        <v>6</v>
      </c>
      <c r="P102" s="3">
        <v>10.87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2</v>
      </c>
      <c r="W102" s="3" t="s">
        <v>381</v>
      </c>
      <c r="X102" s="3">
        <v>17.99</v>
      </c>
      <c r="Y102" s="3">
        <v>17.99</v>
      </c>
      <c r="Z102" s="3">
        <v>17.99</v>
      </c>
      <c r="AA102" s="3">
        <v>0</v>
      </c>
      <c r="AB102" s="3" t="s">
        <v>343</v>
      </c>
      <c r="AC102" s="3">
        <v>3</v>
      </c>
      <c r="AD102" s="3">
        <v>16.46</v>
      </c>
      <c r="AE102" s="3">
        <v>42</v>
      </c>
      <c r="AF102" s="3">
        <v>0</v>
      </c>
      <c r="AG102" s="3">
        <v>296.514011</v>
      </c>
      <c r="AH102" s="3">
        <v>0.195121951219512</v>
      </c>
      <c r="AI102" s="3" t="s">
        <v>738</v>
      </c>
      <c r="AJ102" s="3" t="s">
        <v>345</v>
      </c>
    </row>
    <row r="103" spans="1:36">
      <c r="A103" s="4">
        <v>43288</v>
      </c>
      <c r="B103" s="3" t="s">
        <v>739</v>
      </c>
      <c r="C103" s="3" t="s">
        <v>740</v>
      </c>
      <c r="D103" s="3" t="s">
        <v>741</v>
      </c>
      <c r="E103" s="3" t="s">
        <v>742</v>
      </c>
      <c r="F103" s="3" t="s">
        <v>340</v>
      </c>
      <c r="G103" s="3">
        <v>1</v>
      </c>
      <c r="H103" s="3">
        <v>0</v>
      </c>
      <c r="I103" s="3">
        <v>1</v>
      </c>
      <c r="J103" s="3">
        <v>0</v>
      </c>
      <c r="K103" s="3">
        <v>0</v>
      </c>
      <c r="L103" s="3">
        <v>0</v>
      </c>
      <c r="M103" s="3">
        <v>0</v>
      </c>
      <c r="N103" s="3" t="s">
        <v>341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1</v>
      </c>
      <c r="W103" s="3" t="s">
        <v>342</v>
      </c>
      <c r="X103" s="3">
        <v>15.99</v>
      </c>
      <c r="Y103" s="3">
        <v>15.99</v>
      </c>
      <c r="Z103" s="3">
        <v>15.99</v>
      </c>
      <c r="AA103" s="3">
        <v>0</v>
      </c>
      <c r="AB103" s="3" t="s">
        <v>349</v>
      </c>
      <c r="AC103" s="3">
        <v>0</v>
      </c>
      <c r="AD103" s="3">
        <v>15.15</v>
      </c>
      <c r="AE103" s="3">
        <v>14</v>
      </c>
      <c r="AF103" s="3">
        <v>0</v>
      </c>
      <c r="AG103" s="3">
        <v>20.243405</v>
      </c>
      <c r="AH103" s="3">
        <v>1</v>
      </c>
      <c r="AI103" s="3" t="s">
        <v>397</v>
      </c>
      <c r="AJ103" s="3" t="s">
        <v>345</v>
      </c>
    </row>
    <row r="104" spans="1:36">
      <c r="A104" s="4">
        <v>43288</v>
      </c>
      <c r="B104" s="3" t="s">
        <v>743</v>
      </c>
      <c r="C104" s="3" t="s">
        <v>744</v>
      </c>
      <c r="D104" s="3" t="s">
        <v>745</v>
      </c>
      <c r="E104" s="3" t="s">
        <v>746</v>
      </c>
      <c r="F104" s="3" t="s">
        <v>340</v>
      </c>
      <c r="G104" s="3">
        <v>6</v>
      </c>
      <c r="H104" s="3">
        <v>0</v>
      </c>
      <c r="I104" s="3">
        <v>0</v>
      </c>
      <c r="J104" s="3">
        <v>6</v>
      </c>
      <c r="K104" s="3">
        <v>0</v>
      </c>
      <c r="L104" s="3">
        <v>0</v>
      </c>
      <c r="M104" s="3">
        <v>0</v>
      </c>
      <c r="N104" s="3" t="s">
        <v>341</v>
      </c>
      <c r="O104" s="3">
        <v>6</v>
      </c>
      <c r="P104" s="3">
        <v>7.47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342</v>
      </c>
      <c r="X104" s="3">
        <v>15.99</v>
      </c>
      <c r="Y104" s="3">
        <v>15.99</v>
      </c>
      <c r="Z104" s="3">
        <v>15.99</v>
      </c>
      <c r="AA104" s="3">
        <v>0</v>
      </c>
      <c r="AB104" s="3" t="s">
        <v>349</v>
      </c>
      <c r="AC104" s="3">
        <v>0</v>
      </c>
      <c r="AD104" s="3">
        <v>14.33</v>
      </c>
      <c r="AE104" s="3">
        <v>154</v>
      </c>
      <c r="AF104" s="3">
        <v>0</v>
      </c>
      <c r="AG104" s="3">
        <v>125.972713</v>
      </c>
      <c r="AH104" s="3">
        <v>0</v>
      </c>
      <c r="AI104" s="3" t="s">
        <v>397</v>
      </c>
      <c r="AJ104" s="3" t="s">
        <v>345</v>
      </c>
    </row>
    <row r="105" spans="1:36">
      <c r="A105" s="4">
        <v>43288</v>
      </c>
      <c r="B105" s="3" t="s">
        <v>747</v>
      </c>
      <c r="C105" s="3" t="s">
        <v>748</v>
      </c>
      <c r="D105" s="3" t="s">
        <v>749</v>
      </c>
      <c r="E105" s="3" t="s">
        <v>188</v>
      </c>
      <c r="F105" s="3" t="s">
        <v>340</v>
      </c>
      <c r="G105" s="3">
        <v>4</v>
      </c>
      <c r="H105" s="3">
        <v>0</v>
      </c>
      <c r="I105" s="3">
        <v>4</v>
      </c>
      <c r="J105" s="3">
        <v>0</v>
      </c>
      <c r="K105" s="3">
        <v>0</v>
      </c>
      <c r="L105" s="3">
        <v>0</v>
      </c>
      <c r="M105" s="3">
        <v>0</v>
      </c>
      <c r="N105" s="3" t="s">
        <v>341</v>
      </c>
      <c r="O105" s="3">
        <v>0</v>
      </c>
      <c r="P105" s="3">
        <v>0</v>
      </c>
      <c r="Q105" s="3">
        <v>0</v>
      </c>
      <c r="R105" s="3">
        <v>0</v>
      </c>
      <c r="S105" s="3">
        <v>2</v>
      </c>
      <c r="T105" s="3">
        <v>4</v>
      </c>
      <c r="U105" s="3">
        <v>7</v>
      </c>
      <c r="V105" s="3">
        <v>9</v>
      </c>
      <c r="W105" s="3"/>
      <c r="X105" s="3">
        <v>29.99</v>
      </c>
      <c r="Y105" s="3">
        <v>19.38</v>
      </c>
      <c r="Z105" s="3">
        <v>19.38</v>
      </c>
      <c r="AA105" s="3">
        <v>0</v>
      </c>
      <c r="AB105" s="3" t="s">
        <v>343</v>
      </c>
      <c r="AC105" s="3">
        <v>1</v>
      </c>
      <c r="AD105" s="3">
        <v>18.08</v>
      </c>
      <c r="AE105" s="3">
        <v>133</v>
      </c>
      <c r="AF105" s="3">
        <v>0</v>
      </c>
      <c r="AG105" s="3">
        <v>75.795996</v>
      </c>
      <c r="AH105" s="3">
        <v>1.44</v>
      </c>
      <c r="AI105" s="3" t="s">
        <v>637</v>
      </c>
      <c r="AJ105" s="3" t="s">
        <v>345</v>
      </c>
    </row>
    <row r="106" spans="1:36">
      <c r="A106" s="4">
        <v>43288</v>
      </c>
      <c r="B106" s="3" t="s">
        <v>12</v>
      </c>
      <c r="C106" s="3" t="s">
        <v>13</v>
      </c>
      <c r="D106" s="3" t="s">
        <v>14</v>
      </c>
      <c r="E106" s="3" t="s">
        <v>11</v>
      </c>
      <c r="F106" s="3" t="s">
        <v>340</v>
      </c>
      <c r="G106" s="3">
        <v>4</v>
      </c>
      <c r="H106" s="3">
        <v>0</v>
      </c>
      <c r="I106" s="3">
        <v>0</v>
      </c>
      <c r="J106" s="3">
        <v>4</v>
      </c>
      <c r="K106" s="3">
        <v>0</v>
      </c>
      <c r="L106" s="3">
        <v>0</v>
      </c>
      <c r="M106" s="3">
        <v>0</v>
      </c>
      <c r="N106" s="3" t="s">
        <v>341</v>
      </c>
      <c r="O106" s="3">
        <v>4</v>
      </c>
      <c r="P106" s="3">
        <v>9.27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 t="s">
        <v>342</v>
      </c>
      <c r="X106" s="3">
        <v>25.99</v>
      </c>
      <c r="Y106" s="3">
        <v>25.99</v>
      </c>
      <c r="Z106" s="3">
        <v>25.99</v>
      </c>
      <c r="AA106" s="3">
        <v>0</v>
      </c>
      <c r="AB106" s="3" t="s">
        <v>349</v>
      </c>
      <c r="AC106" s="3">
        <v>1</v>
      </c>
      <c r="AD106" s="3">
        <v>23.64</v>
      </c>
      <c r="AE106" s="3">
        <v>42</v>
      </c>
      <c r="AF106" s="3">
        <v>0</v>
      </c>
      <c r="AG106" s="3">
        <v>150.174165</v>
      </c>
      <c r="AH106" s="3">
        <v>0</v>
      </c>
      <c r="AI106" s="3" t="s">
        <v>750</v>
      </c>
      <c r="AJ106" s="3" t="s">
        <v>345</v>
      </c>
    </row>
    <row r="107" spans="1:36">
      <c r="A107" s="4">
        <v>43288</v>
      </c>
      <c r="B107" s="3" t="s">
        <v>751</v>
      </c>
      <c r="C107" s="3" t="s">
        <v>752</v>
      </c>
      <c r="D107" s="3" t="s">
        <v>753</v>
      </c>
      <c r="E107" s="3" t="s">
        <v>123</v>
      </c>
      <c r="F107" s="3" t="s">
        <v>340</v>
      </c>
      <c r="G107" s="3">
        <v>98</v>
      </c>
      <c r="H107" s="3">
        <v>0</v>
      </c>
      <c r="I107" s="3">
        <v>98</v>
      </c>
      <c r="J107" s="3">
        <v>0</v>
      </c>
      <c r="K107" s="3">
        <v>0</v>
      </c>
      <c r="L107" s="3">
        <v>0</v>
      </c>
      <c r="M107" s="3">
        <v>0</v>
      </c>
      <c r="N107" s="3" t="s">
        <v>341</v>
      </c>
      <c r="O107" s="3">
        <v>0</v>
      </c>
      <c r="P107" s="3">
        <v>0</v>
      </c>
      <c r="Q107" s="3">
        <v>0</v>
      </c>
      <c r="R107" s="3">
        <v>0</v>
      </c>
      <c r="S107" s="3">
        <v>7</v>
      </c>
      <c r="T107" s="3">
        <v>12</v>
      </c>
      <c r="U107" s="3">
        <v>12</v>
      </c>
      <c r="V107" s="3">
        <v>12</v>
      </c>
      <c r="W107" s="3"/>
      <c r="X107" s="3">
        <v>39.99</v>
      </c>
      <c r="Y107" s="3">
        <v>19.99</v>
      </c>
      <c r="Z107" s="3">
        <v>19.99</v>
      </c>
      <c r="AA107" s="3">
        <v>0</v>
      </c>
      <c r="AB107" s="3" t="s">
        <v>343</v>
      </c>
      <c r="AC107" s="3">
        <v>7</v>
      </c>
      <c r="AD107" s="3">
        <v>18.5</v>
      </c>
      <c r="AE107" s="3">
        <v>140</v>
      </c>
      <c r="AF107" s="3">
        <v>0</v>
      </c>
      <c r="AG107" s="3">
        <v>685.643326</v>
      </c>
      <c r="AH107" s="3">
        <v>0.122448979591836</v>
      </c>
      <c r="AI107" s="3" t="s">
        <v>518</v>
      </c>
      <c r="AJ107" s="3" t="s">
        <v>345</v>
      </c>
    </row>
    <row r="108" spans="1:36">
      <c r="A108" s="4">
        <v>43288</v>
      </c>
      <c r="B108" s="3" t="s">
        <v>39</v>
      </c>
      <c r="C108" s="3" t="s">
        <v>40</v>
      </c>
      <c r="D108" s="3" t="s">
        <v>41</v>
      </c>
      <c r="E108" s="3" t="s">
        <v>42</v>
      </c>
      <c r="F108" s="3" t="s">
        <v>340</v>
      </c>
      <c r="G108" s="3">
        <v>1</v>
      </c>
      <c r="H108" s="3">
        <v>0</v>
      </c>
      <c r="I108" s="3">
        <v>0</v>
      </c>
      <c r="J108" s="3">
        <v>1</v>
      </c>
      <c r="K108" s="3">
        <v>0</v>
      </c>
      <c r="L108" s="3">
        <v>0</v>
      </c>
      <c r="M108" s="3">
        <v>0</v>
      </c>
      <c r="N108" s="3" t="s">
        <v>341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1</v>
      </c>
      <c r="U108" s="3">
        <v>2</v>
      </c>
      <c r="V108" s="3">
        <v>2</v>
      </c>
      <c r="W108" s="3" t="s">
        <v>342</v>
      </c>
      <c r="X108" s="3">
        <v>16.99</v>
      </c>
      <c r="Y108" s="3">
        <v>16.99</v>
      </c>
      <c r="Z108" s="3">
        <v>16.99</v>
      </c>
      <c r="AA108" s="3">
        <v>0</v>
      </c>
      <c r="AB108" s="3" t="s">
        <v>349</v>
      </c>
      <c r="AC108" s="3">
        <v>1</v>
      </c>
      <c r="AD108" s="3">
        <v>16.99</v>
      </c>
      <c r="AE108" s="3">
        <v>0</v>
      </c>
      <c r="AF108" s="3">
        <v>0</v>
      </c>
      <c r="AG108" s="3">
        <v>0</v>
      </c>
      <c r="AH108" s="3">
        <v>0.888888888888888</v>
      </c>
      <c r="AI108" s="3" t="s">
        <v>754</v>
      </c>
      <c r="AJ108" s="3" t="s">
        <v>345</v>
      </c>
    </row>
    <row r="109" spans="1:36">
      <c r="A109" s="4">
        <v>43288</v>
      </c>
      <c r="B109" s="3" t="s">
        <v>755</v>
      </c>
      <c r="C109" s="3" t="s">
        <v>756</v>
      </c>
      <c r="D109" s="3" t="s">
        <v>757</v>
      </c>
      <c r="E109" s="3" t="s">
        <v>758</v>
      </c>
      <c r="F109" s="3" t="s">
        <v>340</v>
      </c>
      <c r="G109" s="3">
        <v>3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3</v>
      </c>
      <c r="N109" s="3" t="s">
        <v>341</v>
      </c>
      <c r="O109" s="3">
        <v>0</v>
      </c>
      <c r="P109" s="3">
        <v>0</v>
      </c>
      <c r="Q109" s="3">
        <v>3</v>
      </c>
      <c r="R109" s="3">
        <v>3.75</v>
      </c>
      <c r="S109" s="3">
        <v>0</v>
      </c>
      <c r="T109" s="3">
        <v>0</v>
      </c>
      <c r="U109" s="3">
        <v>0</v>
      </c>
      <c r="V109" s="3">
        <v>0</v>
      </c>
      <c r="W109" s="3" t="s">
        <v>342</v>
      </c>
      <c r="X109" s="3">
        <v>16.99</v>
      </c>
      <c r="Y109" s="3">
        <v>16.99</v>
      </c>
      <c r="Z109" s="3">
        <v>16.99</v>
      </c>
      <c r="AA109" s="3">
        <v>0</v>
      </c>
      <c r="AB109" s="3" t="s">
        <v>343</v>
      </c>
      <c r="AC109" s="3">
        <v>0</v>
      </c>
      <c r="AD109" s="3">
        <v>13.59</v>
      </c>
      <c r="AE109" s="3">
        <v>63</v>
      </c>
      <c r="AF109" s="3">
        <v>0</v>
      </c>
      <c r="AG109" s="3">
        <v>24.814002</v>
      </c>
      <c r="AH109" s="3">
        <v>0</v>
      </c>
      <c r="AI109" s="3" t="s">
        <v>491</v>
      </c>
      <c r="AJ109" s="3" t="s">
        <v>345</v>
      </c>
    </row>
    <row r="110" spans="1:36">
      <c r="A110" s="4">
        <v>43288</v>
      </c>
      <c r="B110" s="3" t="s">
        <v>759</v>
      </c>
      <c r="C110" s="3" t="s">
        <v>760</v>
      </c>
      <c r="D110" s="3" t="s">
        <v>761</v>
      </c>
      <c r="E110" s="3" t="s">
        <v>468</v>
      </c>
      <c r="F110" s="3" t="s">
        <v>340</v>
      </c>
      <c r="G110" s="3">
        <v>6</v>
      </c>
      <c r="H110" s="3">
        <v>0</v>
      </c>
      <c r="I110" s="3">
        <v>0</v>
      </c>
      <c r="J110" s="3">
        <v>5</v>
      </c>
      <c r="K110" s="3">
        <v>1</v>
      </c>
      <c r="L110" s="3">
        <v>0</v>
      </c>
      <c r="M110" s="3">
        <v>0</v>
      </c>
      <c r="N110" s="3" t="s">
        <v>341</v>
      </c>
      <c r="O110" s="3">
        <v>6</v>
      </c>
      <c r="P110" s="3">
        <v>6.87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342</v>
      </c>
      <c r="X110" s="3">
        <v>35</v>
      </c>
      <c r="Y110" s="3">
        <v>15.99</v>
      </c>
      <c r="Z110" s="3">
        <v>15.99</v>
      </c>
      <c r="AA110" s="3">
        <v>0</v>
      </c>
      <c r="AB110" s="3" t="s">
        <v>343</v>
      </c>
      <c r="AC110" s="3">
        <v>0</v>
      </c>
      <c r="AD110" s="3">
        <v>14.04</v>
      </c>
      <c r="AE110" s="3">
        <v>196</v>
      </c>
      <c r="AF110" s="3">
        <v>0</v>
      </c>
      <c r="AG110" s="3">
        <v>116.110923</v>
      </c>
      <c r="AH110" s="3">
        <v>0</v>
      </c>
      <c r="AI110" s="3" t="s">
        <v>469</v>
      </c>
      <c r="AJ110" s="3" t="s">
        <v>345</v>
      </c>
    </row>
    <row r="111" spans="1:36">
      <c r="A111" s="4">
        <v>43288</v>
      </c>
      <c r="B111" s="3" t="s">
        <v>762</v>
      </c>
      <c r="C111" s="3" t="s">
        <v>763</v>
      </c>
      <c r="D111" s="3" t="s">
        <v>764</v>
      </c>
      <c r="E111" s="3" t="s">
        <v>555</v>
      </c>
      <c r="F111" s="3" t="s">
        <v>340</v>
      </c>
      <c r="G111" s="3">
        <v>3</v>
      </c>
      <c r="H111" s="3">
        <v>0</v>
      </c>
      <c r="I111" s="3">
        <v>0</v>
      </c>
      <c r="J111" s="3">
        <v>0</v>
      </c>
      <c r="K111" s="3">
        <v>0</v>
      </c>
      <c r="L111" s="3">
        <v>3</v>
      </c>
      <c r="M111" s="3">
        <v>0</v>
      </c>
      <c r="N111" s="3" t="s">
        <v>341</v>
      </c>
      <c r="O111" s="3">
        <v>3</v>
      </c>
      <c r="P111" s="3">
        <v>2.34</v>
      </c>
      <c r="Q111" s="3">
        <v>0</v>
      </c>
      <c r="R111" s="3">
        <v>0</v>
      </c>
      <c r="S111" s="3">
        <v>0</v>
      </c>
      <c r="T111" s="3">
        <v>1</v>
      </c>
      <c r="U111" s="3">
        <v>1</v>
      </c>
      <c r="V111" s="3">
        <v>2</v>
      </c>
      <c r="W111" s="3"/>
      <c r="X111" s="3">
        <v>19.99</v>
      </c>
      <c r="Y111" s="3">
        <v>19.99</v>
      </c>
      <c r="Z111" s="3">
        <v>19.99</v>
      </c>
      <c r="AA111" s="3">
        <v>0</v>
      </c>
      <c r="AB111" s="3" t="s">
        <v>359</v>
      </c>
      <c r="AC111" s="3">
        <v>3</v>
      </c>
      <c r="AD111" s="3">
        <v>19.99</v>
      </c>
      <c r="AE111" s="3">
        <v>0</v>
      </c>
      <c r="AF111" s="3">
        <v>0</v>
      </c>
      <c r="AG111" s="3">
        <v>0</v>
      </c>
      <c r="AH111" s="3">
        <v>0.444444444444444</v>
      </c>
      <c r="AI111" s="3" t="s">
        <v>556</v>
      </c>
      <c r="AJ111" s="3" t="s">
        <v>345</v>
      </c>
    </row>
    <row r="112" spans="1:36">
      <c r="A112" s="4">
        <v>43288</v>
      </c>
      <c r="B112" s="3" t="s">
        <v>765</v>
      </c>
      <c r="C112" s="3" t="s">
        <v>766</v>
      </c>
      <c r="D112" s="3" t="s">
        <v>767</v>
      </c>
      <c r="E112" s="3" t="s">
        <v>169</v>
      </c>
      <c r="F112" s="3" t="s">
        <v>340</v>
      </c>
      <c r="G112" s="3">
        <v>1</v>
      </c>
      <c r="H112" s="3">
        <v>0</v>
      </c>
      <c r="I112" s="3">
        <v>1</v>
      </c>
      <c r="J112" s="3">
        <v>0</v>
      </c>
      <c r="K112" s="3">
        <v>0</v>
      </c>
      <c r="L112" s="3">
        <v>0</v>
      </c>
      <c r="M112" s="3">
        <v>0</v>
      </c>
      <c r="N112" s="3" t="s">
        <v>341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/>
      <c r="X112" s="3"/>
      <c r="Y112" s="3"/>
      <c r="Z112" s="3">
        <v>-1</v>
      </c>
      <c r="AA112" s="3">
        <v>-1</v>
      </c>
      <c r="AB112" s="3" t="s">
        <v>493</v>
      </c>
      <c r="AC112" s="3">
        <v>0</v>
      </c>
      <c r="AD112" s="3">
        <v>0</v>
      </c>
      <c r="AE112" s="3">
        <v>0</v>
      </c>
      <c r="AF112" s="3">
        <v>0</v>
      </c>
      <c r="AG112" s="3">
        <v>0</v>
      </c>
      <c r="AH112" s="3">
        <v>0</v>
      </c>
      <c r="AI112" s="3" t="s">
        <v>579</v>
      </c>
      <c r="AJ112" s="3" t="s">
        <v>345</v>
      </c>
    </row>
    <row r="113" spans="1:36">
      <c r="A113" s="4">
        <v>43288</v>
      </c>
      <c r="B113" s="3" t="s">
        <v>768</v>
      </c>
      <c r="C113" s="3" t="s">
        <v>769</v>
      </c>
      <c r="D113" s="3" t="s">
        <v>770</v>
      </c>
      <c r="E113" s="3" t="s">
        <v>771</v>
      </c>
      <c r="F113" s="3" t="s">
        <v>340</v>
      </c>
      <c r="G113" s="3">
        <v>6</v>
      </c>
      <c r="H113" s="3">
        <v>0</v>
      </c>
      <c r="I113" s="3">
        <v>0</v>
      </c>
      <c r="J113" s="3">
        <v>6</v>
      </c>
      <c r="K113" s="3">
        <v>0</v>
      </c>
      <c r="L113" s="3">
        <v>0</v>
      </c>
      <c r="M113" s="3">
        <v>0</v>
      </c>
      <c r="N113" s="3" t="s">
        <v>341</v>
      </c>
      <c r="O113" s="3">
        <v>5</v>
      </c>
      <c r="P113" s="3">
        <v>12.2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1</v>
      </c>
      <c r="W113" s="3" t="s">
        <v>381</v>
      </c>
      <c r="X113" s="3">
        <v>18.99</v>
      </c>
      <c r="Y113" s="3">
        <v>18.99</v>
      </c>
      <c r="Z113" s="3">
        <v>18.99</v>
      </c>
      <c r="AA113" s="3">
        <v>0</v>
      </c>
      <c r="AB113" s="3" t="s">
        <v>343</v>
      </c>
      <c r="AC113" s="3">
        <v>2</v>
      </c>
      <c r="AD113" s="3">
        <v>16.96</v>
      </c>
      <c r="AE113" s="3">
        <v>21</v>
      </c>
      <c r="AF113" s="3">
        <v>0</v>
      </c>
      <c r="AG113" s="3">
        <v>254.446201</v>
      </c>
      <c r="AH113" s="3">
        <v>0.137931034482758</v>
      </c>
      <c r="AI113" s="3" t="s">
        <v>772</v>
      </c>
      <c r="AJ113" s="3" t="s">
        <v>345</v>
      </c>
    </row>
    <row r="114" spans="1:36">
      <c r="A114" s="4">
        <v>43288</v>
      </c>
      <c r="B114" s="3" t="s">
        <v>773</v>
      </c>
      <c r="C114" s="3" t="s">
        <v>774</v>
      </c>
      <c r="D114" s="3" t="s">
        <v>775</v>
      </c>
      <c r="E114" s="3" t="s">
        <v>776</v>
      </c>
      <c r="F114" s="3" t="s">
        <v>340</v>
      </c>
      <c r="G114" s="3">
        <v>6</v>
      </c>
      <c r="H114" s="3">
        <v>0</v>
      </c>
      <c r="I114" s="3">
        <v>0</v>
      </c>
      <c r="J114" s="3">
        <v>0</v>
      </c>
      <c r="K114" s="3">
        <v>6</v>
      </c>
      <c r="L114" s="3">
        <v>0</v>
      </c>
      <c r="M114" s="3">
        <v>0</v>
      </c>
      <c r="N114" s="3" t="s">
        <v>341</v>
      </c>
      <c r="O114" s="3">
        <v>6</v>
      </c>
      <c r="P114" s="3">
        <v>6.88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342</v>
      </c>
      <c r="X114" s="3">
        <v>17.99</v>
      </c>
      <c r="Y114" s="3">
        <v>17.99</v>
      </c>
      <c r="Z114" s="3">
        <v>17.99</v>
      </c>
      <c r="AA114" s="3">
        <v>0</v>
      </c>
      <c r="AB114" s="3" t="s">
        <v>343</v>
      </c>
      <c r="AC114" s="3">
        <v>0</v>
      </c>
      <c r="AD114" s="3">
        <v>15.83</v>
      </c>
      <c r="AE114" s="3">
        <v>189</v>
      </c>
      <c r="AF114" s="3">
        <v>0</v>
      </c>
      <c r="AG114" s="3">
        <v>124.200156</v>
      </c>
      <c r="AH114" s="3">
        <v>0</v>
      </c>
      <c r="AI114" s="3" t="s">
        <v>469</v>
      </c>
      <c r="AJ114" s="3" t="s">
        <v>345</v>
      </c>
    </row>
    <row r="115" spans="1:36">
      <c r="A115" s="4">
        <v>43288</v>
      </c>
      <c r="B115" s="3" t="s">
        <v>777</v>
      </c>
      <c r="C115" s="3" t="s">
        <v>778</v>
      </c>
      <c r="D115" s="3" t="s">
        <v>779</v>
      </c>
      <c r="E115" s="3" t="s">
        <v>213</v>
      </c>
      <c r="F115" s="3" t="s">
        <v>340</v>
      </c>
      <c r="G115" s="3">
        <v>14</v>
      </c>
      <c r="H115" s="3">
        <v>0</v>
      </c>
      <c r="I115" s="3">
        <v>0</v>
      </c>
      <c r="J115" s="3">
        <v>5</v>
      </c>
      <c r="K115" s="3">
        <v>0</v>
      </c>
      <c r="L115" s="3">
        <v>9</v>
      </c>
      <c r="M115" s="3">
        <v>0</v>
      </c>
      <c r="N115" s="3" t="s">
        <v>341</v>
      </c>
      <c r="O115" s="3">
        <v>0</v>
      </c>
      <c r="P115" s="3">
        <v>0</v>
      </c>
      <c r="Q115" s="3">
        <v>9</v>
      </c>
      <c r="R115" s="3">
        <v>7.14</v>
      </c>
      <c r="S115" s="3">
        <v>0</v>
      </c>
      <c r="T115" s="3">
        <v>0</v>
      </c>
      <c r="U115" s="3">
        <v>0</v>
      </c>
      <c r="V115" s="3">
        <v>0</v>
      </c>
      <c r="W115" s="3" t="s">
        <v>381</v>
      </c>
      <c r="X115" s="3">
        <v>20.99</v>
      </c>
      <c r="Y115" s="3">
        <v>20.99</v>
      </c>
      <c r="Z115" s="3">
        <v>20.99</v>
      </c>
      <c r="AA115" s="3">
        <v>0</v>
      </c>
      <c r="AB115" s="3" t="s">
        <v>343</v>
      </c>
      <c r="AC115" s="3">
        <v>0</v>
      </c>
      <c r="AD115" s="3">
        <v>15.02</v>
      </c>
      <c r="AE115" s="3">
        <v>364</v>
      </c>
      <c r="AF115" s="3">
        <v>0</v>
      </c>
      <c r="AG115" s="3">
        <v>131.616365</v>
      </c>
      <c r="AH115" s="3">
        <v>0</v>
      </c>
      <c r="AI115" s="3" t="s">
        <v>512</v>
      </c>
      <c r="AJ115" s="3" t="s">
        <v>345</v>
      </c>
    </row>
    <row r="116" spans="1:36">
      <c r="A116" s="4">
        <v>43288</v>
      </c>
      <c r="B116" s="3" t="s">
        <v>780</v>
      </c>
      <c r="C116" s="3" t="s">
        <v>781</v>
      </c>
      <c r="D116" s="3" t="s">
        <v>782</v>
      </c>
      <c r="E116" s="3" t="s">
        <v>468</v>
      </c>
      <c r="F116" s="3" t="s">
        <v>340</v>
      </c>
      <c r="G116" s="3">
        <v>1</v>
      </c>
      <c r="H116" s="3">
        <v>0</v>
      </c>
      <c r="I116" s="3">
        <v>0</v>
      </c>
      <c r="J116" s="3">
        <v>1</v>
      </c>
      <c r="K116" s="3">
        <v>0</v>
      </c>
      <c r="L116" s="3">
        <v>0</v>
      </c>
      <c r="M116" s="3">
        <v>0</v>
      </c>
      <c r="N116" s="3" t="s">
        <v>341</v>
      </c>
      <c r="O116" s="3">
        <v>1</v>
      </c>
      <c r="P116" s="3">
        <v>1.15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2</v>
      </c>
      <c r="W116" s="3" t="s">
        <v>342</v>
      </c>
      <c r="X116" s="3">
        <v>17.99</v>
      </c>
      <c r="Y116" s="3">
        <v>17.99</v>
      </c>
      <c r="Z116" s="3">
        <v>17.99</v>
      </c>
      <c r="AA116" s="3">
        <v>0</v>
      </c>
      <c r="AB116" s="3" t="s">
        <v>349</v>
      </c>
      <c r="AC116" s="3">
        <v>0</v>
      </c>
      <c r="AD116" s="3">
        <v>16.55</v>
      </c>
      <c r="AE116" s="3">
        <v>35</v>
      </c>
      <c r="AF116" s="3">
        <v>0</v>
      </c>
      <c r="AG116" s="3">
        <v>21.951242</v>
      </c>
      <c r="AH116" s="3">
        <v>1.33333333333333</v>
      </c>
      <c r="AI116" s="3" t="s">
        <v>469</v>
      </c>
      <c r="AJ116" s="3" t="s">
        <v>345</v>
      </c>
    </row>
    <row r="117" spans="1:36">
      <c r="A117" s="4">
        <v>43288</v>
      </c>
      <c r="B117" s="3" t="s">
        <v>783</v>
      </c>
      <c r="C117" s="3" t="s">
        <v>784</v>
      </c>
      <c r="D117" s="3" t="s">
        <v>785</v>
      </c>
      <c r="E117" s="3" t="s">
        <v>786</v>
      </c>
      <c r="F117" s="3" t="s">
        <v>340</v>
      </c>
      <c r="G117" s="3">
        <v>2</v>
      </c>
      <c r="H117" s="3">
        <v>0</v>
      </c>
      <c r="I117" s="3">
        <v>0</v>
      </c>
      <c r="J117" s="3">
        <v>2</v>
      </c>
      <c r="K117" s="3">
        <v>0</v>
      </c>
      <c r="L117" s="3">
        <v>0</v>
      </c>
      <c r="M117" s="3">
        <v>0</v>
      </c>
      <c r="N117" s="3" t="s">
        <v>341</v>
      </c>
      <c r="O117" s="3">
        <v>2</v>
      </c>
      <c r="P117" s="3">
        <v>2.49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342</v>
      </c>
      <c r="X117" s="3">
        <v>15.99</v>
      </c>
      <c r="Y117" s="3">
        <v>15.99</v>
      </c>
      <c r="Z117" s="3">
        <v>15.99</v>
      </c>
      <c r="AA117" s="3">
        <v>0</v>
      </c>
      <c r="AB117" s="3" t="s">
        <v>349</v>
      </c>
      <c r="AC117" s="3">
        <v>0</v>
      </c>
      <c r="AD117" s="3">
        <v>14.37</v>
      </c>
      <c r="AE117" s="3">
        <v>112</v>
      </c>
      <c r="AF117" s="3">
        <v>0</v>
      </c>
      <c r="AG117" s="3">
        <v>41.687664</v>
      </c>
      <c r="AH117" s="3">
        <v>0</v>
      </c>
      <c r="AI117" s="3" t="s">
        <v>397</v>
      </c>
      <c r="AJ117" s="3" t="s">
        <v>345</v>
      </c>
    </row>
    <row r="118" spans="1:36">
      <c r="A118" s="4">
        <v>43288</v>
      </c>
      <c r="B118" s="3" t="s">
        <v>787</v>
      </c>
      <c r="C118" s="3" t="s">
        <v>788</v>
      </c>
      <c r="D118" s="3" t="s">
        <v>789</v>
      </c>
      <c r="E118" s="3" t="s">
        <v>790</v>
      </c>
      <c r="F118" s="3" t="s">
        <v>340</v>
      </c>
      <c r="G118" s="3">
        <v>1</v>
      </c>
      <c r="H118" s="3">
        <v>0</v>
      </c>
      <c r="I118" s="3">
        <v>0</v>
      </c>
      <c r="J118" s="3">
        <v>0</v>
      </c>
      <c r="K118" s="3">
        <v>0</v>
      </c>
      <c r="L118" s="3">
        <v>1</v>
      </c>
      <c r="M118" s="3">
        <v>0</v>
      </c>
      <c r="N118" s="3" t="s">
        <v>341</v>
      </c>
      <c r="O118" s="3">
        <v>0</v>
      </c>
      <c r="P118" s="3">
        <v>0</v>
      </c>
      <c r="Q118" s="3">
        <v>1</v>
      </c>
      <c r="R118" s="3">
        <v>0.5</v>
      </c>
      <c r="S118" s="3">
        <v>0</v>
      </c>
      <c r="T118" s="3">
        <v>0</v>
      </c>
      <c r="U118" s="3">
        <v>1</v>
      </c>
      <c r="V118" s="3">
        <v>1</v>
      </c>
      <c r="W118" s="3" t="s">
        <v>342</v>
      </c>
      <c r="X118" s="3">
        <v>9.9</v>
      </c>
      <c r="Y118" s="3">
        <v>9.9</v>
      </c>
      <c r="Z118" s="3">
        <v>9.9</v>
      </c>
      <c r="AA118" s="3">
        <v>0</v>
      </c>
      <c r="AB118" s="3" t="s">
        <v>359</v>
      </c>
      <c r="AC118" s="3">
        <v>1</v>
      </c>
      <c r="AD118" s="3">
        <v>9.9</v>
      </c>
      <c r="AE118" s="3">
        <v>0</v>
      </c>
      <c r="AF118" s="3">
        <v>0</v>
      </c>
      <c r="AG118" s="3">
        <v>0</v>
      </c>
      <c r="AH118" s="3">
        <v>0.571428571428571</v>
      </c>
      <c r="AI118" s="3" t="s">
        <v>344</v>
      </c>
      <c r="AJ118" s="3" t="s">
        <v>345</v>
      </c>
    </row>
    <row r="119" spans="1:36">
      <c r="A119" s="4">
        <v>43288</v>
      </c>
      <c r="B119" s="3" t="s">
        <v>791</v>
      </c>
      <c r="C119" s="3" t="s">
        <v>792</v>
      </c>
      <c r="D119" s="3" t="s">
        <v>793</v>
      </c>
      <c r="E119" s="3" t="s">
        <v>794</v>
      </c>
      <c r="F119" s="3" t="s">
        <v>340</v>
      </c>
      <c r="G119" s="3">
        <v>7</v>
      </c>
      <c r="H119" s="3">
        <v>0</v>
      </c>
      <c r="I119" s="3">
        <v>0</v>
      </c>
      <c r="J119" s="3">
        <v>7</v>
      </c>
      <c r="K119" s="3">
        <v>0</v>
      </c>
      <c r="L119" s="3">
        <v>0</v>
      </c>
      <c r="M119" s="3">
        <v>0</v>
      </c>
      <c r="N119" s="3" t="s">
        <v>341</v>
      </c>
      <c r="O119" s="3">
        <v>7</v>
      </c>
      <c r="P119" s="3">
        <v>8.71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342</v>
      </c>
      <c r="X119" s="3">
        <v>15.99</v>
      </c>
      <c r="Y119" s="3">
        <v>15.99</v>
      </c>
      <c r="Z119" s="3">
        <v>15.99</v>
      </c>
      <c r="AA119" s="3">
        <v>0</v>
      </c>
      <c r="AB119" s="3" t="s">
        <v>349</v>
      </c>
      <c r="AC119" s="3">
        <v>0</v>
      </c>
      <c r="AD119" s="3">
        <v>13.67</v>
      </c>
      <c r="AE119" s="3">
        <v>217</v>
      </c>
      <c r="AF119" s="3">
        <v>0</v>
      </c>
      <c r="AG119" s="3">
        <v>139.988076</v>
      </c>
      <c r="AH119" s="3">
        <v>0</v>
      </c>
      <c r="AI119" s="3" t="s">
        <v>397</v>
      </c>
      <c r="AJ119" s="3" t="s">
        <v>345</v>
      </c>
    </row>
    <row r="120" spans="1:36">
      <c r="A120" s="4">
        <v>43288</v>
      </c>
      <c r="B120" s="3" t="s">
        <v>23</v>
      </c>
      <c r="C120" s="3" t="s">
        <v>24</v>
      </c>
      <c r="D120" s="3" t="s">
        <v>25</v>
      </c>
      <c r="E120" s="3" t="s">
        <v>22</v>
      </c>
      <c r="F120" s="3" t="s">
        <v>340</v>
      </c>
      <c r="G120" s="3">
        <v>10</v>
      </c>
      <c r="H120" s="3">
        <v>0</v>
      </c>
      <c r="I120" s="3">
        <v>10</v>
      </c>
      <c r="J120" s="3">
        <v>0</v>
      </c>
      <c r="K120" s="3">
        <v>0</v>
      </c>
      <c r="L120" s="3">
        <v>0</v>
      </c>
      <c r="M120" s="3">
        <v>0</v>
      </c>
      <c r="N120" s="3" t="s">
        <v>341</v>
      </c>
      <c r="O120" s="3">
        <v>0</v>
      </c>
      <c r="P120" s="3">
        <v>0</v>
      </c>
      <c r="Q120" s="3">
        <v>0</v>
      </c>
      <c r="R120" s="3">
        <v>0</v>
      </c>
      <c r="S120" s="3">
        <v>1</v>
      </c>
      <c r="T120" s="3">
        <v>12</v>
      </c>
      <c r="U120" s="3">
        <v>33</v>
      </c>
      <c r="V120" s="3">
        <v>41</v>
      </c>
      <c r="W120" s="3"/>
      <c r="X120" s="3">
        <v>15.99</v>
      </c>
      <c r="Y120" s="3">
        <v>15.99</v>
      </c>
      <c r="Z120" s="3">
        <v>15.99</v>
      </c>
      <c r="AA120" s="3">
        <v>0</v>
      </c>
      <c r="AB120" s="3" t="s">
        <v>359</v>
      </c>
      <c r="AC120" s="3">
        <v>5</v>
      </c>
      <c r="AD120" s="3">
        <v>15.99</v>
      </c>
      <c r="AE120" s="3">
        <v>0</v>
      </c>
      <c r="AF120" s="3">
        <v>0</v>
      </c>
      <c r="AG120" s="3">
        <v>0</v>
      </c>
      <c r="AH120" s="3">
        <v>4.43243243243243</v>
      </c>
      <c r="AI120" s="3" t="s">
        <v>421</v>
      </c>
      <c r="AJ120" s="3" t="s">
        <v>345</v>
      </c>
    </row>
    <row r="121" spans="1:36">
      <c r="A121" s="4">
        <v>43288</v>
      </c>
      <c r="B121" s="3" t="s">
        <v>237</v>
      </c>
      <c r="C121" s="3" t="s">
        <v>238</v>
      </c>
      <c r="D121" s="3" t="s">
        <v>239</v>
      </c>
      <c r="E121" s="3" t="s">
        <v>221</v>
      </c>
      <c r="F121" s="3" t="s">
        <v>340</v>
      </c>
      <c r="G121" s="3">
        <v>3</v>
      </c>
      <c r="H121" s="3">
        <v>0</v>
      </c>
      <c r="I121" s="3">
        <v>3</v>
      </c>
      <c r="J121" s="3">
        <v>0</v>
      </c>
      <c r="K121" s="3">
        <v>0</v>
      </c>
      <c r="L121" s="3">
        <v>0</v>
      </c>
      <c r="M121" s="3">
        <v>0</v>
      </c>
      <c r="N121" s="3" t="s">
        <v>341</v>
      </c>
      <c r="O121" s="3">
        <v>0</v>
      </c>
      <c r="P121" s="3">
        <v>0</v>
      </c>
      <c r="Q121" s="3">
        <v>0</v>
      </c>
      <c r="R121" s="3">
        <v>0</v>
      </c>
      <c r="S121" s="3">
        <v>5</v>
      </c>
      <c r="T121" s="3">
        <v>7</v>
      </c>
      <c r="U121" s="3">
        <v>17</v>
      </c>
      <c r="V121" s="3">
        <v>17</v>
      </c>
      <c r="W121" s="3"/>
      <c r="X121" s="3">
        <v>19.99</v>
      </c>
      <c r="Y121" s="3">
        <v>19.99</v>
      </c>
      <c r="Z121" s="3">
        <v>19.99</v>
      </c>
      <c r="AA121" s="3">
        <v>0</v>
      </c>
      <c r="AB121" s="3" t="s">
        <v>359</v>
      </c>
      <c r="AC121" s="3">
        <v>5</v>
      </c>
      <c r="AD121" s="3">
        <v>19.99</v>
      </c>
      <c r="AE121" s="3">
        <v>0</v>
      </c>
      <c r="AF121" s="3">
        <v>0</v>
      </c>
      <c r="AG121" s="3">
        <v>0</v>
      </c>
      <c r="AH121" s="3">
        <v>11.3333333333333</v>
      </c>
      <c r="AI121" s="3" t="s">
        <v>518</v>
      </c>
      <c r="AJ121" s="3" t="s">
        <v>345</v>
      </c>
    </row>
    <row r="122" spans="1:36">
      <c r="A122" s="4">
        <v>43288</v>
      </c>
      <c r="B122" s="3" t="s">
        <v>795</v>
      </c>
      <c r="C122" s="3" t="s">
        <v>796</v>
      </c>
      <c r="D122" s="3" t="s">
        <v>797</v>
      </c>
      <c r="E122" s="3" t="s">
        <v>490</v>
      </c>
      <c r="F122" s="3" t="s">
        <v>340</v>
      </c>
      <c r="G122" s="3">
        <v>3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3</v>
      </c>
      <c r="N122" s="3" t="s">
        <v>341</v>
      </c>
      <c r="O122" s="3">
        <v>0</v>
      </c>
      <c r="P122" s="3">
        <v>0</v>
      </c>
      <c r="Q122" s="3">
        <v>3</v>
      </c>
      <c r="R122" s="3">
        <v>3.75</v>
      </c>
      <c r="S122" s="3">
        <v>0</v>
      </c>
      <c r="T122" s="3">
        <v>0</v>
      </c>
      <c r="U122" s="3">
        <v>0</v>
      </c>
      <c r="V122" s="3">
        <v>0</v>
      </c>
      <c r="W122" s="3" t="s">
        <v>342</v>
      </c>
      <c r="X122" s="3">
        <v>16.99</v>
      </c>
      <c r="Y122" s="3">
        <v>16.99</v>
      </c>
      <c r="Z122" s="3">
        <v>16.99</v>
      </c>
      <c r="AA122" s="3">
        <v>0</v>
      </c>
      <c r="AB122" s="3" t="s">
        <v>343</v>
      </c>
      <c r="AC122" s="3">
        <v>0</v>
      </c>
      <c r="AD122" s="3">
        <v>13.59</v>
      </c>
      <c r="AE122" s="3">
        <v>63</v>
      </c>
      <c r="AF122" s="3">
        <v>0</v>
      </c>
      <c r="AG122" s="3">
        <v>24.814002</v>
      </c>
      <c r="AH122" s="3">
        <v>0</v>
      </c>
      <c r="AI122" s="3" t="s">
        <v>491</v>
      </c>
      <c r="AJ122" s="3" t="s">
        <v>345</v>
      </c>
    </row>
    <row r="123" spans="1:36">
      <c r="A123" s="4">
        <v>43288</v>
      </c>
      <c r="B123" s="3" t="s">
        <v>798</v>
      </c>
      <c r="C123" s="3" t="s">
        <v>799</v>
      </c>
      <c r="D123" s="3" t="s">
        <v>800</v>
      </c>
      <c r="E123" s="3" t="s">
        <v>801</v>
      </c>
      <c r="F123" s="3" t="s">
        <v>340</v>
      </c>
      <c r="G123" s="3">
        <v>3</v>
      </c>
      <c r="H123" s="3">
        <v>0</v>
      </c>
      <c r="I123" s="3">
        <v>0</v>
      </c>
      <c r="J123" s="3">
        <v>0</v>
      </c>
      <c r="K123" s="3">
        <v>0</v>
      </c>
      <c r="L123" s="3">
        <v>3</v>
      </c>
      <c r="M123" s="3">
        <v>0</v>
      </c>
      <c r="N123" s="3" t="s">
        <v>341</v>
      </c>
      <c r="O123" s="3">
        <v>0</v>
      </c>
      <c r="P123" s="3">
        <v>0</v>
      </c>
      <c r="Q123" s="3">
        <v>3</v>
      </c>
      <c r="R123" s="3">
        <v>1.5</v>
      </c>
      <c r="S123" s="3">
        <v>0</v>
      </c>
      <c r="T123" s="3">
        <v>0</v>
      </c>
      <c r="U123" s="3">
        <v>0</v>
      </c>
      <c r="V123" s="3">
        <v>0</v>
      </c>
      <c r="W123" s="3" t="s">
        <v>342</v>
      </c>
      <c r="X123" s="3">
        <v>17.89</v>
      </c>
      <c r="Y123" s="3">
        <v>17.89</v>
      </c>
      <c r="Z123" s="3">
        <v>17.89</v>
      </c>
      <c r="AA123" s="3">
        <v>0</v>
      </c>
      <c r="AB123" s="3" t="s">
        <v>343</v>
      </c>
      <c r="AC123" s="3">
        <v>0</v>
      </c>
      <c r="AD123" s="3">
        <v>14.31</v>
      </c>
      <c r="AE123" s="3">
        <v>63</v>
      </c>
      <c r="AF123" s="3">
        <v>0</v>
      </c>
      <c r="AG123" s="3">
        <v>1.488559</v>
      </c>
      <c r="AH123" s="3">
        <v>0</v>
      </c>
      <c r="AI123" s="3" t="s">
        <v>344</v>
      </c>
      <c r="AJ123" s="3" t="s">
        <v>345</v>
      </c>
    </row>
    <row r="124" spans="1:36">
      <c r="A124" s="4">
        <v>43288</v>
      </c>
      <c r="B124" s="3" t="s">
        <v>77</v>
      </c>
      <c r="C124" s="3" t="s">
        <v>78</v>
      </c>
      <c r="D124" s="3" t="s">
        <v>79</v>
      </c>
      <c r="E124" s="3" t="s">
        <v>80</v>
      </c>
      <c r="F124" s="3" t="s">
        <v>340</v>
      </c>
      <c r="G124" s="3">
        <v>146</v>
      </c>
      <c r="H124" s="3">
        <v>0</v>
      </c>
      <c r="I124" s="3">
        <v>146</v>
      </c>
      <c r="J124" s="3">
        <v>0</v>
      </c>
      <c r="K124" s="3">
        <v>0</v>
      </c>
      <c r="L124" s="3">
        <v>0</v>
      </c>
      <c r="M124" s="3">
        <v>0</v>
      </c>
      <c r="N124" s="3" t="s">
        <v>341</v>
      </c>
      <c r="O124" s="3">
        <v>0</v>
      </c>
      <c r="P124" s="3">
        <v>0</v>
      </c>
      <c r="Q124" s="3">
        <v>0</v>
      </c>
      <c r="R124" s="3">
        <v>0</v>
      </c>
      <c r="S124" s="3">
        <v>31</v>
      </c>
      <c r="T124" s="3">
        <v>155</v>
      </c>
      <c r="U124" s="3">
        <v>261</v>
      </c>
      <c r="V124" s="3">
        <v>360</v>
      </c>
      <c r="W124" s="3"/>
      <c r="X124" s="3">
        <v>18.99</v>
      </c>
      <c r="Y124" s="3">
        <v>18.99</v>
      </c>
      <c r="Z124" s="3">
        <v>18.99</v>
      </c>
      <c r="AA124" s="3">
        <v>0</v>
      </c>
      <c r="AB124" s="3" t="s">
        <v>359</v>
      </c>
      <c r="AC124" s="3">
        <v>74</v>
      </c>
      <c r="AD124" s="3">
        <v>18.99</v>
      </c>
      <c r="AE124" s="3">
        <v>0</v>
      </c>
      <c r="AF124" s="3">
        <v>0</v>
      </c>
      <c r="AG124" s="3">
        <v>0</v>
      </c>
      <c r="AH124" s="3">
        <v>2.57142857142857</v>
      </c>
      <c r="AI124" s="3" t="s">
        <v>802</v>
      </c>
      <c r="AJ124" s="3" t="s">
        <v>345</v>
      </c>
    </row>
    <row r="125" spans="1:36">
      <c r="A125" s="4">
        <v>43288</v>
      </c>
      <c r="B125" s="3" t="s">
        <v>803</v>
      </c>
      <c r="C125" s="3" t="s">
        <v>804</v>
      </c>
      <c r="D125" s="3" t="s">
        <v>805</v>
      </c>
      <c r="E125" s="3" t="s">
        <v>477</v>
      </c>
      <c r="F125" s="3" t="s">
        <v>340</v>
      </c>
      <c r="G125" s="3">
        <v>2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2</v>
      </c>
      <c r="N125" s="3" t="s">
        <v>341</v>
      </c>
      <c r="O125" s="3">
        <v>0</v>
      </c>
      <c r="P125" s="3">
        <v>0</v>
      </c>
      <c r="Q125" s="3">
        <v>2</v>
      </c>
      <c r="R125" s="3">
        <v>2.11</v>
      </c>
      <c r="S125" s="3">
        <v>0</v>
      </c>
      <c r="T125" s="3">
        <v>0</v>
      </c>
      <c r="U125" s="3">
        <v>0</v>
      </c>
      <c r="V125" s="3">
        <v>0</v>
      </c>
      <c r="W125" s="3" t="s">
        <v>342</v>
      </c>
      <c r="X125" s="3">
        <v>18.18</v>
      </c>
      <c r="Y125" s="3">
        <v>18.18</v>
      </c>
      <c r="Z125" s="3">
        <v>18.18</v>
      </c>
      <c r="AA125" s="3">
        <v>0</v>
      </c>
      <c r="AB125" s="3" t="s">
        <v>359</v>
      </c>
      <c r="AC125" s="3">
        <v>2</v>
      </c>
      <c r="AD125" s="3">
        <v>18.18</v>
      </c>
      <c r="AE125" s="3">
        <v>0</v>
      </c>
      <c r="AF125" s="3">
        <v>0</v>
      </c>
      <c r="AG125" s="3">
        <v>0</v>
      </c>
      <c r="AH125" s="3">
        <v>0</v>
      </c>
      <c r="AI125" s="3" t="s">
        <v>560</v>
      </c>
      <c r="AJ125" s="3" t="s">
        <v>345</v>
      </c>
    </row>
    <row r="126" spans="1:36">
      <c r="A126" s="4">
        <v>43288</v>
      </c>
      <c r="B126" s="3" t="s">
        <v>222</v>
      </c>
      <c r="C126" s="3" t="s">
        <v>223</v>
      </c>
      <c r="D126" s="3" t="s">
        <v>224</v>
      </c>
      <c r="E126" s="3" t="s">
        <v>225</v>
      </c>
      <c r="F126" s="3" t="s">
        <v>340</v>
      </c>
      <c r="G126" s="3">
        <v>8</v>
      </c>
      <c r="H126" s="3">
        <v>0</v>
      </c>
      <c r="I126" s="3">
        <v>0</v>
      </c>
      <c r="J126" s="3">
        <v>1</v>
      </c>
      <c r="K126" s="3">
        <v>0</v>
      </c>
      <c r="L126" s="3">
        <v>1</v>
      </c>
      <c r="M126" s="3">
        <v>6</v>
      </c>
      <c r="N126" s="3" t="s">
        <v>341</v>
      </c>
      <c r="O126" s="3">
        <v>2</v>
      </c>
      <c r="P126" s="3">
        <v>1.3</v>
      </c>
      <c r="Q126" s="3">
        <v>6</v>
      </c>
      <c r="R126" s="3">
        <v>7.83</v>
      </c>
      <c r="S126" s="3">
        <v>0</v>
      </c>
      <c r="T126" s="3">
        <v>1</v>
      </c>
      <c r="U126" s="3">
        <v>5</v>
      </c>
      <c r="V126" s="3">
        <v>5</v>
      </c>
      <c r="W126" s="3" t="s">
        <v>342</v>
      </c>
      <c r="X126" s="3">
        <v>11.99</v>
      </c>
      <c r="Y126" s="3">
        <v>11.99</v>
      </c>
      <c r="Z126" s="3">
        <v>11.99</v>
      </c>
      <c r="AA126" s="3">
        <v>0</v>
      </c>
      <c r="AB126" s="3" t="s">
        <v>349</v>
      </c>
      <c r="AC126" s="3">
        <v>8</v>
      </c>
      <c r="AD126" s="3">
        <v>11.99</v>
      </c>
      <c r="AE126" s="3">
        <v>0</v>
      </c>
      <c r="AF126" s="3">
        <v>0</v>
      </c>
      <c r="AG126" s="3">
        <v>0</v>
      </c>
      <c r="AH126" s="3">
        <v>0.37037037037037</v>
      </c>
      <c r="AI126" s="3" t="s">
        <v>806</v>
      </c>
      <c r="AJ126" s="3" t="s">
        <v>345</v>
      </c>
    </row>
    <row r="127" spans="1:36">
      <c r="A127" s="4">
        <v>43288</v>
      </c>
      <c r="B127" s="3" t="s">
        <v>807</v>
      </c>
      <c r="C127" s="3" t="s">
        <v>808</v>
      </c>
      <c r="D127" s="3" t="s">
        <v>809</v>
      </c>
      <c r="E127" s="3" t="s">
        <v>810</v>
      </c>
      <c r="F127" s="3" t="s">
        <v>340</v>
      </c>
      <c r="G127" s="3">
        <v>3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  <c r="M127" s="3">
        <v>3</v>
      </c>
      <c r="N127" s="3" t="s">
        <v>341</v>
      </c>
      <c r="O127" s="3">
        <v>0</v>
      </c>
      <c r="P127" s="3">
        <v>0</v>
      </c>
      <c r="Q127" s="3">
        <v>3</v>
      </c>
      <c r="R127" s="3">
        <v>8.64</v>
      </c>
      <c r="S127" s="3">
        <v>0</v>
      </c>
      <c r="T127" s="3">
        <v>0</v>
      </c>
      <c r="U127" s="3">
        <v>0</v>
      </c>
      <c r="V127" s="3">
        <v>0</v>
      </c>
      <c r="W127" s="3" t="s">
        <v>342</v>
      </c>
      <c r="X127" s="3">
        <v>18.9</v>
      </c>
      <c r="Y127" s="3">
        <v>18.9</v>
      </c>
      <c r="Z127" s="3">
        <v>18.9</v>
      </c>
      <c r="AA127" s="3">
        <v>0</v>
      </c>
      <c r="AB127" s="3" t="s">
        <v>343</v>
      </c>
      <c r="AC127" s="3">
        <v>0</v>
      </c>
      <c r="AD127" s="3">
        <v>15.12</v>
      </c>
      <c r="AE127" s="3">
        <v>63</v>
      </c>
      <c r="AF127" s="3">
        <v>0</v>
      </c>
      <c r="AG127" s="3">
        <v>55.815588</v>
      </c>
      <c r="AH127" s="3">
        <v>0</v>
      </c>
      <c r="AI127" s="3" t="s">
        <v>811</v>
      </c>
      <c r="AJ127" s="3" t="s">
        <v>345</v>
      </c>
    </row>
    <row r="128" spans="1:36">
      <c r="A128" s="4">
        <v>43288</v>
      </c>
      <c r="B128" s="3" t="s">
        <v>812</v>
      </c>
      <c r="C128" s="3" t="s">
        <v>813</v>
      </c>
      <c r="D128" s="3" t="s">
        <v>814</v>
      </c>
      <c r="E128" s="3" t="s">
        <v>577</v>
      </c>
      <c r="F128" s="3" t="s">
        <v>340</v>
      </c>
      <c r="G128" s="3">
        <v>3</v>
      </c>
      <c r="H128" s="3">
        <v>0</v>
      </c>
      <c r="I128" s="3">
        <v>0</v>
      </c>
      <c r="J128" s="3">
        <v>0</v>
      </c>
      <c r="K128" s="3">
        <v>3</v>
      </c>
      <c r="L128" s="3">
        <v>0</v>
      </c>
      <c r="M128" s="3">
        <v>0</v>
      </c>
      <c r="N128" s="3" t="s">
        <v>341</v>
      </c>
      <c r="O128" s="3">
        <v>3</v>
      </c>
      <c r="P128" s="3">
        <v>3.51</v>
      </c>
      <c r="Q128" s="3">
        <v>0</v>
      </c>
      <c r="R128" s="3">
        <v>0</v>
      </c>
      <c r="S128" s="3">
        <v>0</v>
      </c>
      <c r="T128" s="3">
        <v>0</v>
      </c>
      <c r="U128" s="3">
        <v>1</v>
      </c>
      <c r="V128" s="3">
        <v>1</v>
      </c>
      <c r="W128" s="3" t="s">
        <v>342</v>
      </c>
      <c r="X128" s="3">
        <v>16.99</v>
      </c>
      <c r="Y128" s="3">
        <v>16.99</v>
      </c>
      <c r="Z128" s="3">
        <v>16.99</v>
      </c>
      <c r="AA128" s="3">
        <v>0</v>
      </c>
      <c r="AB128" s="3" t="s">
        <v>349</v>
      </c>
      <c r="AC128" s="3">
        <v>0</v>
      </c>
      <c r="AD128" s="3">
        <v>14.4</v>
      </c>
      <c r="AE128" s="3">
        <v>217</v>
      </c>
      <c r="AF128" s="3">
        <v>0</v>
      </c>
      <c r="AG128" s="3">
        <v>49.598067</v>
      </c>
      <c r="AH128" s="3">
        <v>0.285714285714285</v>
      </c>
      <c r="AI128" s="3" t="s">
        <v>578</v>
      </c>
      <c r="AJ128" s="3" t="s">
        <v>345</v>
      </c>
    </row>
    <row r="129" spans="1:36">
      <c r="A129" s="4">
        <v>43288</v>
      </c>
      <c r="B129" s="3" t="s">
        <v>815</v>
      </c>
      <c r="C129" s="3" t="s">
        <v>816</v>
      </c>
      <c r="D129" s="3" t="s">
        <v>817</v>
      </c>
      <c r="E129" s="3" t="s">
        <v>11</v>
      </c>
      <c r="F129" s="3" t="s">
        <v>340</v>
      </c>
      <c r="G129" s="3">
        <v>8</v>
      </c>
      <c r="H129" s="3">
        <v>0</v>
      </c>
      <c r="I129" s="3">
        <v>0</v>
      </c>
      <c r="J129" s="3">
        <v>5</v>
      </c>
      <c r="K129" s="3">
        <v>3</v>
      </c>
      <c r="L129" s="3">
        <v>0</v>
      </c>
      <c r="M129" s="3">
        <v>0</v>
      </c>
      <c r="N129" s="3" t="s">
        <v>341</v>
      </c>
      <c r="O129" s="3">
        <v>6</v>
      </c>
      <c r="P129" s="3">
        <v>13.9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342</v>
      </c>
      <c r="X129" s="3">
        <v>25.99</v>
      </c>
      <c r="Y129" s="3">
        <v>25.99</v>
      </c>
      <c r="Z129" s="3">
        <v>25.99</v>
      </c>
      <c r="AA129" s="3">
        <v>0</v>
      </c>
      <c r="AB129" s="3" t="s">
        <v>343</v>
      </c>
      <c r="AC129" s="3">
        <v>2</v>
      </c>
      <c r="AD129" s="3">
        <v>23.81</v>
      </c>
      <c r="AE129" s="3">
        <v>35</v>
      </c>
      <c r="AF129" s="3">
        <v>0</v>
      </c>
      <c r="AG129" s="3">
        <v>303.549189</v>
      </c>
      <c r="AH129" s="3">
        <v>0</v>
      </c>
      <c r="AI129" s="3" t="s">
        <v>750</v>
      </c>
      <c r="AJ129" s="3" t="s">
        <v>345</v>
      </c>
    </row>
    <row r="130" spans="1:36">
      <c r="A130" s="4">
        <v>43288</v>
      </c>
      <c r="B130" s="3" t="s">
        <v>818</v>
      </c>
      <c r="C130" s="3" t="s">
        <v>819</v>
      </c>
      <c r="D130" s="3" t="s">
        <v>820</v>
      </c>
      <c r="E130" s="3" t="s">
        <v>821</v>
      </c>
      <c r="F130" s="3" t="s">
        <v>340</v>
      </c>
      <c r="G130" s="3">
        <v>8</v>
      </c>
      <c r="H130" s="3">
        <v>0</v>
      </c>
      <c r="I130" s="3">
        <v>1</v>
      </c>
      <c r="J130" s="3">
        <v>0</v>
      </c>
      <c r="K130" s="3">
        <v>1</v>
      </c>
      <c r="L130" s="3">
        <v>6</v>
      </c>
      <c r="M130" s="3">
        <v>0</v>
      </c>
      <c r="N130" s="3" t="s">
        <v>341</v>
      </c>
      <c r="O130" s="3">
        <v>3</v>
      </c>
      <c r="P130" s="3">
        <v>4.49</v>
      </c>
      <c r="Q130" s="3">
        <v>4</v>
      </c>
      <c r="R130" s="3">
        <v>11.98</v>
      </c>
      <c r="S130" s="3">
        <v>0</v>
      </c>
      <c r="T130" s="3">
        <v>0</v>
      </c>
      <c r="U130" s="3">
        <v>0</v>
      </c>
      <c r="V130" s="3">
        <v>1</v>
      </c>
      <c r="W130" s="3" t="s">
        <v>342</v>
      </c>
      <c r="X130" s="3">
        <v>16.99</v>
      </c>
      <c r="Y130" s="3">
        <v>16.99</v>
      </c>
      <c r="Z130" s="3">
        <v>16.99</v>
      </c>
      <c r="AA130" s="3">
        <v>0</v>
      </c>
      <c r="AB130" s="3" t="s">
        <v>349</v>
      </c>
      <c r="AC130" s="3">
        <v>1</v>
      </c>
      <c r="AD130" s="3">
        <v>14.69</v>
      </c>
      <c r="AE130" s="3">
        <v>56</v>
      </c>
      <c r="AF130" s="3">
        <v>0</v>
      </c>
      <c r="AG130" s="3">
        <v>203.628921</v>
      </c>
      <c r="AH130" s="3">
        <v>0.125</v>
      </c>
      <c r="AI130" s="3" t="s">
        <v>822</v>
      </c>
      <c r="AJ130" s="3" t="s">
        <v>345</v>
      </c>
    </row>
    <row r="131" spans="1:36">
      <c r="A131" s="4">
        <v>43288</v>
      </c>
      <c r="B131" s="3" t="s">
        <v>823</v>
      </c>
      <c r="C131" s="3" t="s">
        <v>824</v>
      </c>
      <c r="D131" s="3" t="s">
        <v>825</v>
      </c>
      <c r="E131" s="3" t="s">
        <v>826</v>
      </c>
      <c r="F131" s="3" t="s">
        <v>340</v>
      </c>
      <c r="G131" s="3">
        <v>1</v>
      </c>
      <c r="H131" s="3">
        <v>0</v>
      </c>
      <c r="I131" s="3">
        <v>1</v>
      </c>
      <c r="J131" s="3">
        <v>0</v>
      </c>
      <c r="K131" s="3">
        <v>0</v>
      </c>
      <c r="L131" s="3">
        <v>0</v>
      </c>
      <c r="M131" s="3">
        <v>0</v>
      </c>
      <c r="N131" s="3" t="s">
        <v>341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1</v>
      </c>
      <c r="W131" s="3" t="s">
        <v>342</v>
      </c>
      <c r="X131" s="3">
        <v>20.99</v>
      </c>
      <c r="Y131" s="3">
        <v>20.99</v>
      </c>
      <c r="Z131" s="3">
        <v>20.99</v>
      </c>
      <c r="AA131" s="3">
        <v>0</v>
      </c>
      <c r="AB131" s="3" t="s">
        <v>349</v>
      </c>
      <c r="AC131" s="3">
        <v>0</v>
      </c>
      <c r="AD131" s="3">
        <v>19.32</v>
      </c>
      <c r="AE131" s="3">
        <v>140</v>
      </c>
      <c r="AF131" s="3">
        <v>0</v>
      </c>
      <c r="AG131" s="3">
        <v>17.71728</v>
      </c>
      <c r="AH131" s="3">
        <v>1</v>
      </c>
      <c r="AI131" s="3" t="s">
        <v>827</v>
      </c>
      <c r="AJ131" s="3" t="s">
        <v>345</v>
      </c>
    </row>
    <row r="132" spans="1:36">
      <c r="A132" s="4">
        <v>43288</v>
      </c>
      <c r="B132" s="3" t="s">
        <v>828</v>
      </c>
      <c r="C132" s="3" t="s">
        <v>829</v>
      </c>
      <c r="D132" s="3" t="s">
        <v>830</v>
      </c>
      <c r="E132" s="3" t="s">
        <v>831</v>
      </c>
      <c r="F132" s="3" t="s">
        <v>340</v>
      </c>
      <c r="G132" s="3">
        <v>2</v>
      </c>
      <c r="H132" s="3">
        <v>0</v>
      </c>
      <c r="I132" s="3">
        <v>0</v>
      </c>
      <c r="J132" s="3">
        <v>2</v>
      </c>
      <c r="K132" s="3">
        <v>0</v>
      </c>
      <c r="L132" s="3">
        <v>0</v>
      </c>
      <c r="M132" s="3">
        <v>0</v>
      </c>
      <c r="N132" s="3" t="s">
        <v>341</v>
      </c>
      <c r="O132" s="3">
        <v>2</v>
      </c>
      <c r="P132" s="3">
        <v>2.5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342</v>
      </c>
      <c r="X132" s="3">
        <v>15.99</v>
      </c>
      <c r="Y132" s="3">
        <v>15.99</v>
      </c>
      <c r="Z132" s="3">
        <v>15.99</v>
      </c>
      <c r="AA132" s="3">
        <v>0</v>
      </c>
      <c r="AB132" s="3" t="s">
        <v>349</v>
      </c>
      <c r="AC132" s="3">
        <v>0</v>
      </c>
      <c r="AD132" s="3">
        <v>14.52</v>
      </c>
      <c r="AE132" s="3">
        <v>98</v>
      </c>
      <c r="AF132" s="3">
        <v>0</v>
      </c>
      <c r="AG132" s="3">
        <v>42.316252</v>
      </c>
      <c r="AH132" s="3">
        <v>0</v>
      </c>
      <c r="AI132" s="3" t="s">
        <v>714</v>
      </c>
      <c r="AJ132" s="3" t="s">
        <v>345</v>
      </c>
    </row>
    <row r="133" spans="1:36">
      <c r="A133" s="4">
        <v>43288</v>
      </c>
      <c r="B133" s="3" t="s">
        <v>832</v>
      </c>
      <c r="C133" s="3" t="s">
        <v>833</v>
      </c>
      <c r="D133" s="3" t="s">
        <v>834</v>
      </c>
      <c r="E133" s="3" t="s">
        <v>835</v>
      </c>
      <c r="F133" s="3" t="s">
        <v>340</v>
      </c>
      <c r="G133" s="3">
        <v>1</v>
      </c>
      <c r="H133" s="3">
        <v>0</v>
      </c>
      <c r="I133" s="3">
        <v>0</v>
      </c>
      <c r="J133" s="3">
        <v>0</v>
      </c>
      <c r="K133" s="3">
        <v>0</v>
      </c>
      <c r="L133" s="3">
        <v>1</v>
      </c>
      <c r="M133" s="3">
        <v>0</v>
      </c>
      <c r="N133" s="3" t="s">
        <v>341</v>
      </c>
      <c r="O133" s="3">
        <v>1</v>
      </c>
      <c r="P133" s="3">
        <v>0.94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342</v>
      </c>
      <c r="X133" s="3">
        <v>14.9</v>
      </c>
      <c r="Y133" s="3">
        <v>14.9</v>
      </c>
      <c r="Z133" s="3">
        <v>14.9</v>
      </c>
      <c r="AA133" s="3">
        <v>0</v>
      </c>
      <c r="AB133" s="3" t="s">
        <v>343</v>
      </c>
      <c r="AC133" s="3">
        <v>0</v>
      </c>
      <c r="AD133" s="3">
        <v>13.1</v>
      </c>
      <c r="AE133" s="3">
        <v>245</v>
      </c>
      <c r="AF133" s="3">
        <v>0</v>
      </c>
      <c r="AG133" s="3">
        <v>14.638124</v>
      </c>
      <c r="AH133" s="3">
        <v>0</v>
      </c>
      <c r="AI133" s="3" t="s">
        <v>836</v>
      </c>
      <c r="AJ133" s="3" t="s">
        <v>345</v>
      </c>
    </row>
    <row r="134" spans="1:36">
      <c r="A134" s="4">
        <v>43288</v>
      </c>
      <c r="B134" s="3" t="s">
        <v>837</v>
      </c>
      <c r="C134" s="3" t="s">
        <v>838</v>
      </c>
      <c r="D134" s="3" t="s">
        <v>839</v>
      </c>
      <c r="E134" s="3" t="s">
        <v>840</v>
      </c>
      <c r="F134" s="3" t="s">
        <v>340</v>
      </c>
      <c r="G134" s="3">
        <v>1</v>
      </c>
      <c r="H134" s="3">
        <v>0</v>
      </c>
      <c r="I134" s="3">
        <v>0</v>
      </c>
      <c r="J134" s="3">
        <v>0</v>
      </c>
      <c r="K134" s="3">
        <v>0</v>
      </c>
      <c r="L134" s="3">
        <v>1</v>
      </c>
      <c r="M134" s="3">
        <v>0</v>
      </c>
      <c r="N134" s="3" t="s">
        <v>341</v>
      </c>
      <c r="O134" s="3">
        <v>1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/>
      <c r="X134" s="3"/>
      <c r="Y134" s="3"/>
      <c r="Z134" s="3">
        <v>-1</v>
      </c>
      <c r="AA134" s="3">
        <v>-1</v>
      </c>
      <c r="AB134" s="3" t="s">
        <v>493</v>
      </c>
      <c r="AC134" s="3">
        <v>0</v>
      </c>
      <c r="AD134" s="3">
        <v>15.99</v>
      </c>
      <c r="AE134" s="3">
        <v>63</v>
      </c>
      <c r="AF134" s="3">
        <v>0</v>
      </c>
      <c r="AG134" s="3">
        <v>0.470376</v>
      </c>
      <c r="AH134" s="3">
        <v>0</v>
      </c>
      <c r="AI134" s="3" t="s">
        <v>728</v>
      </c>
      <c r="AJ134" s="3" t="s">
        <v>345</v>
      </c>
    </row>
    <row r="135" spans="1:36">
      <c r="A135" s="4">
        <v>43288</v>
      </c>
      <c r="B135" s="3" t="s">
        <v>841</v>
      </c>
      <c r="C135" s="3" t="s">
        <v>842</v>
      </c>
      <c r="D135" s="3" t="s">
        <v>843</v>
      </c>
      <c r="E135" s="3" t="s">
        <v>844</v>
      </c>
      <c r="F135" s="3" t="s">
        <v>340</v>
      </c>
      <c r="G135" s="3">
        <v>1</v>
      </c>
      <c r="H135" s="3">
        <v>0</v>
      </c>
      <c r="I135" s="3">
        <v>0</v>
      </c>
      <c r="J135" s="3">
        <v>0</v>
      </c>
      <c r="K135" s="3">
        <v>1</v>
      </c>
      <c r="L135" s="3">
        <v>0</v>
      </c>
      <c r="M135" s="3">
        <v>0</v>
      </c>
      <c r="N135" s="3" t="s">
        <v>341</v>
      </c>
      <c r="O135" s="3">
        <v>1</v>
      </c>
      <c r="P135" s="3">
        <v>2.43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342</v>
      </c>
      <c r="X135" s="3">
        <v>18.99</v>
      </c>
      <c r="Y135" s="3">
        <v>18.99</v>
      </c>
      <c r="Z135" s="3">
        <v>18.99</v>
      </c>
      <c r="AA135" s="3">
        <v>0</v>
      </c>
      <c r="AB135" s="3" t="s">
        <v>343</v>
      </c>
      <c r="AC135" s="3">
        <v>0</v>
      </c>
      <c r="AD135" s="3">
        <v>15.19</v>
      </c>
      <c r="AE135" s="3">
        <v>63</v>
      </c>
      <c r="AF135" s="3">
        <v>0</v>
      </c>
      <c r="AG135" s="3">
        <v>28.711986</v>
      </c>
      <c r="AH135" s="3">
        <v>0</v>
      </c>
      <c r="AI135" s="3" t="s">
        <v>845</v>
      </c>
      <c r="AJ135" s="3" t="s">
        <v>345</v>
      </c>
    </row>
    <row r="136" spans="1:36">
      <c r="A136" s="4">
        <v>43288</v>
      </c>
      <c r="B136" s="3" t="s">
        <v>846</v>
      </c>
      <c r="C136" s="3" t="s">
        <v>847</v>
      </c>
      <c r="D136" s="3" t="s">
        <v>848</v>
      </c>
      <c r="E136" s="3" t="s">
        <v>613</v>
      </c>
      <c r="F136" s="3" t="s">
        <v>340</v>
      </c>
      <c r="G136" s="3">
        <v>4</v>
      </c>
      <c r="H136" s="3">
        <v>0</v>
      </c>
      <c r="I136" s="3">
        <v>0</v>
      </c>
      <c r="J136" s="3">
        <v>0</v>
      </c>
      <c r="K136" s="3">
        <v>1</v>
      </c>
      <c r="L136" s="3">
        <v>3</v>
      </c>
      <c r="M136" s="3">
        <v>0</v>
      </c>
      <c r="N136" s="3" t="s">
        <v>341</v>
      </c>
      <c r="O136" s="3">
        <v>4</v>
      </c>
      <c r="P136" s="3">
        <v>3.35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342</v>
      </c>
      <c r="X136" s="3">
        <v>12.99</v>
      </c>
      <c r="Y136" s="3">
        <v>12.99</v>
      </c>
      <c r="Z136" s="3">
        <v>12.99</v>
      </c>
      <c r="AA136" s="3">
        <v>0</v>
      </c>
      <c r="AB136" s="3" t="s">
        <v>349</v>
      </c>
      <c r="AC136" s="3">
        <v>0</v>
      </c>
      <c r="AD136" s="3">
        <v>11.69</v>
      </c>
      <c r="AE136" s="3">
        <v>147</v>
      </c>
      <c r="AF136" s="3">
        <v>0</v>
      </c>
      <c r="AG136" s="3">
        <v>58.183952</v>
      </c>
      <c r="AH136" s="3">
        <v>0</v>
      </c>
      <c r="AI136" s="3" t="s">
        <v>849</v>
      </c>
      <c r="AJ136" s="3" t="s">
        <v>345</v>
      </c>
    </row>
    <row r="137" spans="1:36">
      <c r="A137" s="4">
        <v>43288</v>
      </c>
      <c r="B137" s="3" t="s">
        <v>850</v>
      </c>
      <c r="C137" s="3" t="s">
        <v>851</v>
      </c>
      <c r="D137" s="3" t="s">
        <v>852</v>
      </c>
      <c r="E137" s="3" t="s">
        <v>853</v>
      </c>
      <c r="F137" s="3" t="s">
        <v>340</v>
      </c>
      <c r="G137" s="3">
        <v>2</v>
      </c>
      <c r="H137" s="3">
        <v>0</v>
      </c>
      <c r="I137" s="3">
        <v>0</v>
      </c>
      <c r="J137" s="3">
        <v>2</v>
      </c>
      <c r="K137" s="3">
        <v>0</v>
      </c>
      <c r="L137" s="3">
        <v>0</v>
      </c>
      <c r="M137" s="3">
        <v>0</v>
      </c>
      <c r="N137" s="3" t="s">
        <v>341</v>
      </c>
      <c r="O137" s="3">
        <v>1</v>
      </c>
      <c r="P137" s="3">
        <v>2.16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381</v>
      </c>
      <c r="X137" s="3">
        <v>17.99</v>
      </c>
      <c r="Y137" s="3">
        <v>17.99</v>
      </c>
      <c r="Z137" s="3">
        <v>17.99</v>
      </c>
      <c r="AA137" s="3">
        <v>0</v>
      </c>
      <c r="AB137" s="3" t="s">
        <v>359</v>
      </c>
      <c r="AC137" s="3">
        <v>2</v>
      </c>
      <c r="AD137" s="3">
        <v>17.99</v>
      </c>
      <c r="AE137" s="3">
        <v>0</v>
      </c>
      <c r="AF137" s="3">
        <v>0</v>
      </c>
      <c r="AG137" s="3">
        <v>0</v>
      </c>
      <c r="AH137" s="3">
        <v>0</v>
      </c>
      <c r="AI137" s="3" t="s">
        <v>854</v>
      </c>
      <c r="AJ137" s="3" t="s">
        <v>345</v>
      </c>
    </row>
    <row r="138" spans="1:36">
      <c r="A138" s="4">
        <v>43288</v>
      </c>
      <c r="B138" s="3" t="s">
        <v>855</v>
      </c>
      <c r="C138" s="3" t="s">
        <v>856</v>
      </c>
      <c r="D138" s="3" t="s">
        <v>857</v>
      </c>
      <c r="E138" s="3" t="s">
        <v>858</v>
      </c>
      <c r="F138" s="3" t="s">
        <v>340</v>
      </c>
      <c r="G138" s="3">
        <v>4</v>
      </c>
      <c r="H138" s="3">
        <v>0</v>
      </c>
      <c r="I138" s="3">
        <v>0</v>
      </c>
      <c r="J138" s="3">
        <v>0</v>
      </c>
      <c r="K138" s="3">
        <v>1</v>
      </c>
      <c r="L138" s="3">
        <v>3</v>
      </c>
      <c r="M138" s="3">
        <v>0</v>
      </c>
      <c r="N138" s="3" t="s">
        <v>341</v>
      </c>
      <c r="O138" s="3">
        <v>1</v>
      </c>
      <c r="P138" s="3">
        <v>0.7</v>
      </c>
      <c r="Q138" s="3">
        <v>3</v>
      </c>
      <c r="R138" s="3">
        <v>4.23</v>
      </c>
      <c r="S138" s="3">
        <v>0</v>
      </c>
      <c r="T138" s="3">
        <v>0</v>
      </c>
      <c r="U138" s="3">
        <v>0</v>
      </c>
      <c r="V138" s="3">
        <v>0</v>
      </c>
      <c r="W138" s="3" t="s">
        <v>381</v>
      </c>
      <c r="X138" s="3">
        <v>17.99</v>
      </c>
      <c r="Y138" s="3">
        <v>17.99</v>
      </c>
      <c r="Z138" s="3">
        <v>17.99</v>
      </c>
      <c r="AA138" s="3">
        <v>0</v>
      </c>
      <c r="AB138" s="3" t="s">
        <v>343</v>
      </c>
      <c r="AC138" s="3">
        <v>0</v>
      </c>
      <c r="AD138" s="3">
        <v>16.36</v>
      </c>
      <c r="AE138" s="3">
        <v>147</v>
      </c>
      <c r="AF138" s="3">
        <v>0</v>
      </c>
      <c r="AG138" s="3">
        <v>67.423073</v>
      </c>
      <c r="AH138" s="3">
        <v>0</v>
      </c>
      <c r="AI138" s="3" t="s">
        <v>859</v>
      </c>
      <c r="AJ138" s="3" t="s">
        <v>345</v>
      </c>
    </row>
    <row r="139" spans="1:36">
      <c r="A139" s="4">
        <v>43288</v>
      </c>
      <c r="B139" s="3" t="s">
        <v>860</v>
      </c>
      <c r="C139" s="3" t="s">
        <v>861</v>
      </c>
      <c r="D139" s="3" t="s">
        <v>862</v>
      </c>
      <c r="E139" s="3" t="s">
        <v>364</v>
      </c>
      <c r="F139" s="3" t="s">
        <v>340</v>
      </c>
      <c r="G139" s="3">
        <v>1</v>
      </c>
      <c r="H139" s="3">
        <v>0</v>
      </c>
      <c r="I139" s="3">
        <v>0</v>
      </c>
      <c r="J139" s="3">
        <v>1</v>
      </c>
      <c r="K139" s="3">
        <v>0</v>
      </c>
      <c r="L139" s="3">
        <v>0</v>
      </c>
      <c r="M139" s="3">
        <v>0</v>
      </c>
      <c r="N139" s="3" t="s">
        <v>341</v>
      </c>
      <c r="O139" s="3">
        <v>1</v>
      </c>
      <c r="P139" s="3">
        <v>1.81</v>
      </c>
      <c r="Q139" s="3">
        <v>0</v>
      </c>
      <c r="R139" s="3">
        <v>0</v>
      </c>
      <c r="S139" s="3">
        <v>1</v>
      </c>
      <c r="T139" s="3">
        <v>1</v>
      </c>
      <c r="U139" s="3">
        <v>1</v>
      </c>
      <c r="V139" s="3">
        <v>1</v>
      </c>
      <c r="W139" s="3" t="s">
        <v>342</v>
      </c>
      <c r="X139" s="3">
        <v>17.99</v>
      </c>
      <c r="Y139" s="3">
        <v>17.99</v>
      </c>
      <c r="Z139" s="3">
        <v>17.99</v>
      </c>
      <c r="AA139" s="3">
        <v>0</v>
      </c>
      <c r="AB139" s="3" t="s">
        <v>349</v>
      </c>
      <c r="AC139" s="3">
        <v>0</v>
      </c>
      <c r="AD139" s="3">
        <v>16.75</v>
      </c>
      <c r="AE139" s="3">
        <v>35</v>
      </c>
      <c r="AF139" s="3">
        <v>0</v>
      </c>
      <c r="AG139" s="3">
        <v>29.834827</v>
      </c>
      <c r="AH139" s="3">
        <v>0.571428571428571</v>
      </c>
      <c r="AI139" s="3" t="s">
        <v>863</v>
      </c>
      <c r="AJ139" s="3" t="s">
        <v>345</v>
      </c>
    </row>
    <row r="140" spans="1:36">
      <c r="A140" s="4">
        <v>43288</v>
      </c>
      <c r="B140" s="3" t="s">
        <v>864</v>
      </c>
      <c r="C140" s="3" t="s">
        <v>865</v>
      </c>
      <c r="D140" s="3" t="s">
        <v>866</v>
      </c>
      <c r="E140" s="3" t="s">
        <v>867</v>
      </c>
      <c r="F140" s="3" t="s">
        <v>340</v>
      </c>
      <c r="G140" s="3">
        <v>2</v>
      </c>
      <c r="H140" s="3">
        <v>0</v>
      </c>
      <c r="I140" s="3">
        <v>0</v>
      </c>
      <c r="J140" s="3">
        <v>2</v>
      </c>
      <c r="K140" s="3">
        <v>0</v>
      </c>
      <c r="L140" s="3">
        <v>0</v>
      </c>
      <c r="M140" s="3">
        <v>0</v>
      </c>
      <c r="N140" s="3" t="s">
        <v>341</v>
      </c>
      <c r="O140" s="3">
        <v>2</v>
      </c>
      <c r="P140" s="3">
        <v>2.49</v>
      </c>
      <c r="Q140" s="3">
        <v>0</v>
      </c>
      <c r="R140" s="3">
        <v>0</v>
      </c>
      <c r="S140" s="3">
        <v>0</v>
      </c>
      <c r="T140" s="3">
        <v>0</v>
      </c>
      <c r="U140" s="3">
        <v>1</v>
      </c>
      <c r="V140" s="3">
        <v>3</v>
      </c>
      <c r="W140" s="3" t="s">
        <v>342</v>
      </c>
      <c r="X140" s="3">
        <v>15.99</v>
      </c>
      <c r="Y140" s="3">
        <v>15.99</v>
      </c>
      <c r="Z140" s="3">
        <v>15.99</v>
      </c>
      <c r="AA140" s="3">
        <v>0</v>
      </c>
      <c r="AB140" s="3" t="s">
        <v>349</v>
      </c>
      <c r="AC140" s="3">
        <v>0</v>
      </c>
      <c r="AD140" s="3">
        <v>14.54</v>
      </c>
      <c r="AE140" s="3">
        <v>84</v>
      </c>
      <c r="AF140" s="3">
        <v>0</v>
      </c>
      <c r="AG140" s="3">
        <v>36.790593</v>
      </c>
      <c r="AH140" s="3">
        <v>1</v>
      </c>
      <c r="AI140" s="3" t="s">
        <v>397</v>
      </c>
      <c r="AJ140" s="3" t="s">
        <v>345</v>
      </c>
    </row>
    <row r="141" spans="1:36">
      <c r="A141" s="4">
        <v>43288</v>
      </c>
      <c r="B141" s="3" t="s">
        <v>868</v>
      </c>
      <c r="C141" s="3" t="s">
        <v>869</v>
      </c>
      <c r="D141" s="3" t="s">
        <v>870</v>
      </c>
      <c r="E141" s="3" t="s">
        <v>871</v>
      </c>
      <c r="F141" s="3" t="s">
        <v>340</v>
      </c>
      <c r="G141" s="3">
        <v>1</v>
      </c>
      <c r="H141" s="3">
        <v>0</v>
      </c>
      <c r="I141" s="3">
        <v>0</v>
      </c>
      <c r="J141" s="3">
        <v>1</v>
      </c>
      <c r="K141" s="3">
        <v>0</v>
      </c>
      <c r="L141" s="3">
        <v>0</v>
      </c>
      <c r="M141" s="3">
        <v>0</v>
      </c>
      <c r="N141" s="3" t="s">
        <v>341</v>
      </c>
      <c r="O141" s="3">
        <v>1</v>
      </c>
      <c r="P141" s="3">
        <v>0.01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 t="s">
        <v>342</v>
      </c>
      <c r="X141" s="3">
        <v>18.9</v>
      </c>
      <c r="Y141" s="3">
        <v>18.9</v>
      </c>
      <c r="Z141" s="3">
        <v>18.9</v>
      </c>
      <c r="AA141" s="3">
        <v>0</v>
      </c>
      <c r="AB141" s="3" t="s">
        <v>349</v>
      </c>
      <c r="AC141" s="3">
        <v>1</v>
      </c>
      <c r="AD141" s="3">
        <v>18.9</v>
      </c>
      <c r="AE141" s="3">
        <v>0</v>
      </c>
      <c r="AF141" s="3">
        <v>0</v>
      </c>
      <c r="AG141" s="3">
        <v>0</v>
      </c>
      <c r="AH141" s="3">
        <v>0</v>
      </c>
      <c r="AI141" s="3" t="s">
        <v>387</v>
      </c>
      <c r="AJ141" s="3" t="s">
        <v>345</v>
      </c>
    </row>
    <row r="142" spans="1:36">
      <c r="A142" s="4">
        <v>43288</v>
      </c>
      <c r="B142" s="3" t="s">
        <v>872</v>
      </c>
      <c r="C142" s="3" t="s">
        <v>873</v>
      </c>
      <c r="D142" s="3" t="s">
        <v>874</v>
      </c>
      <c r="E142" s="3" t="s">
        <v>188</v>
      </c>
      <c r="F142" s="3" t="s">
        <v>340</v>
      </c>
      <c r="G142" s="3">
        <v>9</v>
      </c>
      <c r="H142" s="3">
        <v>0</v>
      </c>
      <c r="I142" s="3">
        <v>9</v>
      </c>
      <c r="J142" s="3">
        <v>0</v>
      </c>
      <c r="K142" s="3">
        <v>0</v>
      </c>
      <c r="L142" s="3">
        <v>0</v>
      </c>
      <c r="M142" s="3">
        <v>0</v>
      </c>
      <c r="N142" s="3" t="s">
        <v>341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4</v>
      </c>
      <c r="U142" s="3">
        <v>6</v>
      </c>
      <c r="V142" s="3">
        <v>10</v>
      </c>
      <c r="W142" s="3"/>
      <c r="X142" s="3">
        <v>19.99</v>
      </c>
      <c r="Y142" s="3">
        <v>19.99</v>
      </c>
      <c r="Z142" s="3">
        <v>19.99</v>
      </c>
      <c r="AA142" s="3">
        <v>0</v>
      </c>
      <c r="AB142" s="3" t="s">
        <v>359</v>
      </c>
      <c r="AC142" s="3">
        <v>10</v>
      </c>
      <c r="AD142" s="3">
        <v>19.99</v>
      </c>
      <c r="AE142" s="3">
        <v>0</v>
      </c>
      <c r="AF142" s="3">
        <v>0</v>
      </c>
      <c r="AG142" s="3">
        <v>0</v>
      </c>
      <c r="AH142" s="3">
        <v>1.6</v>
      </c>
      <c r="AI142" s="3" t="s">
        <v>492</v>
      </c>
      <c r="AJ142" s="3" t="s">
        <v>345</v>
      </c>
    </row>
    <row r="143" spans="1:36">
      <c r="A143" s="4">
        <v>43288</v>
      </c>
      <c r="B143" s="3" t="s">
        <v>875</v>
      </c>
      <c r="C143" s="3" t="s">
        <v>876</v>
      </c>
      <c r="D143" s="3" t="s">
        <v>877</v>
      </c>
      <c r="E143" s="3" t="s">
        <v>878</v>
      </c>
      <c r="F143" s="3" t="s">
        <v>340</v>
      </c>
      <c r="G143" s="3">
        <v>3</v>
      </c>
      <c r="H143" s="3">
        <v>0</v>
      </c>
      <c r="I143" s="3">
        <v>0</v>
      </c>
      <c r="J143" s="3">
        <v>0</v>
      </c>
      <c r="K143" s="3">
        <v>0</v>
      </c>
      <c r="L143" s="3">
        <v>3</v>
      </c>
      <c r="M143" s="3">
        <v>0</v>
      </c>
      <c r="N143" s="3" t="s">
        <v>341</v>
      </c>
      <c r="O143" s="3">
        <v>3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342</v>
      </c>
      <c r="X143" s="3">
        <v>19.99</v>
      </c>
      <c r="Y143" s="3">
        <v>19.99</v>
      </c>
      <c r="Z143" s="3">
        <v>19.99</v>
      </c>
      <c r="AA143" s="3">
        <v>0</v>
      </c>
      <c r="AB143" s="3" t="s">
        <v>343</v>
      </c>
      <c r="AC143" s="3">
        <v>0</v>
      </c>
      <c r="AD143" s="3">
        <v>15.99</v>
      </c>
      <c r="AE143" s="3">
        <v>63</v>
      </c>
      <c r="AF143" s="3">
        <v>0</v>
      </c>
      <c r="AG143" s="3">
        <v>1.411129</v>
      </c>
      <c r="AH143" s="3">
        <v>0</v>
      </c>
      <c r="AI143" s="3" t="s">
        <v>728</v>
      </c>
      <c r="AJ143" s="3" t="s">
        <v>345</v>
      </c>
    </row>
    <row r="144" spans="1:36">
      <c r="A144" s="4">
        <v>43288</v>
      </c>
      <c r="B144" s="3" t="s">
        <v>879</v>
      </c>
      <c r="C144" s="3" t="s">
        <v>880</v>
      </c>
      <c r="D144" s="3" t="s">
        <v>881</v>
      </c>
      <c r="E144" s="3" t="s">
        <v>882</v>
      </c>
      <c r="F144" s="3" t="s">
        <v>340</v>
      </c>
      <c r="G144" s="3">
        <v>2</v>
      </c>
      <c r="H144" s="3">
        <v>0</v>
      </c>
      <c r="I144" s="3">
        <v>0</v>
      </c>
      <c r="J144" s="3">
        <v>0</v>
      </c>
      <c r="K144" s="3">
        <v>0</v>
      </c>
      <c r="L144" s="3">
        <v>2</v>
      </c>
      <c r="M144" s="3">
        <v>0</v>
      </c>
      <c r="N144" s="3" t="s">
        <v>341</v>
      </c>
      <c r="O144" s="3">
        <v>1</v>
      </c>
      <c r="P144" s="3">
        <v>1</v>
      </c>
      <c r="Q144" s="3">
        <v>1</v>
      </c>
      <c r="R144" s="3">
        <v>1.99</v>
      </c>
      <c r="S144" s="3">
        <v>0</v>
      </c>
      <c r="T144" s="3">
        <v>0</v>
      </c>
      <c r="U144" s="3">
        <v>1</v>
      </c>
      <c r="V144" s="3">
        <v>1</v>
      </c>
      <c r="W144" s="3" t="s">
        <v>342</v>
      </c>
      <c r="X144" s="3">
        <v>18.96</v>
      </c>
      <c r="Y144" s="3">
        <v>18.96</v>
      </c>
      <c r="Z144" s="3">
        <v>18.96</v>
      </c>
      <c r="AA144" s="3">
        <v>0</v>
      </c>
      <c r="AB144" s="3" t="s">
        <v>349</v>
      </c>
      <c r="AC144" s="3">
        <v>0</v>
      </c>
      <c r="AD144" s="3">
        <v>16.31</v>
      </c>
      <c r="AE144" s="3">
        <v>308</v>
      </c>
      <c r="AF144" s="3">
        <v>0</v>
      </c>
      <c r="AG144" s="3">
        <v>27.136948</v>
      </c>
      <c r="AH144" s="3">
        <v>0.4</v>
      </c>
      <c r="AI144" s="3" t="s">
        <v>370</v>
      </c>
      <c r="AJ144" s="3" t="s">
        <v>345</v>
      </c>
    </row>
    <row r="145" spans="1:36">
      <c r="A145" s="4">
        <v>43288</v>
      </c>
      <c r="B145" s="3" t="s">
        <v>174</v>
      </c>
      <c r="C145" s="3" t="s">
        <v>175</v>
      </c>
      <c r="D145" s="3" t="s">
        <v>176</v>
      </c>
      <c r="E145" s="3" t="s">
        <v>177</v>
      </c>
      <c r="F145" s="3" t="s">
        <v>340</v>
      </c>
      <c r="G145" s="3">
        <v>1</v>
      </c>
      <c r="H145" s="3">
        <v>0</v>
      </c>
      <c r="I145" s="3">
        <v>1</v>
      </c>
      <c r="J145" s="3">
        <v>0</v>
      </c>
      <c r="K145" s="3">
        <v>0</v>
      </c>
      <c r="L145" s="3">
        <v>0</v>
      </c>
      <c r="M145" s="3">
        <v>0</v>
      </c>
      <c r="N145" s="3" t="s">
        <v>341</v>
      </c>
      <c r="O145" s="3">
        <v>0</v>
      </c>
      <c r="P145" s="3">
        <v>0</v>
      </c>
      <c r="Q145" s="3">
        <v>0</v>
      </c>
      <c r="R145" s="3">
        <v>0</v>
      </c>
      <c r="S145" s="3">
        <v>3</v>
      </c>
      <c r="T145" s="3">
        <v>8</v>
      </c>
      <c r="U145" s="3">
        <v>11</v>
      </c>
      <c r="V145" s="3">
        <v>15</v>
      </c>
      <c r="W145" s="3"/>
      <c r="X145" s="3">
        <v>19.38</v>
      </c>
      <c r="Y145" s="3">
        <v>19.38</v>
      </c>
      <c r="Z145" s="3">
        <v>19.38</v>
      </c>
      <c r="AA145" s="3">
        <v>0</v>
      </c>
      <c r="AB145" s="3" t="s">
        <v>359</v>
      </c>
      <c r="AC145" s="3">
        <v>4</v>
      </c>
      <c r="AD145" s="3">
        <v>19.38</v>
      </c>
      <c r="AE145" s="3">
        <v>0</v>
      </c>
      <c r="AF145" s="3">
        <v>0</v>
      </c>
      <c r="AG145" s="3">
        <v>0</v>
      </c>
      <c r="AH145" s="3">
        <v>2.14285714285714</v>
      </c>
      <c r="AI145" s="3" t="s">
        <v>492</v>
      </c>
      <c r="AJ145" s="3" t="s">
        <v>345</v>
      </c>
    </row>
    <row r="146" spans="1:36">
      <c r="A146" s="4">
        <v>43288</v>
      </c>
      <c r="B146" s="3" t="s">
        <v>883</v>
      </c>
      <c r="C146" s="3" t="s">
        <v>884</v>
      </c>
      <c r="D146" s="3" t="s">
        <v>885</v>
      </c>
      <c r="E146" s="3" t="s">
        <v>886</v>
      </c>
      <c r="F146" s="3" t="s">
        <v>340</v>
      </c>
      <c r="G146" s="3">
        <v>1</v>
      </c>
      <c r="H146" s="3">
        <v>0</v>
      </c>
      <c r="I146" s="3">
        <v>0</v>
      </c>
      <c r="J146" s="3">
        <v>1</v>
      </c>
      <c r="K146" s="3">
        <v>0</v>
      </c>
      <c r="L146" s="3">
        <v>0</v>
      </c>
      <c r="M146" s="3">
        <v>0</v>
      </c>
      <c r="N146" s="3" t="s">
        <v>341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342</v>
      </c>
      <c r="X146" s="3">
        <v>14.99</v>
      </c>
      <c r="Y146" s="3">
        <v>14.99</v>
      </c>
      <c r="Z146" s="3">
        <v>14.99</v>
      </c>
      <c r="AA146" s="3">
        <v>0</v>
      </c>
      <c r="AB146" s="3" t="s">
        <v>349</v>
      </c>
      <c r="AC146" s="3">
        <v>0</v>
      </c>
      <c r="AD146" s="3">
        <v>13.98</v>
      </c>
      <c r="AE146" s="3">
        <v>91</v>
      </c>
      <c r="AF146" s="3">
        <v>0</v>
      </c>
      <c r="AG146" s="3">
        <v>13.327476</v>
      </c>
      <c r="AH146" s="3">
        <v>0</v>
      </c>
      <c r="AI146" s="3" t="s">
        <v>702</v>
      </c>
      <c r="AJ146" s="3" t="s">
        <v>345</v>
      </c>
    </row>
    <row r="147" spans="1:36">
      <c r="A147" s="4">
        <v>43288</v>
      </c>
      <c r="B147" s="3" t="s">
        <v>887</v>
      </c>
      <c r="C147" s="3" t="s">
        <v>888</v>
      </c>
      <c r="D147" s="3" t="s">
        <v>889</v>
      </c>
      <c r="E147" s="3" t="s">
        <v>641</v>
      </c>
      <c r="F147" s="3" t="s">
        <v>340</v>
      </c>
      <c r="G147" s="3">
        <v>1</v>
      </c>
      <c r="H147" s="3">
        <v>0</v>
      </c>
      <c r="I147" s="3">
        <v>0</v>
      </c>
      <c r="J147" s="3">
        <v>0</v>
      </c>
      <c r="K147" s="3">
        <v>0</v>
      </c>
      <c r="L147" s="3">
        <v>0</v>
      </c>
      <c r="M147" s="3">
        <v>1</v>
      </c>
      <c r="N147" s="3" t="s">
        <v>341</v>
      </c>
      <c r="O147" s="3">
        <v>0</v>
      </c>
      <c r="P147" s="3">
        <v>0</v>
      </c>
      <c r="Q147" s="3">
        <v>1</v>
      </c>
      <c r="R147" s="3">
        <v>1.01</v>
      </c>
      <c r="S147" s="3">
        <v>0</v>
      </c>
      <c r="T147" s="3">
        <v>0</v>
      </c>
      <c r="U147" s="3">
        <v>0</v>
      </c>
      <c r="V147" s="3">
        <v>0</v>
      </c>
      <c r="W147" s="3" t="s">
        <v>342</v>
      </c>
      <c r="X147" s="3">
        <v>18.9</v>
      </c>
      <c r="Y147" s="3">
        <v>18.9</v>
      </c>
      <c r="Z147" s="3">
        <v>18.9</v>
      </c>
      <c r="AA147" s="3">
        <v>0</v>
      </c>
      <c r="AB147" s="3" t="s">
        <v>343</v>
      </c>
      <c r="AC147" s="3">
        <v>0</v>
      </c>
      <c r="AD147" s="3">
        <v>17.6</v>
      </c>
      <c r="AE147" s="3">
        <v>49</v>
      </c>
      <c r="AF147" s="3">
        <v>0</v>
      </c>
      <c r="AG147" s="3">
        <v>15.737607</v>
      </c>
      <c r="AH147" s="3">
        <v>0</v>
      </c>
      <c r="AI147" s="3" t="s">
        <v>642</v>
      </c>
      <c r="AJ147" s="3" t="s">
        <v>345</v>
      </c>
    </row>
    <row r="148" spans="1:36">
      <c r="A148" s="4">
        <v>43288</v>
      </c>
      <c r="B148" s="3" t="s">
        <v>8</v>
      </c>
      <c r="C148" s="3" t="s">
        <v>9</v>
      </c>
      <c r="D148" s="3" t="s">
        <v>10</v>
      </c>
      <c r="E148" s="3" t="s">
        <v>11</v>
      </c>
      <c r="F148" s="3" t="s">
        <v>340</v>
      </c>
      <c r="G148" s="3">
        <v>4</v>
      </c>
      <c r="H148" s="3">
        <v>0</v>
      </c>
      <c r="I148" s="3">
        <v>0</v>
      </c>
      <c r="J148" s="3">
        <v>3</v>
      </c>
      <c r="K148" s="3">
        <v>1</v>
      </c>
      <c r="L148" s="3">
        <v>0</v>
      </c>
      <c r="M148" s="3">
        <v>0</v>
      </c>
      <c r="N148" s="3" t="s">
        <v>341</v>
      </c>
      <c r="O148" s="3">
        <v>4</v>
      </c>
      <c r="P148" s="3">
        <v>9.27</v>
      </c>
      <c r="Q148" s="3">
        <v>0</v>
      </c>
      <c r="R148" s="3">
        <v>0</v>
      </c>
      <c r="S148" s="3">
        <v>0</v>
      </c>
      <c r="T148" s="3">
        <v>1</v>
      </c>
      <c r="U148" s="3">
        <v>1</v>
      </c>
      <c r="V148" s="3">
        <v>1</v>
      </c>
      <c r="W148" s="3" t="s">
        <v>342</v>
      </c>
      <c r="X148" s="3">
        <v>39.99</v>
      </c>
      <c r="Y148" s="3">
        <v>25.99</v>
      </c>
      <c r="Z148" s="3">
        <v>25.99</v>
      </c>
      <c r="AA148" s="3">
        <v>0</v>
      </c>
      <c r="AB148" s="3" t="s">
        <v>890</v>
      </c>
      <c r="AC148" s="3">
        <v>4</v>
      </c>
      <c r="AD148" s="3">
        <v>25.99</v>
      </c>
      <c r="AE148" s="3">
        <v>0</v>
      </c>
      <c r="AF148" s="3">
        <v>0</v>
      </c>
      <c r="AG148" s="3">
        <v>0</v>
      </c>
      <c r="AH148" s="3">
        <v>0.1</v>
      </c>
      <c r="AI148" s="3" t="s">
        <v>750</v>
      </c>
      <c r="AJ148" s="3" t="s">
        <v>345</v>
      </c>
    </row>
    <row r="149" spans="1:36">
      <c r="A149" s="4">
        <v>43288</v>
      </c>
      <c r="B149" s="3" t="s">
        <v>891</v>
      </c>
      <c r="C149" s="3" t="s">
        <v>892</v>
      </c>
      <c r="D149" s="3" t="s">
        <v>893</v>
      </c>
      <c r="E149" s="3" t="s">
        <v>651</v>
      </c>
      <c r="F149" s="3" t="s">
        <v>340</v>
      </c>
      <c r="G149" s="3">
        <v>1</v>
      </c>
      <c r="H149" s="3">
        <v>0</v>
      </c>
      <c r="I149" s="3">
        <v>0</v>
      </c>
      <c r="J149" s="3">
        <v>0</v>
      </c>
      <c r="K149" s="3">
        <v>1</v>
      </c>
      <c r="L149" s="3">
        <v>0</v>
      </c>
      <c r="M149" s="3">
        <v>0</v>
      </c>
      <c r="N149" s="3" t="s">
        <v>341</v>
      </c>
      <c r="O149" s="3">
        <v>1</v>
      </c>
      <c r="P149" s="3">
        <v>0.7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342</v>
      </c>
      <c r="X149" s="3">
        <v>14.99</v>
      </c>
      <c r="Y149" s="3">
        <v>14.99</v>
      </c>
      <c r="Z149" s="3">
        <v>14.99</v>
      </c>
      <c r="AA149" s="3">
        <v>0</v>
      </c>
      <c r="AB149" s="3" t="s">
        <v>349</v>
      </c>
      <c r="AC149" s="3">
        <v>0</v>
      </c>
      <c r="AD149" s="3">
        <v>13.99</v>
      </c>
      <c r="AE149" s="3">
        <v>35</v>
      </c>
      <c r="AF149" s="3">
        <v>0</v>
      </c>
      <c r="AG149" s="3">
        <v>15.191537</v>
      </c>
      <c r="AH149" s="3">
        <v>0</v>
      </c>
      <c r="AI149" s="3" t="s">
        <v>894</v>
      </c>
      <c r="AJ149" s="3" t="s">
        <v>345</v>
      </c>
    </row>
    <row r="150" spans="1:36">
      <c r="A150" s="4">
        <v>43288</v>
      </c>
      <c r="B150" s="3" t="s">
        <v>218</v>
      </c>
      <c r="C150" s="3" t="s">
        <v>219</v>
      </c>
      <c r="D150" s="3" t="s">
        <v>220</v>
      </c>
      <c r="E150" s="3" t="s">
        <v>221</v>
      </c>
      <c r="F150" s="3" t="s">
        <v>340</v>
      </c>
      <c r="G150" s="3">
        <v>9</v>
      </c>
      <c r="H150" s="3">
        <v>0</v>
      </c>
      <c r="I150" s="3">
        <v>9</v>
      </c>
      <c r="J150" s="3">
        <v>0</v>
      </c>
      <c r="K150" s="3">
        <v>0</v>
      </c>
      <c r="L150" s="3">
        <v>0</v>
      </c>
      <c r="M150" s="3">
        <v>0</v>
      </c>
      <c r="N150" s="3" t="s">
        <v>341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2</v>
      </c>
      <c r="U150" s="3">
        <v>6</v>
      </c>
      <c r="V150" s="3">
        <v>6</v>
      </c>
      <c r="W150" s="3"/>
      <c r="X150" s="3">
        <v>19.99</v>
      </c>
      <c r="Y150" s="3">
        <v>19.99</v>
      </c>
      <c r="Z150" s="3">
        <v>19.99</v>
      </c>
      <c r="AA150" s="3">
        <v>0</v>
      </c>
      <c r="AB150" s="3" t="s">
        <v>359</v>
      </c>
      <c r="AC150" s="3">
        <v>9</v>
      </c>
      <c r="AD150" s="3">
        <v>19.99</v>
      </c>
      <c r="AE150" s="3">
        <v>0</v>
      </c>
      <c r="AF150" s="3">
        <v>0</v>
      </c>
      <c r="AG150" s="3">
        <v>0</v>
      </c>
      <c r="AH150" s="3">
        <v>0.705882352941176</v>
      </c>
      <c r="AI150" s="3" t="s">
        <v>518</v>
      </c>
      <c r="AJ150" s="3" t="s">
        <v>345</v>
      </c>
    </row>
    <row r="151" spans="1:36">
      <c r="A151" s="4">
        <v>43288</v>
      </c>
      <c r="B151" s="3" t="s">
        <v>895</v>
      </c>
      <c r="C151" s="3" t="s">
        <v>896</v>
      </c>
      <c r="D151" s="3" t="s">
        <v>897</v>
      </c>
      <c r="E151" s="3" t="s">
        <v>898</v>
      </c>
      <c r="F151" s="3" t="s">
        <v>340</v>
      </c>
      <c r="G151" s="3">
        <v>2</v>
      </c>
      <c r="H151" s="3">
        <v>0</v>
      </c>
      <c r="I151" s="3">
        <v>0</v>
      </c>
      <c r="J151" s="3">
        <v>1</v>
      </c>
      <c r="K151" s="3">
        <v>0</v>
      </c>
      <c r="L151" s="3">
        <v>1</v>
      </c>
      <c r="M151" s="3">
        <v>0</v>
      </c>
      <c r="N151" s="3" t="s">
        <v>341</v>
      </c>
      <c r="O151" s="3">
        <v>1</v>
      </c>
      <c r="P151" s="3">
        <v>1</v>
      </c>
      <c r="Q151" s="3">
        <v>1</v>
      </c>
      <c r="R151" s="3">
        <v>1.99</v>
      </c>
      <c r="S151" s="3">
        <v>0</v>
      </c>
      <c r="T151" s="3">
        <v>0</v>
      </c>
      <c r="U151" s="3">
        <v>1</v>
      </c>
      <c r="V151" s="3">
        <v>1</v>
      </c>
      <c r="W151" s="3" t="s">
        <v>342</v>
      </c>
      <c r="X151" s="3">
        <v>18.96</v>
      </c>
      <c r="Y151" s="3">
        <v>18.96</v>
      </c>
      <c r="Z151" s="3">
        <v>18.96</v>
      </c>
      <c r="AA151" s="3">
        <v>0</v>
      </c>
      <c r="AB151" s="3" t="s">
        <v>349</v>
      </c>
      <c r="AC151" s="3">
        <v>0</v>
      </c>
      <c r="AD151" s="3">
        <v>16.29</v>
      </c>
      <c r="AE151" s="3">
        <v>357</v>
      </c>
      <c r="AF151" s="3">
        <v>0</v>
      </c>
      <c r="AG151" s="3">
        <v>25.900152</v>
      </c>
      <c r="AH151" s="3">
        <v>0.4</v>
      </c>
      <c r="AI151" s="3" t="s">
        <v>370</v>
      </c>
      <c r="AJ151" s="3" t="s">
        <v>345</v>
      </c>
    </row>
    <row r="152" spans="1:36">
      <c r="A152" s="4">
        <v>43288</v>
      </c>
      <c r="B152" s="3" t="s">
        <v>899</v>
      </c>
      <c r="C152" s="3" t="s">
        <v>900</v>
      </c>
      <c r="D152" s="3" t="s">
        <v>901</v>
      </c>
      <c r="E152" s="3" t="s">
        <v>680</v>
      </c>
      <c r="F152" s="3" t="s">
        <v>340</v>
      </c>
      <c r="G152" s="3">
        <v>2</v>
      </c>
      <c r="H152" s="3">
        <v>0</v>
      </c>
      <c r="I152" s="3">
        <v>0</v>
      </c>
      <c r="J152" s="3">
        <v>2</v>
      </c>
      <c r="K152" s="3">
        <v>0</v>
      </c>
      <c r="L152" s="3">
        <v>0</v>
      </c>
      <c r="M152" s="3">
        <v>0</v>
      </c>
      <c r="N152" s="3" t="s">
        <v>341</v>
      </c>
      <c r="O152" s="3">
        <v>2</v>
      </c>
      <c r="P152" s="3">
        <v>3.61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2</v>
      </c>
      <c r="W152" s="3" t="s">
        <v>342</v>
      </c>
      <c r="X152" s="3">
        <v>17.99</v>
      </c>
      <c r="Y152" s="3">
        <v>17.99</v>
      </c>
      <c r="Z152" s="3">
        <v>17.99</v>
      </c>
      <c r="AA152" s="3">
        <v>0</v>
      </c>
      <c r="AB152" s="3" t="s">
        <v>349</v>
      </c>
      <c r="AC152" s="3">
        <v>0</v>
      </c>
      <c r="AD152" s="3">
        <v>16.42</v>
      </c>
      <c r="AE152" s="3">
        <v>35</v>
      </c>
      <c r="AF152" s="3">
        <v>0</v>
      </c>
      <c r="AG152" s="3">
        <v>61.61436</v>
      </c>
      <c r="AH152" s="3">
        <v>0.8</v>
      </c>
      <c r="AI152" s="3" t="s">
        <v>863</v>
      </c>
      <c r="AJ152" s="3" t="s">
        <v>902</v>
      </c>
    </row>
    <row r="153" spans="1:36">
      <c r="A153" s="4">
        <v>43288</v>
      </c>
      <c r="B153" s="3" t="s">
        <v>903</v>
      </c>
      <c r="C153" s="3" t="s">
        <v>904</v>
      </c>
      <c r="D153" s="3" t="s">
        <v>905</v>
      </c>
      <c r="E153" s="3" t="s">
        <v>53</v>
      </c>
      <c r="F153" s="3" t="s">
        <v>340</v>
      </c>
      <c r="G153" s="3">
        <v>4</v>
      </c>
      <c r="H153" s="3">
        <v>0</v>
      </c>
      <c r="I153" s="3">
        <v>2</v>
      </c>
      <c r="J153" s="3">
        <v>1</v>
      </c>
      <c r="K153" s="3">
        <v>0</v>
      </c>
      <c r="L153" s="3">
        <v>1</v>
      </c>
      <c r="M153" s="3">
        <v>0</v>
      </c>
      <c r="N153" s="3" t="s">
        <v>341</v>
      </c>
      <c r="O153" s="3">
        <v>2</v>
      </c>
      <c r="P153" s="3">
        <v>1.76</v>
      </c>
      <c r="Q153" s="3">
        <v>0</v>
      </c>
      <c r="R153" s="3">
        <v>0</v>
      </c>
      <c r="S153" s="3">
        <v>0</v>
      </c>
      <c r="T153" s="3">
        <v>4</v>
      </c>
      <c r="U153" s="3">
        <v>7</v>
      </c>
      <c r="V153" s="3">
        <v>8</v>
      </c>
      <c r="W153" s="3"/>
      <c r="X153" s="3">
        <v>12.98</v>
      </c>
      <c r="Y153" s="3">
        <v>12.98</v>
      </c>
      <c r="Z153" s="3">
        <v>12.98</v>
      </c>
      <c r="AA153" s="3">
        <v>0</v>
      </c>
      <c r="AB153" s="3" t="s">
        <v>343</v>
      </c>
      <c r="AC153" s="3">
        <v>0</v>
      </c>
      <c r="AD153" s="3">
        <v>10.38</v>
      </c>
      <c r="AE153" s="3">
        <v>91</v>
      </c>
      <c r="AF153" s="3">
        <v>0</v>
      </c>
      <c r="AG153" s="3">
        <v>13.207714</v>
      </c>
      <c r="AH153" s="3">
        <v>1</v>
      </c>
      <c r="AI153" s="3" t="s">
        <v>431</v>
      </c>
      <c r="AJ153" s="3" t="s">
        <v>345</v>
      </c>
    </row>
    <row r="154" spans="1:36">
      <c r="A154" s="4">
        <v>43288</v>
      </c>
      <c r="B154" s="3" t="s">
        <v>197</v>
      </c>
      <c r="C154" s="3" t="s">
        <v>198</v>
      </c>
      <c r="D154" s="3" t="s">
        <v>199</v>
      </c>
      <c r="E154" s="3" t="s">
        <v>181</v>
      </c>
      <c r="F154" s="3" t="s">
        <v>340</v>
      </c>
      <c r="G154" s="3">
        <v>1</v>
      </c>
      <c r="H154" s="3">
        <v>0</v>
      </c>
      <c r="I154" s="3">
        <v>0</v>
      </c>
      <c r="J154" s="3">
        <v>1</v>
      </c>
      <c r="K154" s="3">
        <v>0</v>
      </c>
      <c r="L154" s="3">
        <v>0</v>
      </c>
      <c r="M154" s="3">
        <v>0</v>
      </c>
      <c r="N154" s="3" t="s">
        <v>341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2</v>
      </c>
      <c r="V154" s="3">
        <v>2</v>
      </c>
      <c r="W154" s="3" t="s">
        <v>381</v>
      </c>
      <c r="X154" s="3">
        <v>29.99</v>
      </c>
      <c r="Y154" s="3">
        <v>19.38</v>
      </c>
      <c r="Z154" s="3">
        <v>19.38</v>
      </c>
      <c r="AA154" s="3">
        <v>0</v>
      </c>
      <c r="AB154" s="3" t="s">
        <v>359</v>
      </c>
      <c r="AC154" s="3">
        <v>3</v>
      </c>
      <c r="AD154" s="3">
        <v>19.38</v>
      </c>
      <c r="AE154" s="3">
        <v>0</v>
      </c>
      <c r="AF154" s="3">
        <v>0</v>
      </c>
      <c r="AG154" s="3">
        <v>0</v>
      </c>
      <c r="AH154" s="3">
        <v>0.5</v>
      </c>
      <c r="AI154" s="3" t="s">
        <v>492</v>
      </c>
      <c r="AJ154" s="3" t="s">
        <v>345</v>
      </c>
    </row>
    <row r="155" spans="1:36">
      <c r="A155" s="4">
        <v>43288</v>
      </c>
      <c r="B155" s="3" t="s">
        <v>906</v>
      </c>
      <c r="C155" s="3" t="s">
        <v>907</v>
      </c>
      <c r="D155" s="3" t="s">
        <v>908</v>
      </c>
      <c r="E155" s="3" t="s">
        <v>613</v>
      </c>
      <c r="F155" s="3" t="s">
        <v>340</v>
      </c>
      <c r="G155" s="3">
        <v>6</v>
      </c>
      <c r="H155" s="3">
        <v>0</v>
      </c>
      <c r="I155" s="3">
        <v>0</v>
      </c>
      <c r="J155" s="3">
        <v>0</v>
      </c>
      <c r="K155" s="3">
        <v>3</v>
      </c>
      <c r="L155" s="3">
        <v>3</v>
      </c>
      <c r="M155" s="3">
        <v>0</v>
      </c>
      <c r="N155" s="3" t="s">
        <v>341</v>
      </c>
      <c r="O155" s="3">
        <v>6</v>
      </c>
      <c r="P155" s="3">
        <v>5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342</v>
      </c>
      <c r="X155" s="3">
        <v>12.99</v>
      </c>
      <c r="Y155" s="3">
        <v>12.99</v>
      </c>
      <c r="Z155" s="3">
        <v>12.99</v>
      </c>
      <c r="AA155" s="3">
        <v>0</v>
      </c>
      <c r="AB155" s="3" t="s">
        <v>349</v>
      </c>
      <c r="AC155" s="3">
        <v>0</v>
      </c>
      <c r="AD155" s="3">
        <v>11.06</v>
      </c>
      <c r="AE155" s="3">
        <v>217</v>
      </c>
      <c r="AF155" s="3">
        <v>0</v>
      </c>
      <c r="AG155" s="3">
        <v>82.450906</v>
      </c>
      <c r="AH155" s="3">
        <v>0</v>
      </c>
      <c r="AI155" s="3" t="s">
        <v>614</v>
      </c>
      <c r="AJ155" s="3" t="s">
        <v>345</v>
      </c>
    </row>
    <row r="156" spans="1:36">
      <c r="A156" s="4">
        <v>43288</v>
      </c>
      <c r="B156" s="3" t="s">
        <v>909</v>
      </c>
      <c r="C156" s="3" t="s">
        <v>910</v>
      </c>
      <c r="D156" s="3" t="s">
        <v>911</v>
      </c>
      <c r="E156" s="3" t="s">
        <v>680</v>
      </c>
      <c r="F156" s="3" t="s">
        <v>340</v>
      </c>
      <c r="G156" s="3">
        <v>3</v>
      </c>
      <c r="H156" s="3">
        <v>0</v>
      </c>
      <c r="I156" s="3">
        <v>0</v>
      </c>
      <c r="J156" s="3">
        <v>3</v>
      </c>
      <c r="K156" s="3">
        <v>0</v>
      </c>
      <c r="L156" s="3">
        <v>0</v>
      </c>
      <c r="M156" s="3">
        <v>0</v>
      </c>
      <c r="N156" s="3" t="s">
        <v>341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342</v>
      </c>
      <c r="X156" s="3">
        <v>20.99</v>
      </c>
      <c r="Y156" s="3">
        <v>20.99</v>
      </c>
      <c r="Z156" s="3">
        <v>20.99</v>
      </c>
      <c r="AA156" s="3">
        <v>0</v>
      </c>
      <c r="AB156" s="3" t="s">
        <v>349</v>
      </c>
      <c r="AC156" s="3">
        <v>0</v>
      </c>
      <c r="AD156" s="3">
        <v>19.34</v>
      </c>
      <c r="AE156" s="3">
        <v>112</v>
      </c>
      <c r="AF156" s="3">
        <v>0</v>
      </c>
      <c r="AG156" s="3">
        <v>79.178241</v>
      </c>
      <c r="AH156" s="3">
        <v>0</v>
      </c>
      <c r="AI156" s="3" t="s">
        <v>912</v>
      </c>
      <c r="AJ156" s="3" t="s">
        <v>345</v>
      </c>
    </row>
    <row r="157" spans="1:36">
      <c r="A157" s="4">
        <v>43288</v>
      </c>
      <c r="B157" s="3" t="s">
        <v>913</v>
      </c>
      <c r="C157" s="3" t="s">
        <v>914</v>
      </c>
      <c r="D157" s="3" t="s">
        <v>915</v>
      </c>
      <c r="E157" s="3" t="s">
        <v>916</v>
      </c>
      <c r="F157" s="3" t="s">
        <v>340</v>
      </c>
      <c r="G157" s="3">
        <v>1</v>
      </c>
      <c r="H157" s="3">
        <v>0</v>
      </c>
      <c r="I157" s="3">
        <v>1</v>
      </c>
      <c r="J157" s="3">
        <v>0</v>
      </c>
      <c r="K157" s="3">
        <v>0</v>
      </c>
      <c r="L157" s="3">
        <v>0</v>
      </c>
      <c r="M157" s="3">
        <v>0</v>
      </c>
      <c r="N157" s="3" t="s">
        <v>341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2</v>
      </c>
      <c r="U157" s="3">
        <v>2</v>
      </c>
      <c r="V157" s="3">
        <v>2</v>
      </c>
      <c r="W157" s="3" t="s">
        <v>342</v>
      </c>
      <c r="X157" s="3">
        <v>17.99</v>
      </c>
      <c r="Y157" s="3">
        <v>17.99</v>
      </c>
      <c r="Z157" s="3">
        <v>17.99</v>
      </c>
      <c r="AA157" s="3">
        <v>0</v>
      </c>
      <c r="AB157" s="3" t="s">
        <v>349</v>
      </c>
      <c r="AC157" s="3">
        <v>1</v>
      </c>
      <c r="AD157" s="3">
        <v>17.99</v>
      </c>
      <c r="AE157" s="3">
        <v>0</v>
      </c>
      <c r="AF157" s="3">
        <v>0</v>
      </c>
      <c r="AG157" s="3">
        <v>0</v>
      </c>
      <c r="AH157" s="3">
        <v>1.14285714285714</v>
      </c>
      <c r="AI157" s="3" t="s">
        <v>917</v>
      </c>
      <c r="AJ157" s="3" t="s">
        <v>345</v>
      </c>
    </row>
    <row r="158" spans="1:36">
      <c r="A158" s="4">
        <v>43288</v>
      </c>
      <c r="B158" s="3" t="s">
        <v>918</v>
      </c>
      <c r="C158" s="3" t="s">
        <v>919</v>
      </c>
      <c r="D158" s="3" t="s">
        <v>920</v>
      </c>
      <c r="E158" s="3" t="s">
        <v>921</v>
      </c>
      <c r="F158" s="3" t="s">
        <v>340</v>
      </c>
      <c r="G158" s="3">
        <v>3</v>
      </c>
      <c r="H158" s="3">
        <v>0</v>
      </c>
      <c r="I158" s="3">
        <v>0</v>
      </c>
      <c r="J158" s="3">
        <v>0</v>
      </c>
      <c r="K158" s="3">
        <v>0</v>
      </c>
      <c r="L158" s="3">
        <v>3</v>
      </c>
      <c r="M158" s="3">
        <v>0</v>
      </c>
      <c r="N158" s="3" t="s">
        <v>341</v>
      </c>
      <c r="O158" s="3">
        <v>3</v>
      </c>
      <c r="P158" s="3">
        <v>4.38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342</v>
      </c>
      <c r="X158" s="3">
        <v>16.88</v>
      </c>
      <c r="Y158" s="3">
        <v>16.88</v>
      </c>
      <c r="Z158" s="3">
        <v>16.88</v>
      </c>
      <c r="AA158" s="3">
        <v>0</v>
      </c>
      <c r="AB158" s="3" t="s">
        <v>349</v>
      </c>
      <c r="AC158" s="3">
        <v>0</v>
      </c>
      <c r="AD158" s="3">
        <v>15.22</v>
      </c>
      <c r="AE158" s="3">
        <v>105</v>
      </c>
      <c r="AF158" s="3">
        <v>0</v>
      </c>
      <c r="AG158" s="3">
        <v>72.325339</v>
      </c>
      <c r="AH158" s="3">
        <v>0</v>
      </c>
      <c r="AI158" s="3" t="s">
        <v>922</v>
      </c>
      <c r="AJ158" s="3" t="s">
        <v>345</v>
      </c>
    </row>
    <row r="159" spans="1:36">
      <c r="A159" s="4">
        <v>43288</v>
      </c>
      <c r="B159" s="3" t="s">
        <v>923</v>
      </c>
      <c r="C159" s="3" t="s">
        <v>924</v>
      </c>
      <c r="D159" s="3" t="s">
        <v>925</v>
      </c>
      <c r="E159" s="3" t="s">
        <v>196</v>
      </c>
      <c r="F159" s="3" t="s">
        <v>340</v>
      </c>
      <c r="G159" s="3">
        <v>1</v>
      </c>
      <c r="H159" s="3">
        <v>0</v>
      </c>
      <c r="I159" s="3">
        <v>1</v>
      </c>
      <c r="J159" s="3">
        <v>0</v>
      </c>
      <c r="K159" s="3">
        <v>0</v>
      </c>
      <c r="L159" s="3">
        <v>0</v>
      </c>
      <c r="M159" s="3">
        <v>0</v>
      </c>
      <c r="N159" s="3" t="s">
        <v>341</v>
      </c>
      <c r="O159" s="3">
        <v>0</v>
      </c>
      <c r="P159" s="3">
        <v>0</v>
      </c>
      <c r="Q159" s="3">
        <v>0</v>
      </c>
      <c r="R159" s="3">
        <v>0</v>
      </c>
      <c r="S159" s="3">
        <v>10</v>
      </c>
      <c r="T159" s="3">
        <v>23</v>
      </c>
      <c r="U159" s="3">
        <v>31</v>
      </c>
      <c r="V159" s="3">
        <v>43</v>
      </c>
      <c r="W159" s="3"/>
      <c r="X159" s="3">
        <v>19.99</v>
      </c>
      <c r="Y159" s="3">
        <v>19.99</v>
      </c>
      <c r="Z159" s="3">
        <v>19.99</v>
      </c>
      <c r="AA159" s="3">
        <v>0</v>
      </c>
      <c r="AB159" s="3" t="s">
        <v>359</v>
      </c>
      <c r="AC159" s="3">
        <v>8</v>
      </c>
      <c r="AD159" s="3">
        <v>19.99</v>
      </c>
      <c r="AE159" s="3">
        <v>0</v>
      </c>
      <c r="AF159" s="3">
        <v>0</v>
      </c>
      <c r="AG159" s="3">
        <v>0</v>
      </c>
      <c r="AH159" s="3">
        <v>4.64864864864864</v>
      </c>
      <c r="AI159" s="3" t="s">
        <v>492</v>
      </c>
      <c r="AJ159" s="3" t="s">
        <v>345</v>
      </c>
    </row>
    <row r="160" spans="1:36">
      <c r="A160" s="4">
        <v>43288</v>
      </c>
      <c r="B160" s="3" t="s">
        <v>277</v>
      </c>
      <c r="C160" s="3" t="s">
        <v>278</v>
      </c>
      <c r="D160" s="3" t="s">
        <v>279</v>
      </c>
      <c r="E160" s="3" t="s">
        <v>260</v>
      </c>
      <c r="F160" s="3" t="s">
        <v>340</v>
      </c>
      <c r="G160" s="3">
        <v>18</v>
      </c>
      <c r="H160" s="3">
        <v>0</v>
      </c>
      <c r="I160" s="3">
        <v>18</v>
      </c>
      <c r="J160" s="3">
        <v>0</v>
      </c>
      <c r="K160" s="3">
        <v>0</v>
      </c>
      <c r="L160" s="3">
        <v>0</v>
      </c>
      <c r="M160" s="3">
        <v>0</v>
      </c>
      <c r="N160" s="3" t="s">
        <v>341</v>
      </c>
      <c r="O160" s="3">
        <v>0</v>
      </c>
      <c r="P160" s="3">
        <v>0</v>
      </c>
      <c r="Q160" s="3">
        <v>0</v>
      </c>
      <c r="R160" s="3">
        <v>0</v>
      </c>
      <c r="S160" s="3">
        <v>9</v>
      </c>
      <c r="T160" s="3">
        <v>58</v>
      </c>
      <c r="U160" s="3">
        <v>109</v>
      </c>
      <c r="V160" s="3">
        <v>111</v>
      </c>
      <c r="W160" s="3"/>
      <c r="X160" s="3">
        <v>21.99</v>
      </c>
      <c r="Y160" s="3">
        <v>21.99</v>
      </c>
      <c r="Z160" s="3">
        <v>21.99</v>
      </c>
      <c r="AA160" s="3">
        <v>0</v>
      </c>
      <c r="AB160" s="3" t="s">
        <v>359</v>
      </c>
      <c r="AC160" s="3">
        <v>21</v>
      </c>
      <c r="AD160" s="3">
        <v>21.99</v>
      </c>
      <c r="AE160" s="3">
        <v>0</v>
      </c>
      <c r="AF160" s="3">
        <v>0</v>
      </c>
      <c r="AG160" s="3">
        <v>0</v>
      </c>
      <c r="AH160" s="3">
        <v>3.89473684210526</v>
      </c>
      <c r="AI160" s="3" t="s">
        <v>715</v>
      </c>
      <c r="AJ160" s="3" t="s">
        <v>345</v>
      </c>
    </row>
    <row r="161" spans="1:36">
      <c r="A161" s="4">
        <v>43288</v>
      </c>
      <c r="B161" s="3" t="s">
        <v>926</v>
      </c>
      <c r="C161" s="3" t="s">
        <v>927</v>
      </c>
      <c r="D161" s="3" t="s">
        <v>928</v>
      </c>
      <c r="E161" s="3" t="s">
        <v>173</v>
      </c>
      <c r="F161" s="3" t="s">
        <v>340</v>
      </c>
      <c r="G161" s="3">
        <v>5</v>
      </c>
      <c r="H161" s="3">
        <v>0</v>
      </c>
      <c r="I161" s="3">
        <v>5</v>
      </c>
      <c r="J161" s="3">
        <v>0</v>
      </c>
      <c r="K161" s="3">
        <v>0</v>
      </c>
      <c r="L161" s="3">
        <v>0</v>
      </c>
      <c r="M161" s="3">
        <v>0</v>
      </c>
      <c r="N161" s="3" t="s">
        <v>341</v>
      </c>
      <c r="O161" s="3">
        <v>0</v>
      </c>
      <c r="P161" s="3">
        <v>0</v>
      </c>
      <c r="Q161" s="3">
        <v>0</v>
      </c>
      <c r="R161" s="3">
        <v>0</v>
      </c>
      <c r="S161" s="3">
        <v>1</v>
      </c>
      <c r="T161" s="3">
        <v>3</v>
      </c>
      <c r="U161" s="3">
        <v>5</v>
      </c>
      <c r="V161" s="3">
        <v>5</v>
      </c>
      <c r="W161" s="3"/>
      <c r="X161" s="3">
        <v>19.99</v>
      </c>
      <c r="Y161" s="3">
        <v>19.99</v>
      </c>
      <c r="Z161" s="3">
        <v>19.99</v>
      </c>
      <c r="AA161" s="3">
        <v>0</v>
      </c>
      <c r="AB161" s="3" t="s">
        <v>343</v>
      </c>
      <c r="AC161" s="3">
        <v>1</v>
      </c>
      <c r="AD161" s="3">
        <v>15.94</v>
      </c>
      <c r="AE161" s="3">
        <v>119</v>
      </c>
      <c r="AF161" s="3">
        <v>0</v>
      </c>
      <c r="AG161" s="3">
        <v>14.368786</v>
      </c>
      <c r="AH161" s="3">
        <v>0.869565217391304</v>
      </c>
      <c r="AI161" s="3" t="s">
        <v>637</v>
      </c>
      <c r="AJ161" s="3" t="s">
        <v>345</v>
      </c>
    </row>
    <row r="162" spans="1:36">
      <c r="A162" s="4">
        <v>43288</v>
      </c>
      <c r="B162" s="3" t="s">
        <v>929</v>
      </c>
      <c r="C162" s="3" t="s">
        <v>930</v>
      </c>
      <c r="D162" s="3" t="s">
        <v>931</v>
      </c>
      <c r="E162" s="3" t="s">
        <v>613</v>
      </c>
      <c r="F162" s="3" t="s">
        <v>340</v>
      </c>
      <c r="G162" s="3">
        <v>4</v>
      </c>
      <c r="H162" s="3">
        <v>0</v>
      </c>
      <c r="I162" s="3">
        <v>0</v>
      </c>
      <c r="J162" s="3">
        <v>0</v>
      </c>
      <c r="K162" s="3">
        <v>4</v>
      </c>
      <c r="L162" s="3">
        <v>0</v>
      </c>
      <c r="M162" s="3">
        <v>0</v>
      </c>
      <c r="N162" s="3" t="s">
        <v>341</v>
      </c>
      <c r="O162" s="3">
        <v>4</v>
      </c>
      <c r="P162" s="3">
        <v>3.35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 t="s">
        <v>342</v>
      </c>
      <c r="X162" s="3">
        <v>12.99</v>
      </c>
      <c r="Y162" s="3">
        <v>12.99</v>
      </c>
      <c r="Z162" s="3">
        <v>12.99</v>
      </c>
      <c r="AA162" s="3">
        <v>0</v>
      </c>
      <c r="AB162" s="3" t="s">
        <v>349</v>
      </c>
      <c r="AC162" s="3">
        <v>1</v>
      </c>
      <c r="AD162" s="3">
        <v>11.83</v>
      </c>
      <c r="AE162" s="3">
        <v>35</v>
      </c>
      <c r="AF162" s="3">
        <v>0</v>
      </c>
      <c r="AG162" s="3">
        <v>62.168411</v>
      </c>
      <c r="AH162" s="3">
        <v>0</v>
      </c>
      <c r="AI162" s="3" t="s">
        <v>932</v>
      </c>
      <c r="AJ162" s="3" t="s">
        <v>345</v>
      </c>
    </row>
    <row r="163" spans="1:36">
      <c r="A163" s="4">
        <v>43288</v>
      </c>
      <c r="B163" s="3" t="s">
        <v>933</v>
      </c>
      <c r="C163" s="3" t="s">
        <v>934</v>
      </c>
      <c r="D163" s="3" t="s">
        <v>935</v>
      </c>
      <c r="E163" s="3" t="s">
        <v>439</v>
      </c>
      <c r="F163" s="3" t="s">
        <v>340</v>
      </c>
      <c r="G163" s="3">
        <v>1</v>
      </c>
      <c r="H163" s="3">
        <v>0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 t="s">
        <v>341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 t="s">
        <v>381</v>
      </c>
      <c r="X163" s="3">
        <v>16.99</v>
      </c>
      <c r="Y163" s="3">
        <v>16.99</v>
      </c>
      <c r="Z163" s="3">
        <v>16.99</v>
      </c>
      <c r="AA163" s="3">
        <v>0</v>
      </c>
      <c r="AB163" s="3" t="s">
        <v>343</v>
      </c>
      <c r="AC163" s="3">
        <v>0</v>
      </c>
      <c r="AD163" s="3">
        <v>15.64</v>
      </c>
      <c r="AE163" s="3">
        <v>98</v>
      </c>
      <c r="AF163" s="3">
        <v>0</v>
      </c>
      <c r="AG163" s="3">
        <v>26.781529</v>
      </c>
      <c r="AH163" s="3">
        <v>0</v>
      </c>
      <c r="AI163" s="3" t="s">
        <v>440</v>
      </c>
      <c r="AJ163" s="3" t="s">
        <v>345</v>
      </c>
    </row>
    <row r="164" spans="1:36">
      <c r="A164" s="4">
        <v>43288</v>
      </c>
      <c r="B164" s="3" t="s">
        <v>936</v>
      </c>
      <c r="C164" s="3" t="s">
        <v>937</v>
      </c>
      <c r="D164" s="3" t="s">
        <v>938</v>
      </c>
      <c r="E164" s="3" t="s">
        <v>525</v>
      </c>
      <c r="F164" s="3" t="s">
        <v>340</v>
      </c>
      <c r="G164" s="3">
        <v>4</v>
      </c>
      <c r="H164" s="3">
        <v>0</v>
      </c>
      <c r="I164" s="3">
        <v>0</v>
      </c>
      <c r="J164" s="3">
        <v>0</v>
      </c>
      <c r="K164" s="3">
        <v>0</v>
      </c>
      <c r="L164" s="3">
        <v>4</v>
      </c>
      <c r="M164" s="3">
        <v>0</v>
      </c>
      <c r="N164" s="3" t="s">
        <v>341</v>
      </c>
      <c r="O164" s="3">
        <v>0</v>
      </c>
      <c r="P164" s="3">
        <v>0</v>
      </c>
      <c r="Q164" s="3">
        <v>4</v>
      </c>
      <c r="R164" s="3">
        <v>8.03</v>
      </c>
      <c r="S164" s="3">
        <v>0</v>
      </c>
      <c r="T164" s="3">
        <v>0</v>
      </c>
      <c r="U164" s="3">
        <v>0</v>
      </c>
      <c r="V164" s="3">
        <v>0</v>
      </c>
      <c r="W164" s="3" t="s">
        <v>342</v>
      </c>
      <c r="X164" s="3">
        <v>19.99</v>
      </c>
      <c r="Y164" s="3">
        <v>19.99</v>
      </c>
      <c r="Z164" s="3">
        <v>19.99</v>
      </c>
      <c r="AA164" s="3">
        <v>0</v>
      </c>
      <c r="AB164" s="3" t="s">
        <v>343</v>
      </c>
      <c r="AC164" s="3">
        <v>0</v>
      </c>
      <c r="AD164" s="3">
        <v>18.09</v>
      </c>
      <c r="AE164" s="3">
        <v>35</v>
      </c>
      <c r="AF164" s="3">
        <v>0</v>
      </c>
      <c r="AG164" s="3">
        <v>93.943104</v>
      </c>
      <c r="AH164" s="3">
        <v>0</v>
      </c>
      <c r="AI164" s="3" t="s">
        <v>526</v>
      </c>
      <c r="AJ164" s="3" t="s">
        <v>345</v>
      </c>
    </row>
    <row r="165" spans="1:36">
      <c r="A165" s="4">
        <v>43288</v>
      </c>
      <c r="B165" s="3" t="s">
        <v>939</v>
      </c>
      <c r="C165" s="3" t="s">
        <v>940</v>
      </c>
      <c r="D165" s="3" t="s">
        <v>941</v>
      </c>
      <c r="E165" s="3" t="s">
        <v>942</v>
      </c>
      <c r="F165" s="3" t="s">
        <v>340</v>
      </c>
      <c r="G165" s="3">
        <v>1</v>
      </c>
      <c r="H165" s="3">
        <v>0</v>
      </c>
      <c r="I165" s="3">
        <v>0</v>
      </c>
      <c r="J165" s="3">
        <v>0</v>
      </c>
      <c r="K165" s="3">
        <v>0</v>
      </c>
      <c r="L165" s="3">
        <v>0</v>
      </c>
      <c r="M165" s="3">
        <v>1</v>
      </c>
      <c r="N165" s="3" t="s">
        <v>341</v>
      </c>
      <c r="O165" s="3">
        <v>0</v>
      </c>
      <c r="P165" s="3">
        <v>0</v>
      </c>
      <c r="Q165" s="3">
        <v>1</v>
      </c>
      <c r="R165" s="3">
        <v>2.29</v>
      </c>
      <c r="S165" s="3">
        <v>0</v>
      </c>
      <c r="T165" s="3">
        <v>0</v>
      </c>
      <c r="U165" s="3">
        <v>0</v>
      </c>
      <c r="V165" s="3">
        <v>0</v>
      </c>
      <c r="W165" s="3" t="s">
        <v>342</v>
      </c>
      <c r="X165" s="3">
        <v>15.99</v>
      </c>
      <c r="Y165" s="3">
        <v>15.99</v>
      </c>
      <c r="Z165" s="3">
        <v>15.99</v>
      </c>
      <c r="AA165" s="3">
        <v>0</v>
      </c>
      <c r="AB165" s="3" t="s">
        <v>349</v>
      </c>
      <c r="AC165" s="3">
        <v>0</v>
      </c>
      <c r="AD165" s="3">
        <v>14.94</v>
      </c>
      <c r="AE165" s="3">
        <v>14</v>
      </c>
      <c r="AF165" s="3">
        <v>0</v>
      </c>
      <c r="AG165" s="3">
        <v>22.444544</v>
      </c>
      <c r="AH165" s="3">
        <v>0</v>
      </c>
      <c r="AI165" s="3" t="s">
        <v>943</v>
      </c>
      <c r="AJ165" s="3" t="s">
        <v>345</v>
      </c>
    </row>
    <row r="166" spans="1:36">
      <c r="A166" s="4">
        <v>43288</v>
      </c>
      <c r="B166" s="3" t="s">
        <v>944</v>
      </c>
      <c r="C166" s="3" t="s">
        <v>945</v>
      </c>
      <c r="D166" s="3" t="s">
        <v>946</v>
      </c>
      <c r="E166" s="3" t="s">
        <v>947</v>
      </c>
      <c r="F166" s="3" t="s">
        <v>340</v>
      </c>
      <c r="G166" s="3">
        <v>1</v>
      </c>
      <c r="H166" s="3">
        <v>0</v>
      </c>
      <c r="I166" s="3">
        <v>1</v>
      </c>
      <c r="J166" s="3">
        <v>0</v>
      </c>
      <c r="K166" s="3">
        <v>0</v>
      </c>
      <c r="L166" s="3">
        <v>0</v>
      </c>
      <c r="M166" s="3">
        <v>0</v>
      </c>
      <c r="N166" s="3" t="s">
        <v>341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1</v>
      </c>
      <c r="U166" s="3">
        <v>1</v>
      </c>
      <c r="V166" s="3">
        <v>1</v>
      </c>
      <c r="W166" s="3" t="s">
        <v>342</v>
      </c>
      <c r="X166" s="3">
        <v>26.99</v>
      </c>
      <c r="Y166" s="3">
        <v>26.99</v>
      </c>
      <c r="Z166" s="3">
        <v>26.99</v>
      </c>
      <c r="AA166" s="3">
        <v>0</v>
      </c>
      <c r="AB166" s="3" t="s">
        <v>349</v>
      </c>
      <c r="AC166" s="3">
        <v>0</v>
      </c>
      <c r="AD166" s="3">
        <v>24.51</v>
      </c>
      <c r="AE166" s="3">
        <v>140</v>
      </c>
      <c r="AF166" s="3">
        <v>0</v>
      </c>
      <c r="AG166" s="3">
        <v>41.687323</v>
      </c>
      <c r="AH166" s="3">
        <v>0.444444444444444</v>
      </c>
      <c r="AI166" s="3" t="s">
        <v>948</v>
      </c>
      <c r="AJ166" s="3" t="s">
        <v>345</v>
      </c>
    </row>
    <row r="167" spans="1:36">
      <c r="A167" s="4">
        <v>43288</v>
      </c>
      <c r="B167" s="3" t="s">
        <v>949</v>
      </c>
      <c r="C167" s="3" t="s">
        <v>950</v>
      </c>
      <c r="D167" s="3" t="s">
        <v>951</v>
      </c>
      <c r="E167" s="3" t="s">
        <v>22</v>
      </c>
      <c r="F167" s="3" t="s">
        <v>340</v>
      </c>
      <c r="G167" s="3">
        <v>4</v>
      </c>
      <c r="H167" s="3">
        <v>0</v>
      </c>
      <c r="I167" s="3">
        <v>4</v>
      </c>
      <c r="J167" s="3">
        <v>0</v>
      </c>
      <c r="K167" s="3">
        <v>0</v>
      </c>
      <c r="L167" s="3">
        <v>0</v>
      </c>
      <c r="M167" s="3">
        <v>0</v>
      </c>
      <c r="N167" s="3" t="s">
        <v>341</v>
      </c>
      <c r="O167" s="3">
        <v>0</v>
      </c>
      <c r="P167" s="3">
        <v>0</v>
      </c>
      <c r="Q167" s="3">
        <v>0</v>
      </c>
      <c r="R167" s="3">
        <v>0</v>
      </c>
      <c r="S167" s="3">
        <v>4</v>
      </c>
      <c r="T167" s="3">
        <v>18</v>
      </c>
      <c r="U167" s="3">
        <v>34</v>
      </c>
      <c r="V167" s="3">
        <v>42</v>
      </c>
      <c r="W167" s="3"/>
      <c r="X167" s="3">
        <v>35</v>
      </c>
      <c r="Y167" s="3">
        <v>16.99</v>
      </c>
      <c r="Z167" s="3">
        <v>16.99</v>
      </c>
      <c r="AA167" s="3">
        <v>0</v>
      </c>
      <c r="AB167" s="3" t="s">
        <v>359</v>
      </c>
      <c r="AC167" s="3">
        <v>6</v>
      </c>
      <c r="AD167" s="3">
        <v>16.99</v>
      </c>
      <c r="AE167" s="3">
        <v>0</v>
      </c>
      <c r="AF167" s="3">
        <v>0</v>
      </c>
      <c r="AG167" s="3">
        <v>0</v>
      </c>
      <c r="AH167" s="3">
        <v>7.30434782608695</v>
      </c>
      <c r="AI167" s="3" t="s">
        <v>421</v>
      </c>
      <c r="AJ167" s="3" t="s">
        <v>345</v>
      </c>
    </row>
    <row r="168" spans="1:36">
      <c r="A168" s="4">
        <v>43288</v>
      </c>
      <c r="B168" s="3" t="s">
        <v>952</v>
      </c>
      <c r="C168" s="3" t="s">
        <v>953</v>
      </c>
      <c r="D168" s="3" t="s">
        <v>954</v>
      </c>
      <c r="E168" s="3" t="s">
        <v>555</v>
      </c>
      <c r="F168" s="3" t="s">
        <v>340</v>
      </c>
      <c r="G168" s="3">
        <v>2</v>
      </c>
      <c r="H168" s="3">
        <v>0</v>
      </c>
      <c r="I168" s="3">
        <v>0</v>
      </c>
      <c r="J168" s="3">
        <v>0</v>
      </c>
      <c r="K168" s="3">
        <v>0</v>
      </c>
      <c r="L168" s="3">
        <v>0</v>
      </c>
      <c r="M168" s="3">
        <v>2</v>
      </c>
      <c r="N168" s="3" t="s">
        <v>341</v>
      </c>
      <c r="O168" s="3">
        <v>0</v>
      </c>
      <c r="P168" s="3">
        <v>0</v>
      </c>
      <c r="Q168" s="3">
        <v>2</v>
      </c>
      <c r="R168" s="3">
        <v>3.13</v>
      </c>
      <c r="S168" s="3">
        <v>0</v>
      </c>
      <c r="T168" s="3">
        <v>0</v>
      </c>
      <c r="U168" s="3">
        <v>0</v>
      </c>
      <c r="V168" s="3">
        <v>0</v>
      </c>
      <c r="W168" s="3" t="s">
        <v>381</v>
      </c>
      <c r="X168" s="3">
        <v>19.99</v>
      </c>
      <c r="Y168" s="3">
        <v>19.99</v>
      </c>
      <c r="Z168" s="3">
        <v>19.99</v>
      </c>
      <c r="AA168" s="3">
        <v>0</v>
      </c>
      <c r="AB168" s="3" t="s">
        <v>359</v>
      </c>
      <c r="AC168" s="3">
        <v>2</v>
      </c>
      <c r="AD168" s="3">
        <v>19.99</v>
      </c>
      <c r="AE168" s="3">
        <v>0</v>
      </c>
      <c r="AF168" s="3">
        <v>0</v>
      </c>
      <c r="AG168" s="3">
        <v>0</v>
      </c>
      <c r="AH168" s="3">
        <v>0</v>
      </c>
      <c r="AI168" s="3" t="s">
        <v>556</v>
      </c>
      <c r="AJ168" s="3" t="s">
        <v>345</v>
      </c>
    </row>
    <row r="169" spans="1:36">
      <c r="A169" s="4">
        <v>43288</v>
      </c>
      <c r="B169" s="3" t="s">
        <v>955</v>
      </c>
      <c r="C169" s="3" t="s">
        <v>956</v>
      </c>
      <c r="D169" s="3" t="s">
        <v>957</v>
      </c>
      <c r="E169" s="3" t="s">
        <v>530</v>
      </c>
      <c r="F169" s="3" t="s">
        <v>340</v>
      </c>
      <c r="G169" s="3">
        <v>2</v>
      </c>
      <c r="H169" s="3">
        <v>0</v>
      </c>
      <c r="I169" s="3">
        <v>0</v>
      </c>
      <c r="J169" s="3">
        <v>0</v>
      </c>
      <c r="K169" s="3">
        <v>2</v>
      </c>
      <c r="L169" s="3">
        <v>0</v>
      </c>
      <c r="M169" s="3">
        <v>0</v>
      </c>
      <c r="N169" s="3" t="s">
        <v>341</v>
      </c>
      <c r="O169" s="3">
        <v>2</v>
      </c>
      <c r="P169" s="3">
        <v>2.5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 t="s">
        <v>342</v>
      </c>
      <c r="X169" s="3">
        <v>10.98</v>
      </c>
      <c r="Y169" s="3">
        <v>10.98</v>
      </c>
      <c r="Z169" s="3">
        <v>10.98</v>
      </c>
      <c r="AA169" s="3">
        <v>0</v>
      </c>
      <c r="AB169" s="3" t="s">
        <v>343</v>
      </c>
      <c r="AC169" s="3">
        <v>0</v>
      </c>
      <c r="AD169" s="3">
        <v>9.32</v>
      </c>
      <c r="AE169" s="3">
        <v>217</v>
      </c>
      <c r="AF169" s="3">
        <v>0</v>
      </c>
      <c r="AG169" s="3">
        <v>32.496127</v>
      </c>
      <c r="AH169" s="3">
        <v>0</v>
      </c>
      <c r="AI169" s="3" t="s">
        <v>958</v>
      </c>
      <c r="AJ169" s="3" t="s">
        <v>345</v>
      </c>
    </row>
    <row r="170" spans="1:36">
      <c r="A170" s="4">
        <v>43288</v>
      </c>
      <c r="B170" s="3" t="s">
        <v>959</v>
      </c>
      <c r="C170" s="3" t="s">
        <v>960</v>
      </c>
      <c r="D170" s="3" t="s">
        <v>961</v>
      </c>
      <c r="E170" s="3" t="s">
        <v>477</v>
      </c>
      <c r="F170" s="3" t="s">
        <v>340</v>
      </c>
      <c r="G170" s="3">
        <v>4</v>
      </c>
      <c r="H170" s="3">
        <v>0</v>
      </c>
      <c r="I170" s="3">
        <v>0</v>
      </c>
      <c r="J170" s="3">
        <v>1</v>
      </c>
      <c r="K170" s="3">
        <v>1</v>
      </c>
      <c r="L170" s="3">
        <v>2</v>
      </c>
      <c r="M170" s="3">
        <v>0</v>
      </c>
      <c r="N170" s="3" t="s">
        <v>341</v>
      </c>
      <c r="O170" s="3">
        <v>1</v>
      </c>
      <c r="P170" s="3">
        <v>0.52</v>
      </c>
      <c r="Q170" s="3">
        <v>2</v>
      </c>
      <c r="R170" s="3">
        <v>2.08</v>
      </c>
      <c r="S170" s="3">
        <v>0</v>
      </c>
      <c r="T170" s="3">
        <v>0</v>
      </c>
      <c r="U170" s="3">
        <v>0</v>
      </c>
      <c r="V170" s="3">
        <v>0</v>
      </c>
      <c r="W170" s="3" t="s">
        <v>342</v>
      </c>
      <c r="X170" s="3">
        <v>18.18</v>
      </c>
      <c r="Y170" s="3">
        <v>18.18</v>
      </c>
      <c r="Z170" s="3">
        <v>18.18</v>
      </c>
      <c r="AA170" s="3">
        <v>0</v>
      </c>
      <c r="AB170" s="3" t="s">
        <v>349</v>
      </c>
      <c r="AC170" s="3">
        <v>0</v>
      </c>
      <c r="AD170" s="3">
        <v>15.69</v>
      </c>
      <c r="AE170" s="3">
        <v>322</v>
      </c>
      <c r="AF170" s="3">
        <v>0</v>
      </c>
      <c r="AG170" s="3">
        <v>51.966202</v>
      </c>
      <c r="AH170" s="3">
        <v>0</v>
      </c>
      <c r="AI170" s="3" t="s">
        <v>478</v>
      </c>
      <c r="AJ170" s="3" t="s">
        <v>345</v>
      </c>
    </row>
    <row r="171" spans="1:36">
      <c r="A171" s="4">
        <v>43288</v>
      </c>
      <c r="B171" s="3" t="s">
        <v>962</v>
      </c>
      <c r="C171" s="3" t="s">
        <v>963</v>
      </c>
      <c r="D171" s="3" t="s">
        <v>964</v>
      </c>
      <c r="E171" s="3" t="s">
        <v>965</v>
      </c>
      <c r="F171" s="3" t="s">
        <v>340</v>
      </c>
      <c r="G171" s="3">
        <v>6</v>
      </c>
      <c r="H171" s="3">
        <v>0</v>
      </c>
      <c r="I171" s="3">
        <v>1</v>
      </c>
      <c r="J171" s="3">
        <v>5</v>
      </c>
      <c r="K171" s="3">
        <v>0</v>
      </c>
      <c r="L171" s="3">
        <v>0</v>
      </c>
      <c r="M171" s="3">
        <v>0</v>
      </c>
      <c r="N171" s="3" t="s">
        <v>341</v>
      </c>
      <c r="O171" s="3">
        <v>4</v>
      </c>
      <c r="P171" s="3">
        <v>4.99</v>
      </c>
      <c r="Q171" s="3">
        <v>0</v>
      </c>
      <c r="R171" s="3">
        <v>0</v>
      </c>
      <c r="S171" s="3">
        <v>0</v>
      </c>
      <c r="T171" s="3">
        <v>0</v>
      </c>
      <c r="U171" s="3">
        <v>1</v>
      </c>
      <c r="V171" s="3">
        <v>1</v>
      </c>
      <c r="W171" s="3" t="s">
        <v>342</v>
      </c>
      <c r="X171" s="3">
        <v>15.99</v>
      </c>
      <c r="Y171" s="3">
        <v>15.99</v>
      </c>
      <c r="Z171" s="3">
        <v>15.99</v>
      </c>
      <c r="AA171" s="3">
        <v>0</v>
      </c>
      <c r="AB171" s="3" t="s">
        <v>349</v>
      </c>
      <c r="AC171" s="3">
        <v>0</v>
      </c>
      <c r="AD171" s="3">
        <v>14.03</v>
      </c>
      <c r="AE171" s="3">
        <v>217</v>
      </c>
      <c r="AF171" s="3">
        <v>0</v>
      </c>
      <c r="AG171" s="3">
        <v>117.423472</v>
      </c>
      <c r="AH171" s="3">
        <v>0.166666666666666</v>
      </c>
      <c r="AI171" s="3" t="s">
        <v>714</v>
      </c>
      <c r="AJ171" s="3" t="s">
        <v>345</v>
      </c>
    </row>
    <row r="172" spans="1:36">
      <c r="A172" s="4">
        <v>43288</v>
      </c>
      <c r="B172" s="3" t="s">
        <v>966</v>
      </c>
      <c r="C172" s="3" t="s">
        <v>967</v>
      </c>
      <c r="D172" s="3" t="s">
        <v>968</v>
      </c>
      <c r="E172" s="3" t="s">
        <v>88</v>
      </c>
      <c r="F172" s="3" t="s">
        <v>340</v>
      </c>
      <c r="G172" s="3">
        <v>11</v>
      </c>
      <c r="H172" s="3">
        <v>0</v>
      </c>
      <c r="I172" s="3">
        <v>3</v>
      </c>
      <c r="J172" s="3">
        <v>2</v>
      </c>
      <c r="K172" s="3">
        <v>1</v>
      </c>
      <c r="L172" s="3">
        <v>5</v>
      </c>
      <c r="M172" s="3">
        <v>0</v>
      </c>
      <c r="N172" s="3" t="s">
        <v>341</v>
      </c>
      <c r="O172" s="3">
        <v>7</v>
      </c>
      <c r="P172" s="3">
        <v>5.16</v>
      </c>
      <c r="Q172" s="3">
        <v>0</v>
      </c>
      <c r="R172" s="3">
        <v>0</v>
      </c>
      <c r="S172" s="3">
        <v>0</v>
      </c>
      <c r="T172" s="3">
        <v>0</v>
      </c>
      <c r="U172" s="3">
        <v>3</v>
      </c>
      <c r="V172" s="3">
        <v>3</v>
      </c>
      <c r="W172" s="3" t="s">
        <v>342</v>
      </c>
      <c r="X172" s="3">
        <v>16.99</v>
      </c>
      <c r="Y172" s="3">
        <v>16.99</v>
      </c>
      <c r="Z172" s="3">
        <v>16.99</v>
      </c>
      <c r="AA172" s="3">
        <v>0</v>
      </c>
      <c r="AB172" s="3" t="s">
        <v>349</v>
      </c>
      <c r="AC172" s="3">
        <v>2</v>
      </c>
      <c r="AD172" s="3">
        <v>15.65</v>
      </c>
      <c r="AE172" s="3">
        <v>105</v>
      </c>
      <c r="AF172" s="3">
        <v>0</v>
      </c>
      <c r="AG172" s="3">
        <v>174.544271</v>
      </c>
      <c r="AH172" s="3">
        <v>0.272727272727272</v>
      </c>
      <c r="AI172" s="3" t="s">
        <v>350</v>
      </c>
      <c r="AJ172" s="3" t="s">
        <v>345</v>
      </c>
    </row>
    <row r="173" spans="1:36">
      <c r="A173" s="4">
        <v>43288</v>
      </c>
      <c r="B173" s="3" t="s">
        <v>969</v>
      </c>
      <c r="C173" s="3" t="s">
        <v>970</v>
      </c>
      <c r="D173" s="3" t="s">
        <v>971</v>
      </c>
      <c r="E173" s="3" t="s">
        <v>177</v>
      </c>
      <c r="F173" s="3" t="s">
        <v>340</v>
      </c>
      <c r="G173" s="3">
        <v>6</v>
      </c>
      <c r="H173" s="3">
        <v>0</v>
      </c>
      <c r="I173" s="3">
        <v>6</v>
      </c>
      <c r="J173" s="3">
        <v>0</v>
      </c>
      <c r="K173" s="3">
        <v>0</v>
      </c>
      <c r="L173" s="3">
        <v>0</v>
      </c>
      <c r="M173" s="3">
        <v>0</v>
      </c>
      <c r="N173" s="3" t="s">
        <v>341</v>
      </c>
      <c r="O173" s="3">
        <v>0</v>
      </c>
      <c r="P173" s="3">
        <v>0</v>
      </c>
      <c r="Q173" s="3">
        <v>0</v>
      </c>
      <c r="R173" s="3">
        <v>0</v>
      </c>
      <c r="S173" s="3">
        <v>7</v>
      </c>
      <c r="T173" s="3">
        <v>20</v>
      </c>
      <c r="U173" s="3">
        <v>24</v>
      </c>
      <c r="V173" s="3">
        <v>36</v>
      </c>
      <c r="W173" s="3"/>
      <c r="X173" s="3">
        <v>19.99</v>
      </c>
      <c r="Y173" s="3">
        <v>19.99</v>
      </c>
      <c r="Z173" s="3">
        <v>19.99</v>
      </c>
      <c r="AA173" s="3">
        <v>0</v>
      </c>
      <c r="AB173" s="3" t="s">
        <v>359</v>
      </c>
      <c r="AC173" s="3">
        <v>10</v>
      </c>
      <c r="AD173" s="3">
        <v>19.99</v>
      </c>
      <c r="AE173" s="3">
        <v>0</v>
      </c>
      <c r="AF173" s="3">
        <v>0</v>
      </c>
      <c r="AG173" s="3">
        <v>0</v>
      </c>
      <c r="AH173" s="3">
        <v>4.5</v>
      </c>
      <c r="AI173" s="3" t="s">
        <v>492</v>
      </c>
      <c r="AJ173" s="3" t="s">
        <v>345</v>
      </c>
    </row>
    <row r="174" spans="1:36">
      <c r="A174" s="4">
        <v>43288</v>
      </c>
      <c r="B174" s="3" t="s">
        <v>972</v>
      </c>
      <c r="C174" s="3" t="s">
        <v>973</v>
      </c>
      <c r="D174" s="3" t="s">
        <v>974</v>
      </c>
      <c r="E174" s="3" t="s">
        <v>490</v>
      </c>
      <c r="F174" s="3" t="s">
        <v>340</v>
      </c>
      <c r="G174" s="3">
        <v>4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 s="3" t="s">
        <v>341</v>
      </c>
      <c r="O174" s="3">
        <v>0</v>
      </c>
      <c r="P174" s="3">
        <v>0</v>
      </c>
      <c r="Q174" s="3">
        <v>4</v>
      </c>
      <c r="R174" s="3">
        <v>5</v>
      </c>
      <c r="S174" s="3">
        <v>0</v>
      </c>
      <c r="T174" s="3">
        <v>0</v>
      </c>
      <c r="U174" s="3">
        <v>0</v>
      </c>
      <c r="V174" s="3">
        <v>0</v>
      </c>
      <c r="W174" s="3" t="s">
        <v>342</v>
      </c>
      <c r="X174" s="3">
        <v>16.99</v>
      </c>
      <c r="Y174" s="3">
        <v>16.99</v>
      </c>
      <c r="Z174" s="3">
        <v>16.99</v>
      </c>
      <c r="AA174" s="3">
        <v>0</v>
      </c>
      <c r="AB174" s="3" t="s">
        <v>343</v>
      </c>
      <c r="AC174" s="3">
        <v>0</v>
      </c>
      <c r="AD174" s="3">
        <v>13.59</v>
      </c>
      <c r="AE174" s="3">
        <v>63</v>
      </c>
      <c r="AF174" s="3">
        <v>0</v>
      </c>
      <c r="AG174" s="3">
        <v>33.085336</v>
      </c>
      <c r="AH174" s="3">
        <v>0</v>
      </c>
      <c r="AI174" s="3" t="s">
        <v>491</v>
      </c>
      <c r="AJ174" s="3" t="s">
        <v>345</v>
      </c>
    </row>
    <row r="175" spans="1:36">
      <c r="A175" s="4">
        <v>43288</v>
      </c>
      <c r="B175" s="3" t="s">
        <v>975</v>
      </c>
      <c r="C175" s="3" t="s">
        <v>976</v>
      </c>
      <c r="D175" s="3" t="s">
        <v>977</v>
      </c>
      <c r="E175" s="3" t="s">
        <v>916</v>
      </c>
      <c r="F175" s="3" t="s">
        <v>340</v>
      </c>
      <c r="G175" s="3">
        <v>1</v>
      </c>
      <c r="H175" s="3">
        <v>0</v>
      </c>
      <c r="I175" s="3">
        <v>1</v>
      </c>
      <c r="J175" s="3">
        <v>0</v>
      </c>
      <c r="K175" s="3">
        <v>0</v>
      </c>
      <c r="L175" s="3">
        <v>0</v>
      </c>
      <c r="M175" s="3">
        <v>0</v>
      </c>
      <c r="N175" s="3" t="s">
        <v>341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1</v>
      </c>
      <c r="V175" s="3">
        <v>2</v>
      </c>
      <c r="W175" s="3" t="s">
        <v>342</v>
      </c>
      <c r="X175" s="3">
        <v>13.99</v>
      </c>
      <c r="Y175" s="3">
        <v>13.99</v>
      </c>
      <c r="Z175" s="3">
        <v>13.99</v>
      </c>
      <c r="AA175" s="3">
        <v>0</v>
      </c>
      <c r="AB175" s="3" t="s">
        <v>349</v>
      </c>
      <c r="AC175" s="3">
        <v>1</v>
      </c>
      <c r="AD175" s="3">
        <v>13.99</v>
      </c>
      <c r="AE175" s="3">
        <v>0</v>
      </c>
      <c r="AF175" s="3">
        <v>0</v>
      </c>
      <c r="AG175" s="3">
        <v>0</v>
      </c>
      <c r="AH175" s="3">
        <v>2</v>
      </c>
      <c r="AI175" s="3" t="s">
        <v>917</v>
      </c>
      <c r="AJ175" s="3" t="s">
        <v>345</v>
      </c>
    </row>
    <row r="176" spans="1:36">
      <c r="A176" s="4">
        <v>43288</v>
      </c>
      <c r="B176" s="3" t="s">
        <v>978</v>
      </c>
      <c r="C176" s="3" t="s">
        <v>979</v>
      </c>
      <c r="D176" s="3" t="s">
        <v>980</v>
      </c>
      <c r="E176" s="3" t="s">
        <v>981</v>
      </c>
      <c r="F176" s="3" t="s">
        <v>340</v>
      </c>
      <c r="G176" s="3">
        <v>1</v>
      </c>
      <c r="H176" s="3">
        <v>0</v>
      </c>
      <c r="I176" s="3">
        <v>1</v>
      </c>
      <c r="J176" s="3">
        <v>0</v>
      </c>
      <c r="K176" s="3">
        <v>0</v>
      </c>
      <c r="L176" s="3">
        <v>0</v>
      </c>
      <c r="M176" s="3">
        <v>0</v>
      </c>
      <c r="N176" s="3" t="s">
        <v>341</v>
      </c>
      <c r="O176" s="3">
        <v>0</v>
      </c>
      <c r="P176" s="3">
        <v>0</v>
      </c>
      <c r="Q176" s="3">
        <v>0</v>
      </c>
      <c r="R176" s="3">
        <v>0</v>
      </c>
      <c r="S176" s="3">
        <v>2</v>
      </c>
      <c r="T176" s="3">
        <v>2</v>
      </c>
      <c r="U176" s="3">
        <v>2</v>
      </c>
      <c r="V176" s="3">
        <v>2</v>
      </c>
      <c r="W176" s="3" t="s">
        <v>342</v>
      </c>
      <c r="X176" s="3">
        <v>29.99</v>
      </c>
      <c r="Y176" s="3">
        <v>29.99</v>
      </c>
      <c r="Z176" s="3">
        <v>29.99</v>
      </c>
      <c r="AA176" s="3">
        <v>0</v>
      </c>
      <c r="AB176" s="3" t="s">
        <v>349</v>
      </c>
      <c r="AC176" s="3">
        <v>0</v>
      </c>
      <c r="AD176" s="3">
        <v>26.32</v>
      </c>
      <c r="AE176" s="3">
        <v>357</v>
      </c>
      <c r="AF176" s="3">
        <v>0</v>
      </c>
      <c r="AG176" s="3">
        <v>35.884056</v>
      </c>
      <c r="AH176" s="3">
        <v>2</v>
      </c>
      <c r="AI176" s="3" t="s">
        <v>982</v>
      </c>
      <c r="AJ176" s="3" t="s">
        <v>345</v>
      </c>
    </row>
    <row r="177" spans="1:36">
      <c r="A177" s="4">
        <v>43288</v>
      </c>
      <c r="B177" s="3" t="s">
        <v>983</v>
      </c>
      <c r="C177" s="3" t="s">
        <v>984</v>
      </c>
      <c r="D177" s="3" t="s">
        <v>985</v>
      </c>
      <c r="E177" s="3" t="s">
        <v>986</v>
      </c>
      <c r="F177" s="3" t="s">
        <v>340</v>
      </c>
      <c r="G177" s="3">
        <v>4</v>
      </c>
      <c r="H177" s="3">
        <v>0</v>
      </c>
      <c r="I177" s="3">
        <v>0</v>
      </c>
      <c r="J177" s="3">
        <v>0</v>
      </c>
      <c r="K177" s="3">
        <v>4</v>
      </c>
      <c r="L177" s="3">
        <v>0</v>
      </c>
      <c r="M177" s="3">
        <v>0</v>
      </c>
      <c r="N177" s="3" t="s">
        <v>341</v>
      </c>
      <c r="O177" s="3">
        <v>4</v>
      </c>
      <c r="P177" s="3">
        <v>7.88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 t="s">
        <v>342</v>
      </c>
      <c r="X177" s="3">
        <v>22.99</v>
      </c>
      <c r="Y177" s="3">
        <v>22.99</v>
      </c>
      <c r="Z177" s="3">
        <v>22.99</v>
      </c>
      <c r="AA177" s="3">
        <v>0</v>
      </c>
      <c r="AB177" s="3" t="s">
        <v>359</v>
      </c>
      <c r="AC177" s="3">
        <v>4</v>
      </c>
      <c r="AD177" s="3">
        <v>22.99</v>
      </c>
      <c r="AE177" s="3">
        <v>0</v>
      </c>
      <c r="AF177" s="3">
        <v>0</v>
      </c>
      <c r="AG177" s="3">
        <v>0</v>
      </c>
      <c r="AH177" s="3">
        <v>0</v>
      </c>
      <c r="AI177" s="3" t="s">
        <v>987</v>
      </c>
      <c r="AJ177" s="3" t="s">
        <v>345</v>
      </c>
    </row>
    <row r="178" spans="1:36">
      <c r="A178" s="4">
        <v>43288</v>
      </c>
      <c r="B178" s="3" t="s">
        <v>988</v>
      </c>
      <c r="C178" s="3" t="s">
        <v>989</v>
      </c>
      <c r="D178" s="3" t="s">
        <v>990</v>
      </c>
      <c r="E178" s="3" t="s">
        <v>991</v>
      </c>
      <c r="F178" s="3" t="s">
        <v>340</v>
      </c>
      <c r="G178" s="3">
        <v>2</v>
      </c>
      <c r="H178" s="3">
        <v>0</v>
      </c>
      <c r="I178" s="3">
        <v>0</v>
      </c>
      <c r="J178" s="3">
        <v>0</v>
      </c>
      <c r="K178" s="3">
        <v>1</v>
      </c>
      <c r="L178" s="3">
        <v>1</v>
      </c>
      <c r="M178" s="3">
        <v>0</v>
      </c>
      <c r="N178" s="3" t="s">
        <v>341</v>
      </c>
      <c r="O178" s="3">
        <v>2</v>
      </c>
      <c r="P178" s="3">
        <v>1.22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342</v>
      </c>
      <c r="X178" s="3">
        <v>16.99</v>
      </c>
      <c r="Y178" s="3">
        <v>16.99</v>
      </c>
      <c r="Z178" s="3">
        <v>16.99</v>
      </c>
      <c r="AA178" s="3">
        <v>0</v>
      </c>
      <c r="AB178" s="3" t="s">
        <v>349</v>
      </c>
      <c r="AC178" s="3">
        <v>0</v>
      </c>
      <c r="AD178" s="3">
        <v>15.83</v>
      </c>
      <c r="AE178" s="3">
        <v>70</v>
      </c>
      <c r="AF178" s="3">
        <v>0</v>
      </c>
      <c r="AG178" s="3">
        <v>31.083272</v>
      </c>
      <c r="AH178" s="3">
        <v>0</v>
      </c>
      <c r="AI178" s="3" t="s">
        <v>992</v>
      </c>
      <c r="AJ178" s="3" t="s">
        <v>345</v>
      </c>
    </row>
    <row r="179" spans="1:36">
      <c r="A179" s="4">
        <v>43288</v>
      </c>
      <c r="B179" s="3" t="s">
        <v>993</v>
      </c>
      <c r="C179" s="3" t="s">
        <v>994</v>
      </c>
      <c r="D179" s="3" t="s">
        <v>995</v>
      </c>
      <c r="E179" s="3" t="s">
        <v>996</v>
      </c>
      <c r="F179" s="3" t="s">
        <v>340</v>
      </c>
      <c r="G179" s="3">
        <v>6</v>
      </c>
      <c r="H179" s="3">
        <v>0</v>
      </c>
      <c r="I179" s="3">
        <v>0</v>
      </c>
      <c r="J179" s="3">
        <v>2</v>
      </c>
      <c r="K179" s="3">
        <v>0</v>
      </c>
      <c r="L179" s="3">
        <v>4</v>
      </c>
      <c r="M179" s="3">
        <v>0</v>
      </c>
      <c r="N179" s="3" t="s">
        <v>341</v>
      </c>
      <c r="O179" s="3">
        <v>5</v>
      </c>
      <c r="P179" s="3">
        <v>15.98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342</v>
      </c>
      <c r="X179" s="3">
        <v>22.99</v>
      </c>
      <c r="Y179" s="3">
        <v>22.99</v>
      </c>
      <c r="Z179" s="3">
        <v>22.99</v>
      </c>
      <c r="AA179" s="3">
        <v>0</v>
      </c>
      <c r="AB179" s="3" t="s">
        <v>349</v>
      </c>
      <c r="AC179" s="3">
        <v>0</v>
      </c>
      <c r="AD179" s="3">
        <v>17.87</v>
      </c>
      <c r="AE179" s="3">
        <v>294</v>
      </c>
      <c r="AF179" s="3">
        <v>0</v>
      </c>
      <c r="AG179" s="3">
        <v>241.726121</v>
      </c>
      <c r="AH179" s="3">
        <v>0</v>
      </c>
      <c r="AI179" s="3" t="s">
        <v>948</v>
      </c>
      <c r="AJ179" s="3" t="s">
        <v>345</v>
      </c>
    </row>
    <row r="180" spans="1:36">
      <c r="A180" s="4">
        <v>43288</v>
      </c>
      <c r="B180" s="3" t="s">
        <v>997</v>
      </c>
      <c r="C180" s="3" t="s">
        <v>998</v>
      </c>
      <c r="D180" s="3" t="s">
        <v>999</v>
      </c>
      <c r="E180" s="3" t="s">
        <v>1000</v>
      </c>
      <c r="F180" s="3" t="s">
        <v>340</v>
      </c>
      <c r="G180" s="3">
        <v>1</v>
      </c>
      <c r="H180" s="3">
        <v>0</v>
      </c>
      <c r="I180" s="3">
        <v>1</v>
      </c>
      <c r="J180" s="3">
        <v>0</v>
      </c>
      <c r="K180" s="3">
        <v>0</v>
      </c>
      <c r="L180" s="3">
        <v>0</v>
      </c>
      <c r="M180" s="3">
        <v>0</v>
      </c>
      <c r="N180" s="3" t="s">
        <v>341</v>
      </c>
      <c r="O180" s="3">
        <v>0</v>
      </c>
      <c r="P180" s="3">
        <v>0</v>
      </c>
      <c r="Q180" s="3">
        <v>0</v>
      </c>
      <c r="R180" s="3">
        <v>0</v>
      </c>
      <c r="S180" s="3">
        <v>1</v>
      </c>
      <c r="T180" s="3">
        <v>1</v>
      </c>
      <c r="U180" s="3">
        <v>1</v>
      </c>
      <c r="V180" s="3">
        <v>5</v>
      </c>
      <c r="W180" s="3" t="s">
        <v>342</v>
      </c>
      <c r="X180" s="3">
        <v>23.99</v>
      </c>
      <c r="Y180" s="3">
        <v>23.99</v>
      </c>
      <c r="Z180" s="3">
        <v>23.99</v>
      </c>
      <c r="AA180" s="3">
        <v>0</v>
      </c>
      <c r="AB180" s="3" t="s">
        <v>349</v>
      </c>
      <c r="AC180" s="3">
        <v>2</v>
      </c>
      <c r="AD180" s="3">
        <v>23.99</v>
      </c>
      <c r="AE180" s="3">
        <v>0</v>
      </c>
      <c r="AF180" s="3">
        <v>0</v>
      </c>
      <c r="AG180" s="3">
        <v>0</v>
      </c>
      <c r="AH180" s="3">
        <v>2.5</v>
      </c>
      <c r="AI180" s="3" t="s">
        <v>948</v>
      </c>
      <c r="AJ180" s="3" t="s">
        <v>345</v>
      </c>
    </row>
    <row r="181" spans="1:36">
      <c r="A181" s="4">
        <v>43288</v>
      </c>
      <c r="B181" s="3" t="s">
        <v>1001</v>
      </c>
      <c r="C181" s="3" t="s">
        <v>1002</v>
      </c>
      <c r="D181" s="3" t="s">
        <v>1003</v>
      </c>
      <c r="E181" s="3" t="s">
        <v>577</v>
      </c>
      <c r="F181" s="3" t="s">
        <v>340</v>
      </c>
      <c r="G181" s="3">
        <v>2</v>
      </c>
      <c r="H181" s="3">
        <v>0</v>
      </c>
      <c r="I181" s="3">
        <v>1</v>
      </c>
      <c r="J181" s="3">
        <v>1</v>
      </c>
      <c r="K181" s="3">
        <v>0</v>
      </c>
      <c r="L181" s="3">
        <v>0</v>
      </c>
      <c r="M181" s="3">
        <v>0</v>
      </c>
      <c r="N181" s="3" t="s">
        <v>341</v>
      </c>
      <c r="O181" s="3">
        <v>1</v>
      </c>
      <c r="P181" s="3">
        <v>1.17</v>
      </c>
      <c r="Q181" s="3">
        <v>0</v>
      </c>
      <c r="R181" s="3">
        <v>0</v>
      </c>
      <c r="S181" s="3">
        <v>0</v>
      </c>
      <c r="T181" s="3">
        <v>0</v>
      </c>
      <c r="U181" s="3">
        <v>1</v>
      </c>
      <c r="V181" s="3">
        <v>2</v>
      </c>
      <c r="W181" s="3" t="s">
        <v>342</v>
      </c>
      <c r="X181" s="3">
        <v>14.99</v>
      </c>
      <c r="Y181" s="3">
        <v>14.99</v>
      </c>
      <c r="Z181" s="3">
        <v>14.99</v>
      </c>
      <c r="AA181" s="3">
        <v>0</v>
      </c>
      <c r="AB181" s="3" t="s">
        <v>349</v>
      </c>
      <c r="AC181" s="3">
        <v>0</v>
      </c>
      <c r="AD181" s="3">
        <v>13.74</v>
      </c>
      <c r="AE181" s="3">
        <v>112</v>
      </c>
      <c r="AF181" s="3">
        <v>0</v>
      </c>
      <c r="AG181" s="3">
        <v>31.724308</v>
      </c>
      <c r="AH181" s="3">
        <v>0.888888888888888</v>
      </c>
      <c r="AI181" s="3" t="s">
        <v>578</v>
      </c>
      <c r="AJ181" s="3" t="s">
        <v>345</v>
      </c>
    </row>
    <row r="182" spans="1:36">
      <c r="A182" s="4">
        <v>43288</v>
      </c>
      <c r="B182" s="3" t="s">
        <v>1004</v>
      </c>
      <c r="C182" s="3" t="s">
        <v>1005</v>
      </c>
      <c r="D182" s="3" t="s">
        <v>1006</v>
      </c>
      <c r="E182" s="3" t="s">
        <v>1007</v>
      </c>
      <c r="F182" s="3" t="s">
        <v>340</v>
      </c>
      <c r="G182" s="3">
        <v>5</v>
      </c>
      <c r="H182" s="3">
        <v>0</v>
      </c>
      <c r="I182" s="3">
        <v>5</v>
      </c>
      <c r="J182" s="3">
        <v>0</v>
      </c>
      <c r="K182" s="3">
        <v>0</v>
      </c>
      <c r="L182" s="3">
        <v>0</v>
      </c>
      <c r="M182" s="3">
        <v>0</v>
      </c>
      <c r="N182" s="3" t="s">
        <v>341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14</v>
      </c>
      <c r="W182" s="3"/>
      <c r="X182" s="3"/>
      <c r="Y182" s="3"/>
      <c r="Z182" s="3">
        <v>-1</v>
      </c>
      <c r="AA182" s="3">
        <v>-1</v>
      </c>
      <c r="AB182" s="3" t="s">
        <v>493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2.33333333333333</v>
      </c>
      <c r="AI182" s="3" t="s">
        <v>609</v>
      </c>
      <c r="AJ182" s="3" t="s">
        <v>345</v>
      </c>
    </row>
    <row r="183" spans="1:36">
      <c r="A183" s="4">
        <v>43288</v>
      </c>
      <c r="B183" s="3" t="s">
        <v>1008</v>
      </c>
      <c r="C183" s="3" t="s">
        <v>1009</v>
      </c>
      <c r="D183" s="3" t="s">
        <v>1010</v>
      </c>
      <c r="E183" s="3" t="s">
        <v>1011</v>
      </c>
      <c r="F183" s="3" t="s">
        <v>340</v>
      </c>
      <c r="G183" s="3">
        <v>6</v>
      </c>
      <c r="H183" s="3">
        <v>0</v>
      </c>
      <c r="I183" s="3">
        <v>1</v>
      </c>
      <c r="J183" s="3">
        <v>5</v>
      </c>
      <c r="K183" s="3">
        <v>0</v>
      </c>
      <c r="L183" s="3">
        <v>0</v>
      </c>
      <c r="M183" s="3">
        <v>0</v>
      </c>
      <c r="N183" s="3" t="s">
        <v>341</v>
      </c>
      <c r="O183" s="3">
        <v>5</v>
      </c>
      <c r="P183" s="3">
        <v>7.37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381</v>
      </c>
      <c r="X183" s="3">
        <v>16.99</v>
      </c>
      <c r="Y183" s="3">
        <v>16.99</v>
      </c>
      <c r="Z183" s="3">
        <v>16.99</v>
      </c>
      <c r="AA183" s="3">
        <v>0</v>
      </c>
      <c r="AB183" s="3" t="s">
        <v>343</v>
      </c>
      <c r="AC183" s="3">
        <v>0</v>
      </c>
      <c r="AD183" s="3">
        <v>15.94</v>
      </c>
      <c r="AE183" s="3">
        <v>14</v>
      </c>
      <c r="AF183" s="3">
        <v>0</v>
      </c>
      <c r="AG183" s="3">
        <v>158.136083</v>
      </c>
      <c r="AH183" s="3">
        <v>0</v>
      </c>
      <c r="AI183" s="3" t="s">
        <v>1012</v>
      </c>
      <c r="AJ183" s="3" t="s">
        <v>345</v>
      </c>
    </row>
    <row r="184" spans="1:36">
      <c r="A184" s="4">
        <v>43288</v>
      </c>
      <c r="B184" s="3" t="s">
        <v>1013</v>
      </c>
      <c r="C184" s="3" t="s">
        <v>1014</v>
      </c>
      <c r="D184" s="3" t="s">
        <v>1015</v>
      </c>
      <c r="E184" s="3" t="s">
        <v>1016</v>
      </c>
      <c r="F184" s="3" t="s">
        <v>340</v>
      </c>
      <c r="G184" s="3">
        <v>2</v>
      </c>
      <c r="H184" s="3">
        <v>0</v>
      </c>
      <c r="I184" s="3">
        <v>0</v>
      </c>
      <c r="J184" s="3">
        <v>1</v>
      </c>
      <c r="K184" s="3">
        <v>0</v>
      </c>
      <c r="L184" s="3">
        <v>0</v>
      </c>
      <c r="M184" s="3">
        <v>1</v>
      </c>
      <c r="N184" s="3" t="s">
        <v>341</v>
      </c>
      <c r="O184" s="3">
        <v>0</v>
      </c>
      <c r="P184" s="3">
        <v>0</v>
      </c>
      <c r="Q184" s="3">
        <v>1</v>
      </c>
      <c r="R184" s="3">
        <v>1.99</v>
      </c>
      <c r="S184" s="3">
        <v>0</v>
      </c>
      <c r="T184" s="3">
        <v>0</v>
      </c>
      <c r="U184" s="3">
        <v>1</v>
      </c>
      <c r="V184" s="3">
        <v>1</v>
      </c>
      <c r="W184" s="3" t="s">
        <v>342</v>
      </c>
      <c r="X184" s="3">
        <v>18.96</v>
      </c>
      <c r="Y184" s="3">
        <v>18.96</v>
      </c>
      <c r="Z184" s="3">
        <v>18.96</v>
      </c>
      <c r="AA184" s="3">
        <v>0</v>
      </c>
      <c r="AB184" s="3" t="s">
        <v>343</v>
      </c>
      <c r="AC184" s="3">
        <v>0</v>
      </c>
      <c r="AD184" s="3">
        <v>15.17</v>
      </c>
      <c r="AE184" s="3">
        <v>63</v>
      </c>
      <c r="AF184" s="3">
        <v>0</v>
      </c>
      <c r="AG184" s="3">
        <v>17.293508</v>
      </c>
      <c r="AH184" s="3">
        <v>0.444444444444444</v>
      </c>
      <c r="AI184" s="3" t="s">
        <v>370</v>
      </c>
      <c r="AJ184" s="3" t="s">
        <v>345</v>
      </c>
    </row>
    <row r="185" spans="1:36">
      <c r="A185" s="4">
        <v>43288</v>
      </c>
      <c r="B185" s="3" t="s">
        <v>1017</v>
      </c>
      <c r="C185" s="3" t="s">
        <v>1018</v>
      </c>
      <c r="D185" s="3" t="s">
        <v>1019</v>
      </c>
      <c r="E185" s="3" t="s">
        <v>468</v>
      </c>
      <c r="F185" s="3" t="s">
        <v>340</v>
      </c>
      <c r="G185" s="3">
        <v>5</v>
      </c>
      <c r="H185" s="3">
        <v>0</v>
      </c>
      <c r="I185" s="3">
        <v>0</v>
      </c>
      <c r="J185" s="3">
        <v>5</v>
      </c>
      <c r="K185" s="3">
        <v>0</v>
      </c>
      <c r="L185" s="3">
        <v>0</v>
      </c>
      <c r="M185" s="3">
        <v>0</v>
      </c>
      <c r="N185" s="3" t="s">
        <v>341</v>
      </c>
      <c r="O185" s="3">
        <v>5</v>
      </c>
      <c r="P185" s="3">
        <v>5.74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1</v>
      </c>
      <c r="W185" s="3" t="s">
        <v>342</v>
      </c>
      <c r="X185" s="3">
        <v>17.99</v>
      </c>
      <c r="Y185" s="3">
        <v>17.99</v>
      </c>
      <c r="Z185" s="3">
        <v>17.99</v>
      </c>
      <c r="AA185" s="3">
        <v>0</v>
      </c>
      <c r="AB185" s="3" t="s">
        <v>349</v>
      </c>
      <c r="AC185" s="3">
        <v>0</v>
      </c>
      <c r="AD185" s="3">
        <v>15.83</v>
      </c>
      <c r="AE185" s="3">
        <v>203</v>
      </c>
      <c r="AF185" s="3">
        <v>0</v>
      </c>
      <c r="AG185" s="3">
        <v>102.697092</v>
      </c>
      <c r="AH185" s="3">
        <v>0.19047619047619</v>
      </c>
      <c r="AI185" s="3" t="s">
        <v>469</v>
      </c>
      <c r="AJ185" s="3" t="s">
        <v>345</v>
      </c>
    </row>
    <row r="186" spans="1:36">
      <c r="A186" s="4">
        <v>43288</v>
      </c>
      <c r="B186" s="3" t="s">
        <v>1020</v>
      </c>
      <c r="C186" s="3" t="s">
        <v>1021</v>
      </c>
      <c r="D186" s="3" t="s">
        <v>1022</v>
      </c>
      <c r="E186" s="3" t="s">
        <v>468</v>
      </c>
      <c r="F186" s="3" t="s">
        <v>340</v>
      </c>
      <c r="G186" s="3">
        <v>4</v>
      </c>
      <c r="H186" s="3">
        <v>0</v>
      </c>
      <c r="I186" s="3">
        <v>0</v>
      </c>
      <c r="J186" s="3">
        <v>4</v>
      </c>
      <c r="K186" s="3">
        <v>0</v>
      </c>
      <c r="L186" s="3">
        <v>0</v>
      </c>
      <c r="M186" s="3">
        <v>0</v>
      </c>
      <c r="N186" s="3" t="s">
        <v>341</v>
      </c>
      <c r="O186" s="3">
        <v>3</v>
      </c>
      <c r="P186" s="3">
        <v>3.44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1</v>
      </c>
      <c r="W186" s="3" t="s">
        <v>342</v>
      </c>
      <c r="X186" s="3">
        <v>15.99</v>
      </c>
      <c r="Y186" s="3">
        <v>15.99</v>
      </c>
      <c r="Z186" s="3">
        <v>15.99</v>
      </c>
      <c r="AA186" s="3">
        <v>0</v>
      </c>
      <c r="AB186" s="3" t="s">
        <v>349</v>
      </c>
      <c r="AC186" s="3">
        <v>0</v>
      </c>
      <c r="AD186" s="3">
        <v>14.3</v>
      </c>
      <c r="AE186" s="3">
        <v>168</v>
      </c>
      <c r="AF186" s="3">
        <v>0</v>
      </c>
      <c r="AG186" s="3">
        <v>77.51735</v>
      </c>
      <c r="AH186" s="3">
        <v>0.235294117647058</v>
      </c>
      <c r="AI186" s="3" t="s">
        <v>469</v>
      </c>
      <c r="AJ186" s="3" t="s">
        <v>345</v>
      </c>
    </row>
    <row r="187" spans="1:36">
      <c r="A187" s="4">
        <v>43288</v>
      </c>
      <c r="B187" s="3" t="s">
        <v>1023</v>
      </c>
      <c r="C187" s="3" t="s">
        <v>1024</v>
      </c>
      <c r="D187" s="3" t="s">
        <v>1025</v>
      </c>
      <c r="E187" s="3" t="s">
        <v>213</v>
      </c>
      <c r="F187" s="3" t="s">
        <v>340</v>
      </c>
      <c r="G187" s="3">
        <v>14</v>
      </c>
      <c r="H187" s="3">
        <v>0</v>
      </c>
      <c r="I187" s="3">
        <v>1</v>
      </c>
      <c r="J187" s="3">
        <v>13</v>
      </c>
      <c r="K187" s="3">
        <v>0</v>
      </c>
      <c r="L187" s="3">
        <v>0</v>
      </c>
      <c r="M187" s="3">
        <v>0</v>
      </c>
      <c r="N187" s="3" t="s">
        <v>341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2</v>
      </c>
      <c r="U187" s="3">
        <v>9</v>
      </c>
      <c r="V187" s="3">
        <v>15</v>
      </c>
      <c r="W187" s="3"/>
      <c r="X187" s="3">
        <v>20.99</v>
      </c>
      <c r="Y187" s="3">
        <v>20.99</v>
      </c>
      <c r="Z187" s="3">
        <v>20.99</v>
      </c>
      <c r="AA187" s="3">
        <v>0</v>
      </c>
      <c r="AB187" s="3" t="s">
        <v>343</v>
      </c>
      <c r="AC187" s="3">
        <v>3</v>
      </c>
      <c r="AD187" s="3">
        <v>11.23</v>
      </c>
      <c r="AE187" s="3">
        <v>35</v>
      </c>
      <c r="AF187" s="3">
        <v>0</v>
      </c>
      <c r="AG187" s="3">
        <v>43.626024</v>
      </c>
      <c r="AH187" s="3">
        <v>0.72289156626506</v>
      </c>
      <c r="AI187" s="3" t="s">
        <v>512</v>
      </c>
      <c r="AJ187" s="3" t="s">
        <v>345</v>
      </c>
    </row>
    <row r="188" spans="1:36">
      <c r="A188" s="4">
        <v>43288</v>
      </c>
      <c r="B188" s="3" t="s">
        <v>1026</v>
      </c>
      <c r="C188" s="3" t="s">
        <v>1027</v>
      </c>
      <c r="D188" s="3" t="s">
        <v>1028</v>
      </c>
      <c r="E188" s="3" t="s">
        <v>1029</v>
      </c>
      <c r="F188" s="3" t="s">
        <v>340</v>
      </c>
      <c r="G188" s="3">
        <v>2</v>
      </c>
      <c r="H188" s="3">
        <v>0</v>
      </c>
      <c r="I188" s="3">
        <v>0</v>
      </c>
      <c r="J188" s="3">
        <v>0</v>
      </c>
      <c r="K188" s="3">
        <v>0</v>
      </c>
      <c r="L188" s="3">
        <v>2</v>
      </c>
      <c r="M188" s="3">
        <v>0</v>
      </c>
      <c r="N188" s="3" t="s">
        <v>341</v>
      </c>
      <c r="O188" s="3">
        <v>0</v>
      </c>
      <c r="P188" s="3">
        <v>0</v>
      </c>
      <c r="Q188" s="3">
        <v>2</v>
      </c>
      <c r="R188" s="3">
        <v>5.3</v>
      </c>
      <c r="S188" s="3">
        <v>0</v>
      </c>
      <c r="T188" s="3">
        <v>0</v>
      </c>
      <c r="U188" s="3">
        <v>0</v>
      </c>
      <c r="V188" s="3">
        <v>0</v>
      </c>
      <c r="W188" s="3" t="s">
        <v>342</v>
      </c>
      <c r="X188" s="3">
        <v>15.88</v>
      </c>
      <c r="Y188" s="3">
        <v>15.88</v>
      </c>
      <c r="Z188" s="3">
        <v>15.88</v>
      </c>
      <c r="AA188" s="3">
        <v>0</v>
      </c>
      <c r="AB188" s="3" t="s">
        <v>343</v>
      </c>
      <c r="AC188" s="3">
        <v>0</v>
      </c>
      <c r="AD188" s="3">
        <v>12.7</v>
      </c>
      <c r="AE188" s="3">
        <v>63</v>
      </c>
      <c r="AF188" s="3">
        <v>0</v>
      </c>
      <c r="AG188" s="3">
        <v>34.170777</v>
      </c>
      <c r="AH188" s="3">
        <v>0</v>
      </c>
      <c r="AI188" s="3" t="s">
        <v>1030</v>
      </c>
      <c r="AJ188" s="3" t="s">
        <v>345</v>
      </c>
    </row>
    <row r="189" spans="1:36">
      <c r="A189" s="4">
        <v>43288</v>
      </c>
      <c r="B189" s="3" t="s">
        <v>1031</v>
      </c>
      <c r="C189" s="3" t="s">
        <v>1032</v>
      </c>
      <c r="D189" s="3" t="s">
        <v>1033</v>
      </c>
      <c r="E189" s="3" t="s">
        <v>468</v>
      </c>
      <c r="F189" s="3" t="s">
        <v>340</v>
      </c>
      <c r="G189" s="3">
        <v>7</v>
      </c>
      <c r="H189" s="3">
        <v>0</v>
      </c>
      <c r="I189" s="3">
        <v>0</v>
      </c>
      <c r="J189" s="3">
        <v>7</v>
      </c>
      <c r="K189" s="3">
        <v>0</v>
      </c>
      <c r="L189" s="3">
        <v>0</v>
      </c>
      <c r="M189" s="3">
        <v>0</v>
      </c>
      <c r="N189" s="3" t="s">
        <v>341</v>
      </c>
      <c r="O189" s="3">
        <v>7</v>
      </c>
      <c r="P189" s="3">
        <v>8.02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3</v>
      </c>
      <c r="W189" s="3" t="s">
        <v>342</v>
      </c>
      <c r="X189" s="3">
        <v>15.99</v>
      </c>
      <c r="Y189" s="3">
        <v>15.99</v>
      </c>
      <c r="Z189" s="3">
        <v>15.99</v>
      </c>
      <c r="AA189" s="3">
        <v>0</v>
      </c>
      <c r="AB189" s="3" t="s">
        <v>349</v>
      </c>
      <c r="AC189" s="3">
        <v>0</v>
      </c>
      <c r="AD189" s="3">
        <v>14.57</v>
      </c>
      <c r="AE189" s="3">
        <v>147</v>
      </c>
      <c r="AF189" s="3">
        <v>0</v>
      </c>
      <c r="AG189" s="3">
        <v>141.576076</v>
      </c>
      <c r="AH189" s="3">
        <v>0.387096774193548</v>
      </c>
      <c r="AI189" s="3" t="s">
        <v>469</v>
      </c>
      <c r="AJ189" s="3" t="s">
        <v>345</v>
      </c>
    </row>
    <row r="190" spans="1:36">
      <c r="A190" s="4">
        <v>43288</v>
      </c>
      <c r="B190" s="3" t="s">
        <v>1034</v>
      </c>
      <c r="C190" s="3" t="s">
        <v>1035</v>
      </c>
      <c r="D190" s="3" t="s">
        <v>1036</v>
      </c>
      <c r="E190" s="3" t="s">
        <v>213</v>
      </c>
      <c r="F190" s="3" t="s">
        <v>340</v>
      </c>
      <c r="G190" s="3">
        <v>4</v>
      </c>
      <c r="H190" s="3">
        <v>0</v>
      </c>
      <c r="I190" s="3">
        <v>3</v>
      </c>
      <c r="J190" s="3">
        <v>1</v>
      </c>
      <c r="K190" s="3">
        <v>0</v>
      </c>
      <c r="L190" s="3">
        <v>0</v>
      </c>
      <c r="M190" s="3">
        <v>0</v>
      </c>
      <c r="N190" s="3" t="s">
        <v>341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4</v>
      </c>
      <c r="U190" s="3">
        <v>5</v>
      </c>
      <c r="V190" s="3">
        <v>11</v>
      </c>
      <c r="W190" s="3"/>
      <c r="X190" s="3">
        <v>20.99</v>
      </c>
      <c r="Y190" s="3">
        <v>20.99</v>
      </c>
      <c r="Z190" s="3">
        <v>20.99</v>
      </c>
      <c r="AA190" s="3">
        <v>0</v>
      </c>
      <c r="AB190" s="3" t="s">
        <v>359</v>
      </c>
      <c r="AC190" s="3">
        <v>4</v>
      </c>
      <c r="AD190" s="3">
        <v>20.99</v>
      </c>
      <c r="AE190" s="3">
        <v>0</v>
      </c>
      <c r="AF190" s="3">
        <v>0</v>
      </c>
      <c r="AG190" s="3">
        <v>0</v>
      </c>
      <c r="AH190" s="3">
        <v>1.46666666666666</v>
      </c>
      <c r="AI190" s="3" t="s">
        <v>512</v>
      </c>
      <c r="AJ190" s="3" t="s">
        <v>345</v>
      </c>
    </row>
    <row r="191" spans="1:36">
      <c r="A191" s="4">
        <v>43288</v>
      </c>
      <c r="B191" s="3" t="s">
        <v>1037</v>
      </c>
      <c r="C191" s="3" t="s">
        <v>1038</v>
      </c>
      <c r="D191" s="3" t="s">
        <v>1039</v>
      </c>
      <c r="E191" s="3" t="s">
        <v>444</v>
      </c>
      <c r="F191" s="3" t="s">
        <v>340</v>
      </c>
      <c r="G191" s="3">
        <v>2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2</v>
      </c>
      <c r="N191" s="3" t="s">
        <v>341</v>
      </c>
      <c r="O191" s="3">
        <v>0</v>
      </c>
      <c r="P191" s="3">
        <v>0</v>
      </c>
      <c r="Q191" s="3">
        <v>2</v>
      </c>
      <c r="R191" s="3">
        <v>12.78</v>
      </c>
      <c r="S191" s="3">
        <v>0</v>
      </c>
      <c r="T191" s="3">
        <v>1</v>
      </c>
      <c r="U191" s="3">
        <v>1</v>
      </c>
      <c r="V191" s="3">
        <v>1</v>
      </c>
      <c r="W191" s="3" t="s">
        <v>342</v>
      </c>
      <c r="X191" s="3">
        <v>23.99</v>
      </c>
      <c r="Y191" s="3">
        <v>23.99</v>
      </c>
      <c r="Z191" s="3">
        <v>23.99</v>
      </c>
      <c r="AA191" s="3">
        <v>0</v>
      </c>
      <c r="AB191" s="3" t="s">
        <v>343</v>
      </c>
      <c r="AC191" s="3">
        <v>0</v>
      </c>
      <c r="AD191" s="3">
        <v>19.19</v>
      </c>
      <c r="AE191" s="3">
        <v>63</v>
      </c>
      <c r="AF191" s="3">
        <v>0</v>
      </c>
      <c r="AG191" s="3">
        <v>83.915246</v>
      </c>
      <c r="AH191" s="3">
        <v>0.363636363636363</v>
      </c>
      <c r="AI191" s="3" t="s">
        <v>445</v>
      </c>
      <c r="AJ191" s="3" t="s">
        <v>345</v>
      </c>
    </row>
    <row r="192" spans="1:36">
      <c r="A192" s="4">
        <v>43288</v>
      </c>
      <c r="B192" s="3" t="s">
        <v>1040</v>
      </c>
      <c r="C192" s="3" t="s">
        <v>1041</v>
      </c>
      <c r="D192" s="3" t="s">
        <v>1042</v>
      </c>
      <c r="E192" s="3" t="s">
        <v>1043</v>
      </c>
      <c r="F192" s="3" t="s">
        <v>340</v>
      </c>
      <c r="G192" s="3">
        <v>3</v>
      </c>
      <c r="H192" s="3">
        <v>0</v>
      </c>
      <c r="I192" s="3">
        <v>0</v>
      </c>
      <c r="J192" s="3">
        <v>1</v>
      </c>
      <c r="K192" s="3">
        <v>0</v>
      </c>
      <c r="L192" s="3">
        <v>2</v>
      </c>
      <c r="M192" s="3">
        <v>0</v>
      </c>
      <c r="N192" s="3" t="s">
        <v>341</v>
      </c>
      <c r="O192" s="3">
        <v>1</v>
      </c>
      <c r="P192" s="3">
        <v>0.51</v>
      </c>
      <c r="Q192" s="3">
        <v>2</v>
      </c>
      <c r="R192" s="3">
        <v>2.03</v>
      </c>
      <c r="S192" s="3">
        <v>0</v>
      </c>
      <c r="T192" s="3">
        <v>0</v>
      </c>
      <c r="U192" s="3">
        <v>0</v>
      </c>
      <c r="V192" s="3">
        <v>0</v>
      </c>
      <c r="W192" s="3" t="s">
        <v>342</v>
      </c>
      <c r="X192" s="3">
        <v>19.9</v>
      </c>
      <c r="Y192" s="3">
        <v>19.9</v>
      </c>
      <c r="Z192" s="3">
        <v>19.9</v>
      </c>
      <c r="AA192" s="3">
        <v>0</v>
      </c>
      <c r="AB192" s="3" t="s">
        <v>359</v>
      </c>
      <c r="AC192" s="3">
        <v>3</v>
      </c>
      <c r="AD192" s="3">
        <v>19.9</v>
      </c>
      <c r="AE192" s="3">
        <v>0</v>
      </c>
      <c r="AF192" s="3">
        <v>0</v>
      </c>
      <c r="AG192" s="3">
        <v>0</v>
      </c>
      <c r="AH192" s="3">
        <v>0</v>
      </c>
      <c r="AI192" s="3" t="s">
        <v>642</v>
      </c>
      <c r="AJ192" s="3" t="s">
        <v>345</v>
      </c>
    </row>
    <row r="193" spans="1:36">
      <c r="A193" s="4">
        <v>43288</v>
      </c>
      <c r="B193" s="3" t="s">
        <v>1044</v>
      </c>
      <c r="C193" s="3" t="s">
        <v>1045</v>
      </c>
      <c r="D193" s="3" t="s">
        <v>1046</v>
      </c>
      <c r="E193" s="3" t="s">
        <v>173</v>
      </c>
      <c r="F193" s="3" t="s">
        <v>340</v>
      </c>
      <c r="G193" s="3">
        <v>11</v>
      </c>
      <c r="H193" s="3">
        <v>0</v>
      </c>
      <c r="I193" s="3">
        <v>6</v>
      </c>
      <c r="J193" s="3">
        <v>1</v>
      </c>
      <c r="K193" s="3">
        <v>0</v>
      </c>
      <c r="L193" s="3">
        <v>0</v>
      </c>
      <c r="M193" s="3">
        <v>4</v>
      </c>
      <c r="N193" s="3" t="s">
        <v>341</v>
      </c>
      <c r="O193" s="3">
        <v>1</v>
      </c>
      <c r="P193" s="3">
        <v>0.97</v>
      </c>
      <c r="Q193" s="3">
        <v>4</v>
      </c>
      <c r="R193" s="3">
        <v>7.73</v>
      </c>
      <c r="S193" s="3">
        <v>0</v>
      </c>
      <c r="T193" s="3">
        <v>3</v>
      </c>
      <c r="U193" s="3">
        <v>3</v>
      </c>
      <c r="V193" s="3">
        <v>3</v>
      </c>
      <c r="W193" s="3"/>
      <c r="X193" s="3">
        <v>19.38</v>
      </c>
      <c r="Y193" s="3">
        <v>19.38</v>
      </c>
      <c r="Z193" s="3">
        <v>19.38</v>
      </c>
      <c r="AA193" s="3">
        <v>0</v>
      </c>
      <c r="AB193" s="3" t="s">
        <v>359</v>
      </c>
      <c r="AC193" s="3">
        <v>11</v>
      </c>
      <c r="AD193" s="3">
        <v>19.38</v>
      </c>
      <c r="AE193" s="3">
        <v>0</v>
      </c>
      <c r="AF193" s="3">
        <v>0</v>
      </c>
      <c r="AG193" s="3">
        <v>0</v>
      </c>
      <c r="AH193" s="3">
        <v>0.266666666666666</v>
      </c>
      <c r="AI193" s="3" t="s">
        <v>492</v>
      </c>
      <c r="AJ193" s="3" t="s">
        <v>345</v>
      </c>
    </row>
    <row r="194" spans="1:36">
      <c r="A194" s="4">
        <v>43288</v>
      </c>
      <c r="B194" s="3" t="s">
        <v>1047</v>
      </c>
      <c r="C194" s="3" t="s">
        <v>1048</v>
      </c>
      <c r="D194" s="3" t="s">
        <v>1049</v>
      </c>
      <c r="E194" s="3" t="s">
        <v>1050</v>
      </c>
      <c r="F194" s="3" t="s">
        <v>340</v>
      </c>
      <c r="G194" s="3">
        <v>1</v>
      </c>
      <c r="H194" s="3">
        <v>0</v>
      </c>
      <c r="I194" s="3">
        <v>0</v>
      </c>
      <c r="J194" s="3">
        <v>1</v>
      </c>
      <c r="K194" s="3">
        <v>0</v>
      </c>
      <c r="L194" s="3">
        <v>0</v>
      </c>
      <c r="M194" s="3">
        <v>0</v>
      </c>
      <c r="N194" s="3" t="s">
        <v>341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 t="s">
        <v>342</v>
      </c>
      <c r="X194" s="3">
        <v>15.99</v>
      </c>
      <c r="Y194" s="3">
        <v>15.99</v>
      </c>
      <c r="Z194" s="3">
        <v>15.99</v>
      </c>
      <c r="AA194" s="3">
        <v>0</v>
      </c>
      <c r="AB194" s="3" t="s">
        <v>349</v>
      </c>
      <c r="AC194" s="3">
        <v>0</v>
      </c>
      <c r="AD194" s="3">
        <v>15.01</v>
      </c>
      <c r="AE194" s="3">
        <v>63</v>
      </c>
      <c r="AF194" s="3">
        <v>0</v>
      </c>
      <c r="AG194" s="3">
        <v>14.926073</v>
      </c>
      <c r="AH194" s="3">
        <v>0</v>
      </c>
      <c r="AI194" s="3" t="s">
        <v>714</v>
      </c>
      <c r="AJ194" s="3" t="s">
        <v>345</v>
      </c>
    </row>
    <row r="195" spans="1:36">
      <c r="A195" s="4">
        <v>43288</v>
      </c>
      <c r="B195" s="3" t="s">
        <v>1051</v>
      </c>
      <c r="C195" s="3" t="s">
        <v>1052</v>
      </c>
      <c r="D195" s="3" t="s">
        <v>1053</v>
      </c>
      <c r="E195" s="3" t="s">
        <v>11</v>
      </c>
      <c r="F195" s="3" t="s">
        <v>340</v>
      </c>
      <c r="G195" s="3">
        <v>5</v>
      </c>
      <c r="H195" s="3">
        <v>0</v>
      </c>
      <c r="I195" s="3">
        <v>0</v>
      </c>
      <c r="J195" s="3">
        <v>5</v>
      </c>
      <c r="K195" s="3">
        <v>0</v>
      </c>
      <c r="L195" s="3">
        <v>0</v>
      </c>
      <c r="M195" s="3">
        <v>0</v>
      </c>
      <c r="N195" s="3" t="s">
        <v>341</v>
      </c>
      <c r="O195" s="3">
        <v>4</v>
      </c>
      <c r="P195" s="3">
        <v>9.26</v>
      </c>
      <c r="Q195" s="3">
        <v>0</v>
      </c>
      <c r="R195" s="3">
        <v>0</v>
      </c>
      <c r="S195" s="3">
        <v>0</v>
      </c>
      <c r="T195" s="3">
        <v>0</v>
      </c>
      <c r="U195" s="3">
        <v>1</v>
      </c>
      <c r="V195" s="3">
        <v>2</v>
      </c>
      <c r="W195" s="3" t="s">
        <v>342</v>
      </c>
      <c r="X195" s="3">
        <v>25.99</v>
      </c>
      <c r="Y195" s="3">
        <v>25.99</v>
      </c>
      <c r="Z195" s="3">
        <v>25.99</v>
      </c>
      <c r="AA195" s="3">
        <v>0</v>
      </c>
      <c r="AB195" s="3" t="s">
        <v>349</v>
      </c>
      <c r="AC195" s="3">
        <v>1</v>
      </c>
      <c r="AD195" s="3">
        <v>23.89</v>
      </c>
      <c r="AE195" s="3">
        <v>21</v>
      </c>
      <c r="AF195" s="3">
        <v>0</v>
      </c>
      <c r="AG195" s="3">
        <v>191.59174</v>
      </c>
      <c r="AH195" s="3">
        <v>0.266666666666666</v>
      </c>
      <c r="AI195" s="3" t="s">
        <v>750</v>
      </c>
      <c r="AJ195" s="3" t="s">
        <v>345</v>
      </c>
    </row>
    <row r="196" spans="1:36">
      <c r="A196" s="4">
        <v>43288</v>
      </c>
      <c r="B196" s="3" t="s">
        <v>1054</v>
      </c>
      <c r="C196" s="3" t="s">
        <v>1055</v>
      </c>
      <c r="D196" s="3" t="s">
        <v>1056</v>
      </c>
      <c r="E196" s="3" t="s">
        <v>555</v>
      </c>
      <c r="F196" s="3" t="s">
        <v>340</v>
      </c>
      <c r="G196" s="3">
        <v>1</v>
      </c>
      <c r="H196" s="3">
        <v>0</v>
      </c>
      <c r="I196" s="3">
        <v>0</v>
      </c>
      <c r="J196" s="3">
        <v>1</v>
      </c>
      <c r="K196" s="3">
        <v>0</v>
      </c>
      <c r="L196" s="3">
        <v>0</v>
      </c>
      <c r="M196" s="3">
        <v>0</v>
      </c>
      <c r="N196" s="3" t="s">
        <v>341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381</v>
      </c>
      <c r="X196" s="3">
        <v>19.99</v>
      </c>
      <c r="Y196" s="3">
        <v>19.99</v>
      </c>
      <c r="Z196" s="3">
        <v>19.99</v>
      </c>
      <c r="AA196" s="3">
        <v>0</v>
      </c>
      <c r="AB196" s="3" t="s">
        <v>343</v>
      </c>
      <c r="AC196" s="3">
        <v>0</v>
      </c>
      <c r="AD196" s="3">
        <v>18.84</v>
      </c>
      <c r="AE196" s="3">
        <v>21</v>
      </c>
      <c r="AF196" s="3">
        <v>0</v>
      </c>
      <c r="AG196" s="3">
        <v>18.549744</v>
      </c>
      <c r="AH196" s="3">
        <v>0</v>
      </c>
      <c r="AI196" s="3" t="s">
        <v>556</v>
      </c>
      <c r="AJ196" s="3" t="s">
        <v>345</v>
      </c>
    </row>
    <row r="197" spans="1:36">
      <c r="A197" s="4">
        <v>43288</v>
      </c>
      <c r="B197" s="3" t="s">
        <v>1057</v>
      </c>
      <c r="C197" s="3" t="s">
        <v>1058</v>
      </c>
      <c r="D197" s="3" t="s">
        <v>1059</v>
      </c>
      <c r="E197" s="3" t="s">
        <v>111</v>
      </c>
      <c r="F197" s="3" t="s">
        <v>340</v>
      </c>
      <c r="G197" s="3">
        <v>2</v>
      </c>
      <c r="H197" s="3">
        <v>0</v>
      </c>
      <c r="I197" s="3">
        <v>0</v>
      </c>
      <c r="J197" s="3">
        <v>1</v>
      </c>
      <c r="K197" s="3">
        <v>0</v>
      </c>
      <c r="L197" s="3">
        <v>0</v>
      </c>
      <c r="M197" s="3">
        <v>1</v>
      </c>
      <c r="N197" s="3" t="s">
        <v>341</v>
      </c>
      <c r="O197" s="3">
        <v>0</v>
      </c>
      <c r="P197" s="3">
        <v>0</v>
      </c>
      <c r="Q197" s="3">
        <v>1</v>
      </c>
      <c r="R197" s="3">
        <v>1.25</v>
      </c>
      <c r="S197" s="3">
        <v>0</v>
      </c>
      <c r="T197" s="3">
        <v>1</v>
      </c>
      <c r="U197" s="3">
        <v>1</v>
      </c>
      <c r="V197" s="3">
        <v>1</v>
      </c>
      <c r="W197" s="3"/>
      <c r="X197" s="3">
        <v>16.99</v>
      </c>
      <c r="Y197" s="3">
        <v>16.99</v>
      </c>
      <c r="Z197" s="3">
        <v>16.99</v>
      </c>
      <c r="AA197" s="3">
        <v>0</v>
      </c>
      <c r="AB197" s="3" t="s">
        <v>359</v>
      </c>
      <c r="AC197" s="3">
        <v>2</v>
      </c>
      <c r="AD197" s="3">
        <v>16.99</v>
      </c>
      <c r="AE197" s="3">
        <v>0</v>
      </c>
      <c r="AF197" s="3">
        <v>0</v>
      </c>
      <c r="AG197" s="3">
        <v>0</v>
      </c>
      <c r="AH197" s="3">
        <v>0.307692307692307</v>
      </c>
      <c r="AI197" s="3" t="s">
        <v>482</v>
      </c>
      <c r="AJ197" s="3" t="s">
        <v>345</v>
      </c>
    </row>
    <row r="198" spans="1:36">
      <c r="A198" s="4">
        <v>43288</v>
      </c>
      <c r="B198" s="3" t="s">
        <v>1060</v>
      </c>
      <c r="C198" s="3" t="s">
        <v>1061</v>
      </c>
      <c r="D198" s="3" t="s">
        <v>1062</v>
      </c>
      <c r="E198" s="3" t="s">
        <v>1029</v>
      </c>
      <c r="F198" s="3" t="s">
        <v>340</v>
      </c>
      <c r="G198" s="3">
        <v>2</v>
      </c>
      <c r="H198" s="3">
        <v>0</v>
      </c>
      <c r="I198" s="3">
        <v>0</v>
      </c>
      <c r="J198" s="3">
        <v>0</v>
      </c>
      <c r="K198" s="3">
        <v>0</v>
      </c>
      <c r="L198" s="3">
        <v>2</v>
      </c>
      <c r="M198" s="3">
        <v>0</v>
      </c>
      <c r="N198" s="3" t="s">
        <v>341</v>
      </c>
      <c r="O198" s="3">
        <v>0</v>
      </c>
      <c r="P198" s="3">
        <v>0</v>
      </c>
      <c r="Q198" s="3">
        <v>2</v>
      </c>
      <c r="R198" s="3">
        <v>5.31</v>
      </c>
      <c r="S198" s="3">
        <v>0</v>
      </c>
      <c r="T198" s="3">
        <v>0</v>
      </c>
      <c r="U198" s="3">
        <v>0</v>
      </c>
      <c r="V198" s="3">
        <v>0</v>
      </c>
      <c r="W198" s="3" t="s">
        <v>342</v>
      </c>
      <c r="X198" s="3">
        <v>17.88</v>
      </c>
      <c r="Y198" s="3">
        <v>17.88</v>
      </c>
      <c r="Z198" s="3">
        <v>17.88</v>
      </c>
      <c r="AA198" s="3">
        <v>0</v>
      </c>
      <c r="AB198" s="3" t="s">
        <v>343</v>
      </c>
      <c r="AC198" s="3">
        <v>0</v>
      </c>
      <c r="AD198" s="3">
        <v>14.3</v>
      </c>
      <c r="AE198" s="3">
        <v>63</v>
      </c>
      <c r="AF198" s="3">
        <v>0</v>
      </c>
      <c r="AG198" s="3">
        <v>34.263387</v>
      </c>
      <c r="AH198" s="3">
        <v>0</v>
      </c>
      <c r="AI198" s="3" t="s">
        <v>1063</v>
      </c>
      <c r="AJ198" s="3" t="s">
        <v>345</v>
      </c>
    </row>
    <row r="199" spans="1:36">
      <c r="A199" s="4">
        <v>43288</v>
      </c>
      <c r="B199" s="3" t="s">
        <v>1064</v>
      </c>
      <c r="C199" s="3" t="s">
        <v>1065</v>
      </c>
      <c r="D199" s="3" t="s">
        <v>1066</v>
      </c>
      <c r="E199" s="3" t="s">
        <v>1067</v>
      </c>
      <c r="F199" s="3" t="s">
        <v>340</v>
      </c>
      <c r="G199" s="3">
        <v>5</v>
      </c>
      <c r="H199" s="3">
        <v>0</v>
      </c>
      <c r="I199" s="3">
        <v>1</v>
      </c>
      <c r="J199" s="3">
        <v>0</v>
      </c>
      <c r="K199" s="3">
        <v>0</v>
      </c>
      <c r="L199" s="3">
        <v>4</v>
      </c>
      <c r="M199" s="3">
        <v>0</v>
      </c>
      <c r="N199" s="3" t="s">
        <v>341</v>
      </c>
      <c r="O199" s="3">
        <v>0</v>
      </c>
      <c r="P199" s="3">
        <v>0</v>
      </c>
      <c r="Q199" s="3">
        <v>4</v>
      </c>
      <c r="R199" s="3">
        <v>12.86</v>
      </c>
      <c r="S199" s="3">
        <v>0</v>
      </c>
      <c r="T199" s="3">
        <v>0</v>
      </c>
      <c r="U199" s="3">
        <v>0</v>
      </c>
      <c r="V199" s="3">
        <v>1</v>
      </c>
      <c r="W199" s="3" t="s">
        <v>342</v>
      </c>
      <c r="X199" s="3">
        <v>24.88</v>
      </c>
      <c r="Y199" s="3">
        <v>24.88</v>
      </c>
      <c r="Z199" s="3">
        <v>24.88</v>
      </c>
      <c r="AA199" s="3">
        <v>0</v>
      </c>
      <c r="AB199" s="3" t="s">
        <v>349</v>
      </c>
      <c r="AC199" s="3">
        <v>0</v>
      </c>
      <c r="AD199" s="3">
        <v>19.9</v>
      </c>
      <c r="AE199" s="3">
        <v>364</v>
      </c>
      <c r="AF199" s="3">
        <v>0</v>
      </c>
      <c r="AG199" s="3">
        <v>120.516618</v>
      </c>
      <c r="AH199" s="3">
        <v>0.210526315789473</v>
      </c>
      <c r="AI199" s="3" t="s">
        <v>596</v>
      </c>
      <c r="AJ199" s="3" t="s">
        <v>345</v>
      </c>
    </row>
    <row r="200" spans="1:36">
      <c r="A200" s="4">
        <v>43288</v>
      </c>
      <c r="B200" s="3" t="s">
        <v>1068</v>
      </c>
      <c r="C200" s="3" t="s">
        <v>1069</v>
      </c>
      <c r="D200" s="3" t="s">
        <v>1070</v>
      </c>
      <c r="E200" s="3" t="s">
        <v>364</v>
      </c>
      <c r="F200" s="3" t="s">
        <v>340</v>
      </c>
      <c r="G200" s="3">
        <v>3</v>
      </c>
      <c r="H200" s="3">
        <v>0</v>
      </c>
      <c r="I200" s="3">
        <v>0</v>
      </c>
      <c r="J200" s="3">
        <v>3</v>
      </c>
      <c r="K200" s="3">
        <v>0</v>
      </c>
      <c r="L200" s="3">
        <v>0</v>
      </c>
      <c r="M200" s="3">
        <v>0</v>
      </c>
      <c r="N200" s="3" t="s">
        <v>341</v>
      </c>
      <c r="O200" s="3">
        <v>3</v>
      </c>
      <c r="P200" s="3">
        <v>5.1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342</v>
      </c>
      <c r="X200" s="3">
        <v>17.99</v>
      </c>
      <c r="Y200" s="3">
        <v>17.99</v>
      </c>
      <c r="Z200" s="3">
        <v>17.99</v>
      </c>
      <c r="AA200" s="3">
        <v>0</v>
      </c>
      <c r="AB200" s="3" t="s">
        <v>349</v>
      </c>
      <c r="AC200" s="3">
        <v>0</v>
      </c>
      <c r="AD200" s="3">
        <v>16.27</v>
      </c>
      <c r="AE200" s="3">
        <v>35</v>
      </c>
      <c r="AF200" s="3">
        <v>0</v>
      </c>
      <c r="AG200" s="3">
        <v>86.653207</v>
      </c>
      <c r="AH200" s="3">
        <v>0</v>
      </c>
      <c r="AI200" s="3" t="s">
        <v>1071</v>
      </c>
      <c r="AJ200" s="3" t="s">
        <v>345</v>
      </c>
    </row>
    <row r="201" spans="1:36">
      <c r="A201" s="4">
        <v>43288</v>
      </c>
      <c r="B201" s="3" t="s">
        <v>1072</v>
      </c>
      <c r="C201" s="3" t="s">
        <v>1073</v>
      </c>
      <c r="D201" s="3" t="s">
        <v>1074</v>
      </c>
      <c r="E201" s="3" t="s">
        <v>1075</v>
      </c>
      <c r="F201" s="3" t="s">
        <v>340</v>
      </c>
      <c r="G201" s="3">
        <v>5</v>
      </c>
      <c r="H201" s="3">
        <v>0</v>
      </c>
      <c r="I201" s="3">
        <v>0</v>
      </c>
      <c r="J201" s="3">
        <v>0</v>
      </c>
      <c r="K201" s="3">
        <v>5</v>
      </c>
      <c r="L201" s="3">
        <v>0</v>
      </c>
      <c r="M201" s="3">
        <v>0</v>
      </c>
      <c r="N201" s="3" t="s">
        <v>341</v>
      </c>
      <c r="O201" s="3">
        <v>5</v>
      </c>
      <c r="P201" s="3">
        <v>9.85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342</v>
      </c>
      <c r="X201" s="3">
        <v>22.99</v>
      </c>
      <c r="Y201" s="3">
        <v>22.99</v>
      </c>
      <c r="Z201" s="3">
        <v>22.99</v>
      </c>
      <c r="AA201" s="3">
        <v>0</v>
      </c>
      <c r="AB201" s="3" t="s">
        <v>343</v>
      </c>
      <c r="AC201" s="3">
        <v>0</v>
      </c>
      <c r="AD201" s="3">
        <v>18.39</v>
      </c>
      <c r="AE201" s="3">
        <v>63</v>
      </c>
      <c r="AF201" s="3">
        <v>0</v>
      </c>
      <c r="AG201" s="3">
        <v>122.395257</v>
      </c>
      <c r="AH201" s="3">
        <v>0</v>
      </c>
      <c r="AI201" s="3" t="s">
        <v>987</v>
      </c>
      <c r="AJ201" s="3" t="s">
        <v>345</v>
      </c>
    </row>
    <row r="202" spans="1:36">
      <c r="A202" s="4">
        <v>43288</v>
      </c>
      <c r="B202" s="3" t="s">
        <v>1076</v>
      </c>
      <c r="C202" s="3" t="s">
        <v>1077</v>
      </c>
      <c r="D202" s="3" t="s">
        <v>1078</v>
      </c>
      <c r="E202" s="3" t="s">
        <v>22</v>
      </c>
      <c r="F202" s="3" t="s">
        <v>340</v>
      </c>
      <c r="G202" s="3">
        <v>10</v>
      </c>
      <c r="H202" s="3">
        <v>0</v>
      </c>
      <c r="I202" s="3">
        <v>10</v>
      </c>
      <c r="J202" s="3">
        <v>0</v>
      </c>
      <c r="K202" s="3">
        <v>0</v>
      </c>
      <c r="L202" s="3">
        <v>0</v>
      </c>
      <c r="M202" s="3">
        <v>0</v>
      </c>
      <c r="N202" s="3" t="s">
        <v>341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2</v>
      </c>
      <c r="U202" s="3">
        <v>12</v>
      </c>
      <c r="V202" s="3">
        <v>20</v>
      </c>
      <c r="W202" s="3"/>
      <c r="X202" s="3">
        <v>14.99</v>
      </c>
      <c r="Y202" s="3">
        <v>14.99</v>
      </c>
      <c r="Z202" s="3">
        <v>14.99</v>
      </c>
      <c r="AA202" s="3">
        <v>0</v>
      </c>
      <c r="AB202" s="3" t="s">
        <v>359</v>
      </c>
      <c r="AC202" s="3">
        <v>10</v>
      </c>
      <c r="AD202" s="3">
        <v>14.99</v>
      </c>
      <c r="AE202" s="3">
        <v>0</v>
      </c>
      <c r="AF202" s="3">
        <v>0</v>
      </c>
      <c r="AG202" s="3">
        <v>0</v>
      </c>
      <c r="AH202" s="3">
        <v>2.75862068965517</v>
      </c>
      <c r="AI202" s="3" t="s">
        <v>421</v>
      </c>
      <c r="AJ202" s="3" t="s">
        <v>345</v>
      </c>
    </row>
    <row r="203" spans="1:36">
      <c r="A203" s="4">
        <v>43288</v>
      </c>
      <c r="B203" s="3" t="s">
        <v>1079</v>
      </c>
      <c r="C203" s="3" t="s">
        <v>1080</v>
      </c>
      <c r="D203" s="3" t="s">
        <v>1081</v>
      </c>
      <c r="E203" s="3" t="s">
        <v>921</v>
      </c>
      <c r="F203" s="3" t="s">
        <v>340</v>
      </c>
      <c r="G203" s="3">
        <v>5</v>
      </c>
      <c r="H203" s="3">
        <v>0</v>
      </c>
      <c r="I203" s="3">
        <v>0</v>
      </c>
      <c r="J203" s="3">
        <v>0</v>
      </c>
      <c r="K203" s="3">
        <v>0</v>
      </c>
      <c r="L203" s="3">
        <v>5</v>
      </c>
      <c r="M203" s="3">
        <v>0</v>
      </c>
      <c r="N203" s="3" t="s">
        <v>341</v>
      </c>
      <c r="O203" s="3">
        <v>2</v>
      </c>
      <c r="P203" s="3">
        <v>2.92</v>
      </c>
      <c r="Q203" s="3">
        <v>3</v>
      </c>
      <c r="R203" s="3">
        <v>8.76</v>
      </c>
      <c r="S203" s="3">
        <v>0</v>
      </c>
      <c r="T203" s="3">
        <v>0</v>
      </c>
      <c r="U203" s="3">
        <v>0</v>
      </c>
      <c r="V203" s="3">
        <v>0</v>
      </c>
      <c r="W203" s="3" t="s">
        <v>342</v>
      </c>
      <c r="X203" s="3">
        <v>16.88</v>
      </c>
      <c r="Y203" s="3">
        <v>16.88</v>
      </c>
      <c r="Z203" s="3">
        <v>16.88</v>
      </c>
      <c r="AA203" s="3">
        <v>0</v>
      </c>
      <c r="AB203" s="3" t="s">
        <v>343</v>
      </c>
      <c r="AC203" s="3">
        <v>0</v>
      </c>
      <c r="AD203" s="3">
        <v>14.51</v>
      </c>
      <c r="AE203" s="3">
        <v>182</v>
      </c>
      <c r="AF203" s="3">
        <v>0</v>
      </c>
      <c r="AG203" s="3">
        <v>117.024212</v>
      </c>
      <c r="AH203" s="3">
        <v>0</v>
      </c>
      <c r="AI203" s="3" t="s">
        <v>922</v>
      </c>
      <c r="AJ203" s="3" t="s">
        <v>345</v>
      </c>
    </row>
    <row r="204" spans="1:36">
      <c r="A204" s="4">
        <v>43288</v>
      </c>
      <c r="B204" s="3" t="s">
        <v>1082</v>
      </c>
      <c r="C204" s="3" t="s">
        <v>1083</v>
      </c>
      <c r="D204" s="3" t="s">
        <v>1084</v>
      </c>
      <c r="E204" s="3" t="s">
        <v>123</v>
      </c>
      <c r="F204" s="3" t="s">
        <v>340</v>
      </c>
      <c r="G204" s="3">
        <v>27</v>
      </c>
      <c r="H204" s="3">
        <v>0</v>
      </c>
      <c r="I204" s="3">
        <v>27</v>
      </c>
      <c r="J204" s="3">
        <v>0</v>
      </c>
      <c r="K204" s="3">
        <v>0</v>
      </c>
      <c r="L204" s="3">
        <v>0</v>
      </c>
      <c r="M204" s="3">
        <v>0</v>
      </c>
      <c r="N204" s="3" t="s">
        <v>341</v>
      </c>
      <c r="O204" s="3">
        <v>0</v>
      </c>
      <c r="P204" s="3">
        <v>0</v>
      </c>
      <c r="Q204" s="3">
        <v>0</v>
      </c>
      <c r="R204" s="3">
        <v>0</v>
      </c>
      <c r="S204" s="3">
        <v>1</v>
      </c>
      <c r="T204" s="3">
        <v>3</v>
      </c>
      <c r="U204" s="3">
        <v>3</v>
      </c>
      <c r="V204" s="3">
        <v>3</v>
      </c>
      <c r="W204" s="3"/>
      <c r="X204" s="3">
        <v>19.99</v>
      </c>
      <c r="Y204" s="3">
        <v>19.99</v>
      </c>
      <c r="Z204" s="3">
        <v>19.99</v>
      </c>
      <c r="AA204" s="3">
        <v>0</v>
      </c>
      <c r="AB204" s="3" t="s">
        <v>343</v>
      </c>
      <c r="AC204" s="3">
        <v>5</v>
      </c>
      <c r="AD204" s="3">
        <v>18.56</v>
      </c>
      <c r="AE204" s="3">
        <v>133</v>
      </c>
      <c r="AF204" s="3">
        <v>0</v>
      </c>
      <c r="AG204" s="3">
        <v>535.525922</v>
      </c>
      <c r="AH204" s="3">
        <v>0.111111111111111</v>
      </c>
      <c r="AI204" s="3" t="s">
        <v>518</v>
      </c>
      <c r="AJ204" s="3" t="s">
        <v>345</v>
      </c>
    </row>
    <row r="205" spans="1:36">
      <c r="A205" s="4">
        <v>43288</v>
      </c>
      <c r="B205" s="3" t="s">
        <v>1085</v>
      </c>
      <c r="C205" s="3" t="s">
        <v>1086</v>
      </c>
      <c r="D205" s="3" t="s">
        <v>1087</v>
      </c>
      <c r="E205" s="3" t="s">
        <v>1088</v>
      </c>
      <c r="F205" s="3" t="s">
        <v>340</v>
      </c>
      <c r="G205" s="3">
        <v>3</v>
      </c>
      <c r="H205" s="3">
        <v>0</v>
      </c>
      <c r="I205" s="3">
        <v>0</v>
      </c>
      <c r="J205" s="3">
        <v>0</v>
      </c>
      <c r="K205" s="3">
        <v>0</v>
      </c>
      <c r="L205" s="3">
        <v>3</v>
      </c>
      <c r="M205" s="3">
        <v>0</v>
      </c>
      <c r="N205" s="3" t="s">
        <v>341</v>
      </c>
      <c r="O205" s="3">
        <v>0</v>
      </c>
      <c r="P205" s="3">
        <v>0</v>
      </c>
      <c r="Q205" s="3">
        <v>3</v>
      </c>
      <c r="R205" s="3">
        <v>1.5</v>
      </c>
      <c r="S205" s="3">
        <v>0</v>
      </c>
      <c r="T205" s="3">
        <v>0</v>
      </c>
      <c r="U205" s="3">
        <v>0</v>
      </c>
      <c r="V205" s="3">
        <v>0</v>
      </c>
      <c r="W205" s="3" t="s">
        <v>342</v>
      </c>
      <c r="X205" s="3">
        <v>17.89</v>
      </c>
      <c r="Y205" s="3">
        <v>17.89</v>
      </c>
      <c r="Z205" s="3">
        <v>17.89</v>
      </c>
      <c r="AA205" s="3">
        <v>0</v>
      </c>
      <c r="AB205" s="3" t="s">
        <v>343</v>
      </c>
      <c r="AC205" s="3">
        <v>0</v>
      </c>
      <c r="AD205" s="3">
        <v>14.31</v>
      </c>
      <c r="AE205" s="3">
        <v>63</v>
      </c>
      <c r="AF205" s="3">
        <v>0</v>
      </c>
      <c r="AG205" s="3">
        <v>1.488559</v>
      </c>
      <c r="AH205" s="3">
        <v>0</v>
      </c>
      <c r="AI205" s="3" t="s">
        <v>344</v>
      </c>
      <c r="AJ205" s="3" t="s">
        <v>345</v>
      </c>
    </row>
    <row r="206" spans="1:36">
      <c r="A206" s="4">
        <v>43288</v>
      </c>
      <c r="B206" s="3" t="s">
        <v>1089</v>
      </c>
      <c r="C206" s="3" t="s">
        <v>1090</v>
      </c>
      <c r="D206" s="3" t="s">
        <v>1091</v>
      </c>
      <c r="E206" s="3" t="s">
        <v>1092</v>
      </c>
      <c r="F206" s="3" t="s">
        <v>340</v>
      </c>
      <c r="G206" s="3">
        <v>2</v>
      </c>
      <c r="H206" s="3">
        <v>0</v>
      </c>
      <c r="I206" s="3">
        <v>0</v>
      </c>
      <c r="J206" s="3">
        <v>0</v>
      </c>
      <c r="K206" s="3">
        <v>0</v>
      </c>
      <c r="L206" s="3">
        <v>0</v>
      </c>
      <c r="M206" s="3">
        <v>2</v>
      </c>
      <c r="N206" s="3" t="s">
        <v>341</v>
      </c>
      <c r="O206" s="3">
        <v>0</v>
      </c>
      <c r="P206" s="3">
        <v>0</v>
      </c>
      <c r="Q206" s="3">
        <v>2</v>
      </c>
      <c r="R206" s="3">
        <v>2.08</v>
      </c>
      <c r="S206" s="3">
        <v>0</v>
      </c>
      <c r="T206" s="3">
        <v>0</v>
      </c>
      <c r="U206" s="3">
        <v>0</v>
      </c>
      <c r="V206" s="3">
        <v>0</v>
      </c>
      <c r="W206" s="3" t="s">
        <v>342</v>
      </c>
      <c r="X206" s="3">
        <v>14.99</v>
      </c>
      <c r="Y206" s="3">
        <v>14.99</v>
      </c>
      <c r="Z206" s="3">
        <v>14.99</v>
      </c>
      <c r="AA206" s="3">
        <v>0</v>
      </c>
      <c r="AB206" s="3" t="s">
        <v>343</v>
      </c>
      <c r="AC206" s="3">
        <v>0</v>
      </c>
      <c r="AD206" s="3">
        <v>11.99</v>
      </c>
      <c r="AE206" s="3">
        <v>63</v>
      </c>
      <c r="AF206" s="3">
        <v>0</v>
      </c>
      <c r="AG206" s="3">
        <v>13.784726</v>
      </c>
      <c r="AH206" s="3">
        <v>0</v>
      </c>
      <c r="AI206" s="3" t="s">
        <v>1093</v>
      </c>
      <c r="AJ206" s="3" t="s">
        <v>345</v>
      </c>
    </row>
    <row r="207" spans="1:36">
      <c r="A207" s="4">
        <v>43288</v>
      </c>
      <c r="B207" s="3" t="s">
        <v>1094</v>
      </c>
      <c r="C207" s="3" t="s">
        <v>1095</v>
      </c>
      <c r="D207" s="3" t="s">
        <v>1096</v>
      </c>
      <c r="E207" s="3" t="s">
        <v>656</v>
      </c>
      <c r="F207" s="3" t="s">
        <v>340</v>
      </c>
      <c r="G207" s="3">
        <v>4</v>
      </c>
      <c r="H207" s="3">
        <v>0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 s="3" t="s">
        <v>341</v>
      </c>
      <c r="O207" s="3">
        <v>0</v>
      </c>
      <c r="P207" s="3">
        <v>0</v>
      </c>
      <c r="Q207" s="3">
        <v>4</v>
      </c>
      <c r="R207" s="3">
        <v>8.29</v>
      </c>
      <c r="S207" s="3">
        <v>0</v>
      </c>
      <c r="T207" s="3">
        <v>0</v>
      </c>
      <c r="U207" s="3">
        <v>0</v>
      </c>
      <c r="V207" s="3">
        <v>1</v>
      </c>
      <c r="W207" s="3" t="s">
        <v>342</v>
      </c>
      <c r="X207" s="3">
        <v>16.99</v>
      </c>
      <c r="Y207" s="3">
        <v>16.99</v>
      </c>
      <c r="Z207" s="3">
        <v>16.99</v>
      </c>
      <c r="AA207" s="3">
        <v>0</v>
      </c>
      <c r="AB207" s="3" t="s">
        <v>343</v>
      </c>
      <c r="AC207" s="3">
        <v>0</v>
      </c>
      <c r="AD207" s="3">
        <v>13.59</v>
      </c>
      <c r="AE207" s="3">
        <v>63</v>
      </c>
      <c r="AF207" s="3">
        <v>0</v>
      </c>
      <c r="AG207" s="3">
        <v>53.711605</v>
      </c>
      <c r="AH207" s="3">
        <v>0.222222222222222</v>
      </c>
      <c r="AI207" s="3" t="s">
        <v>657</v>
      </c>
      <c r="AJ207" s="3" t="s">
        <v>345</v>
      </c>
    </row>
    <row r="208" spans="1:36">
      <c r="A208" s="4">
        <v>43288</v>
      </c>
      <c r="B208" s="3" t="s">
        <v>1097</v>
      </c>
      <c r="C208" s="3" t="s">
        <v>1098</v>
      </c>
      <c r="D208" s="3" t="s">
        <v>1099</v>
      </c>
      <c r="E208" s="3" t="s">
        <v>1100</v>
      </c>
      <c r="F208" s="3" t="s">
        <v>340</v>
      </c>
      <c r="G208" s="3">
        <v>1</v>
      </c>
      <c r="H208" s="3">
        <v>0</v>
      </c>
      <c r="I208" s="3">
        <v>0</v>
      </c>
      <c r="J208" s="3">
        <v>0</v>
      </c>
      <c r="K208" s="3">
        <v>0</v>
      </c>
      <c r="L208" s="3">
        <v>0</v>
      </c>
      <c r="M208" s="3">
        <v>1</v>
      </c>
      <c r="N208" s="3" t="s">
        <v>341</v>
      </c>
      <c r="O208" s="3">
        <v>0</v>
      </c>
      <c r="P208" s="3">
        <v>0</v>
      </c>
      <c r="Q208" s="3">
        <v>1</v>
      </c>
      <c r="R208" s="3">
        <v>0.5</v>
      </c>
      <c r="S208" s="3">
        <v>0</v>
      </c>
      <c r="T208" s="3">
        <v>0</v>
      </c>
      <c r="U208" s="3">
        <v>0</v>
      </c>
      <c r="V208" s="3">
        <v>0</v>
      </c>
      <c r="W208" s="3" t="s">
        <v>342</v>
      </c>
      <c r="X208" s="3">
        <v>19.9</v>
      </c>
      <c r="Y208" s="3">
        <v>19.9</v>
      </c>
      <c r="Z208" s="3">
        <v>16.41</v>
      </c>
      <c r="AA208" s="3">
        <v>0</v>
      </c>
      <c r="AB208" s="3" t="s">
        <v>343</v>
      </c>
      <c r="AC208" s="3">
        <v>0</v>
      </c>
      <c r="AD208" s="3">
        <v>15.92</v>
      </c>
      <c r="AE208" s="3">
        <v>63</v>
      </c>
      <c r="AF208" s="3">
        <v>0</v>
      </c>
      <c r="AG208" s="3">
        <v>0.542723</v>
      </c>
      <c r="AH208" s="3">
        <v>0</v>
      </c>
      <c r="AI208" s="3" t="s">
        <v>344</v>
      </c>
      <c r="AJ208" s="3" t="s">
        <v>345</v>
      </c>
    </row>
    <row r="209" spans="1:36">
      <c r="A209" s="4">
        <v>43288</v>
      </c>
      <c r="B209" s="3" t="s">
        <v>1101</v>
      </c>
      <c r="C209" s="3" t="s">
        <v>1102</v>
      </c>
      <c r="D209" s="3" t="s">
        <v>1103</v>
      </c>
      <c r="E209" s="3" t="s">
        <v>1104</v>
      </c>
      <c r="F209" s="3" t="s">
        <v>340</v>
      </c>
      <c r="G209" s="3">
        <v>2</v>
      </c>
      <c r="H209" s="3">
        <v>0</v>
      </c>
      <c r="I209" s="3">
        <v>0</v>
      </c>
      <c r="J209" s="3">
        <v>0</v>
      </c>
      <c r="K209" s="3">
        <v>0</v>
      </c>
      <c r="L209" s="3">
        <v>0</v>
      </c>
      <c r="M209" s="3">
        <v>2</v>
      </c>
      <c r="N209" s="3" t="s">
        <v>341</v>
      </c>
      <c r="O209" s="3">
        <v>0</v>
      </c>
      <c r="P209" s="3">
        <v>0</v>
      </c>
      <c r="Q209" s="3">
        <v>2</v>
      </c>
      <c r="R209" s="3">
        <v>5.77</v>
      </c>
      <c r="S209" s="3">
        <v>0</v>
      </c>
      <c r="T209" s="3">
        <v>0</v>
      </c>
      <c r="U209" s="3">
        <v>0</v>
      </c>
      <c r="V209" s="3">
        <v>0</v>
      </c>
      <c r="W209" s="3" t="s">
        <v>342</v>
      </c>
      <c r="X209" s="3">
        <v>18.99</v>
      </c>
      <c r="Y209" s="3">
        <v>18.99</v>
      </c>
      <c r="Z209" s="3">
        <v>18.99</v>
      </c>
      <c r="AA209" s="3">
        <v>0</v>
      </c>
      <c r="AB209" s="3" t="s">
        <v>359</v>
      </c>
      <c r="AC209" s="3">
        <v>2</v>
      </c>
      <c r="AD209" s="3">
        <v>18.99</v>
      </c>
      <c r="AE209" s="3">
        <v>0</v>
      </c>
      <c r="AF209" s="3">
        <v>0</v>
      </c>
      <c r="AG209" s="3">
        <v>0</v>
      </c>
      <c r="AH209" s="3">
        <v>0</v>
      </c>
      <c r="AI209" s="3" t="s">
        <v>811</v>
      </c>
      <c r="AJ209" s="3" t="s">
        <v>345</v>
      </c>
    </row>
    <row r="210" spans="1:36">
      <c r="A210" s="4">
        <v>43288</v>
      </c>
      <c r="B210" s="3" t="s">
        <v>296</v>
      </c>
      <c r="C210" s="3" t="s">
        <v>297</v>
      </c>
      <c r="D210" s="3" t="s">
        <v>298</v>
      </c>
      <c r="E210" s="3" t="s">
        <v>299</v>
      </c>
      <c r="F210" s="3" t="s">
        <v>340</v>
      </c>
      <c r="G210" s="3">
        <v>2</v>
      </c>
      <c r="H210" s="3">
        <v>0</v>
      </c>
      <c r="I210" s="3">
        <v>2</v>
      </c>
      <c r="J210" s="3">
        <v>0</v>
      </c>
      <c r="K210" s="3">
        <v>0</v>
      </c>
      <c r="L210" s="3">
        <v>0</v>
      </c>
      <c r="M210" s="3">
        <v>0</v>
      </c>
      <c r="N210" s="3" t="s">
        <v>341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2</v>
      </c>
      <c r="V210" s="3">
        <v>2</v>
      </c>
      <c r="W210" s="3" t="s">
        <v>342</v>
      </c>
      <c r="X210" s="3">
        <v>19.99</v>
      </c>
      <c r="Y210" s="3">
        <v>19.99</v>
      </c>
      <c r="Z210" s="3">
        <v>19.99</v>
      </c>
      <c r="AA210" s="3">
        <v>0</v>
      </c>
      <c r="AB210" s="3" t="s">
        <v>349</v>
      </c>
      <c r="AC210" s="3">
        <v>0</v>
      </c>
      <c r="AD210" s="3">
        <v>18.74</v>
      </c>
      <c r="AE210" s="3">
        <v>77</v>
      </c>
      <c r="AF210" s="3">
        <v>0</v>
      </c>
      <c r="AG210" s="3">
        <v>48.916181</v>
      </c>
      <c r="AH210" s="3">
        <v>0.888888888888888</v>
      </c>
      <c r="AI210" s="3" t="s">
        <v>1105</v>
      </c>
      <c r="AJ210" s="3" t="s">
        <v>345</v>
      </c>
    </row>
    <row r="211" spans="1:36">
      <c r="A211" s="4">
        <v>43288</v>
      </c>
      <c r="B211" s="3" t="s">
        <v>1106</v>
      </c>
      <c r="C211" s="3" t="s">
        <v>1107</v>
      </c>
      <c r="D211" s="3" t="s">
        <v>1108</v>
      </c>
      <c r="E211" s="3" t="s">
        <v>1109</v>
      </c>
      <c r="F211" s="3" t="s">
        <v>340</v>
      </c>
      <c r="G211" s="3">
        <v>4</v>
      </c>
      <c r="H211" s="3">
        <v>0</v>
      </c>
      <c r="I211" s="3">
        <v>0</v>
      </c>
      <c r="J211" s="3">
        <v>4</v>
      </c>
      <c r="K211" s="3">
        <v>0</v>
      </c>
      <c r="L211" s="3">
        <v>0</v>
      </c>
      <c r="M211" s="3">
        <v>0</v>
      </c>
      <c r="N211" s="3" t="s">
        <v>341</v>
      </c>
      <c r="O211" s="3">
        <v>4</v>
      </c>
      <c r="P211" s="3">
        <v>4.98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342</v>
      </c>
      <c r="X211" s="3">
        <v>15.99</v>
      </c>
      <c r="Y211" s="3">
        <v>15.99</v>
      </c>
      <c r="Z211" s="3">
        <v>15.99</v>
      </c>
      <c r="AA211" s="3">
        <v>0</v>
      </c>
      <c r="AB211" s="3" t="s">
        <v>349</v>
      </c>
      <c r="AC211" s="3">
        <v>0</v>
      </c>
      <c r="AD211" s="3">
        <v>14.28</v>
      </c>
      <c r="AE211" s="3">
        <v>133</v>
      </c>
      <c r="AF211" s="3">
        <v>0</v>
      </c>
      <c r="AG211" s="3">
        <v>83.796442</v>
      </c>
      <c r="AH211" s="3">
        <v>0</v>
      </c>
      <c r="AI211" s="3" t="s">
        <v>397</v>
      </c>
      <c r="AJ211" s="3" t="s">
        <v>345</v>
      </c>
    </row>
    <row r="212" spans="1:36">
      <c r="A212" s="4">
        <v>43288</v>
      </c>
      <c r="B212" s="3" t="s">
        <v>1110</v>
      </c>
      <c r="C212" s="3" t="s">
        <v>1111</v>
      </c>
      <c r="D212" s="3" t="s">
        <v>1112</v>
      </c>
      <c r="E212" s="3" t="s">
        <v>1113</v>
      </c>
      <c r="F212" s="3" t="s">
        <v>340</v>
      </c>
      <c r="G212" s="3">
        <v>6</v>
      </c>
      <c r="H212" s="3">
        <v>0</v>
      </c>
      <c r="I212" s="3">
        <v>0</v>
      </c>
      <c r="J212" s="3">
        <v>1</v>
      </c>
      <c r="K212" s="3">
        <v>5</v>
      </c>
      <c r="L212" s="3">
        <v>0</v>
      </c>
      <c r="M212" s="3">
        <v>0</v>
      </c>
      <c r="N212" s="3" t="s">
        <v>341</v>
      </c>
      <c r="O212" s="3">
        <v>5</v>
      </c>
      <c r="P212" s="3">
        <v>10.3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 t="s">
        <v>342</v>
      </c>
      <c r="X212" s="3">
        <v>17.99</v>
      </c>
      <c r="Y212" s="3">
        <v>17.99</v>
      </c>
      <c r="Z212" s="3">
        <v>17.99</v>
      </c>
      <c r="AA212" s="3">
        <v>0</v>
      </c>
      <c r="AB212" s="3" t="s">
        <v>343</v>
      </c>
      <c r="AC212" s="3">
        <v>0</v>
      </c>
      <c r="AD212" s="3">
        <v>14.39</v>
      </c>
      <c r="AE212" s="3">
        <v>364</v>
      </c>
      <c r="AF212" s="3">
        <v>0</v>
      </c>
      <c r="AG212" s="3">
        <v>151.508156</v>
      </c>
      <c r="AH212" s="3">
        <v>0</v>
      </c>
      <c r="AI212" s="3" t="s">
        <v>604</v>
      </c>
      <c r="AJ212" s="3" t="s">
        <v>345</v>
      </c>
    </row>
    <row r="213" spans="1:36">
      <c r="A213" s="4">
        <v>43288</v>
      </c>
      <c r="B213" s="3" t="s">
        <v>1114</v>
      </c>
      <c r="C213" s="3" t="s">
        <v>1115</v>
      </c>
      <c r="D213" s="3" t="s">
        <v>1116</v>
      </c>
      <c r="E213" s="3" t="s">
        <v>468</v>
      </c>
      <c r="F213" s="3" t="s">
        <v>340</v>
      </c>
      <c r="G213" s="3">
        <v>6</v>
      </c>
      <c r="H213" s="3">
        <v>0</v>
      </c>
      <c r="I213" s="3">
        <v>0</v>
      </c>
      <c r="J213" s="3">
        <v>6</v>
      </c>
      <c r="K213" s="3">
        <v>0</v>
      </c>
      <c r="L213" s="3">
        <v>0</v>
      </c>
      <c r="M213" s="3">
        <v>0</v>
      </c>
      <c r="N213" s="3" t="s">
        <v>341</v>
      </c>
      <c r="O213" s="3">
        <v>6</v>
      </c>
      <c r="P213" s="3">
        <v>6.88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1</v>
      </c>
      <c r="W213" s="3" t="s">
        <v>342</v>
      </c>
      <c r="X213" s="3">
        <v>16.99</v>
      </c>
      <c r="Y213" s="3">
        <v>16.99</v>
      </c>
      <c r="Z213" s="3">
        <v>16.99</v>
      </c>
      <c r="AA213" s="3">
        <v>0</v>
      </c>
      <c r="AB213" s="3" t="s">
        <v>349</v>
      </c>
      <c r="AC213" s="3">
        <v>0</v>
      </c>
      <c r="AD213" s="3">
        <v>15.03</v>
      </c>
      <c r="AE213" s="3">
        <v>196</v>
      </c>
      <c r="AF213" s="3">
        <v>0</v>
      </c>
      <c r="AG213" s="3">
        <v>120.652648</v>
      </c>
      <c r="AH213" s="3">
        <v>0.16</v>
      </c>
      <c r="AI213" s="3" t="s">
        <v>469</v>
      </c>
      <c r="AJ213" s="3" t="s">
        <v>345</v>
      </c>
    </row>
    <row r="214" spans="1:36">
      <c r="A214" s="4">
        <v>43288</v>
      </c>
      <c r="B214" s="3" t="s">
        <v>1117</v>
      </c>
      <c r="C214" s="3" t="s">
        <v>1118</v>
      </c>
      <c r="D214" s="3" t="s">
        <v>1119</v>
      </c>
      <c r="E214" s="3" t="s">
        <v>364</v>
      </c>
      <c r="F214" s="3" t="s">
        <v>340</v>
      </c>
      <c r="G214" s="3">
        <v>1</v>
      </c>
      <c r="H214" s="3">
        <v>0</v>
      </c>
      <c r="I214" s="3">
        <v>0</v>
      </c>
      <c r="J214" s="3">
        <v>1</v>
      </c>
      <c r="K214" s="3">
        <v>0</v>
      </c>
      <c r="L214" s="3">
        <v>0</v>
      </c>
      <c r="M214" s="3">
        <v>0</v>
      </c>
      <c r="N214" s="3" t="s">
        <v>341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342</v>
      </c>
      <c r="X214" s="3">
        <v>17.99</v>
      </c>
      <c r="Y214" s="3">
        <v>17.99</v>
      </c>
      <c r="Z214" s="3">
        <v>17.99</v>
      </c>
      <c r="AA214" s="3">
        <v>0</v>
      </c>
      <c r="AB214" s="3" t="s">
        <v>349</v>
      </c>
      <c r="AC214" s="3">
        <v>0</v>
      </c>
      <c r="AD214" s="3">
        <v>16.89</v>
      </c>
      <c r="AE214" s="3">
        <v>28</v>
      </c>
      <c r="AF214" s="3">
        <v>0</v>
      </c>
      <c r="AG214" s="3">
        <v>28.286148</v>
      </c>
      <c r="AH214" s="3">
        <v>0</v>
      </c>
      <c r="AI214" s="3" t="s">
        <v>365</v>
      </c>
      <c r="AJ214" s="3" t="s">
        <v>345</v>
      </c>
    </row>
    <row r="215" spans="1:36">
      <c r="A215" s="4">
        <v>43288</v>
      </c>
      <c r="B215" s="3" t="s">
        <v>1120</v>
      </c>
      <c r="C215" s="3" t="s">
        <v>1121</v>
      </c>
      <c r="D215" s="3" t="s">
        <v>1122</v>
      </c>
      <c r="E215" s="3" t="s">
        <v>247</v>
      </c>
      <c r="F215" s="3" t="s">
        <v>340</v>
      </c>
      <c r="G215" s="3">
        <v>6</v>
      </c>
      <c r="H215" s="3">
        <v>0</v>
      </c>
      <c r="I215" s="3">
        <v>6</v>
      </c>
      <c r="J215" s="3">
        <v>0</v>
      </c>
      <c r="K215" s="3">
        <v>0</v>
      </c>
      <c r="L215" s="3">
        <v>0</v>
      </c>
      <c r="M215" s="3">
        <v>0</v>
      </c>
      <c r="N215" s="3" t="s">
        <v>341</v>
      </c>
      <c r="O215" s="3">
        <v>0</v>
      </c>
      <c r="P215" s="3">
        <v>0</v>
      </c>
      <c r="Q215" s="3">
        <v>0</v>
      </c>
      <c r="R215" s="3">
        <v>0</v>
      </c>
      <c r="S215" s="3">
        <v>1</v>
      </c>
      <c r="T215" s="3">
        <v>6</v>
      </c>
      <c r="U215" s="3">
        <v>20</v>
      </c>
      <c r="V215" s="3">
        <v>27</v>
      </c>
      <c r="W215" s="3"/>
      <c r="X215" s="3">
        <v>19.99</v>
      </c>
      <c r="Y215" s="3">
        <v>19.99</v>
      </c>
      <c r="Z215" s="3">
        <v>19.99</v>
      </c>
      <c r="AA215" s="3">
        <v>0</v>
      </c>
      <c r="AB215" s="3" t="s">
        <v>359</v>
      </c>
      <c r="AC215" s="3">
        <v>6</v>
      </c>
      <c r="AD215" s="3">
        <v>19.99</v>
      </c>
      <c r="AE215" s="3">
        <v>0</v>
      </c>
      <c r="AF215" s="3">
        <v>0</v>
      </c>
      <c r="AG215" s="3">
        <v>0</v>
      </c>
      <c r="AH215" s="3">
        <v>3.08571428571428</v>
      </c>
      <c r="AI215" s="3" t="s">
        <v>709</v>
      </c>
      <c r="AJ215" s="3" t="s">
        <v>345</v>
      </c>
    </row>
    <row r="216" spans="1:36">
      <c r="A216" s="4">
        <v>43288</v>
      </c>
      <c r="B216" s="3" t="s">
        <v>1123</v>
      </c>
      <c r="C216" s="3" t="s">
        <v>1124</v>
      </c>
      <c r="D216" s="3" t="s">
        <v>1125</v>
      </c>
      <c r="E216" s="3" t="s">
        <v>1126</v>
      </c>
      <c r="F216" s="3" t="s">
        <v>340</v>
      </c>
      <c r="G216" s="3">
        <v>1</v>
      </c>
      <c r="H216" s="3">
        <v>0</v>
      </c>
      <c r="I216" s="3">
        <v>1</v>
      </c>
      <c r="J216" s="3">
        <v>0</v>
      </c>
      <c r="K216" s="3">
        <v>0</v>
      </c>
      <c r="L216" s="3">
        <v>0</v>
      </c>
      <c r="M216" s="3">
        <v>0</v>
      </c>
      <c r="N216" s="3" t="s">
        <v>341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1</v>
      </c>
      <c r="U216" s="3">
        <v>1</v>
      </c>
      <c r="V216" s="3">
        <v>1</v>
      </c>
      <c r="W216" s="3" t="s">
        <v>342</v>
      </c>
      <c r="X216" s="3">
        <v>15.99</v>
      </c>
      <c r="Y216" s="3">
        <v>15.99</v>
      </c>
      <c r="Z216" s="3">
        <v>15.99</v>
      </c>
      <c r="AA216" s="3">
        <v>0</v>
      </c>
      <c r="AB216" s="3" t="s">
        <v>349</v>
      </c>
      <c r="AC216" s="3">
        <v>1</v>
      </c>
      <c r="AD216" s="3">
        <v>15.99</v>
      </c>
      <c r="AE216" s="3">
        <v>0</v>
      </c>
      <c r="AF216" s="3">
        <v>0</v>
      </c>
      <c r="AG216" s="3">
        <v>0</v>
      </c>
      <c r="AH216" s="3">
        <v>0.666666666666666</v>
      </c>
      <c r="AI216" s="3" t="s">
        <v>1127</v>
      </c>
      <c r="AJ216" s="3" t="s">
        <v>345</v>
      </c>
    </row>
    <row r="217" spans="1:36">
      <c r="A217" s="4">
        <v>43288</v>
      </c>
      <c r="B217" s="3" t="s">
        <v>1128</v>
      </c>
      <c r="C217" s="3" t="s">
        <v>1129</v>
      </c>
      <c r="D217" s="3" t="s">
        <v>1130</v>
      </c>
      <c r="E217" s="3" t="s">
        <v>1131</v>
      </c>
      <c r="F217" s="3" t="s">
        <v>340</v>
      </c>
      <c r="G217" s="3">
        <v>3</v>
      </c>
      <c r="H217" s="3">
        <v>0</v>
      </c>
      <c r="I217" s="3">
        <v>0</v>
      </c>
      <c r="J217" s="3">
        <v>0</v>
      </c>
      <c r="K217" s="3">
        <v>0</v>
      </c>
      <c r="L217" s="3">
        <v>0</v>
      </c>
      <c r="M217" s="3">
        <v>3</v>
      </c>
      <c r="N217" s="3" t="s">
        <v>341</v>
      </c>
      <c r="O217" s="3">
        <v>0</v>
      </c>
      <c r="P217" s="3">
        <v>0</v>
      </c>
      <c r="Q217" s="3">
        <v>3</v>
      </c>
      <c r="R217" s="3">
        <v>1.71</v>
      </c>
      <c r="S217" s="3">
        <v>0</v>
      </c>
      <c r="T217" s="3">
        <v>0</v>
      </c>
      <c r="U217" s="3">
        <v>0</v>
      </c>
      <c r="V217" s="3">
        <v>0</v>
      </c>
      <c r="W217" s="3" t="s">
        <v>342</v>
      </c>
      <c r="X217" s="3">
        <v>19.9</v>
      </c>
      <c r="Y217" s="3">
        <v>19.9</v>
      </c>
      <c r="Z217" s="3">
        <v>19.9</v>
      </c>
      <c r="AA217" s="3">
        <v>0</v>
      </c>
      <c r="AB217" s="3" t="s">
        <v>343</v>
      </c>
      <c r="AC217" s="3">
        <v>0</v>
      </c>
      <c r="AD217" s="3">
        <v>15.92</v>
      </c>
      <c r="AE217" s="3">
        <v>63</v>
      </c>
      <c r="AF217" s="3">
        <v>0</v>
      </c>
      <c r="AG217" s="3">
        <v>12.165915</v>
      </c>
      <c r="AH217" s="3">
        <v>0</v>
      </c>
      <c r="AI217" s="3" t="s">
        <v>1132</v>
      </c>
      <c r="AJ217" s="3" t="s">
        <v>345</v>
      </c>
    </row>
    <row r="218" spans="1:36">
      <c r="A218" s="4">
        <v>43288</v>
      </c>
      <c r="B218" s="3" t="s">
        <v>1133</v>
      </c>
      <c r="C218" s="3" t="s">
        <v>1134</v>
      </c>
      <c r="D218" s="3" t="s">
        <v>1135</v>
      </c>
      <c r="E218" s="3" t="s">
        <v>1136</v>
      </c>
      <c r="F218" s="3" t="s">
        <v>340</v>
      </c>
      <c r="G218" s="3">
        <v>6</v>
      </c>
      <c r="H218" s="3">
        <v>0</v>
      </c>
      <c r="I218" s="3">
        <v>1</v>
      </c>
      <c r="J218" s="3">
        <v>2</v>
      </c>
      <c r="K218" s="3">
        <v>1</v>
      </c>
      <c r="L218" s="3">
        <v>2</v>
      </c>
      <c r="M218" s="3">
        <v>0</v>
      </c>
      <c r="N218" s="3" t="s">
        <v>341</v>
      </c>
      <c r="O218" s="3">
        <v>3</v>
      </c>
      <c r="P218" s="3">
        <v>3.14</v>
      </c>
      <c r="Q218" s="3">
        <v>0</v>
      </c>
      <c r="R218" s="3">
        <v>0</v>
      </c>
      <c r="S218" s="3">
        <v>0</v>
      </c>
      <c r="T218" s="3">
        <v>0</v>
      </c>
      <c r="U218" s="3">
        <v>2</v>
      </c>
      <c r="V218" s="3">
        <v>2</v>
      </c>
      <c r="W218" s="3" t="s">
        <v>381</v>
      </c>
      <c r="X218" s="3">
        <v>19.99</v>
      </c>
      <c r="Y218" s="3">
        <v>19.99</v>
      </c>
      <c r="Z218" s="3">
        <v>19.99</v>
      </c>
      <c r="AA218" s="3">
        <v>0</v>
      </c>
      <c r="AB218" s="3" t="s">
        <v>343</v>
      </c>
      <c r="AC218" s="3">
        <v>0</v>
      </c>
      <c r="AD218" s="3">
        <v>15.99</v>
      </c>
      <c r="AE218" s="3">
        <v>189</v>
      </c>
      <c r="AF218" s="3">
        <v>0</v>
      </c>
      <c r="AG218" s="3">
        <v>45.403092</v>
      </c>
      <c r="AH218" s="3">
        <v>0.285714285714285</v>
      </c>
      <c r="AI218" s="3" t="s">
        <v>1137</v>
      </c>
      <c r="AJ218" s="3" t="s">
        <v>345</v>
      </c>
    </row>
    <row r="219" spans="1:36">
      <c r="A219" s="4">
        <v>43288</v>
      </c>
      <c r="B219" s="3" t="s">
        <v>1138</v>
      </c>
      <c r="C219" s="3" t="s">
        <v>1139</v>
      </c>
      <c r="D219" s="3" t="s">
        <v>1140</v>
      </c>
      <c r="E219" s="3" t="s">
        <v>1141</v>
      </c>
      <c r="F219" s="3" t="s">
        <v>340</v>
      </c>
      <c r="G219" s="3">
        <v>5</v>
      </c>
      <c r="H219" s="3">
        <v>0</v>
      </c>
      <c r="I219" s="3">
        <v>0</v>
      </c>
      <c r="J219" s="3">
        <v>1</v>
      </c>
      <c r="K219" s="3">
        <v>4</v>
      </c>
      <c r="L219" s="3">
        <v>0</v>
      </c>
      <c r="M219" s="3">
        <v>0</v>
      </c>
      <c r="N219" s="3" t="s">
        <v>341</v>
      </c>
      <c r="O219" s="3">
        <v>5</v>
      </c>
      <c r="P219" s="3">
        <v>9.85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342</v>
      </c>
      <c r="X219" s="3">
        <v>22.99</v>
      </c>
      <c r="Y219" s="3">
        <v>22.99</v>
      </c>
      <c r="Z219" s="3">
        <v>22.99</v>
      </c>
      <c r="AA219" s="3">
        <v>0</v>
      </c>
      <c r="AB219" s="3" t="s">
        <v>343</v>
      </c>
      <c r="AC219" s="3">
        <v>0</v>
      </c>
      <c r="AD219" s="3">
        <v>21.76</v>
      </c>
      <c r="AE219" s="3">
        <v>28</v>
      </c>
      <c r="AF219" s="3">
        <v>0</v>
      </c>
      <c r="AG219" s="3">
        <v>175.630233</v>
      </c>
      <c r="AH219" s="3">
        <v>0</v>
      </c>
      <c r="AI219" s="3" t="s">
        <v>987</v>
      </c>
      <c r="AJ219" s="3" t="s">
        <v>345</v>
      </c>
    </row>
    <row r="220" spans="1:36">
      <c r="A220" s="4">
        <v>43288</v>
      </c>
      <c r="B220" s="3" t="s">
        <v>1142</v>
      </c>
      <c r="C220" s="3" t="s">
        <v>1143</v>
      </c>
      <c r="D220" s="3" t="s">
        <v>1144</v>
      </c>
      <c r="E220" s="3" t="s">
        <v>1145</v>
      </c>
      <c r="F220" s="3" t="s">
        <v>340</v>
      </c>
      <c r="G220" s="3">
        <v>3</v>
      </c>
      <c r="H220" s="3">
        <v>0</v>
      </c>
      <c r="I220" s="3">
        <v>2</v>
      </c>
      <c r="J220" s="3">
        <v>1</v>
      </c>
      <c r="K220" s="3">
        <v>0</v>
      </c>
      <c r="L220" s="3">
        <v>0</v>
      </c>
      <c r="M220" s="3">
        <v>0</v>
      </c>
      <c r="N220" s="3" t="s">
        <v>341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1</v>
      </c>
      <c r="U220" s="3">
        <v>1</v>
      </c>
      <c r="V220" s="3">
        <v>1</v>
      </c>
      <c r="W220" s="3" t="s">
        <v>342</v>
      </c>
      <c r="X220" s="3">
        <v>16.99</v>
      </c>
      <c r="Y220" s="3">
        <v>16.99</v>
      </c>
      <c r="Z220" s="3">
        <v>16.99</v>
      </c>
      <c r="AA220" s="3">
        <v>0</v>
      </c>
      <c r="AB220" s="3" t="s">
        <v>349</v>
      </c>
      <c r="AC220" s="3">
        <v>3</v>
      </c>
      <c r="AD220" s="3">
        <v>16.99</v>
      </c>
      <c r="AE220" s="3">
        <v>0</v>
      </c>
      <c r="AF220" s="3">
        <v>0</v>
      </c>
      <c r="AG220" s="3">
        <v>0</v>
      </c>
      <c r="AH220" s="3">
        <v>0.307692307692307</v>
      </c>
      <c r="AI220" s="3" t="s">
        <v>1146</v>
      </c>
      <c r="AJ220" s="3" t="s">
        <v>345</v>
      </c>
    </row>
    <row r="221" spans="1:36">
      <c r="A221" s="4">
        <v>43288</v>
      </c>
      <c r="B221" s="3" t="s">
        <v>1147</v>
      </c>
      <c r="C221" s="3" t="s">
        <v>1148</v>
      </c>
      <c r="D221" s="3" t="s">
        <v>1149</v>
      </c>
      <c r="E221" s="3" t="s">
        <v>1150</v>
      </c>
      <c r="F221" s="3" t="s">
        <v>340</v>
      </c>
      <c r="G221" s="3">
        <v>1</v>
      </c>
      <c r="H221" s="3">
        <v>0</v>
      </c>
      <c r="I221" s="3">
        <v>0</v>
      </c>
      <c r="J221" s="3">
        <v>1</v>
      </c>
      <c r="K221" s="3">
        <v>0</v>
      </c>
      <c r="L221" s="3">
        <v>0</v>
      </c>
      <c r="M221" s="3">
        <v>0</v>
      </c>
      <c r="N221" s="3" t="s">
        <v>341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4</v>
      </c>
      <c r="U221" s="3">
        <v>6</v>
      </c>
      <c r="V221" s="3">
        <v>7</v>
      </c>
      <c r="W221" s="3"/>
      <c r="X221" s="3">
        <v>18.99</v>
      </c>
      <c r="Y221" s="3">
        <v>18.99</v>
      </c>
      <c r="Z221" s="3">
        <v>18.99</v>
      </c>
      <c r="AA221" s="3">
        <v>0</v>
      </c>
      <c r="AB221" s="3" t="s">
        <v>359</v>
      </c>
      <c r="AC221" s="3">
        <v>1</v>
      </c>
      <c r="AD221" s="3">
        <v>18.99</v>
      </c>
      <c r="AE221" s="3">
        <v>0</v>
      </c>
      <c r="AF221" s="3">
        <v>0</v>
      </c>
      <c r="AG221" s="3">
        <v>0</v>
      </c>
      <c r="AH221" s="3">
        <v>1.16666666666666</v>
      </c>
      <c r="AI221" s="3" t="s">
        <v>1151</v>
      </c>
      <c r="AJ221" s="3" t="s">
        <v>345</v>
      </c>
    </row>
    <row r="222" spans="1:36">
      <c r="A222" s="4">
        <v>43288</v>
      </c>
      <c r="B222" s="3" t="s">
        <v>1152</v>
      </c>
      <c r="C222" s="3" t="s">
        <v>1153</v>
      </c>
      <c r="D222" s="3" t="s">
        <v>1154</v>
      </c>
      <c r="E222" s="3" t="s">
        <v>273</v>
      </c>
      <c r="F222" s="3" t="s">
        <v>340</v>
      </c>
      <c r="G222" s="3">
        <v>3</v>
      </c>
      <c r="H222" s="3">
        <v>0</v>
      </c>
      <c r="I222" s="3">
        <v>2</v>
      </c>
      <c r="J222" s="3">
        <v>1</v>
      </c>
      <c r="K222" s="3">
        <v>0</v>
      </c>
      <c r="L222" s="3">
        <v>0</v>
      </c>
      <c r="M222" s="3">
        <v>0</v>
      </c>
      <c r="N222" s="3" t="s">
        <v>341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2</v>
      </c>
      <c r="U222" s="3">
        <v>5</v>
      </c>
      <c r="V222" s="3">
        <v>7</v>
      </c>
      <c r="W222" s="3" t="s">
        <v>342</v>
      </c>
      <c r="X222" s="3">
        <v>16.99</v>
      </c>
      <c r="Y222" s="3">
        <v>16.99</v>
      </c>
      <c r="Z222" s="3">
        <v>16.99</v>
      </c>
      <c r="AA222" s="3">
        <v>0</v>
      </c>
      <c r="AB222" s="3" t="s">
        <v>349</v>
      </c>
      <c r="AC222" s="3">
        <v>3</v>
      </c>
      <c r="AD222" s="3">
        <v>16.99</v>
      </c>
      <c r="AE222" s="3">
        <v>0</v>
      </c>
      <c r="AF222" s="3">
        <v>0</v>
      </c>
      <c r="AG222" s="3">
        <v>0</v>
      </c>
      <c r="AH222" s="3">
        <v>1.16666666666666</v>
      </c>
      <c r="AI222" s="3" t="s">
        <v>1155</v>
      </c>
      <c r="AJ222" s="3" t="s">
        <v>345</v>
      </c>
    </row>
    <row r="223" spans="1:36">
      <c r="A223" s="4">
        <v>43288</v>
      </c>
      <c r="B223" s="3" t="s">
        <v>1156</v>
      </c>
      <c r="C223" s="3" t="s">
        <v>1157</v>
      </c>
      <c r="D223" s="3" t="s">
        <v>1158</v>
      </c>
      <c r="E223" s="3" t="s">
        <v>177</v>
      </c>
      <c r="F223" s="3" t="s">
        <v>340</v>
      </c>
      <c r="G223" s="3">
        <v>16</v>
      </c>
      <c r="H223" s="3">
        <v>0</v>
      </c>
      <c r="I223" s="3">
        <v>16</v>
      </c>
      <c r="J223" s="3">
        <v>0</v>
      </c>
      <c r="K223" s="3">
        <v>0</v>
      </c>
      <c r="L223" s="3">
        <v>0</v>
      </c>
      <c r="M223" s="3">
        <v>0</v>
      </c>
      <c r="N223" s="3" t="s">
        <v>341</v>
      </c>
      <c r="O223" s="3">
        <v>0</v>
      </c>
      <c r="P223" s="3">
        <v>0</v>
      </c>
      <c r="Q223" s="3">
        <v>0</v>
      </c>
      <c r="R223" s="3">
        <v>0</v>
      </c>
      <c r="S223" s="3">
        <v>1</v>
      </c>
      <c r="T223" s="3">
        <v>9</v>
      </c>
      <c r="U223" s="3">
        <v>22</v>
      </c>
      <c r="V223" s="3">
        <v>26</v>
      </c>
      <c r="W223" s="3"/>
      <c r="X223" s="3">
        <v>19.99</v>
      </c>
      <c r="Y223" s="3">
        <v>19.99</v>
      </c>
      <c r="Z223" s="3">
        <v>19.99</v>
      </c>
      <c r="AA223" s="3">
        <v>0</v>
      </c>
      <c r="AB223" s="3" t="s">
        <v>359</v>
      </c>
      <c r="AC223" s="3">
        <v>17</v>
      </c>
      <c r="AD223" s="3">
        <v>19.99</v>
      </c>
      <c r="AE223" s="3">
        <v>0</v>
      </c>
      <c r="AF223" s="3">
        <v>0</v>
      </c>
      <c r="AG223" s="3">
        <v>0</v>
      </c>
      <c r="AH223" s="3">
        <v>2.81081081081081</v>
      </c>
      <c r="AI223" s="3" t="s">
        <v>492</v>
      </c>
      <c r="AJ223" s="3" t="s">
        <v>345</v>
      </c>
    </row>
    <row r="224" spans="1:36">
      <c r="A224" s="4">
        <v>43288</v>
      </c>
      <c r="B224" s="3" t="s">
        <v>1159</v>
      </c>
      <c r="C224" s="3" t="s">
        <v>1160</v>
      </c>
      <c r="D224" s="3" t="s">
        <v>1161</v>
      </c>
      <c r="E224" s="3" t="s">
        <v>1162</v>
      </c>
      <c r="F224" s="3" t="s">
        <v>340</v>
      </c>
      <c r="G224" s="3">
        <v>14</v>
      </c>
      <c r="H224" s="3">
        <v>0</v>
      </c>
      <c r="I224" s="3">
        <v>5</v>
      </c>
      <c r="J224" s="3">
        <v>9</v>
      </c>
      <c r="K224" s="3">
        <v>0</v>
      </c>
      <c r="L224" s="3">
        <v>0</v>
      </c>
      <c r="M224" s="3">
        <v>0</v>
      </c>
      <c r="N224" s="3" t="s">
        <v>341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4</v>
      </c>
      <c r="W224" s="3"/>
      <c r="X224" s="3"/>
      <c r="Y224" s="3"/>
      <c r="Z224" s="3">
        <v>-1</v>
      </c>
      <c r="AA224" s="3">
        <v>-1</v>
      </c>
      <c r="AB224" s="3" t="s">
        <v>493</v>
      </c>
      <c r="AC224" s="3">
        <v>0</v>
      </c>
      <c r="AD224" s="3">
        <v>0</v>
      </c>
      <c r="AE224" s="3">
        <v>0</v>
      </c>
      <c r="AF224" s="3">
        <v>0</v>
      </c>
      <c r="AG224" s="3">
        <v>0</v>
      </c>
      <c r="AH224" s="3">
        <v>0.213333333333333</v>
      </c>
      <c r="AI224" s="3" t="s">
        <v>1163</v>
      </c>
      <c r="AJ224" s="3" t="s">
        <v>345</v>
      </c>
    </row>
    <row r="225" spans="1:36">
      <c r="A225" s="4">
        <v>43288</v>
      </c>
      <c r="B225" s="3" t="s">
        <v>1164</v>
      </c>
      <c r="C225" s="3" t="s">
        <v>1165</v>
      </c>
      <c r="D225" s="3" t="s">
        <v>1166</v>
      </c>
      <c r="E225" s="3" t="s">
        <v>213</v>
      </c>
      <c r="F225" s="3" t="s">
        <v>340</v>
      </c>
      <c r="G225" s="3">
        <v>11</v>
      </c>
      <c r="H225" s="3">
        <v>0</v>
      </c>
      <c r="I225" s="3">
        <v>0</v>
      </c>
      <c r="J225" s="3">
        <v>5</v>
      </c>
      <c r="K225" s="3">
        <v>0</v>
      </c>
      <c r="L225" s="3">
        <v>3</v>
      </c>
      <c r="M225" s="3">
        <v>3</v>
      </c>
      <c r="N225" s="3" t="s">
        <v>341</v>
      </c>
      <c r="O225" s="3">
        <v>1</v>
      </c>
      <c r="P225" s="3">
        <v>0.4</v>
      </c>
      <c r="Q225" s="3">
        <v>5</v>
      </c>
      <c r="R225" s="3">
        <v>3.97</v>
      </c>
      <c r="S225" s="3">
        <v>0</v>
      </c>
      <c r="T225" s="3">
        <v>0</v>
      </c>
      <c r="U225" s="3">
        <v>0</v>
      </c>
      <c r="V225" s="3">
        <v>0</v>
      </c>
      <c r="W225" s="3" t="s">
        <v>381</v>
      </c>
      <c r="X225" s="3">
        <v>20.99</v>
      </c>
      <c r="Y225" s="3">
        <v>20.99</v>
      </c>
      <c r="Z225" s="3">
        <v>20.99</v>
      </c>
      <c r="AA225" s="3">
        <v>0</v>
      </c>
      <c r="AB225" s="3" t="s">
        <v>343</v>
      </c>
      <c r="AC225" s="3">
        <v>0</v>
      </c>
      <c r="AD225" s="3">
        <v>14.89</v>
      </c>
      <c r="AE225" s="3">
        <v>364</v>
      </c>
      <c r="AF225" s="3">
        <v>0</v>
      </c>
      <c r="AG225" s="3">
        <v>99.465684</v>
      </c>
      <c r="AH225" s="3">
        <v>0</v>
      </c>
      <c r="AI225" s="3" t="s">
        <v>512</v>
      </c>
      <c r="AJ225" s="3" t="s">
        <v>345</v>
      </c>
    </row>
    <row r="226" spans="1:36">
      <c r="A226" s="4">
        <v>43288</v>
      </c>
      <c r="B226" s="3" t="s">
        <v>267</v>
      </c>
      <c r="C226" s="3" t="s">
        <v>268</v>
      </c>
      <c r="D226" s="3" t="s">
        <v>269</v>
      </c>
      <c r="E226" s="3" t="s">
        <v>243</v>
      </c>
      <c r="F226" s="3" t="s">
        <v>340</v>
      </c>
      <c r="G226" s="3">
        <v>3</v>
      </c>
      <c r="H226" s="3">
        <v>0</v>
      </c>
      <c r="I226" s="3">
        <v>3</v>
      </c>
      <c r="J226" s="3">
        <v>0</v>
      </c>
      <c r="K226" s="3">
        <v>0</v>
      </c>
      <c r="L226" s="3">
        <v>0</v>
      </c>
      <c r="M226" s="3">
        <v>0</v>
      </c>
      <c r="N226" s="3" t="s">
        <v>341</v>
      </c>
      <c r="O226" s="3">
        <v>0</v>
      </c>
      <c r="P226" s="3">
        <v>0</v>
      </c>
      <c r="Q226" s="3">
        <v>0</v>
      </c>
      <c r="R226" s="3">
        <v>0</v>
      </c>
      <c r="S226" s="3">
        <v>2</v>
      </c>
      <c r="T226" s="3">
        <v>53</v>
      </c>
      <c r="U226" s="3">
        <v>176</v>
      </c>
      <c r="V226" s="3">
        <v>233</v>
      </c>
      <c r="W226" s="3"/>
      <c r="X226" s="3">
        <v>21.99</v>
      </c>
      <c r="Y226" s="3">
        <v>21.99</v>
      </c>
      <c r="Z226" s="3">
        <v>21.99</v>
      </c>
      <c r="AA226" s="3">
        <v>0</v>
      </c>
      <c r="AB226" s="3" t="s">
        <v>359</v>
      </c>
      <c r="AC226" s="3">
        <v>4</v>
      </c>
      <c r="AD226" s="3">
        <v>21.99</v>
      </c>
      <c r="AE226" s="3">
        <v>0</v>
      </c>
      <c r="AF226" s="3">
        <v>0</v>
      </c>
      <c r="AG226" s="3">
        <v>0</v>
      </c>
      <c r="AH226" s="3">
        <v>5.41860465116279</v>
      </c>
      <c r="AI226" s="3" t="s">
        <v>1167</v>
      </c>
      <c r="AJ226" s="3" t="s">
        <v>345</v>
      </c>
    </row>
    <row r="227" spans="1:36">
      <c r="A227" s="4">
        <v>43288</v>
      </c>
      <c r="B227" s="3" t="s">
        <v>1168</v>
      </c>
      <c r="C227" s="3" t="s">
        <v>1169</v>
      </c>
      <c r="D227" s="3" t="s">
        <v>1170</v>
      </c>
      <c r="E227" s="3" t="s">
        <v>530</v>
      </c>
      <c r="F227" s="3" t="s">
        <v>340</v>
      </c>
      <c r="G227" s="3">
        <v>1</v>
      </c>
      <c r="H227" s="3">
        <v>0</v>
      </c>
      <c r="I227" s="3">
        <v>0</v>
      </c>
      <c r="J227" s="3">
        <v>0</v>
      </c>
      <c r="K227" s="3">
        <v>1</v>
      </c>
      <c r="L227" s="3">
        <v>0</v>
      </c>
      <c r="M227" s="3">
        <v>0</v>
      </c>
      <c r="N227" s="3" t="s">
        <v>341</v>
      </c>
      <c r="O227" s="3">
        <v>1</v>
      </c>
      <c r="P227" s="3">
        <v>1.25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342</v>
      </c>
      <c r="X227" s="3">
        <v>9.98</v>
      </c>
      <c r="Y227" s="3">
        <v>9.98</v>
      </c>
      <c r="Z227" s="3">
        <v>9.98</v>
      </c>
      <c r="AA227" s="3">
        <v>0</v>
      </c>
      <c r="AB227" s="3" t="s">
        <v>349</v>
      </c>
      <c r="AC227" s="3">
        <v>0</v>
      </c>
      <c r="AD227" s="3">
        <v>8.98</v>
      </c>
      <c r="AE227" s="3">
        <v>112</v>
      </c>
      <c r="AF227" s="3">
        <v>0</v>
      </c>
      <c r="AG227" s="3">
        <v>16.535329</v>
      </c>
      <c r="AH227" s="3">
        <v>0</v>
      </c>
      <c r="AI227" s="3" t="s">
        <v>1171</v>
      </c>
      <c r="AJ227" s="3" t="s">
        <v>345</v>
      </c>
    </row>
    <row r="228" spans="1:36">
      <c r="A228" s="4">
        <v>43288</v>
      </c>
      <c r="B228" s="3" t="s">
        <v>1172</v>
      </c>
      <c r="C228" s="3" t="s">
        <v>1173</v>
      </c>
      <c r="D228" s="3" t="s">
        <v>1174</v>
      </c>
      <c r="E228" s="3" t="s">
        <v>1175</v>
      </c>
      <c r="F228" s="3" t="s">
        <v>340</v>
      </c>
      <c r="G228" s="3">
        <v>2</v>
      </c>
      <c r="H228" s="3">
        <v>0</v>
      </c>
      <c r="I228" s="3">
        <v>0</v>
      </c>
      <c r="J228" s="3">
        <v>0</v>
      </c>
      <c r="K228" s="3">
        <v>0</v>
      </c>
      <c r="L228" s="3">
        <v>2</v>
      </c>
      <c r="M228" s="3">
        <v>0</v>
      </c>
      <c r="N228" s="3" t="s">
        <v>341</v>
      </c>
      <c r="O228" s="3">
        <v>2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/>
      <c r="X228" s="3"/>
      <c r="Y228" s="3"/>
      <c r="Z228" s="3">
        <v>-1</v>
      </c>
      <c r="AA228" s="3">
        <v>-1</v>
      </c>
      <c r="AB228" s="3" t="s">
        <v>493</v>
      </c>
      <c r="AC228" s="3">
        <v>0</v>
      </c>
      <c r="AD228" s="3">
        <v>15.99</v>
      </c>
      <c r="AE228" s="3">
        <v>63</v>
      </c>
      <c r="AF228" s="3">
        <v>0</v>
      </c>
      <c r="AG228" s="3">
        <v>0.940753</v>
      </c>
      <c r="AH228" s="3">
        <v>0</v>
      </c>
      <c r="AI228" s="3" t="s">
        <v>728</v>
      </c>
      <c r="AJ228" s="3" t="s">
        <v>345</v>
      </c>
    </row>
    <row r="229" spans="1:36">
      <c r="A229" s="4">
        <v>43288</v>
      </c>
      <c r="B229" s="3" t="s">
        <v>1176</v>
      </c>
      <c r="C229" s="3" t="s">
        <v>1177</v>
      </c>
      <c r="D229" s="3" t="s">
        <v>1178</v>
      </c>
      <c r="E229" s="3" t="s">
        <v>844</v>
      </c>
      <c r="F229" s="3" t="s">
        <v>340</v>
      </c>
      <c r="G229" s="3">
        <v>1</v>
      </c>
      <c r="H229" s="3">
        <v>0</v>
      </c>
      <c r="I229" s="3">
        <v>0</v>
      </c>
      <c r="J229" s="3">
        <v>0</v>
      </c>
      <c r="K229" s="3">
        <v>1</v>
      </c>
      <c r="L229" s="3">
        <v>0</v>
      </c>
      <c r="M229" s="3">
        <v>0</v>
      </c>
      <c r="N229" s="3" t="s">
        <v>341</v>
      </c>
      <c r="O229" s="3">
        <v>1</v>
      </c>
      <c r="P229" s="3">
        <v>2.43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 t="s">
        <v>342</v>
      </c>
      <c r="X229" s="3">
        <v>20.99</v>
      </c>
      <c r="Y229" s="3">
        <v>20.99</v>
      </c>
      <c r="Z229" s="3">
        <v>20.99</v>
      </c>
      <c r="AA229" s="3">
        <v>0</v>
      </c>
      <c r="AB229" s="3" t="s">
        <v>359</v>
      </c>
      <c r="AC229" s="3">
        <v>1</v>
      </c>
      <c r="AD229" s="3">
        <v>20.99</v>
      </c>
      <c r="AE229" s="3">
        <v>0</v>
      </c>
      <c r="AF229" s="3">
        <v>0</v>
      </c>
      <c r="AG229" s="3">
        <v>0</v>
      </c>
      <c r="AH229" s="3">
        <v>0</v>
      </c>
      <c r="AI229" s="3" t="s">
        <v>845</v>
      </c>
      <c r="AJ229" s="3" t="s">
        <v>345</v>
      </c>
    </row>
    <row r="230" spans="1:36">
      <c r="A230" s="4">
        <v>43288</v>
      </c>
      <c r="B230" s="3" t="s">
        <v>1179</v>
      </c>
      <c r="C230" s="3" t="s">
        <v>1180</v>
      </c>
      <c r="D230" s="3" t="s">
        <v>1181</v>
      </c>
      <c r="E230" s="3" t="s">
        <v>1182</v>
      </c>
      <c r="F230" s="3" t="s">
        <v>340</v>
      </c>
      <c r="G230" s="3">
        <v>2</v>
      </c>
      <c r="H230" s="3">
        <v>0</v>
      </c>
      <c r="I230" s="3">
        <v>0</v>
      </c>
      <c r="J230" s="3">
        <v>2</v>
      </c>
      <c r="K230" s="3">
        <v>0</v>
      </c>
      <c r="L230" s="3">
        <v>0</v>
      </c>
      <c r="M230" s="3">
        <v>0</v>
      </c>
      <c r="N230" s="3" t="s">
        <v>341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1</v>
      </c>
      <c r="U230" s="3">
        <v>1</v>
      </c>
      <c r="V230" s="3">
        <v>1</v>
      </c>
      <c r="W230" s="3"/>
      <c r="X230" s="3">
        <v>18.99</v>
      </c>
      <c r="Y230" s="3">
        <v>18.99</v>
      </c>
      <c r="Z230" s="3">
        <v>18.99</v>
      </c>
      <c r="AA230" s="3">
        <v>0</v>
      </c>
      <c r="AB230" s="3" t="s">
        <v>359</v>
      </c>
      <c r="AC230" s="3">
        <v>2</v>
      </c>
      <c r="AD230" s="3">
        <v>18.99</v>
      </c>
      <c r="AE230" s="3">
        <v>0</v>
      </c>
      <c r="AF230" s="3">
        <v>0</v>
      </c>
      <c r="AG230" s="3">
        <v>0</v>
      </c>
      <c r="AH230" s="3">
        <v>0.16</v>
      </c>
      <c r="AI230" s="3" t="s">
        <v>1183</v>
      </c>
      <c r="AJ230" s="3" t="s">
        <v>345</v>
      </c>
    </row>
    <row r="231" spans="1:36">
      <c r="A231" s="4">
        <v>43288</v>
      </c>
      <c r="B231" s="3" t="s">
        <v>1184</v>
      </c>
      <c r="C231" s="3" t="s">
        <v>1185</v>
      </c>
      <c r="D231" s="3" t="s">
        <v>1186</v>
      </c>
      <c r="E231" s="3" t="s">
        <v>111</v>
      </c>
      <c r="F231" s="3" t="s">
        <v>340</v>
      </c>
      <c r="G231" s="3">
        <v>1</v>
      </c>
      <c r="H231" s="3">
        <v>0</v>
      </c>
      <c r="I231" s="3">
        <v>0</v>
      </c>
      <c r="J231" s="3">
        <v>1</v>
      </c>
      <c r="K231" s="3">
        <v>0</v>
      </c>
      <c r="L231" s="3">
        <v>0</v>
      </c>
      <c r="M231" s="3">
        <v>0</v>
      </c>
      <c r="N231" s="3" t="s">
        <v>341</v>
      </c>
      <c r="O231" s="3">
        <v>1</v>
      </c>
      <c r="P231" s="3">
        <v>0.63</v>
      </c>
      <c r="Q231" s="3">
        <v>0</v>
      </c>
      <c r="R231" s="3">
        <v>0</v>
      </c>
      <c r="S231" s="3">
        <v>1</v>
      </c>
      <c r="T231" s="3">
        <v>2</v>
      </c>
      <c r="U231" s="3">
        <v>4</v>
      </c>
      <c r="V231" s="3">
        <v>4</v>
      </c>
      <c r="W231" s="3"/>
      <c r="X231" s="3">
        <v>16.99</v>
      </c>
      <c r="Y231" s="3">
        <v>16.99</v>
      </c>
      <c r="Z231" s="3">
        <v>16.99</v>
      </c>
      <c r="AA231" s="3">
        <v>0</v>
      </c>
      <c r="AB231" s="3" t="s">
        <v>359</v>
      </c>
      <c r="AC231" s="3">
        <v>2</v>
      </c>
      <c r="AD231" s="3">
        <v>16.99</v>
      </c>
      <c r="AE231" s="3">
        <v>0</v>
      </c>
      <c r="AF231" s="3">
        <v>0</v>
      </c>
      <c r="AG231" s="3">
        <v>0</v>
      </c>
      <c r="AH231" s="3">
        <v>1</v>
      </c>
      <c r="AI231" s="3" t="s">
        <v>1187</v>
      </c>
      <c r="AJ231" s="3" t="s">
        <v>345</v>
      </c>
    </row>
    <row r="232" spans="1:36">
      <c r="A232" s="4">
        <v>43288</v>
      </c>
      <c r="B232" s="3" t="s">
        <v>1188</v>
      </c>
      <c r="C232" s="3" t="s">
        <v>1189</v>
      </c>
      <c r="D232" s="3" t="s">
        <v>1190</v>
      </c>
      <c r="E232" s="3" t="s">
        <v>1191</v>
      </c>
      <c r="F232" s="3" t="s">
        <v>340</v>
      </c>
      <c r="G232" s="3">
        <v>4</v>
      </c>
      <c r="H232" s="3">
        <v>0</v>
      </c>
      <c r="I232" s="3">
        <v>3</v>
      </c>
      <c r="J232" s="3">
        <v>1</v>
      </c>
      <c r="K232" s="3">
        <v>0</v>
      </c>
      <c r="L232" s="3">
        <v>0</v>
      </c>
      <c r="M232" s="3">
        <v>0</v>
      </c>
      <c r="N232" s="3" t="s">
        <v>341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5</v>
      </c>
      <c r="W232" s="3"/>
      <c r="X232" s="3"/>
      <c r="Y232" s="3"/>
      <c r="Z232" s="3">
        <v>-1</v>
      </c>
      <c r="AA232" s="3">
        <v>-1</v>
      </c>
      <c r="AB232" s="3" t="s">
        <v>493</v>
      </c>
      <c r="AC232" s="3">
        <v>0</v>
      </c>
      <c r="AD232" s="3">
        <v>0</v>
      </c>
      <c r="AE232" s="3">
        <v>0</v>
      </c>
      <c r="AF232" s="3">
        <v>0</v>
      </c>
      <c r="AG232" s="3">
        <v>0</v>
      </c>
      <c r="AH232" s="3">
        <v>1.25</v>
      </c>
      <c r="AI232" s="3" t="s">
        <v>1192</v>
      </c>
      <c r="AJ232" s="3" t="s">
        <v>345</v>
      </c>
    </row>
    <row r="233" spans="1:36">
      <c r="A233" s="4">
        <v>43288</v>
      </c>
      <c r="B233" s="3" t="s">
        <v>140</v>
      </c>
      <c r="C233" s="3" t="s">
        <v>141</v>
      </c>
      <c r="D233" s="3" t="s">
        <v>142</v>
      </c>
      <c r="E233" s="3" t="s">
        <v>143</v>
      </c>
      <c r="F233" s="3" t="s">
        <v>340</v>
      </c>
      <c r="G233" s="3">
        <v>18</v>
      </c>
      <c r="H233" s="3">
        <v>0</v>
      </c>
      <c r="I233" s="3">
        <v>18</v>
      </c>
      <c r="J233" s="3">
        <v>0</v>
      </c>
      <c r="K233" s="3">
        <v>0</v>
      </c>
      <c r="L233" s="3">
        <v>0</v>
      </c>
      <c r="M233" s="3">
        <v>0</v>
      </c>
      <c r="N233" s="3" t="s">
        <v>341</v>
      </c>
      <c r="O233" s="3">
        <v>0</v>
      </c>
      <c r="P233" s="3">
        <v>0</v>
      </c>
      <c r="Q233" s="3">
        <v>0</v>
      </c>
      <c r="R233" s="3">
        <v>0</v>
      </c>
      <c r="S233" s="3">
        <v>6</v>
      </c>
      <c r="T233" s="3">
        <v>42</v>
      </c>
      <c r="U233" s="3">
        <v>62</v>
      </c>
      <c r="V233" s="3">
        <v>65</v>
      </c>
      <c r="W233" s="3"/>
      <c r="X233" s="3">
        <v>39.99</v>
      </c>
      <c r="Y233" s="3">
        <v>19.99</v>
      </c>
      <c r="Z233" s="3">
        <v>19.99</v>
      </c>
      <c r="AA233" s="3">
        <v>0</v>
      </c>
      <c r="AB233" s="3" t="s">
        <v>359</v>
      </c>
      <c r="AC233" s="3">
        <v>23</v>
      </c>
      <c r="AD233" s="3">
        <v>19.99</v>
      </c>
      <c r="AE233" s="3">
        <v>0</v>
      </c>
      <c r="AF233" s="3">
        <v>0</v>
      </c>
      <c r="AG233" s="3">
        <v>0</v>
      </c>
      <c r="AH233" s="3">
        <v>4.875</v>
      </c>
      <c r="AI233" s="3" t="s">
        <v>371</v>
      </c>
      <c r="AJ233" s="3" t="s">
        <v>345</v>
      </c>
    </row>
    <row r="234" spans="1:36">
      <c r="A234" s="4">
        <v>43288</v>
      </c>
      <c r="B234" s="3" t="s">
        <v>1193</v>
      </c>
      <c r="C234" s="3" t="s">
        <v>1194</v>
      </c>
      <c r="D234" s="3" t="s">
        <v>1195</v>
      </c>
      <c r="E234" s="3" t="s">
        <v>11</v>
      </c>
      <c r="F234" s="3" t="s">
        <v>340</v>
      </c>
      <c r="G234" s="3">
        <v>2</v>
      </c>
      <c r="H234" s="3">
        <v>0</v>
      </c>
      <c r="I234" s="3">
        <v>1</v>
      </c>
      <c r="J234" s="3">
        <v>1</v>
      </c>
      <c r="K234" s="3">
        <v>0</v>
      </c>
      <c r="L234" s="3">
        <v>0</v>
      </c>
      <c r="M234" s="3">
        <v>0</v>
      </c>
      <c r="N234" s="3" t="s">
        <v>341</v>
      </c>
      <c r="O234" s="3">
        <v>1</v>
      </c>
      <c r="P234" s="3">
        <v>2.32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2</v>
      </c>
      <c r="W234" s="3" t="s">
        <v>342</v>
      </c>
      <c r="X234" s="3">
        <v>25.99</v>
      </c>
      <c r="Y234" s="3">
        <v>25.99</v>
      </c>
      <c r="Z234" s="3">
        <v>25.99</v>
      </c>
      <c r="AA234" s="3">
        <v>0</v>
      </c>
      <c r="AB234" s="3" t="s">
        <v>349</v>
      </c>
      <c r="AC234" s="3">
        <v>2</v>
      </c>
      <c r="AD234" s="3">
        <v>25.99</v>
      </c>
      <c r="AE234" s="3">
        <v>0</v>
      </c>
      <c r="AF234" s="3">
        <v>0</v>
      </c>
      <c r="AG234" s="3">
        <v>0</v>
      </c>
      <c r="AH234" s="3">
        <v>0.888888888888888</v>
      </c>
      <c r="AI234" s="3" t="s">
        <v>750</v>
      </c>
      <c r="AJ234" s="3" t="s">
        <v>345</v>
      </c>
    </row>
    <row r="235" spans="1:36">
      <c r="A235" s="4">
        <v>43288</v>
      </c>
      <c r="B235" s="3" t="s">
        <v>229</v>
      </c>
      <c r="C235" s="3" t="s">
        <v>230</v>
      </c>
      <c r="D235" s="3" t="s">
        <v>231</v>
      </c>
      <c r="E235" s="3" t="s">
        <v>232</v>
      </c>
      <c r="F235" s="3" t="s">
        <v>340</v>
      </c>
      <c r="G235" s="3">
        <v>6</v>
      </c>
      <c r="H235" s="3">
        <v>0</v>
      </c>
      <c r="I235" s="3">
        <v>0</v>
      </c>
      <c r="J235" s="3">
        <v>1</v>
      </c>
      <c r="K235" s="3">
        <v>2</v>
      </c>
      <c r="L235" s="3">
        <v>1</v>
      </c>
      <c r="M235" s="3">
        <v>2</v>
      </c>
      <c r="N235" s="3" t="s">
        <v>341</v>
      </c>
      <c r="O235" s="3">
        <v>3</v>
      </c>
      <c r="P235" s="3">
        <v>1.95</v>
      </c>
      <c r="Q235" s="3">
        <v>3</v>
      </c>
      <c r="R235" s="3">
        <v>3.9</v>
      </c>
      <c r="S235" s="3">
        <v>0</v>
      </c>
      <c r="T235" s="3">
        <v>0</v>
      </c>
      <c r="U235" s="3">
        <v>1</v>
      </c>
      <c r="V235" s="3">
        <v>1</v>
      </c>
      <c r="W235" s="3" t="s">
        <v>342</v>
      </c>
      <c r="X235" s="3">
        <v>17.99</v>
      </c>
      <c r="Y235" s="3">
        <v>17.99</v>
      </c>
      <c r="Z235" s="3">
        <v>17.99</v>
      </c>
      <c r="AA235" s="3">
        <v>0</v>
      </c>
      <c r="AB235" s="3" t="s">
        <v>349</v>
      </c>
      <c r="AC235" s="3">
        <v>6</v>
      </c>
      <c r="AD235" s="3">
        <v>17.99</v>
      </c>
      <c r="AE235" s="3">
        <v>0</v>
      </c>
      <c r="AF235" s="3">
        <v>0</v>
      </c>
      <c r="AG235" s="3">
        <v>0</v>
      </c>
      <c r="AH235" s="3">
        <v>0.125</v>
      </c>
      <c r="AI235" s="3" t="s">
        <v>806</v>
      </c>
      <c r="AJ235" s="3" t="s">
        <v>345</v>
      </c>
    </row>
    <row r="236" spans="1:36">
      <c r="A236" s="4">
        <v>43288</v>
      </c>
      <c r="B236" s="3" t="s">
        <v>120</v>
      </c>
      <c r="C236" s="3" t="s">
        <v>121</v>
      </c>
      <c r="D236" s="3" t="s">
        <v>122</v>
      </c>
      <c r="E236" s="3" t="s">
        <v>123</v>
      </c>
      <c r="F236" s="3" t="s">
        <v>340</v>
      </c>
      <c r="G236" s="3">
        <v>22</v>
      </c>
      <c r="H236" s="3">
        <v>0</v>
      </c>
      <c r="I236" s="3">
        <v>22</v>
      </c>
      <c r="J236" s="3">
        <v>0</v>
      </c>
      <c r="K236" s="3">
        <v>0</v>
      </c>
      <c r="L236" s="3">
        <v>0</v>
      </c>
      <c r="M236" s="3">
        <v>0</v>
      </c>
      <c r="N236" s="3" t="s">
        <v>341</v>
      </c>
      <c r="O236" s="3">
        <v>0</v>
      </c>
      <c r="P236" s="3">
        <v>0</v>
      </c>
      <c r="Q236" s="3">
        <v>0</v>
      </c>
      <c r="R236" s="3">
        <v>0</v>
      </c>
      <c r="S236" s="3">
        <v>2</v>
      </c>
      <c r="T236" s="3">
        <v>2</v>
      </c>
      <c r="U236" s="3">
        <v>2</v>
      </c>
      <c r="V236" s="3">
        <v>2</v>
      </c>
      <c r="W236" s="3"/>
      <c r="X236" s="3">
        <v>39.99</v>
      </c>
      <c r="Y236" s="3">
        <v>19.99</v>
      </c>
      <c r="Z236" s="3">
        <v>19.99</v>
      </c>
      <c r="AA236" s="3">
        <v>0</v>
      </c>
      <c r="AB236" s="3" t="s">
        <v>343</v>
      </c>
      <c r="AC236" s="3">
        <v>0</v>
      </c>
      <c r="AD236" s="3">
        <v>15.99</v>
      </c>
      <c r="AE236" s="3">
        <v>63</v>
      </c>
      <c r="AF236" s="3">
        <v>0</v>
      </c>
      <c r="AG236" s="3">
        <v>352.334767</v>
      </c>
      <c r="AH236" s="3">
        <v>0.0952380952380952</v>
      </c>
      <c r="AI236" s="3" t="s">
        <v>518</v>
      </c>
      <c r="AJ236" s="3" t="s">
        <v>345</v>
      </c>
    </row>
    <row r="237" spans="1:36">
      <c r="A237" s="4">
        <v>43288</v>
      </c>
      <c r="B237" s="3" t="s">
        <v>1196</v>
      </c>
      <c r="C237" s="3" t="s">
        <v>1197</v>
      </c>
      <c r="D237" s="3" t="s">
        <v>1198</v>
      </c>
      <c r="E237" s="3" t="s">
        <v>177</v>
      </c>
      <c r="F237" s="3" t="s">
        <v>340</v>
      </c>
      <c r="G237" s="3">
        <v>6</v>
      </c>
      <c r="H237" s="3">
        <v>0</v>
      </c>
      <c r="I237" s="3">
        <v>6</v>
      </c>
      <c r="J237" s="3">
        <v>0</v>
      </c>
      <c r="K237" s="3">
        <v>0</v>
      </c>
      <c r="L237" s="3">
        <v>0</v>
      </c>
      <c r="M237" s="3">
        <v>0</v>
      </c>
      <c r="N237" s="3" t="s">
        <v>341</v>
      </c>
      <c r="O237" s="3">
        <v>0</v>
      </c>
      <c r="P237" s="3">
        <v>0</v>
      </c>
      <c r="Q237" s="3">
        <v>0</v>
      </c>
      <c r="R237" s="3">
        <v>0</v>
      </c>
      <c r="S237" s="3">
        <v>3</v>
      </c>
      <c r="T237" s="3">
        <v>10</v>
      </c>
      <c r="U237" s="3">
        <v>22</v>
      </c>
      <c r="V237" s="3">
        <v>26</v>
      </c>
      <c r="W237" s="3"/>
      <c r="X237" s="3">
        <v>19.99</v>
      </c>
      <c r="Y237" s="3">
        <v>19.99</v>
      </c>
      <c r="Z237" s="3">
        <v>19.99</v>
      </c>
      <c r="AA237" s="3">
        <v>0</v>
      </c>
      <c r="AB237" s="3" t="s">
        <v>359</v>
      </c>
      <c r="AC237" s="3">
        <v>10</v>
      </c>
      <c r="AD237" s="3">
        <v>19.99</v>
      </c>
      <c r="AE237" s="3">
        <v>0</v>
      </c>
      <c r="AF237" s="3">
        <v>0</v>
      </c>
      <c r="AG237" s="3">
        <v>0</v>
      </c>
      <c r="AH237" s="3">
        <v>3.05882352941176</v>
      </c>
      <c r="AI237" s="3" t="s">
        <v>492</v>
      </c>
      <c r="AJ237" s="3" t="s">
        <v>345</v>
      </c>
    </row>
    <row r="238" spans="1:36">
      <c r="A238" s="4">
        <v>43288</v>
      </c>
      <c r="B238" s="3" t="s">
        <v>1199</v>
      </c>
      <c r="C238" s="3" t="s">
        <v>1200</v>
      </c>
      <c r="D238" s="3" t="s">
        <v>1201</v>
      </c>
      <c r="E238" s="3" t="s">
        <v>1202</v>
      </c>
      <c r="F238" s="3" t="s">
        <v>340</v>
      </c>
      <c r="G238" s="3">
        <v>3</v>
      </c>
      <c r="H238" s="3">
        <v>0</v>
      </c>
      <c r="I238" s="3">
        <v>0</v>
      </c>
      <c r="J238" s="3">
        <v>0</v>
      </c>
      <c r="K238" s="3">
        <v>0</v>
      </c>
      <c r="L238" s="3">
        <v>3</v>
      </c>
      <c r="M238" s="3">
        <v>0</v>
      </c>
      <c r="N238" s="3" t="s">
        <v>341</v>
      </c>
      <c r="O238" s="3">
        <v>0</v>
      </c>
      <c r="P238" s="3">
        <v>0</v>
      </c>
      <c r="Q238" s="3">
        <v>3</v>
      </c>
      <c r="R238" s="3">
        <v>3.27</v>
      </c>
      <c r="S238" s="3">
        <v>0</v>
      </c>
      <c r="T238" s="3">
        <v>0</v>
      </c>
      <c r="U238" s="3">
        <v>0</v>
      </c>
      <c r="V238" s="3">
        <v>0</v>
      </c>
      <c r="W238" s="3" t="s">
        <v>342</v>
      </c>
      <c r="X238" s="3">
        <v>17.88</v>
      </c>
      <c r="Y238" s="3">
        <v>17.88</v>
      </c>
      <c r="Z238" s="3">
        <v>17.88</v>
      </c>
      <c r="AA238" s="3">
        <v>0</v>
      </c>
      <c r="AB238" s="3" t="s">
        <v>343</v>
      </c>
      <c r="AC238" s="3">
        <v>0</v>
      </c>
      <c r="AD238" s="3">
        <v>14.3</v>
      </c>
      <c r="AE238" s="3">
        <v>63</v>
      </c>
      <c r="AF238" s="3">
        <v>0</v>
      </c>
      <c r="AG238" s="3">
        <v>21.872753</v>
      </c>
      <c r="AH238" s="3">
        <v>0</v>
      </c>
      <c r="AI238" s="3" t="s">
        <v>1203</v>
      </c>
      <c r="AJ238" s="3" t="s">
        <v>345</v>
      </c>
    </row>
    <row r="239" spans="1:36">
      <c r="A239" s="4">
        <v>43288</v>
      </c>
      <c r="B239" s="3" t="s">
        <v>1204</v>
      </c>
      <c r="C239" s="3" t="s">
        <v>1205</v>
      </c>
      <c r="D239" s="3" t="s">
        <v>1206</v>
      </c>
      <c r="E239" s="3" t="s">
        <v>1207</v>
      </c>
      <c r="F239" s="3" t="s">
        <v>340</v>
      </c>
      <c r="G239" s="3">
        <v>5</v>
      </c>
      <c r="H239" s="3">
        <v>0</v>
      </c>
      <c r="I239" s="3">
        <v>1</v>
      </c>
      <c r="J239" s="3">
        <v>0</v>
      </c>
      <c r="K239" s="3">
        <v>1</v>
      </c>
      <c r="L239" s="3">
        <v>1</v>
      </c>
      <c r="M239" s="3">
        <v>2</v>
      </c>
      <c r="N239" s="3" t="s">
        <v>341</v>
      </c>
      <c r="O239" s="3">
        <v>1</v>
      </c>
      <c r="P239" s="3">
        <v>0.09</v>
      </c>
      <c r="Q239" s="3">
        <v>3</v>
      </c>
      <c r="R239" s="3">
        <v>1.5</v>
      </c>
      <c r="S239" s="3">
        <v>0</v>
      </c>
      <c r="T239" s="3">
        <v>1</v>
      </c>
      <c r="U239" s="3">
        <v>2</v>
      </c>
      <c r="V239" s="3">
        <v>2</v>
      </c>
      <c r="W239" s="3" t="s">
        <v>342</v>
      </c>
      <c r="X239" s="3">
        <v>19.99</v>
      </c>
      <c r="Y239" s="3">
        <v>19.99</v>
      </c>
      <c r="Z239" s="3">
        <v>19.99</v>
      </c>
      <c r="AA239" s="3">
        <v>0</v>
      </c>
      <c r="AB239" s="3" t="s">
        <v>359</v>
      </c>
      <c r="AC239" s="3">
        <v>5</v>
      </c>
      <c r="AD239" s="3">
        <v>19.99</v>
      </c>
      <c r="AE239" s="3">
        <v>0</v>
      </c>
      <c r="AF239" s="3">
        <v>0</v>
      </c>
      <c r="AG239" s="3">
        <v>0</v>
      </c>
      <c r="AH239" s="3">
        <v>0.363636363636363</v>
      </c>
      <c r="AI239" s="3" t="s">
        <v>355</v>
      </c>
      <c r="AJ239" s="3" t="s">
        <v>345</v>
      </c>
    </row>
    <row r="240" spans="1:36">
      <c r="A240" s="4">
        <v>43288</v>
      </c>
      <c r="B240" s="3" t="s">
        <v>1208</v>
      </c>
      <c r="C240" s="3" t="s">
        <v>1209</v>
      </c>
      <c r="D240" s="3" t="s">
        <v>1210</v>
      </c>
      <c r="E240" s="3" t="s">
        <v>1211</v>
      </c>
      <c r="F240" s="3" t="s">
        <v>340</v>
      </c>
      <c r="G240" s="3">
        <v>1</v>
      </c>
      <c r="H240" s="3">
        <v>0</v>
      </c>
      <c r="I240" s="3">
        <v>0</v>
      </c>
      <c r="J240" s="3">
        <v>1</v>
      </c>
      <c r="K240" s="3">
        <v>0</v>
      </c>
      <c r="L240" s="3">
        <v>0</v>
      </c>
      <c r="M240" s="3">
        <v>0</v>
      </c>
      <c r="N240" s="3" t="s">
        <v>341</v>
      </c>
      <c r="O240" s="3">
        <v>0</v>
      </c>
      <c r="P240" s="3">
        <v>0</v>
      </c>
      <c r="Q240" s="3">
        <v>0</v>
      </c>
      <c r="R240" s="3">
        <v>0</v>
      </c>
      <c r="S240" s="3">
        <v>2</v>
      </c>
      <c r="T240" s="3">
        <v>2</v>
      </c>
      <c r="U240" s="3">
        <v>4</v>
      </c>
      <c r="V240" s="3">
        <v>4</v>
      </c>
      <c r="W240" s="3"/>
      <c r="X240" s="3">
        <v>19.99</v>
      </c>
      <c r="Y240" s="3">
        <v>19.99</v>
      </c>
      <c r="Z240" s="3">
        <v>19.99</v>
      </c>
      <c r="AA240" s="3">
        <v>0</v>
      </c>
      <c r="AB240" s="3" t="s">
        <v>343</v>
      </c>
      <c r="AC240" s="3">
        <v>0</v>
      </c>
      <c r="AD240" s="3">
        <v>7.9</v>
      </c>
      <c r="AE240" s="3">
        <v>21</v>
      </c>
      <c r="AF240" s="3">
        <v>0</v>
      </c>
      <c r="AG240" s="3">
        <v>10.615742</v>
      </c>
      <c r="AH240" s="3">
        <v>0.941176470588235</v>
      </c>
      <c r="AI240" s="3" t="s">
        <v>1212</v>
      </c>
      <c r="AJ240" s="3" t="s">
        <v>345</v>
      </c>
    </row>
    <row r="241" spans="1:36">
      <c r="A241" s="4">
        <v>43288</v>
      </c>
      <c r="B241" s="3" t="s">
        <v>1213</v>
      </c>
      <c r="C241" s="3" t="s">
        <v>1214</v>
      </c>
      <c r="D241" s="3" t="s">
        <v>1215</v>
      </c>
      <c r="E241" s="3" t="s">
        <v>416</v>
      </c>
      <c r="F241" s="3" t="s">
        <v>340</v>
      </c>
      <c r="G241" s="3">
        <v>2</v>
      </c>
      <c r="H241" s="3">
        <v>0</v>
      </c>
      <c r="I241" s="3">
        <v>0</v>
      </c>
      <c r="J241" s="3">
        <v>0</v>
      </c>
      <c r="K241" s="3">
        <v>1</v>
      </c>
      <c r="L241" s="3">
        <v>0</v>
      </c>
      <c r="M241" s="3">
        <v>1</v>
      </c>
      <c r="N241" s="3" t="s">
        <v>341</v>
      </c>
      <c r="O241" s="3">
        <v>1</v>
      </c>
      <c r="P241" s="3">
        <v>0.66</v>
      </c>
      <c r="Q241" s="3">
        <v>1</v>
      </c>
      <c r="R241" s="3">
        <v>1.33</v>
      </c>
      <c r="S241" s="3">
        <v>0</v>
      </c>
      <c r="T241" s="3">
        <v>0</v>
      </c>
      <c r="U241" s="3">
        <v>1</v>
      </c>
      <c r="V241" s="3">
        <v>1</v>
      </c>
      <c r="W241" s="3" t="s">
        <v>381</v>
      </c>
      <c r="X241" s="3">
        <v>19.99</v>
      </c>
      <c r="Y241" s="3">
        <v>19.99</v>
      </c>
      <c r="Z241" s="3">
        <v>19.99</v>
      </c>
      <c r="AA241" s="3">
        <v>0</v>
      </c>
      <c r="AB241" s="3" t="s">
        <v>359</v>
      </c>
      <c r="AC241" s="3">
        <v>2</v>
      </c>
      <c r="AD241" s="3">
        <v>19.99</v>
      </c>
      <c r="AE241" s="3">
        <v>0</v>
      </c>
      <c r="AF241" s="3">
        <v>0</v>
      </c>
      <c r="AG241" s="3">
        <v>0</v>
      </c>
      <c r="AH241" s="3">
        <v>0.363636363636363</v>
      </c>
      <c r="AI241" s="3" t="s">
        <v>1216</v>
      </c>
      <c r="AJ241" s="3" t="s">
        <v>345</v>
      </c>
    </row>
    <row r="242" spans="1:36">
      <c r="A242" s="4">
        <v>43288</v>
      </c>
      <c r="B242" s="3" t="s">
        <v>1217</v>
      </c>
      <c r="C242" s="3" t="s">
        <v>1218</v>
      </c>
      <c r="D242" s="3" t="s">
        <v>1219</v>
      </c>
      <c r="E242" s="3" t="s">
        <v>1220</v>
      </c>
      <c r="F242" s="3" t="s">
        <v>340</v>
      </c>
      <c r="G242" s="3">
        <v>1</v>
      </c>
      <c r="H242" s="3">
        <v>0</v>
      </c>
      <c r="I242" s="3">
        <v>0</v>
      </c>
      <c r="J242" s="3">
        <v>1</v>
      </c>
      <c r="K242" s="3">
        <v>0</v>
      </c>
      <c r="L242" s="3">
        <v>0</v>
      </c>
      <c r="M242" s="3">
        <v>0</v>
      </c>
      <c r="N242" s="3" t="s">
        <v>341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 t="s">
        <v>342</v>
      </c>
      <c r="X242" s="3">
        <v>11.99</v>
      </c>
      <c r="Y242" s="3">
        <v>11.99</v>
      </c>
      <c r="Z242" s="3">
        <v>11.99</v>
      </c>
      <c r="AA242" s="3">
        <v>0</v>
      </c>
      <c r="AB242" s="3" t="s">
        <v>349</v>
      </c>
      <c r="AC242" s="3">
        <v>1</v>
      </c>
      <c r="AD242" s="3">
        <v>11.99</v>
      </c>
      <c r="AE242" s="3">
        <v>0</v>
      </c>
      <c r="AF242" s="3">
        <v>0</v>
      </c>
      <c r="AG242" s="3">
        <v>0</v>
      </c>
      <c r="AH242" s="3">
        <v>0</v>
      </c>
      <c r="AI242" s="3" t="s">
        <v>1221</v>
      </c>
      <c r="AJ242" s="3" t="s">
        <v>345</v>
      </c>
    </row>
    <row r="243" spans="1:36">
      <c r="A243" s="4">
        <v>43288</v>
      </c>
      <c r="B243" s="3" t="s">
        <v>1222</v>
      </c>
      <c r="C243" s="3" t="s">
        <v>1223</v>
      </c>
      <c r="D243" s="3" t="s">
        <v>1224</v>
      </c>
      <c r="E243" s="3" t="s">
        <v>22</v>
      </c>
      <c r="F243" s="3" t="s">
        <v>340</v>
      </c>
      <c r="G243" s="3">
        <v>1</v>
      </c>
      <c r="H243" s="3">
        <v>0</v>
      </c>
      <c r="I243" s="3">
        <v>1</v>
      </c>
      <c r="J243" s="3">
        <v>0</v>
      </c>
      <c r="K243" s="3">
        <v>0</v>
      </c>
      <c r="L243" s="3">
        <v>0</v>
      </c>
      <c r="M243" s="3">
        <v>0</v>
      </c>
      <c r="N243" s="3" t="s">
        <v>341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5</v>
      </c>
      <c r="U243" s="3">
        <v>9</v>
      </c>
      <c r="V243" s="3">
        <v>12</v>
      </c>
      <c r="W243" s="3"/>
      <c r="X243" s="3">
        <v>14.99</v>
      </c>
      <c r="Y243" s="3">
        <v>14.99</v>
      </c>
      <c r="Z243" s="3">
        <v>14.99</v>
      </c>
      <c r="AA243" s="3">
        <v>0</v>
      </c>
      <c r="AB243" s="3" t="s">
        <v>359</v>
      </c>
      <c r="AC243" s="3">
        <v>1</v>
      </c>
      <c r="AD243" s="3">
        <v>14.99</v>
      </c>
      <c r="AE243" s="3">
        <v>0</v>
      </c>
      <c r="AF243" s="3">
        <v>0</v>
      </c>
      <c r="AG243" s="3">
        <v>0</v>
      </c>
      <c r="AH243" s="3">
        <v>6</v>
      </c>
      <c r="AI243" s="3" t="s">
        <v>421</v>
      </c>
      <c r="AJ243" s="3" t="s">
        <v>345</v>
      </c>
    </row>
    <row r="244" spans="1:36">
      <c r="A244" s="4">
        <v>43288</v>
      </c>
      <c r="B244" s="3" t="s">
        <v>1225</v>
      </c>
      <c r="C244" s="3" t="s">
        <v>1226</v>
      </c>
      <c r="D244" s="3" t="s">
        <v>1227</v>
      </c>
      <c r="E244" s="3" t="s">
        <v>213</v>
      </c>
      <c r="F244" s="3" t="s">
        <v>340</v>
      </c>
      <c r="G244" s="3">
        <v>6</v>
      </c>
      <c r="H244" s="3">
        <v>0</v>
      </c>
      <c r="I244" s="3">
        <v>5</v>
      </c>
      <c r="J244" s="3">
        <v>1</v>
      </c>
      <c r="K244" s="3">
        <v>0</v>
      </c>
      <c r="L244" s="3">
        <v>0</v>
      </c>
      <c r="M244" s="3">
        <v>0</v>
      </c>
      <c r="N244" s="3" t="s">
        <v>341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1</v>
      </c>
      <c r="U244" s="3">
        <v>4</v>
      </c>
      <c r="V244" s="3">
        <v>7</v>
      </c>
      <c r="W244" s="3"/>
      <c r="X244" s="3">
        <v>20.99</v>
      </c>
      <c r="Y244" s="3">
        <v>20.99</v>
      </c>
      <c r="Z244" s="3">
        <v>20.99</v>
      </c>
      <c r="AA244" s="3">
        <v>0</v>
      </c>
      <c r="AB244" s="3" t="s">
        <v>343</v>
      </c>
      <c r="AC244" s="3">
        <v>2</v>
      </c>
      <c r="AD244" s="3">
        <v>16.79</v>
      </c>
      <c r="AE244" s="3">
        <v>63</v>
      </c>
      <c r="AF244" s="3">
        <v>0</v>
      </c>
      <c r="AG244" s="3">
        <v>5.524257</v>
      </c>
      <c r="AH244" s="3">
        <v>0.96551724137931</v>
      </c>
      <c r="AI244" s="3" t="s">
        <v>512</v>
      </c>
      <c r="AJ244" s="3" t="s">
        <v>345</v>
      </c>
    </row>
    <row r="245" spans="1:36">
      <c r="A245" s="4">
        <v>43288</v>
      </c>
      <c r="B245" s="3" t="s">
        <v>1228</v>
      </c>
      <c r="C245" s="3" t="s">
        <v>1229</v>
      </c>
      <c r="D245" s="3" t="s">
        <v>1230</v>
      </c>
      <c r="E245" s="3" t="s">
        <v>1231</v>
      </c>
      <c r="F245" s="3" t="s">
        <v>340</v>
      </c>
      <c r="G245" s="3">
        <v>2</v>
      </c>
      <c r="H245" s="3">
        <v>0</v>
      </c>
      <c r="I245" s="3">
        <v>0</v>
      </c>
      <c r="J245" s="3">
        <v>0</v>
      </c>
      <c r="K245" s="3">
        <v>0</v>
      </c>
      <c r="L245" s="3">
        <v>2</v>
      </c>
      <c r="M245" s="3">
        <v>0</v>
      </c>
      <c r="N245" s="3" t="s">
        <v>341</v>
      </c>
      <c r="O245" s="3">
        <v>0</v>
      </c>
      <c r="P245" s="3">
        <v>0</v>
      </c>
      <c r="Q245" s="3">
        <v>2</v>
      </c>
      <c r="R245" s="3">
        <v>1</v>
      </c>
      <c r="S245" s="3">
        <v>0</v>
      </c>
      <c r="T245" s="3">
        <v>0</v>
      </c>
      <c r="U245" s="3">
        <v>0</v>
      </c>
      <c r="V245" s="3">
        <v>0</v>
      </c>
      <c r="W245" s="3" t="s">
        <v>342</v>
      </c>
      <c r="X245" s="3">
        <v>19.9</v>
      </c>
      <c r="Y245" s="3">
        <v>19.9</v>
      </c>
      <c r="Z245" s="3">
        <v>19.9</v>
      </c>
      <c r="AA245" s="3">
        <v>0</v>
      </c>
      <c r="AB245" s="3" t="s">
        <v>343</v>
      </c>
      <c r="AC245" s="3">
        <v>0</v>
      </c>
      <c r="AD245" s="3">
        <v>15.92</v>
      </c>
      <c r="AE245" s="3">
        <v>63</v>
      </c>
      <c r="AF245" s="3">
        <v>0</v>
      </c>
      <c r="AG245" s="3">
        <v>1.085446</v>
      </c>
      <c r="AH245" s="3">
        <v>0</v>
      </c>
      <c r="AI245" s="3" t="s">
        <v>344</v>
      </c>
      <c r="AJ245" s="3" t="s">
        <v>345</v>
      </c>
    </row>
    <row r="246" spans="1:36">
      <c r="A246" s="4">
        <v>43288</v>
      </c>
      <c r="B246" s="3" t="s">
        <v>1232</v>
      </c>
      <c r="C246" s="3" t="s">
        <v>1233</v>
      </c>
      <c r="D246" s="3" t="s">
        <v>1234</v>
      </c>
      <c r="E246" s="3" t="s">
        <v>1235</v>
      </c>
      <c r="F246" s="3" t="s">
        <v>340</v>
      </c>
      <c r="G246" s="3">
        <v>3</v>
      </c>
      <c r="H246" s="3">
        <v>0</v>
      </c>
      <c r="I246" s="3">
        <v>0</v>
      </c>
      <c r="J246" s="3">
        <v>3</v>
      </c>
      <c r="K246" s="3">
        <v>0</v>
      </c>
      <c r="L246" s="3">
        <v>0</v>
      </c>
      <c r="M246" s="3">
        <v>0</v>
      </c>
      <c r="N246" s="3" t="s">
        <v>341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3</v>
      </c>
      <c r="V246" s="3">
        <v>6</v>
      </c>
      <c r="W246" s="3" t="s">
        <v>381</v>
      </c>
      <c r="X246" s="3">
        <v>16.99</v>
      </c>
      <c r="Y246" s="3">
        <v>16.99</v>
      </c>
      <c r="Z246" s="3">
        <v>16.99</v>
      </c>
      <c r="AA246" s="3">
        <v>0</v>
      </c>
      <c r="AB246" s="3" t="s">
        <v>343</v>
      </c>
      <c r="AC246" s="3">
        <v>1</v>
      </c>
      <c r="AD246" s="3">
        <v>16.01</v>
      </c>
      <c r="AE246" s="3">
        <v>42</v>
      </c>
      <c r="AF246" s="3">
        <v>0</v>
      </c>
      <c r="AG246" s="3">
        <v>57.361672</v>
      </c>
      <c r="AH246" s="3">
        <v>1.14285714285714</v>
      </c>
      <c r="AI246" s="3" t="s">
        <v>1236</v>
      </c>
      <c r="AJ246" s="3" t="s">
        <v>345</v>
      </c>
    </row>
    <row r="247" spans="1:36">
      <c r="A247" s="4">
        <v>43288</v>
      </c>
      <c r="B247" s="3" t="s">
        <v>1237</v>
      </c>
      <c r="C247" s="3" t="s">
        <v>1238</v>
      </c>
      <c r="D247" s="3" t="s">
        <v>1239</v>
      </c>
      <c r="E247" s="3" t="s">
        <v>11</v>
      </c>
      <c r="F247" s="3" t="s">
        <v>340</v>
      </c>
      <c r="G247" s="3">
        <v>1</v>
      </c>
      <c r="H247" s="3">
        <v>0</v>
      </c>
      <c r="I247" s="3">
        <v>0</v>
      </c>
      <c r="J247" s="3">
        <v>1</v>
      </c>
      <c r="K247" s="3">
        <v>0</v>
      </c>
      <c r="L247" s="3">
        <v>0</v>
      </c>
      <c r="M247" s="3">
        <v>0</v>
      </c>
      <c r="N247" s="3" t="s">
        <v>341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342</v>
      </c>
      <c r="X247" s="3">
        <v>25.99</v>
      </c>
      <c r="Y247" s="3">
        <v>25.99</v>
      </c>
      <c r="Z247" s="3">
        <v>25.99</v>
      </c>
      <c r="AA247" s="3">
        <v>0</v>
      </c>
      <c r="AB247" s="3" t="s">
        <v>349</v>
      </c>
      <c r="AC247" s="3">
        <v>1</v>
      </c>
      <c r="AD247" s="3">
        <v>25.99</v>
      </c>
      <c r="AE247" s="3">
        <v>0</v>
      </c>
      <c r="AF247" s="3">
        <v>0</v>
      </c>
      <c r="AG247" s="3">
        <v>0</v>
      </c>
      <c r="AH247" s="3">
        <v>0</v>
      </c>
      <c r="AI247" s="3" t="s">
        <v>750</v>
      </c>
      <c r="AJ247" s="3" t="s">
        <v>345</v>
      </c>
    </row>
    <row r="248" spans="1:36">
      <c r="A248" s="4">
        <v>43288</v>
      </c>
      <c r="B248" s="3" t="s">
        <v>1240</v>
      </c>
      <c r="C248" s="3" t="s">
        <v>1241</v>
      </c>
      <c r="D248" s="3" t="s">
        <v>1242</v>
      </c>
      <c r="E248" s="3" t="s">
        <v>1243</v>
      </c>
      <c r="F248" s="3" t="s">
        <v>340</v>
      </c>
      <c r="G248" s="3">
        <v>1</v>
      </c>
      <c r="H248" s="3">
        <v>0</v>
      </c>
      <c r="I248" s="3">
        <v>1</v>
      </c>
      <c r="J248" s="3">
        <v>0</v>
      </c>
      <c r="K248" s="3">
        <v>0</v>
      </c>
      <c r="L248" s="3">
        <v>0</v>
      </c>
      <c r="M248" s="3">
        <v>0</v>
      </c>
      <c r="N248" s="3" t="s">
        <v>341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1</v>
      </c>
      <c r="V248" s="3">
        <v>1</v>
      </c>
      <c r="W248" s="3" t="s">
        <v>342</v>
      </c>
      <c r="X248" s="3">
        <v>23.88</v>
      </c>
      <c r="Y248" s="3">
        <v>23.88</v>
      </c>
      <c r="Z248" s="3">
        <v>23.88</v>
      </c>
      <c r="AA248" s="3">
        <v>0</v>
      </c>
      <c r="AB248" s="3" t="s">
        <v>349</v>
      </c>
      <c r="AC248" s="3">
        <v>1</v>
      </c>
      <c r="AD248" s="3">
        <v>23.88</v>
      </c>
      <c r="AE248" s="3">
        <v>0</v>
      </c>
      <c r="AF248" s="3">
        <v>0</v>
      </c>
      <c r="AG248" s="3">
        <v>0</v>
      </c>
      <c r="AH248" s="3">
        <v>1</v>
      </c>
      <c r="AI248" s="3" t="s">
        <v>596</v>
      </c>
      <c r="AJ248" s="3" t="s">
        <v>345</v>
      </c>
    </row>
    <row r="249" spans="1:36">
      <c r="A249" s="4">
        <v>43288</v>
      </c>
      <c r="B249" s="3" t="s">
        <v>1244</v>
      </c>
      <c r="C249" s="3" t="s">
        <v>1245</v>
      </c>
      <c r="D249" s="3" t="s">
        <v>1246</v>
      </c>
      <c r="E249" s="3" t="s">
        <v>1247</v>
      </c>
      <c r="F249" s="3" t="s">
        <v>340</v>
      </c>
      <c r="G249" s="3">
        <v>4</v>
      </c>
      <c r="H249" s="3">
        <v>0</v>
      </c>
      <c r="I249" s="3">
        <v>0</v>
      </c>
      <c r="J249" s="3">
        <v>2</v>
      </c>
      <c r="K249" s="3">
        <v>2</v>
      </c>
      <c r="L249" s="3">
        <v>0</v>
      </c>
      <c r="M249" s="3">
        <v>0</v>
      </c>
      <c r="N249" s="3" t="s">
        <v>341</v>
      </c>
      <c r="O249" s="3">
        <v>4</v>
      </c>
      <c r="P249" s="3">
        <v>5.74</v>
      </c>
      <c r="Q249" s="3">
        <v>0</v>
      </c>
      <c r="R249" s="3">
        <v>0</v>
      </c>
      <c r="S249" s="3">
        <v>0</v>
      </c>
      <c r="T249" s="3">
        <v>1</v>
      </c>
      <c r="U249" s="3">
        <v>1</v>
      </c>
      <c r="V249" s="3">
        <v>1</v>
      </c>
      <c r="W249" s="3" t="s">
        <v>342</v>
      </c>
      <c r="X249" s="3">
        <v>19.99</v>
      </c>
      <c r="Y249" s="3">
        <v>19.99</v>
      </c>
      <c r="Z249" s="3">
        <v>19.99</v>
      </c>
      <c r="AA249" s="3">
        <v>0</v>
      </c>
      <c r="AB249" s="3" t="s">
        <v>349</v>
      </c>
      <c r="AC249" s="3">
        <v>4</v>
      </c>
      <c r="AD249" s="3">
        <v>19.99</v>
      </c>
      <c r="AE249" s="3">
        <v>0</v>
      </c>
      <c r="AF249" s="3">
        <v>0</v>
      </c>
      <c r="AG249" s="3">
        <v>0</v>
      </c>
      <c r="AH249" s="3">
        <v>0.210526315789473</v>
      </c>
      <c r="AI249" s="3" t="s">
        <v>1248</v>
      </c>
      <c r="AJ249" s="3" t="s">
        <v>345</v>
      </c>
    </row>
    <row r="250" spans="1:36">
      <c r="A250" s="4">
        <v>43288</v>
      </c>
      <c r="B250" s="3" t="s">
        <v>233</v>
      </c>
      <c r="C250" s="3" t="s">
        <v>234</v>
      </c>
      <c r="D250" s="3" t="s">
        <v>235</v>
      </c>
      <c r="E250" s="3" t="s">
        <v>236</v>
      </c>
      <c r="F250" s="3" t="s">
        <v>340</v>
      </c>
      <c r="G250" s="3">
        <v>3</v>
      </c>
      <c r="H250" s="3">
        <v>0</v>
      </c>
      <c r="I250" s="3">
        <v>1</v>
      </c>
      <c r="J250" s="3">
        <v>1</v>
      </c>
      <c r="K250" s="3">
        <v>0</v>
      </c>
      <c r="L250" s="3">
        <v>1</v>
      </c>
      <c r="M250" s="3">
        <v>0</v>
      </c>
      <c r="N250" s="3" t="s">
        <v>341</v>
      </c>
      <c r="O250" s="3">
        <v>1</v>
      </c>
      <c r="P250" s="3">
        <v>0.65</v>
      </c>
      <c r="Q250" s="3">
        <v>1</v>
      </c>
      <c r="R250" s="3">
        <v>1.3</v>
      </c>
      <c r="S250" s="3">
        <v>1</v>
      </c>
      <c r="T250" s="3">
        <v>3</v>
      </c>
      <c r="U250" s="3">
        <v>3</v>
      </c>
      <c r="V250" s="3">
        <v>6</v>
      </c>
      <c r="W250" s="3" t="s">
        <v>342</v>
      </c>
      <c r="X250" s="3">
        <v>15.99</v>
      </c>
      <c r="Y250" s="3">
        <v>15.99</v>
      </c>
      <c r="Z250" s="3">
        <v>15.99</v>
      </c>
      <c r="AA250" s="3">
        <v>0</v>
      </c>
      <c r="AB250" s="3" t="s">
        <v>349</v>
      </c>
      <c r="AC250" s="3">
        <v>4</v>
      </c>
      <c r="AD250" s="3">
        <v>15.99</v>
      </c>
      <c r="AE250" s="3">
        <v>0</v>
      </c>
      <c r="AF250" s="3">
        <v>0</v>
      </c>
      <c r="AG250" s="3">
        <v>0</v>
      </c>
      <c r="AH250" s="3">
        <v>0.923076923076923</v>
      </c>
      <c r="AI250" s="3" t="s">
        <v>806</v>
      </c>
      <c r="AJ250" s="3" t="s">
        <v>345</v>
      </c>
    </row>
    <row r="251" spans="1:36">
      <c r="A251" s="4">
        <v>43288</v>
      </c>
      <c r="B251" s="3" t="s">
        <v>1249</v>
      </c>
      <c r="C251" s="3" t="s">
        <v>1250</v>
      </c>
      <c r="D251" s="3" t="s">
        <v>1251</v>
      </c>
      <c r="E251" s="3" t="s">
        <v>364</v>
      </c>
      <c r="F251" s="3" t="s">
        <v>340</v>
      </c>
      <c r="G251" s="3">
        <v>1</v>
      </c>
      <c r="H251" s="3">
        <v>0</v>
      </c>
      <c r="I251" s="3">
        <v>0</v>
      </c>
      <c r="J251" s="3">
        <v>1</v>
      </c>
      <c r="K251" s="3">
        <v>0</v>
      </c>
      <c r="L251" s="3">
        <v>0</v>
      </c>
      <c r="M251" s="3">
        <v>0</v>
      </c>
      <c r="N251" s="3" t="s">
        <v>341</v>
      </c>
      <c r="O251" s="3">
        <v>1</v>
      </c>
      <c r="P251" s="3">
        <v>1.7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342</v>
      </c>
      <c r="X251" s="3">
        <v>17.99</v>
      </c>
      <c r="Y251" s="3">
        <v>17.99</v>
      </c>
      <c r="Z251" s="3">
        <v>17.99</v>
      </c>
      <c r="AA251" s="3">
        <v>0</v>
      </c>
      <c r="AB251" s="3" t="s">
        <v>349</v>
      </c>
      <c r="AC251" s="3">
        <v>1</v>
      </c>
      <c r="AD251" s="3">
        <v>17.99</v>
      </c>
      <c r="AE251" s="3">
        <v>0</v>
      </c>
      <c r="AF251" s="3">
        <v>0</v>
      </c>
      <c r="AG251" s="3">
        <v>0</v>
      </c>
      <c r="AH251" s="3">
        <v>0</v>
      </c>
      <c r="AI251" s="3" t="s">
        <v>1071</v>
      </c>
      <c r="AJ251" s="3" t="s">
        <v>345</v>
      </c>
    </row>
    <row r="252" spans="1:36">
      <c r="A252" s="4">
        <v>43288</v>
      </c>
      <c r="B252" s="3" t="s">
        <v>1252</v>
      </c>
      <c r="C252" s="3" t="s">
        <v>1253</v>
      </c>
      <c r="D252" s="3" t="s">
        <v>1254</v>
      </c>
      <c r="E252" s="3" t="s">
        <v>11</v>
      </c>
      <c r="F252" s="3" t="s">
        <v>340</v>
      </c>
      <c r="G252" s="3">
        <v>3</v>
      </c>
      <c r="H252" s="3">
        <v>0</v>
      </c>
      <c r="I252" s="3">
        <v>1</v>
      </c>
      <c r="J252" s="3">
        <v>2</v>
      </c>
      <c r="K252" s="3">
        <v>0</v>
      </c>
      <c r="L252" s="3">
        <v>0</v>
      </c>
      <c r="M252" s="3">
        <v>0</v>
      </c>
      <c r="N252" s="3" t="s">
        <v>341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1</v>
      </c>
      <c r="W252" s="3" t="s">
        <v>342</v>
      </c>
      <c r="X252" s="3">
        <v>25.99</v>
      </c>
      <c r="Y252" s="3">
        <v>25.99</v>
      </c>
      <c r="Z252" s="3">
        <v>25.99</v>
      </c>
      <c r="AA252" s="3">
        <v>0</v>
      </c>
      <c r="AB252" s="3" t="s">
        <v>349</v>
      </c>
      <c r="AC252" s="3">
        <v>1</v>
      </c>
      <c r="AD252" s="3">
        <v>24.45</v>
      </c>
      <c r="AE252" s="3">
        <v>56</v>
      </c>
      <c r="AF252" s="3">
        <v>0</v>
      </c>
      <c r="AG252" s="3">
        <v>107.67114</v>
      </c>
      <c r="AH252" s="3">
        <v>0.0579710144927536</v>
      </c>
      <c r="AI252" s="3" t="s">
        <v>750</v>
      </c>
      <c r="AJ252" s="3" t="s">
        <v>345</v>
      </c>
    </row>
    <row r="253" spans="1:36">
      <c r="A253" s="4">
        <v>43288</v>
      </c>
      <c r="B253" s="3" t="s">
        <v>1255</v>
      </c>
      <c r="C253" s="3" t="s">
        <v>1256</v>
      </c>
      <c r="D253" s="3" t="s">
        <v>1257</v>
      </c>
      <c r="E253" s="3" t="s">
        <v>1258</v>
      </c>
      <c r="F253" s="3" t="s">
        <v>340</v>
      </c>
      <c r="G253" s="3">
        <v>1</v>
      </c>
      <c r="H253" s="3">
        <v>0</v>
      </c>
      <c r="I253" s="3">
        <v>0</v>
      </c>
      <c r="J253" s="3">
        <v>0</v>
      </c>
      <c r="K253" s="3">
        <v>0</v>
      </c>
      <c r="L253" s="3">
        <v>0</v>
      </c>
      <c r="M253" s="3">
        <v>1</v>
      </c>
      <c r="N253" s="3" t="s">
        <v>341</v>
      </c>
      <c r="O253" s="3">
        <v>0</v>
      </c>
      <c r="P253" s="3">
        <v>0</v>
      </c>
      <c r="Q253" s="3">
        <v>1</v>
      </c>
      <c r="R253" s="3">
        <v>0.5</v>
      </c>
      <c r="S253" s="3">
        <v>0</v>
      </c>
      <c r="T253" s="3">
        <v>0</v>
      </c>
      <c r="U253" s="3">
        <v>0</v>
      </c>
      <c r="V253" s="3">
        <v>0</v>
      </c>
      <c r="W253" s="3" t="s">
        <v>342</v>
      </c>
      <c r="X253" s="3">
        <v>19.9</v>
      </c>
      <c r="Y253" s="3">
        <v>19.9</v>
      </c>
      <c r="Z253" s="3">
        <v>19.9</v>
      </c>
      <c r="AA253" s="3">
        <v>0</v>
      </c>
      <c r="AB253" s="3" t="s">
        <v>359</v>
      </c>
      <c r="AC253" s="3">
        <v>1</v>
      </c>
      <c r="AD253" s="3">
        <v>19.9</v>
      </c>
      <c r="AE253" s="3">
        <v>0</v>
      </c>
      <c r="AF253" s="3">
        <v>0</v>
      </c>
      <c r="AG253" s="3">
        <v>0</v>
      </c>
      <c r="AH253" s="3">
        <v>0</v>
      </c>
      <c r="AI253" s="3" t="s">
        <v>344</v>
      </c>
      <c r="AJ253" s="3" t="s">
        <v>345</v>
      </c>
    </row>
    <row r="254" spans="1:36">
      <c r="A254" s="4">
        <v>43288</v>
      </c>
      <c r="B254" s="3" t="s">
        <v>1259</v>
      </c>
      <c r="C254" s="3" t="s">
        <v>1260</v>
      </c>
      <c r="D254" s="3" t="s">
        <v>1261</v>
      </c>
      <c r="E254" s="3" t="s">
        <v>1262</v>
      </c>
      <c r="F254" s="3" t="s">
        <v>340</v>
      </c>
      <c r="G254" s="3">
        <v>1</v>
      </c>
      <c r="H254" s="3">
        <v>0</v>
      </c>
      <c r="I254" s="3">
        <v>0</v>
      </c>
      <c r="J254" s="3">
        <v>0</v>
      </c>
      <c r="K254" s="3">
        <v>0</v>
      </c>
      <c r="L254" s="3">
        <v>1</v>
      </c>
      <c r="M254" s="3">
        <v>0</v>
      </c>
      <c r="N254" s="3" t="s">
        <v>341</v>
      </c>
      <c r="O254" s="3">
        <v>1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/>
      <c r="X254" s="3"/>
      <c r="Y254" s="3"/>
      <c r="Z254" s="3">
        <v>-1</v>
      </c>
      <c r="AA254" s="3">
        <v>-1</v>
      </c>
      <c r="AB254" s="3" t="s">
        <v>493</v>
      </c>
      <c r="AC254" s="3">
        <v>0</v>
      </c>
      <c r="AD254" s="3">
        <v>0</v>
      </c>
      <c r="AE254" s="3">
        <v>0</v>
      </c>
      <c r="AF254" s="3">
        <v>0</v>
      </c>
      <c r="AG254" s="3">
        <v>0</v>
      </c>
      <c r="AH254" s="3">
        <v>0</v>
      </c>
      <c r="AI254" s="3" t="s">
        <v>728</v>
      </c>
      <c r="AJ254" s="3" t="s">
        <v>345</v>
      </c>
    </row>
    <row r="255" spans="1:36">
      <c r="A255" s="4">
        <v>43288</v>
      </c>
      <c r="B255" s="3" t="s">
        <v>1263</v>
      </c>
      <c r="C255" s="3" t="s">
        <v>1264</v>
      </c>
      <c r="D255" s="3" t="s">
        <v>1265</v>
      </c>
      <c r="E255" s="3" t="s">
        <v>53</v>
      </c>
      <c r="F255" s="3" t="s">
        <v>340</v>
      </c>
      <c r="G255" s="3">
        <v>7</v>
      </c>
      <c r="H255" s="3">
        <v>0</v>
      </c>
      <c r="I255" s="3">
        <v>7</v>
      </c>
      <c r="J255" s="3">
        <v>0</v>
      </c>
      <c r="K255" s="3">
        <v>0</v>
      </c>
      <c r="L255" s="3">
        <v>0</v>
      </c>
      <c r="M255" s="3">
        <v>0</v>
      </c>
      <c r="N255" s="3" t="s">
        <v>341</v>
      </c>
      <c r="O255" s="3">
        <v>0</v>
      </c>
      <c r="P255" s="3">
        <v>0</v>
      </c>
      <c r="Q255" s="3">
        <v>0</v>
      </c>
      <c r="R255" s="3">
        <v>0</v>
      </c>
      <c r="S255" s="3">
        <v>1</v>
      </c>
      <c r="T255" s="3">
        <v>5</v>
      </c>
      <c r="U255" s="3">
        <v>11</v>
      </c>
      <c r="V255" s="3">
        <v>15</v>
      </c>
      <c r="W255" s="3"/>
      <c r="X255" s="3">
        <v>18.98</v>
      </c>
      <c r="Y255" s="3">
        <v>18.98</v>
      </c>
      <c r="Z255" s="3">
        <v>18.98</v>
      </c>
      <c r="AA255" s="3">
        <v>0</v>
      </c>
      <c r="AB255" s="3" t="s">
        <v>359</v>
      </c>
      <c r="AC255" s="3">
        <v>5</v>
      </c>
      <c r="AD255" s="3">
        <v>18.98</v>
      </c>
      <c r="AE255" s="3">
        <v>0</v>
      </c>
      <c r="AF255" s="3">
        <v>0</v>
      </c>
      <c r="AG255" s="3">
        <v>0</v>
      </c>
      <c r="AH255" s="3">
        <v>1.93548387096774</v>
      </c>
      <c r="AI255" s="3" t="s">
        <v>431</v>
      </c>
      <c r="AJ255" s="3" t="s">
        <v>345</v>
      </c>
    </row>
    <row r="256" spans="1:36">
      <c r="A256" s="4">
        <v>43288</v>
      </c>
      <c r="B256" s="3" t="s">
        <v>1266</v>
      </c>
      <c r="C256" s="3" t="s">
        <v>1267</v>
      </c>
      <c r="D256" s="3" t="s">
        <v>1268</v>
      </c>
      <c r="E256" s="3" t="s">
        <v>1269</v>
      </c>
      <c r="F256" s="3" t="s">
        <v>340</v>
      </c>
      <c r="G256" s="3">
        <v>3</v>
      </c>
      <c r="H256" s="3">
        <v>0</v>
      </c>
      <c r="I256" s="3">
        <v>0</v>
      </c>
      <c r="J256" s="3">
        <v>0</v>
      </c>
      <c r="K256" s="3">
        <v>0</v>
      </c>
      <c r="L256" s="3">
        <v>3</v>
      </c>
      <c r="M256" s="3">
        <v>0</v>
      </c>
      <c r="N256" s="3" t="s">
        <v>341</v>
      </c>
      <c r="O256" s="3">
        <v>0</v>
      </c>
      <c r="P256" s="3">
        <v>0</v>
      </c>
      <c r="Q256" s="3">
        <v>3</v>
      </c>
      <c r="R256" s="3">
        <v>9.65</v>
      </c>
      <c r="S256" s="3">
        <v>0</v>
      </c>
      <c r="T256" s="3">
        <v>0</v>
      </c>
      <c r="U256" s="3">
        <v>0</v>
      </c>
      <c r="V256" s="3">
        <v>0</v>
      </c>
      <c r="W256" s="3" t="s">
        <v>342</v>
      </c>
      <c r="X256" s="3">
        <v>23.88</v>
      </c>
      <c r="Y256" s="3">
        <v>23.88</v>
      </c>
      <c r="Z256" s="3">
        <v>23.88</v>
      </c>
      <c r="AA256" s="3">
        <v>0</v>
      </c>
      <c r="AB256" s="3" t="s">
        <v>343</v>
      </c>
      <c r="AC256" s="3">
        <v>0</v>
      </c>
      <c r="AD256" s="3">
        <v>19.1</v>
      </c>
      <c r="AE256" s="3">
        <v>63</v>
      </c>
      <c r="AF256" s="3">
        <v>0</v>
      </c>
      <c r="AG256" s="3">
        <v>65.753093</v>
      </c>
      <c r="AH256" s="3">
        <v>0</v>
      </c>
      <c r="AI256" s="3" t="s">
        <v>596</v>
      </c>
      <c r="AJ256" s="3" t="s">
        <v>345</v>
      </c>
    </row>
    <row r="257" spans="1:36">
      <c r="A257" s="4">
        <v>43288</v>
      </c>
      <c r="B257" s="3" t="s">
        <v>43</v>
      </c>
      <c r="C257" s="3" t="s">
        <v>44</v>
      </c>
      <c r="D257" s="3" t="s">
        <v>45</v>
      </c>
      <c r="E257" s="3" t="s">
        <v>46</v>
      </c>
      <c r="F257" s="3" t="s">
        <v>340</v>
      </c>
      <c r="G257" s="3">
        <v>1</v>
      </c>
      <c r="H257" s="3">
        <v>0</v>
      </c>
      <c r="I257" s="3">
        <v>0</v>
      </c>
      <c r="J257" s="3">
        <v>0</v>
      </c>
      <c r="K257" s="3">
        <v>0</v>
      </c>
      <c r="L257" s="3">
        <v>1</v>
      </c>
      <c r="M257" s="3">
        <v>0</v>
      </c>
      <c r="N257" s="3" t="s">
        <v>341</v>
      </c>
      <c r="O257" s="3">
        <v>0</v>
      </c>
      <c r="P257" s="3">
        <v>0</v>
      </c>
      <c r="Q257" s="3">
        <v>1</v>
      </c>
      <c r="R257" s="3">
        <v>1.09</v>
      </c>
      <c r="S257" s="3">
        <v>0</v>
      </c>
      <c r="T257" s="3">
        <v>0</v>
      </c>
      <c r="U257" s="3">
        <v>0</v>
      </c>
      <c r="V257" s="3">
        <v>0</v>
      </c>
      <c r="W257" s="3" t="s">
        <v>342</v>
      </c>
      <c r="X257" s="3">
        <v>17.88</v>
      </c>
      <c r="Y257" s="3">
        <v>17.88</v>
      </c>
      <c r="Z257" s="3">
        <v>17.88</v>
      </c>
      <c r="AA257" s="3">
        <v>0</v>
      </c>
      <c r="AB257" s="3" t="s">
        <v>343</v>
      </c>
      <c r="AC257" s="3">
        <v>0</v>
      </c>
      <c r="AD257" s="3">
        <v>14.3</v>
      </c>
      <c r="AE257" s="3">
        <v>63</v>
      </c>
      <c r="AF257" s="3">
        <v>0</v>
      </c>
      <c r="AG257" s="3">
        <v>7.290918</v>
      </c>
      <c r="AH257" s="3">
        <v>0</v>
      </c>
      <c r="AI257" s="3" t="s">
        <v>1203</v>
      </c>
      <c r="AJ257" s="3" t="s">
        <v>345</v>
      </c>
    </row>
    <row r="258" spans="1:36">
      <c r="A258" s="4">
        <v>43288</v>
      </c>
      <c r="B258" s="3" t="s">
        <v>1270</v>
      </c>
      <c r="C258" s="3" t="s">
        <v>1271</v>
      </c>
      <c r="D258" s="3" t="s">
        <v>1272</v>
      </c>
      <c r="E258" s="3" t="s">
        <v>1273</v>
      </c>
      <c r="F258" s="3" t="s">
        <v>340</v>
      </c>
      <c r="G258" s="3">
        <v>1</v>
      </c>
      <c r="H258" s="3">
        <v>0</v>
      </c>
      <c r="I258" s="3">
        <v>0</v>
      </c>
      <c r="J258" s="3">
        <v>1</v>
      </c>
      <c r="K258" s="3">
        <v>0</v>
      </c>
      <c r="L258" s="3">
        <v>0</v>
      </c>
      <c r="M258" s="3">
        <v>0</v>
      </c>
      <c r="N258" s="3" t="s">
        <v>341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0</v>
      </c>
      <c r="W258" s="3" t="s">
        <v>342</v>
      </c>
      <c r="X258" s="3">
        <v>18.99</v>
      </c>
      <c r="Y258" s="3">
        <v>18.99</v>
      </c>
      <c r="Z258" s="3">
        <v>18.99</v>
      </c>
      <c r="AA258" s="3">
        <v>0</v>
      </c>
      <c r="AB258" s="3" t="s">
        <v>349</v>
      </c>
      <c r="AC258" s="3">
        <v>0</v>
      </c>
      <c r="AD258" s="3">
        <v>15.19</v>
      </c>
      <c r="AE258" s="3">
        <v>63</v>
      </c>
      <c r="AF258" s="3">
        <v>0</v>
      </c>
      <c r="AG258" s="3">
        <v>31.488961</v>
      </c>
      <c r="AH258" s="3">
        <v>0</v>
      </c>
      <c r="AI258" s="3" t="s">
        <v>948</v>
      </c>
      <c r="AJ258" s="3" t="s">
        <v>345</v>
      </c>
    </row>
    <row r="259" spans="1:36">
      <c r="A259" s="4">
        <v>43288</v>
      </c>
      <c r="B259" s="3" t="s">
        <v>1274</v>
      </c>
      <c r="C259" s="3" t="s">
        <v>1275</v>
      </c>
      <c r="D259" s="3" t="s">
        <v>1276</v>
      </c>
      <c r="E259" s="3" t="s">
        <v>1277</v>
      </c>
      <c r="F259" s="3" t="s">
        <v>340</v>
      </c>
      <c r="G259" s="3">
        <v>1</v>
      </c>
      <c r="H259" s="3">
        <v>0</v>
      </c>
      <c r="I259" s="3">
        <v>0</v>
      </c>
      <c r="J259" s="3">
        <v>0</v>
      </c>
      <c r="K259" s="3">
        <v>0</v>
      </c>
      <c r="L259" s="3">
        <v>0</v>
      </c>
      <c r="M259" s="3">
        <v>1</v>
      </c>
      <c r="N259" s="3" t="s">
        <v>341</v>
      </c>
      <c r="O259" s="3">
        <v>0</v>
      </c>
      <c r="P259" s="3">
        <v>0</v>
      </c>
      <c r="Q259" s="3">
        <v>1</v>
      </c>
      <c r="R259" s="3">
        <v>0.5</v>
      </c>
      <c r="S259" s="3">
        <v>0</v>
      </c>
      <c r="T259" s="3">
        <v>0</v>
      </c>
      <c r="U259" s="3">
        <v>0</v>
      </c>
      <c r="V259" s="3">
        <v>0</v>
      </c>
      <c r="W259" s="3" t="s">
        <v>342</v>
      </c>
      <c r="X259" s="3">
        <v>16.99</v>
      </c>
      <c r="Y259" s="3">
        <v>16.99</v>
      </c>
      <c r="Z259" s="3">
        <v>16.99</v>
      </c>
      <c r="AA259" s="3">
        <v>0</v>
      </c>
      <c r="AB259" s="3" t="s">
        <v>343</v>
      </c>
      <c r="AC259" s="3">
        <v>0</v>
      </c>
      <c r="AD259" s="3">
        <v>13.59</v>
      </c>
      <c r="AE259" s="3">
        <v>63</v>
      </c>
      <c r="AF259" s="3">
        <v>0</v>
      </c>
      <c r="AG259" s="3">
        <v>0.475349</v>
      </c>
      <c r="AH259" s="3">
        <v>0</v>
      </c>
      <c r="AI259" s="3" t="s">
        <v>344</v>
      </c>
      <c r="AJ259" s="3" t="s">
        <v>345</v>
      </c>
    </row>
    <row r="260" spans="1:36">
      <c r="A260" s="4">
        <v>43288</v>
      </c>
      <c r="B260" s="3" t="s">
        <v>1278</v>
      </c>
      <c r="C260" s="3" t="s">
        <v>1279</v>
      </c>
      <c r="D260" s="3" t="s">
        <v>1280</v>
      </c>
      <c r="E260" s="3" t="s">
        <v>1281</v>
      </c>
      <c r="F260" s="3" t="s">
        <v>340</v>
      </c>
      <c r="G260" s="3">
        <v>7</v>
      </c>
      <c r="H260" s="3">
        <v>0</v>
      </c>
      <c r="I260" s="3">
        <v>0</v>
      </c>
      <c r="J260" s="3">
        <v>0</v>
      </c>
      <c r="K260" s="3">
        <v>0</v>
      </c>
      <c r="L260" s="3">
        <v>2</v>
      </c>
      <c r="M260" s="3">
        <v>5</v>
      </c>
      <c r="N260" s="3" t="s">
        <v>341</v>
      </c>
      <c r="O260" s="3">
        <v>1</v>
      </c>
      <c r="P260" s="3">
        <v>0.76</v>
      </c>
      <c r="Q260" s="3">
        <v>6</v>
      </c>
      <c r="R260" s="3">
        <v>9.16</v>
      </c>
      <c r="S260" s="3">
        <v>0</v>
      </c>
      <c r="T260" s="3">
        <v>0</v>
      </c>
      <c r="U260" s="3">
        <v>0</v>
      </c>
      <c r="V260" s="3">
        <v>0</v>
      </c>
      <c r="W260" s="3" t="s">
        <v>342</v>
      </c>
      <c r="X260" s="3">
        <v>19.99</v>
      </c>
      <c r="Y260" s="3">
        <v>19.99</v>
      </c>
      <c r="Z260" s="3">
        <v>19.99</v>
      </c>
      <c r="AA260" s="3">
        <v>0</v>
      </c>
      <c r="AB260" s="3" t="s">
        <v>349</v>
      </c>
      <c r="AC260" s="3">
        <v>0</v>
      </c>
      <c r="AD260" s="3">
        <v>16.76</v>
      </c>
      <c r="AE260" s="3">
        <v>322</v>
      </c>
      <c r="AF260" s="3">
        <v>0</v>
      </c>
      <c r="AG260" s="3">
        <v>115.285446</v>
      </c>
      <c r="AH260" s="3">
        <v>0</v>
      </c>
      <c r="AI260" s="3" t="s">
        <v>1282</v>
      </c>
      <c r="AJ260" s="3" t="s">
        <v>345</v>
      </c>
    </row>
    <row r="261" spans="1:36">
      <c r="A261" s="4">
        <v>43288</v>
      </c>
      <c r="B261" s="3" t="s">
        <v>1283</v>
      </c>
      <c r="C261" s="3" t="s">
        <v>1284</v>
      </c>
      <c r="D261" s="3" t="s">
        <v>1285</v>
      </c>
      <c r="E261" s="3" t="s">
        <v>463</v>
      </c>
      <c r="F261" s="3" t="s">
        <v>340</v>
      </c>
      <c r="G261" s="3">
        <v>1</v>
      </c>
      <c r="H261" s="3">
        <v>0</v>
      </c>
      <c r="I261" s="3">
        <v>1</v>
      </c>
      <c r="J261" s="3">
        <v>0</v>
      </c>
      <c r="K261" s="3">
        <v>0</v>
      </c>
      <c r="L261" s="3">
        <v>0</v>
      </c>
      <c r="M261" s="3">
        <v>0</v>
      </c>
      <c r="N261" s="3" t="s">
        <v>341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1</v>
      </c>
      <c r="U261" s="3">
        <v>1</v>
      </c>
      <c r="V261" s="3">
        <v>1</v>
      </c>
      <c r="W261" s="3"/>
      <c r="X261" s="3">
        <v>16.99</v>
      </c>
      <c r="Y261" s="3">
        <v>16.99</v>
      </c>
      <c r="Z261" s="3">
        <v>16.99</v>
      </c>
      <c r="AA261" s="3">
        <v>0</v>
      </c>
      <c r="AB261" s="3" t="s">
        <v>359</v>
      </c>
      <c r="AC261" s="3">
        <v>0</v>
      </c>
      <c r="AD261" s="3">
        <v>0</v>
      </c>
      <c r="AE261" s="3">
        <v>0</v>
      </c>
      <c r="AF261" s="3">
        <v>0</v>
      </c>
      <c r="AG261" s="3">
        <v>0</v>
      </c>
      <c r="AH261" s="3">
        <v>1.33333333333333</v>
      </c>
      <c r="AI261" s="3" t="s">
        <v>464</v>
      </c>
      <c r="AJ261" s="3" t="s">
        <v>345</v>
      </c>
    </row>
    <row r="262" spans="1:36">
      <c r="A262" s="4">
        <v>43288</v>
      </c>
      <c r="B262" s="3" t="s">
        <v>1286</v>
      </c>
      <c r="C262" s="3" t="s">
        <v>1287</v>
      </c>
      <c r="D262" s="3" t="s">
        <v>1288</v>
      </c>
      <c r="E262" s="3" t="s">
        <v>1289</v>
      </c>
      <c r="F262" s="3" t="s">
        <v>340</v>
      </c>
      <c r="G262" s="3">
        <v>1</v>
      </c>
      <c r="H262" s="3">
        <v>0</v>
      </c>
      <c r="I262" s="3">
        <v>0</v>
      </c>
      <c r="J262" s="3">
        <v>0</v>
      </c>
      <c r="K262" s="3">
        <v>0</v>
      </c>
      <c r="L262" s="3">
        <v>0</v>
      </c>
      <c r="M262" s="3">
        <v>1</v>
      </c>
      <c r="N262" s="3" t="s">
        <v>341</v>
      </c>
      <c r="O262" s="3">
        <v>0</v>
      </c>
      <c r="P262" s="3">
        <v>0</v>
      </c>
      <c r="Q262" s="3">
        <v>1</v>
      </c>
      <c r="R262" s="3">
        <v>3.22</v>
      </c>
      <c r="S262" s="3">
        <v>0</v>
      </c>
      <c r="T262" s="3">
        <v>0</v>
      </c>
      <c r="U262" s="3">
        <v>0</v>
      </c>
      <c r="V262" s="3">
        <v>1</v>
      </c>
      <c r="W262" s="3" t="s">
        <v>342</v>
      </c>
      <c r="X262" s="3">
        <v>24.88</v>
      </c>
      <c r="Y262" s="3">
        <v>24.88</v>
      </c>
      <c r="Z262" s="3">
        <v>24.88</v>
      </c>
      <c r="AA262" s="3">
        <v>0</v>
      </c>
      <c r="AB262" s="3" t="s">
        <v>343</v>
      </c>
      <c r="AC262" s="3">
        <v>0</v>
      </c>
      <c r="AD262" s="3">
        <v>19.9</v>
      </c>
      <c r="AE262" s="3">
        <v>63</v>
      </c>
      <c r="AF262" s="3">
        <v>0</v>
      </c>
      <c r="AG262" s="3">
        <v>21.987155</v>
      </c>
      <c r="AH262" s="3">
        <v>0.666666666666666</v>
      </c>
      <c r="AI262" s="3" t="s">
        <v>596</v>
      </c>
      <c r="AJ262" s="3" t="s">
        <v>345</v>
      </c>
    </row>
    <row r="263" spans="1:36">
      <c r="A263" s="4">
        <v>43288</v>
      </c>
      <c r="B263" s="3" t="s">
        <v>1290</v>
      </c>
      <c r="C263" s="3" t="s">
        <v>1291</v>
      </c>
      <c r="D263" s="3" t="s">
        <v>1292</v>
      </c>
      <c r="E263" s="3" t="s">
        <v>1293</v>
      </c>
      <c r="F263" s="3" t="s">
        <v>340</v>
      </c>
      <c r="G263" s="3">
        <v>1</v>
      </c>
      <c r="H263" s="3">
        <v>0</v>
      </c>
      <c r="I263" s="3">
        <v>0</v>
      </c>
      <c r="J263" s="3">
        <v>0</v>
      </c>
      <c r="K263" s="3">
        <v>0</v>
      </c>
      <c r="L263" s="3">
        <v>1</v>
      </c>
      <c r="M263" s="3">
        <v>0</v>
      </c>
      <c r="N263" s="3" t="s">
        <v>341</v>
      </c>
      <c r="O263" s="3">
        <v>0</v>
      </c>
      <c r="P263" s="3">
        <v>0</v>
      </c>
      <c r="Q263" s="3">
        <v>1</v>
      </c>
      <c r="R263" s="3">
        <v>1.23</v>
      </c>
      <c r="S263" s="3">
        <v>0</v>
      </c>
      <c r="T263" s="3">
        <v>0</v>
      </c>
      <c r="U263" s="3">
        <v>0</v>
      </c>
      <c r="V263" s="3">
        <v>0</v>
      </c>
      <c r="W263" s="3" t="s">
        <v>342</v>
      </c>
      <c r="X263" s="3">
        <v>19.9</v>
      </c>
      <c r="Y263" s="3">
        <v>19.9</v>
      </c>
      <c r="Z263" s="3">
        <v>19.5</v>
      </c>
      <c r="AA263" s="3">
        <v>0</v>
      </c>
      <c r="AB263" s="3" t="s">
        <v>359</v>
      </c>
      <c r="AC263" s="3">
        <v>1</v>
      </c>
      <c r="AD263" s="3">
        <v>19.9</v>
      </c>
      <c r="AE263" s="3">
        <v>0</v>
      </c>
      <c r="AF263" s="3">
        <v>0</v>
      </c>
      <c r="AG263" s="3">
        <v>0</v>
      </c>
      <c r="AH263" s="3">
        <v>0</v>
      </c>
      <c r="AI263" s="3" t="s">
        <v>425</v>
      </c>
      <c r="AJ263" s="3" t="s">
        <v>345</v>
      </c>
    </row>
    <row r="264" spans="1:36">
      <c r="A264" s="4">
        <v>43288</v>
      </c>
      <c r="B264" s="3" t="s">
        <v>1294</v>
      </c>
      <c r="C264" s="3" t="s">
        <v>1295</v>
      </c>
      <c r="D264" s="3" t="s">
        <v>1296</v>
      </c>
      <c r="E264" s="3" t="s">
        <v>416</v>
      </c>
      <c r="F264" s="3" t="s">
        <v>340</v>
      </c>
      <c r="G264" s="3">
        <v>4</v>
      </c>
      <c r="H264" s="3">
        <v>0</v>
      </c>
      <c r="I264" s="3">
        <v>0</v>
      </c>
      <c r="J264" s="3">
        <v>0</v>
      </c>
      <c r="K264" s="3">
        <v>0</v>
      </c>
      <c r="L264" s="3">
        <v>2</v>
      </c>
      <c r="M264" s="3">
        <v>2</v>
      </c>
      <c r="N264" s="3" t="s">
        <v>341</v>
      </c>
      <c r="O264" s="3">
        <v>1</v>
      </c>
      <c r="P264" s="3">
        <v>0.71</v>
      </c>
      <c r="Q264" s="3">
        <v>3</v>
      </c>
      <c r="R264" s="3">
        <v>4.28</v>
      </c>
      <c r="S264" s="3">
        <v>0</v>
      </c>
      <c r="T264" s="3">
        <v>0</v>
      </c>
      <c r="U264" s="3">
        <v>1</v>
      </c>
      <c r="V264" s="3">
        <v>1</v>
      </c>
      <c r="W264" s="3" t="s">
        <v>381</v>
      </c>
      <c r="X264" s="3">
        <v>19.99</v>
      </c>
      <c r="Y264" s="3">
        <v>19.99</v>
      </c>
      <c r="Z264" s="3">
        <v>19.99</v>
      </c>
      <c r="AA264" s="3">
        <v>0</v>
      </c>
      <c r="AB264" s="3" t="s">
        <v>343</v>
      </c>
      <c r="AC264" s="3">
        <v>0</v>
      </c>
      <c r="AD264" s="3">
        <v>17.18</v>
      </c>
      <c r="AE264" s="3">
        <v>308</v>
      </c>
      <c r="AF264" s="3">
        <v>0</v>
      </c>
      <c r="AG264" s="3">
        <v>58.374498</v>
      </c>
      <c r="AH264" s="3">
        <v>0.222222222222222</v>
      </c>
      <c r="AI264" s="3" t="s">
        <v>1297</v>
      </c>
      <c r="AJ264" s="3" t="s">
        <v>345</v>
      </c>
    </row>
    <row r="265" spans="1:36">
      <c r="A265" s="4">
        <v>43288</v>
      </c>
      <c r="B265" s="3" t="s">
        <v>1298</v>
      </c>
      <c r="C265" s="3" t="s">
        <v>1299</v>
      </c>
      <c r="D265" s="3" t="s">
        <v>1300</v>
      </c>
      <c r="E265" s="3" t="s">
        <v>11</v>
      </c>
      <c r="F265" s="3" t="s">
        <v>340</v>
      </c>
      <c r="G265" s="3">
        <v>2</v>
      </c>
      <c r="H265" s="3">
        <v>0</v>
      </c>
      <c r="I265" s="3">
        <v>0</v>
      </c>
      <c r="J265" s="3">
        <v>2</v>
      </c>
      <c r="K265" s="3">
        <v>0</v>
      </c>
      <c r="L265" s="3">
        <v>0</v>
      </c>
      <c r="M265" s="3">
        <v>0</v>
      </c>
      <c r="N265" s="3" t="s">
        <v>341</v>
      </c>
      <c r="O265" s="3">
        <v>2</v>
      </c>
      <c r="P265" s="3">
        <v>4.63</v>
      </c>
      <c r="Q265" s="3">
        <v>0</v>
      </c>
      <c r="R265" s="3">
        <v>0</v>
      </c>
      <c r="S265" s="3">
        <v>0</v>
      </c>
      <c r="T265" s="3">
        <v>0</v>
      </c>
      <c r="U265" s="3">
        <v>1</v>
      </c>
      <c r="V265" s="3">
        <v>1</v>
      </c>
      <c r="W265" s="3" t="s">
        <v>342</v>
      </c>
      <c r="X265" s="3">
        <v>25.99</v>
      </c>
      <c r="Y265" s="3">
        <v>25.99</v>
      </c>
      <c r="Z265" s="3">
        <v>25.99</v>
      </c>
      <c r="AA265" s="3">
        <v>0</v>
      </c>
      <c r="AB265" s="3" t="s">
        <v>349</v>
      </c>
      <c r="AC265" s="3">
        <v>2</v>
      </c>
      <c r="AD265" s="3">
        <v>25.99</v>
      </c>
      <c r="AE265" s="3">
        <v>0</v>
      </c>
      <c r="AF265" s="3">
        <v>0</v>
      </c>
      <c r="AG265" s="3">
        <v>0</v>
      </c>
      <c r="AH265" s="3">
        <v>0.19047619047619</v>
      </c>
      <c r="AI265" s="3" t="s">
        <v>750</v>
      </c>
      <c r="AJ265" s="3" t="s">
        <v>345</v>
      </c>
    </row>
    <row r="266" spans="1:36">
      <c r="A266" s="4">
        <v>43288</v>
      </c>
      <c r="B266" s="3" t="s">
        <v>1301</v>
      </c>
      <c r="C266" s="3" t="s">
        <v>1302</v>
      </c>
      <c r="D266" s="3" t="s">
        <v>1303</v>
      </c>
      <c r="E266" s="3" t="s">
        <v>173</v>
      </c>
      <c r="F266" s="3" t="s">
        <v>340</v>
      </c>
      <c r="G266" s="3">
        <v>4</v>
      </c>
      <c r="H266" s="3">
        <v>0</v>
      </c>
      <c r="I266" s="3">
        <v>4</v>
      </c>
      <c r="J266" s="3">
        <v>0</v>
      </c>
      <c r="K266" s="3">
        <v>0</v>
      </c>
      <c r="L266" s="3">
        <v>0</v>
      </c>
      <c r="M266" s="3">
        <v>0</v>
      </c>
      <c r="N266" s="3" t="s">
        <v>341</v>
      </c>
      <c r="O266" s="3">
        <v>0</v>
      </c>
      <c r="P266" s="3">
        <v>0</v>
      </c>
      <c r="Q266" s="3">
        <v>0</v>
      </c>
      <c r="R266" s="3">
        <v>0</v>
      </c>
      <c r="S266" s="3">
        <v>3</v>
      </c>
      <c r="T266" s="3">
        <v>6</v>
      </c>
      <c r="U266" s="3">
        <v>7</v>
      </c>
      <c r="V266" s="3">
        <v>9</v>
      </c>
      <c r="W266" s="3"/>
      <c r="X266" s="3"/>
      <c r="Y266" s="3"/>
      <c r="Z266" s="3">
        <v>-1</v>
      </c>
      <c r="AA266" s="3">
        <v>-1</v>
      </c>
      <c r="AB266" s="3" t="s">
        <v>493</v>
      </c>
      <c r="AC266" s="3">
        <v>1</v>
      </c>
      <c r="AD266" s="3">
        <v>15.99</v>
      </c>
      <c r="AE266" s="3">
        <v>168</v>
      </c>
      <c r="AF266" s="3">
        <v>0</v>
      </c>
      <c r="AG266" s="3">
        <v>7.681124</v>
      </c>
      <c r="AH266" s="3">
        <v>2.4</v>
      </c>
      <c r="AI266" s="3" t="s">
        <v>637</v>
      </c>
      <c r="AJ266" s="3" t="s">
        <v>345</v>
      </c>
    </row>
    <row r="267" spans="1:36">
      <c r="A267" s="4">
        <v>43288</v>
      </c>
      <c r="B267" s="3" t="s">
        <v>1304</v>
      </c>
      <c r="C267" s="3" t="s">
        <v>1305</v>
      </c>
      <c r="D267" s="3" t="s">
        <v>1306</v>
      </c>
      <c r="E267" s="3" t="s">
        <v>468</v>
      </c>
      <c r="F267" s="3" t="s">
        <v>340</v>
      </c>
      <c r="G267" s="3">
        <v>4</v>
      </c>
      <c r="H267" s="3">
        <v>0</v>
      </c>
      <c r="I267" s="3">
        <v>1</v>
      </c>
      <c r="J267" s="3">
        <v>0</v>
      </c>
      <c r="K267" s="3">
        <v>3</v>
      </c>
      <c r="L267" s="3">
        <v>0</v>
      </c>
      <c r="M267" s="3">
        <v>0</v>
      </c>
      <c r="N267" s="3" t="s">
        <v>341</v>
      </c>
      <c r="O267" s="3">
        <v>3</v>
      </c>
      <c r="P267" s="3">
        <v>3.44</v>
      </c>
      <c r="Q267" s="3">
        <v>0</v>
      </c>
      <c r="R267" s="3">
        <v>0</v>
      </c>
      <c r="S267" s="3">
        <v>0</v>
      </c>
      <c r="T267" s="3">
        <v>1</v>
      </c>
      <c r="U267" s="3">
        <v>1</v>
      </c>
      <c r="V267" s="3">
        <v>2</v>
      </c>
      <c r="W267" s="3" t="s">
        <v>342</v>
      </c>
      <c r="X267" s="3">
        <v>11.99</v>
      </c>
      <c r="Y267" s="3">
        <v>11.99</v>
      </c>
      <c r="Z267" s="3">
        <v>11.99</v>
      </c>
      <c r="AA267" s="3">
        <v>0</v>
      </c>
      <c r="AB267" s="3" t="s">
        <v>349</v>
      </c>
      <c r="AC267" s="3">
        <v>1</v>
      </c>
      <c r="AD267" s="3">
        <v>10.64</v>
      </c>
      <c r="AE267" s="3">
        <v>35</v>
      </c>
      <c r="AF267" s="3">
        <v>0</v>
      </c>
      <c r="AG267" s="3">
        <v>71.525484</v>
      </c>
      <c r="AH267" s="3">
        <v>0.307692307692307</v>
      </c>
      <c r="AI267" s="3" t="s">
        <v>469</v>
      </c>
      <c r="AJ267" s="3" t="s">
        <v>345</v>
      </c>
    </row>
    <row r="268" spans="1:36">
      <c r="A268" s="4">
        <v>43288</v>
      </c>
      <c r="B268" s="3" t="s">
        <v>1307</v>
      </c>
      <c r="C268" s="3" t="s">
        <v>1308</v>
      </c>
      <c r="D268" s="3" t="s">
        <v>1309</v>
      </c>
      <c r="E268" s="3" t="s">
        <v>1310</v>
      </c>
      <c r="F268" s="3" t="s">
        <v>340</v>
      </c>
      <c r="G268" s="3">
        <v>2</v>
      </c>
      <c r="H268" s="3">
        <v>0</v>
      </c>
      <c r="I268" s="3">
        <v>2</v>
      </c>
      <c r="J268" s="3">
        <v>0</v>
      </c>
      <c r="K268" s="3">
        <v>0</v>
      </c>
      <c r="L268" s="3">
        <v>0</v>
      </c>
      <c r="M268" s="3">
        <v>0</v>
      </c>
      <c r="N268" s="3" t="s">
        <v>341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1</v>
      </c>
      <c r="U268" s="3">
        <v>2</v>
      </c>
      <c r="V268" s="3">
        <v>3</v>
      </c>
      <c r="W268" s="3" t="s">
        <v>342</v>
      </c>
      <c r="X268" s="3">
        <v>29.99</v>
      </c>
      <c r="Y268" s="3">
        <v>29.99</v>
      </c>
      <c r="Z268" s="3">
        <v>29.99</v>
      </c>
      <c r="AA268" s="3">
        <v>0</v>
      </c>
      <c r="AB268" s="3" t="s">
        <v>349</v>
      </c>
      <c r="AC268" s="3">
        <v>2</v>
      </c>
      <c r="AD268" s="3">
        <v>29.99</v>
      </c>
      <c r="AE268" s="3">
        <v>0</v>
      </c>
      <c r="AF268" s="3">
        <v>0</v>
      </c>
      <c r="AG268" s="3">
        <v>0</v>
      </c>
      <c r="AH268" s="3">
        <v>3</v>
      </c>
      <c r="AI268" s="3" t="s">
        <v>982</v>
      </c>
      <c r="AJ268" s="3" t="s">
        <v>345</v>
      </c>
    </row>
    <row r="269" spans="1:36">
      <c r="A269" s="4">
        <v>43288</v>
      </c>
      <c r="B269" s="3" t="s">
        <v>1311</v>
      </c>
      <c r="C269" s="3" t="s">
        <v>1312</v>
      </c>
      <c r="D269" s="3" t="s">
        <v>1313</v>
      </c>
      <c r="E269" s="3" t="s">
        <v>555</v>
      </c>
      <c r="F269" s="3" t="s">
        <v>340</v>
      </c>
      <c r="G269" s="3">
        <v>3</v>
      </c>
      <c r="H269" s="3">
        <v>0</v>
      </c>
      <c r="I269" s="3">
        <v>0</v>
      </c>
      <c r="J269" s="3">
        <v>0</v>
      </c>
      <c r="K269" s="3">
        <v>0</v>
      </c>
      <c r="L269" s="3">
        <v>3</v>
      </c>
      <c r="M269" s="3">
        <v>0</v>
      </c>
      <c r="N269" s="3" t="s">
        <v>341</v>
      </c>
      <c r="O269" s="3">
        <v>0</v>
      </c>
      <c r="P269" s="3">
        <v>0</v>
      </c>
      <c r="Q269" s="3">
        <v>3</v>
      </c>
      <c r="R269" s="3">
        <v>4.69</v>
      </c>
      <c r="S269" s="3">
        <v>0</v>
      </c>
      <c r="T269" s="3">
        <v>0</v>
      </c>
      <c r="U269" s="3">
        <v>0</v>
      </c>
      <c r="V269" s="3">
        <v>0</v>
      </c>
      <c r="W269" s="3" t="s">
        <v>381</v>
      </c>
      <c r="X269" s="3">
        <v>19.99</v>
      </c>
      <c r="Y269" s="3">
        <v>19.99</v>
      </c>
      <c r="Z269" s="3">
        <v>19.99</v>
      </c>
      <c r="AA269" s="3">
        <v>0</v>
      </c>
      <c r="AB269" s="3" t="s">
        <v>343</v>
      </c>
      <c r="AC269" s="3">
        <v>0</v>
      </c>
      <c r="AD269" s="3">
        <v>15.99</v>
      </c>
      <c r="AE269" s="3">
        <v>63</v>
      </c>
      <c r="AF269" s="3">
        <v>0</v>
      </c>
      <c r="AG269" s="3">
        <v>30.888787</v>
      </c>
      <c r="AH269" s="3">
        <v>0</v>
      </c>
      <c r="AI269" s="3" t="s">
        <v>556</v>
      </c>
      <c r="AJ269" s="3" t="s">
        <v>345</v>
      </c>
    </row>
    <row r="270" spans="1:36">
      <c r="A270" s="4">
        <v>43288</v>
      </c>
      <c r="B270" s="3" t="s">
        <v>1314</v>
      </c>
      <c r="C270" s="3" t="s">
        <v>1315</v>
      </c>
      <c r="D270" s="3" t="s">
        <v>1316</v>
      </c>
      <c r="E270" s="3" t="s">
        <v>1317</v>
      </c>
      <c r="F270" s="3" t="s">
        <v>340</v>
      </c>
      <c r="G270" s="3">
        <v>8</v>
      </c>
      <c r="H270" s="3">
        <v>0</v>
      </c>
      <c r="I270" s="3">
        <v>0</v>
      </c>
      <c r="J270" s="3">
        <v>8</v>
      </c>
      <c r="K270" s="3">
        <v>0</v>
      </c>
      <c r="L270" s="3">
        <v>0</v>
      </c>
      <c r="M270" s="3">
        <v>0</v>
      </c>
      <c r="N270" s="3" t="s">
        <v>341</v>
      </c>
      <c r="O270" s="3">
        <v>8</v>
      </c>
      <c r="P270" s="3">
        <v>9.96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 t="s">
        <v>342</v>
      </c>
      <c r="X270" s="3">
        <v>15.99</v>
      </c>
      <c r="Y270" s="3">
        <v>15.99</v>
      </c>
      <c r="Z270" s="3">
        <v>15.99</v>
      </c>
      <c r="AA270" s="3">
        <v>0</v>
      </c>
      <c r="AB270" s="3" t="s">
        <v>349</v>
      </c>
      <c r="AC270" s="3">
        <v>0</v>
      </c>
      <c r="AD270" s="3">
        <v>14.19</v>
      </c>
      <c r="AE270" s="3">
        <v>168</v>
      </c>
      <c r="AF270" s="3">
        <v>0</v>
      </c>
      <c r="AG270" s="3">
        <v>166.647602</v>
      </c>
      <c r="AH270" s="3">
        <v>0</v>
      </c>
      <c r="AI270" s="3" t="s">
        <v>397</v>
      </c>
      <c r="AJ270" s="3" t="s">
        <v>345</v>
      </c>
    </row>
    <row r="271" spans="1:36">
      <c r="A271" s="4">
        <v>43288</v>
      </c>
      <c r="B271" s="3" t="s">
        <v>1318</v>
      </c>
      <c r="C271" s="3" t="s">
        <v>1319</v>
      </c>
      <c r="D271" s="3" t="s">
        <v>1320</v>
      </c>
      <c r="E271" s="3" t="s">
        <v>1281</v>
      </c>
      <c r="F271" s="3" t="s">
        <v>340</v>
      </c>
      <c r="G271" s="3">
        <v>1</v>
      </c>
      <c r="H271" s="3">
        <v>0</v>
      </c>
      <c r="I271" s="3">
        <v>1</v>
      </c>
      <c r="J271" s="3">
        <v>0</v>
      </c>
      <c r="K271" s="3">
        <v>0</v>
      </c>
      <c r="L271" s="3">
        <v>0</v>
      </c>
      <c r="M271" s="3">
        <v>0</v>
      </c>
      <c r="N271" s="3" t="s">
        <v>341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1</v>
      </c>
      <c r="V271" s="3">
        <v>1</v>
      </c>
      <c r="W271" s="3" t="s">
        <v>342</v>
      </c>
      <c r="X271" s="3">
        <v>19.99</v>
      </c>
      <c r="Y271" s="3">
        <v>19.99</v>
      </c>
      <c r="Z271" s="3">
        <v>19.99</v>
      </c>
      <c r="AA271" s="3">
        <v>0</v>
      </c>
      <c r="AB271" s="3" t="s">
        <v>349</v>
      </c>
      <c r="AC271" s="3">
        <v>1</v>
      </c>
      <c r="AD271" s="3">
        <v>19.99</v>
      </c>
      <c r="AE271" s="3">
        <v>0</v>
      </c>
      <c r="AF271" s="3">
        <v>0</v>
      </c>
      <c r="AG271" s="3">
        <v>0</v>
      </c>
      <c r="AH271" s="3">
        <v>0.5</v>
      </c>
      <c r="AI271" s="3" t="s">
        <v>1321</v>
      </c>
      <c r="AJ271" s="3" t="s">
        <v>345</v>
      </c>
    </row>
    <row r="272" spans="1:36">
      <c r="A272" s="4">
        <v>43288</v>
      </c>
      <c r="B272" s="3" t="s">
        <v>1322</v>
      </c>
      <c r="C272" s="3" t="s">
        <v>1323</v>
      </c>
      <c r="D272" s="3" t="s">
        <v>1324</v>
      </c>
      <c r="E272" s="3" t="s">
        <v>1325</v>
      </c>
      <c r="F272" s="3" t="s">
        <v>340</v>
      </c>
      <c r="G272" s="3">
        <v>1</v>
      </c>
      <c r="H272" s="3">
        <v>0</v>
      </c>
      <c r="I272" s="3">
        <v>1</v>
      </c>
      <c r="J272" s="3">
        <v>0</v>
      </c>
      <c r="K272" s="3">
        <v>0</v>
      </c>
      <c r="L272" s="3">
        <v>0</v>
      </c>
      <c r="M272" s="3">
        <v>0</v>
      </c>
      <c r="N272" s="3" t="s">
        <v>341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1</v>
      </c>
      <c r="V272" s="3">
        <v>1</v>
      </c>
      <c r="W272" s="3"/>
      <c r="X272" s="3"/>
      <c r="Y272" s="3"/>
      <c r="Z272" s="3">
        <v>-1</v>
      </c>
      <c r="AA272" s="3">
        <v>-1</v>
      </c>
      <c r="AB272" s="3" t="s">
        <v>493</v>
      </c>
      <c r="AC272" s="3">
        <v>0</v>
      </c>
      <c r="AD272" s="3">
        <v>0</v>
      </c>
      <c r="AE272" s="3">
        <v>0</v>
      </c>
      <c r="AF272" s="3">
        <v>0</v>
      </c>
      <c r="AG272" s="3">
        <v>0</v>
      </c>
      <c r="AH272" s="3">
        <v>0.8</v>
      </c>
      <c r="AI272" s="3" t="s">
        <v>1326</v>
      </c>
      <c r="AJ272" s="3" t="s">
        <v>345</v>
      </c>
    </row>
    <row r="273" spans="1:36">
      <c r="A273" s="4">
        <v>43288</v>
      </c>
      <c r="B273" s="3" t="s">
        <v>1327</v>
      </c>
      <c r="C273" s="3" t="s">
        <v>1328</v>
      </c>
      <c r="D273" s="3" t="s">
        <v>1329</v>
      </c>
      <c r="E273" s="3" t="s">
        <v>1330</v>
      </c>
      <c r="F273" s="3" t="s">
        <v>340</v>
      </c>
      <c r="G273" s="3">
        <v>11</v>
      </c>
      <c r="H273" s="3">
        <v>0</v>
      </c>
      <c r="I273" s="3">
        <v>0</v>
      </c>
      <c r="J273" s="3">
        <v>11</v>
      </c>
      <c r="K273" s="3">
        <v>0</v>
      </c>
      <c r="L273" s="3">
        <v>0</v>
      </c>
      <c r="M273" s="3">
        <v>0</v>
      </c>
      <c r="N273" s="3" t="s">
        <v>341</v>
      </c>
      <c r="O273" s="3">
        <v>7</v>
      </c>
      <c r="P273" s="3">
        <v>14.26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2</v>
      </c>
      <c r="W273" s="3" t="s">
        <v>381</v>
      </c>
      <c r="X273" s="3">
        <v>17.99</v>
      </c>
      <c r="Y273" s="3">
        <v>17.99</v>
      </c>
      <c r="Z273" s="3">
        <v>17.99</v>
      </c>
      <c r="AA273" s="3">
        <v>0</v>
      </c>
      <c r="AB273" s="3" t="s">
        <v>343</v>
      </c>
      <c r="AC273" s="3">
        <v>5</v>
      </c>
      <c r="AD273" s="3">
        <v>16.36</v>
      </c>
      <c r="AE273" s="3">
        <v>21</v>
      </c>
      <c r="AF273" s="3">
        <v>0</v>
      </c>
      <c r="AG273" s="3">
        <v>360.951497</v>
      </c>
      <c r="AH273" s="3">
        <v>0.103896103896103</v>
      </c>
      <c r="AI273" s="3" t="s">
        <v>1331</v>
      </c>
      <c r="AJ273" s="3" t="s">
        <v>345</v>
      </c>
    </row>
    <row r="274" spans="1:36">
      <c r="A274" s="4">
        <v>43288</v>
      </c>
      <c r="B274" s="3" t="s">
        <v>1332</v>
      </c>
      <c r="C274" s="3" t="s">
        <v>1333</v>
      </c>
      <c r="D274" s="3" t="s">
        <v>1334</v>
      </c>
      <c r="E274" s="3" t="s">
        <v>1335</v>
      </c>
      <c r="F274" s="3" t="s">
        <v>340</v>
      </c>
      <c r="G274" s="3">
        <v>13</v>
      </c>
      <c r="H274" s="3">
        <v>0</v>
      </c>
      <c r="I274" s="3">
        <v>1</v>
      </c>
      <c r="J274" s="3">
        <v>12</v>
      </c>
      <c r="K274" s="3">
        <v>0</v>
      </c>
      <c r="L274" s="3">
        <v>0</v>
      </c>
      <c r="M274" s="3">
        <v>0</v>
      </c>
      <c r="N274" s="3" t="s">
        <v>341</v>
      </c>
      <c r="O274" s="3">
        <v>8</v>
      </c>
      <c r="P274" s="3">
        <v>16.86</v>
      </c>
      <c r="Q274" s="3">
        <v>0</v>
      </c>
      <c r="R274" s="3">
        <v>0</v>
      </c>
      <c r="S274" s="3">
        <v>1</v>
      </c>
      <c r="T274" s="3">
        <v>1</v>
      </c>
      <c r="U274" s="3">
        <v>1</v>
      </c>
      <c r="V274" s="3">
        <v>2</v>
      </c>
      <c r="W274" s="3"/>
      <c r="X274" s="3">
        <v>17.99</v>
      </c>
      <c r="Y274" s="3">
        <v>17.99</v>
      </c>
      <c r="Z274" s="3">
        <v>17.99</v>
      </c>
      <c r="AA274" s="3">
        <v>0</v>
      </c>
      <c r="AB274" s="3" t="s">
        <v>343</v>
      </c>
      <c r="AC274" s="3">
        <v>5</v>
      </c>
      <c r="AD274" s="3">
        <v>16.44</v>
      </c>
      <c r="AE274" s="3">
        <v>35</v>
      </c>
      <c r="AF274" s="3">
        <v>0</v>
      </c>
      <c r="AG274" s="3">
        <v>464.390618</v>
      </c>
      <c r="AH274" s="3">
        <v>0.112676056338028</v>
      </c>
      <c r="AI274" s="3" t="s">
        <v>1336</v>
      </c>
      <c r="AJ274" s="3" t="s">
        <v>345</v>
      </c>
    </row>
    <row r="275" spans="1:36">
      <c r="A275" s="4">
        <v>43288</v>
      </c>
      <c r="B275" s="3" t="s">
        <v>1337</v>
      </c>
      <c r="C275" s="3" t="s">
        <v>1338</v>
      </c>
      <c r="D275" s="3" t="s">
        <v>1339</v>
      </c>
      <c r="E275" s="3" t="s">
        <v>375</v>
      </c>
      <c r="F275" s="3" t="s">
        <v>340</v>
      </c>
      <c r="G275" s="3">
        <v>7</v>
      </c>
      <c r="H275" s="3">
        <v>0</v>
      </c>
      <c r="I275" s="3">
        <v>1</v>
      </c>
      <c r="J275" s="3">
        <v>0</v>
      </c>
      <c r="K275" s="3">
        <v>0</v>
      </c>
      <c r="L275" s="3">
        <v>6</v>
      </c>
      <c r="M275" s="3">
        <v>0</v>
      </c>
      <c r="N275" s="3" t="s">
        <v>341</v>
      </c>
      <c r="O275" s="3">
        <v>0</v>
      </c>
      <c r="P275" s="3">
        <v>0</v>
      </c>
      <c r="Q275" s="3">
        <v>6</v>
      </c>
      <c r="R275" s="3">
        <v>5.95</v>
      </c>
      <c r="S275" s="3">
        <v>2</v>
      </c>
      <c r="T275" s="3">
        <v>5</v>
      </c>
      <c r="U275" s="3">
        <v>6</v>
      </c>
      <c r="V275" s="3">
        <v>7</v>
      </c>
      <c r="W275" s="3" t="s">
        <v>342</v>
      </c>
      <c r="X275" s="3">
        <v>18.99</v>
      </c>
      <c r="Y275" s="3">
        <v>18.99</v>
      </c>
      <c r="Z275" s="3">
        <v>18.99</v>
      </c>
      <c r="AA275" s="3">
        <v>0</v>
      </c>
      <c r="AB275" s="3" t="s">
        <v>349</v>
      </c>
      <c r="AC275" s="3">
        <v>7</v>
      </c>
      <c r="AD275" s="3">
        <v>18.99</v>
      </c>
      <c r="AE275" s="3">
        <v>0</v>
      </c>
      <c r="AF275" s="3">
        <v>0</v>
      </c>
      <c r="AG275" s="3">
        <v>0</v>
      </c>
      <c r="AH275" s="3">
        <v>0.622222222222222</v>
      </c>
      <c r="AI275" s="3" t="s">
        <v>376</v>
      </c>
      <c r="AJ275" s="3" t="s">
        <v>345</v>
      </c>
    </row>
    <row r="276" spans="1:36">
      <c r="A276" s="4">
        <v>43288</v>
      </c>
      <c r="B276" s="3" t="s">
        <v>1340</v>
      </c>
      <c r="C276" s="3" t="s">
        <v>1341</v>
      </c>
      <c r="D276" s="3" t="s">
        <v>1342</v>
      </c>
      <c r="E276" s="3" t="s">
        <v>1343</v>
      </c>
      <c r="F276" s="3" t="s">
        <v>340</v>
      </c>
      <c r="G276" s="3">
        <v>1</v>
      </c>
      <c r="H276" s="3">
        <v>0</v>
      </c>
      <c r="I276" s="3">
        <v>0</v>
      </c>
      <c r="J276" s="3">
        <v>0</v>
      </c>
      <c r="K276" s="3">
        <v>0</v>
      </c>
      <c r="L276" s="3">
        <v>1</v>
      </c>
      <c r="M276" s="3">
        <v>0</v>
      </c>
      <c r="N276" s="3" t="s">
        <v>341</v>
      </c>
      <c r="O276" s="3">
        <v>0</v>
      </c>
      <c r="P276" s="3">
        <v>0</v>
      </c>
      <c r="Q276" s="3">
        <v>1</v>
      </c>
      <c r="R276" s="3">
        <v>1.6</v>
      </c>
      <c r="S276" s="3">
        <v>0</v>
      </c>
      <c r="T276" s="3">
        <v>0</v>
      </c>
      <c r="U276" s="3">
        <v>1</v>
      </c>
      <c r="V276" s="3">
        <v>1</v>
      </c>
      <c r="W276" s="3" t="s">
        <v>342</v>
      </c>
      <c r="X276" s="3">
        <v>12.9</v>
      </c>
      <c r="Y276" s="3">
        <v>12.9</v>
      </c>
      <c r="Z276" s="3">
        <v>12.9</v>
      </c>
      <c r="AA276" s="3">
        <v>0</v>
      </c>
      <c r="AB276" s="3" t="s">
        <v>343</v>
      </c>
      <c r="AC276" s="3">
        <v>0</v>
      </c>
      <c r="AD276" s="3">
        <v>11.02</v>
      </c>
      <c r="AE276" s="3">
        <v>350</v>
      </c>
      <c r="AF276" s="3">
        <v>0</v>
      </c>
      <c r="AG276" s="3">
        <v>11.159666</v>
      </c>
      <c r="AH276" s="3">
        <v>0.666666666666666</v>
      </c>
      <c r="AI276" s="3" t="s">
        <v>1344</v>
      </c>
      <c r="AJ276" s="3" t="s">
        <v>345</v>
      </c>
    </row>
    <row r="277" spans="1:36">
      <c r="A277" s="4">
        <v>43288</v>
      </c>
      <c r="B277" s="3" t="s">
        <v>1345</v>
      </c>
      <c r="C277" s="3" t="s">
        <v>1346</v>
      </c>
      <c r="D277" s="3" t="s">
        <v>1347</v>
      </c>
      <c r="E277" s="3" t="s">
        <v>1348</v>
      </c>
      <c r="F277" s="3" t="s">
        <v>340</v>
      </c>
      <c r="G277" s="3">
        <v>4</v>
      </c>
      <c r="H277" s="3">
        <v>0</v>
      </c>
      <c r="I277" s="3">
        <v>2</v>
      </c>
      <c r="J277" s="3">
        <v>2</v>
      </c>
      <c r="K277" s="3">
        <v>0</v>
      </c>
      <c r="L277" s="3">
        <v>0</v>
      </c>
      <c r="M277" s="3">
        <v>0</v>
      </c>
      <c r="N277" s="3" t="s">
        <v>341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381</v>
      </c>
      <c r="X277" s="3">
        <v>18.99</v>
      </c>
      <c r="Y277" s="3">
        <v>18.99</v>
      </c>
      <c r="Z277" s="3">
        <v>18.99</v>
      </c>
      <c r="AA277" s="3">
        <v>0</v>
      </c>
      <c r="AB277" s="3" t="s">
        <v>359</v>
      </c>
      <c r="AC277" s="3">
        <v>4</v>
      </c>
      <c r="AD277" s="3">
        <v>18.99</v>
      </c>
      <c r="AE277" s="3">
        <v>0</v>
      </c>
      <c r="AF277" s="3">
        <v>0</v>
      </c>
      <c r="AG277" s="3">
        <v>0</v>
      </c>
      <c r="AH277" s="3">
        <v>0</v>
      </c>
      <c r="AI277" s="3" t="s">
        <v>1349</v>
      </c>
      <c r="AJ277" s="3" t="s">
        <v>345</v>
      </c>
    </row>
    <row r="278" spans="1:36">
      <c r="A278" s="4">
        <v>43288</v>
      </c>
      <c r="B278" s="3" t="s">
        <v>1350</v>
      </c>
      <c r="C278" s="3" t="s">
        <v>1351</v>
      </c>
      <c r="D278" s="3" t="s">
        <v>1352</v>
      </c>
      <c r="E278" s="3" t="s">
        <v>1353</v>
      </c>
      <c r="F278" s="3" t="s">
        <v>340</v>
      </c>
      <c r="G278" s="3">
        <v>2</v>
      </c>
      <c r="H278" s="3">
        <v>0</v>
      </c>
      <c r="I278" s="3">
        <v>0</v>
      </c>
      <c r="J278" s="3">
        <v>0</v>
      </c>
      <c r="K278" s="3">
        <v>0</v>
      </c>
      <c r="L278" s="3">
        <v>2</v>
      </c>
      <c r="M278" s="3">
        <v>0</v>
      </c>
      <c r="N278" s="3" t="s">
        <v>341</v>
      </c>
      <c r="O278" s="3">
        <v>0</v>
      </c>
      <c r="P278" s="3">
        <v>0</v>
      </c>
      <c r="Q278" s="3">
        <v>2</v>
      </c>
      <c r="R278" s="3">
        <v>1</v>
      </c>
      <c r="S278" s="3">
        <v>0</v>
      </c>
      <c r="T278" s="3">
        <v>0</v>
      </c>
      <c r="U278" s="3">
        <v>0</v>
      </c>
      <c r="V278" s="3">
        <v>0</v>
      </c>
      <c r="W278" s="3" t="s">
        <v>342</v>
      </c>
      <c r="X278" s="3">
        <v>19.9</v>
      </c>
      <c r="Y278" s="3">
        <v>19.9</v>
      </c>
      <c r="Z278" s="3">
        <v>19.9</v>
      </c>
      <c r="AA278" s="3">
        <v>0</v>
      </c>
      <c r="AB278" s="3" t="s">
        <v>359</v>
      </c>
      <c r="AC278" s="3">
        <v>2</v>
      </c>
      <c r="AD278" s="3">
        <v>19.9</v>
      </c>
      <c r="AE278" s="3">
        <v>0</v>
      </c>
      <c r="AF278" s="3">
        <v>0</v>
      </c>
      <c r="AG278" s="3">
        <v>0</v>
      </c>
      <c r="AH278" s="3">
        <v>0</v>
      </c>
      <c r="AI278" s="3" t="s">
        <v>344</v>
      </c>
      <c r="AJ278" s="3" t="s">
        <v>345</v>
      </c>
    </row>
    <row r="279" spans="1:36">
      <c r="A279" s="4">
        <v>43288</v>
      </c>
      <c r="B279" s="3" t="s">
        <v>1354</v>
      </c>
      <c r="C279" s="3" t="s">
        <v>1355</v>
      </c>
      <c r="D279" s="3" t="s">
        <v>1356</v>
      </c>
      <c r="E279" s="3" t="s">
        <v>613</v>
      </c>
      <c r="F279" s="3" t="s">
        <v>340</v>
      </c>
      <c r="G279" s="3">
        <v>3</v>
      </c>
      <c r="H279" s="3">
        <v>0</v>
      </c>
      <c r="I279" s="3">
        <v>0</v>
      </c>
      <c r="J279" s="3">
        <v>3</v>
      </c>
      <c r="K279" s="3">
        <v>0</v>
      </c>
      <c r="L279" s="3">
        <v>0</v>
      </c>
      <c r="M279" s="3">
        <v>0</v>
      </c>
      <c r="N279" s="3" t="s">
        <v>341</v>
      </c>
      <c r="O279" s="3">
        <v>3</v>
      </c>
      <c r="P279" s="3">
        <v>2.49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342</v>
      </c>
      <c r="X279" s="3">
        <v>12.99</v>
      </c>
      <c r="Y279" s="3">
        <v>12.99</v>
      </c>
      <c r="Z279" s="3">
        <v>12.99</v>
      </c>
      <c r="AA279" s="3">
        <v>0</v>
      </c>
      <c r="AB279" s="3" t="s">
        <v>349</v>
      </c>
      <c r="AC279" s="3">
        <v>1</v>
      </c>
      <c r="AD279" s="3">
        <v>11.8</v>
      </c>
      <c r="AE279" s="3">
        <v>35</v>
      </c>
      <c r="AF279" s="3">
        <v>0</v>
      </c>
      <c r="AG279" s="3">
        <v>46.314607</v>
      </c>
      <c r="AH279" s="3">
        <v>0</v>
      </c>
      <c r="AI279" s="3" t="s">
        <v>614</v>
      </c>
      <c r="AJ279" s="3" t="s">
        <v>345</v>
      </c>
    </row>
    <row r="280" spans="1:36">
      <c r="A280" s="4">
        <v>43288</v>
      </c>
      <c r="B280" s="3" t="s">
        <v>1357</v>
      </c>
      <c r="C280" s="3" t="s">
        <v>1358</v>
      </c>
      <c r="D280" s="3" t="s">
        <v>1359</v>
      </c>
      <c r="E280" s="3" t="s">
        <v>1360</v>
      </c>
      <c r="F280" s="3" t="s">
        <v>340</v>
      </c>
      <c r="G280" s="3">
        <v>3</v>
      </c>
      <c r="H280" s="3">
        <v>0</v>
      </c>
      <c r="I280" s="3">
        <v>1</v>
      </c>
      <c r="J280" s="3">
        <v>2</v>
      </c>
      <c r="K280" s="3">
        <v>0</v>
      </c>
      <c r="L280" s="3">
        <v>0</v>
      </c>
      <c r="M280" s="3">
        <v>0</v>
      </c>
      <c r="N280" s="3" t="s">
        <v>341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1</v>
      </c>
      <c r="W280" s="3" t="s">
        <v>381</v>
      </c>
      <c r="X280" s="3">
        <v>19.99</v>
      </c>
      <c r="Y280" s="3">
        <v>19.99</v>
      </c>
      <c r="Z280" s="3">
        <v>19.99</v>
      </c>
      <c r="AA280" s="3">
        <v>0</v>
      </c>
      <c r="AB280" s="3" t="s">
        <v>359</v>
      </c>
      <c r="AC280" s="3">
        <v>3</v>
      </c>
      <c r="AD280" s="3">
        <v>19.99</v>
      </c>
      <c r="AE280" s="3">
        <v>0</v>
      </c>
      <c r="AF280" s="3">
        <v>0</v>
      </c>
      <c r="AG280" s="3">
        <v>0</v>
      </c>
      <c r="AH280" s="3">
        <v>0.333333333333333</v>
      </c>
      <c r="AI280" s="3" t="s">
        <v>631</v>
      </c>
      <c r="AJ280" s="3" t="s">
        <v>345</v>
      </c>
    </row>
    <row r="281" spans="1:36">
      <c r="A281" s="4">
        <v>43288</v>
      </c>
      <c r="B281" s="3" t="s">
        <v>1361</v>
      </c>
      <c r="C281" s="3" t="s">
        <v>1362</v>
      </c>
      <c r="D281" s="3" t="s">
        <v>1363</v>
      </c>
      <c r="E281" s="3" t="s">
        <v>1364</v>
      </c>
      <c r="F281" s="3" t="s">
        <v>340</v>
      </c>
      <c r="G281" s="3">
        <v>1</v>
      </c>
      <c r="H281" s="3">
        <v>0</v>
      </c>
      <c r="I281" s="3">
        <v>1</v>
      </c>
      <c r="J281" s="3">
        <v>0</v>
      </c>
      <c r="K281" s="3">
        <v>0</v>
      </c>
      <c r="L281" s="3">
        <v>0</v>
      </c>
      <c r="M281" s="3">
        <v>0</v>
      </c>
      <c r="N281" s="3" t="s">
        <v>341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1</v>
      </c>
      <c r="U281" s="3">
        <v>2</v>
      </c>
      <c r="V281" s="3">
        <v>2</v>
      </c>
      <c r="W281" s="3"/>
      <c r="X281" s="3">
        <v>16.99</v>
      </c>
      <c r="Y281" s="3">
        <v>16.99</v>
      </c>
      <c r="Z281" s="3">
        <v>16.99</v>
      </c>
      <c r="AA281" s="3">
        <v>0</v>
      </c>
      <c r="AB281" s="3" t="s">
        <v>359</v>
      </c>
      <c r="AC281" s="3">
        <v>1</v>
      </c>
      <c r="AD281" s="3">
        <v>16.99</v>
      </c>
      <c r="AE281" s="3">
        <v>0</v>
      </c>
      <c r="AF281" s="3">
        <v>0</v>
      </c>
      <c r="AG281" s="3">
        <v>0</v>
      </c>
      <c r="AH281" s="3">
        <v>0.8</v>
      </c>
      <c r="AI281" s="3" t="s">
        <v>1187</v>
      </c>
      <c r="AJ281" s="3" t="s">
        <v>345</v>
      </c>
    </row>
    <row r="282" spans="1:36">
      <c r="A282" s="4">
        <v>43288</v>
      </c>
      <c r="B282" s="3" t="s">
        <v>1365</v>
      </c>
      <c r="C282" s="3" t="s">
        <v>1366</v>
      </c>
      <c r="D282" s="3" t="s">
        <v>1367</v>
      </c>
      <c r="E282" s="3" t="s">
        <v>1368</v>
      </c>
      <c r="F282" s="3" t="s">
        <v>340</v>
      </c>
      <c r="G282" s="3">
        <v>18</v>
      </c>
      <c r="H282" s="3">
        <v>0</v>
      </c>
      <c r="I282" s="3">
        <v>0</v>
      </c>
      <c r="J282" s="3">
        <v>1</v>
      </c>
      <c r="K282" s="3">
        <v>0</v>
      </c>
      <c r="L282" s="3">
        <v>17</v>
      </c>
      <c r="M282" s="3">
        <v>0</v>
      </c>
      <c r="N282" s="3" t="s">
        <v>341</v>
      </c>
      <c r="O282" s="3">
        <v>0</v>
      </c>
      <c r="P282" s="3">
        <v>0</v>
      </c>
      <c r="Q282" s="3">
        <v>17</v>
      </c>
      <c r="R282" s="3">
        <v>23.92</v>
      </c>
      <c r="S282" s="3">
        <v>0</v>
      </c>
      <c r="T282" s="3">
        <v>0</v>
      </c>
      <c r="U282" s="3">
        <v>0</v>
      </c>
      <c r="V282" s="3">
        <v>1</v>
      </c>
      <c r="W282" s="3" t="s">
        <v>381</v>
      </c>
      <c r="X282" s="3">
        <v>17.99</v>
      </c>
      <c r="Y282" s="3">
        <v>17.99</v>
      </c>
      <c r="Z282" s="3">
        <v>17.99</v>
      </c>
      <c r="AA282" s="3">
        <v>0</v>
      </c>
      <c r="AB282" s="3" t="s">
        <v>343</v>
      </c>
      <c r="AC282" s="3">
        <v>0</v>
      </c>
      <c r="AD282" s="3">
        <v>12.34</v>
      </c>
      <c r="AE282" s="3">
        <v>364</v>
      </c>
      <c r="AF282" s="3">
        <v>0</v>
      </c>
      <c r="AG282" s="3">
        <v>201.626816</v>
      </c>
      <c r="AH282" s="3">
        <v>0.0533333333333333</v>
      </c>
      <c r="AI282" s="3" t="s">
        <v>859</v>
      </c>
      <c r="AJ282" s="3" t="s">
        <v>345</v>
      </c>
    </row>
    <row r="283" spans="1:36">
      <c r="A283" s="4">
        <v>43288</v>
      </c>
      <c r="B283" s="3" t="s">
        <v>1369</v>
      </c>
      <c r="C283" s="3" t="s">
        <v>1370</v>
      </c>
      <c r="D283" s="3" t="s">
        <v>1371</v>
      </c>
      <c r="E283" s="3" t="s">
        <v>1372</v>
      </c>
      <c r="F283" s="3" t="s">
        <v>340</v>
      </c>
      <c r="G283" s="3">
        <v>9</v>
      </c>
      <c r="H283" s="3">
        <v>0</v>
      </c>
      <c r="I283" s="3">
        <v>0</v>
      </c>
      <c r="J283" s="3">
        <v>5</v>
      </c>
      <c r="K283" s="3">
        <v>0</v>
      </c>
      <c r="L283" s="3">
        <v>4</v>
      </c>
      <c r="M283" s="3">
        <v>0</v>
      </c>
      <c r="N283" s="3" t="s">
        <v>341</v>
      </c>
      <c r="O283" s="3">
        <v>4</v>
      </c>
      <c r="P283" s="3">
        <v>5.79</v>
      </c>
      <c r="Q283" s="3">
        <v>3</v>
      </c>
      <c r="R283" s="3">
        <v>8.69</v>
      </c>
      <c r="S283" s="3">
        <v>0</v>
      </c>
      <c r="T283" s="3">
        <v>0</v>
      </c>
      <c r="U283" s="3">
        <v>0</v>
      </c>
      <c r="V283" s="3">
        <v>0</v>
      </c>
      <c r="W283" s="3" t="s">
        <v>381</v>
      </c>
      <c r="X283" s="3">
        <v>16.99</v>
      </c>
      <c r="Y283" s="3">
        <v>16.99</v>
      </c>
      <c r="Z283" s="3">
        <v>16.99</v>
      </c>
      <c r="AA283" s="3">
        <v>0</v>
      </c>
      <c r="AB283" s="3" t="s">
        <v>343</v>
      </c>
      <c r="AC283" s="3">
        <v>0</v>
      </c>
      <c r="AD283" s="3">
        <v>15.1</v>
      </c>
      <c r="AE283" s="3">
        <v>70</v>
      </c>
      <c r="AF283" s="3">
        <v>0</v>
      </c>
      <c r="AG283" s="3">
        <v>227.786313</v>
      </c>
      <c r="AH283" s="3">
        <v>0</v>
      </c>
      <c r="AI283" s="3" t="s">
        <v>1373</v>
      </c>
      <c r="AJ283" s="3" t="s">
        <v>345</v>
      </c>
    </row>
    <row r="284" spans="1:36">
      <c r="A284" s="4">
        <v>43288</v>
      </c>
      <c r="B284" s="3" t="s">
        <v>1374</v>
      </c>
      <c r="C284" s="3" t="s">
        <v>1375</v>
      </c>
      <c r="D284" s="3" t="s">
        <v>1376</v>
      </c>
      <c r="E284" s="3" t="s">
        <v>1377</v>
      </c>
      <c r="F284" s="3" t="s">
        <v>340</v>
      </c>
      <c r="G284" s="3">
        <v>5</v>
      </c>
      <c r="H284" s="3">
        <v>0</v>
      </c>
      <c r="I284" s="3">
        <v>0</v>
      </c>
      <c r="J284" s="3">
        <v>5</v>
      </c>
      <c r="K284" s="3">
        <v>0</v>
      </c>
      <c r="L284" s="3">
        <v>0</v>
      </c>
      <c r="M284" s="3">
        <v>0</v>
      </c>
      <c r="N284" s="3" t="s">
        <v>341</v>
      </c>
      <c r="O284" s="3">
        <v>4</v>
      </c>
      <c r="P284" s="3">
        <v>4.97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 t="s">
        <v>342</v>
      </c>
      <c r="X284" s="3">
        <v>15.99</v>
      </c>
      <c r="Y284" s="3">
        <v>15.99</v>
      </c>
      <c r="Z284" s="3">
        <v>15.99</v>
      </c>
      <c r="AA284" s="3">
        <v>0</v>
      </c>
      <c r="AB284" s="3" t="s">
        <v>349</v>
      </c>
      <c r="AC284" s="3">
        <v>0</v>
      </c>
      <c r="AD284" s="3">
        <v>14.23</v>
      </c>
      <c r="AE284" s="3">
        <v>147</v>
      </c>
      <c r="AF284" s="3">
        <v>0</v>
      </c>
      <c r="AG284" s="3">
        <v>104.430748</v>
      </c>
      <c r="AH284" s="3">
        <v>0</v>
      </c>
      <c r="AI284" s="3" t="s">
        <v>397</v>
      </c>
      <c r="AJ284" s="3" t="s">
        <v>345</v>
      </c>
    </row>
    <row r="285" spans="1:36">
      <c r="A285" s="4">
        <v>43288</v>
      </c>
      <c r="B285" s="3" t="s">
        <v>1378</v>
      </c>
      <c r="C285" s="3" t="s">
        <v>1379</v>
      </c>
      <c r="D285" s="3" t="s">
        <v>1380</v>
      </c>
      <c r="E285" s="3" t="s">
        <v>111</v>
      </c>
      <c r="F285" s="3" t="s">
        <v>340</v>
      </c>
      <c r="G285" s="3">
        <v>5</v>
      </c>
      <c r="H285" s="3">
        <v>0</v>
      </c>
      <c r="I285" s="3">
        <v>0</v>
      </c>
      <c r="J285" s="3">
        <v>0</v>
      </c>
      <c r="K285" s="3">
        <v>0</v>
      </c>
      <c r="L285" s="3">
        <v>5</v>
      </c>
      <c r="M285" s="3">
        <v>0</v>
      </c>
      <c r="N285" s="3" t="s">
        <v>341</v>
      </c>
      <c r="O285" s="3">
        <v>1</v>
      </c>
      <c r="P285" s="3">
        <v>0.62</v>
      </c>
      <c r="Q285" s="3">
        <v>4</v>
      </c>
      <c r="R285" s="3">
        <v>4.95</v>
      </c>
      <c r="S285" s="3">
        <v>0</v>
      </c>
      <c r="T285" s="3">
        <v>0</v>
      </c>
      <c r="U285" s="3">
        <v>1</v>
      </c>
      <c r="V285" s="3">
        <v>1</v>
      </c>
      <c r="W285" s="3" t="s">
        <v>381</v>
      </c>
      <c r="X285" s="3">
        <v>16.99</v>
      </c>
      <c r="Y285" s="3">
        <v>16.99</v>
      </c>
      <c r="Z285" s="3">
        <v>16.99</v>
      </c>
      <c r="AA285" s="3">
        <v>0</v>
      </c>
      <c r="AB285" s="3" t="s">
        <v>343</v>
      </c>
      <c r="AC285" s="3">
        <v>2</v>
      </c>
      <c r="AD285" s="3">
        <v>15.46</v>
      </c>
      <c r="AE285" s="3">
        <v>35</v>
      </c>
      <c r="AF285" s="3">
        <v>0</v>
      </c>
      <c r="AG285" s="3">
        <v>79.329192</v>
      </c>
      <c r="AH285" s="3">
        <v>0.166666666666666</v>
      </c>
      <c r="AI285" s="3" t="s">
        <v>505</v>
      </c>
      <c r="AJ285" s="3" t="s">
        <v>345</v>
      </c>
    </row>
    <row r="286" spans="1:36">
      <c r="A286" s="4">
        <v>43288</v>
      </c>
      <c r="B286" s="3" t="s">
        <v>1381</v>
      </c>
      <c r="C286" s="3" t="s">
        <v>1382</v>
      </c>
      <c r="D286" s="3" t="s">
        <v>1383</v>
      </c>
      <c r="E286" s="3" t="s">
        <v>1384</v>
      </c>
      <c r="F286" s="3" t="s">
        <v>340</v>
      </c>
      <c r="G286" s="3">
        <v>3</v>
      </c>
      <c r="H286" s="3">
        <v>0</v>
      </c>
      <c r="I286" s="3">
        <v>0</v>
      </c>
      <c r="J286" s="3">
        <v>0</v>
      </c>
      <c r="K286" s="3">
        <v>0</v>
      </c>
      <c r="L286" s="3">
        <v>0</v>
      </c>
      <c r="M286" s="3">
        <v>3</v>
      </c>
      <c r="N286" s="3" t="s">
        <v>341</v>
      </c>
      <c r="O286" s="3">
        <v>0</v>
      </c>
      <c r="P286" s="3">
        <v>0</v>
      </c>
      <c r="Q286" s="3">
        <v>3</v>
      </c>
      <c r="R286" s="3">
        <v>1.5</v>
      </c>
      <c r="S286" s="3">
        <v>0</v>
      </c>
      <c r="T286" s="3">
        <v>0</v>
      </c>
      <c r="U286" s="3">
        <v>0</v>
      </c>
      <c r="V286" s="3">
        <v>0</v>
      </c>
      <c r="W286" s="3" t="s">
        <v>342</v>
      </c>
      <c r="X286" s="3">
        <v>22.99</v>
      </c>
      <c r="Y286" s="3">
        <v>22.99</v>
      </c>
      <c r="Z286" s="3">
        <v>22.99</v>
      </c>
      <c r="AA286" s="3">
        <v>0</v>
      </c>
      <c r="AB286" s="3" t="s">
        <v>343</v>
      </c>
      <c r="AC286" s="3">
        <v>0</v>
      </c>
      <c r="AD286" s="3">
        <v>18.39</v>
      </c>
      <c r="AE286" s="3">
        <v>63</v>
      </c>
      <c r="AF286" s="3">
        <v>0</v>
      </c>
      <c r="AG286" s="3">
        <v>8.177417</v>
      </c>
      <c r="AH286" s="3">
        <v>0</v>
      </c>
      <c r="AI286" s="3" t="s">
        <v>355</v>
      </c>
      <c r="AJ286" s="3" t="s">
        <v>345</v>
      </c>
    </row>
    <row r="287" spans="1:36">
      <c r="A287" s="4">
        <v>43288</v>
      </c>
      <c r="B287" s="3" t="s">
        <v>210</v>
      </c>
      <c r="C287" s="3" t="s">
        <v>211</v>
      </c>
      <c r="D287" s="3" t="s">
        <v>212</v>
      </c>
      <c r="E287" s="3" t="s">
        <v>213</v>
      </c>
      <c r="F287" s="3" t="s">
        <v>340</v>
      </c>
      <c r="G287" s="3">
        <v>3</v>
      </c>
      <c r="H287" s="3">
        <v>0</v>
      </c>
      <c r="I287" s="3">
        <v>1</v>
      </c>
      <c r="J287" s="3">
        <v>2</v>
      </c>
      <c r="K287" s="3">
        <v>0</v>
      </c>
      <c r="L287" s="3">
        <v>0</v>
      </c>
      <c r="M287" s="3">
        <v>0</v>
      </c>
      <c r="N287" s="3" t="s">
        <v>341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4</v>
      </c>
      <c r="U287" s="3">
        <v>5</v>
      </c>
      <c r="V287" s="3">
        <v>9</v>
      </c>
      <c r="W287" s="3"/>
      <c r="X287" s="3">
        <v>20.99</v>
      </c>
      <c r="Y287" s="3">
        <v>20.99</v>
      </c>
      <c r="Z287" s="3">
        <v>20.99</v>
      </c>
      <c r="AA287" s="3">
        <v>0</v>
      </c>
      <c r="AB287" s="3" t="s">
        <v>359</v>
      </c>
      <c r="AC287" s="3">
        <v>3</v>
      </c>
      <c r="AD287" s="3">
        <v>20.99</v>
      </c>
      <c r="AE287" s="3">
        <v>0</v>
      </c>
      <c r="AF287" s="3">
        <v>0</v>
      </c>
      <c r="AG287" s="3">
        <v>0</v>
      </c>
      <c r="AH287" s="3">
        <v>1.125</v>
      </c>
      <c r="AI287" s="3" t="s">
        <v>1385</v>
      </c>
      <c r="AJ287" s="3" t="s">
        <v>345</v>
      </c>
    </row>
    <row r="288" spans="1:36">
      <c r="A288" s="4">
        <v>43288</v>
      </c>
      <c r="B288" s="3" t="s">
        <v>1386</v>
      </c>
      <c r="C288" s="3" t="s">
        <v>1387</v>
      </c>
      <c r="D288" s="3" t="s">
        <v>1388</v>
      </c>
      <c r="E288" s="3" t="s">
        <v>641</v>
      </c>
      <c r="F288" s="3" t="s">
        <v>340</v>
      </c>
      <c r="G288" s="3">
        <v>2</v>
      </c>
      <c r="H288" s="3">
        <v>0</v>
      </c>
      <c r="I288" s="3">
        <v>0</v>
      </c>
      <c r="J288" s="3">
        <v>0</v>
      </c>
      <c r="K288" s="3">
        <v>0</v>
      </c>
      <c r="L288" s="3">
        <v>1</v>
      </c>
      <c r="M288" s="3">
        <v>1</v>
      </c>
      <c r="N288" s="3" t="s">
        <v>341</v>
      </c>
      <c r="O288" s="3">
        <v>0</v>
      </c>
      <c r="P288" s="3">
        <v>0</v>
      </c>
      <c r="Q288" s="3">
        <v>2</v>
      </c>
      <c r="R288" s="3">
        <v>2.02</v>
      </c>
      <c r="S288" s="3">
        <v>0</v>
      </c>
      <c r="T288" s="3">
        <v>0</v>
      </c>
      <c r="U288" s="3">
        <v>0</v>
      </c>
      <c r="V288" s="3">
        <v>0</v>
      </c>
      <c r="W288" s="3" t="s">
        <v>342</v>
      </c>
      <c r="X288" s="3">
        <v>12.9</v>
      </c>
      <c r="Y288" s="3">
        <v>12.9</v>
      </c>
      <c r="Z288" s="3">
        <v>12.9</v>
      </c>
      <c r="AA288" s="3">
        <v>0</v>
      </c>
      <c r="AB288" s="3" t="s">
        <v>359</v>
      </c>
      <c r="AC288" s="3">
        <v>2</v>
      </c>
      <c r="AD288" s="3">
        <v>12.9</v>
      </c>
      <c r="AE288" s="3">
        <v>0</v>
      </c>
      <c r="AF288" s="3">
        <v>0</v>
      </c>
      <c r="AG288" s="3">
        <v>0</v>
      </c>
      <c r="AH288" s="3">
        <v>0</v>
      </c>
      <c r="AI288" s="3" t="s">
        <v>642</v>
      </c>
      <c r="AJ288" s="3" t="s">
        <v>345</v>
      </c>
    </row>
    <row r="289" spans="1:36">
      <c r="A289" s="4">
        <v>43288</v>
      </c>
      <c r="B289" s="3" t="s">
        <v>1389</v>
      </c>
      <c r="C289" s="3" t="s">
        <v>1390</v>
      </c>
      <c r="D289" s="3" t="s">
        <v>1391</v>
      </c>
      <c r="E289" s="3" t="s">
        <v>1392</v>
      </c>
      <c r="F289" s="3" t="s">
        <v>340</v>
      </c>
      <c r="G289" s="3">
        <v>27</v>
      </c>
      <c r="H289" s="3">
        <v>0</v>
      </c>
      <c r="I289" s="3">
        <v>3</v>
      </c>
      <c r="J289" s="3">
        <v>24</v>
      </c>
      <c r="K289" s="3">
        <v>0</v>
      </c>
      <c r="L289" s="3">
        <v>0</v>
      </c>
      <c r="M289" s="3">
        <v>0</v>
      </c>
      <c r="N289" s="3" t="s">
        <v>341</v>
      </c>
      <c r="O289" s="3">
        <v>15</v>
      </c>
      <c r="P289" s="3">
        <v>5.04</v>
      </c>
      <c r="Q289" s="3">
        <v>0</v>
      </c>
      <c r="R289" s="3">
        <v>0</v>
      </c>
      <c r="S289" s="3">
        <v>2</v>
      </c>
      <c r="T289" s="3">
        <v>4</v>
      </c>
      <c r="U289" s="3">
        <v>5</v>
      </c>
      <c r="V289" s="3">
        <v>13</v>
      </c>
      <c r="W289" s="3" t="s">
        <v>381</v>
      </c>
      <c r="X289" s="3">
        <v>30</v>
      </c>
      <c r="Y289" s="3">
        <v>19.99</v>
      </c>
      <c r="Z289" s="3">
        <v>19.99</v>
      </c>
      <c r="AA289" s="3">
        <v>0</v>
      </c>
      <c r="AB289" s="3" t="s">
        <v>359</v>
      </c>
      <c r="AC289" s="3">
        <v>28</v>
      </c>
      <c r="AD289" s="3">
        <v>19.99</v>
      </c>
      <c r="AE289" s="3">
        <v>0</v>
      </c>
      <c r="AF289" s="3">
        <v>0</v>
      </c>
      <c r="AG289" s="3">
        <v>0</v>
      </c>
      <c r="AH289" s="3">
        <v>0.40625</v>
      </c>
      <c r="AI289" s="3" t="s">
        <v>1393</v>
      </c>
      <c r="AJ289" s="3" t="s">
        <v>345</v>
      </c>
    </row>
    <row r="290" spans="1:36">
      <c r="A290" s="4">
        <v>43288</v>
      </c>
      <c r="B290" s="3" t="s">
        <v>1394</v>
      </c>
      <c r="C290" s="3" t="s">
        <v>1395</v>
      </c>
      <c r="D290" s="3" t="s">
        <v>1396</v>
      </c>
      <c r="E290" s="3" t="s">
        <v>525</v>
      </c>
      <c r="F290" s="3" t="s">
        <v>340</v>
      </c>
      <c r="G290" s="3">
        <v>1</v>
      </c>
      <c r="H290" s="3">
        <v>0</v>
      </c>
      <c r="I290" s="3">
        <v>0</v>
      </c>
      <c r="J290" s="3">
        <v>0</v>
      </c>
      <c r="K290" s="3">
        <v>0</v>
      </c>
      <c r="L290" s="3">
        <v>1</v>
      </c>
      <c r="M290" s="3">
        <v>0</v>
      </c>
      <c r="N290" s="3" t="s">
        <v>341</v>
      </c>
      <c r="O290" s="3">
        <v>0</v>
      </c>
      <c r="P290" s="3">
        <v>0</v>
      </c>
      <c r="Q290" s="3">
        <v>1</v>
      </c>
      <c r="R290" s="3">
        <v>2.01</v>
      </c>
      <c r="S290" s="3">
        <v>0</v>
      </c>
      <c r="T290" s="3">
        <v>0</v>
      </c>
      <c r="U290" s="3">
        <v>0</v>
      </c>
      <c r="V290" s="3">
        <v>0</v>
      </c>
      <c r="W290" s="3" t="s">
        <v>342</v>
      </c>
      <c r="X290" s="3">
        <v>19.99</v>
      </c>
      <c r="Y290" s="3">
        <v>19.99</v>
      </c>
      <c r="Z290" s="3">
        <v>19.99</v>
      </c>
      <c r="AA290" s="3">
        <v>0</v>
      </c>
      <c r="AB290" s="3" t="s">
        <v>343</v>
      </c>
      <c r="AC290" s="3">
        <v>0</v>
      </c>
      <c r="AD290" s="3">
        <v>18.72</v>
      </c>
      <c r="AE290" s="3">
        <v>21</v>
      </c>
      <c r="AF290" s="3">
        <v>0</v>
      </c>
      <c r="AG290" s="3">
        <v>23.374082</v>
      </c>
      <c r="AH290" s="3">
        <v>0</v>
      </c>
      <c r="AI290" s="3" t="s">
        <v>526</v>
      </c>
      <c r="AJ290" s="3" t="s">
        <v>345</v>
      </c>
    </row>
    <row r="291" spans="1:36">
      <c r="A291" s="4">
        <v>43288</v>
      </c>
      <c r="B291" s="3" t="s">
        <v>1397</v>
      </c>
      <c r="C291" s="3" t="s">
        <v>1398</v>
      </c>
      <c r="D291" s="3" t="s">
        <v>1399</v>
      </c>
      <c r="E291" s="3" t="s">
        <v>1400</v>
      </c>
      <c r="F291" s="3" t="s">
        <v>340</v>
      </c>
      <c r="G291" s="3">
        <v>1</v>
      </c>
      <c r="H291" s="3">
        <v>0</v>
      </c>
      <c r="I291" s="3">
        <v>0</v>
      </c>
      <c r="J291" s="3">
        <v>0</v>
      </c>
      <c r="K291" s="3">
        <v>0</v>
      </c>
      <c r="L291" s="3">
        <v>0</v>
      </c>
      <c r="M291" s="3">
        <v>1</v>
      </c>
      <c r="N291" s="3" t="s">
        <v>341</v>
      </c>
      <c r="O291" s="3">
        <v>0</v>
      </c>
      <c r="P291" s="3">
        <v>0</v>
      </c>
      <c r="Q291" s="3">
        <v>1</v>
      </c>
      <c r="R291" s="3">
        <v>1.79</v>
      </c>
      <c r="S291" s="3">
        <v>0</v>
      </c>
      <c r="T291" s="3">
        <v>0</v>
      </c>
      <c r="U291" s="3">
        <v>0</v>
      </c>
      <c r="V291" s="3">
        <v>0</v>
      </c>
      <c r="W291" s="3" t="s">
        <v>342</v>
      </c>
      <c r="X291" s="3">
        <v>17.99</v>
      </c>
      <c r="Y291" s="3">
        <v>17.99</v>
      </c>
      <c r="Z291" s="3">
        <v>17.99</v>
      </c>
      <c r="AA291" s="3">
        <v>0</v>
      </c>
      <c r="AB291" s="3" t="s">
        <v>359</v>
      </c>
      <c r="AC291" s="3">
        <v>1</v>
      </c>
      <c r="AD291" s="3">
        <v>17.99</v>
      </c>
      <c r="AE291" s="3">
        <v>0</v>
      </c>
      <c r="AF291" s="3">
        <v>0</v>
      </c>
      <c r="AG291" s="3">
        <v>0</v>
      </c>
      <c r="AH291" s="3">
        <v>0</v>
      </c>
      <c r="AI291" s="3" t="s">
        <v>1401</v>
      </c>
      <c r="AJ291" s="3" t="s">
        <v>345</v>
      </c>
    </row>
    <row r="292" spans="1:36">
      <c r="A292" s="4">
        <v>43288</v>
      </c>
      <c r="B292" s="3" t="s">
        <v>1402</v>
      </c>
      <c r="C292" s="3" t="s">
        <v>1403</v>
      </c>
      <c r="D292" s="3" t="s">
        <v>1404</v>
      </c>
      <c r="E292" s="3" t="s">
        <v>490</v>
      </c>
      <c r="F292" s="3" t="s">
        <v>340</v>
      </c>
      <c r="G292" s="3">
        <v>3</v>
      </c>
      <c r="H292" s="3">
        <v>0</v>
      </c>
      <c r="I292" s="3">
        <v>0</v>
      </c>
      <c r="J292" s="3">
        <v>0</v>
      </c>
      <c r="K292" s="3">
        <v>0</v>
      </c>
      <c r="L292" s="3">
        <v>1</v>
      </c>
      <c r="M292" s="3">
        <v>2</v>
      </c>
      <c r="N292" s="3" t="s">
        <v>341</v>
      </c>
      <c r="O292" s="3">
        <v>0</v>
      </c>
      <c r="P292" s="3">
        <v>0</v>
      </c>
      <c r="Q292" s="3">
        <v>3</v>
      </c>
      <c r="R292" s="3">
        <v>3.75</v>
      </c>
      <c r="S292" s="3">
        <v>0</v>
      </c>
      <c r="T292" s="3">
        <v>0</v>
      </c>
      <c r="U292" s="3">
        <v>0</v>
      </c>
      <c r="V292" s="3">
        <v>0</v>
      </c>
      <c r="W292" s="3" t="s">
        <v>342</v>
      </c>
      <c r="X292" s="3">
        <v>16.99</v>
      </c>
      <c r="Y292" s="3">
        <v>16.99</v>
      </c>
      <c r="Z292" s="3">
        <v>16.99</v>
      </c>
      <c r="AA292" s="3">
        <v>0</v>
      </c>
      <c r="AB292" s="3" t="s">
        <v>343</v>
      </c>
      <c r="AC292" s="3">
        <v>0</v>
      </c>
      <c r="AD292" s="3">
        <v>14.55</v>
      </c>
      <c r="AE292" s="3">
        <v>231</v>
      </c>
      <c r="AF292" s="3">
        <v>0</v>
      </c>
      <c r="AG292" s="3">
        <v>41.307979</v>
      </c>
      <c r="AH292" s="3">
        <v>0</v>
      </c>
      <c r="AI292" s="3" t="s">
        <v>491</v>
      </c>
      <c r="AJ292" s="3" t="s">
        <v>345</v>
      </c>
    </row>
    <row r="293" spans="1:36">
      <c r="A293" s="4">
        <v>43288</v>
      </c>
      <c r="B293" s="3" t="s">
        <v>1405</v>
      </c>
      <c r="C293" s="3" t="s">
        <v>1406</v>
      </c>
      <c r="D293" s="3" t="s">
        <v>1407</v>
      </c>
      <c r="E293" s="3" t="s">
        <v>1408</v>
      </c>
      <c r="F293" s="3" t="s">
        <v>340</v>
      </c>
      <c r="G293" s="3">
        <v>1</v>
      </c>
      <c r="H293" s="3">
        <v>0</v>
      </c>
      <c r="I293" s="3">
        <v>0</v>
      </c>
      <c r="J293" s="3">
        <v>0</v>
      </c>
      <c r="K293" s="3">
        <v>0</v>
      </c>
      <c r="L293" s="3">
        <v>1</v>
      </c>
      <c r="M293" s="3">
        <v>0</v>
      </c>
      <c r="N293" s="3" t="s">
        <v>341</v>
      </c>
      <c r="O293" s="3">
        <v>1</v>
      </c>
      <c r="P293" s="3">
        <v>0.85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 t="s">
        <v>342</v>
      </c>
      <c r="X293" s="3">
        <v>17.99</v>
      </c>
      <c r="Y293" s="3">
        <v>17.99</v>
      </c>
      <c r="Z293" s="3">
        <v>17.99</v>
      </c>
      <c r="AA293" s="3">
        <v>0</v>
      </c>
      <c r="AB293" s="3" t="s">
        <v>349</v>
      </c>
      <c r="AC293" s="3">
        <v>0</v>
      </c>
      <c r="AD293" s="3">
        <v>17</v>
      </c>
      <c r="AE293" s="3">
        <v>21</v>
      </c>
      <c r="AF293" s="3">
        <v>0</v>
      </c>
      <c r="AG293" s="3">
        <v>19.359116</v>
      </c>
      <c r="AH293" s="3">
        <v>0</v>
      </c>
      <c r="AI293" s="3" t="s">
        <v>693</v>
      </c>
      <c r="AJ293" s="3" t="s">
        <v>345</v>
      </c>
    </row>
    <row r="294" spans="1:36">
      <c r="A294" s="4">
        <v>43288</v>
      </c>
      <c r="B294" s="3" t="s">
        <v>1409</v>
      </c>
      <c r="C294" s="3" t="s">
        <v>1410</v>
      </c>
      <c r="D294" s="3" t="s">
        <v>1411</v>
      </c>
      <c r="E294" s="3" t="s">
        <v>196</v>
      </c>
      <c r="F294" s="3" t="s">
        <v>340</v>
      </c>
      <c r="G294" s="3">
        <v>1</v>
      </c>
      <c r="H294" s="3">
        <v>0</v>
      </c>
      <c r="I294" s="3">
        <v>1</v>
      </c>
      <c r="J294" s="3">
        <v>0</v>
      </c>
      <c r="K294" s="3">
        <v>0</v>
      </c>
      <c r="L294" s="3">
        <v>0</v>
      </c>
      <c r="M294" s="3">
        <v>0</v>
      </c>
      <c r="N294" s="3" t="s">
        <v>341</v>
      </c>
      <c r="O294" s="3">
        <v>0</v>
      </c>
      <c r="P294" s="3">
        <v>0</v>
      </c>
      <c r="Q294" s="3">
        <v>0</v>
      </c>
      <c r="R294" s="3">
        <v>0</v>
      </c>
      <c r="S294" s="3">
        <v>4</v>
      </c>
      <c r="T294" s="3">
        <v>11</v>
      </c>
      <c r="U294" s="3">
        <v>13</v>
      </c>
      <c r="V294" s="3">
        <v>13</v>
      </c>
      <c r="W294" s="3"/>
      <c r="X294" s="3">
        <v>29.99</v>
      </c>
      <c r="Y294" s="3">
        <v>19.38</v>
      </c>
      <c r="Z294" s="3">
        <v>19.38</v>
      </c>
      <c r="AA294" s="3">
        <v>0</v>
      </c>
      <c r="AB294" s="3" t="s">
        <v>359</v>
      </c>
      <c r="AC294" s="3">
        <v>4</v>
      </c>
      <c r="AD294" s="3">
        <v>19.38</v>
      </c>
      <c r="AE294" s="3">
        <v>0</v>
      </c>
      <c r="AF294" s="3">
        <v>0</v>
      </c>
      <c r="AG294" s="3">
        <v>0</v>
      </c>
      <c r="AH294" s="3">
        <v>2.47619047619047</v>
      </c>
      <c r="AI294" s="3" t="s">
        <v>492</v>
      </c>
      <c r="AJ294" s="3" t="s">
        <v>345</v>
      </c>
    </row>
    <row r="295" spans="1:36">
      <c r="A295" s="4">
        <v>43288</v>
      </c>
      <c r="B295" s="3" t="s">
        <v>1412</v>
      </c>
      <c r="C295" s="3" t="s">
        <v>1413</v>
      </c>
      <c r="D295" s="3" t="s">
        <v>1414</v>
      </c>
      <c r="E295" s="3" t="s">
        <v>577</v>
      </c>
      <c r="F295" s="3" t="s">
        <v>340</v>
      </c>
      <c r="G295" s="3">
        <v>7</v>
      </c>
      <c r="H295" s="3">
        <v>0</v>
      </c>
      <c r="I295" s="3">
        <v>0</v>
      </c>
      <c r="J295" s="3">
        <v>2</v>
      </c>
      <c r="K295" s="3">
        <v>5</v>
      </c>
      <c r="L295" s="3">
        <v>0</v>
      </c>
      <c r="M295" s="3">
        <v>0</v>
      </c>
      <c r="N295" s="3" t="s">
        <v>341</v>
      </c>
      <c r="O295" s="3">
        <v>6</v>
      </c>
      <c r="P295" s="3">
        <v>7.02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 t="s">
        <v>342</v>
      </c>
      <c r="X295" s="3">
        <v>16.99</v>
      </c>
      <c r="Y295" s="3">
        <v>16.99</v>
      </c>
      <c r="Z295" s="3">
        <v>16.99</v>
      </c>
      <c r="AA295" s="3">
        <v>0</v>
      </c>
      <c r="AB295" s="3" t="s">
        <v>349</v>
      </c>
      <c r="AC295" s="3">
        <v>0</v>
      </c>
      <c r="AD295" s="3">
        <v>14.46</v>
      </c>
      <c r="AE295" s="3">
        <v>273</v>
      </c>
      <c r="AF295" s="3">
        <v>0</v>
      </c>
      <c r="AG295" s="3">
        <v>134.00724</v>
      </c>
      <c r="AH295" s="3">
        <v>0</v>
      </c>
      <c r="AI295" s="3" t="s">
        <v>578</v>
      </c>
      <c r="AJ295" s="3" t="s">
        <v>345</v>
      </c>
    </row>
    <row r="296" spans="1:36">
      <c r="A296" s="4">
        <v>43288</v>
      </c>
      <c r="B296" s="3" t="s">
        <v>1415</v>
      </c>
      <c r="C296" s="3" t="s">
        <v>1416</v>
      </c>
      <c r="D296" s="3" t="s">
        <v>1417</v>
      </c>
      <c r="E296" s="3" t="s">
        <v>577</v>
      </c>
      <c r="F296" s="3" t="s">
        <v>340</v>
      </c>
      <c r="G296" s="3">
        <v>5</v>
      </c>
      <c r="H296" s="3">
        <v>0</v>
      </c>
      <c r="I296" s="3">
        <v>0</v>
      </c>
      <c r="J296" s="3">
        <v>0</v>
      </c>
      <c r="K296" s="3">
        <v>5</v>
      </c>
      <c r="L296" s="3">
        <v>0</v>
      </c>
      <c r="M296" s="3">
        <v>0</v>
      </c>
      <c r="N296" s="3" t="s">
        <v>341</v>
      </c>
      <c r="O296" s="3">
        <v>5</v>
      </c>
      <c r="P296" s="3">
        <v>5.86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 t="s">
        <v>342</v>
      </c>
      <c r="X296" s="3">
        <v>14.99</v>
      </c>
      <c r="Y296" s="3">
        <v>14.99</v>
      </c>
      <c r="Z296" s="3">
        <v>14.99</v>
      </c>
      <c r="AA296" s="3">
        <v>0</v>
      </c>
      <c r="AB296" s="3" t="s">
        <v>349</v>
      </c>
      <c r="AC296" s="3">
        <v>0</v>
      </c>
      <c r="AD296" s="3">
        <v>12.18</v>
      </c>
      <c r="AE296" s="3">
        <v>217</v>
      </c>
      <c r="AF296" s="3">
        <v>0</v>
      </c>
      <c r="AG296" s="3">
        <v>88.979974</v>
      </c>
      <c r="AH296" s="3">
        <v>0</v>
      </c>
      <c r="AI296" s="3" t="s">
        <v>578</v>
      </c>
      <c r="AJ296" s="3" t="s">
        <v>345</v>
      </c>
    </row>
    <row r="297" spans="1:36">
      <c r="A297" s="4">
        <v>43288</v>
      </c>
      <c r="B297" s="3" t="s">
        <v>1418</v>
      </c>
      <c r="C297" s="3" t="s">
        <v>1419</v>
      </c>
      <c r="D297" s="3" t="s">
        <v>1420</v>
      </c>
      <c r="E297" s="3" t="s">
        <v>1421</v>
      </c>
      <c r="F297" s="3" t="s">
        <v>340</v>
      </c>
      <c r="G297" s="3">
        <v>4</v>
      </c>
      <c r="H297" s="3">
        <v>0</v>
      </c>
      <c r="I297" s="3">
        <v>0</v>
      </c>
      <c r="J297" s="3">
        <v>4</v>
      </c>
      <c r="K297" s="3">
        <v>0</v>
      </c>
      <c r="L297" s="3">
        <v>0</v>
      </c>
      <c r="M297" s="3">
        <v>0</v>
      </c>
      <c r="N297" s="3" t="s">
        <v>341</v>
      </c>
      <c r="O297" s="3">
        <v>4</v>
      </c>
      <c r="P297" s="3">
        <v>4.98</v>
      </c>
      <c r="Q297" s="3">
        <v>0</v>
      </c>
      <c r="R297" s="3">
        <v>0</v>
      </c>
      <c r="S297" s="3">
        <v>0</v>
      </c>
      <c r="T297" s="3">
        <v>0</v>
      </c>
      <c r="U297" s="3">
        <v>1</v>
      </c>
      <c r="V297" s="3">
        <v>1</v>
      </c>
      <c r="W297" s="3" t="s">
        <v>342</v>
      </c>
      <c r="X297" s="3">
        <v>15.99</v>
      </c>
      <c r="Y297" s="3">
        <v>15.99</v>
      </c>
      <c r="Z297" s="3">
        <v>15.99</v>
      </c>
      <c r="AA297" s="3">
        <v>0</v>
      </c>
      <c r="AB297" s="3" t="s">
        <v>349</v>
      </c>
      <c r="AC297" s="3">
        <v>0</v>
      </c>
      <c r="AD297" s="3">
        <v>14.02</v>
      </c>
      <c r="AE297" s="3">
        <v>196</v>
      </c>
      <c r="AF297" s="3">
        <v>0</v>
      </c>
      <c r="AG297" s="3">
        <v>76.133585</v>
      </c>
      <c r="AH297" s="3">
        <v>0.222222222222222</v>
      </c>
      <c r="AI297" s="3" t="s">
        <v>714</v>
      </c>
      <c r="AJ297" s="3" t="s">
        <v>345</v>
      </c>
    </row>
    <row r="298" spans="1:36">
      <c r="A298" s="4">
        <v>43288</v>
      </c>
      <c r="B298" s="3" t="s">
        <v>300</v>
      </c>
      <c r="C298" s="3" t="s">
        <v>301</v>
      </c>
      <c r="D298" s="3" t="s">
        <v>302</v>
      </c>
      <c r="E298" s="3" t="s">
        <v>303</v>
      </c>
      <c r="F298" s="3" t="s">
        <v>340</v>
      </c>
      <c r="G298" s="3">
        <v>2</v>
      </c>
      <c r="H298" s="3">
        <v>0</v>
      </c>
      <c r="I298" s="3">
        <v>2</v>
      </c>
      <c r="J298" s="3">
        <v>0</v>
      </c>
      <c r="K298" s="3">
        <v>0</v>
      </c>
      <c r="L298" s="3">
        <v>0</v>
      </c>
      <c r="M298" s="3">
        <v>0</v>
      </c>
      <c r="N298" s="3" t="s">
        <v>341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8</v>
      </c>
      <c r="U298" s="3">
        <v>23</v>
      </c>
      <c r="V298" s="3">
        <v>25</v>
      </c>
      <c r="W298" s="3"/>
      <c r="X298" s="3">
        <v>19.99</v>
      </c>
      <c r="Y298" s="3">
        <v>19.99</v>
      </c>
      <c r="Z298" s="3">
        <v>19.99</v>
      </c>
      <c r="AA298" s="3">
        <v>0</v>
      </c>
      <c r="AB298" s="3" t="s">
        <v>359</v>
      </c>
      <c r="AC298" s="3">
        <v>1</v>
      </c>
      <c r="AD298" s="3">
        <v>19.99</v>
      </c>
      <c r="AE298" s="3">
        <v>0</v>
      </c>
      <c r="AF298" s="3">
        <v>0</v>
      </c>
      <c r="AG298" s="3">
        <v>0</v>
      </c>
      <c r="AH298" s="3">
        <v>3.94736842105263</v>
      </c>
      <c r="AI298" s="3" t="s">
        <v>1422</v>
      </c>
      <c r="AJ298" s="3" t="s">
        <v>345</v>
      </c>
    </row>
    <row r="299" spans="1:36">
      <c r="A299" s="4">
        <v>43288</v>
      </c>
      <c r="B299" s="3" t="s">
        <v>1423</v>
      </c>
      <c r="C299" s="3" t="s">
        <v>1424</v>
      </c>
      <c r="D299" s="3" t="s">
        <v>1425</v>
      </c>
      <c r="E299" s="3" t="s">
        <v>111</v>
      </c>
      <c r="F299" s="3" t="s">
        <v>340</v>
      </c>
      <c r="G299" s="3">
        <v>6</v>
      </c>
      <c r="H299" s="3">
        <v>0</v>
      </c>
      <c r="I299" s="3">
        <v>1</v>
      </c>
      <c r="J299" s="3">
        <v>1</v>
      </c>
      <c r="K299" s="3">
        <v>1</v>
      </c>
      <c r="L299" s="3">
        <v>1</v>
      </c>
      <c r="M299" s="3">
        <v>2</v>
      </c>
      <c r="N299" s="3" t="s">
        <v>341</v>
      </c>
      <c r="O299" s="3">
        <v>1</v>
      </c>
      <c r="P299" s="3">
        <v>0.62</v>
      </c>
      <c r="Q299" s="3">
        <v>3</v>
      </c>
      <c r="R299" s="3">
        <v>3.71</v>
      </c>
      <c r="S299" s="3">
        <v>0</v>
      </c>
      <c r="T299" s="3">
        <v>3</v>
      </c>
      <c r="U299" s="3">
        <v>4</v>
      </c>
      <c r="V299" s="3">
        <v>4</v>
      </c>
      <c r="W299" s="3"/>
      <c r="X299" s="3">
        <v>15.99</v>
      </c>
      <c r="Y299" s="3">
        <v>15.99</v>
      </c>
      <c r="Z299" s="3">
        <v>15.99</v>
      </c>
      <c r="AA299" s="3">
        <v>0</v>
      </c>
      <c r="AB299" s="3" t="s">
        <v>359</v>
      </c>
      <c r="AC299" s="3">
        <v>6</v>
      </c>
      <c r="AD299" s="3">
        <v>15.99</v>
      </c>
      <c r="AE299" s="3">
        <v>0</v>
      </c>
      <c r="AF299" s="3">
        <v>0</v>
      </c>
      <c r="AG299" s="3">
        <v>0</v>
      </c>
      <c r="AH299" s="3">
        <v>0.432432432432432</v>
      </c>
      <c r="AI299" s="3" t="s">
        <v>505</v>
      </c>
      <c r="AJ299" s="3" t="s">
        <v>345</v>
      </c>
    </row>
    <row r="300" spans="1:36">
      <c r="A300" s="4">
        <v>43288</v>
      </c>
      <c r="B300" s="3" t="s">
        <v>1426</v>
      </c>
      <c r="C300" s="3" t="s">
        <v>1427</v>
      </c>
      <c r="D300" s="3" t="s">
        <v>1428</v>
      </c>
      <c r="E300" s="3" t="s">
        <v>295</v>
      </c>
      <c r="F300" s="3" t="s">
        <v>340</v>
      </c>
      <c r="G300" s="3">
        <v>1</v>
      </c>
      <c r="H300" s="3">
        <v>0</v>
      </c>
      <c r="I300" s="3">
        <v>1</v>
      </c>
      <c r="J300" s="3">
        <v>0</v>
      </c>
      <c r="K300" s="3">
        <v>0</v>
      </c>
      <c r="L300" s="3">
        <v>0</v>
      </c>
      <c r="M300" s="3">
        <v>0</v>
      </c>
      <c r="N300" s="3" t="s">
        <v>341</v>
      </c>
      <c r="O300" s="3">
        <v>0</v>
      </c>
      <c r="P300" s="3">
        <v>0</v>
      </c>
      <c r="Q300" s="3">
        <v>0</v>
      </c>
      <c r="R300" s="3">
        <v>0</v>
      </c>
      <c r="S300" s="3">
        <v>1</v>
      </c>
      <c r="T300" s="3">
        <v>2</v>
      </c>
      <c r="U300" s="3">
        <v>8</v>
      </c>
      <c r="V300" s="3">
        <v>13</v>
      </c>
      <c r="W300" s="3"/>
      <c r="X300" s="3">
        <v>19.99</v>
      </c>
      <c r="Y300" s="3">
        <v>19.99</v>
      </c>
      <c r="Z300" s="3">
        <v>19.99</v>
      </c>
      <c r="AA300" s="3">
        <v>0</v>
      </c>
      <c r="AB300" s="3" t="s">
        <v>359</v>
      </c>
      <c r="AC300" s="3">
        <v>1</v>
      </c>
      <c r="AD300" s="3">
        <v>19.99</v>
      </c>
      <c r="AE300" s="3">
        <v>0</v>
      </c>
      <c r="AF300" s="3">
        <v>0</v>
      </c>
      <c r="AG300" s="3">
        <v>0</v>
      </c>
      <c r="AH300" s="3">
        <v>6.5</v>
      </c>
      <c r="AI300" s="3" t="s">
        <v>1422</v>
      </c>
      <c r="AJ300" s="3" t="s">
        <v>345</v>
      </c>
    </row>
    <row r="301" spans="1:36">
      <c r="A301" s="4">
        <v>43288</v>
      </c>
      <c r="B301" s="3" t="s">
        <v>1429</v>
      </c>
      <c r="C301" s="3" t="s">
        <v>1430</v>
      </c>
      <c r="D301" s="3" t="s">
        <v>1431</v>
      </c>
      <c r="E301" s="3" t="s">
        <v>88</v>
      </c>
      <c r="F301" s="3" t="s">
        <v>340</v>
      </c>
      <c r="G301" s="3">
        <v>1</v>
      </c>
      <c r="H301" s="3">
        <v>0</v>
      </c>
      <c r="I301" s="3">
        <v>1</v>
      </c>
      <c r="J301" s="3">
        <v>0</v>
      </c>
      <c r="K301" s="3">
        <v>0</v>
      </c>
      <c r="L301" s="3">
        <v>0</v>
      </c>
      <c r="M301" s="3">
        <v>0</v>
      </c>
      <c r="N301" s="3" t="s">
        <v>341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3</v>
      </c>
      <c r="U301" s="3">
        <v>3</v>
      </c>
      <c r="V301" s="3">
        <v>6</v>
      </c>
      <c r="W301" s="3" t="s">
        <v>342</v>
      </c>
      <c r="X301" s="3">
        <v>16.99</v>
      </c>
      <c r="Y301" s="3">
        <v>16.99</v>
      </c>
      <c r="Z301" s="3">
        <v>16.99</v>
      </c>
      <c r="AA301" s="3">
        <v>0</v>
      </c>
      <c r="AB301" s="3" t="s">
        <v>349</v>
      </c>
      <c r="AC301" s="3">
        <v>0</v>
      </c>
      <c r="AD301" s="3">
        <v>0</v>
      </c>
      <c r="AE301" s="3">
        <v>0</v>
      </c>
      <c r="AF301" s="3">
        <v>0</v>
      </c>
      <c r="AG301" s="3">
        <v>0</v>
      </c>
      <c r="AH301" s="3">
        <v>1.71428571428571</v>
      </c>
      <c r="AI301" s="3" t="s">
        <v>350</v>
      </c>
      <c r="AJ301" s="3" t="s">
        <v>345</v>
      </c>
    </row>
    <row r="302" spans="1:36">
      <c r="A302" s="4">
        <v>43288</v>
      </c>
      <c r="B302" s="3" t="s">
        <v>1432</v>
      </c>
      <c r="C302" s="3" t="s">
        <v>1433</v>
      </c>
      <c r="D302" s="3" t="s">
        <v>1434</v>
      </c>
      <c r="E302" s="3" t="s">
        <v>1435</v>
      </c>
      <c r="F302" s="3" t="s">
        <v>340</v>
      </c>
      <c r="G302" s="3">
        <v>2</v>
      </c>
      <c r="H302" s="3">
        <v>0</v>
      </c>
      <c r="I302" s="3">
        <v>0</v>
      </c>
      <c r="J302" s="3">
        <v>0</v>
      </c>
      <c r="K302" s="3">
        <v>0</v>
      </c>
      <c r="L302" s="3">
        <v>2</v>
      </c>
      <c r="M302" s="3">
        <v>0</v>
      </c>
      <c r="N302" s="3" t="s">
        <v>341</v>
      </c>
      <c r="O302" s="3">
        <v>2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 t="s">
        <v>342</v>
      </c>
      <c r="X302" s="3">
        <v>19.99</v>
      </c>
      <c r="Y302" s="3">
        <v>19.99</v>
      </c>
      <c r="Z302" s="3">
        <v>19.99</v>
      </c>
      <c r="AA302" s="3">
        <v>0</v>
      </c>
      <c r="AB302" s="3" t="s">
        <v>359</v>
      </c>
      <c r="AC302" s="3">
        <v>2</v>
      </c>
      <c r="AD302" s="3">
        <v>19.99</v>
      </c>
      <c r="AE302" s="3">
        <v>0</v>
      </c>
      <c r="AF302" s="3">
        <v>0</v>
      </c>
      <c r="AG302" s="3">
        <v>0</v>
      </c>
      <c r="AH302" s="3">
        <v>0</v>
      </c>
      <c r="AI302" s="3" t="s">
        <v>728</v>
      </c>
      <c r="AJ302" s="3" t="s">
        <v>345</v>
      </c>
    </row>
    <row r="303" spans="1:36">
      <c r="A303" s="4">
        <v>43288</v>
      </c>
      <c r="B303" s="3" t="s">
        <v>189</v>
      </c>
      <c r="C303" s="3" t="s">
        <v>190</v>
      </c>
      <c r="D303" s="3" t="s">
        <v>191</v>
      </c>
      <c r="E303" s="3" t="s">
        <v>192</v>
      </c>
      <c r="F303" s="3" t="s">
        <v>340</v>
      </c>
      <c r="G303" s="3">
        <v>2</v>
      </c>
      <c r="H303" s="3">
        <v>0</v>
      </c>
      <c r="I303" s="3">
        <v>2</v>
      </c>
      <c r="J303" s="3">
        <v>0</v>
      </c>
      <c r="K303" s="3">
        <v>0</v>
      </c>
      <c r="L303" s="3">
        <v>0</v>
      </c>
      <c r="M303" s="3">
        <v>0</v>
      </c>
      <c r="N303" s="3" t="s">
        <v>341</v>
      </c>
      <c r="O303" s="3">
        <v>0</v>
      </c>
      <c r="P303" s="3">
        <v>0</v>
      </c>
      <c r="Q303" s="3">
        <v>0</v>
      </c>
      <c r="R303" s="3">
        <v>0</v>
      </c>
      <c r="S303" s="3">
        <v>4</v>
      </c>
      <c r="T303" s="3">
        <v>14</v>
      </c>
      <c r="U303" s="3">
        <v>23</v>
      </c>
      <c r="V303" s="3">
        <v>26</v>
      </c>
      <c r="W303" s="3"/>
      <c r="X303" s="3">
        <v>29.99</v>
      </c>
      <c r="Y303" s="3">
        <v>19.38</v>
      </c>
      <c r="Z303" s="3">
        <v>19.38</v>
      </c>
      <c r="AA303" s="3">
        <v>0</v>
      </c>
      <c r="AB303" s="3" t="s">
        <v>359</v>
      </c>
      <c r="AC303" s="3">
        <v>4</v>
      </c>
      <c r="AD303" s="3">
        <v>19.38</v>
      </c>
      <c r="AE303" s="3">
        <v>0</v>
      </c>
      <c r="AF303" s="3">
        <v>0</v>
      </c>
      <c r="AG303" s="3">
        <v>0</v>
      </c>
      <c r="AH303" s="3">
        <v>5.2</v>
      </c>
      <c r="AI303" s="3" t="s">
        <v>637</v>
      </c>
      <c r="AJ303" s="3" t="s">
        <v>345</v>
      </c>
    </row>
    <row r="304" spans="1:36">
      <c r="A304" s="4">
        <v>43288</v>
      </c>
      <c r="B304" s="3" t="s">
        <v>1436</v>
      </c>
      <c r="C304" s="3" t="s">
        <v>1437</v>
      </c>
      <c r="D304" s="3" t="s">
        <v>1438</v>
      </c>
      <c r="E304" s="3" t="s">
        <v>173</v>
      </c>
      <c r="F304" s="3" t="s">
        <v>340</v>
      </c>
      <c r="G304" s="3">
        <v>12</v>
      </c>
      <c r="H304" s="3">
        <v>0</v>
      </c>
      <c r="I304" s="3">
        <v>5</v>
      </c>
      <c r="J304" s="3">
        <v>5</v>
      </c>
      <c r="K304" s="3">
        <v>2</v>
      </c>
      <c r="L304" s="3">
        <v>0</v>
      </c>
      <c r="M304" s="3">
        <v>0</v>
      </c>
      <c r="N304" s="3" t="s">
        <v>341</v>
      </c>
      <c r="O304" s="3">
        <v>2</v>
      </c>
      <c r="P304" s="3">
        <v>1.93</v>
      </c>
      <c r="Q304" s="3">
        <v>0</v>
      </c>
      <c r="R304" s="3">
        <v>0</v>
      </c>
      <c r="S304" s="3">
        <v>0</v>
      </c>
      <c r="T304" s="3">
        <v>2</v>
      </c>
      <c r="U304" s="3">
        <v>4</v>
      </c>
      <c r="V304" s="3">
        <v>6</v>
      </c>
      <c r="W304" s="3"/>
      <c r="X304" s="3">
        <v>19.99</v>
      </c>
      <c r="Y304" s="3">
        <v>19.99</v>
      </c>
      <c r="Z304" s="3">
        <v>19.99</v>
      </c>
      <c r="AA304" s="3">
        <v>0</v>
      </c>
      <c r="AB304" s="3" t="s">
        <v>359</v>
      </c>
      <c r="AC304" s="3">
        <v>12</v>
      </c>
      <c r="AD304" s="3">
        <v>19.99</v>
      </c>
      <c r="AE304" s="3">
        <v>0</v>
      </c>
      <c r="AF304" s="3">
        <v>0</v>
      </c>
      <c r="AG304" s="3">
        <v>0</v>
      </c>
      <c r="AH304" s="3">
        <v>0.521739130434782</v>
      </c>
      <c r="AI304" s="3" t="s">
        <v>492</v>
      </c>
      <c r="AJ304" s="3" t="s">
        <v>345</v>
      </c>
    </row>
    <row r="305" spans="1:36">
      <c r="A305" s="4">
        <v>43288</v>
      </c>
      <c r="B305" s="3" t="s">
        <v>1439</v>
      </c>
      <c r="C305" s="3" t="s">
        <v>1440</v>
      </c>
      <c r="D305" s="3" t="s">
        <v>1441</v>
      </c>
      <c r="E305" s="3" t="s">
        <v>1442</v>
      </c>
      <c r="F305" s="3" t="s">
        <v>340</v>
      </c>
      <c r="G305" s="3">
        <v>1</v>
      </c>
      <c r="H305" s="3">
        <v>0</v>
      </c>
      <c r="I305" s="3">
        <v>0</v>
      </c>
      <c r="J305" s="3">
        <v>0</v>
      </c>
      <c r="K305" s="3">
        <v>0</v>
      </c>
      <c r="L305" s="3">
        <v>0</v>
      </c>
      <c r="M305" s="3">
        <v>1</v>
      </c>
      <c r="N305" s="3" t="s">
        <v>341</v>
      </c>
      <c r="O305" s="3">
        <v>0</v>
      </c>
      <c r="P305" s="3">
        <v>0</v>
      </c>
      <c r="Q305" s="3">
        <v>1</v>
      </c>
      <c r="R305" s="3">
        <v>0.5</v>
      </c>
      <c r="S305" s="3">
        <v>0</v>
      </c>
      <c r="T305" s="3">
        <v>0</v>
      </c>
      <c r="U305" s="3">
        <v>0</v>
      </c>
      <c r="V305" s="3">
        <v>0</v>
      </c>
      <c r="W305" s="3" t="s">
        <v>342</v>
      </c>
      <c r="X305" s="3">
        <v>16.99</v>
      </c>
      <c r="Y305" s="3">
        <v>16.99</v>
      </c>
      <c r="Z305" s="3">
        <v>16.99</v>
      </c>
      <c r="AA305" s="3">
        <v>0</v>
      </c>
      <c r="AB305" s="3" t="s">
        <v>343</v>
      </c>
      <c r="AC305" s="3">
        <v>0</v>
      </c>
      <c r="AD305" s="3">
        <v>15.74</v>
      </c>
      <c r="AE305" s="3">
        <v>140</v>
      </c>
      <c r="AF305" s="3">
        <v>0</v>
      </c>
      <c r="AG305" s="3">
        <v>9.560635</v>
      </c>
      <c r="AH305" s="3">
        <v>0</v>
      </c>
      <c r="AI305" s="3" t="s">
        <v>355</v>
      </c>
      <c r="AJ305" s="3" t="s">
        <v>345</v>
      </c>
    </row>
    <row r="306" spans="1:36">
      <c r="A306" s="4">
        <v>43288</v>
      </c>
      <c r="B306" s="3" t="s">
        <v>1443</v>
      </c>
      <c r="C306" s="3" t="s">
        <v>1444</v>
      </c>
      <c r="D306" s="3" t="s">
        <v>1445</v>
      </c>
      <c r="E306" s="3" t="s">
        <v>1446</v>
      </c>
      <c r="F306" s="3" t="s">
        <v>340</v>
      </c>
      <c r="G306" s="3">
        <v>1</v>
      </c>
      <c r="H306" s="3">
        <v>0</v>
      </c>
      <c r="I306" s="3">
        <v>0</v>
      </c>
      <c r="J306" s="3">
        <v>0</v>
      </c>
      <c r="K306" s="3">
        <v>0</v>
      </c>
      <c r="L306" s="3">
        <v>0</v>
      </c>
      <c r="M306" s="3">
        <v>1</v>
      </c>
      <c r="N306" s="3" t="s">
        <v>341</v>
      </c>
      <c r="O306" s="3">
        <v>0</v>
      </c>
      <c r="P306" s="3">
        <v>0</v>
      </c>
      <c r="Q306" s="3">
        <v>1</v>
      </c>
      <c r="R306" s="3">
        <v>1.99</v>
      </c>
      <c r="S306" s="3">
        <v>0</v>
      </c>
      <c r="T306" s="3">
        <v>0</v>
      </c>
      <c r="U306" s="3">
        <v>1</v>
      </c>
      <c r="V306" s="3">
        <v>1</v>
      </c>
      <c r="W306" s="3" t="s">
        <v>342</v>
      </c>
      <c r="X306" s="3">
        <v>18.96</v>
      </c>
      <c r="Y306" s="3">
        <v>18.96</v>
      </c>
      <c r="Z306" s="3">
        <v>18.96</v>
      </c>
      <c r="AA306" s="3">
        <v>0</v>
      </c>
      <c r="AB306" s="3" t="s">
        <v>343</v>
      </c>
      <c r="AC306" s="3">
        <v>0</v>
      </c>
      <c r="AD306" s="3">
        <v>15.17</v>
      </c>
      <c r="AE306" s="3">
        <v>63</v>
      </c>
      <c r="AF306" s="3">
        <v>0</v>
      </c>
      <c r="AG306" s="3">
        <v>6.233858</v>
      </c>
      <c r="AH306" s="3">
        <v>0.666666666666666</v>
      </c>
      <c r="AI306" s="3" t="s">
        <v>370</v>
      </c>
      <c r="AJ306" s="3" t="s">
        <v>345</v>
      </c>
    </row>
    <row r="307" spans="1:36">
      <c r="A307" s="4">
        <v>43288</v>
      </c>
      <c r="B307" s="3" t="s">
        <v>1447</v>
      </c>
      <c r="C307" s="3" t="s">
        <v>1448</v>
      </c>
      <c r="D307" s="3" t="s">
        <v>1449</v>
      </c>
      <c r="E307" s="3" t="s">
        <v>111</v>
      </c>
      <c r="F307" s="3" t="s">
        <v>340</v>
      </c>
      <c r="G307" s="3">
        <v>1</v>
      </c>
      <c r="H307" s="3">
        <v>0</v>
      </c>
      <c r="I307" s="3">
        <v>1</v>
      </c>
      <c r="J307" s="3">
        <v>0</v>
      </c>
      <c r="K307" s="3">
        <v>0</v>
      </c>
      <c r="L307" s="3">
        <v>0</v>
      </c>
      <c r="M307" s="3">
        <v>0</v>
      </c>
      <c r="N307" s="3" t="s">
        <v>341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1</v>
      </c>
      <c r="U307" s="3">
        <v>6</v>
      </c>
      <c r="V307" s="3">
        <v>6</v>
      </c>
      <c r="W307" s="3"/>
      <c r="X307" s="3">
        <v>16.99</v>
      </c>
      <c r="Y307" s="3">
        <v>16.99</v>
      </c>
      <c r="Z307" s="3">
        <v>16.99</v>
      </c>
      <c r="AA307" s="3">
        <v>0</v>
      </c>
      <c r="AB307" s="3" t="s">
        <v>359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1.6</v>
      </c>
      <c r="AI307" s="3" t="s">
        <v>505</v>
      </c>
      <c r="AJ307" s="3" t="s">
        <v>345</v>
      </c>
    </row>
    <row r="308" spans="1:36">
      <c r="A308" s="4">
        <v>43288</v>
      </c>
      <c r="B308" s="3" t="s">
        <v>160</v>
      </c>
      <c r="C308" s="3" t="s">
        <v>161</v>
      </c>
      <c r="D308" s="3" t="s">
        <v>162</v>
      </c>
      <c r="E308" s="3" t="s">
        <v>123</v>
      </c>
      <c r="F308" s="3" t="s">
        <v>340</v>
      </c>
      <c r="G308" s="3">
        <v>1</v>
      </c>
      <c r="H308" s="3">
        <v>0</v>
      </c>
      <c r="I308" s="3">
        <v>1</v>
      </c>
      <c r="J308" s="3">
        <v>0</v>
      </c>
      <c r="K308" s="3">
        <v>0</v>
      </c>
      <c r="L308" s="3">
        <v>0</v>
      </c>
      <c r="M308" s="3">
        <v>0</v>
      </c>
      <c r="N308" s="3" t="s">
        <v>341</v>
      </c>
      <c r="O308" s="3">
        <v>0</v>
      </c>
      <c r="P308" s="3">
        <v>0</v>
      </c>
      <c r="Q308" s="3">
        <v>0</v>
      </c>
      <c r="R308" s="3">
        <v>0</v>
      </c>
      <c r="S308" s="3">
        <v>2</v>
      </c>
      <c r="T308" s="3">
        <v>11</v>
      </c>
      <c r="U308" s="3">
        <v>17</v>
      </c>
      <c r="V308" s="3">
        <v>17</v>
      </c>
      <c r="W308" s="3"/>
      <c r="X308" s="3"/>
      <c r="Y308" s="3"/>
      <c r="Z308" s="3">
        <v>-1</v>
      </c>
      <c r="AA308" s="3">
        <v>-1</v>
      </c>
      <c r="AB308" s="3" t="s">
        <v>493</v>
      </c>
      <c r="AC308" s="3">
        <v>2</v>
      </c>
      <c r="AD308" s="3">
        <v>17.99</v>
      </c>
      <c r="AE308" s="3">
        <v>0</v>
      </c>
      <c r="AF308" s="3">
        <v>0</v>
      </c>
      <c r="AG308" s="3">
        <v>0</v>
      </c>
      <c r="AH308" s="3">
        <v>6.375</v>
      </c>
      <c r="AI308" s="3" t="s">
        <v>486</v>
      </c>
      <c r="AJ308" s="3" t="s">
        <v>902</v>
      </c>
    </row>
    <row r="309" spans="1:36">
      <c r="A309" s="4">
        <v>43288</v>
      </c>
      <c r="B309" s="3" t="s">
        <v>248</v>
      </c>
      <c r="C309" s="3" t="s">
        <v>249</v>
      </c>
      <c r="D309" s="3" t="s">
        <v>250</v>
      </c>
      <c r="E309" s="3" t="s">
        <v>247</v>
      </c>
      <c r="F309" s="3" t="s">
        <v>340</v>
      </c>
      <c r="G309" s="3">
        <v>10</v>
      </c>
      <c r="H309" s="3">
        <v>0</v>
      </c>
      <c r="I309" s="3">
        <v>10</v>
      </c>
      <c r="J309" s="3">
        <v>0</v>
      </c>
      <c r="K309" s="3">
        <v>0</v>
      </c>
      <c r="L309" s="3">
        <v>0</v>
      </c>
      <c r="M309" s="3">
        <v>0</v>
      </c>
      <c r="N309" s="3" t="s">
        <v>341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8</v>
      </c>
      <c r="U309" s="3">
        <v>19</v>
      </c>
      <c r="V309" s="3">
        <v>22</v>
      </c>
      <c r="W309" s="3"/>
      <c r="X309" s="3">
        <v>19.99</v>
      </c>
      <c r="Y309" s="3">
        <v>19.99</v>
      </c>
      <c r="Z309" s="3">
        <v>19.99</v>
      </c>
      <c r="AA309" s="3">
        <v>0</v>
      </c>
      <c r="AB309" s="3" t="s">
        <v>359</v>
      </c>
      <c r="AC309" s="3">
        <v>9</v>
      </c>
      <c r="AD309" s="3">
        <v>19.99</v>
      </c>
      <c r="AE309" s="3">
        <v>0</v>
      </c>
      <c r="AF309" s="3">
        <v>0</v>
      </c>
      <c r="AG309" s="3">
        <v>0</v>
      </c>
      <c r="AH309" s="3">
        <v>2.93333333333333</v>
      </c>
      <c r="AI309" s="3" t="s">
        <v>709</v>
      </c>
      <c r="AJ309" s="3" t="s">
        <v>345</v>
      </c>
    </row>
    <row r="310" spans="1:36">
      <c r="A310" s="4">
        <v>43288</v>
      </c>
      <c r="B310" s="3" t="s">
        <v>1450</v>
      </c>
      <c r="C310" s="3" t="s">
        <v>1451</v>
      </c>
      <c r="D310" s="3" t="s">
        <v>1452</v>
      </c>
      <c r="E310" s="3" t="s">
        <v>1453</v>
      </c>
      <c r="F310" s="3" t="s">
        <v>340</v>
      </c>
      <c r="G310" s="3">
        <v>9</v>
      </c>
      <c r="H310" s="3">
        <v>0</v>
      </c>
      <c r="I310" s="3">
        <v>0</v>
      </c>
      <c r="J310" s="3">
        <v>9</v>
      </c>
      <c r="K310" s="3">
        <v>0</v>
      </c>
      <c r="L310" s="3">
        <v>0</v>
      </c>
      <c r="M310" s="3">
        <v>0</v>
      </c>
      <c r="N310" s="3" t="s">
        <v>341</v>
      </c>
      <c r="O310" s="3">
        <v>4</v>
      </c>
      <c r="P310" s="3">
        <v>7.75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 t="s">
        <v>381</v>
      </c>
      <c r="X310" s="3">
        <v>17.99</v>
      </c>
      <c r="Y310" s="3">
        <v>17.99</v>
      </c>
      <c r="Z310" s="3">
        <v>17.99</v>
      </c>
      <c r="AA310" s="3">
        <v>0</v>
      </c>
      <c r="AB310" s="3" t="s">
        <v>343</v>
      </c>
      <c r="AC310" s="3">
        <v>4</v>
      </c>
      <c r="AD310" s="3">
        <v>16.67</v>
      </c>
      <c r="AE310" s="3">
        <v>28</v>
      </c>
      <c r="AF310" s="3">
        <v>0</v>
      </c>
      <c r="AG310" s="3">
        <v>277.533972</v>
      </c>
      <c r="AH310" s="3">
        <v>0</v>
      </c>
      <c r="AI310" s="3" t="s">
        <v>1454</v>
      </c>
      <c r="AJ310" s="3" t="s">
        <v>345</v>
      </c>
    </row>
    <row r="311" spans="1:36">
      <c r="A311" s="4">
        <v>43288</v>
      </c>
      <c r="B311" s="3" t="s">
        <v>1455</v>
      </c>
      <c r="C311" s="3" t="s">
        <v>1456</v>
      </c>
      <c r="D311" s="3" t="s">
        <v>1457</v>
      </c>
      <c r="E311" s="3" t="s">
        <v>1458</v>
      </c>
      <c r="F311" s="3" t="s">
        <v>340</v>
      </c>
      <c r="G311" s="3">
        <v>10</v>
      </c>
      <c r="H311" s="3">
        <v>0</v>
      </c>
      <c r="I311" s="3">
        <v>0</v>
      </c>
      <c r="J311" s="3">
        <v>10</v>
      </c>
      <c r="K311" s="3">
        <v>0</v>
      </c>
      <c r="L311" s="3">
        <v>0</v>
      </c>
      <c r="M311" s="3">
        <v>0</v>
      </c>
      <c r="N311" s="3" t="s">
        <v>341</v>
      </c>
      <c r="O311" s="3">
        <v>7</v>
      </c>
      <c r="P311" s="3">
        <v>16.98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 t="s">
        <v>381</v>
      </c>
      <c r="X311" s="3">
        <v>18.99</v>
      </c>
      <c r="Y311" s="3">
        <v>18.99</v>
      </c>
      <c r="Z311" s="3">
        <v>18.99</v>
      </c>
      <c r="AA311" s="3">
        <v>0</v>
      </c>
      <c r="AB311" s="3" t="s">
        <v>343</v>
      </c>
      <c r="AC311" s="3">
        <v>3</v>
      </c>
      <c r="AD311" s="3">
        <v>17.26</v>
      </c>
      <c r="AE311" s="3">
        <v>56</v>
      </c>
      <c r="AF311" s="3">
        <v>0</v>
      </c>
      <c r="AG311" s="3">
        <v>351.037877</v>
      </c>
      <c r="AH311" s="3">
        <v>0</v>
      </c>
      <c r="AI311" s="3" t="s">
        <v>1459</v>
      </c>
      <c r="AJ311" s="3" t="s">
        <v>345</v>
      </c>
    </row>
    <row r="312" spans="1:36">
      <c r="A312" s="4">
        <v>43288</v>
      </c>
      <c r="B312" s="3" t="s">
        <v>1460</v>
      </c>
      <c r="C312" s="3" t="s">
        <v>1461</v>
      </c>
      <c r="D312" s="3" t="s">
        <v>1462</v>
      </c>
      <c r="E312" s="3" t="s">
        <v>1463</v>
      </c>
      <c r="F312" s="3" t="s">
        <v>340</v>
      </c>
      <c r="G312" s="3">
        <v>1</v>
      </c>
      <c r="H312" s="3">
        <v>0</v>
      </c>
      <c r="I312" s="3">
        <v>0</v>
      </c>
      <c r="J312" s="3">
        <v>0</v>
      </c>
      <c r="K312" s="3">
        <v>1</v>
      </c>
      <c r="L312" s="3">
        <v>0</v>
      </c>
      <c r="M312" s="3">
        <v>0</v>
      </c>
      <c r="N312" s="3" t="s">
        <v>341</v>
      </c>
      <c r="O312" s="3">
        <v>1</v>
      </c>
      <c r="P312" s="3">
        <v>0.85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 t="s">
        <v>342</v>
      </c>
      <c r="X312" s="3">
        <v>12.99</v>
      </c>
      <c r="Y312" s="3">
        <v>12.99</v>
      </c>
      <c r="Z312" s="3">
        <v>12.99</v>
      </c>
      <c r="AA312" s="3">
        <v>0</v>
      </c>
      <c r="AB312" s="3" t="s">
        <v>349</v>
      </c>
      <c r="AC312" s="3">
        <v>0</v>
      </c>
      <c r="AD312" s="3">
        <v>11.91</v>
      </c>
      <c r="AE312" s="3">
        <v>35</v>
      </c>
      <c r="AF312" s="3">
        <v>0</v>
      </c>
      <c r="AG312" s="3">
        <v>15.166543</v>
      </c>
      <c r="AH312" s="3">
        <v>0</v>
      </c>
      <c r="AI312" s="3" t="s">
        <v>450</v>
      </c>
      <c r="AJ312" s="3" t="s">
        <v>345</v>
      </c>
    </row>
    <row r="313" spans="1:36">
      <c r="A313" s="4">
        <v>43288</v>
      </c>
      <c r="B313" s="3" t="s">
        <v>1464</v>
      </c>
      <c r="C313" s="3" t="s">
        <v>1465</v>
      </c>
      <c r="D313" s="3" t="s">
        <v>1466</v>
      </c>
      <c r="E313" s="3" t="s">
        <v>53</v>
      </c>
      <c r="F313" s="3" t="s">
        <v>340</v>
      </c>
      <c r="G313" s="3">
        <v>9</v>
      </c>
      <c r="H313" s="3">
        <v>0</v>
      </c>
      <c r="I313" s="3">
        <v>8</v>
      </c>
      <c r="J313" s="3">
        <v>1</v>
      </c>
      <c r="K313" s="3">
        <v>0</v>
      </c>
      <c r="L313" s="3">
        <v>0</v>
      </c>
      <c r="M313" s="3">
        <v>0</v>
      </c>
      <c r="N313" s="3" t="s">
        <v>341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1</v>
      </c>
      <c r="U313" s="3">
        <v>3</v>
      </c>
      <c r="V313" s="3">
        <v>7</v>
      </c>
      <c r="W313" s="3"/>
      <c r="X313" s="3">
        <v>18.98</v>
      </c>
      <c r="Y313" s="3">
        <v>18.98</v>
      </c>
      <c r="Z313" s="3">
        <v>18.98</v>
      </c>
      <c r="AA313" s="3">
        <v>0</v>
      </c>
      <c r="AB313" s="3" t="s">
        <v>359</v>
      </c>
      <c r="AC313" s="3">
        <v>9</v>
      </c>
      <c r="AD313" s="3">
        <v>18.98</v>
      </c>
      <c r="AE313" s="3">
        <v>0</v>
      </c>
      <c r="AF313" s="3">
        <v>0</v>
      </c>
      <c r="AG313" s="3">
        <v>0</v>
      </c>
      <c r="AH313" s="3">
        <v>0.756756756756756</v>
      </c>
      <c r="AI313" s="3" t="s">
        <v>431</v>
      </c>
      <c r="AJ313" s="3" t="s">
        <v>345</v>
      </c>
    </row>
    <row r="314" spans="1:36">
      <c r="A314" s="4">
        <v>43288</v>
      </c>
      <c r="B314" s="3" t="s">
        <v>1467</v>
      </c>
      <c r="C314" s="3" t="s">
        <v>1468</v>
      </c>
      <c r="D314" s="3" t="s">
        <v>1469</v>
      </c>
      <c r="E314" s="3" t="s">
        <v>22</v>
      </c>
      <c r="F314" s="3" t="s">
        <v>340</v>
      </c>
      <c r="G314" s="3">
        <v>8</v>
      </c>
      <c r="H314" s="3">
        <v>0</v>
      </c>
      <c r="I314" s="3">
        <v>8</v>
      </c>
      <c r="J314" s="3">
        <v>0</v>
      </c>
      <c r="K314" s="3">
        <v>0</v>
      </c>
      <c r="L314" s="3">
        <v>0</v>
      </c>
      <c r="M314" s="3">
        <v>0</v>
      </c>
      <c r="N314" s="3" t="s">
        <v>341</v>
      </c>
      <c r="O314" s="3">
        <v>0</v>
      </c>
      <c r="P314" s="3">
        <v>0</v>
      </c>
      <c r="Q314" s="3">
        <v>0</v>
      </c>
      <c r="R314" s="3">
        <v>0</v>
      </c>
      <c r="S314" s="3">
        <v>3</v>
      </c>
      <c r="T314" s="3">
        <v>12</v>
      </c>
      <c r="U314" s="3">
        <v>25</v>
      </c>
      <c r="V314" s="3">
        <v>33</v>
      </c>
      <c r="W314" s="3"/>
      <c r="X314" s="3">
        <v>16.99</v>
      </c>
      <c r="Y314" s="3">
        <v>16.99</v>
      </c>
      <c r="Z314" s="3">
        <v>16.99</v>
      </c>
      <c r="AA314" s="3">
        <v>0</v>
      </c>
      <c r="AB314" s="3" t="s">
        <v>359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7.33333333333333</v>
      </c>
      <c r="AI314" s="3" t="s">
        <v>421</v>
      </c>
      <c r="AJ314" s="3" t="s">
        <v>345</v>
      </c>
    </row>
    <row r="315" spans="1:36">
      <c r="A315" s="4">
        <v>43288</v>
      </c>
      <c r="B315" s="3" t="s">
        <v>116</v>
      </c>
      <c r="C315" s="3" t="s">
        <v>117</v>
      </c>
      <c r="D315" s="3" t="s">
        <v>118</v>
      </c>
      <c r="E315" s="3" t="s">
        <v>119</v>
      </c>
      <c r="F315" s="3" t="s">
        <v>340</v>
      </c>
      <c r="G315" s="3">
        <v>15</v>
      </c>
      <c r="H315" s="3">
        <v>0</v>
      </c>
      <c r="I315" s="3">
        <v>2</v>
      </c>
      <c r="J315" s="3">
        <v>2</v>
      </c>
      <c r="K315" s="3">
        <v>2</v>
      </c>
      <c r="L315" s="3">
        <v>9</v>
      </c>
      <c r="M315" s="3">
        <v>0</v>
      </c>
      <c r="N315" s="3" t="s">
        <v>341</v>
      </c>
      <c r="O315" s="3">
        <v>4</v>
      </c>
      <c r="P315" s="3">
        <v>2.56</v>
      </c>
      <c r="Q315" s="3">
        <v>7</v>
      </c>
      <c r="R315" s="3">
        <v>8.97</v>
      </c>
      <c r="S315" s="3">
        <v>1</v>
      </c>
      <c r="T315" s="3">
        <v>11</v>
      </c>
      <c r="U315" s="3">
        <v>19</v>
      </c>
      <c r="V315" s="3">
        <v>20</v>
      </c>
      <c r="W315" s="3"/>
      <c r="X315" s="3">
        <v>28.98</v>
      </c>
      <c r="Y315" s="3">
        <v>18.98</v>
      </c>
      <c r="Z315" s="3">
        <v>18.98</v>
      </c>
      <c r="AA315" s="3">
        <v>0</v>
      </c>
      <c r="AB315" s="3" t="s">
        <v>359</v>
      </c>
      <c r="AC315" s="3">
        <v>16</v>
      </c>
      <c r="AD315" s="3">
        <v>18.98</v>
      </c>
      <c r="AE315" s="3">
        <v>0</v>
      </c>
      <c r="AF315" s="3">
        <v>0</v>
      </c>
      <c r="AG315" s="3">
        <v>0</v>
      </c>
      <c r="AH315" s="3">
        <v>0.74074074074074</v>
      </c>
      <c r="AI315" s="3" t="s">
        <v>564</v>
      </c>
      <c r="AJ315" s="3" t="s">
        <v>345</v>
      </c>
    </row>
    <row r="316" spans="1:36">
      <c r="A316" s="4">
        <v>43288</v>
      </c>
      <c r="B316" s="3" t="s">
        <v>1470</v>
      </c>
      <c r="C316" s="3" t="s">
        <v>1471</v>
      </c>
      <c r="D316" s="3" t="s">
        <v>1472</v>
      </c>
      <c r="E316" s="3" t="s">
        <v>468</v>
      </c>
      <c r="F316" s="3" t="s">
        <v>340</v>
      </c>
      <c r="G316" s="3">
        <v>5</v>
      </c>
      <c r="H316" s="3">
        <v>0</v>
      </c>
      <c r="I316" s="3">
        <v>0</v>
      </c>
      <c r="J316" s="3">
        <v>5</v>
      </c>
      <c r="K316" s="3">
        <v>0</v>
      </c>
      <c r="L316" s="3">
        <v>0</v>
      </c>
      <c r="M316" s="3">
        <v>0</v>
      </c>
      <c r="N316" s="3" t="s">
        <v>341</v>
      </c>
      <c r="O316" s="3">
        <v>5</v>
      </c>
      <c r="P316" s="3">
        <v>5.73</v>
      </c>
      <c r="Q316" s="3">
        <v>0</v>
      </c>
      <c r="R316" s="3">
        <v>0</v>
      </c>
      <c r="S316" s="3">
        <v>0</v>
      </c>
      <c r="T316" s="3">
        <v>0</v>
      </c>
      <c r="U316" s="3">
        <v>0</v>
      </c>
      <c r="V316" s="3">
        <v>0</v>
      </c>
      <c r="W316" s="3" t="s">
        <v>342</v>
      </c>
      <c r="X316" s="3">
        <v>16.99</v>
      </c>
      <c r="Y316" s="3">
        <v>16.99</v>
      </c>
      <c r="Z316" s="3">
        <v>16.99</v>
      </c>
      <c r="AA316" s="3">
        <v>0</v>
      </c>
      <c r="AB316" s="3" t="s">
        <v>349</v>
      </c>
      <c r="AC316" s="3">
        <v>0</v>
      </c>
      <c r="AD316" s="3">
        <v>15.22</v>
      </c>
      <c r="AE316" s="3">
        <v>161</v>
      </c>
      <c r="AF316" s="3">
        <v>0</v>
      </c>
      <c r="AG316" s="3">
        <v>102.232286</v>
      </c>
      <c r="AH316" s="3">
        <v>0</v>
      </c>
      <c r="AI316" s="3" t="s">
        <v>469</v>
      </c>
      <c r="AJ316" s="3" t="s">
        <v>345</v>
      </c>
    </row>
    <row r="317" spans="1:36">
      <c r="A317" s="4">
        <v>43288</v>
      </c>
      <c r="B317" s="3" t="s">
        <v>1473</v>
      </c>
      <c r="C317" s="3" t="s">
        <v>1474</v>
      </c>
      <c r="D317" s="3" t="s">
        <v>1475</v>
      </c>
      <c r="E317" s="3" t="s">
        <v>1476</v>
      </c>
      <c r="F317" s="3" t="s">
        <v>340</v>
      </c>
      <c r="G317" s="3">
        <v>8</v>
      </c>
      <c r="H317" s="3">
        <v>0</v>
      </c>
      <c r="I317" s="3">
        <v>0</v>
      </c>
      <c r="J317" s="3">
        <v>8</v>
      </c>
      <c r="K317" s="3">
        <v>0</v>
      </c>
      <c r="L317" s="3">
        <v>0</v>
      </c>
      <c r="M317" s="3">
        <v>0</v>
      </c>
      <c r="N317" s="3" t="s">
        <v>341</v>
      </c>
      <c r="O317" s="3">
        <v>8</v>
      </c>
      <c r="P317" s="3">
        <v>9.96</v>
      </c>
      <c r="Q317" s="3">
        <v>0</v>
      </c>
      <c r="R317" s="3">
        <v>0</v>
      </c>
      <c r="S317" s="3">
        <v>0</v>
      </c>
      <c r="T317" s="3">
        <v>0</v>
      </c>
      <c r="U317" s="3">
        <v>0</v>
      </c>
      <c r="V317" s="3">
        <v>0</v>
      </c>
      <c r="W317" s="3" t="s">
        <v>342</v>
      </c>
      <c r="X317" s="3">
        <v>15.99</v>
      </c>
      <c r="Y317" s="3">
        <v>15.99</v>
      </c>
      <c r="Z317" s="3">
        <v>15.99</v>
      </c>
      <c r="AA317" s="3">
        <v>0</v>
      </c>
      <c r="AB317" s="3" t="s">
        <v>349</v>
      </c>
      <c r="AC317" s="3">
        <v>0</v>
      </c>
      <c r="AD317" s="3">
        <v>14.34</v>
      </c>
      <c r="AE317" s="3">
        <v>154</v>
      </c>
      <c r="AF317" s="3">
        <v>0</v>
      </c>
      <c r="AG317" s="3">
        <v>168.643453</v>
      </c>
      <c r="AH317" s="3">
        <v>0</v>
      </c>
      <c r="AI317" s="3" t="s">
        <v>397</v>
      </c>
      <c r="AJ317" s="3" t="s">
        <v>345</v>
      </c>
    </row>
    <row r="318" spans="1:36">
      <c r="A318" s="4">
        <v>43288</v>
      </c>
      <c r="B318" s="3" t="s">
        <v>1477</v>
      </c>
      <c r="C318" s="3" t="s">
        <v>1478</v>
      </c>
      <c r="D318" s="3" t="s">
        <v>1479</v>
      </c>
      <c r="E318" s="3" t="s">
        <v>22</v>
      </c>
      <c r="F318" s="3" t="s">
        <v>340</v>
      </c>
      <c r="G318" s="3">
        <v>6</v>
      </c>
      <c r="H318" s="3">
        <v>0</v>
      </c>
      <c r="I318" s="3">
        <v>6</v>
      </c>
      <c r="J318" s="3">
        <v>0</v>
      </c>
      <c r="K318" s="3">
        <v>0</v>
      </c>
      <c r="L318" s="3">
        <v>0</v>
      </c>
      <c r="M318" s="3">
        <v>0</v>
      </c>
      <c r="N318" s="3" t="s">
        <v>341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2</v>
      </c>
      <c r="U318" s="3">
        <v>14</v>
      </c>
      <c r="V318" s="3">
        <v>19</v>
      </c>
      <c r="W318" s="3"/>
      <c r="X318" s="3">
        <v>14.99</v>
      </c>
      <c r="Y318" s="3">
        <v>14.99</v>
      </c>
      <c r="Z318" s="3">
        <v>14.99</v>
      </c>
      <c r="AA318" s="3">
        <v>0</v>
      </c>
      <c r="AB318" s="3" t="s">
        <v>359</v>
      </c>
      <c r="AC318" s="3">
        <v>6</v>
      </c>
      <c r="AD318" s="3">
        <v>14.99</v>
      </c>
      <c r="AE318" s="3">
        <v>0</v>
      </c>
      <c r="AF318" s="3">
        <v>0</v>
      </c>
      <c r="AG318" s="3">
        <v>0</v>
      </c>
      <c r="AH318" s="3">
        <v>6.33333333333333</v>
      </c>
      <c r="AI318" s="3" t="s">
        <v>421</v>
      </c>
      <c r="AJ318" s="3" t="s">
        <v>345</v>
      </c>
    </row>
    <row r="319" spans="1:36">
      <c r="A319" s="4">
        <v>43288</v>
      </c>
      <c r="B319" s="3" t="s">
        <v>156</v>
      </c>
      <c r="C319" s="3" t="s">
        <v>157</v>
      </c>
      <c r="D319" s="3" t="s">
        <v>158</v>
      </c>
      <c r="E319" s="3" t="s">
        <v>159</v>
      </c>
      <c r="F319" s="3" t="s">
        <v>340</v>
      </c>
      <c r="G319" s="3">
        <v>1</v>
      </c>
      <c r="H319" s="3">
        <v>0</v>
      </c>
      <c r="I319" s="3">
        <v>1</v>
      </c>
      <c r="J319" s="3">
        <v>0</v>
      </c>
      <c r="K319" s="3">
        <v>0</v>
      </c>
      <c r="L319" s="3">
        <v>0</v>
      </c>
      <c r="M319" s="3">
        <v>0</v>
      </c>
      <c r="N319" s="3" t="s">
        <v>341</v>
      </c>
      <c r="O319" s="3">
        <v>0</v>
      </c>
      <c r="P319" s="3">
        <v>0</v>
      </c>
      <c r="Q319" s="3">
        <v>0</v>
      </c>
      <c r="R319" s="3">
        <v>0</v>
      </c>
      <c r="S319" s="3">
        <v>1</v>
      </c>
      <c r="T319" s="3">
        <v>5</v>
      </c>
      <c r="U319" s="3">
        <v>6</v>
      </c>
      <c r="V319" s="3">
        <v>6</v>
      </c>
      <c r="W319" s="3"/>
      <c r="X319" s="3">
        <v>39.99</v>
      </c>
      <c r="Y319" s="3">
        <v>19.99</v>
      </c>
      <c r="Z319" s="3">
        <v>19.99</v>
      </c>
      <c r="AA319" s="3">
        <v>0</v>
      </c>
      <c r="AB319" s="3" t="s">
        <v>359</v>
      </c>
      <c r="AC319" s="3">
        <v>2</v>
      </c>
      <c r="AD319" s="3">
        <v>19.99</v>
      </c>
      <c r="AE319" s="3">
        <v>0</v>
      </c>
      <c r="AF319" s="3">
        <v>0</v>
      </c>
      <c r="AG319" s="3">
        <v>0</v>
      </c>
      <c r="AH319" s="3">
        <v>1.33333333333333</v>
      </c>
      <c r="AI319" s="3" t="s">
        <v>486</v>
      </c>
      <c r="AJ319" s="3" t="s">
        <v>345</v>
      </c>
    </row>
    <row r="320" spans="1:36">
      <c r="A320" s="4">
        <v>43288</v>
      </c>
      <c r="B320" s="3" t="s">
        <v>1480</v>
      </c>
      <c r="C320" s="3" t="s">
        <v>1481</v>
      </c>
      <c r="D320" s="3" t="s">
        <v>1482</v>
      </c>
      <c r="E320" s="3" t="s">
        <v>1113</v>
      </c>
      <c r="F320" s="3" t="s">
        <v>340</v>
      </c>
      <c r="G320" s="3">
        <v>2</v>
      </c>
      <c r="H320" s="3">
        <v>0</v>
      </c>
      <c r="I320" s="3">
        <v>0</v>
      </c>
      <c r="J320" s="3">
        <v>0</v>
      </c>
      <c r="K320" s="3">
        <v>2</v>
      </c>
      <c r="L320" s="3">
        <v>0</v>
      </c>
      <c r="M320" s="3">
        <v>0</v>
      </c>
      <c r="N320" s="3" t="s">
        <v>341</v>
      </c>
      <c r="O320" s="3">
        <v>2</v>
      </c>
      <c r="P320" s="3">
        <v>4.12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 t="s">
        <v>342</v>
      </c>
      <c r="X320" s="3">
        <v>18.99</v>
      </c>
      <c r="Y320" s="3">
        <v>18.99</v>
      </c>
      <c r="Z320" s="3">
        <v>18.99</v>
      </c>
      <c r="AA320" s="3">
        <v>0</v>
      </c>
      <c r="AB320" s="3" t="s">
        <v>343</v>
      </c>
      <c r="AC320" s="3">
        <v>1</v>
      </c>
      <c r="AD320" s="3">
        <v>17.83</v>
      </c>
      <c r="AE320" s="3">
        <v>7</v>
      </c>
      <c r="AF320" s="3">
        <v>0</v>
      </c>
      <c r="AG320" s="3">
        <v>69.274246</v>
      </c>
      <c r="AH320" s="3">
        <v>0</v>
      </c>
      <c r="AI320" s="3" t="s">
        <v>604</v>
      </c>
      <c r="AJ320" s="3" t="s">
        <v>345</v>
      </c>
    </row>
    <row r="321" spans="1:36">
      <c r="A321" s="4">
        <v>43288</v>
      </c>
      <c r="B321" s="3" t="s">
        <v>1483</v>
      </c>
      <c r="C321" s="3" t="s">
        <v>1484</v>
      </c>
      <c r="D321" s="3" t="s">
        <v>1485</v>
      </c>
      <c r="E321" s="3" t="s">
        <v>490</v>
      </c>
      <c r="F321" s="3" t="s">
        <v>340</v>
      </c>
      <c r="G321" s="3">
        <v>2</v>
      </c>
      <c r="H321" s="3">
        <v>0</v>
      </c>
      <c r="I321" s="3">
        <v>0</v>
      </c>
      <c r="J321" s="3">
        <v>0</v>
      </c>
      <c r="K321" s="3">
        <v>0</v>
      </c>
      <c r="L321" s="3">
        <v>0</v>
      </c>
      <c r="M321" s="3">
        <v>2</v>
      </c>
      <c r="N321" s="3" t="s">
        <v>341</v>
      </c>
      <c r="O321" s="3">
        <v>0</v>
      </c>
      <c r="P321" s="3">
        <v>0</v>
      </c>
      <c r="Q321" s="3">
        <v>2</v>
      </c>
      <c r="R321" s="3">
        <v>2.5</v>
      </c>
      <c r="S321" s="3">
        <v>0</v>
      </c>
      <c r="T321" s="3">
        <v>0</v>
      </c>
      <c r="U321" s="3">
        <v>0</v>
      </c>
      <c r="V321" s="3">
        <v>0</v>
      </c>
      <c r="W321" s="3" t="s">
        <v>342</v>
      </c>
      <c r="X321" s="3">
        <v>16.99</v>
      </c>
      <c r="Y321" s="3">
        <v>16.99</v>
      </c>
      <c r="Z321" s="3">
        <v>16.99</v>
      </c>
      <c r="AA321" s="3">
        <v>0</v>
      </c>
      <c r="AB321" s="3" t="s">
        <v>343</v>
      </c>
      <c r="AC321" s="3">
        <v>0</v>
      </c>
      <c r="AD321" s="3">
        <v>13.59</v>
      </c>
      <c r="AE321" s="3">
        <v>63</v>
      </c>
      <c r="AF321" s="3">
        <v>0</v>
      </c>
      <c r="AG321" s="3">
        <v>16.542668</v>
      </c>
      <c r="AH321" s="3">
        <v>0</v>
      </c>
      <c r="AI321" s="3" t="s">
        <v>491</v>
      </c>
      <c r="AJ321" s="3" t="s">
        <v>345</v>
      </c>
    </row>
    <row r="322" spans="1:36">
      <c r="A322" s="4">
        <v>43288</v>
      </c>
      <c r="B322" s="3" t="s">
        <v>1486</v>
      </c>
      <c r="C322" s="3" t="s">
        <v>1487</v>
      </c>
      <c r="D322" s="3" t="s">
        <v>1488</v>
      </c>
      <c r="E322" s="3" t="s">
        <v>1258</v>
      </c>
      <c r="F322" s="3" t="s">
        <v>340</v>
      </c>
      <c r="G322" s="3">
        <v>2</v>
      </c>
      <c r="H322" s="3">
        <v>0</v>
      </c>
      <c r="I322" s="3">
        <v>0</v>
      </c>
      <c r="J322" s="3">
        <v>0</v>
      </c>
      <c r="K322" s="3">
        <v>0</v>
      </c>
      <c r="L322" s="3">
        <v>0</v>
      </c>
      <c r="M322" s="3">
        <v>2</v>
      </c>
      <c r="N322" s="3" t="s">
        <v>341</v>
      </c>
      <c r="O322" s="3">
        <v>0</v>
      </c>
      <c r="P322" s="3">
        <v>0</v>
      </c>
      <c r="Q322" s="3">
        <v>2</v>
      </c>
      <c r="R322" s="3">
        <v>1</v>
      </c>
      <c r="S322" s="3">
        <v>0</v>
      </c>
      <c r="T322" s="3">
        <v>0</v>
      </c>
      <c r="U322" s="3">
        <v>0</v>
      </c>
      <c r="V322" s="3">
        <v>0</v>
      </c>
      <c r="W322" s="3" t="s">
        <v>342</v>
      </c>
      <c r="X322" s="3">
        <v>19.9</v>
      </c>
      <c r="Y322" s="3">
        <v>19.9</v>
      </c>
      <c r="Z322" s="3">
        <v>19.9</v>
      </c>
      <c r="AA322" s="3">
        <v>0</v>
      </c>
      <c r="AB322" s="3" t="s">
        <v>343</v>
      </c>
      <c r="AC322" s="3">
        <v>0</v>
      </c>
      <c r="AD322" s="3">
        <v>15.92</v>
      </c>
      <c r="AE322" s="3">
        <v>63</v>
      </c>
      <c r="AF322" s="3">
        <v>0</v>
      </c>
      <c r="AG322" s="3">
        <v>1.085446</v>
      </c>
      <c r="AH322" s="3">
        <v>0</v>
      </c>
      <c r="AI322" s="3" t="s">
        <v>344</v>
      </c>
      <c r="AJ322" s="3" t="s">
        <v>345</v>
      </c>
    </row>
    <row r="323" spans="1:36">
      <c r="A323" s="4">
        <v>43288</v>
      </c>
      <c r="B323" s="3" t="s">
        <v>1489</v>
      </c>
      <c r="C323" s="3" t="s">
        <v>1490</v>
      </c>
      <c r="D323" s="3" t="s">
        <v>1491</v>
      </c>
      <c r="E323" s="3" t="s">
        <v>111</v>
      </c>
      <c r="F323" s="3" t="s">
        <v>340</v>
      </c>
      <c r="G323" s="3">
        <v>3</v>
      </c>
      <c r="H323" s="3">
        <v>0</v>
      </c>
      <c r="I323" s="3">
        <v>1</v>
      </c>
      <c r="J323" s="3">
        <v>1</v>
      </c>
      <c r="K323" s="3">
        <v>0</v>
      </c>
      <c r="L323" s="3">
        <v>0</v>
      </c>
      <c r="M323" s="3">
        <v>1</v>
      </c>
      <c r="N323" s="3" t="s">
        <v>341</v>
      </c>
      <c r="O323" s="3">
        <v>0</v>
      </c>
      <c r="P323" s="3">
        <v>0</v>
      </c>
      <c r="Q323" s="3">
        <v>1</v>
      </c>
      <c r="R323" s="3">
        <v>1.25</v>
      </c>
      <c r="S323" s="3">
        <v>0</v>
      </c>
      <c r="T323" s="3">
        <v>0</v>
      </c>
      <c r="U323" s="3">
        <v>3</v>
      </c>
      <c r="V323" s="3">
        <v>3</v>
      </c>
      <c r="W323" s="3" t="s">
        <v>381</v>
      </c>
      <c r="X323" s="3">
        <v>16.99</v>
      </c>
      <c r="Y323" s="3">
        <v>16.99</v>
      </c>
      <c r="Z323" s="3">
        <v>16.99</v>
      </c>
      <c r="AA323" s="3">
        <v>0</v>
      </c>
      <c r="AB323" s="3" t="s">
        <v>343</v>
      </c>
      <c r="AC323" s="3">
        <v>0</v>
      </c>
      <c r="AD323" s="3">
        <v>13.22</v>
      </c>
      <c r="AE323" s="3">
        <v>63</v>
      </c>
      <c r="AF323" s="3">
        <v>0</v>
      </c>
      <c r="AG323" s="3">
        <v>7.375586</v>
      </c>
      <c r="AH323" s="3">
        <v>0.75</v>
      </c>
      <c r="AI323" s="3" t="s">
        <v>482</v>
      </c>
      <c r="AJ323" s="3" t="s">
        <v>345</v>
      </c>
    </row>
    <row r="324" spans="1:36">
      <c r="A324" s="4">
        <v>43288</v>
      </c>
      <c r="B324" s="3" t="s">
        <v>1492</v>
      </c>
      <c r="C324" s="3" t="s">
        <v>1493</v>
      </c>
      <c r="D324" s="3" t="s">
        <v>1494</v>
      </c>
      <c r="E324" s="3" t="s">
        <v>1495</v>
      </c>
      <c r="F324" s="3" t="s">
        <v>340</v>
      </c>
      <c r="G324" s="3">
        <v>4</v>
      </c>
      <c r="H324" s="3">
        <v>0</v>
      </c>
      <c r="I324" s="3">
        <v>0</v>
      </c>
      <c r="J324" s="3">
        <v>0</v>
      </c>
      <c r="K324" s="3">
        <v>0</v>
      </c>
      <c r="L324" s="3">
        <v>4</v>
      </c>
      <c r="M324" s="3">
        <v>0</v>
      </c>
      <c r="N324" s="3" t="s">
        <v>341</v>
      </c>
      <c r="O324" s="3">
        <v>4</v>
      </c>
      <c r="P324" s="3">
        <v>3.55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342</v>
      </c>
      <c r="X324" s="3">
        <v>19.99</v>
      </c>
      <c r="Y324" s="3">
        <v>19.99</v>
      </c>
      <c r="Z324" s="3">
        <v>19.99</v>
      </c>
      <c r="AA324" s="3">
        <v>0</v>
      </c>
      <c r="AB324" s="3" t="s">
        <v>349</v>
      </c>
      <c r="AC324" s="3">
        <v>0</v>
      </c>
      <c r="AD324" s="3">
        <v>16.86</v>
      </c>
      <c r="AE324" s="3">
        <v>294</v>
      </c>
      <c r="AF324" s="3">
        <v>0</v>
      </c>
      <c r="AG324" s="3">
        <v>69.818797</v>
      </c>
      <c r="AH324" s="3">
        <v>0</v>
      </c>
      <c r="AI324" s="3" t="s">
        <v>1496</v>
      </c>
      <c r="AJ324" s="3" t="s">
        <v>345</v>
      </c>
    </row>
    <row r="325" spans="1:36">
      <c r="A325" s="4">
        <v>43288</v>
      </c>
      <c r="B325" s="3" t="s">
        <v>1497</v>
      </c>
      <c r="C325" s="3" t="s">
        <v>1498</v>
      </c>
      <c r="D325" s="3" t="s">
        <v>1499</v>
      </c>
      <c r="E325" s="3" t="s">
        <v>525</v>
      </c>
      <c r="F325" s="3" t="s">
        <v>340</v>
      </c>
      <c r="G325" s="3">
        <v>4</v>
      </c>
      <c r="H325" s="3">
        <v>0</v>
      </c>
      <c r="I325" s="3">
        <v>0</v>
      </c>
      <c r="J325" s="3">
        <v>0</v>
      </c>
      <c r="K325" s="3">
        <v>0</v>
      </c>
      <c r="L325" s="3">
        <v>4</v>
      </c>
      <c r="M325" s="3">
        <v>0</v>
      </c>
      <c r="N325" s="3" t="s">
        <v>341</v>
      </c>
      <c r="O325" s="3">
        <v>0</v>
      </c>
      <c r="P325" s="3">
        <v>0</v>
      </c>
      <c r="Q325" s="3">
        <v>4</v>
      </c>
      <c r="R325" s="3">
        <v>8.03</v>
      </c>
      <c r="S325" s="3">
        <v>0</v>
      </c>
      <c r="T325" s="3">
        <v>0</v>
      </c>
      <c r="U325" s="3">
        <v>0</v>
      </c>
      <c r="V325" s="3">
        <v>0</v>
      </c>
      <c r="W325" s="3" t="s">
        <v>342</v>
      </c>
      <c r="X325" s="3">
        <v>19.99</v>
      </c>
      <c r="Y325" s="3">
        <v>19.99</v>
      </c>
      <c r="Z325" s="3">
        <v>19.99</v>
      </c>
      <c r="AA325" s="3">
        <v>0</v>
      </c>
      <c r="AB325" s="3" t="s">
        <v>349</v>
      </c>
      <c r="AC325" s="3">
        <v>0</v>
      </c>
      <c r="AD325" s="3">
        <v>18.03</v>
      </c>
      <c r="AE325" s="3">
        <v>112</v>
      </c>
      <c r="AF325" s="3">
        <v>0</v>
      </c>
      <c r="AG325" s="3">
        <v>86.894835</v>
      </c>
      <c r="AH325" s="3">
        <v>0</v>
      </c>
      <c r="AI325" s="3" t="s">
        <v>526</v>
      </c>
      <c r="AJ325" s="3" t="s">
        <v>345</v>
      </c>
    </row>
    <row r="326" spans="1:36">
      <c r="A326" s="4">
        <v>43288</v>
      </c>
      <c r="B326" s="3" t="s">
        <v>292</v>
      </c>
      <c r="C326" s="3" t="s">
        <v>293</v>
      </c>
      <c r="D326" s="3" t="s">
        <v>294</v>
      </c>
      <c r="E326" s="3" t="s">
        <v>295</v>
      </c>
      <c r="F326" s="3" t="s">
        <v>340</v>
      </c>
      <c r="G326" s="3">
        <v>1</v>
      </c>
      <c r="H326" s="3">
        <v>0</v>
      </c>
      <c r="I326" s="3">
        <v>1</v>
      </c>
      <c r="J326" s="3">
        <v>0</v>
      </c>
      <c r="K326" s="3">
        <v>0</v>
      </c>
      <c r="L326" s="3">
        <v>0</v>
      </c>
      <c r="M326" s="3">
        <v>0</v>
      </c>
      <c r="N326" s="3" t="s">
        <v>341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8</v>
      </c>
      <c r="U326" s="3">
        <v>24</v>
      </c>
      <c r="V326" s="3">
        <v>42</v>
      </c>
      <c r="W326" s="3"/>
      <c r="X326" s="3">
        <v>20.99</v>
      </c>
      <c r="Y326" s="3">
        <v>20.99</v>
      </c>
      <c r="Z326" s="3">
        <v>20.99</v>
      </c>
      <c r="AA326" s="3">
        <v>0</v>
      </c>
      <c r="AB326" s="3" t="s">
        <v>359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10.5</v>
      </c>
      <c r="AI326" s="3" t="s">
        <v>1422</v>
      </c>
      <c r="AJ326" s="3" t="s">
        <v>345</v>
      </c>
    </row>
    <row r="327" spans="1:36">
      <c r="A327" s="4">
        <v>43288</v>
      </c>
      <c r="B327" s="3" t="s">
        <v>1500</v>
      </c>
      <c r="C327" s="3" t="s">
        <v>1501</v>
      </c>
      <c r="D327" s="3" t="s">
        <v>1502</v>
      </c>
      <c r="E327" s="3" t="s">
        <v>1503</v>
      </c>
      <c r="F327" s="3" t="s">
        <v>340</v>
      </c>
      <c r="G327" s="3">
        <v>4</v>
      </c>
      <c r="H327" s="3">
        <v>0</v>
      </c>
      <c r="I327" s="3">
        <v>1</v>
      </c>
      <c r="J327" s="3">
        <v>0</v>
      </c>
      <c r="K327" s="3">
        <v>0</v>
      </c>
      <c r="L327" s="3">
        <v>0</v>
      </c>
      <c r="M327" s="3">
        <v>3</v>
      </c>
      <c r="N327" s="3" t="s">
        <v>341</v>
      </c>
      <c r="O327" s="3">
        <v>0</v>
      </c>
      <c r="P327" s="3">
        <v>0</v>
      </c>
      <c r="Q327" s="3">
        <v>3</v>
      </c>
      <c r="R327" s="3">
        <v>3.72</v>
      </c>
      <c r="S327" s="3">
        <v>0</v>
      </c>
      <c r="T327" s="3">
        <v>0</v>
      </c>
      <c r="U327" s="3">
        <v>1</v>
      </c>
      <c r="V327" s="3">
        <v>1</v>
      </c>
      <c r="W327" s="3" t="s">
        <v>381</v>
      </c>
      <c r="X327" s="3">
        <v>16.99</v>
      </c>
      <c r="Y327" s="3">
        <v>16.99</v>
      </c>
      <c r="Z327" s="3">
        <v>16.99</v>
      </c>
      <c r="AA327" s="3">
        <v>0</v>
      </c>
      <c r="AB327" s="3" t="s">
        <v>343</v>
      </c>
      <c r="AC327" s="3">
        <v>0</v>
      </c>
      <c r="AD327" s="3">
        <v>14.49</v>
      </c>
      <c r="AE327" s="3">
        <v>294</v>
      </c>
      <c r="AF327" s="3">
        <v>0</v>
      </c>
      <c r="AG327" s="3">
        <v>52.984457</v>
      </c>
      <c r="AH327" s="3">
        <v>0.210526315789473</v>
      </c>
      <c r="AI327" s="3" t="s">
        <v>505</v>
      </c>
      <c r="AJ327" s="3" t="s">
        <v>345</v>
      </c>
    </row>
    <row r="328" spans="1:36">
      <c r="A328" s="4">
        <v>43288</v>
      </c>
      <c r="B328" s="3" t="s">
        <v>1504</v>
      </c>
      <c r="C328" s="3" t="s">
        <v>1505</v>
      </c>
      <c r="D328" s="3" t="s">
        <v>1506</v>
      </c>
      <c r="E328" s="3" t="s">
        <v>468</v>
      </c>
      <c r="F328" s="3" t="s">
        <v>340</v>
      </c>
      <c r="G328" s="3">
        <v>9</v>
      </c>
      <c r="H328" s="3">
        <v>0</v>
      </c>
      <c r="I328" s="3">
        <v>0</v>
      </c>
      <c r="J328" s="3">
        <v>9</v>
      </c>
      <c r="K328" s="3">
        <v>0</v>
      </c>
      <c r="L328" s="3">
        <v>0</v>
      </c>
      <c r="M328" s="3">
        <v>0</v>
      </c>
      <c r="N328" s="3" t="s">
        <v>341</v>
      </c>
      <c r="O328" s="3">
        <v>8</v>
      </c>
      <c r="P328" s="3">
        <v>9.17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342</v>
      </c>
      <c r="X328" s="3">
        <v>11.99</v>
      </c>
      <c r="Y328" s="3">
        <v>11.99</v>
      </c>
      <c r="Z328" s="3">
        <v>11.99</v>
      </c>
      <c r="AA328" s="3">
        <v>0</v>
      </c>
      <c r="AB328" s="3" t="s">
        <v>349</v>
      </c>
      <c r="AC328" s="3">
        <v>2</v>
      </c>
      <c r="AD328" s="3">
        <v>10.87</v>
      </c>
      <c r="AE328" s="3">
        <v>70</v>
      </c>
      <c r="AF328" s="3">
        <v>0</v>
      </c>
      <c r="AG328" s="3">
        <v>160.667394</v>
      </c>
      <c r="AH328" s="3">
        <v>0</v>
      </c>
      <c r="AI328" s="3" t="s">
        <v>469</v>
      </c>
      <c r="AJ328" s="3" t="s">
        <v>345</v>
      </c>
    </row>
    <row r="329" spans="1:36">
      <c r="A329" s="4">
        <v>43288</v>
      </c>
      <c r="B329" s="3" t="s">
        <v>1507</v>
      </c>
      <c r="C329" s="3" t="s">
        <v>1508</v>
      </c>
      <c r="D329" s="3" t="s">
        <v>1509</v>
      </c>
      <c r="E329" s="3" t="s">
        <v>1510</v>
      </c>
      <c r="F329" s="3" t="s">
        <v>340</v>
      </c>
      <c r="G329" s="3">
        <v>2</v>
      </c>
      <c r="H329" s="3">
        <v>0</v>
      </c>
      <c r="I329" s="3">
        <v>0</v>
      </c>
      <c r="J329" s="3">
        <v>0</v>
      </c>
      <c r="K329" s="3">
        <v>0</v>
      </c>
      <c r="L329" s="3">
        <v>2</v>
      </c>
      <c r="M329" s="3">
        <v>0</v>
      </c>
      <c r="N329" s="3" t="s">
        <v>341</v>
      </c>
      <c r="O329" s="3">
        <v>0</v>
      </c>
      <c r="P329" s="3">
        <v>0</v>
      </c>
      <c r="Q329" s="3">
        <v>2</v>
      </c>
      <c r="R329" s="3">
        <v>1</v>
      </c>
      <c r="S329" s="3">
        <v>0</v>
      </c>
      <c r="T329" s="3">
        <v>0</v>
      </c>
      <c r="U329" s="3">
        <v>0</v>
      </c>
      <c r="V329" s="3">
        <v>0</v>
      </c>
      <c r="W329" s="3" t="s">
        <v>342</v>
      </c>
      <c r="X329" s="3">
        <v>13.9</v>
      </c>
      <c r="Y329" s="3">
        <v>13.9</v>
      </c>
      <c r="Z329" s="3">
        <v>13.9</v>
      </c>
      <c r="AA329" s="3">
        <v>0</v>
      </c>
      <c r="AB329" s="3" t="s">
        <v>359</v>
      </c>
      <c r="AC329" s="3">
        <v>2</v>
      </c>
      <c r="AD329" s="3">
        <v>13.9</v>
      </c>
      <c r="AE329" s="3">
        <v>0</v>
      </c>
      <c r="AF329" s="3">
        <v>0</v>
      </c>
      <c r="AG329" s="3">
        <v>0</v>
      </c>
      <c r="AH329" s="3">
        <v>0</v>
      </c>
      <c r="AI329" s="3" t="s">
        <v>344</v>
      </c>
      <c r="AJ329" s="3" t="s">
        <v>345</v>
      </c>
    </row>
    <row r="330" spans="1:36">
      <c r="A330" s="4">
        <v>43288</v>
      </c>
      <c r="B330" s="3" t="s">
        <v>1511</v>
      </c>
      <c r="C330" s="3" t="s">
        <v>1512</v>
      </c>
      <c r="D330" s="3" t="s">
        <v>1513</v>
      </c>
      <c r="E330" s="3" t="s">
        <v>1514</v>
      </c>
      <c r="F330" s="3" t="s">
        <v>340</v>
      </c>
      <c r="G330" s="3">
        <v>1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0</v>
      </c>
      <c r="N330" s="3" t="s">
        <v>341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 t="s">
        <v>342</v>
      </c>
      <c r="X330" s="3">
        <v>18.96</v>
      </c>
      <c r="Y330" s="3">
        <v>18.96</v>
      </c>
      <c r="Z330" s="3">
        <v>18.96</v>
      </c>
      <c r="AA330" s="3">
        <v>0</v>
      </c>
      <c r="AB330" s="3" t="s">
        <v>349</v>
      </c>
      <c r="AC330" s="3">
        <v>0</v>
      </c>
      <c r="AD330" s="3">
        <v>17.06</v>
      </c>
      <c r="AE330" s="3">
        <v>217</v>
      </c>
      <c r="AF330" s="3">
        <v>0</v>
      </c>
      <c r="AG330" s="3">
        <v>17.216009</v>
      </c>
      <c r="AH330" s="3">
        <v>0</v>
      </c>
      <c r="AI330" s="3" t="s">
        <v>370</v>
      </c>
      <c r="AJ330" s="3" t="s">
        <v>345</v>
      </c>
    </row>
    <row r="331" spans="1:36">
      <c r="A331" s="4">
        <v>43288</v>
      </c>
      <c r="B331" s="3" t="s">
        <v>1515</v>
      </c>
      <c r="C331" s="3" t="s">
        <v>1516</v>
      </c>
      <c r="D331" s="3" t="s">
        <v>1517</v>
      </c>
      <c r="E331" s="3" t="s">
        <v>1518</v>
      </c>
      <c r="F331" s="3" t="s">
        <v>340</v>
      </c>
      <c r="G331" s="3">
        <v>6</v>
      </c>
      <c r="H331" s="3">
        <v>0</v>
      </c>
      <c r="I331" s="3">
        <v>0</v>
      </c>
      <c r="J331" s="3">
        <v>0</v>
      </c>
      <c r="K331" s="3">
        <v>1</v>
      </c>
      <c r="L331" s="3">
        <v>5</v>
      </c>
      <c r="M331" s="3">
        <v>0</v>
      </c>
      <c r="N331" s="3" t="s">
        <v>341</v>
      </c>
      <c r="O331" s="3">
        <v>1</v>
      </c>
      <c r="P331" s="3">
        <v>0.7</v>
      </c>
      <c r="Q331" s="3">
        <v>5</v>
      </c>
      <c r="R331" s="3">
        <v>7.03</v>
      </c>
      <c r="S331" s="3">
        <v>0</v>
      </c>
      <c r="T331" s="3">
        <v>3</v>
      </c>
      <c r="U331" s="3">
        <v>4</v>
      </c>
      <c r="V331" s="3">
        <v>4</v>
      </c>
      <c r="W331" s="3"/>
      <c r="X331" s="3">
        <v>17.99</v>
      </c>
      <c r="Y331" s="3">
        <v>17.99</v>
      </c>
      <c r="Z331" s="3">
        <v>17.99</v>
      </c>
      <c r="AA331" s="3">
        <v>0</v>
      </c>
      <c r="AB331" s="3" t="s">
        <v>343</v>
      </c>
      <c r="AC331" s="3">
        <v>1</v>
      </c>
      <c r="AD331" s="3">
        <v>7.29</v>
      </c>
      <c r="AE331" s="3">
        <v>35</v>
      </c>
      <c r="AF331" s="3">
        <v>0</v>
      </c>
      <c r="AG331" s="3">
        <v>27.249392</v>
      </c>
      <c r="AH331" s="3">
        <v>0.444444444444444</v>
      </c>
      <c r="AI331" s="3" t="s">
        <v>859</v>
      </c>
      <c r="AJ331" s="3" t="s">
        <v>345</v>
      </c>
    </row>
    <row r="332" spans="1:36">
      <c r="A332" s="4">
        <v>43288</v>
      </c>
      <c r="B332" s="3" t="s">
        <v>185</v>
      </c>
      <c r="C332" s="3" t="s">
        <v>186</v>
      </c>
      <c r="D332" s="3" t="s">
        <v>187</v>
      </c>
      <c r="E332" s="3" t="s">
        <v>188</v>
      </c>
      <c r="F332" s="3" t="s">
        <v>340</v>
      </c>
      <c r="G332" s="3">
        <v>5</v>
      </c>
      <c r="H332" s="3">
        <v>0</v>
      </c>
      <c r="I332" s="3">
        <v>5</v>
      </c>
      <c r="J332" s="3">
        <v>0</v>
      </c>
      <c r="K332" s="3">
        <v>0</v>
      </c>
      <c r="L332" s="3">
        <v>0</v>
      </c>
      <c r="M332" s="3">
        <v>0</v>
      </c>
      <c r="N332" s="3" t="s">
        <v>341</v>
      </c>
      <c r="O332" s="3">
        <v>0</v>
      </c>
      <c r="P332" s="3">
        <v>0</v>
      </c>
      <c r="Q332" s="3">
        <v>0</v>
      </c>
      <c r="R332" s="3">
        <v>0</v>
      </c>
      <c r="S332" s="3">
        <v>3</v>
      </c>
      <c r="T332" s="3">
        <v>7</v>
      </c>
      <c r="U332" s="3">
        <v>12</v>
      </c>
      <c r="V332" s="3">
        <v>17</v>
      </c>
      <c r="W332" s="3"/>
      <c r="X332" s="3">
        <v>29.99</v>
      </c>
      <c r="Y332" s="3">
        <v>19.99</v>
      </c>
      <c r="Z332" s="3">
        <v>19.99</v>
      </c>
      <c r="AA332" s="3">
        <v>0</v>
      </c>
      <c r="AB332" s="3" t="s">
        <v>359</v>
      </c>
      <c r="AC332" s="3">
        <v>6</v>
      </c>
      <c r="AD332" s="3">
        <v>19.99</v>
      </c>
      <c r="AE332" s="3">
        <v>0</v>
      </c>
      <c r="AF332" s="3">
        <v>0</v>
      </c>
      <c r="AG332" s="3">
        <v>0</v>
      </c>
      <c r="AH332" s="3">
        <v>1.83783783783783</v>
      </c>
      <c r="AI332" s="3" t="s">
        <v>492</v>
      </c>
      <c r="AJ332" s="3" t="s">
        <v>345</v>
      </c>
    </row>
    <row r="333" spans="1:36">
      <c r="A333" s="4">
        <v>43288</v>
      </c>
      <c r="B333" s="3" t="s">
        <v>1519</v>
      </c>
      <c r="C333" s="3" t="s">
        <v>1520</v>
      </c>
      <c r="D333" s="3" t="s">
        <v>1521</v>
      </c>
      <c r="E333" s="3" t="s">
        <v>1522</v>
      </c>
      <c r="F333" s="3" t="s">
        <v>340</v>
      </c>
      <c r="G333" s="3">
        <v>3</v>
      </c>
      <c r="H333" s="3">
        <v>0</v>
      </c>
      <c r="I333" s="3">
        <v>0</v>
      </c>
      <c r="J333" s="3">
        <v>0</v>
      </c>
      <c r="K333" s="3">
        <v>0</v>
      </c>
      <c r="L333" s="3">
        <v>0</v>
      </c>
      <c r="M333" s="3">
        <v>3</v>
      </c>
      <c r="N333" s="3" t="s">
        <v>341</v>
      </c>
      <c r="O333" s="3">
        <v>0</v>
      </c>
      <c r="P333" s="3">
        <v>0</v>
      </c>
      <c r="Q333" s="3">
        <v>3</v>
      </c>
      <c r="R333" s="3">
        <v>5.38</v>
      </c>
      <c r="S333" s="3">
        <v>0</v>
      </c>
      <c r="T333" s="3">
        <v>0</v>
      </c>
      <c r="U333" s="3">
        <v>0</v>
      </c>
      <c r="V333" s="3">
        <v>0</v>
      </c>
      <c r="W333" s="3" t="s">
        <v>342</v>
      </c>
      <c r="X333" s="3">
        <v>19.99</v>
      </c>
      <c r="Y333" s="3">
        <v>19.99</v>
      </c>
      <c r="Z333" s="3">
        <v>19.99</v>
      </c>
      <c r="AA333" s="3">
        <v>0</v>
      </c>
      <c r="AB333" s="3" t="s">
        <v>343</v>
      </c>
      <c r="AC333" s="3">
        <v>0</v>
      </c>
      <c r="AD333" s="3">
        <v>18.78</v>
      </c>
      <c r="AE333" s="3">
        <v>35</v>
      </c>
      <c r="AF333" s="3">
        <v>0</v>
      </c>
      <c r="AG333" s="3">
        <v>68.021432</v>
      </c>
      <c r="AH333" s="3">
        <v>0</v>
      </c>
      <c r="AI333" s="3" t="s">
        <v>1401</v>
      </c>
      <c r="AJ333" s="3" t="s">
        <v>345</v>
      </c>
    </row>
    <row r="334" spans="1:36">
      <c r="A334" s="4">
        <v>43288</v>
      </c>
      <c r="B334" s="3" t="s">
        <v>1523</v>
      </c>
      <c r="C334" s="3" t="s">
        <v>1524</v>
      </c>
      <c r="D334" s="3" t="s">
        <v>1525</v>
      </c>
      <c r="E334" s="3" t="s">
        <v>1526</v>
      </c>
      <c r="F334" s="3" t="s">
        <v>340</v>
      </c>
      <c r="G334" s="3">
        <v>7</v>
      </c>
      <c r="H334" s="3">
        <v>0</v>
      </c>
      <c r="I334" s="3">
        <v>2</v>
      </c>
      <c r="J334" s="3">
        <v>5</v>
      </c>
      <c r="K334" s="3">
        <v>0</v>
      </c>
      <c r="L334" s="3">
        <v>0</v>
      </c>
      <c r="M334" s="3">
        <v>0</v>
      </c>
      <c r="N334" s="3" t="s">
        <v>341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1</v>
      </c>
      <c r="U334" s="3">
        <v>1</v>
      </c>
      <c r="V334" s="3">
        <v>1</v>
      </c>
      <c r="W334" s="3"/>
      <c r="X334" s="3">
        <v>19.99</v>
      </c>
      <c r="Y334" s="3">
        <v>19.99</v>
      </c>
      <c r="Z334" s="3">
        <v>19.99</v>
      </c>
      <c r="AA334" s="3">
        <v>0</v>
      </c>
      <c r="AB334" s="3" t="s">
        <v>343</v>
      </c>
      <c r="AC334" s="3">
        <v>1</v>
      </c>
      <c r="AD334" s="3">
        <v>18.61</v>
      </c>
      <c r="AE334" s="3">
        <v>98</v>
      </c>
      <c r="AF334" s="3">
        <v>0</v>
      </c>
      <c r="AG334" s="3">
        <v>182.497371</v>
      </c>
      <c r="AH334" s="3">
        <v>0.133333333333333</v>
      </c>
      <c r="AI334" s="3" t="s">
        <v>631</v>
      </c>
      <c r="AJ334" s="3" t="s">
        <v>345</v>
      </c>
    </row>
    <row r="335" spans="1:36">
      <c r="A335" s="4">
        <v>43288</v>
      </c>
      <c r="B335" s="3" t="s">
        <v>15</v>
      </c>
      <c r="C335" s="3" t="s">
        <v>16</v>
      </c>
      <c r="D335" s="3" t="s">
        <v>17</v>
      </c>
      <c r="E335" s="3" t="s">
        <v>18</v>
      </c>
      <c r="F335" s="3" t="s">
        <v>340</v>
      </c>
      <c r="G335" s="3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0</v>
      </c>
      <c r="N335" s="3" t="s">
        <v>341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1</v>
      </c>
      <c r="V335" s="3">
        <v>2</v>
      </c>
      <c r="W335" s="3"/>
      <c r="X335" s="3"/>
      <c r="Y335" s="3"/>
      <c r="Z335" s="3">
        <v>-1</v>
      </c>
      <c r="AA335" s="3">
        <v>-1</v>
      </c>
      <c r="AB335" s="3" t="s">
        <v>493</v>
      </c>
      <c r="AC335" s="3">
        <v>1</v>
      </c>
      <c r="AD335" s="3">
        <v>20.99</v>
      </c>
      <c r="AE335" s="3">
        <v>0</v>
      </c>
      <c r="AF335" s="3">
        <v>0</v>
      </c>
      <c r="AG335" s="3">
        <v>0</v>
      </c>
      <c r="AH335" s="3">
        <v>8</v>
      </c>
      <c r="AI335" s="3" t="s">
        <v>1527</v>
      </c>
      <c r="AJ335" s="3" t="s">
        <v>345</v>
      </c>
    </row>
    <row r="336" spans="1:36">
      <c r="A336" s="4">
        <v>43288</v>
      </c>
      <c r="B336" s="3" t="s">
        <v>1528</v>
      </c>
      <c r="C336" s="3" t="s">
        <v>1529</v>
      </c>
      <c r="D336" s="3" t="s">
        <v>1530</v>
      </c>
      <c r="E336" s="3" t="s">
        <v>577</v>
      </c>
      <c r="F336" s="3" t="s">
        <v>340</v>
      </c>
      <c r="G336" s="3">
        <v>4</v>
      </c>
      <c r="H336" s="3">
        <v>0</v>
      </c>
      <c r="I336" s="3">
        <v>1</v>
      </c>
      <c r="J336" s="3">
        <v>1</v>
      </c>
      <c r="K336" s="3">
        <v>2</v>
      </c>
      <c r="L336" s="3">
        <v>0</v>
      </c>
      <c r="M336" s="3">
        <v>0</v>
      </c>
      <c r="N336" s="3" t="s">
        <v>341</v>
      </c>
      <c r="O336" s="3">
        <v>3</v>
      </c>
      <c r="P336" s="3">
        <v>3.87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2</v>
      </c>
      <c r="W336" s="3" t="s">
        <v>342</v>
      </c>
      <c r="X336" s="3">
        <v>16.99</v>
      </c>
      <c r="Y336" s="3">
        <v>16.99</v>
      </c>
      <c r="Z336" s="3">
        <v>16.99</v>
      </c>
      <c r="AA336" s="3">
        <v>0</v>
      </c>
      <c r="AB336" s="3" t="s">
        <v>349</v>
      </c>
      <c r="AC336" s="3">
        <v>0</v>
      </c>
      <c r="AD336" s="3">
        <v>14.73</v>
      </c>
      <c r="AE336" s="3">
        <v>217</v>
      </c>
      <c r="AF336" s="3">
        <v>0</v>
      </c>
      <c r="AG336" s="3">
        <v>82.789069</v>
      </c>
      <c r="AH336" s="3">
        <v>0.5</v>
      </c>
      <c r="AI336" s="3" t="s">
        <v>1531</v>
      </c>
      <c r="AJ336" s="3" t="s">
        <v>345</v>
      </c>
    </row>
    <row r="337" spans="1:36">
      <c r="A337" s="4">
        <v>43288</v>
      </c>
      <c r="B337" s="3" t="s">
        <v>1532</v>
      </c>
      <c r="C337" s="3" t="s">
        <v>1533</v>
      </c>
      <c r="D337" s="3" t="s">
        <v>1534</v>
      </c>
      <c r="E337" s="3" t="s">
        <v>555</v>
      </c>
      <c r="F337" s="3" t="s">
        <v>340</v>
      </c>
      <c r="G337" s="3">
        <v>1</v>
      </c>
      <c r="H337" s="3">
        <v>0</v>
      </c>
      <c r="I337" s="3">
        <v>0</v>
      </c>
      <c r="J337" s="3">
        <v>0</v>
      </c>
      <c r="K337" s="3">
        <v>0</v>
      </c>
      <c r="L337" s="3">
        <v>1</v>
      </c>
      <c r="M337" s="3">
        <v>0</v>
      </c>
      <c r="N337" s="3" t="s">
        <v>341</v>
      </c>
      <c r="O337" s="3">
        <v>0</v>
      </c>
      <c r="P337" s="3">
        <v>0</v>
      </c>
      <c r="Q337" s="3">
        <v>1</v>
      </c>
      <c r="R337" s="3">
        <v>1.56</v>
      </c>
      <c r="S337" s="3">
        <v>0</v>
      </c>
      <c r="T337" s="3">
        <v>0</v>
      </c>
      <c r="U337" s="3">
        <v>0</v>
      </c>
      <c r="V337" s="3">
        <v>0</v>
      </c>
      <c r="W337" s="3" t="s">
        <v>381</v>
      </c>
      <c r="X337" s="3">
        <v>19.99</v>
      </c>
      <c r="Y337" s="3">
        <v>19.99</v>
      </c>
      <c r="Z337" s="3">
        <v>19.99</v>
      </c>
      <c r="AA337" s="3">
        <v>0</v>
      </c>
      <c r="AB337" s="3" t="s">
        <v>343</v>
      </c>
      <c r="AC337" s="3">
        <v>0</v>
      </c>
      <c r="AD337" s="3">
        <v>18.59</v>
      </c>
      <c r="AE337" s="3">
        <v>35</v>
      </c>
      <c r="AF337" s="3">
        <v>0</v>
      </c>
      <c r="AG337" s="3">
        <v>20.137034</v>
      </c>
      <c r="AH337" s="3">
        <v>0</v>
      </c>
      <c r="AI337" s="3" t="s">
        <v>556</v>
      </c>
      <c r="AJ337" s="3" t="s">
        <v>345</v>
      </c>
    </row>
    <row r="338" spans="1:36">
      <c r="A338" s="4">
        <v>43288</v>
      </c>
      <c r="B338" s="3" t="s">
        <v>1535</v>
      </c>
      <c r="C338" s="3" t="s">
        <v>1536</v>
      </c>
      <c r="D338" s="3" t="s">
        <v>1537</v>
      </c>
      <c r="E338" s="3" t="s">
        <v>1538</v>
      </c>
      <c r="F338" s="3" t="s">
        <v>340</v>
      </c>
      <c r="G338" s="3">
        <v>1</v>
      </c>
      <c r="H338" s="3">
        <v>0</v>
      </c>
      <c r="I338" s="3">
        <v>0</v>
      </c>
      <c r="J338" s="3">
        <v>1</v>
      </c>
      <c r="K338" s="3">
        <v>0</v>
      </c>
      <c r="L338" s="3">
        <v>0</v>
      </c>
      <c r="M338" s="3">
        <v>0</v>
      </c>
      <c r="N338" s="3" t="s">
        <v>341</v>
      </c>
      <c r="O338" s="3">
        <v>1</v>
      </c>
      <c r="P338" s="3">
        <v>0.54</v>
      </c>
      <c r="Q338" s="3">
        <v>0</v>
      </c>
      <c r="R338" s="3">
        <v>0</v>
      </c>
      <c r="S338" s="3">
        <v>0</v>
      </c>
      <c r="T338" s="3">
        <v>0</v>
      </c>
      <c r="U338" s="3">
        <v>0</v>
      </c>
      <c r="V338" s="3">
        <v>0</v>
      </c>
      <c r="W338" s="3" t="s">
        <v>342</v>
      </c>
      <c r="X338" s="3">
        <v>17.88</v>
      </c>
      <c r="Y338" s="3">
        <v>17.88</v>
      </c>
      <c r="Z338" s="3">
        <v>17.88</v>
      </c>
      <c r="AA338" s="3">
        <v>0</v>
      </c>
      <c r="AB338" s="3" t="s">
        <v>349</v>
      </c>
      <c r="AC338" s="3">
        <v>0</v>
      </c>
      <c r="AD338" s="3">
        <v>16.58</v>
      </c>
      <c r="AE338" s="3">
        <v>98</v>
      </c>
      <c r="AF338" s="3">
        <v>0</v>
      </c>
      <c r="AG338" s="3">
        <v>14.552025</v>
      </c>
      <c r="AH338" s="3">
        <v>0</v>
      </c>
      <c r="AI338" s="3" t="s">
        <v>1203</v>
      </c>
      <c r="AJ338" s="3" t="s">
        <v>345</v>
      </c>
    </row>
    <row r="339" spans="1:36">
      <c r="A339" s="4">
        <v>43288</v>
      </c>
      <c r="B339" s="3" t="s">
        <v>1539</v>
      </c>
      <c r="C339" s="3" t="s">
        <v>1540</v>
      </c>
      <c r="D339" s="3" t="s">
        <v>1541</v>
      </c>
      <c r="E339" s="3" t="s">
        <v>680</v>
      </c>
      <c r="F339" s="3" t="s">
        <v>340</v>
      </c>
      <c r="G339" s="3">
        <v>3</v>
      </c>
      <c r="H339" s="3">
        <v>0</v>
      </c>
      <c r="I339" s="3">
        <v>0</v>
      </c>
      <c r="J339" s="3">
        <v>3</v>
      </c>
      <c r="K339" s="3">
        <v>0</v>
      </c>
      <c r="L339" s="3">
        <v>0</v>
      </c>
      <c r="M339" s="3">
        <v>0</v>
      </c>
      <c r="N339" s="3" t="s">
        <v>341</v>
      </c>
      <c r="O339" s="3">
        <v>1</v>
      </c>
      <c r="P339" s="3">
        <v>1.7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1</v>
      </c>
      <c r="W339" s="3" t="s">
        <v>342</v>
      </c>
      <c r="X339" s="3">
        <v>17.99</v>
      </c>
      <c r="Y339" s="3">
        <v>17.99</v>
      </c>
      <c r="Z339" s="3">
        <v>17.99</v>
      </c>
      <c r="AA339" s="3">
        <v>0</v>
      </c>
      <c r="AB339" s="3" t="s">
        <v>349</v>
      </c>
      <c r="AC339" s="3">
        <v>1</v>
      </c>
      <c r="AD339" s="3">
        <v>16.82</v>
      </c>
      <c r="AE339" s="3">
        <v>63</v>
      </c>
      <c r="AF339" s="3">
        <v>0</v>
      </c>
      <c r="AG339" s="3">
        <v>82.909548</v>
      </c>
      <c r="AH339" s="3">
        <v>0.307692307692307</v>
      </c>
      <c r="AI339" s="3" t="s">
        <v>1071</v>
      </c>
      <c r="AJ339" s="3" t="s">
        <v>345</v>
      </c>
    </row>
    <row r="340" spans="1:36">
      <c r="A340" s="4">
        <v>43288</v>
      </c>
      <c r="B340" s="3" t="s">
        <v>1542</v>
      </c>
      <c r="C340" s="3" t="s">
        <v>1543</v>
      </c>
      <c r="D340" s="3" t="s">
        <v>1544</v>
      </c>
      <c r="E340" s="3" t="s">
        <v>1545</v>
      </c>
      <c r="F340" s="3" t="s">
        <v>340</v>
      </c>
      <c r="G340" s="3">
        <v>10</v>
      </c>
      <c r="H340" s="3">
        <v>0</v>
      </c>
      <c r="I340" s="3">
        <v>8</v>
      </c>
      <c r="J340" s="3">
        <v>2</v>
      </c>
      <c r="K340" s="3">
        <v>0</v>
      </c>
      <c r="L340" s="3">
        <v>0</v>
      </c>
      <c r="M340" s="3">
        <v>0</v>
      </c>
      <c r="N340" s="3" t="s">
        <v>341</v>
      </c>
      <c r="O340" s="3">
        <v>0</v>
      </c>
      <c r="P340" s="3">
        <v>0</v>
      </c>
      <c r="Q340" s="3">
        <v>0</v>
      </c>
      <c r="R340" s="3">
        <v>0</v>
      </c>
      <c r="S340" s="3">
        <v>2</v>
      </c>
      <c r="T340" s="3">
        <v>4</v>
      </c>
      <c r="U340" s="3">
        <v>4</v>
      </c>
      <c r="V340" s="3">
        <v>17</v>
      </c>
      <c r="W340" s="3" t="s">
        <v>342</v>
      </c>
      <c r="X340" s="3">
        <v>13.99</v>
      </c>
      <c r="Y340" s="3">
        <v>13.99</v>
      </c>
      <c r="Z340" s="3">
        <v>13.99</v>
      </c>
      <c r="AA340" s="3">
        <v>0</v>
      </c>
      <c r="AB340" s="3" t="s">
        <v>349</v>
      </c>
      <c r="AC340" s="3">
        <v>12</v>
      </c>
      <c r="AD340" s="3">
        <v>13.99</v>
      </c>
      <c r="AE340" s="3">
        <v>0</v>
      </c>
      <c r="AF340" s="3">
        <v>0</v>
      </c>
      <c r="AG340" s="3">
        <v>0</v>
      </c>
      <c r="AH340" s="3">
        <v>1.0625</v>
      </c>
      <c r="AI340" s="3" t="s">
        <v>1546</v>
      </c>
      <c r="AJ340" s="3" t="s">
        <v>902</v>
      </c>
    </row>
    <row r="341" spans="1:36">
      <c r="A341" s="4">
        <v>43288</v>
      </c>
      <c r="B341" s="3" t="s">
        <v>1547</v>
      </c>
      <c r="C341" s="3" t="s">
        <v>1548</v>
      </c>
      <c r="D341" s="3" t="s">
        <v>1549</v>
      </c>
      <c r="E341" s="3" t="s">
        <v>468</v>
      </c>
      <c r="F341" s="3" t="s">
        <v>340</v>
      </c>
      <c r="G341" s="3">
        <v>6</v>
      </c>
      <c r="H341" s="3">
        <v>0</v>
      </c>
      <c r="I341" s="3">
        <v>0</v>
      </c>
      <c r="J341" s="3">
        <v>4</v>
      </c>
      <c r="K341" s="3">
        <v>2</v>
      </c>
      <c r="L341" s="3">
        <v>0</v>
      </c>
      <c r="M341" s="3">
        <v>0</v>
      </c>
      <c r="N341" s="3" t="s">
        <v>341</v>
      </c>
      <c r="O341" s="3">
        <v>6</v>
      </c>
      <c r="P341" s="3">
        <v>6.88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 t="s">
        <v>342</v>
      </c>
      <c r="X341" s="3">
        <v>15.99</v>
      </c>
      <c r="Y341" s="3">
        <v>15.99</v>
      </c>
      <c r="Z341" s="3">
        <v>15.99</v>
      </c>
      <c r="AA341" s="3">
        <v>0</v>
      </c>
      <c r="AB341" s="3" t="s">
        <v>349</v>
      </c>
      <c r="AC341" s="3">
        <v>0</v>
      </c>
      <c r="AD341" s="3">
        <v>13.22</v>
      </c>
      <c r="AE341" s="3">
        <v>133</v>
      </c>
      <c r="AF341" s="3">
        <v>0</v>
      </c>
      <c r="AG341" s="3">
        <v>113.274274</v>
      </c>
      <c r="AH341" s="3">
        <v>0</v>
      </c>
      <c r="AI341" s="3" t="s">
        <v>469</v>
      </c>
      <c r="AJ341" s="3" t="s">
        <v>345</v>
      </c>
    </row>
    <row r="342" spans="1:36">
      <c r="A342" s="4">
        <v>43288</v>
      </c>
      <c r="B342" s="3" t="s">
        <v>1550</v>
      </c>
      <c r="C342" s="3" t="s">
        <v>1551</v>
      </c>
      <c r="D342" s="3" t="s">
        <v>1552</v>
      </c>
      <c r="E342" s="3" t="s">
        <v>468</v>
      </c>
      <c r="F342" s="3" t="s">
        <v>340</v>
      </c>
      <c r="G342" s="3">
        <v>2</v>
      </c>
      <c r="H342" s="3">
        <v>0</v>
      </c>
      <c r="I342" s="3">
        <v>0</v>
      </c>
      <c r="J342" s="3">
        <v>2</v>
      </c>
      <c r="K342" s="3">
        <v>0</v>
      </c>
      <c r="L342" s="3">
        <v>0</v>
      </c>
      <c r="M342" s="3">
        <v>0</v>
      </c>
      <c r="N342" s="3" t="s">
        <v>341</v>
      </c>
      <c r="O342" s="3">
        <v>2</v>
      </c>
      <c r="P342" s="3">
        <v>2.29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 t="s">
        <v>342</v>
      </c>
      <c r="X342" s="3">
        <v>15.99</v>
      </c>
      <c r="Y342" s="3">
        <v>15.99</v>
      </c>
      <c r="Z342" s="3">
        <v>15.99</v>
      </c>
      <c r="AA342" s="3">
        <v>0</v>
      </c>
      <c r="AB342" s="3" t="s">
        <v>349</v>
      </c>
      <c r="AC342" s="3">
        <v>0</v>
      </c>
      <c r="AD342" s="3">
        <v>14.54</v>
      </c>
      <c r="AE342" s="3">
        <v>77</v>
      </c>
      <c r="AF342" s="3">
        <v>0</v>
      </c>
      <c r="AG342" s="3">
        <v>40.536283</v>
      </c>
      <c r="AH342" s="3">
        <v>0</v>
      </c>
      <c r="AI342" s="3" t="s">
        <v>469</v>
      </c>
      <c r="AJ342" s="3" t="s">
        <v>345</v>
      </c>
    </row>
    <row r="343" spans="1:36">
      <c r="A343" s="4">
        <v>43288</v>
      </c>
      <c r="B343" s="3" t="s">
        <v>1553</v>
      </c>
      <c r="C343" s="3" t="s">
        <v>1554</v>
      </c>
      <c r="D343" s="3" t="s">
        <v>1555</v>
      </c>
      <c r="E343" s="3" t="s">
        <v>463</v>
      </c>
      <c r="F343" s="3" t="s">
        <v>340</v>
      </c>
      <c r="G343" s="3">
        <v>3</v>
      </c>
      <c r="H343" s="3">
        <v>0</v>
      </c>
      <c r="I343" s="3">
        <v>0</v>
      </c>
      <c r="J343" s="3">
        <v>1</v>
      </c>
      <c r="K343" s="3">
        <v>2</v>
      </c>
      <c r="L343" s="3">
        <v>0</v>
      </c>
      <c r="M343" s="3">
        <v>0</v>
      </c>
      <c r="N343" s="3" t="s">
        <v>341</v>
      </c>
      <c r="O343" s="3">
        <v>3</v>
      </c>
      <c r="P343" s="3">
        <v>3.56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 t="s">
        <v>381</v>
      </c>
      <c r="X343" s="3">
        <v>16.99</v>
      </c>
      <c r="Y343" s="3">
        <v>16.99</v>
      </c>
      <c r="Z343" s="3">
        <v>16.99</v>
      </c>
      <c r="AA343" s="3">
        <v>0</v>
      </c>
      <c r="AB343" s="3" t="s">
        <v>343</v>
      </c>
      <c r="AC343" s="3">
        <v>0</v>
      </c>
      <c r="AD343" s="3">
        <v>14.72</v>
      </c>
      <c r="AE343" s="3">
        <v>147</v>
      </c>
      <c r="AF343" s="3">
        <v>0</v>
      </c>
      <c r="AG343" s="3">
        <v>60.381708</v>
      </c>
      <c r="AH343" s="3">
        <v>0</v>
      </c>
      <c r="AI343" s="3" t="s">
        <v>464</v>
      </c>
      <c r="AJ343" s="3" t="s">
        <v>345</v>
      </c>
    </row>
    <row r="344" spans="1:36">
      <c r="A344" s="4">
        <v>43288</v>
      </c>
      <c r="B344" s="3" t="s">
        <v>1556</v>
      </c>
      <c r="C344" s="3" t="s">
        <v>1557</v>
      </c>
      <c r="D344" s="3" t="s">
        <v>1558</v>
      </c>
      <c r="E344" s="3" t="s">
        <v>1559</v>
      </c>
      <c r="F344" s="3" t="s">
        <v>340</v>
      </c>
      <c r="G344" s="3">
        <v>10</v>
      </c>
      <c r="H344" s="3">
        <v>0</v>
      </c>
      <c r="I344" s="3">
        <v>2</v>
      </c>
      <c r="J344" s="3">
        <v>4</v>
      </c>
      <c r="K344" s="3">
        <v>1</v>
      </c>
      <c r="L344" s="3">
        <v>3</v>
      </c>
      <c r="M344" s="3">
        <v>0</v>
      </c>
      <c r="N344" s="3" t="s">
        <v>341</v>
      </c>
      <c r="O344" s="3">
        <v>4</v>
      </c>
      <c r="P344" s="3">
        <v>7.09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4</v>
      </c>
      <c r="W344" s="3"/>
      <c r="X344" s="3"/>
      <c r="Y344" s="3"/>
      <c r="Z344" s="3">
        <v>-1</v>
      </c>
      <c r="AA344" s="3">
        <v>-1</v>
      </c>
      <c r="AB344" s="3" t="s">
        <v>493</v>
      </c>
      <c r="AC344" s="3">
        <v>0</v>
      </c>
      <c r="AD344" s="3">
        <v>0</v>
      </c>
      <c r="AE344" s="3">
        <v>0</v>
      </c>
      <c r="AF344" s="3">
        <v>0</v>
      </c>
      <c r="AG344" s="3">
        <v>0</v>
      </c>
      <c r="AH344" s="3">
        <v>0.372093023255813</v>
      </c>
      <c r="AI344" s="3" t="s">
        <v>1560</v>
      </c>
      <c r="AJ344" s="3" t="s">
        <v>345</v>
      </c>
    </row>
    <row r="345" spans="1:36">
      <c r="A345" s="4">
        <v>43288</v>
      </c>
      <c r="B345" s="3" t="s">
        <v>1561</v>
      </c>
      <c r="C345" s="3" t="s">
        <v>1562</v>
      </c>
      <c r="D345" s="3" t="s">
        <v>1563</v>
      </c>
      <c r="E345" s="3" t="s">
        <v>1564</v>
      </c>
      <c r="F345" s="3" t="s">
        <v>340</v>
      </c>
      <c r="G345" s="3">
        <v>2</v>
      </c>
      <c r="H345" s="3">
        <v>0</v>
      </c>
      <c r="I345" s="3">
        <v>0</v>
      </c>
      <c r="J345" s="3">
        <v>0</v>
      </c>
      <c r="K345" s="3">
        <v>0</v>
      </c>
      <c r="L345" s="3">
        <v>0</v>
      </c>
      <c r="M345" s="3">
        <v>2</v>
      </c>
      <c r="N345" s="3" t="s">
        <v>341</v>
      </c>
      <c r="O345" s="3">
        <v>0</v>
      </c>
      <c r="P345" s="3">
        <v>0</v>
      </c>
      <c r="Q345" s="3">
        <v>2</v>
      </c>
      <c r="R345" s="3">
        <v>3.74</v>
      </c>
      <c r="S345" s="3">
        <v>0</v>
      </c>
      <c r="T345" s="3">
        <v>0</v>
      </c>
      <c r="U345" s="3">
        <v>1</v>
      </c>
      <c r="V345" s="3">
        <v>2</v>
      </c>
      <c r="W345" s="3" t="s">
        <v>342</v>
      </c>
      <c r="X345" s="3">
        <v>17.99</v>
      </c>
      <c r="Y345" s="3">
        <v>17.99</v>
      </c>
      <c r="Z345" s="3">
        <v>17.99</v>
      </c>
      <c r="AA345" s="3">
        <v>0</v>
      </c>
      <c r="AB345" s="3" t="s">
        <v>349</v>
      </c>
      <c r="AC345" s="3">
        <v>0</v>
      </c>
      <c r="AD345" s="3">
        <v>15.74</v>
      </c>
      <c r="AE345" s="3">
        <v>217</v>
      </c>
      <c r="AF345" s="3">
        <v>0</v>
      </c>
      <c r="AG345" s="3">
        <v>24.121261</v>
      </c>
      <c r="AH345" s="3">
        <v>0.727272727272727</v>
      </c>
      <c r="AI345" s="3" t="s">
        <v>1565</v>
      </c>
      <c r="AJ345" s="3" t="s">
        <v>345</v>
      </c>
    </row>
    <row r="346" spans="1:36">
      <c r="A346" s="4">
        <v>43288</v>
      </c>
      <c r="B346" s="3" t="s">
        <v>1566</v>
      </c>
      <c r="C346" s="3" t="s">
        <v>1567</v>
      </c>
      <c r="D346" s="3" t="s">
        <v>1568</v>
      </c>
      <c r="E346" s="3" t="s">
        <v>1569</v>
      </c>
      <c r="F346" s="3" t="s">
        <v>340</v>
      </c>
      <c r="G346" s="3">
        <v>5</v>
      </c>
      <c r="H346" s="3">
        <v>0</v>
      </c>
      <c r="I346" s="3">
        <v>0</v>
      </c>
      <c r="J346" s="3">
        <v>0</v>
      </c>
      <c r="K346" s="3">
        <v>0</v>
      </c>
      <c r="L346" s="3">
        <v>0</v>
      </c>
      <c r="M346" s="3">
        <v>5</v>
      </c>
      <c r="N346" s="3" t="s">
        <v>341</v>
      </c>
      <c r="O346" s="3">
        <v>0</v>
      </c>
      <c r="P346" s="3">
        <v>0</v>
      </c>
      <c r="Q346" s="3">
        <v>5</v>
      </c>
      <c r="R346" s="3">
        <v>2.5</v>
      </c>
      <c r="S346" s="3">
        <v>0</v>
      </c>
      <c r="T346" s="3">
        <v>0</v>
      </c>
      <c r="U346" s="3">
        <v>0</v>
      </c>
      <c r="V346" s="3">
        <v>0</v>
      </c>
      <c r="W346" s="3" t="s">
        <v>342</v>
      </c>
      <c r="X346" s="3">
        <v>22.99</v>
      </c>
      <c r="Y346" s="3">
        <v>22.99</v>
      </c>
      <c r="Z346" s="3">
        <v>22.99</v>
      </c>
      <c r="AA346" s="3">
        <v>0</v>
      </c>
      <c r="AB346" s="3" t="s">
        <v>343</v>
      </c>
      <c r="AC346" s="3">
        <v>0</v>
      </c>
      <c r="AD346" s="3">
        <v>18.39</v>
      </c>
      <c r="AE346" s="3">
        <v>63</v>
      </c>
      <c r="AF346" s="3">
        <v>0</v>
      </c>
      <c r="AG346" s="3">
        <v>13.629029</v>
      </c>
      <c r="AH346" s="3">
        <v>0</v>
      </c>
      <c r="AI346" s="3" t="s">
        <v>355</v>
      </c>
      <c r="AJ346" s="3" t="s">
        <v>345</v>
      </c>
    </row>
    <row r="347" spans="1:36">
      <c r="A347" s="4">
        <v>43288</v>
      </c>
      <c r="B347" s="3" t="s">
        <v>1570</v>
      </c>
      <c r="C347" s="3" t="s">
        <v>1571</v>
      </c>
      <c r="D347" s="3" t="s">
        <v>1572</v>
      </c>
      <c r="E347" s="3" t="s">
        <v>1573</v>
      </c>
      <c r="F347" s="3" t="s">
        <v>340</v>
      </c>
      <c r="G347" s="3">
        <v>4</v>
      </c>
      <c r="H347" s="3">
        <v>0</v>
      </c>
      <c r="I347" s="3">
        <v>0</v>
      </c>
      <c r="J347" s="3">
        <v>4</v>
      </c>
      <c r="K347" s="3">
        <v>0</v>
      </c>
      <c r="L347" s="3">
        <v>0</v>
      </c>
      <c r="M347" s="3">
        <v>0</v>
      </c>
      <c r="N347" s="3" t="s">
        <v>341</v>
      </c>
      <c r="O347" s="3">
        <v>4</v>
      </c>
      <c r="P347" s="3">
        <v>4.98</v>
      </c>
      <c r="Q347" s="3">
        <v>0</v>
      </c>
      <c r="R347" s="3">
        <v>0</v>
      </c>
      <c r="S347" s="3">
        <v>0</v>
      </c>
      <c r="T347" s="3">
        <v>0</v>
      </c>
      <c r="U347" s="3">
        <v>1</v>
      </c>
      <c r="V347" s="3">
        <v>1</v>
      </c>
      <c r="W347" s="3" t="s">
        <v>342</v>
      </c>
      <c r="X347" s="3">
        <v>15.99</v>
      </c>
      <c r="Y347" s="3">
        <v>15.99</v>
      </c>
      <c r="Z347" s="3">
        <v>15.99</v>
      </c>
      <c r="AA347" s="3">
        <v>0</v>
      </c>
      <c r="AB347" s="3" t="s">
        <v>349</v>
      </c>
      <c r="AC347" s="3">
        <v>4</v>
      </c>
      <c r="AD347" s="3">
        <v>15.99</v>
      </c>
      <c r="AE347" s="3">
        <v>0</v>
      </c>
      <c r="AF347" s="3">
        <v>0</v>
      </c>
      <c r="AG347" s="3">
        <v>0</v>
      </c>
      <c r="AH347" s="3">
        <v>0.19047619047619</v>
      </c>
      <c r="AI347" s="3" t="s">
        <v>397</v>
      </c>
      <c r="AJ347" s="3" t="s">
        <v>345</v>
      </c>
    </row>
    <row r="348" spans="1:36">
      <c r="A348" s="4">
        <v>43288</v>
      </c>
      <c r="B348" s="3" t="s">
        <v>1574</v>
      </c>
      <c r="C348" s="3" t="s">
        <v>1575</v>
      </c>
      <c r="D348" s="3" t="s">
        <v>1576</v>
      </c>
      <c r="E348" s="3" t="s">
        <v>1577</v>
      </c>
      <c r="F348" s="3" t="s">
        <v>340</v>
      </c>
      <c r="G348" s="3">
        <v>3</v>
      </c>
      <c r="H348" s="3">
        <v>0</v>
      </c>
      <c r="I348" s="3">
        <v>2</v>
      </c>
      <c r="J348" s="3">
        <v>1</v>
      </c>
      <c r="K348" s="3">
        <v>0</v>
      </c>
      <c r="L348" s="3">
        <v>0</v>
      </c>
      <c r="M348" s="3">
        <v>0</v>
      </c>
      <c r="N348" s="3" t="s">
        <v>341</v>
      </c>
      <c r="O348" s="3">
        <v>1</v>
      </c>
      <c r="P348" s="3">
        <v>0.63</v>
      </c>
      <c r="Q348" s="3">
        <v>0</v>
      </c>
      <c r="R348" s="3">
        <v>0</v>
      </c>
      <c r="S348" s="3">
        <v>0</v>
      </c>
      <c r="T348" s="3">
        <v>0</v>
      </c>
      <c r="U348" s="3">
        <v>1</v>
      </c>
      <c r="V348" s="3">
        <v>5</v>
      </c>
      <c r="W348" s="3" t="s">
        <v>381</v>
      </c>
      <c r="X348" s="3">
        <v>16.99</v>
      </c>
      <c r="Y348" s="3">
        <v>16.99</v>
      </c>
      <c r="Z348" s="3">
        <v>16.99</v>
      </c>
      <c r="AA348" s="3">
        <v>0</v>
      </c>
      <c r="AB348" s="3" t="s">
        <v>359</v>
      </c>
      <c r="AC348" s="3">
        <v>3</v>
      </c>
      <c r="AD348" s="3">
        <v>16.99</v>
      </c>
      <c r="AE348" s="3">
        <v>0</v>
      </c>
      <c r="AF348" s="3">
        <v>0</v>
      </c>
      <c r="AG348" s="3">
        <v>0</v>
      </c>
      <c r="AH348" s="3">
        <v>1.33333333333333</v>
      </c>
      <c r="AI348" s="3" t="s">
        <v>1187</v>
      </c>
      <c r="AJ348" s="3" t="s">
        <v>345</v>
      </c>
    </row>
    <row r="349" spans="1:36">
      <c r="A349" s="4">
        <v>43288</v>
      </c>
      <c r="B349" s="3" t="s">
        <v>1578</v>
      </c>
      <c r="C349" s="3" t="s">
        <v>1579</v>
      </c>
      <c r="D349" s="3" t="s">
        <v>1580</v>
      </c>
      <c r="E349" s="3" t="s">
        <v>213</v>
      </c>
      <c r="F349" s="3" t="s">
        <v>340</v>
      </c>
      <c r="G349" s="3">
        <v>10</v>
      </c>
      <c r="H349" s="3">
        <v>0</v>
      </c>
      <c r="I349" s="3">
        <v>8</v>
      </c>
      <c r="J349" s="3">
        <v>2</v>
      </c>
      <c r="K349" s="3">
        <v>0</v>
      </c>
      <c r="L349" s="3">
        <v>0</v>
      </c>
      <c r="M349" s="3">
        <v>0</v>
      </c>
      <c r="N349" s="3" t="s">
        <v>341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1</v>
      </c>
      <c r="U349" s="3">
        <v>4</v>
      </c>
      <c r="V349" s="3">
        <v>7</v>
      </c>
      <c r="W349" s="3"/>
      <c r="X349" s="3">
        <v>19.99</v>
      </c>
      <c r="Y349" s="3">
        <v>19.99</v>
      </c>
      <c r="Z349" s="3">
        <v>19.99</v>
      </c>
      <c r="AA349" s="3">
        <v>0</v>
      </c>
      <c r="AB349" s="3" t="s">
        <v>359</v>
      </c>
      <c r="AC349" s="3">
        <v>9</v>
      </c>
      <c r="AD349" s="3">
        <v>19.99</v>
      </c>
      <c r="AE349" s="3">
        <v>0</v>
      </c>
      <c r="AF349" s="3">
        <v>0</v>
      </c>
      <c r="AG349" s="3">
        <v>0</v>
      </c>
      <c r="AH349" s="3">
        <v>0.666666666666666</v>
      </c>
      <c r="AI349" s="3" t="s">
        <v>1581</v>
      </c>
      <c r="AJ349" s="3" t="s">
        <v>345</v>
      </c>
    </row>
    <row r="350" spans="1:36">
      <c r="A350" s="4">
        <v>43288</v>
      </c>
      <c r="B350" s="3" t="s">
        <v>1582</v>
      </c>
      <c r="C350" s="3" t="s">
        <v>1583</v>
      </c>
      <c r="D350" s="3" t="s">
        <v>1584</v>
      </c>
      <c r="E350" s="3" t="s">
        <v>1585</v>
      </c>
      <c r="F350" s="3" t="s">
        <v>340</v>
      </c>
      <c r="G350" s="3">
        <v>6</v>
      </c>
      <c r="H350" s="3">
        <v>0</v>
      </c>
      <c r="I350" s="3">
        <v>0</v>
      </c>
      <c r="J350" s="3">
        <v>6</v>
      </c>
      <c r="K350" s="3">
        <v>0</v>
      </c>
      <c r="L350" s="3">
        <v>0</v>
      </c>
      <c r="M350" s="3">
        <v>0</v>
      </c>
      <c r="N350" s="3" t="s">
        <v>341</v>
      </c>
      <c r="O350" s="3">
        <v>6</v>
      </c>
      <c r="P350" s="3">
        <v>7.47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 t="s">
        <v>342</v>
      </c>
      <c r="X350" s="3">
        <v>15.99</v>
      </c>
      <c r="Y350" s="3">
        <v>15.99</v>
      </c>
      <c r="Z350" s="3">
        <v>15.99</v>
      </c>
      <c r="AA350" s="3">
        <v>0</v>
      </c>
      <c r="AB350" s="3" t="s">
        <v>349</v>
      </c>
      <c r="AC350" s="3">
        <v>0</v>
      </c>
      <c r="AD350" s="3">
        <v>14.52</v>
      </c>
      <c r="AE350" s="3">
        <v>119</v>
      </c>
      <c r="AF350" s="3">
        <v>0</v>
      </c>
      <c r="AG350" s="3">
        <v>128.587549</v>
      </c>
      <c r="AH350" s="3">
        <v>0</v>
      </c>
      <c r="AI350" s="3" t="s">
        <v>397</v>
      </c>
      <c r="AJ350" s="3" t="s">
        <v>345</v>
      </c>
    </row>
    <row r="351" spans="1:36">
      <c r="A351" s="4">
        <v>43288</v>
      </c>
      <c r="B351" s="3" t="s">
        <v>1586</v>
      </c>
      <c r="C351" s="3" t="s">
        <v>1587</v>
      </c>
      <c r="D351" s="3" t="s">
        <v>1588</v>
      </c>
      <c r="E351" s="3" t="s">
        <v>1589</v>
      </c>
      <c r="F351" s="3" t="s">
        <v>340</v>
      </c>
      <c r="G351" s="3">
        <v>4</v>
      </c>
      <c r="H351" s="3">
        <v>0</v>
      </c>
      <c r="I351" s="3">
        <v>0</v>
      </c>
      <c r="J351" s="3">
        <v>0</v>
      </c>
      <c r="K351" s="3">
        <v>0</v>
      </c>
      <c r="L351" s="3">
        <v>4</v>
      </c>
      <c r="M351" s="3">
        <v>0</v>
      </c>
      <c r="N351" s="3" t="s">
        <v>341</v>
      </c>
      <c r="O351" s="3">
        <v>4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342</v>
      </c>
      <c r="X351" s="3">
        <v>19.9</v>
      </c>
      <c r="Y351" s="3">
        <v>19.9</v>
      </c>
      <c r="Z351" s="3">
        <v>19.9</v>
      </c>
      <c r="AA351" s="3">
        <v>0</v>
      </c>
      <c r="AB351" s="3" t="s">
        <v>349</v>
      </c>
      <c r="AC351" s="3">
        <v>0</v>
      </c>
      <c r="AD351" s="3">
        <v>18.07</v>
      </c>
      <c r="AE351" s="3">
        <v>252</v>
      </c>
      <c r="AF351" s="3">
        <v>0</v>
      </c>
      <c r="AG351" s="3">
        <v>43.45062</v>
      </c>
      <c r="AH351" s="3">
        <v>0</v>
      </c>
      <c r="AI351" s="3" t="s">
        <v>728</v>
      </c>
      <c r="AJ351" s="3" t="s">
        <v>345</v>
      </c>
    </row>
    <row r="352" spans="1:36">
      <c r="A352" s="4">
        <v>43288</v>
      </c>
      <c r="B352" s="3" t="s">
        <v>1590</v>
      </c>
      <c r="C352" s="3" t="s">
        <v>1591</v>
      </c>
      <c r="D352" s="3" t="s">
        <v>1592</v>
      </c>
      <c r="E352" s="3" t="s">
        <v>111</v>
      </c>
      <c r="F352" s="3" t="s">
        <v>340</v>
      </c>
      <c r="G352" s="3">
        <v>1</v>
      </c>
      <c r="H352" s="3">
        <v>0</v>
      </c>
      <c r="I352" s="3">
        <v>1</v>
      </c>
      <c r="J352" s="3">
        <v>0</v>
      </c>
      <c r="K352" s="3">
        <v>0</v>
      </c>
      <c r="L352" s="3">
        <v>0</v>
      </c>
      <c r="M352" s="3">
        <v>0</v>
      </c>
      <c r="N352" s="3" t="s">
        <v>341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3</v>
      </c>
      <c r="V352" s="3">
        <v>5</v>
      </c>
      <c r="W352" s="3" t="s">
        <v>381</v>
      </c>
      <c r="X352" s="3">
        <v>16.99</v>
      </c>
      <c r="Y352" s="3">
        <v>16.99</v>
      </c>
      <c r="Z352" s="3">
        <v>16.99</v>
      </c>
      <c r="AA352" s="3">
        <v>0</v>
      </c>
      <c r="AB352" s="3" t="s">
        <v>359</v>
      </c>
      <c r="AC352" s="3">
        <v>1</v>
      </c>
      <c r="AD352" s="3">
        <v>16.99</v>
      </c>
      <c r="AE352" s="3">
        <v>0</v>
      </c>
      <c r="AF352" s="3">
        <v>0</v>
      </c>
      <c r="AG352" s="3">
        <v>0</v>
      </c>
      <c r="AH352" s="3">
        <v>1.81818181818181</v>
      </c>
      <c r="AI352" s="3" t="s">
        <v>505</v>
      </c>
      <c r="AJ352" s="3" t="s">
        <v>345</v>
      </c>
    </row>
    <row r="353" spans="1:36">
      <c r="A353" s="4">
        <v>43288</v>
      </c>
      <c r="B353" s="3" t="s">
        <v>1593</v>
      </c>
      <c r="C353" s="3" t="s">
        <v>1594</v>
      </c>
      <c r="D353" s="3" t="s">
        <v>1595</v>
      </c>
      <c r="E353" s="3" t="s">
        <v>213</v>
      </c>
      <c r="F353" s="3" t="s">
        <v>340</v>
      </c>
      <c r="G353" s="3">
        <v>13</v>
      </c>
      <c r="H353" s="3">
        <v>0</v>
      </c>
      <c r="I353" s="3">
        <v>2</v>
      </c>
      <c r="J353" s="3">
        <v>1</v>
      </c>
      <c r="K353" s="3">
        <v>0</v>
      </c>
      <c r="L353" s="3">
        <v>0</v>
      </c>
      <c r="M353" s="3">
        <v>10</v>
      </c>
      <c r="N353" s="3" t="s">
        <v>341</v>
      </c>
      <c r="O353" s="3">
        <v>0</v>
      </c>
      <c r="P353" s="3">
        <v>0</v>
      </c>
      <c r="Q353" s="3">
        <v>10</v>
      </c>
      <c r="R353" s="3">
        <v>7.94</v>
      </c>
      <c r="S353" s="3">
        <v>0</v>
      </c>
      <c r="T353" s="3">
        <v>0</v>
      </c>
      <c r="U353" s="3">
        <v>0</v>
      </c>
      <c r="V353" s="3">
        <v>0</v>
      </c>
      <c r="W353" s="3" t="s">
        <v>381</v>
      </c>
      <c r="X353" s="3">
        <v>19.99</v>
      </c>
      <c r="Y353" s="3">
        <v>19.99</v>
      </c>
      <c r="Z353" s="3">
        <v>19.99</v>
      </c>
      <c r="AA353" s="3">
        <v>0</v>
      </c>
      <c r="AB353" s="3" t="s">
        <v>343</v>
      </c>
      <c r="AC353" s="3">
        <v>0</v>
      </c>
      <c r="AD353" s="3">
        <v>16.93</v>
      </c>
      <c r="AE353" s="3">
        <v>364</v>
      </c>
      <c r="AF353" s="3">
        <v>0</v>
      </c>
      <c r="AG353" s="3">
        <v>154.927728</v>
      </c>
      <c r="AH353" s="3">
        <v>0</v>
      </c>
      <c r="AI353" s="3" t="s">
        <v>512</v>
      </c>
      <c r="AJ353" s="3" t="s">
        <v>345</v>
      </c>
    </row>
    <row r="354" spans="1:36">
      <c r="A354" s="4">
        <v>43288</v>
      </c>
      <c r="B354" s="3" t="s">
        <v>1596</v>
      </c>
      <c r="C354" s="3" t="s">
        <v>1597</v>
      </c>
      <c r="D354" s="3" t="s">
        <v>1598</v>
      </c>
      <c r="E354" s="3" t="s">
        <v>188</v>
      </c>
      <c r="F354" s="3" t="s">
        <v>340</v>
      </c>
      <c r="G354" s="3">
        <v>8</v>
      </c>
      <c r="H354" s="3">
        <v>0</v>
      </c>
      <c r="I354" s="3">
        <v>5</v>
      </c>
      <c r="J354" s="3">
        <v>3</v>
      </c>
      <c r="K354" s="3">
        <v>0</v>
      </c>
      <c r="L354" s="3">
        <v>0</v>
      </c>
      <c r="M354" s="3">
        <v>0</v>
      </c>
      <c r="N354" s="3" t="s">
        <v>341</v>
      </c>
      <c r="O354" s="3">
        <v>0</v>
      </c>
      <c r="P354" s="3">
        <v>0</v>
      </c>
      <c r="Q354" s="3">
        <v>0</v>
      </c>
      <c r="R354" s="3">
        <v>0</v>
      </c>
      <c r="S354" s="3">
        <v>1</v>
      </c>
      <c r="T354" s="3">
        <v>2</v>
      </c>
      <c r="U354" s="3">
        <v>5</v>
      </c>
      <c r="V354" s="3">
        <v>8</v>
      </c>
      <c r="W354" s="3"/>
      <c r="X354" s="3">
        <v>19.38</v>
      </c>
      <c r="Y354" s="3">
        <v>19.38</v>
      </c>
      <c r="Z354" s="3">
        <v>19.38</v>
      </c>
      <c r="AA354" s="3">
        <v>0</v>
      </c>
      <c r="AB354" s="3" t="s">
        <v>343</v>
      </c>
      <c r="AC354" s="3">
        <v>0</v>
      </c>
      <c r="AD354" s="3">
        <v>15.14</v>
      </c>
      <c r="AE354" s="3">
        <v>147</v>
      </c>
      <c r="AF354" s="3">
        <v>0</v>
      </c>
      <c r="AG354" s="3">
        <v>44.730298</v>
      </c>
      <c r="AH354" s="3">
        <v>0.727272727272727</v>
      </c>
      <c r="AI354" s="3" t="s">
        <v>492</v>
      </c>
      <c r="AJ354" s="3" t="s">
        <v>345</v>
      </c>
    </row>
    <row r="355" spans="1:36">
      <c r="A355" s="4">
        <v>43288</v>
      </c>
      <c r="B355" s="3" t="s">
        <v>1599</v>
      </c>
      <c r="C355" s="3" t="s">
        <v>1600</v>
      </c>
      <c r="D355" s="3" t="s">
        <v>1601</v>
      </c>
      <c r="E355" s="3" t="s">
        <v>1602</v>
      </c>
      <c r="F355" s="3" t="s">
        <v>340</v>
      </c>
      <c r="G355" s="3">
        <v>14</v>
      </c>
      <c r="H355" s="3">
        <v>0</v>
      </c>
      <c r="I355" s="3">
        <v>1</v>
      </c>
      <c r="J355" s="3">
        <v>0</v>
      </c>
      <c r="K355" s="3">
        <v>6</v>
      </c>
      <c r="L355" s="3">
        <v>7</v>
      </c>
      <c r="M355" s="3">
        <v>0</v>
      </c>
      <c r="N355" s="3" t="s">
        <v>341</v>
      </c>
      <c r="O355" s="3">
        <v>13</v>
      </c>
      <c r="P355" s="3">
        <v>19.34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1</v>
      </c>
      <c r="W355" s="3"/>
      <c r="X355" s="3"/>
      <c r="Y355" s="3"/>
      <c r="Z355" s="3">
        <v>-1</v>
      </c>
      <c r="AA355" s="3">
        <v>-1</v>
      </c>
      <c r="AB355" s="3" t="s">
        <v>493</v>
      </c>
      <c r="AC355" s="3">
        <v>0</v>
      </c>
      <c r="AD355" s="3">
        <v>0</v>
      </c>
      <c r="AE355" s="3">
        <v>0</v>
      </c>
      <c r="AF355" s="3">
        <v>0</v>
      </c>
      <c r="AG355" s="3">
        <v>0</v>
      </c>
      <c r="AH355" s="3">
        <v>0.0714285714285714</v>
      </c>
      <c r="AI355" s="3" t="s">
        <v>609</v>
      </c>
      <c r="AJ355" s="3" t="s">
        <v>345</v>
      </c>
    </row>
    <row r="356" spans="1:36">
      <c r="A356" s="4">
        <v>43288</v>
      </c>
      <c r="B356" s="3" t="s">
        <v>1603</v>
      </c>
      <c r="C356" s="3" t="s">
        <v>1604</v>
      </c>
      <c r="D356" s="3" t="s">
        <v>1605</v>
      </c>
      <c r="E356" s="3" t="s">
        <v>1606</v>
      </c>
      <c r="F356" s="3" t="s">
        <v>340</v>
      </c>
      <c r="G356" s="3">
        <v>4</v>
      </c>
      <c r="H356" s="3">
        <v>0</v>
      </c>
      <c r="I356" s="3">
        <v>0</v>
      </c>
      <c r="J356" s="3">
        <v>4</v>
      </c>
      <c r="K356" s="3">
        <v>0</v>
      </c>
      <c r="L356" s="3">
        <v>0</v>
      </c>
      <c r="M356" s="3">
        <v>0</v>
      </c>
      <c r="N356" s="3" t="s">
        <v>341</v>
      </c>
      <c r="O356" s="3">
        <v>4</v>
      </c>
      <c r="P356" s="3">
        <v>4.59</v>
      </c>
      <c r="Q356" s="3">
        <v>0</v>
      </c>
      <c r="R356" s="3">
        <v>0</v>
      </c>
      <c r="S356" s="3">
        <v>0</v>
      </c>
      <c r="T356" s="3">
        <v>0</v>
      </c>
      <c r="U356" s="3">
        <v>1</v>
      </c>
      <c r="V356" s="3">
        <v>2</v>
      </c>
      <c r="W356" s="3" t="s">
        <v>342</v>
      </c>
      <c r="X356" s="3">
        <v>17.99</v>
      </c>
      <c r="Y356" s="3">
        <v>17.99</v>
      </c>
      <c r="Z356" s="3">
        <v>17.99</v>
      </c>
      <c r="AA356" s="3">
        <v>0</v>
      </c>
      <c r="AB356" s="3" t="s">
        <v>349</v>
      </c>
      <c r="AC356" s="3">
        <v>0</v>
      </c>
      <c r="AD356" s="3">
        <v>16.13</v>
      </c>
      <c r="AE356" s="3">
        <v>161</v>
      </c>
      <c r="AF356" s="3">
        <v>0</v>
      </c>
      <c r="AG356" s="3">
        <v>77.524221</v>
      </c>
      <c r="AH356" s="3">
        <v>0.421052631578947</v>
      </c>
      <c r="AI356" s="3" t="s">
        <v>469</v>
      </c>
      <c r="AJ356" s="3" t="s">
        <v>345</v>
      </c>
    </row>
    <row r="357" spans="1:36">
      <c r="A357" s="4">
        <v>43288</v>
      </c>
      <c r="B357" s="3" t="s">
        <v>1607</v>
      </c>
      <c r="C357" s="3" t="s">
        <v>1608</v>
      </c>
      <c r="D357" s="3" t="s">
        <v>1609</v>
      </c>
      <c r="E357" s="3" t="s">
        <v>613</v>
      </c>
      <c r="F357" s="3" t="s">
        <v>340</v>
      </c>
      <c r="G357" s="3">
        <v>4</v>
      </c>
      <c r="H357" s="3">
        <v>0</v>
      </c>
      <c r="I357" s="3">
        <v>0</v>
      </c>
      <c r="J357" s="3">
        <v>0</v>
      </c>
      <c r="K357" s="3">
        <v>4</v>
      </c>
      <c r="L357" s="3">
        <v>0</v>
      </c>
      <c r="M357" s="3">
        <v>0</v>
      </c>
      <c r="N357" s="3" t="s">
        <v>341</v>
      </c>
      <c r="O357" s="3">
        <v>4</v>
      </c>
      <c r="P357" s="3">
        <v>3.34</v>
      </c>
      <c r="Q357" s="3">
        <v>0</v>
      </c>
      <c r="R357" s="3">
        <v>0</v>
      </c>
      <c r="S357" s="3">
        <v>0</v>
      </c>
      <c r="T357" s="3">
        <v>0</v>
      </c>
      <c r="U357" s="3">
        <v>1</v>
      </c>
      <c r="V357" s="3">
        <v>1</v>
      </c>
      <c r="W357" s="3" t="s">
        <v>342</v>
      </c>
      <c r="X357" s="3">
        <v>12.99</v>
      </c>
      <c r="Y357" s="3">
        <v>12.99</v>
      </c>
      <c r="Z357" s="3">
        <v>12.99</v>
      </c>
      <c r="AA357" s="3">
        <v>0</v>
      </c>
      <c r="AB357" s="3" t="s">
        <v>349</v>
      </c>
      <c r="AC357" s="3">
        <v>0</v>
      </c>
      <c r="AD357" s="3">
        <v>11.59</v>
      </c>
      <c r="AE357" s="3">
        <v>175</v>
      </c>
      <c r="AF357" s="3">
        <v>0</v>
      </c>
      <c r="AG357" s="3">
        <v>54.663979</v>
      </c>
      <c r="AH357" s="3">
        <v>0.222222222222222</v>
      </c>
      <c r="AI357" s="3" t="s">
        <v>614</v>
      </c>
      <c r="AJ357" s="3" t="s">
        <v>345</v>
      </c>
    </row>
    <row r="358" spans="1:36">
      <c r="A358" s="4">
        <v>43288</v>
      </c>
      <c r="B358" s="3" t="s">
        <v>1610</v>
      </c>
      <c r="C358" s="3" t="s">
        <v>1611</v>
      </c>
      <c r="D358" s="3" t="s">
        <v>1612</v>
      </c>
      <c r="E358" s="3" t="s">
        <v>577</v>
      </c>
      <c r="F358" s="3" t="s">
        <v>340</v>
      </c>
      <c r="G358" s="3">
        <v>1</v>
      </c>
      <c r="H358" s="3">
        <v>0</v>
      </c>
      <c r="I358" s="3">
        <v>0</v>
      </c>
      <c r="J358" s="3">
        <v>1</v>
      </c>
      <c r="K358" s="3">
        <v>0</v>
      </c>
      <c r="L358" s="3">
        <v>0</v>
      </c>
      <c r="M358" s="3">
        <v>0</v>
      </c>
      <c r="N358" s="3" t="s">
        <v>341</v>
      </c>
      <c r="O358" s="3">
        <v>1</v>
      </c>
      <c r="P358" s="3">
        <v>1.17</v>
      </c>
      <c r="Q358" s="3">
        <v>0</v>
      </c>
      <c r="R358" s="3">
        <v>0</v>
      </c>
      <c r="S358" s="3">
        <v>0</v>
      </c>
      <c r="T358" s="3">
        <v>0</v>
      </c>
      <c r="U358" s="3">
        <v>1</v>
      </c>
      <c r="V358" s="3">
        <v>1</v>
      </c>
      <c r="W358" s="3" t="s">
        <v>342</v>
      </c>
      <c r="X358" s="3">
        <v>15.99</v>
      </c>
      <c r="Y358" s="3">
        <v>15.99</v>
      </c>
      <c r="Z358" s="3">
        <v>15.99</v>
      </c>
      <c r="AA358" s="3">
        <v>0</v>
      </c>
      <c r="AB358" s="3" t="s">
        <v>349</v>
      </c>
      <c r="AC358" s="3">
        <v>0</v>
      </c>
      <c r="AD358" s="3">
        <v>14.74</v>
      </c>
      <c r="AE358" s="3">
        <v>35</v>
      </c>
      <c r="AF358" s="3">
        <v>0</v>
      </c>
      <c r="AG358" s="3">
        <v>12.722415</v>
      </c>
      <c r="AH358" s="3">
        <v>0.666666666666666</v>
      </c>
      <c r="AI358" s="3" t="s">
        <v>578</v>
      </c>
      <c r="AJ358" s="3" t="s">
        <v>345</v>
      </c>
    </row>
    <row r="359" spans="1:36">
      <c r="A359" s="4">
        <v>43288</v>
      </c>
      <c r="B359" s="3" t="s">
        <v>96</v>
      </c>
      <c r="C359" s="3" t="s">
        <v>97</v>
      </c>
      <c r="D359" s="3" t="s">
        <v>98</v>
      </c>
      <c r="E359" s="3" t="s">
        <v>99</v>
      </c>
      <c r="F359" s="3" t="s">
        <v>340</v>
      </c>
      <c r="G359" s="3">
        <v>41</v>
      </c>
      <c r="H359" s="3">
        <v>0</v>
      </c>
      <c r="I359" s="3">
        <v>41</v>
      </c>
      <c r="J359" s="3">
        <v>0</v>
      </c>
      <c r="K359" s="3">
        <v>0</v>
      </c>
      <c r="L359" s="3">
        <v>0</v>
      </c>
      <c r="M359" s="3">
        <v>0</v>
      </c>
      <c r="N359" s="3" t="s">
        <v>341</v>
      </c>
      <c r="O359" s="3">
        <v>0</v>
      </c>
      <c r="P359" s="3">
        <v>0</v>
      </c>
      <c r="Q359" s="3">
        <v>0</v>
      </c>
      <c r="R359" s="3">
        <v>0</v>
      </c>
      <c r="S359" s="3">
        <v>11</v>
      </c>
      <c r="T359" s="3">
        <v>55</v>
      </c>
      <c r="U359" s="3">
        <v>113</v>
      </c>
      <c r="V359" s="3">
        <v>158</v>
      </c>
      <c r="W359" s="3"/>
      <c r="X359" s="3">
        <v>18.99</v>
      </c>
      <c r="Y359" s="3">
        <v>18.99</v>
      </c>
      <c r="Z359" s="3">
        <v>18.99</v>
      </c>
      <c r="AA359" s="3">
        <v>0</v>
      </c>
      <c r="AB359" s="3" t="s">
        <v>359</v>
      </c>
      <c r="AC359" s="3">
        <v>46</v>
      </c>
      <c r="AD359" s="3">
        <v>18.99</v>
      </c>
      <c r="AE359" s="3">
        <v>0</v>
      </c>
      <c r="AF359" s="3">
        <v>0</v>
      </c>
      <c r="AG359" s="3">
        <v>0</v>
      </c>
      <c r="AH359" s="3">
        <v>1.66315789473684</v>
      </c>
      <c r="AI359" s="3" t="s">
        <v>1613</v>
      </c>
      <c r="AJ359" s="3" t="s">
        <v>345</v>
      </c>
    </row>
    <row r="360" spans="1:36">
      <c r="A360" s="4">
        <v>43288</v>
      </c>
      <c r="B360" s="3" t="s">
        <v>1614</v>
      </c>
      <c r="C360" s="3" t="s">
        <v>1615</v>
      </c>
      <c r="D360" s="3" t="s">
        <v>1616</v>
      </c>
      <c r="E360" s="3" t="s">
        <v>1617</v>
      </c>
      <c r="F360" s="3" t="s">
        <v>340</v>
      </c>
      <c r="G360" s="3">
        <v>2</v>
      </c>
      <c r="H360" s="3">
        <v>0</v>
      </c>
      <c r="I360" s="3">
        <v>2</v>
      </c>
      <c r="J360" s="3">
        <v>0</v>
      </c>
      <c r="K360" s="3">
        <v>0</v>
      </c>
      <c r="L360" s="3">
        <v>0</v>
      </c>
      <c r="M360" s="3">
        <v>0</v>
      </c>
      <c r="N360" s="3" t="s">
        <v>341</v>
      </c>
      <c r="O360" s="3">
        <v>0</v>
      </c>
      <c r="P360" s="3">
        <v>0</v>
      </c>
      <c r="Q360" s="3">
        <v>0</v>
      </c>
      <c r="R360" s="3">
        <v>0</v>
      </c>
      <c r="S360" s="3">
        <v>1</v>
      </c>
      <c r="T360" s="3">
        <v>12</v>
      </c>
      <c r="U360" s="3">
        <v>32</v>
      </c>
      <c r="V360" s="3">
        <v>45</v>
      </c>
      <c r="W360" s="3"/>
      <c r="X360" s="3"/>
      <c r="Y360" s="3"/>
      <c r="Z360" s="3">
        <v>-1</v>
      </c>
      <c r="AA360" s="3">
        <v>-1</v>
      </c>
      <c r="AB360" s="3" t="s">
        <v>493</v>
      </c>
      <c r="AC360" s="3">
        <v>2</v>
      </c>
      <c r="AD360" s="3">
        <v>9.99</v>
      </c>
      <c r="AE360" s="3">
        <v>0</v>
      </c>
      <c r="AF360" s="3">
        <v>0</v>
      </c>
      <c r="AG360" s="3">
        <v>0</v>
      </c>
      <c r="AH360" s="3">
        <v>1.875</v>
      </c>
      <c r="AI360" s="3" t="s">
        <v>505</v>
      </c>
      <c r="AJ360" s="3" t="s">
        <v>345</v>
      </c>
    </row>
    <row r="361" spans="1:36">
      <c r="A361" s="4">
        <v>43288</v>
      </c>
      <c r="B361" s="3" t="s">
        <v>29</v>
      </c>
      <c r="C361" s="3" t="s">
        <v>30</v>
      </c>
      <c r="D361" s="3" t="s">
        <v>31</v>
      </c>
      <c r="E361" s="3" t="s">
        <v>32</v>
      </c>
      <c r="F361" s="3" t="s">
        <v>340</v>
      </c>
      <c r="G361" s="3">
        <v>3</v>
      </c>
      <c r="H361" s="3">
        <v>0</v>
      </c>
      <c r="I361" s="3">
        <v>3</v>
      </c>
      <c r="J361" s="3">
        <v>0</v>
      </c>
      <c r="K361" s="3">
        <v>0</v>
      </c>
      <c r="L361" s="3">
        <v>0</v>
      </c>
      <c r="M361" s="3">
        <v>0</v>
      </c>
      <c r="N361" s="3" t="s">
        <v>341</v>
      </c>
      <c r="O361" s="3">
        <v>0</v>
      </c>
      <c r="P361" s="3">
        <v>0</v>
      </c>
      <c r="Q361" s="3">
        <v>0</v>
      </c>
      <c r="R361" s="3">
        <v>0</v>
      </c>
      <c r="S361" s="3">
        <v>1</v>
      </c>
      <c r="T361" s="3">
        <v>13</v>
      </c>
      <c r="U361" s="3">
        <v>19</v>
      </c>
      <c r="V361" s="3">
        <v>25</v>
      </c>
      <c r="W361" s="3"/>
      <c r="X361" s="3">
        <v>14.99</v>
      </c>
      <c r="Y361" s="3">
        <v>14.99</v>
      </c>
      <c r="Z361" s="3">
        <v>14.99</v>
      </c>
      <c r="AA361" s="3">
        <v>0</v>
      </c>
      <c r="AB361" s="3" t="s">
        <v>359</v>
      </c>
      <c r="AC361" s="3">
        <v>3</v>
      </c>
      <c r="AD361" s="3">
        <v>14.99</v>
      </c>
      <c r="AE361" s="3">
        <v>0</v>
      </c>
      <c r="AF361" s="3">
        <v>0</v>
      </c>
      <c r="AG361" s="3">
        <v>0</v>
      </c>
      <c r="AH361" s="3">
        <v>5</v>
      </c>
      <c r="AI361" s="3" t="s">
        <v>421</v>
      </c>
      <c r="AJ361" s="3" t="s">
        <v>345</v>
      </c>
    </row>
    <row r="362" spans="1:36">
      <c r="A362" s="4">
        <v>43288</v>
      </c>
      <c r="B362" s="3" t="s">
        <v>1618</v>
      </c>
      <c r="C362" s="3" t="s">
        <v>1619</v>
      </c>
      <c r="D362" s="3" t="s">
        <v>1620</v>
      </c>
      <c r="E362" s="3" t="s">
        <v>1621</v>
      </c>
      <c r="F362" s="3" t="s">
        <v>340</v>
      </c>
      <c r="G362" s="3">
        <v>3</v>
      </c>
      <c r="H362" s="3">
        <v>0</v>
      </c>
      <c r="I362" s="3">
        <v>0</v>
      </c>
      <c r="J362" s="3">
        <v>1</v>
      </c>
      <c r="K362" s="3">
        <v>1</v>
      </c>
      <c r="L362" s="3">
        <v>0</v>
      </c>
      <c r="M362" s="3">
        <v>1</v>
      </c>
      <c r="N362" s="3" t="s">
        <v>341</v>
      </c>
      <c r="O362" s="3">
        <v>1</v>
      </c>
      <c r="P362" s="3">
        <v>1.32</v>
      </c>
      <c r="Q362" s="3">
        <v>1</v>
      </c>
      <c r="R362" s="3">
        <v>2.64</v>
      </c>
      <c r="S362" s="3">
        <v>0</v>
      </c>
      <c r="T362" s="3">
        <v>0</v>
      </c>
      <c r="U362" s="3">
        <v>0</v>
      </c>
      <c r="V362" s="3">
        <v>0</v>
      </c>
      <c r="W362" s="3" t="s">
        <v>342</v>
      </c>
      <c r="X362" s="3">
        <v>26.99</v>
      </c>
      <c r="Y362" s="3">
        <v>26.99</v>
      </c>
      <c r="Z362" s="3">
        <v>26.99</v>
      </c>
      <c r="AA362" s="3">
        <v>0</v>
      </c>
      <c r="AB362" s="3" t="s">
        <v>349</v>
      </c>
      <c r="AC362" s="3">
        <v>0</v>
      </c>
      <c r="AD362" s="3">
        <v>23.31</v>
      </c>
      <c r="AE362" s="3">
        <v>224</v>
      </c>
      <c r="AF362" s="3">
        <v>0</v>
      </c>
      <c r="AG362" s="3">
        <v>74.666284</v>
      </c>
      <c r="AH362" s="3">
        <v>0</v>
      </c>
      <c r="AI362" s="3" t="s">
        <v>1622</v>
      </c>
      <c r="AJ362" s="3" t="s">
        <v>345</v>
      </c>
    </row>
    <row r="363" spans="1:36">
      <c r="A363" s="4">
        <v>43288</v>
      </c>
      <c r="B363" s="3" t="s">
        <v>1623</v>
      </c>
      <c r="C363" s="3" t="s">
        <v>1624</v>
      </c>
      <c r="D363" s="3" t="s">
        <v>1625</v>
      </c>
      <c r="E363" s="3" t="s">
        <v>1029</v>
      </c>
      <c r="F363" s="3" t="s">
        <v>340</v>
      </c>
      <c r="G363" s="3">
        <v>1</v>
      </c>
      <c r="H363" s="3">
        <v>0</v>
      </c>
      <c r="I363" s="3">
        <v>0</v>
      </c>
      <c r="J363" s="3">
        <v>0</v>
      </c>
      <c r="K363" s="3">
        <v>0</v>
      </c>
      <c r="L363" s="3">
        <v>1</v>
      </c>
      <c r="M363" s="3">
        <v>0</v>
      </c>
      <c r="N363" s="3" t="s">
        <v>341</v>
      </c>
      <c r="O363" s="3">
        <v>0</v>
      </c>
      <c r="P363" s="3">
        <v>0</v>
      </c>
      <c r="Q363" s="3">
        <v>1</v>
      </c>
      <c r="R363" s="3">
        <v>3.64</v>
      </c>
      <c r="S363" s="3">
        <v>0</v>
      </c>
      <c r="T363" s="3">
        <v>0</v>
      </c>
      <c r="U363" s="3">
        <v>0</v>
      </c>
      <c r="V363" s="3">
        <v>0</v>
      </c>
      <c r="W363" s="3" t="s">
        <v>342</v>
      </c>
      <c r="X363" s="3">
        <v>15.88</v>
      </c>
      <c r="Y363" s="3">
        <v>15.88</v>
      </c>
      <c r="Z363" s="3">
        <v>15.88</v>
      </c>
      <c r="AA363" s="3">
        <v>0</v>
      </c>
      <c r="AB363" s="3" t="s">
        <v>359</v>
      </c>
      <c r="AC363" s="3">
        <v>1</v>
      </c>
      <c r="AD363" s="3">
        <v>15.88</v>
      </c>
      <c r="AE363" s="3">
        <v>0</v>
      </c>
      <c r="AF363" s="3">
        <v>0</v>
      </c>
      <c r="AG363" s="3">
        <v>0</v>
      </c>
      <c r="AH363" s="3">
        <v>0</v>
      </c>
      <c r="AI363" s="3" t="s">
        <v>1626</v>
      </c>
      <c r="AJ363" s="3" t="s">
        <v>345</v>
      </c>
    </row>
    <row r="364" spans="1:36">
      <c r="A364" s="4">
        <v>43288</v>
      </c>
      <c r="B364" s="3" t="s">
        <v>1627</v>
      </c>
      <c r="C364" s="3" t="s">
        <v>1628</v>
      </c>
      <c r="D364" s="3" t="s">
        <v>1629</v>
      </c>
      <c r="E364" s="3" t="s">
        <v>1258</v>
      </c>
      <c r="F364" s="3" t="s">
        <v>340</v>
      </c>
      <c r="G364" s="3">
        <v>1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  <c r="M364" s="3">
        <v>1</v>
      </c>
      <c r="N364" s="3" t="s">
        <v>341</v>
      </c>
      <c r="O364" s="3">
        <v>0</v>
      </c>
      <c r="P364" s="3">
        <v>0</v>
      </c>
      <c r="Q364" s="3">
        <v>1</v>
      </c>
      <c r="R364" s="3">
        <v>0.5</v>
      </c>
      <c r="S364" s="3">
        <v>0</v>
      </c>
      <c r="T364" s="3">
        <v>0</v>
      </c>
      <c r="U364" s="3">
        <v>0</v>
      </c>
      <c r="V364" s="3">
        <v>0</v>
      </c>
      <c r="W364" s="3" t="s">
        <v>342</v>
      </c>
      <c r="X364" s="3">
        <v>19.9</v>
      </c>
      <c r="Y364" s="3">
        <v>19.9</v>
      </c>
      <c r="Z364" s="3">
        <v>19.9</v>
      </c>
      <c r="AA364" s="3">
        <v>0</v>
      </c>
      <c r="AB364" s="3" t="s">
        <v>343</v>
      </c>
      <c r="AC364" s="3">
        <v>0</v>
      </c>
      <c r="AD364" s="3">
        <v>15.92</v>
      </c>
      <c r="AE364" s="3">
        <v>63</v>
      </c>
      <c r="AF364" s="3">
        <v>0</v>
      </c>
      <c r="AG364" s="3">
        <v>0.542723</v>
      </c>
      <c r="AH364" s="3">
        <v>0</v>
      </c>
      <c r="AI364" s="3" t="s">
        <v>344</v>
      </c>
      <c r="AJ364" s="3" t="s">
        <v>345</v>
      </c>
    </row>
    <row r="365" spans="1:36">
      <c r="A365" s="4">
        <v>43288</v>
      </c>
      <c r="B365" s="3" t="s">
        <v>1630</v>
      </c>
      <c r="C365" s="3" t="s">
        <v>1631</v>
      </c>
      <c r="D365" s="3" t="s">
        <v>1632</v>
      </c>
      <c r="E365" s="3" t="s">
        <v>1633</v>
      </c>
      <c r="F365" s="3" t="s">
        <v>340</v>
      </c>
      <c r="G365" s="3">
        <v>7</v>
      </c>
      <c r="H365" s="3">
        <v>0</v>
      </c>
      <c r="I365" s="3">
        <v>7</v>
      </c>
      <c r="J365" s="3">
        <v>0</v>
      </c>
      <c r="K365" s="3">
        <v>0</v>
      </c>
      <c r="L365" s="3">
        <v>0</v>
      </c>
      <c r="M365" s="3">
        <v>0</v>
      </c>
      <c r="N365" s="3" t="s">
        <v>341</v>
      </c>
      <c r="O365" s="3">
        <v>0</v>
      </c>
      <c r="P365" s="3">
        <v>0</v>
      </c>
      <c r="Q365" s="3">
        <v>0</v>
      </c>
      <c r="R365" s="3">
        <v>0</v>
      </c>
      <c r="S365" s="3">
        <v>1</v>
      </c>
      <c r="T365" s="3">
        <v>10</v>
      </c>
      <c r="U365" s="3">
        <v>25</v>
      </c>
      <c r="V365" s="3">
        <v>38</v>
      </c>
      <c r="W365" s="3"/>
      <c r="X365" s="3">
        <v>18.99</v>
      </c>
      <c r="Y365" s="3">
        <v>18.99</v>
      </c>
      <c r="Z365" s="3">
        <v>18.99</v>
      </c>
      <c r="AA365" s="3">
        <v>0</v>
      </c>
      <c r="AB365" s="3" t="s">
        <v>359</v>
      </c>
      <c r="AC365" s="3">
        <v>10</v>
      </c>
      <c r="AD365" s="3">
        <v>18.99</v>
      </c>
      <c r="AE365" s="3">
        <v>0</v>
      </c>
      <c r="AF365" s="3">
        <v>0</v>
      </c>
      <c r="AG365" s="3">
        <v>0</v>
      </c>
      <c r="AH365" s="3">
        <v>2.86792452830188</v>
      </c>
      <c r="AI365" s="3" t="s">
        <v>1634</v>
      </c>
      <c r="AJ365" s="3" t="s">
        <v>345</v>
      </c>
    </row>
    <row r="366" spans="1:36">
      <c r="A366" s="4">
        <v>43288</v>
      </c>
      <c r="B366" s="3" t="s">
        <v>1635</v>
      </c>
      <c r="C366" s="3" t="s">
        <v>1636</v>
      </c>
      <c r="D366" s="3" t="s">
        <v>1637</v>
      </c>
      <c r="E366" s="3" t="s">
        <v>516</v>
      </c>
      <c r="F366" s="3" t="s">
        <v>340</v>
      </c>
      <c r="G366" s="3">
        <v>2</v>
      </c>
      <c r="H366" s="3">
        <v>0</v>
      </c>
      <c r="I366" s="3">
        <v>0</v>
      </c>
      <c r="J366" s="3">
        <v>0</v>
      </c>
      <c r="K366" s="3">
        <v>0</v>
      </c>
      <c r="L366" s="3">
        <v>2</v>
      </c>
      <c r="M366" s="3">
        <v>0</v>
      </c>
      <c r="N366" s="3" t="s">
        <v>341</v>
      </c>
      <c r="O366" s="3">
        <v>0</v>
      </c>
      <c r="P366" s="3">
        <v>0</v>
      </c>
      <c r="Q366" s="3">
        <v>2</v>
      </c>
      <c r="R366" s="3">
        <v>3.56</v>
      </c>
      <c r="S366" s="3">
        <v>0</v>
      </c>
      <c r="T366" s="3">
        <v>0</v>
      </c>
      <c r="U366" s="3">
        <v>0</v>
      </c>
      <c r="V366" s="3">
        <v>0</v>
      </c>
      <c r="W366" s="3" t="s">
        <v>342</v>
      </c>
      <c r="X366" s="3">
        <v>17.99</v>
      </c>
      <c r="Y366" s="3">
        <v>17.99</v>
      </c>
      <c r="Z366" s="3">
        <v>17.99</v>
      </c>
      <c r="AA366" s="3">
        <v>0</v>
      </c>
      <c r="AB366" s="3" t="s">
        <v>349</v>
      </c>
      <c r="AC366" s="3">
        <v>0</v>
      </c>
      <c r="AD366" s="3">
        <v>15.7</v>
      </c>
      <c r="AE366" s="3">
        <v>217</v>
      </c>
      <c r="AF366" s="3">
        <v>0</v>
      </c>
      <c r="AG366" s="3">
        <v>34.262639</v>
      </c>
      <c r="AH366" s="3">
        <v>0</v>
      </c>
      <c r="AI366" s="3" t="s">
        <v>517</v>
      </c>
      <c r="AJ366" s="3" t="s">
        <v>345</v>
      </c>
    </row>
    <row r="367" spans="1:36">
      <c r="A367" s="4">
        <v>43288</v>
      </c>
      <c r="B367" s="3" t="s">
        <v>1638</v>
      </c>
      <c r="C367" s="3" t="s">
        <v>1639</v>
      </c>
      <c r="D367" s="3" t="s">
        <v>1640</v>
      </c>
      <c r="E367" s="3" t="s">
        <v>577</v>
      </c>
      <c r="F367" s="3" t="s">
        <v>340</v>
      </c>
      <c r="G367" s="3">
        <v>1</v>
      </c>
      <c r="H367" s="3">
        <v>0</v>
      </c>
      <c r="I367" s="3">
        <v>1</v>
      </c>
      <c r="J367" s="3">
        <v>0</v>
      </c>
      <c r="K367" s="3">
        <v>0</v>
      </c>
      <c r="L367" s="3">
        <v>0</v>
      </c>
      <c r="M367" s="3">
        <v>0</v>
      </c>
      <c r="N367" s="3" t="s">
        <v>341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1</v>
      </c>
      <c r="V367" s="3">
        <v>2</v>
      </c>
      <c r="W367" s="3" t="s">
        <v>342</v>
      </c>
      <c r="X367" s="3">
        <v>15.99</v>
      </c>
      <c r="Y367" s="3">
        <v>15.99</v>
      </c>
      <c r="Z367" s="3">
        <v>15.99</v>
      </c>
      <c r="AA367" s="3">
        <v>0</v>
      </c>
      <c r="AB367" s="3" t="s">
        <v>349</v>
      </c>
      <c r="AC367" s="3">
        <v>0</v>
      </c>
      <c r="AD367" s="3">
        <v>15.11</v>
      </c>
      <c r="AE367" s="3">
        <v>28</v>
      </c>
      <c r="AF367" s="3">
        <v>0</v>
      </c>
      <c r="AG367" s="3">
        <v>17.461816</v>
      </c>
      <c r="AH367" s="3">
        <v>1.6</v>
      </c>
      <c r="AI367" s="3" t="s">
        <v>578</v>
      </c>
      <c r="AJ367" s="3" t="s">
        <v>345</v>
      </c>
    </row>
    <row r="368" spans="1:36">
      <c r="A368" s="4">
        <v>43288</v>
      </c>
      <c r="B368" s="3" t="s">
        <v>1641</v>
      </c>
      <c r="C368" s="3" t="s">
        <v>1642</v>
      </c>
      <c r="D368" s="3" t="s">
        <v>1643</v>
      </c>
      <c r="E368" s="3" t="s">
        <v>1644</v>
      </c>
      <c r="F368" s="3" t="s">
        <v>340</v>
      </c>
      <c r="G368" s="3">
        <v>6</v>
      </c>
      <c r="H368" s="3">
        <v>0</v>
      </c>
      <c r="I368" s="3">
        <v>0</v>
      </c>
      <c r="J368" s="3">
        <v>6</v>
      </c>
      <c r="K368" s="3">
        <v>0</v>
      </c>
      <c r="L368" s="3">
        <v>0</v>
      </c>
      <c r="M368" s="3">
        <v>0</v>
      </c>
      <c r="N368" s="3" t="s">
        <v>341</v>
      </c>
      <c r="O368" s="3">
        <v>6</v>
      </c>
      <c r="P368" s="3">
        <v>7.47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 t="s">
        <v>342</v>
      </c>
      <c r="X368" s="3">
        <v>15.99</v>
      </c>
      <c r="Y368" s="3">
        <v>15.99</v>
      </c>
      <c r="Z368" s="3">
        <v>15.99</v>
      </c>
      <c r="AA368" s="3">
        <v>0</v>
      </c>
      <c r="AB368" s="3" t="s">
        <v>349</v>
      </c>
      <c r="AC368" s="3">
        <v>0</v>
      </c>
      <c r="AD368" s="3">
        <v>12.83</v>
      </c>
      <c r="AE368" s="3">
        <v>231</v>
      </c>
      <c r="AF368" s="3">
        <v>0</v>
      </c>
      <c r="AG368" s="3">
        <v>113.758568</v>
      </c>
      <c r="AH368" s="3">
        <v>0</v>
      </c>
      <c r="AI368" s="3" t="s">
        <v>714</v>
      </c>
      <c r="AJ368" s="3" t="s">
        <v>345</v>
      </c>
    </row>
    <row r="369" spans="1:36">
      <c r="A369" s="4">
        <v>43288</v>
      </c>
      <c r="B369" s="3" t="s">
        <v>1645</v>
      </c>
      <c r="C369" s="3" t="s">
        <v>1646</v>
      </c>
      <c r="D369" s="3" t="s">
        <v>1647</v>
      </c>
      <c r="E369" s="3" t="s">
        <v>339</v>
      </c>
      <c r="F369" s="3" t="s">
        <v>340</v>
      </c>
      <c r="G369" s="3">
        <v>2</v>
      </c>
      <c r="H369" s="3">
        <v>0</v>
      </c>
      <c r="I369" s="3">
        <v>0</v>
      </c>
      <c r="J369" s="3">
        <v>0</v>
      </c>
      <c r="K369" s="3">
        <v>0</v>
      </c>
      <c r="L369" s="3">
        <v>0</v>
      </c>
      <c r="M369" s="3">
        <v>2</v>
      </c>
      <c r="N369" s="3" t="s">
        <v>341</v>
      </c>
      <c r="O369" s="3">
        <v>0</v>
      </c>
      <c r="P369" s="3">
        <v>0</v>
      </c>
      <c r="Q369" s="3">
        <v>2</v>
      </c>
      <c r="R369" s="3">
        <v>1</v>
      </c>
      <c r="S369" s="3">
        <v>0</v>
      </c>
      <c r="T369" s="3">
        <v>0</v>
      </c>
      <c r="U369" s="3">
        <v>0</v>
      </c>
      <c r="V369" s="3">
        <v>0</v>
      </c>
      <c r="W369" s="3" t="s">
        <v>342</v>
      </c>
      <c r="X369" s="3">
        <v>19.9</v>
      </c>
      <c r="Y369" s="3">
        <v>19.9</v>
      </c>
      <c r="Z369" s="3">
        <v>16.42</v>
      </c>
      <c r="AA369" s="3">
        <v>0</v>
      </c>
      <c r="AB369" s="3" t="s">
        <v>359</v>
      </c>
      <c r="AC369" s="3">
        <v>2</v>
      </c>
      <c r="AD369" s="3">
        <v>19.9</v>
      </c>
      <c r="AE369" s="3">
        <v>0</v>
      </c>
      <c r="AF369" s="3">
        <v>0</v>
      </c>
      <c r="AG369" s="3">
        <v>0</v>
      </c>
      <c r="AH369" s="3">
        <v>0</v>
      </c>
      <c r="AI369" s="3" t="s">
        <v>344</v>
      </c>
      <c r="AJ369" s="3" t="s">
        <v>345</v>
      </c>
    </row>
    <row r="370" spans="1:36">
      <c r="A370" s="4">
        <v>43288</v>
      </c>
      <c r="B370" s="3" t="s">
        <v>1648</v>
      </c>
      <c r="C370" s="3" t="s">
        <v>1649</v>
      </c>
      <c r="D370" s="3" t="s">
        <v>1650</v>
      </c>
      <c r="E370" s="3" t="s">
        <v>490</v>
      </c>
      <c r="F370" s="3" t="s">
        <v>340</v>
      </c>
      <c r="G370" s="3">
        <v>2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  <c r="M370" s="3">
        <v>2</v>
      </c>
      <c r="N370" s="3" t="s">
        <v>341</v>
      </c>
      <c r="O370" s="3">
        <v>0</v>
      </c>
      <c r="P370" s="3">
        <v>0</v>
      </c>
      <c r="Q370" s="3">
        <v>2</v>
      </c>
      <c r="R370" s="3">
        <v>2.5</v>
      </c>
      <c r="S370" s="3">
        <v>0</v>
      </c>
      <c r="T370" s="3">
        <v>0</v>
      </c>
      <c r="U370" s="3">
        <v>0</v>
      </c>
      <c r="V370" s="3">
        <v>0</v>
      </c>
      <c r="W370" s="3" t="s">
        <v>342</v>
      </c>
      <c r="X370" s="3">
        <v>16.99</v>
      </c>
      <c r="Y370" s="3">
        <v>16.99</v>
      </c>
      <c r="Z370" s="3">
        <v>16.99</v>
      </c>
      <c r="AA370" s="3">
        <v>0</v>
      </c>
      <c r="AB370" s="3" t="s">
        <v>343</v>
      </c>
      <c r="AC370" s="3">
        <v>0</v>
      </c>
      <c r="AD370" s="3">
        <v>13.59</v>
      </c>
      <c r="AE370" s="3">
        <v>63</v>
      </c>
      <c r="AF370" s="3">
        <v>0</v>
      </c>
      <c r="AG370" s="3">
        <v>16.542668</v>
      </c>
      <c r="AH370" s="3">
        <v>0</v>
      </c>
      <c r="AI370" s="3" t="s">
        <v>491</v>
      </c>
      <c r="AJ370" s="3" t="s">
        <v>345</v>
      </c>
    </row>
    <row r="371" spans="1:36">
      <c r="A371" s="4">
        <v>43288</v>
      </c>
      <c r="B371" s="3" t="s">
        <v>193</v>
      </c>
      <c r="C371" s="3" t="s">
        <v>194</v>
      </c>
      <c r="D371" s="3" t="s">
        <v>195</v>
      </c>
      <c r="E371" s="3" t="s">
        <v>196</v>
      </c>
      <c r="F371" s="3" t="s">
        <v>340</v>
      </c>
      <c r="G371" s="3">
        <v>7</v>
      </c>
      <c r="H371" s="3">
        <v>0</v>
      </c>
      <c r="I371" s="3">
        <v>7</v>
      </c>
      <c r="J371" s="3">
        <v>0</v>
      </c>
      <c r="K371" s="3">
        <v>0</v>
      </c>
      <c r="L371" s="3">
        <v>0</v>
      </c>
      <c r="M371" s="3">
        <v>0</v>
      </c>
      <c r="N371" s="3" t="s">
        <v>341</v>
      </c>
      <c r="O371" s="3">
        <v>0</v>
      </c>
      <c r="P371" s="3">
        <v>0</v>
      </c>
      <c r="Q371" s="3">
        <v>0</v>
      </c>
      <c r="R371" s="3">
        <v>0</v>
      </c>
      <c r="S371" s="3">
        <v>6</v>
      </c>
      <c r="T371" s="3">
        <v>31</v>
      </c>
      <c r="U371" s="3">
        <v>43</v>
      </c>
      <c r="V371" s="3">
        <v>55</v>
      </c>
      <c r="W371" s="3"/>
      <c r="X371" s="3">
        <v>29.99</v>
      </c>
      <c r="Y371" s="3">
        <v>19.99</v>
      </c>
      <c r="Z371" s="3">
        <v>19.99</v>
      </c>
      <c r="AA371" s="3">
        <v>0</v>
      </c>
      <c r="AB371" s="3" t="s">
        <v>359</v>
      </c>
      <c r="AC371" s="3">
        <v>11</v>
      </c>
      <c r="AD371" s="3">
        <v>19.99</v>
      </c>
      <c r="AE371" s="3">
        <v>0</v>
      </c>
      <c r="AF371" s="3">
        <v>0</v>
      </c>
      <c r="AG371" s="3">
        <v>0</v>
      </c>
      <c r="AH371" s="3">
        <v>5.94594594594594</v>
      </c>
      <c r="AI371" s="3" t="s">
        <v>492</v>
      </c>
      <c r="AJ371" s="3" t="s">
        <v>345</v>
      </c>
    </row>
    <row r="372" spans="1:36">
      <c r="A372" s="4">
        <v>43288</v>
      </c>
      <c r="B372" s="3" t="s">
        <v>1651</v>
      </c>
      <c r="C372" s="3" t="s">
        <v>1652</v>
      </c>
      <c r="D372" s="3" t="s">
        <v>1653</v>
      </c>
      <c r="E372" s="3" t="s">
        <v>295</v>
      </c>
      <c r="F372" s="3" t="s">
        <v>340</v>
      </c>
      <c r="G372" s="3">
        <v>1</v>
      </c>
      <c r="H372" s="3">
        <v>0</v>
      </c>
      <c r="I372" s="3">
        <v>1</v>
      </c>
      <c r="J372" s="3">
        <v>0</v>
      </c>
      <c r="K372" s="3">
        <v>0</v>
      </c>
      <c r="L372" s="3">
        <v>0</v>
      </c>
      <c r="M372" s="3">
        <v>0</v>
      </c>
      <c r="N372" s="3" t="s">
        <v>341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3</v>
      </c>
      <c r="U372" s="3">
        <v>15</v>
      </c>
      <c r="V372" s="3">
        <v>29</v>
      </c>
      <c r="W372" s="3"/>
      <c r="X372" s="3">
        <v>39.99</v>
      </c>
      <c r="Y372" s="3">
        <v>19.99</v>
      </c>
      <c r="Z372" s="3">
        <v>19.99</v>
      </c>
      <c r="AA372" s="3">
        <v>0</v>
      </c>
      <c r="AB372" s="3" t="s">
        <v>359</v>
      </c>
      <c r="AC372" s="3">
        <v>0</v>
      </c>
      <c r="AD372" s="3">
        <v>0</v>
      </c>
      <c r="AE372" s="3">
        <v>0</v>
      </c>
      <c r="AF372" s="3">
        <v>0</v>
      </c>
      <c r="AG372" s="3">
        <v>0</v>
      </c>
      <c r="AH372" s="3">
        <v>14.5</v>
      </c>
      <c r="AI372" s="3" t="s">
        <v>1422</v>
      </c>
      <c r="AJ372" s="3" t="s">
        <v>345</v>
      </c>
    </row>
    <row r="373" spans="1:36">
      <c r="A373" s="4">
        <v>43288</v>
      </c>
      <c r="B373" s="3" t="s">
        <v>1654</v>
      </c>
      <c r="C373" s="3" t="s">
        <v>1655</v>
      </c>
      <c r="D373" s="3" t="s">
        <v>1656</v>
      </c>
      <c r="E373" s="3" t="s">
        <v>1657</v>
      </c>
      <c r="F373" s="3" t="s">
        <v>340</v>
      </c>
      <c r="G373" s="3">
        <v>1</v>
      </c>
      <c r="H373" s="3">
        <v>0</v>
      </c>
      <c r="I373" s="3">
        <v>0</v>
      </c>
      <c r="J373" s="3">
        <v>0</v>
      </c>
      <c r="K373" s="3">
        <v>0</v>
      </c>
      <c r="L373" s="3">
        <v>1</v>
      </c>
      <c r="M373" s="3">
        <v>0</v>
      </c>
      <c r="N373" s="3" t="s">
        <v>341</v>
      </c>
      <c r="O373" s="3">
        <v>0</v>
      </c>
      <c r="P373" s="3">
        <v>0</v>
      </c>
      <c r="Q373" s="3">
        <v>1</v>
      </c>
      <c r="R373" s="3">
        <v>1.78</v>
      </c>
      <c r="S373" s="3">
        <v>0</v>
      </c>
      <c r="T373" s="3">
        <v>0</v>
      </c>
      <c r="U373" s="3">
        <v>0</v>
      </c>
      <c r="V373" s="3">
        <v>0</v>
      </c>
      <c r="W373" s="3" t="s">
        <v>342</v>
      </c>
      <c r="X373" s="3">
        <v>17.99</v>
      </c>
      <c r="Y373" s="3">
        <v>17.99</v>
      </c>
      <c r="Z373" s="3">
        <v>17.99</v>
      </c>
      <c r="AA373" s="3">
        <v>0</v>
      </c>
      <c r="AB373" s="3" t="s">
        <v>349</v>
      </c>
      <c r="AC373" s="3">
        <v>0</v>
      </c>
      <c r="AD373" s="3">
        <v>16.12</v>
      </c>
      <c r="AE373" s="3">
        <v>42</v>
      </c>
      <c r="AF373" s="3">
        <v>0</v>
      </c>
      <c r="AG373" s="3">
        <v>18.927487</v>
      </c>
      <c r="AH373" s="3">
        <v>0</v>
      </c>
      <c r="AI373" s="3" t="s">
        <v>517</v>
      </c>
      <c r="AJ373" s="3" t="s">
        <v>345</v>
      </c>
    </row>
    <row r="374" spans="1:36">
      <c r="A374" s="4">
        <v>43288</v>
      </c>
      <c r="B374" s="3" t="s">
        <v>33</v>
      </c>
      <c r="C374" s="3" t="s">
        <v>34</v>
      </c>
      <c r="D374" s="3" t="s">
        <v>35</v>
      </c>
      <c r="E374" s="3" t="s">
        <v>22</v>
      </c>
      <c r="F374" s="3" t="s">
        <v>340</v>
      </c>
      <c r="G374" s="3">
        <v>3</v>
      </c>
      <c r="H374" s="3">
        <v>0</v>
      </c>
      <c r="I374" s="3">
        <v>3</v>
      </c>
      <c r="J374" s="3">
        <v>0</v>
      </c>
      <c r="K374" s="3">
        <v>0</v>
      </c>
      <c r="L374" s="3">
        <v>0</v>
      </c>
      <c r="M374" s="3">
        <v>0</v>
      </c>
      <c r="N374" s="3" t="s">
        <v>341</v>
      </c>
      <c r="O374" s="3">
        <v>0</v>
      </c>
      <c r="P374" s="3">
        <v>0</v>
      </c>
      <c r="Q374" s="3">
        <v>0</v>
      </c>
      <c r="R374" s="3">
        <v>0</v>
      </c>
      <c r="S374" s="3">
        <v>1</v>
      </c>
      <c r="T374" s="3">
        <v>22</v>
      </c>
      <c r="U374" s="3">
        <v>33</v>
      </c>
      <c r="V374" s="3">
        <v>43</v>
      </c>
      <c r="W374" s="3"/>
      <c r="X374" s="3">
        <v>35</v>
      </c>
      <c r="Y374" s="3">
        <v>15.99</v>
      </c>
      <c r="Z374" s="3">
        <v>15.99</v>
      </c>
      <c r="AA374" s="3">
        <v>0</v>
      </c>
      <c r="AB374" s="3" t="s">
        <v>359</v>
      </c>
      <c r="AC374" s="3">
        <v>0</v>
      </c>
      <c r="AD374" s="3">
        <v>0</v>
      </c>
      <c r="AE374" s="3">
        <v>0</v>
      </c>
      <c r="AF374" s="3">
        <v>0</v>
      </c>
      <c r="AG374" s="3">
        <v>0</v>
      </c>
      <c r="AH374" s="3">
        <v>9.05263157894736</v>
      </c>
      <c r="AI374" s="3" t="s">
        <v>421</v>
      </c>
      <c r="AJ374" s="3" t="s">
        <v>345</v>
      </c>
    </row>
    <row r="375" spans="1:36">
      <c r="A375" s="4">
        <v>43288</v>
      </c>
      <c r="B375" s="3" t="s">
        <v>1658</v>
      </c>
      <c r="C375" s="3" t="s">
        <v>1659</v>
      </c>
      <c r="D375" s="3" t="s">
        <v>1660</v>
      </c>
      <c r="E375" s="3" t="s">
        <v>1235</v>
      </c>
      <c r="F375" s="3" t="s">
        <v>340</v>
      </c>
      <c r="G375" s="3">
        <v>10</v>
      </c>
      <c r="H375" s="3">
        <v>0</v>
      </c>
      <c r="I375" s="3">
        <v>0</v>
      </c>
      <c r="J375" s="3">
        <v>10</v>
      </c>
      <c r="K375" s="3">
        <v>0</v>
      </c>
      <c r="L375" s="3">
        <v>0</v>
      </c>
      <c r="M375" s="3">
        <v>0</v>
      </c>
      <c r="N375" s="3" t="s">
        <v>341</v>
      </c>
      <c r="O375" s="3">
        <v>6</v>
      </c>
      <c r="P375" s="3">
        <v>7.08</v>
      </c>
      <c r="Q375" s="3">
        <v>0</v>
      </c>
      <c r="R375" s="3">
        <v>0</v>
      </c>
      <c r="S375" s="3">
        <v>0</v>
      </c>
      <c r="T375" s="3">
        <v>0</v>
      </c>
      <c r="U375" s="3">
        <v>1</v>
      </c>
      <c r="V375" s="3">
        <v>1</v>
      </c>
      <c r="W375" s="3" t="s">
        <v>381</v>
      </c>
      <c r="X375" s="3">
        <v>16.99</v>
      </c>
      <c r="Y375" s="3">
        <v>16.99</v>
      </c>
      <c r="Z375" s="3">
        <v>16.99</v>
      </c>
      <c r="AA375" s="3">
        <v>0</v>
      </c>
      <c r="AB375" s="3" t="s">
        <v>343</v>
      </c>
      <c r="AC375" s="3">
        <v>5</v>
      </c>
      <c r="AD375" s="3">
        <v>14.93</v>
      </c>
      <c r="AE375" s="3">
        <v>35</v>
      </c>
      <c r="AF375" s="3">
        <v>0</v>
      </c>
      <c r="AG375" s="3">
        <v>2.681257</v>
      </c>
      <c r="AH375" s="3">
        <v>0.0909090909090909</v>
      </c>
      <c r="AI375" s="3" t="s">
        <v>1661</v>
      </c>
      <c r="AJ375" s="3" t="s">
        <v>345</v>
      </c>
    </row>
    <row r="376" spans="1:36">
      <c r="A376" s="4">
        <v>43288</v>
      </c>
      <c r="B376" s="3" t="s">
        <v>1662</v>
      </c>
      <c r="C376" s="3" t="s">
        <v>1663</v>
      </c>
      <c r="D376" s="3" t="s">
        <v>1664</v>
      </c>
      <c r="E376" s="3" t="s">
        <v>1665</v>
      </c>
      <c r="F376" s="3" t="s">
        <v>340</v>
      </c>
      <c r="G376" s="3">
        <v>5</v>
      </c>
      <c r="H376" s="3">
        <v>0</v>
      </c>
      <c r="I376" s="3">
        <v>0</v>
      </c>
      <c r="J376" s="3">
        <v>0</v>
      </c>
      <c r="K376" s="3">
        <v>5</v>
      </c>
      <c r="L376" s="3">
        <v>0</v>
      </c>
      <c r="M376" s="3">
        <v>0</v>
      </c>
      <c r="N376" s="3" t="s">
        <v>341</v>
      </c>
      <c r="O376" s="3">
        <v>5</v>
      </c>
      <c r="P376" s="3">
        <v>9.85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 t="s">
        <v>342</v>
      </c>
      <c r="X376" s="3">
        <v>22.99</v>
      </c>
      <c r="Y376" s="3">
        <v>22.99</v>
      </c>
      <c r="Z376" s="3">
        <v>22.99</v>
      </c>
      <c r="AA376" s="3">
        <v>0</v>
      </c>
      <c r="AB376" s="3" t="s">
        <v>343</v>
      </c>
      <c r="AC376" s="3">
        <v>0</v>
      </c>
      <c r="AD376" s="3">
        <v>18.39</v>
      </c>
      <c r="AE376" s="3">
        <v>63</v>
      </c>
      <c r="AF376" s="3">
        <v>0</v>
      </c>
      <c r="AG376" s="3">
        <v>122.395257</v>
      </c>
      <c r="AH376" s="3">
        <v>0</v>
      </c>
      <c r="AI376" s="3" t="s">
        <v>987</v>
      </c>
      <c r="AJ376" s="3" t="s">
        <v>345</v>
      </c>
    </row>
    <row r="377" spans="1:36">
      <c r="A377" s="4">
        <v>43288</v>
      </c>
      <c r="B377" s="3" t="s">
        <v>47</v>
      </c>
      <c r="C377" s="3" t="s">
        <v>48</v>
      </c>
      <c r="D377" s="3" t="s">
        <v>49</v>
      </c>
      <c r="E377" s="3" t="s">
        <v>46</v>
      </c>
      <c r="F377" s="3" t="s">
        <v>340</v>
      </c>
      <c r="G377" s="3">
        <v>1</v>
      </c>
      <c r="H377" s="3">
        <v>0</v>
      </c>
      <c r="I377" s="3">
        <v>0</v>
      </c>
      <c r="J377" s="3">
        <v>1</v>
      </c>
      <c r="K377" s="3">
        <v>0</v>
      </c>
      <c r="L377" s="3">
        <v>0</v>
      </c>
      <c r="M377" s="3">
        <v>0</v>
      </c>
      <c r="N377" s="3" t="s">
        <v>341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1</v>
      </c>
      <c r="U377" s="3">
        <v>1</v>
      </c>
      <c r="V377" s="3">
        <v>1</v>
      </c>
      <c r="W377" s="3" t="s">
        <v>342</v>
      </c>
      <c r="X377" s="3">
        <v>17.88</v>
      </c>
      <c r="Y377" s="3">
        <v>17.88</v>
      </c>
      <c r="Z377" s="3">
        <v>17.88</v>
      </c>
      <c r="AA377" s="3">
        <v>0</v>
      </c>
      <c r="AB377" s="3" t="s">
        <v>349</v>
      </c>
      <c r="AC377" s="3">
        <v>1</v>
      </c>
      <c r="AD377" s="3">
        <v>17.88</v>
      </c>
      <c r="AE377" s="3">
        <v>0</v>
      </c>
      <c r="AF377" s="3">
        <v>0</v>
      </c>
      <c r="AG377" s="3">
        <v>0</v>
      </c>
      <c r="AH377" s="3">
        <v>0.571428571428571</v>
      </c>
      <c r="AI377" s="3" t="s">
        <v>1203</v>
      </c>
      <c r="AJ377" s="3" t="s">
        <v>345</v>
      </c>
    </row>
    <row r="378" spans="1:36">
      <c r="A378" s="4">
        <v>43288</v>
      </c>
      <c r="B378" s="3" t="s">
        <v>1666</v>
      </c>
      <c r="C378" s="3" t="s">
        <v>1667</v>
      </c>
      <c r="D378" s="3" t="s">
        <v>1668</v>
      </c>
      <c r="E378" s="3" t="s">
        <v>1669</v>
      </c>
      <c r="F378" s="3" t="s">
        <v>340</v>
      </c>
      <c r="G378" s="3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 t="s">
        <v>341</v>
      </c>
      <c r="O378" s="3">
        <v>1</v>
      </c>
      <c r="P378" s="3">
        <v>1.24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 t="s">
        <v>342</v>
      </c>
      <c r="X378" s="3">
        <v>15.99</v>
      </c>
      <c r="Y378" s="3">
        <v>15.99</v>
      </c>
      <c r="Z378" s="3">
        <v>15.99</v>
      </c>
      <c r="AA378" s="3">
        <v>0</v>
      </c>
      <c r="AB378" s="3" t="s">
        <v>349</v>
      </c>
      <c r="AC378" s="3">
        <v>1</v>
      </c>
      <c r="AD378" s="3">
        <v>15.99</v>
      </c>
      <c r="AE378" s="3">
        <v>0</v>
      </c>
      <c r="AF378" s="3">
        <v>0</v>
      </c>
      <c r="AG378" s="3">
        <v>0</v>
      </c>
      <c r="AH378" s="3">
        <v>0</v>
      </c>
      <c r="AI378" s="3" t="s">
        <v>397</v>
      </c>
      <c r="AJ378" s="3" t="s">
        <v>345</v>
      </c>
    </row>
    <row r="379" spans="1:36">
      <c r="A379" s="4">
        <v>43288</v>
      </c>
      <c r="B379" s="3" t="s">
        <v>1670</v>
      </c>
      <c r="C379" s="3" t="s">
        <v>1671</v>
      </c>
      <c r="D379" s="3" t="s">
        <v>1672</v>
      </c>
      <c r="E379" s="3" t="s">
        <v>1673</v>
      </c>
      <c r="F379" s="3" t="s">
        <v>340</v>
      </c>
      <c r="G379" s="3">
        <v>8</v>
      </c>
      <c r="H379" s="3">
        <v>0</v>
      </c>
      <c r="I379" s="3">
        <v>0</v>
      </c>
      <c r="J379" s="3">
        <v>8</v>
      </c>
      <c r="K379" s="3">
        <v>0</v>
      </c>
      <c r="L379" s="3">
        <v>0</v>
      </c>
      <c r="M379" s="3">
        <v>0</v>
      </c>
      <c r="N379" s="3" t="s">
        <v>341</v>
      </c>
      <c r="O379" s="3">
        <v>7</v>
      </c>
      <c r="P379" s="3">
        <v>14.92</v>
      </c>
      <c r="Q379" s="3">
        <v>0</v>
      </c>
      <c r="R379" s="3">
        <v>0</v>
      </c>
      <c r="S379" s="3">
        <v>0</v>
      </c>
      <c r="T379" s="3">
        <v>0</v>
      </c>
      <c r="U379" s="3">
        <v>0</v>
      </c>
      <c r="V379" s="3">
        <v>1</v>
      </c>
      <c r="W379" s="3" t="s">
        <v>381</v>
      </c>
      <c r="X379" s="3">
        <v>16.99</v>
      </c>
      <c r="Y379" s="3">
        <v>16.99</v>
      </c>
      <c r="Z379" s="3">
        <v>16.99</v>
      </c>
      <c r="AA379" s="3">
        <v>0</v>
      </c>
      <c r="AB379" s="3" t="s">
        <v>343</v>
      </c>
      <c r="AC379" s="3">
        <v>2</v>
      </c>
      <c r="AD379" s="3">
        <v>15.13</v>
      </c>
      <c r="AE379" s="3">
        <v>35</v>
      </c>
      <c r="AF379" s="3">
        <v>0</v>
      </c>
      <c r="AG379" s="3">
        <v>252.459191</v>
      </c>
      <c r="AH379" s="3">
        <v>0.0588235294117647</v>
      </c>
      <c r="AI379" s="3" t="s">
        <v>1674</v>
      </c>
      <c r="AJ379" s="3" t="s">
        <v>345</v>
      </c>
    </row>
    <row r="380" spans="1:36">
      <c r="A380" s="4">
        <v>43288</v>
      </c>
      <c r="B380" s="3" t="s">
        <v>1675</v>
      </c>
      <c r="C380" s="3" t="s">
        <v>1676</v>
      </c>
      <c r="D380" s="3" t="s">
        <v>1677</v>
      </c>
      <c r="E380" s="3" t="s">
        <v>1678</v>
      </c>
      <c r="F380" s="3" t="s">
        <v>340</v>
      </c>
      <c r="G380" s="3">
        <v>5</v>
      </c>
      <c r="H380" s="3">
        <v>0</v>
      </c>
      <c r="I380" s="3">
        <v>5</v>
      </c>
      <c r="J380" s="3">
        <v>0</v>
      </c>
      <c r="K380" s="3">
        <v>0</v>
      </c>
      <c r="L380" s="3">
        <v>0</v>
      </c>
      <c r="M380" s="3">
        <v>0</v>
      </c>
      <c r="N380" s="3" t="s">
        <v>341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1</v>
      </c>
      <c r="W380" s="3" t="s">
        <v>342</v>
      </c>
      <c r="X380" s="3">
        <v>19.99</v>
      </c>
      <c r="Y380" s="3">
        <v>19.99</v>
      </c>
      <c r="Z380" s="3">
        <v>19.99</v>
      </c>
      <c r="AA380" s="3">
        <v>0</v>
      </c>
      <c r="AB380" s="3" t="s">
        <v>349</v>
      </c>
      <c r="AC380" s="3">
        <v>0</v>
      </c>
      <c r="AD380" s="3">
        <v>18.55</v>
      </c>
      <c r="AE380" s="3">
        <v>84</v>
      </c>
      <c r="AF380" s="3">
        <v>0</v>
      </c>
      <c r="AG380" s="3">
        <v>209.230083</v>
      </c>
      <c r="AH380" s="3">
        <v>0.333333333333333</v>
      </c>
      <c r="AI380" s="3" t="s">
        <v>948</v>
      </c>
      <c r="AJ380" s="3" t="s">
        <v>345</v>
      </c>
    </row>
    <row r="381" spans="1:36">
      <c r="A381" s="4">
        <v>43288</v>
      </c>
      <c r="B381" s="3" t="s">
        <v>1679</v>
      </c>
      <c r="C381" s="3" t="s">
        <v>1680</v>
      </c>
      <c r="D381" s="3" t="s">
        <v>1681</v>
      </c>
      <c r="E381" s="3" t="s">
        <v>188</v>
      </c>
      <c r="F381" s="3" t="s">
        <v>340</v>
      </c>
      <c r="G381" s="3">
        <v>3</v>
      </c>
      <c r="H381" s="3">
        <v>0</v>
      </c>
      <c r="I381" s="3">
        <v>3</v>
      </c>
      <c r="J381" s="3">
        <v>0</v>
      </c>
      <c r="K381" s="3">
        <v>0</v>
      </c>
      <c r="L381" s="3">
        <v>0</v>
      </c>
      <c r="M381" s="3">
        <v>0</v>
      </c>
      <c r="N381" s="3" t="s">
        <v>341</v>
      </c>
      <c r="O381" s="3">
        <v>0</v>
      </c>
      <c r="P381" s="3">
        <v>0</v>
      </c>
      <c r="Q381" s="3">
        <v>0</v>
      </c>
      <c r="R381" s="3">
        <v>0</v>
      </c>
      <c r="S381" s="3">
        <v>2</v>
      </c>
      <c r="T381" s="3">
        <v>7</v>
      </c>
      <c r="U381" s="3">
        <v>10</v>
      </c>
      <c r="V381" s="3">
        <v>13</v>
      </c>
      <c r="W381" s="3"/>
      <c r="X381" s="3">
        <v>19.99</v>
      </c>
      <c r="Y381" s="3">
        <v>19.99</v>
      </c>
      <c r="Z381" s="3">
        <v>19.99</v>
      </c>
      <c r="AA381" s="3">
        <v>0</v>
      </c>
      <c r="AB381" s="3" t="s">
        <v>359</v>
      </c>
      <c r="AC381" s="3">
        <v>3</v>
      </c>
      <c r="AD381" s="3">
        <v>19.99</v>
      </c>
      <c r="AE381" s="3">
        <v>0</v>
      </c>
      <c r="AF381" s="3">
        <v>0</v>
      </c>
      <c r="AG381" s="3">
        <v>0</v>
      </c>
      <c r="AH381" s="3">
        <v>1.3</v>
      </c>
      <c r="AI381" s="3" t="s">
        <v>492</v>
      </c>
      <c r="AJ381" s="3" t="s">
        <v>345</v>
      </c>
    </row>
    <row r="382" spans="1:36">
      <c r="A382" s="4">
        <v>43288</v>
      </c>
      <c r="B382" s="3" t="s">
        <v>1682</v>
      </c>
      <c r="C382" s="3" t="s">
        <v>1683</v>
      </c>
      <c r="D382" s="3" t="s">
        <v>1684</v>
      </c>
      <c r="E382" s="3" t="s">
        <v>1685</v>
      </c>
      <c r="F382" s="3" t="s">
        <v>340</v>
      </c>
      <c r="G382" s="3">
        <v>1</v>
      </c>
      <c r="H382" s="3">
        <v>0</v>
      </c>
      <c r="I382" s="3">
        <v>1</v>
      </c>
      <c r="J382" s="3">
        <v>0</v>
      </c>
      <c r="K382" s="3">
        <v>0</v>
      </c>
      <c r="L382" s="3">
        <v>0</v>
      </c>
      <c r="M382" s="3">
        <v>0</v>
      </c>
      <c r="N382" s="3" t="s">
        <v>341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1</v>
      </c>
      <c r="V382" s="3">
        <v>1</v>
      </c>
      <c r="W382" s="3" t="s">
        <v>342</v>
      </c>
      <c r="X382" s="3">
        <v>15.99</v>
      </c>
      <c r="Y382" s="3">
        <v>15.99</v>
      </c>
      <c r="Z382" s="3">
        <v>15.99</v>
      </c>
      <c r="AA382" s="3">
        <v>0</v>
      </c>
      <c r="AB382" s="3" t="s">
        <v>349</v>
      </c>
      <c r="AC382" s="3">
        <v>0</v>
      </c>
      <c r="AD382" s="3">
        <v>15.14</v>
      </c>
      <c r="AE382" s="3">
        <v>49</v>
      </c>
      <c r="AF382" s="3">
        <v>0</v>
      </c>
      <c r="AG382" s="3">
        <v>13.184702</v>
      </c>
      <c r="AH382" s="3">
        <v>1.33333333333333</v>
      </c>
      <c r="AI382" s="3" t="s">
        <v>397</v>
      </c>
      <c r="AJ382" s="3" t="s">
        <v>345</v>
      </c>
    </row>
    <row r="383" spans="1:36">
      <c r="A383" s="4">
        <v>43288</v>
      </c>
      <c r="B383" s="3" t="s">
        <v>1686</v>
      </c>
      <c r="C383" s="3" t="s">
        <v>1687</v>
      </c>
      <c r="D383" s="3" t="s">
        <v>1688</v>
      </c>
      <c r="E383" s="3" t="s">
        <v>1131</v>
      </c>
      <c r="F383" s="3" t="s">
        <v>340</v>
      </c>
      <c r="G383" s="3">
        <v>2</v>
      </c>
      <c r="H383" s="3">
        <v>0</v>
      </c>
      <c r="I383" s="3">
        <v>0</v>
      </c>
      <c r="J383" s="3">
        <v>1</v>
      </c>
      <c r="K383" s="3">
        <v>0</v>
      </c>
      <c r="L383" s="3">
        <v>1</v>
      </c>
      <c r="M383" s="3">
        <v>0</v>
      </c>
      <c r="N383" s="3" t="s">
        <v>341</v>
      </c>
      <c r="O383" s="3">
        <v>1</v>
      </c>
      <c r="P383" s="3">
        <v>0.29</v>
      </c>
      <c r="Q383" s="3">
        <v>1</v>
      </c>
      <c r="R383" s="3">
        <v>0.57</v>
      </c>
      <c r="S383" s="3">
        <v>0</v>
      </c>
      <c r="T383" s="3">
        <v>0</v>
      </c>
      <c r="U383" s="3">
        <v>0</v>
      </c>
      <c r="V383" s="3">
        <v>0</v>
      </c>
      <c r="W383" s="3" t="s">
        <v>342</v>
      </c>
      <c r="X383" s="3">
        <v>19.9</v>
      </c>
      <c r="Y383" s="3">
        <v>19.9</v>
      </c>
      <c r="Z383" s="3">
        <v>19.9</v>
      </c>
      <c r="AA383" s="3">
        <v>0</v>
      </c>
      <c r="AB383" s="3" t="s">
        <v>343</v>
      </c>
      <c r="AC383" s="3">
        <v>0</v>
      </c>
      <c r="AD383" s="3">
        <v>18.46</v>
      </c>
      <c r="AE383" s="3">
        <v>98</v>
      </c>
      <c r="AF383" s="3">
        <v>0</v>
      </c>
      <c r="AG383" s="3">
        <v>27.564854</v>
      </c>
      <c r="AH383" s="3">
        <v>0</v>
      </c>
      <c r="AI383" s="3" t="s">
        <v>1132</v>
      </c>
      <c r="AJ383" s="3" t="s">
        <v>345</v>
      </c>
    </row>
    <row r="384" spans="1:36">
      <c r="A384" s="4">
        <v>43288</v>
      </c>
      <c r="B384" s="3" t="s">
        <v>178</v>
      </c>
      <c r="C384" s="3" t="s">
        <v>179</v>
      </c>
      <c r="D384" s="3" t="s">
        <v>180</v>
      </c>
      <c r="E384" s="3" t="s">
        <v>181</v>
      </c>
      <c r="F384" s="3" t="s">
        <v>340</v>
      </c>
      <c r="G384" s="3">
        <v>8</v>
      </c>
      <c r="H384" s="3">
        <v>0</v>
      </c>
      <c r="I384" s="3">
        <v>3</v>
      </c>
      <c r="J384" s="3">
        <v>5</v>
      </c>
      <c r="K384" s="3">
        <v>0</v>
      </c>
      <c r="L384" s="3">
        <v>0</v>
      </c>
      <c r="M384" s="3">
        <v>0</v>
      </c>
      <c r="N384" s="3" t="s">
        <v>341</v>
      </c>
      <c r="O384" s="3">
        <v>0</v>
      </c>
      <c r="P384" s="3">
        <v>0</v>
      </c>
      <c r="Q384" s="3">
        <v>0</v>
      </c>
      <c r="R384" s="3">
        <v>0</v>
      </c>
      <c r="S384" s="3">
        <v>0</v>
      </c>
      <c r="T384" s="3">
        <v>3</v>
      </c>
      <c r="U384" s="3">
        <v>4</v>
      </c>
      <c r="V384" s="3">
        <v>7</v>
      </c>
      <c r="W384" s="3"/>
      <c r="X384" s="3">
        <v>19.99</v>
      </c>
      <c r="Y384" s="3">
        <v>19.99</v>
      </c>
      <c r="Z384" s="3">
        <v>19.99</v>
      </c>
      <c r="AA384" s="3">
        <v>0</v>
      </c>
      <c r="AB384" s="3" t="s">
        <v>343</v>
      </c>
      <c r="AC384" s="3">
        <v>1</v>
      </c>
      <c r="AD384" s="3">
        <v>7.76</v>
      </c>
      <c r="AE384" s="3">
        <v>49</v>
      </c>
      <c r="AF384" s="3">
        <v>0</v>
      </c>
      <c r="AG384" s="3">
        <v>53.882303</v>
      </c>
      <c r="AH384" s="3">
        <v>0.7</v>
      </c>
      <c r="AI384" s="3" t="s">
        <v>492</v>
      </c>
      <c r="AJ384" s="3" t="s">
        <v>345</v>
      </c>
    </row>
    <row r="385" spans="1:36">
      <c r="A385" s="4">
        <v>43288</v>
      </c>
      <c r="B385" s="3" t="s">
        <v>244</v>
      </c>
      <c r="C385" s="3" t="s">
        <v>245</v>
      </c>
      <c r="D385" s="3" t="s">
        <v>246</v>
      </c>
      <c r="E385" s="3" t="s">
        <v>247</v>
      </c>
      <c r="F385" s="3" t="s">
        <v>340</v>
      </c>
      <c r="G385" s="3">
        <v>4</v>
      </c>
      <c r="H385" s="3">
        <v>0</v>
      </c>
      <c r="I385" s="3">
        <v>4</v>
      </c>
      <c r="J385" s="3">
        <v>0</v>
      </c>
      <c r="K385" s="3">
        <v>0</v>
      </c>
      <c r="L385" s="3">
        <v>0</v>
      </c>
      <c r="M385" s="3">
        <v>0</v>
      </c>
      <c r="N385" s="3" t="s">
        <v>341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4</v>
      </c>
      <c r="U385" s="3">
        <v>24</v>
      </c>
      <c r="V385" s="3">
        <v>33</v>
      </c>
      <c r="W385" s="3"/>
      <c r="X385" s="3">
        <v>19.99</v>
      </c>
      <c r="Y385" s="3">
        <v>19.99</v>
      </c>
      <c r="Z385" s="3">
        <v>19.99</v>
      </c>
      <c r="AA385" s="3">
        <v>0</v>
      </c>
      <c r="AB385" s="3" t="s">
        <v>359</v>
      </c>
      <c r="AC385" s="3">
        <v>4</v>
      </c>
      <c r="AD385" s="3">
        <v>19.99</v>
      </c>
      <c r="AE385" s="3">
        <v>0</v>
      </c>
      <c r="AF385" s="3">
        <v>0</v>
      </c>
      <c r="AG385" s="3">
        <v>0</v>
      </c>
      <c r="AH385" s="3">
        <v>5.28</v>
      </c>
      <c r="AI385" s="3" t="s">
        <v>709</v>
      </c>
      <c r="AJ385" s="3" t="s">
        <v>345</v>
      </c>
    </row>
    <row r="386" spans="1:36">
      <c r="A386" s="4">
        <v>43288</v>
      </c>
      <c r="B386" s="3" t="s">
        <v>1689</v>
      </c>
      <c r="C386" s="3" t="s">
        <v>1690</v>
      </c>
      <c r="D386" s="3" t="s">
        <v>1691</v>
      </c>
      <c r="E386" s="3" t="s">
        <v>463</v>
      </c>
      <c r="F386" s="3" t="s">
        <v>340</v>
      </c>
      <c r="G386" s="3">
        <v>1</v>
      </c>
      <c r="H386" s="3">
        <v>0</v>
      </c>
      <c r="I386" s="3">
        <v>1</v>
      </c>
      <c r="J386" s="3">
        <v>0</v>
      </c>
      <c r="K386" s="3">
        <v>0</v>
      </c>
      <c r="L386" s="3">
        <v>0</v>
      </c>
      <c r="M386" s="3">
        <v>0</v>
      </c>
      <c r="N386" s="3" t="s">
        <v>341</v>
      </c>
      <c r="O386" s="3">
        <v>0</v>
      </c>
      <c r="P386" s="3">
        <v>0</v>
      </c>
      <c r="Q386" s="3">
        <v>0</v>
      </c>
      <c r="R386" s="3">
        <v>0</v>
      </c>
      <c r="S386" s="3">
        <v>0</v>
      </c>
      <c r="T386" s="3">
        <v>0</v>
      </c>
      <c r="U386" s="3">
        <v>3</v>
      </c>
      <c r="V386" s="3">
        <v>4</v>
      </c>
      <c r="W386" s="3" t="s">
        <v>381</v>
      </c>
      <c r="X386" s="3">
        <v>16.99</v>
      </c>
      <c r="Y386" s="3">
        <v>16.99</v>
      </c>
      <c r="Z386" s="3">
        <v>16.99</v>
      </c>
      <c r="AA386" s="3">
        <v>0</v>
      </c>
      <c r="AB386" s="3" t="s">
        <v>359</v>
      </c>
      <c r="AC386" s="3">
        <v>0</v>
      </c>
      <c r="AD386" s="3">
        <v>0</v>
      </c>
      <c r="AE386" s="3">
        <v>0</v>
      </c>
      <c r="AF386" s="3">
        <v>0</v>
      </c>
      <c r="AG386" s="3">
        <v>0</v>
      </c>
      <c r="AH386" s="3">
        <v>2.66666666666666</v>
      </c>
      <c r="AI386" s="3" t="s">
        <v>464</v>
      </c>
      <c r="AJ386" s="3" t="s">
        <v>345</v>
      </c>
    </row>
    <row r="387" spans="1:36">
      <c r="A387" s="4">
        <v>43288</v>
      </c>
      <c r="B387" s="3" t="s">
        <v>1692</v>
      </c>
      <c r="C387" s="3" t="s">
        <v>1693</v>
      </c>
      <c r="D387" s="3" t="s">
        <v>1694</v>
      </c>
      <c r="E387" s="3" t="s">
        <v>1695</v>
      </c>
      <c r="F387" s="3" t="s">
        <v>340</v>
      </c>
      <c r="G387" s="3">
        <v>1</v>
      </c>
      <c r="H387" s="3">
        <v>0</v>
      </c>
      <c r="I387" s="3">
        <v>0</v>
      </c>
      <c r="J387" s="3">
        <v>0</v>
      </c>
      <c r="K387" s="3">
        <v>0</v>
      </c>
      <c r="L387" s="3">
        <v>1</v>
      </c>
      <c r="M387" s="3">
        <v>0</v>
      </c>
      <c r="N387" s="3" t="s">
        <v>341</v>
      </c>
      <c r="O387" s="3">
        <v>0</v>
      </c>
      <c r="P387" s="3">
        <v>0</v>
      </c>
      <c r="Q387" s="3">
        <v>1</v>
      </c>
      <c r="R387" s="3">
        <v>0.5</v>
      </c>
      <c r="S387" s="3">
        <v>0</v>
      </c>
      <c r="T387" s="3">
        <v>0</v>
      </c>
      <c r="U387" s="3">
        <v>0</v>
      </c>
      <c r="V387" s="3">
        <v>0</v>
      </c>
      <c r="W387" s="3" t="s">
        <v>342</v>
      </c>
      <c r="X387" s="3">
        <v>19.9</v>
      </c>
      <c r="Y387" s="3">
        <v>19.9</v>
      </c>
      <c r="Z387" s="3">
        <v>19.9</v>
      </c>
      <c r="AA387" s="3">
        <v>0</v>
      </c>
      <c r="AB387" s="3" t="s">
        <v>359</v>
      </c>
      <c r="AC387" s="3">
        <v>1</v>
      </c>
      <c r="AD387" s="3">
        <v>19.9</v>
      </c>
      <c r="AE387" s="3">
        <v>0</v>
      </c>
      <c r="AF387" s="3">
        <v>0</v>
      </c>
      <c r="AG387" s="3">
        <v>0</v>
      </c>
      <c r="AH387" s="3">
        <v>0</v>
      </c>
      <c r="AI387" s="3" t="s">
        <v>344</v>
      </c>
      <c r="AJ387" s="3" t="s">
        <v>345</v>
      </c>
    </row>
    <row r="388" spans="1:36">
      <c r="A388" s="4">
        <v>43288</v>
      </c>
      <c r="B388" s="3" t="s">
        <v>1696</v>
      </c>
      <c r="C388" s="3" t="s">
        <v>1697</v>
      </c>
      <c r="D388" s="3" t="s">
        <v>1698</v>
      </c>
      <c r="E388" s="3" t="s">
        <v>1699</v>
      </c>
      <c r="F388" s="3" t="s">
        <v>340</v>
      </c>
      <c r="G388" s="3">
        <v>1</v>
      </c>
      <c r="H388" s="3">
        <v>0</v>
      </c>
      <c r="I388" s="3">
        <v>1</v>
      </c>
      <c r="J388" s="3">
        <v>0</v>
      </c>
      <c r="K388" s="3">
        <v>0</v>
      </c>
      <c r="L388" s="3">
        <v>0</v>
      </c>
      <c r="M388" s="3">
        <v>0</v>
      </c>
      <c r="N388" s="3" t="s">
        <v>341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1</v>
      </c>
      <c r="V388" s="3">
        <v>1</v>
      </c>
      <c r="W388" s="3" t="s">
        <v>342</v>
      </c>
      <c r="X388" s="3">
        <v>17.99</v>
      </c>
      <c r="Y388" s="3">
        <v>17.99</v>
      </c>
      <c r="Z388" s="3">
        <v>17.99</v>
      </c>
      <c r="AA388" s="3">
        <v>0</v>
      </c>
      <c r="AB388" s="3" t="s">
        <v>349</v>
      </c>
      <c r="AC388" s="3">
        <v>1</v>
      </c>
      <c r="AD388" s="3">
        <v>17.99</v>
      </c>
      <c r="AE388" s="3">
        <v>0</v>
      </c>
      <c r="AF388" s="3">
        <v>0</v>
      </c>
      <c r="AG388" s="3">
        <v>0</v>
      </c>
      <c r="AH388" s="3">
        <v>1</v>
      </c>
      <c r="AI388" s="3" t="s">
        <v>917</v>
      </c>
      <c r="AJ388" s="3" t="s">
        <v>345</v>
      </c>
    </row>
    <row r="389" spans="1:36">
      <c r="A389" s="4">
        <v>43288</v>
      </c>
      <c r="B389" s="3" t="s">
        <v>1700</v>
      </c>
      <c r="C389" s="3" t="s">
        <v>1701</v>
      </c>
      <c r="D389" s="3" t="s">
        <v>1702</v>
      </c>
      <c r="E389" s="3" t="s">
        <v>213</v>
      </c>
      <c r="F389" s="3" t="s">
        <v>340</v>
      </c>
      <c r="G389" s="3">
        <v>8</v>
      </c>
      <c r="H389" s="3">
        <v>0</v>
      </c>
      <c r="I389" s="3">
        <v>2</v>
      </c>
      <c r="J389" s="3">
        <v>3</v>
      </c>
      <c r="K389" s="3">
        <v>0</v>
      </c>
      <c r="L389" s="3">
        <v>3</v>
      </c>
      <c r="M389" s="3">
        <v>0</v>
      </c>
      <c r="N389" s="3" t="s">
        <v>341</v>
      </c>
      <c r="O389" s="3">
        <v>3</v>
      </c>
      <c r="P389" s="3">
        <v>1.19</v>
      </c>
      <c r="Q389" s="3">
        <v>3</v>
      </c>
      <c r="R389" s="3">
        <v>2.38</v>
      </c>
      <c r="S389" s="3">
        <v>1</v>
      </c>
      <c r="T389" s="3">
        <v>3</v>
      </c>
      <c r="U389" s="3">
        <v>6</v>
      </c>
      <c r="V389" s="3">
        <v>6</v>
      </c>
      <c r="W389" s="3"/>
      <c r="X389" s="3">
        <v>19.99</v>
      </c>
      <c r="Y389" s="3">
        <v>19.99</v>
      </c>
      <c r="Z389" s="3">
        <v>19.99</v>
      </c>
      <c r="AA389" s="3">
        <v>0</v>
      </c>
      <c r="AB389" s="3" t="s">
        <v>359</v>
      </c>
      <c r="AC389" s="3">
        <v>9</v>
      </c>
      <c r="AD389" s="3">
        <v>19.99</v>
      </c>
      <c r="AE389" s="3">
        <v>0</v>
      </c>
      <c r="AF389" s="3">
        <v>0</v>
      </c>
      <c r="AG389" s="3">
        <v>0</v>
      </c>
      <c r="AH389" s="3">
        <v>0.55813953488372</v>
      </c>
      <c r="AI389" s="3" t="s">
        <v>512</v>
      </c>
      <c r="AJ389" s="3" t="s">
        <v>345</v>
      </c>
    </row>
    <row r="390" spans="1:36">
      <c r="A390" s="4">
        <v>43288</v>
      </c>
      <c r="B390" s="3" t="s">
        <v>69</v>
      </c>
      <c r="C390" s="3" t="s">
        <v>70</v>
      </c>
      <c r="D390" s="3" t="s">
        <v>71</v>
      </c>
      <c r="E390" s="3" t="s">
        <v>72</v>
      </c>
      <c r="F390" s="3" t="s">
        <v>340</v>
      </c>
      <c r="G390" s="3">
        <v>4</v>
      </c>
      <c r="H390" s="3">
        <v>0</v>
      </c>
      <c r="I390" s="3">
        <v>4</v>
      </c>
      <c r="J390" s="3">
        <v>0</v>
      </c>
      <c r="K390" s="3">
        <v>0</v>
      </c>
      <c r="L390" s="3">
        <v>0</v>
      </c>
      <c r="M390" s="3">
        <v>0</v>
      </c>
      <c r="N390" s="3" t="s">
        <v>341</v>
      </c>
      <c r="O390" s="3">
        <v>0</v>
      </c>
      <c r="P390" s="3">
        <v>0</v>
      </c>
      <c r="Q390" s="3">
        <v>0</v>
      </c>
      <c r="R390" s="3">
        <v>0</v>
      </c>
      <c r="S390" s="3">
        <v>4</v>
      </c>
      <c r="T390" s="3">
        <v>26</v>
      </c>
      <c r="U390" s="3">
        <v>40</v>
      </c>
      <c r="V390" s="3">
        <v>54</v>
      </c>
      <c r="W390" s="3"/>
      <c r="X390" s="3">
        <v>18.99</v>
      </c>
      <c r="Y390" s="3">
        <v>18.99</v>
      </c>
      <c r="Z390" s="3">
        <v>18.99</v>
      </c>
      <c r="AA390" s="3">
        <v>0</v>
      </c>
      <c r="AB390" s="3" t="s">
        <v>359</v>
      </c>
      <c r="AC390" s="3">
        <v>3</v>
      </c>
      <c r="AD390" s="3">
        <v>18.99</v>
      </c>
      <c r="AE390" s="3">
        <v>0</v>
      </c>
      <c r="AF390" s="3">
        <v>0</v>
      </c>
      <c r="AG390" s="3">
        <v>0</v>
      </c>
      <c r="AH390" s="3">
        <v>2.66666666666666</v>
      </c>
      <c r="AI390" s="3" t="s">
        <v>1613</v>
      </c>
      <c r="AJ390" s="3" t="s">
        <v>345</v>
      </c>
    </row>
    <row r="391" spans="1:36">
      <c r="A391" s="4">
        <v>43288</v>
      </c>
      <c r="B391" s="3" t="s">
        <v>1703</v>
      </c>
      <c r="C391" s="3" t="s">
        <v>1704</v>
      </c>
      <c r="D391" s="3" t="s">
        <v>1705</v>
      </c>
      <c r="E391" s="3" t="s">
        <v>177</v>
      </c>
      <c r="F391" s="3" t="s">
        <v>340</v>
      </c>
      <c r="G391" s="3">
        <v>1</v>
      </c>
      <c r="H391" s="3">
        <v>0</v>
      </c>
      <c r="I391" s="3">
        <v>1</v>
      </c>
      <c r="J391" s="3">
        <v>0</v>
      </c>
      <c r="K391" s="3">
        <v>0</v>
      </c>
      <c r="L391" s="3">
        <v>0</v>
      </c>
      <c r="M391" s="3">
        <v>0</v>
      </c>
      <c r="N391" s="3" t="s">
        <v>341</v>
      </c>
      <c r="O391" s="3">
        <v>0</v>
      </c>
      <c r="P391" s="3">
        <v>0</v>
      </c>
      <c r="Q391" s="3">
        <v>0</v>
      </c>
      <c r="R391" s="3">
        <v>0</v>
      </c>
      <c r="S391" s="3">
        <v>3</v>
      </c>
      <c r="T391" s="3">
        <v>6</v>
      </c>
      <c r="U391" s="3">
        <v>13</v>
      </c>
      <c r="V391" s="3">
        <v>19</v>
      </c>
      <c r="W391" s="3"/>
      <c r="X391" s="3">
        <v>19.38</v>
      </c>
      <c r="Y391" s="3">
        <v>19.38</v>
      </c>
      <c r="Z391" s="3">
        <v>19.38</v>
      </c>
      <c r="AA391" s="3">
        <v>0</v>
      </c>
      <c r="AB391" s="3" t="s">
        <v>359</v>
      </c>
      <c r="AC391" s="3">
        <v>2</v>
      </c>
      <c r="AD391" s="3">
        <v>19.38</v>
      </c>
      <c r="AE391" s="3">
        <v>0</v>
      </c>
      <c r="AF391" s="3">
        <v>0</v>
      </c>
      <c r="AG391" s="3">
        <v>0</v>
      </c>
      <c r="AH391" s="3">
        <v>3.45454545454545</v>
      </c>
      <c r="AI391" s="3" t="s">
        <v>637</v>
      </c>
      <c r="AJ391" s="3" t="s">
        <v>345</v>
      </c>
    </row>
    <row r="392" spans="1:36">
      <c r="A392" s="4">
        <v>43288</v>
      </c>
      <c r="B392" s="3" t="s">
        <v>1706</v>
      </c>
      <c r="C392" s="3" t="s">
        <v>1707</v>
      </c>
      <c r="D392" s="3" t="s">
        <v>1708</v>
      </c>
      <c r="E392" s="3" t="s">
        <v>1709</v>
      </c>
      <c r="F392" s="3" t="s">
        <v>340</v>
      </c>
      <c r="G392" s="3">
        <v>2</v>
      </c>
      <c r="H392" s="3">
        <v>0</v>
      </c>
      <c r="I392" s="3">
        <v>0</v>
      </c>
      <c r="J392" s="3">
        <v>2</v>
      </c>
      <c r="K392" s="3">
        <v>0</v>
      </c>
      <c r="L392" s="3">
        <v>0</v>
      </c>
      <c r="M392" s="3">
        <v>0</v>
      </c>
      <c r="N392" s="3" t="s">
        <v>341</v>
      </c>
      <c r="O392" s="3">
        <v>2</v>
      </c>
      <c r="P392" s="3">
        <v>2.49</v>
      </c>
      <c r="Q392" s="3">
        <v>0</v>
      </c>
      <c r="R392" s="3">
        <v>0</v>
      </c>
      <c r="S392" s="3">
        <v>0</v>
      </c>
      <c r="T392" s="3">
        <v>0</v>
      </c>
      <c r="U392" s="3">
        <v>0</v>
      </c>
      <c r="V392" s="3">
        <v>0</v>
      </c>
      <c r="W392" s="3" t="s">
        <v>342</v>
      </c>
      <c r="X392" s="3">
        <v>15.99</v>
      </c>
      <c r="Y392" s="3">
        <v>15.99</v>
      </c>
      <c r="Z392" s="3">
        <v>15.99</v>
      </c>
      <c r="AA392" s="3">
        <v>0</v>
      </c>
      <c r="AB392" s="3" t="s">
        <v>349</v>
      </c>
      <c r="AC392" s="3">
        <v>0</v>
      </c>
      <c r="AD392" s="3">
        <v>14.44</v>
      </c>
      <c r="AE392" s="3">
        <v>91</v>
      </c>
      <c r="AF392" s="3">
        <v>0</v>
      </c>
      <c r="AG392" s="3">
        <v>42.228323</v>
      </c>
      <c r="AH392" s="3">
        <v>0</v>
      </c>
      <c r="AI392" s="3" t="s">
        <v>714</v>
      </c>
      <c r="AJ392" s="3" t="s">
        <v>345</v>
      </c>
    </row>
    <row r="393" spans="1:36">
      <c r="A393" s="4">
        <v>43288</v>
      </c>
      <c r="B393" s="3" t="s">
        <v>1710</v>
      </c>
      <c r="C393" s="3" t="s">
        <v>1711</v>
      </c>
      <c r="D393" s="3" t="s">
        <v>1712</v>
      </c>
      <c r="E393" s="3" t="s">
        <v>468</v>
      </c>
      <c r="F393" s="3" t="s">
        <v>340</v>
      </c>
      <c r="G393" s="3">
        <v>3</v>
      </c>
      <c r="H393" s="3">
        <v>0</v>
      </c>
      <c r="I393" s="3">
        <v>0</v>
      </c>
      <c r="J393" s="3">
        <v>3</v>
      </c>
      <c r="K393" s="3">
        <v>0</v>
      </c>
      <c r="L393" s="3">
        <v>0</v>
      </c>
      <c r="M393" s="3">
        <v>0</v>
      </c>
      <c r="N393" s="3" t="s">
        <v>341</v>
      </c>
      <c r="O393" s="3">
        <v>3</v>
      </c>
      <c r="P393" s="3">
        <v>3.44</v>
      </c>
      <c r="Q393" s="3">
        <v>0</v>
      </c>
      <c r="R393" s="3">
        <v>0</v>
      </c>
      <c r="S393" s="3">
        <v>0</v>
      </c>
      <c r="T393" s="3">
        <v>0</v>
      </c>
      <c r="U393" s="3">
        <v>0</v>
      </c>
      <c r="V393" s="3">
        <v>2</v>
      </c>
      <c r="W393" s="3" t="s">
        <v>342</v>
      </c>
      <c r="X393" s="3">
        <v>16.99</v>
      </c>
      <c r="Y393" s="3">
        <v>16.99</v>
      </c>
      <c r="Z393" s="3">
        <v>16.99</v>
      </c>
      <c r="AA393" s="3">
        <v>0</v>
      </c>
      <c r="AB393" s="3" t="s">
        <v>349</v>
      </c>
      <c r="AC393" s="3">
        <v>0</v>
      </c>
      <c r="AD393" s="3">
        <v>15.53</v>
      </c>
      <c r="AE393" s="3">
        <v>84</v>
      </c>
      <c r="AF393" s="3">
        <v>0</v>
      </c>
      <c r="AG393" s="3">
        <v>63.444872</v>
      </c>
      <c r="AH393" s="3">
        <v>0.571428571428571</v>
      </c>
      <c r="AI393" s="3" t="s">
        <v>469</v>
      </c>
      <c r="AJ393" s="3" t="s">
        <v>345</v>
      </c>
    </row>
    <row r="394" spans="1:36">
      <c r="A394" s="4">
        <v>43288</v>
      </c>
      <c r="B394" s="3" t="s">
        <v>1713</v>
      </c>
      <c r="C394" s="3" t="s">
        <v>1714</v>
      </c>
      <c r="D394" s="3" t="s">
        <v>1715</v>
      </c>
      <c r="E394" s="3" t="s">
        <v>555</v>
      </c>
      <c r="F394" s="3" t="s">
        <v>340</v>
      </c>
      <c r="G394" s="3">
        <v>3</v>
      </c>
      <c r="H394" s="3">
        <v>0</v>
      </c>
      <c r="I394" s="3">
        <v>0</v>
      </c>
      <c r="J394" s="3">
        <v>1</v>
      </c>
      <c r="K394" s="3">
        <v>0</v>
      </c>
      <c r="L394" s="3">
        <v>2</v>
      </c>
      <c r="M394" s="3">
        <v>0</v>
      </c>
      <c r="N394" s="3" t="s">
        <v>341</v>
      </c>
      <c r="O394" s="3">
        <v>0</v>
      </c>
      <c r="P394" s="3">
        <v>0</v>
      </c>
      <c r="Q394" s="3">
        <v>2</v>
      </c>
      <c r="R394" s="3">
        <v>3.13</v>
      </c>
      <c r="S394" s="3">
        <v>0</v>
      </c>
      <c r="T394" s="3">
        <v>0</v>
      </c>
      <c r="U394" s="3">
        <v>0</v>
      </c>
      <c r="V394" s="3">
        <v>0</v>
      </c>
      <c r="W394" s="3" t="s">
        <v>381</v>
      </c>
      <c r="X394" s="3">
        <v>19.99</v>
      </c>
      <c r="Y394" s="3">
        <v>19.99</v>
      </c>
      <c r="Z394" s="3">
        <v>19.99</v>
      </c>
      <c r="AA394" s="3">
        <v>0</v>
      </c>
      <c r="AB394" s="3" t="s">
        <v>359</v>
      </c>
      <c r="AC394" s="3">
        <v>3</v>
      </c>
      <c r="AD394" s="3">
        <v>19.99</v>
      </c>
      <c r="AE394" s="3">
        <v>0</v>
      </c>
      <c r="AF394" s="3">
        <v>0</v>
      </c>
      <c r="AG394" s="3">
        <v>0</v>
      </c>
      <c r="AH394" s="3">
        <v>0</v>
      </c>
      <c r="AI394" s="3" t="s">
        <v>556</v>
      </c>
      <c r="AJ394" s="3" t="s">
        <v>345</v>
      </c>
    </row>
    <row r="395" spans="1:36">
      <c r="A395" s="4">
        <v>43288</v>
      </c>
      <c r="B395" s="3" t="s">
        <v>1716</v>
      </c>
      <c r="C395" s="3" t="s">
        <v>1717</v>
      </c>
      <c r="D395" s="3" t="s">
        <v>1718</v>
      </c>
      <c r="E395" s="3" t="s">
        <v>1719</v>
      </c>
      <c r="F395" s="3" t="s">
        <v>340</v>
      </c>
      <c r="G395" s="3">
        <v>1</v>
      </c>
      <c r="H395" s="3">
        <v>0</v>
      </c>
      <c r="I395" s="3">
        <v>1</v>
      </c>
      <c r="J395" s="3">
        <v>0</v>
      </c>
      <c r="K395" s="3">
        <v>0</v>
      </c>
      <c r="L395" s="3">
        <v>0</v>
      </c>
      <c r="M395" s="3">
        <v>0</v>
      </c>
      <c r="N395" s="3" t="s">
        <v>341</v>
      </c>
      <c r="O395" s="3">
        <v>0</v>
      </c>
      <c r="P395" s="3">
        <v>0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 t="s">
        <v>342</v>
      </c>
      <c r="X395" s="3">
        <v>16.99</v>
      </c>
      <c r="Y395" s="3">
        <v>16.99</v>
      </c>
      <c r="Z395" s="3">
        <v>16.99</v>
      </c>
      <c r="AA395" s="3">
        <v>0</v>
      </c>
      <c r="AB395" s="3" t="s">
        <v>349</v>
      </c>
      <c r="AC395" s="3">
        <v>0</v>
      </c>
      <c r="AD395" s="3">
        <v>15.35</v>
      </c>
      <c r="AE395" s="3">
        <v>266</v>
      </c>
      <c r="AF395" s="3">
        <v>0</v>
      </c>
      <c r="AG395" s="3">
        <v>11.819608</v>
      </c>
      <c r="AH395" s="3">
        <v>0</v>
      </c>
      <c r="AI395" s="3" t="s">
        <v>1720</v>
      </c>
      <c r="AJ395" s="3" t="s">
        <v>345</v>
      </c>
    </row>
    <row r="396" spans="1:36">
      <c r="A396" s="4">
        <v>43288</v>
      </c>
      <c r="B396" s="3" t="s">
        <v>1721</v>
      </c>
      <c r="C396" s="3" t="s">
        <v>1722</v>
      </c>
      <c r="D396" s="3" t="s">
        <v>1723</v>
      </c>
      <c r="E396" s="3" t="s">
        <v>477</v>
      </c>
      <c r="F396" s="3" t="s">
        <v>340</v>
      </c>
      <c r="G396" s="3">
        <v>3</v>
      </c>
      <c r="H396" s="3">
        <v>0</v>
      </c>
      <c r="I396" s="3">
        <v>0</v>
      </c>
      <c r="J396" s="3">
        <v>1</v>
      </c>
      <c r="K396" s="3">
        <v>0</v>
      </c>
      <c r="L396" s="3">
        <v>2</v>
      </c>
      <c r="M396" s="3">
        <v>0</v>
      </c>
      <c r="N396" s="3" t="s">
        <v>341</v>
      </c>
      <c r="O396" s="3">
        <v>1</v>
      </c>
      <c r="P396" s="3">
        <v>1.59</v>
      </c>
      <c r="Q396" s="3">
        <v>1</v>
      </c>
      <c r="R396" s="3">
        <v>3.17</v>
      </c>
      <c r="S396" s="3">
        <v>0</v>
      </c>
      <c r="T396" s="3">
        <v>0</v>
      </c>
      <c r="U396" s="3">
        <v>0</v>
      </c>
      <c r="V396" s="3">
        <v>0</v>
      </c>
      <c r="W396" s="3" t="s">
        <v>342</v>
      </c>
      <c r="X396" s="3">
        <v>42.88</v>
      </c>
      <c r="Y396" s="3">
        <v>18.18</v>
      </c>
      <c r="Z396" s="3">
        <v>18.18</v>
      </c>
      <c r="AA396" s="3">
        <v>0</v>
      </c>
      <c r="AB396" s="3" t="s">
        <v>343</v>
      </c>
      <c r="AC396" s="3">
        <v>0</v>
      </c>
      <c r="AD396" s="3">
        <v>14.54</v>
      </c>
      <c r="AE396" s="3">
        <v>364</v>
      </c>
      <c r="AF396" s="3">
        <v>0</v>
      </c>
      <c r="AG396" s="3">
        <v>62.288925</v>
      </c>
      <c r="AH396" s="3">
        <v>0</v>
      </c>
      <c r="AI396" s="3" t="s">
        <v>497</v>
      </c>
      <c r="AJ396" s="3" t="s">
        <v>345</v>
      </c>
    </row>
    <row r="397" spans="1:36">
      <c r="A397" s="4">
        <v>43288</v>
      </c>
      <c r="B397" s="3" t="s">
        <v>1724</v>
      </c>
      <c r="C397" s="3" t="s">
        <v>1725</v>
      </c>
      <c r="D397" s="3" t="s">
        <v>1726</v>
      </c>
      <c r="E397" s="3" t="s">
        <v>1727</v>
      </c>
      <c r="F397" s="3" t="s">
        <v>340</v>
      </c>
      <c r="G397" s="3">
        <v>2</v>
      </c>
      <c r="H397" s="3">
        <v>0</v>
      </c>
      <c r="I397" s="3">
        <v>1</v>
      </c>
      <c r="J397" s="3">
        <v>1</v>
      </c>
      <c r="K397" s="3">
        <v>0</v>
      </c>
      <c r="L397" s="3">
        <v>0</v>
      </c>
      <c r="M397" s="3">
        <v>0</v>
      </c>
      <c r="N397" s="3" t="s">
        <v>341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1</v>
      </c>
      <c r="V397" s="3">
        <v>3</v>
      </c>
      <c r="W397" s="3" t="s">
        <v>381</v>
      </c>
      <c r="X397" s="3">
        <v>17.99</v>
      </c>
      <c r="Y397" s="3">
        <v>17.99</v>
      </c>
      <c r="Z397" s="3">
        <v>17.99</v>
      </c>
      <c r="AA397" s="3">
        <v>0</v>
      </c>
      <c r="AB397" s="3" t="s">
        <v>359</v>
      </c>
      <c r="AC397" s="3">
        <v>2</v>
      </c>
      <c r="AD397" s="3">
        <v>17.99</v>
      </c>
      <c r="AE397" s="3">
        <v>0</v>
      </c>
      <c r="AF397" s="3">
        <v>0</v>
      </c>
      <c r="AG397" s="3">
        <v>0</v>
      </c>
      <c r="AH397" s="3">
        <v>1.2</v>
      </c>
      <c r="AI397" s="3" t="s">
        <v>1728</v>
      </c>
      <c r="AJ397" s="3" t="s">
        <v>345</v>
      </c>
    </row>
    <row r="398" spans="1:36">
      <c r="A398" s="4">
        <v>43288</v>
      </c>
      <c r="B398" s="3" t="s">
        <v>1729</v>
      </c>
      <c r="C398" s="3" t="s">
        <v>1730</v>
      </c>
      <c r="D398" s="3" t="s">
        <v>1731</v>
      </c>
      <c r="E398" s="3" t="s">
        <v>22</v>
      </c>
      <c r="F398" s="3" t="s">
        <v>340</v>
      </c>
      <c r="G398" s="3">
        <v>7</v>
      </c>
      <c r="H398" s="3">
        <v>0</v>
      </c>
      <c r="I398" s="3">
        <v>7</v>
      </c>
      <c r="J398" s="3">
        <v>0</v>
      </c>
      <c r="K398" s="3">
        <v>0</v>
      </c>
      <c r="L398" s="3">
        <v>0</v>
      </c>
      <c r="M398" s="3">
        <v>0</v>
      </c>
      <c r="N398" s="3" t="s">
        <v>341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3</v>
      </c>
      <c r="U398" s="3">
        <v>11</v>
      </c>
      <c r="V398" s="3">
        <v>12</v>
      </c>
      <c r="W398" s="3"/>
      <c r="X398" s="3">
        <v>14.99</v>
      </c>
      <c r="Y398" s="3">
        <v>14.99</v>
      </c>
      <c r="Z398" s="3">
        <v>14.99</v>
      </c>
      <c r="AA398" s="3">
        <v>0</v>
      </c>
      <c r="AB398" s="3" t="s">
        <v>359</v>
      </c>
      <c r="AC398" s="3">
        <v>7</v>
      </c>
      <c r="AD398" s="3">
        <v>14.99</v>
      </c>
      <c r="AE398" s="3">
        <v>0</v>
      </c>
      <c r="AF398" s="3">
        <v>0</v>
      </c>
      <c r="AG398" s="3">
        <v>0</v>
      </c>
      <c r="AH398" s="3">
        <v>2.8235294117647</v>
      </c>
      <c r="AI398" s="3" t="s">
        <v>421</v>
      </c>
      <c r="AJ398" s="3" t="s">
        <v>345</v>
      </c>
    </row>
    <row r="399" spans="1:36">
      <c r="A399" s="4">
        <v>43288</v>
      </c>
      <c r="B399" s="3" t="s">
        <v>1732</v>
      </c>
      <c r="C399" s="3" t="s">
        <v>1733</v>
      </c>
      <c r="D399" s="3" t="s">
        <v>1734</v>
      </c>
      <c r="E399" s="3" t="s">
        <v>921</v>
      </c>
      <c r="F399" s="3" t="s">
        <v>340</v>
      </c>
      <c r="G399" s="3">
        <v>2</v>
      </c>
      <c r="H399" s="3">
        <v>0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 t="s">
        <v>341</v>
      </c>
      <c r="O399" s="3">
        <v>1</v>
      </c>
      <c r="P399" s="3">
        <v>1.46</v>
      </c>
      <c r="Q399" s="3">
        <v>0</v>
      </c>
      <c r="R399" s="3">
        <v>0</v>
      </c>
      <c r="S399" s="3">
        <v>0</v>
      </c>
      <c r="T399" s="3">
        <v>0</v>
      </c>
      <c r="U399" s="3">
        <v>2</v>
      </c>
      <c r="V399" s="3">
        <v>2</v>
      </c>
      <c r="W399" s="3" t="s">
        <v>342</v>
      </c>
      <c r="X399" s="3">
        <v>16.88</v>
      </c>
      <c r="Y399" s="3">
        <v>16.88</v>
      </c>
      <c r="Z399" s="3">
        <v>16.88</v>
      </c>
      <c r="AA399" s="3">
        <v>0</v>
      </c>
      <c r="AB399" s="3" t="s">
        <v>349</v>
      </c>
      <c r="AC399" s="3">
        <v>1</v>
      </c>
      <c r="AD399" s="3">
        <v>16.88</v>
      </c>
      <c r="AE399" s="3">
        <v>0</v>
      </c>
      <c r="AF399" s="3">
        <v>0</v>
      </c>
      <c r="AG399" s="3">
        <v>0</v>
      </c>
      <c r="AH399" s="3">
        <v>0.8</v>
      </c>
      <c r="AI399" s="3" t="s">
        <v>922</v>
      </c>
      <c r="AJ399" s="3" t="s">
        <v>345</v>
      </c>
    </row>
    <row r="400" spans="1:36">
      <c r="A400" s="4">
        <v>43288</v>
      </c>
      <c r="B400" s="3" t="s">
        <v>1735</v>
      </c>
      <c r="C400" s="3" t="s">
        <v>1736</v>
      </c>
      <c r="D400" s="3" t="s">
        <v>1737</v>
      </c>
      <c r="E400" s="3" t="s">
        <v>111</v>
      </c>
      <c r="F400" s="3" t="s">
        <v>340</v>
      </c>
      <c r="G400" s="3">
        <v>10</v>
      </c>
      <c r="H400" s="3">
        <v>0</v>
      </c>
      <c r="I400" s="3">
        <v>0</v>
      </c>
      <c r="J400" s="3">
        <v>3</v>
      </c>
      <c r="K400" s="3">
        <v>0</v>
      </c>
      <c r="L400" s="3">
        <v>0</v>
      </c>
      <c r="M400" s="3">
        <v>7</v>
      </c>
      <c r="N400" s="3" t="s">
        <v>341</v>
      </c>
      <c r="O400" s="3">
        <v>0</v>
      </c>
      <c r="P400" s="3">
        <v>0</v>
      </c>
      <c r="Q400" s="3">
        <v>7</v>
      </c>
      <c r="R400" s="3">
        <v>8.76</v>
      </c>
      <c r="S400" s="3">
        <v>0</v>
      </c>
      <c r="T400" s="3">
        <v>3</v>
      </c>
      <c r="U400" s="3">
        <v>7</v>
      </c>
      <c r="V400" s="3">
        <v>8</v>
      </c>
      <c r="W400" s="3"/>
      <c r="X400" s="3">
        <v>16.99</v>
      </c>
      <c r="Y400" s="3">
        <v>16.99</v>
      </c>
      <c r="Z400" s="3">
        <v>16.99</v>
      </c>
      <c r="AA400" s="3">
        <v>0</v>
      </c>
      <c r="AB400" s="3" t="s">
        <v>359</v>
      </c>
      <c r="AC400" s="3">
        <v>10</v>
      </c>
      <c r="AD400" s="3">
        <v>16.99</v>
      </c>
      <c r="AE400" s="3">
        <v>0</v>
      </c>
      <c r="AF400" s="3">
        <v>0</v>
      </c>
      <c r="AG400" s="3">
        <v>0</v>
      </c>
      <c r="AH400" s="3">
        <v>0.542372881355932</v>
      </c>
      <c r="AI400" s="3" t="s">
        <v>482</v>
      </c>
      <c r="AJ400" s="3" t="s">
        <v>345</v>
      </c>
    </row>
    <row r="401" spans="1:36">
      <c r="A401" s="4">
        <v>43288</v>
      </c>
      <c r="B401" s="3" t="s">
        <v>1738</v>
      </c>
      <c r="C401" s="3" t="s">
        <v>1739</v>
      </c>
      <c r="D401" s="3" t="s">
        <v>1740</v>
      </c>
      <c r="E401" s="3" t="s">
        <v>1510</v>
      </c>
      <c r="F401" s="3" t="s">
        <v>340</v>
      </c>
      <c r="G401" s="3">
        <v>2</v>
      </c>
      <c r="H401" s="3">
        <v>0</v>
      </c>
      <c r="I401" s="3">
        <v>0</v>
      </c>
      <c r="J401" s="3">
        <v>0</v>
      </c>
      <c r="K401" s="3">
        <v>0</v>
      </c>
      <c r="L401" s="3">
        <v>2</v>
      </c>
      <c r="M401" s="3">
        <v>0</v>
      </c>
      <c r="N401" s="3" t="s">
        <v>341</v>
      </c>
      <c r="O401" s="3">
        <v>0</v>
      </c>
      <c r="P401" s="3">
        <v>0</v>
      </c>
      <c r="Q401" s="3">
        <v>2</v>
      </c>
      <c r="R401" s="3">
        <v>1</v>
      </c>
      <c r="S401" s="3">
        <v>0</v>
      </c>
      <c r="T401" s="3">
        <v>0</v>
      </c>
      <c r="U401" s="3">
        <v>0</v>
      </c>
      <c r="V401" s="3">
        <v>0</v>
      </c>
      <c r="W401" s="3" t="s">
        <v>342</v>
      </c>
      <c r="X401" s="3">
        <v>13.9</v>
      </c>
      <c r="Y401" s="3">
        <v>13.9</v>
      </c>
      <c r="Z401" s="3">
        <v>13.9</v>
      </c>
      <c r="AA401" s="3">
        <v>0</v>
      </c>
      <c r="AB401" s="3" t="s">
        <v>359</v>
      </c>
      <c r="AC401" s="3">
        <v>2</v>
      </c>
      <c r="AD401" s="3">
        <v>13.9</v>
      </c>
      <c r="AE401" s="3">
        <v>0</v>
      </c>
      <c r="AF401" s="3">
        <v>0</v>
      </c>
      <c r="AG401" s="3">
        <v>0</v>
      </c>
      <c r="AH401" s="3">
        <v>0</v>
      </c>
      <c r="AI401" s="3" t="s">
        <v>344</v>
      </c>
      <c r="AJ401" s="3" t="s">
        <v>345</v>
      </c>
    </row>
    <row r="402" spans="1:36">
      <c r="A402" s="4">
        <v>43288</v>
      </c>
      <c r="B402" s="3" t="s">
        <v>1741</v>
      </c>
      <c r="C402" s="3" t="s">
        <v>1742</v>
      </c>
      <c r="D402" s="3" t="s">
        <v>1743</v>
      </c>
      <c r="E402" s="3" t="s">
        <v>490</v>
      </c>
      <c r="F402" s="3" t="s">
        <v>340</v>
      </c>
      <c r="G402" s="3">
        <v>2</v>
      </c>
      <c r="H402" s="3">
        <v>0</v>
      </c>
      <c r="I402" s="3">
        <v>0</v>
      </c>
      <c r="J402" s="3">
        <v>0</v>
      </c>
      <c r="K402" s="3">
        <v>0</v>
      </c>
      <c r="L402" s="3">
        <v>0</v>
      </c>
      <c r="M402" s="3">
        <v>2</v>
      </c>
      <c r="N402" s="3" t="s">
        <v>341</v>
      </c>
      <c r="O402" s="3">
        <v>0</v>
      </c>
      <c r="P402" s="3">
        <v>0</v>
      </c>
      <c r="Q402" s="3">
        <v>2</v>
      </c>
      <c r="R402" s="3">
        <v>2.5</v>
      </c>
      <c r="S402" s="3">
        <v>0</v>
      </c>
      <c r="T402" s="3">
        <v>0</v>
      </c>
      <c r="U402" s="3">
        <v>0</v>
      </c>
      <c r="V402" s="3">
        <v>0</v>
      </c>
      <c r="W402" s="3" t="s">
        <v>342</v>
      </c>
      <c r="X402" s="3">
        <v>16.99</v>
      </c>
      <c r="Y402" s="3">
        <v>16.99</v>
      </c>
      <c r="Z402" s="3">
        <v>16.99</v>
      </c>
      <c r="AA402" s="3">
        <v>0</v>
      </c>
      <c r="AB402" s="3" t="s">
        <v>343</v>
      </c>
      <c r="AC402" s="3">
        <v>0</v>
      </c>
      <c r="AD402" s="3">
        <v>13.59</v>
      </c>
      <c r="AE402" s="3">
        <v>63</v>
      </c>
      <c r="AF402" s="3">
        <v>0</v>
      </c>
      <c r="AG402" s="3">
        <v>16.542668</v>
      </c>
      <c r="AH402" s="3">
        <v>0</v>
      </c>
      <c r="AI402" s="3" t="s">
        <v>491</v>
      </c>
      <c r="AJ402" s="3" t="s">
        <v>345</v>
      </c>
    </row>
    <row r="403" spans="1:36">
      <c r="A403" s="4">
        <v>43288</v>
      </c>
      <c r="B403" s="3" t="s">
        <v>1744</v>
      </c>
      <c r="C403" s="3" t="s">
        <v>1745</v>
      </c>
      <c r="D403" s="3" t="s">
        <v>1746</v>
      </c>
      <c r="E403" s="3" t="s">
        <v>1747</v>
      </c>
      <c r="F403" s="3" t="s">
        <v>340</v>
      </c>
      <c r="G403" s="3">
        <v>2</v>
      </c>
      <c r="H403" s="3">
        <v>0</v>
      </c>
      <c r="I403" s="3">
        <v>0</v>
      </c>
      <c r="J403" s="3">
        <v>0</v>
      </c>
      <c r="K403" s="3">
        <v>2</v>
      </c>
      <c r="L403" s="3">
        <v>0</v>
      </c>
      <c r="M403" s="3">
        <v>0</v>
      </c>
      <c r="N403" s="3" t="s">
        <v>341</v>
      </c>
      <c r="O403" s="3">
        <v>2</v>
      </c>
      <c r="P403" s="3">
        <v>2.29</v>
      </c>
      <c r="Q403" s="3">
        <v>0</v>
      </c>
      <c r="R403" s="3">
        <v>0</v>
      </c>
      <c r="S403" s="3">
        <v>0</v>
      </c>
      <c r="T403" s="3">
        <v>0</v>
      </c>
      <c r="U403" s="3">
        <v>0</v>
      </c>
      <c r="V403" s="3">
        <v>1</v>
      </c>
      <c r="W403" s="3" t="s">
        <v>342</v>
      </c>
      <c r="X403" s="3">
        <v>17.99</v>
      </c>
      <c r="Y403" s="3">
        <v>17.99</v>
      </c>
      <c r="Z403" s="3">
        <v>17.99</v>
      </c>
      <c r="AA403" s="3">
        <v>0</v>
      </c>
      <c r="AB403" s="3" t="s">
        <v>343</v>
      </c>
      <c r="AC403" s="3">
        <v>0</v>
      </c>
      <c r="AD403" s="3">
        <v>16.09</v>
      </c>
      <c r="AE403" s="3">
        <v>154</v>
      </c>
      <c r="AF403" s="3">
        <v>0</v>
      </c>
      <c r="AG403" s="3">
        <v>41.114903</v>
      </c>
      <c r="AH403" s="3">
        <v>0.444444444444444</v>
      </c>
      <c r="AI403" s="3" t="s">
        <v>469</v>
      </c>
      <c r="AJ403" s="3" t="s">
        <v>345</v>
      </c>
    </row>
    <row r="404" spans="1:36">
      <c r="A404" s="4">
        <v>43288</v>
      </c>
      <c r="B404" s="3" t="s">
        <v>261</v>
      </c>
      <c r="C404" s="3" t="s">
        <v>262</v>
      </c>
      <c r="D404" s="3" t="s">
        <v>263</v>
      </c>
      <c r="E404" s="3" t="s">
        <v>221</v>
      </c>
      <c r="F404" s="3" t="s">
        <v>340</v>
      </c>
      <c r="G404" s="3">
        <v>1</v>
      </c>
      <c r="H404" s="3">
        <v>0</v>
      </c>
      <c r="I404" s="3">
        <v>1</v>
      </c>
      <c r="J404" s="3">
        <v>0</v>
      </c>
      <c r="K404" s="3">
        <v>0</v>
      </c>
      <c r="L404" s="3">
        <v>0</v>
      </c>
      <c r="M404" s="3">
        <v>0</v>
      </c>
      <c r="N404" s="3" t="s">
        <v>341</v>
      </c>
      <c r="O404" s="3">
        <v>0</v>
      </c>
      <c r="P404" s="3">
        <v>0</v>
      </c>
      <c r="Q404" s="3">
        <v>0</v>
      </c>
      <c r="R404" s="3">
        <v>0</v>
      </c>
      <c r="S404" s="3">
        <v>2</v>
      </c>
      <c r="T404" s="3">
        <v>10</v>
      </c>
      <c r="U404" s="3">
        <v>14</v>
      </c>
      <c r="V404" s="3">
        <v>14</v>
      </c>
      <c r="W404" s="3"/>
      <c r="X404" s="3">
        <v>39.99</v>
      </c>
      <c r="Y404" s="3">
        <v>19.99</v>
      </c>
      <c r="Z404" s="3">
        <v>19.99</v>
      </c>
      <c r="AA404" s="3">
        <v>0</v>
      </c>
      <c r="AB404" s="3" t="s">
        <v>359</v>
      </c>
      <c r="AC404" s="3">
        <v>3</v>
      </c>
      <c r="AD404" s="3">
        <v>19.99</v>
      </c>
      <c r="AE404" s="3">
        <v>0</v>
      </c>
      <c r="AF404" s="3">
        <v>0</v>
      </c>
      <c r="AG404" s="3">
        <v>0</v>
      </c>
      <c r="AH404" s="3">
        <v>3.5</v>
      </c>
      <c r="AI404" s="3" t="s">
        <v>518</v>
      </c>
      <c r="AJ404" s="3" t="s">
        <v>345</v>
      </c>
    </row>
    <row r="405" spans="1:36">
      <c r="A405" s="4">
        <v>43288</v>
      </c>
      <c r="B405" s="3" t="s">
        <v>1748</v>
      </c>
      <c r="C405" s="3" t="s">
        <v>1749</v>
      </c>
      <c r="D405" s="3" t="s">
        <v>1750</v>
      </c>
      <c r="E405" s="3" t="s">
        <v>1751</v>
      </c>
      <c r="F405" s="3" t="s">
        <v>340</v>
      </c>
      <c r="G405" s="3">
        <v>1</v>
      </c>
      <c r="H405" s="3">
        <v>0</v>
      </c>
      <c r="I405" s="3">
        <v>0</v>
      </c>
      <c r="J405" s="3">
        <v>0</v>
      </c>
      <c r="K405" s="3">
        <v>0</v>
      </c>
      <c r="L405" s="3">
        <v>1</v>
      </c>
      <c r="M405" s="3">
        <v>0</v>
      </c>
      <c r="N405" s="3" t="s">
        <v>341</v>
      </c>
      <c r="O405" s="3">
        <v>1</v>
      </c>
      <c r="P405" s="3">
        <v>0</v>
      </c>
      <c r="Q405" s="3">
        <v>0</v>
      </c>
      <c r="R405" s="3">
        <v>0</v>
      </c>
      <c r="S405" s="3">
        <v>0</v>
      </c>
      <c r="T405" s="3">
        <v>0</v>
      </c>
      <c r="U405" s="3">
        <v>0</v>
      </c>
      <c r="V405" s="3">
        <v>0</v>
      </c>
      <c r="W405" s="3" t="s">
        <v>342</v>
      </c>
      <c r="X405" s="3">
        <v>19.9</v>
      </c>
      <c r="Y405" s="3">
        <v>19.9</v>
      </c>
      <c r="Z405" s="3">
        <v>19.9</v>
      </c>
      <c r="AA405" s="3">
        <v>0</v>
      </c>
      <c r="AB405" s="3" t="s">
        <v>359</v>
      </c>
      <c r="AC405" s="3">
        <v>1</v>
      </c>
      <c r="AD405" s="3">
        <v>19.9</v>
      </c>
      <c r="AE405" s="3">
        <v>0</v>
      </c>
      <c r="AF405" s="3">
        <v>0</v>
      </c>
      <c r="AG405" s="3">
        <v>0</v>
      </c>
      <c r="AH405" s="3">
        <v>0</v>
      </c>
      <c r="AI405" s="3" t="s">
        <v>728</v>
      </c>
      <c r="AJ405" s="3" t="s">
        <v>345</v>
      </c>
    </row>
    <row r="406" spans="1:36">
      <c r="A406" s="4">
        <v>43288</v>
      </c>
      <c r="B406" s="3" t="s">
        <v>81</v>
      </c>
      <c r="C406" s="3" t="s">
        <v>82</v>
      </c>
      <c r="D406" s="3" t="s">
        <v>83</v>
      </c>
      <c r="E406" s="3" t="s">
        <v>84</v>
      </c>
      <c r="F406" s="3" t="s">
        <v>340</v>
      </c>
      <c r="G406" s="3">
        <v>8</v>
      </c>
      <c r="H406" s="3">
        <v>0</v>
      </c>
      <c r="I406" s="3">
        <v>2</v>
      </c>
      <c r="J406" s="3">
        <v>0</v>
      </c>
      <c r="K406" s="3">
        <v>0</v>
      </c>
      <c r="L406" s="3">
        <v>6</v>
      </c>
      <c r="M406" s="3">
        <v>0</v>
      </c>
      <c r="N406" s="3" t="s">
        <v>341</v>
      </c>
      <c r="O406" s="3">
        <v>0</v>
      </c>
      <c r="P406" s="3">
        <v>0</v>
      </c>
      <c r="Q406" s="3">
        <v>6</v>
      </c>
      <c r="R406" s="3">
        <v>7.51</v>
      </c>
      <c r="S406" s="3">
        <v>1</v>
      </c>
      <c r="T406" s="3">
        <v>2</v>
      </c>
      <c r="U406" s="3">
        <v>2</v>
      </c>
      <c r="V406" s="3">
        <v>3</v>
      </c>
      <c r="W406" s="3"/>
      <c r="X406" s="3">
        <v>16.99</v>
      </c>
      <c r="Y406" s="3">
        <v>16.99</v>
      </c>
      <c r="Z406" s="3">
        <v>16.99</v>
      </c>
      <c r="AA406" s="3">
        <v>0</v>
      </c>
      <c r="AB406" s="3" t="s">
        <v>359</v>
      </c>
      <c r="AC406" s="3">
        <v>8</v>
      </c>
      <c r="AD406" s="3">
        <v>16.99</v>
      </c>
      <c r="AE406" s="3">
        <v>0</v>
      </c>
      <c r="AF406" s="3">
        <v>0</v>
      </c>
      <c r="AG406" s="3">
        <v>0</v>
      </c>
      <c r="AH406" s="3">
        <v>0.324324324324324</v>
      </c>
      <c r="AI406" s="3" t="s">
        <v>482</v>
      </c>
      <c r="AJ406" s="3" t="s">
        <v>345</v>
      </c>
    </row>
    <row r="407" spans="1:36">
      <c r="A407" s="4">
        <v>43288</v>
      </c>
      <c r="B407" s="3" t="s">
        <v>1752</v>
      </c>
      <c r="C407" s="3" t="s">
        <v>1753</v>
      </c>
      <c r="D407" s="3" t="s">
        <v>1754</v>
      </c>
      <c r="E407" s="3" t="s">
        <v>123</v>
      </c>
      <c r="F407" s="3" t="s">
        <v>340</v>
      </c>
      <c r="G407" s="3">
        <v>1</v>
      </c>
      <c r="H407" s="3">
        <v>0</v>
      </c>
      <c r="I407" s="3">
        <v>1</v>
      </c>
      <c r="J407" s="3">
        <v>0</v>
      </c>
      <c r="K407" s="3">
        <v>0</v>
      </c>
      <c r="L407" s="3">
        <v>0</v>
      </c>
      <c r="M407" s="3">
        <v>0</v>
      </c>
      <c r="N407" s="3" t="s">
        <v>341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8</v>
      </c>
      <c r="U407" s="3">
        <v>13</v>
      </c>
      <c r="V407" s="3">
        <v>13</v>
      </c>
      <c r="W407" s="3"/>
      <c r="X407" s="3"/>
      <c r="Y407" s="3"/>
      <c r="Z407" s="3">
        <v>-1</v>
      </c>
      <c r="AA407" s="3">
        <v>-1</v>
      </c>
      <c r="AB407" s="3" t="s">
        <v>493</v>
      </c>
      <c r="AC407" s="3">
        <v>0</v>
      </c>
      <c r="AD407" s="3">
        <v>0</v>
      </c>
      <c r="AE407" s="3">
        <v>0</v>
      </c>
      <c r="AF407" s="3">
        <v>0</v>
      </c>
      <c r="AG407" s="3">
        <v>0</v>
      </c>
      <c r="AH407" s="3">
        <v>4.33333333333333</v>
      </c>
      <c r="AI407" s="3" t="s">
        <v>486</v>
      </c>
      <c r="AJ407" s="3" t="s">
        <v>902</v>
      </c>
    </row>
    <row r="408" spans="1:36">
      <c r="A408" s="4">
        <v>43288</v>
      </c>
      <c r="B408" s="3" t="s">
        <v>1755</v>
      </c>
      <c r="C408" s="3" t="s">
        <v>1756</v>
      </c>
      <c r="D408" s="3" t="s">
        <v>1757</v>
      </c>
      <c r="E408" s="3" t="s">
        <v>732</v>
      </c>
      <c r="F408" s="3" t="s">
        <v>340</v>
      </c>
      <c r="G408" s="3">
        <v>2</v>
      </c>
      <c r="H408" s="3">
        <v>0</v>
      </c>
      <c r="I408" s="3">
        <v>0</v>
      </c>
      <c r="J408" s="3">
        <v>0</v>
      </c>
      <c r="K408" s="3">
        <v>0</v>
      </c>
      <c r="L408" s="3">
        <v>1</v>
      </c>
      <c r="M408" s="3">
        <v>1</v>
      </c>
      <c r="N408" s="3" t="s">
        <v>341</v>
      </c>
      <c r="O408" s="3">
        <v>0</v>
      </c>
      <c r="P408" s="3">
        <v>0</v>
      </c>
      <c r="Q408" s="3">
        <v>2</v>
      </c>
      <c r="R408" s="3">
        <v>1.83</v>
      </c>
      <c r="S408" s="3">
        <v>0</v>
      </c>
      <c r="T408" s="3">
        <v>0</v>
      </c>
      <c r="U408" s="3">
        <v>0</v>
      </c>
      <c r="V408" s="3">
        <v>1</v>
      </c>
      <c r="W408" s="3" t="s">
        <v>342</v>
      </c>
      <c r="X408" s="3">
        <v>19.99</v>
      </c>
      <c r="Y408" s="3">
        <v>19.99</v>
      </c>
      <c r="Z408" s="3">
        <v>19.99</v>
      </c>
      <c r="AA408" s="3">
        <v>0</v>
      </c>
      <c r="AB408" s="3" t="s">
        <v>349</v>
      </c>
      <c r="AC408" s="3">
        <v>0</v>
      </c>
      <c r="AD408" s="3">
        <v>17.49</v>
      </c>
      <c r="AE408" s="3">
        <v>322</v>
      </c>
      <c r="AF408" s="3">
        <v>0</v>
      </c>
      <c r="AG408" s="3">
        <v>26.162829</v>
      </c>
      <c r="AH408" s="3">
        <v>0.444444444444444</v>
      </c>
      <c r="AI408" s="3" t="s">
        <v>1758</v>
      </c>
      <c r="AJ408" s="3" t="s">
        <v>345</v>
      </c>
    </row>
    <row r="409" spans="1:36">
      <c r="A409" s="4">
        <v>43288</v>
      </c>
      <c r="B409" s="3" t="s">
        <v>1759</v>
      </c>
      <c r="C409" s="3" t="s">
        <v>1760</v>
      </c>
      <c r="D409" s="3" t="s">
        <v>1761</v>
      </c>
      <c r="E409" s="3" t="s">
        <v>1762</v>
      </c>
      <c r="F409" s="3" t="s">
        <v>340</v>
      </c>
      <c r="G409" s="3">
        <v>1</v>
      </c>
      <c r="H409" s="3">
        <v>0</v>
      </c>
      <c r="I409" s="3">
        <v>0</v>
      </c>
      <c r="J409" s="3">
        <v>1</v>
      </c>
      <c r="K409" s="3">
        <v>0</v>
      </c>
      <c r="L409" s="3">
        <v>0</v>
      </c>
      <c r="M409" s="3">
        <v>0</v>
      </c>
      <c r="N409" s="3" t="s">
        <v>341</v>
      </c>
      <c r="O409" s="3">
        <v>1</v>
      </c>
      <c r="P409" s="3">
        <v>1.24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 t="s">
        <v>342</v>
      </c>
      <c r="X409" s="3">
        <v>15.99</v>
      </c>
      <c r="Y409" s="3">
        <v>15.99</v>
      </c>
      <c r="Z409" s="3">
        <v>15.99</v>
      </c>
      <c r="AA409" s="3">
        <v>0</v>
      </c>
      <c r="AB409" s="3" t="s">
        <v>349</v>
      </c>
      <c r="AC409" s="3">
        <v>0</v>
      </c>
      <c r="AD409" s="3">
        <v>14.52</v>
      </c>
      <c r="AE409" s="3">
        <v>49</v>
      </c>
      <c r="AF409" s="3">
        <v>0</v>
      </c>
      <c r="AG409" s="3">
        <v>21.12704</v>
      </c>
      <c r="AH409" s="3">
        <v>0</v>
      </c>
      <c r="AI409" s="3" t="s">
        <v>397</v>
      </c>
      <c r="AJ409" s="3" t="s">
        <v>345</v>
      </c>
    </row>
    <row r="410" spans="1:36">
      <c r="A410" s="4">
        <v>43288</v>
      </c>
      <c r="B410" s="3" t="s">
        <v>1763</v>
      </c>
      <c r="C410" s="3" t="s">
        <v>1764</v>
      </c>
      <c r="D410" s="3" t="s">
        <v>1765</v>
      </c>
      <c r="E410" s="3" t="s">
        <v>490</v>
      </c>
      <c r="F410" s="3" t="s">
        <v>340</v>
      </c>
      <c r="G410" s="3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3</v>
      </c>
      <c r="N410" s="3" t="s">
        <v>341</v>
      </c>
      <c r="O410" s="3">
        <v>0</v>
      </c>
      <c r="P410" s="3">
        <v>0</v>
      </c>
      <c r="Q410" s="3">
        <v>3</v>
      </c>
      <c r="R410" s="3">
        <v>3.75</v>
      </c>
      <c r="S410" s="3">
        <v>0</v>
      </c>
      <c r="T410" s="3">
        <v>0</v>
      </c>
      <c r="U410" s="3">
        <v>0</v>
      </c>
      <c r="V410" s="3">
        <v>0</v>
      </c>
      <c r="W410" s="3" t="s">
        <v>342</v>
      </c>
      <c r="X410" s="3">
        <v>16.99</v>
      </c>
      <c r="Y410" s="3">
        <v>16.99</v>
      </c>
      <c r="Z410" s="3">
        <v>16.99</v>
      </c>
      <c r="AA410" s="3">
        <v>0</v>
      </c>
      <c r="AB410" s="3" t="s">
        <v>343</v>
      </c>
      <c r="AC410" s="3">
        <v>0</v>
      </c>
      <c r="AD410" s="3">
        <v>13.59</v>
      </c>
      <c r="AE410" s="3">
        <v>63</v>
      </c>
      <c r="AF410" s="3">
        <v>0</v>
      </c>
      <c r="AG410" s="3">
        <v>24.814002</v>
      </c>
      <c r="AH410" s="3">
        <v>0</v>
      </c>
      <c r="AI410" s="3" t="s">
        <v>491</v>
      </c>
      <c r="AJ410" s="3" t="s">
        <v>345</v>
      </c>
    </row>
    <row r="411" spans="1:36">
      <c r="A411" s="4">
        <v>43288</v>
      </c>
      <c r="B411" s="3" t="s">
        <v>1766</v>
      </c>
      <c r="C411" s="3" t="s">
        <v>1767</v>
      </c>
      <c r="D411" s="3" t="s">
        <v>1768</v>
      </c>
      <c r="E411" s="3" t="s">
        <v>1769</v>
      </c>
      <c r="F411" s="3" t="s">
        <v>340</v>
      </c>
      <c r="G411" s="3">
        <v>1</v>
      </c>
      <c r="H411" s="3">
        <v>0</v>
      </c>
      <c r="I411" s="3">
        <v>0</v>
      </c>
      <c r="J411" s="3">
        <v>0</v>
      </c>
      <c r="K411" s="3">
        <v>0</v>
      </c>
      <c r="L411" s="3">
        <v>1</v>
      </c>
      <c r="M411" s="3">
        <v>0</v>
      </c>
      <c r="N411" s="3" t="s">
        <v>341</v>
      </c>
      <c r="O411" s="3">
        <v>1</v>
      </c>
      <c r="P411" s="3">
        <v>3.2</v>
      </c>
      <c r="Q411" s="3">
        <v>0</v>
      </c>
      <c r="R411" s="3">
        <v>0</v>
      </c>
      <c r="S411" s="3">
        <v>0</v>
      </c>
      <c r="T411" s="3">
        <v>1</v>
      </c>
      <c r="U411" s="3">
        <v>2</v>
      </c>
      <c r="V411" s="3">
        <v>4</v>
      </c>
      <c r="W411" s="3" t="s">
        <v>342</v>
      </c>
      <c r="X411" s="3">
        <v>23.99</v>
      </c>
      <c r="Y411" s="3">
        <v>23.99</v>
      </c>
      <c r="Z411" s="3">
        <v>23.99</v>
      </c>
      <c r="AA411" s="3">
        <v>0</v>
      </c>
      <c r="AB411" s="3" t="s">
        <v>349</v>
      </c>
      <c r="AC411" s="3">
        <v>1</v>
      </c>
      <c r="AD411" s="3">
        <v>23.99</v>
      </c>
      <c r="AE411" s="3">
        <v>0</v>
      </c>
      <c r="AF411" s="3">
        <v>0</v>
      </c>
      <c r="AG411" s="3">
        <v>0</v>
      </c>
      <c r="AH411" s="3">
        <v>1.45454545454545</v>
      </c>
      <c r="AI411" s="3" t="s">
        <v>948</v>
      </c>
      <c r="AJ411" s="3" t="s">
        <v>345</v>
      </c>
    </row>
    <row r="412" spans="1:36">
      <c r="A412" s="4">
        <v>43288</v>
      </c>
      <c r="B412" s="3" t="s">
        <v>163</v>
      </c>
      <c r="C412" s="3" t="s">
        <v>164</v>
      </c>
      <c r="D412" s="3" t="s">
        <v>165</v>
      </c>
      <c r="E412" s="3" t="s">
        <v>123</v>
      </c>
      <c r="F412" s="3" t="s">
        <v>340</v>
      </c>
      <c r="G412" s="3">
        <v>1</v>
      </c>
      <c r="H412" s="3">
        <v>0</v>
      </c>
      <c r="I412" s="3">
        <v>1</v>
      </c>
      <c r="J412" s="3">
        <v>0</v>
      </c>
      <c r="K412" s="3">
        <v>0</v>
      </c>
      <c r="L412" s="3">
        <v>0</v>
      </c>
      <c r="M412" s="3">
        <v>0</v>
      </c>
      <c r="N412" s="3" t="s">
        <v>341</v>
      </c>
      <c r="O412" s="3">
        <v>0</v>
      </c>
      <c r="P412" s="3">
        <v>0</v>
      </c>
      <c r="Q412" s="3">
        <v>0</v>
      </c>
      <c r="R412" s="3">
        <v>0</v>
      </c>
      <c r="S412" s="3">
        <v>4</v>
      </c>
      <c r="T412" s="3">
        <v>13</v>
      </c>
      <c r="U412" s="3">
        <v>21</v>
      </c>
      <c r="V412" s="3">
        <v>21</v>
      </c>
      <c r="W412" s="3"/>
      <c r="X412" s="3">
        <v>19.99</v>
      </c>
      <c r="Y412" s="3">
        <v>19.99</v>
      </c>
      <c r="Z412" s="3">
        <v>19.99</v>
      </c>
      <c r="AA412" s="3">
        <v>0</v>
      </c>
      <c r="AB412" s="3" t="s">
        <v>359</v>
      </c>
      <c r="AC412" s="3">
        <v>2</v>
      </c>
      <c r="AD412" s="3">
        <v>19.99</v>
      </c>
      <c r="AE412" s="3">
        <v>0</v>
      </c>
      <c r="AF412" s="3">
        <v>0</v>
      </c>
      <c r="AG412" s="3">
        <v>0</v>
      </c>
      <c r="AH412" s="3">
        <v>10.5</v>
      </c>
      <c r="AI412" s="3" t="s">
        <v>486</v>
      </c>
      <c r="AJ412" s="3" t="s">
        <v>345</v>
      </c>
    </row>
    <row r="413" spans="1:36">
      <c r="A413" s="4">
        <v>43288</v>
      </c>
      <c r="B413" s="3" t="s">
        <v>1770</v>
      </c>
      <c r="C413" s="3" t="s">
        <v>1771</v>
      </c>
      <c r="D413" s="3" t="s">
        <v>1772</v>
      </c>
      <c r="E413" s="3" t="s">
        <v>468</v>
      </c>
      <c r="F413" s="3" t="s">
        <v>340</v>
      </c>
      <c r="G413" s="3">
        <v>6</v>
      </c>
      <c r="H413" s="3">
        <v>0</v>
      </c>
      <c r="I413" s="3">
        <v>0</v>
      </c>
      <c r="J413" s="3">
        <v>1</v>
      </c>
      <c r="K413" s="3">
        <v>5</v>
      </c>
      <c r="L413" s="3">
        <v>0</v>
      </c>
      <c r="M413" s="3">
        <v>0</v>
      </c>
      <c r="N413" s="3" t="s">
        <v>341</v>
      </c>
      <c r="O413" s="3">
        <v>5</v>
      </c>
      <c r="P413" s="3">
        <v>5.73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 t="s">
        <v>342</v>
      </c>
      <c r="X413" s="3">
        <v>17.99</v>
      </c>
      <c r="Y413" s="3">
        <v>17.99</v>
      </c>
      <c r="Z413" s="3">
        <v>17.99</v>
      </c>
      <c r="AA413" s="3">
        <v>0</v>
      </c>
      <c r="AB413" s="3" t="s">
        <v>349</v>
      </c>
      <c r="AC413" s="3">
        <v>0</v>
      </c>
      <c r="AD413" s="3">
        <v>15.87</v>
      </c>
      <c r="AE413" s="3">
        <v>210</v>
      </c>
      <c r="AF413" s="3">
        <v>0</v>
      </c>
      <c r="AG413" s="3">
        <v>121.983084</v>
      </c>
      <c r="AH413" s="3">
        <v>0</v>
      </c>
      <c r="AI413" s="3" t="s">
        <v>469</v>
      </c>
      <c r="AJ413" s="3" t="s">
        <v>345</v>
      </c>
    </row>
    <row r="414" spans="1:36">
      <c r="A414" s="4">
        <v>43288</v>
      </c>
      <c r="B414" s="3" t="s">
        <v>1773</v>
      </c>
      <c r="C414" s="3" t="s">
        <v>1774</v>
      </c>
      <c r="D414" s="3" t="s">
        <v>1775</v>
      </c>
      <c r="E414" s="3" t="s">
        <v>53</v>
      </c>
      <c r="F414" s="3" t="s">
        <v>340</v>
      </c>
      <c r="G414" s="3">
        <v>5</v>
      </c>
      <c r="H414" s="3">
        <v>0</v>
      </c>
      <c r="I414" s="3">
        <v>5</v>
      </c>
      <c r="J414" s="3">
        <v>0</v>
      </c>
      <c r="K414" s="3">
        <v>0</v>
      </c>
      <c r="L414" s="3">
        <v>0</v>
      </c>
      <c r="M414" s="3">
        <v>0</v>
      </c>
      <c r="N414" s="3" t="s">
        <v>341</v>
      </c>
      <c r="O414" s="3">
        <v>0</v>
      </c>
      <c r="P414" s="3">
        <v>0</v>
      </c>
      <c r="Q414" s="3">
        <v>0</v>
      </c>
      <c r="R414" s="3">
        <v>0</v>
      </c>
      <c r="S414" s="3">
        <v>4</v>
      </c>
      <c r="T414" s="3">
        <v>11</v>
      </c>
      <c r="U414" s="3">
        <v>24</v>
      </c>
      <c r="V414" s="3">
        <v>31</v>
      </c>
      <c r="W414" s="3"/>
      <c r="X414" s="3">
        <v>18.98</v>
      </c>
      <c r="Y414" s="3">
        <v>18.98</v>
      </c>
      <c r="Z414" s="3">
        <v>18.98</v>
      </c>
      <c r="AA414" s="3">
        <v>0</v>
      </c>
      <c r="AB414" s="3" t="s">
        <v>359</v>
      </c>
      <c r="AC414" s="3">
        <v>9</v>
      </c>
      <c r="AD414" s="3">
        <v>18.98</v>
      </c>
      <c r="AE414" s="3">
        <v>0</v>
      </c>
      <c r="AF414" s="3">
        <v>0</v>
      </c>
      <c r="AG414" s="3">
        <v>0</v>
      </c>
      <c r="AH414" s="3">
        <v>3.17948717948717</v>
      </c>
      <c r="AI414" s="3" t="s">
        <v>431</v>
      </c>
      <c r="AJ414" s="3" t="s">
        <v>345</v>
      </c>
    </row>
    <row r="415" spans="1:36">
      <c r="A415" s="4">
        <v>43288</v>
      </c>
      <c r="B415" s="3" t="s">
        <v>289</v>
      </c>
      <c r="C415" s="3" t="s">
        <v>290</v>
      </c>
      <c r="D415" s="3" t="s">
        <v>291</v>
      </c>
      <c r="E415" s="3" t="s">
        <v>247</v>
      </c>
      <c r="F415" s="3" t="s">
        <v>340</v>
      </c>
      <c r="G415" s="3">
        <v>7</v>
      </c>
      <c r="H415" s="3">
        <v>0</v>
      </c>
      <c r="I415" s="3">
        <v>7</v>
      </c>
      <c r="J415" s="3">
        <v>0</v>
      </c>
      <c r="K415" s="3">
        <v>0</v>
      </c>
      <c r="L415" s="3">
        <v>0</v>
      </c>
      <c r="M415" s="3">
        <v>0</v>
      </c>
      <c r="N415" s="3" t="s">
        <v>341</v>
      </c>
      <c r="O415" s="3">
        <v>0</v>
      </c>
      <c r="P415" s="3">
        <v>0</v>
      </c>
      <c r="Q415" s="3">
        <v>0</v>
      </c>
      <c r="R415" s="3">
        <v>0</v>
      </c>
      <c r="S415" s="3">
        <v>2</v>
      </c>
      <c r="T415" s="3">
        <v>6</v>
      </c>
      <c r="U415" s="3">
        <v>27</v>
      </c>
      <c r="V415" s="3">
        <v>34</v>
      </c>
      <c r="W415" s="3"/>
      <c r="X415" s="3">
        <v>39.99</v>
      </c>
      <c r="Y415" s="3">
        <v>19.99</v>
      </c>
      <c r="Z415" s="3">
        <v>19.99</v>
      </c>
      <c r="AA415" s="3">
        <v>0</v>
      </c>
      <c r="AB415" s="3" t="s">
        <v>359</v>
      </c>
      <c r="AC415" s="3">
        <v>10</v>
      </c>
      <c r="AD415" s="3">
        <v>19.99</v>
      </c>
      <c r="AE415" s="3">
        <v>0</v>
      </c>
      <c r="AF415" s="3">
        <v>0</v>
      </c>
      <c r="AG415" s="3">
        <v>0</v>
      </c>
      <c r="AH415" s="3">
        <v>6.8</v>
      </c>
      <c r="AI415" s="3" t="s">
        <v>709</v>
      </c>
      <c r="AJ415" s="3" t="s">
        <v>345</v>
      </c>
    </row>
    <row r="416" spans="1:36">
      <c r="A416" s="4">
        <v>43288</v>
      </c>
      <c r="B416" s="3" t="s">
        <v>1776</v>
      </c>
      <c r="C416" s="3" t="s">
        <v>1777</v>
      </c>
      <c r="D416" s="3" t="s">
        <v>1778</v>
      </c>
      <c r="E416" s="3" t="s">
        <v>1779</v>
      </c>
      <c r="F416" s="3" t="s">
        <v>340</v>
      </c>
      <c r="G416" s="3">
        <v>4</v>
      </c>
      <c r="H416" s="3">
        <v>0</v>
      </c>
      <c r="I416" s="3">
        <v>0</v>
      </c>
      <c r="J416" s="3">
        <v>0</v>
      </c>
      <c r="K416" s="3">
        <v>1</v>
      </c>
      <c r="L416" s="3">
        <v>3</v>
      </c>
      <c r="M416" s="3">
        <v>0</v>
      </c>
      <c r="N416" s="3" t="s">
        <v>341</v>
      </c>
      <c r="O416" s="3">
        <v>3</v>
      </c>
      <c r="P416" s="3">
        <v>3.14</v>
      </c>
      <c r="Q416" s="3">
        <v>1</v>
      </c>
      <c r="R416" s="3">
        <v>2.09</v>
      </c>
      <c r="S416" s="3">
        <v>0</v>
      </c>
      <c r="T416" s="3">
        <v>0</v>
      </c>
      <c r="U416" s="3">
        <v>0</v>
      </c>
      <c r="V416" s="3">
        <v>0</v>
      </c>
      <c r="W416" s="3" t="s">
        <v>381</v>
      </c>
      <c r="X416" s="3">
        <v>19.99</v>
      </c>
      <c r="Y416" s="3">
        <v>19.99</v>
      </c>
      <c r="Z416" s="3">
        <v>19.99</v>
      </c>
      <c r="AA416" s="3">
        <v>0</v>
      </c>
      <c r="AB416" s="3" t="s">
        <v>343</v>
      </c>
      <c r="AC416" s="3">
        <v>0</v>
      </c>
      <c r="AD416" s="3">
        <v>17</v>
      </c>
      <c r="AE416" s="3">
        <v>280</v>
      </c>
      <c r="AF416" s="3">
        <v>0</v>
      </c>
      <c r="AG416" s="3">
        <v>77.675475</v>
      </c>
      <c r="AH416" s="3">
        <v>0</v>
      </c>
      <c r="AI416" s="3" t="s">
        <v>1137</v>
      </c>
      <c r="AJ416" s="3" t="s">
        <v>345</v>
      </c>
    </row>
    <row r="417" spans="1:36">
      <c r="A417" s="4">
        <v>43288</v>
      </c>
      <c r="B417" s="3" t="s">
        <v>89</v>
      </c>
      <c r="C417" s="3" t="s">
        <v>90</v>
      </c>
      <c r="D417" s="3" t="s">
        <v>91</v>
      </c>
      <c r="E417" s="3" t="s">
        <v>64</v>
      </c>
      <c r="F417" s="3" t="s">
        <v>340</v>
      </c>
      <c r="G417" s="3">
        <v>25</v>
      </c>
      <c r="H417" s="3">
        <v>0</v>
      </c>
      <c r="I417" s="3">
        <v>25</v>
      </c>
      <c r="J417" s="3">
        <v>0</v>
      </c>
      <c r="K417" s="3">
        <v>0</v>
      </c>
      <c r="L417" s="3">
        <v>0</v>
      </c>
      <c r="M417" s="3">
        <v>0</v>
      </c>
      <c r="N417" s="3" t="s">
        <v>341</v>
      </c>
      <c r="O417" s="3">
        <v>0</v>
      </c>
      <c r="P417" s="3">
        <v>0</v>
      </c>
      <c r="Q417" s="3">
        <v>0</v>
      </c>
      <c r="R417" s="3">
        <v>0</v>
      </c>
      <c r="S417" s="3">
        <v>5</v>
      </c>
      <c r="T417" s="3">
        <v>24</v>
      </c>
      <c r="U417" s="3">
        <v>47</v>
      </c>
      <c r="V417" s="3">
        <v>60</v>
      </c>
      <c r="W417" s="3"/>
      <c r="X417" s="3">
        <v>29.99</v>
      </c>
      <c r="Y417" s="3">
        <v>18.99</v>
      </c>
      <c r="Z417" s="3">
        <v>18.99</v>
      </c>
      <c r="AA417" s="3">
        <v>0</v>
      </c>
      <c r="AB417" s="3" t="s">
        <v>359</v>
      </c>
      <c r="AC417" s="3">
        <v>27</v>
      </c>
      <c r="AD417" s="3">
        <v>18.99</v>
      </c>
      <c r="AE417" s="3">
        <v>0</v>
      </c>
      <c r="AF417" s="3">
        <v>0</v>
      </c>
      <c r="AG417" s="3">
        <v>0</v>
      </c>
      <c r="AH417" s="3">
        <v>4.36363636363636</v>
      </c>
      <c r="AI417" s="3" t="s">
        <v>1634</v>
      </c>
      <c r="AJ417" s="3" t="s">
        <v>345</v>
      </c>
    </row>
    <row r="418" spans="1:36">
      <c r="A418" s="4">
        <v>43288</v>
      </c>
      <c r="B418" s="3" t="s">
        <v>1780</v>
      </c>
      <c r="C418" s="3" t="s">
        <v>1781</v>
      </c>
      <c r="D418" s="3" t="s">
        <v>1782</v>
      </c>
      <c r="E418" s="3" t="s">
        <v>53</v>
      </c>
      <c r="F418" s="3" t="s">
        <v>340</v>
      </c>
      <c r="G418" s="3">
        <v>48</v>
      </c>
      <c r="H418" s="3">
        <v>0</v>
      </c>
      <c r="I418" s="3">
        <v>48</v>
      </c>
      <c r="J418" s="3">
        <v>0</v>
      </c>
      <c r="K418" s="3">
        <v>0</v>
      </c>
      <c r="L418" s="3">
        <v>0</v>
      </c>
      <c r="M418" s="3">
        <v>0</v>
      </c>
      <c r="N418" s="3" t="s">
        <v>341</v>
      </c>
      <c r="O418" s="3">
        <v>0</v>
      </c>
      <c r="P418" s="3">
        <v>0</v>
      </c>
      <c r="Q418" s="3">
        <v>0</v>
      </c>
      <c r="R418" s="3">
        <v>0</v>
      </c>
      <c r="S418" s="3">
        <v>3</v>
      </c>
      <c r="T418" s="3">
        <v>24</v>
      </c>
      <c r="U418" s="3">
        <v>51</v>
      </c>
      <c r="V418" s="3">
        <v>82</v>
      </c>
      <c r="W418" s="3"/>
      <c r="X418" s="3">
        <v>18.98</v>
      </c>
      <c r="Y418" s="3">
        <v>18.98</v>
      </c>
      <c r="Z418" s="3">
        <v>18.98</v>
      </c>
      <c r="AA418" s="3">
        <v>0</v>
      </c>
      <c r="AB418" s="3" t="s">
        <v>359</v>
      </c>
      <c r="AC418" s="3">
        <v>48</v>
      </c>
      <c r="AD418" s="3">
        <v>18.98</v>
      </c>
      <c r="AE418" s="3">
        <v>0</v>
      </c>
      <c r="AF418" s="3">
        <v>0</v>
      </c>
      <c r="AG418" s="3">
        <v>0</v>
      </c>
      <c r="AH418" s="3">
        <v>3.95180722891566</v>
      </c>
      <c r="AI418" s="3" t="s">
        <v>431</v>
      </c>
      <c r="AJ418" s="3" t="s">
        <v>345</v>
      </c>
    </row>
    <row r="419" spans="1:36">
      <c r="A419" s="4">
        <v>43288</v>
      </c>
      <c r="B419" s="3" t="s">
        <v>1783</v>
      </c>
      <c r="C419" s="3" t="s">
        <v>1784</v>
      </c>
      <c r="D419" s="3" t="s">
        <v>1785</v>
      </c>
      <c r="E419" s="3" t="s">
        <v>1786</v>
      </c>
      <c r="F419" s="3" t="s">
        <v>340</v>
      </c>
      <c r="G419" s="3">
        <v>6</v>
      </c>
      <c r="H419" s="3">
        <v>0</v>
      </c>
      <c r="I419" s="3">
        <v>1</v>
      </c>
      <c r="J419" s="3">
        <v>5</v>
      </c>
      <c r="K419" s="3">
        <v>0</v>
      </c>
      <c r="L419" s="3">
        <v>0</v>
      </c>
      <c r="M419" s="3">
        <v>0</v>
      </c>
      <c r="N419" s="3" t="s">
        <v>341</v>
      </c>
      <c r="O419" s="3">
        <v>3</v>
      </c>
      <c r="P419" s="3">
        <v>6.38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1</v>
      </c>
      <c r="W419" s="3" t="s">
        <v>381</v>
      </c>
      <c r="X419" s="3">
        <v>17.99</v>
      </c>
      <c r="Y419" s="3">
        <v>17.99</v>
      </c>
      <c r="Z419" s="3">
        <v>17.99</v>
      </c>
      <c r="AA419" s="3">
        <v>0</v>
      </c>
      <c r="AB419" s="3" t="s">
        <v>343</v>
      </c>
      <c r="AC419" s="3">
        <v>2</v>
      </c>
      <c r="AD419" s="3">
        <v>16.67</v>
      </c>
      <c r="AE419" s="3">
        <v>28</v>
      </c>
      <c r="AF419" s="3">
        <v>0</v>
      </c>
      <c r="AG419" s="3">
        <v>195.774618</v>
      </c>
      <c r="AH419" s="3">
        <v>0.129032258064516</v>
      </c>
      <c r="AI419" s="3" t="s">
        <v>1787</v>
      </c>
      <c r="AJ419" s="3" t="s">
        <v>345</v>
      </c>
    </row>
    <row r="420" spans="1:36">
      <c r="A420" s="4">
        <v>43288</v>
      </c>
      <c r="B420" s="3" t="s">
        <v>1788</v>
      </c>
      <c r="C420" s="3" t="s">
        <v>1789</v>
      </c>
      <c r="D420" s="3" t="s">
        <v>1790</v>
      </c>
      <c r="E420" s="3" t="s">
        <v>921</v>
      </c>
      <c r="F420" s="3" t="s">
        <v>340</v>
      </c>
      <c r="G420" s="3">
        <v>2</v>
      </c>
      <c r="H420" s="3">
        <v>0</v>
      </c>
      <c r="I420" s="3">
        <v>0</v>
      </c>
      <c r="J420" s="3">
        <v>0</v>
      </c>
      <c r="K420" s="3">
        <v>0</v>
      </c>
      <c r="L420" s="3">
        <v>2</v>
      </c>
      <c r="M420" s="3">
        <v>0</v>
      </c>
      <c r="N420" s="3" t="s">
        <v>341</v>
      </c>
      <c r="O420" s="3">
        <v>0</v>
      </c>
      <c r="P420" s="3">
        <v>0</v>
      </c>
      <c r="Q420" s="3">
        <v>2</v>
      </c>
      <c r="R420" s="3">
        <v>5.84</v>
      </c>
      <c r="S420" s="3">
        <v>0</v>
      </c>
      <c r="T420" s="3">
        <v>0</v>
      </c>
      <c r="U420" s="3">
        <v>0</v>
      </c>
      <c r="V420" s="3">
        <v>0</v>
      </c>
      <c r="W420" s="3" t="s">
        <v>342</v>
      </c>
      <c r="X420" s="3">
        <v>16.88</v>
      </c>
      <c r="Y420" s="3">
        <v>16.88</v>
      </c>
      <c r="Z420" s="3">
        <v>16.88</v>
      </c>
      <c r="AA420" s="3">
        <v>0</v>
      </c>
      <c r="AB420" s="3" t="s">
        <v>349</v>
      </c>
      <c r="AC420" s="3">
        <v>0</v>
      </c>
      <c r="AD420" s="3">
        <v>14.2</v>
      </c>
      <c r="AE420" s="3">
        <v>35</v>
      </c>
      <c r="AF420" s="3">
        <v>0</v>
      </c>
      <c r="AG420" s="3">
        <v>50.690593</v>
      </c>
      <c r="AH420" s="3">
        <v>0</v>
      </c>
      <c r="AI420" s="3" t="s">
        <v>922</v>
      </c>
      <c r="AJ420" s="3" t="s">
        <v>345</v>
      </c>
    </row>
    <row r="421" spans="1:36">
      <c r="A421" s="4">
        <v>43288</v>
      </c>
      <c r="B421" s="3" t="s">
        <v>1791</v>
      </c>
      <c r="C421" s="3" t="s">
        <v>1792</v>
      </c>
      <c r="D421" s="3" t="s">
        <v>1793</v>
      </c>
      <c r="E421" s="3" t="s">
        <v>1794</v>
      </c>
      <c r="F421" s="3" t="s">
        <v>340</v>
      </c>
      <c r="G421" s="3">
        <v>1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0</v>
      </c>
      <c r="N421" s="3" t="s">
        <v>341</v>
      </c>
      <c r="O421" s="3">
        <v>1</v>
      </c>
      <c r="P421" s="3">
        <v>1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0</v>
      </c>
      <c r="W421" s="3" t="s">
        <v>342</v>
      </c>
      <c r="X421" s="3">
        <v>18.96</v>
      </c>
      <c r="Y421" s="3">
        <v>18.96</v>
      </c>
      <c r="Z421" s="3">
        <v>18.96</v>
      </c>
      <c r="AA421" s="3">
        <v>0</v>
      </c>
      <c r="AB421" s="3" t="s">
        <v>343</v>
      </c>
      <c r="AC421" s="3">
        <v>0</v>
      </c>
      <c r="AD421" s="3">
        <v>17.33</v>
      </c>
      <c r="AE421" s="3">
        <v>140</v>
      </c>
      <c r="AF421" s="3">
        <v>0</v>
      </c>
      <c r="AG421" s="3">
        <v>19.370112</v>
      </c>
      <c r="AH421" s="3">
        <v>0</v>
      </c>
      <c r="AI421" s="3" t="s">
        <v>370</v>
      </c>
      <c r="AJ421" s="3" t="s">
        <v>345</v>
      </c>
    </row>
    <row r="422" spans="1:36">
      <c r="A422" s="4">
        <v>43288</v>
      </c>
      <c r="B422" s="3" t="s">
        <v>1795</v>
      </c>
      <c r="C422" s="3" t="s">
        <v>1796</v>
      </c>
      <c r="D422" s="3" t="s">
        <v>1797</v>
      </c>
      <c r="E422" s="3" t="s">
        <v>1798</v>
      </c>
      <c r="F422" s="3" t="s">
        <v>340</v>
      </c>
      <c r="G422" s="3">
        <v>5</v>
      </c>
      <c r="H422" s="3">
        <v>0</v>
      </c>
      <c r="I422" s="3">
        <v>0</v>
      </c>
      <c r="J422" s="3">
        <v>0</v>
      </c>
      <c r="K422" s="3">
        <v>0</v>
      </c>
      <c r="L422" s="3">
        <v>2</v>
      </c>
      <c r="M422" s="3">
        <v>3</v>
      </c>
      <c r="N422" s="3" t="s">
        <v>341</v>
      </c>
      <c r="O422" s="3">
        <v>1</v>
      </c>
      <c r="P422" s="3">
        <v>1</v>
      </c>
      <c r="Q422" s="3">
        <v>4</v>
      </c>
      <c r="R422" s="3">
        <v>7.96</v>
      </c>
      <c r="S422" s="3">
        <v>0</v>
      </c>
      <c r="T422" s="3">
        <v>0</v>
      </c>
      <c r="U422" s="3">
        <v>0</v>
      </c>
      <c r="V422" s="3">
        <v>0</v>
      </c>
      <c r="W422" s="3" t="s">
        <v>342</v>
      </c>
      <c r="X422" s="3">
        <v>18.96</v>
      </c>
      <c r="Y422" s="3">
        <v>18.96</v>
      </c>
      <c r="Z422" s="3">
        <v>18.96</v>
      </c>
      <c r="AA422" s="3">
        <v>0</v>
      </c>
      <c r="AB422" s="3" t="s">
        <v>343</v>
      </c>
      <c r="AC422" s="3">
        <v>0</v>
      </c>
      <c r="AD422" s="3">
        <v>15.53</v>
      </c>
      <c r="AE422" s="3">
        <v>315</v>
      </c>
      <c r="AF422" s="3">
        <v>0</v>
      </c>
      <c r="AG422" s="3">
        <v>88.268605</v>
      </c>
      <c r="AH422" s="3">
        <v>0</v>
      </c>
      <c r="AI422" s="3" t="s">
        <v>370</v>
      </c>
      <c r="AJ422" s="3" t="s">
        <v>345</v>
      </c>
    </row>
    <row r="423" spans="1:36">
      <c r="A423" s="4">
        <v>43288</v>
      </c>
      <c r="B423" s="3" t="s">
        <v>1799</v>
      </c>
      <c r="C423" s="3" t="s">
        <v>1800</v>
      </c>
      <c r="D423" s="3" t="s">
        <v>1801</v>
      </c>
      <c r="E423" s="3" t="s">
        <v>525</v>
      </c>
      <c r="F423" s="3" t="s">
        <v>340</v>
      </c>
      <c r="G423" s="3">
        <v>3</v>
      </c>
      <c r="H423" s="3">
        <v>0</v>
      </c>
      <c r="I423" s="3">
        <v>0</v>
      </c>
      <c r="J423" s="3">
        <v>1</v>
      </c>
      <c r="K423" s="3">
        <v>0</v>
      </c>
      <c r="L423" s="3">
        <v>0</v>
      </c>
      <c r="M423" s="3">
        <v>2</v>
      </c>
      <c r="N423" s="3" t="s">
        <v>341</v>
      </c>
      <c r="O423" s="3">
        <v>1</v>
      </c>
      <c r="P423" s="3">
        <v>1</v>
      </c>
      <c r="Q423" s="3">
        <v>2</v>
      </c>
      <c r="R423" s="3">
        <v>4.02</v>
      </c>
      <c r="S423" s="3">
        <v>0</v>
      </c>
      <c r="T423" s="3">
        <v>0</v>
      </c>
      <c r="U423" s="3">
        <v>0</v>
      </c>
      <c r="V423" s="3">
        <v>0</v>
      </c>
      <c r="W423" s="3" t="s">
        <v>342</v>
      </c>
      <c r="X423" s="3">
        <v>19.99</v>
      </c>
      <c r="Y423" s="3">
        <v>19.99</v>
      </c>
      <c r="Z423" s="3">
        <v>19.99</v>
      </c>
      <c r="AA423" s="3">
        <v>0</v>
      </c>
      <c r="AB423" s="3" t="s">
        <v>359</v>
      </c>
      <c r="AC423" s="3">
        <v>3</v>
      </c>
      <c r="AD423" s="3">
        <v>19.99</v>
      </c>
      <c r="AE423" s="3">
        <v>0</v>
      </c>
      <c r="AF423" s="3">
        <v>0</v>
      </c>
      <c r="AG423" s="3">
        <v>0</v>
      </c>
      <c r="AH423" s="3">
        <v>0</v>
      </c>
      <c r="AI423" s="3" t="s">
        <v>526</v>
      </c>
      <c r="AJ423" s="3" t="s">
        <v>345</v>
      </c>
    </row>
    <row r="424" spans="1:36">
      <c r="A424" s="4">
        <v>43288</v>
      </c>
      <c r="B424" s="3" t="s">
        <v>1802</v>
      </c>
      <c r="C424" s="3" t="s">
        <v>1803</v>
      </c>
      <c r="D424" s="3" t="s">
        <v>1804</v>
      </c>
      <c r="E424" s="3" t="s">
        <v>1805</v>
      </c>
      <c r="F424" s="3" t="s">
        <v>340</v>
      </c>
      <c r="G424" s="3">
        <v>9</v>
      </c>
      <c r="H424" s="3">
        <v>0</v>
      </c>
      <c r="I424" s="3">
        <v>0</v>
      </c>
      <c r="J424" s="3">
        <v>9</v>
      </c>
      <c r="K424" s="3">
        <v>0</v>
      </c>
      <c r="L424" s="3">
        <v>0</v>
      </c>
      <c r="M424" s="3">
        <v>0</v>
      </c>
      <c r="N424" s="3" t="s">
        <v>341</v>
      </c>
      <c r="O424" s="3">
        <v>4</v>
      </c>
      <c r="P424" s="3">
        <v>6.32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1</v>
      </c>
      <c r="W424" s="3" t="s">
        <v>381</v>
      </c>
      <c r="X424" s="3">
        <v>18.99</v>
      </c>
      <c r="Y424" s="3">
        <v>18.99</v>
      </c>
      <c r="Z424" s="3">
        <v>18.99</v>
      </c>
      <c r="AA424" s="3">
        <v>0</v>
      </c>
      <c r="AB424" s="3" t="s">
        <v>343</v>
      </c>
      <c r="AC424" s="3">
        <v>1</v>
      </c>
      <c r="AD424" s="3">
        <v>17.33</v>
      </c>
      <c r="AE424" s="3">
        <v>84</v>
      </c>
      <c r="AF424" s="3">
        <v>0</v>
      </c>
      <c r="AG424" s="3">
        <v>247.917199</v>
      </c>
      <c r="AH424" s="3">
        <v>0.108108108108108</v>
      </c>
      <c r="AI424" s="3" t="s">
        <v>1806</v>
      </c>
      <c r="AJ424" s="3" t="s">
        <v>345</v>
      </c>
    </row>
    <row r="425" spans="1:36">
      <c r="A425" s="4">
        <v>43288</v>
      </c>
      <c r="B425" s="3" t="s">
        <v>1807</v>
      </c>
      <c r="C425" s="3" t="s">
        <v>1808</v>
      </c>
      <c r="D425" s="3" t="s">
        <v>1809</v>
      </c>
      <c r="E425" s="3" t="s">
        <v>1810</v>
      </c>
      <c r="F425" s="3" t="s">
        <v>340</v>
      </c>
      <c r="G425" s="3">
        <v>1</v>
      </c>
      <c r="H425" s="3">
        <v>0</v>
      </c>
      <c r="I425" s="3">
        <v>1</v>
      </c>
      <c r="J425" s="3">
        <v>0</v>
      </c>
      <c r="K425" s="3">
        <v>0</v>
      </c>
      <c r="L425" s="3">
        <v>0</v>
      </c>
      <c r="M425" s="3">
        <v>0</v>
      </c>
      <c r="N425" s="3" t="s">
        <v>341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0</v>
      </c>
      <c r="U425" s="3">
        <v>0</v>
      </c>
      <c r="V425" s="3">
        <v>0</v>
      </c>
      <c r="W425" s="3" t="s">
        <v>342</v>
      </c>
      <c r="X425" s="3">
        <v>18.96</v>
      </c>
      <c r="Y425" s="3">
        <v>18.96</v>
      </c>
      <c r="Z425" s="3">
        <v>18.96</v>
      </c>
      <c r="AA425" s="3">
        <v>0</v>
      </c>
      <c r="AB425" s="3" t="s">
        <v>349</v>
      </c>
      <c r="AC425" s="3">
        <v>0</v>
      </c>
      <c r="AD425" s="3">
        <v>17.19</v>
      </c>
      <c r="AE425" s="3">
        <v>217</v>
      </c>
      <c r="AF425" s="3">
        <v>0</v>
      </c>
      <c r="AG425" s="3">
        <v>17.442042</v>
      </c>
      <c r="AH425" s="3">
        <v>0</v>
      </c>
      <c r="AI425" s="3" t="s">
        <v>370</v>
      </c>
      <c r="AJ425" s="3" t="s">
        <v>345</v>
      </c>
    </row>
    <row r="426" spans="1:36">
      <c r="A426" s="4">
        <v>43288</v>
      </c>
      <c r="B426" s="3" t="s">
        <v>240</v>
      </c>
      <c r="C426" s="3" t="s">
        <v>241</v>
      </c>
      <c r="D426" s="3" t="s">
        <v>242</v>
      </c>
      <c r="E426" s="3" t="s">
        <v>243</v>
      </c>
      <c r="F426" s="3" t="s">
        <v>340</v>
      </c>
      <c r="G426" s="3">
        <v>2</v>
      </c>
      <c r="H426" s="3">
        <v>0</v>
      </c>
      <c r="I426" s="3">
        <v>2</v>
      </c>
      <c r="J426" s="3">
        <v>0</v>
      </c>
      <c r="K426" s="3">
        <v>0</v>
      </c>
      <c r="L426" s="3">
        <v>0</v>
      </c>
      <c r="M426" s="3">
        <v>0</v>
      </c>
      <c r="N426" s="3" t="s">
        <v>341</v>
      </c>
      <c r="O426" s="3">
        <v>0</v>
      </c>
      <c r="P426" s="3">
        <v>0</v>
      </c>
      <c r="Q426" s="3">
        <v>0</v>
      </c>
      <c r="R426" s="3">
        <v>0</v>
      </c>
      <c r="S426" s="3">
        <v>4</v>
      </c>
      <c r="T426" s="3">
        <v>29</v>
      </c>
      <c r="U426" s="3">
        <v>128</v>
      </c>
      <c r="V426" s="3">
        <v>151</v>
      </c>
      <c r="W426" s="3"/>
      <c r="X426" s="3">
        <v>21.99</v>
      </c>
      <c r="Y426" s="3">
        <v>21.99</v>
      </c>
      <c r="Z426" s="3">
        <v>21.99</v>
      </c>
      <c r="AA426" s="3">
        <v>0</v>
      </c>
      <c r="AB426" s="3" t="s">
        <v>359</v>
      </c>
      <c r="AC426" s="3">
        <v>0</v>
      </c>
      <c r="AD426" s="3">
        <v>0</v>
      </c>
      <c r="AE426" s="3">
        <v>0</v>
      </c>
      <c r="AF426" s="3">
        <v>0</v>
      </c>
      <c r="AG426" s="3">
        <v>0</v>
      </c>
      <c r="AH426" s="3">
        <v>7.36585365853658</v>
      </c>
      <c r="AI426" s="3" t="s">
        <v>715</v>
      </c>
      <c r="AJ426" s="3" t="s">
        <v>345</v>
      </c>
    </row>
    <row r="427" spans="1:36">
      <c r="A427" s="4">
        <v>43288</v>
      </c>
      <c r="B427" s="3" t="s">
        <v>1811</v>
      </c>
      <c r="C427" s="3" t="s">
        <v>1812</v>
      </c>
      <c r="D427" s="3" t="s">
        <v>1813</v>
      </c>
      <c r="E427" s="3" t="s">
        <v>1814</v>
      </c>
      <c r="F427" s="3" t="s">
        <v>340</v>
      </c>
      <c r="G427" s="3">
        <v>1</v>
      </c>
      <c r="H427" s="3">
        <v>0</v>
      </c>
      <c r="I427" s="3">
        <v>0</v>
      </c>
      <c r="J427" s="3">
        <v>0</v>
      </c>
      <c r="K427" s="3">
        <v>0</v>
      </c>
      <c r="L427" s="3">
        <v>0</v>
      </c>
      <c r="M427" s="3">
        <v>1</v>
      </c>
      <c r="N427" s="3" t="s">
        <v>341</v>
      </c>
      <c r="O427" s="3">
        <v>0</v>
      </c>
      <c r="P427" s="3">
        <v>0</v>
      </c>
      <c r="Q427" s="3">
        <v>1</v>
      </c>
      <c r="R427" s="3">
        <v>0.5</v>
      </c>
      <c r="S427" s="3">
        <v>0</v>
      </c>
      <c r="T427" s="3">
        <v>0</v>
      </c>
      <c r="U427" s="3">
        <v>0</v>
      </c>
      <c r="V427" s="3">
        <v>0</v>
      </c>
      <c r="W427" s="3" t="s">
        <v>342</v>
      </c>
      <c r="X427" s="3">
        <v>17.99</v>
      </c>
      <c r="Y427" s="3">
        <v>17.99</v>
      </c>
      <c r="Z427" s="3">
        <v>17.99</v>
      </c>
      <c r="AA427" s="3">
        <v>0</v>
      </c>
      <c r="AB427" s="3" t="s">
        <v>359</v>
      </c>
      <c r="AC427" s="3">
        <v>1</v>
      </c>
      <c r="AD427" s="3">
        <v>17.99</v>
      </c>
      <c r="AE427" s="3">
        <v>0</v>
      </c>
      <c r="AF427" s="3">
        <v>0</v>
      </c>
      <c r="AG427" s="3">
        <v>0</v>
      </c>
      <c r="AH427" s="3">
        <v>0</v>
      </c>
      <c r="AI427" s="3" t="s">
        <v>355</v>
      </c>
      <c r="AJ427" s="3" t="s">
        <v>345</v>
      </c>
    </row>
    <row r="428" spans="1:36">
      <c r="A428" s="4">
        <v>43288</v>
      </c>
      <c r="B428" s="3" t="s">
        <v>1815</v>
      </c>
      <c r="C428" s="3" t="s">
        <v>1816</v>
      </c>
      <c r="D428" s="3" t="s">
        <v>1817</v>
      </c>
      <c r="E428" s="3" t="s">
        <v>1818</v>
      </c>
      <c r="F428" s="3" t="s">
        <v>340</v>
      </c>
      <c r="G428" s="3">
        <v>3</v>
      </c>
      <c r="H428" s="3">
        <v>0</v>
      </c>
      <c r="I428" s="3">
        <v>0</v>
      </c>
      <c r="J428" s="3">
        <v>0</v>
      </c>
      <c r="K428" s="3">
        <v>0</v>
      </c>
      <c r="L428" s="3">
        <v>3</v>
      </c>
      <c r="M428" s="3">
        <v>0</v>
      </c>
      <c r="N428" s="3" t="s">
        <v>341</v>
      </c>
      <c r="O428" s="3">
        <v>0</v>
      </c>
      <c r="P428" s="3">
        <v>0</v>
      </c>
      <c r="Q428" s="3">
        <v>3</v>
      </c>
      <c r="R428" s="3">
        <v>3.27</v>
      </c>
      <c r="S428" s="3">
        <v>0</v>
      </c>
      <c r="T428" s="3">
        <v>0</v>
      </c>
      <c r="U428" s="3">
        <v>0</v>
      </c>
      <c r="V428" s="3">
        <v>0</v>
      </c>
      <c r="W428" s="3" t="s">
        <v>342</v>
      </c>
      <c r="X428" s="3">
        <v>17.88</v>
      </c>
      <c r="Y428" s="3">
        <v>17.88</v>
      </c>
      <c r="Z428" s="3">
        <v>17.88</v>
      </c>
      <c r="AA428" s="3">
        <v>0</v>
      </c>
      <c r="AB428" s="3" t="s">
        <v>343</v>
      </c>
      <c r="AC428" s="3">
        <v>0</v>
      </c>
      <c r="AD428" s="3">
        <v>14.3</v>
      </c>
      <c r="AE428" s="3">
        <v>63</v>
      </c>
      <c r="AF428" s="3">
        <v>0</v>
      </c>
      <c r="AG428" s="3">
        <v>21.872753</v>
      </c>
      <c r="AH428" s="3">
        <v>0</v>
      </c>
      <c r="AI428" s="3" t="s">
        <v>1203</v>
      </c>
      <c r="AJ428" s="3" t="s">
        <v>345</v>
      </c>
    </row>
    <row r="429" spans="1:36">
      <c r="A429" s="4">
        <v>43288</v>
      </c>
      <c r="B429" s="3" t="s">
        <v>1819</v>
      </c>
      <c r="C429" s="3" t="s">
        <v>1820</v>
      </c>
      <c r="D429" s="3" t="s">
        <v>1821</v>
      </c>
      <c r="E429" s="3" t="s">
        <v>1822</v>
      </c>
      <c r="F429" s="3" t="s">
        <v>340</v>
      </c>
      <c r="G429" s="3">
        <v>4</v>
      </c>
      <c r="H429" s="3">
        <v>0</v>
      </c>
      <c r="I429" s="3">
        <v>0</v>
      </c>
      <c r="J429" s="3">
        <v>4</v>
      </c>
      <c r="K429" s="3">
        <v>0</v>
      </c>
      <c r="L429" s="3">
        <v>0</v>
      </c>
      <c r="M429" s="3">
        <v>0</v>
      </c>
      <c r="N429" s="3" t="s">
        <v>341</v>
      </c>
      <c r="O429" s="3">
        <v>2</v>
      </c>
      <c r="P429" s="3">
        <v>4.18</v>
      </c>
      <c r="Q429" s="3">
        <v>0</v>
      </c>
      <c r="R429" s="3">
        <v>0</v>
      </c>
      <c r="S429" s="3">
        <v>0</v>
      </c>
      <c r="T429" s="3">
        <v>0</v>
      </c>
      <c r="U429" s="3">
        <v>0</v>
      </c>
      <c r="V429" s="3">
        <v>0</v>
      </c>
      <c r="W429" s="3" t="s">
        <v>381</v>
      </c>
      <c r="X429" s="3">
        <v>19.99</v>
      </c>
      <c r="Y429" s="3">
        <v>19.99</v>
      </c>
      <c r="Z429" s="3">
        <v>19.99</v>
      </c>
      <c r="AA429" s="3">
        <v>0</v>
      </c>
      <c r="AB429" s="3" t="s">
        <v>343</v>
      </c>
      <c r="AC429" s="3">
        <v>1</v>
      </c>
      <c r="AD429" s="3">
        <v>18.46</v>
      </c>
      <c r="AE429" s="3">
        <v>35</v>
      </c>
      <c r="AF429" s="3">
        <v>0</v>
      </c>
      <c r="AG429" s="3">
        <v>129.819683</v>
      </c>
      <c r="AH429" s="3">
        <v>0</v>
      </c>
      <c r="AI429" s="3" t="s">
        <v>1823</v>
      </c>
      <c r="AJ429" s="3" t="s">
        <v>345</v>
      </c>
    </row>
    <row r="430" spans="1:36">
      <c r="A430" s="4">
        <v>43288</v>
      </c>
      <c r="B430" s="3" t="s">
        <v>1824</v>
      </c>
      <c r="C430" s="3" t="s">
        <v>1825</v>
      </c>
      <c r="D430" s="3" t="s">
        <v>1826</v>
      </c>
      <c r="E430" s="3" t="s">
        <v>1827</v>
      </c>
      <c r="F430" s="3" t="s">
        <v>340</v>
      </c>
      <c r="G430" s="3">
        <v>43</v>
      </c>
      <c r="H430" s="3">
        <v>0</v>
      </c>
      <c r="I430" s="3">
        <v>7</v>
      </c>
      <c r="J430" s="3">
        <v>6</v>
      </c>
      <c r="K430" s="3">
        <v>2</v>
      </c>
      <c r="L430" s="3">
        <v>28</v>
      </c>
      <c r="M430" s="3">
        <v>0</v>
      </c>
      <c r="N430" s="3" t="s">
        <v>341</v>
      </c>
      <c r="O430" s="3">
        <v>30</v>
      </c>
      <c r="P430" s="3">
        <v>20.57</v>
      </c>
      <c r="Q430" s="3">
        <v>0</v>
      </c>
      <c r="R430" s="3">
        <v>0</v>
      </c>
      <c r="S430" s="3">
        <v>0</v>
      </c>
      <c r="T430" s="3">
        <v>3</v>
      </c>
      <c r="U430" s="3">
        <v>8</v>
      </c>
      <c r="V430" s="3">
        <v>10</v>
      </c>
      <c r="W430" s="3" t="s">
        <v>342</v>
      </c>
      <c r="X430" s="3">
        <v>16.99</v>
      </c>
      <c r="Y430" s="3">
        <v>16.99</v>
      </c>
      <c r="Z430" s="3">
        <v>16.99</v>
      </c>
      <c r="AA430" s="3">
        <v>0</v>
      </c>
      <c r="AB430" s="3" t="s">
        <v>349</v>
      </c>
      <c r="AC430" s="3">
        <v>43</v>
      </c>
      <c r="AD430" s="3">
        <v>16.99</v>
      </c>
      <c r="AE430" s="3">
        <v>0</v>
      </c>
      <c r="AF430" s="3">
        <v>0</v>
      </c>
      <c r="AG430" s="3">
        <v>0</v>
      </c>
      <c r="AH430" s="3">
        <v>0.211640211640211</v>
      </c>
      <c r="AI430" s="3" t="s">
        <v>1828</v>
      </c>
      <c r="AJ430" s="3" t="s">
        <v>345</v>
      </c>
    </row>
    <row r="431" spans="1:36">
      <c r="A431" s="4">
        <v>43288</v>
      </c>
      <c r="B431" s="3" t="s">
        <v>1829</v>
      </c>
      <c r="C431" s="3" t="s">
        <v>1830</v>
      </c>
      <c r="D431" s="3" t="s">
        <v>1831</v>
      </c>
      <c r="E431" s="3" t="s">
        <v>468</v>
      </c>
      <c r="F431" s="3" t="s">
        <v>340</v>
      </c>
      <c r="G431" s="3">
        <v>8</v>
      </c>
      <c r="H431" s="3">
        <v>0</v>
      </c>
      <c r="I431" s="3">
        <v>0</v>
      </c>
      <c r="J431" s="3">
        <v>4</v>
      </c>
      <c r="K431" s="3">
        <v>4</v>
      </c>
      <c r="L431" s="3">
        <v>0</v>
      </c>
      <c r="M431" s="3">
        <v>0</v>
      </c>
      <c r="N431" s="3" t="s">
        <v>341</v>
      </c>
      <c r="O431" s="3">
        <v>8</v>
      </c>
      <c r="P431" s="3">
        <v>9.17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 t="s">
        <v>342</v>
      </c>
      <c r="X431" s="3">
        <v>17.99</v>
      </c>
      <c r="Y431" s="3">
        <v>17.99</v>
      </c>
      <c r="Z431" s="3">
        <v>17.99</v>
      </c>
      <c r="AA431" s="3">
        <v>0</v>
      </c>
      <c r="AB431" s="3" t="s">
        <v>349</v>
      </c>
      <c r="AC431" s="3">
        <v>0</v>
      </c>
      <c r="AD431" s="3">
        <v>15.04</v>
      </c>
      <c r="AE431" s="3">
        <v>210</v>
      </c>
      <c r="AF431" s="3">
        <v>0</v>
      </c>
      <c r="AG431" s="3">
        <v>159.254331</v>
      </c>
      <c r="AH431" s="3">
        <v>0</v>
      </c>
      <c r="AI431" s="3" t="s">
        <v>469</v>
      </c>
      <c r="AJ431" s="3" t="s">
        <v>345</v>
      </c>
    </row>
    <row r="432" spans="1:36">
      <c r="A432" s="4">
        <v>43288</v>
      </c>
      <c r="B432" s="3" t="s">
        <v>1832</v>
      </c>
      <c r="C432" s="3" t="s">
        <v>1833</v>
      </c>
      <c r="D432" s="3" t="s">
        <v>1834</v>
      </c>
      <c r="E432" s="3" t="s">
        <v>1835</v>
      </c>
      <c r="F432" s="3" t="s">
        <v>340</v>
      </c>
      <c r="G432" s="3">
        <v>1</v>
      </c>
      <c r="H432" s="3">
        <v>0</v>
      </c>
      <c r="I432" s="3">
        <v>0</v>
      </c>
      <c r="J432" s="3">
        <v>1</v>
      </c>
      <c r="K432" s="3">
        <v>0</v>
      </c>
      <c r="L432" s="3">
        <v>0</v>
      </c>
      <c r="M432" s="3">
        <v>0</v>
      </c>
      <c r="N432" s="3" t="s">
        <v>341</v>
      </c>
      <c r="O432" s="3">
        <v>1</v>
      </c>
      <c r="P432" s="3">
        <v>1.24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 t="s">
        <v>342</v>
      </c>
      <c r="X432" s="3">
        <v>15.99</v>
      </c>
      <c r="Y432" s="3">
        <v>15.99</v>
      </c>
      <c r="Z432" s="3">
        <v>15.99</v>
      </c>
      <c r="AA432" s="3">
        <v>0</v>
      </c>
      <c r="AB432" s="3" t="s">
        <v>349</v>
      </c>
      <c r="AC432" s="3">
        <v>1</v>
      </c>
      <c r="AD432" s="3">
        <v>15.99</v>
      </c>
      <c r="AE432" s="3">
        <v>0</v>
      </c>
      <c r="AF432" s="3">
        <v>0</v>
      </c>
      <c r="AG432" s="3">
        <v>0</v>
      </c>
      <c r="AH432" s="3">
        <v>0</v>
      </c>
      <c r="AI432" s="3" t="s">
        <v>397</v>
      </c>
      <c r="AJ432" s="3" t="s">
        <v>345</v>
      </c>
    </row>
    <row r="433" spans="1:36">
      <c r="A433" s="4">
        <v>43288</v>
      </c>
      <c r="B433" s="3" t="s">
        <v>1836</v>
      </c>
      <c r="C433" s="3" t="s">
        <v>1837</v>
      </c>
      <c r="D433" s="3" t="s">
        <v>1838</v>
      </c>
      <c r="E433" s="3" t="s">
        <v>1839</v>
      </c>
      <c r="F433" s="3" t="s">
        <v>340</v>
      </c>
      <c r="G433" s="3">
        <v>13</v>
      </c>
      <c r="H433" s="3">
        <v>0</v>
      </c>
      <c r="I433" s="3">
        <v>2</v>
      </c>
      <c r="J433" s="3">
        <v>11</v>
      </c>
      <c r="K433" s="3">
        <v>0</v>
      </c>
      <c r="L433" s="3">
        <v>0</v>
      </c>
      <c r="M433" s="3">
        <v>0</v>
      </c>
      <c r="N433" s="3" t="s">
        <v>341</v>
      </c>
      <c r="O433" s="3">
        <v>7</v>
      </c>
      <c r="P433" s="3">
        <v>13.87</v>
      </c>
      <c r="Q433" s="3">
        <v>0</v>
      </c>
      <c r="R433" s="3">
        <v>0</v>
      </c>
      <c r="S433" s="3">
        <v>0</v>
      </c>
      <c r="T433" s="3">
        <v>0</v>
      </c>
      <c r="U433" s="3">
        <v>0</v>
      </c>
      <c r="V433" s="3">
        <v>1</v>
      </c>
      <c r="W433" s="3" t="s">
        <v>381</v>
      </c>
      <c r="X433" s="3">
        <v>17.99</v>
      </c>
      <c r="Y433" s="3">
        <v>17.99</v>
      </c>
      <c r="Z433" s="3">
        <v>17.99</v>
      </c>
      <c r="AA433" s="3">
        <v>0</v>
      </c>
      <c r="AB433" s="3" t="s">
        <v>343</v>
      </c>
      <c r="AC433" s="3">
        <v>5</v>
      </c>
      <c r="AD433" s="3">
        <v>16.34</v>
      </c>
      <c r="AE433" s="3">
        <v>35</v>
      </c>
      <c r="AF433" s="3">
        <v>0</v>
      </c>
      <c r="AG433" s="3">
        <v>415.36006</v>
      </c>
      <c r="AH433" s="3">
        <v>0.0677966101694915</v>
      </c>
      <c r="AI433" s="3" t="s">
        <v>1840</v>
      </c>
      <c r="AJ433" s="3" t="s">
        <v>345</v>
      </c>
    </row>
    <row r="434" spans="1:36">
      <c r="A434" s="4">
        <v>43288</v>
      </c>
      <c r="B434" s="3" t="s">
        <v>1841</v>
      </c>
      <c r="C434" s="3" t="s">
        <v>1842</v>
      </c>
      <c r="D434" s="3" t="s">
        <v>1843</v>
      </c>
      <c r="E434" s="3" t="s">
        <v>188</v>
      </c>
      <c r="F434" s="3" t="s">
        <v>340</v>
      </c>
      <c r="G434" s="3">
        <v>1</v>
      </c>
      <c r="H434" s="3">
        <v>0</v>
      </c>
      <c r="I434" s="3">
        <v>0</v>
      </c>
      <c r="J434" s="3">
        <v>1</v>
      </c>
      <c r="K434" s="3">
        <v>0</v>
      </c>
      <c r="L434" s="3">
        <v>0</v>
      </c>
      <c r="M434" s="3">
        <v>0</v>
      </c>
      <c r="N434" s="3" t="s">
        <v>341</v>
      </c>
      <c r="O434" s="3">
        <v>0</v>
      </c>
      <c r="P434" s="3">
        <v>0</v>
      </c>
      <c r="Q434" s="3">
        <v>0</v>
      </c>
      <c r="R434" s="3">
        <v>0</v>
      </c>
      <c r="S434" s="3">
        <v>0</v>
      </c>
      <c r="T434" s="3">
        <v>4</v>
      </c>
      <c r="U434" s="3">
        <v>4</v>
      </c>
      <c r="V434" s="3">
        <v>8</v>
      </c>
      <c r="W434" s="3"/>
      <c r="X434" s="3">
        <v>19.38</v>
      </c>
      <c r="Y434" s="3">
        <v>19.38</v>
      </c>
      <c r="Z434" s="3">
        <v>19.38</v>
      </c>
      <c r="AA434" s="3">
        <v>0</v>
      </c>
      <c r="AB434" s="3" t="s">
        <v>359</v>
      </c>
      <c r="AC434" s="3">
        <v>1</v>
      </c>
      <c r="AD434" s="3">
        <v>19.38</v>
      </c>
      <c r="AE434" s="3">
        <v>0</v>
      </c>
      <c r="AF434" s="3">
        <v>0</v>
      </c>
      <c r="AG434" s="3">
        <v>0</v>
      </c>
      <c r="AH434" s="3">
        <v>1.6</v>
      </c>
      <c r="AI434" s="3" t="s">
        <v>492</v>
      </c>
      <c r="AJ434" s="3" t="s">
        <v>345</v>
      </c>
    </row>
    <row r="435" spans="1:36">
      <c r="A435" s="4">
        <v>43288</v>
      </c>
      <c r="B435" s="3" t="s">
        <v>36</v>
      </c>
      <c r="C435" s="3" t="s">
        <v>37</v>
      </c>
      <c r="D435" s="3" t="s">
        <v>38</v>
      </c>
      <c r="E435" s="3" t="s">
        <v>22</v>
      </c>
      <c r="F435" s="3" t="s">
        <v>340</v>
      </c>
      <c r="G435" s="3">
        <v>8</v>
      </c>
      <c r="H435" s="3">
        <v>0</v>
      </c>
      <c r="I435" s="3">
        <v>8</v>
      </c>
      <c r="J435" s="3">
        <v>0</v>
      </c>
      <c r="K435" s="3">
        <v>0</v>
      </c>
      <c r="L435" s="3">
        <v>0</v>
      </c>
      <c r="M435" s="3">
        <v>0</v>
      </c>
      <c r="N435" s="3" t="s">
        <v>341</v>
      </c>
      <c r="O435" s="3">
        <v>0</v>
      </c>
      <c r="P435" s="3">
        <v>0</v>
      </c>
      <c r="Q435" s="3">
        <v>0</v>
      </c>
      <c r="R435" s="3">
        <v>0</v>
      </c>
      <c r="S435" s="3">
        <v>1</v>
      </c>
      <c r="T435" s="3">
        <v>10</v>
      </c>
      <c r="U435" s="3">
        <v>20</v>
      </c>
      <c r="V435" s="3">
        <v>25</v>
      </c>
      <c r="W435" s="3"/>
      <c r="X435" s="3">
        <v>16.99</v>
      </c>
      <c r="Y435" s="3">
        <v>16.99</v>
      </c>
      <c r="Z435" s="3">
        <v>16.99</v>
      </c>
      <c r="AA435" s="3">
        <v>0</v>
      </c>
      <c r="AB435" s="3" t="s">
        <v>359</v>
      </c>
      <c r="AC435" s="3">
        <v>9</v>
      </c>
      <c r="AD435" s="3">
        <v>16.99</v>
      </c>
      <c r="AE435" s="3">
        <v>0</v>
      </c>
      <c r="AF435" s="3">
        <v>0</v>
      </c>
      <c r="AG435" s="3">
        <v>0</v>
      </c>
      <c r="AH435" s="3">
        <v>5.88235294117647</v>
      </c>
      <c r="AI435" s="3" t="s">
        <v>421</v>
      </c>
      <c r="AJ435" s="3" t="s">
        <v>345</v>
      </c>
    </row>
    <row r="436" spans="1:36">
      <c r="A436" s="4">
        <v>43288</v>
      </c>
      <c r="B436" s="3" t="s">
        <v>1844</v>
      </c>
      <c r="C436" s="3" t="s">
        <v>1845</v>
      </c>
      <c r="D436" s="3" t="s">
        <v>1846</v>
      </c>
      <c r="E436" s="3" t="s">
        <v>1678</v>
      </c>
      <c r="F436" s="3" t="s">
        <v>340</v>
      </c>
      <c r="G436" s="3">
        <v>3</v>
      </c>
      <c r="H436" s="3">
        <v>0</v>
      </c>
      <c r="I436" s="3">
        <v>3</v>
      </c>
      <c r="J436" s="3">
        <v>0</v>
      </c>
      <c r="K436" s="3">
        <v>0</v>
      </c>
      <c r="L436" s="3">
        <v>0</v>
      </c>
      <c r="M436" s="3">
        <v>0</v>
      </c>
      <c r="N436" s="3" t="s">
        <v>341</v>
      </c>
      <c r="O436" s="3">
        <v>0</v>
      </c>
      <c r="P436" s="3">
        <v>0</v>
      </c>
      <c r="Q436" s="3">
        <v>0</v>
      </c>
      <c r="R436" s="3">
        <v>0</v>
      </c>
      <c r="S436" s="3">
        <v>0</v>
      </c>
      <c r="T436" s="3">
        <v>0</v>
      </c>
      <c r="U436" s="3">
        <v>1</v>
      </c>
      <c r="V436" s="3">
        <v>4</v>
      </c>
      <c r="W436" s="3" t="s">
        <v>342</v>
      </c>
      <c r="X436" s="3">
        <v>19.99</v>
      </c>
      <c r="Y436" s="3">
        <v>19.99</v>
      </c>
      <c r="Z436" s="3">
        <v>19.99</v>
      </c>
      <c r="AA436" s="3">
        <v>0</v>
      </c>
      <c r="AB436" s="3" t="s">
        <v>349</v>
      </c>
      <c r="AC436" s="3">
        <v>3</v>
      </c>
      <c r="AD436" s="3">
        <v>19.99</v>
      </c>
      <c r="AE436" s="3">
        <v>0</v>
      </c>
      <c r="AF436" s="3">
        <v>0</v>
      </c>
      <c r="AG436" s="3">
        <v>0</v>
      </c>
      <c r="AH436" s="3">
        <v>2.4</v>
      </c>
      <c r="AI436" s="3" t="s">
        <v>948</v>
      </c>
      <c r="AJ436" s="3" t="s">
        <v>345</v>
      </c>
    </row>
    <row r="437" spans="1:36">
      <c r="A437" s="4">
        <v>43288</v>
      </c>
      <c r="B437" s="3" t="s">
        <v>1847</v>
      </c>
      <c r="C437" s="3" t="s">
        <v>1848</v>
      </c>
      <c r="D437" s="3" t="s">
        <v>1849</v>
      </c>
      <c r="E437" s="3" t="s">
        <v>1850</v>
      </c>
      <c r="F437" s="3" t="s">
        <v>340</v>
      </c>
      <c r="G437" s="3">
        <v>5</v>
      </c>
      <c r="H437" s="3">
        <v>0</v>
      </c>
      <c r="I437" s="3">
        <v>0</v>
      </c>
      <c r="J437" s="3">
        <v>0</v>
      </c>
      <c r="K437" s="3">
        <v>0</v>
      </c>
      <c r="L437" s="3">
        <v>0</v>
      </c>
      <c r="M437" s="3">
        <v>5</v>
      </c>
      <c r="N437" s="3" t="s">
        <v>341</v>
      </c>
      <c r="O437" s="3">
        <v>0</v>
      </c>
      <c r="P437" s="3">
        <v>0</v>
      </c>
      <c r="Q437" s="3">
        <v>5</v>
      </c>
      <c r="R437" s="3">
        <v>2.5</v>
      </c>
      <c r="S437" s="3">
        <v>0</v>
      </c>
      <c r="T437" s="3">
        <v>0</v>
      </c>
      <c r="U437" s="3">
        <v>0</v>
      </c>
      <c r="V437" s="3">
        <v>0</v>
      </c>
      <c r="W437" s="3" t="s">
        <v>342</v>
      </c>
      <c r="X437" s="3">
        <v>19.99</v>
      </c>
      <c r="Y437" s="3">
        <v>19.99</v>
      </c>
      <c r="Z437" s="3">
        <v>19.99</v>
      </c>
      <c r="AA437" s="3">
        <v>0</v>
      </c>
      <c r="AB437" s="3" t="s">
        <v>343</v>
      </c>
      <c r="AC437" s="3">
        <v>0</v>
      </c>
      <c r="AD437" s="3">
        <v>15.99</v>
      </c>
      <c r="AE437" s="3">
        <v>63</v>
      </c>
      <c r="AF437" s="3">
        <v>0</v>
      </c>
      <c r="AG437" s="3">
        <v>7.958982</v>
      </c>
      <c r="AH437" s="3">
        <v>0</v>
      </c>
      <c r="AI437" s="3" t="s">
        <v>355</v>
      </c>
      <c r="AJ437" s="3" t="s">
        <v>345</v>
      </c>
    </row>
    <row r="438" spans="1:36">
      <c r="A438" s="4">
        <v>43288</v>
      </c>
      <c r="B438" s="3" t="s">
        <v>1851</v>
      </c>
      <c r="C438" s="3" t="s">
        <v>1852</v>
      </c>
      <c r="D438" s="3" t="s">
        <v>1853</v>
      </c>
      <c r="E438" s="3" t="s">
        <v>1854</v>
      </c>
      <c r="F438" s="3" t="s">
        <v>340</v>
      </c>
      <c r="G438" s="3">
        <v>2</v>
      </c>
      <c r="H438" s="3">
        <v>0</v>
      </c>
      <c r="I438" s="3">
        <v>0</v>
      </c>
      <c r="J438" s="3">
        <v>2</v>
      </c>
      <c r="K438" s="3">
        <v>0</v>
      </c>
      <c r="L438" s="3">
        <v>0</v>
      </c>
      <c r="M438" s="3">
        <v>0</v>
      </c>
      <c r="N438" s="3" t="s">
        <v>341</v>
      </c>
      <c r="O438" s="3">
        <v>2</v>
      </c>
      <c r="P438" s="3">
        <v>2.49</v>
      </c>
      <c r="Q438" s="3">
        <v>0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 t="s">
        <v>342</v>
      </c>
      <c r="X438" s="3">
        <v>15.99</v>
      </c>
      <c r="Y438" s="3">
        <v>15.99</v>
      </c>
      <c r="Z438" s="3">
        <v>15.99</v>
      </c>
      <c r="AA438" s="3">
        <v>0</v>
      </c>
      <c r="AB438" s="3" t="s">
        <v>349</v>
      </c>
      <c r="AC438" s="3">
        <v>0</v>
      </c>
      <c r="AD438" s="3">
        <v>14.49</v>
      </c>
      <c r="AE438" s="3">
        <v>35</v>
      </c>
      <c r="AF438" s="3">
        <v>0</v>
      </c>
      <c r="AG438" s="3">
        <v>44.252802</v>
      </c>
      <c r="AH438" s="3">
        <v>0</v>
      </c>
      <c r="AI438" s="3" t="s">
        <v>397</v>
      </c>
      <c r="AJ438" s="3" t="s">
        <v>345</v>
      </c>
    </row>
    <row r="439" spans="1:36">
      <c r="A439" s="4">
        <v>43288</v>
      </c>
      <c r="B439" s="3" t="s">
        <v>1855</v>
      </c>
      <c r="C439" s="3" t="s">
        <v>1856</v>
      </c>
      <c r="D439" s="3" t="s">
        <v>1857</v>
      </c>
      <c r="E439" s="3" t="s">
        <v>1858</v>
      </c>
      <c r="F439" s="3" t="s">
        <v>340</v>
      </c>
      <c r="G439" s="3">
        <v>4</v>
      </c>
      <c r="H439" s="3">
        <v>0</v>
      </c>
      <c r="I439" s="3">
        <v>0</v>
      </c>
      <c r="J439" s="3">
        <v>4</v>
      </c>
      <c r="K439" s="3">
        <v>0</v>
      </c>
      <c r="L439" s="3">
        <v>0</v>
      </c>
      <c r="M439" s="3">
        <v>0</v>
      </c>
      <c r="N439" s="3" t="s">
        <v>341</v>
      </c>
      <c r="O439" s="3">
        <v>4</v>
      </c>
      <c r="P439" s="3">
        <v>4.59</v>
      </c>
      <c r="Q439" s="3">
        <v>0</v>
      </c>
      <c r="R439" s="3">
        <v>0</v>
      </c>
      <c r="S439" s="3">
        <v>0</v>
      </c>
      <c r="T439" s="3">
        <v>1</v>
      </c>
      <c r="U439" s="3">
        <v>2</v>
      </c>
      <c r="V439" s="3">
        <v>3</v>
      </c>
      <c r="W439" s="3" t="s">
        <v>342</v>
      </c>
      <c r="X439" s="3">
        <v>17.99</v>
      </c>
      <c r="Y439" s="3">
        <v>17.99</v>
      </c>
      <c r="Z439" s="3">
        <v>17.99</v>
      </c>
      <c r="AA439" s="3">
        <v>0</v>
      </c>
      <c r="AB439" s="3" t="s">
        <v>349</v>
      </c>
      <c r="AC439" s="3">
        <v>4</v>
      </c>
      <c r="AD439" s="3">
        <v>17.99</v>
      </c>
      <c r="AE439" s="3">
        <v>0</v>
      </c>
      <c r="AF439" s="3">
        <v>0</v>
      </c>
      <c r="AG439" s="3">
        <v>0</v>
      </c>
      <c r="AH439" s="3">
        <v>0.545454545454545</v>
      </c>
      <c r="AI439" s="3" t="s">
        <v>469</v>
      </c>
      <c r="AJ439" s="3" t="s">
        <v>345</v>
      </c>
    </row>
    <row r="440" spans="1:36">
      <c r="A440" s="4">
        <v>43288</v>
      </c>
      <c r="B440" s="3" t="s">
        <v>127</v>
      </c>
      <c r="C440" s="3" t="s">
        <v>128</v>
      </c>
      <c r="D440" s="3" t="s">
        <v>129</v>
      </c>
      <c r="E440" s="3" t="s">
        <v>130</v>
      </c>
      <c r="F440" s="3" t="s">
        <v>340</v>
      </c>
      <c r="G440" s="3">
        <v>11</v>
      </c>
      <c r="H440" s="3">
        <v>0</v>
      </c>
      <c r="I440" s="3">
        <v>11</v>
      </c>
      <c r="J440" s="3">
        <v>0</v>
      </c>
      <c r="K440" s="3">
        <v>0</v>
      </c>
      <c r="L440" s="3">
        <v>0</v>
      </c>
      <c r="M440" s="3">
        <v>0</v>
      </c>
      <c r="N440" s="3" t="s">
        <v>341</v>
      </c>
      <c r="O440" s="3">
        <v>0</v>
      </c>
      <c r="P440" s="3">
        <v>0</v>
      </c>
      <c r="Q440" s="3">
        <v>0</v>
      </c>
      <c r="R440" s="3">
        <v>0</v>
      </c>
      <c r="S440" s="3">
        <v>2</v>
      </c>
      <c r="T440" s="3">
        <v>9</v>
      </c>
      <c r="U440" s="3">
        <v>9</v>
      </c>
      <c r="V440" s="3">
        <v>9</v>
      </c>
      <c r="W440" s="3"/>
      <c r="X440" s="3">
        <v>17.99</v>
      </c>
      <c r="Y440" s="3">
        <v>17.99</v>
      </c>
      <c r="Z440" s="3">
        <v>17.99</v>
      </c>
      <c r="AA440" s="3">
        <v>0</v>
      </c>
      <c r="AB440" s="3" t="s">
        <v>359</v>
      </c>
      <c r="AC440" s="3">
        <v>13</v>
      </c>
      <c r="AD440" s="3">
        <v>17.99</v>
      </c>
      <c r="AE440" s="3">
        <v>0</v>
      </c>
      <c r="AF440" s="3">
        <v>0</v>
      </c>
      <c r="AG440" s="3">
        <v>0</v>
      </c>
      <c r="AH440" s="3">
        <v>0.818181818181818</v>
      </c>
      <c r="AI440" s="3" t="s">
        <v>371</v>
      </c>
      <c r="AJ440" s="3" t="s">
        <v>345</v>
      </c>
    </row>
    <row r="441" spans="1:36">
      <c r="A441" s="4">
        <v>43288</v>
      </c>
      <c r="B441" s="3" t="s">
        <v>1859</v>
      </c>
      <c r="C441" s="3" t="s">
        <v>1860</v>
      </c>
      <c r="D441" s="3" t="s">
        <v>1861</v>
      </c>
      <c r="E441" s="3" t="s">
        <v>1495</v>
      </c>
      <c r="F441" s="3" t="s">
        <v>340</v>
      </c>
      <c r="G441" s="3">
        <v>2</v>
      </c>
      <c r="H441" s="3">
        <v>0</v>
      </c>
      <c r="I441" s="3">
        <v>0</v>
      </c>
      <c r="J441" s="3">
        <v>1</v>
      </c>
      <c r="K441" s="3">
        <v>0</v>
      </c>
      <c r="L441" s="3">
        <v>1</v>
      </c>
      <c r="M441" s="3">
        <v>0</v>
      </c>
      <c r="N441" s="3" t="s">
        <v>341</v>
      </c>
      <c r="O441" s="3">
        <v>1</v>
      </c>
      <c r="P441" s="3">
        <v>0.89</v>
      </c>
      <c r="Q441" s="3">
        <v>0</v>
      </c>
      <c r="R441" s="3">
        <v>0</v>
      </c>
      <c r="S441" s="3">
        <v>0</v>
      </c>
      <c r="T441" s="3">
        <v>0</v>
      </c>
      <c r="U441" s="3">
        <v>1</v>
      </c>
      <c r="V441" s="3">
        <v>2</v>
      </c>
      <c r="W441" s="3" t="s">
        <v>342</v>
      </c>
      <c r="X441" s="3">
        <v>19.99</v>
      </c>
      <c r="Y441" s="3">
        <v>19.99</v>
      </c>
      <c r="Z441" s="3">
        <v>19.99</v>
      </c>
      <c r="AA441" s="3">
        <v>0</v>
      </c>
      <c r="AB441" s="3" t="s">
        <v>349</v>
      </c>
      <c r="AC441" s="3">
        <v>0</v>
      </c>
      <c r="AD441" s="3">
        <v>17.54</v>
      </c>
      <c r="AE441" s="3">
        <v>273</v>
      </c>
      <c r="AF441" s="3">
        <v>0</v>
      </c>
      <c r="AG441" s="3">
        <v>23.838536</v>
      </c>
      <c r="AH441" s="3">
        <v>0.571428571428571</v>
      </c>
      <c r="AI441" s="3" t="s">
        <v>1496</v>
      </c>
      <c r="AJ441" s="3" t="s">
        <v>345</v>
      </c>
    </row>
    <row r="442" spans="1:36">
      <c r="A442" s="4">
        <v>43288</v>
      </c>
      <c r="B442" s="3" t="s">
        <v>1862</v>
      </c>
      <c r="C442" s="3" t="s">
        <v>1863</v>
      </c>
      <c r="D442" s="3" t="s">
        <v>1864</v>
      </c>
      <c r="E442" s="3" t="s">
        <v>1865</v>
      </c>
      <c r="F442" s="3" t="s">
        <v>340</v>
      </c>
      <c r="G442" s="3">
        <v>1</v>
      </c>
      <c r="H442" s="3">
        <v>0</v>
      </c>
      <c r="I442" s="3">
        <v>1</v>
      </c>
      <c r="J442" s="3">
        <v>0</v>
      </c>
      <c r="K442" s="3">
        <v>0</v>
      </c>
      <c r="L442" s="3">
        <v>0</v>
      </c>
      <c r="M442" s="3">
        <v>0</v>
      </c>
      <c r="N442" s="3" t="s">
        <v>341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1</v>
      </c>
      <c r="U442" s="3">
        <v>1</v>
      </c>
      <c r="V442" s="3">
        <v>1</v>
      </c>
      <c r="W442" s="3" t="s">
        <v>342</v>
      </c>
      <c r="X442" s="3">
        <v>18.96</v>
      </c>
      <c r="Y442" s="3">
        <v>18.96</v>
      </c>
      <c r="Z442" s="3">
        <v>18.96</v>
      </c>
      <c r="AA442" s="3">
        <v>0</v>
      </c>
      <c r="AB442" s="3" t="s">
        <v>349</v>
      </c>
      <c r="AC442" s="3">
        <v>1</v>
      </c>
      <c r="AD442" s="3">
        <v>18.96</v>
      </c>
      <c r="AE442" s="3">
        <v>0</v>
      </c>
      <c r="AF442" s="3">
        <v>0</v>
      </c>
      <c r="AG442" s="3">
        <v>0</v>
      </c>
      <c r="AH442" s="3">
        <v>0.8</v>
      </c>
      <c r="AI442" s="3" t="s">
        <v>370</v>
      </c>
      <c r="AJ442" s="3" t="s">
        <v>345</v>
      </c>
    </row>
    <row r="443" spans="1:36">
      <c r="A443" s="4">
        <v>43288</v>
      </c>
      <c r="B443" s="3" t="s">
        <v>1866</v>
      </c>
      <c r="C443" s="3" t="s">
        <v>1867</v>
      </c>
      <c r="D443" s="3" t="s">
        <v>1868</v>
      </c>
      <c r="E443" s="3" t="s">
        <v>468</v>
      </c>
      <c r="F443" s="3" t="s">
        <v>340</v>
      </c>
      <c r="G443" s="3">
        <v>2</v>
      </c>
      <c r="H443" s="3">
        <v>0</v>
      </c>
      <c r="I443" s="3">
        <v>0</v>
      </c>
      <c r="J443" s="3">
        <v>2</v>
      </c>
      <c r="K443" s="3">
        <v>0</v>
      </c>
      <c r="L443" s="3">
        <v>0</v>
      </c>
      <c r="M443" s="3">
        <v>0</v>
      </c>
      <c r="N443" s="3" t="s">
        <v>341</v>
      </c>
      <c r="O443" s="3">
        <v>2</v>
      </c>
      <c r="P443" s="3">
        <v>2.29</v>
      </c>
      <c r="Q443" s="3">
        <v>0</v>
      </c>
      <c r="R443" s="3">
        <v>0</v>
      </c>
      <c r="S443" s="3">
        <v>0</v>
      </c>
      <c r="T443" s="3">
        <v>0</v>
      </c>
      <c r="U443" s="3">
        <v>0</v>
      </c>
      <c r="V443" s="3">
        <v>1</v>
      </c>
      <c r="W443" s="3" t="s">
        <v>342</v>
      </c>
      <c r="X443" s="3">
        <v>17.99</v>
      </c>
      <c r="Y443" s="3">
        <v>17.99</v>
      </c>
      <c r="Z443" s="3">
        <v>17.99</v>
      </c>
      <c r="AA443" s="3">
        <v>0</v>
      </c>
      <c r="AB443" s="3" t="s">
        <v>349</v>
      </c>
      <c r="AC443" s="3">
        <v>0</v>
      </c>
      <c r="AD443" s="3">
        <v>16.27</v>
      </c>
      <c r="AE443" s="3">
        <v>133</v>
      </c>
      <c r="AF443" s="3">
        <v>0</v>
      </c>
      <c r="AG443" s="3">
        <v>41.925812</v>
      </c>
      <c r="AH443" s="3">
        <v>0.444444444444444</v>
      </c>
      <c r="AI443" s="3" t="s">
        <v>469</v>
      </c>
      <c r="AJ443" s="3" t="s">
        <v>345</v>
      </c>
    </row>
    <row r="444" spans="1:36">
      <c r="A444" s="4">
        <v>43288</v>
      </c>
      <c r="B444" s="3" t="s">
        <v>1869</v>
      </c>
      <c r="C444" s="3" t="s">
        <v>1870</v>
      </c>
      <c r="D444" s="3" t="s">
        <v>1871</v>
      </c>
      <c r="E444" s="3" t="s">
        <v>213</v>
      </c>
      <c r="F444" s="3" t="s">
        <v>340</v>
      </c>
      <c r="G444" s="3">
        <v>15</v>
      </c>
      <c r="H444" s="3">
        <v>0</v>
      </c>
      <c r="I444" s="3">
        <v>1</v>
      </c>
      <c r="J444" s="3">
        <v>1</v>
      </c>
      <c r="K444" s="3">
        <v>0</v>
      </c>
      <c r="L444" s="3">
        <v>13</v>
      </c>
      <c r="M444" s="3">
        <v>0</v>
      </c>
      <c r="N444" s="3" t="s">
        <v>341</v>
      </c>
      <c r="O444" s="3">
        <v>1</v>
      </c>
      <c r="P444" s="3">
        <v>0.4</v>
      </c>
      <c r="Q444" s="3">
        <v>13</v>
      </c>
      <c r="R444" s="3">
        <v>10.31</v>
      </c>
      <c r="S444" s="3">
        <v>0</v>
      </c>
      <c r="T444" s="3">
        <v>0</v>
      </c>
      <c r="U444" s="3">
        <v>1</v>
      </c>
      <c r="V444" s="3">
        <v>2</v>
      </c>
      <c r="W444" s="3" t="s">
        <v>381</v>
      </c>
      <c r="X444" s="3">
        <v>17.99</v>
      </c>
      <c r="Y444" s="3">
        <v>17.99</v>
      </c>
      <c r="Z444" s="3">
        <v>17.99</v>
      </c>
      <c r="AA444" s="3">
        <v>0</v>
      </c>
      <c r="AB444" s="3" t="s">
        <v>343</v>
      </c>
      <c r="AC444" s="3">
        <v>1</v>
      </c>
      <c r="AD444" s="3">
        <v>16.14</v>
      </c>
      <c r="AE444" s="3">
        <v>224</v>
      </c>
      <c r="AF444" s="3">
        <v>0</v>
      </c>
      <c r="AG444" s="3">
        <v>190.449499</v>
      </c>
      <c r="AH444" s="3">
        <v>0.126984126984126</v>
      </c>
      <c r="AI444" s="3" t="s">
        <v>512</v>
      </c>
      <c r="AJ444" s="3" t="s">
        <v>345</v>
      </c>
    </row>
    <row r="445" spans="1:36">
      <c r="A445" s="4">
        <v>43288</v>
      </c>
      <c r="B445" s="3" t="s">
        <v>1872</v>
      </c>
      <c r="C445" s="3" t="s">
        <v>1873</v>
      </c>
      <c r="D445" s="3" t="s">
        <v>1874</v>
      </c>
      <c r="E445" s="3" t="s">
        <v>1875</v>
      </c>
      <c r="F445" s="3" t="s">
        <v>340</v>
      </c>
      <c r="G445" s="3">
        <v>5</v>
      </c>
      <c r="H445" s="3">
        <v>0</v>
      </c>
      <c r="I445" s="3">
        <v>4</v>
      </c>
      <c r="J445" s="3">
        <v>1</v>
      </c>
      <c r="K445" s="3">
        <v>0</v>
      </c>
      <c r="L445" s="3">
        <v>0</v>
      </c>
      <c r="M445" s="3">
        <v>0</v>
      </c>
      <c r="N445" s="3" t="s">
        <v>341</v>
      </c>
      <c r="O445" s="3">
        <v>0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381</v>
      </c>
      <c r="X445" s="3">
        <v>16.99</v>
      </c>
      <c r="Y445" s="3">
        <v>16.99</v>
      </c>
      <c r="Z445" s="3">
        <v>16.99</v>
      </c>
      <c r="AA445" s="3">
        <v>0</v>
      </c>
      <c r="AB445" s="3" t="s">
        <v>359</v>
      </c>
      <c r="AC445" s="3">
        <v>5</v>
      </c>
      <c r="AD445" s="3">
        <v>16.99</v>
      </c>
      <c r="AE445" s="3">
        <v>0</v>
      </c>
      <c r="AF445" s="3">
        <v>0</v>
      </c>
      <c r="AG445" s="3">
        <v>0</v>
      </c>
      <c r="AH445" s="3">
        <v>0</v>
      </c>
      <c r="AI445" s="3" t="s">
        <v>1876</v>
      </c>
      <c r="AJ445" s="3" t="s">
        <v>345</v>
      </c>
    </row>
    <row r="446" spans="1:36">
      <c r="A446" s="4">
        <v>43288</v>
      </c>
      <c r="B446" s="3" t="s">
        <v>1877</v>
      </c>
      <c r="C446" s="3" t="s">
        <v>1878</v>
      </c>
      <c r="D446" s="3" t="s">
        <v>1879</v>
      </c>
      <c r="E446" s="3" t="s">
        <v>468</v>
      </c>
      <c r="F446" s="3" t="s">
        <v>340</v>
      </c>
      <c r="G446" s="3">
        <v>2</v>
      </c>
      <c r="H446" s="3">
        <v>0</v>
      </c>
      <c r="I446" s="3">
        <v>0</v>
      </c>
      <c r="J446" s="3">
        <v>0</v>
      </c>
      <c r="K446" s="3">
        <v>2</v>
      </c>
      <c r="L446" s="3">
        <v>0</v>
      </c>
      <c r="M446" s="3">
        <v>0</v>
      </c>
      <c r="N446" s="3" t="s">
        <v>341</v>
      </c>
      <c r="O446" s="3">
        <v>2</v>
      </c>
      <c r="P446" s="3">
        <v>2.29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 t="s">
        <v>342</v>
      </c>
      <c r="X446" s="3">
        <v>17.99</v>
      </c>
      <c r="Y446" s="3">
        <v>17.99</v>
      </c>
      <c r="Z446" s="3">
        <v>17.99</v>
      </c>
      <c r="AA446" s="3">
        <v>0</v>
      </c>
      <c r="AB446" s="3" t="s">
        <v>349</v>
      </c>
      <c r="AC446" s="3">
        <v>0</v>
      </c>
      <c r="AD446" s="3">
        <v>16.37</v>
      </c>
      <c r="AE446" s="3">
        <v>91</v>
      </c>
      <c r="AF446" s="3">
        <v>0</v>
      </c>
      <c r="AG446" s="3">
        <v>42.899382</v>
      </c>
      <c r="AH446" s="3">
        <v>0</v>
      </c>
      <c r="AI446" s="3" t="s">
        <v>469</v>
      </c>
      <c r="AJ446" s="3" t="s">
        <v>345</v>
      </c>
    </row>
    <row r="447" spans="1:36">
      <c r="A447" s="4">
        <v>43288</v>
      </c>
      <c r="B447" s="3" t="s">
        <v>1880</v>
      </c>
      <c r="C447" s="3" t="s">
        <v>1881</v>
      </c>
      <c r="D447" s="3" t="s">
        <v>1882</v>
      </c>
      <c r="E447" s="3" t="s">
        <v>1029</v>
      </c>
      <c r="F447" s="3" t="s">
        <v>340</v>
      </c>
      <c r="G447" s="3">
        <v>2</v>
      </c>
      <c r="H447" s="3">
        <v>0</v>
      </c>
      <c r="I447" s="3">
        <v>0</v>
      </c>
      <c r="J447" s="3">
        <v>0</v>
      </c>
      <c r="K447" s="3">
        <v>0</v>
      </c>
      <c r="L447" s="3">
        <v>2</v>
      </c>
      <c r="M447" s="3">
        <v>0</v>
      </c>
      <c r="N447" s="3" t="s">
        <v>341</v>
      </c>
      <c r="O447" s="3">
        <v>0</v>
      </c>
      <c r="P447" s="3">
        <v>0</v>
      </c>
      <c r="Q447" s="3">
        <v>2</v>
      </c>
      <c r="R447" s="3">
        <v>5.3</v>
      </c>
      <c r="S447" s="3">
        <v>0</v>
      </c>
      <c r="T447" s="3">
        <v>0</v>
      </c>
      <c r="U447" s="3">
        <v>0</v>
      </c>
      <c r="V447" s="3">
        <v>0</v>
      </c>
      <c r="W447" s="3" t="s">
        <v>342</v>
      </c>
      <c r="X447" s="3">
        <v>17.88</v>
      </c>
      <c r="Y447" s="3">
        <v>17.88</v>
      </c>
      <c r="Z447" s="3">
        <v>17.88</v>
      </c>
      <c r="AA447" s="3">
        <v>0</v>
      </c>
      <c r="AB447" s="3" t="s">
        <v>343</v>
      </c>
      <c r="AC447" s="3">
        <v>0</v>
      </c>
      <c r="AD447" s="3">
        <v>14.3</v>
      </c>
      <c r="AE447" s="3">
        <v>63</v>
      </c>
      <c r="AF447" s="3">
        <v>0</v>
      </c>
      <c r="AG447" s="3">
        <v>34.263387</v>
      </c>
      <c r="AH447" s="3">
        <v>0</v>
      </c>
      <c r="AI447" s="3" t="s">
        <v>1030</v>
      </c>
      <c r="AJ447" s="3" t="s">
        <v>345</v>
      </c>
    </row>
    <row r="448" spans="1:36">
      <c r="A448" s="4">
        <v>43288</v>
      </c>
      <c r="B448" s="3" t="s">
        <v>1883</v>
      </c>
      <c r="C448" s="3" t="s">
        <v>1884</v>
      </c>
      <c r="D448" s="3" t="s">
        <v>1885</v>
      </c>
      <c r="E448" s="3" t="s">
        <v>439</v>
      </c>
      <c r="F448" s="3" t="s">
        <v>340</v>
      </c>
      <c r="G448" s="3">
        <v>3</v>
      </c>
      <c r="H448" s="3">
        <v>0</v>
      </c>
      <c r="I448" s="3">
        <v>1</v>
      </c>
      <c r="J448" s="3">
        <v>1</v>
      </c>
      <c r="K448" s="3">
        <v>1</v>
      </c>
      <c r="L448" s="3">
        <v>0</v>
      </c>
      <c r="M448" s="3">
        <v>0</v>
      </c>
      <c r="N448" s="3" t="s">
        <v>341</v>
      </c>
      <c r="O448" s="3">
        <v>2</v>
      </c>
      <c r="P448" s="3">
        <v>4.28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 t="s">
        <v>381</v>
      </c>
      <c r="X448" s="3">
        <v>16.99</v>
      </c>
      <c r="Y448" s="3">
        <v>16.99</v>
      </c>
      <c r="Z448" s="3">
        <v>16.99</v>
      </c>
      <c r="AA448" s="3">
        <v>0</v>
      </c>
      <c r="AB448" s="3" t="s">
        <v>343</v>
      </c>
      <c r="AC448" s="3">
        <v>0</v>
      </c>
      <c r="AD448" s="3">
        <v>14.48</v>
      </c>
      <c r="AE448" s="3">
        <v>203</v>
      </c>
      <c r="AF448" s="3">
        <v>0</v>
      </c>
      <c r="AG448" s="3">
        <v>81.45107</v>
      </c>
      <c r="AH448" s="3">
        <v>0</v>
      </c>
      <c r="AI448" s="3" t="s">
        <v>440</v>
      </c>
      <c r="AJ448" s="3" t="s">
        <v>345</v>
      </c>
    </row>
    <row r="449" spans="1:36">
      <c r="A449" s="4">
        <v>43288</v>
      </c>
      <c r="B449" s="3" t="s">
        <v>1886</v>
      </c>
      <c r="C449" s="3" t="s">
        <v>1887</v>
      </c>
      <c r="D449" s="3" t="s">
        <v>1888</v>
      </c>
      <c r="E449" s="3" t="s">
        <v>1889</v>
      </c>
      <c r="F449" s="3" t="s">
        <v>340</v>
      </c>
      <c r="G449" s="3">
        <v>2</v>
      </c>
      <c r="H449" s="3">
        <v>0</v>
      </c>
      <c r="I449" s="3">
        <v>0</v>
      </c>
      <c r="J449" s="3">
        <v>0</v>
      </c>
      <c r="K449" s="3">
        <v>0</v>
      </c>
      <c r="L449" s="3">
        <v>2</v>
      </c>
      <c r="M449" s="3">
        <v>0</v>
      </c>
      <c r="N449" s="3" t="s">
        <v>341</v>
      </c>
      <c r="O449" s="3">
        <v>2</v>
      </c>
      <c r="P449" s="3">
        <v>1.49</v>
      </c>
      <c r="Q449" s="3">
        <v>0</v>
      </c>
      <c r="R449" s="3">
        <v>0</v>
      </c>
      <c r="S449" s="3">
        <v>0</v>
      </c>
      <c r="T449" s="3">
        <v>0</v>
      </c>
      <c r="U449" s="3">
        <v>1</v>
      </c>
      <c r="V449" s="3">
        <v>1</v>
      </c>
      <c r="W449" s="3" t="s">
        <v>342</v>
      </c>
      <c r="X449" s="3">
        <v>15.99</v>
      </c>
      <c r="Y449" s="3">
        <v>15.99</v>
      </c>
      <c r="Z449" s="3">
        <v>15.99</v>
      </c>
      <c r="AA449" s="3">
        <v>0</v>
      </c>
      <c r="AB449" s="3" t="s">
        <v>359</v>
      </c>
      <c r="AC449" s="3">
        <v>2</v>
      </c>
      <c r="AD449" s="3">
        <v>15.99</v>
      </c>
      <c r="AE449" s="3">
        <v>0</v>
      </c>
      <c r="AF449" s="3">
        <v>0</v>
      </c>
      <c r="AG449" s="3">
        <v>0</v>
      </c>
      <c r="AH449" s="3">
        <v>0.4</v>
      </c>
      <c r="AI449" s="3" t="s">
        <v>1890</v>
      </c>
      <c r="AJ449" s="3" t="s">
        <v>345</v>
      </c>
    </row>
    <row r="450" spans="1:36">
      <c r="A450" s="4">
        <v>43288</v>
      </c>
      <c r="B450" s="3" t="s">
        <v>1891</v>
      </c>
      <c r="C450" s="3" t="s">
        <v>1892</v>
      </c>
      <c r="D450" s="3" t="s">
        <v>1893</v>
      </c>
      <c r="E450" s="3" t="s">
        <v>22</v>
      </c>
      <c r="F450" s="3" t="s">
        <v>340</v>
      </c>
      <c r="G450" s="3">
        <v>1</v>
      </c>
      <c r="H450" s="3">
        <v>0</v>
      </c>
      <c r="I450" s="3">
        <v>1</v>
      </c>
      <c r="J450" s="3">
        <v>0</v>
      </c>
      <c r="K450" s="3">
        <v>0</v>
      </c>
      <c r="L450" s="3">
        <v>0</v>
      </c>
      <c r="M450" s="3">
        <v>0</v>
      </c>
      <c r="N450" s="3" t="s">
        <v>341</v>
      </c>
      <c r="O450" s="3">
        <v>0</v>
      </c>
      <c r="P450" s="3">
        <v>0</v>
      </c>
      <c r="Q450" s="3">
        <v>0</v>
      </c>
      <c r="R450" s="3">
        <v>0</v>
      </c>
      <c r="S450" s="3">
        <v>0</v>
      </c>
      <c r="T450" s="3">
        <v>17</v>
      </c>
      <c r="U450" s="3">
        <v>37</v>
      </c>
      <c r="V450" s="3">
        <v>43</v>
      </c>
      <c r="W450" s="3"/>
      <c r="X450" s="3"/>
      <c r="Y450" s="3"/>
      <c r="Z450" s="3">
        <v>-1</v>
      </c>
      <c r="AA450" s="3">
        <v>-1</v>
      </c>
      <c r="AB450" s="3" t="s">
        <v>493</v>
      </c>
      <c r="AC450" s="3">
        <v>0</v>
      </c>
      <c r="AD450" s="3">
        <v>0</v>
      </c>
      <c r="AE450" s="3">
        <v>0</v>
      </c>
      <c r="AF450" s="3">
        <v>0</v>
      </c>
      <c r="AG450" s="3">
        <v>0</v>
      </c>
      <c r="AH450" s="3">
        <v>5.93103448275862</v>
      </c>
      <c r="AI450" s="3" t="s">
        <v>421</v>
      </c>
      <c r="AJ450" s="3" t="s">
        <v>345</v>
      </c>
    </row>
    <row r="451" spans="1:36">
      <c r="A451" s="4">
        <v>43288</v>
      </c>
      <c r="B451" s="3" t="s">
        <v>1894</v>
      </c>
      <c r="C451" s="3" t="s">
        <v>1895</v>
      </c>
      <c r="D451" s="3" t="s">
        <v>1896</v>
      </c>
      <c r="E451" s="3" t="s">
        <v>213</v>
      </c>
      <c r="F451" s="3" t="s">
        <v>340</v>
      </c>
      <c r="G451" s="3">
        <v>4</v>
      </c>
      <c r="H451" s="3">
        <v>0</v>
      </c>
      <c r="I451" s="3">
        <v>0</v>
      </c>
      <c r="J451" s="3">
        <v>4</v>
      </c>
      <c r="K451" s="3">
        <v>0</v>
      </c>
      <c r="L451" s="3">
        <v>0</v>
      </c>
      <c r="M451" s="3">
        <v>0</v>
      </c>
      <c r="N451" s="3" t="s">
        <v>341</v>
      </c>
      <c r="O451" s="3">
        <v>0</v>
      </c>
      <c r="P451" s="3">
        <v>0</v>
      </c>
      <c r="Q451" s="3">
        <v>0</v>
      </c>
      <c r="R451" s="3">
        <v>0</v>
      </c>
      <c r="S451" s="3">
        <v>1</v>
      </c>
      <c r="T451" s="3">
        <v>2</v>
      </c>
      <c r="U451" s="3">
        <v>2</v>
      </c>
      <c r="V451" s="3">
        <v>3</v>
      </c>
      <c r="W451" s="3"/>
      <c r="X451" s="3">
        <v>20.99</v>
      </c>
      <c r="Y451" s="3">
        <v>20.99</v>
      </c>
      <c r="Z451" s="3">
        <v>20.99</v>
      </c>
      <c r="AA451" s="3">
        <v>0</v>
      </c>
      <c r="AB451" s="3" t="s">
        <v>343</v>
      </c>
      <c r="AC451" s="3">
        <v>0</v>
      </c>
      <c r="AD451" s="3">
        <v>19.13</v>
      </c>
      <c r="AE451" s="3">
        <v>224</v>
      </c>
      <c r="AF451" s="3">
        <v>0</v>
      </c>
      <c r="AG451" s="3">
        <v>58.761854</v>
      </c>
      <c r="AH451" s="3">
        <v>0.5</v>
      </c>
      <c r="AI451" s="3" t="s">
        <v>512</v>
      </c>
      <c r="AJ451" s="3" t="s">
        <v>345</v>
      </c>
    </row>
    <row r="452" spans="1:36">
      <c r="A452" s="4">
        <v>43288</v>
      </c>
      <c r="B452" s="3" t="s">
        <v>1897</v>
      </c>
      <c r="C452" s="3" t="s">
        <v>1898</v>
      </c>
      <c r="D452" s="3" t="s">
        <v>1899</v>
      </c>
      <c r="E452" s="3" t="s">
        <v>111</v>
      </c>
      <c r="F452" s="3" t="s">
        <v>340</v>
      </c>
      <c r="G452" s="3">
        <v>9</v>
      </c>
      <c r="H452" s="3">
        <v>0</v>
      </c>
      <c r="I452" s="3">
        <v>1</v>
      </c>
      <c r="J452" s="3">
        <v>1</v>
      </c>
      <c r="K452" s="3">
        <v>1</v>
      </c>
      <c r="L452" s="3">
        <v>0</v>
      </c>
      <c r="M452" s="3">
        <v>6</v>
      </c>
      <c r="N452" s="3" t="s">
        <v>341</v>
      </c>
      <c r="O452" s="3">
        <v>1</v>
      </c>
      <c r="P452" s="3">
        <v>0.62</v>
      </c>
      <c r="Q452" s="3">
        <v>6</v>
      </c>
      <c r="R452" s="3">
        <v>7.42</v>
      </c>
      <c r="S452" s="3">
        <v>0</v>
      </c>
      <c r="T452" s="3">
        <v>1</v>
      </c>
      <c r="U452" s="3">
        <v>1</v>
      </c>
      <c r="V452" s="3">
        <v>2</v>
      </c>
      <c r="W452" s="3"/>
      <c r="X452" s="3">
        <v>16.99</v>
      </c>
      <c r="Y452" s="3">
        <v>16.99</v>
      </c>
      <c r="Z452" s="3">
        <v>16.99</v>
      </c>
      <c r="AA452" s="3">
        <v>0</v>
      </c>
      <c r="AB452" s="3" t="s">
        <v>359</v>
      </c>
      <c r="AC452" s="3">
        <v>9</v>
      </c>
      <c r="AD452" s="3">
        <v>16.99</v>
      </c>
      <c r="AE452" s="3">
        <v>0</v>
      </c>
      <c r="AF452" s="3">
        <v>0</v>
      </c>
      <c r="AG452" s="3">
        <v>0</v>
      </c>
      <c r="AH452" s="3">
        <v>0.205128205128205</v>
      </c>
      <c r="AI452" s="3" t="s">
        <v>505</v>
      </c>
      <c r="AJ452" s="3" t="s">
        <v>345</v>
      </c>
    </row>
    <row r="453" spans="1:36">
      <c r="A453" s="4">
        <v>43288</v>
      </c>
      <c r="B453" s="3" t="s">
        <v>1900</v>
      </c>
      <c r="C453" s="3" t="s">
        <v>1901</v>
      </c>
      <c r="D453" s="3" t="s">
        <v>1902</v>
      </c>
      <c r="E453" s="3" t="s">
        <v>439</v>
      </c>
      <c r="F453" s="3" t="s">
        <v>340</v>
      </c>
      <c r="G453" s="3">
        <v>1</v>
      </c>
      <c r="H453" s="3">
        <v>0</v>
      </c>
      <c r="I453" s="3">
        <v>0</v>
      </c>
      <c r="J453" s="3">
        <v>1</v>
      </c>
      <c r="K453" s="3">
        <v>0</v>
      </c>
      <c r="L453" s="3">
        <v>0</v>
      </c>
      <c r="M453" s="3">
        <v>0</v>
      </c>
      <c r="N453" s="3" t="s">
        <v>341</v>
      </c>
      <c r="O453" s="3">
        <v>1</v>
      </c>
      <c r="P453" s="3">
        <v>2.14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0</v>
      </c>
      <c r="W453" s="3" t="s">
        <v>381</v>
      </c>
      <c r="X453" s="3">
        <v>16.99</v>
      </c>
      <c r="Y453" s="3">
        <v>16.99</v>
      </c>
      <c r="Z453" s="3">
        <v>16.99</v>
      </c>
      <c r="AA453" s="3">
        <v>0</v>
      </c>
      <c r="AB453" s="3" t="s">
        <v>343</v>
      </c>
      <c r="AC453" s="3">
        <v>0</v>
      </c>
      <c r="AD453" s="3">
        <v>15.32</v>
      </c>
      <c r="AE453" s="3">
        <v>84</v>
      </c>
      <c r="AF453" s="3">
        <v>0</v>
      </c>
      <c r="AG453" s="3">
        <v>29.376891</v>
      </c>
      <c r="AH453" s="3">
        <v>0</v>
      </c>
      <c r="AI453" s="3" t="s">
        <v>440</v>
      </c>
      <c r="AJ453" s="3" t="s">
        <v>345</v>
      </c>
    </row>
    <row r="454" spans="1:36">
      <c r="A454" s="4">
        <v>43288</v>
      </c>
      <c r="B454" s="3" t="s">
        <v>1903</v>
      </c>
      <c r="C454" s="3" t="s">
        <v>1904</v>
      </c>
      <c r="D454" s="3" t="s">
        <v>1905</v>
      </c>
      <c r="E454" s="3" t="s">
        <v>1906</v>
      </c>
      <c r="F454" s="3" t="s">
        <v>340</v>
      </c>
      <c r="G454" s="3">
        <v>5</v>
      </c>
      <c r="H454" s="3">
        <v>0</v>
      </c>
      <c r="I454" s="3">
        <v>0</v>
      </c>
      <c r="J454" s="3">
        <v>0</v>
      </c>
      <c r="K454" s="3">
        <v>5</v>
      </c>
      <c r="L454" s="3">
        <v>0</v>
      </c>
      <c r="M454" s="3">
        <v>0</v>
      </c>
      <c r="N454" s="3" t="s">
        <v>341</v>
      </c>
      <c r="O454" s="3">
        <v>5</v>
      </c>
      <c r="P454" s="3">
        <v>9.86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 t="s">
        <v>342</v>
      </c>
      <c r="X454" s="3">
        <v>22.99</v>
      </c>
      <c r="Y454" s="3">
        <v>22.99</v>
      </c>
      <c r="Z454" s="3">
        <v>22.99</v>
      </c>
      <c r="AA454" s="3">
        <v>0</v>
      </c>
      <c r="AB454" s="3" t="s">
        <v>343</v>
      </c>
      <c r="AC454" s="3">
        <v>0</v>
      </c>
      <c r="AD454" s="3">
        <v>18.39</v>
      </c>
      <c r="AE454" s="3">
        <v>63</v>
      </c>
      <c r="AF454" s="3">
        <v>0</v>
      </c>
      <c r="AG454" s="3">
        <v>122.395257</v>
      </c>
      <c r="AH454" s="3">
        <v>0</v>
      </c>
      <c r="AI454" s="3" t="s">
        <v>1907</v>
      </c>
      <c r="AJ454" s="3" t="s">
        <v>345</v>
      </c>
    </row>
    <row r="455" spans="1:36">
      <c r="A455" s="4">
        <v>43288</v>
      </c>
      <c r="B455" s="3" t="s">
        <v>1908</v>
      </c>
      <c r="C455" s="3" t="s">
        <v>1909</v>
      </c>
      <c r="D455" s="3" t="s">
        <v>1910</v>
      </c>
      <c r="E455" s="3" t="s">
        <v>1162</v>
      </c>
      <c r="F455" s="3" t="s">
        <v>340</v>
      </c>
      <c r="G455" s="3">
        <v>9</v>
      </c>
      <c r="H455" s="3">
        <v>0</v>
      </c>
      <c r="I455" s="3">
        <v>6</v>
      </c>
      <c r="J455" s="3">
        <v>3</v>
      </c>
      <c r="K455" s="3">
        <v>0</v>
      </c>
      <c r="L455" s="3">
        <v>0</v>
      </c>
      <c r="M455" s="3">
        <v>0</v>
      </c>
      <c r="N455" s="3" t="s">
        <v>341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6</v>
      </c>
      <c r="W455" s="3"/>
      <c r="X455" s="3"/>
      <c r="Y455" s="3"/>
      <c r="Z455" s="3">
        <v>-1</v>
      </c>
      <c r="AA455" s="3">
        <v>-1</v>
      </c>
      <c r="AB455" s="3" t="s">
        <v>493</v>
      </c>
      <c r="AC455" s="3">
        <v>0</v>
      </c>
      <c r="AD455" s="3">
        <v>0</v>
      </c>
      <c r="AE455" s="3">
        <v>0</v>
      </c>
      <c r="AF455" s="3">
        <v>0</v>
      </c>
      <c r="AG455" s="3">
        <v>0</v>
      </c>
      <c r="AH455" s="3">
        <v>0.4</v>
      </c>
      <c r="AI455" s="3" t="s">
        <v>1163</v>
      </c>
      <c r="AJ455" s="3" t="s">
        <v>345</v>
      </c>
    </row>
    <row r="456" spans="1:36">
      <c r="A456" s="4">
        <v>43288</v>
      </c>
      <c r="B456" s="3" t="s">
        <v>1911</v>
      </c>
      <c r="C456" s="3" t="s">
        <v>1912</v>
      </c>
      <c r="D456" s="3" t="s">
        <v>1913</v>
      </c>
      <c r="E456" s="3" t="s">
        <v>1914</v>
      </c>
      <c r="F456" s="3" t="s">
        <v>340</v>
      </c>
      <c r="G456" s="3">
        <v>2</v>
      </c>
      <c r="H456" s="3">
        <v>0</v>
      </c>
      <c r="I456" s="3">
        <v>0</v>
      </c>
      <c r="J456" s="3">
        <v>0</v>
      </c>
      <c r="K456" s="3">
        <v>0</v>
      </c>
      <c r="L456" s="3">
        <v>2</v>
      </c>
      <c r="M456" s="3">
        <v>0</v>
      </c>
      <c r="N456" s="3" t="s">
        <v>341</v>
      </c>
      <c r="O456" s="3">
        <v>0</v>
      </c>
      <c r="P456" s="3">
        <v>0</v>
      </c>
      <c r="Q456" s="3">
        <v>2</v>
      </c>
      <c r="R456" s="3">
        <v>2.69</v>
      </c>
      <c r="S456" s="3">
        <v>0</v>
      </c>
      <c r="T456" s="3">
        <v>0</v>
      </c>
      <c r="U456" s="3">
        <v>0</v>
      </c>
      <c r="V456" s="3">
        <v>0</v>
      </c>
      <c r="W456" s="3" t="s">
        <v>342</v>
      </c>
      <c r="X456" s="3">
        <v>9.9</v>
      </c>
      <c r="Y456" s="3">
        <v>9.9</v>
      </c>
      <c r="Z456" s="3">
        <v>9.9</v>
      </c>
      <c r="AA456" s="3">
        <v>0</v>
      </c>
      <c r="AB456" s="3" t="s">
        <v>343</v>
      </c>
      <c r="AC456" s="3">
        <v>0</v>
      </c>
      <c r="AD456" s="3">
        <v>7.92</v>
      </c>
      <c r="AE456" s="3">
        <v>63</v>
      </c>
      <c r="AF456" s="3">
        <v>0</v>
      </c>
      <c r="AG456" s="3">
        <v>17.44638</v>
      </c>
      <c r="AH456" s="3">
        <v>0</v>
      </c>
      <c r="AI456" s="3" t="s">
        <v>1915</v>
      </c>
      <c r="AJ456" s="3" t="s">
        <v>345</v>
      </c>
    </row>
    <row r="457" spans="1:36">
      <c r="A457" s="4">
        <v>43288</v>
      </c>
      <c r="B457" s="3" t="s">
        <v>1916</v>
      </c>
      <c r="C457" s="3" t="s">
        <v>1917</v>
      </c>
      <c r="D457" s="3" t="s">
        <v>1918</v>
      </c>
      <c r="E457" s="3" t="s">
        <v>1919</v>
      </c>
      <c r="F457" s="3" t="s">
        <v>340</v>
      </c>
      <c r="G457" s="3">
        <v>7</v>
      </c>
      <c r="H457" s="3">
        <v>0</v>
      </c>
      <c r="I457" s="3">
        <v>0</v>
      </c>
      <c r="J457" s="3">
        <v>7</v>
      </c>
      <c r="K457" s="3">
        <v>0</v>
      </c>
      <c r="L457" s="3">
        <v>0</v>
      </c>
      <c r="M457" s="3">
        <v>0</v>
      </c>
      <c r="N457" s="3" t="s">
        <v>341</v>
      </c>
      <c r="O457" s="3">
        <v>5</v>
      </c>
      <c r="P457" s="3">
        <v>6.23</v>
      </c>
      <c r="Q457" s="3">
        <v>0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 t="s">
        <v>342</v>
      </c>
      <c r="X457" s="3">
        <v>15.99</v>
      </c>
      <c r="Y457" s="3">
        <v>15.99</v>
      </c>
      <c r="Z457" s="3">
        <v>15.99</v>
      </c>
      <c r="AA457" s="3">
        <v>0</v>
      </c>
      <c r="AB457" s="3" t="s">
        <v>349</v>
      </c>
      <c r="AC457" s="3">
        <v>0</v>
      </c>
      <c r="AD457" s="3">
        <v>14.07</v>
      </c>
      <c r="AE457" s="3">
        <v>217</v>
      </c>
      <c r="AF457" s="3">
        <v>0</v>
      </c>
      <c r="AG457" s="3">
        <v>140.575084</v>
      </c>
      <c r="AH457" s="3">
        <v>0</v>
      </c>
      <c r="AI457" s="3" t="s">
        <v>714</v>
      </c>
      <c r="AJ457" s="3" t="s">
        <v>345</v>
      </c>
    </row>
    <row r="458" spans="1:36">
      <c r="A458" s="4">
        <v>43288</v>
      </c>
      <c r="B458" s="3" t="s">
        <v>1920</v>
      </c>
      <c r="C458" s="3" t="s">
        <v>1921</v>
      </c>
      <c r="D458" s="3" t="s">
        <v>1922</v>
      </c>
      <c r="E458" s="3" t="s">
        <v>1923</v>
      </c>
      <c r="F458" s="3" t="s">
        <v>340</v>
      </c>
      <c r="G458" s="3">
        <v>5</v>
      </c>
      <c r="H458" s="3">
        <v>0</v>
      </c>
      <c r="I458" s="3">
        <v>0</v>
      </c>
      <c r="J458" s="3">
        <v>5</v>
      </c>
      <c r="K458" s="3">
        <v>0</v>
      </c>
      <c r="L458" s="3">
        <v>0</v>
      </c>
      <c r="M458" s="3">
        <v>0</v>
      </c>
      <c r="N458" s="3" t="s">
        <v>341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0</v>
      </c>
      <c r="U458" s="3">
        <v>0</v>
      </c>
      <c r="V458" s="3">
        <v>0</v>
      </c>
      <c r="W458" s="3" t="s">
        <v>381</v>
      </c>
      <c r="X458" s="3">
        <v>19.99</v>
      </c>
      <c r="Y458" s="3">
        <v>19.99</v>
      </c>
      <c r="Z458" s="3">
        <v>19.99</v>
      </c>
      <c r="AA458" s="3">
        <v>0</v>
      </c>
      <c r="AB458" s="3" t="s">
        <v>359</v>
      </c>
      <c r="AC458" s="3">
        <v>5</v>
      </c>
      <c r="AD458" s="3">
        <v>19.99</v>
      </c>
      <c r="AE458" s="3">
        <v>0</v>
      </c>
      <c r="AF458" s="3">
        <v>0</v>
      </c>
      <c r="AG458" s="3">
        <v>0</v>
      </c>
      <c r="AH458" s="3">
        <v>0</v>
      </c>
      <c r="AI458" s="3" t="s">
        <v>1349</v>
      </c>
      <c r="AJ458" s="3" t="s">
        <v>345</v>
      </c>
    </row>
    <row r="459" spans="1:36">
      <c r="A459" s="4">
        <v>43288</v>
      </c>
      <c r="B459" s="3" t="s">
        <v>1924</v>
      </c>
      <c r="C459" s="3" t="s">
        <v>1925</v>
      </c>
      <c r="D459" s="3" t="s">
        <v>1926</v>
      </c>
      <c r="E459" s="3" t="s">
        <v>468</v>
      </c>
      <c r="F459" s="3" t="s">
        <v>340</v>
      </c>
      <c r="G459" s="3">
        <v>1</v>
      </c>
      <c r="H459" s="3">
        <v>0</v>
      </c>
      <c r="I459" s="3">
        <v>0</v>
      </c>
      <c r="J459" s="3">
        <v>1</v>
      </c>
      <c r="K459" s="3">
        <v>0</v>
      </c>
      <c r="L459" s="3">
        <v>0</v>
      </c>
      <c r="M459" s="3">
        <v>0</v>
      </c>
      <c r="N459" s="3" t="s">
        <v>341</v>
      </c>
      <c r="O459" s="3">
        <v>0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2</v>
      </c>
      <c r="W459" s="3" t="s">
        <v>342</v>
      </c>
      <c r="X459" s="3">
        <v>17.99</v>
      </c>
      <c r="Y459" s="3">
        <v>17.99</v>
      </c>
      <c r="Z459" s="3">
        <v>17.99</v>
      </c>
      <c r="AA459" s="3">
        <v>0</v>
      </c>
      <c r="AB459" s="3" t="s">
        <v>349</v>
      </c>
      <c r="AC459" s="3">
        <v>0</v>
      </c>
      <c r="AD459" s="3">
        <v>16.9</v>
      </c>
      <c r="AE459" s="3">
        <v>35</v>
      </c>
      <c r="AF459" s="3">
        <v>0</v>
      </c>
      <c r="AG459" s="3">
        <v>20.398954</v>
      </c>
      <c r="AH459" s="3">
        <v>1.33333333333333</v>
      </c>
      <c r="AI459" s="3" t="s">
        <v>469</v>
      </c>
      <c r="AJ459" s="3" t="s">
        <v>345</v>
      </c>
    </row>
    <row r="460" spans="1:36">
      <c r="A460" s="4">
        <v>43288</v>
      </c>
      <c r="B460" s="3" t="s">
        <v>1927</v>
      </c>
      <c r="C460" s="3" t="s">
        <v>1928</v>
      </c>
      <c r="D460" s="3" t="s">
        <v>1929</v>
      </c>
      <c r="E460" s="3" t="s">
        <v>680</v>
      </c>
      <c r="F460" s="3" t="s">
        <v>340</v>
      </c>
      <c r="G460" s="3">
        <v>4</v>
      </c>
      <c r="H460" s="3">
        <v>0</v>
      </c>
      <c r="I460" s="3">
        <v>1</v>
      </c>
      <c r="J460" s="3">
        <v>3</v>
      </c>
      <c r="K460" s="3">
        <v>0</v>
      </c>
      <c r="L460" s="3">
        <v>0</v>
      </c>
      <c r="M460" s="3">
        <v>0</v>
      </c>
      <c r="N460" s="3" t="s">
        <v>341</v>
      </c>
      <c r="O460" s="3">
        <v>1</v>
      </c>
      <c r="P460" s="3">
        <v>2.47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342</v>
      </c>
      <c r="X460" s="3">
        <v>17.99</v>
      </c>
      <c r="Y460" s="3">
        <v>17.99</v>
      </c>
      <c r="Z460" s="3">
        <v>17.99</v>
      </c>
      <c r="AA460" s="3">
        <v>0</v>
      </c>
      <c r="AB460" s="3" t="s">
        <v>349</v>
      </c>
      <c r="AC460" s="3">
        <v>0</v>
      </c>
      <c r="AD460" s="3">
        <v>16.31</v>
      </c>
      <c r="AE460" s="3">
        <v>105</v>
      </c>
      <c r="AF460" s="3">
        <v>0</v>
      </c>
      <c r="AG460" s="3">
        <v>136.369146</v>
      </c>
      <c r="AH460" s="3">
        <v>0</v>
      </c>
      <c r="AI460" s="3" t="s">
        <v>1930</v>
      </c>
      <c r="AJ460" s="3" t="s">
        <v>345</v>
      </c>
    </row>
    <row r="461" spans="1:36">
      <c r="A461" s="4">
        <v>43288</v>
      </c>
      <c r="B461" s="3" t="s">
        <v>1931</v>
      </c>
      <c r="C461" s="3" t="s">
        <v>1932</v>
      </c>
      <c r="D461" s="3" t="s">
        <v>1933</v>
      </c>
      <c r="E461" s="3" t="s">
        <v>115</v>
      </c>
      <c r="F461" s="3" t="s">
        <v>340</v>
      </c>
      <c r="G461" s="3">
        <v>21</v>
      </c>
      <c r="H461" s="3">
        <v>0</v>
      </c>
      <c r="I461" s="3">
        <v>4</v>
      </c>
      <c r="J461" s="3">
        <v>17</v>
      </c>
      <c r="K461" s="3">
        <v>0</v>
      </c>
      <c r="L461" s="3">
        <v>0</v>
      </c>
      <c r="M461" s="3">
        <v>0</v>
      </c>
      <c r="N461" s="3" t="s">
        <v>341</v>
      </c>
      <c r="O461" s="3">
        <v>5</v>
      </c>
      <c r="P461" s="3">
        <v>3.43</v>
      </c>
      <c r="Q461" s="3">
        <v>0</v>
      </c>
      <c r="R461" s="3">
        <v>0</v>
      </c>
      <c r="S461" s="3">
        <v>1</v>
      </c>
      <c r="T461" s="3">
        <v>5</v>
      </c>
      <c r="U461" s="3">
        <v>17</v>
      </c>
      <c r="V461" s="3">
        <v>20</v>
      </c>
      <c r="W461" s="3" t="s">
        <v>342</v>
      </c>
      <c r="X461" s="3">
        <v>16.99</v>
      </c>
      <c r="Y461" s="3">
        <v>16.99</v>
      </c>
      <c r="Z461" s="3">
        <v>16.99</v>
      </c>
      <c r="AA461" s="3">
        <v>0</v>
      </c>
      <c r="AB461" s="3" t="s">
        <v>349</v>
      </c>
      <c r="AC461" s="3">
        <v>22</v>
      </c>
      <c r="AD461" s="3">
        <v>16.99</v>
      </c>
      <c r="AE461" s="3">
        <v>0</v>
      </c>
      <c r="AF461" s="3">
        <v>0</v>
      </c>
      <c r="AG461" s="3">
        <v>0</v>
      </c>
      <c r="AH461" s="3">
        <v>0.615384615384615</v>
      </c>
      <c r="AI461" s="3" t="s">
        <v>1828</v>
      </c>
      <c r="AJ461" s="3" t="s">
        <v>345</v>
      </c>
    </row>
    <row r="462" spans="1:36">
      <c r="A462" s="4">
        <v>43288</v>
      </c>
      <c r="B462" s="3" t="s">
        <v>1934</v>
      </c>
      <c r="C462" s="3" t="s">
        <v>1935</v>
      </c>
      <c r="D462" s="3" t="s">
        <v>1936</v>
      </c>
      <c r="E462" s="3" t="s">
        <v>1937</v>
      </c>
      <c r="F462" s="3" t="s">
        <v>340</v>
      </c>
      <c r="G462" s="3">
        <v>5</v>
      </c>
      <c r="H462" s="3">
        <v>0</v>
      </c>
      <c r="I462" s="3">
        <v>0</v>
      </c>
      <c r="J462" s="3">
        <v>5</v>
      </c>
      <c r="K462" s="3">
        <v>0</v>
      </c>
      <c r="L462" s="3">
        <v>0</v>
      </c>
      <c r="M462" s="3">
        <v>0</v>
      </c>
      <c r="N462" s="3" t="s">
        <v>341</v>
      </c>
      <c r="O462" s="3">
        <v>5</v>
      </c>
      <c r="P462" s="3">
        <v>6.22</v>
      </c>
      <c r="Q462" s="3">
        <v>0</v>
      </c>
      <c r="R462" s="3">
        <v>0</v>
      </c>
      <c r="S462" s="3">
        <v>0</v>
      </c>
      <c r="T462" s="3">
        <v>0</v>
      </c>
      <c r="U462" s="3">
        <v>0</v>
      </c>
      <c r="V462" s="3">
        <v>1</v>
      </c>
      <c r="W462" s="3" t="s">
        <v>342</v>
      </c>
      <c r="X462" s="3">
        <v>15.99</v>
      </c>
      <c r="Y462" s="3">
        <v>15.99</v>
      </c>
      <c r="Z462" s="3">
        <v>15.99</v>
      </c>
      <c r="AA462" s="3">
        <v>0</v>
      </c>
      <c r="AB462" s="3" t="s">
        <v>349</v>
      </c>
      <c r="AC462" s="3">
        <v>0</v>
      </c>
      <c r="AD462" s="3">
        <v>14.05</v>
      </c>
      <c r="AE462" s="3">
        <v>189</v>
      </c>
      <c r="AF462" s="3">
        <v>0</v>
      </c>
      <c r="AG462" s="3">
        <v>102.011928</v>
      </c>
      <c r="AH462" s="3">
        <v>0.19047619047619</v>
      </c>
      <c r="AI462" s="3" t="s">
        <v>397</v>
      </c>
      <c r="AJ462" s="3" t="s">
        <v>345</v>
      </c>
    </row>
    <row r="463" spans="1:36">
      <c r="A463" s="4">
        <v>43288</v>
      </c>
      <c r="B463" s="3" t="s">
        <v>1938</v>
      </c>
      <c r="C463" s="3" t="s">
        <v>1939</v>
      </c>
      <c r="D463" s="3" t="s">
        <v>1940</v>
      </c>
      <c r="E463" s="3" t="s">
        <v>1941</v>
      </c>
      <c r="F463" s="3" t="s">
        <v>340</v>
      </c>
      <c r="G463" s="3">
        <v>3</v>
      </c>
      <c r="H463" s="3">
        <v>0</v>
      </c>
      <c r="I463" s="3">
        <v>0</v>
      </c>
      <c r="J463" s="3">
        <v>0</v>
      </c>
      <c r="K463" s="3">
        <v>0</v>
      </c>
      <c r="L463" s="3">
        <v>3</v>
      </c>
      <c r="M463" s="3">
        <v>0</v>
      </c>
      <c r="N463" s="3" t="s">
        <v>341</v>
      </c>
      <c r="O463" s="3">
        <v>0</v>
      </c>
      <c r="P463" s="3">
        <v>0</v>
      </c>
      <c r="Q463" s="3">
        <v>3</v>
      </c>
      <c r="R463" s="3">
        <v>7.07</v>
      </c>
      <c r="S463" s="3">
        <v>1</v>
      </c>
      <c r="T463" s="3">
        <v>3</v>
      </c>
      <c r="U463" s="3">
        <v>3</v>
      </c>
      <c r="V463" s="3">
        <v>3</v>
      </c>
      <c r="W463" s="3" t="s">
        <v>342</v>
      </c>
      <c r="X463" s="3">
        <v>19.9</v>
      </c>
      <c r="Y463" s="3">
        <v>19.9</v>
      </c>
      <c r="Z463" s="3">
        <v>19.9</v>
      </c>
      <c r="AA463" s="3">
        <v>0</v>
      </c>
      <c r="AB463" s="3" t="s">
        <v>349</v>
      </c>
      <c r="AC463" s="3">
        <v>3</v>
      </c>
      <c r="AD463" s="3">
        <v>19.9</v>
      </c>
      <c r="AE463" s="3">
        <v>0</v>
      </c>
      <c r="AF463" s="3">
        <v>0</v>
      </c>
      <c r="AG463" s="3">
        <v>0</v>
      </c>
      <c r="AH463" s="3">
        <v>0.571428571428571</v>
      </c>
      <c r="AI463" s="3" t="s">
        <v>1942</v>
      </c>
      <c r="AJ463" s="3" t="s">
        <v>345</v>
      </c>
    </row>
    <row r="464" spans="1:36">
      <c r="A464" s="4">
        <v>43288</v>
      </c>
      <c r="B464" s="3" t="s">
        <v>251</v>
      </c>
      <c r="C464" s="3" t="s">
        <v>252</v>
      </c>
      <c r="D464" s="3" t="s">
        <v>253</v>
      </c>
      <c r="E464" s="3" t="s">
        <v>243</v>
      </c>
      <c r="F464" s="3" t="s">
        <v>340</v>
      </c>
      <c r="G464" s="3">
        <v>1</v>
      </c>
      <c r="H464" s="3">
        <v>0</v>
      </c>
      <c r="I464" s="3">
        <v>1</v>
      </c>
      <c r="J464" s="3">
        <v>0</v>
      </c>
      <c r="K464" s="3">
        <v>0</v>
      </c>
      <c r="L464" s="3">
        <v>0</v>
      </c>
      <c r="M464" s="3">
        <v>0</v>
      </c>
      <c r="N464" s="3" t="s">
        <v>341</v>
      </c>
      <c r="O464" s="3">
        <v>0</v>
      </c>
      <c r="P464" s="3">
        <v>0</v>
      </c>
      <c r="Q464" s="3">
        <v>0</v>
      </c>
      <c r="R464" s="3">
        <v>0</v>
      </c>
      <c r="S464" s="3">
        <v>1</v>
      </c>
      <c r="T464" s="3">
        <v>13</v>
      </c>
      <c r="U464" s="3">
        <v>54</v>
      </c>
      <c r="V464" s="3">
        <v>74</v>
      </c>
      <c r="W464" s="3"/>
      <c r="X464" s="3"/>
      <c r="Y464" s="3"/>
      <c r="Z464" s="3">
        <v>-1</v>
      </c>
      <c r="AA464" s="3">
        <v>-1</v>
      </c>
      <c r="AB464" s="3" t="s">
        <v>493</v>
      </c>
      <c r="AC464" s="3">
        <v>0</v>
      </c>
      <c r="AD464" s="3">
        <v>0</v>
      </c>
      <c r="AE464" s="3">
        <v>0</v>
      </c>
      <c r="AF464" s="3">
        <v>0</v>
      </c>
      <c r="AG464" s="3">
        <v>0</v>
      </c>
      <c r="AH464" s="3">
        <v>4.93333333333333</v>
      </c>
      <c r="AI464" s="3" t="s">
        <v>715</v>
      </c>
      <c r="AJ464" s="3" t="s">
        <v>345</v>
      </c>
    </row>
    <row r="465" spans="1:36">
      <c r="A465" s="4">
        <v>43288</v>
      </c>
      <c r="B465" s="3" t="s">
        <v>1943</v>
      </c>
      <c r="C465" s="3" t="s">
        <v>1944</v>
      </c>
      <c r="D465" s="3" t="s">
        <v>1945</v>
      </c>
      <c r="E465" s="3" t="s">
        <v>401</v>
      </c>
      <c r="F465" s="3" t="s">
        <v>340</v>
      </c>
      <c r="G465" s="3">
        <v>1</v>
      </c>
      <c r="H465" s="3">
        <v>0</v>
      </c>
      <c r="I465" s="3">
        <v>1</v>
      </c>
      <c r="J465" s="3">
        <v>0</v>
      </c>
      <c r="K465" s="3">
        <v>0</v>
      </c>
      <c r="L465" s="3">
        <v>0</v>
      </c>
      <c r="M465" s="3">
        <v>0</v>
      </c>
      <c r="N465" s="3" t="s">
        <v>341</v>
      </c>
      <c r="O465" s="3">
        <v>0</v>
      </c>
      <c r="P465" s="3">
        <v>0</v>
      </c>
      <c r="Q465" s="3">
        <v>0</v>
      </c>
      <c r="R465" s="3">
        <v>0</v>
      </c>
      <c r="S465" s="3">
        <v>0</v>
      </c>
      <c r="T465" s="3">
        <v>0</v>
      </c>
      <c r="U465" s="3">
        <v>0</v>
      </c>
      <c r="V465" s="3">
        <v>3</v>
      </c>
      <c r="W465" s="3" t="s">
        <v>381</v>
      </c>
      <c r="X465" s="3">
        <v>19.99</v>
      </c>
      <c r="Y465" s="3">
        <v>19.99</v>
      </c>
      <c r="Z465" s="3">
        <v>19.99</v>
      </c>
      <c r="AA465" s="3">
        <v>0</v>
      </c>
      <c r="AB465" s="3" t="s">
        <v>343</v>
      </c>
      <c r="AC465" s="3">
        <v>0</v>
      </c>
      <c r="AD465" s="3">
        <v>18.53</v>
      </c>
      <c r="AE465" s="3">
        <v>119</v>
      </c>
      <c r="AF465" s="3">
        <v>0</v>
      </c>
      <c r="AG465" s="3">
        <v>19.105007</v>
      </c>
      <c r="AH465" s="3">
        <v>2.4</v>
      </c>
      <c r="AI465" s="3" t="s">
        <v>402</v>
      </c>
      <c r="AJ465" s="3" t="s">
        <v>345</v>
      </c>
    </row>
    <row r="466" spans="1:36">
      <c r="A466" s="4">
        <v>43288</v>
      </c>
      <c r="B466" s="3" t="s">
        <v>1946</v>
      </c>
      <c r="C466" s="3" t="s">
        <v>1947</v>
      </c>
      <c r="D466" s="3" t="s">
        <v>1948</v>
      </c>
      <c r="E466" s="3" t="s">
        <v>603</v>
      </c>
      <c r="F466" s="3" t="s">
        <v>340</v>
      </c>
      <c r="G466" s="3">
        <v>1</v>
      </c>
      <c r="H466" s="3">
        <v>0</v>
      </c>
      <c r="I466" s="3">
        <v>0</v>
      </c>
      <c r="J466" s="3">
        <v>1</v>
      </c>
      <c r="K466" s="3">
        <v>0</v>
      </c>
      <c r="L466" s="3">
        <v>0</v>
      </c>
      <c r="M466" s="3">
        <v>0</v>
      </c>
      <c r="N466" s="3" t="s">
        <v>341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0</v>
      </c>
      <c r="U466" s="3">
        <v>0</v>
      </c>
      <c r="V466" s="3">
        <v>0</v>
      </c>
      <c r="W466" s="3" t="s">
        <v>342</v>
      </c>
      <c r="X466" s="3">
        <v>17.99</v>
      </c>
      <c r="Y466" s="3">
        <v>17.99</v>
      </c>
      <c r="Z466" s="3">
        <v>17.99</v>
      </c>
      <c r="AA466" s="3">
        <v>0</v>
      </c>
      <c r="AB466" s="3" t="s">
        <v>349</v>
      </c>
      <c r="AC466" s="3">
        <v>0</v>
      </c>
      <c r="AD466" s="3">
        <v>16.68</v>
      </c>
      <c r="AE466" s="3">
        <v>84</v>
      </c>
      <c r="AF466" s="3">
        <v>0</v>
      </c>
      <c r="AG466" s="3">
        <v>28.492783</v>
      </c>
      <c r="AH466" s="3">
        <v>0</v>
      </c>
      <c r="AI466" s="3" t="s">
        <v>604</v>
      </c>
      <c r="AJ466" s="3" t="s">
        <v>345</v>
      </c>
    </row>
    <row r="467" spans="1:36">
      <c r="A467" s="4">
        <v>43288</v>
      </c>
      <c r="B467" s="3" t="s">
        <v>1949</v>
      </c>
      <c r="C467" s="3" t="s">
        <v>1950</v>
      </c>
      <c r="D467" s="3" t="s">
        <v>1951</v>
      </c>
      <c r="E467" s="3" t="s">
        <v>439</v>
      </c>
      <c r="F467" s="3" t="s">
        <v>340</v>
      </c>
      <c r="G467" s="3">
        <v>1</v>
      </c>
      <c r="H467" s="3">
        <v>0</v>
      </c>
      <c r="I467" s="3">
        <v>0</v>
      </c>
      <c r="J467" s="3">
        <v>1</v>
      </c>
      <c r="K467" s="3">
        <v>0</v>
      </c>
      <c r="L467" s="3">
        <v>0</v>
      </c>
      <c r="M467" s="3">
        <v>0</v>
      </c>
      <c r="N467" s="3" t="s">
        <v>341</v>
      </c>
      <c r="O467" s="3">
        <v>0</v>
      </c>
      <c r="P467" s="3">
        <v>0</v>
      </c>
      <c r="Q467" s="3">
        <v>0</v>
      </c>
      <c r="R467" s="3">
        <v>0</v>
      </c>
      <c r="S467" s="3">
        <v>0</v>
      </c>
      <c r="T467" s="3">
        <v>0</v>
      </c>
      <c r="U467" s="3">
        <v>0</v>
      </c>
      <c r="V467" s="3">
        <v>0</v>
      </c>
      <c r="W467" s="3" t="s">
        <v>381</v>
      </c>
      <c r="X467" s="3">
        <v>16.99</v>
      </c>
      <c r="Y467" s="3">
        <v>16.99</v>
      </c>
      <c r="Z467" s="3">
        <v>16.99</v>
      </c>
      <c r="AA467" s="3">
        <v>0</v>
      </c>
      <c r="AB467" s="3" t="s">
        <v>343</v>
      </c>
      <c r="AC467" s="3">
        <v>0</v>
      </c>
      <c r="AD467" s="3">
        <v>15.76</v>
      </c>
      <c r="AE467" s="3">
        <v>91</v>
      </c>
      <c r="AF467" s="3">
        <v>0</v>
      </c>
      <c r="AG467" s="3">
        <v>27.040988</v>
      </c>
      <c r="AH467" s="3">
        <v>0</v>
      </c>
      <c r="AI467" s="3" t="s">
        <v>440</v>
      </c>
      <c r="AJ467" s="3" t="s">
        <v>345</v>
      </c>
    </row>
    <row r="468" spans="1:36">
      <c r="A468" s="4">
        <v>43288</v>
      </c>
      <c r="B468" s="3" t="s">
        <v>131</v>
      </c>
      <c r="C468" s="3" t="s">
        <v>132</v>
      </c>
      <c r="D468" s="3" t="s">
        <v>133</v>
      </c>
      <c r="E468" s="3" t="s">
        <v>130</v>
      </c>
      <c r="F468" s="3" t="s">
        <v>340</v>
      </c>
      <c r="G468" s="3">
        <v>2</v>
      </c>
      <c r="H468" s="3">
        <v>0</v>
      </c>
      <c r="I468" s="3">
        <v>2</v>
      </c>
      <c r="J468" s="3">
        <v>0</v>
      </c>
      <c r="K468" s="3">
        <v>0</v>
      </c>
      <c r="L468" s="3">
        <v>0</v>
      </c>
      <c r="M468" s="3">
        <v>0</v>
      </c>
      <c r="N468" s="3" t="s">
        <v>341</v>
      </c>
      <c r="O468" s="3">
        <v>0</v>
      </c>
      <c r="P468" s="3">
        <v>0</v>
      </c>
      <c r="Q468" s="3">
        <v>0</v>
      </c>
      <c r="R468" s="3">
        <v>0</v>
      </c>
      <c r="S468" s="3">
        <v>10</v>
      </c>
      <c r="T468" s="3">
        <v>20</v>
      </c>
      <c r="U468" s="3">
        <v>20</v>
      </c>
      <c r="V468" s="3">
        <v>20</v>
      </c>
      <c r="W468" s="3"/>
      <c r="X468" s="3">
        <v>19.99</v>
      </c>
      <c r="Y468" s="3">
        <v>19.99</v>
      </c>
      <c r="Z468" s="3">
        <v>19.99</v>
      </c>
      <c r="AA468" s="3">
        <v>0</v>
      </c>
      <c r="AB468" s="3" t="s">
        <v>359</v>
      </c>
      <c r="AC468" s="3">
        <v>3</v>
      </c>
      <c r="AD468" s="3">
        <v>19.99</v>
      </c>
      <c r="AE468" s="3">
        <v>0</v>
      </c>
      <c r="AF468" s="3">
        <v>0</v>
      </c>
      <c r="AG468" s="3">
        <v>0</v>
      </c>
      <c r="AH468" s="3">
        <v>20</v>
      </c>
      <c r="AI468" s="3" t="s">
        <v>371</v>
      </c>
      <c r="AJ468" s="3" t="s">
        <v>345</v>
      </c>
    </row>
    <row r="469" spans="1:36">
      <c r="A469" s="4">
        <v>43288</v>
      </c>
      <c r="B469" s="3" t="s">
        <v>1952</v>
      </c>
      <c r="C469" s="3" t="s">
        <v>1953</v>
      </c>
      <c r="D469" s="3" t="s">
        <v>1954</v>
      </c>
      <c r="E469" s="3" t="s">
        <v>247</v>
      </c>
      <c r="F469" s="3" t="s">
        <v>340</v>
      </c>
      <c r="G469" s="3">
        <v>8</v>
      </c>
      <c r="H469" s="3">
        <v>0</v>
      </c>
      <c r="I469" s="3">
        <v>8</v>
      </c>
      <c r="J469" s="3">
        <v>0</v>
      </c>
      <c r="K469" s="3">
        <v>0</v>
      </c>
      <c r="L469" s="3">
        <v>0</v>
      </c>
      <c r="M469" s="3">
        <v>0</v>
      </c>
      <c r="N469" s="3" t="s">
        <v>341</v>
      </c>
      <c r="O469" s="3">
        <v>0</v>
      </c>
      <c r="P469" s="3">
        <v>0</v>
      </c>
      <c r="Q469" s="3">
        <v>0</v>
      </c>
      <c r="R469" s="3">
        <v>0</v>
      </c>
      <c r="S469" s="3">
        <v>0</v>
      </c>
      <c r="T469" s="3">
        <v>1</v>
      </c>
      <c r="U469" s="3">
        <v>9</v>
      </c>
      <c r="V469" s="3">
        <v>12</v>
      </c>
      <c r="W469" s="3"/>
      <c r="X469" s="3">
        <v>19.99</v>
      </c>
      <c r="Y469" s="3">
        <v>19.99</v>
      </c>
      <c r="Z469" s="3">
        <v>19.99</v>
      </c>
      <c r="AA469" s="3">
        <v>0</v>
      </c>
      <c r="AB469" s="3" t="s">
        <v>359</v>
      </c>
      <c r="AC469" s="3">
        <v>8</v>
      </c>
      <c r="AD469" s="3">
        <v>19.99</v>
      </c>
      <c r="AE469" s="3">
        <v>0</v>
      </c>
      <c r="AF469" s="3">
        <v>0</v>
      </c>
      <c r="AG469" s="3">
        <v>0</v>
      </c>
      <c r="AH469" s="3">
        <v>1.23076923076923</v>
      </c>
      <c r="AI469" s="3" t="s">
        <v>709</v>
      </c>
      <c r="AJ469" s="3" t="s">
        <v>345</v>
      </c>
    </row>
    <row r="470" spans="1:36">
      <c r="A470" s="4">
        <v>43288</v>
      </c>
      <c r="B470" s="3" t="s">
        <v>1955</v>
      </c>
      <c r="C470" s="3" t="s">
        <v>1956</v>
      </c>
      <c r="D470" s="3" t="s">
        <v>1957</v>
      </c>
      <c r="E470" s="3" t="s">
        <v>169</v>
      </c>
      <c r="F470" s="3" t="s">
        <v>340</v>
      </c>
      <c r="G470" s="3">
        <v>11</v>
      </c>
      <c r="H470" s="3">
        <v>0</v>
      </c>
      <c r="I470" s="3">
        <v>0</v>
      </c>
      <c r="J470" s="3">
        <v>1</v>
      </c>
      <c r="K470" s="3">
        <v>2</v>
      </c>
      <c r="L470" s="3">
        <v>8</v>
      </c>
      <c r="M470" s="3">
        <v>0</v>
      </c>
      <c r="N470" s="3" t="s">
        <v>341</v>
      </c>
      <c r="O470" s="3">
        <v>2</v>
      </c>
      <c r="P470" s="3">
        <v>1.23</v>
      </c>
      <c r="Q470" s="3">
        <v>8</v>
      </c>
      <c r="R470" s="3">
        <v>9.83</v>
      </c>
      <c r="S470" s="3">
        <v>0</v>
      </c>
      <c r="T470" s="3">
        <v>0</v>
      </c>
      <c r="U470" s="3">
        <v>0</v>
      </c>
      <c r="V470" s="3">
        <v>0</v>
      </c>
      <c r="W470" s="3"/>
      <c r="X470" s="3"/>
      <c r="Y470" s="3"/>
      <c r="Z470" s="3">
        <v>-1</v>
      </c>
      <c r="AA470" s="3">
        <v>-1</v>
      </c>
      <c r="AB470" s="3" t="s">
        <v>493</v>
      </c>
      <c r="AC470" s="3">
        <v>0</v>
      </c>
      <c r="AD470" s="3">
        <v>0</v>
      </c>
      <c r="AE470" s="3">
        <v>0</v>
      </c>
      <c r="AF470" s="3">
        <v>0</v>
      </c>
      <c r="AG470" s="3">
        <v>0</v>
      </c>
      <c r="AH470" s="3">
        <v>0</v>
      </c>
      <c r="AI470" s="3" t="s">
        <v>579</v>
      </c>
      <c r="AJ470" s="3" t="s">
        <v>345</v>
      </c>
    </row>
    <row r="471" spans="1:36">
      <c r="A471" s="4">
        <v>43288</v>
      </c>
      <c r="B471" s="3" t="s">
        <v>1958</v>
      </c>
      <c r="C471" s="3" t="s">
        <v>1959</v>
      </c>
      <c r="D471" s="3" t="s">
        <v>1960</v>
      </c>
      <c r="E471" s="3" t="s">
        <v>490</v>
      </c>
      <c r="F471" s="3" t="s">
        <v>340</v>
      </c>
      <c r="G471" s="3">
        <v>1</v>
      </c>
      <c r="H471" s="3">
        <v>0</v>
      </c>
      <c r="I471" s="3">
        <v>0</v>
      </c>
      <c r="J471" s="3">
        <v>0</v>
      </c>
      <c r="K471" s="3">
        <v>0</v>
      </c>
      <c r="L471" s="3">
        <v>0</v>
      </c>
      <c r="M471" s="3">
        <v>1</v>
      </c>
      <c r="N471" s="3" t="s">
        <v>341</v>
      </c>
      <c r="O471" s="3">
        <v>0</v>
      </c>
      <c r="P471" s="3">
        <v>0</v>
      </c>
      <c r="Q471" s="3">
        <v>1</v>
      </c>
      <c r="R471" s="3">
        <v>1.25</v>
      </c>
      <c r="S471" s="3">
        <v>0</v>
      </c>
      <c r="T471" s="3">
        <v>0</v>
      </c>
      <c r="U471" s="3">
        <v>0</v>
      </c>
      <c r="V471" s="3">
        <v>0</v>
      </c>
      <c r="W471" s="3" t="s">
        <v>342</v>
      </c>
      <c r="X471" s="3">
        <v>16.99</v>
      </c>
      <c r="Y471" s="3">
        <v>16.99</v>
      </c>
      <c r="Z471" s="3">
        <v>16.99</v>
      </c>
      <c r="AA471" s="3">
        <v>0</v>
      </c>
      <c r="AB471" s="3" t="s">
        <v>343</v>
      </c>
      <c r="AC471" s="3">
        <v>0</v>
      </c>
      <c r="AD471" s="3">
        <v>13.59</v>
      </c>
      <c r="AE471" s="3">
        <v>63</v>
      </c>
      <c r="AF471" s="3">
        <v>0</v>
      </c>
      <c r="AG471" s="3">
        <v>8.271334</v>
      </c>
      <c r="AH471" s="3">
        <v>0</v>
      </c>
      <c r="AI471" s="3" t="s">
        <v>491</v>
      </c>
      <c r="AJ471" s="3" t="s">
        <v>345</v>
      </c>
    </row>
    <row r="472" spans="1:36">
      <c r="A472" s="4">
        <v>43288</v>
      </c>
      <c r="B472" s="3" t="s">
        <v>1961</v>
      </c>
      <c r="C472" s="3" t="s">
        <v>1962</v>
      </c>
      <c r="D472" s="3" t="s">
        <v>1963</v>
      </c>
      <c r="E472" s="3" t="s">
        <v>1964</v>
      </c>
      <c r="F472" s="3" t="s">
        <v>340</v>
      </c>
      <c r="G472" s="3">
        <v>1</v>
      </c>
      <c r="H472" s="3">
        <v>0</v>
      </c>
      <c r="I472" s="3">
        <v>0</v>
      </c>
      <c r="J472" s="3">
        <v>1</v>
      </c>
      <c r="K472" s="3">
        <v>0</v>
      </c>
      <c r="L472" s="3">
        <v>0</v>
      </c>
      <c r="M472" s="3">
        <v>0</v>
      </c>
      <c r="N472" s="3" t="s">
        <v>341</v>
      </c>
      <c r="O472" s="3">
        <v>0</v>
      </c>
      <c r="P472" s="3">
        <v>0</v>
      </c>
      <c r="Q472" s="3">
        <v>0</v>
      </c>
      <c r="R472" s="3">
        <v>0</v>
      </c>
      <c r="S472" s="3">
        <v>0</v>
      </c>
      <c r="T472" s="3">
        <v>0</v>
      </c>
      <c r="U472" s="3">
        <v>0</v>
      </c>
      <c r="V472" s="3">
        <v>1</v>
      </c>
      <c r="W472" s="3" t="s">
        <v>342</v>
      </c>
      <c r="X472" s="3">
        <v>13.88</v>
      </c>
      <c r="Y472" s="3">
        <v>13.88</v>
      </c>
      <c r="Z472" s="3">
        <v>13.88</v>
      </c>
      <c r="AA472" s="3">
        <v>0</v>
      </c>
      <c r="AB472" s="3" t="s">
        <v>349</v>
      </c>
      <c r="AC472" s="3">
        <v>0</v>
      </c>
      <c r="AD472" s="3">
        <v>12.63</v>
      </c>
      <c r="AE472" s="3">
        <v>168</v>
      </c>
      <c r="AF472" s="3">
        <v>0</v>
      </c>
      <c r="AG472" s="3">
        <v>16.669651</v>
      </c>
      <c r="AH472" s="3">
        <v>0.8</v>
      </c>
      <c r="AI472" s="3" t="s">
        <v>407</v>
      </c>
      <c r="AJ472" s="3" t="s">
        <v>345</v>
      </c>
    </row>
    <row r="473" spans="1:36">
      <c r="A473" s="4">
        <v>43288</v>
      </c>
      <c r="B473" s="3" t="s">
        <v>1965</v>
      </c>
      <c r="C473" s="3" t="s">
        <v>1966</v>
      </c>
      <c r="D473" s="3" t="s">
        <v>1967</v>
      </c>
      <c r="E473" s="3" t="s">
        <v>1372</v>
      </c>
      <c r="F473" s="3" t="s">
        <v>340</v>
      </c>
      <c r="G473" s="3">
        <v>7</v>
      </c>
      <c r="H473" s="3">
        <v>0</v>
      </c>
      <c r="I473" s="3">
        <v>2</v>
      </c>
      <c r="J473" s="3">
        <v>5</v>
      </c>
      <c r="K473" s="3">
        <v>0</v>
      </c>
      <c r="L473" s="3">
        <v>0</v>
      </c>
      <c r="M473" s="3">
        <v>0</v>
      </c>
      <c r="N473" s="3" t="s">
        <v>341</v>
      </c>
      <c r="O473" s="3">
        <v>2</v>
      </c>
      <c r="P473" s="3">
        <v>1.86</v>
      </c>
      <c r="Q473" s="3">
        <v>0</v>
      </c>
      <c r="R473" s="3">
        <v>0</v>
      </c>
      <c r="S473" s="3">
        <v>0</v>
      </c>
      <c r="T473" s="3">
        <v>0</v>
      </c>
      <c r="U473" s="3">
        <v>2</v>
      </c>
      <c r="V473" s="3">
        <v>3</v>
      </c>
      <c r="W473" s="3" t="s">
        <v>381</v>
      </c>
      <c r="X473" s="3">
        <v>16.99</v>
      </c>
      <c r="Y473" s="3">
        <v>16.99</v>
      </c>
      <c r="Z473" s="3">
        <v>16.99</v>
      </c>
      <c r="AA473" s="3">
        <v>0</v>
      </c>
      <c r="AB473" s="3" t="s">
        <v>359</v>
      </c>
      <c r="AC473" s="3">
        <v>7</v>
      </c>
      <c r="AD473" s="3">
        <v>16.99</v>
      </c>
      <c r="AE473" s="3">
        <v>0</v>
      </c>
      <c r="AF473" s="3">
        <v>0</v>
      </c>
      <c r="AG473" s="3">
        <v>0</v>
      </c>
      <c r="AH473" s="3">
        <v>0.387096774193548</v>
      </c>
      <c r="AI473" s="3" t="s">
        <v>1968</v>
      </c>
      <c r="AJ473" s="3" t="s">
        <v>345</v>
      </c>
    </row>
    <row r="474" spans="1:36">
      <c r="A474" s="4">
        <v>43288</v>
      </c>
      <c r="B474" s="3" t="s">
        <v>1969</v>
      </c>
      <c r="C474" s="3" t="s">
        <v>1970</v>
      </c>
      <c r="D474" s="3" t="s">
        <v>1971</v>
      </c>
      <c r="E474" s="3" t="s">
        <v>1972</v>
      </c>
      <c r="F474" s="3" t="s">
        <v>340</v>
      </c>
      <c r="G474" s="3">
        <v>10</v>
      </c>
      <c r="H474" s="3">
        <v>0</v>
      </c>
      <c r="I474" s="3">
        <v>0</v>
      </c>
      <c r="J474" s="3">
        <v>10</v>
      </c>
      <c r="K474" s="3">
        <v>0</v>
      </c>
      <c r="L474" s="3">
        <v>0</v>
      </c>
      <c r="M474" s="3">
        <v>0</v>
      </c>
      <c r="N474" s="3" t="s">
        <v>341</v>
      </c>
      <c r="O474" s="3">
        <v>9</v>
      </c>
      <c r="P474" s="3">
        <v>11.2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342</v>
      </c>
      <c r="X474" s="3">
        <v>15.99</v>
      </c>
      <c r="Y474" s="3">
        <v>15.99</v>
      </c>
      <c r="Z474" s="3">
        <v>15.99</v>
      </c>
      <c r="AA474" s="3">
        <v>0</v>
      </c>
      <c r="AB474" s="3" t="s">
        <v>349</v>
      </c>
      <c r="AC474" s="3">
        <v>0</v>
      </c>
      <c r="AD474" s="3">
        <v>14.08</v>
      </c>
      <c r="AE474" s="3">
        <v>91</v>
      </c>
      <c r="AF474" s="3">
        <v>0</v>
      </c>
      <c r="AG474" s="3">
        <v>213.996</v>
      </c>
      <c r="AH474" s="3">
        <v>0</v>
      </c>
      <c r="AI474" s="3" t="s">
        <v>397</v>
      </c>
      <c r="AJ474" s="3" t="s">
        <v>345</v>
      </c>
    </row>
    <row r="475" spans="1:36">
      <c r="A475" s="4">
        <v>43288</v>
      </c>
      <c r="B475" s="3" t="s">
        <v>257</v>
      </c>
      <c r="C475" s="3" t="s">
        <v>258</v>
      </c>
      <c r="D475" s="3" t="s">
        <v>259</v>
      </c>
      <c r="E475" s="3" t="s">
        <v>260</v>
      </c>
      <c r="F475" s="3" t="s">
        <v>340</v>
      </c>
      <c r="G475" s="3">
        <v>8</v>
      </c>
      <c r="H475" s="3">
        <v>0</v>
      </c>
      <c r="I475" s="3">
        <v>8</v>
      </c>
      <c r="J475" s="3">
        <v>0</v>
      </c>
      <c r="K475" s="3">
        <v>0</v>
      </c>
      <c r="L475" s="3">
        <v>0</v>
      </c>
      <c r="M475" s="3">
        <v>0</v>
      </c>
      <c r="N475" s="3" t="s">
        <v>341</v>
      </c>
      <c r="O475" s="3">
        <v>0</v>
      </c>
      <c r="P475" s="3">
        <v>0</v>
      </c>
      <c r="Q475" s="3">
        <v>0</v>
      </c>
      <c r="R475" s="3">
        <v>0</v>
      </c>
      <c r="S475" s="3">
        <v>3</v>
      </c>
      <c r="T475" s="3">
        <v>13</v>
      </c>
      <c r="U475" s="3">
        <v>27</v>
      </c>
      <c r="V475" s="3">
        <v>27</v>
      </c>
      <c r="W475" s="3"/>
      <c r="X475" s="3">
        <v>21.99</v>
      </c>
      <c r="Y475" s="3">
        <v>21.99</v>
      </c>
      <c r="Z475" s="3">
        <v>21.99</v>
      </c>
      <c r="AA475" s="3">
        <v>0</v>
      </c>
      <c r="AB475" s="3" t="s">
        <v>359</v>
      </c>
      <c r="AC475" s="3">
        <v>11</v>
      </c>
      <c r="AD475" s="3">
        <v>21.99</v>
      </c>
      <c r="AE475" s="3">
        <v>0</v>
      </c>
      <c r="AF475" s="3">
        <v>0</v>
      </c>
      <c r="AG475" s="3">
        <v>0</v>
      </c>
      <c r="AH475" s="3">
        <v>2.45454545454545</v>
      </c>
      <c r="AI475" s="3" t="s">
        <v>715</v>
      </c>
      <c r="AJ475" s="3" t="s">
        <v>345</v>
      </c>
    </row>
    <row r="476" spans="1:36">
      <c r="A476" s="4">
        <v>43288</v>
      </c>
      <c r="B476" s="3" t="s">
        <v>1973</v>
      </c>
      <c r="C476" s="3" t="s">
        <v>1974</v>
      </c>
      <c r="D476" s="3" t="s">
        <v>1975</v>
      </c>
      <c r="E476" s="3" t="s">
        <v>411</v>
      </c>
      <c r="F476" s="3" t="s">
        <v>340</v>
      </c>
      <c r="G476" s="3">
        <v>2</v>
      </c>
      <c r="H476" s="3">
        <v>0</v>
      </c>
      <c r="I476" s="3">
        <v>0</v>
      </c>
      <c r="J476" s="3">
        <v>0</v>
      </c>
      <c r="K476" s="3">
        <v>0</v>
      </c>
      <c r="L476" s="3">
        <v>0</v>
      </c>
      <c r="M476" s="3">
        <v>2</v>
      </c>
      <c r="N476" s="3" t="s">
        <v>341</v>
      </c>
      <c r="O476" s="3">
        <v>0</v>
      </c>
      <c r="P476" s="3">
        <v>0</v>
      </c>
      <c r="Q476" s="3">
        <v>2</v>
      </c>
      <c r="R476" s="3">
        <v>1</v>
      </c>
      <c r="S476" s="3">
        <v>0</v>
      </c>
      <c r="T476" s="3">
        <v>0</v>
      </c>
      <c r="U476" s="3">
        <v>0</v>
      </c>
      <c r="V476" s="3">
        <v>0</v>
      </c>
      <c r="W476" s="3" t="s">
        <v>342</v>
      </c>
      <c r="X476" s="3">
        <v>19.9</v>
      </c>
      <c r="Y476" s="3">
        <v>19.9</v>
      </c>
      <c r="Z476" s="3">
        <v>19.9</v>
      </c>
      <c r="AA476" s="3">
        <v>0</v>
      </c>
      <c r="AB476" s="3" t="s">
        <v>343</v>
      </c>
      <c r="AC476" s="3">
        <v>0</v>
      </c>
      <c r="AD476" s="3">
        <v>15.92</v>
      </c>
      <c r="AE476" s="3">
        <v>63</v>
      </c>
      <c r="AF476" s="3">
        <v>0</v>
      </c>
      <c r="AG476" s="3">
        <v>1.085446</v>
      </c>
      <c r="AH476" s="3">
        <v>0</v>
      </c>
      <c r="AI476" s="3" t="s">
        <v>344</v>
      </c>
      <c r="AJ476" s="3" t="s">
        <v>345</v>
      </c>
    </row>
    <row r="477" spans="1:36">
      <c r="A477" s="4">
        <v>43288</v>
      </c>
      <c r="B477" s="3" t="s">
        <v>1976</v>
      </c>
      <c r="C477" s="3" t="s">
        <v>1977</v>
      </c>
      <c r="D477" s="3" t="s">
        <v>1978</v>
      </c>
      <c r="E477" s="3" t="s">
        <v>1979</v>
      </c>
      <c r="F477" s="3" t="s">
        <v>340</v>
      </c>
      <c r="G477" s="3">
        <v>2</v>
      </c>
      <c r="H477" s="3">
        <v>0</v>
      </c>
      <c r="I477" s="3">
        <v>0</v>
      </c>
      <c r="J477" s="3">
        <v>0</v>
      </c>
      <c r="K477" s="3">
        <v>1</v>
      </c>
      <c r="L477" s="3">
        <v>0</v>
      </c>
      <c r="M477" s="3">
        <v>1</v>
      </c>
      <c r="N477" s="3" t="s">
        <v>341</v>
      </c>
      <c r="O477" s="3">
        <v>1</v>
      </c>
      <c r="P477" s="3">
        <v>0.43</v>
      </c>
      <c r="Q477" s="3">
        <v>1</v>
      </c>
      <c r="R477" s="3">
        <v>0.85</v>
      </c>
      <c r="S477" s="3">
        <v>0</v>
      </c>
      <c r="T477" s="3">
        <v>0</v>
      </c>
      <c r="U477" s="3">
        <v>0</v>
      </c>
      <c r="V477" s="3">
        <v>0</v>
      </c>
      <c r="W477" s="3" t="s">
        <v>342</v>
      </c>
      <c r="X477" s="3">
        <v>16.88</v>
      </c>
      <c r="Y477" s="3">
        <v>16.88</v>
      </c>
      <c r="Z477" s="3">
        <v>16.88</v>
      </c>
      <c r="AA477" s="3">
        <v>0</v>
      </c>
      <c r="AB477" s="3" t="s">
        <v>359</v>
      </c>
      <c r="AC477" s="3">
        <v>2</v>
      </c>
      <c r="AD477" s="3">
        <v>16.88</v>
      </c>
      <c r="AE477" s="3">
        <v>0</v>
      </c>
      <c r="AF477" s="3">
        <v>0</v>
      </c>
      <c r="AG477" s="3">
        <v>0</v>
      </c>
      <c r="AH477" s="3">
        <v>0</v>
      </c>
      <c r="AI477" s="3" t="s">
        <v>1980</v>
      </c>
      <c r="AJ477" s="3" t="s">
        <v>345</v>
      </c>
    </row>
    <row r="478" spans="1:36">
      <c r="A478" s="4">
        <v>43288</v>
      </c>
      <c r="B478" s="3" t="s">
        <v>1981</v>
      </c>
      <c r="C478" s="3" t="s">
        <v>1982</v>
      </c>
      <c r="D478" s="3" t="s">
        <v>1983</v>
      </c>
      <c r="E478" s="3" t="s">
        <v>1751</v>
      </c>
      <c r="F478" s="3" t="s">
        <v>340</v>
      </c>
      <c r="G478" s="3">
        <v>2</v>
      </c>
      <c r="H478" s="3">
        <v>0</v>
      </c>
      <c r="I478" s="3">
        <v>1</v>
      </c>
      <c r="J478" s="3">
        <v>0</v>
      </c>
      <c r="K478" s="3">
        <v>0</v>
      </c>
      <c r="L478" s="3">
        <v>1</v>
      </c>
      <c r="M478" s="3">
        <v>0</v>
      </c>
      <c r="N478" s="3" t="s">
        <v>341</v>
      </c>
      <c r="O478" s="3">
        <v>0</v>
      </c>
      <c r="P478" s="3">
        <v>0</v>
      </c>
      <c r="Q478" s="3">
        <v>1</v>
      </c>
      <c r="R478" s="3">
        <v>3</v>
      </c>
      <c r="S478" s="3">
        <v>0</v>
      </c>
      <c r="T478" s="3">
        <v>0</v>
      </c>
      <c r="U478" s="3">
        <v>0</v>
      </c>
      <c r="V478" s="3">
        <v>1</v>
      </c>
      <c r="W478" s="3" t="s">
        <v>342</v>
      </c>
      <c r="X478" s="3">
        <v>19.9</v>
      </c>
      <c r="Y478" s="3">
        <v>19.9</v>
      </c>
      <c r="Z478" s="3">
        <v>19.9</v>
      </c>
      <c r="AA478" s="3">
        <v>0</v>
      </c>
      <c r="AB478" s="3" t="s">
        <v>343</v>
      </c>
      <c r="AC478" s="3">
        <v>0</v>
      </c>
      <c r="AD478" s="3">
        <v>17.03</v>
      </c>
      <c r="AE478" s="3">
        <v>273</v>
      </c>
      <c r="AF478" s="3">
        <v>0</v>
      </c>
      <c r="AG478" s="3">
        <v>46.171104</v>
      </c>
      <c r="AH478" s="3">
        <v>0.5</v>
      </c>
      <c r="AI478" s="3" t="s">
        <v>822</v>
      </c>
      <c r="AJ478" s="3" t="s">
        <v>345</v>
      </c>
    </row>
    <row r="479" spans="1:36">
      <c r="A479" s="4">
        <v>43288</v>
      </c>
      <c r="B479" s="3" t="s">
        <v>1984</v>
      </c>
      <c r="C479" s="3" t="s">
        <v>1985</v>
      </c>
      <c r="D479" s="3" t="s">
        <v>1986</v>
      </c>
      <c r="E479" s="3" t="s">
        <v>143</v>
      </c>
      <c r="F479" s="3" t="s">
        <v>340</v>
      </c>
      <c r="G479" s="3">
        <v>9</v>
      </c>
      <c r="H479" s="3">
        <v>0</v>
      </c>
      <c r="I479" s="3">
        <v>9</v>
      </c>
      <c r="J479" s="3">
        <v>0</v>
      </c>
      <c r="K479" s="3">
        <v>0</v>
      </c>
      <c r="L479" s="3">
        <v>0</v>
      </c>
      <c r="M479" s="3">
        <v>0</v>
      </c>
      <c r="N479" s="3" t="s">
        <v>341</v>
      </c>
      <c r="O479" s="3">
        <v>0</v>
      </c>
      <c r="P479" s="3">
        <v>0</v>
      </c>
      <c r="Q479" s="3">
        <v>0</v>
      </c>
      <c r="R479" s="3">
        <v>0</v>
      </c>
      <c r="S479" s="3">
        <v>5</v>
      </c>
      <c r="T479" s="3">
        <v>22</v>
      </c>
      <c r="U479" s="3">
        <v>37</v>
      </c>
      <c r="V479" s="3">
        <v>40</v>
      </c>
      <c r="W479" s="3"/>
      <c r="X479" s="3">
        <v>39.99</v>
      </c>
      <c r="Y479" s="3">
        <v>19.99</v>
      </c>
      <c r="Z479" s="3">
        <v>19.99</v>
      </c>
      <c r="AA479" s="3">
        <v>0</v>
      </c>
      <c r="AB479" s="3" t="s">
        <v>359</v>
      </c>
      <c r="AC479" s="3">
        <v>10</v>
      </c>
      <c r="AD479" s="3">
        <v>19.99</v>
      </c>
      <c r="AE479" s="3">
        <v>0</v>
      </c>
      <c r="AF479" s="3">
        <v>0</v>
      </c>
      <c r="AG479" s="3">
        <v>0</v>
      </c>
      <c r="AH479" s="3">
        <v>4.44444444444444</v>
      </c>
      <c r="AI479" s="3" t="s">
        <v>371</v>
      </c>
      <c r="AJ479" s="3" t="s">
        <v>345</v>
      </c>
    </row>
    <row r="480" spans="1:36">
      <c r="A480" s="4">
        <v>43288</v>
      </c>
      <c r="B480" s="3" t="s">
        <v>1987</v>
      </c>
      <c r="C480" s="3" t="s">
        <v>1988</v>
      </c>
      <c r="D480" s="3" t="s">
        <v>1989</v>
      </c>
      <c r="E480" s="3" t="s">
        <v>468</v>
      </c>
      <c r="F480" s="3" t="s">
        <v>340</v>
      </c>
      <c r="G480" s="3">
        <v>11</v>
      </c>
      <c r="H480" s="3">
        <v>0</v>
      </c>
      <c r="I480" s="3">
        <v>0</v>
      </c>
      <c r="J480" s="3">
        <v>11</v>
      </c>
      <c r="K480" s="3">
        <v>0</v>
      </c>
      <c r="L480" s="3">
        <v>0</v>
      </c>
      <c r="M480" s="3">
        <v>0</v>
      </c>
      <c r="N480" s="3" t="s">
        <v>341</v>
      </c>
      <c r="O480" s="3">
        <v>11</v>
      </c>
      <c r="P480" s="3">
        <v>12.61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1</v>
      </c>
      <c r="W480" s="3" t="s">
        <v>342</v>
      </c>
      <c r="X480" s="3">
        <v>16.99</v>
      </c>
      <c r="Y480" s="3">
        <v>16.99</v>
      </c>
      <c r="Z480" s="3">
        <v>16.99</v>
      </c>
      <c r="AA480" s="3">
        <v>0</v>
      </c>
      <c r="AB480" s="3" t="s">
        <v>349</v>
      </c>
      <c r="AC480" s="3">
        <v>0</v>
      </c>
      <c r="AD480" s="3">
        <v>13.86</v>
      </c>
      <c r="AE480" s="3">
        <v>217</v>
      </c>
      <c r="AF480" s="3">
        <v>0</v>
      </c>
      <c r="AG480" s="3">
        <v>209.965018</v>
      </c>
      <c r="AH480" s="3">
        <v>0.0888888888888888</v>
      </c>
      <c r="AI480" s="3" t="s">
        <v>469</v>
      </c>
      <c r="AJ480" s="3" t="s">
        <v>345</v>
      </c>
    </row>
    <row r="481" spans="1:36">
      <c r="A481" s="4">
        <v>43288</v>
      </c>
      <c r="B481" s="3" t="s">
        <v>1990</v>
      </c>
      <c r="C481" s="3" t="s">
        <v>1991</v>
      </c>
      <c r="D481" s="3" t="s">
        <v>1992</v>
      </c>
      <c r="E481" s="3" t="s">
        <v>213</v>
      </c>
      <c r="F481" s="3" t="s">
        <v>340</v>
      </c>
      <c r="G481" s="3">
        <v>13</v>
      </c>
      <c r="H481" s="3">
        <v>0</v>
      </c>
      <c r="I481" s="3">
        <v>0</v>
      </c>
      <c r="J481" s="3">
        <v>5</v>
      </c>
      <c r="K481" s="3">
        <v>0</v>
      </c>
      <c r="L481" s="3">
        <v>1</v>
      </c>
      <c r="M481" s="3">
        <v>7</v>
      </c>
      <c r="N481" s="3" t="s">
        <v>341</v>
      </c>
      <c r="O481" s="3">
        <v>0</v>
      </c>
      <c r="P481" s="3">
        <v>0</v>
      </c>
      <c r="Q481" s="3">
        <v>8</v>
      </c>
      <c r="R481" s="3">
        <v>6.34</v>
      </c>
      <c r="S481" s="3">
        <v>0</v>
      </c>
      <c r="T481" s="3">
        <v>0</v>
      </c>
      <c r="U481" s="3">
        <v>0</v>
      </c>
      <c r="V481" s="3">
        <v>0</v>
      </c>
      <c r="W481" s="3" t="s">
        <v>381</v>
      </c>
      <c r="X481" s="3">
        <v>20.99</v>
      </c>
      <c r="Y481" s="3">
        <v>20.99</v>
      </c>
      <c r="Z481" s="3">
        <v>20.99</v>
      </c>
      <c r="AA481" s="3">
        <v>0</v>
      </c>
      <c r="AB481" s="3" t="s">
        <v>343</v>
      </c>
      <c r="AC481" s="3">
        <v>0</v>
      </c>
      <c r="AD481" s="3">
        <v>14.7</v>
      </c>
      <c r="AE481" s="3">
        <v>364</v>
      </c>
      <c r="AF481" s="3">
        <v>0</v>
      </c>
      <c r="AG481" s="3">
        <v>100.150145</v>
      </c>
      <c r="AH481" s="3">
        <v>0</v>
      </c>
      <c r="AI481" s="3" t="s">
        <v>512</v>
      </c>
      <c r="AJ481" s="3" t="s">
        <v>345</v>
      </c>
    </row>
    <row r="482" spans="1:36">
      <c r="A482" s="4">
        <v>43288</v>
      </c>
      <c r="B482" s="3" t="s">
        <v>1993</v>
      </c>
      <c r="C482" s="3" t="s">
        <v>1994</v>
      </c>
      <c r="D482" s="3" t="s">
        <v>1995</v>
      </c>
      <c r="E482" s="3" t="s">
        <v>123</v>
      </c>
      <c r="F482" s="3" t="s">
        <v>340</v>
      </c>
      <c r="G482" s="3">
        <v>1</v>
      </c>
      <c r="H482" s="3">
        <v>0</v>
      </c>
      <c r="I482" s="3">
        <v>1</v>
      </c>
      <c r="J482" s="3">
        <v>0</v>
      </c>
      <c r="K482" s="3">
        <v>0</v>
      </c>
      <c r="L482" s="3">
        <v>0</v>
      </c>
      <c r="M482" s="3">
        <v>0</v>
      </c>
      <c r="N482" s="3" t="s">
        <v>341</v>
      </c>
      <c r="O482" s="3">
        <v>0</v>
      </c>
      <c r="P482" s="3">
        <v>0</v>
      </c>
      <c r="Q482" s="3">
        <v>0</v>
      </c>
      <c r="R482" s="3">
        <v>0</v>
      </c>
      <c r="S482" s="3">
        <v>1</v>
      </c>
      <c r="T482" s="3">
        <v>10</v>
      </c>
      <c r="U482" s="3">
        <v>15</v>
      </c>
      <c r="V482" s="3">
        <v>15</v>
      </c>
      <c r="W482" s="3"/>
      <c r="X482" s="3"/>
      <c r="Y482" s="3"/>
      <c r="Z482" s="3">
        <v>-1</v>
      </c>
      <c r="AA482" s="3">
        <v>-1</v>
      </c>
      <c r="AB482" s="3" t="s">
        <v>493</v>
      </c>
      <c r="AC482" s="3">
        <v>0</v>
      </c>
      <c r="AD482" s="3">
        <v>0</v>
      </c>
      <c r="AE482" s="3">
        <v>0</v>
      </c>
      <c r="AF482" s="3">
        <v>0</v>
      </c>
      <c r="AG482" s="3">
        <v>0</v>
      </c>
      <c r="AH482" s="3">
        <v>7.5</v>
      </c>
      <c r="AI482" s="3" t="s">
        <v>486</v>
      </c>
      <c r="AJ482" s="3" t="s">
        <v>345</v>
      </c>
    </row>
    <row r="483" spans="1:36">
      <c r="A483" s="4">
        <v>43288</v>
      </c>
      <c r="B483" s="3" t="s">
        <v>1996</v>
      </c>
      <c r="C483" s="3" t="s">
        <v>1997</v>
      </c>
      <c r="D483" s="3" t="s">
        <v>1998</v>
      </c>
      <c r="E483" s="3" t="s">
        <v>916</v>
      </c>
      <c r="F483" s="3" t="s">
        <v>340</v>
      </c>
      <c r="G483" s="3">
        <v>1</v>
      </c>
      <c r="H483" s="3">
        <v>0</v>
      </c>
      <c r="I483" s="3">
        <v>1</v>
      </c>
      <c r="J483" s="3">
        <v>0</v>
      </c>
      <c r="K483" s="3">
        <v>0</v>
      </c>
      <c r="L483" s="3">
        <v>0</v>
      </c>
      <c r="M483" s="3">
        <v>0</v>
      </c>
      <c r="N483" s="3" t="s">
        <v>341</v>
      </c>
      <c r="O483" s="3">
        <v>0</v>
      </c>
      <c r="P483" s="3">
        <v>0</v>
      </c>
      <c r="Q483" s="3">
        <v>0</v>
      </c>
      <c r="R483" s="3">
        <v>0</v>
      </c>
      <c r="S483" s="3">
        <v>1</v>
      </c>
      <c r="T483" s="3">
        <v>2</v>
      </c>
      <c r="U483" s="3">
        <v>2</v>
      </c>
      <c r="V483" s="3">
        <v>2</v>
      </c>
      <c r="W483" s="3" t="s">
        <v>342</v>
      </c>
      <c r="X483" s="3">
        <v>16.99</v>
      </c>
      <c r="Y483" s="3">
        <v>16.99</v>
      </c>
      <c r="Z483" s="3">
        <v>16.99</v>
      </c>
      <c r="AA483" s="3">
        <v>0</v>
      </c>
      <c r="AB483" s="3" t="s">
        <v>349</v>
      </c>
      <c r="AC483" s="3">
        <v>1</v>
      </c>
      <c r="AD483" s="3">
        <v>16.99</v>
      </c>
      <c r="AE483" s="3">
        <v>0</v>
      </c>
      <c r="AF483" s="3">
        <v>0</v>
      </c>
      <c r="AG483" s="3">
        <v>0</v>
      </c>
      <c r="AH483" s="3">
        <v>1.14285714285714</v>
      </c>
      <c r="AI483" s="3" t="s">
        <v>917</v>
      </c>
      <c r="AJ483" s="3" t="s">
        <v>345</v>
      </c>
    </row>
    <row r="484" spans="1:36">
      <c r="A484" s="4">
        <v>43288</v>
      </c>
      <c r="B484" s="3" t="s">
        <v>1999</v>
      </c>
      <c r="C484" s="3" t="s">
        <v>2000</v>
      </c>
      <c r="D484" s="3" t="s">
        <v>2001</v>
      </c>
      <c r="E484" s="3" t="s">
        <v>2002</v>
      </c>
      <c r="F484" s="3" t="s">
        <v>340</v>
      </c>
      <c r="G484" s="3">
        <v>3</v>
      </c>
      <c r="H484" s="3">
        <v>0</v>
      </c>
      <c r="I484" s="3">
        <v>0</v>
      </c>
      <c r="J484" s="3">
        <v>3</v>
      </c>
      <c r="K484" s="3">
        <v>0</v>
      </c>
      <c r="L484" s="3">
        <v>0</v>
      </c>
      <c r="M484" s="3">
        <v>0</v>
      </c>
      <c r="N484" s="3" t="s">
        <v>341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 t="s">
        <v>381</v>
      </c>
      <c r="X484" s="3">
        <v>18.99</v>
      </c>
      <c r="Y484" s="3">
        <v>18.99</v>
      </c>
      <c r="Z484" s="3">
        <v>18.99</v>
      </c>
      <c r="AA484" s="3">
        <v>0</v>
      </c>
      <c r="AB484" s="3" t="s">
        <v>359</v>
      </c>
      <c r="AC484" s="3">
        <v>3</v>
      </c>
      <c r="AD484" s="3">
        <v>18.99</v>
      </c>
      <c r="AE484" s="3">
        <v>0</v>
      </c>
      <c r="AF484" s="3">
        <v>0</v>
      </c>
      <c r="AG484" s="3">
        <v>0</v>
      </c>
      <c r="AH484" s="3">
        <v>0</v>
      </c>
      <c r="AI484" s="3" t="s">
        <v>2003</v>
      </c>
      <c r="AJ484" s="3" t="s">
        <v>345</v>
      </c>
    </row>
    <row r="485" spans="1:36">
      <c r="A485" s="4">
        <v>43288</v>
      </c>
      <c r="B485" s="3" t="s">
        <v>2004</v>
      </c>
      <c r="C485" s="3" t="s">
        <v>2005</v>
      </c>
      <c r="D485" s="3" t="s">
        <v>2006</v>
      </c>
      <c r="E485" s="3" t="s">
        <v>680</v>
      </c>
      <c r="F485" s="3" t="s">
        <v>340</v>
      </c>
      <c r="G485" s="3">
        <v>2</v>
      </c>
      <c r="H485" s="3">
        <v>0</v>
      </c>
      <c r="I485" s="3">
        <v>1</v>
      </c>
      <c r="J485" s="3">
        <v>1</v>
      </c>
      <c r="K485" s="3">
        <v>0</v>
      </c>
      <c r="L485" s="3">
        <v>0</v>
      </c>
      <c r="M485" s="3">
        <v>0</v>
      </c>
      <c r="N485" s="3" t="s">
        <v>341</v>
      </c>
      <c r="O485" s="3">
        <v>1</v>
      </c>
      <c r="P485" s="3">
        <v>1.73</v>
      </c>
      <c r="Q485" s="3">
        <v>0</v>
      </c>
      <c r="R485" s="3">
        <v>0</v>
      </c>
      <c r="S485" s="3">
        <v>0</v>
      </c>
      <c r="T485" s="3">
        <v>0</v>
      </c>
      <c r="U485" s="3">
        <v>0</v>
      </c>
      <c r="V485" s="3">
        <v>0</v>
      </c>
      <c r="W485" s="3" t="s">
        <v>342</v>
      </c>
      <c r="X485" s="3">
        <v>17.99</v>
      </c>
      <c r="Y485" s="3">
        <v>17.99</v>
      </c>
      <c r="Z485" s="3">
        <v>17.99</v>
      </c>
      <c r="AA485" s="3">
        <v>0</v>
      </c>
      <c r="AB485" s="3" t="s">
        <v>349</v>
      </c>
      <c r="AC485" s="3">
        <v>0</v>
      </c>
      <c r="AD485" s="3">
        <v>16.61</v>
      </c>
      <c r="AE485" s="3">
        <v>56</v>
      </c>
      <c r="AF485" s="3">
        <v>0</v>
      </c>
      <c r="AG485" s="3">
        <v>55.176651</v>
      </c>
      <c r="AH485" s="3">
        <v>0</v>
      </c>
      <c r="AI485" s="3" t="s">
        <v>912</v>
      </c>
      <c r="AJ485" s="3" t="s">
        <v>345</v>
      </c>
    </row>
    <row r="486" spans="1:36">
      <c r="A486" s="4">
        <v>43288</v>
      </c>
      <c r="B486" s="3" t="s">
        <v>2007</v>
      </c>
      <c r="C486" s="3" t="s">
        <v>2008</v>
      </c>
      <c r="D486" s="3" t="s">
        <v>2009</v>
      </c>
      <c r="E486" s="3" t="s">
        <v>2010</v>
      </c>
      <c r="F486" s="3" t="s">
        <v>340</v>
      </c>
      <c r="G486" s="3">
        <v>1</v>
      </c>
      <c r="H486" s="3">
        <v>0</v>
      </c>
      <c r="I486" s="3">
        <v>0</v>
      </c>
      <c r="J486" s="3">
        <v>1</v>
      </c>
      <c r="K486" s="3">
        <v>0</v>
      </c>
      <c r="L486" s="3">
        <v>0</v>
      </c>
      <c r="M486" s="3">
        <v>0</v>
      </c>
      <c r="N486" s="3" t="s">
        <v>341</v>
      </c>
      <c r="O486" s="3">
        <v>1</v>
      </c>
      <c r="P486" s="3">
        <v>1</v>
      </c>
      <c r="Q486" s="3">
        <v>0</v>
      </c>
      <c r="R486" s="3">
        <v>0</v>
      </c>
      <c r="S486" s="3">
        <v>0</v>
      </c>
      <c r="T486" s="3">
        <v>0</v>
      </c>
      <c r="U486" s="3">
        <v>0</v>
      </c>
      <c r="V486" s="3">
        <v>0</v>
      </c>
      <c r="W486" s="3" t="s">
        <v>342</v>
      </c>
      <c r="X486" s="3">
        <v>12.99</v>
      </c>
      <c r="Y486" s="3">
        <v>12.99</v>
      </c>
      <c r="Z486" s="3">
        <v>12.99</v>
      </c>
      <c r="AA486" s="3">
        <v>0</v>
      </c>
      <c r="AB486" s="3" t="s">
        <v>349</v>
      </c>
      <c r="AC486" s="3">
        <v>0</v>
      </c>
      <c r="AD486" s="3">
        <v>12.28</v>
      </c>
      <c r="AE486" s="3">
        <v>21</v>
      </c>
      <c r="AF486" s="3">
        <v>0</v>
      </c>
      <c r="AG486" s="3">
        <v>17.615488</v>
      </c>
      <c r="AH486" s="3">
        <v>0</v>
      </c>
      <c r="AI486" s="3" t="s">
        <v>2011</v>
      </c>
      <c r="AJ486" s="3" t="s">
        <v>345</v>
      </c>
    </row>
    <row r="487" spans="1:36">
      <c r="A487" s="4">
        <v>43288</v>
      </c>
      <c r="B487" s="3" t="s">
        <v>54</v>
      </c>
      <c r="C487" s="3" t="s">
        <v>55</v>
      </c>
      <c r="D487" s="3" t="s">
        <v>56</v>
      </c>
      <c r="E487" s="3" t="s">
        <v>53</v>
      </c>
      <c r="F487" s="3" t="s">
        <v>340</v>
      </c>
      <c r="G487" s="3">
        <v>57</v>
      </c>
      <c r="H487" s="3">
        <v>0</v>
      </c>
      <c r="I487" s="3">
        <v>57</v>
      </c>
      <c r="J487" s="3">
        <v>0</v>
      </c>
      <c r="K487" s="3">
        <v>0</v>
      </c>
      <c r="L487" s="3">
        <v>0</v>
      </c>
      <c r="M487" s="3">
        <v>0</v>
      </c>
      <c r="N487" s="3" t="s">
        <v>341</v>
      </c>
      <c r="O487" s="3">
        <v>0</v>
      </c>
      <c r="P487" s="3">
        <v>0</v>
      </c>
      <c r="Q487" s="3">
        <v>0</v>
      </c>
      <c r="R487" s="3">
        <v>0</v>
      </c>
      <c r="S487" s="3">
        <v>11</v>
      </c>
      <c r="T487" s="3">
        <v>45</v>
      </c>
      <c r="U487" s="3">
        <v>99</v>
      </c>
      <c r="V487" s="3">
        <v>147</v>
      </c>
      <c r="W487" s="3"/>
      <c r="X487" s="3">
        <v>18.98</v>
      </c>
      <c r="Y487" s="3">
        <v>18.98</v>
      </c>
      <c r="Z487" s="3">
        <v>18.98</v>
      </c>
      <c r="AA487" s="3">
        <v>0</v>
      </c>
      <c r="AB487" s="3" t="s">
        <v>359</v>
      </c>
      <c r="AC487" s="3">
        <v>43</v>
      </c>
      <c r="AD487" s="3">
        <v>18.98</v>
      </c>
      <c r="AE487" s="3">
        <v>0</v>
      </c>
      <c r="AF487" s="3">
        <v>0</v>
      </c>
      <c r="AG487" s="3">
        <v>0</v>
      </c>
      <c r="AH487" s="3">
        <v>4.0551724137931</v>
      </c>
      <c r="AI487" s="3" t="s">
        <v>431</v>
      </c>
      <c r="AJ487" s="3" t="s">
        <v>345</v>
      </c>
    </row>
    <row r="488" spans="1:36">
      <c r="A488" s="4">
        <v>43288</v>
      </c>
      <c r="B488" s="3" t="s">
        <v>2012</v>
      </c>
      <c r="C488" s="3" t="s">
        <v>2013</v>
      </c>
      <c r="D488" s="3" t="s">
        <v>2014</v>
      </c>
      <c r="E488" s="3" t="s">
        <v>613</v>
      </c>
      <c r="F488" s="3" t="s">
        <v>340</v>
      </c>
      <c r="G488" s="3">
        <v>6</v>
      </c>
      <c r="H488" s="3">
        <v>0</v>
      </c>
      <c r="I488" s="3">
        <v>0</v>
      </c>
      <c r="J488" s="3">
        <v>1</v>
      </c>
      <c r="K488" s="3">
        <v>1</v>
      </c>
      <c r="L488" s="3">
        <v>4</v>
      </c>
      <c r="M488" s="3">
        <v>0</v>
      </c>
      <c r="N488" s="3" t="s">
        <v>341</v>
      </c>
      <c r="O488" s="3">
        <v>6</v>
      </c>
      <c r="P488" s="3">
        <v>5.02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 t="s">
        <v>342</v>
      </c>
      <c r="X488" s="3">
        <v>12.99</v>
      </c>
      <c r="Y488" s="3">
        <v>12.99</v>
      </c>
      <c r="Z488" s="3">
        <v>12.99</v>
      </c>
      <c r="AA488" s="3">
        <v>0</v>
      </c>
      <c r="AB488" s="3" t="s">
        <v>349</v>
      </c>
      <c r="AC488" s="3">
        <v>0</v>
      </c>
      <c r="AD488" s="3">
        <v>11.59</v>
      </c>
      <c r="AE488" s="3">
        <v>189</v>
      </c>
      <c r="AF488" s="3">
        <v>0</v>
      </c>
      <c r="AG488" s="3">
        <v>86.203828</v>
      </c>
      <c r="AH488" s="3">
        <v>0</v>
      </c>
      <c r="AI488" s="3" t="s">
        <v>849</v>
      </c>
      <c r="AJ488" s="3" t="s">
        <v>345</v>
      </c>
    </row>
    <row r="489" spans="1:36">
      <c r="A489" s="4">
        <v>43288</v>
      </c>
      <c r="B489" s="3" t="s">
        <v>150</v>
      </c>
      <c r="C489" s="3" t="s">
        <v>151</v>
      </c>
      <c r="D489" s="3" t="s">
        <v>152</v>
      </c>
      <c r="E489" s="3" t="s">
        <v>143</v>
      </c>
      <c r="F489" s="3" t="s">
        <v>340</v>
      </c>
      <c r="G489" s="3">
        <v>1</v>
      </c>
      <c r="H489" s="3">
        <v>0</v>
      </c>
      <c r="I489" s="3">
        <v>1</v>
      </c>
      <c r="J489" s="3">
        <v>0</v>
      </c>
      <c r="K489" s="3">
        <v>0</v>
      </c>
      <c r="L489" s="3">
        <v>0</v>
      </c>
      <c r="M489" s="3">
        <v>0</v>
      </c>
      <c r="N489" s="3" t="s">
        <v>341</v>
      </c>
      <c r="O489" s="3">
        <v>0</v>
      </c>
      <c r="P489" s="3">
        <v>0</v>
      </c>
      <c r="Q489" s="3">
        <v>0</v>
      </c>
      <c r="R489" s="3">
        <v>0</v>
      </c>
      <c r="S489" s="3">
        <v>11</v>
      </c>
      <c r="T489" s="3">
        <v>54</v>
      </c>
      <c r="U489" s="3">
        <v>82</v>
      </c>
      <c r="V489" s="3">
        <v>83</v>
      </c>
      <c r="W489" s="3"/>
      <c r="X489" s="3"/>
      <c r="Y489" s="3"/>
      <c r="Z489" s="3">
        <v>-1</v>
      </c>
      <c r="AA489" s="3">
        <v>-1</v>
      </c>
      <c r="AB489" s="3" t="s">
        <v>493</v>
      </c>
      <c r="AC489" s="3">
        <v>2</v>
      </c>
      <c r="AD489" s="3">
        <v>19.99</v>
      </c>
      <c r="AE489" s="3">
        <v>0</v>
      </c>
      <c r="AF489" s="3">
        <v>0</v>
      </c>
      <c r="AG489" s="3">
        <v>0</v>
      </c>
      <c r="AH489" s="3">
        <v>9.22222222222222</v>
      </c>
      <c r="AI489" s="3" t="s">
        <v>371</v>
      </c>
      <c r="AJ489" s="3" t="s">
        <v>345</v>
      </c>
    </row>
    <row r="490" spans="1:36">
      <c r="A490" s="4">
        <v>43288</v>
      </c>
      <c r="B490" s="3" t="s">
        <v>2015</v>
      </c>
      <c r="C490" s="3" t="s">
        <v>2016</v>
      </c>
      <c r="D490" s="3" t="s">
        <v>2017</v>
      </c>
      <c r="E490" s="3" t="s">
        <v>2018</v>
      </c>
      <c r="F490" s="3" t="s">
        <v>340</v>
      </c>
      <c r="G490" s="3">
        <v>6</v>
      </c>
      <c r="H490" s="3">
        <v>0</v>
      </c>
      <c r="I490" s="3">
        <v>1</v>
      </c>
      <c r="J490" s="3">
        <v>5</v>
      </c>
      <c r="K490" s="3">
        <v>0</v>
      </c>
      <c r="L490" s="3">
        <v>0</v>
      </c>
      <c r="M490" s="3">
        <v>0</v>
      </c>
      <c r="N490" s="3" t="s">
        <v>341</v>
      </c>
      <c r="O490" s="3">
        <v>5</v>
      </c>
      <c r="P490" s="3">
        <v>6.22</v>
      </c>
      <c r="Q490" s="3">
        <v>0</v>
      </c>
      <c r="R490" s="3">
        <v>0</v>
      </c>
      <c r="S490" s="3">
        <v>0</v>
      </c>
      <c r="T490" s="3">
        <v>0</v>
      </c>
      <c r="U490" s="3">
        <v>0</v>
      </c>
      <c r="V490" s="3">
        <v>2</v>
      </c>
      <c r="W490" s="3" t="s">
        <v>342</v>
      </c>
      <c r="X490" s="3">
        <v>15.99</v>
      </c>
      <c r="Y490" s="3">
        <v>15.99</v>
      </c>
      <c r="Z490" s="3">
        <v>15.99</v>
      </c>
      <c r="AA490" s="3">
        <v>0</v>
      </c>
      <c r="AB490" s="3" t="s">
        <v>349</v>
      </c>
      <c r="AC490" s="3">
        <v>0</v>
      </c>
      <c r="AD490" s="3">
        <v>13.95</v>
      </c>
      <c r="AE490" s="3">
        <v>210</v>
      </c>
      <c r="AF490" s="3">
        <v>0</v>
      </c>
      <c r="AG490" s="3">
        <v>120.392443</v>
      </c>
      <c r="AH490" s="3">
        <v>0.333333333333333</v>
      </c>
      <c r="AI490" s="3" t="s">
        <v>397</v>
      </c>
      <c r="AJ490" s="3" t="s">
        <v>345</v>
      </c>
    </row>
    <row r="491" spans="1:36">
      <c r="A491" s="4">
        <v>43288</v>
      </c>
      <c r="B491" s="3" t="s">
        <v>2019</v>
      </c>
      <c r="C491" s="3" t="s">
        <v>2020</v>
      </c>
      <c r="D491" s="3" t="s">
        <v>2021</v>
      </c>
      <c r="E491" s="3" t="s">
        <v>169</v>
      </c>
      <c r="F491" s="3" t="s">
        <v>340</v>
      </c>
      <c r="G491" s="3">
        <v>6</v>
      </c>
      <c r="H491" s="3">
        <v>0</v>
      </c>
      <c r="I491" s="3">
        <v>0</v>
      </c>
      <c r="J491" s="3">
        <v>6</v>
      </c>
      <c r="K491" s="3">
        <v>0</v>
      </c>
      <c r="L491" s="3">
        <v>0</v>
      </c>
      <c r="M491" s="3">
        <v>0</v>
      </c>
      <c r="N491" s="3" t="s">
        <v>341</v>
      </c>
      <c r="O491" s="3">
        <v>6</v>
      </c>
      <c r="P491" s="3">
        <v>3.68</v>
      </c>
      <c r="Q491" s="3">
        <v>0</v>
      </c>
      <c r="R491" s="3">
        <v>0</v>
      </c>
      <c r="S491" s="3">
        <v>0</v>
      </c>
      <c r="T491" s="3">
        <v>0</v>
      </c>
      <c r="U491" s="3">
        <v>0</v>
      </c>
      <c r="V491" s="3">
        <v>0</v>
      </c>
      <c r="W491" s="3"/>
      <c r="X491" s="3"/>
      <c r="Y491" s="3"/>
      <c r="Z491" s="3">
        <v>-1</v>
      </c>
      <c r="AA491" s="3">
        <v>-1</v>
      </c>
      <c r="AB491" s="3" t="s">
        <v>493</v>
      </c>
      <c r="AC491" s="3">
        <v>0</v>
      </c>
      <c r="AD491" s="3">
        <v>0</v>
      </c>
      <c r="AE491" s="3">
        <v>0</v>
      </c>
      <c r="AF491" s="3">
        <v>0</v>
      </c>
      <c r="AG491" s="3">
        <v>0</v>
      </c>
      <c r="AH491" s="3">
        <v>0</v>
      </c>
      <c r="AI491" s="3" t="s">
        <v>579</v>
      </c>
      <c r="AJ491" s="3" t="s">
        <v>345</v>
      </c>
    </row>
    <row r="492" spans="1:36">
      <c r="A492" s="4">
        <v>43288</v>
      </c>
      <c r="B492" s="3" t="s">
        <v>153</v>
      </c>
      <c r="C492" s="3" t="s">
        <v>154</v>
      </c>
      <c r="D492" s="3" t="s">
        <v>155</v>
      </c>
      <c r="E492" s="3" t="s">
        <v>123</v>
      </c>
      <c r="F492" s="3" t="s">
        <v>340</v>
      </c>
      <c r="G492" s="3">
        <v>2</v>
      </c>
      <c r="H492" s="3">
        <v>0</v>
      </c>
      <c r="I492" s="3">
        <v>2</v>
      </c>
      <c r="J492" s="3">
        <v>0</v>
      </c>
      <c r="K492" s="3">
        <v>0</v>
      </c>
      <c r="L492" s="3">
        <v>0</v>
      </c>
      <c r="M492" s="3">
        <v>0</v>
      </c>
      <c r="N492" s="3" t="s">
        <v>341</v>
      </c>
      <c r="O492" s="3">
        <v>0</v>
      </c>
      <c r="P492" s="3">
        <v>0</v>
      </c>
      <c r="Q492" s="3">
        <v>0</v>
      </c>
      <c r="R492" s="3">
        <v>0</v>
      </c>
      <c r="S492" s="3">
        <v>0</v>
      </c>
      <c r="T492" s="3">
        <v>7</v>
      </c>
      <c r="U492" s="3">
        <v>10</v>
      </c>
      <c r="V492" s="3">
        <v>10</v>
      </c>
      <c r="W492" s="3"/>
      <c r="X492" s="3">
        <v>39.99</v>
      </c>
      <c r="Y492" s="3">
        <v>19.99</v>
      </c>
      <c r="Z492" s="3">
        <v>19.99</v>
      </c>
      <c r="AA492" s="3">
        <v>0</v>
      </c>
      <c r="AB492" s="3" t="s">
        <v>359</v>
      </c>
      <c r="AC492" s="3">
        <v>2</v>
      </c>
      <c r="AD492" s="3">
        <v>19.99</v>
      </c>
      <c r="AE492" s="3">
        <v>0</v>
      </c>
      <c r="AF492" s="3">
        <v>0</v>
      </c>
      <c r="AG492" s="3">
        <v>0</v>
      </c>
      <c r="AH492" s="3">
        <v>2.85714285714285</v>
      </c>
      <c r="AI492" s="3" t="s">
        <v>486</v>
      </c>
      <c r="AJ492" s="3" t="s">
        <v>345</v>
      </c>
    </row>
    <row r="493" spans="1:36">
      <c r="A493" s="4">
        <v>43288</v>
      </c>
      <c r="B493" s="3" t="s">
        <v>2022</v>
      </c>
      <c r="C493" s="3" t="s">
        <v>2023</v>
      </c>
      <c r="D493" s="3" t="s">
        <v>2024</v>
      </c>
      <c r="E493" s="3" t="s">
        <v>2025</v>
      </c>
      <c r="F493" s="3" t="s">
        <v>340</v>
      </c>
      <c r="G493" s="3">
        <v>2</v>
      </c>
      <c r="H493" s="3">
        <v>0</v>
      </c>
      <c r="I493" s="3">
        <v>2</v>
      </c>
      <c r="J493" s="3">
        <v>0</v>
      </c>
      <c r="K493" s="3">
        <v>0</v>
      </c>
      <c r="L493" s="3">
        <v>0</v>
      </c>
      <c r="M493" s="3">
        <v>0</v>
      </c>
      <c r="N493" s="3" t="s">
        <v>341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3</v>
      </c>
      <c r="U493" s="3">
        <v>6</v>
      </c>
      <c r="V493" s="3">
        <v>6</v>
      </c>
      <c r="W493" s="3"/>
      <c r="X493" s="3">
        <v>16.08</v>
      </c>
      <c r="Y493" s="3">
        <v>16.08</v>
      </c>
      <c r="Z493" s="3">
        <v>16.08</v>
      </c>
      <c r="AA493" s="3">
        <v>0</v>
      </c>
      <c r="AB493" s="3" t="s">
        <v>359</v>
      </c>
      <c r="AC493" s="3">
        <v>2</v>
      </c>
      <c r="AD493" s="3">
        <v>16.08</v>
      </c>
      <c r="AE493" s="3">
        <v>0</v>
      </c>
      <c r="AF493" s="3">
        <v>0</v>
      </c>
      <c r="AG493" s="3">
        <v>0</v>
      </c>
      <c r="AH493" s="3">
        <v>1.14285714285714</v>
      </c>
      <c r="AI493" s="3" t="s">
        <v>505</v>
      </c>
      <c r="AJ493" s="3" t="s">
        <v>345</v>
      </c>
    </row>
    <row r="494" spans="1:36">
      <c r="A494" s="4">
        <v>43288</v>
      </c>
      <c r="B494" s="3" t="s">
        <v>2026</v>
      </c>
      <c r="C494" s="3" t="s">
        <v>2027</v>
      </c>
      <c r="D494" s="3" t="s">
        <v>2028</v>
      </c>
      <c r="E494" s="3" t="s">
        <v>2029</v>
      </c>
      <c r="F494" s="3" t="s">
        <v>340</v>
      </c>
      <c r="G494" s="3">
        <v>4</v>
      </c>
      <c r="H494" s="3">
        <v>0</v>
      </c>
      <c r="I494" s="3">
        <v>4</v>
      </c>
      <c r="J494" s="3">
        <v>0</v>
      </c>
      <c r="K494" s="3">
        <v>0</v>
      </c>
      <c r="L494" s="3">
        <v>0</v>
      </c>
      <c r="M494" s="3">
        <v>0</v>
      </c>
      <c r="N494" s="3" t="s">
        <v>341</v>
      </c>
      <c r="O494" s="3">
        <v>0</v>
      </c>
      <c r="P494" s="3">
        <v>0</v>
      </c>
      <c r="Q494" s="3">
        <v>0</v>
      </c>
      <c r="R494" s="3">
        <v>0</v>
      </c>
      <c r="S494" s="3">
        <v>2</v>
      </c>
      <c r="T494" s="3">
        <v>9</v>
      </c>
      <c r="U494" s="3">
        <v>12</v>
      </c>
      <c r="V494" s="3">
        <v>23</v>
      </c>
      <c r="W494" s="3"/>
      <c r="X494" s="3">
        <v>19.99</v>
      </c>
      <c r="Y494" s="3">
        <v>19.99</v>
      </c>
      <c r="Z494" s="3">
        <v>19.99</v>
      </c>
      <c r="AA494" s="3">
        <v>0</v>
      </c>
      <c r="AB494" s="3" t="s">
        <v>359</v>
      </c>
      <c r="AC494" s="3">
        <v>3</v>
      </c>
      <c r="AD494" s="3">
        <v>19.99</v>
      </c>
      <c r="AE494" s="3">
        <v>0</v>
      </c>
      <c r="AF494" s="3">
        <v>0</v>
      </c>
      <c r="AG494" s="3">
        <v>0</v>
      </c>
      <c r="AH494" s="3">
        <v>3.83333333333333</v>
      </c>
      <c r="AI494" s="3" t="s">
        <v>637</v>
      </c>
      <c r="AJ494" s="3" t="s">
        <v>345</v>
      </c>
    </row>
    <row r="495" spans="1:36">
      <c r="A495" s="4">
        <v>43288</v>
      </c>
      <c r="B495" s="3" t="s">
        <v>2030</v>
      </c>
      <c r="C495" s="3" t="s">
        <v>2031</v>
      </c>
      <c r="D495" s="3" t="s">
        <v>2032</v>
      </c>
      <c r="E495" s="3" t="s">
        <v>2033</v>
      </c>
      <c r="F495" s="3" t="s">
        <v>340</v>
      </c>
      <c r="G495" s="3">
        <v>7</v>
      </c>
      <c r="H495" s="3">
        <v>0</v>
      </c>
      <c r="I495" s="3">
        <v>0</v>
      </c>
      <c r="J495" s="3">
        <v>3</v>
      </c>
      <c r="K495" s="3">
        <v>4</v>
      </c>
      <c r="L495" s="3">
        <v>0</v>
      </c>
      <c r="M495" s="3">
        <v>0</v>
      </c>
      <c r="N495" s="3" t="s">
        <v>341</v>
      </c>
      <c r="O495" s="3">
        <v>7</v>
      </c>
      <c r="P495" s="3">
        <v>8.71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 t="s">
        <v>342</v>
      </c>
      <c r="X495" s="3">
        <v>15.99</v>
      </c>
      <c r="Y495" s="3">
        <v>15.99</v>
      </c>
      <c r="Z495" s="3">
        <v>15.99</v>
      </c>
      <c r="AA495" s="3">
        <v>0</v>
      </c>
      <c r="AB495" s="3" t="s">
        <v>343</v>
      </c>
      <c r="AC495" s="3">
        <v>0</v>
      </c>
      <c r="AD495" s="3">
        <v>12.72</v>
      </c>
      <c r="AE495" s="3">
        <v>231</v>
      </c>
      <c r="AF495" s="3">
        <v>0</v>
      </c>
      <c r="AG495" s="3">
        <v>132.723316</v>
      </c>
      <c r="AH495" s="3">
        <v>0</v>
      </c>
      <c r="AI495" s="3" t="s">
        <v>397</v>
      </c>
      <c r="AJ495" s="3" t="s">
        <v>345</v>
      </c>
    </row>
    <row r="496" spans="1:36">
      <c r="A496" s="4">
        <v>43288</v>
      </c>
      <c r="B496" s="3" t="s">
        <v>2034</v>
      </c>
      <c r="C496" s="3" t="s">
        <v>2035</v>
      </c>
      <c r="D496" s="3" t="s">
        <v>2036</v>
      </c>
      <c r="E496" s="3" t="s">
        <v>2037</v>
      </c>
      <c r="F496" s="3" t="s">
        <v>340</v>
      </c>
      <c r="G496" s="3">
        <v>8</v>
      </c>
      <c r="H496" s="3">
        <v>0</v>
      </c>
      <c r="I496" s="3">
        <v>0</v>
      </c>
      <c r="J496" s="3">
        <v>8</v>
      </c>
      <c r="K496" s="3">
        <v>0</v>
      </c>
      <c r="L496" s="3">
        <v>0</v>
      </c>
      <c r="M496" s="3">
        <v>0</v>
      </c>
      <c r="N496" s="3" t="s">
        <v>341</v>
      </c>
      <c r="O496" s="3">
        <v>7</v>
      </c>
      <c r="P496" s="3">
        <v>12.22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1</v>
      </c>
      <c r="W496" s="3" t="s">
        <v>381</v>
      </c>
      <c r="X496" s="3">
        <v>18.99</v>
      </c>
      <c r="Y496" s="3">
        <v>18.99</v>
      </c>
      <c r="Z496" s="3">
        <v>18.99</v>
      </c>
      <c r="AA496" s="3">
        <v>0</v>
      </c>
      <c r="AB496" s="3" t="s">
        <v>343</v>
      </c>
      <c r="AC496" s="3">
        <v>2</v>
      </c>
      <c r="AD496" s="3">
        <v>17.13</v>
      </c>
      <c r="AE496" s="3">
        <v>35</v>
      </c>
      <c r="AF496" s="3">
        <v>0</v>
      </c>
      <c r="AG496" s="3">
        <v>227.141066</v>
      </c>
      <c r="AH496" s="3">
        <v>0.117647058823529</v>
      </c>
      <c r="AI496" s="3" t="s">
        <v>631</v>
      </c>
      <c r="AJ496" s="3" t="s">
        <v>345</v>
      </c>
    </row>
    <row r="497" spans="1:36">
      <c r="A497" s="4">
        <v>43288</v>
      </c>
      <c r="B497" s="3" t="s">
        <v>2038</v>
      </c>
      <c r="C497" s="3" t="s">
        <v>2039</v>
      </c>
      <c r="D497" s="3" t="s">
        <v>2040</v>
      </c>
      <c r="E497" s="3" t="s">
        <v>11</v>
      </c>
      <c r="F497" s="3" t="s">
        <v>340</v>
      </c>
      <c r="G497" s="3">
        <v>4</v>
      </c>
      <c r="H497" s="3">
        <v>0</v>
      </c>
      <c r="I497" s="3">
        <v>0</v>
      </c>
      <c r="J497" s="3">
        <v>4</v>
      </c>
      <c r="K497" s="3">
        <v>0</v>
      </c>
      <c r="L497" s="3">
        <v>0</v>
      </c>
      <c r="M497" s="3">
        <v>0</v>
      </c>
      <c r="N497" s="3" t="s">
        <v>341</v>
      </c>
      <c r="O497" s="3">
        <v>1</v>
      </c>
      <c r="P497" s="3">
        <v>2.32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 t="s">
        <v>342</v>
      </c>
      <c r="X497" s="3">
        <v>25.99</v>
      </c>
      <c r="Y497" s="3">
        <v>25.99</v>
      </c>
      <c r="Z497" s="3">
        <v>25.99</v>
      </c>
      <c r="AA497" s="3">
        <v>0</v>
      </c>
      <c r="AB497" s="3" t="s">
        <v>349</v>
      </c>
      <c r="AC497" s="3">
        <v>2</v>
      </c>
      <c r="AD497" s="3">
        <v>23.94</v>
      </c>
      <c r="AE497" s="3">
        <v>21</v>
      </c>
      <c r="AF497" s="3">
        <v>0</v>
      </c>
      <c r="AG497" s="3">
        <v>145.419018</v>
      </c>
      <c r="AH497" s="3">
        <v>0</v>
      </c>
      <c r="AI497" s="3" t="s">
        <v>750</v>
      </c>
      <c r="AJ497" s="3" t="s">
        <v>345</v>
      </c>
    </row>
    <row r="498" spans="1:36">
      <c r="A498" s="4">
        <v>43288</v>
      </c>
      <c r="B498" s="3" t="s">
        <v>2041</v>
      </c>
      <c r="C498" s="3" t="s">
        <v>2042</v>
      </c>
      <c r="D498" s="3" t="s">
        <v>2043</v>
      </c>
      <c r="E498" s="3" t="s">
        <v>169</v>
      </c>
      <c r="F498" s="3" t="s">
        <v>340</v>
      </c>
      <c r="G498" s="3">
        <v>6</v>
      </c>
      <c r="H498" s="3">
        <v>0</v>
      </c>
      <c r="I498" s="3">
        <v>0</v>
      </c>
      <c r="J498" s="3">
        <v>6</v>
      </c>
      <c r="K498" s="3">
        <v>0</v>
      </c>
      <c r="L498" s="3">
        <v>0</v>
      </c>
      <c r="M498" s="3">
        <v>0</v>
      </c>
      <c r="N498" s="3" t="s">
        <v>341</v>
      </c>
      <c r="O498" s="3">
        <v>5</v>
      </c>
      <c r="P498" s="3">
        <v>3.07</v>
      </c>
      <c r="Q498" s="3">
        <v>0</v>
      </c>
      <c r="R498" s="3">
        <v>0</v>
      </c>
      <c r="S498" s="3">
        <v>0</v>
      </c>
      <c r="T498" s="3">
        <v>0</v>
      </c>
      <c r="U498" s="3">
        <v>0</v>
      </c>
      <c r="V498" s="3">
        <v>0</v>
      </c>
      <c r="W498" s="3"/>
      <c r="X498" s="3"/>
      <c r="Y498" s="3"/>
      <c r="Z498" s="3">
        <v>-1</v>
      </c>
      <c r="AA498" s="3">
        <v>-1</v>
      </c>
      <c r="AB498" s="3" t="s">
        <v>493</v>
      </c>
      <c r="AC498" s="3">
        <v>0</v>
      </c>
      <c r="AD498" s="3">
        <v>0</v>
      </c>
      <c r="AE498" s="3">
        <v>0</v>
      </c>
      <c r="AF498" s="3">
        <v>0</v>
      </c>
      <c r="AG498" s="3">
        <v>0</v>
      </c>
      <c r="AH498" s="3">
        <v>0</v>
      </c>
      <c r="AI498" s="3" t="s">
        <v>579</v>
      </c>
      <c r="AJ498" s="3" t="s">
        <v>345</v>
      </c>
    </row>
    <row r="499" spans="1:36">
      <c r="A499" s="4">
        <v>43288</v>
      </c>
      <c r="B499" s="3" t="s">
        <v>2044</v>
      </c>
      <c r="C499" s="3" t="s">
        <v>2045</v>
      </c>
      <c r="D499" s="3" t="s">
        <v>2046</v>
      </c>
      <c r="E499" s="3" t="s">
        <v>2047</v>
      </c>
      <c r="F499" s="3" t="s">
        <v>340</v>
      </c>
      <c r="G499" s="3">
        <v>3</v>
      </c>
      <c r="H499" s="3">
        <v>0</v>
      </c>
      <c r="I499" s="3">
        <v>0</v>
      </c>
      <c r="J499" s="3">
        <v>3</v>
      </c>
      <c r="K499" s="3">
        <v>0</v>
      </c>
      <c r="L499" s="3">
        <v>0</v>
      </c>
      <c r="M499" s="3">
        <v>0</v>
      </c>
      <c r="N499" s="3" t="s">
        <v>341</v>
      </c>
      <c r="O499" s="3">
        <v>2</v>
      </c>
      <c r="P499" s="3">
        <v>2.68</v>
      </c>
      <c r="Q499" s="3">
        <v>0</v>
      </c>
      <c r="R499" s="3">
        <v>0</v>
      </c>
      <c r="S499" s="3">
        <v>0</v>
      </c>
      <c r="T499" s="3">
        <v>1</v>
      </c>
      <c r="U499" s="3">
        <v>1</v>
      </c>
      <c r="V499" s="3">
        <v>2</v>
      </c>
      <c r="W499" s="3" t="s">
        <v>342</v>
      </c>
      <c r="X499" s="3">
        <v>16.99</v>
      </c>
      <c r="Y499" s="3">
        <v>16.99</v>
      </c>
      <c r="Z499" s="3">
        <v>16.99</v>
      </c>
      <c r="AA499" s="3">
        <v>0</v>
      </c>
      <c r="AB499" s="3" t="s">
        <v>349</v>
      </c>
      <c r="AC499" s="3">
        <v>3</v>
      </c>
      <c r="AD499" s="3">
        <v>16.99</v>
      </c>
      <c r="AE499" s="3">
        <v>0</v>
      </c>
      <c r="AF499" s="3">
        <v>0</v>
      </c>
      <c r="AG499" s="3">
        <v>0</v>
      </c>
      <c r="AH499" s="3">
        <v>0.470588235294117</v>
      </c>
      <c r="AI499" s="3" t="s">
        <v>754</v>
      </c>
      <c r="AJ499" s="3" t="s">
        <v>345</v>
      </c>
    </row>
    <row r="500" spans="1:36">
      <c r="A500" s="4">
        <v>43288</v>
      </c>
      <c r="B500" s="3" t="s">
        <v>2048</v>
      </c>
      <c r="C500" s="3" t="s">
        <v>2049</v>
      </c>
      <c r="D500" s="3" t="s">
        <v>2050</v>
      </c>
      <c r="E500" s="3" t="s">
        <v>2051</v>
      </c>
      <c r="F500" s="3" t="s">
        <v>340</v>
      </c>
      <c r="G500" s="3">
        <v>1</v>
      </c>
      <c r="H500" s="3">
        <v>0</v>
      </c>
      <c r="I500" s="3">
        <v>0</v>
      </c>
      <c r="J500" s="3">
        <v>0</v>
      </c>
      <c r="K500" s="3">
        <v>1</v>
      </c>
      <c r="L500" s="3">
        <v>0</v>
      </c>
      <c r="M500" s="3">
        <v>0</v>
      </c>
      <c r="N500" s="3" t="s">
        <v>341</v>
      </c>
      <c r="O500" s="3">
        <v>1</v>
      </c>
      <c r="P500" s="3">
        <v>1.22</v>
      </c>
      <c r="Q500" s="3">
        <v>0</v>
      </c>
      <c r="R500" s="3">
        <v>0</v>
      </c>
      <c r="S500" s="3">
        <v>0</v>
      </c>
      <c r="T500" s="3">
        <v>0</v>
      </c>
      <c r="U500" s="3">
        <v>0</v>
      </c>
      <c r="V500" s="3">
        <v>0</v>
      </c>
      <c r="W500" s="3" t="s">
        <v>342</v>
      </c>
      <c r="X500" s="3">
        <v>9.9</v>
      </c>
      <c r="Y500" s="3">
        <v>9.9</v>
      </c>
      <c r="Z500" s="3">
        <v>9.9</v>
      </c>
      <c r="AA500" s="3">
        <v>0</v>
      </c>
      <c r="AB500" s="3" t="s">
        <v>343</v>
      </c>
      <c r="AC500" s="3">
        <v>0</v>
      </c>
      <c r="AD500" s="3">
        <v>8.95</v>
      </c>
      <c r="AE500" s="3">
        <v>112</v>
      </c>
      <c r="AF500" s="3">
        <v>0</v>
      </c>
      <c r="AG500" s="3">
        <v>14.654508</v>
      </c>
      <c r="AH500" s="3">
        <v>0</v>
      </c>
      <c r="AI500" s="3" t="s">
        <v>2052</v>
      </c>
      <c r="AJ500" s="3" t="s">
        <v>345</v>
      </c>
    </row>
    <row r="501" spans="1:36">
      <c r="A501" s="4">
        <v>43288</v>
      </c>
      <c r="B501" s="3" t="s">
        <v>2053</v>
      </c>
      <c r="C501" s="3" t="s">
        <v>2054</v>
      </c>
      <c r="D501" s="3" t="s">
        <v>2055</v>
      </c>
      <c r="E501" s="3" t="s">
        <v>2056</v>
      </c>
      <c r="F501" s="3" t="s">
        <v>340</v>
      </c>
      <c r="G501" s="3">
        <v>4</v>
      </c>
      <c r="H501" s="3">
        <v>0</v>
      </c>
      <c r="I501" s="3">
        <v>0</v>
      </c>
      <c r="J501" s="3">
        <v>4</v>
      </c>
      <c r="K501" s="3">
        <v>0</v>
      </c>
      <c r="L501" s="3">
        <v>0</v>
      </c>
      <c r="M501" s="3">
        <v>0</v>
      </c>
      <c r="N501" s="3" t="s">
        <v>341</v>
      </c>
      <c r="O501" s="3">
        <v>4</v>
      </c>
      <c r="P501" s="3">
        <v>4.98</v>
      </c>
      <c r="Q501" s="3">
        <v>0</v>
      </c>
      <c r="R501" s="3">
        <v>0</v>
      </c>
      <c r="S501" s="3">
        <v>0</v>
      </c>
      <c r="T501" s="3">
        <v>0</v>
      </c>
      <c r="U501" s="3">
        <v>0</v>
      </c>
      <c r="V501" s="3">
        <v>1</v>
      </c>
      <c r="W501" s="3" t="s">
        <v>342</v>
      </c>
      <c r="X501" s="3">
        <v>15.99</v>
      </c>
      <c r="Y501" s="3">
        <v>15.99</v>
      </c>
      <c r="Z501" s="3">
        <v>15.99</v>
      </c>
      <c r="AA501" s="3">
        <v>0</v>
      </c>
      <c r="AB501" s="3" t="s">
        <v>349</v>
      </c>
      <c r="AC501" s="3">
        <v>0</v>
      </c>
      <c r="AD501" s="3">
        <v>14.16</v>
      </c>
      <c r="AE501" s="3">
        <v>161</v>
      </c>
      <c r="AF501" s="3">
        <v>0</v>
      </c>
      <c r="AG501" s="3">
        <v>82.458083</v>
      </c>
      <c r="AH501" s="3">
        <v>0.235294117647058</v>
      </c>
      <c r="AI501" s="3" t="s">
        <v>397</v>
      </c>
      <c r="AJ501" s="3" t="s">
        <v>345</v>
      </c>
    </row>
    <row r="502" spans="1:36">
      <c r="A502" s="4">
        <v>43288</v>
      </c>
      <c r="B502" s="3" t="s">
        <v>2057</v>
      </c>
      <c r="C502" s="3" t="s">
        <v>2058</v>
      </c>
      <c r="D502" s="3" t="s">
        <v>2059</v>
      </c>
      <c r="E502" s="3" t="s">
        <v>2060</v>
      </c>
      <c r="F502" s="3" t="s">
        <v>340</v>
      </c>
      <c r="G502" s="3">
        <v>8</v>
      </c>
      <c r="H502" s="3">
        <v>0</v>
      </c>
      <c r="I502" s="3">
        <v>0</v>
      </c>
      <c r="J502" s="3">
        <v>0</v>
      </c>
      <c r="K502" s="3">
        <v>1</v>
      </c>
      <c r="L502" s="3">
        <v>7</v>
      </c>
      <c r="M502" s="3">
        <v>0</v>
      </c>
      <c r="N502" s="3" t="s">
        <v>341</v>
      </c>
      <c r="O502" s="3">
        <v>1</v>
      </c>
      <c r="P502" s="3">
        <v>1.06</v>
      </c>
      <c r="Q502" s="3">
        <v>7</v>
      </c>
      <c r="R502" s="3">
        <v>14.81</v>
      </c>
      <c r="S502" s="3">
        <v>0</v>
      </c>
      <c r="T502" s="3">
        <v>0</v>
      </c>
      <c r="U502" s="3">
        <v>0</v>
      </c>
      <c r="V502" s="3">
        <v>2</v>
      </c>
      <c r="W502" s="3" t="s">
        <v>342</v>
      </c>
      <c r="X502" s="3">
        <v>9.99</v>
      </c>
      <c r="Y502" s="3">
        <v>9.99</v>
      </c>
      <c r="Z502" s="3">
        <v>9.99</v>
      </c>
      <c r="AA502" s="3">
        <v>0</v>
      </c>
      <c r="AB502" s="3" t="s">
        <v>349</v>
      </c>
      <c r="AC502" s="3">
        <v>0</v>
      </c>
      <c r="AD502" s="3">
        <v>7.99</v>
      </c>
      <c r="AE502" s="3">
        <v>364</v>
      </c>
      <c r="AF502" s="3">
        <v>0</v>
      </c>
      <c r="AG502" s="3">
        <v>111.15333</v>
      </c>
      <c r="AH502" s="3">
        <v>0.235294117647058</v>
      </c>
      <c r="AI502" s="3" t="s">
        <v>2061</v>
      </c>
      <c r="AJ502" s="3" t="s">
        <v>345</v>
      </c>
    </row>
    <row r="503" spans="1:36">
      <c r="A503" s="4">
        <v>43288</v>
      </c>
      <c r="B503" s="3" t="s">
        <v>2062</v>
      </c>
      <c r="C503" s="3" t="s">
        <v>2063</v>
      </c>
      <c r="D503" s="3" t="s">
        <v>2064</v>
      </c>
      <c r="E503" s="3" t="s">
        <v>2065</v>
      </c>
      <c r="F503" s="3" t="s">
        <v>340</v>
      </c>
      <c r="G503" s="3">
        <v>1</v>
      </c>
      <c r="H503" s="3">
        <v>0</v>
      </c>
      <c r="I503" s="3">
        <v>1</v>
      </c>
      <c r="J503" s="3">
        <v>0</v>
      </c>
      <c r="K503" s="3">
        <v>0</v>
      </c>
      <c r="L503" s="3">
        <v>0</v>
      </c>
      <c r="M503" s="3">
        <v>0</v>
      </c>
      <c r="N503" s="3" t="s">
        <v>341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1</v>
      </c>
      <c r="U503" s="3">
        <v>5</v>
      </c>
      <c r="V503" s="3">
        <v>6</v>
      </c>
      <c r="W503" s="3"/>
      <c r="X503" s="3">
        <v>38.88</v>
      </c>
      <c r="Y503" s="3">
        <v>16.99</v>
      </c>
      <c r="Z503" s="3">
        <v>16.99</v>
      </c>
      <c r="AA503" s="3">
        <v>0</v>
      </c>
      <c r="AB503" s="3" t="s">
        <v>359</v>
      </c>
      <c r="AC503" s="3">
        <v>0</v>
      </c>
      <c r="AD503" s="3">
        <v>0</v>
      </c>
      <c r="AE503" s="3">
        <v>0</v>
      </c>
      <c r="AF503" s="3">
        <v>0</v>
      </c>
      <c r="AG503" s="3">
        <v>0</v>
      </c>
      <c r="AH503" s="3">
        <v>2.18181818181818</v>
      </c>
      <c r="AI503" s="3" t="s">
        <v>505</v>
      </c>
      <c r="AJ503" s="3" t="s">
        <v>345</v>
      </c>
    </row>
    <row r="504" spans="1:36">
      <c r="A504" s="4">
        <v>43288</v>
      </c>
      <c r="B504" s="3" t="s">
        <v>2066</v>
      </c>
      <c r="C504" s="3" t="s">
        <v>2067</v>
      </c>
      <c r="D504" s="3" t="s">
        <v>2068</v>
      </c>
      <c r="E504" s="3" t="s">
        <v>2069</v>
      </c>
      <c r="F504" s="3" t="s">
        <v>340</v>
      </c>
      <c r="G504" s="3">
        <v>1</v>
      </c>
      <c r="H504" s="3">
        <v>0</v>
      </c>
      <c r="I504" s="3">
        <v>0</v>
      </c>
      <c r="J504" s="3">
        <v>1</v>
      </c>
      <c r="K504" s="3">
        <v>0</v>
      </c>
      <c r="L504" s="3">
        <v>0</v>
      </c>
      <c r="M504" s="3">
        <v>0</v>
      </c>
      <c r="N504" s="3" t="s">
        <v>341</v>
      </c>
      <c r="O504" s="3">
        <v>0</v>
      </c>
      <c r="P504" s="3">
        <v>0</v>
      </c>
      <c r="Q504" s="3">
        <v>0</v>
      </c>
      <c r="R504" s="3">
        <v>0</v>
      </c>
      <c r="S504" s="3">
        <v>0</v>
      </c>
      <c r="T504" s="3">
        <v>0</v>
      </c>
      <c r="U504" s="3">
        <v>0</v>
      </c>
      <c r="V504" s="3">
        <v>0</v>
      </c>
      <c r="W504" s="3" t="s">
        <v>342</v>
      </c>
      <c r="X504" s="3">
        <v>22.99</v>
      </c>
      <c r="Y504" s="3">
        <v>22.99</v>
      </c>
      <c r="Z504" s="3">
        <v>22.99</v>
      </c>
      <c r="AA504" s="3">
        <v>0</v>
      </c>
      <c r="AB504" s="3" t="s">
        <v>349</v>
      </c>
      <c r="AC504" s="3">
        <v>0</v>
      </c>
      <c r="AD504" s="3">
        <v>21.45</v>
      </c>
      <c r="AE504" s="3">
        <v>105</v>
      </c>
      <c r="AF504" s="3">
        <v>0</v>
      </c>
      <c r="AG504" s="3">
        <v>12.073958</v>
      </c>
      <c r="AH504" s="3">
        <v>0</v>
      </c>
      <c r="AI504" s="3" t="s">
        <v>355</v>
      </c>
      <c r="AJ504" s="3" t="s">
        <v>345</v>
      </c>
    </row>
    <row r="505" spans="1:36">
      <c r="A505" s="4">
        <v>43288</v>
      </c>
      <c r="B505" s="3" t="s">
        <v>2070</v>
      </c>
      <c r="C505" s="3" t="s">
        <v>2071</v>
      </c>
      <c r="D505" s="3" t="s">
        <v>2072</v>
      </c>
      <c r="E505" s="3" t="s">
        <v>2073</v>
      </c>
      <c r="F505" s="3" t="s">
        <v>340</v>
      </c>
      <c r="G505" s="3">
        <v>2</v>
      </c>
      <c r="H505" s="3">
        <v>0</v>
      </c>
      <c r="I505" s="3">
        <v>1</v>
      </c>
      <c r="J505" s="3">
        <v>0</v>
      </c>
      <c r="K505" s="3">
        <v>0</v>
      </c>
      <c r="L505" s="3">
        <v>1</v>
      </c>
      <c r="M505" s="3">
        <v>0</v>
      </c>
      <c r="N505" s="3" t="s">
        <v>341</v>
      </c>
      <c r="O505" s="3">
        <v>0</v>
      </c>
      <c r="P505" s="3">
        <v>0</v>
      </c>
      <c r="Q505" s="3">
        <v>1</v>
      </c>
      <c r="R505" s="3">
        <v>1.01</v>
      </c>
      <c r="S505" s="3">
        <v>0</v>
      </c>
      <c r="T505" s="3">
        <v>0</v>
      </c>
      <c r="U505" s="3">
        <v>1</v>
      </c>
      <c r="V505" s="3">
        <v>2</v>
      </c>
      <c r="W505" s="3" t="s">
        <v>381</v>
      </c>
      <c r="X505" s="3">
        <v>16.08</v>
      </c>
      <c r="Y505" s="3">
        <v>16.08</v>
      </c>
      <c r="Z505" s="3">
        <v>16.08</v>
      </c>
      <c r="AA505" s="3">
        <v>0</v>
      </c>
      <c r="AB505" s="3" t="s">
        <v>343</v>
      </c>
      <c r="AC505" s="3">
        <v>0</v>
      </c>
      <c r="AD505" s="3">
        <v>14.51</v>
      </c>
      <c r="AE505" s="3">
        <v>203</v>
      </c>
      <c r="AF505" s="3">
        <v>0</v>
      </c>
      <c r="AG505" s="3">
        <v>24.719348</v>
      </c>
      <c r="AH505" s="3">
        <v>0.727272727272727</v>
      </c>
      <c r="AI505" s="3" t="s">
        <v>2074</v>
      </c>
      <c r="AJ505" s="3" t="s">
        <v>345</v>
      </c>
    </row>
    <row r="506" spans="1:36">
      <c r="A506" s="4">
        <v>43288</v>
      </c>
      <c r="B506" s="3" t="s">
        <v>2075</v>
      </c>
      <c r="C506" s="3" t="s">
        <v>2076</v>
      </c>
      <c r="D506" s="3" t="s">
        <v>2077</v>
      </c>
      <c r="E506" s="3" t="s">
        <v>2078</v>
      </c>
      <c r="F506" s="3" t="s">
        <v>340</v>
      </c>
      <c r="G506" s="3">
        <v>3</v>
      </c>
      <c r="H506" s="3">
        <v>0</v>
      </c>
      <c r="I506" s="3">
        <v>3</v>
      </c>
      <c r="J506" s="3">
        <v>0</v>
      </c>
      <c r="K506" s="3">
        <v>0</v>
      </c>
      <c r="L506" s="3">
        <v>0</v>
      </c>
      <c r="M506" s="3">
        <v>0</v>
      </c>
      <c r="N506" s="3" t="s">
        <v>341</v>
      </c>
      <c r="O506" s="3">
        <v>0</v>
      </c>
      <c r="P506" s="3">
        <v>0</v>
      </c>
      <c r="Q506" s="3">
        <v>0</v>
      </c>
      <c r="R506" s="3">
        <v>0</v>
      </c>
      <c r="S506" s="3">
        <v>0</v>
      </c>
      <c r="T506" s="3">
        <v>0</v>
      </c>
      <c r="U506" s="3">
        <v>0</v>
      </c>
      <c r="V506" s="3">
        <v>0</v>
      </c>
      <c r="W506" s="3" t="s">
        <v>342</v>
      </c>
      <c r="X506" s="3">
        <v>19.99</v>
      </c>
      <c r="Y506" s="3">
        <v>19.99</v>
      </c>
      <c r="Z506" s="3">
        <v>19.99</v>
      </c>
      <c r="AA506" s="3">
        <v>0</v>
      </c>
      <c r="AB506" s="3" t="s">
        <v>349</v>
      </c>
      <c r="AC506" s="3">
        <v>3</v>
      </c>
      <c r="AD506" s="3">
        <v>19.99</v>
      </c>
      <c r="AE506" s="3">
        <v>0</v>
      </c>
      <c r="AF506" s="3">
        <v>0</v>
      </c>
      <c r="AG506" s="3">
        <v>0</v>
      </c>
      <c r="AH506" s="3">
        <v>0</v>
      </c>
      <c r="AI506" s="3" t="s">
        <v>948</v>
      </c>
      <c r="AJ506" s="3" t="s">
        <v>345</v>
      </c>
    </row>
    <row r="507" spans="1:36">
      <c r="A507" s="4">
        <v>43288</v>
      </c>
      <c r="B507" s="3" t="s">
        <v>2079</v>
      </c>
      <c r="C507" s="3" t="s">
        <v>2080</v>
      </c>
      <c r="D507" s="3" t="s">
        <v>2081</v>
      </c>
      <c r="E507" s="3" t="s">
        <v>177</v>
      </c>
      <c r="F507" s="3" t="s">
        <v>340</v>
      </c>
      <c r="G507" s="3">
        <v>11</v>
      </c>
      <c r="H507" s="3">
        <v>0</v>
      </c>
      <c r="I507" s="3">
        <v>11</v>
      </c>
      <c r="J507" s="3">
        <v>0</v>
      </c>
      <c r="K507" s="3">
        <v>0</v>
      </c>
      <c r="L507" s="3">
        <v>0</v>
      </c>
      <c r="M507" s="3">
        <v>0</v>
      </c>
      <c r="N507" s="3" t="s">
        <v>341</v>
      </c>
      <c r="O507" s="3">
        <v>0</v>
      </c>
      <c r="P507" s="3">
        <v>0</v>
      </c>
      <c r="Q507" s="3">
        <v>0</v>
      </c>
      <c r="R507" s="3">
        <v>0</v>
      </c>
      <c r="S507" s="3">
        <v>2</v>
      </c>
      <c r="T507" s="3">
        <v>9</v>
      </c>
      <c r="U507" s="3">
        <v>15</v>
      </c>
      <c r="V507" s="3">
        <v>18</v>
      </c>
      <c r="W507" s="3"/>
      <c r="X507" s="3">
        <v>19.99</v>
      </c>
      <c r="Y507" s="3">
        <v>19.99</v>
      </c>
      <c r="Z507" s="3">
        <v>19.99</v>
      </c>
      <c r="AA507" s="3">
        <v>0</v>
      </c>
      <c r="AB507" s="3" t="s">
        <v>359</v>
      </c>
      <c r="AC507" s="3">
        <v>12</v>
      </c>
      <c r="AD507" s="3">
        <v>19.99</v>
      </c>
      <c r="AE507" s="3">
        <v>0</v>
      </c>
      <c r="AF507" s="3">
        <v>0</v>
      </c>
      <c r="AG507" s="3">
        <v>0</v>
      </c>
      <c r="AH507" s="3">
        <v>1.89473684210526</v>
      </c>
      <c r="AI507" s="3" t="s">
        <v>492</v>
      </c>
      <c r="AJ507" s="3" t="s">
        <v>345</v>
      </c>
    </row>
    <row r="508" spans="1:36">
      <c r="A508" s="4">
        <v>43288</v>
      </c>
      <c r="B508" s="3" t="s">
        <v>2082</v>
      </c>
      <c r="C508" s="3" t="s">
        <v>2083</v>
      </c>
      <c r="D508" s="3" t="s">
        <v>2084</v>
      </c>
      <c r="E508" s="3" t="s">
        <v>668</v>
      </c>
      <c r="F508" s="3" t="s">
        <v>340</v>
      </c>
      <c r="G508" s="3">
        <v>1</v>
      </c>
      <c r="H508" s="3">
        <v>0</v>
      </c>
      <c r="I508" s="3">
        <v>0</v>
      </c>
      <c r="J508" s="3">
        <v>0</v>
      </c>
      <c r="K508" s="3">
        <v>0</v>
      </c>
      <c r="L508" s="3">
        <v>1</v>
      </c>
      <c r="M508" s="3">
        <v>0</v>
      </c>
      <c r="N508" s="3" t="s">
        <v>341</v>
      </c>
      <c r="O508" s="3">
        <v>0</v>
      </c>
      <c r="P508" s="3">
        <v>0</v>
      </c>
      <c r="Q508" s="3">
        <v>1</v>
      </c>
      <c r="R508" s="3">
        <v>1.63</v>
      </c>
      <c r="S508" s="3">
        <v>0</v>
      </c>
      <c r="T508" s="3">
        <v>0</v>
      </c>
      <c r="U508" s="3">
        <v>0</v>
      </c>
      <c r="V508" s="3">
        <v>0</v>
      </c>
      <c r="W508" s="3" t="s">
        <v>342</v>
      </c>
      <c r="X508" s="3">
        <v>17.99</v>
      </c>
      <c r="Y508" s="3">
        <v>17.99</v>
      </c>
      <c r="Z508" s="3">
        <v>17.99</v>
      </c>
      <c r="AA508" s="3">
        <v>0</v>
      </c>
      <c r="AB508" s="3" t="s">
        <v>349</v>
      </c>
      <c r="AC508" s="3">
        <v>0</v>
      </c>
      <c r="AD508" s="3">
        <v>16.71</v>
      </c>
      <c r="AE508" s="3">
        <v>35</v>
      </c>
      <c r="AF508" s="3">
        <v>0</v>
      </c>
      <c r="AG508" s="3">
        <v>19.122859</v>
      </c>
      <c r="AH508" s="3">
        <v>0</v>
      </c>
      <c r="AI508" s="3" t="s">
        <v>2085</v>
      </c>
      <c r="AJ508" s="3" t="s">
        <v>345</v>
      </c>
    </row>
    <row r="509" spans="1:36">
      <c r="A509" s="4">
        <v>43288</v>
      </c>
      <c r="B509" s="3" t="s">
        <v>2086</v>
      </c>
      <c r="C509" s="3" t="s">
        <v>2087</v>
      </c>
      <c r="D509" s="3" t="s">
        <v>2088</v>
      </c>
      <c r="E509" s="3" t="s">
        <v>2089</v>
      </c>
      <c r="F509" s="3" t="s">
        <v>340</v>
      </c>
      <c r="G509" s="3">
        <v>3</v>
      </c>
      <c r="H509" s="3">
        <v>0</v>
      </c>
      <c r="I509" s="3">
        <v>0</v>
      </c>
      <c r="J509" s="3">
        <v>0</v>
      </c>
      <c r="K509" s="3">
        <v>0</v>
      </c>
      <c r="L509" s="3">
        <v>3</v>
      </c>
      <c r="M509" s="3">
        <v>0</v>
      </c>
      <c r="N509" s="3" t="s">
        <v>341</v>
      </c>
      <c r="O509" s="3">
        <v>0</v>
      </c>
      <c r="P509" s="3">
        <v>0</v>
      </c>
      <c r="Q509" s="3">
        <v>3</v>
      </c>
      <c r="R509" s="3">
        <v>1.5</v>
      </c>
      <c r="S509" s="3">
        <v>0</v>
      </c>
      <c r="T509" s="3">
        <v>0</v>
      </c>
      <c r="U509" s="3">
        <v>0</v>
      </c>
      <c r="V509" s="3">
        <v>0</v>
      </c>
      <c r="W509" s="3" t="s">
        <v>342</v>
      </c>
      <c r="X509" s="3">
        <v>17.89</v>
      </c>
      <c r="Y509" s="3">
        <v>17.89</v>
      </c>
      <c r="Z509" s="3">
        <v>17.89</v>
      </c>
      <c r="AA509" s="3">
        <v>0</v>
      </c>
      <c r="AB509" s="3" t="s">
        <v>343</v>
      </c>
      <c r="AC509" s="3">
        <v>0</v>
      </c>
      <c r="AD509" s="3">
        <v>14.31</v>
      </c>
      <c r="AE509" s="3">
        <v>63</v>
      </c>
      <c r="AF509" s="3">
        <v>0</v>
      </c>
      <c r="AG509" s="3">
        <v>1.488559</v>
      </c>
      <c r="AH509" s="3">
        <v>0</v>
      </c>
      <c r="AI509" s="3" t="s">
        <v>344</v>
      </c>
      <c r="AJ509" s="3" t="s">
        <v>345</v>
      </c>
    </row>
    <row r="510" spans="1:36">
      <c r="A510" s="4">
        <v>43288</v>
      </c>
      <c r="B510" s="3" t="s">
        <v>2090</v>
      </c>
      <c r="C510" s="3" t="s">
        <v>2091</v>
      </c>
      <c r="D510" s="3" t="s">
        <v>2092</v>
      </c>
      <c r="E510" s="3" t="s">
        <v>490</v>
      </c>
      <c r="F510" s="3" t="s">
        <v>340</v>
      </c>
      <c r="G510" s="3">
        <v>4</v>
      </c>
      <c r="H510" s="3">
        <v>0</v>
      </c>
      <c r="I510" s="3">
        <v>0</v>
      </c>
      <c r="J510" s="3">
        <v>0</v>
      </c>
      <c r="K510" s="3">
        <v>1</v>
      </c>
      <c r="L510" s="3">
        <v>0</v>
      </c>
      <c r="M510" s="3">
        <v>3</v>
      </c>
      <c r="N510" s="3" t="s">
        <v>341</v>
      </c>
      <c r="O510" s="3">
        <v>1</v>
      </c>
      <c r="P510" s="3">
        <v>0.63</v>
      </c>
      <c r="Q510" s="3">
        <v>3</v>
      </c>
      <c r="R510" s="3">
        <v>3.75</v>
      </c>
      <c r="S510" s="3">
        <v>0</v>
      </c>
      <c r="T510" s="3">
        <v>0</v>
      </c>
      <c r="U510" s="3">
        <v>0</v>
      </c>
      <c r="V510" s="3">
        <v>0</v>
      </c>
      <c r="W510" s="3" t="s">
        <v>342</v>
      </c>
      <c r="X510" s="3">
        <v>16.99</v>
      </c>
      <c r="Y510" s="3">
        <v>16.99</v>
      </c>
      <c r="Z510" s="3">
        <v>16.99</v>
      </c>
      <c r="AA510" s="3">
        <v>0</v>
      </c>
      <c r="AB510" s="3" t="s">
        <v>343</v>
      </c>
      <c r="AC510" s="3">
        <v>1</v>
      </c>
      <c r="AD510" s="3">
        <v>16</v>
      </c>
      <c r="AE510" s="3">
        <v>14</v>
      </c>
      <c r="AF510" s="3">
        <v>0</v>
      </c>
      <c r="AG510" s="3">
        <v>67.743405</v>
      </c>
      <c r="AH510" s="3">
        <v>0</v>
      </c>
      <c r="AI510" s="3" t="s">
        <v>491</v>
      </c>
      <c r="AJ510" s="3" t="s">
        <v>345</v>
      </c>
    </row>
    <row r="511" spans="1:36">
      <c r="A511" s="4">
        <v>43288</v>
      </c>
      <c r="B511" s="3" t="s">
        <v>2093</v>
      </c>
      <c r="C511" s="3" t="s">
        <v>2094</v>
      </c>
      <c r="D511" s="3" t="s">
        <v>2095</v>
      </c>
      <c r="E511" s="3" t="s">
        <v>213</v>
      </c>
      <c r="F511" s="3" t="s">
        <v>340</v>
      </c>
      <c r="G511" s="3">
        <v>12</v>
      </c>
      <c r="H511" s="3">
        <v>0</v>
      </c>
      <c r="I511" s="3">
        <v>0</v>
      </c>
      <c r="J511" s="3">
        <v>4</v>
      </c>
      <c r="K511" s="3">
        <v>1</v>
      </c>
      <c r="L511" s="3">
        <v>3</v>
      </c>
      <c r="M511" s="3">
        <v>4</v>
      </c>
      <c r="N511" s="3" t="s">
        <v>341</v>
      </c>
      <c r="O511" s="3">
        <v>2</v>
      </c>
      <c r="P511" s="3">
        <v>0.79</v>
      </c>
      <c r="Q511" s="3">
        <v>7</v>
      </c>
      <c r="R511" s="3">
        <v>5.56</v>
      </c>
      <c r="S511" s="3">
        <v>0</v>
      </c>
      <c r="T511" s="3">
        <v>0</v>
      </c>
      <c r="U511" s="3">
        <v>0</v>
      </c>
      <c r="V511" s="3">
        <v>3</v>
      </c>
      <c r="W511" s="3" t="s">
        <v>381</v>
      </c>
      <c r="X511" s="3">
        <v>20.99</v>
      </c>
      <c r="Y511" s="3">
        <v>20.99</v>
      </c>
      <c r="Z511" s="3">
        <v>20.99</v>
      </c>
      <c r="AA511" s="3">
        <v>0</v>
      </c>
      <c r="AB511" s="3" t="s">
        <v>343</v>
      </c>
      <c r="AC511" s="3">
        <v>0</v>
      </c>
      <c r="AD511" s="3">
        <v>17.96</v>
      </c>
      <c r="AE511" s="3">
        <v>343</v>
      </c>
      <c r="AF511" s="3">
        <v>0</v>
      </c>
      <c r="AG511" s="3">
        <v>147.247472</v>
      </c>
      <c r="AH511" s="3">
        <v>0.226415094339622</v>
      </c>
      <c r="AI511" s="3" t="s">
        <v>512</v>
      </c>
      <c r="AJ511" s="3" t="s">
        <v>345</v>
      </c>
    </row>
    <row r="512" spans="1:36">
      <c r="A512" s="4">
        <v>43288</v>
      </c>
      <c r="B512" s="3" t="s">
        <v>2096</v>
      </c>
      <c r="C512" s="3" t="s">
        <v>2097</v>
      </c>
      <c r="D512" s="3" t="s">
        <v>2098</v>
      </c>
      <c r="E512" s="3" t="s">
        <v>2099</v>
      </c>
      <c r="F512" s="3" t="s">
        <v>340</v>
      </c>
      <c r="G512" s="3">
        <v>2</v>
      </c>
      <c r="H512" s="3">
        <v>0</v>
      </c>
      <c r="I512" s="3">
        <v>0</v>
      </c>
      <c r="J512" s="3">
        <v>0</v>
      </c>
      <c r="K512" s="3">
        <v>1</v>
      </c>
      <c r="L512" s="3">
        <v>0</v>
      </c>
      <c r="M512" s="3">
        <v>1</v>
      </c>
      <c r="N512" s="3" t="s">
        <v>341</v>
      </c>
      <c r="O512" s="3">
        <v>1</v>
      </c>
      <c r="P512" s="3">
        <v>1.61</v>
      </c>
      <c r="Q512" s="3">
        <v>1</v>
      </c>
      <c r="R512" s="3">
        <v>3.22</v>
      </c>
      <c r="S512" s="3">
        <v>0</v>
      </c>
      <c r="T512" s="3">
        <v>0</v>
      </c>
      <c r="U512" s="3">
        <v>0</v>
      </c>
      <c r="V512" s="3">
        <v>0</v>
      </c>
      <c r="W512" s="3" t="s">
        <v>342</v>
      </c>
      <c r="X512" s="3">
        <v>23.88</v>
      </c>
      <c r="Y512" s="3">
        <v>23.88</v>
      </c>
      <c r="Z512" s="3">
        <v>23.88</v>
      </c>
      <c r="AA512" s="3">
        <v>0</v>
      </c>
      <c r="AB512" s="3" t="s">
        <v>343</v>
      </c>
      <c r="AC512" s="3">
        <v>0</v>
      </c>
      <c r="AD512" s="3">
        <v>21.08</v>
      </c>
      <c r="AE512" s="3">
        <v>182</v>
      </c>
      <c r="AF512" s="3">
        <v>0</v>
      </c>
      <c r="AG512" s="3">
        <v>54.477949</v>
      </c>
      <c r="AH512" s="3">
        <v>0</v>
      </c>
      <c r="AI512" s="3" t="s">
        <v>596</v>
      </c>
      <c r="AJ512" s="3" t="s">
        <v>345</v>
      </c>
    </row>
    <row r="513" spans="1:36">
      <c r="A513" s="4">
        <v>43288</v>
      </c>
      <c r="B513" s="3" t="s">
        <v>2100</v>
      </c>
      <c r="C513" s="3" t="s">
        <v>2101</v>
      </c>
      <c r="D513" s="3" t="s">
        <v>2102</v>
      </c>
      <c r="E513" s="3" t="s">
        <v>181</v>
      </c>
      <c r="F513" s="3" t="s">
        <v>340</v>
      </c>
      <c r="G513" s="3">
        <v>6</v>
      </c>
      <c r="H513" s="3">
        <v>0</v>
      </c>
      <c r="I513" s="3">
        <v>3</v>
      </c>
      <c r="J513" s="3">
        <v>1</v>
      </c>
      <c r="K513" s="3">
        <v>0</v>
      </c>
      <c r="L513" s="3">
        <v>0</v>
      </c>
      <c r="M513" s="3">
        <v>2</v>
      </c>
      <c r="N513" s="3" t="s">
        <v>341</v>
      </c>
      <c r="O513" s="3">
        <v>1</v>
      </c>
      <c r="P513" s="3">
        <v>0.48</v>
      </c>
      <c r="Q513" s="3">
        <v>2</v>
      </c>
      <c r="R513" s="3">
        <v>1.91</v>
      </c>
      <c r="S513" s="3">
        <v>1</v>
      </c>
      <c r="T513" s="3">
        <v>2</v>
      </c>
      <c r="U513" s="3">
        <v>5</v>
      </c>
      <c r="V513" s="3">
        <v>7</v>
      </c>
      <c r="W513" s="3"/>
      <c r="X513" s="3">
        <v>19.38</v>
      </c>
      <c r="Y513" s="3">
        <v>19.38</v>
      </c>
      <c r="Z513" s="3">
        <v>19.38</v>
      </c>
      <c r="AA513" s="3">
        <v>0</v>
      </c>
      <c r="AB513" s="3" t="s">
        <v>359</v>
      </c>
      <c r="AC513" s="3">
        <v>7</v>
      </c>
      <c r="AD513" s="3">
        <v>19.38</v>
      </c>
      <c r="AE513" s="3">
        <v>0</v>
      </c>
      <c r="AF513" s="3">
        <v>0</v>
      </c>
      <c r="AG513" s="3">
        <v>0</v>
      </c>
      <c r="AH513" s="3">
        <v>0.848484848484848</v>
      </c>
      <c r="AI513" s="3" t="s">
        <v>637</v>
      </c>
      <c r="AJ513" s="3" t="s">
        <v>345</v>
      </c>
    </row>
    <row r="514" spans="1:36">
      <c r="A514" s="4">
        <v>43288</v>
      </c>
      <c r="B514" s="3" t="s">
        <v>2103</v>
      </c>
      <c r="C514" s="3" t="s">
        <v>2104</v>
      </c>
      <c r="D514" s="3" t="s">
        <v>2105</v>
      </c>
      <c r="E514" s="3" t="s">
        <v>2106</v>
      </c>
      <c r="F514" s="3" t="s">
        <v>340</v>
      </c>
      <c r="G514" s="3">
        <v>3</v>
      </c>
      <c r="H514" s="3">
        <v>0</v>
      </c>
      <c r="I514" s="3">
        <v>0</v>
      </c>
      <c r="J514" s="3">
        <v>0</v>
      </c>
      <c r="K514" s="3">
        <v>0</v>
      </c>
      <c r="L514" s="3">
        <v>0</v>
      </c>
      <c r="M514" s="3">
        <v>3</v>
      </c>
      <c r="N514" s="3" t="s">
        <v>341</v>
      </c>
      <c r="O514" s="3">
        <v>0</v>
      </c>
      <c r="P514" s="3">
        <v>0</v>
      </c>
      <c r="Q514" s="3">
        <v>3</v>
      </c>
      <c r="R514" s="3">
        <v>9.65</v>
      </c>
      <c r="S514" s="3">
        <v>0</v>
      </c>
      <c r="T514" s="3">
        <v>0</v>
      </c>
      <c r="U514" s="3">
        <v>0</v>
      </c>
      <c r="V514" s="3">
        <v>0</v>
      </c>
      <c r="W514" s="3" t="s">
        <v>342</v>
      </c>
      <c r="X514" s="3">
        <v>23.88</v>
      </c>
      <c r="Y514" s="3">
        <v>23.88</v>
      </c>
      <c r="Z514" s="3">
        <v>23.88</v>
      </c>
      <c r="AA514" s="3">
        <v>0</v>
      </c>
      <c r="AB514" s="3" t="s">
        <v>343</v>
      </c>
      <c r="AC514" s="3">
        <v>0</v>
      </c>
      <c r="AD514" s="3">
        <v>19.1</v>
      </c>
      <c r="AE514" s="3">
        <v>63</v>
      </c>
      <c r="AF514" s="3">
        <v>0</v>
      </c>
      <c r="AG514" s="3">
        <v>65.753093</v>
      </c>
      <c r="AH514" s="3">
        <v>0</v>
      </c>
      <c r="AI514" s="3" t="s">
        <v>596</v>
      </c>
      <c r="AJ514" s="3" t="s">
        <v>345</v>
      </c>
    </row>
    <row r="515" spans="1:36">
      <c r="A515" s="4">
        <v>43288</v>
      </c>
      <c r="B515" s="3" t="s">
        <v>2107</v>
      </c>
      <c r="C515" s="3" t="s">
        <v>2108</v>
      </c>
      <c r="D515" s="3" t="s">
        <v>2109</v>
      </c>
      <c r="E515" s="3" t="s">
        <v>2110</v>
      </c>
      <c r="F515" s="3" t="s">
        <v>340</v>
      </c>
      <c r="G515" s="3">
        <v>6</v>
      </c>
      <c r="H515" s="3">
        <v>0</v>
      </c>
      <c r="I515" s="3">
        <v>0</v>
      </c>
      <c r="J515" s="3">
        <v>6</v>
      </c>
      <c r="K515" s="3">
        <v>0</v>
      </c>
      <c r="L515" s="3">
        <v>0</v>
      </c>
      <c r="M515" s="3">
        <v>0</v>
      </c>
      <c r="N515" s="3" t="s">
        <v>341</v>
      </c>
      <c r="O515" s="3">
        <v>4</v>
      </c>
      <c r="P515" s="3">
        <v>7.77</v>
      </c>
      <c r="Q515" s="3">
        <v>0</v>
      </c>
      <c r="R515" s="3">
        <v>0</v>
      </c>
      <c r="S515" s="3">
        <v>0</v>
      </c>
      <c r="T515" s="3">
        <v>0</v>
      </c>
      <c r="U515" s="3">
        <v>1</v>
      </c>
      <c r="V515" s="3">
        <v>1</v>
      </c>
      <c r="W515" s="3" t="s">
        <v>381</v>
      </c>
      <c r="X515" s="3">
        <v>18.99</v>
      </c>
      <c r="Y515" s="3">
        <v>18.99</v>
      </c>
      <c r="Z515" s="3">
        <v>18.99</v>
      </c>
      <c r="AA515" s="3">
        <v>0</v>
      </c>
      <c r="AB515" s="3" t="s">
        <v>343</v>
      </c>
      <c r="AC515" s="3">
        <v>1</v>
      </c>
      <c r="AD515" s="3">
        <v>17.45</v>
      </c>
      <c r="AE515" s="3">
        <v>35</v>
      </c>
      <c r="AF515" s="3">
        <v>0</v>
      </c>
      <c r="AG515" s="3">
        <v>193.29886</v>
      </c>
      <c r="AH515" s="3">
        <v>0.0816326530612244</v>
      </c>
      <c r="AI515" s="3" t="s">
        <v>2111</v>
      </c>
      <c r="AJ515" s="3" t="s">
        <v>345</v>
      </c>
    </row>
    <row r="516" spans="1:36">
      <c r="A516" s="4">
        <v>43288</v>
      </c>
      <c r="B516" s="3" t="s">
        <v>2112</v>
      </c>
      <c r="C516" s="3" t="s">
        <v>2113</v>
      </c>
      <c r="D516" s="3" t="s">
        <v>2114</v>
      </c>
      <c r="E516" s="3" t="s">
        <v>680</v>
      </c>
      <c r="F516" s="3" t="s">
        <v>340</v>
      </c>
      <c r="G516" s="3">
        <v>1</v>
      </c>
      <c r="H516" s="3">
        <v>0</v>
      </c>
      <c r="I516" s="3">
        <v>0</v>
      </c>
      <c r="J516" s="3">
        <v>1</v>
      </c>
      <c r="K516" s="3">
        <v>0</v>
      </c>
      <c r="L516" s="3">
        <v>0</v>
      </c>
      <c r="M516" s="3">
        <v>0</v>
      </c>
      <c r="N516" s="3" t="s">
        <v>341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 t="s">
        <v>342</v>
      </c>
      <c r="X516" s="3">
        <v>20.99</v>
      </c>
      <c r="Y516" s="3">
        <v>20.99</v>
      </c>
      <c r="Z516" s="3">
        <v>20.99</v>
      </c>
      <c r="AA516" s="3">
        <v>0</v>
      </c>
      <c r="AB516" s="3" t="s">
        <v>349</v>
      </c>
      <c r="AC516" s="3">
        <v>1</v>
      </c>
      <c r="AD516" s="3">
        <v>20.99</v>
      </c>
      <c r="AE516" s="3">
        <v>0</v>
      </c>
      <c r="AF516" s="3">
        <v>0</v>
      </c>
      <c r="AG516" s="3">
        <v>0</v>
      </c>
      <c r="AH516" s="3">
        <v>0</v>
      </c>
      <c r="AI516" s="3" t="s">
        <v>1071</v>
      </c>
      <c r="AJ516" s="3" t="s">
        <v>345</v>
      </c>
    </row>
    <row r="517" spans="1:36">
      <c r="A517" s="4">
        <v>43288</v>
      </c>
      <c r="B517" s="3" t="s">
        <v>2115</v>
      </c>
      <c r="C517" s="3" t="s">
        <v>2116</v>
      </c>
      <c r="D517" s="3" t="s">
        <v>2117</v>
      </c>
      <c r="E517" s="3" t="s">
        <v>2118</v>
      </c>
      <c r="F517" s="3" t="s">
        <v>340</v>
      </c>
      <c r="G517" s="3">
        <v>1</v>
      </c>
      <c r="H517" s="3">
        <v>0</v>
      </c>
      <c r="I517" s="3">
        <v>1</v>
      </c>
      <c r="J517" s="3">
        <v>0</v>
      </c>
      <c r="K517" s="3">
        <v>0</v>
      </c>
      <c r="L517" s="3">
        <v>0</v>
      </c>
      <c r="M517" s="3">
        <v>0</v>
      </c>
      <c r="N517" s="3" t="s">
        <v>341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1</v>
      </c>
      <c r="U517" s="3">
        <v>2</v>
      </c>
      <c r="V517" s="3">
        <v>3</v>
      </c>
      <c r="W517" s="3" t="s">
        <v>342</v>
      </c>
      <c r="X517" s="3">
        <v>16.99</v>
      </c>
      <c r="Y517" s="3">
        <v>16.99</v>
      </c>
      <c r="Z517" s="3">
        <v>16.99</v>
      </c>
      <c r="AA517" s="3">
        <v>0</v>
      </c>
      <c r="AB517" s="3" t="s">
        <v>349</v>
      </c>
      <c r="AC517" s="3">
        <v>1</v>
      </c>
      <c r="AD517" s="3">
        <v>16.99</v>
      </c>
      <c r="AE517" s="3">
        <v>0</v>
      </c>
      <c r="AF517" s="3">
        <v>0</v>
      </c>
      <c r="AG517" s="3">
        <v>0</v>
      </c>
      <c r="AH517" s="3">
        <v>1.5</v>
      </c>
      <c r="AI517" s="3" t="s">
        <v>2119</v>
      </c>
      <c r="AJ517" s="3" t="s">
        <v>345</v>
      </c>
    </row>
    <row r="518" spans="1:36">
      <c r="A518" s="4">
        <v>43288</v>
      </c>
      <c r="B518" s="3" t="s">
        <v>2120</v>
      </c>
      <c r="C518" s="3" t="s">
        <v>2121</v>
      </c>
      <c r="D518" s="3" t="s">
        <v>2122</v>
      </c>
      <c r="E518" s="3" t="s">
        <v>169</v>
      </c>
      <c r="F518" s="3" t="s">
        <v>340</v>
      </c>
      <c r="G518" s="3">
        <v>1</v>
      </c>
      <c r="H518" s="3">
        <v>0</v>
      </c>
      <c r="I518" s="3">
        <v>0</v>
      </c>
      <c r="J518" s="3">
        <v>1</v>
      </c>
      <c r="K518" s="3">
        <v>0</v>
      </c>
      <c r="L518" s="3">
        <v>0</v>
      </c>
      <c r="M518" s="3">
        <v>0</v>
      </c>
      <c r="N518" s="3" t="s">
        <v>341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1</v>
      </c>
      <c r="W518" s="3"/>
      <c r="X518" s="3"/>
      <c r="Y518" s="3"/>
      <c r="Z518" s="3">
        <v>-1</v>
      </c>
      <c r="AA518" s="3">
        <v>-1</v>
      </c>
      <c r="AB518" s="3" t="s">
        <v>493</v>
      </c>
      <c r="AC518" s="3">
        <v>0</v>
      </c>
      <c r="AD518" s="3">
        <v>0</v>
      </c>
      <c r="AE518" s="3">
        <v>0</v>
      </c>
      <c r="AF518" s="3">
        <v>0</v>
      </c>
      <c r="AG518" s="3">
        <v>0</v>
      </c>
      <c r="AH518" s="3">
        <v>0.266666666666666</v>
      </c>
      <c r="AI518" s="3" t="s">
        <v>579</v>
      </c>
      <c r="AJ518" s="3" t="s">
        <v>345</v>
      </c>
    </row>
    <row r="519" spans="1:36">
      <c r="A519" s="4">
        <v>43288</v>
      </c>
      <c r="B519" s="3" t="s">
        <v>182</v>
      </c>
      <c r="C519" s="3" t="s">
        <v>183</v>
      </c>
      <c r="D519" s="3" t="s">
        <v>184</v>
      </c>
      <c r="E519" s="3" t="s">
        <v>181</v>
      </c>
      <c r="F519" s="3" t="s">
        <v>340</v>
      </c>
      <c r="G519" s="3">
        <v>12</v>
      </c>
      <c r="H519" s="3">
        <v>0</v>
      </c>
      <c r="I519" s="3">
        <v>10</v>
      </c>
      <c r="J519" s="3">
        <v>1</v>
      </c>
      <c r="K519" s="3">
        <v>1</v>
      </c>
      <c r="L519" s="3">
        <v>0</v>
      </c>
      <c r="M519" s="3">
        <v>0</v>
      </c>
      <c r="N519" s="3" t="s">
        <v>341</v>
      </c>
      <c r="O519" s="3">
        <v>1</v>
      </c>
      <c r="P519" s="3">
        <v>0.97</v>
      </c>
      <c r="Q519" s="3">
        <v>0</v>
      </c>
      <c r="R519" s="3">
        <v>0</v>
      </c>
      <c r="S519" s="3">
        <v>1</v>
      </c>
      <c r="T519" s="3">
        <v>1</v>
      </c>
      <c r="U519" s="3">
        <v>1</v>
      </c>
      <c r="V519" s="3">
        <v>5</v>
      </c>
      <c r="W519" s="3"/>
      <c r="X519" s="3">
        <v>19.99</v>
      </c>
      <c r="Y519" s="3">
        <v>19.99</v>
      </c>
      <c r="Z519" s="3">
        <v>19.99</v>
      </c>
      <c r="AA519" s="3">
        <v>0</v>
      </c>
      <c r="AB519" s="3" t="s">
        <v>343</v>
      </c>
      <c r="AC519" s="3">
        <v>0</v>
      </c>
      <c r="AD519" s="3">
        <v>14.54</v>
      </c>
      <c r="AE519" s="3">
        <v>364</v>
      </c>
      <c r="AF519" s="3">
        <v>0</v>
      </c>
      <c r="AG519" s="3">
        <v>193.603542</v>
      </c>
      <c r="AH519" s="3">
        <v>0.588235294117647</v>
      </c>
      <c r="AI519" s="3" t="s">
        <v>492</v>
      </c>
      <c r="AJ519" s="3" t="s">
        <v>345</v>
      </c>
    </row>
    <row r="520" spans="1:36">
      <c r="A520" s="4">
        <v>43288</v>
      </c>
      <c r="B520" s="3" t="s">
        <v>2123</v>
      </c>
      <c r="C520" s="3" t="s">
        <v>2124</v>
      </c>
      <c r="D520" s="3" t="s">
        <v>2125</v>
      </c>
      <c r="E520" s="3" t="s">
        <v>11</v>
      </c>
      <c r="F520" s="3" t="s">
        <v>340</v>
      </c>
      <c r="G520" s="3">
        <v>2</v>
      </c>
      <c r="H520" s="3">
        <v>0</v>
      </c>
      <c r="I520" s="3">
        <v>0</v>
      </c>
      <c r="J520" s="3">
        <v>0</v>
      </c>
      <c r="K520" s="3">
        <v>2</v>
      </c>
      <c r="L520" s="3">
        <v>0</v>
      </c>
      <c r="M520" s="3">
        <v>0</v>
      </c>
      <c r="N520" s="3" t="s">
        <v>341</v>
      </c>
      <c r="O520" s="3">
        <v>2</v>
      </c>
      <c r="P520" s="3">
        <v>4.64</v>
      </c>
      <c r="Q520" s="3">
        <v>0</v>
      </c>
      <c r="R520" s="3">
        <v>0</v>
      </c>
      <c r="S520" s="3">
        <v>0</v>
      </c>
      <c r="T520" s="3">
        <v>0</v>
      </c>
      <c r="U520" s="3">
        <v>0</v>
      </c>
      <c r="V520" s="3">
        <v>0</v>
      </c>
      <c r="W520" s="3" t="s">
        <v>342</v>
      </c>
      <c r="X520" s="3">
        <v>25.99</v>
      </c>
      <c r="Y520" s="3">
        <v>25.99</v>
      </c>
      <c r="Z520" s="3">
        <v>25.99</v>
      </c>
      <c r="AA520" s="3">
        <v>0</v>
      </c>
      <c r="AB520" s="3" t="s">
        <v>349</v>
      </c>
      <c r="AC520" s="3">
        <v>0</v>
      </c>
      <c r="AD520" s="3">
        <v>23.95</v>
      </c>
      <c r="AE520" s="3">
        <v>63</v>
      </c>
      <c r="AF520" s="3">
        <v>0</v>
      </c>
      <c r="AG520" s="3">
        <v>73.782235</v>
      </c>
      <c r="AH520" s="3">
        <v>0</v>
      </c>
      <c r="AI520" s="3" t="s">
        <v>750</v>
      </c>
      <c r="AJ520" s="3" t="s">
        <v>345</v>
      </c>
    </row>
    <row r="521" spans="1:36">
      <c r="A521" s="4">
        <v>43288</v>
      </c>
      <c r="B521" s="3" t="s">
        <v>2126</v>
      </c>
      <c r="C521" s="3" t="s">
        <v>2127</v>
      </c>
      <c r="D521" s="3" t="s">
        <v>2128</v>
      </c>
      <c r="E521" s="3" t="s">
        <v>177</v>
      </c>
      <c r="F521" s="3" t="s">
        <v>340</v>
      </c>
      <c r="G521" s="3">
        <v>10</v>
      </c>
      <c r="H521" s="3">
        <v>0</v>
      </c>
      <c r="I521" s="3">
        <v>10</v>
      </c>
      <c r="J521" s="3">
        <v>0</v>
      </c>
      <c r="K521" s="3">
        <v>0</v>
      </c>
      <c r="L521" s="3">
        <v>0</v>
      </c>
      <c r="M521" s="3">
        <v>0</v>
      </c>
      <c r="N521" s="3" t="s">
        <v>341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4</v>
      </c>
      <c r="U521" s="3">
        <v>7</v>
      </c>
      <c r="V521" s="3">
        <v>13</v>
      </c>
      <c r="W521" s="3"/>
      <c r="X521" s="3">
        <v>29.99</v>
      </c>
      <c r="Y521" s="3">
        <v>19.38</v>
      </c>
      <c r="Z521" s="3">
        <v>19.38</v>
      </c>
      <c r="AA521" s="3">
        <v>0</v>
      </c>
      <c r="AB521" s="3" t="s">
        <v>359</v>
      </c>
      <c r="AC521" s="3">
        <v>9</v>
      </c>
      <c r="AD521" s="3">
        <v>19.38</v>
      </c>
      <c r="AE521" s="3">
        <v>0</v>
      </c>
      <c r="AF521" s="3">
        <v>0</v>
      </c>
      <c r="AG521" s="3">
        <v>0</v>
      </c>
      <c r="AH521" s="3">
        <v>1.1063829787234</v>
      </c>
      <c r="AI521" s="3" t="s">
        <v>492</v>
      </c>
      <c r="AJ521" s="3" t="s">
        <v>345</v>
      </c>
    </row>
    <row r="522" spans="1:36">
      <c r="A522" s="4">
        <v>43288</v>
      </c>
      <c r="B522" s="3" t="s">
        <v>2129</v>
      </c>
      <c r="C522" s="3" t="s">
        <v>2130</v>
      </c>
      <c r="D522" s="3" t="s">
        <v>2131</v>
      </c>
      <c r="E522" s="3" t="s">
        <v>213</v>
      </c>
      <c r="F522" s="3" t="s">
        <v>340</v>
      </c>
      <c r="G522" s="3">
        <v>16</v>
      </c>
      <c r="H522" s="3">
        <v>0</v>
      </c>
      <c r="I522" s="3">
        <v>0</v>
      </c>
      <c r="J522" s="3">
        <v>4</v>
      </c>
      <c r="K522" s="3">
        <v>1</v>
      </c>
      <c r="L522" s="3">
        <v>4</v>
      </c>
      <c r="M522" s="3">
        <v>7</v>
      </c>
      <c r="N522" s="3" t="s">
        <v>341</v>
      </c>
      <c r="O522" s="3">
        <v>4</v>
      </c>
      <c r="P522" s="3">
        <v>1.59</v>
      </c>
      <c r="Q522" s="3">
        <v>11</v>
      </c>
      <c r="R522" s="3">
        <v>8.73</v>
      </c>
      <c r="S522" s="3">
        <v>0</v>
      </c>
      <c r="T522" s="3">
        <v>0</v>
      </c>
      <c r="U522" s="3">
        <v>1</v>
      </c>
      <c r="V522" s="3">
        <v>2</v>
      </c>
      <c r="W522" s="3" t="s">
        <v>381</v>
      </c>
      <c r="X522" s="3">
        <v>20.99</v>
      </c>
      <c r="Y522" s="3">
        <v>20.99</v>
      </c>
      <c r="Z522" s="3">
        <v>20.99</v>
      </c>
      <c r="AA522" s="3">
        <v>0</v>
      </c>
      <c r="AB522" s="3" t="s">
        <v>343</v>
      </c>
      <c r="AC522" s="3">
        <v>0</v>
      </c>
      <c r="AD522" s="3">
        <v>18.03</v>
      </c>
      <c r="AE522" s="3">
        <v>336</v>
      </c>
      <c r="AF522" s="3">
        <v>0</v>
      </c>
      <c r="AG522" s="3">
        <v>199.248879</v>
      </c>
      <c r="AH522" s="3">
        <v>0.10958904109589</v>
      </c>
      <c r="AI522" s="3" t="s">
        <v>512</v>
      </c>
      <c r="AJ522" s="3" t="s">
        <v>345</v>
      </c>
    </row>
    <row r="523" spans="1:36">
      <c r="A523" s="4">
        <v>43288</v>
      </c>
      <c r="B523" s="3" t="s">
        <v>2132</v>
      </c>
      <c r="C523" s="3" t="s">
        <v>2133</v>
      </c>
      <c r="D523" s="3" t="s">
        <v>2134</v>
      </c>
      <c r="E523" s="3" t="s">
        <v>468</v>
      </c>
      <c r="F523" s="3" t="s">
        <v>340</v>
      </c>
      <c r="G523" s="3">
        <v>5</v>
      </c>
      <c r="H523" s="3">
        <v>0</v>
      </c>
      <c r="I523" s="3">
        <v>0</v>
      </c>
      <c r="J523" s="3">
        <v>5</v>
      </c>
      <c r="K523" s="3">
        <v>0</v>
      </c>
      <c r="L523" s="3">
        <v>0</v>
      </c>
      <c r="M523" s="3">
        <v>0</v>
      </c>
      <c r="N523" s="3" t="s">
        <v>341</v>
      </c>
      <c r="O523" s="3">
        <v>5</v>
      </c>
      <c r="P523" s="3">
        <v>5.73</v>
      </c>
      <c r="Q523" s="3">
        <v>0</v>
      </c>
      <c r="R523" s="3">
        <v>0</v>
      </c>
      <c r="S523" s="3">
        <v>0</v>
      </c>
      <c r="T523" s="3">
        <v>0</v>
      </c>
      <c r="U523" s="3">
        <v>0</v>
      </c>
      <c r="V523" s="3">
        <v>0</v>
      </c>
      <c r="W523" s="3" t="s">
        <v>342</v>
      </c>
      <c r="X523" s="3">
        <v>17.99</v>
      </c>
      <c r="Y523" s="3">
        <v>17.99</v>
      </c>
      <c r="Z523" s="3">
        <v>17.99</v>
      </c>
      <c r="AA523" s="3">
        <v>0</v>
      </c>
      <c r="AB523" s="3" t="s">
        <v>349</v>
      </c>
      <c r="AC523" s="3">
        <v>0</v>
      </c>
      <c r="AD523" s="3">
        <v>15.25</v>
      </c>
      <c r="AE523" s="3">
        <v>217</v>
      </c>
      <c r="AF523" s="3">
        <v>0</v>
      </c>
      <c r="AG523" s="3">
        <v>99.279635</v>
      </c>
      <c r="AH523" s="3">
        <v>0</v>
      </c>
      <c r="AI523" s="3" t="s">
        <v>469</v>
      </c>
      <c r="AJ523" s="3" t="s">
        <v>345</v>
      </c>
    </row>
    <row r="524" spans="1:36">
      <c r="A524" s="4">
        <v>43288</v>
      </c>
      <c r="B524" s="3" t="s">
        <v>2135</v>
      </c>
      <c r="C524" s="3" t="s">
        <v>2136</v>
      </c>
      <c r="D524" s="3" t="s">
        <v>2137</v>
      </c>
      <c r="E524" s="3" t="s">
        <v>525</v>
      </c>
      <c r="F524" s="3" t="s">
        <v>340</v>
      </c>
      <c r="G524" s="3">
        <v>6</v>
      </c>
      <c r="H524" s="3">
        <v>0</v>
      </c>
      <c r="I524" s="3">
        <v>0</v>
      </c>
      <c r="J524" s="3">
        <v>1</v>
      </c>
      <c r="K524" s="3">
        <v>0</v>
      </c>
      <c r="L524" s="3">
        <v>5</v>
      </c>
      <c r="M524" s="3">
        <v>0</v>
      </c>
      <c r="N524" s="3" t="s">
        <v>341</v>
      </c>
      <c r="O524" s="3">
        <v>1</v>
      </c>
      <c r="P524" s="3">
        <v>1</v>
      </c>
      <c r="Q524" s="3">
        <v>4</v>
      </c>
      <c r="R524" s="3">
        <v>8.03</v>
      </c>
      <c r="S524" s="3">
        <v>0</v>
      </c>
      <c r="T524" s="3">
        <v>0</v>
      </c>
      <c r="U524" s="3">
        <v>0</v>
      </c>
      <c r="V524" s="3">
        <v>0</v>
      </c>
      <c r="W524" s="3" t="s">
        <v>342</v>
      </c>
      <c r="X524" s="3">
        <v>19.99</v>
      </c>
      <c r="Y524" s="3">
        <v>19.99</v>
      </c>
      <c r="Z524" s="3">
        <v>19.99</v>
      </c>
      <c r="AA524" s="3">
        <v>0</v>
      </c>
      <c r="AB524" s="3" t="s">
        <v>343</v>
      </c>
      <c r="AC524" s="3">
        <v>0</v>
      </c>
      <c r="AD524" s="3">
        <v>16.91</v>
      </c>
      <c r="AE524" s="3">
        <v>259</v>
      </c>
      <c r="AF524" s="3">
        <v>0</v>
      </c>
      <c r="AG524" s="3">
        <v>116.82285</v>
      </c>
      <c r="AH524" s="3">
        <v>0</v>
      </c>
      <c r="AI524" s="3" t="s">
        <v>526</v>
      </c>
      <c r="AJ524" s="3" t="s">
        <v>345</v>
      </c>
    </row>
    <row r="525" spans="1:36">
      <c r="A525" s="4">
        <v>43288</v>
      </c>
      <c r="B525" s="3" t="s">
        <v>2138</v>
      </c>
      <c r="C525" s="3" t="s">
        <v>2139</v>
      </c>
      <c r="D525" s="3" t="s">
        <v>2140</v>
      </c>
      <c r="E525" s="3" t="s">
        <v>2141</v>
      </c>
      <c r="F525" s="3" t="s">
        <v>340</v>
      </c>
      <c r="G525" s="3">
        <v>6</v>
      </c>
      <c r="H525" s="3">
        <v>0</v>
      </c>
      <c r="I525" s="3">
        <v>0</v>
      </c>
      <c r="J525" s="3">
        <v>6</v>
      </c>
      <c r="K525" s="3">
        <v>0</v>
      </c>
      <c r="L525" s="3">
        <v>0</v>
      </c>
      <c r="M525" s="3">
        <v>0</v>
      </c>
      <c r="N525" s="3" t="s">
        <v>341</v>
      </c>
      <c r="O525" s="3">
        <v>3</v>
      </c>
      <c r="P525" s="3">
        <v>5.55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0</v>
      </c>
      <c r="W525" s="3" t="s">
        <v>381</v>
      </c>
      <c r="X525" s="3">
        <v>16.99</v>
      </c>
      <c r="Y525" s="3">
        <v>16.99</v>
      </c>
      <c r="Z525" s="3">
        <v>16.99</v>
      </c>
      <c r="AA525" s="3">
        <v>0</v>
      </c>
      <c r="AB525" s="3" t="s">
        <v>343</v>
      </c>
      <c r="AC525" s="3">
        <v>4</v>
      </c>
      <c r="AD525" s="3">
        <v>15.48</v>
      </c>
      <c r="AE525" s="3">
        <v>14</v>
      </c>
      <c r="AF525" s="3">
        <v>0</v>
      </c>
      <c r="AG525" s="3">
        <v>171.955397</v>
      </c>
      <c r="AH525" s="3">
        <v>0</v>
      </c>
      <c r="AI525" s="3" t="s">
        <v>2142</v>
      </c>
      <c r="AJ525" s="3" t="s">
        <v>345</v>
      </c>
    </row>
    <row r="526" spans="1:36">
      <c r="A526" s="4">
        <v>43288</v>
      </c>
      <c r="B526" s="3" t="s">
        <v>2143</v>
      </c>
      <c r="C526" s="3" t="s">
        <v>2144</v>
      </c>
      <c r="D526" s="3" t="s">
        <v>2145</v>
      </c>
      <c r="E526" s="3" t="s">
        <v>2146</v>
      </c>
      <c r="F526" s="3" t="s">
        <v>340</v>
      </c>
      <c r="G526" s="3">
        <v>1</v>
      </c>
      <c r="H526" s="3">
        <v>0</v>
      </c>
      <c r="I526" s="3">
        <v>1</v>
      </c>
      <c r="J526" s="3">
        <v>0</v>
      </c>
      <c r="K526" s="3">
        <v>0</v>
      </c>
      <c r="L526" s="3">
        <v>0</v>
      </c>
      <c r="M526" s="3">
        <v>0</v>
      </c>
      <c r="N526" s="3" t="s">
        <v>341</v>
      </c>
      <c r="O526" s="3">
        <v>0</v>
      </c>
      <c r="P526" s="3">
        <v>0</v>
      </c>
      <c r="Q526" s="3">
        <v>0</v>
      </c>
      <c r="R526" s="3">
        <v>0</v>
      </c>
      <c r="S526" s="3">
        <v>0</v>
      </c>
      <c r="T526" s="3">
        <v>0</v>
      </c>
      <c r="U526" s="3">
        <v>1</v>
      </c>
      <c r="V526" s="3">
        <v>2</v>
      </c>
      <c r="W526" s="3" t="s">
        <v>342</v>
      </c>
      <c r="X526" s="3">
        <v>18.99</v>
      </c>
      <c r="Y526" s="3">
        <v>18.99</v>
      </c>
      <c r="Z526" s="3">
        <v>18.99</v>
      </c>
      <c r="AA526" s="3">
        <v>0</v>
      </c>
      <c r="AB526" s="3" t="s">
        <v>349</v>
      </c>
      <c r="AC526" s="3">
        <v>1</v>
      </c>
      <c r="AD526" s="3">
        <v>18.99</v>
      </c>
      <c r="AE526" s="3">
        <v>0</v>
      </c>
      <c r="AF526" s="3">
        <v>0</v>
      </c>
      <c r="AG526" s="3">
        <v>0</v>
      </c>
      <c r="AH526" s="3">
        <v>0.727272727272727</v>
      </c>
      <c r="AI526" s="3" t="s">
        <v>2147</v>
      </c>
      <c r="AJ526" s="3" t="s">
        <v>345</v>
      </c>
    </row>
    <row r="527" spans="1:36">
      <c r="A527" s="4">
        <v>43288</v>
      </c>
      <c r="B527" s="3" t="s">
        <v>2148</v>
      </c>
      <c r="C527" s="3" t="s">
        <v>2149</v>
      </c>
      <c r="D527" s="3" t="s">
        <v>2150</v>
      </c>
      <c r="E527" s="3" t="s">
        <v>2151</v>
      </c>
      <c r="F527" s="3" t="s">
        <v>340</v>
      </c>
      <c r="G527" s="3">
        <v>2</v>
      </c>
      <c r="H527" s="3">
        <v>0</v>
      </c>
      <c r="I527" s="3">
        <v>0</v>
      </c>
      <c r="J527" s="3">
        <v>1</v>
      </c>
      <c r="K527" s="3">
        <v>1</v>
      </c>
      <c r="L527" s="3">
        <v>0</v>
      </c>
      <c r="M527" s="3">
        <v>0</v>
      </c>
      <c r="N527" s="3" t="s">
        <v>341</v>
      </c>
      <c r="O527" s="3">
        <v>2</v>
      </c>
      <c r="P527" s="3">
        <v>1.7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342</v>
      </c>
      <c r="X527" s="3">
        <v>12.99</v>
      </c>
      <c r="Y527" s="3">
        <v>12.99</v>
      </c>
      <c r="Z527" s="3">
        <v>12.99</v>
      </c>
      <c r="AA527" s="3">
        <v>0</v>
      </c>
      <c r="AB527" s="3" t="s">
        <v>349</v>
      </c>
      <c r="AC527" s="3">
        <v>1</v>
      </c>
      <c r="AD527" s="3">
        <v>12.3</v>
      </c>
      <c r="AE527" s="3">
        <v>7</v>
      </c>
      <c r="AF527" s="3">
        <v>0</v>
      </c>
      <c r="AG527" s="3">
        <v>31.78354</v>
      </c>
      <c r="AH527" s="3">
        <v>0</v>
      </c>
      <c r="AI527" s="3" t="s">
        <v>450</v>
      </c>
      <c r="AJ527" s="3" t="s">
        <v>345</v>
      </c>
    </row>
    <row r="528" spans="1:36">
      <c r="A528" s="4">
        <v>43288</v>
      </c>
      <c r="B528" s="3" t="s">
        <v>2152</v>
      </c>
      <c r="C528" s="3" t="s">
        <v>2153</v>
      </c>
      <c r="D528" s="3" t="s">
        <v>2154</v>
      </c>
      <c r="E528" s="3" t="s">
        <v>2155</v>
      </c>
      <c r="F528" s="3" t="s">
        <v>340</v>
      </c>
      <c r="G528" s="3">
        <v>1</v>
      </c>
      <c r="H528" s="3">
        <v>0</v>
      </c>
      <c r="I528" s="3">
        <v>1</v>
      </c>
      <c r="J528" s="3">
        <v>0</v>
      </c>
      <c r="K528" s="3">
        <v>0</v>
      </c>
      <c r="L528" s="3">
        <v>0</v>
      </c>
      <c r="M528" s="3">
        <v>0</v>
      </c>
      <c r="N528" s="3" t="s">
        <v>341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0</v>
      </c>
      <c r="U528" s="3">
        <v>1</v>
      </c>
      <c r="V528" s="3">
        <v>2</v>
      </c>
      <c r="W528" s="3" t="s">
        <v>342</v>
      </c>
      <c r="X528" s="3">
        <v>19.99</v>
      </c>
      <c r="Y528" s="3">
        <v>19.99</v>
      </c>
      <c r="Z528" s="3">
        <v>19.99</v>
      </c>
      <c r="AA528" s="3">
        <v>0</v>
      </c>
      <c r="AB528" s="3" t="s">
        <v>349</v>
      </c>
      <c r="AC528" s="3">
        <v>1</v>
      </c>
      <c r="AD528" s="3">
        <v>19.99</v>
      </c>
      <c r="AE528" s="3">
        <v>0</v>
      </c>
      <c r="AF528" s="3">
        <v>0</v>
      </c>
      <c r="AG528" s="3">
        <v>0</v>
      </c>
      <c r="AH528" s="3">
        <v>2.66666666666666</v>
      </c>
      <c r="AI528" s="3" t="s">
        <v>2156</v>
      </c>
      <c r="AJ528" s="3" t="s">
        <v>345</v>
      </c>
    </row>
    <row r="529" spans="1:36">
      <c r="A529" s="4">
        <v>43288</v>
      </c>
      <c r="B529" s="3" t="s">
        <v>2157</v>
      </c>
      <c r="C529" s="3" t="s">
        <v>2158</v>
      </c>
      <c r="D529" s="3" t="s">
        <v>2159</v>
      </c>
      <c r="E529" s="3" t="s">
        <v>2160</v>
      </c>
      <c r="F529" s="3" t="s">
        <v>340</v>
      </c>
      <c r="G529" s="3">
        <v>6</v>
      </c>
      <c r="H529" s="3">
        <v>0</v>
      </c>
      <c r="I529" s="3">
        <v>1</v>
      </c>
      <c r="J529" s="3">
        <v>0</v>
      </c>
      <c r="K529" s="3">
        <v>0</v>
      </c>
      <c r="L529" s="3">
        <v>5</v>
      </c>
      <c r="M529" s="3">
        <v>0</v>
      </c>
      <c r="N529" s="3" t="s">
        <v>341</v>
      </c>
      <c r="O529" s="3">
        <v>0</v>
      </c>
      <c r="P529" s="3">
        <v>0</v>
      </c>
      <c r="Q529" s="3">
        <v>5</v>
      </c>
      <c r="R529" s="3">
        <v>10.47</v>
      </c>
      <c r="S529" s="3">
        <v>0</v>
      </c>
      <c r="T529" s="3">
        <v>0</v>
      </c>
      <c r="U529" s="3">
        <v>1</v>
      </c>
      <c r="V529" s="3">
        <v>1</v>
      </c>
      <c r="W529" s="3" t="s">
        <v>381</v>
      </c>
      <c r="X529" s="3">
        <v>19.99</v>
      </c>
      <c r="Y529" s="3">
        <v>19.99</v>
      </c>
      <c r="Z529" s="3">
        <v>19.99</v>
      </c>
      <c r="AA529" s="3">
        <v>0</v>
      </c>
      <c r="AB529" s="3" t="s">
        <v>343</v>
      </c>
      <c r="AC529" s="3">
        <v>0</v>
      </c>
      <c r="AD529" s="3">
        <v>16.38</v>
      </c>
      <c r="AE529" s="3">
        <v>364</v>
      </c>
      <c r="AF529" s="3">
        <v>0</v>
      </c>
      <c r="AG529" s="3">
        <v>103.442419</v>
      </c>
      <c r="AH529" s="3">
        <v>0.16</v>
      </c>
      <c r="AI529" s="3" t="s">
        <v>1137</v>
      </c>
      <c r="AJ529" s="3" t="s">
        <v>345</v>
      </c>
    </row>
    <row r="530" spans="1:36">
      <c r="A530" s="4">
        <v>43288</v>
      </c>
      <c r="B530" s="3" t="s">
        <v>2161</v>
      </c>
      <c r="C530" s="3" t="s">
        <v>2162</v>
      </c>
      <c r="D530" s="3" t="s">
        <v>2163</v>
      </c>
      <c r="E530" s="3" t="s">
        <v>2164</v>
      </c>
      <c r="F530" s="3" t="s">
        <v>340</v>
      </c>
      <c r="G530" s="3">
        <v>10</v>
      </c>
      <c r="H530" s="3">
        <v>0</v>
      </c>
      <c r="I530" s="3">
        <v>8</v>
      </c>
      <c r="J530" s="3">
        <v>2</v>
      </c>
      <c r="K530" s="3">
        <v>0</v>
      </c>
      <c r="L530" s="3">
        <v>0</v>
      </c>
      <c r="M530" s="3">
        <v>0</v>
      </c>
      <c r="N530" s="3" t="s">
        <v>341</v>
      </c>
      <c r="O530" s="3">
        <v>0</v>
      </c>
      <c r="P530" s="3">
        <v>0</v>
      </c>
      <c r="Q530" s="3">
        <v>0</v>
      </c>
      <c r="R530" s="3">
        <v>0</v>
      </c>
      <c r="S530" s="3">
        <v>2</v>
      </c>
      <c r="T530" s="3">
        <v>8</v>
      </c>
      <c r="U530" s="3">
        <v>12</v>
      </c>
      <c r="V530" s="3">
        <v>15</v>
      </c>
      <c r="W530" s="3"/>
      <c r="X530" s="3">
        <v>18.99</v>
      </c>
      <c r="Y530" s="3">
        <v>18.99</v>
      </c>
      <c r="Z530" s="3">
        <v>18.99</v>
      </c>
      <c r="AA530" s="3">
        <v>0</v>
      </c>
      <c r="AB530" s="3" t="s">
        <v>359</v>
      </c>
      <c r="AC530" s="3">
        <v>8</v>
      </c>
      <c r="AD530" s="3">
        <v>18.99</v>
      </c>
      <c r="AE530" s="3">
        <v>0</v>
      </c>
      <c r="AF530" s="3">
        <v>0</v>
      </c>
      <c r="AG530" s="3">
        <v>0</v>
      </c>
      <c r="AH530" s="3">
        <v>1.01694915254237</v>
      </c>
      <c r="AI530" s="3" t="s">
        <v>1613</v>
      </c>
      <c r="AJ530" s="3" t="s">
        <v>345</v>
      </c>
    </row>
    <row r="531" spans="1:36">
      <c r="A531" s="4">
        <v>43288</v>
      </c>
      <c r="B531" s="3" t="s">
        <v>2165</v>
      </c>
      <c r="C531" s="3" t="s">
        <v>2166</v>
      </c>
      <c r="D531" s="3" t="s">
        <v>2167</v>
      </c>
      <c r="E531" s="3" t="s">
        <v>213</v>
      </c>
      <c r="F531" s="3" t="s">
        <v>340</v>
      </c>
      <c r="G531" s="3">
        <v>1</v>
      </c>
      <c r="H531" s="3">
        <v>0</v>
      </c>
      <c r="I531" s="3">
        <v>1</v>
      </c>
      <c r="J531" s="3">
        <v>0</v>
      </c>
      <c r="K531" s="3">
        <v>0</v>
      </c>
      <c r="L531" s="3">
        <v>0</v>
      </c>
      <c r="M531" s="3">
        <v>0</v>
      </c>
      <c r="N531" s="3" t="s">
        <v>341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0</v>
      </c>
      <c r="U531" s="3">
        <v>2</v>
      </c>
      <c r="V531" s="3">
        <v>7</v>
      </c>
      <c r="W531" s="3" t="s">
        <v>381</v>
      </c>
      <c r="X531" s="3">
        <v>21.26</v>
      </c>
      <c r="Y531" s="3">
        <v>19.99</v>
      </c>
      <c r="Z531" s="3">
        <v>19.99</v>
      </c>
      <c r="AA531" s="3">
        <v>0</v>
      </c>
      <c r="AB531" s="3" t="s">
        <v>343</v>
      </c>
      <c r="AC531" s="3">
        <v>0</v>
      </c>
      <c r="AD531" s="3">
        <v>18.38</v>
      </c>
      <c r="AE531" s="3">
        <v>28</v>
      </c>
      <c r="AF531" s="3">
        <v>0</v>
      </c>
      <c r="AG531" s="3">
        <v>0.064619</v>
      </c>
      <c r="AH531" s="3">
        <v>2</v>
      </c>
      <c r="AI531" s="3" t="s">
        <v>360</v>
      </c>
      <c r="AJ531" s="3" t="s">
        <v>345</v>
      </c>
    </row>
    <row r="532" spans="1:36">
      <c r="A532" s="4">
        <v>43288</v>
      </c>
      <c r="B532" s="3" t="s">
        <v>2168</v>
      </c>
      <c r="C532" s="3" t="s">
        <v>2169</v>
      </c>
      <c r="D532" s="3" t="s">
        <v>2170</v>
      </c>
      <c r="E532" s="3" t="s">
        <v>680</v>
      </c>
      <c r="F532" s="3" t="s">
        <v>340</v>
      </c>
      <c r="G532" s="3">
        <v>1</v>
      </c>
      <c r="H532" s="3">
        <v>0</v>
      </c>
      <c r="I532" s="3">
        <v>0</v>
      </c>
      <c r="J532" s="3">
        <v>1</v>
      </c>
      <c r="K532" s="3">
        <v>0</v>
      </c>
      <c r="L532" s="3">
        <v>0</v>
      </c>
      <c r="M532" s="3">
        <v>0</v>
      </c>
      <c r="N532" s="3" t="s">
        <v>341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1</v>
      </c>
      <c r="U532" s="3">
        <v>1</v>
      </c>
      <c r="V532" s="3">
        <v>3</v>
      </c>
      <c r="W532" s="3" t="s">
        <v>342</v>
      </c>
      <c r="X532" s="3">
        <v>20.99</v>
      </c>
      <c r="Y532" s="3">
        <v>20.99</v>
      </c>
      <c r="Z532" s="3">
        <v>20.99</v>
      </c>
      <c r="AA532" s="3">
        <v>0</v>
      </c>
      <c r="AB532" s="3" t="s">
        <v>349</v>
      </c>
      <c r="AC532" s="3">
        <v>1</v>
      </c>
      <c r="AD532" s="3">
        <v>20.99</v>
      </c>
      <c r="AE532" s="3">
        <v>0</v>
      </c>
      <c r="AF532" s="3">
        <v>0</v>
      </c>
      <c r="AG532" s="3">
        <v>0</v>
      </c>
      <c r="AH532" s="3">
        <v>1.33333333333333</v>
      </c>
      <c r="AI532" s="3" t="s">
        <v>863</v>
      </c>
      <c r="AJ532" s="3" t="s">
        <v>345</v>
      </c>
    </row>
    <row r="533" spans="1:36">
      <c r="A533" s="4">
        <v>43288</v>
      </c>
      <c r="B533" s="3" t="s">
        <v>2171</v>
      </c>
      <c r="C533" s="3" t="s">
        <v>2172</v>
      </c>
      <c r="D533" s="3" t="s">
        <v>2173</v>
      </c>
      <c r="E533" s="3" t="s">
        <v>111</v>
      </c>
      <c r="F533" s="3" t="s">
        <v>340</v>
      </c>
      <c r="G533" s="3">
        <v>4</v>
      </c>
      <c r="H533" s="3">
        <v>0</v>
      </c>
      <c r="I533" s="3">
        <v>2</v>
      </c>
      <c r="J533" s="3">
        <v>0</v>
      </c>
      <c r="K533" s="3">
        <v>1</v>
      </c>
      <c r="L533" s="3">
        <v>0</v>
      </c>
      <c r="M533" s="3">
        <v>1</v>
      </c>
      <c r="N533" s="3" t="s">
        <v>341</v>
      </c>
      <c r="O533" s="3">
        <v>1</v>
      </c>
      <c r="P533" s="3">
        <v>0.63</v>
      </c>
      <c r="Q533" s="3">
        <v>1</v>
      </c>
      <c r="R533" s="3">
        <v>1.27</v>
      </c>
      <c r="S533" s="3">
        <v>0</v>
      </c>
      <c r="T533" s="3">
        <v>1</v>
      </c>
      <c r="U533" s="3">
        <v>1</v>
      </c>
      <c r="V533" s="3">
        <v>3</v>
      </c>
      <c r="W533" s="3"/>
      <c r="X533" s="3">
        <v>16.99</v>
      </c>
      <c r="Y533" s="3">
        <v>16.99</v>
      </c>
      <c r="Z533" s="3">
        <v>16.99</v>
      </c>
      <c r="AA533" s="3">
        <v>0</v>
      </c>
      <c r="AB533" s="3" t="s">
        <v>359</v>
      </c>
      <c r="AC533" s="3">
        <v>4</v>
      </c>
      <c r="AD533" s="3">
        <v>16.99</v>
      </c>
      <c r="AE533" s="3">
        <v>0</v>
      </c>
      <c r="AF533" s="3">
        <v>0</v>
      </c>
      <c r="AG533" s="3">
        <v>0</v>
      </c>
      <c r="AH533" s="3">
        <v>0.705882352941176</v>
      </c>
      <c r="AI533" s="3" t="s">
        <v>1187</v>
      </c>
      <c r="AJ533" s="3" t="s">
        <v>345</v>
      </c>
    </row>
    <row r="534" spans="1:36">
      <c r="A534" s="4">
        <v>43288</v>
      </c>
      <c r="B534" s="3" t="s">
        <v>2174</v>
      </c>
      <c r="C534" s="3" t="s">
        <v>2175</v>
      </c>
      <c r="D534" s="3" t="s">
        <v>2176</v>
      </c>
      <c r="E534" s="3" t="s">
        <v>2177</v>
      </c>
      <c r="F534" s="3" t="s">
        <v>340</v>
      </c>
      <c r="G534" s="3">
        <v>3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3</v>
      </c>
      <c r="N534" s="3" t="s">
        <v>341</v>
      </c>
      <c r="O534" s="3">
        <v>0</v>
      </c>
      <c r="P534" s="3">
        <v>0</v>
      </c>
      <c r="Q534" s="3">
        <v>3</v>
      </c>
      <c r="R534" s="3">
        <v>1.5</v>
      </c>
      <c r="S534" s="3">
        <v>0</v>
      </c>
      <c r="T534" s="3">
        <v>0</v>
      </c>
      <c r="U534" s="3">
        <v>0</v>
      </c>
      <c r="V534" s="3">
        <v>0</v>
      </c>
      <c r="W534" s="3" t="s">
        <v>342</v>
      </c>
      <c r="X534" s="3">
        <v>22.99</v>
      </c>
      <c r="Y534" s="3">
        <v>22.99</v>
      </c>
      <c r="Z534" s="3">
        <v>22.99</v>
      </c>
      <c r="AA534" s="3">
        <v>0</v>
      </c>
      <c r="AB534" s="3" t="s">
        <v>343</v>
      </c>
      <c r="AC534" s="3">
        <v>0</v>
      </c>
      <c r="AD534" s="3">
        <v>18.39</v>
      </c>
      <c r="AE534" s="3">
        <v>63</v>
      </c>
      <c r="AF534" s="3">
        <v>0</v>
      </c>
      <c r="AG534" s="3">
        <v>8.177417</v>
      </c>
      <c r="AH534" s="3">
        <v>0</v>
      </c>
      <c r="AI534" s="3" t="s">
        <v>355</v>
      </c>
      <c r="AJ534" s="3" t="s">
        <v>345</v>
      </c>
    </row>
    <row r="535" spans="1:36">
      <c r="A535" s="4">
        <v>43288</v>
      </c>
      <c r="B535" s="3" t="s">
        <v>2178</v>
      </c>
      <c r="C535" s="3" t="s">
        <v>2179</v>
      </c>
      <c r="D535" s="3" t="s">
        <v>2180</v>
      </c>
      <c r="E535" s="3" t="s">
        <v>2181</v>
      </c>
      <c r="F535" s="3" t="s">
        <v>340</v>
      </c>
      <c r="G535" s="3">
        <v>1</v>
      </c>
      <c r="H535" s="3">
        <v>0</v>
      </c>
      <c r="I535" s="3">
        <v>0</v>
      </c>
      <c r="J535" s="3">
        <v>1</v>
      </c>
      <c r="K535" s="3">
        <v>0</v>
      </c>
      <c r="L535" s="3">
        <v>0</v>
      </c>
      <c r="M535" s="3">
        <v>0</v>
      </c>
      <c r="N535" s="3" t="s">
        <v>341</v>
      </c>
      <c r="O535" s="3">
        <v>0</v>
      </c>
      <c r="P535" s="3">
        <v>0</v>
      </c>
      <c r="Q535" s="3">
        <v>0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 t="s">
        <v>342</v>
      </c>
      <c r="X535" s="3">
        <v>19.99</v>
      </c>
      <c r="Y535" s="3">
        <v>19.99</v>
      </c>
      <c r="Z535" s="3">
        <v>19.99</v>
      </c>
      <c r="AA535" s="3">
        <v>0</v>
      </c>
      <c r="AB535" s="3" t="s">
        <v>349</v>
      </c>
      <c r="AC535" s="3">
        <v>0</v>
      </c>
      <c r="AD535" s="3">
        <v>18.79</v>
      </c>
      <c r="AE535" s="3">
        <v>49</v>
      </c>
      <c r="AF535" s="3">
        <v>0</v>
      </c>
      <c r="AG535" s="3">
        <v>26.011104</v>
      </c>
      <c r="AH535" s="3">
        <v>0</v>
      </c>
      <c r="AI535" s="3" t="s">
        <v>2182</v>
      </c>
      <c r="AJ535" s="3" t="s">
        <v>345</v>
      </c>
    </row>
    <row r="536" spans="1:36">
      <c r="A536" s="4">
        <v>43288</v>
      </c>
      <c r="B536" s="3" t="s">
        <v>112</v>
      </c>
      <c r="C536" s="3" t="s">
        <v>113</v>
      </c>
      <c r="D536" s="3" t="s">
        <v>114</v>
      </c>
      <c r="E536" s="3" t="s">
        <v>115</v>
      </c>
      <c r="F536" s="3" t="s">
        <v>340</v>
      </c>
      <c r="G536" s="3">
        <v>31</v>
      </c>
      <c r="H536" s="3">
        <v>0</v>
      </c>
      <c r="I536" s="3">
        <v>2</v>
      </c>
      <c r="J536" s="3">
        <v>1</v>
      </c>
      <c r="K536" s="3">
        <v>1</v>
      </c>
      <c r="L536" s="3">
        <v>27</v>
      </c>
      <c r="M536" s="3">
        <v>0</v>
      </c>
      <c r="N536" s="3" t="s">
        <v>341</v>
      </c>
      <c r="O536" s="3">
        <v>29</v>
      </c>
      <c r="P536" s="3">
        <v>19.88</v>
      </c>
      <c r="Q536" s="3">
        <v>0</v>
      </c>
      <c r="R536" s="3">
        <v>0</v>
      </c>
      <c r="S536" s="3">
        <v>3</v>
      </c>
      <c r="T536" s="3">
        <v>4</v>
      </c>
      <c r="U536" s="3">
        <v>5</v>
      </c>
      <c r="V536" s="3">
        <v>7</v>
      </c>
      <c r="W536" s="3" t="s">
        <v>342</v>
      </c>
      <c r="X536" s="3">
        <v>16.99</v>
      </c>
      <c r="Y536" s="3">
        <v>16.99</v>
      </c>
      <c r="Z536" s="3">
        <v>16.99</v>
      </c>
      <c r="AA536" s="3">
        <v>0</v>
      </c>
      <c r="AB536" s="3" t="s">
        <v>349</v>
      </c>
      <c r="AC536" s="3">
        <v>0</v>
      </c>
      <c r="AD536" s="3">
        <v>13.59</v>
      </c>
      <c r="AE536" s="3">
        <v>63</v>
      </c>
      <c r="AF536" s="3">
        <v>0</v>
      </c>
      <c r="AG536" s="3">
        <v>264.92541</v>
      </c>
      <c r="AH536" s="3">
        <v>0.201438848920863</v>
      </c>
      <c r="AI536" s="3" t="s">
        <v>1828</v>
      </c>
      <c r="AJ536" s="3" t="s">
        <v>345</v>
      </c>
    </row>
    <row r="537" spans="1:36">
      <c r="A537" s="4">
        <v>43288</v>
      </c>
      <c r="B537" s="3" t="s">
        <v>2183</v>
      </c>
      <c r="C537" s="3" t="s">
        <v>2184</v>
      </c>
      <c r="D537" s="3" t="s">
        <v>2185</v>
      </c>
      <c r="E537" s="3" t="s">
        <v>2186</v>
      </c>
      <c r="F537" s="3" t="s">
        <v>340</v>
      </c>
      <c r="G537" s="3">
        <v>8</v>
      </c>
      <c r="H537" s="3">
        <v>0</v>
      </c>
      <c r="I537" s="3">
        <v>5</v>
      </c>
      <c r="J537" s="3">
        <v>3</v>
      </c>
      <c r="K537" s="3">
        <v>0</v>
      </c>
      <c r="L537" s="3">
        <v>0</v>
      </c>
      <c r="M537" s="3">
        <v>0</v>
      </c>
      <c r="N537" s="3" t="s">
        <v>341</v>
      </c>
      <c r="O537" s="3">
        <v>1</v>
      </c>
      <c r="P537" s="3">
        <v>1.22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8</v>
      </c>
      <c r="W537" s="3"/>
      <c r="X537" s="3"/>
      <c r="Y537" s="3"/>
      <c r="Z537" s="3">
        <v>-1</v>
      </c>
      <c r="AA537" s="3">
        <v>-1</v>
      </c>
      <c r="AB537" s="3" t="s">
        <v>493</v>
      </c>
      <c r="AC537" s="3">
        <v>0</v>
      </c>
      <c r="AD537" s="3">
        <v>0</v>
      </c>
      <c r="AE537" s="3">
        <v>0</v>
      </c>
      <c r="AF537" s="3">
        <v>0</v>
      </c>
      <c r="AG537" s="3">
        <v>0</v>
      </c>
      <c r="AH537" s="3">
        <v>1</v>
      </c>
      <c r="AI537" s="3" t="s">
        <v>2187</v>
      </c>
      <c r="AJ537" s="3" t="s">
        <v>345</v>
      </c>
    </row>
    <row r="538" spans="1:36">
      <c r="A538" s="4">
        <v>43288</v>
      </c>
      <c r="B538" s="3" t="s">
        <v>26</v>
      </c>
      <c r="C538" s="3" t="s">
        <v>27</v>
      </c>
      <c r="D538" s="3" t="s">
        <v>28</v>
      </c>
      <c r="E538" s="3" t="s">
        <v>22</v>
      </c>
      <c r="F538" s="3" t="s">
        <v>340</v>
      </c>
      <c r="G538" s="3">
        <v>1</v>
      </c>
      <c r="H538" s="3">
        <v>0</v>
      </c>
      <c r="I538" s="3">
        <v>1</v>
      </c>
      <c r="J538" s="3">
        <v>0</v>
      </c>
      <c r="K538" s="3">
        <v>0</v>
      </c>
      <c r="L538" s="3">
        <v>0</v>
      </c>
      <c r="M538" s="3">
        <v>0</v>
      </c>
      <c r="N538" s="3" t="s">
        <v>341</v>
      </c>
      <c r="O538" s="3">
        <v>0</v>
      </c>
      <c r="P538" s="3">
        <v>0</v>
      </c>
      <c r="Q538" s="3">
        <v>0</v>
      </c>
      <c r="R538" s="3">
        <v>0</v>
      </c>
      <c r="S538" s="3">
        <v>4</v>
      </c>
      <c r="T538" s="3">
        <v>19</v>
      </c>
      <c r="U538" s="3">
        <v>38</v>
      </c>
      <c r="V538" s="3">
        <v>49</v>
      </c>
      <c r="W538" s="3"/>
      <c r="X538" s="3"/>
      <c r="Y538" s="3"/>
      <c r="Z538" s="3">
        <v>-1</v>
      </c>
      <c r="AA538" s="3">
        <v>-1</v>
      </c>
      <c r="AB538" s="3" t="s">
        <v>493</v>
      </c>
      <c r="AC538" s="3">
        <v>3</v>
      </c>
      <c r="AD538" s="3">
        <v>15.99</v>
      </c>
      <c r="AE538" s="3">
        <v>0</v>
      </c>
      <c r="AF538" s="3">
        <v>0</v>
      </c>
      <c r="AG538" s="3">
        <v>0</v>
      </c>
      <c r="AH538" s="3">
        <v>32.6666666666666</v>
      </c>
      <c r="AI538" s="3" t="s">
        <v>421</v>
      </c>
      <c r="AJ538" s="3" t="s">
        <v>345</v>
      </c>
    </row>
    <row r="539" spans="1:36">
      <c r="A539" s="4">
        <v>43288</v>
      </c>
      <c r="B539" s="3" t="s">
        <v>2188</v>
      </c>
      <c r="C539" s="3" t="s">
        <v>2189</v>
      </c>
      <c r="D539" s="3" t="s">
        <v>2190</v>
      </c>
      <c r="E539" s="3" t="s">
        <v>188</v>
      </c>
      <c r="F539" s="3" t="s">
        <v>340</v>
      </c>
      <c r="G539" s="3">
        <v>2</v>
      </c>
      <c r="H539" s="3">
        <v>0</v>
      </c>
      <c r="I539" s="3">
        <v>2</v>
      </c>
      <c r="J539" s="3">
        <v>0</v>
      </c>
      <c r="K539" s="3">
        <v>0</v>
      </c>
      <c r="L539" s="3">
        <v>0</v>
      </c>
      <c r="M539" s="3">
        <v>0</v>
      </c>
      <c r="N539" s="3" t="s">
        <v>341</v>
      </c>
      <c r="O539" s="3">
        <v>0</v>
      </c>
      <c r="P539" s="3">
        <v>0</v>
      </c>
      <c r="Q539" s="3">
        <v>0</v>
      </c>
      <c r="R539" s="3">
        <v>0</v>
      </c>
      <c r="S539" s="3">
        <v>2</v>
      </c>
      <c r="T539" s="3">
        <v>7</v>
      </c>
      <c r="U539" s="3">
        <v>8</v>
      </c>
      <c r="V539" s="3">
        <v>13</v>
      </c>
      <c r="W539" s="3"/>
      <c r="X539" s="3">
        <v>19.38</v>
      </c>
      <c r="Y539" s="3">
        <v>19.38</v>
      </c>
      <c r="Z539" s="3">
        <v>19.38</v>
      </c>
      <c r="AA539" s="3">
        <v>0</v>
      </c>
      <c r="AB539" s="3" t="s">
        <v>359</v>
      </c>
      <c r="AC539" s="3">
        <v>3</v>
      </c>
      <c r="AD539" s="3">
        <v>19.38</v>
      </c>
      <c r="AE539" s="3">
        <v>0</v>
      </c>
      <c r="AF539" s="3">
        <v>0</v>
      </c>
      <c r="AG539" s="3">
        <v>0</v>
      </c>
      <c r="AH539" s="3">
        <v>1.85714285714285</v>
      </c>
      <c r="AI539" s="3" t="s">
        <v>637</v>
      </c>
      <c r="AJ539" s="3" t="s">
        <v>345</v>
      </c>
    </row>
    <row r="540" spans="1:36">
      <c r="A540" s="4">
        <v>43288</v>
      </c>
      <c r="B540" s="3" t="s">
        <v>2191</v>
      </c>
      <c r="C540" s="3" t="s">
        <v>2192</v>
      </c>
      <c r="D540" s="3" t="s">
        <v>2193</v>
      </c>
      <c r="E540" s="3" t="s">
        <v>364</v>
      </c>
      <c r="F540" s="3" t="s">
        <v>340</v>
      </c>
      <c r="G540" s="3">
        <v>2</v>
      </c>
      <c r="H540" s="3">
        <v>0</v>
      </c>
      <c r="I540" s="3">
        <v>0</v>
      </c>
      <c r="J540" s="3">
        <v>2</v>
      </c>
      <c r="K540" s="3">
        <v>0</v>
      </c>
      <c r="L540" s="3">
        <v>0</v>
      </c>
      <c r="M540" s="3">
        <v>0</v>
      </c>
      <c r="N540" s="3" t="s">
        <v>341</v>
      </c>
      <c r="O540" s="3">
        <v>0</v>
      </c>
      <c r="P540" s="3">
        <v>0</v>
      </c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0</v>
      </c>
      <c r="W540" s="3" t="s">
        <v>342</v>
      </c>
      <c r="X540" s="3">
        <v>17.99</v>
      </c>
      <c r="Y540" s="3">
        <v>17.99</v>
      </c>
      <c r="Z540" s="3">
        <v>17.99</v>
      </c>
      <c r="AA540" s="3">
        <v>0</v>
      </c>
      <c r="AB540" s="3" t="s">
        <v>349</v>
      </c>
      <c r="AC540" s="3">
        <v>0</v>
      </c>
      <c r="AD540" s="3">
        <v>16.61</v>
      </c>
      <c r="AE540" s="3">
        <v>91</v>
      </c>
      <c r="AF540" s="3">
        <v>0</v>
      </c>
      <c r="AG540" s="3">
        <v>64.474105</v>
      </c>
      <c r="AH540" s="3">
        <v>0</v>
      </c>
      <c r="AI540" s="3" t="s">
        <v>2194</v>
      </c>
      <c r="AJ540" s="3" t="s">
        <v>345</v>
      </c>
    </row>
    <row r="541" spans="1:36">
      <c r="A541" s="4">
        <v>43288</v>
      </c>
      <c r="B541" s="3" t="s">
        <v>2195</v>
      </c>
      <c r="C541" s="3" t="s">
        <v>2196</v>
      </c>
      <c r="D541" s="3" t="s">
        <v>2197</v>
      </c>
      <c r="E541" s="3" t="s">
        <v>2198</v>
      </c>
      <c r="F541" s="3" t="s">
        <v>340</v>
      </c>
      <c r="G541" s="3">
        <v>1</v>
      </c>
      <c r="H541" s="3">
        <v>0</v>
      </c>
      <c r="I541" s="3">
        <v>1</v>
      </c>
      <c r="J541" s="3">
        <v>0</v>
      </c>
      <c r="K541" s="3">
        <v>0</v>
      </c>
      <c r="L541" s="3">
        <v>0</v>
      </c>
      <c r="M541" s="3">
        <v>0</v>
      </c>
      <c r="N541" s="3" t="s">
        <v>341</v>
      </c>
      <c r="O541" s="3">
        <v>0</v>
      </c>
      <c r="P541" s="3">
        <v>0</v>
      </c>
      <c r="Q541" s="3">
        <v>0</v>
      </c>
      <c r="R541" s="3">
        <v>0</v>
      </c>
      <c r="S541" s="3">
        <v>0</v>
      </c>
      <c r="T541" s="3">
        <v>0</v>
      </c>
      <c r="U541" s="3">
        <v>0</v>
      </c>
      <c r="V541" s="3">
        <v>1</v>
      </c>
      <c r="W541" s="3" t="s">
        <v>342</v>
      </c>
      <c r="X541" s="3">
        <v>23.88</v>
      </c>
      <c r="Y541" s="3">
        <v>23.88</v>
      </c>
      <c r="Z541" s="3">
        <v>23.88</v>
      </c>
      <c r="AA541" s="3">
        <v>0</v>
      </c>
      <c r="AB541" s="3" t="s">
        <v>349</v>
      </c>
      <c r="AC541" s="3">
        <v>0</v>
      </c>
      <c r="AD541" s="3">
        <v>21.62</v>
      </c>
      <c r="AE541" s="3">
        <v>217</v>
      </c>
      <c r="AF541" s="3">
        <v>0</v>
      </c>
      <c r="AG541" s="3">
        <v>24.19837</v>
      </c>
      <c r="AH541" s="3">
        <v>1.33333333333333</v>
      </c>
      <c r="AI541" s="3" t="s">
        <v>596</v>
      </c>
      <c r="AJ541" s="3" t="s">
        <v>345</v>
      </c>
    </row>
    <row r="542" spans="1:36">
      <c r="A542" s="4">
        <v>43288</v>
      </c>
      <c r="B542" s="3" t="s">
        <v>2199</v>
      </c>
      <c r="C542" s="3" t="s">
        <v>2200</v>
      </c>
      <c r="D542" s="3" t="s">
        <v>2201</v>
      </c>
      <c r="E542" s="3" t="s">
        <v>2202</v>
      </c>
      <c r="F542" s="3" t="s">
        <v>340</v>
      </c>
      <c r="G542" s="3">
        <v>2</v>
      </c>
      <c r="H542" s="3">
        <v>0</v>
      </c>
      <c r="I542" s="3">
        <v>0</v>
      </c>
      <c r="J542" s="3">
        <v>0</v>
      </c>
      <c r="K542" s="3">
        <v>0</v>
      </c>
      <c r="L542" s="3">
        <v>2</v>
      </c>
      <c r="M542" s="3">
        <v>0</v>
      </c>
      <c r="N542" s="3" t="s">
        <v>341</v>
      </c>
      <c r="O542" s="3">
        <v>2</v>
      </c>
      <c r="P542" s="3">
        <v>0</v>
      </c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/>
      <c r="X542" s="3"/>
      <c r="Y542" s="3"/>
      <c r="Z542" s="3">
        <v>-1</v>
      </c>
      <c r="AA542" s="3">
        <v>-1</v>
      </c>
      <c r="AB542" s="3" t="s">
        <v>493</v>
      </c>
      <c r="AC542" s="3">
        <v>0</v>
      </c>
      <c r="AD542" s="3">
        <v>15.99</v>
      </c>
      <c r="AE542" s="3">
        <v>63</v>
      </c>
      <c r="AF542" s="3">
        <v>0</v>
      </c>
      <c r="AG542" s="3">
        <v>0.940753</v>
      </c>
      <c r="AH542" s="3">
        <v>0</v>
      </c>
      <c r="AI542" s="3" t="s">
        <v>728</v>
      </c>
      <c r="AJ542" s="3" t="s">
        <v>345</v>
      </c>
    </row>
    <row r="543" spans="1:36">
      <c r="A543" s="4">
        <v>43288</v>
      </c>
      <c r="B543" s="3" t="s">
        <v>65</v>
      </c>
      <c r="C543" s="3" t="s">
        <v>66</v>
      </c>
      <c r="D543" s="3" t="s">
        <v>67</v>
      </c>
      <c r="E543" s="3" t="s">
        <v>68</v>
      </c>
      <c r="F543" s="3" t="s">
        <v>340</v>
      </c>
      <c r="G543" s="3">
        <v>34</v>
      </c>
      <c r="H543" s="3">
        <v>0</v>
      </c>
      <c r="I543" s="3">
        <v>34</v>
      </c>
      <c r="J543" s="3">
        <v>0</v>
      </c>
      <c r="K543" s="3">
        <v>0</v>
      </c>
      <c r="L543" s="3">
        <v>0</v>
      </c>
      <c r="M543" s="3">
        <v>0</v>
      </c>
      <c r="N543" s="3" t="s">
        <v>341</v>
      </c>
      <c r="O543" s="3">
        <v>0</v>
      </c>
      <c r="P543" s="3">
        <v>0</v>
      </c>
      <c r="Q543" s="3">
        <v>0</v>
      </c>
      <c r="R543" s="3">
        <v>0</v>
      </c>
      <c r="S543" s="3">
        <v>17</v>
      </c>
      <c r="T543" s="3">
        <v>64</v>
      </c>
      <c r="U543" s="3">
        <v>120</v>
      </c>
      <c r="V543" s="3">
        <v>175</v>
      </c>
      <c r="W543" s="3"/>
      <c r="X543" s="3">
        <v>18.99</v>
      </c>
      <c r="Y543" s="3">
        <v>18.99</v>
      </c>
      <c r="Z543" s="3">
        <v>18.99</v>
      </c>
      <c r="AA543" s="3">
        <v>0</v>
      </c>
      <c r="AB543" s="3" t="s">
        <v>359</v>
      </c>
      <c r="AC543" s="3">
        <v>36</v>
      </c>
      <c r="AD543" s="3">
        <v>18.99</v>
      </c>
      <c r="AE543" s="3">
        <v>0</v>
      </c>
      <c r="AF543" s="3">
        <v>0</v>
      </c>
      <c r="AG543" s="3">
        <v>0</v>
      </c>
      <c r="AH543" s="3">
        <v>2.7027027027027</v>
      </c>
      <c r="AI543" s="3" t="s">
        <v>1613</v>
      </c>
      <c r="AJ543" s="3" t="s">
        <v>345</v>
      </c>
    </row>
    <row r="544" spans="1:36">
      <c r="A544" s="4">
        <v>43288</v>
      </c>
      <c r="B544" s="3" t="s">
        <v>2203</v>
      </c>
      <c r="C544" s="3" t="s">
        <v>2204</v>
      </c>
      <c r="D544" s="3" t="s">
        <v>2205</v>
      </c>
      <c r="E544" s="3" t="s">
        <v>490</v>
      </c>
      <c r="F544" s="3" t="s">
        <v>340</v>
      </c>
      <c r="G544" s="3">
        <v>3</v>
      </c>
      <c r="H544" s="3">
        <v>0</v>
      </c>
      <c r="I544" s="3">
        <v>0</v>
      </c>
      <c r="J544" s="3">
        <v>0</v>
      </c>
      <c r="K544" s="3">
        <v>0</v>
      </c>
      <c r="L544" s="3">
        <v>0</v>
      </c>
      <c r="M544" s="3">
        <v>3</v>
      </c>
      <c r="N544" s="3" t="s">
        <v>341</v>
      </c>
      <c r="O544" s="3">
        <v>0</v>
      </c>
      <c r="P544" s="3">
        <v>0</v>
      </c>
      <c r="Q544" s="3">
        <v>3</v>
      </c>
      <c r="R544" s="3">
        <v>3.75</v>
      </c>
      <c r="S544" s="3">
        <v>0</v>
      </c>
      <c r="T544" s="3">
        <v>0</v>
      </c>
      <c r="U544" s="3">
        <v>0</v>
      </c>
      <c r="V544" s="3">
        <v>0</v>
      </c>
      <c r="W544" s="3" t="s">
        <v>342</v>
      </c>
      <c r="X544" s="3">
        <v>16.99</v>
      </c>
      <c r="Y544" s="3">
        <v>16.99</v>
      </c>
      <c r="Z544" s="3">
        <v>16.99</v>
      </c>
      <c r="AA544" s="3">
        <v>0</v>
      </c>
      <c r="AB544" s="3" t="s">
        <v>343</v>
      </c>
      <c r="AC544" s="3">
        <v>0</v>
      </c>
      <c r="AD544" s="3">
        <v>13.59</v>
      </c>
      <c r="AE544" s="3">
        <v>63</v>
      </c>
      <c r="AF544" s="3">
        <v>0</v>
      </c>
      <c r="AG544" s="3">
        <v>24.814002</v>
      </c>
      <c r="AH544" s="3">
        <v>0</v>
      </c>
      <c r="AI544" s="3" t="s">
        <v>491</v>
      </c>
      <c r="AJ544" s="3" t="s">
        <v>345</v>
      </c>
    </row>
    <row r="545" spans="1:36">
      <c r="A545" s="4">
        <v>43288</v>
      </c>
      <c r="B545" s="3" t="s">
        <v>2206</v>
      </c>
      <c r="C545" s="3" t="s">
        <v>2207</v>
      </c>
      <c r="D545" s="3" t="s">
        <v>2208</v>
      </c>
      <c r="E545" s="3" t="s">
        <v>123</v>
      </c>
      <c r="F545" s="3" t="s">
        <v>340</v>
      </c>
      <c r="G545" s="3">
        <v>3</v>
      </c>
      <c r="H545" s="3">
        <v>0</v>
      </c>
      <c r="I545" s="3">
        <v>3</v>
      </c>
      <c r="J545" s="3">
        <v>0</v>
      </c>
      <c r="K545" s="3">
        <v>0</v>
      </c>
      <c r="L545" s="3">
        <v>0</v>
      </c>
      <c r="M545" s="3">
        <v>0</v>
      </c>
      <c r="N545" s="3" t="s">
        <v>341</v>
      </c>
      <c r="O545" s="3">
        <v>0</v>
      </c>
      <c r="P545" s="3">
        <v>0</v>
      </c>
      <c r="Q545" s="3">
        <v>0</v>
      </c>
      <c r="R545" s="3">
        <v>0</v>
      </c>
      <c r="S545" s="3">
        <v>0</v>
      </c>
      <c r="T545" s="3">
        <v>3</v>
      </c>
      <c r="U545" s="3">
        <v>6</v>
      </c>
      <c r="V545" s="3">
        <v>6</v>
      </c>
      <c r="W545" s="3"/>
      <c r="X545" s="3">
        <v>19.99</v>
      </c>
      <c r="Y545" s="3">
        <v>19.99</v>
      </c>
      <c r="Z545" s="3">
        <v>19.99</v>
      </c>
      <c r="AA545" s="3">
        <v>0</v>
      </c>
      <c r="AB545" s="3" t="s">
        <v>359</v>
      </c>
      <c r="AC545" s="3">
        <v>2</v>
      </c>
      <c r="AD545" s="3">
        <v>19.99</v>
      </c>
      <c r="AE545" s="3">
        <v>0</v>
      </c>
      <c r="AF545" s="3">
        <v>0</v>
      </c>
      <c r="AG545" s="3">
        <v>0</v>
      </c>
      <c r="AH545" s="3">
        <v>1.33333333333333</v>
      </c>
      <c r="AI545" s="3" t="s">
        <v>486</v>
      </c>
      <c r="AJ545" s="3" t="s">
        <v>345</v>
      </c>
    </row>
    <row r="546" spans="1:36">
      <c r="A546" s="4">
        <v>43288</v>
      </c>
      <c r="B546" s="3" t="s">
        <v>2209</v>
      </c>
      <c r="C546" s="3" t="s">
        <v>2210</v>
      </c>
      <c r="D546" s="3" t="s">
        <v>2211</v>
      </c>
      <c r="E546" s="3" t="s">
        <v>2212</v>
      </c>
      <c r="F546" s="3" t="s">
        <v>340</v>
      </c>
      <c r="G546" s="3">
        <v>5</v>
      </c>
      <c r="H546" s="3">
        <v>0</v>
      </c>
      <c r="I546" s="3">
        <v>1</v>
      </c>
      <c r="J546" s="3">
        <v>0</v>
      </c>
      <c r="K546" s="3">
        <v>0</v>
      </c>
      <c r="L546" s="3">
        <v>4</v>
      </c>
      <c r="M546" s="3">
        <v>0</v>
      </c>
      <c r="N546" s="3" t="s">
        <v>341</v>
      </c>
      <c r="O546" s="3">
        <v>4</v>
      </c>
      <c r="P546" s="3">
        <v>2.6</v>
      </c>
      <c r="Q546" s="3">
        <v>0</v>
      </c>
      <c r="R546" s="3">
        <v>0</v>
      </c>
      <c r="S546" s="3">
        <v>0</v>
      </c>
      <c r="T546" s="3">
        <v>1</v>
      </c>
      <c r="U546" s="3">
        <v>2</v>
      </c>
      <c r="V546" s="3">
        <v>2</v>
      </c>
      <c r="W546" s="3" t="s">
        <v>342</v>
      </c>
      <c r="X546" s="3">
        <v>17.99</v>
      </c>
      <c r="Y546" s="3">
        <v>17.99</v>
      </c>
      <c r="Z546" s="3">
        <v>17.99</v>
      </c>
      <c r="AA546" s="3">
        <v>0</v>
      </c>
      <c r="AB546" s="3" t="s">
        <v>349</v>
      </c>
      <c r="AC546" s="3">
        <v>5</v>
      </c>
      <c r="AD546" s="3">
        <v>17.99</v>
      </c>
      <c r="AE546" s="3">
        <v>0</v>
      </c>
      <c r="AF546" s="3">
        <v>0</v>
      </c>
      <c r="AG546" s="3">
        <v>0</v>
      </c>
      <c r="AH546" s="3">
        <v>0.347826086956521</v>
      </c>
      <c r="AI546" s="3" t="s">
        <v>2213</v>
      </c>
      <c r="AJ546" s="3" t="s">
        <v>345</v>
      </c>
    </row>
    <row r="547" spans="1:36">
      <c r="A547" s="4">
        <v>43288</v>
      </c>
      <c r="B547" s="3" t="s">
        <v>100</v>
      </c>
      <c r="C547" s="3" t="s">
        <v>101</v>
      </c>
      <c r="D547" s="3" t="s">
        <v>102</v>
      </c>
      <c r="E547" s="3" t="s">
        <v>103</v>
      </c>
      <c r="F547" s="3" t="s">
        <v>340</v>
      </c>
      <c r="G547" s="3">
        <v>13</v>
      </c>
      <c r="H547" s="3">
        <v>0</v>
      </c>
      <c r="I547" s="3">
        <v>13</v>
      </c>
      <c r="J547" s="3">
        <v>0</v>
      </c>
      <c r="K547" s="3">
        <v>0</v>
      </c>
      <c r="L547" s="3">
        <v>0</v>
      </c>
      <c r="M547" s="3">
        <v>0</v>
      </c>
      <c r="N547" s="3" t="s">
        <v>341</v>
      </c>
      <c r="O547" s="3">
        <v>0</v>
      </c>
      <c r="P547" s="3">
        <v>0</v>
      </c>
      <c r="Q547" s="3">
        <v>0</v>
      </c>
      <c r="R547" s="3">
        <v>0</v>
      </c>
      <c r="S547" s="3">
        <v>0</v>
      </c>
      <c r="T547" s="3">
        <v>7</v>
      </c>
      <c r="U547" s="3">
        <v>14</v>
      </c>
      <c r="V547" s="3">
        <v>17</v>
      </c>
      <c r="W547" s="3"/>
      <c r="X547" s="3">
        <v>18.99</v>
      </c>
      <c r="Y547" s="3">
        <v>18.99</v>
      </c>
      <c r="Z547" s="3">
        <v>18.99</v>
      </c>
      <c r="AA547" s="3">
        <v>0</v>
      </c>
      <c r="AB547" s="3" t="s">
        <v>343</v>
      </c>
      <c r="AC547" s="3">
        <v>6</v>
      </c>
      <c r="AD547" s="3">
        <v>14.62</v>
      </c>
      <c r="AE547" s="3">
        <v>63</v>
      </c>
      <c r="AF547" s="3">
        <v>0</v>
      </c>
      <c r="AG547" s="3">
        <v>13.11423</v>
      </c>
      <c r="AH547" s="3">
        <v>1.36</v>
      </c>
      <c r="AI547" s="3" t="s">
        <v>1613</v>
      </c>
      <c r="AJ547" s="3" t="s">
        <v>345</v>
      </c>
    </row>
    <row r="548" spans="1:36">
      <c r="A548" s="4">
        <v>43288</v>
      </c>
      <c r="B548" s="3" t="s">
        <v>2214</v>
      </c>
      <c r="C548" s="3" t="s">
        <v>2215</v>
      </c>
      <c r="D548" s="3" t="s">
        <v>2216</v>
      </c>
      <c r="E548" s="3" t="s">
        <v>613</v>
      </c>
      <c r="F548" s="3" t="s">
        <v>340</v>
      </c>
      <c r="G548" s="3">
        <v>7</v>
      </c>
      <c r="H548" s="3">
        <v>0</v>
      </c>
      <c r="I548" s="3">
        <v>0</v>
      </c>
      <c r="J548" s="3">
        <v>0</v>
      </c>
      <c r="K548" s="3">
        <v>2</v>
      </c>
      <c r="L548" s="3">
        <v>5</v>
      </c>
      <c r="M548" s="3">
        <v>0</v>
      </c>
      <c r="N548" s="3" t="s">
        <v>341</v>
      </c>
      <c r="O548" s="3">
        <v>7</v>
      </c>
      <c r="P548" s="3">
        <v>5.85</v>
      </c>
      <c r="Q548" s="3">
        <v>0</v>
      </c>
      <c r="R548" s="3">
        <v>0</v>
      </c>
      <c r="S548" s="3">
        <v>0</v>
      </c>
      <c r="T548" s="3">
        <v>0</v>
      </c>
      <c r="U548" s="3">
        <v>0</v>
      </c>
      <c r="V548" s="3">
        <v>0</v>
      </c>
      <c r="W548" s="3" t="s">
        <v>342</v>
      </c>
      <c r="X548" s="3">
        <v>12.99</v>
      </c>
      <c r="Y548" s="3">
        <v>12.99</v>
      </c>
      <c r="Z548" s="3">
        <v>12.99</v>
      </c>
      <c r="AA548" s="3">
        <v>0</v>
      </c>
      <c r="AB548" s="3" t="s">
        <v>349</v>
      </c>
      <c r="AC548" s="3">
        <v>0</v>
      </c>
      <c r="AD548" s="3">
        <v>11.15</v>
      </c>
      <c r="AE548" s="3">
        <v>189</v>
      </c>
      <c r="AF548" s="3">
        <v>0</v>
      </c>
      <c r="AG548" s="3">
        <v>97.898784</v>
      </c>
      <c r="AH548" s="3">
        <v>0</v>
      </c>
      <c r="AI548" s="3" t="s">
        <v>849</v>
      </c>
      <c r="AJ548" s="3" t="s">
        <v>345</v>
      </c>
    </row>
    <row r="549" spans="1:36">
      <c r="A549" s="4">
        <v>43288</v>
      </c>
      <c r="B549" s="3" t="s">
        <v>2217</v>
      </c>
      <c r="C549" s="3" t="s">
        <v>2218</v>
      </c>
      <c r="D549" s="3" t="s">
        <v>2219</v>
      </c>
      <c r="E549" s="3" t="s">
        <v>439</v>
      </c>
      <c r="F549" s="3" t="s">
        <v>340</v>
      </c>
      <c r="G549" s="3">
        <v>1</v>
      </c>
      <c r="H549" s="3">
        <v>0</v>
      </c>
      <c r="I549" s="3">
        <v>0</v>
      </c>
      <c r="J549" s="3">
        <v>0</v>
      </c>
      <c r="K549" s="3">
        <v>1</v>
      </c>
      <c r="L549" s="3">
        <v>0</v>
      </c>
      <c r="M549" s="3">
        <v>0</v>
      </c>
      <c r="N549" s="3" t="s">
        <v>341</v>
      </c>
      <c r="O549" s="3">
        <v>1</v>
      </c>
      <c r="P549" s="3">
        <v>2.14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 t="s">
        <v>381</v>
      </c>
      <c r="X549" s="3">
        <v>16.99</v>
      </c>
      <c r="Y549" s="3">
        <v>16.99</v>
      </c>
      <c r="Z549" s="3">
        <v>16.99</v>
      </c>
      <c r="AA549" s="3">
        <v>0</v>
      </c>
      <c r="AB549" s="3" t="s">
        <v>343</v>
      </c>
      <c r="AC549" s="3">
        <v>0</v>
      </c>
      <c r="AD549" s="3">
        <v>15.37</v>
      </c>
      <c r="AE549" s="3">
        <v>35</v>
      </c>
      <c r="AF549" s="3">
        <v>0</v>
      </c>
      <c r="AG549" s="3">
        <v>30.786059</v>
      </c>
      <c r="AH549" s="3">
        <v>0</v>
      </c>
      <c r="AI549" s="3" t="s">
        <v>440</v>
      </c>
      <c r="AJ549" s="3" t="s">
        <v>345</v>
      </c>
    </row>
    <row r="550" spans="1:36">
      <c r="A550" s="4">
        <v>43288</v>
      </c>
      <c r="B550" s="3" t="s">
        <v>2220</v>
      </c>
      <c r="C550" s="3" t="s">
        <v>2221</v>
      </c>
      <c r="D550" s="3" t="s">
        <v>2222</v>
      </c>
      <c r="E550" s="3" t="s">
        <v>2223</v>
      </c>
      <c r="F550" s="3" t="s">
        <v>340</v>
      </c>
      <c r="G550" s="3">
        <v>4</v>
      </c>
      <c r="H550" s="3">
        <v>0</v>
      </c>
      <c r="I550" s="3">
        <v>0</v>
      </c>
      <c r="J550" s="3">
        <v>0</v>
      </c>
      <c r="K550" s="3">
        <v>0</v>
      </c>
      <c r="L550" s="3">
        <v>4</v>
      </c>
      <c r="M550" s="3">
        <v>0</v>
      </c>
      <c r="N550" s="3" t="s">
        <v>341</v>
      </c>
      <c r="O550" s="3">
        <v>0</v>
      </c>
      <c r="P550" s="3">
        <v>0</v>
      </c>
      <c r="Q550" s="3">
        <v>4</v>
      </c>
      <c r="R550" s="3">
        <v>12.86</v>
      </c>
      <c r="S550" s="3">
        <v>0</v>
      </c>
      <c r="T550" s="3">
        <v>0</v>
      </c>
      <c r="U550" s="3">
        <v>0</v>
      </c>
      <c r="V550" s="3">
        <v>0</v>
      </c>
      <c r="W550" s="3" t="s">
        <v>342</v>
      </c>
      <c r="X550" s="3">
        <v>23.88</v>
      </c>
      <c r="Y550" s="3">
        <v>23.88</v>
      </c>
      <c r="Z550" s="3">
        <v>23.88</v>
      </c>
      <c r="AA550" s="3">
        <v>0</v>
      </c>
      <c r="AB550" s="3" t="s">
        <v>343</v>
      </c>
      <c r="AC550" s="3">
        <v>3</v>
      </c>
      <c r="AD550" s="3">
        <v>22.54</v>
      </c>
      <c r="AE550" s="3">
        <v>7</v>
      </c>
      <c r="AF550" s="3">
        <v>0</v>
      </c>
      <c r="AG550" s="3">
        <v>132.265441</v>
      </c>
      <c r="AH550" s="3">
        <v>0</v>
      </c>
      <c r="AI550" s="3" t="s">
        <v>596</v>
      </c>
      <c r="AJ550" s="3" t="s">
        <v>345</v>
      </c>
    </row>
    <row r="551" spans="1:36">
      <c r="A551" s="4">
        <v>43288</v>
      </c>
      <c r="B551" s="3" t="s">
        <v>2224</v>
      </c>
      <c r="C551" s="3" t="s">
        <v>2225</v>
      </c>
      <c r="D551" s="3" t="s">
        <v>2226</v>
      </c>
      <c r="E551" s="3" t="s">
        <v>173</v>
      </c>
      <c r="F551" s="3" t="s">
        <v>340</v>
      </c>
      <c r="G551" s="3">
        <v>10</v>
      </c>
      <c r="H551" s="3">
        <v>0</v>
      </c>
      <c r="I551" s="3">
        <v>5</v>
      </c>
      <c r="J551" s="3">
        <v>5</v>
      </c>
      <c r="K551" s="3">
        <v>0</v>
      </c>
      <c r="L551" s="3">
        <v>0</v>
      </c>
      <c r="M551" s="3">
        <v>0</v>
      </c>
      <c r="N551" s="3" t="s">
        <v>341</v>
      </c>
      <c r="O551" s="3">
        <v>0</v>
      </c>
      <c r="P551" s="3">
        <v>0</v>
      </c>
      <c r="Q551" s="3">
        <v>0</v>
      </c>
      <c r="R551" s="3">
        <v>0</v>
      </c>
      <c r="S551" s="3">
        <v>1</v>
      </c>
      <c r="T551" s="3">
        <v>2</v>
      </c>
      <c r="U551" s="3">
        <v>2</v>
      </c>
      <c r="V551" s="3">
        <v>5</v>
      </c>
      <c r="W551" s="3"/>
      <c r="X551" s="3">
        <v>19.99</v>
      </c>
      <c r="Y551" s="3">
        <v>19.99</v>
      </c>
      <c r="Z551" s="3">
        <v>19.99</v>
      </c>
      <c r="AA551" s="3">
        <v>0</v>
      </c>
      <c r="AB551" s="3" t="s">
        <v>343</v>
      </c>
      <c r="AC551" s="3">
        <v>0</v>
      </c>
      <c r="AD551" s="3">
        <v>14.39</v>
      </c>
      <c r="AE551" s="3">
        <v>364</v>
      </c>
      <c r="AF551" s="3">
        <v>0</v>
      </c>
      <c r="AG551" s="3">
        <v>168.843468</v>
      </c>
      <c r="AH551" s="3">
        <v>0.454545454545454</v>
      </c>
      <c r="AI551" s="3" t="s">
        <v>492</v>
      </c>
      <c r="AJ551" s="3" t="s">
        <v>345</v>
      </c>
    </row>
    <row r="552" spans="1:36">
      <c r="A552" s="4">
        <v>43288</v>
      </c>
      <c r="B552" s="3" t="s">
        <v>2227</v>
      </c>
      <c r="C552" s="3" t="s">
        <v>2228</v>
      </c>
      <c r="D552" s="3" t="s">
        <v>2229</v>
      </c>
      <c r="E552" s="3" t="s">
        <v>401</v>
      </c>
      <c r="F552" s="3" t="s">
        <v>340</v>
      </c>
      <c r="G552" s="3">
        <v>8</v>
      </c>
      <c r="H552" s="3">
        <v>0</v>
      </c>
      <c r="I552" s="3">
        <v>1</v>
      </c>
      <c r="J552" s="3">
        <v>0</v>
      </c>
      <c r="K552" s="3">
        <v>0</v>
      </c>
      <c r="L552" s="3">
        <v>7</v>
      </c>
      <c r="M552" s="3">
        <v>0</v>
      </c>
      <c r="N552" s="3" t="s">
        <v>341</v>
      </c>
      <c r="O552" s="3">
        <v>1</v>
      </c>
      <c r="P552" s="3">
        <v>0.97</v>
      </c>
      <c r="Q552" s="3">
        <v>6</v>
      </c>
      <c r="R552" s="3">
        <v>11.63</v>
      </c>
      <c r="S552" s="3">
        <v>0</v>
      </c>
      <c r="T552" s="3">
        <v>0</v>
      </c>
      <c r="U552" s="3">
        <v>0</v>
      </c>
      <c r="V552" s="3">
        <v>1</v>
      </c>
      <c r="W552" s="3" t="s">
        <v>381</v>
      </c>
      <c r="X552" s="3">
        <v>19.99</v>
      </c>
      <c r="Y552" s="3">
        <v>19.99</v>
      </c>
      <c r="Z552" s="3">
        <v>19.99</v>
      </c>
      <c r="AA552" s="3">
        <v>0</v>
      </c>
      <c r="AB552" s="3" t="s">
        <v>343</v>
      </c>
      <c r="AC552" s="3">
        <v>0</v>
      </c>
      <c r="AD552" s="3">
        <v>14.74</v>
      </c>
      <c r="AE552" s="3">
        <v>364</v>
      </c>
      <c r="AF552" s="3">
        <v>0</v>
      </c>
      <c r="AG552" s="3">
        <v>112.815707</v>
      </c>
      <c r="AH552" s="3">
        <v>0.117647058823529</v>
      </c>
      <c r="AI552" s="3" t="s">
        <v>402</v>
      </c>
      <c r="AJ552" s="3" t="s">
        <v>345</v>
      </c>
    </row>
    <row r="553" spans="1:36">
      <c r="A553" s="4">
        <v>43288</v>
      </c>
      <c r="B553" s="3" t="s">
        <v>2230</v>
      </c>
      <c r="C553" s="3" t="s">
        <v>2231</v>
      </c>
      <c r="D553" s="3" t="s">
        <v>2232</v>
      </c>
      <c r="E553" s="3" t="s">
        <v>2233</v>
      </c>
      <c r="F553" s="3">
        <v>4</v>
      </c>
      <c r="G553" s="3">
        <v>0</v>
      </c>
      <c r="H553" s="3">
        <v>0</v>
      </c>
      <c r="I553" s="3">
        <v>0</v>
      </c>
      <c r="J553" s="3">
        <v>0</v>
      </c>
      <c r="K553" s="3">
        <v>4</v>
      </c>
      <c r="L553" s="3">
        <v>0</v>
      </c>
      <c r="M553" s="3" t="s">
        <v>341</v>
      </c>
      <c r="N553" s="3">
        <v>0</v>
      </c>
      <c r="O553" s="3">
        <v>0</v>
      </c>
      <c r="P553" s="3">
        <v>4</v>
      </c>
      <c r="Q553" s="3">
        <v>9.85</v>
      </c>
      <c r="R553" s="3">
        <v>0</v>
      </c>
      <c r="S553" s="3">
        <v>0</v>
      </c>
      <c r="T553" s="3">
        <v>0</v>
      </c>
      <c r="U553" s="3">
        <v>0</v>
      </c>
      <c r="V553" s="3" t="s">
        <v>342</v>
      </c>
      <c r="W553" s="3">
        <v>16.88</v>
      </c>
      <c r="X553" s="3">
        <v>16.88</v>
      </c>
      <c r="Y553" s="3">
        <v>16.88</v>
      </c>
      <c r="Z553" s="3">
        <v>0</v>
      </c>
      <c r="AA553" s="3" t="s">
        <v>343</v>
      </c>
      <c r="AB553" s="3">
        <v>0</v>
      </c>
      <c r="AC553" s="3">
        <v>14.2</v>
      </c>
      <c r="AD553" s="3">
        <v>217</v>
      </c>
      <c r="AE553" s="3">
        <v>0</v>
      </c>
      <c r="AF553" s="3">
        <v>80.702688</v>
      </c>
      <c r="AG553" s="3">
        <v>0</v>
      </c>
      <c r="AH553" s="3" t="s">
        <v>2234</v>
      </c>
      <c r="AI553" s="3" t="s">
        <v>345</v>
      </c>
      <c r="AJ553" s="3"/>
    </row>
    <row r="554" spans="1:36">
      <c r="A554" s="4">
        <v>43288</v>
      </c>
      <c r="B554" s="3" t="s">
        <v>2235</v>
      </c>
      <c r="C554" s="3" t="s">
        <v>2236</v>
      </c>
      <c r="D554" s="3" t="s">
        <v>2237</v>
      </c>
      <c r="E554" s="3" t="s">
        <v>2238</v>
      </c>
      <c r="F554" s="3" t="s">
        <v>340</v>
      </c>
      <c r="G554" s="3">
        <v>3</v>
      </c>
      <c r="H554" s="3">
        <v>0</v>
      </c>
      <c r="I554" s="3">
        <v>0</v>
      </c>
      <c r="J554" s="3">
        <v>0</v>
      </c>
      <c r="K554" s="3">
        <v>0</v>
      </c>
      <c r="L554" s="3">
        <v>3</v>
      </c>
      <c r="M554" s="3">
        <v>0</v>
      </c>
      <c r="N554" s="3" t="s">
        <v>341</v>
      </c>
      <c r="O554" s="3">
        <v>0</v>
      </c>
      <c r="P554" s="3">
        <v>0</v>
      </c>
      <c r="Q554" s="3">
        <v>3</v>
      </c>
      <c r="R554" s="3">
        <v>1.5</v>
      </c>
      <c r="S554" s="3">
        <v>0</v>
      </c>
      <c r="T554" s="3">
        <v>0</v>
      </c>
      <c r="U554" s="3">
        <v>0</v>
      </c>
      <c r="V554" s="3">
        <v>0</v>
      </c>
      <c r="W554" s="3" t="s">
        <v>342</v>
      </c>
      <c r="X554" s="3">
        <v>14.99</v>
      </c>
      <c r="Y554" s="3">
        <v>14.99</v>
      </c>
      <c r="Z554" s="3">
        <v>14.99</v>
      </c>
      <c r="AA554" s="3">
        <v>0</v>
      </c>
      <c r="AB554" s="3" t="s">
        <v>343</v>
      </c>
      <c r="AC554" s="3">
        <v>0</v>
      </c>
      <c r="AD554" s="3">
        <v>11.99</v>
      </c>
      <c r="AE554" s="3">
        <v>63</v>
      </c>
      <c r="AF554" s="3">
        <v>0</v>
      </c>
      <c r="AG554" s="3">
        <v>1.287133</v>
      </c>
      <c r="AH554" s="3">
        <v>0</v>
      </c>
      <c r="AI554" s="3" t="s">
        <v>344</v>
      </c>
      <c r="AJ554" s="3" t="s">
        <v>345</v>
      </c>
    </row>
    <row r="555" spans="1:36">
      <c r="A555" s="4">
        <v>43288</v>
      </c>
      <c r="B555" s="3" t="s">
        <v>2239</v>
      </c>
      <c r="C555" s="3" t="s">
        <v>2240</v>
      </c>
      <c r="D555" s="3" t="s">
        <v>2241</v>
      </c>
      <c r="E555" s="3" t="s">
        <v>680</v>
      </c>
      <c r="F555" s="3" t="s">
        <v>340</v>
      </c>
      <c r="G555" s="3">
        <v>6</v>
      </c>
      <c r="H555" s="3">
        <v>0</v>
      </c>
      <c r="I555" s="3">
        <v>0</v>
      </c>
      <c r="J555" s="3">
        <v>6</v>
      </c>
      <c r="K555" s="3">
        <v>0</v>
      </c>
      <c r="L555" s="3">
        <v>0</v>
      </c>
      <c r="M555" s="3">
        <v>0</v>
      </c>
      <c r="N555" s="3" t="s">
        <v>341</v>
      </c>
      <c r="O555" s="3">
        <v>3</v>
      </c>
      <c r="P555" s="3">
        <v>7.72</v>
      </c>
      <c r="Q555" s="3">
        <v>0</v>
      </c>
      <c r="R555" s="3">
        <v>0</v>
      </c>
      <c r="S555" s="3">
        <v>0</v>
      </c>
      <c r="T555" s="3">
        <v>0</v>
      </c>
      <c r="U555" s="3">
        <v>0</v>
      </c>
      <c r="V555" s="3">
        <v>0</v>
      </c>
      <c r="W555" s="3" t="s">
        <v>342</v>
      </c>
      <c r="X555" s="3">
        <v>17.99</v>
      </c>
      <c r="Y555" s="3">
        <v>17.99</v>
      </c>
      <c r="Z555" s="3">
        <v>17.99</v>
      </c>
      <c r="AA555" s="3">
        <v>0</v>
      </c>
      <c r="AB555" s="3" t="s">
        <v>349</v>
      </c>
      <c r="AC555" s="3">
        <v>0</v>
      </c>
      <c r="AD555" s="3">
        <v>15.6</v>
      </c>
      <c r="AE555" s="3">
        <v>140</v>
      </c>
      <c r="AF555" s="3">
        <v>0</v>
      </c>
      <c r="AG555" s="3">
        <v>210.727199</v>
      </c>
      <c r="AH555" s="3">
        <v>0</v>
      </c>
      <c r="AI555" s="3" t="s">
        <v>2242</v>
      </c>
      <c r="AJ555" s="3" t="s">
        <v>345</v>
      </c>
    </row>
    <row r="556" spans="1:36">
      <c r="A556" s="4">
        <v>43288</v>
      </c>
      <c r="B556" s="3" t="s">
        <v>2243</v>
      </c>
      <c r="C556" s="3" t="s">
        <v>2244</v>
      </c>
      <c r="D556" s="3" t="s">
        <v>2245</v>
      </c>
      <c r="E556" s="3" t="s">
        <v>188</v>
      </c>
      <c r="F556" s="3" t="s">
        <v>340</v>
      </c>
      <c r="G556" s="3">
        <v>12</v>
      </c>
      <c r="H556" s="3">
        <v>0</v>
      </c>
      <c r="I556" s="3">
        <v>12</v>
      </c>
      <c r="J556" s="3">
        <v>0</v>
      </c>
      <c r="K556" s="3">
        <v>0</v>
      </c>
      <c r="L556" s="3">
        <v>0</v>
      </c>
      <c r="M556" s="3">
        <v>0</v>
      </c>
      <c r="N556" s="3" t="s">
        <v>341</v>
      </c>
      <c r="O556" s="3">
        <v>0</v>
      </c>
      <c r="P556" s="3">
        <v>0</v>
      </c>
      <c r="Q556" s="3">
        <v>0</v>
      </c>
      <c r="R556" s="3">
        <v>0</v>
      </c>
      <c r="S556" s="3">
        <v>1</v>
      </c>
      <c r="T556" s="3">
        <v>4</v>
      </c>
      <c r="U556" s="3">
        <v>9</v>
      </c>
      <c r="V556" s="3">
        <v>12</v>
      </c>
      <c r="W556" s="3"/>
      <c r="X556" s="3">
        <v>19.99</v>
      </c>
      <c r="Y556" s="3">
        <v>19.99</v>
      </c>
      <c r="Z556" s="3">
        <v>19.99</v>
      </c>
      <c r="AA556" s="3">
        <v>0</v>
      </c>
      <c r="AB556" s="3" t="s">
        <v>359</v>
      </c>
      <c r="AC556" s="3">
        <v>14</v>
      </c>
      <c r="AD556" s="3">
        <v>19.99</v>
      </c>
      <c r="AE556" s="3">
        <v>0</v>
      </c>
      <c r="AF556" s="3">
        <v>0</v>
      </c>
      <c r="AG556" s="3">
        <v>0</v>
      </c>
      <c r="AH556" s="3">
        <v>1.09090909090909</v>
      </c>
      <c r="AI556" s="3" t="s">
        <v>637</v>
      </c>
      <c r="AJ556" s="3" t="s">
        <v>345</v>
      </c>
    </row>
    <row r="557" spans="1:36">
      <c r="A557" s="4">
        <v>43288</v>
      </c>
      <c r="B557" s="3" t="s">
        <v>2246</v>
      </c>
      <c r="C557" s="3" t="s">
        <v>2247</v>
      </c>
      <c r="D557" s="3" t="s">
        <v>2248</v>
      </c>
      <c r="E557" s="3" t="s">
        <v>577</v>
      </c>
      <c r="F557" s="3" t="s">
        <v>340</v>
      </c>
      <c r="G557" s="3">
        <v>1</v>
      </c>
      <c r="H557" s="3">
        <v>0</v>
      </c>
      <c r="I557" s="3">
        <v>0</v>
      </c>
      <c r="J557" s="3">
        <v>1</v>
      </c>
      <c r="K557" s="3">
        <v>0</v>
      </c>
      <c r="L557" s="3">
        <v>0</v>
      </c>
      <c r="M557" s="3">
        <v>0</v>
      </c>
      <c r="N557" s="3" t="s">
        <v>341</v>
      </c>
      <c r="O557" s="3">
        <v>1</v>
      </c>
      <c r="P557" s="3">
        <v>1.14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342</v>
      </c>
      <c r="X557" s="3">
        <v>16.99</v>
      </c>
      <c r="Y557" s="3">
        <v>16.99</v>
      </c>
      <c r="Z557" s="3">
        <v>16.99</v>
      </c>
      <c r="AA557" s="3">
        <v>0</v>
      </c>
      <c r="AB557" s="3" t="s">
        <v>349</v>
      </c>
      <c r="AC557" s="3">
        <v>0</v>
      </c>
      <c r="AD557" s="3">
        <v>15.83</v>
      </c>
      <c r="AE557" s="3">
        <v>35</v>
      </c>
      <c r="AF557" s="3">
        <v>0</v>
      </c>
      <c r="AG557" s="3">
        <v>21.555921</v>
      </c>
      <c r="AH557" s="3">
        <v>0</v>
      </c>
      <c r="AI557" s="3" t="s">
        <v>2249</v>
      </c>
      <c r="AJ557" s="3" t="s">
        <v>345</v>
      </c>
    </row>
    <row r="558" spans="1:36">
      <c r="A558" s="4">
        <v>43288</v>
      </c>
      <c r="B558" s="3" t="s">
        <v>2250</v>
      </c>
      <c r="C558" s="3" t="s">
        <v>2251</v>
      </c>
      <c r="D558" s="3" t="s">
        <v>2252</v>
      </c>
      <c r="E558" s="3" t="s">
        <v>2253</v>
      </c>
      <c r="F558" s="3" t="s">
        <v>340</v>
      </c>
      <c r="G558" s="3">
        <v>5</v>
      </c>
      <c r="H558" s="3">
        <v>0</v>
      </c>
      <c r="I558" s="3">
        <v>0</v>
      </c>
      <c r="J558" s="3">
        <v>5</v>
      </c>
      <c r="K558" s="3">
        <v>0</v>
      </c>
      <c r="L558" s="3">
        <v>0</v>
      </c>
      <c r="M558" s="3">
        <v>0</v>
      </c>
      <c r="N558" s="3" t="s">
        <v>341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0</v>
      </c>
      <c r="W558" s="3" t="s">
        <v>381</v>
      </c>
      <c r="X558" s="3">
        <v>19.99</v>
      </c>
      <c r="Y558" s="3">
        <v>19.99</v>
      </c>
      <c r="Z558" s="3">
        <v>19.99</v>
      </c>
      <c r="AA558" s="3">
        <v>0</v>
      </c>
      <c r="AB558" s="3" t="s">
        <v>359</v>
      </c>
      <c r="AC558" s="3">
        <v>5</v>
      </c>
      <c r="AD558" s="3">
        <v>19.99</v>
      </c>
      <c r="AE558" s="3">
        <v>0</v>
      </c>
      <c r="AF558" s="3">
        <v>0</v>
      </c>
      <c r="AG558" s="3">
        <v>0</v>
      </c>
      <c r="AH558" s="3">
        <v>0</v>
      </c>
      <c r="AI558" s="3" t="s">
        <v>2254</v>
      </c>
      <c r="AJ558" s="3" t="s">
        <v>345</v>
      </c>
    </row>
    <row r="559" spans="1:36">
      <c r="A559" s="4">
        <v>43288</v>
      </c>
      <c r="B559" s="3" t="s">
        <v>2255</v>
      </c>
      <c r="C559" s="3" t="s">
        <v>2256</v>
      </c>
      <c r="D559" s="3" t="s">
        <v>2257</v>
      </c>
      <c r="E559" s="3" t="s">
        <v>416</v>
      </c>
      <c r="F559" s="3" t="s">
        <v>340</v>
      </c>
      <c r="G559" s="3">
        <v>1</v>
      </c>
      <c r="H559" s="3">
        <v>0</v>
      </c>
      <c r="I559" s="3">
        <v>0</v>
      </c>
      <c r="J559" s="3">
        <v>1</v>
      </c>
      <c r="K559" s="3">
        <v>0</v>
      </c>
      <c r="L559" s="3">
        <v>0</v>
      </c>
      <c r="M559" s="3">
        <v>0</v>
      </c>
      <c r="N559" s="3" t="s">
        <v>341</v>
      </c>
      <c r="O559" s="3">
        <v>1</v>
      </c>
      <c r="P559" s="3">
        <v>0.6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0</v>
      </c>
      <c r="W559" s="3" t="s">
        <v>381</v>
      </c>
      <c r="X559" s="3">
        <v>19.99</v>
      </c>
      <c r="Y559" s="3">
        <v>19.99</v>
      </c>
      <c r="Z559" s="3">
        <v>19.99</v>
      </c>
      <c r="AA559" s="3">
        <v>0</v>
      </c>
      <c r="AB559" s="3" t="s">
        <v>343</v>
      </c>
      <c r="AC559" s="3">
        <v>0</v>
      </c>
      <c r="AD559" s="3">
        <v>18.82</v>
      </c>
      <c r="AE559" s="3">
        <v>28</v>
      </c>
      <c r="AF559" s="3">
        <v>0</v>
      </c>
      <c r="AG559" s="3">
        <v>17.176234</v>
      </c>
      <c r="AH559" s="3">
        <v>0</v>
      </c>
      <c r="AI559" s="3" t="s">
        <v>2258</v>
      </c>
      <c r="AJ559" s="3" t="s">
        <v>345</v>
      </c>
    </row>
    <row r="560" spans="1:36">
      <c r="A560" s="4">
        <v>43288</v>
      </c>
      <c r="B560" s="3" t="s">
        <v>2259</v>
      </c>
      <c r="C560" s="3" t="s">
        <v>2260</v>
      </c>
      <c r="D560" s="3" t="s">
        <v>2261</v>
      </c>
      <c r="E560" s="3" t="s">
        <v>2262</v>
      </c>
      <c r="F560" s="3" t="s">
        <v>340</v>
      </c>
      <c r="G560" s="3">
        <v>1</v>
      </c>
      <c r="H560" s="3">
        <v>0</v>
      </c>
      <c r="I560" s="3">
        <v>0</v>
      </c>
      <c r="J560" s="3">
        <v>0</v>
      </c>
      <c r="K560" s="3">
        <v>0</v>
      </c>
      <c r="L560" s="3">
        <v>1</v>
      </c>
      <c r="M560" s="3">
        <v>0</v>
      </c>
      <c r="N560" s="3" t="s">
        <v>341</v>
      </c>
      <c r="O560" s="3">
        <v>1</v>
      </c>
      <c r="P560" s="3">
        <v>0.63</v>
      </c>
      <c r="Q560" s="3">
        <v>0</v>
      </c>
      <c r="R560" s="3">
        <v>0</v>
      </c>
      <c r="S560" s="3">
        <v>0</v>
      </c>
      <c r="T560" s="3">
        <v>0</v>
      </c>
      <c r="U560" s="3">
        <v>0</v>
      </c>
      <c r="V560" s="3">
        <v>0</v>
      </c>
      <c r="W560" s="3" t="s">
        <v>342</v>
      </c>
      <c r="X560" s="3">
        <v>19.9</v>
      </c>
      <c r="Y560" s="3">
        <v>19.9</v>
      </c>
      <c r="Z560" s="3">
        <v>19.9</v>
      </c>
      <c r="AA560" s="3">
        <v>0</v>
      </c>
      <c r="AB560" s="3" t="s">
        <v>349</v>
      </c>
      <c r="AC560" s="3">
        <v>0</v>
      </c>
      <c r="AD560" s="3">
        <v>18.26</v>
      </c>
      <c r="AE560" s="3">
        <v>161</v>
      </c>
      <c r="AF560" s="3">
        <v>0</v>
      </c>
      <c r="AG560" s="3">
        <v>15.996061</v>
      </c>
      <c r="AH560" s="3">
        <v>0</v>
      </c>
      <c r="AI560" s="3" t="s">
        <v>2263</v>
      </c>
      <c r="AJ560" s="3" t="s">
        <v>345</v>
      </c>
    </row>
    <row r="561" spans="1:36">
      <c r="A561" s="4">
        <v>43288</v>
      </c>
      <c r="B561" s="3" t="s">
        <v>2264</v>
      </c>
      <c r="C561" s="3" t="s">
        <v>2265</v>
      </c>
      <c r="D561" s="3" t="s">
        <v>2266</v>
      </c>
      <c r="E561" s="3" t="s">
        <v>490</v>
      </c>
      <c r="F561" s="3" t="s">
        <v>340</v>
      </c>
      <c r="G561" s="3">
        <v>3</v>
      </c>
      <c r="H561" s="3">
        <v>0</v>
      </c>
      <c r="I561" s="3">
        <v>0</v>
      </c>
      <c r="J561" s="3">
        <v>0</v>
      </c>
      <c r="K561" s="3">
        <v>0</v>
      </c>
      <c r="L561" s="3">
        <v>0</v>
      </c>
      <c r="M561" s="3">
        <v>3</v>
      </c>
      <c r="N561" s="3" t="s">
        <v>341</v>
      </c>
      <c r="O561" s="3">
        <v>0</v>
      </c>
      <c r="P561" s="3">
        <v>0</v>
      </c>
      <c r="Q561" s="3">
        <v>3</v>
      </c>
      <c r="R561" s="3">
        <v>3.75</v>
      </c>
      <c r="S561" s="3">
        <v>0</v>
      </c>
      <c r="T561" s="3">
        <v>0</v>
      </c>
      <c r="U561" s="3">
        <v>0</v>
      </c>
      <c r="V561" s="3">
        <v>0</v>
      </c>
      <c r="W561" s="3" t="s">
        <v>342</v>
      </c>
      <c r="X561" s="3">
        <v>16.99</v>
      </c>
      <c r="Y561" s="3">
        <v>16.99</v>
      </c>
      <c r="Z561" s="3">
        <v>16.99</v>
      </c>
      <c r="AA561" s="3">
        <v>0</v>
      </c>
      <c r="AB561" s="3" t="s">
        <v>343</v>
      </c>
      <c r="AC561" s="3">
        <v>0</v>
      </c>
      <c r="AD561" s="3">
        <v>13.59</v>
      </c>
      <c r="AE561" s="3">
        <v>63</v>
      </c>
      <c r="AF561" s="3">
        <v>0</v>
      </c>
      <c r="AG561" s="3">
        <v>24.814002</v>
      </c>
      <c r="AH561" s="3">
        <v>0</v>
      </c>
      <c r="AI561" s="3" t="s">
        <v>491</v>
      </c>
      <c r="AJ561" s="3" t="s">
        <v>345</v>
      </c>
    </row>
    <row r="562" spans="1:36">
      <c r="A562" s="4">
        <v>43288</v>
      </c>
      <c r="B562" s="3" t="s">
        <v>226</v>
      </c>
      <c r="C562" s="3" t="s">
        <v>227</v>
      </c>
      <c r="D562" s="3" t="s">
        <v>228</v>
      </c>
      <c r="E562" s="3" t="s">
        <v>221</v>
      </c>
      <c r="F562" s="3" t="s">
        <v>340</v>
      </c>
      <c r="G562" s="3">
        <v>8</v>
      </c>
      <c r="H562" s="3">
        <v>0</v>
      </c>
      <c r="I562" s="3">
        <v>8</v>
      </c>
      <c r="J562" s="3">
        <v>0</v>
      </c>
      <c r="K562" s="3">
        <v>0</v>
      </c>
      <c r="L562" s="3">
        <v>0</v>
      </c>
      <c r="M562" s="3">
        <v>0</v>
      </c>
      <c r="N562" s="3" t="s">
        <v>341</v>
      </c>
      <c r="O562" s="3">
        <v>0</v>
      </c>
      <c r="P562" s="3">
        <v>0</v>
      </c>
      <c r="Q562" s="3">
        <v>0</v>
      </c>
      <c r="R562" s="3">
        <v>0</v>
      </c>
      <c r="S562" s="3">
        <v>4</v>
      </c>
      <c r="T562" s="3">
        <v>9</v>
      </c>
      <c r="U562" s="3">
        <v>18</v>
      </c>
      <c r="V562" s="3">
        <v>18</v>
      </c>
      <c r="W562" s="3"/>
      <c r="X562" s="3">
        <v>19.99</v>
      </c>
      <c r="Y562" s="3">
        <v>19.99</v>
      </c>
      <c r="Z562" s="3">
        <v>19.99</v>
      </c>
      <c r="AA562" s="3">
        <v>0</v>
      </c>
      <c r="AB562" s="3" t="s">
        <v>359</v>
      </c>
      <c r="AC562" s="3">
        <v>12</v>
      </c>
      <c r="AD562" s="3">
        <v>19.99</v>
      </c>
      <c r="AE562" s="3">
        <v>0</v>
      </c>
      <c r="AF562" s="3">
        <v>0</v>
      </c>
      <c r="AG562" s="3">
        <v>0</v>
      </c>
      <c r="AH562" s="3">
        <v>3.27272727272727</v>
      </c>
      <c r="AI562" s="3" t="s">
        <v>518</v>
      </c>
      <c r="AJ562" s="3" t="s">
        <v>345</v>
      </c>
    </row>
    <row r="563" spans="1:36">
      <c r="A563" s="4">
        <v>43288</v>
      </c>
      <c r="B563" s="3" t="s">
        <v>2267</v>
      </c>
      <c r="C563" s="3" t="s">
        <v>2268</v>
      </c>
      <c r="D563" s="3" t="s">
        <v>2269</v>
      </c>
      <c r="E563" s="3" t="s">
        <v>2270</v>
      </c>
      <c r="F563" s="3" t="s">
        <v>340</v>
      </c>
      <c r="G563" s="3">
        <v>2</v>
      </c>
      <c r="H563" s="3">
        <v>0</v>
      </c>
      <c r="I563" s="3">
        <v>0</v>
      </c>
      <c r="J563" s="3">
        <v>0</v>
      </c>
      <c r="K563" s="3">
        <v>1</v>
      </c>
      <c r="L563" s="3">
        <v>0</v>
      </c>
      <c r="M563" s="3">
        <v>1</v>
      </c>
      <c r="N563" s="3" t="s">
        <v>341</v>
      </c>
      <c r="O563" s="3">
        <v>1</v>
      </c>
      <c r="P563" s="3">
        <v>0.09</v>
      </c>
      <c r="Q563" s="3">
        <v>1</v>
      </c>
      <c r="R563" s="3">
        <v>0.5</v>
      </c>
      <c r="S563" s="3">
        <v>0</v>
      </c>
      <c r="T563" s="3">
        <v>0</v>
      </c>
      <c r="U563" s="3">
        <v>0</v>
      </c>
      <c r="V563" s="3">
        <v>1</v>
      </c>
      <c r="W563" s="3" t="s">
        <v>342</v>
      </c>
      <c r="X563" s="3">
        <v>17.99</v>
      </c>
      <c r="Y563" s="3">
        <v>17.99</v>
      </c>
      <c r="Z563" s="3">
        <v>17.99</v>
      </c>
      <c r="AA563" s="3">
        <v>0</v>
      </c>
      <c r="AB563" s="3" t="s">
        <v>343</v>
      </c>
      <c r="AC563" s="3">
        <v>0</v>
      </c>
      <c r="AD563" s="3">
        <v>14.54</v>
      </c>
      <c r="AE563" s="3">
        <v>364</v>
      </c>
      <c r="AF563" s="3">
        <v>0</v>
      </c>
      <c r="AG563" s="3">
        <v>14.814739</v>
      </c>
      <c r="AH563" s="3">
        <v>0.444444444444444</v>
      </c>
      <c r="AI563" s="3" t="s">
        <v>355</v>
      </c>
      <c r="AJ563" s="3" t="s">
        <v>345</v>
      </c>
    </row>
    <row r="564" spans="1:36">
      <c r="A564" s="4">
        <v>43288</v>
      </c>
      <c r="B564" s="3" t="s">
        <v>2271</v>
      </c>
      <c r="C564" s="3" t="s">
        <v>2272</v>
      </c>
      <c r="D564" s="3" t="s">
        <v>2273</v>
      </c>
      <c r="E564" s="3" t="s">
        <v>468</v>
      </c>
      <c r="F564" s="3" t="s">
        <v>340</v>
      </c>
      <c r="G564" s="3">
        <v>4</v>
      </c>
      <c r="H564" s="3">
        <v>0</v>
      </c>
      <c r="I564" s="3">
        <v>0</v>
      </c>
      <c r="J564" s="3">
        <v>3</v>
      </c>
      <c r="K564" s="3">
        <v>1</v>
      </c>
      <c r="L564" s="3">
        <v>0</v>
      </c>
      <c r="M564" s="3">
        <v>0</v>
      </c>
      <c r="N564" s="3" t="s">
        <v>341</v>
      </c>
      <c r="O564" s="3">
        <v>4</v>
      </c>
      <c r="P564" s="3">
        <v>4.59</v>
      </c>
      <c r="Q564" s="3">
        <v>0</v>
      </c>
      <c r="R564" s="3">
        <v>0</v>
      </c>
      <c r="S564" s="3">
        <v>0</v>
      </c>
      <c r="T564" s="3">
        <v>0</v>
      </c>
      <c r="U564" s="3">
        <v>0</v>
      </c>
      <c r="V564" s="3">
        <v>0</v>
      </c>
      <c r="W564" s="3" t="s">
        <v>342</v>
      </c>
      <c r="X564" s="3">
        <v>16.99</v>
      </c>
      <c r="Y564" s="3">
        <v>16.99</v>
      </c>
      <c r="Z564" s="3">
        <v>16.99</v>
      </c>
      <c r="AA564" s="3">
        <v>0</v>
      </c>
      <c r="AB564" s="3" t="s">
        <v>343</v>
      </c>
      <c r="AC564" s="3">
        <v>0</v>
      </c>
      <c r="AD564" s="3">
        <v>15.31</v>
      </c>
      <c r="AE564" s="3">
        <v>126</v>
      </c>
      <c r="AF564" s="3">
        <v>0</v>
      </c>
      <c r="AG564" s="3">
        <v>82.785865</v>
      </c>
      <c r="AH564" s="3">
        <v>0</v>
      </c>
      <c r="AI564" s="3" t="s">
        <v>469</v>
      </c>
      <c r="AJ564" s="3" t="s">
        <v>345</v>
      </c>
    </row>
    <row r="565" spans="1:36">
      <c r="A565" s="4">
        <v>43288</v>
      </c>
      <c r="B565" s="3" t="s">
        <v>2274</v>
      </c>
      <c r="C565" s="3" t="s">
        <v>2275</v>
      </c>
      <c r="D565" s="3" t="s">
        <v>2276</v>
      </c>
      <c r="E565" s="3" t="s">
        <v>2277</v>
      </c>
      <c r="F565" s="3" t="s">
        <v>340</v>
      </c>
      <c r="G565" s="3">
        <v>9</v>
      </c>
      <c r="H565" s="3">
        <v>0</v>
      </c>
      <c r="I565" s="3">
        <v>1</v>
      </c>
      <c r="J565" s="3">
        <v>8</v>
      </c>
      <c r="K565" s="3">
        <v>0</v>
      </c>
      <c r="L565" s="3">
        <v>0</v>
      </c>
      <c r="M565" s="3">
        <v>0</v>
      </c>
      <c r="N565" s="3" t="s">
        <v>341</v>
      </c>
      <c r="O565" s="3">
        <v>5</v>
      </c>
      <c r="P565" s="3">
        <v>4.38</v>
      </c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1</v>
      </c>
      <c r="W565" s="3" t="s">
        <v>381</v>
      </c>
      <c r="X565" s="3">
        <v>18.99</v>
      </c>
      <c r="Y565" s="3">
        <v>18.99</v>
      </c>
      <c r="Z565" s="3">
        <v>18.99</v>
      </c>
      <c r="AA565" s="3">
        <v>0</v>
      </c>
      <c r="AB565" s="3" t="s">
        <v>343</v>
      </c>
      <c r="AC565" s="3">
        <v>5</v>
      </c>
      <c r="AD565" s="3">
        <v>17.93</v>
      </c>
      <c r="AE565" s="3">
        <v>42</v>
      </c>
      <c r="AF565" s="3">
        <v>0</v>
      </c>
      <c r="AG565" s="3">
        <v>163.361039</v>
      </c>
      <c r="AH565" s="3">
        <v>0.0975609756097561</v>
      </c>
      <c r="AI565" s="3" t="s">
        <v>2278</v>
      </c>
      <c r="AJ565" s="3" t="s">
        <v>345</v>
      </c>
    </row>
    <row r="566" spans="1:36">
      <c r="A566" s="4">
        <v>43288</v>
      </c>
      <c r="B566" s="3" t="s">
        <v>2279</v>
      </c>
      <c r="C566" s="3" t="s">
        <v>2280</v>
      </c>
      <c r="D566" s="3" t="s">
        <v>2281</v>
      </c>
      <c r="E566" s="3" t="s">
        <v>2282</v>
      </c>
      <c r="F566" s="3" t="s">
        <v>340</v>
      </c>
      <c r="G566" s="3">
        <v>1</v>
      </c>
      <c r="H566" s="3">
        <v>0</v>
      </c>
      <c r="I566" s="3">
        <v>0</v>
      </c>
      <c r="J566" s="3">
        <v>0</v>
      </c>
      <c r="K566" s="3">
        <v>0</v>
      </c>
      <c r="L566" s="3">
        <v>0</v>
      </c>
      <c r="M566" s="3">
        <v>1</v>
      </c>
      <c r="N566" s="3" t="s">
        <v>341</v>
      </c>
      <c r="O566" s="3">
        <v>0</v>
      </c>
      <c r="P566" s="3">
        <v>0</v>
      </c>
      <c r="Q566" s="3">
        <v>1</v>
      </c>
      <c r="R566" s="3">
        <v>0.85</v>
      </c>
      <c r="S566" s="3">
        <v>0</v>
      </c>
      <c r="T566" s="3">
        <v>0</v>
      </c>
      <c r="U566" s="3">
        <v>0</v>
      </c>
      <c r="V566" s="3">
        <v>0</v>
      </c>
      <c r="W566" s="3" t="s">
        <v>342</v>
      </c>
      <c r="X566" s="3">
        <v>16.88</v>
      </c>
      <c r="Y566" s="3">
        <v>16.88</v>
      </c>
      <c r="Z566" s="3">
        <v>16.88</v>
      </c>
      <c r="AA566" s="3">
        <v>0</v>
      </c>
      <c r="AB566" s="3" t="s">
        <v>343</v>
      </c>
      <c r="AC566" s="3">
        <v>0</v>
      </c>
      <c r="AD566" s="3">
        <v>15.93</v>
      </c>
      <c r="AE566" s="3">
        <v>7</v>
      </c>
      <c r="AF566" s="3">
        <v>0</v>
      </c>
      <c r="AG566" s="3">
        <v>12.354574</v>
      </c>
      <c r="AH566" s="3">
        <v>0</v>
      </c>
      <c r="AI566" s="3" t="s">
        <v>1980</v>
      </c>
      <c r="AJ566" s="3" t="s">
        <v>345</v>
      </c>
    </row>
    <row r="567" spans="1:36">
      <c r="A567" s="4">
        <v>43288</v>
      </c>
      <c r="B567" s="3" t="s">
        <v>108</v>
      </c>
      <c r="C567" s="3" t="s">
        <v>109</v>
      </c>
      <c r="D567" s="3" t="s">
        <v>110</v>
      </c>
      <c r="E567" s="3" t="s">
        <v>111</v>
      </c>
      <c r="F567" s="3" t="s">
        <v>340</v>
      </c>
      <c r="G567" s="3">
        <v>6</v>
      </c>
      <c r="H567" s="3">
        <v>0</v>
      </c>
      <c r="I567" s="3">
        <v>2</v>
      </c>
      <c r="J567" s="3">
        <v>0</v>
      </c>
      <c r="K567" s="3">
        <v>1</v>
      </c>
      <c r="L567" s="3">
        <v>3</v>
      </c>
      <c r="M567" s="3">
        <v>0</v>
      </c>
      <c r="N567" s="3" t="s">
        <v>341</v>
      </c>
      <c r="O567" s="3">
        <v>1</v>
      </c>
      <c r="P567" s="3">
        <v>0.62</v>
      </c>
      <c r="Q567" s="3">
        <v>3</v>
      </c>
      <c r="R567" s="3">
        <v>3.71</v>
      </c>
      <c r="S567" s="3">
        <v>0</v>
      </c>
      <c r="T567" s="3">
        <v>2</v>
      </c>
      <c r="U567" s="3">
        <v>3</v>
      </c>
      <c r="V567" s="3">
        <v>6</v>
      </c>
      <c r="W567" s="3"/>
      <c r="X567" s="3">
        <v>16.99</v>
      </c>
      <c r="Y567" s="3">
        <v>16.99</v>
      </c>
      <c r="Z567" s="3">
        <v>16.99</v>
      </c>
      <c r="AA567" s="3">
        <v>0</v>
      </c>
      <c r="AB567" s="3" t="s">
        <v>359</v>
      </c>
      <c r="AC567" s="3">
        <v>6</v>
      </c>
      <c r="AD567" s="3">
        <v>16.99</v>
      </c>
      <c r="AE567" s="3">
        <v>0</v>
      </c>
      <c r="AF567" s="3">
        <v>0</v>
      </c>
      <c r="AG567" s="3">
        <v>0</v>
      </c>
      <c r="AH567" s="3">
        <v>0.6</v>
      </c>
      <c r="AI567" s="3" t="s">
        <v>505</v>
      </c>
      <c r="AJ567" s="3" t="s">
        <v>345</v>
      </c>
    </row>
    <row r="568" spans="1:36">
      <c r="A568" s="4">
        <v>43288</v>
      </c>
      <c r="B568" s="3" t="s">
        <v>2283</v>
      </c>
      <c r="C568" s="3" t="s">
        <v>2284</v>
      </c>
      <c r="D568" s="3" t="s">
        <v>2285</v>
      </c>
      <c r="E568" s="3" t="s">
        <v>2286</v>
      </c>
      <c r="F568" s="3" t="s">
        <v>340</v>
      </c>
      <c r="G568" s="3">
        <v>2</v>
      </c>
      <c r="H568" s="3">
        <v>0</v>
      </c>
      <c r="I568" s="3">
        <v>0</v>
      </c>
      <c r="J568" s="3">
        <v>2</v>
      </c>
      <c r="K568" s="3">
        <v>0</v>
      </c>
      <c r="L568" s="3">
        <v>0</v>
      </c>
      <c r="M568" s="3">
        <v>0</v>
      </c>
      <c r="N568" s="3" t="s">
        <v>341</v>
      </c>
      <c r="O568" s="3">
        <v>2</v>
      </c>
      <c r="P568" s="3">
        <v>2.49</v>
      </c>
      <c r="Q568" s="3">
        <v>0</v>
      </c>
      <c r="R568" s="3">
        <v>0</v>
      </c>
      <c r="S568" s="3">
        <v>0</v>
      </c>
      <c r="T568" s="3">
        <v>0</v>
      </c>
      <c r="U568" s="3">
        <v>1</v>
      </c>
      <c r="V568" s="3">
        <v>1</v>
      </c>
      <c r="W568" s="3" t="s">
        <v>342</v>
      </c>
      <c r="X568" s="3">
        <v>15.99</v>
      </c>
      <c r="Y568" s="3">
        <v>15.99</v>
      </c>
      <c r="Z568" s="3">
        <v>15.99</v>
      </c>
      <c r="AA568" s="3">
        <v>0</v>
      </c>
      <c r="AB568" s="3" t="s">
        <v>349</v>
      </c>
      <c r="AC568" s="3">
        <v>0</v>
      </c>
      <c r="AD568" s="3">
        <v>14.53</v>
      </c>
      <c r="AE568" s="3">
        <v>63</v>
      </c>
      <c r="AF568" s="3">
        <v>0</v>
      </c>
      <c r="AG568" s="3">
        <v>40.40775</v>
      </c>
      <c r="AH568" s="3">
        <v>0.285714285714285</v>
      </c>
      <c r="AI568" s="3" t="s">
        <v>397</v>
      </c>
      <c r="AJ568" s="3" t="s">
        <v>345</v>
      </c>
    </row>
    <row r="569" spans="1:36">
      <c r="A569" s="4">
        <v>43288</v>
      </c>
      <c r="B569" s="3" t="s">
        <v>2287</v>
      </c>
      <c r="C569" s="3" t="s">
        <v>2288</v>
      </c>
      <c r="D569" s="3" t="s">
        <v>2289</v>
      </c>
      <c r="E569" s="3" t="s">
        <v>64</v>
      </c>
      <c r="F569" s="3" t="s">
        <v>340</v>
      </c>
      <c r="G569" s="3">
        <v>5</v>
      </c>
      <c r="H569" s="3">
        <v>0</v>
      </c>
      <c r="I569" s="3">
        <v>5</v>
      </c>
      <c r="J569" s="3">
        <v>0</v>
      </c>
      <c r="K569" s="3">
        <v>0</v>
      </c>
      <c r="L569" s="3">
        <v>0</v>
      </c>
      <c r="M569" s="3">
        <v>0</v>
      </c>
      <c r="N569" s="3" t="s">
        <v>341</v>
      </c>
      <c r="O569" s="3">
        <v>0</v>
      </c>
      <c r="P569" s="3">
        <v>0</v>
      </c>
      <c r="Q569" s="3">
        <v>0</v>
      </c>
      <c r="R569" s="3">
        <v>0</v>
      </c>
      <c r="S569" s="3">
        <v>7</v>
      </c>
      <c r="T569" s="3">
        <v>17</v>
      </c>
      <c r="U569" s="3">
        <v>31</v>
      </c>
      <c r="V569" s="3">
        <v>48</v>
      </c>
      <c r="W569" s="3"/>
      <c r="X569" s="3">
        <v>29.99</v>
      </c>
      <c r="Y569" s="3">
        <v>18.99</v>
      </c>
      <c r="Z569" s="3">
        <v>18.99</v>
      </c>
      <c r="AA569" s="3">
        <v>0</v>
      </c>
      <c r="AB569" s="3" t="s">
        <v>359</v>
      </c>
      <c r="AC569" s="3">
        <v>5</v>
      </c>
      <c r="AD569" s="3">
        <v>18.99</v>
      </c>
      <c r="AE569" s="3">
        <v>0</v>
      </c>
      <c r="AF569" s="3">
        <v>0</v>
      </c>
      <c r="AG569" s="3">
        <v>0</v>
      </c>
      <c r="AH569" s="3">
        <v>4.26666666666666</v>
      </c>
      <c r="AI569" s="3" t="s">
        <v>1634</v>
      </c>
      <c r="AJ569" s="3" t="s">
        <v>345</v>
      </c>
    </row>
    <row r="570" spans="1:36">
      <c r="A570" s="4">
        <v>43288</v>
      </c>
      <c r="B570" s="3" t="s">
        <v>57</v>
      </c>
      <c r="C570" s="3" t="s">
        <v>58</v>
      </c>
      <c r="D570" s="3" t="s">
        <v>59</v>
      </c>
      <c r="E570" s="3" t="s">
        <v>60</v>
      </c>
      <c r="F570" s="3" t="s">
        <v>340</v>
      </c>
      <c r="G570" s="3">
        <v>117</v>
      </c>
      <c r="H570" s="3">
        <v>0</v>
      </c>
      <c r="I570" s="3">
        <v>99</v>
      </c>
      <c r="J570" s="3">
        <v>18</v>
      </c>
      <c r="K570" s="3">
        <v>0</v>
      </c>
      <c r="L570" s="3">
        <v>0</v>
      </c>
      <c r="M570" s="3">
        <v>0</v>
      </c>
      <c r="N570" s="3" t="s">
        <v>341</v>
      </c>
      <c r="O570" s="3">
        <v>0</v>
      </c>
      <c r="P570" s="3">
        <v>0</v>
      </c>
      <c r="Q570" s="3">
        <v>0</v>
      </c>
      <c r="R570" s="3">
        <v>0</v>
      </c>
      <c r="S570" s="3">
        <v>22</v>
      </c>
      <c r="T570" s="3">
        <v>137</v>
      </c>
      <c r="U570" s="3">
        <v>267</v>
      </c>
      <c r="V570" s="3">
        <v>384</v>
      </c>
      <c r="W570" s="3"/>
      <c r="X570" s="3">
        <v>18.99</v>
      </c>
      <c r="Y570" s="3">
        <v>18.99</v>
      </c>
      <c r="Z570" s="3">
        <v>18.99</v>
      </c>
      <c r="AA570" s="3">
        <v>0</v>
      </c>
      <c r="AB570" s="3" t="s">
        <v>359</v>
      </c>
      <c r="AC570" s="3">
        <v>114</v>
      </c>
      <c r="AD570" s="3">
        <v>18.99</v>
      </c>
      <c r="AE570" s="3">
        <v>0</v>
      </c>
      <c r="AF570" s="3">
        <v>0</v>
      </c>
      <c r="AG570" s="3">
        <v>0</v>
      </c>
      <c r="AH570" s="3">
        <v>1.29401853411962</v>
      </c>
      <c r="AI570" s="3" t="s">
        <v>1613</v>
      </c>
      <c r="AJ570" s="3" t="s">
        <v>345</v>
      </c>
    </row>
    <row r="571" spans="1:36">
      <c r="A571" s="4">
        <v>43288</v>
      </c>
      <c r="B571" s="3" t="s">
        <v>2290</v>
      </c>
      <c r="C571" s="3" t="s">
        <v>2291</v>
      </c>
      <c r="D571" s="3" t="s">
        <v>2292</v>
      </c>
      <c r="E571" s="3" t="s">
        <v>680</v>
      </c>
      <c r="F571" s="3" t="s">
        <v>340</v>
      </c>
      <c r="G571" s="3">
        <v>1</v>
      </c>
      <c r="H571" s="3">
        <v>0</v>
      </c>
      <c r="I571" s="3">
        <v>0</v>
      </c>
      <c r="J571" s="3">
        <v>1</v>
      </c>
      <c r="K571" s="3">
        <v>0</v>
      </c>
      <c r="L571" s="3">
        <v>0</v>
      </c>
      <c r="M571" s="3">
        <v>0</v>
      </c>
      <c r="N571" s="3" t="s">
        <v>341</v>
      </c>
      <c r="O571" s="3">
        <v>0</v>
      </c>
      <c r="P571" s="3">
        <v>0</v>
      </c>
      <c r="Q571" s="3">
        <v>0</v>
      </c>
      <c r="R571" s="3">
        <v>0</v>
      </c>
      <c r="S571" s="3">
        <v>0</v>
      </c>
      <c r="T571" s="3">
        <v>0</v>
      </c>
      <c r="U571" s="3">
        <v>0</v>
      </c>
      <c r="V571" s="3">
        <v>0</v>
      </c>
      <c r="W571" s="3" t="s">
        <v>342</v>
      </c>
      <c r="X571" s="3">
        <v>17.99</v>
      </c>
      <c r="Y571" s="3">
        <v>17.99</v>
      </c>
      <c r="Z571" s="3">
        <v>17.99</v>
      </c>
      <c r="AA571" s="3">
        <v>0</v>
      </c>
      <c r="AB571" s="3" t="s">
        <v>349</v>
      </c>
      <c r="AC571" s="3">
        <v>1</v>
      </c>
      <c r="AD571" s="3">
        <v>17.99</v>
      </c>
      <c r="AE571" s="3">
        <v>0</v>
      </c>
      <c r="AF571" s="3">
        <v>0</v>
      </c>
      <c r="AG571" s="3">
        <v>0</v>
      </c>
      <c r="AH571" s="3">
        <v>0</v>
      </c>
      <c r="AI571" s="3" t="s">
        <v>1071</v>
      </c>
      <c r="AJ571" s="3" t="s">
        <v>345</v>
      </c>
    </row>
    <row r="572" spans="1:36">
      <c r="A572" s="4">
        <v>43288</v>
      </c>
      <c r="B572" s="3" t="s">
        <v>2293</v>
      </c>
      <c r="C572" s="3" t="s">
        <v>2294</v>
      </c>
      <c r="D572" s="3" t="s">
        <v>2295</v>
      </c>
      <c r="E572" s="3" t="s">
        <v>2296</v>
      </c>
      <c r="F572" s="3" t="s">
        <v>340</v>
      </c>
      <c r="G572" s="3">
        <v>4</v>
      </c>
      <c r="H572" s="3">
        <v>0</v>
      </c>
      <c r="I572" s="3">
        <v>0</v>
      </c>
      <c r="J572" s="3">
        <v>4</v>
      </c>
      <c r="K572" s="3">
        <v>0</v>
      </c>
      <c r="L572" s="3">
        <v>0</v>
      </c>
      <c r="M572" s="3">
        <v>0</v>
      </c>
      <c r="N572" s="3" t="s">
        <v>341</v>
      </c>
      <c r="O572" s="3">
        <v>3</v>
      </c>
      <c r="P572" s="3">
        <v>4.3</v>
      </c>
      <c r="Q572" s="3">
        <v>0</v>
      </c>
      <c r="R572" s="3">
        <v>0</v>
      </c>
      <c r="S572" s="3">
        <v>0</v>
      </c>
      <c r="T572" s="3">
        <v>2</v>
      </c>
      <c r="U572" s="3">
        <v>2</v>
      </c>
      <c r="V572" s="3">
        <v>2</v>
      </c>
      <c r="W572" s="3" t="s">
        <v>342</v>
      </c>
      <c r="X572" s="3">
        <v>19.99</v>
      </c>
      <c r="Y572" s="3">
        <v>19.99</v>
      </c>
      <c r="Z572" s="3">
        <v>19.99</v>
      </c>
      <c r="AA572" s="3">
        <v>0</v>
      </c>
      <c r="AB572" s="3" t="s">
        <v>349</v>
      </c>
      <c r="AC572" s="3">
        <v>4</v>
      </c>
      <c r="AD572" s="3">
        <v>19.99</v>
      </c>
      <c r="AE572" s="3">
        <v>0</v>
      </c>
      <c r="AF572" s="3">
        <v>0</v>
      </c>
      <c r="AG572" s="3">
        <v>0</v>
      </c>
      <c r="AH572" s="3">
        <v>0.363636363636363</v>
      </c>
      <c r="AI572" s="3" t="s">
        <v>1248</v>
      </c>
      <c r="AJ572" s="3" t="s">
        <v>345</v>
      </c>
    </row>
    <row r="573" spans="1:36">
      <c r="A573" s="4">
        <v>43288</v>
      </c>
      <c r="B573" s="3" t="s">
        <v>2297</v>
      </c>
      <c r="C573" s="3" t="s">
        <v>2298</v>
      </c>
      <c r="D573" s="3" t="s">
        <v>2299</v>
      </c>
      <c r="E573" s="3" t="s">
        <v>2300</v>
      </c>
      <c r="F573" s="3" t="s">
        <v>340</v>
      </c>
      <c r="G573" s="3">
        <v>2</v>
      </c>
      <c r="H573" s="3">
        <v>0</v>
      </c>
      <c r="I573" s="3">
        <v>0</v>
      </c>
      <c r="J573" s="3">
        <v>1</v>
      </c>
      <c r="K573" s="3">
        <v>0</v>
      </c>
      <c r="L573" s="3">
        <v>1</v>
      </c>
      <c r="M573" s="3">
        <v>0</v>
      </c>
      <c r="N573" s="3" t="s">
        <v>341</v>
      </c>
      <c r="O573" s="3">
        <v>2</v>
      </c>
      <c r="P573" s="3">
        <v>2.88</v>
      </c>
      <c r="Q573" s="3">
        <v>0</v>
      </c>
      <c r="R573" s="3">
        <v>0</v>
      </c>
      <c r="S573" s="3">
        <v>0</v>
      </c>
      <c r="T573" s="3">
        <v>0</v>
      </c>
      <c r="U573" s="3">
        <v>0</v>
      </c>
      <c r="V573" s="3">
        <v>0</v>
      </c>
      <c r="W573" s="3" t="s">
        <v>381</v>
      </c>
      <c r="X573" s="3">
        <v>20.99</v>
      </c>
      <c r="Y573" s="3">
        <v>20.99</v>
      </c>
      <c r="Z573" s="3">
        <v>20.99</v>
      </c>
      <c r="AA573" s="3">
        <v>0</v>
      </c>
      <c r="AB573" s="3" t="s">
        <v>359</v>
      </c>
      <c r="AC573" s="3">
        <v>2</v>
      </c>
      <c r="AD573" s="3">
        <v>20.99</v>
      </c>
      <c r="AE573" s="3">
        <v>0</v>
      </c>
      <c r="AF573" s="3">
        <v>0</v>
      </c>
      <c r="AG573" s="3">
        <v>0</v>
      </c>
      <c r="AH573" s="3">
        <v>0</v>
      </c>
      <c r="AI573" s="3" t="s">
        <v>2301</v>
      </c>
      <c r="AJ573" s="3" t="s">
        <v>345</v>
      </c>
    </row>
    <row r="574" spans="1:36">
      <c r="A574" s="4">
        <v>43288</v>
      </c>
      <c r="B574" s="3" t="s">
        <v>2302</v>
      </c>
      <c r="C574" s="3" t="s">
        <v>2303</v>
      </c>
      <c r="D574" s="3" t="s">
        <v>2304</v>
      </c>
      <c r="E574" s="3" t="s">
        <v>2305</v>
      </c>
      <c r="F574" s="3" t="s">
        <v>340</v>
      </c>
      <c r="G574" s="3">
        <v>1</v>
      </c>
      <c r="H574" s="3">
        <v>0</v>
      </c>
      <c r="I574" s="3">
        <v>0</v>
      </c>
      <c r="J574" s="3">
        <v>0</v>
      </c>
      <c r="K574" s="3">
        <v>0</v>
      </c>
      <c r="L574" s="3">
        <v>1</v>
      </c>
      <c r="M574" s="3">
        <v>0</v>
      </c>
      <c r="N574" s="3" t="s">
        <v>341</v>
      </c>
      <c r="O574" s="3">
        <v>0</v>
      </c>
      <c r="P574" s="3">
        <v>0</v>
      </c>
      <c r="Q574" s="3">
        <v>1</v>
      </c>
      <c r="R574" s="3">
        <v>0.5</v>
      </c>
      <c r="S574" s="3">
        <v>0</v>
      </c>
      <c r="T574" s="3">
        <v>0</v>
      </c>
      <c r="U574" s="3">
        <v>1</v>
      </c>
      <c r="V574" s="3">
        <v>2</v>
      </c>
      <c r="W574" s="3" t="s">
        <v>342</v>
      </c>
      <c r="X574" s="3">
        <v>9.9</v>
      </c>
      <c r="Y574" s="3">
        <v>9.9</v>
      </c>
      <c r="Z574" s="3">
        <v>9.9</v>
      </c>
      <c r="AA574" s="3">
        <v>0</v>
      </c>
      <c r="AB574" s="3" t="s">
        <v>359</v>
      </c>
      <c r="AC574" s="3">
        <v>1</v>
      </c>
      <c r="AD574" s="3">
        <v>9.9</v>
      </c>
      <c r="AE574" s="3">
        <v>0</v>
      </c>
      <c r="AF574" s="3">
        <v>0</v>
      </c>
      <c r="AG574" s="3">
        <v>0</v>
      </c>
      <c r="AH574" s="3">
        <v>1.14285714285714</v>
      </c>
      <c r="AI574" s="3" t="s">
        <v>728</v>
      </c>
      <c r="AJ574" s="3" t="s">
        <v>345</v>
      </c>
    </row>
    <row r="575" spans="1:36">
      <c r="A575" s="4">
        <v>43288</v>
      </c>
      <c r="B575" s="3" t="s">
        <v>2306</v>
      </c>
      <c r="C575" s="3" t="s">
        <v>2307</v>
      </c>
      <c r="D575" s="3" t="s">
        <v>2308</v>
      </c>
      <c r="E575" s="3" t="s">
        <v>444</v>
      </c>
      <c r="F575" s="3" t="s">
        <v>340</v>
      </c>
      <c r="G575" s="3">
        <v>3</v>
      </c>
      <c r="H575" s="3">
        <v>0</v>
      </c>
      <c r="I575" s="3">
        <v>0</v>
      </c>
      <c r="J575" s="3">
        <v>0</v>
      </c>
      <c r="K575" s="3">
        <v>1</v>
      </c>
      <c r="L575" s="3">
        <v>0</v>
      </c>
      <c r="M575" s="3">
        <v>2</v>
      </c>
      <c r="N575" s="3" t="s">
        <v>341</v>
      </c>
      <c r="O575" s="3">
        <v>1</v>
      </c>
      <c r="P575" s="3">
        <v>3.2</v>
      </c>
      <c r="Q575" s="3">
        <v>2</v>
      </c>
      <c r="R575" s="3">
        <v>12.78</v>
      </c>
      <c r="S575" s="3">
        <v>0</v>
      </c>
      <c r="T575" s="3">
        <v>0</v>
      </c>
      <c r="U575" s="3">
        <v>0</v>
      </c>
      <c r="V575" s="3">
        <v>0</v>
      </c>
      <c r="W575" s="3" t="s">
        <v>342</v>
      </c>
      <c r="X575" s="3">
        <v>23.99</v>
      </c>
      <c r="Y575" s="3">
        <v>23.99</v>
      </c>
      <c r="Z575" s="3">
        <v>23.99</v>
      </c>
      <c r="AA575" s="3">
        <v>0</v>
      </c>
      <c r="AB575" s="3" t="s">
        <v>343</v>
      </c>
      <c r="AC575" s="3">
        <v>0</v>
      </c>
      <c r="AD575" s="3">
        <v>19.19</v>
      </c>
      <c r="AE575" s="3">
        <v>252</v>
      </c>
      <c r="AF575" s="3">
        <v>0</v>
      </c>
      <c r="AG575" s="3">
        <v>124.53081</v>
      </c>
      <c r="AH575" s="3">
        <v>0</v>
      </c>
      <c r="AI575" s="3" t="s">
        <v>445</v>
      </c>
      <c r="AJ575" s="3" t="s">
        <v>345</v>
      </c>
    </row>
    <row r="576" spans="1:36">
      <c r="A576" s="4">
        <v>43288</v>
      </c>
      <c r="B576" s="3" t="s">
        <v>2309</v>
      </c>
      <c r="C576" s="3" t="s">
        <v>2310</v>
      </c>
      <c r="D576" s="3" t="s">
        <v>2311</v>
      </c>
      <c r="E576" s="3" t="s">
        <v>490</v>
      </c>
      <c r="F576" s="3" t="s">
        <v>340</v>
      </c>
      <c r="G576" s="3">
        <v>4</v>
      </c>
      <c r="H576" s="3">
        <v>0</v>
      </c>
      <c r="I576" s="3">
        <v>0</v>
      </c>
      <c r="J576" s="3">
        <v>0</v>
      </c>
      <c r="K576" s="3">
        <v>0</v>
      </c>
      <c r="L576" s="3">
        <v>1</v>
      </c>
      <c r="M576" s="3">
        <v>3</v>
      </c>
      <c r="N576" s="3" t="s">
        <v>341</v>
      </c>
      <c r="O576" s="3">
        <v>0</v>
      </c>
      <c r="P576" s="3">
        <v>0</v>
      </c>
      <c r="Q576" s="3">
        <v>4</v>
      </c>
      <c r="R576" s="3">
        <v>5</v>
      </c>
      <c r="S576" s="3">
        <v>0</v>
      </c>
      <c r="T576" s="3">
        <v>0</v>
      </c>
      <c r="U576" s="3">
        <v>0</v>
      </c>
      <c r="V576" s="3">
        <v>0</v>
      </c>
      <c r="W576" s="3" t="s">
        <v>342</v>
      </c>
      <c r="X576" s="3">
        <v>16.99</v>
      </c>
      <c r="Y576" s="3">
        <v>16.99</v>
      </c>
      <c r="Z576" s="3">
        <v>16.99</v>
      </c>
      <c r="AA576" s="3">
        <v>0</v>
      </c>
      <c r="AB576" s="3" t="s">
        <v>343</v>
      </c>
      <c r="AC576" s="3">
        <v>0</v>
      </c>
      <c r="AD576" s="3">
        <v>15.77</v>
      </c>
      <c r="AE576" s="3">
        <v>35</v>
      </c>
      <c r="AF576" s="3">
        <v>0</v>
      </c>
      <c r="AG576" s="3">
        <v>67.687244</v>
      </c>
      <c r="AH576" s="3">
        <v>0</v>
      </c>
      <c r="AI576" s="3" t="s">
        <v>491</v>
      </c>
      <c r="AJ576" s="3" t="s">
        <v>345</v>
      </c>
    </row>
    <row r="577" spans="1:36">
      <c r="A577" s="4">
        <v>43288</v>
      </c>
      <c r="B577" s="3" t="s">
        <v>2312</v>
      </c>
      <c r="C577" s="3" t="s">
        <v>2313</v>
      </c>
      <c r="D577" s="3" t="s">
        <v>2314</v>
      </c>
      <c r="E577" s="3" t="s">
        <v>1678</v>
      </c>
      <c r="F577" s="3" t="s">
        <v>340</v>
      </c>
      <c r="G577" s="3">
        <v>1</v>
      </c>
      <c r="H577" s="3">
        <v>0</v>
      </c>
      <c r="I577" s="3">
        <v>1</v>
      </c>
      <c r="J577" s="3">
        <v>0</v>
      </c>
      <c r="K577" s="3">
        <v>0</v>
      </c>
      <c r="L577" s="3">
        <v>0</v>
      </c>
      <c r="M577" s="3">
        <v>0</v>
      </c>
      <c r="N577" s="3" t="s">
        <v>341</v>
      </c>
      <c r="O577" s="3">
        <v>0</v>
      </c>
      <c r="P577" s="3">
        <v>0</v>
      </c>
      <c r="Q577" s="3">
        <v>0</v>
      </c>
      <c r="R577" s="3">
        <v>0</v>
      </c>
      <c r="S577" s="3">
        <v>0</v>
      </c>
      <c r="T577" s="3">
        <v>1</v>
      </c>
      <c r="U577" s="3">
        <v>2</v>
      </c>
      <c r="V577" s="3">
        <v>3</v>
      </c>
      <c r="W577" s="3" t="s">
        <v>342</v>
      </c>
      <c r="X577" s="3">
        <v>39.99</v>
      </c>
      <c r="Y577" s="3">
        <v>19.99</v>
      </c>
      <c r="Z577" s="3">
        <v>19.99</v>
      </c>
      <c r="AA577" s="3">
        <v>0</v>
      </c>
      <c r="AB577" s="3" t="s">
        <v>890</v>
      </c>
      <c r="AC577" s="3">
        <v>0</v>
      </c>
      <c r="AD577" s="3">
        <v>0</v>
      </c>
      <c r="AE577" s="3">
        <v>0</v>
      </c>
      <c r="AF577" s="3">
        <v>0</v>
      </c>
      <c r="AG577" s="3">
        <v>0</v>
      </c>
      <c r="AH577" s="3">
        <v>4.5</v>
      </c>
      <c r="AI577" s="3" t="s">
        <v>948</v>
      </c>
      <c r="AJ577" s="3" t="s">
        <v>345</v>
      </c>
    </row>
    <row r="578" spans="1:36">
      <c r="A578" s="4">
        <v>43288</v>
      </c>
      <c r="B578" s="3" t="s">
        <v>2315</v>
      </c>
      <c r="C578" s="3" t="s">
        <v>2316</v>
      </c>
      <c r="D578" s="3" t="s">
        <v>2317</v>
      </c>
      <c r="E578" s="3" t="s">
        <v>2318</v>
      </c>
      <c r="F578" s="3" t="s">
        <v>340</v>
      </c>
      <c r="G578" s="3">
        <v>5</v>
      </c>
      <c r="H578" s="3">
        <v>0</v>
      </c>
      <c r="I578" s="3">
        <v>0</v>
      </c>
      <c r="J578" s="3">
        <v>5</v>
      </c>
      <c r="K578" s="3">
        <v>0</v>
      </c>
      <c r="L578" s="3">
        <v>0</v>
      </c>
      <c r="M578" s="3">
        <v>0</v>
      </c>
      <c r="N578" s="3" t="s">
        <v>341</v>
      </c>
      <c r="O578" s="3">
        <v>5</v>
      </c>
      <c r="P578" s="3">
        <v>6.23</v>
      </c>
      <c r="Q578" s="3">
        <v>0</v>
      </c>
      <c r="R578" s="3">
        <v>0</v>
      </c>
      <c r="S578" s="3">
        <v>0</v>
      </c>
      <c r="T578" s="3">
        <v>0</v>
      </c>
      <c r="U578" s="3">
        <v>0</v>
      </c>
      <c r="V578" s="3">
        <v>0</v>
      </c>
      <c r="W578" s="3" t="s">
        <v>342</v>
      </c>
      <c r="X578" s="3">
        <v>15.99</v>
      </c>
      <c r="Y578" s="3">
        <v>15.99</v>
      </c>
      <c r="Z578" s="3">
        <v>15.99</v>
      </c>
      <c r="AA578" s="3">
        <v>0</v>
      </c>
      <c r="AB578" s="3" t="s">
        <v>349</v>
      </c>
      <c r="AC578" s="3">
        <v>0</v>
      </c>
      <c r="AD578" s="3">
        <v>14.15</v>
      </c>
      <c r="AE578" s="3">
        <v>161</v>
      </c>
      <c r="AF578" s="3">
        <v>0</v>
      </c>
      <c r="AG578" s="3">
        <v>103.454414</v>
      </c>
      <c r="AH578" s="3">
        <v>0</v>
      </c>
      <c r="AI578" s="3" t="s">
        <v>714</v>
      </c>
      <c r="AJ578" s="3" t="s">
        <v>345</v>
      </c>
    </row>
    <row r="579" spans="1:36">
      <c r="A579" s="4">
        <v>43288</v>
      </c>
      <c r="B579" s="3" t="s">
        <v>2319</v>
      </c>
      <c r="C579" s="3" t="s">
        <v>2320</v>
      </c>
      <c r="D579" s="3" t="s">
        <v>2321</v>
      </c>
      <c r="E579" s="3" t="s">
        <v>181</v>
      </c>
      <c r="F579" s="3" t="s">
        <v>340</v>
      </c>
      <c r="G579" s="3">
        <v>6</v>
      </c>
      <c r="H579" s="3">
        <v>0</v>
      </c>
      <c r="I579" s="3">
        <v>6</v>
      </c>
      <c r="J579" s="3">
        <v>0</v>
      </c>
      <c r="K579" s="3">
        <v>0</v>
      </c>
      <c r="L579" s="3">
        <v>0</v>
      </c>
      <c r="M579" s="3">
        <v>0</v>
      </c>
      <c r="N579" s="3" t="s">
        <v>341</v>
      </c>
      <c r="O579" s="3">
        <v>0</v>
      </c>
      <c r="P579" s="3">
        <v>0</v>
      </c>
      <c r="Q579" s="3">
        <v>0</v>
      </c>
      <c r="R579" s="3">
        <v>0</v>
      </c>
      <c r="S579" s="3">
        <v>3</v>
      </c>
      <c r="T579" s="3">
        <v>6</v>
      </c>
      <c r="U579" s="3">
        <v>7</v>
      </c>
      <c r="V579" s="3">
        <v>8</v>
      </c>
      <c r="W579" s="3"/>
      <c r="X579" s="3">
        <v>19.99</v>
      </c>
      <c r="Y579" s="3">
        <v>19.99</v>
      </c>
      <c r="Z579" s="3">
        <v>19.99</v>
      </c>
      <c r="AA579" s="3">
        <v>0</v>
      </c>
      <c r="AB579" s="3" t="s">
        <v>359</v>
      </c>
      <c r="AC579" s="3">
        <v>7</v>
      </c>
      <c r="AD579" s="3">
        <v>19.99</v>
      </c>
      <c r="AE579" s="3">
        <v>0</v>
      </c>
      <c r="AF579" s="3">
        <v>0</v>
      </c>
      <c r="AG579" s="3">
        <v>0</v>
      </c>
      <c r="AH579" s="3">
        <v>0.941176470588235</v>
      </c>
      <c r="AI579" s="3" t="s">
        <v>492</v>
      </c>
      <c r="AJ579" s="3" t="s">
        <v>345</v>
      </c>
    </row>
    <row r="580" spans="1:36">
      <c r="A580" s="4">
        <v>43288</v>
      </c>
      <c r="B580" s="3" t="s">
        <v>2322</v>
      </c>
      <c r="C580" s="3" t="s">
        <v>2323</v>
      </c>
      <c r="D580" s="3" t="s">
        <v>2324</v>
      </c>
      <c r="E580" s="3" t="s">
        <v>2300</v>
      </c>
      <c r="F580" s="3" t="s">
        <v>340</v>
      </c>
      <c r="G580" s="3">
        <v>2</v>
      </c>
      <c r="H580" s="3">
        <v>0</v>
      </c>
      <c r="I580" s="3">
        <v>0</v>
      </c>
      <c r="J580" s="3">
        <v>1</v>
      </c>
      <c r="K580" s="3">
        <v>1</v>
      </c>
      <c r="L580" s="3">
        <v>0</v>
      </c>
      <c r="M580" s="3">
        <v>0</v>
      </c>
      <c r="N580" s="3" t="s">
        <v>341</v>
      </c>
      <c r="O580" s="3">
        <v>2</v>
      </c>
      <c r="P580" s="3">
        <v>2.88</v>
      </c>
      <c r="Q580" s="3">
        <v>0</v>
      </c>
      <c r="R580" s="3">
        <v>0</v>
      </c>
      <c r="S580" s="3">
        <v>0</v>
      </c>
      <c r="T580" s="3">
        <v>0</v>
      </c>
      <c r="U580" s="3">
        <v>0</v>
      </c>
      <c r="V580" s="3">
        <v>0</v>
      </c>
      <c r="W580" s="3" t="s">
        <v>381</v>
      </c>
      <c r="X580" s="3">
        <v>18.99</v>
      </c>
      <c r="Y580" s="3">
        <v>18.99</v>
      </c>
      <c r="Z580" s="3">
        <v>18.99</v>
      </c>
      <c r="AA580" s="3">
        <v>0</v>
      </c>
      <c r="AB580" s="3" t="s">
        <v>359</v>
      </c>
      <c r="AC580" s="3">
        <v>2</v>
      </c>
      <c r="AD580" s="3">
        <v>18.99</v>
      </c>
      <c r="AE580" s="3">
        <v>0</v>
      </c>
      <c r="AF580" s="3">
        <v>0</v>
      </c>
      <c r="AG580" s="3">
        <v>0</v>
      </c>
      <c r="AH580" s="3">
        <v>0</v>
      </c>
      <c r="AI580" s="3" t="s">
        <v>2301</v>
      </c>
      <c r="AJ580" s="3" t="s">
        <v>345</v>
      </c>
    </row>
    <row r="581" spans="1:36">
      <c r="A581" s="4">
        <v>43288</v>
      </c>
      <c r="B581" s="3" t="s">
        <v>2325</v>
      </c>
      <c r="C581" s="3" t="s">
        <v>2326</v>
      </c>
      <c r="D581" s="3" t="s">
        <v>2327</v>
      </c>
      <c r="E581" s="3" t="s">
        <v>468</v>
      </c>
      <c r="F581" s="3" t="s">
        <v>340</v>
      </c>
      <c r="G581" s="3">
        <v>10</v>
      </c>
      <c r="H581" s="3">
        <v>0</v>
      </c>
      <c r="I581" s="3">
        <v>0</v>
      </c>
      <c r="J581" s="3">
        <v>10</v>
      </c>
      <c r="K581" s="3">
        <v>0</v>
      </c>
      <c r="L581" s="3">
        <v>0</v>
      </c>
      <c r="M581" s="3">
        <v>0</v>
      </c>
      <c r="N581" s="3" t="s">
        <v>341</v>
      </c>
      <c r="O581" s="3">
        <v>10</v>
      </c>
      <c r="P581" s="3">
        <v>11.46</v>
      </c>
      <c r="Q581" s="3">
        <v>0</v>
      </c>
      <c r="R581" s="3">
        <v>0</v>
      </c>
      <c r="S581" s="3">
        <v>0</v>
      </c>
      <c r="T581" s="3">
        <v>0</v>
      </c>
      <c r="U581" s="3">
        <v>0</v>
      </c>
      <c r="V581" s="3">
        <v>0</v>
      </c>
      <c r="W581" s="3" t="s">
        <v>342</v>
      </c>
      <c r="X581" s="3">
        <v>16.99</v>
      </c>
      <c r="Y581" s="3">
        <v>16.99</v>
      </c>
      <c r="Z581" s="3">
        <v>16.99</v>
      </c>
      <c r="AA581" s="3">
        <v>0</v>
      </c>
      <c r="AB581" s="3" t="s">
        <v>349</v>
      </c>
      <c r="AC581" s="3">
        <v>0</v>
      </c>
      <c r="AD581" s="3">
        <v>13.87</v>
      </c>
      <c r="AE581" s="3">
        <v>273</v>
      </c>
      <c r="AF581" s="3">
        <v>0</v>
      </c>
      <c r="AG581" s="3">
        <v>185.616456</v>
      </c>
      <c r="AH581" s="3">
        <v>0</v>
      </c>
      <c r="AI581" s="3" t="s">
        <v>469</v>
      </c>
      <c r="AJ581" s="3" t="s">
        <v>345</v>
      </c>
    </row>
    <row r="582" spans="1:36">
      <c r="A582" s="4">
        <v>43288</v>
      </c>
      <c r="B582" s="3" t="s">
        <v>2328</v>
      </c>
      <c r="C582" s="3" t="s">
        <v>2329</v>
      </c>
      <c r="D582" s="3" t="s">
        <v>2330</v>
      </c>
      <c r="E582" s="3" t="s">
        <v>468</v>
      </c>
      <c r="F582" s="3" t="s">
        <v>340</v>
      </c>
      <c r="G582" s="3">
        <v>3</v>
      </c>
      <c r="H582" s="3">
        <v>0</v>
      </c>
      <c r="I582" s="3">
        <v>0</v>
      </c>
      <c r="J582" s="3">
        <v>3</v>
      </c>
      <c r="K582" s="3">
        <v>0</v>
      </c>
      <c r="L582" s="3">
        <v>0</v>
      </c>
      <c r="M582" s="3">
        <v>0</v>
      </c>
      <c r="N582" s="3" t="s">
        <v>341</v>
      </c>
      <c r="O582" s="3">
        <v>3</v>
      </c>
      <c r="P582" s="3">
        <v>3.44</v>
      </c>
      <c r="Q582" s="3">
        <v>0</v>
      </c>
      <c r="R582" s="3">
        <v>0</v>
      </c>
      <c r="S582" s="3">
        <v>0</v>
      </c>
      <c r="T582" s="3">
        <v>0</v>
      </c>
      <c r="U582" s="3">
        <v>0</v>
      </c>
      <c r="V582" s="3">
        <v>0</v>
      </c>
      <c r="W582" s="3" t="s">
        <v>342</v>
      </c>
      <c r="X582" s="3">
        <v>17.99</v>
      </c>
      <c r="Y582" s="3">
        <v>17.99</v>
      </c>
      <c r="Z582" s="3">
        <v>17.99</v>
      </c>
      <c r="AA582" s="3">
        <v>0</v>
      </c>
      <c r="AB582" s="3" t="s">
        <v>349</v>
      </c>
      <c r="AC582" s="3">
        <v>0</v>
      </c>
      <c r="AD582" s="3">
        <v>16.4</v>
      </c>
      <c r="AE582" s="3">
        <v>91</v>
      </c>
      <c r="AF582" s="3">
        <v>0</v>
      </c>
      <c r="AG582" s="3">
        <v>65.146461</v>
      </c>
      <c r="AH582" s="3">
        <v>0</v>
      </c>
      <c r="AI582" s="3" t="s">
        <v>469</v>
      </c>
      <c r="AJ582" s="3" t="s">
        <v>345</v>
      </c>
    </row>
    <row r="583" spans="1:36">
      <c r="A583" s="4">
        <v>43288</v>
      </c>
      <c r="B583" s="3" t="s">
        <v>2331</v>
      </c>
      <c r="C583" s="3" t="s">
        <v>2332</v>
      </c>
      <c r="D583" s="3" t="s">
        <v>2333</v>
      </c>
      <c r="E583" s="3" t="s">
        <v>416</v>
      </c>
      <c r="F583" s="3" t="s">
        <v>340</v>
      </c>
      <c r="G583" s="3">
        <v>4</v>
      </c>
      <c r="H583" s="3">
        <v>0</v>
      </c>
      <c r="I583" s="3">
        <v>1</v>
      </c>
      <c r="J583" s="3">
        <v>0</v>
      </c>
      <c r="K583" s="3">
        <v>0</v>
      </c>
      <c r="L583" s="3">
        <v>0</v>
      </c>
      <c r="M583" s="3">
        <v>3</v>
      </c>
      <c r="N583" s="3" t="s">
        <v>341</v>
      </c>
      <c r="O583" s="3">
        <v>0</v>
      </c>
      <c r="P583" s="3">
        <v>0</v>
      </c>
      <c r="Q583" s="3">
        <v>3</v>
      </c>
      <c r="R583" s="3">
        <v>1.71</v>
      </c>
      <c r="S583" s="3">
        <v>0</v>
      </c>
      <c r="T583" s="3">
        <v>1</v>
      </c>
      <c r="U583" s="3">
        <v>3</v>
      </c>
      <c r="V583" s="3">
        <v>3</v>
      </c>
      <c r="W583" s="3"/>
      <c r="X583" s="3">
        <v>19.99</v>
      </c>
      <c r="Y583" s="3">
        <v>19.99</v>
      </c>
      <c r="Z583" s="3">
        <v>19.99</v>
      </c>
      <c r="AA583" s="3">
        <v>0</v>
      </c>
      <c r="AB583" s="3" t="s">
        <v>359</v>
      </c>
      <c r="AC583" s="3">
        <v>4</v>
      </c>
      <c r="AD583" s="3">
        <v>19.99</v>
      </c>
      <c r="AE583" s="3">
        <v>0</v>
      </c>
      <c r="AF583" s="3">
        <v>0</v>
      </c>
      <c r="AG583" s="3">
        <v>0</v>
      </c>
      <c r="AH583" s="3">
        <v>0.631578947368421</v>
      </c>
      <c r="AI583" s="3" t="s">
        <v>2334</v>
      </c>
      <c r="AJ583" s="3" t="s">
        <v>345</v>
      </c>
    </row>
    <row r="584" spans="1:36">
      <c r="A584" s="4">
        <v>43288</v>
      </c>
      <c r="B584" s="3" t="s">
        <v>2335</v>
      </c>
      <c r="C584" s="3" t="s">
        <v>2336</v>
      </c>
      <c r="D584" s="3" t="s">
        <v>2337</v>
      </c>
      <c r="E584" s="3" t="s">
        <v>2338</v>
      </c>
      <c r="F584" s="3" t="s">
        <v>340</v>
      </c>
      <c r="G584" s="3">
        <v>5</v>
      </c>
      <c r="H584" s="3">
        <v>0</v>
      </c>
      <c r="I584" s="3">
        <v>0</v>
      </c>
      <c r="J584" s="3">
        <v>0</v>
      </c>
      <c r="K584" s="3">
        <v>5</v>
      </c>
      <c r="L584" s="3">
        <v>0</v>
      </c>
      <c r="M584" s="3">
        <v>0</v>
      </c>
      <c r="N584" s="3" t="s">
        <v>341</v>
      </c>
      <c r="O584" s="3">
        <v>5</v>
      </c>
      <c r="P584" s="3">
        <v>9.85</v>
      </c>
      <c r="Q584" s="3">
        <v>0</v>
      </c>
      <c r="R584" s="3">
        <v>0</v>
      </c>
      <c r="S584" s="3">
        <v>0</v>
      </c>
      <c r="T584" s="3">
        <v>0</v>
      </c>
      <c r="U584" s="3">
        <v>0</v>
      </c>
      <c r="V584" s="3">
        <v>0</v>
      </c>
      <c r="W584" s="3" t="s">
        <v>342</v>
      </c>
      <c r="X584" s="3">
        <v>22.99</v>
      </c>
      <c r="Y584" s="3">
        <v>22.99</v>
      </c>
      <c r="Z584" s="3">
        <v>22.99</v>
      </c>
      <c r="AA584" s="3">
        <v>0</v>
      </c>
      <c r="AB584" s="3" t="s">
        <v>343</v>
      </c>
      <c r="AC584" s="3">
        <v>0</v>
      </c>
      <c r="AD584" s="3">
        <v>18.39</v>
      </c>
      <c r="AE584" s="3">
        <v>63</v>
      </c>
      <c r="AF584" s="3">
        <v>0</v>
      </c>
      <c r="AG584" s="3">
        <v>122.395257</v>
      </c>
      <c r="AH584" s="3">
        <v>0</v>
      </c>
      <c r="AI584" s="3" t="s">
        <v>987</v>
      </c>
      <c r="AJ584" s="3" t="s">
        <v>345</v>
      </c>
    </row>
    <row r="585" spans="1:36">
      <c r="A585" s="4">
        <v>43288</v>
      </c>
      <c r="B585" s="3" t="s">
        <v>2339</v>
      </c>
      <c r="C585" s="3" t="s">
        <v>2340</v>
      </c>
      <c r="D585" s="3" t="s">
        <v>2341</v>
      </c>
      <c r="E585" s="3" t="s">
        <v>2300</v>
      </c>
      <c r="F585" s="3" t="s">
        <v>340</v>
      </c>
      <c r="G585" s="3">
        <v>2</v>
      </c>
      <c r="H585" s="3">
        <v>0</v>
      </c>
      <c r="I585" s="3">
        <v>0</v>
      </c>
      <c r="J585" s="3">
        <v>0</v>
      </c>
      <c r="K585" s="3">
        <v>2</v>
      </c>
      <c r="L585" s="3">
        <v>0</v>
      </c>
      <c r="M585" s="3">
        <v>0</v>
      </c>
      <c r="N585" s="3" t="s">
        <v>341</v>
      </c>
      <c r="O585" s="3">
        <v>2</v>
      </c>
      <c r="P585" s="3">
        <v>2.89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 t="s">
        <v>381</v>
      </c>
      <c r="X585" s="3">
        <v>19.99</v>
      </c>
      <c r="Y585" s="3">
        <v>19.99</v>
      </c>
      <c r="Z585" s="3">
        <v>19.99</v>
      </c>
      <c r="AA585" s="3">
        <v>0</v>
      </c>
      <c r="AB585" s="3" t="s">
        <v>343</v>
      </c>
      <c r="AC585" s="3">
        <v>0</v>
      </c>
      <c r="AD585" s="3">
        <v>15.99</v>
      </c>
      <c r="AE585" s="3">
        <v>63</v>
      </c>
      <c r="AF585" s="3">
        <v>0</v>
      </c>
      <c r="AG585" s="3">
        <v>34.421337</v>
      </c>
      <c r="AH585" s="3">
        <v>0</v>
      </c>
      <c r="AI585" s="3" t="s">
        <v>2301</v>
      </c>
      <c r="AJ585" s="3" t="s">
        <v>345</v>
      </c>
    </row>
    <row r="586" spans="1:36">
      <c r="A586" s="4">
        <v>43288</v>
      </c>
      <c r="B586" s="3" t="s">
        <v>2342</v>
      </c>
      <c r="C586" s="3" t="s">
        <v>2343</v>
      </c>
      <c r="D586" s="3" t="s">
        <v>2344</v>
      </c>
      <c r="E586" s="3" t="s">
        <v>2345</v>
      </c>
      <c r="F586" s="3" t="s">
        <v>340</v>
      </c>
      <c r="G586" s="3">
        <v>2</v>
      </c>
      <c r="H586" s="3">
        <v>0</v>
      </c>
      <c r="I586" s="3">
        <v>0</v>
      </c>
      <c r="J586" s="3">
        <v>0</v>
      </c>
      <c r="K586" s="3">
        <v>0</v>
      </c>
      <c r="L586" s="3">
        <v>2</v>
      </c>
      <c r="M586" s="3">
        <v>0</v>
      </c>
      <c r="N586" s="3" t="s">
        <v>341</v>
      </c>
      <c r="O586" s="3">
        <v>2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s="3">
        <v>0</v>
      </c>
      <c r="W586" s="3" t="s">
        <v>342</v>
      </c>
      <c r="X586" s="3">
        <v>19.99</v>
      </c>
      <c r="Y586" s="3">
        <v>19.99</v>
      </c>
      <c r="Z586" s="3">
        <v>19.99</v>
      </c>
      <c r="AA586" s="3">
        <v>0</v>
      </c>
      <c r="AB586" s="3" t="s">
        <v>343</v>
      </c>
      <c r="AC586" s="3">
        <v>0</v>
      </c>
      <c r="AD586" s="3">
        <v>15.99</v>
      </c>
      <c r="AE586" s="3">
        <v>63</v>
      </c>
      <c r="AF586" s="3">
        <v>0</v>
      </c>
      <c r="AG586" s="3">
        <v>0.940753</v>
      </c>
      <c r="AH586" s="3">
        <v>0</v>
      </c>
      <c r="AI586" s="3" t="s">
        <v>728</v>
      </c>
      <c r="AJ586" s="3" t="s">
        <v>345</v>
      </c>
    </row>
    <row r="587" spans="1:36">
      <c r="A587" s="4">
        <v>43288</v>
      </c>
      <c r="B587" s="3" t="s">
        <v>2346</v>
      </c>
      <c r="C587" s="3" t="s">
        <v>2347</v>
      </c>
      <c r="D587" s="3" t="s">
        <v>2348</v>
      </c>
      <c r="E587" s="3" t="s">
        <v>1281</v>
      </c>
      <c r="F587" s="3" t="s">
        <v>340</v>
      </c>
      <c r="G587" s="3">
        <v>12</v>
      </c>
      <c r="H587" s="3">
        <v>0</v>
      </c>
      <c r="I587" s="3">
        <v>0</v>
      </c>
      <c r="J587" s="3">
        <v>1</v>
      </c>
      <c r="K587" s="3">
        <v>0</v>
      </c>
      <c r="L587" s="3">
        <v>11</v>
      </c>
      <c r="M587" s="3">
        <v>0</v>
      </c>
      <c r="N587" s="3" t="s">
        <v>341</v>
      </c>
      <c r="O587" s="3">
        <v>2</v>
      </c>
      <c r="P587" s="3">
        <v>1.57</v>
      </c>
      <c r="Q587" s="3">
        <v>10</v>
      </c>
      <c r="R587" s="3">
        <v>15.73</v>
      </c>
      <c r="S587" s="3">
        <v>0</v>
      </c>
      <c r="T587" s="3">
        <v>0</v>
      </c>
      <c r="U587" s="3">
        <v>0</v>
      </c>
      <c r="V587" s="3">
        <v>0</v>
      </c>
      <c r="W587" s="3" t="s">
        <v>342</v>
      </c>
      <c r="X587" s="3">
        <v>19.99</v>
      </c>
      <c r="Y587" s="3">
        <v>19.99</v>
      </c>
      <c r="Z587" s="3">
        <v>19.99</v>
      </c>
      <c r="AA587" s="3">
        <v>0</v>
      </c>
      <c r="AB587" s="3" t="s">
        <v>349</v>
      </c>
      <c r="AC587" s="3">
        <v>0</v>
      </c>
      <c r="AD587" s="3">
        <v>16.67</v>
      </c>
      <c r="AE587" s="3">
        <v>329</v>
      </c>
      <c r="AF587" s="3">
        <v>0</v>
      </c>
      <c r="AG587" s="3">
        <v>201.626882</v>
      </c>
      <c r="AH587" s="3">
        <v>0</v>
      </c>
      <c r="AI587" s="3" t="s">
        <v>2349</v>
      </c>
      <c r="AJ587" s="3" t="s">
        <v>345</v>
      </c>
    </row>
    <row r="588" spans="1:36">
      <c r="A588" s="4">
        <v>43288</v>
      </c>
      <c r="B588" s="3" t="s">
        <v>2350</v>
      </c>
      <c r="C588" s="3" t="s">
        <v>2351</v>
      </c>
      <c r="D588" s="3" t="s">
        <v>2352</v>
      </c>
      <c r="E588" s="3" t="s">
        <v>2353</v>
      </c>
      <c r="F588" s="3" t="s">
        <v>340</v>
      </c>
      <c r="G588" s="3">
        <v>2</v>
      </c>
      <c r="H588" s="3">
        <v>0</v>
      </c>
      <c r="I588" s="3">
        <v>0</v>
      </c>
      <c r="J588" s="3">
        <v>0</v>
      </c>
      <c r="K588" s="3">
        <v>2</v>
      </c>
      <c r="L588" s="3">
        <v>0</v>
      </c>
      <c r="M588" s="3">
        <v>0</v>
      </c>
      <c r="N588" s="3" t="s">
        <v>341</v>
      </c>
      <c r="O588" s="3">
        <v>2</v>
      </c>
      <c r="P588" s="3">
        <v>2.29</v>
      </c>
      <c r="Q588" s="3">
        <v>0</v>
      </c>
      <c r="R588" s="3">
        <v>0</v>
      </c>
      <c r="S588" s="3">
        <v>1</v>
      </c>
      <c r="T588" s="3">
        <v>1</v>
      </c>
      <c r="U588" s="3">
        <v>1</v>
      </c>
      <c r="V588" s="3">
        <v>2</v>
      </c>
      <c r="W588" s="3" t="s">
        <v>342</v>
      </c>
      <c r="X588" s="3">
        <v>17.99</v>
      </c>
      <c r="Y588" s="3">
        <v>17.99</v>
      </c>
      <c r="Z588" s="3">
        <v>17.99</v>
      </c>
      <c r="AA588" s="3">
        <v>0</v>
      </c>
      <c r="AB588" s="3" t="s">
        <v>349</v>
      </c>
      <c r="AC588" s="3">
        <v>0</v>
      </c>
      <c r="AD588" s="3">
        <v>16.25</v>
      </c>
      <c r="AE588" s="3">
        <v>119</v>
      </c>
      <c r="AF588" s="3">
        <v>0</v>
      </c>
      <c r="AG588" s="3">
        <v>38.244256</v>
      </c>
      <c r="AH588" s="3">
        <v>0.666666666666666</v>
      </c>
      <c r="AI588" s="3" t="s">
        <v>469</v>
      </c>
      <c r="AJ588" s="3" t="s">
        <v>345</v>
      </c>
    </row>
    <row r="589" spans="1:36">
      <c r="A589" s="4">
        <v>43288</v>
      </c>
      <c r="B589" s="3" t="s">
        <v>2354</v>
      </c>
      <c r="C589" s="3" t="s">
        <v>2355</v>
      </c>
      <c r="D589" s="3" t="s">
        <v>2356</v>
      </c>
      <c r="E589" s="3" t="s">
        <v>2357</v>
      </c>
      <c r="F589" s="3" t="s">
        <v>340</v>
      </c>
      <c r="G589" s="3">
        <v>3</v>
      </c>
      <c r="H589" s="3">
        <v>0</v>
      </c>
      <c r="I589" s="3">
        <v>0</v>
      </c>
      <c r="J589" s="3">
        <v>1</v>
      </c>
      <c r="K589" s="3">
        <v>2</v>
      </c>
      <c r="L589" s="3">
        <v>0</v>
      </c>
      <c r="M589" s="3">
        <v>0</v>
      </c>
      <c r="N589" s="3" t="s">
        <v>341</v>
      </c>
      <c r="O589" s="3">
        <v>3</v>
      </c>
      <c r="P589" s="3">
        <v>0</v>
      </c>
      <c r="Q589" s="3">
        <v>0</v>
      </c>
      <c r="R589" s="3">
        <v>0</v>
      </c>
      <c r="S589" s="3">
        <v>0</v>
      </c>
      <c r="T589" s="3">
        <v>0</v>
      </c>
      <c r="U589" s="3">
        <v>0</v>
      </c>
      <c r="V589" s="3">
        <v>0</v>
      </c>
      <c r="W589" s="3" t="s">
        <v>342</v>
      </c>
      <c r="X589" s="3">
        <v>16.99</v>
      </c>
      <c r="Y589" s="3">
        <v>16.99</v>
      </c>
      <c r="Z589" s="3">
        <v>16.99</v>
      </c>
      <c r="AA589" s="3">
        <v>0</v>
      </c>
      <c r="AB589" s="3" t="s">
        <v>349</v>
      </c>
      <c r="AC589" s="3">
        <v>0</v>
      </c>
      <c r="AD589" s="3">
        <v>15.88</v>
      </c>
      <c r="AE589" s="3">
        <v>154</v>
      </c>
      <c r="AF589" s="3">
        <v>0</v>
      </c>
      <c r="AG589" s="3">
        <v>28.746753</v>
      </c>
      <c r="AH589" s="3">
        <v>0</v>
      </c>
      <c r="AI589" s="3" t="s">
        <v>728</v>
      </c>
      <c r="AJ589" s="3" t="s">
        <v>345</v>
      </c>
    </row>
    <row r="590" spans="1:36">
      <c r="A590" s="4">
        <v>43288</v>
      </c>
      <c r="B590" s="3" t="s">
        <v>104</v>
      </c>
      <c r="C590" s="3" t="s">
        <v>105</v>
      </c>
      <c r="D590" s="3" t="s">
        <v>106</v>
      </c>
      <c r="E590" s="3" t="s">
        <v>107</v>
      </c>
      <c r="F590" s="3" t="s">
        <v>340</v>
      </c>
      <c r="G590" s="3">
        <v>1</v>
      </c>
      <c r="H590" s="3">
        <v>0</v>
      </c>
      <c r="I590" s="3">
        <v>0</v>
      </c>
      <c r="J590" s="3">
        <v>0</v>
      </c>
      <c r="K590" s="3">
        <v>1</v>
      </c>
      <c r="L590" s="3">
        <v>0</v>
      </c>
      <c r="M590" s="3">
        <v>0</v>
      </c>
      <c r="N590" s="3" t="s">
        <v>341</v>
      </c>
      <c r="O590" s="3">
        <v>1</v>
      </c>
      <c r="P590" s="3">
        <v>0.74</v>
      </c>
      <c r="Q590" s="3">
        <v>0</v>
      </c>
      <c r="R590" s="3">
        <v>0</v>
      </c>
      <c r="S590" s="3">
        <v>0</v>
      </c>
      <c r="T590" s="3">
        <v>0</v>
      </c>
      <c r="U590" s="3">
        <v>0</v>
      </c>
      <c r="V590" s="3">
        <v>0</v>
      </c>
      <c r="W590" s="3"/>
      <c r="X590" s="3"/>
      <c r="Y590" s="3"/>
      <c r="Z590" s="3">
        <v>-1</v>
      </c>
      <c r="AA590" s="3">
        <v>-1</v>
      </c>
      <c r="AB590" s="3" t="s">
        <v>493</v>
      </c>
      <c r="AC590" s="3">
        <v>0</v>
      </c>
      <c r="AD590" s="3">
        <v>0</v>
      </c>
      <c r="AE590" s="3">
        <v>0</v>
      </c>
      <c r="AF590" s="3">
        <v>0</v>
      </c>
      <c r="AG590" s="3">
        <v>0</v>
      </c>
      <c r="AH590" s="3">
        <v>0</v>
      </c>
      <c r="AI590" s="3" t="s">
        <v>2358</v>
      </c>
      <c r="AJ590" s="3" t="s">
        <v>345</v>
      </c>
    </row>
    <row r="591" spans="1:36">
      <c r="A591" s="4">
        <v>43288</v>
      </c>
      <c r="B591" s="3" t="s">
        <v>2359</v>
      </c>
      <c r="C591" s="3" t="s">
        <v>2360</v>
      </c>
      <c r="D591" s="3" t="s">
        <v>2361</v>
      </c>
      <c r="E591" s="3" t="s">
        <v>364</v>
      </c>
      <c r="F591" s="3" t="s">
        <v>340</v>
      </c>
      <c r="G591" s="3">
        <v>5</v>
      </c>
      <c r="H591" s="3">
        <v>0</v>
      </c>
      <c r="I591" s="3">
        <v>0</v>
      </c>
      <c r="J591" s="3">
        <v>5</v>
      </c>
      <c r="K591" s="3">
        <v>0</v>
      </c>
      <c r="L591" s="3">
        <v>0</v>
      </c>
      <c r="M591" s="3">
        <v>0</v>
      </c>
      <c r="N591" s="3" t="s">
        <v>341</v>
      </c>
      <c r="O591" s="3">
        <v>4</v>
      </c>
      <c r="P591" s="3">
        <v>7.23</v>
      </c>
      <c r="Q591" s="3">
        <v>0</v>
      </c>
      <c r="R591" s="3">
        <v>0</v>
      </c>
      <c r="S591" s="3">
        <v>0</v>
      </c>
      <c r="T591" s="3">
        <v>0</v>
      </c>
      <c r="U591" s="3">
        <v>0</v>
      </c>
      <c r="V591" s="3">
        <v>0</v>
      </c>
      <c r="W591" s="3" t="s">
        <v>342</v>
      </c>
      <c r="X591" s="3">
        <v>20.99</v>
      </c>
      <c r="Y591" s="3">
        <v>20.99</v>
      </c>
      <c r="Z591" s="3">
        <v>20.99</v>
      </c>
      <c r="AA591" s="3">
        <v>0</v>
      </c>
      <c r="AB591" s="3" t="s">
        <v>349</v>
      </c>
      <c r="AC591" s="3">
        <v>1</v>
      </c>
      <c r="AD591" s="3">
        <v>19.06</v>
      </c>
      <c r="AE591" s="3">
        <v>70</v>
      </c>
      <c r="AF591" s="3">
        <v>0</v>
      </c>
      <c r="AG591" s="3">
        <v>147.848777</v>
      </c>
      <c r="AH591" s="3">
        <v>0</v>
      </c>
      <c r="AI591" s="3" t="s">
        <v>863</v>
      </c>
      <c r="AJ591" s="3" t="s">
        <v>345</v>
      </c>
    </row>
    <row r="592" spans="1:36">
      <c r="A592" s="4">
        <v>43288</v>
      </c>
      <c r="B592" s="3" t="s">
        <v>2362</v>
      </c>
      <c r="C592" s="3" t="s">
        <v>2363</v>
      </c>
      <c r="D592" s="3" t="s">
        <v>2364</v>
      </c>
      <c r="E592" s="3" t="s">
        <v>2365</v>
      </c>
      <c r="F592" s="3" t="s">
        <v>340</v>
      </c>
      <c r="G592" s="3">
        <v>1</v>
      </c>
      <c r="H592" s="3">
        <v>0</v>
      </c>
      <c r="I592" s="3">
        <v>1</v>
      </c>
      <c r="J592" s="3">
        <v>0</v>
      </c>
      <c r="K592" s="3">
        <v>0</v>
      </c>
      <c r="L592" s="3">
        <v>0</v>
      </c>
      <c r="M592" s="3">
        <v>0</v>
      </c>
      <c r="N592" s="3" t="s">
        <v>341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342</v>
      </c>
      <c r="X592" s="3">
        <v>13.99</v>
      </c>
      <c r="Y592" s="3">
        <v>13.99</v>
      </c>
      <c r="Z592" s="3">
        <v>13.99</v>
      </c>
      <c r="AA592" s="3">
        <v>0</v>
      </c>
      <c r="AB592" s="3" t="s">
        <v>349</v>
      </c>
      <c r="AC592" s="3">
        <v>0</v>
      </c>
      <c r="AD592" s="3">
        <v>13.06</v>
      </c>
      <c r="AE592" s="3">
        <v>84</v>
      </c>
      <c r="AF592" s="3">
        <v>0</v>
      </c>
      <c r="AG592" s="3">
        <v>12.728551</v>
      </c>
      <c r="AH592" s="3">
        <v>0</v>
      </c>
      <c r="AI592" s="3" t="s">
        <v>702</v>
      </c>
      <c r="AJ592" s="3" t="s">
        <v>345</v>
      </c>
    </row>
    <row r="593" spans="1:36">
      <c r="A593" s="4">
        <v>43288</v>
      </c>
      <c r="B593" s="3" t="s">
        <v>2366</v>
      </c>
      <c r="C593" s="3" t="s">
        <v>2367</v>
      </c>
      <c r="D593" s="3" t="s">
        <v>2368</v>
      </c>
      <c r="E593" s="3" t="s">
        <v>2369</v>
      </c>
      <c r="F593" s="3" t="s">
        <v>340</v>
      </c>
      <c r="G593" s="3">
        <v>7</v>
      </c>
      <c r="H593" s="3">
        <v>0</v>
      </c>
      <c r="I593" s="3">
        <v>1</v>
      </c>
      <c r="J593" s="3">
        <v>3</v>
      </c>
      <c r="K593" s="3">
        <v>1</v>
      </c>
      <c r="L593" s="3">
        <v>2</v>
      </c>
      <c r="M593" s="3">
        <v>0</v>
      </c>
      <c r="N593" s="3" t="s">
        <v>341</v>
      </c>
      <c r="O593" s="3">
        <v>4</v>
      </c>
      <c r="P593" s="3">
        <v>5.02</v>
      </c>
      <c r="Q593" s="3">
        <v>0</v>
      </c>
      <c r="R593" s="3">
        <v>0</v>
      </c>
      <c r="S593" s="3">
        <v>1</v>
      </c>
      <c r="T593" s="3">
        <v>5</v>
      </c>
      <c r="U593" s="3">
        <v>9</v>
      </c>
      <c r="V593" s="3">
        <v>11</v>
      </c>
      <c r="W593" s="3" t="s">
        <v>342</v>
      </c>
      <c r="X593" s="3">
        <v>15.09</v>
      </c>
      <c r="Y593" s="3">
        <v>15.09</v>
      </c>
      <c r="Z593" s="3">
        <v>15.09</v>
      </c>
      <c r="AA593" s="3">
        <v>0</v>
      </c>
      <c r="AB593" s="3" t="s">
        <v>349</v>
      </c>
      <c r="AC593" s="3">
        <v>8</v>
      </c>
      <c r="AD593" s="3">
        <v>15.09</v>
      </c>
      <c r="AE593" s="3">
        <v>0</v>
      </c>
      <c r="AF593" s="3">
        <v>0</v>
      </c>
      <c r="AG593" s="3">
        <v>0</v>
      </c>
      <c r="AH593" s="3">
        <v>0.862745098039215</v>
      </c>
      <c r="AI593" s="3" t="s">
        <v>2370</v>
      </c>
      <c r="AJ593" s="3" t="s">
        <v>345</v>
      </c>
    </row>
    <row r="594" spans="1:36">
      <c r="A594" s="4">
        <v>43288</v>
      </c>
      <c r="B594" s="3" t="s">
        <v>2371</v>
      </c>
      <c r="C594" s="3" t="s">
        <v>2372</v>
      </c>
      <c r="D594" s="3" t="s">
        <v>2373</v>
      </c>
      <c r="E594" s="3" t="s">
        <v>613</v>
      </c>
      <c r="F594" s="3" t="s">
        <v>340</v>
      </c>
      <c r="G594" s="3">
        <v>5</v>
      </c>
      <c r="H594" s="3">
        <v>0</v>
      </c>
      <c r="I594" s="3">
        <v>0</v>
      </c>
      <c r="J594" s="3">
        <v>0</v>
      </c>
      <c r="K594" s="3">
        <v>5</v>
      </c>
      <c r="L594" s="3">
        <v>0</v>
      </c>
      <c r="M594" s="3">
        <v>0</v>
      </c>
      <c r="N594" s="3" t="s">
        <v>341</v>
      </c>
      <c r="O594" s="3">
        <v>5</v>
      </c>
      <c r="P594" s="3">
        <v>4.19</v>
      </c>
      <c r="Q594" s="3">
        <v>0</v>
      </c>
      <c r="R594" s="3">
        <v>0</v>
      </c>
      <c r="S594" s="3">
        <v>0</v>
      </c>
      <c r="T594" s="3">
        <v>0</v>
      </c>
      <c r="U594" s="3">
        <v>0</v>
      </c>
      <c r="V594" s="3">
        <v>0</v>
      </c>
      <c r="W594" s="3" t="s">
        <v>342</v>
      </c>
      <c r="X594" s="3">
        <v>12.99</v>
      </c>
      <c r="Y594" s="3">
        <v>12.99</v>
      </c>
      <c r="Z594" s="3">
        <v>12.99</v>
      </c>
      <c r="AA594" s="3">
        <v>0</v>
      </c>
      <c r="AB594" s="3" t="s">
        <v>349</v>
      </c>
      <c r="AC594" s="3">
        <v>0</v>
      </c>
      <c r="AD594" s="3">
        <v>11.64</v>
      </c>
      <c r="AE594" s="3">
        <v>161</v>
      </c>
      <c r="AF594" s="3">
        <v>0</v>
      </c>
      <c r="AG594" s="3">
        <v>72.499799</v>
      </c>
      <c r="AH594" s="3">
        <v>0</v>
      </c>
      <c r="AI594" s="3" t="s">
        <v>849</v>
      </c>
      <c r="AJ594" s="3" t="s">
        <v>345</v>
      </c>
    </row>
    <row r="595" spans="1:36">
      <c r="A595" s="4">
        <v>43288</v>
      </c>
      <c r="B595" s="3" t="s">
        <v>2374</v>
      </c>
      <c r="C595" s="3" t="s">
        <v>2375</v>
      </c>
      <c r="D595" s="3" t="s">
        <v>2376</v>
      </c>
      <c r="E595" s="3" t="s">
        <v>2377</v>
      </c>
      <c r="F595" s="3" t="s">
        <v>340</v>
      </c>
      <c r="G595" s="3">
        <v>10</v>
      </c>
      <c r="H595" s="3">
        <v>0</v>
      </c>
      <c r="I595" s="3">
        <v>1</v>
      </c>
      <c r="J595" s="3">
        <v>9</v>
      </c>
      <c r="K595" s="3">
        <v>0</v>
      </c>
      <c r="L595" s="3">
        <v>0</v>
      </c>
      <c r="M595" s="3">
        <v>0</v>
      </c>
      <c r="N595" s="3" t="s">
        <v>341</v>
      </c>
      <c r="O595" s="3">
        <v>9</v>
      </c>
      <c r="P595" s="3">
        <v>11.21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342</v>
      </c>
      <c r="X595" s="3">
        <v>15.99</v>
      </c>
      <c r="Y595" s="3">
        <v>15.99</v>
      </c>
      <c r="Z595" s="3">
        <v>15.99</v>
      </c>
      <c r="AA595" s="3">
        <v>0</v>
      </c>
      <c r="AB595" s="3" t="s">
        <v>349</v>
      </c>
      <c r="AC595" s="3">
        <v>0</v>
      </c>
      <c r="AD595" s="3">
        <v>13.47</v>
      </c>
      <c r="AE595" s="3">
        <v>252</v>
      </c>
      <c r="AF595" s="3">
        <v>0</v>
      </c>
      <c r="AG595" s="3">
        <v>194.977248</v>
      </c>
      <c r="AH595" s="3">
        <v>0</v>
      </c>
      <c r="AI595" s="3" t="s">
        <v>714</v>
      </c>
      <c r="AJ595" s="3" t="s">
        <v>345</v>
      </c>
    </row>
    <row r="596" spans="1:36">
      <c r="A596" s="4">
        <v>43288</v>
      </c>
      <c r="B596" s="3" t="s">
        <v>73</v>
      </c>
      <c r="C596" s="3" t="s">
        <v>74</v>
      </c>
      <c r="D596" s="3" t="s">
        <v>75</v>
      </c>
      <c r="E596" s="3" t="s">
        <v>76</v>
      </c>
      <c r="F596" s="3" t="s">
        <v>340</v>
      </c>
      <c r="G596" s="3">
        <v>91</v>
      </c>
      <c r="H596" s="3">
        <v>0</v>
      </c>
      <c r="I596" s="3">
        <v>91</v>
      </c>
      <c r="J596" s="3">
        <v>0</v>
      </c>
      <c r="K596" s="3">
        <v>0</v>
      </c>
      <c r="L596" s="3">
        <v>0</v>
      </c>
      <c r="M596" s="3">
        <v>0</v>
      </c>
      <c r="N596" s="3" t="s">
        <v>341</v>
      </c>
      <c r="O596" s="3">
        <v>0</v>
      </c>
      <c r="P596" s="3">
        <v>0</v>
      </c>
      <c r="Q596" s="3">
        <v>0</v>
      </c>
      <c r="R596" s="3">
        <v>0</v>
      </c>
      <c r="S596" s="3">
        <v>37</v>
      </c>
      <c r="T596" s="3">
        <v>203</v>
      </c>
      <c r="U596" s="3">
        <v>343</v>
      </c>
      <c r="V596" s="3">
        <v>470</v>
      </c>
      <c r="W596" s="3"/>
      <c r="X596" s="3">
        <v>18.99</v>
      </c>
      <c r="Y596" s="3">
        <v>18.99</v>
      </c>
      <c r="Z596" s="3">
        <v>18.99</v>
      </c>
      <c r="AA596" s="3">
        <v>0</v>
      </c>
      <c r="AB596" s="3" t="s">
        <v>359</v>
      </c>
      <c r="AC596" s="3">
        <v>66</v>
      </c>
      <c r="AD596" s="3">
        <v>18.99</v>
      </c>
      <c r="AE596" s="3">
        <v>0</v>
      </c>
      <c r="AF596" s="3">
        <v>0</v>
      </c>
      <c r="AG596" s="3">
        <v>0</v>
      </c>
      <c r="AH596" s="3">
        <v>2.67045454545454</v>
      </c>
      <c r="AI596" s="3" t="s">
        <v>1613</v>
      </c>
      <c r="AJ596" s="3" t="s">
        <v>345</v>
      </c>
    </row>
    <row r="597" spans="1:36">
      <c r="A597" s="4">
        <v>43288</v>
      </c>
      <c r="B597" s="3" t="s">
        <v>2378</v>
      </c>
      <c r="C597" s="3" t="s">
        <v>2379</v>
      </c>
      <c r="D597" s="3" t="s">
        <v>2380</v>
      </c>
      <c r="E597" s="3" t="s">
        <v>2381</v>
      </c>
      <c r="F597" s="3" t="s">
        <v>340</v>
      </c>
      <c r="G597" s="3">
        <v>2</v>
      </c>
      <c r="H597" s="3">
        <v>0</v>
      </c>
      <c r="I597" s="3">
        <v>0</v>
      </c>
      <c r="J597" s="3">
        <v>2</v>
      </c>
      <c r="K597" s="3">
        <v>0</v>
      </c>
      <c r="L597" s="3">
        <v>0</v>
      </c>
      <c r="M597" s="3">
        <v>0</v>
      </c>
      <c r="N597" s="3" t="s">
        <v>341</v>
      </c>
      <c r="O597" s="3">
        <v>2</v>
      </c>
      <c r="P597" s="3">
        <v>2.49</v>
      </c>
      <c r="Q597" s="3">
        <v>0</v>
      </c>
      <c r="R597" s="3">
        <v>0</v>
      </c>
      <c r="S597" s="3">
        <v>0</v>
      </c>
      <c r="T597" s="3">
        <v>0</v>
      </c>
      <c r="U597" s="3">
        <v>0</v>
      </c>
      <c r="V597" s="3">
        <v>0</v>
      </c>
      <c r="W597" s="3" t="s">
        <v>342</v>
      </c>
      <c r="X597" s="3">
        <v>15.99</v>
      </c>
      <c r="Y597" s="3">
        <v>15.99</v>
      </c>
      <c r="Z597" s="3">
        <v>15.99</v>
      </c>
      <c r="AA597" s="3">
        <v>0</v>
      </c>
      <c r="AB597" s="3" t="s">
        <v>349</v>
      </c>
      <c r="AC597" s="3">
        <v>0</v>
      </c>
      <c r="AD597" s="3">
        <v>14.43</v>
      </c>
      <c r="AE597" s="3">
        <v>56</v>
      </c>
      <c r="AF597" s="3">
        <v>0</v>
      </c>
      <c r="AG597" s="3">
        <v>43.122952</v>
      </c>
      <c r="AH597" s="3">
        <v>0</v>
      </c>
      <c r="AI597" s="3" t="s">
        <v>397</v>
      </c>
      <c r="AJ597" s="3" t="s">
        <v>345</v>
      </c>
    </row>
    <row r="598" spans="1:36">
      <c r="A598" s="4">
        <v>43288</v>
      </c>
      <c r="B598" s="3" t="s">
        <v>2382</v>
      </c>
      <c r="C598" s="3" t="s">
        <v>2383</v>
      </c>
      <c r="D598" s="3" t="s">
        <v>2384</v>
      </c>
      <c r="E598" s="3" t="s">
        <v>11</v>
      </c>
      <c r="F598" s="3" t="s">
        <v>340</v>
      </c>
      <c r="G598" s="3">
        <v>1</v>
      </c>
      <c r="H598" s="3">
        <v>0</v>
      </c>
      <c r="I598" s="3">
        <v>0</v>
      </c>
      <c r="J598" s="3">
        <v>1</v>
      </c>
      <c r="K598" s="3">
        <v>0</v>
      </c>
      <c r="L598" s="3">
        <v>0</v>
      </c>
      <c r="M598" s="3">
        <v>0</v>
      </c>
      <c r="N598" s="3" t="s">
        <v>341</v>
      </c>
      <c r="O598" s="3">
        <v>1</v>
      </c>
      <c r="P598" s="3">
        <v>2.32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342</v>
      </c>
      <c r="X598" s="3">
        <v>20.99</v>
      </c>
      <c r="Y598" s="3">
        <v>20.99</v>
      </c>
      <c r="Z598" s="3">
        <v>20.99</v>
      </c>
      <c r="AA598" s="3">
        <v>0</v>
      </c>
      <c r="AB598" s="3" t="s">
        <v>349</v>
      </c>
      <c r="AC598" s="3">
        <v>1</v>
      </c>
      <c r="AD598" s="3">
        <v>20.99</v>
      </c>
      <c r="AE598" s="3">
        <v>0</v>
      </c>
      <c r="AF598" s="3">
        <v>0</v>
      </c>
      <c r="AG598" s="3">
        <v>0</v>
      </c>
      <c r="AH598" s="3">
        <v>0</v>
      </c>
      <c r="AI598" s="3" t="s">
        <v>750</v>
      </c>
      <c r="AJ598" s="3" t="s">
        <v>345</v>
      </c>
    </row>
    <row r="599" spans="1:36">
      <c r="A599" s="4">
        <v>43288</v>
      </c>
      <c r="B599" s="3" t="s">
        <v>2385</v>
      </c>
      <c r="C599" s="3" t="s">
        <v>2386</v>
      </c>
      <c r="D599" s="3" t="s">
        <v>2387</v>
      </c>
      <c r="E599" s="3" t="s">
        <v>835</v>
      </c>
      <c r="F599" s="3" t="s">
        <v>340</v>
      </c>
      <c r="G599" s="3">
        <v>1</v>
      </c>
      <c r="H599" s="3">
        <v>0</v>
      </c>
      <c r="I599" s="3">
        <v>0</v>
      </c>
      <c r="J599" s="3">
        <v>0</v>
      </c>
      <c r="K599" s="3">
        <v>1</v>
      </c>
      <c r="L599" s="3">
        <v>0</v>
      </c>
      <c r="M599" s="3">
        <v>0</v>
      </c>
      <c r="N599" s="3" t="s">
        <v>341</v>
      </c>
      <c r="O599" s="3">
        <v>1</v>
      </c>
      <c r="P599" s="3">
        <v>0.94</v>
      </c>
      <c r="Q599" s="3">
        <v>0</v>
      </c>
      <c r="R599" s="3">
        <v>0</v>
      </c>
      <c r="S599" s="3">
        <v>0</v>
      </c>
      <c r="T599" s="3">
        <v>0</v>
      </c>
      <c r="U599" s="3">
        <v>0</v>
      </c>
      <c r="V599" s="3">
        <v>0</v>
      </c>
      <c r="W599" s="3" t="s">
        <v>342</v>
      </c>
      <c r="X599" s="3">
        <v>14.9</v>
      </c>
      <c r="Y599" s="3">
        <v>14.9</v>
      </c>
      <c r="Z599" s="3">
        <v>14.9</v>
      </c>
      <c r="AA599" s="3">
        <v>0</v>
      </c>
      <c r="AB599" s="3" t="s">
        <v>349</v>
      </c>
      <c r="AC599" s="3">
        <v>0</v>
      </c>
      <c r="AD599" s="3">
        <v>13.53</v>
      </c>
      <c r="AE599" s="3">
        <v>147</v>
      </c>
      <c r="AF599" s="3">
        <v>0</v>
      </c>
      <c r="AG599" s="3">
        <v>16.029905</v>
      </c>
      <c r="AH599" s="3">
        <v>0</v>
      </c>
      <c r="AI599" s="3" t="s">
        <v>836</v>
      </c>
      <c r="AJ599" s="3" t="s">
        <v>345</v>
      </c>
    </row>
    <row r="600" spans="1:36">
      <c r="A600" s="4">
        <v>43288</v>
      </c>
      <c r="B600" s="3" t="s">
        <v>2388</v>
      </c>
      <c r="C600" s="3" t="s">
        <v>2389</v>
      </c>
      <c r="D600" s="3" t="s">
        <v>2390</v>
      </c>
      <c r="E600" s="3" t="s">
        <v>991</v>
      </c>
      <c r="F600" s="3" t="s">
        <v>340</v>
      </c>
      <c r="G600" s="3">
        <v>14</v>
      </c>
      <c r="H600" s="3">
        <v>0</v>
      </c>
      <c r="I600" s="3">
        <v>0</v>
      </c>
      <c r="J600" s="3">
        <v>1</v>
      </c>
      <c r="K600" s="3">
        <v>3</v>
      </c>
      <c r="L600" s="3">
        <v>10</v>
      </c>
      <c r="M600" s="3">
        <v>0</v>
      </c>
      <c r="N600" s="3" t="s">
        <v>341</v>
      </c>
      <c r="O600" s="3">
        <v>6</v>
      </c>
      <c r="P600" s="3">
        <v>3.97</v>
      </c>
      <c r="Q600" s="3">
        <v>7</v>
      </c>
      <c r="R600" s="3">
        <v>9.26</v>
      </c>
      <c r="S600" s="3">
        <v>0</v>
      </c>
      <c r="T600" s="3">
        <v>0</v>
      </c>
      <c r="U600" s="3">
        <v>2</v>
      </c>
      <c r="V600" s="3">
        <v>2</v>
      </c>
      <c r="W600" s="3" t="s">
        <v>342</v>
      </c>
      <c r="X600" s="3">
        <v>16.99</v>
      </c>
      <c r="Y600" s="3">
        <v>16.99</v>
      </c>
      <c r="Z600" s="3">
        <v>16.99</v>
      </c>
      <c r="AA600" s="3">
        <v>0</v>
      </c>
      <c r="AB600" s="3" t="s">
        <v>349</v>
      </c>
      <c r="AC600" s="3">
        <v>2</v>
      </c>
      <c r="AD600" s="3">
        <v>15.51</v>
      </c>
      <c r="AE600" s="3">
        <v>140</v>
      </c>
      <c r="AF600" s="3">
        <v>0</v>
      </c>
      <c r="AG600" s="3">
        <v>219.315869</v>
      </c>
      <c r="AH600" s="3">
        <v>0.131147540983606</v>
      </c>
      <c r="AI600" s="3" t="s">
        <v>2391</v>
      </c>
      <c r="AJ600" s="3" t="s">
        <v>345</v>
      </c>
    </row>
    <row r="601" spans="1:36">
      <c r="A601" s="4">
        <v>43288</v>
      </c>
      <c r="B601" s="3" t="s">
        <v>2392</v>
      </c>
      <c r="C601" s="3" t="s">
        <v>2393</v>
      </c>
      <c r="D601" s="3" t="s">
        <v>2394</v>
      </c>
      <c r="E601" s="3" t="s">
        <v>2395</v>
      </c>
      <c r="F601" s="3" t="s">
        <v>340</v>
      </c>
      <c r="G601" s="3">
        <v>3</v>
      </c>
      <c r="H601" s="3">
        <v>0</v>
      </c>
      <c r="I601" s="3">
        <v>0</v>
      </c>
      <c r="J601" s="3">
        <v>0</v>
      </c>
      <c r="K601" s="3">
        <v>1</v>
      </c>
      <c r="L601" s="3">
        <v>2</v>
      </c>
      <c r="M601" s="3">
        <v>0</v>
      </c>
      <c r="N601" s="3" t="s">
        <v>341</v>
      </c>
      <c r="O601" s="3">
        <v>1</v>
      </c>
      <c r="P601" s="3">
        <v>1.05</v>
      </c>
      <c r="Q601" s="3">
        <v>2</v>
      </c>
      <c r="R601" s="3">
        <v>4.19</v>
      </c>
      <c r="S601" s="3">
        <v>0</v>
      </c>
      <c r="T601" s="3">
        <v>0</v>
      </c>
      <c r="U601" s="3">
        <v>0</v>
      </c>
      <c r="V601" s="3">
        <v>0</v>
      </c>
      <c r="W601" s="3" t="s">
        <v>381</v>
      </c>
      <c r="X601" s="3">
        <v>19.99</v>
      </c>
      <c r="Y601" s="3">
        <v>19.99</v>
      </c>
      <c r="Z601" s="3">
        <v>19.99</v>
      </c>
      <c r="AA601" s="3">
        <v>0</v>
      </c>
      <c r="AB601" s="3" t="s">
        <v>343</v>
      </c>
      <c r="AC601" s="3">
        <v>0</v>
      </c>
      <c r="AD601" s="3">
        <v>17.4</v>
      </c>
      <c r="AE601" s="3">
        <v>245</v>
      </c>
      <c r="AF601" s="3">
        <v>0</v>
      </c>
      <c r="AG601" s="3">
        <v>59.358835</v>
      </c>
      <c r="AH601" s="3">
        <v>0</v>
      </c>
      <c r="AI601" s="3" t="s">
        <v>1137</v>
      </c>
      <c r="AJ601" s="3" t="s">
        <v>345</v>
      </c>
    </row>
    <row r="602" spans="1:36">
      <c r="A602" s="4">
        <v>43288</v>
      </c>
      <c r="B602" s="3" t="s">
        <v>19</v>
      </c>
      <c r="C602" s="3" t="s">
        <v>20</v>
      </c>
      <c r="D602" s="3" t="s">
        <v>21</v>
      </c>
      <c r="E602" s="3" t="s">
        <v>22</v>
      </c>
      <c r="F602" s="3" t="s">
        <v>340</v>
      </c>
      <c r="G602" s="3">
        <v>5</v>
      </c>
      <c r="H602" s="3">
        <v>0</v>
      </c>
      <c r="I602" s="3">
        <v>5</v>
      </c>
      <c r="J602" s="3">
        <v>0</v>
      </c>
      <c r="K602" s="3">
        <v>0</v>
      </c>
      <c r="L602" s="3">
        <v>0</v>
      </c>
      <c r="M602" s="3">
        <v>0</v>
      </c>
      <c r="N602" s="3" t="s">
        <v>341</v>
      </c>
      <c r="O602" s="3">
        <v>0</v>
      </c>
      <c r="P602" s="3">
        <v>0</v>
      </c>
      <c r="Q602" s="3">
        <v>0</v>
      </c>
      <c r="R602" s="3">
        <v>0</v>
      </c>
      <c r="S602" s="3">
        <v>1</v>
      </c>
      <c r="T602" s="3">
        <v>14</v>
      </c>
      <c r="U602" s="3">
        <v>31</v>
      </c>
      <c r="V602" s="3">
        <v>39</v>
      </c>
      <c r="W602" s="3"/>
      <c r="X602" s="3">
        <v>35</v>
      </c>
      <c r="Y602" s="3">
        <v>16.99</v>
      </c>
      <c r="Z602" s="3">
        <v>16.99</v>
      </c>
      <c r="AA602" s="3">
        <v>0</v>
      </c>
      <c r="AB602" s="3" t="s">
        <v>359</v>
      </c>
      <c r="AC602" s="3">
        <v>5</v>
      </c>
      <c r="AD602" s="3">
        <v>16.99</v>
      </c>
      <c r="AE602" s="3">
        <v>0</v>
      </c>
      <c r="AF602" s="3">
        <v>0</v>
      </c>
      <c r="AG602" s="3">
        <v>0</v>
      </c>
      <c r="AH602" s="3">
        <v>8.21052631578947</v>
      </c>
      <c r="AI602" s="3" t="s">
        <v>421</v>
      </c>
      <c r="AJ602" s="3" t="s">
        <v>345</v>
      </c>
    </row>
    <row r="603" spans="1:36">
      <c r="A603" s="4">
        <v>43288</v>
      </c>
      <c r="B603" s="3" t="s">
        <v>61</v>
      </c>
      <c r="C603" s="3" t="s">
        <v>62</v>
      </c>
      <c r="D603" s="3" t="s">
        <v>63</v>
      </c>
      <c r="E603" s="3" t="s">
        <v>64</v>
      </c>
      <c r="F603" s="3" t="s">
        <v>340</v>
      </c>
      <c r="G603" s="3">
        <v>20</v>
      </c>
      <c r="H603" s="3">
        <v>0</v>
      </c>
      <c r="I603" s="3">
        <v>20</v>
      </c>
      <c r="J603" s="3">
        <v>0</v>
      </c>
      <c r="K603" s="3">
        <v>0</v>
      </c>
      <c r="L603" s="3">
        <v>0</v>
      </c>
      <c r="M603" s="3">
        <v>0</v>
      </c>
      <c r="N603" s="3" t="s">
        <v>341</v>
      </c>
      <c r="O603" s="3">
        <v>0</v>
      </c>
      <c r="P603" s="3">
        <v>0</v>
      </c>
      <c r="Q603" s="3">
        <v>0</v>
      </c>
      <c r="R603" s="3">
        <v>0</v>
      </c>
      <c r="S603" s="3">
        <v>6</v>
      </c>
      <c r="T603" s="3">
        <v>40</v>
      </c>
      <c r="U603" s="3">
        <v>77</v>
      </c>
      <c r="V603" s="3">
        <v>102</v>
      </c>
      <c r="W603" s="3"/>
      <c r="X603" s="3">
        <v>16.99</v>
      </c>
      <c r="Y603" s="3">
        <v>16.99</v>
      </c>
      <c r="Z603" s="3">
        <v>16.99</v>
      </c>
      <c r="AA603" s="3">
        <v>0</v>
      </c>
      <c r="AB603" s="3" t="s">
        <v>359</v>
      </c>
      <c r="AC603" s="3">
        <v>8</v>
      </c>
      <c r="AD603" s="3">
        <v>16.99</v>
      </c>
      <c r="AE603" s="3">
        <v>0</v>
      </c>
      <c r="AF603" s="3">
        <v>0</v>
      </c>
      <c r="AG603" s="3">
        <v>0</v>
      </c>
      <c r="AH603" s="3">
        <v>6.91525423728813</v>
      </c>
      <c r="AI603" s="3" t="s">
        <v>1634</v>
      </c>
      <c r="AJ603" s="3" t="s">
        <v>345</v>
      </c>
    </row>
    <row r="604" spans="1:36">
      <c r="A604" s="4">
        <v>43288</v>
      </c>
      <c r="B604" s="3" t="s">
        <v>2396</v>
      </c>
      <c r="C604" s="3" t="s">
        <v>2397</v>
      </c>
      <c r="D604" s="3" t="s">
        <v>2398</v>
      </c>
      <c r="E604" s="3" t="s">
        <v>2399</v>
      </c>
      <c r="F604" s="3" t="s">
        <v>340</v>
      </c>
      <c r="G604" s="3">
        <v>9</v>
      </c>
      <c r="H604" s="3">
        <v>0</v>
      </c>
      <c r="I604" s="3">
        <v>1</v>
      </c>
      <c r="J604" s="3">
        <v>8</v>
      </c>
      <c r="K604" s="3">
        <v>0</v>
      </c>
      <c r="L604" s="3">
        <v>0</v>
      </c>
      <c r="M604" s="3">
        <v>0</v>
      </c>
      <c r="N604" s="3" t="s">
        <v>341</v>
      </c>
      <c r="O604" s="3">
        <v>5</v>
      </c>
      <c r="P604" s="3">
        <v>7.36</v>
      </c>
      <c r="Q604" s="3">
        <v>0</v>
      </c>
      <c r="R604" s="3">
        <v>0</v>
      </c>
      <c r="S604" s="3">
        <v>0</v>
      </c>
      <c r="T604" s="3">
        <v>0</v>
      </c>
      <c r="U604" s="3">
        <v>1</v>
      </c>
      <c r="V604" s="3">
        <v>1</v>
      </c>
      <c r="W604" s="3" t="s">
        <v>381</v>
      </c>
      <c r="X604" s="3">
        <v>17.99</v>
      </c>
      <c r="Y604" s="3">
        <v>17.99</v>
      </c>
      <c r="Z604" s="3">
        <v>17.99</v>
      </c>
      <c r="AA604" s="3">
        <v>0</v>
      </c>
      <c r="AB604" s="3" t="s">
        <v>343</v>
      </c>
      <c r="AC604" s="3">
        <v>4</v>
      </c>
      <c r="AD604" s="3">
        <v>16.71</v>
      </c>
      <c r="AE604" s="3">
        <v>35</v>
      </c>
      <c r="AF604" s="3">
        <v>0</v>
      </c>
      <c r="AG604" s="3">
        <v>238.105933</v>
      </c>
      <c r="AH604" s="3">
        <v>0.0816326530612244</v>
      </c>
      <c r="AI604" s="3" t="s">
        <v>1012</v>
      </c>
      <c r="AJ604" s="3" t="s">
        <v>345</v>
      </c>
    </row>
    <row r="605" spans="1:36">
      <c r="A605" s="4">
        <v>43288</v>
      </c>
      <c r="B605" s="3" t="s">
        <v>2400</v>
      </c>
      <c r="C605" s="3" t="s">
        <v>2401</v>
      </c>
      <c r="D605" s="3" t="s">
        <v>2402</v>
      </c>
      <c r="E605" s="3" t="s">
        <v>2403</v>
      </c>
      <c r="F605" s="3" t="s">
        <v>340</v>
      </c>
      <c r="G605" s="3">
        <v>1</v>
      </c>
      <c r="H605" s="3">
        <v>0</v>
      </c>
      <c r="I605" s="3">
        <v>0</v>
      </c>
      <c r="J605" s="3">
        <v>1</v>
      </c>
      <c r="K605" s="3">
        <v>0</v>
      </c>
      <c r="L605" s="3">
        <v>0</v>
      </c>
      <c r="M605" s="3">
        <v>0</v>
      </c>
      <c r="N605" s="3" t="s">
        <v>341</v>
      </c>
      <c r="O605" s="3">
        <v>0</v>
      </c>
      <c r="P605" s="3">
        <v>0</v>
      </c>
      <c r="Q605" s="3">
        <v>0</v>
      </c>
      <c r="R605" s="3">
        <v>0</v>
      </c>
      <c r="S605" s="3">
        <v>0</v>
      </c>
      <c r="T605" s="3">
        <v>0</v>
      </c>
      <c r="U605" s="3">
        <v>0</v>
      </c>
      <c r="V605" s="3">
        <v>0</v>
      </c>
      <c r="W605" s="3" t="s">
        <v>342</v>
      </c>
      <c r="X605" s="3">
        <v>19.99</v>
      </c>
      <c r="Y605" s="3">
        <v>19.99</v>
      </c>
      <c r="Z605" s="3">
        <v>19.99</v>
      </c>
      <c r="AA605" s="3">
        <v>0</v>
      </c>
      <c r="AB605" s="3" t="s">
        <v>349</v>
      </c>
      <c r="AC605" s="3">
        <v>0</v>
      </c>
      <c r="AD605" s="3">
        <v>18.72</v>
      </c>
      <c r="AE605" s="3">
        <v>91</v>
      </c>
      <c r="AF605" s="3">
        <v>0</v>
      </c>
      <c r="AG605" s="3">
        <v>18.670653</v>
      </c>
      <c r="AH605" s="3">
        <v>0</v>
      </c>
      <c r="AI605" s="3" t="s">
        <v>2404</v>
      </c>
      <c r="AJ605" s="3" t="s">
        <v>345</v>
      </c>
    </row>
    <row r="606" spans="1:36">
      <c r="A606" s="4">
        <v>43288</v>
      </c>
      <c r="B606" s="3" t="s">
        <v>2405</v>
      </c>
      <c r="C606" s="3" t="s">
        <v>2406</v>
      </c>
      <c r="D606" s="3" t="s">
        <v>2407</v>
      </c>
      <c r="E606" s="3" t="s">
        <v>477</v>
      </c>
      <c r="F606" s="3" t="s">
        <v>340</v>
      </c>
      <c r="G606" s="3">
        <v>1</v>
      </c>
      <c r="H606" s="3">
        <v>0</v>
      </c>
      <c r="I606" s="3">
        <v>0</v>
      </c>
      <c r="J606" s="3">
        <v>0</v>
      </c>
      <c r="K606" s="3">
        <v>0</v>
      </c>
      <c r="L606" s="3">
        <v>1</v>
      </c>
      <c r="M606" s="3">
        <v>0</v>
      </c>
      <c r="N606" s="3" t="s">
        <v>341</v>
      </c>
      <c r="O606" s="3">
        <v>0</v>
      </c>
      <c r="P606" s="3">
        <v>0</v>
      </c>
      <c r="Q606" s="3">
        <v>1</v>
      </c>
      <c r="R606" s="3">
        <v>3.17</v>
      </c>
      <c r="S606" s="3">
        <v>0</v>
      </c>
      <c r="T606" s="3">
        <v>0</v>
      </c>
      <c r="U606" s="3">
        <v>0</v>
      </c>
      <c r="V606" s="3">
        <v>0</v>
      </c>
      <c r="W606" s="3" t="s">
        <v>342</v>
      </c>
      <c r="X606" s="3">
        <v>18.18</v>
      </c>
      <c r="Y606" s="3">
        <v>18.18</v>
      </c>
      <c r="Z606" s="3">
        <v>18.18</v>
      </c>
      <c r="AA606" s="3">
        <v>0</v>
      </c>
      <c r="AB606" s="3" t="s">
        <v>359</v>
      </c>
      <c r="AC606" s="3">
        <v>1</v>
      </c>
      <c r="AD606" s="3">
        <v>18.18</v>
      </c>
      <c r="AE606" s="3">
        <v>0</v>
      </c>
      <c r="AF606" s="3">
        <v>0</v>
      </c>
      <c r="AG606" s="3">
        <v>0</v>
      </c>
      <c r="AH606" s="3">
        <v>0</v>
      </c>
      <c r="AI606" s="3" t="s">
        <v>497</v>
      </c>
      <c r="AJ606" s="3" t="s">
        <v>345</v>
      </c>
    </row>
    <row r="607" spans="1:36">
      <c r="A607" s="4">
        <v>43288</v>
      </c>
      <c r="B607" s="3" t="s">
        <v>2408</v>
      </c>
      <c r="C607" s="3" t="s">
        <v>2409</v>
      </c>
      <c r="D607" s="3" t="s">
        <v>2410</v>
      </c>
      <c r="E607" s="3" t="s">
        <v>2411</v>
      </c>
      <c r="F607" s="3" t="s">
        <v>340</v>
      </c>
      <c r="G607" s="3">
        <v>1</v>
      </c>
      <c r="H607" s="3">
        <v>0</v>
      </c>
      <c r="I607" s="3">
        <v>1</v>
      </c>
      <c r="J607" s="3">
        <v>0</v>
      </c>
      <c r="K607" s="3">
        <v>0</v>
      </c>
      <c r="L607" s="3">
        <v>0</v>
      </c>
      <c r="M607" s="3">
        <v>0</v>
      </c>
      <c r="N607" s="3" t="s">
        <v>341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0</v>
      </c>
      <c r="W607" s="3" t="s">
        <v>342</v>
      </c>
      <c r="X607" s="3">
        <v>15.99</v>
      </c>
      <c r="Y607" s="3">
        <v>15.99</v>
      </c>
      <c r="Z607" s="3">
        <v>15.99</v>
      </c>
      <c r="AA607" s="3">
        <v>0</v>
      </c>
      <c r="AB607" s="3" t="s">
        <v>349</v>
      </c>
      <c r="AC607" s="3">
        <v>0</v>
      </c>
      <c r="AD607" s="3">
        <v>15.12</v>
      </c>
      <c r="AE607" s="3">
        <v>21</v>
      </c>
      <c r="AF607" s="3">
        <v>0</v>
      </c>
      <c r="AG607" s="3">
        <v>14.162064</v>
      </c>
      <c r="AH607" s="3">
        <v>0</v>
      </c>
      <c r="AI607" s="3" t="s">
        <v>397</v>
      </c>
      <c r="AJ607" s="3" t="s">
        <v>345</v>
      </c>
    </row>
    <row r="608" spans="1:36">
      <c r="A608" s="4">
        <v>43288</v>
      </c>
      <c r="B608" s="3" t="s">
        <v>280</v>
      </c>
      <c r="C608" s="3" t="s">
        <v>281</v>
      </c>
      <c r="D608" s="3" t="s">
        <v>282</v>
      </c>
      <c r="E608" s="3" t="s">
        <v>221</v>
      </c>
      <c r="F608" s="3" t="s">
        <v>340</v>
      </c>
      <c r="G608" s="3">
        <v>5</v>
      </c>
      <c r="H608" s="3">
        <v>0</v>
      </c>
      <c r="I608" s="3">
        <v>5</v>
      </c>
      <c r="J608" s="3">
        <v>0</v>
      </c>
      <c r="K608" s="3">
        <v>0</v>
      </c>
      <c r="L608" s="3">
        <v>0</v>
      </c>
      <c r="M608" s="3">
        <v>0</v>
      </c>
      <c r="N608" s="3" t="s">
        <v>341</v>
      </c>
      <c r="O608" s="3">
        <v>0</v>
      </c>
      <c r="P608" s="3">
        <v>0</v>
      </c>
      <c r="Q608" s="3">
        <v>0</v>
      </c>
      <c r="R608" s="3">
        <v>0</v>
      </c>
      <c r="S608" s="3">
        <v>4</v>
      </c>
      <c r="T608" s="3">
        <v>13</v>
      </c>
      <c r="U608" s="3">
        <v>16</v>
      </c>
      <c r="V608" s="3">
        <v>16</v>
      </c>
      <c r="W608" s="3"/>
      <c r="X608" s="3">
        <v>19.99</v>
      </c>
      <c r="Y608" s="3">
        <v>19.99</v>
      </c>
      <c r="Z608" s="3">
        <v>19.99</v>
      </c>
      <c r="AA608" s="3">
        <v>0</v>
      </c>
      <c r="AB608" s="3" t="s">
        <v>359</v>
      </c>
      <c r="AC608" s="3">
        <v>8</v>
      </c>
      <c r="AD608" s="3">
        <v>19.99</v>
      </c>
      <c r="AE608" s="3">
        <v>0</v>
      </c>
      <c r="AF608" s="3">
        <v>0</v>
      </c>
      <c r="AG608" s="3">
        <v>0</v>
      </c>
      <c r="AH608" s="3">
        <v>2.66666666666666</v>
      </c>
      <c r="AI608" s="3" t="s">
        <v>518</v>
      </c>
      <c r="AJ608" s="3" t="s">
        <v>345</v>
      </c>
    </row>
    <row r="609" spans="1:36">
      <c r="A609" s="4">
        <v>43288</v>
      </c>
      <c r="B609" s="3" t="s">
        <v>2412</v>
      </c>
      <c r="C609" s="3" t="s">
        <v>2413</v>
      </c>
      <c r="D609" s="3" t="s">
        <v>2414</v>
      </c>
      <c r="E609" s="3" t="s">
        <v>727</v>
      </c>
      <c r="F609" s="3" t="s">
        <v>340</v>
      </c>
      <c r="G609" s="3">
        <v>5</v>
      </c>
      <c r="H609" s="3">
        <v>0</v>
      </c>
      <c r="I609" s="3">
        <v>0</v>
      </c>
      <c r="J609" s="3">
        <v>1</v>
      </c>
      <c r="K609" s="3">
        <v>1</v>
      </c>
      <c r="L609" s="3">
        <v>3</v>
      </c>
      <c r="M609" s="3">
        <v>0</v>
      </c>
      <c r="N609" s="3" t="s">
        <v>341</v>
      </c>
      <c r="O609" s="3">
        <v>4</v>
      </c>
      <c r="P609" s="3">
        <v>0</v>
      </c>
      <c r="Q609" s="3">
        <v>0</v>
      </c>
      <c r="R609" s="3">
        <v>0</v>
      </c>
      <c r="S609" s="3">
        <v>0</v>
      </c>
      <c r="T609" s="3">
        <v>0</v>
      </c>
      <c r="U609" s="3">
        <v>0</v>
      </c>
      <c r="V609" s="3">
        <v>0</v>
      </c>
      <c r="W609" s="3" t="s">
        <v>342</v>
      </c>
      <c r="X609" s="3">
        <v>16.99</v>
      </c>
      <c r="Y609" s="3">
        <v>16.99</v>
      </c>
      <c r="Z609" s="3">
        <v>16.99</v>
      </c>
      <c r="AA609" s="3">
        <v>0</v>
      </c>
      <c r="AB609" s="3" t="s">
        <v>349</v>
      </c>
      <c r="AC609" s="3">
        <v>0</v>
      </c>
      <c r="AD609" s="3">
        <v>11.94</v>
      </c>
      <c r="AE609" s="3">
        <v>364</v>
      </c>
      <c r="AF609" s="3">
        <v>0</v>
      </c>
      <c r="AG609" s="3">
        <v>27.092545</v>
      </c>
      <c r="AH609" s="3">
        <v>0</v>
      </c>
      <c r="AI609" s="3" t="s">
        <v>728</v>
      </c>
      <c r="AJ609" s="3" t="s">
        <v>345</v>
      </c>
    </row>
    <row r="610" spans="1:36">
      <c r="A610" s="4">
        <v>43288</v>
      </c>
      <c r="B610" s="3" t="s">
        <v>2415</v>
      </c>
      <c r="C610" s="3" t="s">
        <v>2416</v>
      </c>
      <c r="D610" s="3" t="s">
        <v>2417</v>
      </c>
      <c r="E610" s="3" t="s">
        <v>119</v>
      </c>
      <c r="F610" s="3" t="s">
        <v>340</v>
      </c>
      <c r="G610" s="3">
        <v>4</v>
      </c>
      <c r="H610" s="3">
        <v>0</v>
      </c>
      <c r="I610" s="3">
        <v>0</v>
      </c>
      <c r="J610" s="3">
        <v>0</v>
      </c>
      <c r="K610" s="3">
        <v>3</v>
      </c>
      <c r="L610" s="3">
        <v>1</v>
      </c>
      <c r="M610" s="3">
        <v>0</v>
      </c>
      <c r="N610" s="3" t="s">
        <v>341</v>
      </c>
      <c r="O610" s="3">
        <v>4</v>
      </c>
      <c r="P610" s="3">
        <v>2.56</v>
      </c>
      <c r="Q610" s="3">
        <v>0</v>
      </c>
      <c r="R610" s="3">
        <v>0</v>
      </c>
      <c r="S610" s="3">
        <v>0</v>
      </c>
      <c r="T610" s="3">
        <v>4</v>
      </c>
      <c r="U610" s="3">
        <v>8</v>
      </c>
      <c r="V610" s="3">
        <v>8</v>
      </c>
      <c r="W610" s="3"/>
      <c r="X610" s="3">
        <v>18.98</v>
      </c>
      <c r="Y610" s="3">
        <v>18.98</v>
      </c>
      <c r="Z610" s="3">
        <v>18.98</v>
      </c>
      <c r="AA610" s="3">
        <v>0</v>
      </c>
      <c r="AB610" s="3" t="s">
        <v>359</v>
      </c>
      <c r="AC610" s="3">
        <v>4</v>
      </c>
      <c r="AD610" s="3">
        <v>18.98</v>
      </c>
      <c r="AE610" s="3">
        <v>0</v>
      </c>
      <c r="AF610" s="3">
        <v>0</v>
      </c>
      <c r="AG610" s="3">
        <v>0</v>
      </c>
      <c r="AH610" s="3">
        <v>0.888888888888888</v>
      </c>
      <c r="AI610" s="3" t="s">
        <v>564</v>
      </c>
      <c r="AJ610" s="3" t="s">
        <v>345</v>
      </c>
    </row>
    <row r="611" spans="1:36">
      <c r="A611" s="4">
        <v>43288</v>
      </c>
      <c r="B611" s="3" t="s">
        <v>2418</v>
      </c>
      <c r="C611" s="3" t="s">
        <v>2419</v>
      </c>
      <c r="D611" s="3" t="s">
        <v>2420</v>
      </c>
      <c r="E611" s="3" t="s">
        <v>525</v>
      </c>
      <c r="F611" s="3" t="s">
        <v>340</v>
      </c>
      <c r="G611" s="3">
        <v>5</v>
      </c>
      <c r="H611" s="3">
        <v>0</v>
      </c>
      <c r="I611" s="3">
        <v>1</v>
      </c>
      <c r="J611" s="3">
        <v>1</v>
      </c>
      <c r="K611" s="3">
        <v>1</v>
      </c>
      <c r="L611" s="3">
        <v>2</v>
      </c>
      <c r="M611" s="3">
        <v>0</v>
      </c>
      <c r="N611" s="3" t="s">
        <v>341</v>
      </c>
      <c r="O611" s="3">
        <v>3</v>
      </c>
      <c r="P611" s="3">
        <v>3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2</v>
      </c>
      <c r="W611" s="3" t="s">
        <v>342</v>
      </c>
      <c r="X611" s="3">
        <v>19.99</v>
      </c>
      <c r="Y611" s="3">
        <v>19.99</v>
      </c>
      <c r="Z611" s="3">
        <v>19.99</v>
      </c>
      <c r="AA611" s="3">
        <v>0</v>
      </c>
      <c r="AB611" s="3" t="s">
        <v>349</v>
      </c>
      <c r="AC611" s="3">
        <v>0</v>
      </c>
      <c r="AD611" s="3">
        <v>17.02</v>
      </c>
      <c r="AE611" s="3">
        <v>217</v>
      </c>
      <c r="AF611" s="3">
        <v>0</v>
      </c>
      <c r="AG611" s="3">
        <v>97.513601</v>
      </c>
      <c r="AH611" s="3">
        <v>0.38095238095238</v>
      </c>
      <c r="AI611" s="3" t="s">
        <v>526</v>
      </c>
      <c r="AJ611" s="3" t="s">
        <v>345</v>
      </c>
    </row>
    <row r="612" spans="1:36">
      <c r="A612" s="4">
        <v>43288</v>
      </c>
      <c r="B612" s="3" t="s">
        <v>2421</v>
      </c>
      <c r="C612" s="3" t="s">
        <v>2422</v>
      </c>
      <c r="D612" s="3" t="s">
        <v>2423</v>
      </c>
      <c r="E612" s="3" t="s">
        <v>2424</v>
      </c>
      <c r="F612" s="3" t="s">
        <v>340</v>
      </c>
      <c r="G612" s="3">
        <v>5</v>
      </c>
      <c r="H612" s="3">
        <v>0</v>
      </c>
      <c r="I612" s="3">
        <v>0</v>
      </c>
      <c r="J612" s="3">
        <v>5</v>
      </c>
      <c r="K612" s="3">
        <v>0</v>
      </c>
      <c r="L612" s="3">
        <v>0</v>
      </c>
      <c r="M612" s="3">
        <v>0</v>
      </c>
      <c r="N612" s="3" t="s">
        <v>341</v>
      </c>
      <c r="O612" s="3">
        <v>4</v>
      </c>
      <c r="P612" s="3">
        <v>8.99</v>
      </c>
      <c r="Q612" s="3">
        <v>0</v>
      </c>
      <c r="R612" s="3">
        <v>0</v>
      </c>
      <c r="S612" s="3">
        <v>0</v>
      </c>
      <c r="T612" s="3">
        <v>0</v>
      </c>
      <c r="U612" s="3">
        <v>0</v>
      </c>
      <c r="V612" s="3">
        <v>2</v>
      </c>
      <c r="W612" s="3" t="s">
        <v>381</v>
      </c>
      <c r="X612" s="3">
        <v>17.99</v>
      </c>
      <c r="Y612" s="3">
        <v>17.99</v>
      </c>
      <c r="Z612" s="3">
        <v>17.99</v>
      </c>
      <c r="AA612" s="3">
        <v>0</v>
      </c>
      <c r="AB612" s="3" t="s">
        <v>343</v>
      </c>
      <c r="AC612" s="3">
        <v>1</v>
      </c>
      <c r="AD612" s="3">
        <v>16.42</v>
      </c>
      <c r="AE612" s="3">
        <v>14</v>
      </c>
      <c r="AF612" s="3">
        <v>0</v>
      </c>
      <c r="AG612" s="3">
        <v>176.347366</v>
      </c>
      <c r="AH612" s="3">
        <v>0.363636363636363</v>
      </c>
      <c r="AI612" s="3" t="s">
        <v>2425</v>
      </c>
      <c r="AJ612" s="3" t="s">
        <v>345</v>
      </c>
    </row>
    <row r="613" spans="1:36">
      <c r="A613" s="4">
        <v>43288</v>
      </c>
      <c r="B613" s="3" t="s">
        <v>2426</v>
      </c>
      <c r="C613" s="3" t="s">
        <v>2427</v>
      </c>
      <c r="D613" s="3" t="s">
        <v>2428</v>
      </c>
      <c r="E613" s="3" t="s">
        <v>1113</v>
      </c>
      <c r="F613" s="3" t="s">
        <v>340</v>
      </c>
      <c r="G613" s="3">
        <v>3</v>
      </c>
      <c r="H613" s="3">
        <v>0</v>
      </c>
      <c r="I613" s="3">
        <v>0</v>
      </c>
      <c r="J613" s="3">
        <v>0</v>
      </c>
      <c r="K613" s="3">
        <v>2</v>
      </c>
      <c r="L613" s="3">
        <v>1</v>
      </c>
      <c r="M613" s="3">
        <v>0</v>
      </c>
      <c r="N613" s="3" t="s">
        <v>341</v>
      </c>
      <c r="O613" s="3">
        <v>3</v>
      </c>
      <c r="P613" s="3">
        <v>6.18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342</v>
      </c>
      <c r="X613" s="3">
        <v>16.99</v>
      </c>
      <c r="Y613" s="3">
        <v>16.99</v>
      </c>
      <c r="Z613" s="3">
        <v>16.99</v>
      </c>
      <c r="AA613" s="3">
        <v>0</v>
      </c>
      <c r="AB613" s="3" t="s">
        <v>343</v>
      </c>
      <c r="AC613" s="3">
        <v>0</v>
      </c>
      <c r="AD613" s="3">
        <v>15.87</v>
      </c>
      <c r="AE613" s="3">
        <v>35</v>
      </c>
      <c r="AF613" s="3">
        <v>0</v>
      </c>
      <c r="AG613" s="3">
        <v>99.108022</v>
      </c>
      <c r="AH613" s="3">
        <v>0</v>
      </c>
      <c r="AI613" s="3" t="s">
        <v>604</v>
      </c>
      <c r="AJ613" s="3" t="s">
        <v>345</v>
      </c>
    </row>
    <row r="614" spans="1:36">
      <c r="A614" s="4">
        <v>43288</v>
      </c>
      <c r="B614" s="3" t="s">
        <v>2429</v>
      </c>
      <c r="C614" s="3" t="s">
        <v>2430</v>
      </c>
      <c r="D614" s="3" t="s">
        <v>2431</v>
      </c>
      <c r="E614" s="3" t="s">
        <v>406</v>
      </c>
      <c r="F614" s="3" t="s">
        <v>340</v>
      </c>
      <c r="G614" s="3">
        <v>10</v>
      </c>
      <c r="H614" s="3">
        <v>0</v>
      </c>
      <c r="I614" s="3">
        <v>0</v>
      </c>
      <c r="J614" s="3">
        <v>0</v>
      </c>
      <c r="K614" s="3">
        <v>0</v>
      </c>
      <c r="L614" s="3">
        <v>0</v>
      </c>
      <c r="M614" s="3">
        <v>10</v>
      </c>
      <c r="N614" s="3" t="s">
        <v>341</v>
      </c>
      <c r="O614" s="3">
        <v>0</v>
      </c>
      <c r="P614" s="3">
        <v>0</v>
      </c>
      <c r="Q614" s="3">
        <v>10</v>
      </c>
      <c r="R614" s="3">
        <v>23.36</v>
      </c>
      <c r="S614" s="3">
        <v>0</v>
      </c>
      <c r="T614" s="3">
        <v>0</v>
      </c>
      <c r="U614" s="3">
        <v>0</v>
      </c>
      <c r="V614" s="3">
        <v>2</v>
      </c>
      <c r="W614" s="3" t="s">
        <v>342</v>
      </c>
      <c r="X614" s="3">
        <v>18.98</v>
      </c>
      <c r="Y614" s="3">
        <v>18.98</v>
      </c>
      <c r="Z614" s="3">
        <v>18.98</v>
      </c>
      <c r="AA614" s="3">
        <v>0</v>
      </c>
      <c r="AB614" s="3" t="s">
        <v>349</v>
      </c>
      <c r="AC614" s="3">
        <v>0</v>
      </c>
      <c r="AD614" s="3">
        <v>14.95</v>
      </c>
      <c r="AE614" s="3">
        <v>364</v>
      </c>
      <c r="AF614" s="3">
        <v>0</v>
      </c>
      <c r="AG614" s="3">
        <v>159.298157</v>
      </c>
      <c r="AH614" s="3">
        <v>0.19047619047619</v>
      </c>
      <c r="AI614" s="3" t="s">
        <v>2432</v>
      </c>
      <c r="AJ614" s="3" t="s">
        <v>345</v>
      </c>
    </row>
    <row r="615" spans="1:36">
      <c r="A615" s="4">
        <v>43288</v>
      </c>
      <c r="B615" s="3" t="s">
        <v>2433</v>
      </c>
      <c r="C615" s="3" t="s">
        <v>2434</v>
      </c>
      <c r="D615" s="3" t="s">
        <v>2435</v>
      </c>
      <c r="E615" s="3" t="s">
        <v>2436</v>
      </c>
      <c r="F615" s="3" t="s">
        <v>340</v>
      </c>
      <c r="G615" s="3">
        <v>3</v>
      </c>
      <c r="H615" s="3">
        <v>0</v>
      </c>
      <c r="I615" s="3">
        <v>3</v>
      </c>
      <c r="J615" s="3">
        <v>0</v>
      </c>
      <c r="K615" s="3">
        <v>0</v>
      </c>
      <c r="L615" s="3">
        <v>0</v>
      </c>
      <c r="M615" s="3">
        <v>0</v>
      </c>
      <c r="N615" s="3" t="s">
        <v>341</v>
      </c>
      <c r="O615" s="3">
        <v>0</v>
      </c>
      <c r="P615" s="3">
        <v>0</v>
      </c>
      <c r="Q615" s="3">
        <v>0</v>
      </c>
      <c r="R615" s="3">
        <v>0</v>
      </c>
      <c r="S615" s="3">
        <v>0</v>
      </c>
      <c r="T615" s="3">
        <v>1</v>
      </c>
      <c r="U615" s="3">
        <v>3</v>
      </c>
      <c r="V615" s="3">
        <v>4</v>
      </c>
      <c r="W615" s="3" t="s">
        <v>342</v>
      </c>
      <c r="X615" s="3">
        <v>15.99</v>
      </c>
      <c r="Y615" s="3">
        <v>15.99</v>
      </c>
      <c r="Z615" s="3">
        <v>15.99</v>
      </c>
      <c r="AA615" s="3">
        <v>0</v>
      </c>
      <c r="AB615" s="3" t="s">
        <v>349</v>
      </c>
      <c r="AC615" s="3">
        <v>3</v>
      </c>
      <c r="AD615" s="3">
        <v>15.99</v>
      </c>
      <c r="AE615" s="3">
        <v>0</v>
      </c>
      <c r="AF615" s="3">
        <v>0</v>
      </c>
      <c r="AG615" s="3">
        <v>0</v>
      </c>
      <c r="AH615" s="3">
        <v>1.06666666666666</v>
      </c>
      <c r="AI615" s="3" t="s">
        <v>806</v>
      </c>
      <c r="AJ615" s="3" t="s">
        <v>345</v>
      </c>
    </row>
    <row r="616" spans="1:36">
      <c r="A616" s="4">
        <v>43288</v>
      </c>
      <c r="B616" s="3" t="s">
        <v>2437</v>
      </c>
      <c r="C616" s="3" t="s">
        <v>2438</v>
      </c>
      <c r="D616" s="3" t="s">
        <v>2439</v>
      </c>
      <c r="E616" s="3" t="s">
        <v>22</v>
      </c>
      <c r="F616" s="3" t="s">
        <v>340</v>
      </c>
      <c r="G616" s="3">
        <v>4</v>
      </c>
      <c r="H616" s="3">
        <v>0</v>
      </c>
      <c r="I616" s="3">
        <v>4</v>
      </c>
      <c r="J616" s="3">
        <v>0</v>
      </c>
      <c r="K616" s="3">
        <v>0</v>
      </c>
      <c r="L616" s="3">
        <v>0</v>
      </c>
      <c r="M616" s="3">
        <v>0</v>
      </c>
      <c r="N616" s="3" t="s">
        <v>341</v>
      </c>
      <c r="O616" s="3">
        <v>0</v>
      </c>
      <c r="P616" s="3">
        <v>0</v>
      </c>
      <c r="Q616" s="3">
        <v>0</v>
      </c>
      <c r="R616" s="3">
        <v>0</v>
      </c>
      <c r="S616" s="3">
        <v>0</v>
      </c>
      <c r="T616" s="3">
        <v>10</v>
      </c>
      <c r="U616" s="3">
        <v>19</v>
      </c>
      <c r="V616" s="3">
        <v>28</v>
      </c>
      <c r="W616" s="3"/>
      <c r="X616" s="3">
        <v>14.99</v>
      </c>
      <c r="Y616" s="3">
        <v>14.99</v>
      </c>
      <c r="Z616" s="3">
        <v>14.99</v>
      </c>
      <c r="AA616" s="3">
        <v>0</v>
      </c>
      <c r="AB616" s="3" t="s">
        <v>359</v>
      </c>
      <c r="AC616" s="3">
        <v>4</v>
      </c>
      <c r="AD616" s="3">
        <v>14.99</v>
      </c>
      <c r="AE616" s="3">
        <v>0</v>
      </c>
      <c r="AF616" s="3">
        <v>0</v>
      </c>
      <c r="AG616" s="3">
        <v>0</v>
      </c>
      <c r="AH616" s="3">
        <v>8</v>
      </c>
      <c r="AI616" s="3" t="s">
        <v>421</v>
      </c>
      <c r="AJ616" s="3" t="s">
        <v>345</v>
      </c>
    </row>
    <row r="617" spans="1:36">
      <c r="A617" s="4">
        <v>43288</v>
      </c>
      <c r="B617" s="3" t="s">
        <v>2440</v>
      </c>
      <c r="C617" s="3" t="s">
        <v>2441</v>
      </c>
      <c r="D617" s="3" t="s">
        <v>2442</v>
      </c>
      <c r="E617" s="3" t="s">
        <v>2443</v>
      </c>
      <c r="F617" s="3" t="s">
        <v>340</v>
      </c>
      <c r="G617" s="3">
        <v>2</v>
      </c>
      <c r="H617" s="3">
        <v>0</v>
      </c>
      <c r="I617" s="3">
        <v>2</v>
      </c>
      <c r="J617" s="3">
        <v>0</v>
      </c>
      <c r="K617" s="3">
        <v>0</v>
      </c>
      <c r="L617" s="3">
        <v>0</v>
      </c>
      <c r="M617" s="3">
        <v>0</v>
      </c>
      <c r="N617" s="3" t="s">
        <v>341</v>
      </c>
      <c r="O617" s="3">
        <v>0</v>
      </c>
      <c r="P617" s="3">
        <v>0</v>
      </c>
      <c r="Q617" s="3">
        <v>0</v>
      </c>
      <c r="R617" s="3">
        <v>0</v>
      </c>
      <c r="S617" s="3">
        <v>0</v>
      </c>
      <c r="T617" s="3">
        <v>2</v>
      </c>
      <c r="U617" s="3">
        <v>11</v>
      </c>
      <c r="V617" s="3">
        <v>20</v>
      </c>
      <c r="W617" s="3" t="s">
        <v>381</v>
      </c>
      <c r="X617" s="3">
        <v>19.99</v>
      </c>
      <c r="Y617" s="3">
        <v>19.99</v>
      </c>
      <c r="Z617" s="3">
        <v>19.99</v>
      </c>
      <c r="AA617" s="3">
        <v>0</v>
      </c>
      <c r="AB617" s="3" t="s">
        <v>359</v>
      </c>
      <c r="AC617" s="3">
        <v>2</v>
      </c>
      <c r="AD617" s="3">
        <v>19.99</v>
      </c>
      <c r="AE617" s="3">
        <v>0</v>
      </c>
      <c r="AF617" s="3">
        <v>0</v>
      </c>
      <c r="AG617" s="3">
        <v>0</v>
      </c>
      <c r="AH617" s="3">
        <v>4</v>
      </c>
      <c r="AI617" s="3" t="s">
        <v>709</v>
      </c>
      <c r="AJ617" s="3" t="s">
        <v>902</v>
      </c>
    </row>
    <row r="618" spans="1:36">
      <c r="A618" s="4">
        <v>43288</v>
      </c>
      <c r="B618" s="3" t="s">
        <v>2444</v>
      </c>
      <c r="C618" s="3" t="s">
        <v>2445</v>
      </c>
      <c r="D618" s="3" t="s">
        <v>2446</v>
      </c>
      <c r="E618" s="3" t="s">
        <v>530</v>
      </c>
      <c r="F618" s="3" t="s">
        <v>340</v>
      </c>
      <c r="G618" s="3">
        <v>4</v>
      </c>
      <c r="H618" s="3">
        <v>0</v>
      </c>
      <c r="I618" s="3">
        <v>0</v>
      </c>
      <c r="J618" s="3">
        <v>1</v>
      </c>
      <c r="K618" s="3">
        <v>3</v>
      </c>
      <c r="L618" s="3">
        <v>0</v>
      </c>
      <c r="M618" s="3">
        <v>0</v>
      </c>
      <c r="N618" s="3" t="s">
        <v>341</v>
      </c>
      <c r="O618" s="3">
        <v>3</v>
      </c>
      <c r="P618" s="3">
        <v>3.67</v>
      </c>
      <c r="Q618" s="3">
        <v>0</v>
      </c>
      <c r="R618" s="3">
        <v>0</v>
      </c>
      <c r="S618" s="3">
        <v>0</v>
      </c>
      <c r="T618" s="3">
        <v>0</v>
      </c>
      <c r="U618" s="3">
        <v>1</v>
      </c>
      <c r="V618" s="3">
        <v>1</v>
      </c>
      <c r="W618" s="3" t="s">
        <v>342</v>
      </c>
      <c r="X618" s="3">
        <v>10.98</v>
      </c>
      <c r="Y618" s="3">
        <v>10.98</v>
      </c>
      <c r="Z618" s="3">
        <v>10.98</v>
      </c>
      <c r="AA618" s="3">
        <v>0</v>
      </c>
      <c r="AB618" s="3" t="s">
        <v>343</v>
      </c>
      <c r="AC618" s="3">
        <v>3</v>
      </c>
      <c r="AD618" s="3">
        <v>10.43</v>
      </c>
      <c r="AE618" s="3">
        <v>7</v>
      </c>
      <c r="AF618" s="3">
        <v>0</v>
      </c>
      <c r="AG618" s="3">
        <v>73.106745</v>
      </c>
      <c r="AH618" s="3">
        <v>0.222222222222222</v>
      </c>
      <c r="AI618" s="3" t="s">
        <v>2447</v>
      </c>
      <c r="AJ618" s="3" t="s">
        <v>345</v>
      </c>
    </row>
    <row r="619" spans="1:36">
      <c r="A619" s="4">
        <v>43288</v>
      </c>
      <c r="B619" s="3" t="s">
        <v>2448</v>
      </c>
      <c r="C619" s="3" t="s">
        <v>2449</v>
      </c>
      <c r="D619" s="3" t="s">
        <v>2450</v>
      </c>
      <c r="E619" s="3" t="s">
        <v>181</v>
      </c>
      <c r="F619" s="3" t="s">
        <v>340</v>
      </c>
      <c r="G619" s="3">
        <v>14</v>
      </c>
      <c r="H619" s="3">
        <v>0</v>
      </c>
      <c r="I619" s="3">
        <v>0</v>
      </c>
      <c r="J619" s="3">
        <v>0</v>
      </c>
      <c r="K619" s="3">
        <v>0</v>
      </c>
      <c r="L619" s="3">
        <v>2</v>
      </c>
      <c r="M619" s="3">
        <v>12</v>
      </c>
      <c r="N619" s="3" t="s">
        <v>341</v>
      </c>
      <c r="O619" s="3">
        <v>0</v>
      </c>
      <c r="P619" s="3">
        <v>0</v>
      </c>
      <c r="Q619" s="3">
        <v>14</v>
      </c>
      <c r="R619" s="3">
        <v>27.07</v>
      </c>
      <c r="S619" s="3">
        <v>0</v>
      </c>
      <c r="T619" s="3">
        <v>0</v>
      </c>
      <c r="U619" s="3">
        <v>0</v>
      </c>
      <c r="V619" s="3">
        <v>0</v>
      </c>
      <c r="W619" s="3" t="s">
        <v>381</v>
      </c>
      <c r="X619" s="3">
        <v>19.38</v>
      </c>
      <c r="Y619" s="3">
        <v>19.38</v>
      </c>
      <c r="Z619" s="3">
        <v>19.38</v>
      </c>
      <c r="AA619" s="3">
        <v>0</v>
      </c>
      <c r="AB619" s="3" t="s">
        <v>343</v>
      </c>
      <c r="AC619" s="3">
        <v>0</v>
      </c>
      <c r="AD619" s="3">
        <v>13.77</v>
      </c>
      <c r="AE619" s="3">
        <v>364</v>
      </c>
      <c r="AF619" s="3">
        <v>0</v>
      </c>
      <c r="AG619" s="3">
        <v>214.749527</v>
      </c>
      <c r="AH619" s="3">
        <v>0</v>
      </c>
      <c r="AI619" s="3" t="s">
        <v>492</v>
      </c>
      <c r="AJ619" s="3" t="s">
        <v>345</v>
      </c>
    </row>
    <row r="620" spans="1:36">
      <c r="A620" s="4">
        <v>43288</v>
      </c>
      <c r="B620" s="3" t="s">
        <v>2451</v>
      </c>
      <c r="C620" s="3" t="s">
        <v>2452</v>
      </c>
      <c r="D620" s="3" t="s">
        <v>2453</v>
      </c>
      <c r="E620" s="3" t="s">
        <v>196</v>
      </c>
      <c r="F620" s="3" t="s">
        <v>340</v>
      </c>
      <c r="G620" s="3">
        <v>1</v>
      </c>
      <c r="H620" s="3">
        <v>0</v>
      </c>
      <c r="I620" s="3">
        <v>1</v>
      </c>
      <c r="J620" s="3">
        <v>0</v>
      </c>
      <c r="K620" s="3">
        <v>0</v>
      </c>
      <c r="L620" s="3">
        <v>0</v>
      </c>
      <c r="M620" s="3">
        <v>0</v>
      </c>
      <c r="N620" s="3" t="s">
        <v>341</v>
      </c>
      <c r="O620" s="3">
        <v>0</v>
      </c>
      <c r="P620" s="3">
        <v>0</v>
      </c>
      <c r="Q620" s="3">
        <v>0</v>
      </c>
      <c r="R620" s="3">
        <v>0</v>
      </c>
      <c r="S620" s="3">
        <v>6</v>
      </c>
      <c r="T620" s="3">
        <v>17</v>
      </c>
      <c r="U620" s="3">
        <v>21</v>
      </c>
      <c r="V620" s="3">
        <v>24</v>
      </c>
      <c r="W620" s="3"/>
      <c r="X620" s="3">
        <v>19.99</v>
      </c>
      <c r="Y620" s="3">
        <v>19.99</v>
      </c>
      <c r="Z620" s="3">
        <v>19.99</v>
      </c>
      <c r="AA620" s="3">
        <v>0</v>
      </c>
      <c r="AB620" s="3" t="s">
        <v>359</v>
      </c>
      <c r="AC620" s="3">
        <v>7</v>
      </c>
      <c r="AD620" s="3">
        <v>19.99</v>
      </c>
      <c r="AE620" s="3">
        <v>0</v>
      </c>
      <c r="AF620" s="3">
        <v>0</v>
      </c>
      <c r="AG620" s="3">
        <v>0</v>
      </c>
      <c r="AH620" s="3">
        <v>2.74285714285714</v>
      </c>
      <c r="AI620" s="3" t="s">
        <v>492</v>
      </c>
      <c r="AJ620" s="3" t="s">
        <v>345</v>
      </c>
    </row>
    <row r="621" spans="1:36">
      <c r="A621" s="4">
        <v>43288</v>
      </c>
      <c r="B621" s="3" t="s">
        <v>2454</v>
      </c>
      <c r="C621" s="3" t="s">
        <v>2455</v>
      </c>
      <c r="D621" s="3" t="s">
        <v>2456</v>
      </c>
      <c r="E621" s="3" t="s">
        <v>2457</v>
      </c>
      <c r="F621" s="3" t="s">
        <v>340</v>
      </c>
      <c r="G621" s="3">
        <v>1</v>
      </c>
      <c r="H621" s="3">
        <v>0</v>
      </c>
      <c r="I621" s="3">
        <v>0</v>
      </c>
      <c r="J621" s="3">
        <v>1</v>
      </c>
      <c r="K621" s="3">
        <v>0</v>
      </c>
      <c r="L621" s="3">
        <v>0</v>
      </c>
      <c r="M621" s="3">
        <v>0</v>
      </c>
      <c r="N621" s="3" t="s">
        <v>341</v>
      </c>
      <c r="O621" s="3">
        <v>0</v>
      </c>
      <c r="P621" s="3">
        <v>0</v>
      </c>
      <c r="Q621" s="3">
        <v>0</v>
      </c>
      <c r="R621" s="3">
        <v>0</v>
      </c>
      <c r="S621" s="3">
        <v>0</v>
      </c>
      <c r="T621" s="3">
        <v>0</v>
      </c>
      <c r="U621" s="3">
        <v>0</v>
      </c>
      <c r="V621" s="3">
        <v>0</v>
      </c>
      <c r="W621" s="3" t="s">
        <v>342</v>
      </c>
      <c r="X621" s="3">
        <v>15.99</v>
      </c>
      <c r="Y621" s="3">
        <v>15.99</v>
      </c>
      <c r="Z621" s="3">
        <v>15.99</v>
      </c>
      <c r="AA621" s="3">
        <v>0</v>
      </c>
      <c r="AB621" s="3" t="s">
        <v>349</v>
      </c>
      <c r="AC621" s="3">
        <v>1</v>
      </c>
      <c r="AD621" s="3">
        <v>15.99</v>
      </c>
      <c r="AE621" s="3">
        <v>0</v>
      </c>
      <c r="AF621" s="3">
        <v>0</v>
      </c>
      <c r="AG621" s="3">
        <v>0</v>
      </c>
      <c r="AH621" s="3">
        <v>0</v>
      </c>
      <c r="AI621" s="3" t="s">
        <v>2458</v>
      </c>
      <c r="AJ621" s="3" t="s">
        <v>345</v>
      </c>
    </row>
    <row r="622" spans="1:36">
      <c r="A622" s="4">
        <v>43288</v>
      </c>
      <c r="B622" s="3" t="s">
        <v>2459</v>
      </c>
      <c r="C622" s="3" t="s">
        <v>2460</v>
      </c>
      <c r="D622" s="3" t="s">
        <v>2461</v>
      </c>
      <c r="E622" s="3" t="s">
        <v>468</v>
      </c>
      <c r="F622" s="3" t="s">
        <v>340</v>
      </c>
      <c r="G622" s="3">
        <v>10</v>
      </c>
      <c r="H622" s="3">
        <v>0</v>
      </c>
      <c r="I622" s="3">
        <v>0</v>
      </c>
      <c r="J622" s="3">
        <v>0</v>
      </c>
      <c r="K622" s="3">
        <v>10</v>
      </c>
      <c r="L622" s="3">
        <v>0</v>
      </c>
      <c r="M622" s="3">
        <v>0</v>
      </c>
      <c r="N622" s="3" t="s">
        <v>341</v>
      </c>
      <c r="O622" s="3">
        <v>10</v>
      </c>
      <c r="P622" s="3">
        <v>11.46</v>
      </c>
      <c r="Q622" s="3">
        <v>0</v>
      </c>
      <c r="R622" s="3">
        <v>0</v>
      </c>
      <c r="S622" s="3">
        <v>0</v>
      </c>
      <c r="T622" s="3">
        <v>0</v>
      </c>
      <c r="U622" s="3">
        <v>0</v>
      </c>
      <c r="V622" s="3">
        <v>1</v>
      </c>
      <c r="W622" s="3" t="s">
        <v>342</v>
      </c>
      <c r="X622" s="3">
        <v>17.99</v>
      </c>
      <c r="Y622" s="3">
        <v>17.99</v>
      </c>
      <c r="Z622" s="3">
        <v>17.99</v>
      </c>
      <c r="AA622" s="3">
        <v>0</v>
      </c>
      <c r="AB622" s="3" t="s">
        <v>349</v>
      </c>
      <c r="AC622" s="3">
        <v>0</v>
      </c>
      <c r="AD622" s="3">
        <v>14.63</v>
      </c>
      <c r="AE622" s="3">
        <v>308</v>
      </c>
      <c r="AF622" s="3">
        <v>0</v>
      </c>
      <c r="AG622" s="3">
        <v>187.978461</v>
      </c>
      <c r="AH622" s="3">
        <v>0.0975609756097561</v>
      </c>
      <c r="AI622" s="3" t="s">
        <v>469</v>
      </c>
      <c r="AJ622" s="3" t="s">
        <v>345</v>
      </c>
    </row>
    <row r="623" spans="1:36">
      <c r="A623" s="4">
        <v>43288</v>
      </c>
      <c r="B623" s="3" t="s">
        <v>2462</v>
      </c>
      <c r="C623" s="3" t="s">
        <v>2463</v>
      </c>
      <c r="D623" s="3" t="s">
        <v>2464</v>
      </c>
      <c r="E623" s="3" t="s">
        <v>2465</v>
      </c>
      <c r="F623" s="3" t="s">
        <v>340</v>
      </c>
      <c r="G623" s="3">
        <v>2</v>
      </c>
      <c r="H623" s="3">
        <v>0</v>
      </c>
      <c r="I623" s="3">
        <v>0</v>
      </c>
      <c r="J623" s="3">
        <v>0</v>
      </c>
      <c r="K623" s="3">
        <v>0</v>
      </c>
      <c r="L623" s="3">
        <v>2</v>
      </c>
      <c r="M623" s="3">
        <v>0</v>
      </c>
      <c r="N623" s="3" t="s">
        <v>341</v>
      </c>
      <c r="O623" s="3">
        <v>2</v>
      </c>
      <c r="P623" s="3">
        <v>0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/>
      <c r="X623" s="3"/>
      <c r="Y623" s="3"/>
      <c r="Z623" s="3">
        <v>-1</v>
      </c>
      <c r="AA623" s="3">
        <v>-1</v>
      </c>
      <c r="AB623" s="3" t="s">
        <v>493</v>
      </c>
      <c r="AC623" s="3">
        <v>0</v>
      </c>
      <c r="AD623" s="3">
        <v>0</v>
      </c>
      <c r="AE623" s="3">
        <v>0</v>
      </c>
      <c r="AF623" s="3">
        <v>0</v>
      </c>
      <c r="AG623" s="3">
        <v>0</v>
      </c>
      <c r="AH623" s="3">
        <v>0</v>
      </c>
      <c r="AI623" s="3" t="s">
        <v>728</v>
      </c>
      <c r="AJ623" s="3" t="s">
        <v>345</v>
      </c>
    </row>
    <row r="624" spans="1:36">
      <c r="A624" s="4">
        <v>43288</v>
      </c>
      <c r="B624" s="3" t="s">
        <v>2466</v>
      </c>
      <c r="C624" s="3" t="s">
        <v>2467</v>
      </c>
      <c r="D624" s="3" t="s">
        <v>2468</v>
      </c>
      <c r="E624" s="3" t="s">
        <v>273</v>
      </c>
      <c r="F624" s="3" t="s">
        <v>340</v>
      </c>
      <c r="G624" s="3">
        <v>5</v>
      </c>
      <c r="H624" s="3">
        <v>0</v>
      </c>
      <c r="I624" s="3">
        <v>2</v>
      </c>
      <c r="J624" s="3">
        <v>1</v>
      </c>
      <c r="K624" s="3">
        <v>0</v>
      </c>
      <c r="L624" s="3">
        <v>2</v>
      </c>
      <c r="M624" s="3">
        <v>0</v>
      </c>
      <c r="N624" s="3" t="s">
        <v>341</v>
      </c>
      <c r="O624" s="3">
        <v>0</v>
      </c>
      <c r="P624" s="3">
        <v>0</v>
      </c>
      <c r="Q624" s="3">
        <v>2</v>
      </c>
      <c r="R624" s="3">
        <v>3.83</v>
      </c>
      <c r="S624" s="3">
        <v>0</v>
      </c>
      <c r="T624" s="3">
        <v>0</v>
      </c>
      <c r="U624" s="3">
        <v>1</v>
      </c>
      <c r="V624" s="3">
        <v>2</v>
      </c>
      <c r="W624" s="3" t="s">
        <v>342</v>
      </c>
      <c r="X624" s="3">
        <v>16.99</v>
      </c>
      <c r="Y624" s="3">
        <v>16.99</v>
      </c>
      <c r="Z624" s="3">
        <v>16.99</v>
      </c>
      <c r="AA624" s="3">
        <v>0</v>
      </c>
      <c r="AB624" s="3" t="s">
        <v>349</v>
      </c>
      <c r="AC624" s="3">
        <v>5</v>
      </c>
      <c r="AD624" s="3">
        <v>16.99</v>
      </c>
      <c r="AE624" s="3">
        <v>0</v>
      </c>
      <c r="AF624" s="3">
        <v>0</v>
      </c>
      <c r="AG624" s="3">
        <v>0</v>
      </c>
      <c r="AH624" s="3">
        <v>0.421052631578947</v>
      </c>
      <c r="AI624" s="3" t="s">
        <v>1155</v>
      </c>
      <c r="AJ624" s="3" t="s">
        <v>345</v>
      </c>
    </row>
    <row r="625" spans="1:36">
      <c r="A625" s="4">
        <v>43288</v>
      </c>
      <c r="B625" s="3" t="s">
        <v>2469</v>
      </c>
      <c r="C625" s="3" t="s">
        <v>2470</v>
      </c>
      <c r="D625" s="3" t="s">
        <v>2471</v>
      </c>
      <c r="E625" s="3" t="s">
        <v>2472</v>
      </c>
      <c r="F625" s="3" t="s">
        <v>340</v>
      </c>
      <c r="G625" s="3">
        <v>1</v>
      </c>
      <c r="H625" s="3">
        <v>0</v>
      </c>
      <c r="I625" s="3">
        <v>0</v>
      </c>
      <c r="J625" s="3">
        <v>0</v>
      </c>
      <c r="K625" s="3">
        <v>0</v>
      </c>
      <c r="L625" s="3">
        <v>0</v>
      </c>
      <c r="M625" s="3">
        <v>1</v>
      </c>
      <c r="N625" s="3" t="s">
        <v>341</v>
      </c>
      <c r="O625" s="3">
        <v>0</v>
      </c>
      <c r="P625" s="3">
        <v>0</v>
      </c>
      <c r="Q625" s="3">
        <v>1</v>
      </c>
      <c r="R625" s="3">
        <v>2.52</v>
      </c>
      <c r="S625" s="3">
        <v>0</v>
      </c>
      <c r="T625" s="3">
        <v>0</v>
      </c>
      <c r="U625" s="3">
        <v>0</v>
      </c>
      <c r="V625" s="3">
        <v>1</v>
      </c>
      <c r="W625" s="3" t="s">
        <v>342</v>
      </c>
      <c r="X625" s="3">
        <v>18.98</v>
      </c>
      <c r="Y625" s="3">
        <v>18.98</v>
      </c>
      <c r="Z625" s="3">
        <v>18.98</v>
      </c>
      <c r="AA625" s="3">
        <v>0</v>
      </c>
      <c r="AB625" s="3" t="s">
        <v>359</v>
      </c>
      <c r="AC625" s="3">
        <v>1</v>
      </c>
      <c r="AD625" s="3">
        <v>18.98</v>
      </c>
      <c r="AE625" s="3">
        <v>0</v>
      </c>
      <c r="AF625" s="3">
        <v>0</v>
      </c>
      <c r="AG625" s="3">
        <v>0</v>
      </c>
      <c r="AH625" s="3">
        <v>0.8</v>
      </c>
      <c r="AI625" s="3" t="s">
        <v>2473</v>
      </c>
      <c r="AJ625" s="3" t="s">
        <v>345</v>
      </c>
    </row>
    <row r="626" spans="1:36">
      <c r="A626" s="4">
        <v>43288</v>
      </c>
      <c r="B626" s="3" t="s">
        <v>2474</v>
      </c>
      <c r="C626" s="3" t="s">
        <v>2475</v>
      </c>
      <c r="D626" s="3" t="s">
        <v>2476</v>
      </c>
      <c r="E626" s="3" t="s">
        <v>525</v>
      </c>
      <c r="F626" s="3" t="s">
        <v>340</v>
      </c>
      <c r="G626" s="3">
        <v>1</v>
      </c>
      <c r="H626" s="3">
        <v>0</v>
      </c>
      <c r="I626" s="3">
        <v>1</v>
      </c>
      <c r="J626" s="3">
        <v>0</v>
      </c>
      <c r="K626" s="3">
        <v>0</v>
      </c>
      <c r="L626" s="3">
        <v>0</v>
      </c>
      <c r="M626" s="3">
        <v>0</v>
      </c>
      <c r="N626" s="3" t="s">
        <v>341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0</v>
      </c>
      <c r="U626" s="3">
        <v>0</v>
      </c>
      <c r="V626" s="3">
        <v>1</v>
      </c>
      <c r="W626" s="3" t="s">
        <v>342</v>
      </c>
      <c r="X626" s="3">
        <v>19.99</v>
      </c>
      <c r="Y626" s="3">
        <v>19.99</v>
      </c>
      <c r="Z626" s="3">
        <v>19.99</v>
      </c>
      <c r="AA626" s="3">
        <v>0</v>
      </c>
      <c r="AB626" s="3" t="s">
        <v>349</v>
      </c>
      <c r="AC626" s="3">
        <v>0</v>
      </c>
      <c r="AD626" s="3">
        <v>18.54</v>
      </c>
      <c r="AE626" s="3">
        <v>105</v>
      </c>
      <c r="AF626" s="3">
        <v>0</v>
      </c>
      <c r="AG626" s="3">
        <v>19.57081</v>
      </c>
      <c r="AH626" s="3">
        <v>1</v>
      </c>
      <c r="AI626" s="3" t="s">
        <v>526</v>
      </c>
      <c r="AJ626" s="3" t="s">
        <v>345</v>
      </c>
    </row>
    <row r="627" spans="1:36">
      <c r="A627" s="4">
        <v>43288</v>
      </c>
      <c r="B627" s="3" t="s">
        <v>2477</v>
      </c>
      <c r="C627" s="3" t="s">
        <v>2478</v>
      </c>
      <c r="D627" s="3" t="s">
        <v>2479</v>
      </c>
      <c r="E627" s="3" t="s">
        <v>411</v>
      </c>
      <c r="F627" s="3" t="s">
        <v>340</v>
      </c>
      <c r="G627" s="3">
        <v>2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  <c r="M627" s="3">
        <v>2</v>
      </c>
      <c r="N627" s="3" t="s">
        <v>341</v>
      </c>
      <c r="O627" s="3">
        <v>0</v>
      </c>
      <c r="P627" s="3">
        <v>0</v>
      </c>
      <c r="Q627" s="3">
        <v>2</v>
      </c>
      <c r="R627" s="3">
        <v>1</v>
      </c>
      <c r="S627" s="3">
        <v>0</v>
      </c>
      <c r="T627" s="3">
        <v>0</v>
      </c>
      <c r="U627" s="3">
        <v>0</v>
      </c>
      <c r="V627" s="3">
        <v>0</v>
      </c>
      <c r="W627" s="3" t="s">
        <v>342</v>
      </c>
      <c r="X627" s="3">
        <v>19.9</v>
      </c>
      <c r="Y627" s="3">
        <v>19.9</v>
      </c>
      <c r="Z627" s="3">
        <v>19.9</v>
      </c>
      <c r="AA627" s="3">
        <v>0</v>
      </c>
      <c r="AB627" s="3" t="s">
        <v>343</v>
      </c>
      <c r="AC627" s="3">
        <v>0</v>
      </c>
      <c r="AD627" s="3">
        <v>15.92</v>
      </c>
      <c r="AE627" s="3">
        <v>63</v>
      </c>
      <c r="AF627" s="3">
        <v>0</v>
      </c>
      <c r="AG627" s="3">
        <v>1.085446</v>
      </c>
      <c r="AH627" s="3">
        <v>0</v>
      </c>
      <c r="AI627" s="3" t="s">
        <v>344</v>
      </c>
      <c r="AJ627" s="3" t="s">
        <v>345</v>
      </c>
    </row>
    <row r="628" spans="1:36">
      <c r="A628" s="4">
        <v>43288</v>
      </c>
      <c r="B628" s="3" t="s">
        <v>2480</v>
      </c>
      <c r="C628" s="3" t="s">
        <v>2481</v>
      </c>
      <c r="D628" s="3" t="s">
        <v>2482</v>
      </c>
      <c r="E628" s="3" t="s">
        <v>115</v>
      </c>
      <c r="F628" s="3" t="s">
        <v>340</v>
      </c>
      <c r="G628" s="3">
        <v>6</v>
      </c>
      <c r="H628" s="3">
        <v>0</v>
      </c>
      <c r="I628" s="3">
        <v>0</v>
      </c>
      <c r="J628" s="3">
        <v>3</v>
      </c>
      <c r="K628" s="3">
        <v>2</v>
      </c>
      <c r="L628" s="3">
        <v>1</v>
      </c>
      <c r="M628" s="3">
        <v>0</v>
      </c>
      <c r="N628" s="3" t="s">
        <v>341</v>
      </c>
      <c r="O628" s="3">
        <v>3</v>
      </c>
      <c r="P628" s="3">
        <v>2.06</v>
      </c>
      <c r="Q628" s="3">
        <v>0</v>
      </c>
      <c r="R628" s="3">
        <v>0</v>
      </c>
      <c r="S628" s="3">
        <v>1</v>
      </c>
      <c r="T628" s="3">
        <v>3</v>
      </c>
      <c r="U628" s="3">
        <v>4</v>
      </c>
      <c r="V628" s="3">
        <v>5</v>
      </c>
      <c r="W628" s="3" t="s">
        <v>342</v>
      </c>
      <c r="X628" s="3">
        <v>16.99</v>
      </c>
      <c r="Y628" s="3">
        <v>16.99</v>
      </c>
      <c r="Z628" s="3">
        <v>16.99</v>
      </c>
      <c r="AA628" s="3">
        <v>0</v>
      </c>
      <c r="AB628" s="3" t="s">
        <v>349</v>
      </c>
      <c r="AC628" s="3">
        <v>7</v>
      </c>
      <c r="AD628" s="3">
        <v>16.99</v>
      </c>
      <c r="AE628" s="3">
        <v>0</v>
      </c>
      <c r="AF628" s="3">
        <v>0</v>
      </c>
      <c r="AG628" s="3">
        <v>0</v>
      </c>
      <c r="AH628" s="3">
        <v>0.54054054054054</v>
      </c>
      <c r="AI628" s="3" t="s">
        <v>1828</v>
      </c>
      <c r="AJ628" s="3" t="s">
        <v>345</v>
      </c>
    </row>
    <row r="629" spans="1:36">
      <c r="A629" s="4">
        <v>43288</v>
      </c>
      <c r="B629" s="3" t="s">
        <v>2483</v>
      </c>
      <c r="C629" s="3" t="s">
        <v>2484</v>
      </c>
      <c r="D629" s="3" t="s">
        <v>2485</v>
      </c>
      <c r="E629" s="3" t="s">
        <v>2486</v>
      </c>
      <c r="F629" s="3" t="s">
        <v>340</v>
      </c>
      <c r="G629" s="3">
        <v>3</v>
      </c>
      <c r="H629" s="3">
        <v>0</v>
      </c>
      <c r="I629" s="3">
        <v>0</v>
      </c>
      <c r="J629" s="3">
        <v>0</v>
      </c>
      <c r="K629" s="3">
        <v>0</v>
      </c>
      <c r="L629" s="3">
        <v>3</v>
      </c>
      <c r="M629" s="3">
        <v>0</v>
      </c>
      <c r="N629" s="3" t="s">
        <v>341</v>
      </c>
      <c r="O629" s="3">
        <v>0</v>
      </c>
      <c r="P629" s="3">
        <v>0</v>
      </c>
      <c r="Q629" s="3">
        <v>3</v>
      </c>
      <c r="R629" s="3">
        <v>1.5</v>
      </c>
      <c r="S629" s="3">
        <v>0</v>
      </c>
      <c r="T629" s="3">
        <v>0</v>
      </c>
      <c r="U629" s="3">
        <v>0</v>
      </c>
      <c r="V629" s="3">
        <v>0</v>
      </c>
      <c r="W629" s="3" t="s">
        <v>342</v>
      </c>
      <c r="X629" s="3">
        <v>17.89</v>
      </c>
      <c r="Y629" s="3">
        <v>17.89</v>
      </c>
      <c r="Z629" s="3">
        <v>17.89</v>
      </c>
      <c r="AA629" s="3">
        <v>0</v>
      </c>
      <c r="AB629" s="3" t="s">
        <v>343</v>
      </c>
      <c r="AC629" s="3">
        <v>0</v>
      </c>
      <c r="AD629" s="3">
        <v>14.31</v>
      </c>
      <c r="AE629" s="3">
        <v>63</v>
      </c>
      <c r="AF629" s="3">
        <v>0</v>
      </c>
      <c r="AG629" s="3">
        <v>1.488559</v>
      </c>
      <c r="AH629" s="3">
        <v>0</v>
      </c>
      <c r="AI629" s="3" t="s">
        <v>344</v>
      </c>
      <c r="AJ629" s="3" t="s">
        <v>345</v>
      </c>
    </row>
    <row r="630" spans="1:36">
      <c r="A630" s="4">
        <v>43288</v>
      </c>
      <c r="B630" s="3" t="s">
        <v>2487</v>
      </c>
      <c r="C630" s="3" t="s">
        <v>2488</v>
      </c>
      <c r="D630" s="3" t="s">
        <v>2489</v>
      </c>
      <c r="E630" s="3" t="s">
        <v>2490</v>
      </c>
      <c r="F630" s="3" t="s">
        <v>340</v>
      </c>
      <c r="G630" s="3">
        <v>3</v>
      </c>
      <c r="H630" s="3">
        <v>0</v>
      </c>
      <c r="I630" s="3">
        <v>0</v>
      </c>
      <c r="J630" s="3">
        <v>0</v>
      </c>
      <c r="K630" s="3">
        <v>0</v>
      </c>
      <c r="L630" s="3">
        <v>0</v>
      </c>
      <c r="M630" s="3">
        <v>3</v>
      </c>
      <c r="N630" s="3" t="s">
        <v>341</v>
      </c>
      <c r="O630" s="3">
        <v>0</v>
      </c>
      <c r="P630" s="3">
        <v>0</v>
      </c>
      <c r="Q630" s="3">
        <v>3</v>
      </c>
      <c r="R630" s="3">
        <v>9.65</v>
      </c>
      <c r="S630" s="3">
        <v>0</v>
      </c>
      <c r="T630" s="3">
        <v>0</v>
      </c>
      <c r="U630" s="3">
        <v>0</v>
      </c>
      <c r="V630" s="3">
        <v>0</v>
      </c>
      <c r="W630" s="3" t="s">
        <v>342</v>
      </c>
      <c r="X630" s="3">
        <v>23.88</v>
      </c>
      <c r="Y630" s="3">
        <v>23.88</v>
      </c>
      <c r="Z630" s="3">
        <v>23.88</v>
      </c>
      <c r="AA630" s="3">
        <v>0</v>
      </c>
      <c r="AB630" s="3" t="s">
        <v>343</v>
      </c>
      <c r="AC630" s="3">
        <v>0</v>
      </c>
      <c r="AD630" s="3">
        <v>19.1</v>
      </c>
      <c r="AE630" s="3">
        <v>63</v>
      </c>
      <c r="AF630" s="3">
        <v>0</v>
      </c>
      <c r="AG630" s="3">
        <v>65.753093</v>
      </c>
      <c r="AH630" s="3">
        <v>0</v>
      </c>
      <c r="AI630" s="3" t="s">
        <v>596</v>
      </c>
      <c r="AJ630" s="3" t="s">
        <v>345</v>
      </c>
    </row>
    <row r="631" spans="1:36">
      <c r="A631" s="4">
        <v>43288</v>
      </c>
      <c r="B631" s="3" t="s">
        <v>2491</v>
      </c>
      <c r="C631" s="3" t="s">
        <v>2492</v>
      </c>
      <c r="D631" s="3" t="s">
        <v>2493</v>
      </c>
      <c r="E631" s="3" t="s">
        <v>2494</v>
      </c>
      <c r="F631" s="3" t="s">
        <v>340</v>
      </c>
      <c r="G631" s="3">
        <v>1</v>
      </c>
      <c r="H631" s="3">
        <v>0</v>
      </c>
      <c r="I631" s="3">
        <v>0</v>
      </c>
      <c r="J631" s="3">
        <v>0</v>
      </c>
      <c r="K631" s="3">
        <v>0</v>
      </c>
      <c r="L631" s="3">
        <v>0</v>
      </c>
      <c r="M631" s="3">
        <v>1</v>
      </c>
      <c r="N631" s="3" t="s">
        <v>341</v>
      </c>
      <c r="O631" s="3">
        <v>0</v>
      </c>
      <c r="P631" s="3">
        <v>0</v>
      </c>
      <c r="Q631" s="3">
        <v>1</v>
      </c>
      <c r="R631" s="3">
        <v>0.5</v>
      </c>
      <c r="S631" s="3">
        <v>0</v>
      </c>
      <c r="T631" s="3">
        <v>0</v>
      </c>
      <c r="U631" s="3">
        <v>0</v>
      </c>
      <c r="V631" s="3">
        <v>0</v>
      </c>
      <c r="W631" s="3" t="s">
        <v>342</v>
      </c>
      <c r="X631" s="3">
        <v>18.9</v>
      </c>
      <c r="Y631" s="3">
        <v>18.9</v>
      </c>
      <c r="Z631" s="3">
        <v>18.9</v>
      </c>
      <c r="AA631" s="3">
        <v>0</v>
      </c>
      <c r="AB631" s="3" t="s">
        <v>343</v>
      </c>
      <c r="AC631" s="3">
        <v>0</v>
      </c>
      <c r="AD631" s="3">
        <v>15.12</v>
      </c>
      <c r="AE631" s="3">
        <v>63</v>
      </c>
      <c r="AF631" s="3">
        <v>0</v>
      </c>
      <c r="AG631" s="3">
        <v>0.585161</v>
      </c>
      <c r="AH631" s="3">
        <v>0</v>
      </c>
      <c r="AI631" s="3" t="s">
        <v>387</v>
      </c>
      <c r="AJ631" s="3" t="s">
        <v>345</v>
      </c>
    </row>
    <row r="632" spans="1:36">
      <c r="A632" s="4">
        <v>43288</v>
      </c>
      <c r="B632" s="3" t="s">
        <v>2495</v>
      </c>
      <c r="C632" s="3" t="s">
        <v>2496</v>
      </c>
      <c r="D632" s="3" t="s">
        <v>2497</v>
      </c>
      <c r="E632" s="3" t="s">
        <v>53</v>
      </c>
      <c r="F632" s="3" t="s">
        <v>340</v>
      </c>
      <c r="G632" s="3">
        <v>12</v>
      </c>
      <c r="H632" s="3">
        <v>0</v>
      </c>
      <c r="I632" s="3">
        <v>11</v>
      </c>
      <c r="J632" s="3">
        <v>1</v>
      </c>
      <c r="K632" s="3">
        <v>0</v>
      </c>
      <c r="L632" s="3">
        <v>0</v>
      </c>
      <c r="M632" s="3">
        <v>0</v>
      </c>
      <c r="N632" s="3" t="s">
        <v>341</v>
      </c>
      <c r="O632" s="3">
        <v>0</v>
      </c>
      <c r="P632" s="3">
        <v>0</v>
      </c>
      <c r="Q632" s="3">
        <v>0</v>
      </c>
      <c r="R632" s="3">
        <v>0</v>
      </c>
      <c r="S632" s="3">
        <v>0</v>
      </c>
      <c r="T632" s="3">
        <v>1</v>
      </c>
      <c r="U632" s="3">
        <v>9</v>
      </c>
      <c r="V632" s="3">
        <v>13</v>
      </c>
      <c r="W632" s="3"/>
      <c r="X632" s="3">
        <v>18.98</v>
      </c>
      <c r="Y632" s="3">
        <v>18.98</v>
      </c>
      <c r="Z632" s="3">
        <v>18.98</v>
      </c>
      <c r="AA632" s="3">
        <v>0</v>
      </c>
      <c r="AB632" s="3" t="s">
        <v>359</v>
      </c>
      <c r="AC632" s="3">
        <v>12</v>
      </c>
      <c r="AD632" s="3">
        <v>18.98</v>
      </c>
      <c r="AE632" s="3">
        <v>0</v>
      </c>
      <c r="AF632" s="3">
        <v>0</v>
      </c>
      <c r="AG632" s="3">
        <v>0</v>
      </c>
      <c r="AH632" s="3">
        <v>0.881355932203389</v>
      </c>
      <c r="AI632" s="3" t="s">
        <v>431</v>
      </c>
      <c r="AJ632" s="3" t="s">
        <v>345</v>
      </c>
    </row>
    <row r="633" spans="1:36">
      <c r="A633" s="4">
        <v>43288</v>
      </c>
      <c r="B633" s="3" t="s">
        <v>124</v>
      </c>
      <c r="C633" s="3" t="s">
        <v>125</v>
      </c>
      <c r="D633" s="3" t="s">
        <v>126</v>
      </c>
      <c r="E633" s="3" t="s">
        <v>123</v>
      </c>
      <c r="F633" s="3" t="s">
        <v>340</v>
      </c>
      <c r="G633" s="3">
        <v>105</v>
      </c>
      <c r="H633" s="3">
        <v>0</v>
      </c>
      <c r="I633" s="3">
        <v>105</v>
      </c>
      <c r="J633" s="3">
        <v>0</v>
      </c>
      <c r="K633" s="3">
        <v>0</v>
      </c>
      <c r="L633" s="3">
        <v>0</v>
      </c>
      <c r="M633" s="3">
        <v>0</v>
      </c>
      <c r="N633" s="3" t="s">
        <v>341</v>
      </c>
      <c r="O633" s="3">
        <v>0</v>
      </c>
      <c r="P633" s="3">
        <v>0</v>
      </c>
      <c r="Q633" s="3">
        <v>0</v>
      </c>
      <c r="R633" s="3">
        <v>0</v>
      </c>
      <c r="S633" s="3">
        <v>8</v>
      </c>
      <c r="T633" s="3">
        <v>11</v>
      </c>
      <c r="U633" s="3">
        <v>11</v>
      </c>
      <c r="V633" s="3">
        <v>11</v>
      </c>
      <c r="W633" s="3"/>
      <c r="X633" s="3">
        <v>39.99</v>
      </c>
      <c r="Y633" s="3">
        <v>19.99</v>
      </c>
      <c r="Z633" s="3">
        <v>19.99</v>
      </c>
      <c r="AA633" s="3">
        <v>0</v>
      </c>
      <c r="AB633" s="3" t="s">
        <v>343</v>
      </c>
      <c r="AC633" s="3">
        <v>0</v>
      </c>
      <c r="AD633" s="3">
        <v>15.99</v>
      </c>
      <c r="AE633" s="3">
        <v>364</v>
      </c>
      <c r="AF633" s="3">
        <v>0</v>
      </c>
      <c r="AG633" s="3">
        <v>1817.673756</v>
      </c>
      <c r="AH633" s="3">
        <v>0.10377358490566</v>
      </c>
      <c r="AI633" s="3" t="s">
        <v>518</v>
      </c>
      <c r="AJ633" s="3" t="s">
        <v>345</v>
      </c>
    </row>
    <row r="634" spans="1:36">
      <c r="A634" s="4">
        <v>43288</v>
      </c>
      <c r="B634" s="3" t="s">
        <v>2498</v>
      </c>
      <c r="C634" s="3" t="s">
        <v>2499</v>
      </c>
      <c r="D634" s="3" t="s">
        <v>2500</v>
      </c>
      <c r="E634" s="3" t="s">
        <v>1392</v>
      </c>
      <c r="F634" s="3" t="s">
        <v>340</v>
      </c>
      <c r="G634" s="3">
        <v>4</v>
      </c>
      <c r="H634" s="3">
        <v>0</v>
      </c>
      <c r="I634" s="3">
        <v>1</v>
      </c>
      <c r="J634" s="3">
        <v>3</v>
      </c>
      <c r="K634" s="3">
        <v>0</v>
      </c>
      <c r="L634" s="3">
        <v>0</v>
      </c>
      <c r="M634" s="3">
        <v>0</v>
      </c>
      <c r="N634" s="3" t="s">
        <v>341</v>
      </c>
      <c r="O634" s="3">
        <v>0</v>
      </c>
      <c r="P634" s="3">
        <v>0</v>
      </c>
      <c r="Q634" s="3">
        <v>0</v>
      </c>
      <c r="R634" s="3">
        <v>0</v>
      </c>
      <c r="S634" s="3">
        <v>2</v>
      </c>
      <c r="T634" s="3">
        <v>5</v>
      </c>
      <c r="U634" s="3">
        <v>8</v>
      </c>
      <c r="V634" s="3">
        <v>11</v>
      </c>
      <c r="W634" s="3"/>
      <c r="X634" s="3">
        <v>18.99</v>
      </c>
      <c r="Y634" s="3">
        <v>18.99</v>
      </c>
      <c r="Z634" s="3">
        <v>18.99</v>
      </c>
      <c r="AA634" s="3">
        <v>0</v>
      </c>
      <c r="AB634" s="3" t="s">
        <v>359</v>
      </c>
      <c r="AC634" s="3">
        <v>5</v>
      </c>
      <c r="AD634" s="3">
        <v>18.99</v>
      </c>
      <c r="AE634" s="3">
        <v>0</v>
      </c>
      <c r="AF634" s="3">
        <v>0</v>
      </c>
      <c r="AG634" s="3">
        <v>0</v>
      </c>
      <c r="AH634" s="3">
        <v>1.18918918918918</v>
      </c>
      <c r="AI634" s="3" t="s">
        <v>1393</v>
      </c>
      <c r="AJ634" s="3" t="s">
        <v>345</v>
      </c>
    </row>
    <row r="635" spans="1:36">
      <c r="A635" s="4">
        <v>43288</v>
      </c>
      <c r="B635" s="3" t="s">
        <v>2501</v>
      </c>
      <c r="C635" s="3" t="s">
        <v>2502</v>
      </c>
      <c r="D635" s="3" t="s">
        <v>2503</v>
      </c>
      <c r="E635" s="3" t="s">
        <v>173</v>
      </c>
      <c r="F635" s="3" t="s">
        <v>340</v>
      </c>
      <c r="G635" s="3">
        <v>7</v>
      </c>
      <c r="H635" s="3">
        <v>0</v>
      </c>
      <c r="I635" s="3">
        <v>4</v>
      </c>
      <c r="J635" s="3">
        <v>3</v>
      </c>
      <c r="K635" s="3">
        <v>0</v>
      </c>
      <c r="L635" s="3">
        <v>0</v>
      </c>
      <c r="M635" s="3">
        <v>0</v>
      </c>
      <c r="N635" s="3" t="s">
        <v>341</v>
      </c>
      <c r="O635" s="3">
        <v>0</v>
      </c>
      <c r="P635" s="3">
        <v>0</v>
      </c>
      <c r="Q635" s="3">
        <v>0</v>
      </c>
      <c r="R635" s="3">
        <v>0</v>
      </c>
      <c r="S635" s="3">
        <v>0</v>
      </c>
      <c r="T635" s="3">
        <v>4</v>
      </c>
      <c r="U635" s="3">
        <v>5</v>
      </c>
      <c r="V635" s="3">
        <v>8</v>
      </c>
      <c r="W635" s="3"/>
      <c r="X635" s="3">
        <v>15.99</v>
      </c>
      <c r="Y635" s="3">
        <v>15.99</v>
      </c>
      <c r="Z635" s="3">
        <v>15.99</v>
      </c>
      <c r="AA635" s="3">
        <v>0</v>
      </c>
      <c r="AB635" s="3" t="s">
        <v>359</v>
      </c>
      <c r="AC635" s="3">
        <v>7</v>
      </c>
      <c r="AD635" s="3">
        <v>15.99</v>
      </c>
      <c r="AE635" s="3">
        <v>0</v>
      </c>
      <c r="AF635" s="3">
        <v>0</v>
      </c>
      <c r="AG635" s="3">
        <v>0</v>
      </c>
      <c r="AH635" s="3">
        <v>0.914285714285714</v>
      </c>
      <c r="AI635" s="3" t="s">
        <v>637</v>
      </c>
      <c r="AJ635" s="3" t="s">
        <v>345</v>
      </c>
    </row>
    <row r="636" spans="1:36">
      <c r="A636" s="4">
        <v>43288</v>
      </c>
      <c r="B636" s="3" t="s">
        <v>2504</v>
      </c>
      <c r="C636" s="3" t="s">
        <v>2505</v>
      </c>
      <c r="D636" s="3" t="s">
        <v>2506</v>
      </c>
      <c r="E636" s="3" t="s">
        <v>2507</v>
      </c>
      <c r="F636" s="3" t="s">
        <v>340</v>
      </c>
      <c r="G636" s="3">
        <v>6</v>
      </c>
      <c r="H636" s="3">
        <v>0</v>
      </c>
      <c r="I636" s="3">
        <v>0</v>
      </c>
      <c r="J636" s="3">
        <v>1</v>
      </c>
      <c r="K636" s="3">
        <v>0</v>
      </c>
      <c r="L636" s="3">
        <v>5</v>
      </c>
      <c r="M636" s="3">
        <v>0</v>
      </c>
      <c r="N636" s="3" t="s">
        <v>341</v>
      </c>
      <c r="O636" s="3">
        <v>0</v>
      </c>
      <c r="P636" s="3">
        <v>0</v>
      </c>
      <c r="Q636" s="3">
        <v>5</v>
      </c>
      <c r="R636" s="3">
        <v>7.04</v>
      </c>
      <c r="S636" s="3">
        <v>0</v>
      </c>
      <c r="T636" s="3">
        <v>2</v>
      </c>
      <c r="U636" s="3">
        <v>2</v>
      </c>
      <c r="V636" s="3">
        <v>2</v>
      </c>
      <c r="W636" s="3"/>
      <c r="X636" s="3">
        <v>17.99</v>
      </c>
      <c r="Y636" s="3">
        <v>17.99</v>
      </c>
      <c r="Z636" s="3">
        <v>17.99</v>
      </c>
      <c r="AA636" s="3">
        <v>0</v>
      </c>
      <c r="AB636" s="3" t="s">
        <v>359</v>
      </c>
      <c r="AC636" s="3">
        <v>6</v>
      </c>
      <c r="AD636" s="3">
        <v>17.99</v>
      </c>
      <c r="AE636" s="3">
        <v>0</v>
      </c>
      <c r="AF636" s="3">
        <v>0</v>
      </c>
      <c r="AG636" s="3">
        <v>0</v>
      </c>
      <c r="AH636" s="3">
        <v>0.266666666666666</v>
      </c>
      <c r="AI636" s="3" t="s">
        <v>859</v>
      </c>
      <c r="AJ636" s="3" t="s">
        <v>345</v>
      </c>
    </row>
    <row r="637" spans="1:36">
      <c r="A637" s="4">
        <v>43288</v>
      </c>
      <c r="B637" s="3" t="s">
        <v>2508</v>
      </c>
      <c r="C637" s="3" t="s">
        <v>2509</v>
      </c>
      <c r="D637" s="3" t="s">
        <v>2510</v>
      </c>
      <c r="E637" s="3" t="s">
        <v>181</v>
      </c>
      <c r="F637" s="3" t="s">
        <v>340</v>
      </c>
      <c r="G637" s="3">
        <v>4</v>
      </c>
      <c r="H637" s="3">
        <v>0</v>
      </c>
      <c r="I637" s="3">
        <v>4</v>
      </c>
      <c r="J637" s="3">
        <v>0</v>
      </c>
      <c r="K637" s="3">
        <v>0</v>
      </c>
      <c r="L637" s="3">
        <v>0</v>
      </c>
      <c r="M637" s="3">
        <v>0</v>
      </c>
      <c r="N637" s="3" t="s">
        <v>341</v>
      </c>
      <c r="O637" s="3">
        <v>0</v>
      </c>
      <c r="P637" s="3">
        <v>0</v>
      </c>
      <c r="Q637" s="3">
        <v>0</v>
      </c>
      <c r="R637" s="3">
        <v>0</v>
      </c>
      <c r="S637" s="3">
        <v>2</v>
      </c>
      <c r="T637" s="3">
        <v>3</v>
      </c>
      <c r="U637" s="3">
        <v>6</v>
      </c>
      <c r="V637" s="3">
        <v>7</v>
      </c>
      <c r="W637" s="3"/>
      <c r="X637" s="3">
        <v>19.38</v>
      </c>
      <c r="Y637" s="3">
        <v>19.38</v>
      </c>
      <c r="Z637" s="3">
        <v>19.38</v>
      </c>
      <c r="AA637" s="3">
        <v>0</v>
      </c>
      <c r="AB637" s="3" t="s">
        <v>359</v>
      </c>
      <c r="AC637" s="3">
        <v>5</v>
      </c>
      <c r="AD637" s="3">
        <v>19.38</v>
      </c>
      <c r="AE637" s="3">
        <v>0</v>
      </c>
      <c r="AF637" s="3">
        <v>0</v>
      </c>
      <c r="AG637" s="3">
        <v>0</v>
      </c>
      <c r="AH637" s="3">
        <v>1.21739130434782</v>
      </c>
      <c r="AI637" s="3" t="s">
        <v>637</v>
      </c>
      <c r="AJ637" s="3" t="s">
        <v>345</v>
      </c>
    </row>
    <row r="638" spans="1:36">
      <c r="A638" s="4">
        <v>43288</v>
      </c>
      <c r="B638" s="3" t="s">
        <v>2511</v>
      </c>
      <c r="C638" s="3" t="s">
        <v>2512</v>
      </c>
      <c r="D638" s="3" t="s">
        <v>2513</v>
      </c>
      <c r="E638" s="3" t="s">
        <v>2514</v>
      </c>
      <c r="F638" s="3" t="s">
        <v>340</v>
      </c>
      <c r="G638" s="3">
        <v>4</v>
      </c>
      <c r="H638" s="3">
        <v>0</v>
      </c>
      <c r="I638" s="3">
        <v>0</v>
      </c>
      <c r="J638" s="3">
        <v>0</v>
      </c>
      <c r="K638" s="3">
        <v>0</v>
      </c>
      <c r="L638" s="3">
        <v>0</v>
      </c>
      <c r="M638" s="3">
        <v>4</v>
      </c>
      <c r="N638" s="3" t="s">
        <v>341</v>
      </c>
      <c r="O638" s="3">
        <v>0</v>
      </c>
      <c r="P638" s="3">
        <v>0</v>
      </c>
      <c r="Q638" s="3">
        <v>4</v>
      </c>
      <c r="R638" s="3">
        <v>9.75</v>
      </c>
      <c r="S638" s="3">
        <v>0</v>
      </c>
      <c r="T638" s="3">
        <v>0</v>
      </c>
      <c r="U638" s="3">
        <v>0</v>
      </c>
      <c r="V638" s="3">
        <v>0</v>
      </c>
      <c r="W638" s="3" t="s">
        <v>342</v>
      </c>
      <c r="X638" s="3">
        <v>13.9</v>
      </c>
      <c r="Y638" s="3">
        <v>13.9</v>
      </c>
      <c r="Z638" s="3">
        <v>13.9</v>
      </c>
      <c r="AA638" s="3">
        <v>0</v>
      </c>
      <c r="AB638" s="3" t="s">
        <v>343</v>
      </c>
      <c r="AC638" s="3">
        <v>0</v>
      </c>
      <c r="AD638" s="3">
        <v>11.12</v>
      </c>
      <c r="AE638" s="3">
        <v>63</v>
      </c>
      <c r="AF638" s="3">
        <v>0</v>
      </c>
      <c r="AG638" s="3">
        <v>62.526592</v>
      </c>
      <c r="AH638" s="3">
        <v>0</v>
      </c>
      <c r="AI638" s="3" t="s">
        <v>2052</v>
      </c>
      <c r="AJ638" s="3" t="s">
        <v>345</v>
      </c>
    </row>
    <row r="639" spans="1:36">
      <c r="A639" s="4">
        <v>43288</v>
      </c>
      <c r="B639" s="3" t="s">
        <v>2515</v>
      </c>
      <c r="C639" s="3" t="s">
        <v>2516</v>
      </c>
      <c r="D639" s="3" t="s">
        <v>2517</v>
      </c>
      <c r="E639" s="3" t="s">
        <v>2518</v>
      </c>
      <c r="F639" s="3" t="s">
        <v>340</v>
      </c>
      <c r="G639" s="3">
        <v>1</v>
      </c>
      <c r="H639" s="3">
        <v>0</v>
      </c>
      <c r="I639" s="3">
        <v>0</v>
      </c>
      <c r="J639" s="3">
        <v>0</v>
      </c>
      <c r="K639" s="3">
        <v>0</v>
      </c>
      <c r="L639" s="3">
        <v>1</v>
      </c>
      <c r="M639" s="3">
        <v>0</v>
      </c>
      <c r="N639" s="3" t="s">
        <v>341</v>
      </c>
      <c r="O639" s="3">
        <v>0</v>
      </c>
      <c r="P639" s="3">
        <v>0</v>
      </c>
      <c r="Q639" s="3">
        <v>1</v>
      </c>
      <c r="R639" s="3">
        <v>1.99</v>
      </c>
      <c r="S639" s="3">
        <v>0</v>
      </c>
      <c r="T639" s="3">
        <v>0</v>
      </c>
      <c r="U639" s="3">
        <v>0</v>
      </c>
      <c r="V639" s="3">
        <v>0</v>
      </c>
      <c r="W639" s="3" t="s">
        <v>342</v>
      </c>
      <c r="X639" s="3">
        <v>18.96</v>
      </c>
      <c r="Y639" s="3">
        <v>18.96</v>
      </c>
      <c r="Z639" s="3">
        <v>18.96</v>
      </c>
      <c r="AA639" s="3">
        <v>0</v>
      </c>
      <c r="AB639" s="3" t="s">
        <v>343</v>
      </c>
      <c r="AC639" s="3">
        <v>0</v>
      </c>
      <c r="AD639" s="3">
        <v>17.21</v>
      </c>
      <c r="AE639" s="3">
        <v>35</v>
      </c>
      <c r="AF639" s="3">
        <v>0</v>
      </c>
      <c r="AG639" s="3">
        <v>21.491193</v>
      </c>
      <c r="AH639" s="3">
        <v>0</v>
      </c>
      <c r="AI639" s="3" t="s">
        <v>370</v>
      </c>
      <c r="AJ639" s="3" t="s">
        <v>345</v>
      </c>
    </row>
    <row r="640" spans="1:36">
      <c r="A640" s="4">
        <v>43288</v>
      </c>
      <c r="B640" s="3" t="s">
        <v>2519</v>
      </c>
      <c r="C640" s="3" t="s">
        <v>2520</v>
      </c>
      <c r="D640" s="3" t="s">
        <v>2521</v>
      </c>
      <c r="E640" s="3" t="s">
        <v>1495</v>
      </c>
      <c r="F640" s="3" t="s">
        <v>340</v>
      </c>
      <c r="G640" s="3">
        <v>9</v>
      </c>
      <c r="H640" s="3">
        <v>0</v>
      </c>
      <c r="I640" s="3">
        <v>0</v>
      </c>
      <c r="J640" s="3">
        <v>2</v>
      </c>
      <c r="K640" s="3">
        <v>0</v>
      </c>
      <c r="L640" s="3">
        <v>7</v>
      </c>
      <c r="M640" s="3">
        <v>0</v>
      </c>
      <c r="N640" s="3" t="s">
        <v>341</v>
      </c>
      <c r="O640" s="3">
        <v>9</v>
      </c>
      <c r="P640" s="3">
        <v>7.98</v>
      </c>
      <c r="Q640" s="3">
        <v>0</v>
      </c>
      <c r="R640" s="3">
        <v>0</v>
      </c>
      <c r="S640" s="3">
        <v>0</v>
      </c>
      <c r="T640" s="3">
        <v>1</v>
      </c>
      <c r="U640" s="3">
        <v>1</v>
      </c>
      <c r="V640" s="3">
        <v>3</v>
      </c>
      <c r="W640" s="3" t="s">
        <v>342</v>
      </c>
      <c r="X640" s="3">
        <v>19.99</v>
      </c>
      <c r="Y640" s="3">
        <v>19.99</v>
      </c>
      <c r="Z640" s="3">
        <v>19.99</v>
      </c>
      <c r="AA640" s="3">
        <v>0</v>
      </c>
      <c r="AB640" s="3" t="s">
        <v>349</v>
      </c>
      <c r="AC640" s="3">
        <v>0</v>
      </c>
      <c r="AD640" s="3">
        <v>15.99</v>
      </c>
      <c r="AE640" s="3">
        <v>364</v>
      </c>
      <c r="AF640" s="3">
        <v>0</v>
      </c>
      <c r="AG640" s="3">
        <v>67.994353</v>
      </c>
      <c r="AH640" s="3">
        <v>0.272727272727272</v>
      </c>
      <c r="AI640" s="3" t="s">
        <v>1496</v>
      </c>
      <c r="AJ640" s="3" t="s">
        <v>345</v>
      </c>
    </row>
    <row r="641" spans="1:36">
      <c r="A641" s="4">
        <v>43288</v>
      </c>
      <c r="B641" s="3" t="s">
        <v>2522</v>
      </c>
      <c r="C641" s="3" t="s">
        <v>2523</v>
      </c>
      <c r="D641" s="3" t="s">
        <v>2524</v>
      </c>
      <c r="E641" s="3" t="s">
        <v>2525</v>
      </c>
      <c r="F641" s="3" t="s">
        <v>340</v>
      </c>
      <c r="G641" s="3">
        <v>1</v>
      </c>
      <c r="H641" s="3">
        <v>0</v>
      </c>
      <c r="I641" s="3">
        <v>0</v>
      </c>
      <c r="J641" s="3">
        <v>0</v>
      </c>
      <c r="K641" s="3">
        <v>0</v>
      </c>
      <c r="L641" s="3">
        <v>0</v>
      </c>
      <c r="M641" s="3">
        <v>1</v>
      </c>
      <c r="N641" s="3" t="s">
        <v>341</v>
      </c>
      <c r="O641" s="3">
        <v>0</v>
      </c>
      <c r="P641" s="3">
        <v>0</v>
      </c>
      <c r="Q641" s="3">
        <v>1</v>
      </c>
      <c r="R641" s="3">
        <v>1.41</v>
      </c>
      <c r="S641" s="3">
        <v>0</v>
      </c>
      <c r="T641" s="3">
        <v>0</v>
      </c>
      <c r="U641" s="3">
        <v>0</v>
      </c>
      <c r="V641" s="3">
        <v>2</v>
      </c>
      <c r="W641" s="3" t="s">
        <v>381</v>
      </c>
      <c r="X641" s="3">
        <v>17.99</v>
      </c>
      <c r="Y641" s="3">
        <v>17.99</v>
      </c>
      <c r="Z641" s="3">
        <v>17.99</v>
      </c>
      <c r="AA641" s="3">
        <v>0</v>
      </c>
      <c r="AB641" s="3" t="s">
        <v>343</v>
      </c>
      <c r="AC641" s="3">
        <v>0</v>
      </c>
      <c r="AD641" s="3">
        <v>16.31</v>
      </c>
      <c r="AE641" s="3">
        <v>35</v>
      </c>
      <c r="AF641" s="3">
        <v>0</v>
      </c>
      <c r="AG641" s="3">
        <v>17.174963</v>
      </c>
      <c r="AH641" s="3">
        <v>1</v>
      </c>
      <c r="AI641" s="3" t="s">
        <v>859</v>
      </c>
      <c r="AJ641" s="3" t="s">
        <v>345</v>
      </c>
    </row>
    <row r="642" spans="1:36">
      <c r="A642" s="4">
        <v>43288</v>
      </c>
      <c r="B642" s="3" t="s">
        <v>2526</v>
      </c>
      <c r="C642" s="3" t="s">
        <v>2527</v>
      </c>
      <c r="D642" s="3" t="s">
        <v>2528</v>
      </c>
      <c r="E642" s="3" t="s">
        <v>2529</v>
      </c>
      <c r="F642" s="3" t="s">
        <v>340</v>
      </c>
      <c r="G642" s="3">
        <v>1</v>
      </c>
      <c r="H642" s="3">
        <v>0</v>
      </c>
      <c r="I642" s="3">
        <v>1</v>
      </c>
      <c r="J642" s="3">
        <v>0</v>
      </c>
      <c r="K642" s="3">
        <v>0</v>
      </c>
      <c r="L642" s="3">
        <v>0</v>
      </c>
      <c r="M642" s="3">
        <v>0</v>
      </c>
      <c r="N642" s="3" t="s">
        <v>341</v>
      </c>
      <c r="O642" s="3">
        <v>0</v>
      </c>
      <c r="P642" s="3">
        <v>0</v>
      </c>
      <c r="Q642" s="3">
        <v>0</v>
      </c>
      <c r="R642" s="3">
        <v>0</v>
      </c>
      <c r="S642" s="3">
        <v>0</v>
      </c>
      <c r="T642" s="3">
        <v>1</v>
      </c>
      <c r="U642" s="3">
        <v>2</v>
      </c>
      <c r="V642" s="3">
        <v>2</v>
      </c>
      <c r="W642" s="3" t="s">
        <v>342</v>
      </c>
      <c r="X642" s="3">
        <v>26.99</v>
      </c>
      <c r="Y642" s="3">
        <v>26.99</v>
      </c>
      <c r="Z642" s="3">
        <v>26.99</v>
      </c>
      <c r="AA642" s="3">
        <v>0</v>
      </c>
      <c r="AB642" s="3" t="s">
        <v>349</v>
      </c>
      <c r="AC642" s="3">
        <v>1</v>
      </c>
      <c r="AD642" s="3">
        <v>26.99</v>
      </c>
      <c r="AE642" s="3">
        <v>0</v>
      </c>
      <c r="AF642" s="3">
        <v>0</v>
      </c>
      <c r="AG642" s="3">
        <v>0</v>
      </c>
      <c r="AH642" s="3">
        <v>1</v>
      </c>
      <c r="AI642" s="3" t="s">
        <v>2530</v>
      </c>
      <c r="AJ642" s="3" t="s">
        <v>345</v>
      </c>
    </row>
    <row r="643" spans="1:36">
      <c r="A643" s="4">
        <v>43288</v>
      </c>
      <c r="B643" s="3" t="s">
        <v>2531</v>
      </c>
      <c r="C643" s="3" t="s">
        <v>2532</v>
      </c>
      <c r="D643" s="3" t="s">
        <v>2533</v>
      </c>
      <c r="E643" s="3" t="s">
        <v>2155</v>
      </c>
      <c r="F643" s="3" t="s">
        <v>340</v>
      </c>
      <c r="G643" s="3">
        <v>3</v>
      </c>
      <c r="H643" s="3">
        <v>0</v>
      </c>
      <c r="I643" s="3">
        <v>1</v>
      </c>
      <c r="J643" s="3">
        <v>0</v>
      </c>
      <c r="K643" s="3">
        <v>1</v>
      </c>
      <c r="L643" s="3">
        <v>1</v>
      </c>
      <c r="M643" s="3">
        <v>0</v>
      </c>
      <c r="N643" s="3" t="s">
        <v>341</v>
      </c>
      <c r="O643" s="3">
        <v>2</v>
      </c>
      <c r="P643" s="3">
        <v>0.92</v>
      </c>
      <c r="Q643" s="3">
        <v>0</v>
      </c>
      <c r="R643" s="3">
        <v>0</v>
      </c>
      <c r="S643" s="3">
        <v>0</v>
      </c>
      <c r="T643" s="3">
        <v>1</v>
      </c>
      <c r="U643" s="3">
        <v>1</v>
      </c>
      <c r="V643" s="3">
        <v>2</v>
      </c>
      <c r="W643" s="3" t="s">
        <v>342</v>
      </c>
      <c r="X643" s="3">
        <v>19.99</v>
      </c>
      <c r="Y643" s="3">
        <v>19.99</v>
      </c>
      <c r="Z643" s="3">
        <v>19.99</v>
      </c>
      <c r="AA643" s="3">
        <v>0</v>
      </c>
      <c r="AB643" s="3" t="s">
        <v>349</v>
      </c>
      <c r="AC643" s="3">
        <v>3</v>
      </c>
      <c r="AD643" s="3">
        <v>19.99</v>
      </c>
      <c r="AE643" s="3">
        <v>0</v>
      </c>
      <c r="AF643" s="3">
        <v>0</v>
      </c>
      <c r="AG643" s="3">
        <v>0</v>
      </c>
      <c r="AH643" s="3">
        <v>0.533333333333333</v>
      </c>
      <c r="AI643" s="3" t="s">
        <v>2534</v>
      </c>
      <c r="AJ643" s="3" t="s">
        <v>345</v>
      </c>
    </row>
    <row r="644" spans="1:36">
      <c r="A644" s="4">
        <v>43288</v>
      </c>
      <c r="B644" s="3" t="s">
        <v>2535</v>
      </c>
      <c r="C644" s="3" t="s">
        <v>2536</v>
      </c>
      <c r="D644" s="3" t="s">
        <v>2537</v>
      </c>
      <c r="E644" s="3" t="s">
        <v>2538</v>
      </c>
      <c r="F644" s="3" t="s">
        <v>340</v>
      </c>
      <c r="G644" s="3">
        <v>13</v>
      </c>
      <c r="H644" s="3">
        <v>0</v>
      </c>
      <c r="I644" s="3">
        <v>3</v>
      </c>
      <c r="J644" s="3">
        <v>8</v>
      </c>
      <c r="K644" s="3">
        <v>2</v>
      </c>
      <c r="L644" s="3">
        <v>0</v>
      </c>
      <c r="M644" s="3">
        <v>0</v>
      </c>
      <c r="N644" s="3" t="s">
        <v>341</v>
      </c>
      <c r="O644" s="3">
        <v>7</v>
      </c>
      <c r="P644" s="3">
        <v>1.88</v>
      </c>
      <c r="Q644" s="3">
        <v>0</v>
      </c>
      <c r="R644" s="3">
        <v>0</v>
      </c>
      <c r="S644" s="3">
        <v>0</v>
      </c>
      <c r="T644" s="3">
        <v>0</v>
      </c>
      <c r="U644" s="3">
        <v>0</v>
      </c>
      <c r="V644" s="3">
        <v>5</v>
      </c>
      <c r="W644" s="3"/>
      <c r="X644" s="3"/>
      <c r="Y644" s="3"/>
      <c r="Z644" s="3">
        <v>-1</v>
      </c>
      <c r="AA644" s="3">
        <v>-1</v>
      </c>
      <c r="AB644" s="3" t="s">
        <v>493</v>
      </c>
      <c r="AC644" s="3">
        <v>0</v>
      </c>
      <c r="AD644" s="3">
        <v>0</v>
      </c>
      <c r="AE644" s="3">
        <v>0</v>
      </c>
      <c r="AF644" s="3">
        <v>0</v>
      </c>
      <c r="AG644" s="3">
        <v>0</v>
      </c>
      <c r="AH644" s="3">
        <v>0.338983050847457</v>
      </c>
      <c r="AI644" s="3" t="s">
        <v>1546</v>
      </c>
      <c r="AJ644" s="3" t="s">
        <v>345</v>
      </c>
    </row>
    <row r="645" spans="1:36">
      <c r="A645" s="4">
        <v>43288</v>
      </c>
      <c r="B645" s="3" t="s">
        <v>2539</v>
      </c>
      <c r="C645" s="3" t="s">
        <v>2540</v>
      </c>
      <c r="D645" s="3" t="s">
        <v>2541</v>
      </c>
      <c r="E645" s="3" t="s">
        <v>2542</v>
      </c>
      <c r="F645" s="3" t="s">
        <v>340</v>
      </c>
      <c r="G645" s="3">
        <v>10</v>
      </c>
      <c r="H645" s="3">
        <v>0</v>
      </c>
      <c r="I645" s="3">
        <v>0</v>
      </c>
      <c r="J645" s="3">
        <v>10</v>
      </c>
      <c r="K645" s="3">
        <v>0</v>
      </c>
      <c r="L645" s="3">
        <v>0</v>
      </c>
      <c r="M645" s="3">
        <v>0</v>
      </c>
      <c r="N645" s="3" t="s">
        <v>341</v>
      </c>
      <c r="O645" s="3">
        <v>9</v>
      </c>
      <c r="P645" s="3">
        <v>15.3</v>
      </c>
      <c r="Q645" s="3">
        <v>0</v>
      </c>
      <c r="R645" s="3">
        <v>0</v>
      </c>
      <c r="S645" s="3">
        <v>0</v>
      </c>
      <c r="T645" s="3">
        <v>0</v>
      </c>
      <c r="U645" s="3">
        <v>0</v>
      </c>
      <c r="V645" s="3">
        <v>0</v>
      </c>
      <c r="W645" s="3" t="s">
        <v>381</v>
      </c>
      <c r="X645" s="3">
        <v>19.99</v>
      </c>
      <c r="Y645" s="3">
        <v>19.99</v>
      </c>
      <c r="Z645" s="3">
        <v>19.99</v>
      </c>
      <c r="AA645" s="3">
        <v>0</v>
      </c>
      <c r="AB645" s="3" t="s">
        <v>343</v>
      </c>
      <c r="AC645" s="3">
        <v>1</v>
      </c>
      <c r="AD645" s="3">
        <v>18.11</v>
      </c>
      <c r="AE645" s="3">
        <v>133</v>
      </c>
      <c r="AF645" s="3">
        <v>0</v>
      </c>
      <c r="AG645" s="3">
        <v>273.878433</v>
      </c>
      <c r="AH645" s="3">
        <v>0</v>
      </c>
      <c r="AI645" s="3" t="s">
        <v>2543</v>
      </c>
      <c r="AJ645" s="3" t="s">
        <v>345</v>
      </c>
    </row>
    <row r="646" spans="1:36">
      <c r="A646" s="4">
        <v>43288</v>
      </c>
      <c r="B646" s="3" t="s">
        <v>2544</v>
      </c>
      <c r="C646" s="3" t="s">
        <v>2545</v>
      </c>
      <c r="D646" s="3" t="s">
        <v>2546</v>
      </c>
      <c r="E646" s="3" t="s">
        <v>2547</v>
      </c>
      <c r="F646" s="3" t="s">
        <v>340</v>
      </c>
      <c r="G646" s="3">
        <v>2</v>
      </c>
      <c r="H646" s="3">
        <v>0</v>
      </c>
      <c r="I646" s="3">
        <v>0</v>
      </c>
      <c r="J646" s="3">
        <v>0</v>
      </c>
      <c r="K646" s="3">
        <v>0</v>
      </c>
      <c r="L646" s="3">
        <v>1</v>
      </c>
      <c r="M646" s="3">
        <v>1</v>
      </c>
      <c r="N646" s="3" t="s">
        <v>341</v>
      </c>
      <c r="O646" s="3">
        <v>0</v>
      </c>
      <c r="P646" s="3">
        <v>0</v>
      </c>
      <c r="Q646" s="3">
        <v>2</v>
      </c>
      <c r="R646" s="3">
        <v>1</v>
      </c>
      <c r="S646" s="3">
        <v>0</v>
      </c>
      <c r="T646" s="3">
        <v>0</v>
      </c>
      <c r="U646" s="3">
        <v>0</v>
      </c>
      <c r="V646" s="3">
        <v>0</v>
      </c>
      <c r="W646" s="3" t="s">
        <v>342</v>
      </c>
      <c r="X646" s="3">
        <v>22.99</v>
      </c>
      <c r="Y646" s="3">
        <v>22.99</v>
      </c>
      <c r="Z646" s="3">
        <v>22.99</v>
      </c>
      <c r="AA646" s="3">
        <v>0</v>
      </c>
      <c r="AB646" s="3" t="s">
        <v>359</v>
      </c>
      <c r="AC646" s="3">
        <v>2</v>
      </c>
      <c r="AD646" s="3">
        <v>22.99</v>
      </c>
      <c r="AE646" s="3">
        <v>0</v>
      </c>
      <c r="AF646" s="3">
        <v>0</v>
      </c>
      <c r="AG646" s="3">
        <v>0</v>
      </c>
      <c r="AH646" s="3">
        <v>0</v>
      </c>
      <c r="AI646" s="3" t="s">
        <v>355</v>
      </c>
      <c r="AJ646" s="3" t="s">
        <v>345</v>
      </c>
    </row>
    <row r="647" spans="1:36">
      <c r="A647" s="4">
        <v>43288</v>
      </c>
      <c r="B647" s="3" t="s">
        <v>2548</v>
      </c>
      <c r="C647" s="3" t="s">
        <v>2549</v>
      </c>
      <c r="D647" s="3" t="s">
        <v>2550</v>
      </c>
      <c r="E647" s="3" t="s">
        <v>1162</v>
      </c>
      <c r="F647" s="3" t="s">
        <v>340</v>
      </c>
      <c r="G647" s="3">
        <v>1</v>
      </c>
      <c r="H647" s="3">
        <v>0</v>
      </c>
      <c r="I647" s="3">
        <v>1</v>
      </c>
      <c r="J647" s="3">
        <v>0</v>
      </c>
      <c r="K647" s="3">
        <v>0</v>
      </c>
      <c r="L647" s="3">
        <v>0</v>
      </c>
      <c r="M647" s="3">
        <v>0</v>
      </c>
      <c r="N647" s="3" t="s">
        <v>341</v>
      </c>
      <c r="O647" s="3">
        <v>0</v>
      </c>
      <c r="P647" s="3">
        <v>0</v>
      </c>
      <c r="Q647" s="3">
        <v>0</v>
      </c>
      <c r="R647" s="3">
        <v>0</v>
      </c>
      <c r="S647" s="3">
        <v>0</v>
      </c>
      <c r="T647" s="3">
        <v>0</v>
      </c>
      <c r="U647" s="3">
        <v>0</v>
      </c>
      <c r="V647" s="3">
        <v>13</v>
      </c>
      <c r="W647" s="3"/>
      <c r="X647" s="3"/>
      <c r="Y647" s="3"/>
      <c r="Z647" s="3">
        <v>-1</v>
      </c>
      <c r="AA647" s="3">
        <v>-1</v>
      </c>
      <c r="AB647" s="3" t="s">
        <v>493</v>
      </c>
      <c r="AC647" s="3">
        <v>0</v>
      </c>
      <c r="AD647" s="3">
        <v>0</v>
      </c>
      <c r="AE647" s="3">
        <v>0</v>
      </c>
      <c r="AF647" s="3">
        <v>0</v>
      </c>
      <c r="AG647" s="3">
        <v>0</v>
      </c>
      <c r="AH647" s="3">
        <v>1.6774193548387</v>
      </c>
      <c r="AI647" s="3" t="s">
        <v>1163</v>
      </c>
      <c r="AJ647" s="3" t="s">
        <v>345</v>
      </c>
    </row>
    <row r="648" spans="1:36">
      <c r="A648" s="4">
        <v>43288</v>
      </c>
      <c r="B648" s="3" t="s">
        <v>2551</v>
      </c>
      <c r="C648" s="3" t="s">
        <v>2552</v>
      </c>
      <c r="D648" s="3" t="s">
        <v>2553</v>
      </c>
      <c r="E648" s="3" t="s">
        <v>490</v>
      </c>
      <c r="F648" s="3" t="s">
        <v>340</v>
      </c>
      <c r="G648" s="3">
        <v>1</v>
      </c>
      <c r="H648" s="3">
        <v>0</v>
      </c>
      <c r="I648" s="3">
        <v>0</v>
      </c>
      <c r="J648" s="3">
        <v>0</v>
      </c>
      <c r="K648" s="3">
        <v>0</v>
      </c>
      <c r="L648" s="3">
        <v>1</v>
      </c>
      <c r="M648" s="3">
        <v>0</v>
      </c>
      <c r="N648" s="3" t="s">
        <v>341</v>
      </c>
      <c r="O648" s="3">
        <v>0</v>
      </c>
      <c r="P648" s="3">
        <v>0</v>
      </c>
      <c r="Q648" s="3">
        <v>1</v>
      </c>
      <c r="R648" s="3">
        <v>1.25</v>
      </c>
      <c r="S648" s="3">
        <v>0</v>
      </c>
      <c r="T648" s="3">
        <v>0</v>
      </c>
      <c r="U648" s="3">
        <v>0</v>
      </c>
      <c r="V648" s="3">
        <v>0</v>
      </c>
      <c r="W648" s="3" t="s">
        <v>342</v>
      </c>
      <c r="X648" s="3">
        <v>16.99</v>
      </c>
      <c r="Y648" s="3">
        <v>16.99</v>
      </c>
      <c r="Z648" s="3">
        <v>16.99</v>
      </c>
      <c r="AA648" s="3">
        <v>0</v>
      </c>
      <c r="AB648" s="3" t="s">
        <v>359</v>
      </c>
      <c r="AC648" s="3">
        <v>1</v>
      </c>
      <c r="AD648" s="3">
        <v>16.99</v>
      </c>
      <c r="AE648" s="3">
        <v>0</v>
      </c>
      <c r="AF648" s="3">
        <v>0</v>
      </c>
      <c r="AG648" s="3">
        <v>0</v>
      </c>
      <c r="AH648" s="3">
        <v>0</v>
      </c>
      <c r="AI648" s="3" t="s">
        <v>491</v>
      </c>
      <c r="AJ648" s="3" t="s">
        <v>345</v>
      </c>
    </row>
    <row r="649" spans="1:36">
      <c r="A649" s="4">
        <v>43288</v>
      </c>
      <c r="B649" s="3" t="s">
        <v>2554</v>
      </c>
      <c r="C649" s="3" t="s">
        <v>2555</v>
      </c>
      <c r="D649" s="3" t="s">
        <v>2556</v>
      </c>
      <c r="E649" s="3" t="s">
        <v>1113</v>
      </c>
      <c r="F649" s="3" t="s">
        <v>340</v>
      </c>
      <c r="G649" s="3">
        <v>1</v>
      </c>
      <c r="H649" s="3">
        <v>0</v>
      </c>
      <c r="I649" s="3">
        <v>0</v>
      </c>
      <c r="J649" s="3">
        <v>0</v>
      </c>
      <c r="K649" s="3">
        <v>1</v>
      </c>
      <c r="L649" s="3">
        <v>0</v>
      </c>
      <c r="M649" s="3">
        <v>0</v>
      </c>
      <c r="N649" s="3" t="s">
        <v>341</v>
      </c>
      <c r="O649" s="3">
        <v>1</v>
      </c>
      <c r="P649" s="3">
        <v>2.06</v>
      </c>
      <c r="Q649" s="3">
        <v>0</v>
      </c>
      <c r="R649" s="3">
        <v>0</v>
      </c>
      <c r="S649" s="3">
        <v>0</v>
      </c>
      <c r="T649" s="3">
        <v>0</v>
      </c>
      <c r="U649" s="3">
        <v>0</v>
      </c>
      <c r="V649" s="3">
        <v>0</v>
      </c>
      <c r="W649" s="3" t="s">
        <v>342</v>
      </c>
      <c r="X649" s="3">
        <v>17.99</v>
      </c>
      <c r="Y649" s="3">
        <v>17.99</v>
      </c>
      <c r="Z649" s="3">
        <v>17.99</v>
      </c>
      <c r="AA649" s="3">
        <v>0</v>
      </c>
      <c r="AB649" s="3" t="s">
        <v>349</v>
      </c>
      <c r="AC649" s="3">
        <v>0</v>
      </c>
      <c r="AD649" s="3">
        <v>16.19</v>
      </c>
      <c r="AE649" s="3">
        <v>91</v>
      </c>
      <c r="AF649" s="3">
        <v>0</v>
      </c>
      <c r="AG649" s="3">
        <v>30.478163</v>
      </c>
      <c r="AH649" s="3">
        <v>0</v>
      </c>
      <c r="AI649" s="3" t="s">
        <v>604</v>
      </c>
      <c r="AJ649" s="3" t="s">
        <v>345</v>
      </c>
    </row>
    <row r="650" spans="1:36">
      <c r="A650" s="4">
        <v>43288</v>
      </c>
      <c r="B650" s="3" t="s">
        <v>2557</v>
      </c>
      <c r="C650" s="3" t="s">
        <v>2558</v>
      </c>
      <c r="D650" s="3" t="s">
        <v>2559</v>
      </c>
      <c r="E650" s="3" t="s">
        <v>468</v>
      </c>
      <c r="F650" s="3" t="s">
        <v>340</v>
      </c>
      <c r="G650" s="3">
        <v>3</v>
      </c>
      <c r="H650" s="3">
        <v>0</v>
      </c>
      <c r="I650" s="3">
        <v>0</v>
      </c>
      <c r="J650" s="3">
        <v>3</v>
      </c>
      <c r="K650" s="3">
        <v>0</v>
      </c>
      <c r="L650" s="3">
        <v>0</v>
      </c>
      <c r="M650" s="3">
        <v>0</v>
      </c>
      <c r="N650" s="3" t="s">
        <v>341</v>
      </c>
      <c r="O650" s="3">
        <v>3</v>
      </c>
      <c r="P650" s="3">
        <v>3.45</v>
      </c>
      <c r="Q650" s="3">
        <v>0</v>
      </c>
      <c r="R650" s="3">
        <v>0</v>
      </c>
      <c r="S650" s="3">
        <v>0</v>
      </c>
      <c r="T650" s="3">
        <v>0</v>
      </c>
      <c r="U650" s="3">
        <v>0</v>
      </c>
      <c r="V650" s="3">
        <v>0</v>
      </c>
      <c r="W650" s="3" t="s">
        <v>342</v>
      </c>
      <c r="X650" s="3">
        <v>35</v>
      </c>
      <c r="Y650" s="3">
        <v>17.99</v>
      </c>
      <c r="Z650" s="3">
        <v>17.99</v>
      </c>
      <c r="AA650" s="3">
        <v>0</v>
      </c>
      <c r="AB650" s="3" t="s">
        <v>343</v>
      </c>
      <c r="AC650" s="3">
        <v>0</v>
      </c>
      <c r="AD650" s="3">
        <v>16.15</v>
      </c>
      <c r="AE650" s="3">
        <v>140</v>
      </c>
      <c r="AF650" s="3">
        <v>0</v>
      </c>
      <c r="AG650" s="3">
        <v>63.134912</v>
      </c>
      <c r="AH650" s="3">
        <v>0</v>
      </c>
      <c r="AI650" s="3" t="s">
        <v>469</v>
      </c>
      <c r="AJ650" s="3" t="s">
        <v>345</v>
      </c>
    </row>
    <row r="651" spans="1:36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</row>
    <row r="652" spans="1:36">
      <c r="A652" s="4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</row>
    <row r="653" spans="1:36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</row>
    <row r="654" spans="1:36">
      <c r="A654" s="4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</row>
    <row r="655" spans="1:36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</row>
    <row r="656" spans="1:36">
      <c r="A656" s="4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</row>
    <row r="657" spans="1:36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</row>
    <row r="658" spans="1:36">
      <c r="A658" s="4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5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5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5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5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5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5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5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5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5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5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5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5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5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5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5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5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5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5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5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5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5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5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5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5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5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5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5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5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5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5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5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5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5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5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5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5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5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5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5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5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5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5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5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5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5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5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5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5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5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5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5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5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5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5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5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5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5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5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5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5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5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5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5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5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5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5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5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5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5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5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5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5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5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5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5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5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5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5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5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5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5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5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5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5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5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5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5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5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5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5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5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5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5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5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5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5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5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5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5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5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5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5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5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5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5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5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5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5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5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5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5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5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5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5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5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5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5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5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5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5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5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5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5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5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5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5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5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5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5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5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5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5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5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5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5"/>
    </row>
    <row r="1619" spans="1:1">
      <c r="A1619" s="5"/>
    </row>
    <row r="1620" spans="1:1">
      <c r="A1620" s="5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5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5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5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5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5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5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  <row r="1655" spans="1:1">
      <c r="A1655" s="5"/>
    </row>
    <row r="1656" spans="1:1">
      <c r="A1656" s="5"/>
    </row>
    <row r="1657" spans="1:1">
      <c r="A1657" s="5"/>
    </row>
    <row r="1658" spans="1:1">
      <c r="A1658" s="5"/>
    </row>
    <row r="1659" spans="1:1">
      <c r="A1659" s="5"/>
    </row>
    <row r="1660" spans="1:1">
      <c r="A1660" s="5"/>
    </row>
    <row r="1661" spans="1:1">
      <c r="A1661" s="5"/>
    </row>
    <row r="1662" spans="1:1">
      <c r="A1662" s="5"/>
    </row>
    <row r="1663" spans="1:1">
      <c r="A1663" s="5"/>
    </row>
    <row r="1664" spans="1:1">
      <c r="A1664" s="5"/>
    </row>
    <row r="1665" spans="1:1">
      <c r="A1665" s="5"/>
    </row>
    <row r="1666" spans="1:1">
      <c r="A1666" s="5"/>
    </row>
    <row r="1667" spans="1:1">
      <c r="A1667" s="5"/>
    </row>
    <row r="1668" spans="1:1">
      <c r="A1668" s="5"/>
    </row>
    <row r="1669" spans="1:1">
      <c r="A1669" s="5"/>
    </row>
    <row r="1670" spans="1:1">
      <c r="A1670" s="5"/>
    </row>
    <row r="1671" spans="1:1">
      <c r="A1671" s="5"/>
    </row>
    <row r="1672" spans="1:1">
      <c r="A1672" s="5"/>
    </row>
    <row r="1673" spans="1:1">
      <c r="A1673" s="5"/>
    </row>
    <row r="1674" spans="1:1">
      <c r="A1674" s="5"/>
    </row>
    <row r="1675" spans="1:1">
      <c r="A1675" s="5"/>
    </row>
    <row r="1676" spans="1:1">
      <c r="A1676" s="5"/>
    </row>
    <row r="1677" spans="1:1">
      <c r="A1677" s="5"/>
    </row>
    <row r="1678" spans="1:1">
      <c r="A1678" s="5"/>
    </row>
    <row r="1679" spans="1:1">
      <c r="A1679" s="5"/>
    </row>
    <row r="1680" spans="1:1">
      <c r="A1680" s="5"/>
    </row>
    <row r="1681" spans="1:1">
      <c r="A1681" s="5"/>
    </row>
    <row r="1682" spans="1:1">
      <c r="A1682" s="5"/>
    </row>
    <row r="1683" spans="1:1">
      <c r="A1683" s="5"/>
    </row>
    <row r="1684" spans="1:1">
      <c r="A1684" s="5"/>
    </row>
    <row r="1685" spans="1:1">
      <c r="A1685" s="5"/>
    </row>
    <row r="1686" spans="1:1">
      <c r="A1686" s="5"/>
    </row>
    <row r="1687" spans="1:1">
      <c r="A1687" s="5"/>
    </row>
    <row r="1688" spans="1:1">
      <c r="A1688" s="5"/>
    </row>
    <row r="1689" spans="1:1">
      <c r="A1689" s="5"/>
    </row>
    <row r="1690" spans="1:1">
      <c r="A1690" s="5"/>
    </row>
    <row r="1691" spans="1:1">
      <c r="A1691" s="5"/>
    </row>
    <row r="1692" spans="1:1">
      <c r="A1692" s="5"/>
    </row>
    <row r="1693" spans="1:1">
      <c r="A1693" s="5"/>
    </row>
    <row r="1694" spans="1:1">
      <c r="A1694" s="5"/>
    </row>
    <row r="1695" spans="1:1">
      <c r="A1695" s="5"/>
    </row>
    <row r="1696" spans="1:1">
      <c r="A1696" s="5"/>
    </row>
    <row r="1697" spans="1:1">
      <c r="A1697" s="5"/>
    </row>
    <row r="1698" spans="1:1">
      <c r="A1698" s="5"/>
    </row>
    <row r="1699" spans="1:1">
      <c r="A1699" s="5"/>
    </row>
    <row r="1700" spans="1:1">
      <c r="A1700" s="5"/>
    </row>
    <row r="1701" spans="1:1">
      <c r="A1701" s="5"/>
    </row>
    <row r="1702" spans="1:1">
      <c r="A1702" s="5"/>
    </row>
    <row r="1703" spans="1:1">
      <c r="A1703" s="5"/>
    </row>
    <row r="1704" spans="1:1">
      <c r="A1704" s="5"/>
    </row>
    <row r="1705" spans="1:1">
      <c r="A1705" s="5"/>
    </row>
    <row r="1706" spans="1:1">
      <c r="A1706" s="5"/>
    </row>
    <row r="1707" spans="1:1">
      <c r="A1707" s="5"/>
    </row>
    <row r="1708" spans="1:1">
      <c r="A1708" s="5"/>
    </row>
    <row r="1709" spans="1:1">
      <c r="A1709" s="5"/>
    </row>
    <row r="1710" spans="1:1">
      <c r="A1710" s="5"/>
    </row>
    <row r="1711" spans="1:1">
      <c r="A1711" s="5"/>
    </row>
    <row r="1712" spans="1:1">
      <c r="A1712" s="5"/>
    </row>
    <row r="1713" spans="1:1">
      <c r="A1713" s="5"/>
    </row>
    <row r="1714" spans="1:1">
      <c r="A1714" s="5"/>
    </row>
    <row r="1715" spans="1:1">
      <c r="A1715" s="5"/>
    </row>
    <row r="1716" spans="1:1">
      <c r="A1716" s="5"/>
    </row>
    <row r="1717" spans="1:1">
      <c r="A1717" s="5"/>
    </row>
    <row r="1718" spans="1:1">
      <c r="A1718" s="5"/>
    </row>
    <row r="1719" spans="1:1">
      <c r="A1719" s="5"/>
    </row>
    <row r="1720" spans="1:1">
      <c r="A1720" s="5"/>
    </row>
    <row r="1721" spans="1:1">
      <c r="A1721" s="5"/>
    </row>
    <row r="1722" spans="1:1">
      <c r="A1722" s="5"/>
    </row>
    <row r="1723" spans="1:1">
      <c r="A1723" s="5"/>
    </row>
    <row r="1724" spans="1:1">
      <c r="A1724" s="5"/>
    </row>
    <row r="1725" spans="1:1">
      <c r="A1725" s="5"/>
    </row>
    <row r="1726" spans="1:1">
      <c r="A1726" s="5"/>
    </row>
    <row r="1727" spans="1:1">
      <c r="A1727" s="5"/>
    </row>
    <row r="1728" spans="1:1">
      <c r="A1728" s="5"/>
    </row>
    <row r="1729" spans="1:1">
      <c r="A1729" s="5"/>
    </row>
    <row r="1730" spans="1:1">
      <c r="A1730" s="5"/>
    </row>
    <row r="1731" spans="1:1">
      <c r="A1731" s="5"/>
    </row>
    <row r="1732" spans="1:1">
      <c r="A1732" s="5"/>
    </row>
    <row r="1733" spans="1:1">
      <c r="A1733" s="5"/>
    </row>
    <row r="1734" spans="1:1">
      <c r="A1734" s="5"/>
    </row>
    <row r="1735" spans="1:1">
      <c r="A1735" s="5"/>
    </row>
    <row r="1736" spans="1:1">
      <c r="A1736" s="5"/>
    </row>
    <row r="1737" spans="1:1">
      <c r="A1737" s="5"/>
    </row>
    <row r="1738" spans="1:1">
      <c r="A1738" s="5"/>
    </row>
    <row r="1739" spans="1:1">
      <c r="A1739" s="5"/>
    </row>
    <row r="1740" spans="1:1">
      <c r="A1740" s="5"/>
    </row>
    <row r="1741" spans="1:1">
      <c r="A1741" s="5"/>
    </row>
    <row r="1742" spans="1:1">
      <c r="A1742" s="5"/>
    </row>
    <row r="1743" spans="1:1">
      <c r="A1743" s="5"/>
    </row>
    <row r="1744" spans="1:1">
      <c r="A1744" s="5"/>
    </row>
    <row r="1745" spans="1:1">
      <c r="A1745" s="5"/>
    </row>
    <row r="1746" spans="1:1">
      <c r="A1746" s="5"/>
    </row>
    <row r="1747" spans="1:1">
      <c r="A1747" s="5"/>
    </row>
    <row r="1748" spans="1:1">
      <c r="A1748" s="5"/>
    </row>
    <row r="1749" spans="1:1">
      <c r="A1749" s="5"/>
    </row>
    <row r="1750" spans="1:1">
      <c r="A1750" s="5"/>
    </row>
    <row r="1751" spans="1:1">
      <c r="A1751" s="5"/>
    </row>
    <row r="1752" spans="1:1">
      <c r="A1752" s="5"/>
    </row>
    <row r="1753" spans="1:1">
      <c r="A1753" s="5"/>
    </row>
    <row r="1754" spans="1:1">
      <c r="A1754" s="5"/>
    </row>
    <row r="1755" spans="1:1">
      <c r="A1755" s="5"/>
    </row>
    <row r="1756" spans="1:1">
      <c r="A1756" s="5"/>
    </row>
    <row r="1757" spans="1:1">
      <c r="A1757" s="5"/>
    </row>
    <row r="1758" spans="1:1">
      <c r="A1758" s="5"/>
    </row>
    <row r="1759" spans="1:1">
      <c r="A1759" s="5"/>
    </row>
    <row r="1760" spans="1:1">
      <c r="A1760" s="5"/>
    </row>
    <row r="1761" spans="1:1">
      <c r="A1761" s="5"/>
    </row>
    <row r="1762" spans="1:1">
      <c r="A1762" s="5"/>
    </row>
    <row r="1763" spans="1:1">
      <c r="A1763" s="5"/>
    </row>
    <row r="1764" spans="1:1">
      <c r="A1764" s="5"/>
    </row>
    <row r="1765" spans="1:1">
      <c r="A1765" s="5"/>
    </row>
    <row r="1766" spans="1:1">
      <c r="A1766" s="5"/>
    </row>
    <row r="1767" spans="1:1">
      <c r="A1767" s="5"/>
    </row>
    <row r="1768" spans="1:1">
      <c r="A1768" s="5"/>
    </row>
    <row r="1769" spans="1:1">
      <c r="A1769" s="5"/>
    </row>
    <row r="1770" spans="1:1">
      <c r="A1770" s="5"/>
    </row>
    <row r="1771" spans="1:1">
      <c r="A1771" s="5"/>
    </row>
    <row r="1772" spans="1:1">
      <c r="A1772" s="5"/>
    </row>
    <row r="1773" spans="1:1">
      <c r="A1773" s="5"/>
    </row>
    <row r="1774" spans="1:1">
      <c r="A1774" s="5"/>
    </row>
    <row r="1775" spans="1:1">
      <c r="A1775" s="5"/>
    </row>
    <row r="1776" spans="1:1">
      <c r="A1776" s="5"/>
    </row>
    <row r="1777" spans="1:1">
      <c r="A1777" s="5"/>
    </row>
    <row r="1778" spans="1:1">
      <c r="A1778" s="5"/>
    </row>
    <row r="1779" spans="1:1">
      <c r="A1779" s="5"/>
    </row>
    <row r="1780" spans="1:1">
      <c r="A1780" s="5"/>
    </row>
    <row r="1781" spans="1:1">
      <c r="A1781" s="5"/>
    </row>
    <row r="1782" spans="1:1">
      <c r="A1782" s="5"/>
    </row>
    <row r="1783" spans="1:1">
      <c r="A1783" s="5"/>
    </row>
    <row r="1784" spans="1:1">
      <c r="A1784" s="5"/>
    </row>
    <row r="1785" spans="1:1">
      <c r="A1785" s="5"/>
    </row>
    <row r="1786" spans="1:1">
      <c r="A1786" s="5"/>
    </row>
    <row r="1787" spans="1:1">
      <c r="A1787" s="5"/>
    </row>
    <row r="1788" spans="1:1">
      <c r="A1788" s="5"/>
    </row>
    <row r="1789" spans="1:1">
      <c r="A1789" s="5"/>
    </row>
    <row r="1790" spans="1:1">
      <c r="A1790" s="5"/>
    </row>
    <row r="1791" spans="1:1">
      <c r="A1791" s="5"/>
    </row>
    <row r="1792" spans="1:1">
      <c r="A1792" s="5"/>
    </row>
    <row r="1793" spans="1:1">
      <c r="A1793" s="5"/>
    </row>
    <row r="1794" spans="1:1">
      <c r="A1794" s="5"/>
    </row>
    <row r="1795" spans="1:1">
      <c r="A1795" s="5"/>
    </row>
    <row r="1796" spans="1:1">
      <c r="A1796" s="5"/>
    </row>
    <row r="1797" spans="1:1">
      <c r="A1797" s="5"/>
    </row>
    <row r="1798" spans="1:1">
      <c r="A1798" s="5"/>
    </row>
    <row r="1799" spans="1:1">
      <c r="A1799" s="5"/>
    </row>
    <row r="1800" spans="1:1">
      <c r="A1800" s="5"/>
    </row>
    <row r="1801" spans="1:1">
      <c r="A1801" s="5"/>
    </row>
    <row r="1802" spans="1:1">
      <c r="A1802" s="5"/>
    </row>
    <row r="1803" spans="1:1">
      <c r="A1803" s="5"/>
    </row>
    <row r="1804" spans="1:1">
      <c r="A1804" s="5"/>
    </row>
    <row r="1805" spans="1:1">
      <c r="A1805" s="5"/>
    </row>
    <row r="1806" spans="1:1">
      <c r="A1806" s="5"/>
    </row>
    <row r="1807" spans="1:1">
      <c r="A1807" s="5"/>
    </row>
    <row r="1808" spans="1:1">
      <c r="A1808" s="5"/>
    </row>
    <row r="1809" spans="1:1">
      <c r="A1809" s="5"/>
    </row>
    <row r="1810" spans="1:1">
      <c r="A1810" s="5"/>
    </row>
    <row r="1811" spans="1:1">
      <c r="A1811" s="5"/>
    </row>
    <row r="1812" spans="1:1">
      <c r="A1812" s="5"/>
    </row>
    <row r="1813" spans="1:1">
      <c r="A1813" s="5"/>
    </row>
    <row r="1814" spans="1:1">
      <c r="A1814" s="5"/>
    </row>
    <row r="1815" spans="1:1">
      <c r="A1815" s="5"/>
    </row>
    <row r="1816" spans="1:1">
      <c r="A1816" s="5"/>
    </row>
    <row r="1817" spans="1:1">
      <c r="A1817" s="5"/>
    </row>
    <row r="1818" spans="1:1">
      <c r="A1818" s="5"/>
    </row>
    <row r="1819" spans="1:1">
      <c r="A1819" s="5"/>
    </row>
    <row r="1820" spans="1:1">
      <c r="A1820" s="5"/>
    </row>
    <row r="1821" spans="1:1">
      <c r="A1821" s="5"/>
    </row>
    <row r="1822" spans="1:1">
      <c r="A1822" s="5"/>
    </row>
    <row r="1823" spans="1:1">
      <c r="A1823" s="5"/>
    </row>
    <row r="1824" spans="1:1">
      <c r="A1824" s="5"/>
    </row>
    <row r="1825" spans="1:1">
      <c r="A1825" s="5"/>
    </row>
    <row r="1826" spans="1:1">
      <c r="A1826" s="5"/>
    </row>
    <row r="1827" spans="1:1">
      <c r="A1827" s="5"/>
    </row>
    <row r="1828" spans="1:1">
      <c r="A1828" s="5"/>
    </row>
    <row r="1829" spans="1:1">
      <c r="A1829" s="5"/>
    </row>
    <row r="1830" spans="1:1">
      <c r="A1830" s="5"/>
    </row>
    <row r="1831" spans="1:1">
      <c r="A1831" s="5"/>
    </row>
    <row r="1832" spans="1:1">
      <c r="A1832" s="5"/>
    </row>
    <row r="1833" spans="1:1">
      <c r="A1833" s="5"/>
    </row>
    <row r="1834" spans="1:1">
      <c r="A1834" s="5"/>
    </row>
    <row r="1835" spans="1:1">
      <c r="A1835" s="5"/>
    </row>
    <row r="1836" spans="1:1">
      <c r="A1836" s="5"/>
    </row>
    <row r="1837" spans="1:1">
      <c r="A1837" s="5"/>
    </row>
    <row r="1838" spans="1:1">
      <c r="A1838" s="5"/>
    </row>
    <row r="1839" spans="1:1">
      <c r="A1839" s="5"/>
    </row>
    <row r="1840" spans="1:1">
      <c r="A1840" s="5"/>
    </row>
    <row r="1841" spans="1:1">
      <c r="A1841" s="5"/>
    </row>
    <row r="1842" spans="1:1">
      <c r="A1842" s="5"/>
    </row>
    <row r="1843" spans="1:1">
      <c r="A1843" s="5"/>
    </row>
    <row r="1844" spans="1:1">
      <c r="A1844" s="5"/>
    </row>
    <row r="1845" spans="1:1">
      <c r="A1845" s="5"/>
    </row>
    <row r="1846" spans="1:1">
      <c r="A1846" s="5"/>
    </row>
    <row r="1847" spans="1:1">
      <c r="A1847" s="5"/>
    </row>
    <row r="1848" spans="1:1">
      <c r="A1848" s="5"/>
    </row>
    <row r="1849" spans="1:1">
      <c r="A1849" s="5"/>
    </row>
    <row r="1850" spans="1:1">
      <c r="A1850" s="5"/>
    </row>
    <row r="1851" spans="1:1">
      <c r="A1851" s="5"/>
    </row>
    <row r="1852" spans="1:1">
      <c r="A1852" s="5"/>
    </row>
    <row r="1853" spans="1:1">
      <c r="A1853" s="5"/>
    </row>
    <row r="1854" spans="1:1">
      <c r="A1854" s="5"/>
    </row>
    <row r="1855" spans="1:1">
      <c r="A1855" s="5"/>
    </row>
    <row r="1856" spans="1:1">
      <c r="A1856" s="5"/>
    </row>
    <row r="1857" spans="1:1">
      <c r="A1857" s="5"/>
    </row>
    <row r="1858" spans="1:1">
      <c r="A1858" s="5"/>
    </row>
    <row r="1859" spans="1:1">
      <c r="A1859" s="5"/>
    </row>
    <row r="1860" spans="1:1">
      <c r="A1860" s="5"/>
    </row>
    <row r="1861" spans="1:1">
      <c r="A1861" s="5"/>
    </row>
    <row r="1862" spans="1:1">
      <c r="A1862" s="5"/>
    </row>
    <row r="1863" spans="1:1">
      <c r="A1863" s="5"/>
    </row>
    <row r="1864" spans="1:1">
      <c r="A1864" s="5"/>
    </row>
    <row r="1865" spans="1:1">
      <c r="A1865" s="5"/>
    </row>
    <row r="1866" spans="1:1">
      <c r="A1866" s="5"/>
    </row>
    <row r="1867" spans="1:1">
      <c r="A1867" s="5"/>
    </row>
    <row r="1868" spans="1:1">
      <c r="A1868" s="5"/>
    </row>
    <row r="1869" spans="1:1">
      <c r="A1869" s="5"/>
    </row>
    <row r="1870" spans="1:1">
      <c r="A1870" s="5"/>
    </row>
    <row r="1871" spans="1:1">
      <c r="A1871" s="5"/>
    </row>
    <row r="1872" spans="1:1">
      <c r="A1872" s="5"/>
    </row>
    <row r="1873" spans="1:1">
      <c r="A1873" s="5"/>
    </row>
    <row r="1874" spans="1:1">
      <c r="A1874" s="5"/>
    </row>
    <row r="1875" spans="1:1">
      <c r="A1875" s="5"/>
    </row>
    <row r="1876" spans="1:1">
      <c r="A1876" s="5"/>
    </row>
    <row r="1877" spans="1:1">
      <c r="A1877" s="5"/>
    </row>
    <row r="1878" spans="1:1">
      <c r="A1878" s="5"/>
    </row>
    <row r="1879" spans="1:1">
      <c r="A1879" s="5"/>
    </row>
    <row r="1880" spans="1:1">
      <c r="A1880" s="5"/>
    </row>
    <row r="1881" spans="1:1">
      <c r="A1881" s="5"/>
    </row>
    <row r="1882" spans="1:1">
      <c r="A1882" s="5"/>
    </row>
    <row r="1883" spans="1:1">
      <c r="A1883" s="5"/>
    </row>
    <row r="1884" spans="1:1">
      <c r="A1884" s="5"/>
    </row>
    <row r="1885" spans="1:1">
      <c r="A1885" s="5"/>
    </row>
    <row r="1886" spans="1:1">
      <c r="A1886" s="5"/>
    </row>
    <row r="1887" spans="1:1">
      <c r="A1887" s="5"/>
    </row>
    <row r="1888" spans="1:1">
      <c r="A1888" s="5"/>
    </row>
    <row r="1889" spans="1:1">
      <c r="A1889" s="5"/>
    </row>
    <row r="1890" spans="1:1">
      <c r="A1890" s="5"/>
    </row>
    <row r="1891" spans="1:1">
      <c r="A1891" s="5"/>
    </row>
    <row r="1892" spans="1:1">
      <c r="A1892" s="5"/>
    </row>
    <row r="1893" spans="1:1">
      <c r="A1893" s="5"/>
    </row>
    <row r="1894" spans="1:1">
      <c r="A1894" s="5"/>
    </row>
    <row r="1895" spans="1:1">
      <c r="A1895" s="5"/>
    </row>
    <row r="1896" spans="1:1">
      <c r="A1896" s="5"/>
    </row>
    <row r="1897" spans="1:1">
      <c r="A1897" s="5"/>
    </row>
    <row r="1898" spans="1:1">
      <c r="A1898" s="5"/>
    </row>
    <row r="1899" spans="1:1">
      <c r="A1899" s="5"/>
    </row>
    <row r="1900" spans="1:1">
      <c r="A1900" s="5"/>
    </row>
    <row r="1901" spans="1:1">
      <c r="A1901" s="5"/>
    </row>
    <row r="1902" spans="1:1">
      <c r="A1902" s="5"/>
    </row>
    <row r="1903" spans="1:1">
      <c r="A1903" s="5"/>
    </row>
    <row r="1904" spans="1:1">
      <c r="A1904" s="5"/>
    </row>
    <row r="1905" spans="1:1">
      <c r="A1905" s="5"/>
    </row>
    <row r="1906" spans="1:1">
      <c r="A1906" s="5"/>
    </row>
    <row r="1907" spans="1:1">
      <c r="A1907" s="5"/>
    </row>
    <row r="1908" spans="1:1">
      <c r="A1908" s="5"/>
    </row>
    <row r="1909" spans="1:1">
      <c r="A1909" s="5"/>
    </row>
    <row r="1910" spans="1:1">
      <c r="A1910" s="5"/>
    </row>
    <row r="1911" spans="1:1">
      <c r="A1911" s="5"/>
    </row>
    <row r="1912" spans="1:1">
      <c r="A1912" s="5"/>
    </row>
    <row r="1913" spans="1:1">
      <c r="A1913" s="5"/>
    </row>
    <row r="1914" spans="1:1">
      <c r="A1914" s="5"/>
    </row>
    <row r="1915" spans="1:1">
      <c r="A1915" s="5"/>
    </row>
    <row r="1916" spans="1:1">
      <c r="A1916" s="5"/>
    </row>
    <row r="1917" spans="1:1">
      <c r="A1917" s="5"/>
    </row>
    <row r="1918" spans="1:1">
      <c r="A1918" s="5"/>
    </row>
    <row r="1919" spans="1:1">
      <c r="A1919" s="5"/>
    </row>
    <row r="1920" spans="1:1">
      <c r="A1920" s="5"/>
    </row>
    <row r="1921" spans="1:1">
      <c r="A1921" s="5"/>
    </row>
    <row r="1922" spans="1:1">
      <c r="A1922" s="5"/>
    </row>
    <row r="1923" spans="1:1">
      <c r="A1923" s="5"/>
    </row>
    <row r="1924" spans="1:1">
      <c r="A1924" s="5"/>
    </row>
    <row r="1925" spans="1:1">
      <c r="A1925" s="5"/>
    </row>
    <row r="1926" spans="1:1">
      <c r="A1926" s="5"/>
    </row>
    <row r="1927" spans="1:1">
      <c r="A1927" s="5"/>
    </row>
    <row r="1928" spans="1:1">
      <c r="A1928" s="5"/>
    </row>
    <row r="1929" spans="1:1">
      <c r="A1929" s="5"/>
    </row>
    <row r="1930" spans="1:1">
      <c r="A1930" s="5"/>
    </row>
    <row r="1931" spans="1:1">
      <c r="A1931" s="5"/>
    </row>
    <row r="1932" spans="1:1">
      <c r="A1932" s="5"/>
    </row>
    <row r="1933" spans="1:1">
      <c r="A1933" s="5"/>
    </row>
    <row r="1934" spans="1:1">
      <c r="A1934" s="5"/>
    </row>
    <row r="1935" spans="1:1">
      <c r="A1935" s="5"/>
    </row>
    <row r="1936" spans="1:1">
      <c r="A1936" s="5"/>
    </row>
    <row r="1937" spans="1:1">
      <c r="A1937" s="5"/>
    </row>
    <row r="1938" spans="1:1">
      <c r="A1938" s="5"/>
    </row>
    <row r="1939" spans="1:1">
      <c r="A1939" s="5"/>
    </row>
    <row r="1940" spans="1:1">
      <c r="A1940" s="5"/>
    </row>
    <row r="1941" spans="1:1">
      <c r="A1941" s="5"/>
    </row>
    <row r="1942" spans="1:1">
      <c r="A1942" s="5"/>
    </row>
    <row r="1943" spans="1:1">
      <c r="A1943" s="5"/>
    </row>
    <row r="1944" spans="1:1">
      <c r="A1944" s="5"/>
    </row>
    <row r="1945" spans="1:1">
      <c r="A1945" s="5"/>
    </row>
    <row r="1946" spans="1:1">
      <c r="A1946" s="5"/>
    </row>
    <row r="1947" spans="1:1">
      <c r="A1947" s="5"/>
    </row>
    <row r="1948" spans="1:1">
      <c r="A1948" s="5"/>
    </row>
    <row r="1949" spans="1:1">
      <c r="A1949" s="5"/>
    </row>
    <row r="1950" spans="1:1">
      <c r="A1950" s="5"/>
    </row>
    <row r="1951" spans="1:1">
      <c r="A1951" s="5"/>
    </row>
    <row r="1952" spans="1:1">
      <c r="A1952" s="5"/>
    </row>
    <row r="1953" spans="1:1">
      <c r="A1953" s="5"/>
    </row>
    <row r="1954" spans="1:1">
      <c r="A1954" s="5"/>
    </row>
    <row r="1955" spans="1:1">
      <c r="A1955" s="5"/>
    </row>
    <row r="1956" spans="1:1">
      <c r="A1956" s="5"/>
    </row>
    <row r="1957" spans="1:1">
      <c r="A1957" s="5"/>
    </row>
    <row r="1958" spans="1:1">
      <c r="A1958" s="5"/>
    </row>
    <row r="1959" spans="1:1">
      <c r="A1959" s="5"/>
    </row>
    <row r="1960" spans="1:1">
      <c r="A1960" s="5"/>
    </row>
    <row r="1961" spans="1:1">
      <c r="A1961" s="5"/>
    </row>
    <row r="1962" spans="1:1">
      <c r="A1962" s="5"/>
    </row>
    <row r="1963" spans="1:1">
      <c r="A1963" s="5"/>
    </row>
    <row r="1964" spans="1:1">
      <c r="A1964" s="5"/>
    </row>
    <row r="1965" spans="1:1">
      <c r="A1965" s="5"/>
    </row>
    <row r="1966" spans="1:1">
      <c r="A1966" s="5"/>
    </row>
    <row r="1967" spans="1:1">
      <c r="A1967" s="5"/>
    </row>
    <row r="1968" spans="1:1">
      <c r="A1968" s="5"/>
    </row>
    <row r="1969" spans="1:1">
      <c r="A1969" s="5"/>
    </row>
    <row r="1970" spans="1:1">
      <c r="A1970" s="5"/>
    </row>
    <row r="1971" spans="1:1">
      <c r="A1971" s="5"/>
    </row>
    <row r="1972" spans="1:1">
      <c r="A1972" s="5"/>
    </row>
    <row r="1973" spans="1:1">
      <c r="A1973" s="5"/>
    </row>
    <row r="1974" spans="1:1">
      <c r="A1974" s="5"/>
    </row>
    <row r="1975" spans="1:1">
      <c r="A1975" s="5"/>
    </row>
    <row r="1976" spans="1:1">
      <c r="A1976" s="5"/>
    </row>
    <row r="1977" spans="1:1">
      <c r="A1977" s="5"/>
    </row>
    <row r="1978" spans="1:1">
      <c r="A1978" s="5"/>
    </row>
    <row r="1979" spans="1:1">
      <c r="A1979" s="5"/>
    </row>
    <row r="1980" spans="1:1">
      <c r="A1980" s="5"/>
    </row>
    <row r="1981" spans="1:1">
      <c r="A1981" s="5"/>
    </row>
    <row r="1982" spans="1:1">
      <c r="A1982" s="5"/>
    </row>
    <row r="1983" spans="1:1">
      <c r="A1983" s="5"/>
    </row>
    <row r="1984" spans="1:1">
      <c r="A1984" s="5"/>
    </row>
    <row r="1985" spans="1:1">
      <c r="A1985" s="5"/>
    </row>
    <row r="1986" spans="1:1">
      <c r="A1986" s="5"/>
    </row>
    <row r="1987" spans="1:1">
      <c r="A1987" s="5"/>
    </row>
    <row r="1988" spans="1:1">
      <c r="A1988" s="5"/>
    </row>
    <row r="1989" spans="1:1">
      <c r="A1989" s="5"/>
    </row>
    <row r="1990" spans="1:1">
      <c r="A1990" s="5"/>
    </row>
    <row r="1991" spans="1:1">
      <c r="A1991" s="5"/>
    </row>
    <row r="1992" spans="1:1">
      <c r="A1992" s="5"/>
    </row>
    <row r="1993" spans="1:1">
      <c r="A1993" s="5"/>
    </row>
    <row r="1994" spans="1:1">
      <c r="A1994" s="5"/>
    </row>
    <row r="1995" spans="1:1">
      <c r="A1995" s="5"/>
    </row>
    <row r="1996" spans="1:1">
      <c r="A1996" s="5"/>
    </row>
    <row r="1997" spans="1:1">
      <c r="A1997" s="5"/>
    </row>
    <row r="1998" spans="1:1">
      <c r="A1998" s="5"/>
    </row>
    <row r="1999" spans="1:1">
      <c r="A1999" s="5"/>
    </row>
    <row r="2000" spans="1:1">
      <c r="A2000" s="5"/>
    </row>
    <row r="2001" spans="1:1">
      <c r="A2001" s="5"/>
    </row>
    <row r="2002" spans="1:1">
      <c r="A2002" s="5"/>
    </row>
    <row r="2003" spans="1:1">
      <c r="A2003" s="5"/>
    </row>
    <row r="2004" spans="1:1">
      <c r="A2004" s="5"/>
    </row>
    <row r="2005" spans="1:1">
      <c r="A2005" s="5"/>
    </row>
    <row r="2006" spans="1:1">
      <c r="A2006" s="5"/>
    </row>
    <row r="2007" spans="1:1">
      <c r="A2007" s="5"/>
    </row>
    <row r="2008" spans="1:1">
      <c r="A2008" s="5"/>
    </row>
    <row r="2009" spans="1:1">
      <c r="A2009" s="5"/>
    </row>
    <row r="2010" spans="1:1">
      <c r="A2010" s="5"/>
    </row>
    <row r="2011" spans="1:1">
      <c r="A2011" s="5"/>
    </row>
    <row r="2012" spans="1:1">
      <c r="A2012" s="5"/>
    </row>
    <row r="2013" spans="1:1">
      <c r="A2013" s="5"/>
    </row>
    <row r="2014" spans="1:1">
      <c r="A2014" s="5"/>
    </row>
    <row r="2015" spans="1:1">
      <c r="A2015" s="5"/>
    </row>
    <row r="2016" spans="1:1">
      <c r="A2016" s="5"/>
    </row>
    <row r="2017" spans="1:1">
      <c r="A2017" s="5"/>
    </row>
    <row r="2018" spans="1:1">
      <c r="A2018" s="5"/>
    </row>
    <row r="2019" spans="1:1">
      <c r="A2019" s="5"/>
    </row>
    <row r="2020" spans="1:1">
      <c r="A2020" s="5"/>
    </row>
    <row r="2021" spans="1:1">
      <c r="A2021" s="5"/>
    </row>
    <row r="2022" spans="1:1">
      <c r="A2022" s="5"/>
    </row>
    <row r="2023" spans="1:1">
      <c r="A2023" s="5"/>
    </row>
    <row r="2024" spans="1:1">
      <c r="A2024" s="5"/>
    </row>
    <row r="2025" spans="1:1">
      <c r="A2025" s="5"/>
    </row>
    <row r="2026" spans="1:1">
      <c r="A2026" s="5"/>
    </row>
    <row r="2027" spans="1:1">
      <c r="A2027" s="5"/>
    </row>
    <row r="2028" spans="1:1">
      <c r="A2028" s="5"/>
    </row>
    <row r="2029" spans="1:1">
      <c r="A2029" s="5"/>
    </row>
    <row r="2030" spans="1:1">
      <c r="A2030" s="5"/>
    </row>
    <row r="2031" spans="1:1">
      <c r="A2031" s="5"/>
    </row>
    <row r="2032" spans="1:1">
      <c r="A2032" s="5"/>
    </row>
    <row r="2033" spans="1:1">
      <c r="A2033" s="5"/>
    </row>
    <row r="2034" spans="1:1">
      <c r="A2034" s="5"/>
    </row>
    <row r="2035" spans="1:1">
      <c r="A2035" s="5"/>
    </row>
    <row r="2036" spans="1:1">
      <c r="A2036" s="5"/>
    </row>
    <row r="2037" spans="1:1">
      <c r="A2037" s="5"/>
    </row>
    <row r="2038" spans="1:1">
      <c r="A2038" s="5"/>
    </row>
    <row r="2039" spans="1:1">
      <c r="A2039" s="5"/>
    </row>
    <row r="2040" spans="1:1">
      <c r="A2040" s="5"/>
    </row>
    <row r="2041" spans="1:1">
      <c r="A2041" s="5"/>
    </row>
    <row r="2042" spans="1:1">
      <c r="A2042" s="5"/>
    </row>
    <row r="2043" spans="1:1">
      <c r="A2043" s="5"/>
    </row>
    <row r="2044" spans="1:1">
      <c r="A2044" s="5"/>
    </row>
    <row r="2045" spans="1:1">
      <c r="A2045" s="5"/>
    </row>
    <row r="2046" spans="1:1">
      <c r="A2046" s="5"/>
    </row>
    <row r="2047" spans="1:1">
      <c r="A2047" s="5"/>
    </row>
    <row r="2048" spans="1:1">
      <c r="A2048" s="5"/>
    </row>
    <row r="2049" spans="1:1">
      <c r="A2049" s="5"/>
    </row>
    <row r="2050" spans="1:1">
      <c r="A2050" s="5"/>
    </row>
    <row r="2051" spans="1:1">
      <c r="A2051" s="5"/>
    </row>
    <row r="2052" spans="1:1">
      <c r="A2052" s="5"/>
    </row>
    <row r="2053" spans="1:1">
      <c r="A2053" s="5"/>
    </row>
    <row r="2054" spans="1:1">
      <c r="A2054" s="5"/>
    </row>
    <row r="2055" spans="1:1">
      <c r="A2055" s="5"/>
    </row>
    <row r="2056" spans="1:1">
      <c r="A2056" s="5"/>
    </row>
    <row r="2057" spans="1:1">
      <c r="A2057" s="5"/>
    </row>
    <row r="2058" spans="1:1">
      <c r="A2058" s="5"/>
    </row>
    <row r="2059" spans="1:1">
      <c r="A2059" s="5"/>
    </row>
    <row r="2060" spans="1:1">
      <c r="A2060" s="5"/>
    </row>
    <row r="2061" spans="1:1">
      <c r="A2061" s="5"/>
    </row>
    <row r="2062" spans="1:1">
      <c r="A2062" s="5"/>
    </row>
    <row r="2063" spans="1:1">
      <c r="A2063" s="5"/>
    </row>
    <row r="2064" spans="1:1">
      <c r="A2064" s="5"/>
    </row>
    <row r="2065" spans="1:1">
      <c r="A2065" s="5"/>
    </row>
    <row r="2066" spans="1:1">
      <c r="A2066" s="5"/>
    </row>
    <row r="2067" spans="1:1">
      <c r="A2067" s="5"/>
    </row>
    <row r="2068" spans="1:1">
      <c r="A2068" s="5"/>
    </row>
    <row r="2069" spans="1:1">
      <c r="A2069" s="5"/>
    </row>
    <row r="2070" spans="1:1">
      <c r="A2070" s="5"/>
    </row>
    <row r="2071" spans="1:1">
      <c r="A2071" s="5"/>
    </row>
    <row r="2072" spans="1:1">
      <c r="A2072" s="5"/>
    </row>
    <row r="2073" spans="1:1">
      <c r="A2073" s="5"/>
    </row>
    <row r="2074" spans="1:1">
      <c r="A2074" s="5"/>
    </row>
    <row r="2075" spans="1:1">
      <c r="A2075" s="5"/>
    </row>
    <row r="2076" spans="1:1">
      <c r="A2076" s="5"/>
    </row>
    <row r="2077" spans="1:1">
      <c r="A2077" s="5"/>
    </row>
    <row r="2078" spans="1:1">
      <c r="A2078" s="5"/>
    </row>
    <row r="2079" spans="1:1">
      <c r="A2079" s="5"/>
    </row>
    <row r="2080" spans="1:1">
      <c r="A2080" s="5"/>
    </row>
    <row r="2081" spans="1:1">
      <c r="A2081" s="5"/>
    </row>
    <row r="2082" spans="1:1">
      <c r="A2082" s="5"/>
    </row>
    <row r="2083" spans="1:1">
      <c r="A2083" s="5"/>
    </row>
    <row r="2084" spans="1:1">
      <c r="A2084" s="5"/>
    </row>
    <row r="2085" spans="1:1">
      <c r="A2085" s="5"/>
    </row>
    <row r="2086" spans="1:1">
      <c r="A2086" s="5"/>
    </row>
    <row r="2087" spans="1:1">
      <c r="A2087" s="5"/>
    </row>
    <row r="2088" spans="1:1">
      <c r="A2088" s="5"/>
    </row>
    <row r="2089" spans="1:1">
      <c r="A2089" s="5"/>
    </row>
    <row r="2090" spans="1:1">
      <c r="A2090" s="5"/>
    </row>
    <row r="2091" spans="1:1">
      <c r="A2091" s="5"/>
    </row>
    <row r="2092" spans="1:1">
      <c r="A2092" s="5"/>
    </row>
    <row r="2093" spans="1:1">
      <c r="A2093" s="5"/>
    </row>
    <row r="2094" spans="1:1">
      <c r="A2094" s="5"/>
    </row>
    <row r="2095" spans="1:1">
      <c r="A2095" s="5"/>
    </row>
    <row r="2096" spans="1:1">
      <c r="A2096" s="5"/>
    </row>
    <row r="2097" spans="1:1">
      <c r="A2097" s="5"/>
    </row>
    <row r="2098" spans="1:1">
      <c r="A2098" s="5"/>
    </row>
    <row r="2099" spans="1:1">
      <c r="A2099" s="5"/>
    </row>
    <row r="2100" spans="1:1">
      <c r="A2100" s="5"/>
    </row>
    <row r="2101" spans="1:1">
      <c r="A2101" s="5"/>
    </row>
    <row r="2102" spans="1:1">
      <c r="A2102" s="5"/>
    </row>
    <row r="2103" spans="1:1">
      <c r="A2103" s="5"/>
    </row>
    <row r="2104" spans="1:1">
      <c r="A2104" s="5"/>
    </row>
    <row r="2105" spans="1:1">
      <c r="A2105" s="5"/>
    </row>
    <row r="2106" spans="1:1">
      <c r="A2106" s="5"/>
    </row>
    <row r="2107" spans="1:1">
      <c r="A2107" s="5"/>
    </row>
    <row r="2108" spans="1:1">
      <c r="A2108" s="5"/>
    </row>
    <row r="2109" spans="1:1">
      <c r="A2109" s="5"/>
    </row>
    <row r="2110" spans="1:1">
      <c r="A2110" s="5"/>
    </row>
    <row r="2111" spans="1:1">
      <c r="A2111" s="5"/>
    </row>
    <row r="2112" spans="1:1">
      <c r="A2112" s="5"/>
    </row>
    <row r="2113" spans="1:1">
      <c r="A2113" s="5"/>
    </row>
    <row r="2114" spans="1:1">
      <c r="A2114" s="5"/>
    </row>
    <row r="2115" spans="1:1">
      <c r="A2115" s="5"/>
    </row>
    <row r="2116" spans="1:1">
      <c r="A2116" s="5"/>
    </row>
    <row r="2117" spans="1:1">
      <c r="A2117" s="5"/>
    </row>
    <row r="2118" spans="1:1">
      <c r="A2118" s="5"/>
    </row>
    <row r="2119" spans="1:1">
      <c r="A2119" s="5"/>
    </row>
    <row r="2120" spans="1:1">
      <c r="A2120" s="5"/>
    </row>
    <row r="2121" spans="1:1">
      <c r="A2121" s="5"/>
    </row>
    <row r="2122" spans="1:1">
      <c r="A2122" s="5"/>
    </row>
    <row r="2123" spans="1:1">
      <c r="A2123" s="5"/>
    </row>
    <row r="2124" spans="1:1">
      <c r="A2124" s="5"/>
    </row>
    <row r="2125" spans="1:1">
      <c r="A2125" s="5"/>
    </row>
    <row r="2126" spans="1:1">
      <c r="A2126" s="5"/>
    </row>
    <row r="2127" spans="1:1">
      <c r="A2127" s="5"/>
    </row>
    <row r="2128" spans="1:1">
      <c r="A2128" s="5"/>
    </row>
    <row r="2129" spans="1:1">
      <c r="A2129" s="5"/>
    </row>
    <row r="2130" spans="1:1">
      <c r="A2130" s="5"/>
    </row>
    <row r="2131" spans="1:1">
      <c r="A2131" s="5"/>
    </row>
    <row r="2132" spans="1:1">
      <c r="A2132" s="5"/>
    </row>
    <row r="2133" spans="1:1">
      <c r="A2133" s="5"/>
    </row>
    <row r="2134" spans="1:1">
      <c r="A2134" s="5"/>
    </row>
    <row r="2135" spans="1:1">
      <c r="A2135" s="5"/>
    </row>
    <row r="2136" spans="1:1">
      <c r="A2136" s="5"/>
    </row>
    <row r="2137" spans="1:1">
      <c r="A2137" s="5"/>
    </row>
    <row r="2138" spans="1:1">
      <c r="A2138" s="5"/>
    </row>
    <row r="2139" spans="1:1">
      <c r="A2139" s="5"/>
    </row>
    <row r="2140" spans="1:1">
      <c r="A2140" s="5"/>
    </row>
    <row r="2141" spans="1:1">
      <c r="A2141" s="5"/>
    </row>
    <row r="2142" spans="1:1">
      <c r="A2142" s="5"/>
    </row>
    <row r="2143" spans="1:1">
      <c r="A2143" s="5"/>
    </row>
    <row r="2144" spans="1:1">
      <c r="A2144" s="5"/>
    </row>
    <row r="2145" spans="1:1">
      <c r="A2145" s="5"/>
    </row>
    <row r="2146" spans="1:1">
      <c r="A2146" s="5"/>
    </row>
    <row r="2147" spans="1:1">
      <c r="A2147" s="5"/>
    </row>
    <row r="2148" spans="1:1">
      <c r="A2148" s="5"/>
    </row>
    <row r="2149" spans="1:1">
      <c r="A2149" s="5"/>
    </row>
    <row r="2150" spans="1:1">
      <c r="A2150" s="5"/>
    </row>
    <row r="2151" spans="1:1">
      <c r="A2151" s="5"/>
    </row>
    <row r="2152" spans="1:1">
      <c r="A2152" s="5"/>
    </row>
    <row r="2153" spans="1:1">
      <c r="A2153" s="5"/>
    </row>
    <row r="2154" spans="1:1">
      <c r="A2154" s="5"/>
    </row>
    <row r="2155" spans="1:1">
      <c r="A2155" s="5"/>
    </row>
    <row r="2156" spans="1:1">
      <c r="A2156" s="5"/>
    </row>
    <row r="2157" spans="1:1">
      <c r="A2157" s="5"/>
    </row>
    <row r="2158" spans="1:1">
      <c r="A2158" s="5"/>
    </row>
    <row r="2159" spans="1:1">
      <c r="A2159" s="5"/>
    </row>
    <row r="2160" spans="1:1">
      <c r="A2160" s="5"/>
    </row>
    <row r="2161" spans="1:1">
      <c r="A2161" s="5"/>
    </row>
    <row r="2162" spans="1:1">
      <c r="A2162" s="5"/>
    </row>
    <row r="2163" spans="1:1">
      <c r="A2163" s="5"/>
    </row>
    <row r="2164" spans="1:1">
      <c r="A2164" s="5"/>
    </row>
    <row r="2165" spans="1:1">
      <c r="A2165" s="5"/>
    </row>
    <row r="2166" spans="1:1">
      <c r="A2166" s="5"/>
    </row>
    <row r="2167" spans="1:1">
      <c r="A2167" s="5"/>
    </row>
    <row r="2168" spans="1:1">
      <c r="A2168" s="5"/>
    </row>
    <row r="2169" spans="1:1">
      <c r="A2169" s="5"/>
    </row>
    <row r="2170" spans="1:1">
      <c r="A2170" s="5"/>
    </row>
    <row r="2171" spans="1:1">
      <c r="A2171" s="5"/>
    </row>
    <row r="2172" spans="1:1">
      <c r="A2172" s="5"/>
    </row>
    <row r="2173" spans="1:1">
      <c r="A2173" s="5"/>
    </row>
    <row r="2174" spans="1:1">
      <c r="A2174" s="5"/>
    </row>
    <row r="2175" spans="1:1">
      <c r="A2175" s="5"/>
    </row>
    <row r="2176" spans="1:1">
      <c r="A2176" s="5"/>
    </row>
    <row r="2177" spans="1:1">
      <c r="A2177" s="5"/>
    </row>
    <row r="2178" spans="1:1">
      <c r="A2178" s="5"/>
    </row>
    <row r="2179" spans="1:1">
      <c r="A2179" s="5"/>
    </row>
    <row r="2180" spans="1:1">
      <c r="A2180" s="5"/>
    </row>
    <row r="2181" spans="1:1">
      <c r="A2181" s="5"/>
    </row>
    <row r="2182" spans="1:1">
      <c r="A2182" s="5"/>
    </row>
    <row r="2183" spans="1:1">
      <c r="A2183" s="5"/>
    </row>
    <row r="2184" spans="1:1">
      <c r="A2184" s="5"/>
    </row>
    <row r="2185" spans="1:1">
      <c r="A2185" s="5"/>
    </row>
    <row r="2186" spans="1:1">
      <c r="A2186" s="5"/>
    </row>
    <row r="2187" spans="1:1">
      <c r="A2187" s="5"/>
    </row>
    <row r="2188" spans="1:1">
      <c r="A2188" s="5"/>
    </row>
    <row r="2189" spans="1:1">
      <c r="A2189" s="5"/>
    </row>
    <row r="2190" spans="1:1">
      <c r="A2190" s="5"/>
    </row>
    <row r="2191" spans="1:1">
      <c r="A2191" s="5"/>
    </row>
    <row r="2192" spans="1:1">
      <c r="A2192" s="5"/>
    </row>
    <row r="2193" spans="1:1">
      <c r="A2193" s="5"/>
    </row>
    <row r="2194" spans="1:1">
      <c r="A2194" s="5"/>
    </row>
    <row r="2195" spans="1:1">
      <c r="A2195" s="5"/>
    </row>
    <row r="2196" spans="1:1">
      <c r="A2196" s="5"/>
    </row>
    <row r="2197" spans="1:1">
      <c r="A2197" s="5"/>
    </row>
    <row r="2198" spans="1:1">
      <c r="A2198" s="5"/>
    </row>
    <row r="2199" spans="1:1">
      <c r="A2199" s="5"/>
    </row>
    <row r="2200" spans="1:1">
      <c r="A2200" s="5"/>
    </row>
    <row r="2201" spans="1:1">
      <c r="A2201" s="5"/>
    </row>
    <row r="2202" spans="1:1">
      <c r="A2202" s="5"/>
    </row>
    <row r="2203" spans="1:1">
      <c r="A2203" s="5"/>
    </row>
    <row r="2204" spans="1:1">
      <c r="A2204" s="5"/>
    </row>
    <row r="2205" spans="1:1">
      <c r="A2205" s="5"/>
    </row>
    <row r="2206" spans="1:1">
      <c r="A2206" s="5"/>
    </row>
    <row r="2207" spans="1:1">
      <c r="A2207" s="5"/>
    </row>
    <row r="2208" spans="1:1">
      <c r="A2208" s="5"/>
    </row>
    <row r="2209" spans="1:1">
      <c r="A2209" s="5"/>
    </row>
    <row r="2210" spans="1:1">
      <c r="A2210" s="5"/>
    </row>
    <row r="2211" spans="1:1">
      <c r="A2211" s="5"/>
    </row>
    <row r="2212" spans="1:1">
      <c r="A2212" s="5"/>
    </row>
    <row r="2213" spans="1:1">
      <c r="A2213" s="5"/>
    </row>
    <row r="2214" spans="1:1">
      <c r="A2214" s="5"/>
    </row>
    <row r="2215" spans="1:1">
      <c r="A2215" s="5"/>
    </row>
    <row r="2216" spans="1:1">
      <c r="A2216" s="5"/>
    </row>
    <row r="2217" spans="1:1">
      <c r="A2217" s="5"/>
    </row>
    <row r="2218" spans="1:1">
      <c r="A2218" s="5"/>
    </row>
    <row r="2219" spans="1:1">
      <c r="A2219" s="5"/>
    </row>
    <row r="2220" spans="1:1">
      <c r="A2220" s="5"/>
    </row>
    <row r="2221" spans="1:1">
      <c r="A2221" s="5"/>
    </row>
    <row r="2222" spans="1:1">
      <c r="A2222" s="5"/>
    </row>
    <row r="2223" spans="1:1">
      <c r="A2223" s="5"/>
    </row>
    <row r="2224" spans="1:1">
      <c r="A2224" s="5"/>
    </row>
    <row r="2225" spans="1:1">
      <c r="A2225" s="5"/>
    </row>
    <row r="2226" spans="1:1">
      <c r="A2226" s="5"/>
    </row>
    <row r="2227" spans="1:1">
      <c r="A2227" s="5"/>
    </row>
    <row r="2228" spans="1:1">
      <c r="A2228" s="5"/>
    </row>
    <row r="2229" spans="1:1">
      <c r="A2229" s="5"/>
    </row>
    <row r="2230" spans="1:1">
      <c r="A2230" s="5"/>
    </row>
    <row r="2231" spans="1:1">
      <c r="A2231" s="5"/>
    </row>
    <row r="2232" spans="1:1">
      <c r="A2232" s="5"/>
    </row>
    <row r="2233" spans="1:1">
      <c r="A2233" s="5"/>
    </row>
    <row r="2234" spans="1:1">
      <c r="A2234" s="5"/>
    </row>
    <row r="2235" spans="1:1">
      <c r="A2235" s="5"/>
    </row>
    <row r="2236" spans="1:1">
      <c r="A2236" s="5"/>
    </row>
    <row r="2237" spans="1:1">
      <c r="A2237" s="5"/>
    </row>
    <row r="2238" spans="1:1">
      <c r="A2238" s="5"/>
    </row>
    <row r="2239" spans="1:1">
      <c r="A2239" s="5"/>
    </row>
    <row r="2240" spans="1:1">
      <c r="A2240" s="5"/>
    </row>
    <row r="2241" spans="1:1">
      <c r="A2241" s="5"/>
    </row>
    <row r="2242" spans="1:1">
      <c r="A2242" s="5"/>
    </row>
    <row r="2243" spans="1:1">
      <c r="A2243" s="5"/>
    </row>
    <row r="2244" spans="1:1">
      <c r="A2244" s="5"/>
    </row>
    <row r="2245" spans="1:1">
      <c r="A2245" s="5"/>
    </row>
    <row r="2246" spans="1:1">
      <c r="A2246" s="5"/>
    </row>
    <row r="2247" spans="1:1">
      <c r="A2247" s="5"/>
    </row>
    <row r="2248" spans="1:1">
      <c r="A2248" s="5"/>
    </row>
    <row r="2249" spans="1:1">
      <c r="A2249" s="5"/>
    </row>
    <row r="2250" spans="1:1">
      <c r="A2250" s="5"/>
    </row>
    <row r="2251" spans="1:1">
      <c r="A2251" s="5"/>
    </row>
    <row r="2252" spans="1:1">
      <c r="A2252" s="5"/>
    </row>
    <row r="2253" spans="1:1">
      <c r="A2253" s="5"/>
    </row>
    <row r="2254" spans="1:1">
      <c r="A2254" s="5"/>
    </row>
    <row r="2255" spans="1:1">
      <c r="A2255" s="5"/>
    </row>
    <row r="2256" spans="1:1">
      <c r="A2256" s="5"/>
    </row>
    <row r="2257" spans="1:1">
      <c r="A2257" s="5"/>
    </row>
    <row r="2258" spans="1:1">
      <c r="A2258" s="5"/>
    </row>
    <row r="2259" spans="1:1">
      <c r="A2259" s="5"/>
    </row>
    <row r="2260" spans="1:1">
      <c r="A2260" s="5"/>
    </row>
    <row r="2261" spans="1:1">
      <c r="A2261" s="5"/>
    </row>
    <row r="2262" spans="1:1">
      <c r="A2262" s="5"/>
    </row>
    <row r="2263" spans="1:1">
      <c r="A2263" s="5"/>
    </row>
    <row r="2264" spans="1:1">
      <c r="A2264" s="5"/>
    </row>
    <row r="2265" spans="1:1">
      <c r="A2265" s="5"/>
    </row>
    <row r="2266" spans="1:1">
      <c r="A2266" s="5"/>
    </row>
    <row r="2267" spans="1:1">
      <c r="A2267" s="5"/>
    </row>
    <row r="2268" spans="1:1">
      <c r="A2268" s="5"/>
    </row>
    <row r="2269" spans="1:1">
      <c r="A2269" s="5"/>
    </row>
    <row r="2270" spans="1:1">
      <c r="A2270" s="5"/>
    </row>
    <row r="2271" spans="1:1">
      <c r="A2271" s="5"/>
    </row>
    <row r="2272" spans="1:1">
      <c r="A2272" s="5"/>
    </row>
    <row r="2273" spans="1:1">
      <c r="A2273" s="5"/>
    </row>
    <row r="2274" spans="1:1">
      <c r="A2274" s="5"/>
    </row>
    <row r="2275" spans="1:1">
      <c r="A2275" s="5"/>
    </row>
    <row r="2276" spans="1:1">
      <c r="A2276" s="5"/>
    </row>
    <row r="2277" spans="1:1">
      <c r="A2277" s="5"/>
    </row>
    <row r="2278" spans="1:1">
      <c r="A2278" s="5"/>
    </row>
    <row r="2279" spans="1:1">
      <c r="A2279" s="5"/>
    </row>
    <row r="2280" spans="1:1">
      <c r="A2280" s="5"/>
    </row>
    <row r="2281" spans="1:1">
      <c r="A2281" s="5"/>
    </row>
    <row r="2282" spans="1:1">
      <c r="A2282" s="5"/>
    </row>
    <row r="2283" spans="1:1">
      <c r="A2283" s="5"/>
    </row>
    <row r="2284" spans="1:1">
      <c r="A2284" s="5"/>
    </row>
    <row r="2285" spans="1:1">
      <c r="A2285" s="5"/>
    </row>
    <row r="2286" spans="1:1">
      <c r="A2286" s="5"/>
    </row>
    <row r="2287" spans="1:1">
      <c r="A2287" s="5"/>
    </row>
    <row r="2288" spans="1:1">
      <c r="A2288" s="5"/>
    </row>
    <row r="2289" spans="1:1">
      <c r="A2289" s="5"/>
    </row>
    <row r="2290" spans="1:1">
      <c r="A2290" s="5"/>
    </row>
    <row r="2291" spans="1:1">
      <c r="A2291" s="5"/>
    </row>
    <row r="2292" spans="1:1">
      <c r="A2292" s="5"/>
    </row>
    <row r="2293" spans="1:1">
      <c r="A2293" s="5"/>
    </row>
    <row r="2294" spans="1:1">
      <c r="A2294" s="5"/>
    </row>
    <row r="2295" spans="1:1">
      <c r="A2295" s="5"/>
    </row>
    <row r="2296" spans="1:1">
      <c r="A2296" s="5"/>
    </row>
    <row r="2297" spans="1:1">
      <c r="A2297" s="5"/>
    </row>
    <row r="2298" spans="1:1">
      <c r="A2298" s="5"/>
    </row>
    <row r="2299" spans="1:1">
      <c r="A2299" s="5"/>
    </row>
    <row r="2300" spans="1:1">
      <c r="A2300" s="5"/>
    </row>
    <row r="2301" spans="1:1">
      <c r="A2301" s="5"/>
    </row>
    <row r="2302" spans="1:1">
      <c r="A2302" s="5"/>
    </row>
    <row r="2303" spans="1:1">
      <c r="A2303" s="5"/>
    </row>
    <row r="2304" spans="1:1">
      <c r="A2304" s="5"/>
    </row>
    <row r="2305" spans="1:1">
      <c r="A2305" s="5"/>
    </row>
    <row r="2306" spans="1:1">
      <c r="A2306" s="5"/>
    </row>
    <row r="2307" spans="1:1">
      <c r="A2307" s="5"/>
    </row>
    <row r="2308" spans="1:1">
      <c r="A2308" s="5"/>
    </row>
    <row r="2309" spans="1:1">
      <c r="A2309" s="5"/>
    </row>
    <row r="2310" spans="1:1">
      <c r="A2310" s="5"/>
    </row>
    <row r="2311" spans="1:1">
      <c r="A2311" s="5"/>
    </row>
    <row r="2312" spans="1:1">
      <c r="A2312" s="5"/>
    </row>
    <row r="2313" spans="1:1">
      <c r="A2313" s="5"/>
    </row>
    <row r="2314" spans="1:1">
      <c r="A2314" s="5"/>
    </row>
    <row r="2315" spans="1:1">
      <c r="A2315" s="5"/>
    </row>
    <row r="2316" spans="1:1">
      <c r="A2316" s="5"/>
    </row>
    <row r="2317" spans="1:1">
      <c r="A2317" s="5"/>
    </row>
    <row r="2318" spans="1:1">
      <c r="A2318" s="5"/>
    </row>
    <row r="2319" spans="1:1">
      <c r="A2319" s="5"/>
    </row>
    <row r="2320" spans="1:1">
      <c r="A2320" s="5"/>
    </row>
    <row r="2321" spans="1:1">
      <c r="A2321" s="5"/>
    </row>
    <row r="2322" spans="1:1">
      <c r="A2322" s="5"/>
    </row>
    <row r="2323" spans="1:1">
      <c r="A2323" s="5"/>
    </row>
    <row r="2324" spans="1:1">
      <c r="A2324" s="5"/>
    </row>
    <row r="2325" spans="1:1">
      <c r="A2325" s="5"/>
    </row>
    <row r="2326" spans="1:1">
      <c r="A2326" s="5"/>
    </row>
    <row r="2327" spans="1:1">
      <c r="A2327" s="5"/>
    </row>
    <row r="2328" spans="1:1">
      <c r="A2328" s="5"/>
    </row>
    <row r="2329" spans="1:1">
      <c r="A2329" s="5"/>
    </row>
    <row r="2330" spans="1:1">
      <c r="A2330" s="5"/>
    </row>
    <row r="2331" spans="1:1">
      <c r="A2331" s="5"/>
    </row>
    <row r="2332" spans="1:1">
      <c r="A2332" s="5"/>
    </row>
    <row r="2333" spans="1:1">
      <c r="A2333" s="5"/>
    </row>
    <row r="2334" spans="1:1">
      <c r="A2334" s="5"/>
    </row>
    <row r="2335" spans="1:1">
      <c r="A2335" s="5"/>
    </row>
    <row r="2336" spans="1:1">
      <c r="A2336" s="5"/>
    </row>
    <row r="2337" spans="1:1">
      <c r="A2337" s="5"/>
    </row>
    <row r="2338" spans="1:1">
      <c r="A2338" s="5"/>
    </row>
    <row r="2339" spans="1:1">
      <c r="A2339" s="5"/>
    </row>
    <row r="2340" spans="1:1">
      <c r="A2340" s="5"/>
    </row>
    <row r="2341" spans="1:1">
      <c r="A2341" s="5"/>
    </row>
    <row r="2342" spans="1:1">
      <c r="A2342" s="5"/>
    </row>
    <row r="2343" spans="1:1">
      <c r="A2343" s="5"/>
    </row>
    <row r="2344" spans="1:1">
      <c r="A2344" s="5"/>
    </row>
    <row r="2345" spans="1:1">
      <c r="A2345" s="5"/>
    </row>
    <row r="2346" spans="1:1">
      <c r="A2346" s="5"/>
    </row>
    <row r="2347" spans="1:1">
      <c r="A2347" s="5"/>
    </row>
    <row r="2348" spans="1:1">
      <c r="A2348" s="5"/>
    </row>
    <row r="2349" spans="1:1">
      <c r="A2349" s="5"/>
    </row>
    <row r="2350" spans="1:1">
      <c r="A2350" s="5"/>
    </row>
    <row r="2351" spans="1:1">
      <c r="A2351" s="5"/>
    </row>
    <row r="2352" spans="1:1">
      <c r="A2352" s="5"/>
    </row>
    <row r="2353" spans="1:1">
      <c r="A2353" s="5"/>
    </row>
    <row r="2354" spans="1:1">
      <c r="A2354" s="5"/>
    </row>
    <row r="2355" spans="1:1">
      <c r="A2355" s="5"/>
    </row>
    <row r="2356" spans="1:1">
      <c r="A2356" s="5"/>
    </row>
    <row r="2357" spans="1:1">
      <c r="A2357" s="5"/>
    </row>
    <row r="2358" spans="1:1">
      <c r="A2358" s="5"/>
    </row>
    <row r="2359" spans="1:1">
      <c r="A2359" s="5"/>
    </row>
    <row r="2360" spans="1:1">
      <c r="A2360" s="5"/>
    </row>
    <row r="2361" spans="1:1">
      <c r="A2361" s="5"/>
    </row>
    <row r="2362" spans="1:1">
      <c r="A2362" s="5"/>
    </row>
    <row r="2363" spans="1:1">
      <c r="A2363" s="5"/>
    </row>
    <row r="2364" spans="1:1">
      <c r="A2364" s="5"/>
    </row>
    <row r="2365" spans="1:1">
      <c r="A2365" s="5"/>
    </row>
    <row r="2366" spans="1:1">
      <c r="A2366" s="5"/>
    </row>
    <row r="2367" spans="1:1">
      <c r="A2367" s="5"/>
    </row>
    <row r="2368" spans="1:1">
      <c r="A2368" s="5"/>
    </row>
    <row r="2369" spans="1:1">
      <c r="A2369" s="5"/>
    </row>
    <row r="2370" spans="1:1">
      <c r="A2370" s="5"/>
    </row>
    <row r="2371" spans="1:1">
      <c r="A2371" s="5"/>
    </row>
    <row r="2372" spans="1:1">
      <c r="A2372" s="5"/>
    </row>
    <row r="2373" spans="1:1">
      <c r="A2373" s="5"/>
    </row>
    <row r="2374" spans="1:1">
      <c r="A2374" s="5"/>
    </row>
    <row r="2375" spans="1:1">
      <c r="A2375" s="5"/>
    </row>
    <row r="2376" spans="1:1">
      <c r="A2376" s="5"/>
    </row>
    <row r="2377" spans="1:1">
      <c r="A2377" s="5"/>
    </row>
    <row r="2378" spans="1:1">
      <c r="A2378" s="5"/>
    </row>
    <row r="2379" spans="1:1">
      <c r="A2379" s="5"/>
    </row>
    <row r="2380" spans="1:1">
      <c r="A2380" s="5"/>
    </row>
    <row r="2381" spans="1:1">
      <c r="A2381" s="5"/>
    </row>
    <row r="2382" spans="1:1">
      <c r="A2382" s="5"/>
    </row>
    <row r="2383" spans="1:1">
      <c r="A2383" s="5"/>
    </row>
    <row r="2384" spans="1:1">
      <c r="A2384" s="5"/>
    </row>
    <row r="2385" spans="1:1">
      <c r="A2385" s="5"/>
    </row>
    <row r="2386" spans="1:1">
      <c r="A2386" s="5"/>
    </row>
    <row r="2387" spans="1:1">
      <c r="A2387" s="5"/>
    </row>
    <row r="2388" spans="1:1">
      <c r="A2388" s="5"/>
    </row>
    <row r="2389" spans="1:1">
      <c r="A2389" s="5"/>
    </row>
    <row r="2390" spans="1:1">
      <c r="A2390" s="5"/>
    </row>
    <row r="2391" spans="1:1">
      <c r="A2391" s="5"/>
    </row>
    <row r="2392" spans="1:1">
      <c r="A2392" s="5"/>
    </row>
    <row r="2393" spans="1:1">
      <c r="A2393" s="5"/>
    </row>
    <row r="2394" spans="1:1">
      <c r="A2394" s="5"/>
    </row>
    <row r="2395" spans="1:1">
      <c r="A2395" s="5"/>
    </row>
    <row r="2396" spans="1:1">
      <c r="A2396" s="5"/>
    </row>
    <row r="2397" spans="1:1">
      <c r="A2397" s="5"/>
    </row>
    <row r="2398" spans="1:1">
      <c r="A2398" s="5"/>
    </row>
    <row r="2399" spans="1:1">
      <c r="A2399" s="5"/>
    </row>
    <row r="2400" spans="1:1">
      <c r="A2400" s="5"/>
    </row>
    <row r="2401" spans="1:1">
      <c r="A2401" s="5"/>
    </row>
    <row r="2402" spans="1:1">
      <c r="A2402" s="5"/>
    </row>
    <row r="2403" spans="1:1">
      <c r="A2403" s="5"/>
    </row>
    <row r="2404" spans="1:1">
      <c r="A2404" s="5"/>
    </row>
    <row r="2405" spans="1:1">
      <c r="A2405" s="5"/>
    </row>
    <row r="2406" spans="1:1">
      <c r="A2406" s="5"/>
    </row>
    <row r="2407" spans="1:1">
      <c r="A2407" s="5"/>
    </row>
    <row r="2408" spans="1:1">
      <c r="A2408" s="5"/>
    </row>
    <row r="2409" spans="1:1">
      <c r="A2409" s="5"/>
    </row>
    <row r="2410" spans="1:1">
      <c r="A2410" s="5"/>
    </row>
    <row r="2411" spans="1:1">
      <c r="A2411" s="5"/>
    </row>
    <row r="2412" spans="1:1">
      <c r="A2412" s="5"/>
    </row>
    <row r="2413" spans="1:1">
      <c r="A2413" s="5"/>
    </row>
    <row r="2414" spans="1:1">
      <c r="A2414" s="5"/>
    </row>
    <row r="2415" spans="1:1">
      <c r="A2415" s="5"/>
    </row>
    <row r="2416" spans="1:1">
      <c r="A2416" s="5"/>
    </row>
    <row r="2417" spans="1:1">
      <c r="A2417" s="5"/>
    </row>
    <row r="2418" spans="1:1">
      <c r="A2418" s="5"/>
    </row>
    <row r="2419" spans="1:1">
      <c r="A2419" s="5"/>
    </row>
    <row r="2420" spans="1:1">
      <c r="A2420" s="5"/>
    </row>
    <row r="2421" spans="1:1">
      <c r="A2421" s="5"/>
    </row>
    <row r="2422" spans="1:1">
      <c r="A2422" s="5"/>
    </row>
    <row r="2423" spans="1:1">
      <c r="A2423" s="5"/>
    </row>
    <row r="2424" spans="1:1">
      <c r="A2424" s="5"/>
    </row>
    <row r="2425" spans="1:1">
      <c r="A2425" s="5"/>
    </row>
    <row r="2426" spans="1:1">
      <c r="A2426" s="5"/>
    </row>
    <row r="2427" spans="1:1">
      <c r="A2427" s="5"/>
    </row>
    <row r="2428" spans="1:1">
      <c r="A2428" s="5"/>
    </row>
    <row r="2429" spans="1:1">
      <c r="A2429" s="5"/>
    </row>
    <row r="2430" spans="1:1">
      <c r="A2430" s="5"/>
    </row>
    <row r="2431" spans="1:1">
      <c r="A2431" s="5"/>
    </row>
    <row r="2432" spans="1:1">
      <c r="A2432" s="5"/>
    </row>
    <row r="2433" spans="1:1">
      <c r="A2433" s="5"/>
    </row>
    <row r="2434" spans="1:1">
      <c r="A2434" s="5"/>
    </row>
    <row r="2435" spans="1:1">
      <c r="A2435" s="5"/>
    </row>
    <row r="2436" spans="1:1">
      <c r="A2436" s="5"/>
    </row>
    <row r="2437" spans="1:1">
      <c r="A2437" s="5"/>
    </row>
    <row r="2438" spans="1:1">
      <c r="A2438" s="5"/>
    </row>
    <row r="2439" spans="1:1">
      <c r="A2439" s="5"/>
    </row>
    <row r="2440" spans="1:1">
      <c r="A2440" s="5"/>
    </row>
    <row r="2441" spans="1:1">
      <c r="A2441" s="5"/>
    </row>
    <row r="2442" spans="1:1">
      <c r="A2442" s="5"/>
    </row>
    <row r="2443" spans="1:1">
      <c r="A2443" s="5"/>
    </row>
    <row r="2444" spans="1:1">
      <c r="A2444" s="5"/>
    </row>
    <row r="2445" spans="1:1">
      <c r="A2445" s="5"/>
    </row>
    <row r="2446" spans="1:1">
      <c r="A2446" s="5"/>
    </row>
    <row r="2447" spans="1:1">
      <c r="A2447" s="5"/>
    </row>
    <row r="2448" spans="1:1">
      <c r="A2448" s="5"/>
    </row>
    <row r="2449" spans="1:1">
      <c r="A2449" s="5"/>
    </row>
    <row r="2450" spans="1:1">
      <c r="A2450" s="5"/>
    </row>
    <row r="2451" spans="1:1">
      <c r="A2451" s="5"/>
    </row>
    <row r="2452" spans="1:1">
      <c r="A2452" s="5"/>
    </row>
    <row r="2453" spans="1:1">
      <c r="A2453" s="5"/>
    </row>
    <row r="2454" spans="1:1">
      <c r="A2454" s="5"/>
    </row>
    <row r="2455" spans="1:1">
      <c r="A2455" s="5"/>
    </row>
    <row r="2456" spans="1:1">
      <c r="A2456" s="5"/>
    </row>
    <row r="2457" spans="1:1">
      <c r="A2457" s="5"/>
    </row>
    <row r="2458" spans="1:1">
      <c r="A2458" s="5"/>
    </row>
    <row r="2459" spans="1:1">
      <c r="A2459" s="5"/>
    </row>
    <row r="2460" spans="1:1">
      <c r="A2460" s="5"/>
    </row>
    <row r="2461" spans="1:1">
      <c r="A2461" s="5"/>
    </row>
    <row r="2462" spans="1:1">
      <c r="A2462" s="5"/>
    </row>
    <row r="2463" spans="1:1">
      <c r="A2463" s="5"/>
    </row>
    <row r="2464" spans="1:1">
      <c r="A2464" s="5"/>
    </row>
    <row r="2465" spans="1:1">
      <c r="A2465" s="5"/>
    </row>
    <row r="2466" spans="1:1">
      <c r="A2466" s="5"/>
    </row>
    <row r="2467" spans="1:1">
      <c r="A2467" s="5"/>
    </row>
    <row r="2468" spans="1:1">
      <c r="A2468" s="5"/>
    </row>
    <row r="2469" spans="1:1">
      <c r="A2469" s="5"/>
    </row>
    <row r="2470" spans="1:1">
      <c r="A2470" s="5"/>
    </row>
    <row r="2471" spans="1:1">
      <c r="A2471" s="5"/>
    </row>
    <row r="2472" spans="1:1">
      <c r="A2472" s="5"/>
    </row>
    <row r="2473" spans="1:1">
      <c r="A2473" s="5"/>
    </row>
    <row r="2474" spans="1:1">
      <c r="A2474" s="5"/>
    </row>
    <row r="2475" spans="1:1">
      <c r="A2475" s="5"/>
    </row>
    <row r="2476" spans="1:1">
      <c r="A2476" s="5"/>
    </row>
    <row r="2477" spans="1:1">
      <c r="A2477" s="5"/>
    </row>
    <row r="2478" spans="1:1">
      <c r="A2478" s="5"/>
    </row>
    <row r="2479" spans="1:1">
      <c r="A2479" s="5"/>
    </row>
    <row r="2480" spans="1:1">
      <c r="A2480" s="5"/>
    </row>
    <row r="2481" spans="1:1">
      <c r="A2481" s="5"/>
    </row>
    <row r="2482" spans="1:1">
      <c r="A2482" s="5"/>
    </row>
    <row r="2483" spans="1:1">
      <c r="A2483" s="5"/>
    </row>
    <row r="2484" spans="1:1">
      <c r="A2484" s="5"/>
    </row>
    <row r="2485" spans="1:1">
      <c r="A2485" s="5"/>
    </row>
    <row r="2486" spans="1:1">
      <c r="A2486" s="5"/>
    </row>
    <row r="2487" spans="1:1">
      <c r="A2487" s="5"/>
    </row>
    <row r="2488" spans="1:1">
      <c r="A2488" s="5"/>
    </row>
    <row r="2489" spans="1:1">
      <c r="A2489" s="5"/>
    </row>
    <row r="2490" spans="1:1">
      <c r="A2490" s="5"/>
    </row>
    <row r="2491" spans="1:1">
      <c r="A2491" s="5"/>
    </row>
    <row r="2492" spans="1:1">
      <c r="A2492" s="5"/>
    </row>
    <row r="2493" spans="1:1">
      <c r="A2493" s="5"/>
    </row>
    <row r="2494" spans="1:1">
      <c r="A2494" s="5"/>
    </row>
    <row r="2495" spans="1:1">
      <c r="A2495" s="5"/>
    </row>
    <row r="2496" spans="1:1">
      <c r="A2496" s="5"/>
    </row>
    <row r="2497" spans="1:1">
      <c r="A2497" s="5"/>
    </row>
    <row r="2498" spans="1:1">
      <c r="A2498" s="5"/>
    </row>
    <row r="2499" spans="1:1">
      <c r="A2499" s="5"/>
    </row>
    <row r="2500" spans="1:1">
      <c r="A2500" s="5"/>
    </row>
    <row r="2501" spans="1:1">
      <c r="A2501" s="5"/>
    </row>
    <row r="2502" spans="1:1">
      <c r="A2502" s="5"/>
    </row>
    <row r="2503" spans="1:1">
      <c r="A2503" s="5"/>
    </row>
    <row r="2504" spans="1:1">
      <c r="A2504" s="5"/>
    </row>
    <row r="2505" spans="1:1">
      <c r="A2505" s="5"/>
    </row>
    <row r="2506" spans="1:1">
      <c r="A2506" s="5"/>
    </row>
    <row r="2507" spans="1:1">
      <c r="A2507" s="5"/>
    </row>
    <row r="2508" spans="1:1">
      <c r="A2508" s="5"/>
    </row>
    <row r="2509" spans="1:1">
      <c r="A2509" s="5"/>
    </row>
    <row r="2510" spans="1:1">
      <c r="A2510" s="5"/>
    </row>
    <row r="2511" spans="1:1">
      <c r="A2511" s="5"/>
    </row>
    <row r="2512" spans="1:1">
      <c r="A2512" s="5"/>
    </row>
    <row r="2513" spans="1:1">
      <c r="A2513" s="5"/>
    </row>
    <row r="2514" spans="1:1">
      <c r="A2514" s="5"/>
    </row>
    <row r="2515" spans="1:1">
      <c r="A2515" s="5"/>
    </row>
    <row r="2516" spans="1:1">
      <c r="A2516" s="5"/>
    </row>
    <row r="2517" spans="1:1">
      <c r="A2517" s="5"/>
    </row>
    <row r="2518" spans="1:1">
      <c r="A2518" s="5"/>
    </row>
    <row r="2519" spans="1:1">
      <c r="A2519" s="5"/>
    </row>
    <row r="2520" spans="1:1">
      <c r="A2520" s="5"/>
    </row>
    <row r="2521" spans="1:1">
      <c r="A2521" s="5"/>
    </row>
    <row r="2522" spans="1:1">
      <c r="A2522" s="5"/>
    </row>
    <row r="2523" spans="1:1">
      <c r="A2523" s="5"/>
    </row>
    <row r="2524" spans="1:1">
      <c r="A2524" s="5"/>
    </row>
    <row r="2525" spans="1:1">
      <c r="A2525" s="5"/>
    </row>
    <row r="2526" spans="1:1">
      <c r="A2526" s="5"/>
    </row>
    <row r="2527" spans="1:1">
      <c r="A2527" s="5"/>
    </row>
    <row r="2528" spans="1:1">
      <c r="A2528" s="5"/>
    </row>
    <row r="2529" spans="1:1">
      <c r="A2529" s="5"/>
    </row>
    <row r="2530" spans="1:1">
      <c r="A2530" s="5"/>
    </row>
    <row r="2531" spans="1:1">
      <c r="A2531" s="5"/>
    </row>
    <row r="2532" spans="1:1">
      <c r="A2532" s="5"/>
    </row>
    <row r="2533" spans="1:1">
      <c r="A2533" s="5"/>
    </row>
    <row r="2534" spans="1:1">
      <c r="A2534" s="5"/>
    </row>
    <row r="2535" spans="1:1">
      <c r="A2535" s="5"/>
    </row>
    <row r="2536" spans="1:1">
      <c r="A2536" s="5"/>
    </row>
    <row r="2537" spans="1:1">
      <c r="A2537" s="5"/>
    </row>
    <row r="2538" spans="1:1">
      <c r="A2538" s="5"/>
    </row>
    <row r="2539" spans="1:1">
      <c r="A2539" s="5"/>
    </row>
    <row r="2540" spans="1:1">
      <c r="A2540" s="5"/>
    </row>
    <row r="2541" spans="1:1">
      <c r="A2541" s="5"/>
    </row>
    <row r="2542" spans="1:1">
      <c r="A2542" s="5"/>
    </row>
    <row r="2543" spans="1:1">
      <c r="A2543" s="5"/>
    </row>
    <row r="2544" spans="1:1">
      <c r="A2544" s="5"/>
    </row>
    <row r="2545" spans="1:1">
      <c r="A2545" s="5"/>
    </row>
    <row r="2546" spans="1:1">
      <c r="A2546" s="5"/>
    </row>
    <row r="2547" spans="1:1">
      <c r="A2547" s="5"/>
    </row>
    <row r="2548" spans="1:1">
      <c r="A2548" s="5"/>
    </row>
    <row r="2549" spans="1:1">
      <c r="A2549" s="5"/>
    </row>
    <row r="2550" spans="1:1">
      <c r="A2550" s="5"/>
    </row>
    <row r="2551" spans="1:1">
      <c r="A2551" s="5"/>
    </row>
    <row r="2552" spans="1:1">
      <c r="A2552" s="5"/>
    </row>
    <row r="2553" spans="1:1">
      <c r="A2553" s="5"/>
    </row>
    <row r="2554" spans="1:1">
      <c r="A2554" s="5"/>
    </row>
    <row r="2555" spans="1:1">
      <c r="A2555" s="5"/>
    </row>
    <row r="2556" spans="1:1">
      <c r="A2556" s="5"/>
    </row>
    <row r="2557" spans="1:1">
      <c r="A2557" s="5"/>
    </row>
    <row r="2558" spans="1:1">
      <c r="A2558" s="5"/>
    </row>
    <row r="2559" spans="1:1">
      <c r="A2559" s="5"/>
    </row>
    <row r="2560" spans="1:1">
      <c r="A2560" s="5"/>
    </row>
    <row r="2561" spans="1:1">
      <c r="A2561" s="5"/>
    </row>
    <row r="2562" spans="1:1">
      <c r="A2562" s="5"/>
    </row>
    <row r="2563" spans="1:1">
      <c r="A2563" s="5"/>
    </row>
    <row r="2564" spans="1:1">
      <c r="A2564" s="5"/>
    </row>
    <row r="2565" spans="1:1">
      <c r="A2565" s="5"/>
    </row>
    <row r="2566" spans="1:1">
      <c r="A2566" s="5"/>
    </row>
    <row r="2567" spans="1:1">
      <c r="A2567" s="5"/>
    </row>
    <row r="2568" spans="1:1">
      <c r="A2568" s="5"/>
    </row>
    <row r="2569" spans="1:1">
      <c r="A2569" s="5"/>
    </row>
    <row r="2570" spans="1:1">
      <c r="A2570" s="5"/>
    </row>
    <row r="2571" spans="1:1">
      <c r="A2571" s="5"/>
    </row>
    <row r="2572" spans="1:1">
      <c r="A2572" s="5"/>
    </row>
    <row r="2573" spans="1:1">
      <c r="A2573" s="5"/>
    </row>
    <row r="2574" spans="1:1">
      <c r="A2574" s="5"/>
    </row>
    <row r="2575" spans="1:1">
      <c r="A2575" s="5"/>
    </row>
    <row r="2576" spans="1:1">
      <c r="A2576" s="5"/>
    </row>
    <row r="2577" spans="1:1">
      <c r="A2577" s="5"/>
    </row>
    <row r="2578" spans="1:1">
      <c r="A2578" s="5"/>
    </row>
    <row r="2579" spans="1:1">
      <c r="A2579" s="5"/>
    </row>
    <row r="2580" spans="1:1">
      <c r="A2580" s="5"/>
    </row>
    <row r="2581" spans="1:1">
      <c r="A2581" s="5"/>
    </row>
    <row r="2582" spans="1:1">
      <c r="A2582" s="5"/>
    </row>
    <row r="2583" spans="1:1">
      <c r="A2583" s="5"/>
    </row>
    <row r="2584" spans="1:1">
      <c r="A2584" s="5"/>
    </row>
    <row r="2585" spans="1:1">
      <c r="A2585" s="5"/>
    </row>
    <row r="2586" spans="1:1">
      <c r="A2586" s="5"/>
    </row>
    <row r="2587" spans="1:1">
      <c r="A2587" s="5"/>
    </row>
    <row r="2588" spans="1:1">
      <c r="A2588" s="5"/>
    </row>
    <row r="2589" spans="1:1">
      <c r="A2589" s="5"/>
    </row>
    <row r="2590" spans="1:1">
      <c r="A2590" s="5"/>
    </row>
    <row r="2591" spans="1:1">
      <c r="A2591" s="5"/>
    </row>
    <row r="2592" spans="1:1">
      <c r="A2592" s="5"/>
    </row>
    <row r="2593" spans="1:1">
      <c r="A2593" s="5"/>
    </row>
    <row r="2594" spans="1:1">
      <c r="A2594" s="5"/>
    </row>
    <row r="2595" spans="1:1">
      <c r="A2595" s="5"/>
    </row>
    <row r="2596" spans="1:1">
      <c r="A2596" s="5"/>
    </row>
    <row r="2597" spans="1:1">
      <c r="A2597" s="5"/>
    </row>
    <row r="2598" spans="1:1">
      <c r="A2598" s="5"/>
    </row>
    <row r="2599" spans="1:1">
      <c r="A2599" s="5"/>
    </row>
    <row r="2600" spans="1:1">
      <c r="A2600" s="5"/>
    </row>
    <row r="2601" spans="1:1">
      <c r="A2601" s="5"/>
    </row>
    <row r="2602" spans="1:1">
      <c r="A2602" s="5"/>
    </row>
    <row r="2603" spans="1:1">
      <c r="A2603" s="5"/>
    </row>
    <row r="2604" spans="1:1">
      <c r="A2604" s="5"/>
    </row>
    <row r="2605" spans="1:1">
      <c r="A2605" s="5"/>
    </row>
    <row r="2606" spans="1:1">
      <c r="A2606" s="5"/>
    </row>
    <row r="2607" spans="1:1">
      <c r="A2607" s="5"/>
    </row>
    <row r="2608" spans="1:1">
      <c r="A2608" s="5"/>
    </row>
    <row r="2609" spans="1:1">
      <c r="A2609" s="5"/>
    </row>
    <row r="2610" spans="1:1">
      <c r="A2610" s="5"/>
    </row>
    <row r="2611" spans="1:1">
      <c r="A2611" s="5"/>
    </row>
    <row r="2612" spans="1:1">
      <c r="A2612" s="5"/>
    </row>
    <row r="2613" spans="1:1">
      <c r="A2613" s="5"/>
    </row>
    <row r="2614" spans="1:1">
      <c r="A2614" s="5"/>
    </row>
    <row r="2615" spans="1:1">
      <c r="A2615" s="5"/>
    </row>
    <row r="2616" spans="1:1">
      <c r="A2616" s="5"/>
    </row>
    <row r="2617" spans="1:1">
      <c r="A2617" s="5"/>
    </row>
    <row r="2618" spans="1:1">
      <c r="A2618" s="5"/>
    </row>
    <row r="2619" spans="1:1">
      <c r="A2619" s="5"/>
    </row>
    <row r="2620" spans="1:1">
      <c r="A2620" s="5"/>
    </row>
    <row r="2621" spans="1:1">
      <c r="A2621" s="5"/>
    </row>
    <row r="2622" spans="1:1">
      <c r="A2622" s="5"/>
    </row>
    <row r="2623" spans="1:1">
      <c r="A2623" s="5"/>
    </row>
    <row r="2624" spans="1:1">
      <c r="A2624" s="5"/>
    </row>
    <row r="2625" spans="1:1">
      <c r="A2625" s="5"/>
    </row>
    <row r="2626" spans="1:1">
      <c r="A2626" s="5"/>
    </row>
    <row r="2627" spans="1:1">
      <c r="A2627" s="5"/>
    </row>
    <row r="2628" spans="1:1">
      <c r="A2628" s="5"/>
    </row>
    <row r="2629" spans="1:1">
      <c r="A2629" s="5"/>
    </row>
    <row r="2630" spans="1:1">
      <c r="A2630" s="5"/>
    </row>
    <row r="2631" spans="1:1">
      <c r="A2631" s="5"/>
    </row>
    <row r="2632" spans="1:1">
      <c r="A2632" s="5"/>
    </row>
    <row r="2633" spans="1:1">
      <c r="A2633" s="5"/>
    </row>
    <row r="2634" spans="1:1">
      <c r="A2634" s="5"/>
    </row>
    <row r="2635" spans="1:1">
      <c r="A2635" s="5"/>
    </row>
    <row r="2636" spans="1:1">
      <c r="A2636" s="5"/>
    </row>
    <row r="2637" spans="1:1">
      <c r="A2637" s="5"/>
    </row>
    <row r="2638" spans="1:1">
      <c r="A2638" s="5"/>
    </row>
    <row r="2639" spans="1:1">
      <c r="A2639" s="5"/>
    </row>
    <row r="2640" spans="1:1">
      <c r="A2640" s="5"/>
    </row>
    <row r="2641" spans="1:1">
      <c r="A2641" s="5"/>
    </row>
    <row r="2642" spans="1:1">
      <c r="A2642" s="5"/>
    </row>
    <row r="2643" spans="1:1">
      <c r="A2643" s="5"/>
    </row>
    <row r="2644" spans="1:1">
      <c r="A2644" s="5"/>
    </row>
    <row r="2645" spans="1:1">
      <c r="A2645" s="5"/>
    </row>
    <row r="2646" spans="1:1">
      <c r="A2646" s="5"/>
    </row>
    <row r="2647" spans="1:1">
      <c r="A2647" s="5"/>
    </row>
    <row r="2648" spans="1:1">
      <c r="A2648" s="5"/>
    </row>
    <row r="2649" spans="1:1">
      <c r="A2649" s="5"/>
    </row>
    <row r="2650" spans="1:1">
      <c r="A2650" s="5"/>
    </row>
    <row r="2651" spans="1:1">
      <c r="A2651" s="5"/>
    </row>
    <row r="2652" spans="1:1">
      <c r="A2652" s="5"/>
    </row>
    <row r="2653" spans="1:1">
      <c r="A2653" s="5"/>
    </row>
    <row r="2654" spans="1:1">
      <c r="A2654" s="5"/>
    </row>
    <row r="2655" spans="1:1">
      <c r="A2655" s="5"/>
    </row>
    <row r="2656" spans="1:1">
      <c r="A2656" s="5"/>
    </row>
    <row r="2657" spans="1:1">
      <c r="A2657" s="5"/>
    </row>
    <row r="2658" spans="1:1">
      <c r="A2658" s="5"/>
    </row>
    <row r="2659" spans="1:1">
      <c r="A2659" s="5"/>
    </row>
    <row r="2660" spans="1:1">
      <c r="A2660" s="5"/>
    </row>
    <row r="2661" spans="1:1">
      <c r="A2661" s="5"/>
    </row>
    <row r="2662" spans="1:1">
      <c r="A2662" s="5"/>
    </row>
    <row r="2663" spans="1:1">
      <c r="A2663" s="5"/>
    </row>
    <row r="2664" spans="1:1">
      <c r="A2664" s="5"/>
    </row>
    <row r="2665" spans="1:1">
      <c r="A2665" s="5"/>
    </row>
    <row r="2666" spans="1:1">
      <c r="A2666" s="5"/>
    </row>
    <row r="2667" spans="1:1">
      <c r="A2667" s="5"/>
    </row>
    <row r="2668" spans="1:1">
      <c r="A2668" s="5"/>
    </row>
    <row r="2669" spans="1:1">
      <c r="A2669" s="5"/>
    </row>
    <row r="2670" spans="1:1">
      <c r="A2670" s="5"/>
    </row>
    <row r="2671" spans="1:1">
      <c r="A2671" s="5"/>
    </row>
    <row r="2672" spans="1:1">
      <c r="A2672" s="5"/>
    </row>
    <row r="2673" spans="1:1">
      <c r="A2673" s="5"/>
    </row>
    <row r="2674" spans="1:1">
      <c r="A2674" s="5"/>
    </row>
    <row r="2675" spans="1:1">
      <c r="A2675" s="5"/>
    </row>
    <row r="2676" spans="1:1">
      <c r="A2676" s="5"/>
    </row>
    <row r="2677" spans="1:1">
      <c r="A2677" s="5"/>
    </row>
    <row r="2678" spans="1:1">
      <c r="A2678" s="5"/>
    </row>
    <row r="2679" spans="1:1">
      <c r="A2679" s="5"/>
    </row>
    <row r="2680" spans="1:1">
      <c r="A2680" s="5"/>
    </row>
    <row r="2681" spans="1:1">
      <c r="A2681" s="5"/>
    </row>
    <row r="2682" spans="1:1">
      <c r="A2682" s="5"/>
    </row>
    <row r="2683" spans="1:1">
      <c r="A2683" s="5"/>
    </row>
    <row r="2684" spans="1:1">
      <c r="A2684" s="5"/>
    </row>
    <row r="2685" spans="1:1">
      <c r="A2685" s="5"/>
    </row>
    <row r="2686" spans="1:1">
      <c r="A2686" s="5"/>
    </row>
    <row r="2687" spans="1:1">
      <c r="A2687" s="5"/>
    </row>
    <row r="2688" spans="1:1">
      <c r="A2688" s="5"/>
    </row>
    <row r="2689" spans="1:1">
      <c r="A2689" s="5"/>
    </row>
    <row r="2690" spans="1:1">
      <c r="A2690" s="5"/>
    </row>
    <row r="2691" spans="1:1">
      <c r="A2691" s="5"/>
    </row>
    <row r="2692" spans="1:1">
      <c r="A2692" s="5"/>
    </row>
    <row r="2693" spans="1:1">
      <c r="A2693" s="5"/>
    </row>
    <row r="2694" spans="1:1">
      <c r="A2694" s="5"/>
    </row>
    <row r="2695" spans="1:1">
      <c r="A2695" s="5"/>
    </row>
    <row r="2696" spans="1:1">
      <c r="A2696" s="5"/>
    </row>
    <row r="2697" spans="1:1">
      <c r="A2697" s="5"/>
    </row>
    <row r="2698" spans="1:1">
      <c r="A2698" s="5"/>
    </row>
    <row r="2699" spans="1:1">
      <c r="A2699" s="5"/>
    </row>
    <row r="2700" spans="1:1">
      <c r="A2700" s="5"/>
    </row>
    <row r="2701" spans="1:1">
      <c r="A2701" s="5"/>
    </row>
    <row r="2702" spans="1:1">
      <c r="A2702" s="5"/>
    </row>
    <row r="2703" spans="1:1">
      <c r="A2703" s="5"/>
    </row>
    <row r="2704" spans="1:1">
      <c r="A2704" s="5"/>
    </row>
    <row r="2705" spans="1:1">
      <c r="A2705" s="5"/>
    </row>
    <row r="2706" spans="1:1">
      <c r="A2706" s="5"/>
    </row>
    <row r="2707" spans="1:1">
      <c r="A2707" s="5"/>
    </row>
    <row r="2708" spans="1:1">
      <c r="A2708" s="5"/>
    </row>
    <row r="2709" spans="1:1">
      <c r="A2709" s="5"/>
    </row>
    <row r="2710" spans="1:1">
      <c r="A2710" s="5"/>
    </row>
    <row r="2711" spans="1:1">
      <c r="A2711" s="5"/>
    </row>
    <row r="2712" spans="1:1">
      <c r="A2712" s="5"/>
    </row>
    <row r="2713" spans="1:1">
      <c r="A2713" s="5"/>
    </row>
    <row r="2714" spans="1:1">
      <c r="A2714" s="5"/>
    </row>
    <row r="2715" spans="1:1">
      <c r="A2715" s="5"/>
    </row>
    <row r="2716" spans="1:1">
      <c r="A2716" s="5"/>
    </row>
    <row r="2717" spans="1:1">
      <c r="A2717" s="5"/>
    </row>
    <row r="2718" spans="1:1">
      <c r="A2718" s="5"/>
    </row>
    <row r="2719" spans="1:1">
      <c r="A2719" s="5"/>
    </row>
    <row r="2720" spans="1:1">
      <c r="A2720" s="5"/>
    </row>
    <row r="2721" spans="1:1">
      <c r="A2721" s="5"/>
    </row>
    <row r="2722" spans="1:1">
      <c r="A2722" s="5"/>
    </row>
    <row r="2723" spans="1:1">
      <c r="A2723" s="5"/>
    </row>
    <row r="2724" spans="1:1">
      <c r="A2724" s="5"/>
    </row>
    <row r="2725" spans="1:1">
      <c r="A2725" s="5"/>
    </row>
    <row r="2726" spans="1:1">
      <c r="A2726" s="5"/>
    </row>
    <row r="2727" spans="1:1">
      <c r="A2727" s="5"/>
    </row>
    <row r="2728" spans="1:1">
      <c r="A2728" s="5"/>
    </row>
    <row r="2729" spans="1:1">
      <c r="A2729" s="5"/>
    </row>
    <row r="2730" spans="1:1">
      <c r="A2730" s="5"/>
    </row>
    <row r="2731" spans="1:1">
      <c r="A2731" s="5"/>
    </row>
    <row r="2732" spans="1:1">
      <c r="A2732" s="5"/>
    </row>
    <row r="2733" spans="1:1">
      <c r="A2733" s="5"/>
    </row>
    <row r="2734" spans="1:1">
      <c r="A2734" s="5"/>
    </row>
    <row r="2735" spans="1:1">
      <c r="A2735" s="5"/>
    </row>
    <row r="2736" spans="1:1">
      <c r="A2736" s="5"/>
    </row>
    <row r="2737" spans="1:1">
      <c r="A2737" s="5"/>
    </row>
    <row r="2738" spans="1:1">
      <c r="A2738" s="5"/>
    </row>
    <row r="2739" spans="1:1">
      <c r="A2739" s="5"/>
    </row>
    <row r="2740" spans="1:1">
      <c r="A2740" s="5"/>
    </row>
    <row r="2741" spans="1:1">
      <c r="A2741" s="5"/>
    </row>
    <row r="2742" spans="1:1">
      <c r="A2742" s="5"/>
    </row>
    <row r="2743" spans="1:1">
      <c r="A2743" s="5"/>
    </row>
    <row r="2744" spans="1:1">
      <c r="A2744" s="5"/>
    </row>
    <row r="2745" spans="1:1">
      <c r="A2745" s="5"/>
    </row>
    <row r="2746" spans="1:1">
      <c r="A2746" s="5"/>
    </row>
    <row r="2747" spans="1:1">
      <c r="A2747" s="5"/>
    </row>
    <row r="2748" spans="1:1">
      <c r="A2748" s="5"/>
    </row>
    <row r="2749" spans="1:1">
      <c r="A2749" s="5"/>
    </row>
    <row r="2750" spans="1:1">
      <c r="A2750" s="5"/>
    </row>
    <row r="2751" spans="1:1">
      <c r="A2751" s="5"/>
    </row>
    <row r="2752" spans="1:1">
      <c r="A2752" s="5"/>
    </row>
    <row r="2753" spans="1:1">
      <c r="A2753" s="5"/>
    </row>
    <row r="2754" spans="1:1">
      <c r="A2754" s="5"/>
    </row>
    <row r="2755" spans="1:1">
      <c r="A2755" s="5"/>
    </row>
    <row r="2756" spans="1:1">
      <c r="A2756" s="5"/>
    </row>
    <row r="2757" spans="1:1">
      <c r="A2757" s="5"/>
    </row>
    <row r="2758" spans="1:1">
      <c r="A2758" s="5"/>
    </row>
    <row r="2759" spans="1:1">
      <c r="A2759" s="5"/>
    </row>
    <row r="2760" spans="1:1">
      <c r="A2760" s="5"/>
    </row>
    <row r="2761" spans="1:1">
      <c r="A2761" s="5"/>
    </row>
    <row r="2762" spans="1:1">
      <c r="A2762" s="5"/>
    </row>
    <row r="2763" spans="1:1">
      <c r="A2763" s="5"/>
    </row>
    <row r="2764" spans="1:1">
      <c r="A2764" s="5"/>
    </row>
    <row r="2765" spans="1:1">
      <c r="A2765" s="5"/>
    </row>
    <row r="2766" spans="1:1">
      <c r="A2766" s="5"/>
    </row>
    <row r="2767" spans="1:1">
      <c r="A2767" s="5"/>
    </row>
    <row r="2768" spans="1:1">
      <c r="A2768" s="5"/>
    </row>
    <row r="2769" spans="1:1">
      <c r="A2769" s="5"/>
    </row>
    <row r="2770" spans="1:1">
      <c r="A2770" s="5"/>
    </row>
    <row r="2771" spans="1:1">
      <c r="A2771" s="5"/>
    </row>
    <row r="2772" spans="1:1">
      <c r="A2772" s="5"/>
    </row>
    <row r="2773" spans="1:1">
      <c r="A2773" s="5"/>
    </row>
    <row r="2774" spans="1:1">
      <c r="A2774" s="5"/>
    </row>
    <row r="2775" spans="1:1">
      <c r="A2775" s="5"/>
    </row>
    <row r="2776" spans="1:1">
      <c r="A2776" s="5"/>
    </row>
    <row r="2777" spans="1:1">
      <c r="A2777" s="5"/>
    </row>
    <row r="2778" spans="1:1">
      <c r="A2778" s="5"/>
    </row>
    <row r="2779" spans="1:1">
      <c r="A2779" s="5"/>
    </row>
    <row r="2780" spans="1:1">
      <c r="A2780" s="5"/>
    </row>
    <row r="2781" spans="1:1">
      <c r="A2781" s="5"/>
    </row>
    <row r="2782" spans="1:1">
      <c r="A2782" s="5"/>
    </row>
    <row r="2783" spans="1:1">
      <c r="A2783" s="5"/>
    </row>
    <row r="2784" spans="1:1">
      <c r="A2784" s="5"/>
    </row>
    <row r="2785" spans="1:1">
      <c r="A2785" s="5"/>
    </row>
    <row r="2786" spans="1:1">
      <c r="A2786" s="5"/>
    </row>
    <row r="2787" spans="1:1">
      <c r="A2787" s="5"/>
    </row>
    <row r="2788" spans="1:1">
      <c r="A2788" s="5"/>
    </row>
    <row r="2789" spans="1:1">
      <c r="A2789" s="5"/>
    </row>
    <row r="2790" spans="1:1">
      <c r="A2790" s="5"/>
    </row>
    <row r="2791" spans="1:1">
      <c r="A2791" s="5"/>
    </row>
    <row r="2792" spans="1:1">
      <c r="A2792" s="5"/>
    </row>
    <row r="2793" spans="1:1">
      <c r="A2793" s="5"/>
    </row>
    <row r="2794" spans="1:1">
      <c r="A2794" s="5"/>
    </row>
    <row r="2795" spans="1:1">
      <c r="A2795" s="5"/>
    </row>
    <row r="2796" spans="1:1">
      <c r="A2796" s="5"/>
    </row>
    <row r="2797" spans="1:1">
      <c r="A2797" s="5"/>
    </row>
    <row r="2798" spans="1:1">
      <c r="A2798" s="5"/>
    </row>
    <row r="2799" spans="1:1">
      <c r="A2799" s="5"/>
    </row>
    <row r="2800" spans="1:1">
      <c r="A2800" s="5"/>
    </row>
    <row r="2801" spans="1:1">
      <c r="A2801" s="5"/>
    </row>
    <row r="2802" spans="1:1">
      <c r="A2802" s="5"/>
    </row>
    <row r="2803" spans="1:1">
      <c r="A2803" s="5"/>
    </row>
    <row r="2804" spans="1:1">
      <c r="A2804" s="5"/>
    </row>
    <row r="2805" spans="1:1">
      <c r="A2805" s="5"/>
    </row>
    <row r="2806" spans="1:1">
      <c r="A2806" s="5"/>
    </row>
    <row r="2807" spans="1:1">
      <c r="A2807" s="5"/>
    </row>
    <row r="2808" spans="1:1">
      <c r="A2808" s="5"/>
    </row>
    <row r="2809" spans="1:1">
      <c r="A2809" s="5"/>
    </row>
    <row r="2810" spans="1:1">
      <c r="A2810" s="5"/>
    </row>
    <row r="2811" spans="1:1">
      <c r="A2811" s="5"/>
    </row>
    <row r="2812" spans="1:1">
      <c r="A2812" s="5"/>
    </row>
    <row r="2813" spans="1:1">
      <c r="A2813" s="5"/>
    </row>
    <row r="2814" spans="1:1">
      <c r="A2814" s="5"/>
    </row>
    <row r="2815" spans="1:1">
      <c r="A2815" s="5"/>
    </row>
    <row r="2816" spans="1:1">
      <c r="A2816" s="5"/>
    </row>
    <row r="2817" spans="1:1">
      <c r="A2817" s="5"/>
    </row>
    <row r="2818" spans="1:1">
      <c r="A2818" s="5"/>
    </row>
    <row r="2819" spans="1:1">
      <c r="A2819" s="5"/>
    </row>
    <row r="2820" spans="1:1">
      <c r="A2820" s="5"/>
    </row>
    <row r="2821" spans="1:1">
      <c r="A2821" s="5"/>
    </row>
    <row r="2822" spans="1:1">
      <c r="A2822" s="5"/>
    </row>
    <row r="2823" spans="1:1">
      <c r="A2823" s="5"/>
    </row>
    <row r="2824" spans="1:1">
      <c r="A2824" s="5"/>
    </row>
    <row r="2825" spans="1:1">
      <c r="A2825" s="5"/>
    </row>
    <row r="2826" spans="1:1">
      <c r="A2826" s="5"/>
    </row>
    <row r="2827" spans="1:1">
      <c r="A2827" s="5"/>
    </row>
    <row r="2828" spans="1:1">
      <c r="A2828" s="5"/>
    </row>
    <row r="2829" spans="1:1">
      <c r="A2829" s="5"/>
    </row>
    <row r="2830" spans="1:1">
      <c r="A2830" s="5"/>
    </row>
    <row r="2831" spans="1:1">
      <c r="A2831" s="5"/>
    </row>
    <row r="2832" spans="1:1">
      <c r="A2832" s="5"/>
    </row>
    <row r="2833" spans="1:1">
      <c r="A2833" s="5"/>
    </row>
    <row r="2834" spans="1:1">
      <c r="A2834" s="5"/>
    </row>
    <row r="2835" spans="1:1">
      <c r="A2835" s="5"/>
    </row>
    <row r="2836" spans="1:1">
      <c r="A2836" s="5"/>
    </row>
    <row r="2837" spans="1:1">
      <c r="A2837" s="5"/>
    </row>
    <row r="2838" spans="1:1">
      <c r="A2838" s="5"/>
    </row>
    <row r="2839" spans="1:1">
      <c r="A2839" s="5"/>
    </row>
    <row r="2840" spans="1:1">
      <c r="A2840" s="5"/>
    </row>
    <row r="2841" spans="1:1">
      <c r="A2841" s="5"/>
    </row>
    <row r="2842" spans="1:1">
      <c r="A2842" s="5"/>
    </row>
    <row r="2843" spans="1:1">
      <c r="A2843" s="5"/>
    </row>
    <row r="2844" spans="1:1">
      <c r="A2844" s="5"/>
    </row>
    <row r="2845" spans="1:1">
      <c r="A2845" s="5"/>
    </row>
    <row r="2846" spans="1:1">
      <c r="A2846" s="5"/>
    </row>
    <row r="2847" spans="1:1">
      <c r="A2847" s="5"/>
    </row>
    <row r="2848" spans="1:1">
      <c r="A2848" s="5"/>
    </row>
    <row r="2849" spans="1:1">
      <c r="A2849" s="5"/>
    </row>
    <row r="2850" spans="1:1">
      <c r="A2850" s="5"/>
    </row>
    <row r="2851" spans="1:1">
      <c r="A2851" s="5"/>
    </row>
    <row r="2852" spans="1:1">
      <c r="A2852" s="5"/>
    </row>
    <row r="2853" spans="1:1">
      <c r="A2853" s="5"/>
    </row>
    <row r="2854" spans="1:1">
      <c r="A2854" s="5"/>
    </row>
    <row r="2855" spans="1:1">
      <c r="A2855" s="5"/>
    </row>
    <row r="2856" spans="1:1">
      <c r="A2856" s="5"/>
    </row>
    <row r="2857" spans="1:1">
      <c r="A2857" s="5"/>
    </row>
    <row r="2858" spans="1:1">
      <c r="A2858" s="5"/>
    </row>
    <row r="2859" spans="1:1">
      <c r="A2859" s="5"/>
    </row>
    <row r="2860" spans="1:1">
      <c r="A2860" s="5"/>
    </row>
    <row r="2861" spans="1:1">
      <c r="A2861" s="5"/>
    </row>
    <row r="2862" spans="1:1">
      <c r="A2862" s="5"/>
    </row>
    <row r="2863" spans="1:1">
      <c r="A2863" s="5"/>
    </row>
    <row r="2864" spans="1:1">
      <c r="A2864" s="5"/>
    </row>
    <row r="2865" spans="1:1">
      <c r="A2865" s="5"/>
    </row>
    <row r="2866" spans="1:1">
      <c r="A2866" s="5"/>
    </row>
    <row r="2867" spans="1:1">
      <c r="A2867" s="5"/>
    </row>
    <row r="2868" spans="1:1">
      <c r="A2868" s="5"/>
    </row>
    <row r="2869" spans="1:1">
      <c r="A2869" s="5"/>
    </row>
    <row r="2870" spans="1:1">
      <c r="A2870" s="5"/>
    </row>
    <row r="2871" spans="1:1">
      <c r="A2871" s="5"/>
    </row>
    <row r="2872" spans="1:1">
      <c r="A2872" s="5"/>
    </row>
    <row r="2873" spans="1:1">
      <c r="A2873" s="5"/>
    </row>
    <row r="2874" spans="1:1">
      <c r="A2874" s="5"/>
    </row>
    <row r="2875" spans="1:1">
      <c r="A2875" s="5"/>
    </row>
    <row r="2876" spans="1:1">
      <c r="A2876" s="5"/>
    </row>
    <row r="2877" spans="1:1">
      <c r="A2877" s="5"/>
    </row>
    <row r="2878" spans="1:1">
      <c r="A2878" s="5"/>
    </row>
    <row r="2879" spans="1:1">
      <c r="A2879" s="5"/>
    </row>
    <row r="2880" spans="1:1">
      <c r="A2880" s="5"/>
    </row>
    <row r="2881" spans="1:1">
      <c r="A2881" s="5"/>
    </row>
    <row r="2882" spans="1:1">
      <c r="A2882" s="5"/>
    </row>
    <row r="2883" spans="1:1">
      <c r="A2883" s="5"/>
    </row>
    <row r="2884" spans="1:1">
      <c r="A2884" s="5"/>
    </row>
    <row r="2885" spans="1:1">
      <c r="A2885" s="5"/>
    </row>
    <row r="2886" spans="1:1">
      <c r="A2886" s="5"/>
    </row>
    <row r="2887" spans="1:1">
      <c r="A2887" s="5"/>
    </row>
    <row r="2888" spans="1:1">
      <c r="A2888" s="5"/>
    </row>
    <row r="2889" spans="1:1">
      <c r="A2889" s="5"/>
    </row>
    <row r="2890" spans="1:1">
      <c r="A2890" s="5"/>
    </row>
    <row r="2891" spans="1:1">
      <c r="A2891" s="5"/>
    </row>
    <row r="2892" spans="1:1">
      <c r="A2892" s="5"/>
    </row>
    <row r="2893" spans="1:1">
      <c r="A2893" s="5"/>
    </row>
    <row r="2894" spans="1:1">
      <c r="A2894" s="5"/>
    </row>
    <row r="2895" spans="1:1">
      <c r="A2895" s="5"/>
    </row>
    <row r="2896" spans="1:1">
      <c r="A2896" s="5"/>
    </row>
    <row r="2897" spans="1:1">
      <c r="A2897" s="5"/>
    </row>
    <row r="2898" spans="1:1">
      <c r="A2898" s="5"/>
    </row>
    <row r="2899" spans="1:1">
      <c r="A2899" s="5"/>
    </row>
    <row r="2900" spans="1:1">
      <c r="A2900" s="5"/>
    </row>
    <row r="2901" spans="1:1">
      <c r="A2901" s="5"/>
    </row>
    <row r="2902" spans="1:1">
      <c r="A2902" s="5"/>
    </row>
    <row r="2903" spans="1:1">
      <c r="A2903" s="5"/>
    </row>
    <row r="2904" spans="1:1">
      <c r="A2904" s="5"/>
    </row>
    <row r="2905" spans="1:1">
      <c r="A2905" s="5"/>
    </row>
    <row r="2906" spans="1:1">
      <c r="A2906" s="5"/>
    </row>
    <row r="2907" spans="1:1">
      <c r="A2907" s="5"/>
    </row>
    <row r="2908" spans="1:1">
      <c r="A2908" s="5"/>
    </row>
    <row r="2909" spans="1:1">
      <c r="A2909" s="5"/>
    </row>
    <row r="2910" spans="1:1">
      <c r="A2910" s="5"/>
    </row>
    <row r="2911" spans="1:1">
      <c r="A2911" s="5"/>
    </row>
    <row r="2912" spans="1:1">
      <c r="A2912" s="5"/>
    </row>
    <row r="2913" spans="1:1">
      <c r="A2913" s="5"/>
    </row>
    <row r="2914" spans="1:1">
      <c r="A2914" s="5"/>
    </row>
    <row r="2915" spans="1:1">
      <c r="A2915" s="5"/>
    </row>
    <row r="2916" spans="1:1">
      <c r="A2916" s="5"/>
    </row>
    <row r="2917" spans="1:1">
      <c r="A2917" s="5"/>
    </row>
    <row r="2918" spans="1:1">
      <c r="A2918" s="5"/>
    </row>
    <row r="2919" spans="1:1">
      <c r="A2919" s="5"/>
    </row>
    <row r="2920" spans="1:1">
      <c r="A2920" s="5"/>
    </row>
    <row r="2921" spans="1:1">
      <c r="A2921" s="5"/>
    </row>
    <row r="2922" spans="1:1">
      <c r="A2922" s="5"/>
    </row>
    <row r="2923" spans="1:1">
      <c r="A2923" s="5"/>
    </row>
    <row r="2924" spans="1:1">
      <c r="A2924" s="5"/>
    </row>
    <row r="2925" spans="1:1">
      <c r="A2925" s="5"/>
    </row>
    <row r="2926" spans="1:1">
      <c r="A2926" s="5"/>
    </row>
    <row r="2927" spans="1:1">
      <c r="A2927" s="5"/>
    </row>
    <row r="2928" spans="1:1">
      <c r="A2928" s="5"/>
    </row>
    <row r="2929" spans="1:1">
      <c r="A2929" s="5"/>
    </row>
    <row r="2930" spans="1:1">
      <c r="A2930" s="5"/>
    </row>
    <row r="2931" spans="1:1">
      <c r="A2931" s="5"/>
    </row>
    <row r="2932" spans="1:1">
      <c r="A2932" s="5"/>
    </row>
    <row r="2933" spans="1:1">
      <c r="A2933" s="5"/>
    </row>
    <row r="2934" spans="1:1">
      <c r="A2934" s="5"/>
    </row>
    <row r="2935" spans="1:1">
      <c r="A2935" s="5"/>
    </row>
    <row r="2936" spans="1:1">
      <c r="A2936" s="5"/>
    </row>
    <row r="2937" spans="1:1">
      <c r="A2937" s="5"/>
    </row>
    <row r="2938" spans="1:1">
      <c r="A2938" s="5"/>
    </row>
    <row r="2939" spans="1:1">
      <c r="A2939" s="5"/>
    </row>
    <row r="2940" spans="1:1">
      <c r="A2940" s="5"/>
    </row>
    <row r="2941" spans="1:1">
      <c r="A2941" s="5"/>
    </row>
    <row r="2942" spans="1:1">
      <c r="A2942" s="5"/>
    </row>
    <row r="2943" spans="1:1">
      <c r="A2943" s="5"/>
    </row>
    <row r="2944" spans="1:1">
      <c r="A2944" s="5"/>
    </row>
    <row r="2945" spans="1:1">
      <c r="A2945" s="5"/>
    </row>
    <row r="2946" spans="1:1">
      <c r="A2946" s="5"/>
    </row>
    <row r="2947" spans="1:1">
      <c r="A2947" s="5"/>
    </row>
    <row r="2948" spans="1:1">
      <c r="A2948" s="5"/>
    </row>
    <row r="2949" spans="1:1">
      <c r="A2949" s="5"/>
    </row>
    <row r="2950" spans="1:1">
      <c r="A2950" s="5"/>
    </row>
    <row r="2951" spans="1:1">
      <c r="A2951" s="5"/>
    </row>
    <row r="2952" spans="1:1">
      <c r="A2952" s="5"/>
    </row>
    <row r="2953" spans="1:1">
      <c r="A2953" s="5"/>
    </row>
    <row r="2954" spans="1:1">
      <c r="A2954" s="5"/>
    </row>
    <row r="2955" spans="1:1">
      <c r="A2955" s="5"/>
    </row>
    <row r="2956" spans="1:1">
      <c r="A2956" s="5"/>
    </row>
    <row r="2957" spans="1:1">
      <c r="A2957" s="5"/>
    </row>
    <row r="2958" spans="1:1">
      <c r="A2958" s="5"/>
    </row>
    <row r="2959" spans="1:1">
      <c r="A2959" s="5"/>
    </row>
    <row r="2960" spans="1:1">
      <c r="A2960" s="5"/>
    </row>
    <row r="2961" spans="1:1">
      <c r="A2961" s="5"/>
    </row>
    <row r="2962" spans="1:1">
      <c r="A2962" s="5"/>
    </row>
    <row r="2963" spans="1:1">
      <c r="A2963" s="5"/>
    </row>
    <row r="2964" spans="1:1">
      <c r="A2964" s="5"/>
    </row>
    <row r="2965" spans="1:1">
      <c r="A2965" s="5"/>
    </row>
    <row r="2966" spans="1:1">
      <c r="A2966" s="5"/>
    </row>
    <row r="2967" spans="1:1">
      <c r="A2967" s="5"/>
    </row>
    <row r="2968" spans="1:1">
      <c r="A2968" s="5"/>
    </row>
    <row r="2969" spans="1:1">
      <c r="A2969" s="5"/>
    </row>
    <row r="2970" spans="1:1">
      <c r="A2970" s="5"/>
    </row>
    <row r="2971" spans="1:1">
      <c r="A2971" s="5"/>
    </row>
    <row r="2972" spans="1:1">
      <c r="A2972" s="5"/>
    </row>
    <row r="2973" spans="1:1">
      <c r="A2973" s="5"/>
    </row>
    <row r="2974" spans="1:1">
      <c r="A2974" s="5"/>
    </row>
    <row r="2975" spans="1:1">
      <c r="A2975" s="5"/>
    </row>
    <row r="2976" spans="1:1">
      <c r="A2976" s="5"/>
    </row>
    <row r="2977" spans="1:1">
      <c r="A2977" s="5"/>
    </row>
    <row r="2978" spans="1:1">
      <c r="A2978" s="5"/>
    </row>
    <row r="2979" spans="1:1">
      <c r="A2979" s="5"/>
    </row>
    <row r="2980" spans="1:1">
      <c r="A2980" s="5"/>
    </row>
    <row r="2981" spans="1:1">
      <c r="A2981" s="5"/>
    </row>
    <row r="2982" spans="1:1">
      <c r="A2982" s="5"/>
    </row>
    <row r="2983" spans="1:1">
      <c r="A2983" s="5"/>
    </row>
    <row r="2984" spans="1:1">
      <c r="A2984" s="5"/>
    </row>
    <row r="2985" spans="1:1">
      <c r="A2985" s="5"/>
    </row>
    <row r="2986" spans="1:1">
      <c r="A2986" s="5"/>
    </row>
    <row r="2987" spans="1:1">
      <c r="A2987" s="5"/>
    </row>
    <row r="2988" spans="1:1">
      <c r="A2988" s="5"/>
    </row>
    <row r="2989" spans="1:1">
      <c r="A2989" s="5"/>
    </row>
    <row r="2990" spans="1:1">
      <c r="A2990" s="5"/>
    </row>
    <row r="2991" spans="1:1">
      <c r="A2991" s="5"/>
    </row>
    <row r="2992" spans="1:1">
      <c r="A2992" s="5"/>
    </row>
    <row r="2993" spans="1:1">
      <c r="A2993" s="5"/>
    </row>
    <row r="2994" spans="1:1">
      <c r="A2994" s="5"/>
    </row>
    <row r="2995" spans="1:1">
      <c r="A2995" s="5"/>
    </row>
    <row r="2996" spans="1:1">
      <c r="A2996" s="5"/>
    </row>
    <row r="2997" spans="1:1">
      <c r="A2997" s="5"/>
    </row>
    <row r="2998" spans="1:1">
      <c r="A2998" s="5"/>
    </row>
    <row r="2999" spans="1:1">
      <c r="A2999" s="5"/>
    </row>
    <row r="3000" spans="1:1">
      <c r="A3000" s="5"/>
    </row>
    <row r="3001" spans="1:1">
      <c r="A3001" s="5"/>
    </row>
    <row r="3002" spans="1:1">
      <c r="A3002" s="5"/>
    </row>
    <row r="3003" spans="1:1">
      <c r="A3003" s="5"/>
    </row>
    <row r="3004" spans="1:1">
      <c r="A3004" s="5"/>
    </row>
    <row r="3005" spans="1:1">
      <c r="A3005" s="5"/>
    </row>
    <row r="3006" spans="1:1">
      <c r="A3006" s="5"/>
    </row>
    <row r="3007" spans="1:1">
      <c r="A3007" s="5"/>
    </row>
    <row r="3008" spans="1:1">
      <c r="A3008" s="5"/>
    </row>
    <row r="3009" spans="1:1">
      <c r="A3009" s="5"/>
    </row>
    <row r="3010" spans="1:1">
      <c r="A3010" s="5"/>
    </row>
    <row r="3011" spans="1:1">
      <c r="A3011" s="5"/>
    </row>
    <row r="3012" spans="1:1">
      <c r="A3012" s="5"/>
    </row>
    <row r="3013" spans="1:1">
      <c r="A3013" s="5"/>
    </row>
    <row r="3014" spans="1:1">
      <c r="A3014" s="5"/>
    </row>
    <row r="3015" spans="1:1">
      <c r="A3015" s="5"/>
    </row>
    <row r="3016" spans="1:1">
      <c r="A3016" s="5"/>
    </row>
    <row r="3017" spans="1:1">
      <c r="A3017" s="5"/>
    </row>
    <row r="3018" spans="1:1">
      <c r="A3018" s="5"/>
    </row>
    <row r="3019" spans="1:1">
      <c r="A3019" s="5"/>
    </row>
    <row r="3020" spans="1:1">
      <c r="A3020" s="5"/>
    </row>
    <row r="3021" spans="1:1">
      <c r="A3021" s="5"/>
    </row>
    <row r="3022" spans="1:1">
      <c r="A3022" s="5"/>
    </row>
    <row r="3023" spans="1:1">
      <c r="A3023" s="5"/>
    </row>
    <row r="3024" spans="1:1">
      <c r="A3024" s="5"/>
    </row>
    <row r="3025" spans="1:1">
      <c r="A3025" s="5"/>
    </row>
    <row r="3026" spans="1:1">
      <c r="A3026" s="5"/>
    </row>
    <row r="3027" spans="1:1">
      <c r="A3027" s="5"/>
    </row>
    <row r="3028" spans="1:1">
      <c r="A3028" s="5"/>
    </row>
    <row r="3029" spans="1:1">
      <c r="A3029" s="5"/>
    </row>
    <row r="3030" spans="1:1">
      <c r="A3030" s="5"/>
    </row>
    <row r="3031" spans="1:1">
      <c r="A3031" s="5"/>
    </row>
    <row r="3032" spans="1:1">
      <c r="A3032" s="5"/>
    </row>
    <row r="3033" spans="1:1">
      <c r="A3033" s="5"/>
    </row>
    <row r="3034" spans="1:1">
      <c r="A3034" s="5"/>
    </row>
    <row r="3035" spans="1:1">
      <c r="A3035" s="5"/>
    </row>
    <row r="3036" spans="1:1">
      <c r="A3036" s="5"/>
    </row>
    <row r="3037" spans="1:1">
      <c r="A3037" s="5"/>
    </row>
    <row r="3038" spans="1:1">
      <c r="A3038" s="5"/>
    </row>
    <row r="3039" spans="1:1">
      <c r="A3039" s="5"/>
    </row>
    <row r="3040" spans="1:1">
      <c r="A3040" s="5"/>
    </row>
    <row r="3041" spans="1:1">
      <c r="A3041" s="5"/>
    </row>
    <row r="3042" spans="1:1">
      <c r="A3042" s="5"/>
    </row>
    <row r="3043" spans="1:1">
      <c r="A3043" s="5"/>
    </row>
    <row r="3044" spans="1:1">
      <c r="A3044" s="5"/>
    </row>
    <row r="3045" spans="1:1">
      <c r="A3045" s="5"/>
    </row>
    <row r="3046" spans="1:1">
      <c r="A3046" s="5"/>
    </row>
    <row r="3047" spans="1:1">
      <c r="A3047" s="5"/>
    </row>
    <row r="3048" spans="1:1">
      <c r="A3048" s="5"/>
    </row>
    <row r="3049" spans="1:1">
      <c r="A3049" s="5"/>
    </row>
    <row r="3050" spans="1:1">
      <c r="A3050" s="5"/>
    </row>
    <row r="3051" spans="1:1">
      <c r="A3051" s="5"/>
    </row>
    <row r="3052" spans="1:1">
      <c r="A3052" s="5"/>
    </row>
    <row r="3053" spans="1:1">
      <c r="A3053" s="5"/>
    </row>
    <row r="3054" spans="1:1">
      <c r="A3054" s="5"/>
    </row>
    <row r="3055" spans="1:1">
      <c r="A3055" s="5"/>
    </row>
    <row r="3056" spans="1:1">
      <c r="A3056" s="5"/>
    </row>
    <row r="3057" spans="1:1">
      <c r="A3057" s="5"/>
    </row>
    <row r="3058" spans="1:1">
      <c r="A3058" s="5"/>
    </row>
    <row r="3059" spans="1:1">
      <c r="A3059" s="5"/>
    </row>
    <row r="3060" spans="1:1">
      <c r="A3060" s="5"/>
    </row>
    <row r="3061" spans="1:1">
      <c r="A3061" s="5"/>
    </row>
    <row r="3062" spans="1:1">
      <c r="A3062" s="5"/>
    </row>
    <row r="3063" spans="1:1">
      <c r="A3063" s="5"/>
    </row>
    <row r="3064" spans="1:1">
      <c r="A3064" s="5"/>
    </row>
    <row r="3065" spans="1:1">
      <c r="A3065" s="5"/>
    </row>
    <row r="3066" spans="1:1">
      <c r="A3066" s="5"/>
    </row>
    <row r="3067" spans="1:1">
      <c r="A3067" s="5"/>
    </row>
    <row r="3068" spans="1:1">
      <c r="A3068" s="5"/>
    </row>
    <row r="3069" spans="1:1">
      <c r="A3069" s="5"/>
    </row>
    <row r="3070" spans="1:1">
      <c r="A3070" s="5"/>
    </row>
    <row r="3071" spans="1:1">
      <c r="A3071" s="5"/>
    </row>
    <row r="3072" spans="1:1">
      <c r="A3072" s="5"/>
    </row>
    <row r="3073" spans="1:1">
      <c r="A3073" s="5"/>
    </row>
    <row r="3074" spans="1:1">
      <c r="A3074" s="5"/>
    </row>
    <row r="3075" spans="1:1">
      <c r="A3075" s="5"/>
    </row>
    <row r="3076" spans="1:1">
      <c r="A3076" s="5"/>
    </row>
    <row r="3077" spans="1:1">
      <c r="A3077" s="5"/>
    </row>
    <row r="3078" spans="1:1">
      <c r="A3078" s="5"/>
    </row>
    <row r="3079" spans="1:1">
      <c r="A3079" s="5"/>
    </row>
    <row r="3080" spans="1:1">
      <c r="A3080" s="5"/>
    </row>
    <row r="3081" spans="1:1">
      <c r="A3081" s="5"/>
    </row>
    <row r="3082" spans="1:1">
      <c r="A3082" s="5"/>
    </row>
    <row r="3083" spans="1:1">
      <c r="A3083" s="5"/>
    </row>
    <row r="3084" spans="1:1">
      <c r="A3084" s="5"/>
    </row>
    <row r="3085" spans="1:1">
      <c r="A3085" s="5"/>
    </row>
    <row r="3086" spans="1:1">
      <c r="A3086" s="5"/>
    </row>
    <row r="3087" spans="1:1">
      <c r="A3087" s="5"/>
    </row>
    <row r="3088" spans="1:1">
      <c r="A3088" s="5"/>
    </row>
    <row r="3089" spans="1:1">
      <c r="A3089" s="5"/>
    </row>
    <row r="3090" spans="1:1">
      <c r="A3090" s="5"/>
    </row>
    <row r="3091" spans="1:1">
      <c r="A3091" s="5"/>
    </row>
    <row r="3092" spans="1:1">
      <c r="A3092" s="5"/>
    </row>
    <row r="3093" spans="1:1">
      <c r="A3093" s="5"/>
    </row>
    <row r="3094" spans="1:1">
      <c r="A3094" s="5"/>
    </row>
    <row r="3095" spans="1:1">
      <c r="A3095" s="5"/>
    </row>
    <row r="3096" spans="1:1">
      <c r="A3096" s="5"/>
    </row>
    <row r="3097" spans="1:1">
      <c r="A3097" s="5"/>
    </row>
    <row r="3098" spans="1:1">
      <c r="A3098" s="5"/>
    </row>
    <row r="3099" spans="1:1">
      <c r="A3099" s="5"/>
    </row>
    <row r="3100" spans="1:1">
      <c r="A3100" s="5"/>
    </row>
    <row r="3101" spans="1:1">
      <c r="A3101" s="5"/>
    </row>
    <row r="3102" spans="1:1">
      <c r="A3102" s="5"/>
    </row>
    <row r="3103" spans="1:1">
      <c r="A3103" s="5"/>
    </row>
    <row r="3104" spans="1:1">
      <c r="A3104" s="5"/>
    </row>
    <row r="3105" spans="1:1">
      <c r="A3105" s="5"/>
    </row>
    <row r="3106" spans="1:1">
      <c r="A3106" s="5"/>
    </row>
    <row r="3107" spans="1:1">
      <c r="A3107" s="5"/>
    </row>
    <row r="3108" spans="1:1">
      <c r="A3108" s="5"/>
    </row>
    <row r="3109" spans="1:1">
      <c r="A3109" s="5"/>
    </row>
    <row r="3110" spans="1:1">
      <c r="A3110" s="5"/>
    </row>
    <row r="3111" spans="1:1">
      <c r="A3111" s="5"/>
    </row>
    <row r="3112" spans="1:1">
      <c r="A3112" s="5"/>
    </row>
    <row r="3113" spans="1:1">
      <c r="A3113" s="5"/>
    </row>
    <row r="3114" spans="1:1">
      <c r="A3114" s="5"/>
    </row>
    <row r="3115" spans="1:1">
      <c r="A3115" s="5"/>
    </row>
    <row r="3116" spans="1:1">
      <c r="A3116" s="5"/>
    </row>
    <row r="3117" spans="1:1">
      <c r="A3117" s="5"/>
    </row>
    <row r="3118" spans="1:1">
      <c r="A3118" s="5"/>
    </row>
    <row r="3119" spans="1:1">
      <c r="A3119" s="5"/>
    </row>
    <row r="3120" spans="1:1">
      <c r="A3120" s="5"/>
    </row>
    <row r="3121" spans="1:1">
      <c r="A3121" s="5"/>
    </row>
    <row r="3122" spans="1:1">
      <c r="A3122" s="5"/>
    </row>
    <row r="3123" spans="1:1">
      <c r="A3123" s="5"/>
    </row>
    <row r="3124" spans="1:1">
      <c r="A3124" s="5"/>
    </row>
    <row r="3125" spans="1:1">
      <c r="A3125" s="5"/>
    </row>
    <row r="3126" spans="1:1">
      <c r="A3126" s="5"/>
    </row>
    <row r="3127" spans="1:1">
      <c r="A3127" s="5"/>
    </row>
    <row r="3128" spans="1:1">
      <c r="A3128" s="5"/>
    </row>
    <row r="3129" spans="1:1">
      <c r="A3129" s="5"/>
    </row>
    <row r="3130" spans="1:1">
      <c r="A3130" s="5"/>
    </row>
    <row r="3131" spans="1:1">
      <c r="A3131" s="5"/>
    </row>
    <row r="3132" spans="1:1">
      <c r="A3132" s="5"/>
    </row>
    <row r="3133" spans="1:1">
      <c r="A3133" s="5"/>
    </row>
    <row r="3134" spans="1:1">
      <c r="A3134" s="5"/>
    </row>
    <row r="3135" spans="1:1">
      <c r="A3135" s="5"/>
    </row>
    <row r="3136" spans="1:1">
      <c r="A3136" s="5"/>
    </row>
    <row r="3137" spans="1:1">
      <c r="A3137" s="5"/>
    </row>
    <row r="3138" spans="1:1">
      <c r="A3138" s="5"/>
    </row>
    <row r="3139" spans="1:1">
      <c r="A3139" s="5"/>
    </row>
    <row r="3140" spans="1:1">
      <c r="A3140" s="5"/>
    </row>
    <row r="3141" spans="1:1">
      <c r="A3141" s="5"/>
    </row>
    <row r="3142" spans="1:1">
      <c r="A3142" s="5"/>
    </row>
    <row r="3143" spans="1:1">
      <c r="A3143" s="5"/>
    </row>
    <row r="3144" spans="1:1">
      <c r="A3144" s="5"/>
    </row>
    <row r="3145" spans="1:1">
      <c r="A3145" s="5"/>
    </row>
    <row r="3146" spans="1:1">
      <c r="A3146" s="5"/>
    </row>
    <row r="3147" spans="1:1">
      <c r="A3147" s="5"/>
    </row>
    <row r="3148" spans="1:1">
      <c r="A3148" s="5"/>
    </row>
    <row r="3149" spans="1:1">
      <c r="A3149" s="5"/>
    </row>
    <row r="3150" spans="1:1">
      <c r="A3150" s="5"/>
    </row>
    <row r="3151" spans="1:1">
      <c r="A3151" s="5"/>
    </row>
    <row r="3152" spans="1:1">
      <c r="A3152" s="5"/>
    </row>
    <row r="3153" spans="1:1">
      <c r="A3153" s="5"/>
    </row>
    <row r="3154" spans="1:1">
      <c r="A3154" s="5"/>
    </row>
    <row r="3155" spans="1:1">
      <c r="A3155" s="5"/>
    </row>
    <row r="3156" spans="1:1">
      <c r="A3156" s="5"/>
    </row>
    <row r="3157" spans="1:1">
      <c r="A3157" s="5"/>
    </row>
    <row r="3158" spans="1:1">
      <c r="A3158" s="5"/>
    </row>
    <row r="3159" spans="1:1">
      <c r="A3159" s="5"/>
    </row>
    <row r="3160" spans="1:1">
      <c r="A3160" s="5"/>
    </row>
    <row r="3161" spans="1:1">
      <c r="A3161" s="5"/>
    </row>
    <row r="3162" spans="1:1">
      <c r="A3162" s="5"/>
    </row>
    <row r="3163" spans="1:1">
      <c r="A3163" s="5"/>
    </row>
    <row r="3164" spans="1:1">
      <c r="A3164" s="5"/>
    </row>
    <row r="3165" spans="1:1">
      <c r="A3165" s="5"/>
    </row>
    <row r="3166" spans="1:1">
      <c r="A3166" s="5"/>
    </row>
    <row r="3167" spans="1:1">
      <c r="A3167" s="5"/>
    </row>
    <row r="3168" spans="1:1">
      <c r="A3168" s="5"/>
    </row>
    <row r="3169" spans="1:1">
      <c r="A3169" s="5"/>
    </row>
    <row r="3170" spans="1:1">
      <c r="A3170" s="5"/>
    </row>
    <row r="3171" spans="1:1">
      <c r="A3171" s="5"/>
    </row>
    <row r="3172" spans="1:1">
      <c r="A3172" s="5"/>
    </row>
    <row r="3173" spans="1:1">
      <c r="A3173" s="5"/>
    </row>
    <row r="3174" spans="1:1">
      <c r="A3174" s="5"/>
    </row>
    <row r="3175" spans="1:1">
      <c r="A3175" s="5"/>
    </row>
    <row r="3176" spans="1:1">
      <c r="A3176" s="5"/>
    </row>
    <row r="3177" spans="1:1">
      <c r="A3177" s="5"/>
    </row>
    <row r="3178" spans="1:1">
      <c r="A3178" s="5"/>
    </row>
    <row r="3179" spans="1:1">
      <c r="A3179" s="5"/>
    </row>
    <row r="3180" spans="1:1">
      <c r="A3180" s="5"/>
    </row>
    <row r="3181" spans="1:1">
      <c r="A3181" s="5"/>
    </row>
    <row r="3182" spans="1:1">
      <c r="A3182" s="5"/>
    </row>
    <row r="3183" spans="1:1">
      <c r="A3183" s="5"/>
    </row>
    <row r="3184" spans="1:1">
      <c r="A3184" s="5"/>
    </row>
    <row r="3185" spans="1:1">
      <c r="A3185" s="5"/>
    </row>
    <row r="3186" spans="1:1">
      <c r="A3186" s="5"/>
    </row>
    <row r="3187" spans="1:1">
      <c r="A3187" s="5"/>
    </row>
    <row r="3188" spans="1:1">
      <c r="A3188" s="5"/>
    </row>
    <row r="3189" spans="1:1">
      <c r="A3189" s="5"/>
    </row>
    <row r="3190" spans="1:1">
      <c r="A3190" s="5"/>
    </row>
    <row r="3191" spans="1:1">
      <c r="A3191" s="5"/>
    </row>
    <row r="3192" spans="1:1">
      <c r="A3192" s="5"/>
    </row>
    <row r="3193" spans="1:1">
      <c r="A3193" s="5"/>
    </row>
    <row r="3194" spans="1:1">
      <c r="A3194" s="5"/>
    </row>
    <row r="3195" spans="1:1">
      <c r="A3195" s="5"/>
    </row>
    <row r="3196" spans="1:1">
      <c r="A3196" s="5"/>
    </row>
    <row r="3197" spans="1:1">
      <c r="A3197" s="5"/>
    </row>
    <row r="3198" spans="1:1">
      <c r="A3198" s="5"/>
    </row>
    <row r="3199" spans="1:1">
      <c r="A3199" s="5"/>
    </row>
    <row r="3200" spans="1:1">
      <c r="A3200" s="5"/>
    </row>
    <row r="3201" spans="1:1">
      <c r="A3201" s="5"/>
    </row>
    <row r="3202" spans="1:1">
      <c r="A3202" s="5"/>
    </row>
    <row r="3203" spans="1:1">
      <c r="A3203" s="5"/>
    </row>
    <row r="3204" spans="1:1">
      <c r="A3204" s="5"/>
    </row>
    <row r="3205" spans="1:1">
      <c r="A3205" s="5"/>
    </row>
    <row r="3206" spans="1:1">
      <c r="A3206" s="5"/>
    </row>
    <row r="3207" spans="1:1">
      <c r="A3207" s="5"/>
    </row>
    <row r="3208" spans="1:1">
      <c r="A3208" s="5"/>
    </row>
    <row r="3209" spans="1:1">
      <c r="A3209" s="5"/>
    </row>
    <row r="3210" spans="1:1">
      <c r="A3210" s="5"/>
    </row>
    <row r="3211" spans="1:1">
      <c r="A3211" s="5"/>
    </row>
    <row r="3212" spans="1:1">
      <c r="A3212" s="5"/>
    </row>
    <row r="3213" spans="1:1">
      <c r="A3213" s="5"/>
    </row>
    <row r="3214" spans="1:1">
      <c r="A3214" s="5"/>
    </row>
    <row r="3215" spans="1:1">
      <c r="A3215" s="5"/>
    </row>
    <row r="3216" spans="1:1">
      <c r="A3216" s="5"/>
    </row>
    <row r="3217" spans="1:1">
      <c r="A3217" s="5"/>
    </row>
    <row r="3218" spans="1:1">
      <c r="A3218" s="5"/>
    </row>
    <row r="3219" spans="1:1">
      <c r="A3219" s="5"/>
    </row>
    <row r="3220" spans="1:1">
      <c r="A3220" s="5"/>
    </row>
    <row r="3221" spans="1:1">
      <c r="A3221" s="5"/>
    </row>
    <row r="3222" spans="1:1">
      <c r="A3222" s="5"/>
    </row>
    <row r="3223" spans="1:1">
      <c r="A3223" s="5"/>
    </row>
    <row r="3224" spans="1:1">
      <c r="A3224" s="5"/>
    </row>
    <row r="3225" spans="1:1">
      <c r="A3225" s="5"/>
    </row>
    <row r="3226" spans="1:1">
      <c r="A3226" s="5"/>
    </row>
    <row r="3227" spans="1:1">
      <c r="A3227" s="5"/>
    </row>
    <row r="3228" spans="1:1">
      <c r="A3228" s="5"/>
    </row>
    <row r="3229" spans="1:1">
      <c r="A3229" s="5"/>
    </row>
    <row r="3230" spans="1:1">
      <c r="A3230" s="5"/>
    </row>
    <row r="3231" spans="1:1">
      <c r="A3231" s="5"/>
    </row>
    <row r="3232" spans="1:1">
      <c r="A3232" s="5"/>
    </row>
    <row r="3233" spans="1:1">
      <c r="A3233" s="5"/>
    </row>
    <row r="3234" spans="1:1">
      <c r="A3234" s="5"/>
    </row>
    <row r="3235" spans="1:1">
      <c r="A3235" s="5"/>
    </row>
    <row r="3236" spans="1:1">
      <c r="A3236" s="5"/>
    </row>
    <row r="3237" spans="1:1">
      <c r="A3237" s="5"/>
    </row>
    <row r="3238" spans="1:1">
      <c r="A3238" s="5"/>
    </row>
    <row r="3239" spans="1:1">
      <c r="A3239" s="5"/>
    </row>
    <row r="3240" spans="1:1">
      <c r="A3240" s="5"/>
    </row>
    <row r="3241" spans="1:1">
      <c r="A3241" s="5"/>
    </row>
    <row r="3242" spans="1:1">
      <c r="A3242" s="5"/>
    </row>
    <row r="3243" spans="1:1">
      <c r="A3243" s="5"/>
    </row>
    <row r="3244" spans="1:1">
      <c r="A3244" s="5"/>
    </row>
    <row r="3245" spans="1:1">
      <c r="A3245" s="5"/>
    </row>
    <row r="3246" spans="1:1">
      <c r="A3246" s="5"/>
    </row>
    <row r="3247" spans="1:1">
      <c r="A3247" s="5"/>
    </row>
    <row r="3248" spans="1:1">
      <c r="A3248" s="5"/>
    </row>
    <row r="3249" spans="1:1">
      <c r="A3249" s="5"/>
    </row>
    <row r="3250" spans="1:1">
      <c r="A3250" s="5"/>
    </row>
    <row r="3251" spans="1:1">
      <c r="A3251" s="5"/>
    </row>
    <row r="3252" spans="1:1">
      <c r="A3252" s="5"/>
    </row>
    <row r="3253" spans="1:1">
      <c r="A3253" s="5"/>
    </row>
    <row r="3254" spans="1:1">
      <c r="A3254" s="5"/>
    </row>
    <row r="3255" spans="1:1">
      <c r="A3255" s="5"/>
    </row>
    <row r="3256" spans="1:1">
      <c r="A3256" s="5"/>
    </row>
    <row r="3257" spans="1:1">
      <c r="A3257" s="5"/>
    </row>
    <row r="3258" spans="1:1">
      <c r="A3258" s="5"/>
    </row>
    <row r="3259" spans="1:1">
      <c r="A3259" s="5"/>
    </row>
    <row r="3260" spans="1:1">
      <c r="A3260" s="5"/>
    </row>
    <row r="3261" spans="1:1">
      <c r="A3261" s="5"/>
    </row>
    <row r="3262" spans="1:1">
      <c r="A3262" s="5"/>
    </row>
    <row r="3263" spans="1:1">
      <c r="A3263" s="5"/>
    </row>
    <row r="3264" spans="1:1">
      <c r="A3264" s="5"/>
    </row>
    <row r="3265" spans="1:1">
      <c r="A3265" s="5"/>
    </row>
    <row r="3266" spans="1:1">
      <c r="A3266" s="5"/>
    </row>
    <row r="3267" spans="1:1">
      <c r="A3267" s="5"/>
    </row>
    <row r="3268" spans="1:1">
      <c r="A3268" s="5"/>
    </row>
    <row r="3269" spans="1:1">
      <c r="A3269" s="5"/>
    </row>
    <row r="3270" spans="1:1">
      <c r="A3270" s="5"/>
    </row>
    <row r="3271" spans="1:1">
      <c r="A3271" s="5"/>
    </row>
    <row r="3272" spans="1:1">
      <c r="A3272" s="5"/>
    </row>
    <row r="3273" spans="1:1">
      <c r="A3273" s="5"/>
    </row>
    <row r="3274" spans="1:1">
      <c r="A3274" s="5"/>
    </row>
    <row r="3275" spans="1:1">
      <c r="A3275" s="5"/>
    </row>
    <row r="3276" spans="1:1">
      <c r="A3276" s="5"/>
    </row>
    <row r="3277" spans="1:1">
      <c r="A3277" s="5"/>
    </row>
    <row r="3278" spans="1:1">
      <c r="A3278" s="5"/>
    </row>
    <row r="3279" spans="1:1">
      <c r="A3279" s="5"/>
    </row>
    <row r="3280" spans="1:1">
      <c r="A3280" s="5"/>
    </row>
    <row r="3281" spans="1:1">
      <c r="A3281" s="5"/>
    </row>
    <row r="3282" spans="1:1">
      <c r="A3282" s="5"/>
    </row>
    <row r="3283" spans="1:1">
      <c r="A3283" s="5"/>
    </row>
    <row r="3284" spans="1:1">
      <c r="A3284" s="5"/>
    </row>
    <row r="3285" spans="1:1">
      <c r="A3285" s="5"/>
    </row>
    <row r="3286" spans="1:1">
      <c r="A3286" s="5"/>
    </row>
    <row r="3287" spans="1:1">
      <c r="A3287" s="5"/>
    </row>
    <row r="3288" spans="1:1">
      <c r="A3288" s="5"/>
    </row>
    <row r="3289" spans="1:1">
      <c r="A3289" s="5"/>
    </row>
    <row r="3290" spans="1:1">
      <c r="A3290" s="5"/>
    </row>
    <row r="3291" spans="1:1">
      <c r="A3291" s="5"/>
    </row>
    <row r="3292" spans="1:1">
      <c r="A3292" s="5"/>
    </row>
    <row r="3293" spans="1:1">
      <c r="A3293" s="5"/>
    </row>
    <row r="3294" spans="1:1">
      <c r="A3294" s="5"/>
    </row>
    <row r="3295" spans="1:1">
      <c r="A3295" s="5"/>
    </row>
    <row r="3296" spans="1:1">
      <c r="A3296" s="5"/>
    </row>
    <row r="3297" spans="1:1">
      <c r="A3297" s="5"/>
    </row>
    <row r="3298" spans="1:1">
      <c r="A3298" s="5"/>
    </row>
    <row r="3299" spans="1:1">
      <c r="A3299" s="5"/>
    </row>
    <row r="3300" spans="1:1">
      <c r="A3300" s="5"/>
    </row>
    <row r="3301" spans="1:1">
      <c r="A3301" s="5"/>
    </row>
    <row r="3302" spans="1:1">
      <c r="A3302" s="5"/>
    </row>
    <row r="3303" spans="1:1">
      <c r="A3303" s="5"/>
    </row>
    <row r="3304" spans="1:1">
      <c r="A3304" s="5"/>
    </row>
    <row r="3305" spans="1:1">
      <c r="A3305" s="5"/>
    </row>
    <row r="3306" spans="1:1">
      <c r="A3306" s="5"/>
    </row>
    <row r="3307" spans="1:1">
      <c r="A3307" s="5"/>
    </row>
    <row r="3308" spans="1:1">
      <c r="A3308" s="5"/>
    </row>
    <row r="3309" spans="1:1">
      <c r="A3309" s="5"/>
    </row>
    <row r="3310" spans="1:1">
      <c r="A3310" s="5"/>
    </row>
    <row r="3311" spans="1:1">
      <c r="A3311" s="5"/>
    </row>
    <row r="3312" spans="1:1">
      <c r="A3312" s="5"/>
    </row>
    <row r="3313" spans="1:1">
      <c r="A3313" s="5"/>
    </row>
    <row r="3314" spans="1:1">
      <c r="A3314" s="5"/>
    </row>
    <row r="3315" spans="1:1">
      <c r="A3315" s="5"/>
    </row>
    <row r="3316" spans="1:1">
      <c r="A3316" s="5"/>
    </row>
    <row r="3317" spans="1:1">
      <c r="A3317" s="5"/>
    </row>
    <row r="3318" spans="1:1">
      <c r="A3318" s="5"/>
    </row>
    <row r="3319" spans="1:1">
      <c r="A3319" s="5"/>
    </row>
    <row r="3320" spans="1:1">
      <c r="A3320" s="5"/>
    </row>
    <row r="3321" spans="1:1">
      <c r="A3321" s="5"/>
    </row>
    <row r="3322" spans="1:1">
      <c r="A3322" s="5"/>
    </row>
    <row r="3323" spans="1:1">
      <c r="A3323" s="5"/>
    </row>
    <row r="3324" spans="1:1">
      <c r="A3324" s="5"/>
    </row>
    <row r="3325" spans="1:1">
      <c r="A3325" s="5"/>
    </row>
    <row r="3326" spans="1:1">
      <c r="A3326" s="5"/>
    </row>
    <row r="3327" spans="1:1">
      <c r="A3327" s="5"/>
    </row>
    <row r="3328" spans="1:1">
      <c r="A3328" s="5"/>
    </row>
    <row r="3329" spans="1:1">
      <c r="A3329" s="5"/>
    </row>
    <row r="3330" spans="1:1">
      <c r="A3330" s="5"/>
    </row>
    <row r="3331" spans="1:1">
      <c r="A3331" s="5"/>
    </row>
    <row r="3332" spans="1:1">
      <c r="A3332" s="5"/>
    </row>
    <row r="3333" spans="1:1">
      <c r="A3333" s="5"/>
    </row>
    <row r="3334" spans="1:1">
      <c r="A3334" s="5"/>
    </row>
    <row r="3335" spans="1:1">
      <c r="A3335" s="5"/>
    </row>
    <row r="3336" spans="1:1">
      <c r="A3336" s="5"/>
    </row>
    <row r="3337" spans="1:1">
      <c r="A3337" s="5"/>
    </row>
    <row r="3338" spans="1:1">
      <c r="A3338" s="5"/>
    </row>
    <row r="3339" spans="1:1">
      <c r="A3339" s="5"/>
    </row>
    <row r="3340" spans="1:1">
      <c r="A3340" s="5"/>
    </row>
    <row r="3341" spans="1:1">
      <c r="A3341" s="5"/>
    </row>
    <row r="3342" spans="1:1">
      <c r="A3342" s="5"/>
    </row>
    <row r="3343" spans="1:1">
      <c r="A3343" s="5"/>
    </row>
    <row r="3344" spans="1:1">
      <c r="A3344" s="5"/>
    </row>
    <row r="3345" spans="1:1">
      <c r="A3345" s="5"/>
    </row>
    <row r="3346" spans="1:1">
      <c r="A3346" s="5"/>
    </row>
    <row r="3347" spans="1:1">
      <c r="A3347" s="5"/>
    </row>
    <row r="3348" spans="1:1">
      <c r="A3348" s="5"/>
    </row>
    <row r="3349" spans="1:1">
      <c r="A3349" s="5"/>
    </row>
    <row r="3350" spans="1:1">
      <c r="A3350" s="5"/>
    </row>
    <row r="3351" spans="1:1">
      <c r="A3351" s="5"/>
    </row>
    <row r="3352" spans="1:1">
      <c r="A3352" s="5"/>
    </row>
    <row r="3353" spans="1:1">
      <c r="A3353" s="5"/>
    </row>
    <row r="3354" spans="1:1">
      <c r="A3354" s="5"/>
    </row>
    <row r="3355" spans="1:1">
      <c r="A3355" s="5"/>
    </row>
    <row r="3356" spans="1:1">
      <c r="A3356" s="5"/>
    </row>
    <row r="3357" spans="1:1">
      <c r="A3357" s="5"/>
    </row>
    <row r="3358" spans="1:1">
      <c r="A3358" s="5"/>
    </row>
    <row r="3359" spans="1:1">
      <c r="A3359" s="5"/>
    </row>
    <row r="3360" spans="1:1">
      <c r="A3360" s="5"/>
    </row>
    <row r="3361" spans="1:1">
      <c r="A3361" s="5"/>
    </row>
    <row r="3362" spans="1:1">
      <c r="A3362" s="5"/>
    </row>
    <row r="3363" spans="1:1">
      <c r="A3363" s="5"/>
    </row>
    <row r="3364" spans="1:1">
      <c r="A3364" s="5"/>
    </row>
    <row r="3365" spans="1:1">
      <c r="A3365" s="5"/>
    </row>
    <row r="3366" spans="1:1">
      <c r="A3366" s="5"/>
    </row>
    <row r="3367" spans="1:1">
      <c r="A3367" s="5"/>
    </row>
    <row r="3368" spans="1:1">
      <c r="A3368" s="5"/>
    </row>
    <row r="3369" spans="1:1">
      <c r="A3369" s="5"/>
    </row>
    <row r="3370" spans="1:1">
      <c r="A3370" s="5"/>
    </row>
    <row r="3371" spans="1:1">
      <c r="A3371" s="5"/>
    </row>
    <row r="3372" spans="1:1">
      <c r="A3372" s="5"/>
    </row>
    <row r="3373" spans="1:1">
      <c r="A3373" s="5"/>
    </row>
    <row r="3374" spans="1:1">
      <c r="A3374" s="5"/>
    </row>
    <row r="3375" spans="1:1">
      <c r="A3375" s="5"/>
    </row>
    <row r="3376" spans="1:1">
      <c r="A3376" s="5"/>
    </row>
    <row r="3377" spans="1:1">
      <c r="A3377" s="5"/>
    </row>
    <row r="3378" spans="1:1">
      <c r="A3378" s="5"/>
    </row>
    <row r="3379" spans="1:1">
      <c r="A3379" s="5"/>
    </row>
    <row r="3380" spans="1:1">
      <c r="A3380" s="5"/>
    </row>
    <row r="3381" spans="1:1">
      <c r="A3381" s="5"/>
    </row>
    <row r="3382" spans="1:1">
      <c r="A3382" s="5"/>
    </row>
    <row r="3383" spans="1:1">
      <c r="A3383" s="5"/>
    </row>
    <row r="3384" spans="1:1">
      <c r="A3384" s="5"/>
    </row>
    <row r="3385" spans="1:1">
      <c r="A3385" s="5"/>
    </row>
    <row r="3386" spans="1:1">
      <c r="A3386" s="5"/>
    </row>
    <row r="3387" spans="1:1">
      <c r="A3387" s="5"/>
    </row>
    <row r="3388" spans="1:1">
      <c r="A3388" s="5"/>
    </row>
    <row r="3389" spans="1:1">
      <c r="A3389" s="5"/>
    </row>
    <row r="3390" spans="1:1">
      <c r="A3390" s="5"/>
    </row>
    <row r="3391" spans="1:1">
      <c r="A3391" s="5"/>
    </row>
    <row r="3392" spans="1:1">
      <c r="A3392" s="5"/>
    </row>
    <row r="3393" spans="1:1">
      <c r="A3393" s="5"/>
    </row>
    <row r="3394" spans="1:1">
      <c r="A3394" s="5"/>
    </row>
    <row r="3395" spans="1:1">
      <c r="A3395" s="5"/>
    </row>
    <row r="3396" spans="1:1">
      <c r="A3396" s="5"/>
    </row>
    <row r="3397" spans="1:1">
      <c r="A3397" s="5"/>
    </row>
    <row r="3398" spans="1:1">
      <c r="A3398" s="5"/>
    </row>
    <row r="3399" spans="1:1">
      <c r="A3399" s="5"/>
    </row>
    <row r="3400" spans="1:1">
      <c r="A3400" s="5"/>
    </row>
    <row r="3401" spans="1:1">
      <c r="A3401" s="5"/>
    </row>
    <row r="3402" spans="1:1">
      <c r="A3402" s="5"/>
    </row>
    <row r="3403" spans="1:1">
      <c r="A3403" s="5"/>
    </row>
    <row r="3404" spans="1:1">
      <c r="A3404" s="5"/>
    </row>
    <row r="3405" spans="1:1">
      <c r="A3405" s="5"/>
    </row>
    <row r="3406" spans="1:1">
      <c r="A3406" s="5"/>
    </row>
    <row r="3407" spans="1:1">
      <c r="A3407" s="5"/>
    </row>
    <row r="3408" spans="1:1">
      <c r="A3408" s="5"/>
    </row>
    <row r="3409" spans="1:1">
      <c r="A3409" s="5"/>
    </row>
    <row r="3410" spans="1:1">
      <c r="A3410" s="5"/>
    </row>
    <row r="3411" spans="1:1">
      <c r="A3411" s="5"/>
    </row>
    <row r="3412" spans="1:1">
      <c r="A3412" s="5"/>
    </row>
    <row r="3413" spans="1:1">
      <c r="A3413" s="5"/>
    </row>
    <row r="3414" spans="1:1">
      <c r="A3414" s="5"/>
    </row>
    <row r="3415" spans="1:1">
      <c r="A3415" s="5"/>
    </row>
    <row r="3416" spans="1:1">
      <c r="A3416" s="5"/>
    </row>
    <row r="3417" spans="1:1">
      <c r="A3417" s="5"/>
    </row>
    <row r="3418" spans="1:1">
      <c r="A3418" s="5"/>
    </row>
    <row r="3419" spans="1:1">
      <c r="A3419" s="5"/>
    </row>
    <row r="3420" spans="1:1">
      <c r="A3420" s="5"/>
    </row>
    <row r="3421" spans="1:1">
      <c r="A3421" s="5"/>
    </row>
    <row r="3422" spans="1:1">
      <c r="A3422" s="5"/>
    </row>
    <row r="3423" spans="1:1">
      <c r="A3423" s="5"/>
    </row>
    <row r="3424" spans="1:1">
      <c r="A3424" s="5"/>
    </row>
    <row r="3425" spans="1:1">
      <c r="A3425" s="5"/>
    </row>
    <row r="3426" spans="1:1">
      <c r="A3426" s="5"/>
    </row>
    <row r="3427" spans="1:1">
      <c r="A3427" s="5"/>
    </row>
    <row r="3428" spans="1:1">
      <c r="A3428" s="5"/>
    </row>
    <row r="3429" spans="1:1">
      <c r="A3429" s="5"/>
    </row>
    <row r="3430" spans="1:1">
      <c r="A3430" s="5"/>
    </row>
    <row r="3431" spans="1:1">
      <c r="A3431" s="5"/>
    </row>
    <row r="3432" spans="1:1">
      <c r="A3432" s="5"/>
    </row>
    <row r="3433" spans="1:1">
      <c r="A3433" s="5"/>
    </row>
    <row r="3434" spans="1:1">
      <c r="A3434" s="5"/>
    </row>
    <row r="3435" spans="1:1">
      <c r="A3435" s="5"/>
    </row>
    <row r="3436" spans="1:1">
      <c r="A3436" s="5"/>
    </row>
    <row r="3437" spans="1:1">
      <c r="A3437" s="5"/>
    </row>
    <row r="3438" spans="1:1">
      <c r="A3438" s="5"/>
    </row>
    <row r="3439" spans="1:1">
      <c r="A3439" s="5"/>
    </row>
    <row r="3440" spans="1:1">
      <c r="A3440" s="5"/>
    </row>
    <row r="3441" spans="1:1">
      <c r="A3441" s="5"/>
    </row>
    <row r="3442" spans="1:1">
      <c r="A3442" s="5"/>
    </row>
    <row r="3443" spans="1:1">
      <c r="A3443" s="5"/>
    </row>
    <row r="3444" spans="1:1">
      <c r="A3444" s="5"/>
    </row>
    <row r="3445" spans="1:1">
      <c r="A3445" s="5"/>
    </row>
    <row r="3446" spans="1:1">
      <c r="A3446" s="5"/>
    </row>
    <row r="3447" spans="1:1">
      <c r="A3447" s="5"/>
    </row>
    <row r="3448" spans="1:1">
      <c r="A3448" s="5"/>
    </row>
    <row r="3449" spans="1:1">
      <c r="A3449" s="5"/>
    </row>
    <row r="3450" spans="1:1">
      <c r="A3450" s="5"/>
    </row>
    <row r="3451" spans="1:1">
      <c r="A3451" s="5"/>
    </row>
    <row r="3452" spans="1:1">
      <c r="A3452" s="5"/>
    </row>
    <row r="3453" spans="1:1">
      <c r="A3453" s="5"/>
    </row>
    <row r="3454" spans="1:1">
      <c r="A3454" s="5"/>
    </row>
    <row r="3455" spans="1:1">
      <c r="A3455" s="5"/>
    </row>
    <row r="3456" spans="1:1">
      <c r="A3456" s="5"/>
    </row>
    <row r="3457" spans="1:1">
      <c r="A3457" s="5"/>
    </row>
    <row r="3458" spans="1:1">
      <c r="A3458" s="5"/>
    </row>
    <row r="3459" spans="1:1">
      <c r="A3459" s="5"/>
    </row>
    <row r="3460" spans="1:1">
      <c r="A3460" s="5"/>
    </row>
    <row r="3461" spans="1:1">
      <c r="A3461" s="5"/>
    </row>
    <row r="3462" spans="1:1">
      <c r="A3462" s="5"/>
    </row>
    <row r="3463" spans="1:1">
      <c r="A3463" s="5"/>
    </row>
    <row r="3464" spans="1:1">
      <c r="A3464" s="5"/>
    </row>
    <row r="3465" spans="1:1">
      <c r="A3465" s="5"/>
    </row>
    <row r="3466" spans="1:1">
      <c r="A3466" s="5"/>
    </row>
    <row r="3467" spans="1:1">
      <c r="A3467" s="5"/>
    </row>
    <row r="3468" spans="1:1">
      <c r="A3468" s="5"/>
    </row>
    <row r="3469" spans="1:1">
      <c r="A3469" s="5"/>
    </row>
    <row r="3470" spans="1:1">
      <c r="A3470" s="5"/>
    </row>
    <row r="3471" spans="1:1">
      <c r="A3471" s="5"/>
    </row>
    <row r="3472" spans="1:1">
      <c r="A3472" s="5"/>
    </row>
    <row r="3473" spans="1:1">
      <c r="A3473" s="5"/>
    </row>
    <row r="3474" spans="1:1">
      <c r="A3474" s="5"/>
    </row>
    <row r="3475" spans="1:1">
      <c r="A3475" s="5"/>
    </row>
    <row r="3476" spans="1:1">
      <c r="A3476" s="5"/>
    </row>
    <row r="3477" spans="1:1">
      <c r="A3477" s="5"/>
    </row>
    <row r="3478" spans="1:1">
      <c r="A3478" s="5"/>
    </row>
    <row r="3479" spans="1:1">
      <c r="A3479" s="5"/>
    </row>
    <row r="3480" spans="1:1">
      <c r="A3480" s="5"/>
    </row>
    <row r="3481" spans="1:1">
      <c r="A3481" s="5"/>
    </row>
    <row r="3482" spans="1:1">
      <c r="A3482" s="5"/>
    </row>
    <row r="3483" spans="1:1">
      <c r="A3483" s="5"/>
    </row>
    <row r="3484" spans="1:1">
      <c r="A3484" s="5"/>
    </row>
    <row r="3485" spans="1:1">
      <c r="A3485" s="5"/>
    </row>
    <row r="3486" spans="1:1">
      <c r="A3486" s="5"/>
    </row>
    <row r="3487" spans="1:1">
      <c r="A3487" s="5"/>
    </row>
    <row r="3488" spans="1:1">
      <c r="A3488" s="5"/>
    </row>
    <row r="3489" spans="1:1">
      <c r="A3489" s="5"/>
    </row>
    <row r="3490" spans="1:1">
      <c r="A3490" s="5"/>
    </row>
    <row r="3491" spans="1:1">
      <c r="A3491" s="5"/>
    </row>
    <row r="3492" spans="1:1">
      <c r="A3492" s="5"/>
    </row>
    <row r="3493" spans="1:1">
      <c r="A3493" s="5"/>
    </row>
    <row r="3494" spans="1:1">
      <c r="A3494" s="5"/>
    </row>
    <row r="3495" spans="1:1">
      <c r="A3495" s="5"/>
    </row>
    <row r="3496" spans="1:1">
      <c r="A3496" s="5"/>
    </row>
    <row r="3497" spans="1:1">
      <c r="A3497" s="5"/>
    </row>
    <row r="3498" spans="1:1">
      <c r="A3498" s="5"/>
    </row>
    <row r="3499" spans="1:1">
      <c r="A3499" s="5"/>
    </row>
    <row r="3500" spans="1:1">
      <c r="A3500" s="5"/>
    </row>
    <row r="3501" spans="1:1">
      <c r="A3501" s="5"/>
    </row>
    <row r="3502" spans="1:1">
      <c r="A3502" s="5"/>
    </row>
    <row r="3503" spans="1:1">
      <c r="A3503" s="5"/>
    </row>
    <row r="3504" spans="1:1">
      <c r="A3504" s="5"/>
    </row>
    <row r="3505" spans="1:1">
      <c r="A3505" s="5"/>
    </row>
    <row r="3506" spans="1:1">
      <c r="A3506" s="5"/>
    </row>
    <row r="3507" spans="1:1">
      <c r="A3507" s="5"/>
    </row>
    <row r="3508" spans="1:1">
      <c r="A3508" s="5"/>
    </row>
    <row r="3509" spans="1:1">
      <c r="A3509" s="5"/>
    </row>
    <row r="3510" spans="1:1">
      <c r="A3510" s="5"/>
    </row>
    <row r="3511" spans="1:1">
      <c r="A3511" s="5"/>
    </row>
    <row r="3512" spans="1:1">
      <c r="A3512" s="5"/>
    </row>
    <row r="3513" spans="1:1">
      <c r="A3513" s="5"/>
    </row>
    <row r="3514" spans="1:1">
      <c r="A3514" s="5"/>
    </row>
    <row r="3515" spans="1:1">
      <c r="A3515" s="5"/>
    </row>
    <row r="3516" spans="1:1">
      <c r="A3516" s="5"/>
    </row>
    <row r="3517" spans="1:1">
      <c r="A3517" s="5"/>
    </row>
    <row r="3518" spans="1:1">
      <c r="A3518" s="5"/>
    </row>
    <row r="3519" spans="1:1">
      <c r="A3519" s="5"/>
    </row>
    <row r="3520" spans="1:1">
      <c r="A3520" s="5"/>
    </row>
    <row r="3521" spans="1:1">
      <c r="A3521" s="5"/>
    </row>
    <row r="3522" spans="1:1">
      <c r="A3522" s="5"/>
    </row>
    <row r="3523" spans="1:1">
      <c r="A3523" s="5"/>
    </row>
    <row r="3524" spans="1:1">
      <c r="A3524" s="5"/>
    </row>
    <row r="3525" spans="1:1">
      <c r="A3525" s="5"/>
    </row>
    <row r="3526" spans="1:1">
      <c r="A3526" s="5"/>
    </row>
    <row r="3527" spans="1:1">
      <c r="A3527" s="5"/>
    </row>
    <row r="3528" spans="1:1">
      <c r="A3528" s="5"/>
    </row>
    <row r="3529" spans="1:1">
      <c r="A3529" s="5"/>
    </row>
    <row r="3530" spans="1:1">
      <c r="A3530" s="5"/>
    </row>
    <row r="3531" spans="1:1">
      <c r="A3531" s="5"/>
    </row>
    <row r="3532" spans="1:1">
      <c r="A3532" s="5"/>
    </row>
    <row r="3533" spans="1:1">
      <c r="A3533" s="5"/>
    </row>
    <row r="3534" spans="1:1">
      <c r="A3534" s="5"/>
    </row>
    <row r="3535" spans="1:1">
      <c r="A3535" s="5"/>
    </row>
    <row r="3536" spans="1:1">
      <c r="A3536" s="5"/>
    </row>
    <row r="3537" spans="1:1">
      <c r="A3537" s="5"/>
    </row>
    <row r="3538" spans="1:1">
      <c r="A3538" s="5"/>
    </row>
    <row r="3539" spans="1:1">
      <c r="A3539" s="5"/>
    </row>
    <row r="3540" spans="1:1">
      <c r="A3540" s="5"/>
    </row>
    <row r="3541" spans="1:1">
      <c r="A3541" s="5"/>
    </row>
    <row r="3542" spans="1:1">
      <c r="A3542" s="5"/>
    </row>
    <row r="3543" spans="1:1">
      <c r="A3543" s="5"/>
    </row>
    <row r="3544" spans="1:1">
      <c r="A3544" s="5"/>
    </row>
    <row r="3545" spans="1:1">
      <c r="A3545" s="5"/>
    </row>
    <row r="3546" spans="1:1">
      <c r="A3546" s="5"/>
    </row>
    <row r="3547" spans="1:1">
      <c r="A3547" s="5"/>
    </row>
    <row r="3548" spans="1:1">
      <c r="A3548" s="5"/>
    </row>
    <row r="3549" spans="1:1">
      <c r="A3549" s="5"/>
    </row>
    <row r="3550" spans="1:1">
      <c r="A3550" s="5"/>
    </row>
    <row r="3551" spans="1:1">
      <c r="A3551" s="5"/>
    </row>
    <row r="3552" spans="1:1">
      <c r="A3552" s="5"/>
    </row>
    <row r="3553" spans="1:1">
      <c r="A3553" s="5"/>
    </row>
    <row r="3554" spans="1:1">
      <c r="A3554" s="5"/>
    </row>
    <row r="3555" spans="1:1">
      <c r="A3555" s="5"/>
    </row>
    <row r="3556" spans="1:1">
      <c r="A3556" s="5"/>
    </row>
    <row r="3557" spans="1:1">
      <c r="A3557" s="5"/>
    </row>
    <row r="3558" spans="1:1">
      <c r="A3558" s="5"/>
    </row>
    <row r="3559" spans="1:1">
      <c r="A3559" s="5"/>
    </row>
    <row r="3560" spans="1:1">
      <c r="A3560" s="5"/>
    </row>
    <row r="3561" spans="1:1">
      <c r="A3561" s="5"/>
    </row>
    <row r="3562" spans="1:1">
      <c r="A3562" s="5"/>
    </row>
    <row r="3563" spans="1:1">
      <c r="A3563" s="5"/>
    </row>
    <row r="3564" spans="1:1">
      <c r="A3564" s="5"/>
    </row>
    <row r="3565" spans="1:1">
      <c r="A3565" s="5"/>
    </row>
    <row r="3566" spans="1:1">
      <c r="A3566" s="5"/>
    </row>
    <row r="3567" spans="1:1">
      <c r="A3567" s="5"/>
    </row>
    <row r="3568" spans="1:1">
      <c r="A3568" s="5"/>
    </row>
    <row r="3569" spans="1:1">
      <c r="A3569" s="5"/>
    </row>
    <row r="3570" spans="1:1">
      <c r="A3570" s="5"/>
    </row>
    <row r="3571" spans="1:1">
      <c r="A3571" s="5"/>
    </row>
    <row r="3572" spans="1:1">
      <c r="A3572" s="5"/>
    </row>
    <row r="3573" spans="1:1">
      <c r="A3573" s="5"/>
    </row>
    <row r="3574" spans="1:1">
      <c r="A3574" s="5"/>
    </row>
    <row r="3575" spans="1:1">
      <c r="A3575" s="5"/>
    </row>
    <row r="3576" spans="1:1">
      <c r="A3576" s="5"/>
    </row>
    <row r="3577" spans="1:1">
      <c r="A3577" s="5"/>
    </row>
    <row r="3578" spans="1:1">
      <c r="A3578" s="5"/>
    </row>
    <row r="3579" spans="1:1">
      <c r="A3579" s="5"/>
    </row>
    <row r="3580" spans="1:1">
      <c r="A3580" s="5"/>
    </row>
    <row r="3581" spans="1:1">
      <c r="A3581" s="5"/>
    </row>
    <row r="3582" spans="1:1">
      <c r="A3582" s="5"/>
    </row>
    <row r="3583" spans="1:1">
      <c r="A3583" s="5"/>
    </row>
    <row r="3584" spans="1:1">
      <c r="A3584" s="5"/>
    </row>
    <row r="3585" spans="1:1">
      <c r="A3585" s="5"/>
    </row>
    <row r="3586" spans="1:1">
      <c r="A3586" s="5"/>
    </row>
    <row r="3587" spans="1:1">
      <c r="A3587" s="5"/>
    </row>
    <row r="3588" spans="1:1">
      <c r="A3588" s="5"/>
    </row>
    <row r="3589" spans="1:1">
      <c r="A3589" s="5"/>
    </row>
    <row r="3590" spans="1:1">
      <c r="A3590" s="5"/>
    </row>
    <row r="3591" spans="1:1">
      <c r="A3591" s="5"/>
    </row>
    <row r="3592" spans="1:1">
      <c r="A3592" s="5"/>
    </row>
    <row r="3593" spans="1:1">
      <c r="A3593" s="5"/>
    </row>
    <row r="3594" spans="1:1">
      <c r="A3594" s="5"/>
    </row>
    <row r="3595" spans="1:1">
      <c r="A3595" s="5"/>
    </row>
    <row r="3596" spans="1:1">
      <c r="A3596" s="5"/>
    </row>
    <row r="3597" spans="1:1">
      <c r="A3597" s="5"/>
    </row>
    <row r="3598" spans="1:1">
      <c r="A3598" s="5"/>
    </row>
    <row r="3599" spans="1:1">
      <c r="A3599" s="5"/>
    </row>
    <row r="3600" spans="1:1">
      <c r="A3600" s="5"/>
    </row>
    <row r="3601" spans="1:1">
      <c r="A3601" s="5"/>
    </row>
    <row r="3602" spans="1:1">
      <c r="A3602" s="5"/>
    </row>
    <row r="3603" spans="1:1">
      <c r="A3603" s="5"/>
    </row>
    <row r="3604" spans="1:1">
      <c r="A3604" s="5"/>
    </row>
    <row r="3605" spans="1:1">
      <c r="A3605" s="5"/>
    </row>
    <row r="3606" spans="1:1">
      <c r="A3606" s="5"/>
    </row>
    <row r="3607" spans="1:1">
      <c r="A3607" s="5"/>
    </row>
    <row r="3608" spans="1:1">
      <c r="A3608" s="5"/>
    </row>
    <row r="3609" spans="1:1">
      <c r="A3609" s="5"/>
    </row>
    <row r="3610" spans="1:1">
      <c r="A3610" s="5"/>
    </row>
    <row r="3611" spans="1:1">
      <c r="A3611" s="5"/>
    </row>
    <row r="3612" spans="1:1">
      <c r="A3612" s="5"/>
    </row>
    <row r="3613" spans="1:1">
      <c r="A3613" s="5"/>
    </row>
    <row r="3614" spans="1:1">
      <c r="A3614" s="5"/>
    </row>
    <row r="3615" spans="1:1">
      <c r="A3615" s="5"/>
    </row>
    <row r="3616" spans="1:1">
      <c r="A3616" s="5"/>
    </row>
    <row r="3617" spans="1:1">
      <c r="A3617" s="5"/>
    </row>
    <row r="3618" spans="1:1">
      <c r="A3618" s="5"/>
    </row>
    <row r="3619" spans="1:1">
      <c r="A3619" s="5"/>
    </row>
    <row r="3620" spans="1:1">
      <c r="A3620" s="5"/>
    </row>
    <row r="3621" spans="1:1">
      <c r="A3621" s="5"/>
    </row>
    <row r="3622" spans="1:1">
      <c r="A3622" s="5"/>
    </row>
    <row r="3623" spans="1:1">
      <c r="A3623" s="5"/>
    </row>
    <row r="3624" spans="1:1">
      <c r="A3624" s="5"/>
    </row>
    <row r="3625" spans="1:1">
      <c r="A3625" s="5"/>
    </row>
    <row r="3626" spans="1:1">
      <c r="A3626" s="5"/>
    </row>
    <row r="3627" spans="1:1">
      <c r="A3627" s="5"/>
    </row>
    <row r="3628" spans="1:1">
      <c r="A3628" s="5"/>
    </row>
    <row r="3629" spans="1:1">
      <c r="A3629" s="5"/>
    </row>
    <row r="3630" spans="1:1">
      <c r="A3630" s="5"/>
    </row>
    <row r="3631" spans="1:1">
      <c r="A3631" s="5"/>
    </row>
    <row r="3632" spans="1:1">
      <c r="A3632" s="5"/>
    </row>
    <row r="3633" spans="1:1">
      <c r="A3633" s="5"/>
    </row>
    <row r="3634" spans="1:1">
      <c r="A3634" s="5"/>
    </row>
    <row r="3635" spans="1:1">
      <c r="A3635" s="5"/>
    </row>
    <row r="3636" spans="1:1">
      <c r="A3636" s="5"/>
    </row>
    <row r="3637" spans="1:1">
      <c r="A3637" s="5"/>
    </row>
    <row r="3638" spans="1:1">
      <c r="A3638" s="5"/>
    </row>
    <row r="3639" spans="1:1">
      <c r="A3639" s="5"/>
    </row>
    <row r="3640" spans="1:1">
      <c r="A3640" s="5"/>
    </row>
    <row r="3641" spans="1:1">
      <c r="A3641" s="5"/>
    </row>
    <row r="3642" spans="1:1">
      <c r="A3642" s="5"/>
    </row>
    <row r="3643" spans="1:1">
      <c r="A3643" s="5"/>
    </row>
    <row r="3644" spans="1:1">
      <c r="A3644" s="5"/>
    </row>
    <row r="3645" spans="1:1">
      <c r="A3645" s="5"/>
    </row>
    <row r="3646" spans="1:1">
      <c r="A3646" s="5"/>
    </row>
    <row r="3647" spans="1:1">
      <c r="A3647" s="5"/>
    </row>
    <row r="3648" spans="1:1">
      <c r="A3648" s="5"/>
    </row>
    <row r="3649" spans="1:1">
      <c r="A3649" s="5"/>
    </row>
    <row r="3650" spans="1:1">
      <c r="A3650" s="5"/>
    </row>
    <row r="3651" spans="1:1">
      <c r="A3651" s="5"/>
    </row>
    <row r="3652" spans="1:1">
      <c r="A3652" s="5"/>
    </row>
    <row r="3653" spans="1:1">
      <c r="A3653" s="5"/>
    </row>
    <row r="3654" spans="1:1">
      <c r="A3654" s="5"/>
    </row>
    <row r="3655" spans="1:1">
      <c r="A3655" s="5"/>
    </row>
    <row r="3656" spans="1:1">
      <c r="A3656" s="5"/>
    </row>
    <row r="3657" spans="1:1">
      <c r="A3657" s="5"/>
    </row>
    <row r="3658" spans="1:1">
      <c r="A3658" s="5"/>
    </row>
    <row r="3659" spans="1:1">
      <c r="A3659" s="5"/>
    </row>
    <row r="3660" spans="1:1">
      <c r="A3660" s="5"/>
    </row>
    <row r="3661" spans="1:1">
      <c r="A3661" s="5"/>
    </row>
    <row r="3662" spans="1:1">
      <c r="A3662" s="5"/>
    </row>
    <row r="3663" spans="1:1">
      <c r="A3663" s="5"/>
    </row>
    <row r="3664" spans="1:1">
      <c r="A3664" s="5"/>
    </row>
    <row r="3665" spans="1:1">
      <c r="A3665" s="5"/>
    </row>
    <row r="3666" spans="1:1">
      <c r="A3666" s="5"/>
    </row>
    <row r="3667" spans="1:1">
      <c r="A3667" s="5"/>
    </row>
    <row r="3668" spans="1:1">
      <c r="A3668" s="5"/>
    </row>
    <row r="3669" spans="1:1">
      <c r="A3669" s="5"/>
    </row>
    <row r="3670" spans="1:1">
      <c r="A3670" s="5"/>
    </row>
    <row r="3671" spans="1:1">
      <c r="A3671" s="5"/>
    </row>
    <row r="3672" spans="1:1">
      <c r="A3672" s="5"/>
    </row>
    <row r="3673" spans="1:1">
      <c r="A3673" s="5"/>
    </row>
    <row r="3674" spans="1:1">
      <c r="A3674" s="5"/>
    </row>
    <row r="3675" spans="1:1">
      <c r="A3675" s="5"/>
    </row>
    <row r="3676" spans="1:1">
      <c r="A3676" s="5"/>
    </row>
    <row r="3677" spans="1:1">
      <c r="A3677" s="5"/>
    </row>
    <row r="3678" spans="1:1">
      <c r="A3678" s="5"/>
    </row>
    <row r="3679" spans="1:1">
      <c r="A3679" s="5"/>
    </row>
    <row r="3680" spans="1:1">
      <c r="A3680" s="5"/>
    </row>
    <row r="3681" spans="1:1">
      <c r="A3681" s="5"/>
    </row>
    <row r="3682" spans="1:1">
      <c r="A3682" s="5"/>
    </row>
    <row r="3683" spans="1:1">
      <c r="A3683" s="5"/>
    </row>
    <row r="3684" spans="1:1">
      <c r="A3684" s="5"/>
    </row>
    <row r="3685" spans="1:1">
      <c r="A3685" s="5"/>
    </row>
    <row r="3686" spans="1:1">
      <c r="A3686" s="5"/>
    </row>
    <row r="3687" spans="1:1">
      <c r="A3687" s="5"/>
    </row>
    <row r="3688" spans="1:1">
      <c r="A3688" s="5"/>
    </row>
    <row r="3689" spans="1:1">
      <c r="A3689" s="5"/>
    </row>
    <row r="3690" spans="1:1">
      <c r="A3690" s="5"/>
    </row>
    <row r="3691" spans="1:1">
      <c r="A3691" s="5"/>
    </row>
    <row r="3692" spans="1:1">
      <c r="A3692" s="5"/>
    </row>
    <row r="3693" spans="1:1">
      <c r="A3693" s="5"/>
    </row>
    <row r="3694" spans="1:1">
      <c r="A3694" s="5"/>
    </row>
    <row r="3695" spans="1:1">
      <c r="A3695" s="5"/>
    </row>
    <row r="3696" spans="1:1">
      <c r="A3696" s="5"/>
    </row>
    <row r="3697" spans="1:1">
      <c r="A3697" s="5"/>
    </row>
    <row r="3698" spans="1:1">
      <c r="A3698" s="5"/>
    </row>
    <row r="3699" spans="1:1">
      <c r="A3699" s="5"/>
    </row>
    <row r="3700" spans="1:1">
      <c r="A3700" s="5"/>
    </row>
    <row r="3701" spans="1:1">
      <c r="A3701" s="5"/>
    </row>
    <row r="3702" spans="1:1">
      <c r="A3702" s="5"/>
    </row>
    <row r="3703" spans="1:1">
      <c r="A3703" s="5"/>
    </row>
    <row r="3704" spans="1:1">
      <c r="A3704" s="5"/>
    </row>
    <row r="3705" spans="1:1">
      <c r="A3705" s="5"/>
    </row>
    <row r="3706" spans="1:1">
      <c r="A3706" s="5"/>
    </row>
    <row r="3707" spans="1:1">
      <c r="A3707" s="5"/>
    </row>
    <row r="3708" spans="1:1">
      <c r="A3708" s="5"/>
    </row>
    <row r="3709" spans="1:1">
      <c r="A3709" s="5"/>
    </row>
    <row r="3710" spans="1:1">
      <c r="A3710" s="5"/>
    </row>
    <row r="3711" spans="1:1">
      <c r="A3711" s="5"/>
    </row>
    <row r="3712" spans="1:1">
      <c r="A3712" s="5"/>
    </row>
    <row r="3713" spans="1:1">
      <c r="A3713" s="5"/>
    </row>
    <row r="3714" spans="1:1">
      <c r="A3714" s="5"/>
    </row>
    <row r="3715" spans="1:1">
      <c r="A3715" s="5"/>
    </row>
    <row r="3716" spans="1:1">
      <c r="A3716" s="5"/>
    </row>
    <row r="3717" spans="1:1">
      <c r="A3717" s="5"/>
    </row>
    <row r="3718" spans="1:1">
      <c r="A3718" s="5"/>
    </row>
    <row r="3719" spans="1:1">
      <c r="A3719" s="5"/>
    </row>
    <row r="3720" spans="1:1">
      <c r="A3720" s="5"/>
    </row>
    <row r="3721" spans="1:1">
      <c r="A3721" s="5"/>
    </row>
    <row r="3722" spans="1:1">
      <c r="A3722" s="5"/>
    </row>
    <row r="3723" spans="1:1">
      <c r="A3723" s="5"/>
    </row>
    <row r="3724" spans="1:1">
      <c r="A3724" s="5"/>
    </row>
    <row r="3725" spans="1:1">
      <c r="A3725" s="5"/>
    </row>
    <row r="3726" spans="1:1">
      <c r="A3726" s="5"/>
    </row>
    <row r="3727" spans="1:1">
      <c r="A3727" s="5"/>
    </row>
    <row r="3728" spans="1:1">
      <c r="A3728" s="5"/>
    </row>
    <row r="3729" spans="1:1">
      <c r="A3729" s="5"/>
    </row>
    <row r="3730" spans="1:1">
      <c r="A3730" s="5"/>
    </row>
    <row r="3731" spans="1:1">
      <c r="A3731" s="5"/>
    </row>
    <row r="3732" spans="1:1">
      <c r="A3732" s="5"/>
    </row>
    <row r="3733" spans="1:1">
      <c r="A3733" s="5"/>
    </row>
    <row r="3734" spans="1:1">
      <c r="A3734" s="5"/>
    </row>
    <row r="3735" spans="1:1">
      <c r="A3735" s="5"/>
    </row>
    <row r="3736" spans="1:1">
      <c r="A3736" s="5"/>
    </row>
    <row r="3737" spans="1:1">
      <c r="A3737" s="5"/>
    </row>
    <row r="3738" spans="1:1">
      <c r="A3738" s="5"/>
    </row>
    <row r="3739" spans="1:1">
      <c r="A3739" s="5"/>
    </row>
    <row r="3740" spans="1:1">
      <c r="A3740" s="5"/>
    </row>
    <row r="3741" spans="1:1">
      <c r="A3741" s="5"/>
    </row>
    <row r="3742" spans="1:1">
      <c r="A3742" s="5"/>
    </row>
    <row r="3743" spans="1:1">
      <c r="A3743" s="5"/>
    </row>
    <row r="3744" spans="1:1">
      <c r="A3744" s="5"/>
    </row>
    <row r="3745" spans="1:1">
      <c r="A3745" s="5"/>
    </row>
    <row r="3746" spans="1:1">
      <c r="A3746" s="5"/>
    </row>
    <row r="3747" spans="1:1">
      <c r="A3747" s="5"/>
    </row>
    <row r="3748" spans="1:1">
      <c r="A3748" s="5"/>
    </row>
    <row r="3749" spans="1:1">
      <c r="A3749" s="5"/>
    </row>
    <row r="3750" spans="1:1">
      <c r="A3750" s="5"/>
    </row>
    <row r="3751" spans="1:1">
      <c r="A3751" s="5"/>
    </row>
    <row r="3752" spans="1:1">
      <c r="A3752" s="5"/>
    </row>
    <row r="3753" spans="1:1">
      <c r="A3753" s="5"/>
    </row>
    <row r="3754" spans="1:1">
      <c r="A3754" s="5"/>
    </row>
    <row r="3755" spans="1:1">
      <c r="A3755" s="5"/>
    </row>
    <row r="3756" spans="1:1">
      <c r="A3756" s="5"/>
    </row>
    <row r="3757" spans="1:1">
      <c r="A3757" s="5"/>
    </row>
    <row r="3758" spans="1:1">
      <c r="A3758" s="5"/>
    </row>
    <row r="3759" spans="1:1">
      <c r="A3759" s="5"/>
    </row>
    <row r="3760" spans="1:1">
      <c r="A3760" s="5"/>
    </row>
    <row r="3761" spans="1:1">
      <c r="A3761" s="5"/>
    </row>
    <row r="3762" spans="1:1">
      <c r="A3762" s="5"/>
    </row>
    <row r="3763" spans="1:1">
      <c r="A3763" s="5"/>
    </row>
    <row r="3764" spans="1:1">
      <c r="A3764" s="5"/>
    </row>
    <row r="3765" spans="1:1">
      <c r="A3765" s="5"/>
    </row>
    <row r="3766" spans="1:1">
      <c r="A3766" s="5"/>
    </row>
    <row r="3767" spans="1:1">
      <c r="A3767" s="5"/>
    </row>
    <row r="3768" spans="1:1">
      <c r="A3768" s="5"/>
    </row>
    <row r="3769" spans="1:1">
      <c r="A3769" s="5"/>
    </row>
    <row r="3770" spans="1:1">
      <c r="A3770" s="5"/>
    </row>
    <row r="3771" spans="1:1">
      <c r="A3771" s="5"/>
    </row>
    <row r="3772" spans="1:1">
      <c r="A3772" s="5"/>
    </row>
    <row r="3773" spans="1:1">
      <c r="A3773" s="5"/>
    </row>
    <row r="3774" spans="1:1">
      <c r="A3774" s="5"/>
    </row>
    <row r="3775" spans="1:1">
      <c r="A3775" s="5"/>
    </row>
    <row r="3776" spans="1:1">
      <c r="A3776" s="5"/>
    </row>
    <row r="3777" spans="1:1">
      <c r="A3777" s="5"/>
    </row>
    <row r="3778" spans="1:1">
      <c r="A3778" s="5"/>
    </row>
    <row r="3779" spans="1:1">
      <c r="A3779" s="5"/>
    </row>
    <row r="3780" spans="1:1">
      <c r="A3780" s="5"/>
    </row>
    <row r="3781" spans="1:1">
      <c r="A3781" s="5"/>
    </row>
    <row r="3782" spans="1:1">
      <c r="A3782" s="5"/>
    </row>
    <row r="3783" spans="1:1">
      <c r="A3783" s="5"/>
    </row>
    <row r="3784" spans="1:1">
      <c r="A3784" s="5"/>
    </row>
    <row r="3785" spans="1:1">
      <c r="A3785" s="5"/>
    </row>
    <row r="3786" spans="1:1">
      <c r="A3786" s="5"/>
    </row>
    <row r="3787" spans="1:1">
      <c r="A3787" s="5"/>
    </row>
    <row r="3788" spans="1:1">
      <c r="A3788" s="5"/>
    </row>
    <row r="3789" spans="1:1">
      <c r="A3789" s="5"/>
    </row>
    <row r="3790" spans="1:1">
      <c r="A3790" s="5"/>
    </row>
    <row r="3791" spans="1:1">
      <c r="A3791" s="5"/>
    </row>
    <row r="3792" spans="1:1">
      <c r="A3792" s="5"/>
    </row>
    <row r="3793" spans="1:1">
      <c r="A3793" s="5"/>
    </row>
    <row r="3794" spans="1:1">
      <c r="A3794" s="5"/>
    </row>
    <row r="3795" spans="1:1">
      <c r="A3795" s="5"/>
    </row>
    <row r="3796" spans="1:1">
      <c r="A3796" s="5"/>
    </row>
    <row r="3797" spans="1:1">
      <c r="A3797" s="5"/>
    </row>
    <row r="3798" spans="1:1">
      <c r="A3798" s="5"/>
    </row>
    <row r="3799" spans="1:1">
      <c r="A3799" s="5"/>
    </row>
    <row r="3800" spans="1:1">
      <c r="A3800" s="5"/>
    </row>
    <row r="3801" spans="1:1">
      <c r="A3801" s="5"/>
    </row>
    <row r="3802" spans="1:1">
      <c r="A3802" s="5"/>
    </row>
    <row r="3803" spans="1:1">
      <c r="A3803" s="5"/>
    </row>
    <row r="3804" spans="1:1">
      <c r="A3804" s="5"/>
    </row>
    <row r="3805" spans="1:1">
      <c r="A3805" s="5"/>
    </row>
    <row r="3806" spans="1:1">
      <c r="A3806" s="5"/>
    </row>
    <row r="3807" spans="1:1">
      <c r="A3807" s="5"/>
    </row>
    <row r="3808" spans="1:1">
      <c r="A3808" s="5"/>
    </row>
    <row r="3809" spans="1:1">
      <c r="A3809" s="5"/>
    </row>
    <row r="3810" spans="1:1">
      <c r="A3810" s="5"/>
    </row>
    <row r="3811" spans="1:1">
      <c r="A3811" s="5"/>
    </row>
    <row r="3812" spans="1:1">
      <c r="A3812" s="5"/>
    </row>
    <row r="3813" spans="1:1">
      <c r="A3813" s="5"/>
    </row>
    <row r="3814" spans="1:1">
      <c r="A3814" s="5"/>
    </row>
    <row r="3815" spans="1:1">
      <c r="A3815" s="5"/>
    </row>
    <row r="3816" spans="1:1">
      <c r="A3816" s="5"/>
    </row>
    <row r="3817" spans="1:1">
      <c r="A3817" s="5"/>
    </row>
    <row r="3818" spans="1:1">
      <c r="A3818" s="5"/>
    </row>
    <row r="3819" spans="1:1">
      <c r="A3819" s="5"/>
    </row>
    <row r="3820" spans="1:1">
      <c r="A3820" s="5"/>
    </row>
    <row r="3821" spans="1:1">
      <c r="A3821" s="5"/>
    </row>
    <row r="3822" spans="1:1">
      <c r="A3822" s="5"/>
    </row>
    <row r="3823" spans="1:1">
      <c r="A3823" s="5"/>
    </row>
    <row r="3824" spans="1:1">
      <c r="A3824" s="5"/>
    </row>
    <row r="3825" spans="1:1">
      <c r="A3825" s="5"/>
    </row>
    <row r="3826" spans="1:1">
      <c r="A3826" s="5"/>
    </row>
    <row r="3827" spans="1:1">
      <c r="A3827" s="5"/>
    </row>
    <row r="3828" spans="1:1">
      <c r="A3828" s="5"/>
    </row>
    <row r="3829" spans="1:1">
      <c r="A3829" s="5"/>
    </row>
    <row r="3830" spans="1:1">
      <c r="A3830" s="5"/>
    </row>
    <row r="3831" spans="1:1">
      <c r="A3831" s="5"/>
    </row>
    <row r="3832" spans="1:1">
      <c r="A3832" s="5"/>
    </row>
    <row r="3833" spans="1:1">
      <c r="A3833" s="5"/>
    </row>
    <row r="3834" spans="1:1">
      <c r="A3834" s="5"/>
    </row>
    <row r="3835" spans="1:1">
      <c r="A3835" s="5"/>
    </row>
    <row r="3836" spans="1:1">
      <c r="A3836" s="5"/>
    </row>
    <row r="3837" spans="1:1">
      <c r="A3837" s="5"/>
    </row>
    <row r="3838" spans="1:1">
      <c r="A3838" s="5"/>
    </row>
    <row r="3839" spans="1:1">
      <c r="A3839" s="5"/>
    </row>
    <row r="3840" spans="1:1">
      <c r="A3840" s="5"/>
    </row>
    <row r="3841" spans="1:1">
      <c r="A3841" s="5"/>
    </row>
    <row r="3842" spans="1:1">
      <c r="A3842" s="5"/>
    </row>
    <row r="3843" spans="1:1">
      <c r="A3843" s="5"/>
    </row>
    <row r="3844" spans="1:1">
      <c r="A3844" s="5"/>
    </row>
    <row r="3845" spans="1:1">
      <c r="A3845" s="5"/>
    </row>
    <row r="3846" spans="1:1">
      <c r="A3846" s="5"/>
    </row>
    <row r="3847" spans="1:1">
      <c r="A3847" s="5"/>
    </row>
    <row r="3848" spans="1:1">
      <c r="A3848" s="5"/>
    </row>
    <row r="3849" spans="1:1">
      <c r="A3849" s="5"/>
    </row>
    <row r="3850" spans="1:1">
      <c r="A3850" s="5"/>
    </row>
    <row r="3851" spans="1:1">
      <c r="A3851" s="5"/>
    </row>
    <row r="3852" spans="1:1">
      <c r="A3852" s="5"/>
    </row>
    <row r="3853" spans="1:1">
      <c r="A3853" s="5"/>
    </row>
    <row r="3854" spans="1:1">
      <c r="A3854" s="5"/>
    </row>
    <row r="3855" spans="1:1">
      <c r="A3855" s="5"/>
    </row>
    <row r="3856" spans="1:1">
      <c r="A3856" s="5"/>
    </row>
    <row r="3857" spans="1:1">
      <c r="A3857" s="5"/>
    </row>
    <row r="3858" spans="1:1">
      <c r="A3858" s="5"/>
    </row>
    <row r="3859" spans="1:1">
      <c r="A3859" s="5"/>
    </row>
    <row r="3860" spans="1:1">
      <c r="A3860" s="5"/>
    </row>
    <row r="3861" spans="1:1">
      <c r="A3861" s="5"/>
    </row>
    <row r="3862" spans="1:1">
      <c r="A3862" s="5"/>
    </row>
    <row r="3863" spans="1:1">
      <c r="A3863" s="5"/>
    </row>
    <row r="3864" spans="1:1">
      <c r="A3864" s="5"/>
    </row>
    <row r="3865" spans="1:1">
      <c r="A3865" s="5"/>
    </row>
    <row r="3866" spans="1:1">
      <c r="A3866" s="5"/>
    </row>
    <row r="3867" spans="1:1">
      <c r="A3867" s="5"/>
    </row>
    <row r="3868" spans="1:1">
      <c r="A3868" s="5"/>
    </row>
    <row r="3869" spans="1:1">
      <c r="A3869" s="5"/>
    </row>
    <row r="3870" spans="1:1">
      <c r="A3870" s="5"/>
    </row>
    <row r="3871" spans="1:1">
      <c r="A3871" s="5"/>
    </row>
    <row r="3872" spans="1:1">
      <c r="A3872" s="5"/>
    </row>
    <row r="3873" spans="1:1">
      <c r="A3873" s="5"/>
    </row>
    <row r="3874" spans="1:1">
      <c r="A3874" s="5"/>
    </row>
    <row r="3875" spans="1:1">
      <c r="A3875" s="5"/>
    </row>
    <row r="3876" spans="1:1">
      <c r="A3876" s="5"/>
    </row>
    <row r="3877" spans="1:1">
      <c r="A3877" s="5"/>
    </row>
    <row r="3878" spans="1:1">
      <c r="A3878" s="5"/>
    </row>
    <row r="3879" spans="1:1">
      <c r="A3879" s="5"/>
    </row>
    <row r="3880" spans="1:1">
      <c r="A3880" s="5"/>
    </row>
    <row r="3881" spans="1:1">
      <c r="A3881" s="5"/>
    </row>
    <row r="3882" spans="1:1">
      <c r="A3882" s="5"/>
    </row>
    <row r="3883" spans="1:1">
      <c r="A3883" s="5"/>
    </row>
    <row r="3884" spans="1:1">
      <c r="A3884" s="5"/>
    </row>
    <row r="3885" spans="1:1">
      <c r="A3885" s="5"/>
    </row>
    <row r="3886" spans="1:1">
      <c r="A3886" s="5"/>
    </row>
    <row r="3887" spans="1:1">
      <c r="A3887" s="5"/>
    </row>
    <row r="3888" spans="1:1">
      <c r="A3888" s="5"/>
    </row>
    <row r="3889" spans="1:1">
      <c r="A3889" s="5"/>
    </row>
    <row r="3890" spans="1:1">
      <c r="A3890" s="5"/>
    </row>
    <row r="3891" spans="1:1">
      <c r="A3891" s="5"/>
    </row>
    <row r="3892" spans="1:1">
      <c r="A3892" s="5"/>
    </row>
    <row r="3893" spans="1:1">
      <c r="A3893" s="5"/>
    </row>
    <row r="3894" spans="1:1">
      <c r="A3894" s="5"/>
    </row>
    <row r="3895" spans="1:1">
      <c r="A3895" s="5"/>
    </row>
    <row r="3896" spans="1:1">
      <c r="A3896" s="5"/>
    </row>
    <row r="3897" spans="1:1">
      <c r="A3897" s="5"/>
    </row>
    <row r="3898" spans="1:1">
      <c r="A3898" s="5"/>
    </row>
    <row r="3899" spans="1:1">
      <c r="A3899" s="5"/>
    </row>
    <row r="3900" spans="1:1">
      <c r="A3900" s="5"/>
    </row>
    <row r="3901" spans="1:1">
      <c r="A3901" s="5"/>
    </row>
    <row r="3902" spans="1:1">
      <c r="A3902" s="5"/>
    </row>
    <row r="3903" spans="1:1">
      <c r="A3903" s="5"/>
    </row>
    <row r="3904" spans="1:1">
      <c r="A3904" s="5"/>
    </row>
    <row r="3905" spans="1:1">
      <c r="A3905" s="5"/>
    </row>
    <row r="3906" spans="1:1">
      <c r="A3906" s="5"/>
    </row>
    <row r="3907" spans="1:1">
      <c r="A3907" s="5"/>
    </row>
    <row r="3908" spans="1:1">
      <c r="A3908" s="5"/>
    </row>
    <row r="3909" spans="1:1">
      <c r="A3909" s="5"/>
    </row>
    <row r="3910" spans="1:1">
      <c r="A3910" s="5"/>
    </row>
    <row r="3911" spans="1:1">
      <c r="A3911" s="5"/>
    </row>
    <row r="3912" spans="1:1">
      <c r="A3912" s="5"/>
    </row>
    <row r="3913" spans="1:1">
      <c r="A3913" s="5"/>
    </row>
    <row r="3914" spans="1:1">
      <c r="A3914" s="5"/>
    </row>
    <row r="3915" spans="1:1">
      <c r="A3915" s="5"/>
    </row>
    <row r="3916" spans="1:1">
      <c r="A3916" s="5"/>
    </row>
    <row r="3917" spans="1:1">
      <c r="A3917" s="5"/>
    </row>
    <row r="3918" spans="1:1">
      <c r="A3918" s="5"/>
    </row>
    <row r="3919" spans="1:1">
      <c r="A3919" s="5"/>
    </row>
    <row r="3920" spans="1:1">
      <c r="A3920" s="5"/>
    </row>
    <row r="3921" spans="1:1">
      <c r="A3921" s="5"/>
    </row>
    <row r="3922" spans="1:1">
      <c r="A3922" s="5"/>
    </row>
    <row r="3923" spans="1:1">
      <c r="A3923" s="5"/>
    </row>
    <row r="3924" spans="1:1">
      <c r="A3924" s="5"/>
    </row>
    <row r="3925" spans="1:1">
      <c r="A3925" s="5"/>
    </row>
    <row r="3926" spans="1:1">
      <c r="A3926" s="5"/>
    </row>
    <row r="3927" spans="1:1">
      <c r="A3927" s="5"/>
    </row>
    <row r="3928" spans="1:1">
      <c r="A3928" s="5"/>
    </row>
    <row r="3929" spans="1:1">
      <c r="A3929" s="5"/>
    </row>
    <row r="3930" spans="1:1">
      <c r="A3930" s="5"/>
    </row>
    <row r="3931" spans="1:1">
      <c r="A3931" s="5"/>
    </row>
    <row r="3932" spans="1:1">
      <c r="A3932" s="5"/>
    </row>
    <row r="3933" spans="1:1">
      <c r="A3933" s="5"/>
    </row>
    <row r="3934" spans="1:1">
      <c r="A3934" s="5"/>
    </row>
    <row r="3935" spans="1:1">
      <c r="A3935" s="5"/>
    </row>
    <row r="3936" spans="1:1">
      <c r="A3936" s="5"/>
    </row>
    <row r="3937" spans="1:1">
      <c r="A3937" s="5"/>
    </row>
    <row r="3938" spans="1:1">
      <c r="A3938" s="5"/>
    </row>
    <row r="3939" spans="1:1">
      <c r="A3939" s="5"/>
    </row>
    <row r="3940" spans="1:1">
      <c r="A3940" s="5"/>
    </row>
    <row r="3941" spans="1:1">
      <c r="A3941" s="5"/>
    </row>
    <row r="3942" spans="1:1">
      <c r="A3942" s="5"/>
    </row>
    <row r="3943" spans="1:1">
      <c r="A3943" s="5"/>
    </row>
    <row r="3944" spans="1:1">
      <c r="A3944" s="5"/>
    </row>
    <row r="3945" spans="1:1">
      <c r="A3945" s="5"/>
    </row>
    <row r="3946" spans="1:1">
      <c r="A3946" s="5"/>
    </row>
    <row r="3947" spans="1:1">
      <c r="A3947" s="5"/>
    </row>
    <row r="3948" spans="1:1">
      <c r="A3948" s="5"/>
    </row>
    <row r="3949" spans="1:1">
      <c r="A3949" s="5"/>
    </row>
    <row r="3950" spans="1:1">
      <c r="A3950" s="5"/>
    </row>
    <row r="3951" spans="1:1">
      <c r="A3951" s="5"/>
    </row>
    <row r="3952" spans="1:1">
      <c r="A3952" s="5"/>
    </row>
    <row r="3953" spans="1:1">
      <c r="A3953" s="5"/>
    </row>
    <row r="3954" spans="1:1">
      <c r="A3954" s="5"/>
    </row>
    <row r="3955" spans="1:1">
      <c r="A3955" s="5"/>
    </row>
    <row r="3956" spans="1:1">
      <c r="A3956" s="5"/>
    </row>
    <row r="3957" spans="1:1">
      <c r="A3957" s="5"/>
    </row>
    <row r="3958" spans="1:1">
      <c r="A3958" s="5"/>
    </row>
    <row r="3959" spans="1:1">
      <c r="A3959" s="5"/>
    </row>
    <row r="3960" spans="1:1">
      <c r="A3960" s="5"/>
    </row>
    <row r="3961" spans="1:1">
      <c r="A3961" s="5"/>
    </row>
    <row r="3962" spans="1:1">
      <c r="A3962" s="5"/>
    </row>
    <row r="3963" spans="1:1">
      <c r="A3963" s="5"/>
    </row>
    <row r="3964" spans="1:1">
      <c r="A3964" s="5"/>
    </row>
    <row r="3965" spans="1:1">
      <c r="A3965" s="5"/>
    </row>
    <row r="3966" spans="1:1">
      <c r="A3966" s="5"/>
    </row>
    <row r="3967" spans="1:1">
      <c r="A3967" s="5"/>
    </row>
    <row r="3968" spans="1:1">
      <c r="A3968" s="5"/>
    </row>
    <row r="3969" spans="1:1">
      <c r="A3969" s="5"/>
    </row>
    <row r="3970" spans="1:1">
      <c r="A3970" s="5"/>
    </row>
    <row r="3971" spans="1:1">
      <c r="A3971" s="5"/>
    </row>
    <row r="3972" spans="1:1">
      <c r="A3972" s="5"/>
    </row>
    <row r="3973" spans="1:1">
      <c r="A3973" s="5"/>
    </row>
    <row r="3974" spans="1:1">
      <c r="A3974" s="5"/>
    </row>
    <row r="3975" spans="1:1">
      <c r="A3975" s="5"/>
    </row>
    <row r="3976" spans="1:1">
      <c r="A3976" s="5"/>
    </row>
    <row r="3977" spans="1:1">
      <c r="A3977" s="5"/>
    </row>
    <row r="3978" spans="1:1">
      <c r="A3978" s="5"/>
    </row>
    <row r="3979" spans="1:1">
      <c r="A3979" s="5"/>
    </row>
    <row r="3980" spans="1:1">
      <c r="A3980" s="5"/>
    </row>
    <row r="3981" spans="1:1">
      <c r="A3981" s="5"/>
    </row>
    <row r="3982" spans="1:1">
      <c r="A3982" s="5"/>
    </row>
    <row r="3983" spans="1:1">
      <c r="A3983" s="5"/>
    </row>
    <row r="3984" spans="1:1">
      <c r="A3984" s="5"/>
    </row>
    <row r="3985" spans="1:1">
      <c r="A3985" s="5"/>
    </row>
    <row r="3986" spans="1:1">
      <c r="A3986" s="5"/>
    </row>
    <row r="3987" spans="1:1">
      <c r="A3987" s="5"/>
    </row>
    <row r="3988" spans="1:1">
      <c r="A3988" s="5"/>
    </row>
    <row r="3989" spans="1:1">
      <c r="A3989" s="5"/>
    </row>
    <row r="3990" spans="1:1">
      <c r="A3990" s="5"/>
    </row>
    <row r="3991" spans="1:1">
      <c r="A3991" s="5"/>
    </row>
    <row r="3992" spans="1:1">
      <c r="A3992" s="5"/>
    </row>
    <row r="3993" spans="1:1">
      <c r="A3993" s="5"/>
    </row>
    <row r="3994" spans="1:1">
      <c r="A3994" s="5"/>
    </row>
    <row r="3995" spans="1:1">
      <c r="A3995" s="5"/>
    </row>
    <row r="3996" spans="1:1">
      <c r="A3996" s="5"/>
    </row>
    <row r="3997" spans="1:1">
      <c r="A3997" s="5"/>
    </row>
    <row r="3998" spans="1:1">
      <c r="A3998" s="5"/>
    </row>
    <row r="3999" spans="1:1">
      <c r="A3999" s="5"/>
    </row>
    <row r="4000" spans="1:1">
      <c r="A4000" s="5"/>
    </row>
    <row r="4001" spans="1:1">
      <c r="A4001" s="5"/>
    </row>
    <row r="4002" spans="1:1">
      <c r="A4002" s="5"/>
    </row>
    <row r="4003" spans="1:1">
      <c r="A4003" s="5"/>
    </row>
    <row r="4004" spans="1:1">
      <c r="A4004" s="5"/>
    </row>
    <row r="4005" spans="1:1">
      <c r="A4005" s="5"/>
    </row>
    <row r="4006" spans="1:1">
      <c r="A4006" s="5"/>
    </row>
    <row r="4007" spans="1:1">
      <c r="A4007" s="5"/>
    </row>
    <row r="4008" spans="1:1">
      <c r="A4008" s="5"/>
    </row>
    <row r="4009" spans="1:1">
      <c r="A4009" s="5"/>
    </row>
    <row r="4010" spans="1:1">
      <c r="A4010" s="5"/>
    </row>
    <row r="4011" spans="1:1">
      <c r="A4011" s="5"/>
    </row>
    <row r="4012" spans="1:1">
      <c r="A4012" s="5"/>
    </row>
    <row r="4013" spans="1:1">
      <c r="A4013" s="5"/>
    </row>
    <row r="4014" spans="1:1">
      <c r="A4014" s="5"/>
    </row>
    <row r="4015" spans="1:1">
      <c r="A4015" s="5"/>
    </row>
    <row r="4016" spans="1:1">
      <c r="A4016" s="5"/>
    </row>
    <row r="4017" spans="1:1">
      <c r="A4017" s="5"/>
    </row>
    <row r="4018" spans="1:1">
      <c r="A4018" s="5"/>
    </row>
    <row r="4019" spans="1:1">
      <c r="A4019" s="5"/>
    </row>
    <row r="4020" spans="1:1">
      <c r="A4020" s="5"/>
    </row>
    <row r="4021" spans="1:1">
      <c r="A4021" s="5"/>
    </row>
    <row r="4022" spans="1:1">
      <c r="A4022" s="5"/>
    </row>
    <row r="4023" spans="1:1">
      <c r="A4023" s="5"/>
    </row>
    <row r="4024" spans="1:1">
      <c r="A4024" s="5"/>
    </row>
    <row r="4025" spans="1:1">
      <c r="A4025" s="5"/>
    </row>
    <row r="4026" spans="1:1">
      <c r="A4026" s="5"/>
    </row>
    <row r="4027" spans="1:1">
      <c r="A4027" s="5"/>
    </row>
    <row r="4028" spans="1:1">
      <c r="A4028" s="5"/>
    </row>
    <row r="4029" spans="1:1">
      <c r="A4029" s="5"/>
    </row>
    <row r="4030" spans="1:1">
      <c r="A4030" s="5"/>
    </row>
    <row r="4031" spans="1:1">
      <c r="A4031" s="5"/>
    </row>
    <row r="4032" spans="1:1">
      <c r="A4032" s="5"/>
    </row>
    <row r="4033" spans="1:1">
      <c r="A4033" s="5"/>
    </row>
    <row r="4034" spans="1:1">
      <c r="A4034" s="5"/>
    </row>
    <row r="4035" spans="1:1">
      <c r="A4035" s="5"/>
    </row>
    <row r="4036" spans="1:1">
      <c r="A4036" s="5"/>
    </row>
    <row r="4037" spans="1:1">
      <c r="A4037" s="5"/>
    </row>
    <row r="4038" spans="1:1">
      <c r="A4038" s="5"/>
    </row>
    <row r="4039" spans="1:1">
      <c r="A4039" s="5"/>
    </row>
    <row r="4040" spans="1:1">
      <c r="A4040" s="5"/>
    </row>
    <row r="4041" spans="1:1">
      <c r="A4041" s="5"/>
    </row>
    <row r="4042" spans="1:1">
      <c r="A4042" s="5"/>
    </row>
    <row r="4043" spans="1:1">
      <c r="A4043" s="5"/>
    </row>
    <row r="4044" spans="1:1">
      <c r="A4044" s="5"/>
    </row>
    <row r="4045" spans="1:1">
      <c r="A4045" s="5"/>
    </row>
    <row r="4046" spans="1:1">
      <c r="A4046" s="5"/>
    </row>
    <row r="4047" spans="1:1">
      <c r="A4047" s="5"/>
    </row>
    <row r="4048" spans="1:1">
      <c r="A4048" s="5"/>
    </row>
    <row r="4049" spans="1:1">
      <c r="A4049" s="5"/>
    </row>
    <row r="4050" spans="1:1">
      <c r="A4050" s="5"/>
    </row>
    <row r="4051" spans="1:1">
      <c r="A4051" s="5"/>
    </row>
    <row r="4052" spans="1:1">
      <c r="A4052" s="5"/>
    </row>
    <row r="4053" spans="1:1">
      <c r="A4053" s="5"/>
    </row>
    <row r="4054" spans="1:1">
      <c r="A4054" s="5"/>
    </row>
    <row r="4055" spans="1:1">
      <c r="A4055" s="5"/>
    </row>
    <row r="4056" spans="1:1">
      <c r="A4056" s="5"/>
    </row>
    <row r="4057" spans="1:1">
      <c r="A4057" s="5"/>
    </row>
    <row r="4058" spans="1:1">
      <c r="A4058" s="5"/>
    </row>
    <row r="4059" spans="1:1">
      <c r="A4059" s="5"/>
    </row>
    <row r="4060" spans="1:1">
      <c r="A4060" s="5"/>
    </row>
    <row r="4061" spans="1:1">
      <c r="A4061" s="5"/>
    </row>
    <row r="4062" spans="1:1">
      <c r="A4062" s="5"/>
    </row>
    <row r="4063" spans="1:1">
      <c r="A4063" s="5"/>
    </row>
    <row r="4064" spans="1:1">
      <c r="A4064" s="5"/>
    </row>
    <row r="4065" spans="1:1">
      <c r="A4065" s="5"/>
    </row>
    <row r="4066" spans="1:1">
      <c r="A4066" s="5"/>
    </row>
    <row r="4067" spans="1:1">
      <c r="A4067" s="5"/>
    </row>
    <row r="4068" spans="1:1">
      <c r="A4068" s="5"/>
    </row>
    <row r="4069" spans="1:1">
      <c r="A4069" s="5"/>
    </row>
    <row r="4070" spans="1:1">
      <c r="A4070" s="5"/>
    </row>
    <row r="4071" spans="1:1">
      <c r="A4071" s="5"/>
    </row>
    <row r="4072" spans="1:1">
      <c r="A4072" s="5"/>
    </row>
    <row r="4073" spans="1:1">
      <c r="A4073" s="5"/>
    </row>
    <row r="4074" spans="1:1">
      <c r="A4074" s="5"/>
    </row>
    <row r="4075" spans="1:1">
      <c r="A4075" s="5"/>
    </row>
    <row r="4076" spans="1:1">
      <c r="A4076" s="5"/>
    </row>
    <row r="4077" spans="1:1">
      <c r="A4077" s="5"/>
    </row>
    <row r="4078" spans="1:1">
      <c r="A4078" s="5"/>
    </row>
    <row r="4079" spans="1:1">
      <c r="A4079" s="5"/>
    </row>
    <row r="4080" spans="1:1">
      <c r="A4080" s="5"/>
    </row>
    <row r="4081" spans="1:1">
      <c r="A4081" s="5"/>
    </row>
    <row r="4082" spans="1:1">
      <c r="A4082" s="5"/>
    </row>
    <row r="4083" spans="1:1">
      <c r="A4083" s="5"/>
    </row>
    <row r="4084" spans="1:1">
      <c r="A4084" s="5"/>
    </row>
    <row r="4085" spans="1:1">
      <c r="A4085" s="5"/>
    </row>
    <row r="4086" spans="1:1">
      <c r="A4086" s="5"/>
    </row>
    <row r="4087" spans="1:1">
      <c r="A4087" s="5"/>
    </row>
    <row r="4088" spans="1:1">
      <c r="A4088" s="5"/>
    </row>
    <row r="4089" spans="1:1">
      <c r="A4089" s="5"/>
    </row>
    <row r="4090" spans="1:1">
      <c r="A4090" s="5"/>
    </row>
    <row r="4091" spans="1:1">
      <c r="A4091" s="5"/>
    </row>
    <row r="4092" spans="1:1">
      <c r="A4092" s="5"/>
    </row>
    <row r="4093" spans="1:1">
      <c r="A4093" s="5"/>
    </row>
    <row r="4094" spans="1:1">
      <c r="A4094" s="5"/>
    </row>
    <row r="4095" spans="1:1">
      <c r="A4095" s="5"/>
    </row>
    <row r="4096" spans="1:1">
      <c r="A4096" s="5"/>
    </row>
    <row r="4097" spans="1:1">
      <c r="A4097" s="5"/>
    </row>
    <row r="4098" spans="1:1">
      <c r="A4098" s="5"/>
    </row>
    <row r="4099" spans="1:1">
      <c r="A4099" s="5"/>
    </row>
    <row r="4100" spans="1:1">
      <c r="A4100" s="5"/>
    </row>
    <row r="4101" spans="1:1">
      <c r="A4101" s="5"/>
    </row>
    <row r="4102" spans="1:1">
      <c r="A4102" s="5"/>
    </row>
    <row r="4103" spans="1:1">
      <c r="A4103" s="5"/>
    </row>
    <row r="4104" spans="1:1">
      <c r="A4104" s="5"/>
    </row>
    <row r="4105" spans="1:1">
      <c r="A4105" s="5"/>
    </row>
    <row r="4106" spans="1:1">
      <c r="A4106" s="5"/>
    </row>
    <row r="4107" spans="1:1">
      <c r="A4107" s="5"/>
    </row>
    <row r="4108" spans="1:1">
      <c r="A4108" s="5"/>
    </row>
    <row r="4109" spans="1:1">
      <c r="A4109" s="5"/>
    </row>
    <row r="4110" spans="1:1">
      <c r="A4110" s="5"/>
    </row>
    <row r="4111" spans="1:1">
      <c r="A4111" s="5"/>
    </row>
    <row r="4112" spans="1:1">
      <c r="A4112" s="5"/>
    </row>
    <row r="4113" spans="1:1">
      <c r="A4113" s="5"/>
    </row>
    <row r="4114" spans="1:1">
      <c r="A4114" s="5"/>
    </row>
    <row r="4115" spans="1:1">
      <c r="A4115" s="5"/>
    </row>
    <row r="4116" spans="1:1">
      <c r="A4116" s="5"/>
    </row>
    <row r="4117" spans="1:1">
      <c r="A4117" s="5"/>
    </row>
    <row r="4118" spans="1:1">
      <c r="A4118" s="5"/>
    </row>
    <row r="4119" spans="1:1">
      <c r="A4119" s="5"/>
    </row>
    <row r="4120" spans="1:1">
      <c r="A4120" s="5"/>
    </row>
    <row r="4121" spans="1:1">
      <c r="A4121" s="5"/>
    </row>
    <row r="4122" spans="1:1">
      <c r="A4122" s="5"/>
    </row>
    <row r="4123" spans="1:1">
      <c r="A4123" s="5"/>
    </row>
    <row r="4124" spans="1:1">
      <c r="A4124" s="5"/>
    </row>
    <row r="4125" spans="1:1">
      <c r="A4125" s="5"/>
    </row>
    <row r="4126" spans="1:1">
      <c r="A4126" s="5"/>
    </row>
    <row r="4127" spans="1:1">
      <c r="A4127" s="5"/>
    </row>
    <row r="4128" spans="1:1">
      <c r="A4128" s="5"/>
    </row>
    <row r="4129" spans="1:1">
      <c r="A4129" s="5"/>
    </row>
    <row r="4130" spans="1:1">
      <c r="A4130" s="5"/>
    </row>
    <row r="4131" spans="1:1">
      <c r="A4131" s="5"/>
    </row>
    <row r="4132" spans="1:1">
      <c r="A4132" s="5"/>
    </row>
    <row r="4133" spans="1:1">
      <c r="A4133" s="5"/>
    </row>
    <row r="4134" spans="1:1">
      <c r="A4134" s="5"/>
    </row>
    <row r="4135" spans="1:1">
      <c r="A4135" s="5"/>
    </row>
    <row r="4136" spans="1:1">
      <c r="A4136" s="5"/>
    </row>
    <row r="4137" spans="1:1">
      <c r="A4137" s="5"/>
    </row>
    <row r="4138" spans="1:1">
      <c r="A4138" s="5"/>
    </row>
    <row r="4139" spans="1:1">
      <c r="A4139" s="5"/>
    </row>
    <row r="4140" spans="1:1">
      <c r="A4140" s="5"/>
    </row>
    <row r="4141" spans="1:1">
      <c r="A4141" s="5"/>
    </row>
    <row r="4142" spans="1:1">
      <c r="A4142" s="5"/>
    </row>
    <row r="4143" spans="1:1">
      <c r="A4143" s="5"/>
    </row>
    <row r="4144" spans="1:1">
      <c r="A4144" s="5"/>
    </row>
    <row r="4145" spans="1:1">
      <c r="A4145" s="5"/>
    </row>
    <row r="4146" spans="1:1">
      <c r="A4146" s="5"/>
    </row>
    <row r="4147" spans="1:1">
      <c r="A4147" s="5"/>
    </row>
    <row r="4148" spans="1:1">
      <c r="A4148" s="5"/>
    </row>
    <row r="4149" spans="1:1">
      <c r="A4149" s="5"/>
    </row>
    <row r="4150" spans="1:1">
      <c r="A4150" s="5"/>
    </row>
    <row r="4151" spans="1:1">
      <c r="A4151" s="5"/>
    </row>
    <row r="4152" spans="1:1">
      <c r="A4152" s="5"/>
    </row>
    <row r="4153" spans="1:1">
      <c r="A4153" s="5"/>
    </row>
    <row r="4154" spans="1:1">
      <c r="A4154" s="5"/>
    </row>
    <row r="4155" spans="1:1">
      <c r="A4155" s="5"/>
    </row>
    <row r="4156" spans="1:1">
      <c r="A4156" s="5"/>
    </row>
    <row r="4157" spans="1:1">
      <c r="A4157" s="5"/>
    </row>
    <row r="4158" spans="1:1">
      <c r="A4158" s="5"/>
    </row>
    <row r="4159" spans="1:1">
      <c r="A4159" s="5"/>
    </row>
    <row r="4160" spans="1:1">
      <c r="A4160" s="5"/>
    </row>
    <row r="4161" spans="1:1">
      <c r="A4161" s="5"/>
    </row>
    <row r="4162" spans="1:1">
      <c r="A4162" s="5"/>
    </row>
    <row r="4163" spans="1:1">
      <c r="A4163" s="5"/>
    </row>
    <row r="4164" spans="1:1">
      <c r="A4164" s="5"/>
    </row>
    <row r="4165" spans="1:1">
      <c r="A4165" s="5"/>
    </row>
    <row r="4166" spans="1:1">
      <c r="A4166" s="5"/>
    </row>
    <row r="4167" spans="1:1">
      <c r="A4167" s="5"/>
    </row>
    <row r="4168" spans="1:1">
      <c r="A4168" s="5"/>
    </row>
    <row r="4169" spans="1:1">
      <c r="A4169" s="5"/>
    </row>
    <row r="4170" spans="1:1">
      <c r="A4170" s="5"/>
    </row>
    <row r="4171" spans="1:1">
      <c r="A4171" s="5"/>
    </row>
    <row r="4172" spans="1:1">
      <c r="A4172" s="5"/>
    </row>
    <row r="4173" spans="1:1">
      <c r="A4173" s="5"/>
    </row>
    <row r="4174" spans="1:1">
      <c r="A4174" s="5"/>
    </row>
    <row r="4175" spans="1:1">
      <c r="A4175" s="5"/>
    </row>
    <row r="4176" spans="1:1">
      <c r="A4176" s="5"/>
    </row>
    <row r="4177" spans="1:1">
      <c r="A4177" s="5"/>
    </row>
    <row r="4178" spans="1:1">
      <c r="A4178" s="5"/>
    </row>
    <row r="4179" spans="1:1">
      <c r="A4179" s="5"/>
    </row>
    <row r="4180" spans="1:1">
      <c r="A4180" s="5"/>
    </row>
    <row r="4181" spans="1:1">
      <c r="A4181" s="5"/>
    </row>
    <row r="4182" spans="1:1">
      <c r="A4182" s="5"/>
    </row>
    <row r="4183" spans="1:1">
      <c r="A4183" s="5"/>
    </row>
    <row r="4184" spans="1:1">
      <c r="A4184" s="5"/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  <row r="6755" spans="1:1">
      <c r="A6755" s="5"/>
    </row>
    <row r="6756" spans="1:1">
      <c r="A6756" s="5"/>
    </row>
    <row r="6757" spans="1:1">
      <c r="A6757" s="5"/>
    </row>
    <row r="6758" spans="1:1">
      <c r="A6758" s="5"/>
    </row>
    <row r="6759" spans="1:1">
      <c r="A6759" s="5"/>
    </row>
    <row r="6760" spans="1:1">
      <c r="A6760" s="5"/>
    </row>
    <row r="6761" spans="1:1">
      <c r="A6761" s="5"/>
    </row>
    <row r="6762" spans="1:1">
      <c r="A6762" s="5"/>
    </row>
    <row r="6763" spans="1:1">
      <c r="A6763" s="5"/>
    </row>
    <row r="6764" spans="1:1">
      <c r="A6764" s="5"/>
    </row>
    <row r="6765" spans="1:1">
      <c r="A6765" s="5"/>
    </row>
    <row r="6766" spans="1:1">
      <c r="A6766" s="5"/>
    </row>
    <row r="6767" spans="1:1">
      <c r="A6767" s="5"/>
    </row>
    <row r="6768" spans="1:1">
      <c r="A6768" s="5"/>
    </row>
    <row r="6769" spans="1:1">
      <c r="A6769" s="5"/>
    </row>
    <row r="6770" spans="1:1">
      <c r="A6770" s="5"/>
    </row>
    <row r="6771" spans="1:1">
      <c r="A6771" s="5"/>
    </row>
    <row r="6772" spans="1:1">
      <c r="A6772" s="5"/>
    </row>
    <row r="6773" spans="1:1">
      <c r="A6773" s="5"/>
    </row>
    <row r="6774" spans="1:1">
      <c r="A6774" s="5"/>
    </row>
    <row r="6775" spans="1:1">
      <c r="A6775" s="5"/>
    </row>
    <row r="6776" spans="1:1">
      <c r="A6776" s="5"/>
    </row>
    <row r="6777" spans="1:1">
      <c r="A6777" s="5"/>
    </row>
    <row r="6778" spans="1:1">
      <c r="A6778" s="5"/>
    </row>
    <row r="6779" spans="1:1">
      <c r="A6779" s="5"/>
    </row>
    <row r="6780" spans="1:1">
      <c r="A6780" s="5"/>
    </row>
    <row r="6781" spans="1:1">
      <c r="A6781" s="5"/>
    </row>
    <row r="6782" spans="1:1">
      <c r="A6782" s="5"/>
    </row>
    <row r="6783" spans="1:1">
      <c r="A6783" s="5"/>
    </row>
    <row r="6784" spans="1:1">
      <c r="A6784" s="5"/>
    </row>
    <row r="6785" spans="1:1">
      <c r="A6785" s="5"/>
    </row>
    <row r="6786" spans="1:1">
      <c r="A6786" s="5"/>
    </row>
    <row r="6787" spans="1:1">
      <c r="A6787" s="5"/>
    </row>
    <row r="6788" spans="1:1">
      <c r="A6788" s="5"/>
    </row>
    <row r="6789" spans="1:1">
      <c r="A6789" s="5"/>
    </row>
    <row r="6790" spans="1:1">
      <c r="A6790" s="5"/>
    </row>
    <row r="6791" spans="1:1">
      <c r="A6791" s="5"/>
    </row>
    <row r="6792" spans="1:1">
      <c r="A6792" s="5"/>
    </row>
    <row r="6793" spans="1:1">
      <c r="A6793" s="5"/>
    </row>
    <row r="6794" spans="1:1">
      <c r="A6794" s="5"/>
    </row>
    <row r="6795" spans="1:1">
      <c r="A6795" s="5"/>
    </row>
    <row r="6796" spans="1:1">
      <c r="A6796" s="5"/>
    </row>
    <row r="6797" spans="1:1">
      <c r="A6797" s="5"/>
    </row>
    <row r="6798" spans="1:1">
      <c r="A6798" s="5"/>
    </row>
    <row r="6799" spans="1:1">
      <c r="A6799" s="5"/>
    </row>
    <row r="6800" spans="1:1">
      <c r="A6800" s="5"/>
    </row>
    <row r="6801" spans="1:1">
      <c r="A6801" s="5"/>
    </row>
    <row r="6802" spans="1:1">
      <c r="A6802" s="5"/>
    </row>
    <row r="6803" spans="1:1">
      <c r="A6803" s="5"/>
    </row>
    <row r="6804" spans="1:1">
      <c r="A6804" s="5"/>
    </row>
    <row r="6805" spans="1:1">
      <c r="A6805" s="5"/>
    </row>
    <row r="6806" spans="1:1">
      <c r="A6806" s="5"/>
    </row>
    <row r="6807" spans="1:1">
      <c r="A6807" s="5"/>
    </row>
    <row r="6808" spans="1:1">
      <c r="A6808" s="5"/>
    </row>
    <row r="6809" spans="1:1">
      <c r="A6809" s="5"/>
    </row>
    <row r="6810" spans="1:1">
      <c r="A6810" s="5"/>
    </row>
    <row r="6811" spans="1:1">
      <c r="A6811" s="5"/>
    </row>
    <row r="6812" spans="1:1">
      <c r="A6812" s="5"/>
    </row>
    <row r="6813" spans="1:1">
      <c r="A6813" s="5"/>
    </row>
    <row r="6814" spans="1:1">
      <c r="A6814" s="5"/>
    </row>
    <row r="6815" spans="1:1">
      <c r="A6815" s="5"/>
    </row>
    <row r="6816" spans="1:1">
      <c r="A6816" s="5"/>
    </row>
    <row r="6817" spans="1:1">
      <c r="A6817" s="5"/>
    </row>
    <row r="6818" spans="1:1">
      <c r="A6818" s="5"/>
    </row>
    <row r="6819" spans="1:1">
      <c r="A6819" s="5"/>
    </row>
    <row r="6820" spans="1:1">
      <c r="A6820" s="5"/>
    </row>
    <row r="6821" spans="1:1">
      <c r="A6821" s="5"/>
    </row>
    <row r="6822" spans="1:1">
      <c r="A6822" s="5"/>
    </row>
    <row r="6823" spans="1:1">
      <c r="A6823" s="5"/>
    </row>
    <row r="6824" spans="1:1">
      <c r="A6824" s="5"/>
    </row>
    <row r="6825" spans="1:1">
      <c r="A6825" s="5"/>
    </row>
    <row r="6826" spans="1:1">
      <c r="A6826" s="5"/>
    </row>
    <row r="6827" spans="1:1">
      <c r="A6827" s="5"/>
    </row>
    <row r="6828" spans="1:1">
      <c r="A6828" s="5"/>
    </row>
    <row r="6829" spans="1:1">
      <c r="A6829" s="5"/>
    </row>
    <row r="6830" spans="1:1">
      <c r="A6830" s="5"/>
    </row>
    <row r="6831" spans="1:1">
      <c r="A6831" s="5"/>
    </row>
    <row r="6832" spans="1:1">
      <c r="A6832" s="5"/>
    </row>
    <row r="6833" spans="1:1">
      <c r="A6833" s="5"/>
    </row>
    <row r="6834" spans="1:1">
      <c r="A6834" s="5"/>
    </row>
    <row r="6835" spans="1:1">
      <c r="A6835" s="5"/>
    </row>
    <row r="6836" spans="1:1">
      <c r="A6836" s="5"/>
    </row>
    <row r="6837" spans="1:1">
      <c r="A6837" s="5"/>
    </row>
    <row r="6838" spans="1:1">
      <c r="A6838" s="5"/>
    </row>
    <row r="6839" spans="1:1">
      <c r="A6839" s="5"/>
    </row>
    <row r="6840" spans="1:1">
      <c r="A6840" s="5"/>
    </row>
    <row r="6841" spans="1:1">
      <c r="A6841" s="5"/>
    </row>
    <row r="6842" spans="1:1">
      <c r="A6842" s="5"/>
    </row>
    <row r="6843" spans="1:1">
      <c r="A6843" s="5"/>
    </row>
    <row r="6844" spans="1:1">
      <c r="A6844" s="5"/>
    </row>
    <row r="6845" spans="1:1">
      <c r="A6845" s="5"/>
    </row>
    <row r="6846" spans="1:1">
      <c r="A6846" s="5"/>
    </row>
    <row r="6847" spans="1:1">
      <c r="A6847" s="5"/>
    </row>
    <row r="6848" spans="1:1">
      <c r="A6848" s="5"/>
    </row>
    <row r="6849" spans="1:1">
      <c r="A6849" s="5"/>
    </row>
    <row r="6850" spans="1:1">
      <c r="A6850" s="5"/>
    </row>
    <row r="6851" spans="1:1">
      <c r="A6851" s="5"/>
    </row>
    <row r="6852" spans="1:1">
      <c r="A6852" s="5"/>
    </row>
    <row r="6853" spans="1:1">
      <c r="A6853" s="5"/>
    </row>
    <row r="6854" spans="1:1">
      <c r="A6854" s="5"/>
    </row>
    <row r="6855" spans="1:1">
      <c r="A6855" s="5"/>
    </row>
    <row r="6856" spans="1:1">
      <c r="A6856" s="5"/>
    </row>
    <row r="6857" spans="1:1">
      <c r="A6857" s="5"/>
    </row>
    <row r="6858" spans="1:1">
      <c r="A6858" s="5"/>
    </row>
    <row r="6859" spans="1:1">
      <c r="A6859" s="5"/>
    </row>
    <row r="6860" spans="1:1">
      <c r="A6860" s="5"/>
    </row>
    <row r="6861" spans="1:1">
      <c r="A6861" s="5"/>
    </row>
    <row r="6862" spans="1:1">
      <c r="A6862" s="5"/>
    </row>
    <row r="6863" spans="1:1">
      <c r="A6863" s="5"/>
    </row>
    <row r="6864" spans="1:1">
      <c r="A6864" s="5"/>
    </row>
    <row r="6865" spans="1:1">
      <c r="A6865" s="5"/>
    </row>
    <row r="6866" spans="1:1">
      <c r="A6866" s="5"/>
    </row>
    <row r="6867" spans="1:1">
      <c r="A6867" s="5"/>
    </row>
    <row r="6868" spans="1:1">
      <c r="A6868" s="5"/>
    </row>
    <row r="6869" spans="1:1">
      <c r="A6869" s="5"/>
    </row>
    <row r="6870" spans="1:1">
      <c r="A6870" s="5"/>
    </row>
    <row r="6871" spans="1:1">
      <c r="A6871" s="5"/>
    </row>
    <row r="6872" spans="1:1">
      <c r="A6872" s="5"/>
    </row>
    <row r="6873" spans="1:1">
      <c r="A6873" s="5"/>
    </row>
    <row r="6874" spans="1:1">
      <c r="A6874" s="5"/>
    </row>
    <row r="6875" spans="1:1">
      <c r="A6875" s="5"/>
    </row>
    <row r="6876" spans="1:1">
      <c r="A6876" s="5"/>
    </row>
    <row r="6877" spans="1:1">
      <c r="A6877" s="5"/>
    </row>
    <row r="6878" spans="1:1">
      <c r="A6878" s="5"/>
    </row>
    <row r="6879" spans="1:1">
      <c r="A6879" s="5"/>
    </row>
    <row r="6880" spans="1:1">
      <c r="A6880" s="5"/>
    </row>
    <row r="6881" spans="1:1">
      <c r="A6881" s="5"/>
    </row>
    <row r="6882" spans="1:1">
      <c r="A6882" s="5"/>
    </row>
    <row r="6883" spans="1:1">
      <c r="A6883" s="5"/>
    </row>
    <row r="6884" spans="1:1">
      <c r="A6884" s="5"/>
    </row>
    <row r="6885" spans="1:1">
      <c r="A6885" s="5"/>
    </row>
    <row r="6886" spans="1:1">
      <c r="A6886" s="5"/>
    </row>
    <row r="6887" spans="1:1">
      <c r="A6887" s="5"/>
    </row>
    <row r="6888" spans="1:1">
      <c r="A6888" s="5"/>
    </row>
    <row r="6889" spans="1:1">
      <c r="A6889" s="5"/>
    </row>
    <row r="6890" spans="1:1">
      <c r="A6890" s="5"/>
    </row>
    <row r="6891" spans="1:1">
      <c r="A6891" s="5"/>
    </row>
    <row r="6892" spans="1:1">
      <c r="A6892" s="5"/>
    </row>
    <row r="6893" spans="1:1">
      <c r="A6893" s="5"/>
    </row>
    <row r="6894" spans="1:1">
      <c r="A6894" s="5"/>
    </row>
    <row r="6895" spans="1:1">
      <c r="A6895" s="5"/>
    </row>
    <row r="6896" spans="1:1">
      <c r="A6896" s="5"/>
    </row>
    <row r="6897" spans="1:1">
      <c r="A6897" s="5"/>
    </row>
    <row r="6898" spans="1:1">
      <c r="A6898" s="5"/>
    </row>
    <row r="6899" spans="1:1">
      <c r="A6899" s="5"/>
    </row>
    <row r="6900" spans="1:1">
      <c r="A6900" s="5"/>
    </row>
    <row r="6901" spans="1:1">
      <c r="A6901" s="5"/>
    </row>
    <row r="6902" spans="1:1">
      <c r="A6902" s="5"/>
    </row>
    <row r="6903" spans="1:1">
      <c r="A6903" s="5"/>
    </row>
    <row r="6904" spans="1:1">
      <c r="A6904" s="5"/>
    </row>
    <row r="6905" spans="1:1">
      <c r="A6905" s="5"/>
    </row>
    <row r="6906" spans="1:1">
      <c r="A6906" s="5"/>
    </row>
    <row r="6907" spans="1:1">
      <c r="A6907" s="5"/>
    </row>
    <row r="6908" spans="1:1">
      <c r="A6908" s="5"/>
    </row>
    <row r="6909" spans="1:1">
      <c r="A6909" s="5"/>
    </row>
    <row r="6910" spans="1:1">
      <c r="A6910" s="5"/>
    </row>
    <row r="6911" spans="1:1">
      <c r="A6911" s="5"/>
    </row>
    <row r="6912" spans="1:1">
      <c r="A6912" s="5"/>
    </row>
    <row r="6913" spans="1:1">
      <c r="A6913" s="5"/>
    </row>
    <row r="6914" spans="1:1">
      <c r="A6914" s="5"/>
    </row>
    <row r="6915" spans="1:1">
      <c r="A6915" s="5"/>
    </row>
    <row r="6916" spans="1:1">
      <c r="A6916" s="5"/>
    </row>
    <row r="6917" spans="1:1">
      <c r="A6917" s="5"/>
    </row>
    <row r="6918" spans="1:1">
      <c r="A6918" s="5"/>
    </row>
    <row r="6919" spans="1:1">
      <c r="A6919" s="5"/>
    </row>
    <row r="6920" spans="1:1">
      <c r="A6920" s="5"/>
    </row>
    <row r="6921" spans="1:1">
      <c r="A6921" s="5"/>
    </row>
    <row r="6922" spans="1:1">
      <c r="A6922" s="5"/>
    </row>
    <row r="6923" spans="1:1">
      <c r="A6923" s="5"/>
    </row>
    <row r="6924" spans="1:1">
      <c r="A6924" s="5"/>
    </row>
    <row r="6925" spans="1:1">
      <c r="A6925" s="5"/>
    </row>
    <row r="6926" spans="1:1">
      <c r="A6926" s="5"/>
    </row>
    <row r="6927" spans="1:1">
      <c r="A6927" s="5"/>
    </row>
    <row r="6928" spans="1:1">
      <c r="A6928" s="5"/>
    </row>
    <row r="6929" spans="1:1">
      <c r="A6929" s="5"/>
    </row>
    <row r="6930" spans="1:1">
      <c r="A6930" s="5"/>
    </row>
    <row r="6931" spans="1:1">
      <c r="A6931" s="5"/>
    </row>
    <row r="6932" spans="1:1">
      <c r="A6932" s="5"/>
    </row>
    <row r="6933" spans="1:1">
      <c r="A6933" s="5"/>
    </row>
    <row r="6934" spans="1:1">
      <c r="A6934" s="5"/>
    </row>
    <row r="6935" spans="1:1">
      <c r="A6935" s="5"/>
    </row>
    <row r="6936" spans="1:1">
      <c r="A6936" s="5"/>
    </row>
    <row r="6937" spans="1:1">
      <c r="A6937" s="5"/>
    </row>
    <row r="6938" spans="1:1">
      <c r="A6938" s="5"/>
    </row>
    <row r="6939" spans="1:1">
      <c r="A6939" s="5"/>
    </row>
    <row r="6940" spans="1:1">
      <c r="A6940" s="5"/>
    </row>
    <row r="6941" spans="1:1">
      <c r="A6941" s="5"/>
    </row>
    <row r="6942" spans="1:1">
      <c r="A6942" s="5"/>
    </row>
    <row r="6943" spans="1:1">
      <c r="A6943" s="5"/>
    </row>
    <row r="6944" spans="1:1">
      <c r="A6944" s="5"/>
    </row>
    <row r="6945" spans="1:1">
      <c r="A6945" s="5"/>
    </row>
    <row r="6946" spans="1:1">
      <c r="A6946" s="5"/>
    </row>
    <row r="6947" spans="1:1">
      <c r="A6947" s="5"/>
    </row>
    <row r="6948" spans="1:1">
      <c r="A6948" s="5"/>
    </row>
    <row r="6949" spans="1:1">
      <c r="A6949" s="5"/>
    </row>
    <row r="6950" spans="1:1">
      <c r="A6950" s="5"/>
    </row>
    <row r="6951" spans="1:1">
      <c r="A6951" s="5"/>
    </row>
    <row r="6952" spans="1:1">
      <c r="A6952" s="5"/>
    </row>
    <row r="6953" spans="1:1">
      <c r="A6953" s="5"/>
    </row>
    <row r="6954" spans="1:1">
      <c r="A6954" s="5"/>
    </row>
    <row r="6955" spans="1:1">
      <c r="A6955" s="5"/>
    </row>
    <row r="6956" spans="1:1">
      <c r="A6956" s="5"/>
    </row>
    <row r="6957" spans="1:1">
      <c r="A6957" s="5"/>
    </row>
    <row r="6958" spans="1:1">
      <c r="A6958" s="5"/>
    </row>
    <row r="6959" spans="1:1">
      <c r="A6959" s="5"/>
    </row>
    <row r="6960" spans="1:1">
      <c r="A6960" s="5"/>
    </row>
    <row r="6961" spans="1:1">
      <c r="A6961" s="5"/>
    </row>
    <row r="6962" spans="1:1">
      <c r="A6962" s="5"/>
    </row>
    <row r="6963" spans="1:1">
      <c r="A6963" s="5"/>
    </row>
    <row r="6964" spans="1:1">
      <c r="A6964" s="5"/>
    </row>
    <row r="6965" spans="1:1">
      <c r="A6965" s="5"/>
    </row>
    <row r="6966" spans="1:1">
      <c r="A6966" s="5"/>
    </row>
    <row r="6967" spans="1:1">
      <c r="A6967" s="5"/>
    </row>
    <row r="6968" spans="1:1">
      <c r="A6968" s="5"/>
    </row>
    <row r="6969" spans="1:1">
      <c r="A6969" s="5"/>
    </row>
    <row r="6970" spans="1:1">
      <c r="A6970" s="5"/>
    </row>
    <row r="6971" spans="1:1">
      <c r="A6971" s="5"/>
    </row>
    <row r="6972" spans="1:1">
      <c r="A6972" s="5"/>
    </row>
    <row r="6973" spans="1:1">
      <c r="A6973" s="5"/>
    </row>
    <row r="6974" spans="1:1">
      <c r="A6974" s="5"/>
    </row>
    <row r="6975" spans="1:1">
      <c r="A6975" s="5"/>
    </row>
    <row r="6976" spans="1:1">
      <c r="A6976" s="5"/>
    </row>
    <row r="6977" spans="1:1">
      <c r="A6977" s="5"/>
    </row>
    <row r="6978" spans="1:1">
      <c r="A6978" s="5"/>
    </row>
    <row r="6979" spans="1:1">
      <c r="A6979" s="5"/>
    </row>
    <row r="6980" spans="1:1">
      <c r="A6980" s="5"/>
    </row>
    <row r="6981" spans="1:1">
      <c r="A6981" s="5"/>
    </row>
    <row r="6982" spans="1:1">
      <c r="A6982" s="5"/>
    </row>
    <row r="6983" spans="1:1">
      <c r="A6983" s="5"/>
    </row>
    <row r="6984" spans="1:1">
      <c r="A6984" s="5"/>
    </row>
    <row r="6985" spans="1:1">
      <c r="A6985" s="5"/>
    </row>
    <row r="6986" spans="1:1">
      <c r="A6986" s="5"/>
    </row>
    <row r="6987" spans="1:1">
      <c r="A6987" s="5"/>
    </row>
    <row r="6988" spans="1:1">
      <c r="A6988" s="5"/>
    </row>
    <row r="6989" spans="1:1">
      <c r="A6989" s="5"/>
    </row>
    <row r="6990" spans="1:1">
      <c r="A6990" s="5"/>
    </row>
    <row r="6991" spans="1:1">
      <c r="A6991" s="5"/>
    </row>
    <row r="6992" spans="1:1">
      <c r="A6992" s="5"/>
    </row>
    <row r="6993" spans="1:1">
      <c r="A6993" s="5"/>
    </row>
    <row r="6994" spans="1:1">
      <c r="A6994" s="5"/>
    </row>
    <row r="6995" spans="1:1">
      <c r="A6995" s="5"/>
    </row>
    <row r="6996" spans="1:1">
      <c r="A6996" s="5"/>
    </row>
    <row r="6997" spans="1:1">
      <c r="A6997" s="5"/>
    </row>
    <row r="6998" spans="1:1">
      <c r="A6998" s="5"/>
    </row>
    <row r="6999" spans="1:1">
      <c r="A6999" s="5"/>
    </row>
    <row r="7000" spans="1:1">
      <c r="A7000" s="5"/>
    </row>
    <row r="7001" spans="1:1">
      <c r="A7001" s="5"/>
    </row>
    <row r="7002" spans="1:1">
      <c r="A7002" s="5"/>
    </row>
    <row r="7003" spans="1:1">
      <c r="A7003" s="5"/>
    </row>
    <row r="7004" spans="1:1">
      <c r="A7004" s="5"/>
    </row>
    <row r="7005" spans="1:1">
      <c r="A7005" s="5"/>
    </row>
    <row r="7006" spans="1:1">
      <c r="A7006" s="5"/>
    </row>
    <row r="7007" spans="1:1">
      <c r="A7007" s="5"/>
    </row>
    <row r="7008" spans="1:1">
      <c r="A7008" s="5"/>
    </row>
    <row r="7009" spans="1:1">
      <c r="A7009" s="5"/>
    </row>
    <row r="7010" spans="1:1">
      <c r="A7010" s="5"/>
    </row>
    <row r="7011" spans="1:1">
      <c r="A7011" s="5"/>
    </row>
    <row r="7012" spans="1:1">
      <c r="A7012" s="5"/>
    </row>
    <row r="7013" spans="1:1">
      <c r="A7013" s="5"/>
    </row>
    <row r="7014" spans="1:1">
      <c r="A7014" s="5"/>
    </row>
    <row r="7015" spans="1:1">
      <c r="A7015" s="5"/>
    </row>
    <row r="7016" spans="1:1">
      <c r="A7016" s="5"/>
    </row>
    <row r="7017" spans="1:1">
      <c r="A7017" s="5"/>
    </row>
    <row r="7018" spans="1:1">
      <c r="A7018" s="5"/>
    </row>
    <row r="7019" spans="1:1">
      <c r="A7019" s="5"/>
    </row>
    <row r="7020" spans="1:1">
      <c r="A7020" s="5"/>
    </row>
    <row r="7021" spans="1:1">
      <c r="A7021" s="5"/>
    </row>
    <row r="7022" spans="1:1">
      <c r="A7022" s="5"/>
    </row>
    <row r="7023" spans="1:1">
      <c r="A7023" s="5"/>
    </row>
    <row r="7024" spans="1:1">
      <c r="A7024" s="5"/>
    </row>
    <row r="7025" spans="1:1">
      <c r="A7025" s="5"/>
    </row>
    <row r="7026" spans="1:1">
      <c r="A7026" s="5"/>
    </row>
    <row r="7027" spans="1:1">
      <c r="A7027" s="5"/>
    </row>
    <row r="7028" spans="1:1">
      <c r="A7028" s="5"/>
    </row>
    <row r="7029" spans="1:1">
      <c r="A7029" s="5"/>
    </row>
    <row r="7030" spans="1:1">
      <c r="A7030" s="5"/>
    </row>
    <row r="7031" spans="1:1">
      <c r="A7031" s="5"/>
    </row>
    <row r="7032" spans="1:1">
      <c r="A7032" s="5"/>
    </row>
    <row r="7033" spans="1:1">
      <c r="A7033" s="5"/>
    </row>
    <row r="7034" spans="1:1">
      <c r="A7034" s="5"/>
    </row>
    <row r="7035" spans="1:1">
      <c r="A7035" s="5"/>
    </row>
    <row r="7036" spans="1:1">
      <c r="A7036" s="5"/>
    </row>
    <row r="7037" spans="1:1">
      <c r="A7037" s="5"/>
    </row>
    <row r="7038" spans="1:1">
      <c r="A7038" s="5"/>
    </row>
    <row r="7039" spans="1:1">
      <c r="A7039" s="5"/>
    </row>
    <row r="7040" spans="1:1">
      <c r="A7040" s="5"/>
    </row>
    <row r="7041" spans="1:1">
      <c r="A7041" s="5"/>
    </row>
    <row r="7042" spans="1:1">
      <c r="A7042" s="5"/>
    </row>
    <row r="7043" spans="1:1">
      <c r="A7043" s="5"/>
    </row>
    <row r="7044" spans="1:1">
      <c r="A7044" s="5"/>
    </row>
    <row r="7045" spans="1:1">
      <c r="A7045" s="5"/>
    </row>
    <row r="7046" spans="1:1">
      <c r="A7046" s="5"/>
    </row>
    <row r="7047" spans="1:1">
      <c r="A7047" s="5"/>
    </row>
    <row r="7048" spans="1:1">
      <c r="A7048" s="5"/>
    </row>
    <row r="7049" spans="1:1">
      <c r="A7049" s="5"/>
    </row>
    <row r="7050" spans="1:1">
      <c r="A7050" s="5"/>
    </row>
    <row r="7051" spans="1:1">
      <c r="A7051" s="5"/>
    </row>
    <row r="7052" spans="1:1">
      <c r="A7052" s="5"/>
    </row>
    <row r="7053" spans="1:1">
      <c r="A7053" s="5"/>
    </row>
    <row r="7054" spans="1:1">
      <c r="A7054" s="5"/>
    </row>
    <row r="7055" spans="1:1">
      <c r="A7055" s="5"/>
    </row>
    <row r="7056" spans="1:1">
      <c r="A7056" s="5"/>
    </row>
    <row r="7057" spans="1:1">
      <c r="A7057" s="5"/>
    </row>
    <row r="7058" spans="1:1">
      <c r="A7058" s="5"/>
    </row>
    <row r="7059" spans="1:1">
      <c r="A7059" s="5"/>
    </row>
    <row r="7060" spans="1:1">
      <c r="A7060" s="5"/>
    </row>
    <row r="7061" spans="1:1">
      <c r="A7061" s="5"/>
    </row>
    <row r="7062" spans="1:1">
      <c r="A7062" s="5"/>
    </row>
    <row r="7063" spans="1:1">
      <c r="A7063" s="5"/>
    </row>
    <row r="7064" spans="1:1">
      <c r="A7064" s="5"/>
    </row>
    <row r="7065" spans="1:1">
      <c r="A7065" s="5"/>
    </row>
    <row r="7066" spans="1:1">
      <c r="A7066" s="5"/>
    </row>
    <row r="7067" spans="1:1">
      <c r="A7067" s="5"/>
    </row>
    <row r="7068" spans="1:1">
      <c r="A7068" s="5"/>
    </row>
    <row r="7069" spans="1:1">
      <c r="A7069" s="5"/>
    </row>
    <row r="7070" spans="1:1">
      <c r="A7070" s="5"/>
    </row>
    <row r="7071" spans="1:1">
      <c r="A7071" s="5"/>
    </row>
    <row r="7072" spans="1:1">
      <c r="A7072" s="5"/>
    </row>
    <row r="7073" spans="1:1">
      <c r="A7073" s="5"/>
    </row>
    <row r="7074" spans="1:1">
      <c r="A7074" s="5"/>
    </row>
    <row r="7075" spans="1:1">
      <c r="A7075" s="5"/>
    </row>
    <row r="7076" spans="1:1">
      <c r="A7076" s="5"/>
    </row>
    <row r="7077" spans="1:1">
      <c r="A7077" s="5"/>
    </row>
    <row r="7078" spans="1:1">
      <c r="A7078" s="5"/>
    </row>
    <row r="7079" spans="1:1">
      <c r="A7079" s="5"/>
    </row>
    <row r="7080" spans="1:1">
      <c r="A7080" s="5"/>
    </row>
    <row r="7081" spans="1:1">
      <c r="A7081" s="5"/>
    </row>
    <row r="7082" spans="1:1">
      <c r="A7082" s="5"/>
    </row>
    <row r="7083" spans="1:1">
      <c r="A7083" s="5"/>
    </row>
    <row r="7084" spans="1:1">
      <c r="A7084" s="5"/>
    </row>
    <row r="7085" spans="1:1">
      <c r="A7085" s="5"/>
    </row>
    <row r="7086" spans="1:1">
      <c r="A7086" s="5"/>
    </row>
    <row r="7087" spans="1:1">
      <c r="A7087" s="5"/>
    </row>
    <row r="7088" spans="1:1">
      <c r="A7088" s="5"/>
    </row>
    <row r="7089" spans="1:1">
      <c r="A7089" s="5"/>
    </row>
    <row r="7090" spans="1:1">
      <c r="A7090" s="5"/>
    </row>
    <row r="7091" spans="1:1">
      <c r="A7091" s="5"/>
    </row>
    <row r="7092" spans="1:1">
      <c r="A7092" s="5"/>
    </row>
    <row r="7093" spans="1:1">
      <c r="A7093" s="5"/>
    </row>
    <row r="7094" spans="1:1">
      <c r="A7094" s="5"/>
    </row>
    <row r="7095" spans="1:1">
      <c r="A7095" s="5"/>
    </row>
    <row r="7096" spans="1:1">
      <c r="A7096" s="5"/>
    </row>
    <row r="7097" spans="1:1">
      <c r="A7097" s="5"/>
    </row>
    <row r="7098" spans="1:1">
      <c r="A7098" s="5"/>
    </row>
    <row r="7099" spans="1:1">
      <c r="A7099" s="5"/>
    </row>
    <row r="7100" spans="1:1">
      <c r="A7100" s="5"/>
    </row>
    <row r="7101" spans="1:1">
      <c r="A7101" s="5"/>
    </row>
    <row r="7102" spans="1:1">
      <c r="A7102" s="5"/>
    </row>
    <row r="7103" spans="1:1">
      <c r="A7103" s="5"/>
    </row>
    <row r="7104" spans="1:1">
      <c r="A7104" s="5"/>
    </row>
    <row r="7105" spans="1:1">
      <c r="A7105" s="5"/>
    </row>
    <row r="7106" spans="1:1">
      <c r="A7106" s="5"/>
    </row>
    <row r="7107" spans="1:1">
      <c r="A7107" s="5"/>
    </row>
    <row r="7108" spans="1:1">
      <c r="A7108" s="5"/>
    </row>
    <row r="7109" spans="1:1">
      <c r="A7109" s="5"/>
    </row>
    <row r="7110" spans="1:1">
      <c r="A7110" s="5"/>
    </row>
    <row r="7111" spans="1:1">
      <c r="A7111" s="5"/>
    </row>
    <row r="7112" spans="1:1">
      <c r="A7112" s="5"/>
    </row>
    <row r="7113" spans="1:1">
      <c r="A7113" s="5"/>
    </row>
    <row r="7114" spans="1:1">
      <c r="A7114" s="5"/>
    </row>
    <row r="7115" spans="1:1">
      <c r="A7115" s="5"/>
    </row>
    <row r="7116" spans="1:1">
      <c r="A7116" s="5"/>
    </row>
    <row r="7117" spans="1:1">
      <c r="A7117" s="5"/>
    </row>
    <row r="7118" spans="1:1">
      <c r="A7118" s="5"/>
    </row>
    <row r="7119" spans="1:1">
      <c r="A7119" s="5"/>
    </row>
    <row r="7120" spans="1:1">
      <c r="A7120" s="5"/>
    </row>
    <row r="7121" spans="1:1">
      <c r="A7121" s="5"/>
    </row>
    <row r="7122" spans="1:1">
      <c r="A7122" s="5"/>
    </row>
    <row r="7123" spans="1:1">
      <c r="A7123" s="5"/>
    </row>
    <row r="7124" spans="1:1">
      <c r="A7124" s="5"/>
    </row>
    <row r="7125" spans="1:1">
      <c r="A7125" s="5"/>
    </row>
    <row r="7126" spans="1:1">
      <c r="A7126" s="5"/>
    </row>
    <row r="7127" spans="1:1">
      <c r="A7127" s="5"/>
    </row>
    <row r="7128" spans="1:1">
      <c r="A7128" s="5"/>
    </row>
    <row r="7129" spans="1:1">
      <c r="A7129" s="5"/>
    </row>
    <row r="7130" spans="1:1">
      <c r="A7130" s="5"/>
    </row>
    <row r="7131" spans="1:1">
      <c r="A7131" s="5"/>
    </row>
    <row r="7132" spans="1:1">
      <c r="A7132" s="5"/>
    </row>
    <row r="7133" spans="1:1">
      <c r="A7133" s="5"/>
    </row>
    <row r="7134" spans="1:1">
      <c r="A7134" s="5"/>
    </row>
    <row r="7135" spans="1:1">
      <c r="A7135" s="5"/>
    </row>
    <row r="7136" spans="1:1">
      <c r="A7136" s="5"/>
    </row>
    <row r="7137" spans="1:1">
      <c r="A7137" s="5"/>
    </row>
    <row r="7138" spans="1:1">
      <c r="A7138" s="5"/>
    </row>
    <row r="7139" spans="1:1">
      <c r="A7139" s="5"/>
    </row>
    <row r="7140" spans="1:1">
      <c r="A7140" s="5"/>
    </row>
    <row r="7141" spans="1:1">
      <c r="A7141" s="5"/>
    </row>
    <row r="7142" spans="1:1">
      <c r="A7142" s="5"/>
    </row>
    <row r="7143" spans="1:1">
      <c r="A7143" s="5"/>
    </row>
    <row r="7144" spans="1:1">
      <c r="A7144" s="5"/>
    </row>
    <row r="7145" spans="1:1">
      <c r="A7145" s="5"/>
    </row>
    <row r="7146" spans="1:1">
      <c r="A7146" s="5"/>
    </row>
    <row r="7147" spans="1:1">
      <c r="A7147" s="5"/>
    </row>
    <row r="7148" spans="1:1">
      <c r="A7148" s="5"/>
    </row>
    <row r="7149" spans="1:1">
      <c r="A7149" s="5"/>
    </row>
    <row r="7150" spans="1:1">
      <c r="A7150" s="5"/>
    </row>
    <row r="7151" spans="1:1">
      <c r="A7151" s="5"/>
    </row>
    <row r="7152" spans="1:1">
      <c r="A7152" s="5"/>
    </row>
    <row r="7153" spans="1:1">
      <c r="A7153" s="5"/>
    </row>
    <row r="7154" spans="1:1">
      <c r="A7154" s="5"/>
    </row>
    <row r="7155" spans="1:1">
      <c r="A7155" s="5"/>
    </row>
    <row r="7156" spans="1:1">
      <c r="A7156" s="5"/>
    </row>
    <row r="7157" spans="1:1">
      <c r="A7157" s="5"/>
    </row>
    <row r="7158" spans="1:1">
      <c r="A7158" s="5"/>
    </row>
    <row r="7159" spans="1:1">
      <c r="A7159" s="5"/>
    </row>
    <row r="7160" spans="1:1">
      <c r="A7160" s="5"/>
    </row>
    <row r="7161" spans="1:1">
      <c r="A7161" s="5"/>
    </row>
    <row r="7162" spans="1:1">
      <c r="A7162" s="5"/>
    </row>
    <row r="7163" spans="1:1">
      <c r="A7163" s="5"/>
    </row>
    <row r="7164" spans="1:1">
      <c r="A7164" s="5"/>
    </row>
    <row r="7165" spans="1:1">
      <c r="A7165" s="5"/>
    </row>
    <row r="7166" spans="1:1">
      <c r="A7166" s="5"/>
    </row>
    <row r="7167" spans="1:1">
      <c r="A7167" s="5"/>
    </row>
    <row r="7168" spans="1:1">
      <c r="A7168" s="5"/>
    </row>
    <row r="7169" spans="1:1">
      <c r="A7169" s="5"/>
    </row>
    <row r="7170" spans="1:1">
      <c r="A7170" s="5"/>
    </row>
    <row r="7171" spans="1:1">
      <c r="A7171" s="5"/>
    </row>
    <row r="7172" spans="1:1">
      <c r="A7172" s="5"/>
    </row>
    <row r="7173" spans="1:1">
      <c r="A7173" s="5"/>
    </row>
    <row r="7174" spans="1:1">
      <c r="A7174" s="5"/>
    </row>
    <row r="7175" spans="1:1">
      <c r="A7175" s="5"/>
    </row>
    <row r="7176" spans="1:1">
      <c r="A7176" s="5"/>
    </row>
    <row r="7177" spans="1:1">
      <c r="A7177" s="5"/>
    </row>
    <row r="7178" spans="1:1">
      <c r="A7178" s="5"/>
    </row>
    <row r="7179" spans="1:1">
      <c r="A7179" s="5"/>
    </row>
    <row r="7180" spans="1:1">
      <c r="A7180" s="5"/>
    </row>
    <row r="7181" spans="1:1">
      <c r="A7181" s="5"/>
    </row>
    <row r="7182" spans="1:1">
      <c r="A7182" s="5"/>
    </row>
    <row r="7183" spans="1:1">
      <c r="A7183" s="5"/>
    </row>
    <row r="7184" spans="1:1">
      <c r="A7184" s="5"/>
    </row>
    <row r="7185" spans="1:1">
      <c r="A7185" s="5"/>
    </row>
    <row r="7186" spans="1:1">
      <c r="A7186" s="5"/>
    </row>
    <row r="7187" spans="1:1">
      <c r="A7187" s="5"/>
    </row>
    <row r="7188" spans="1:1">
      <c r="A7188" s="5"/>
    </row>
    <row r="7189" spans="1:1">
      <c r="A7189" s="5"/>
    </row>
    <row r="7190" spans="1:1">
      <c r="A7190" s="5"/>
    </row>
    <row r="7191" spans="1:1">
      <c r="A7191" s="5"/>
    </row>
    <row r="7192" spans="1:1">
      <c r="A7192" s="5"/>
    </row>
    <row r="7193" spans="1:1">
      <c r="A7193" s="5"/>
    </row>
    <row r="7194" spans="1:1">
      <c r="A7194" s="5"/>
    </row>
    <row r="7195" spans="1:1">
      <c r="A7195" s="5"/>
    </row>
    <row r="7196" spans="1:1">
      <c r="A7196" s="5"/>
    </row>
    <row r="7197" spans="1:1">
      <c r="A7197" s="5"/>
    </row>
    <row r="7198" spans="1:1">
      <c r="A7198" s="5"/>
    </row>
    <row r="7199" spans="1:1">
      <c r="A7199" s="5"/>
    </row>
    <row r="7200" spans="1:1">
      <c r="A7200" s="5"/>
    </row>
    <row r="7201" spans="1:1">
      <c r="A7201" s="5"/>
    </row>
    <row r="7202" spans="1:1">
      <c r="A7202" s="5"/>
    </row>
    <row r="7203" spans="1:1">
      <c r="A7203" s="5"/>
    </row>
    <row r="7204" spans="1:1">
      <c r="A7204" s="5"/>
    </row>
    <row r="7205" spans="1:1">
      <c r="A7205" s="5"/>
    </row>
    <row r="7206" spans="1:1">
      <c r="A7206" s="5"/>
    </row>
    <row r="7207" spans="1:1">
      <c r="A7207" s="5"/>
    </row>
    <row r="7208" spans="1:1">
      <c r="A7208" s="5"/>
    </row>
    <row r="7209" spans="1:1">
      <c r="A7209" s="5"/>
    </row>
    <row r="7210" spans="1:1">
      <c r="A7210" s="5"/>
    </row>
    <row r="7211" spans="1:1">
      <c r="A7211" s="5"/>
    </row>
    <row r="7212" spans="1:1">
      <c r="A7212" s="5"/>
    </row>
    <row r="7213" spans="1:1">
      <c r="A7213" s="5"/>
    </row>
    <row r="7214" spans="1:1">
      <c r="A7214" s="5"/>
    </row>
    <row r="7215" spans="1:1">
      <c r="A7215" s="5"/>
    </row>
    <row r="7216" spans="1:1">
      <c r="A7216" s="5"/>
    </row>
    <row r="7217" spans="1:1">
      <c r="A7217" s="5"/>
    </row>
    <row r="7218" spans="1:1">
      <c r="A7218" s="5"/>
    </row>
    <row r="7219" spans="1:1">
      <c r="A7219" s="5"/>
    </row>
    <row r="7220" spans="1:1">
      <c r="A7220" s="5"/>
    </row>
    <row r="7221" spans="1:1">
      <c r="A7221" s="5"/>
    </row>
    <row r="7222" spans="1:1">
      <c r="A7222" s="5"/>
    </row>
    <row r="7223" spans="1:1">
      <c r="A7223" s="5"/>
    </row>
    <row r="7224" spans="1:1">
      <c r="A7224" s="5"/>
    </row>
    <row r="7225" spans="1:1">
      <c r="A7225" s="5"/>
    </row>
    <row r="7226" spans="1:1">
      <c r="A7226" s="5"/>
    </row>
    <row r="7227" spans="1:1">
      <c r="A7227" s="5"/>
    </row>
    <row r="7228" spans="1:1">
      <c r="A7228" s="5"/>
    </row>
    <row r="7229" spans="1:1">
      <c r="A7229" s="5"/>
    </row>
    <row r="7230" spans="1:1">
      <c r="A7230" s="5"/>
    </row>
    <row r="7231" spans="1:1">
      <c r="A7231" s="5"/>
    </row>
    <row r="7232" spans="1:1">
      <c r="A7232" s="5"/>
    </row>
    <row r="7233" spans="1:1">
      <c r="A7233" s="5"/>
    </row>
    <row r="7234" spans="1:1">
      <c r="A7234" s="5"/>
    </row>
    <row r="7235" spans="1:1">
      <c r="A7235" s="5"/>
    </row>
    <row r="7236" spans="1:1">
      <c r="A7236" s="5"/>
    </row>
    <row r="7237" spans="1:1">
      <c r="A7237" s="5"/>
    </row>
    <row r="7238" spans="1:1">
      <c r="A7238" s="5"/>
    </row>
    <row r="7239" spans="1:1">
      <c r="A7239" s="5"/>
    </row>
    <row r="7240" spans="1:1">
      <c r="A7240" s="5"/>
    </row>
    <row r="7241" spans="1:1">
      <c r="A7241" s="5"/>
    </row>
    <row r="7242" spans="1:1">
      <c r="A7242" s="5"/>
    </row>
    <row r="7243" spans="1:1">
      <c r="A7243" s="5"/>
    </row>
    <row r="7244" spans="1:1">
      <c r="A7244" s="5"/>
    </row>
    <row r="7245" spans="1:1">
      <c r="A7245" s="5"/>
    </row>
    <row r="7246" spans="1:1">
      <c r="A7246" s="5"/>
    </row>
    <row r="7247" spans="1:1">
      <c r="A7247" s="5"/>
    </row>
    <row r="7248" spans="1:1">
      <c r="A7248" s="5"/>
    </row>
    <row r="7249" spans="1:1">
      <c r="A7249" s="5"/>
    </row>
    <row r="7250" spans="1:1">
      <c r="A7250" s="5"/>
    </row>
    <row r="7251" spans="1:1">
      <c r="A7251" s="5"/>
    </row>
    <row r="7252" spans="1:1">
      <c r="A7252" s="5"/>
    </row>
    <row r="7253" spans="1:1">
      <c r="A7253" s="5"/>
    </row>
    <row r="7254" spans="1:1">
      <c r="A7254" s="5"/>
    </row>
    <row r="7255" spans="1:1">
      <c r="A7255" s="5"/>
    </row>
    <row r="7256" spans="1:1">
      <c r="A7256" s="5"/>
    </row>
    <row r="7257" spans="1:1">
      <c r="A7257" s="5"/>
    </row>
    <row r="7258" spans="1:1">
      <c r="A7258" s="5"/>
    </row>
    <row r="7259" spans="1:1">
      <c r="A7259" s="5"/>
    </row>
    <row r="7260" spans="1:1">
      <c r="A7260" s="5"/>
    </row>
    <row r="7261" spans="1:1">
      <c r="A7261" s="5"/>
    </row>
    <row r="7262" spans="1:1">
      <c r="A7262" s="5"/>
    </row>
    <row r="7263" spans="1:1">
      <c r="A7263" s="5"/>
    </row>
    <row r="7264" spans="1:1">
      <c r="A7264" s="5"/>
    </row>
    <row r="7265" spans="1:1">
      <c r="A7265" s="5"/>
    </row>
    <row r="7266" spans="1:1">
      <c r="A7266" s="5"/>
    </row>
    <row r="7267" spans="1:1">
      <c r="A7267" s="5"/>
    </row>
    <row r="7268" spans="1:1">
      <c r="A7268" s="5"/>
    </row>
    <row r="7269" spans="1:1">
      <c r="A7269" s="5"/>
    </row>
    <row r="7270" spans="1:1">
      <c r="A7270" s="5"/>
    </row>
    <row r="7271" spans="1:1">
      <c r="A7271" s="5"/>
    </row>
    <row r="7272" spans="1:1">
      <c r="A7272" s="5"/>
    </row>
    <row r="7273" spans="1:1">
      <c r="A7273" s="5"/>
    </row>
    <row r="7274" spans="1:1">
      <c r="A7274" s="5"/>
    </row>
    <row r="7275" spans="1:1">
      <c r="A7275" s="5"/>
    </row>
    <row r="7276" spans="1:1">
      <c r="A7276" s="5"/>
    </row>
    <row r="7277" spans="1:1">
      <c r="A7277" s="5"/>
    </row>
    <row r="7278" spans="1:1">
      <c r="A7278" s="5"/>
    </row>
    <row r="7279" spans="1:1">
      <c r="A7279" s="5"/>
    </row>
    <row r="7280" spans="1:1">
      <c r="A7280" s="5"/>
    </row>
    <row r="7281" spans="1:1">
      <c r="A7281" s="5"/>
    </row>
    <row r="7282" spans="1:1">
      <c r="A7282" s="5"/>
    </row>
    <row r="7283" spans="1:1">
      <c r="A7283" s="5"/>
    </row>
    <row r="7284" spans="1:1">
      <c r="A7284" s="5"/>
    </row>
    <row r="7285" spans="1:1">
      <c r="A7285" s="5"/>
    </row>
    <row r="7286" spans="1:1">
      <c r="A7286" s="5"/>
    </row>
    <row r="7287" spans="1:1">
      <c r="A7287" s="5"/>
    </row>
    <row r="7288" spans="1:1">
      <c r="A7288" s="5"/>
    </row>
    <row r="7289" spans="1:1">
      <c r="A7289" s="5"/>
    </row>
    <row r="7290" spans="1:1">
      <c r="A7290" s="5"/>
    </row>
    <row r="7291" spans="1:1">
      <c r="A7291" s="5"/>
    </row>
    <row r="7292" spans="1:1">
      <c r="A7292" s="5"/>
    </row>
    <row r="7293" spans="1:1">
      <c r="A7293" s="5"/>
    </row>
    <row r="7294" spans="1:1">
      <c r="A7294" s="5"/>
    </row>
    <row r="7295" spans="1:1">
      <c r="A7295" s="5"/>
    </row>
    <row r="7296" spans="1:1">
      <c r="A7296" s="5"/>
    </row>
    <row r="7297" spans="1:1">
      <c r="A7297" s="5"/>
    </row>
    <row r="7298" spans="1:1">
      <c r="A7298" s="5"/>
    </row>
    <row r="7299" spans="1:1">
      <c r="A7299" s="5"/>
    </row>
    <row r="7300" spans="1:1">
      <c r="A7300" s="5"/>
    </row>
    <row r="7301" spans="1:1">
      <c r="A7301" s="5"/>
    </row>
    <row r="7302" spans="1:1">
      <c r="A7302" s="5"/>
    </row>
    <row r="7303" spans="1:1">
      <c r="A7303" s="5"/>
    </row>
    <row r="7304" spans="1:1">
      <c r="A7304" s="5"/>
    </row>
    <row r="7305" spans="1:1">
      <c r="A7305" s="5"/>
    </row>
    <row r="7306" spans="1:1">
      <c r="A7306" s="5"/>
    </row>
    <row r="7307" spans="1:1">
      <c r="A7307" s="5"/>
    </row>
    <row r="7308" spans="1:1">
      <c r="A7308" s="5"/>
    </row>
    <row r="7309" spans="1:1">
      <c r="A7309" s="5"/>
    </row>
    <row r="7310" spans="1:1">
      <c r="A7310" s="5"/>
    </row>
    <row r="7311" spans="1:1">
      <c r="A7311" s="5"/>
    </row>
    <row r="7312" spans="1:1">
      <c r="A7312" s="5"/>
    </row>
    <row r="7313" spans="1:1">
      <c r="A7313" s="5"/>
    </row>
    <row r="7314" spans="1:1">
      <c r="A7314" s="5"/>
    </row>
    <row r="7315" spans="1:1">
      <c r="A7315" s="5"/>
    </row>
    <row r="7316" spans="1:1">
      <c r="A7316" s="5"/>
    </row>
    <row r="7317" spans="1:1">
      <c r="A7317" s="5"/>
    </row>
    <row r="7318" spans="1:1">
      <c r="A7318" s="5"/>
    </row>
    <row r="7319" spans="1:1">
      <c r="A7319" s="5"/>
    </row>
    <row r="7320" spans="1:1">
      <c r="A7320" s="5"/>
    </row>
    <row r="7321" spans="1:1">
      <c r="A7321" s="5"/>
    </row>
    <row r="7322" spans="1:1">
      <c r="A7322" s="5"/>
    </row>
    <row r="7323" spans="1:1">
      <c r="A7323" s="5"/>
    </row>
    <row r="7324" spans="1:1">
      <c r="A7324" s="5"/>
    </row>
    <row r="7325" spans="1:1">
      <c r="A7325" s="5"/>
    </row>
    <row r="7326" spans="1:1">
      <c r="A7326" s="5"/>
    </row>
    <row r="7327" spans="1:1">
      <c r="A7327" s="5"/>
    </row>
    <row r="7328" spans="1:1">
      <c r="A7328" s="5"/>
    </row>
    <row r="7329" spans="1:1">
      <c r="A7329" s="5"/>
    </row>
    <row r="7330" spans="1:1">
      <c r="A7330" s="5"/>
    </row>
    <row r="7331" spans="1:1">
      <c r="A7331" s="5"/>
    </row>
    <row r="7332" spans="1:1">
      <c r="A7332" s="5"/>
    </row>
    <row r="7333" spans="1:1">
      <c r="A7333" s="5"/>
    </row>
    <row r="7334" spans="1:1">
      <c r="A7334" s="5"/>
    </row>
    <row r="7335" spans="1:1">
      <c r="A7335" s="5"/>
    </row>
    <row r="7336" spans="1:1">
      <c r="A7336" s="5"/>
    </row>
    <row r="7337" spans="1:1">
      <c r="A7337" s="5"/>
    </row>
    <row r="7338" spans="1:1">
      <c r="A7338" s="5"/>
    </row>
    <row r="7339" spans="1:1">
      <c r="A7339" s="5"/>
    </row>
    <row r="7340" spans="1:1">
      <c r="A7340" s="5"/>
    </row>
    <row r="7341" spans="1:1">
      <c r="A7341" s="5"/>
    </row>
    <row r="7342" spans="1:1">
      <c r="A7342" s="5"/>
    </row>
    <row r="7343" spans="1:1">
      <c r="A7343" s="5"/>
    </row>
    <row r="7344" spans="1:1">
      <c r="A7344" s="5"/>
    </row>
    <row r="7345" spans="1:1">
      <c r="A7345" s="5"/>
    </row>
    <row r="7346" spans="1:1">
      <c r="A7346" s="5"/>
    </row>
    <row r="7347" spans="1:1">
      <c r="A7347" s="5"/>
    </row>
    <row r="7348" spans="1:1">
      <c r="A7348" s="5"/>
    </row>
    <row r="7349" spans="1:1">
      <c r="A7349" s="5"/>
    </row>
    <row r="7350" spans="1:1">
      <c r="A7350" s="5"/>
    </row>
    <row r="7351" spans="1:1">
      <c r="A7351" s="5"/>
    </row>
    <row r="7352" spans="1:1">
      <c r="A7352" s="5"/>
    </row>
    <row r="7353" spans="1:1">
      <c r="A7353" s="5"/>
    </row>
    <row r="7354" spans="1:1">
      <c r="A7354" s="5"/>
    </row>
    <row r="7355" spans="1:1">
      <c r="A7355" s="5"/>
    </row>
    <row r="7356" spans="1:1">
      <c r="A7356" s="5"/>
    </row>
    <row r="7357" spans="1:1">
      <c r="A7357" s="5"/>
    </row>
    <row r="7358" spans="1:1">
      <c r="A7358" s="5"/>
    </row>
    <row r="7359" spans="1:1">
      <c r="A7359" s="5"/>
    </row>
    <row r="7360" spans="1:1">
      <c r="A7360" s="5"/>
    </row>
    <row r="7361" spans="1:1">
      <c r="A7361" s="5"/>
    </row>
    <row r="7362" spans="1:1">
      <c r="A7362" s="5"/>
    </row>
    <row r="7363" spans="1:1">
      <c r="A7363" s="5"/>
    </row>
    <row r="7364" spans="1:1">
      <c r="A7364" s="5"/>
    </row>
    <row r="7365" spans="1:1">
      <c r="A7365" s="5"/>
    </row>
    <row r="7366" spans="1:1">
      <c r="A7366" s="5"/>
    </row>
    <row r="7367" spans="1:1">
      <c r="A7367" s="5"/>
    </row>
    <row r="7368" spans="1:1">
      <c r="A7368" s="5"/>
    </row>
    <row r="7369" spans="1:1">
      <c r="A7369" s="5"/>
    </row>
    <row r="7370" spans="1:1">
      <c r="A7370" s="5"/>
    </row>
    <row r="7371" spans="1:1">
      <c r="A7371" s="5"/>
    </row>
    <row r="7372" spans="1:1">
      <c r="A7372" s="5"/>
    </row>
    <row r="7373" spans="1:1">
      <c r="A7373" s="5"/>
    </row>
    <row r="7374" spans="1:1">
      <c r="A7374" s="5"/>
    </row>
    <row r="7375" spans="1:1">
      <c r="A7375" s="5"/>
    </row>
    <row r="7376" spans="1:1">
      <c r="A7376" s="5"/>
    </row>
    <row r="7377" spans="1:1">
      <c r="A7377" s="5"/>
    </row>
    <row r="7378" spans="1:1">
      <c r="A7378" s="5"/>
    </row>
    <row r="7379" spans="1:1">
      <c r="A7379" s="5"/>
    </row>
    <row r="7380" spans="1:1">
      <c r="A7380" s="5"/>
    </row>
    <row r="7381" spans="1:1">
      <c r="A7381" s="5"/>
    </row>
    <row r="7382" spans="1:1">
      <c r="A7382" s="5"/>
    </row>
    <row r="7383" spans="1:1">
      <c r="A7383" s="5"/>
    </row>
    <row r="7384" spans="1:1">
      <c r="A7384" s="5"/>
    </row>
    <row r="7385" spans="1:1">
      <c r="A7385" s="5"/>
    </row>
    <row r="7386" spans="1:1">
      <c r="A7386" s="5"/>
    </row>
    <row r="7387" spans="1:1">
      <c r="A7387" s="5"/>
    </row>
    <row r="7388" spans="1:1">
      <c r="A7388" s="5"/>
    </row>
    <row r="7389" spans="1:1">
      <c r="A7389" s="5"/>
    </row>
    <row r="7390" spans="1:1">
      <c r="A7390" s="5"/>
    </row>
    <row r="7391" spans="1:1">
      <c r="A7391" s="5"/>
    </row>
    <row r="7392" spans="1:1">
      <c r="A7392" s="5"/>
    </row>
    <row r="7393" spans="1:1">
      <c r="A7393" s="5"/>
    </row>
    <row r="7394" spans="1:1">
      <c r="A7394" s="5"/>
    </row>
    <row r="7395" spans="1:1">
      <c r="A7395" s="5"/>
    </row>
    <row r="7396" spans="1:1">
      <c r="A7396" s="5"/>
    </row>
    <row r="7397" spans="1:1">
      <c r="A7397" s="5"/>
    </row>
    <row r="7398" spans="1:1">
      <c r="A7398" s="5"/>
    </row>
    <row r="7399" spans="1:1">
      <c r="A7399" s="5"/>
    </row>
    <row r="7400" spans="1:1">
      <c r="A7400" s="5"/>
    </row>
    <row r="7401" spans="1:1">
      <c r="A7401" s="5"/>
    </row>
    <row r="7402" spans="1:1">
      <c r="A7402" s="5"/>
    </row>
    <row r="7403" spans="1:1">
      <c r="A7403" s="5"/>
    </row>
    <row r="7404" spans="1:1">
      <c r="A7404" s="5"/>
    </row>
    <row r="7405" spans="1:1">
      <c r="A7405" s="5"/>
    </row>
    <row r="7406" spans="1:1">
      <c r="A7406" s="5"/>
    </row>
    <row r="7407" spans="1:1">
      <c r="A7407" s="5"/>
    </row>
    <row r="7408" spans="1:1">
      <c r="A7408" s="5"/>
    </row>
    <row r="7409" spans="1:1">
      <c r="A7409" s="5"/>
    </row>
    <row r="7410" spans="1:1">
      <c r="A7410" s="5"/>
    </row>
    <row r="7411" spans="1:1">
      <c r="A7411" s="5"/>
    </row>
    <row r="7412" spans="1:1">
      <c r="A7412" s="5"/>
    </row>
    <row r="7413" spans="1:1">
      <c r="A7413" s="5"/>
    </row>
    <row r="7414" spans="1:1">
      <c r="A7414" s="5"/>
    </row>
    <row r="7415" spans="1:1">
      <c r="A7415" s="5"/>
    </row>
    <row r="7416" spans="1:1">
      <c r="A7416" s="5"/>
    </row>
    <row r="7417" spans="1:1">
      <c r="A7417" s="5"/>
    </row>
    <row r="7418" spans="1:1">
      <c r="A7418" s="5"/>
    </row>
    <row r="7419" spans="1:1">
      <c r="A7419" s="5"/>
    </row>
    <row r="7420" spans="1:1">
      <c r="A7420" s="5"/>
    </row>
    <row r="7421" spans="1:1">
      <c r="A7421" s="5"/>
    </row>
    <row r="7422" spans="1:1">
      <c r="A7422" s="5"/>
    </row>
    <row r="7423" spans="1:1">
      <c r="A7423" s="5"/>
    </row>
    <row r="7424" spans="1:1">
      <c r="A7424" s="5"/>
    </row>
    <row r="7425" spans="1:1">
      <c r="A7425" s="5"/>
    </row>
    <row r="7426" spans="1:1">
      <c r="A7426" s="5"/>
    </row>
    <row r="7427" spans="1:1">
      <c r="A7427" s="5"/>
    </row>
    <row r="7428" spans="1:1">
      <c r="A7428" s="5"/>
    </row>
    <row r="7429" spans="1:1">
      <c r="A7429" s="5"/>
    </row>
    <row r="7430" spans="1:1">
      <c r="A7430" s="5"/>
    </row>
    <row r="7431" spans="1:1">
      <c r="A7431" s="5"/>
    </row>
    <row r="7432" spans="1:1">
      <c r="A7432" s="5"/>
    </row>
    <row r="7433" spans="1:1">
      <c r="A7433" s="5"/>
    </row>
    <row r="7434" spans="1:1">
      <c r="A7434" s="5"/>
    </row>
    <row r="7435" spans="1:1">
      <c r="A7435" s="5"/>
    </row>
    <row r="7436" spans="1:1">
      <c r="A7436" s="5"/>
    </row>
    <row r="7437" spans="1:1">
      <c r="A7437" s="5"/>
    </row>
    <row r="7438" spans="1:1">
      <c r="A7438" s="5"/>
    </row>
    <row r="7439" spans="1:1">
      <c r="A7439" s="5"/>
    </row>
    <row r="7440" spans="1:1">
      <c r="A7440" s="5"/>
    </row>
    <row r="7441" spans="1:1">
      <c r="A7441" s="5"/>
    </row>
    <row r="7442" spans="1:1">
      <c r="A7442" s="5"/>
    </row>
    <row r="7443" spans="1:1">
      <c r="A7443" s="5"/>
    </row>
    <row r="7444" spans="1:1">
      <c r="A7444" s="5"/>
    </row>
    <row r="7445" spans="1:1">
      <c r="A7445" s="5"/>
    </row>
    <row r="7446" spans="1:1">
      <c r="A7446" s="5"/>
    </row>
    <row r="7447" spans="1:1">
      <c r="A7447" s="5"/>
    </row>
    <row r="7448" spans="1:1">
      <c r="A7448" s="5"/>
    </row>
    <row r="7449" spans="1:1">
      <c r="A7449" s="5"/>
    </row>
    <row r="7450" spans="1:1">
      <c r="A7450" s="5"/>
    </row>
    <row r="7451" spans="1:1">
      <c r="A7451" s="5"/>
    </row>
    <row r="7452" spans="1:1">
      <c r="A7452" s="5"/>
    </row>
    <row r="7453" spans="1:1">
      <c r="A7453" s="5"/>
    </row>
    <row r="7454" spans="1:1">
      <c r="A7454" s="5"/>
    </row>
    <row r="7455" spans="1:1">
      <c r="A7455" s="5"/>
    </row>
    <row r="7456" spans="1:1">
      <c r="A7456" s="5"/>
    </row>
    <row r="7457" spans="1:1">
      <c r="A7457" s="5"/>
    </row>
    <row r="7458" spans="1:1">
      <c r="A7458" s="5"/>
    </row>
    <row r="7459" spans="1:1">
      <c r="A7459" s="5"/>
    </row>
    <row r="7460" spans="1:1">
      <c r="A7460" s="5"/>
    </row>
    <row r="7461" spans="1:1">
      <c r="A7461" s="5"/>
    </row>
    <row r="7462" spans="1:1">
      <c r="A7462" s="5"/>
    </row>
    <row r="7463" spans="1:1">
      <c r="A7463" s="5"/>
    </row>
    <row r="7464" spans="1:1">
      <c r="A7464" s="5"/>
    </row>
    <row r="7465" spans="1:1">
      <c r="A7465" s="5"/>
    </row>
    <row r="7466" spans="1:1">
      <c r="A7466" s="5"/>
    </row>
    <row r="7467" spans="1:1">
      <c r="A7467" s="5"/>
    </row>
    <row r="7468" spans="1:1">
      <c r="A7468" s="5"/>
    </row>
    <row r="7469" spans="1:1">
      <c r="A7469" s="5"/>
    </row>
    <row r="7470" spans="1:1">
      <c r="A7470" s="5"/>
    </row>
    <row r="7471" spans="1:1">
      <c r="A7471" s="5"/>
    </row>
    <row r="7472" spans="1:1">
      <c r="A7472" s="5"/>
    </row>
    <row r="7473" spans="1:1">
      <c r="A7473" s="5"/>
    </row>
    <row r="7474" spans="1:1">
      <c r="A7474" s="5"/>
    </row>
    <row r="7475" spans="1:1">
      <c r="A7475" s="5"/>
    </row>
    <row r="7476" spans="1:1">
      <c r="A7476" s="5"/>
    </row>
    <row r="7477" spans="1:1">
      <c r="A7477" s="5"/>
    </row>
    <row r="7478" spans="1:1">
      <c r="A7478" s="5"/>
    </row>
    <row r="7479" spans="1:1">
      <c r="A7479" s="5"/>
    </row>
    <row r="7480" spans="1:1">
      <c r="A7480" s="5"/>
    </row>
    <row r="7481" spans="1:1">
      <c r="A7481" s="5"/>
    </row>
    <row r="7482" spans="1:1">
      <c r="A7482" s="5"/>
    </row>
    <row r="7483" spans="1:1">
      <c r="A7483" s="5"/>
    </row>
    <row r="7484" spans="1:1">
      <c r="A7484" s="5"/>
    </row>
    <row r="7485" spans="1:1">
      <c r="A7485" s="5"/>
    </row>
    <row r="7486" spans="1:1">
      <c r="A7486" s="5"/>
    </row>
    <row r="7487" spans="1:1">
      <c r="A7487" s="5"/>
    </row>
    <row r="7488" spans="1:1">
      <c r="A7488" s="5"/>
    </row>
    <row r="7489" spans="1:1">
      <c r="A7489" s="5"/>
    </row>
    <row r="7490" spans="1:1">
      <c r="A7490" s="5"/>
    </row>
    <row r="7491" spans="1:1">
      <c r="A7491" s="5"/>
    </row>
    <row r="7492" spans="1:1">
      <c r="A7492" s="5"/>
    </row>
    <row r="7493" spans="1:1">
      <c r="A7493" s="5"/>
    </row>
    <row r="7494" spans="1:1">
      <c r="A7494" s="5"/>
    </row>
    <row r="7495" spans="1:1">
      <c r="A7495" s="5"/>
    </row>
    <row r="7496" spans="1:1">
      <c r="A7496" s="5"/>
    </row>
    <row r="7497" spans="1:1">
      <c r="A7497" s="5"/>
    </row>
    <row r="7498" spans="1:1">
      <c r="A7498" s="5"/>
    </row>
    <row r="7499" spans="1:1">
      <c r="A7499" s="5"/>
    </row>
    <row r="7500" spans="1:1">
      <c r="A7500" s="5"/>
    </row>
    <row r="7501" spans="1:1">
      <c r="A7501" s="5"/>
    </row>
    <row r="7502" spans="1:1">
      <c r="A7502" s="5"/>
    </row>
    <row r="7503" spans="1:1">
      <c r="A7503" s="5"/>
    </row>
    <row r="7504" spans="1:1">
      <c r="A7504" s="5"/>
    </row>
    <row r="7505" spans="1:1">
      <c r="A7505" s="5"/>
    </row>
    <row r="7506" spans="1:1">
      <c r="A7506" s="5"/>
    </row>
    <row r="7507" spans="1:1">
      <c r="A7507" s="5"/>
    </row>
    <row r="7508" spans="1:1">
      <c r="A7508" s="5"/>
    </row>
    <row r="7509" spans="1:1">
      <c r="A7509" s="5"/>
    </row>
    <row r="7510" spans="1:1">
      <c r="A7510" s="5"/>
    </row>
    <row r="7511" spans="1:1">
      <c r="A7511" s="5"/>
    </row>
    <row r="7512" spans="1:1">
      <c r="A7512" s="5"/>
    </row>
    <row r="7513" spans="1:1">
      <c r="A7513" s="5"/>
    </row>
    <row r="7514" spans="1:1">
      <c r="A7514" s="5"/>
    </row>
    <row r="7515" spans="1:1">
      <c r="A7515" s="5"/>
    </row>
    <row r="7516" spans="1:1">
      <c r="A7516" s="5"/>
    </row>
    <row r="7517" spans="1:1">
      <c r="A7517" s="5"/>
    </row>
    <row r="7518" spans="1:1">
      <c r="A7518" s="5"/>
    </row>
    <row r="7519" spans="1:1">
      <c r="A7519" s="5"/>
    </row>
    <row r="7520" spans="1:1">
      <c r="A7520" s="5"/>
    </row>
    <row r="7521" spans="1:1">
      <c r="A7521" s="5"/>
    </row>
    <row r="7522" spans="1:1">
      <c r="A7522" s="5"/>
    </row>
    <row r="7523" spans="1:1">
      <c r="A7523" s="5"/>
    </row>
    <row r="7524" spans="1:1">
      <c r="A7524" s="5"/>
    </row>
    <row r="7525" spans="1:1">
      <c r="A7525" s="5"/>
    </row>
    <row r="7526" spans="1:1">
      <c r="A7526" s="5"/>
    </row>
    <row r="7527" spans="1:1">
      <c r="A7527" s="5"/>
    </row>
    <row r="7528" spans="1:1">
      <c r="A7528" s="5"/>
    </row>
    <row r="7529" spans="1:1">
      <c r="A7529" s="5"/>
    </row>
    <row r="7530" spans="1:1">
      <c r="A7530" s="5"/>
    </row>
    <row r="7531" spans="1:1">
      <c r="A7531" s="5"/>
    </row>
    <row r="7532" spans="1:1">
      <c r="A7532" s="5"/>
    </row>
    <row r="7533" spans="1:1">
      <c r="A7533" s="5"/>
    </row>
    <row r="7534" spans="1:1">
      <c r="A7534" s="5"/>
    </row>
    <row r="7535" spans="1:1">
      <c r="A7535" s="5"/>
    </row>
    <row r="7536" spans="1:1">
      <c r="A7536" s="5"/>
    </row>
    <row r="7537" spans="1:1">
      <c r="A7537" s="5"/>
    </row>
    <row r="7538" spans="1:1">
      <c r="A7538" s="5"/>
    </row>
    <row r="7539" spans="1:1">
      <c r="A7539" s="5"/>
    </row>
    <row r="7540" spans="1:1">
      <c r="A7540" s="5"/>
    </row>
    <row r="7541" spans="1:1">
      <c r="A7541" s="5"/>
    </row>
    <row r="7542" spans="1:1">
      <c r="A7542" s="5"/>
    </row>
    <row r="7543" spans="1:1">
      <c r="A7543" s="5"/>
    </row>
    <row r="7544" spans="1:1">
      <c r="A7544" s="5"/>
    </row>
    <row r="7545" spans="1:1">
      <c r="A7545" s="5"/>
    </row>
    <row r="7546" spans="1:1">
      <c r="A7546" s="5"/>
    </row>
    <row r="7547" spans="1:1">
      <c r="A7547" s="5"/>
    </row>
    <row r="7548" spans="1:1">
      <c r="A7548" s="5"/>
    </row>
    <row r="7549" spans="1:1">
      <c r="A7549" s="5"/>
    </row>
    <row r="7550" spans="1:1">
      <c r="A7550" s="5"/>
    </row>
    <row r="7551" spans="1:1">
      <c r="A7551" s="5"/>
    </row>
    <row r="7552" spans="1:1">
      <c r="A7552" s="5"/>
    </row>
    <row r="7553" spans="1:1">
      <c r="A7553" s="5"/>
    </row>
    <row r="7554" spans="1:1">
      <c r="A7554" s="5"/>
    </row>
    <row r="7555" spans="1:1">
      <c r="A7555" s="5"/>
    </row>
    <row r="7556" spans="1:1">
      <c r="A7556" s="5"/>
    </row>
    <row r="7557" spans="1:1">
      <c r="A7557" s="5"/>
    </row>
    <row r="7558" spans="1:1">
      <c r="A7558" s="5"/>
    </row>
    <row r="7559" spans="1:1">
      <c r="A7559" s="5"/>
    </row>
    <row r="7560" spans="1:1">
      <c r="A7560" s="5"/>
    </row>
    <row r="7561" spans="1:1">
      <c r="A7561" s="5"/>
    </row>
    <row r="7562" spans="1:1">
      <c r="A7562" s="5"/>
    </row>
    <row r="7563" spans="1:1">
      <c r="A7563" s="5"/>
    </row>
    <row r="7564" spans="1:1">
      <c r="A7564" s="5"/>
    </row>
    <row r="7565" spans="1:1">
      <c r="A7565" s="5"/>
    </row>
    <row r="7566" spans="1:1">
      <c r="A7566" s="5"/>
    </row>
    <row r="7567" spans="1:1">
      <c r="A7567" s="5"/>
    </row>
    <row r="7568" spans="1:1">
      <c r="A7568" s="5"/>
    </row>
    <row r="7569" spans="1:1">
      <c r="A7569" s="5"/>
    </row>
    <row r="7570" spans="1:1">
      <c r="A7570" s="5"/>
    </row>
    <row r="7571" spans="1:1">
      <c r="A7571" s="5"/>
    </row>
    <row r="7572" spans="1:1">
      <c r="A7572" s="5"/>
    </row>
    <row r="7573" spans="1:1">
      <c r="A7573" s="5"/>
    </row>
    <row r="7574" spans="1:1">
      <c r="A7574" s="5"/>
    </row>
    <row r="7575" spans="1:1">
      <c r="A7575" s="5"/>
    </row>
    <row r="7576" spans="1:1">
      <c r="A7576" s="5"/>
    </row>
    <row r="7577" spans="1:1">
      <c r="A7577" s="5"/>
    </row>
    <row r="7578" spans="1:1">
      <c r="A7578" s="5"/>
    </row>
    <row r="7579" spans="1:1">
      <c r="A7579" s="5"/>
    </row>
    <row r="7580" spans="1:1">
      <c r="A7580" s="5"/>
    </row>
    <row r="7581" spans="1:1">
      <c r="A7581" s="5"/>
    </row>
    <row r="7582" spans="1:1">
      <c r="A7582" s="5"/>
    </row>
    <row r="7583" spans="1:1">
      <c r="A7583" s="5"/>
    </row>
    <row r="7584" spans="1:1">
      <c r="A7584" s="5"/>
    </row>
    <row r="7585" spans="1:1">
      <c r="A7585" s="5"/>
    </row>
    <row r="7586" spans="1:1">
      <c r="A7586" s="5"/>
    </row>
    <row r="7587" spans="1:1">
      <c r="A7587" s="5"/>
    </row>
    <row r="7588" spans="1:1">
      <c r="A7588" s="5"/>
    </row>
    <row r="7589" spans="1:1">
      <c r="A7589" s="5"/>
    </row>
    <row r="7590" spans="1:1">
      <c r="A7590" s="5"/>
    </row>
    <row r="7591" spans="1:1">
      <c r="A7591" s="5"/>
    </row>
    <row r="7592" spans="1:1">
      <c r="A7592" s="5"/>
    </row>
    <row r="7593" spans="1:1">
      <c r="A7593" s="5"/>
    </row>
    <row r="7594" spans="1:1">
      <c r="A7594" s="5"/>
    </row>
    <row r="7595" spans="1:1">
      <c r="A7595" s="5"/>
    </row>
    <row r="7596" spans="1:1">
      <c r="A7596" s="5"/>
    </row>
    <row r="7597" spans="1:1">
      <c r="A7597" s="5"/>
    </row>
    <row r="7598" spans="1:1">
      <c r="A7598" s="5"/>
    </row>
    <row r="7599" spans="1:1">
      <c r="A7599" s="5"/>
    </row>
    <row r="7600" spans="1:1">
      <c r="A7600" s="5"/>
    </row>
    <row r="7601" spans="1:1">
      <c r="A7601" s="5"/>
    </row>
    <row r="7602" spans="1:1">
      <c r="A7602" s="5"/>
    </row>
    <row r="7603" spans="1:1">
      <c r="A7603" s="5"/>
    </row>
    <row r="7604" spans="1:1">
      <c r="A7604" s="5"/>
    </row>
    <row r="7605" spans="1:1">
      <c r="A7605" s="5"/>
    </row>
    <row r="7606" spans="1:1">
      <c r="A7606" s="5"/>
    </row>
    <row r="7607" spans="1:1">
      <c r="A7607" s="5"/>
    </row>
    <row r="7608" spans="1:1">
      <c r="A7608" s="5"/>
    </row>
    <row r="7609" spans="1:1">
      <c r="A7609" s="5"/>
    </row>
    <row r="7610" spans="1:1">
      <c r="A7610" s="5"/>
    </row>
    <row r="7611" spans="1:1">
      <c r="A7611" s="5"/>
    </row>
    <row r="7612" spans="1:1">
      <c r="A7612" s="5"/>
    </row>
    <row r="7613" spans="1:1">
      <c r="A7613" s="5"/>
    </row>
    <row r="7614" spans="1:1">
      <c r="A7614" s="5"/>
    </row>
    <row r="7615" spans="1:1">
      <c r="A7615" s="5"/>
    </row>
    <row r="7616" spans="1:1">
      <c r="A7616" s="5"/>
    </row>
    <row r="7617" spans="1:1">
      <c r="A7617" s="5"/>
    </row>
    <row r="7618" spans="1:1">
      <c r="A7618" s="5"/>
    </row>
    <row r="7619" spans="1:1">
      <c r="A7619" s="5"/>
    </row>
    <row r="7620" spans="1:1">
      <c r="A7620" s="5"/>
    </row>
    <row r="7621" spans="1:1">
      <c r="A7621" s="5"/>
    </row>
    <row r="7622" spans="1:1">
      <c r="A7622" s="5"/>
    </row>
    <row r="7623" spans="1:1">
      <c r="A7623" s="5"/>
    </row>
    <row r="7624" spans="1:1">
      <c r="A7624" s="5"/>
    </row>
    <row r="7625" spans="1:1">
      <c r="A7625" s="5"/>
    </row>
    <row r="7626" spans="1:1">
      <c r="A7626" s="5"/>
    </row>
    <row r="7627" spans="1:1">
      <c r="A7627" s="5"/>
    </row>
    <row r="7628" spans="1:1">
      <c r="A7628" s="5"/>
    </row>
    <row r="7629" spans="1:1">
      <c r="A7629" s="5"/>
    </row>
    <row r="7630" spans="1:1">
      <c r="A7630" s="5"/>
    </row>
    <row r="7631" spans="1:1">
      <c r="A7631" s="5"/>
    </row>
    <row r="7632" spans="1:1">
      <c r="A7632" s="5"/>
    </row>
    <row r="7633" spans="1:1">
      <c r="A7633" s="5"/>
    </row>
    <row r="7634" spans="1:1">
      <c r="A7634" s="5"/>
    </row>
    <row r="7635" spans="1:1">
      <c r="A7635" s="5"/>
    </row>
    <row r="7636" spans="1:1">
      <c r="A7636" s="5"/>
    </row>
    <row r="7637" spans="1:1">
      <c r="A7637" s="5"/>
    </row>
    <row r="7638" spans="1:1">
      <c r="A7638" s="5"/>
    </row>
    <row r="7639" spans="1:1">
      <c r="A7639" s="5"/>
    </row>
    <row r="7640" spans="1:1">
      <c r="A7640" s="5"/>
    </row>
    <row r="7641" spans="1:1">
      <c r="A7641" s="5"/>
    </row>
    <row r="7642" spans="1:1">
      <c r="A7642" s="5"/>
    </row>
    <row r="7643" spans="1:1">
      <c r="A7643" s="5"/>
    </row>
    <row r="7644" spans="1:1">
      <c r="A7644" s="5"/>
    </row>
    <row r="7645" spans="1:1">
      <c r="A7645" s="5"/>
    </row>
    <row r="7646" spans="1:1">
      <c r="A7646" s="5"/>
    </row>
    <row r="7647" spans="1:1">
      <c r="A7647" s="5"/>
    </row>
    <row r="7648" spans="1:1">
      <c r="A7648" s="5"/>
    </row>
    <row r="7649" spans="1:1">
      <c r="A7649" s="5"/>
    </row>
    <row r="7650" spans="1:1">
      <c r="A7650" s="5"/>
    </row>
    <row r="7651" spans="1:1">
      <c r="A7651" s="5"/>
    </row>
    <row r="7652" spans="1:1">
      <c r="A7652" s="5"/>
    </row>
    <row r="7653" spans="1:1">
      <c r="A7653" s="5"/>
    </row>
    <row r="7654" spans="1:1">
      <c r="A7654" s="5"/>
    </row>
    <row r="7655" spans="1:1">
      <c r="A7655" s="5"/>
    </row>
    <row r="7656" spans="1:1">
      <c r="A7656" s="5"/>
    </row>
    <row r="7657" spans="1:1">
      <c r="A7657" s="5"/>
    </row>
    <row r="7658" spans="1:1">
      <c r="A7658" s="5"/>
    </row>
    <row r="7659" spans="1:1">
      <c r="A7659" s="5"/>
    </row>
    <row r="7660" spans="1:1">
      <c r="A7660" s="5"/>
    </row>
    <row r="7661" spans="1:1">
      <c r="A7661" s="5"/>
    </row>
    <row r="7662" spans="1:1">
      <c r="A7662" s="5"/>
    </row>
    <row r="7663" spans="1:1">
      <c r="A7663" s="5"/>
    </row>
    <row r="7664" spans="1:1">
      <c r="A7664" s="5"/>
    </row>
    <row r="7665" spans="1:1">
      <c r="A7665" s="5"/>
    </row>
    <row r="7666" spans="1:1">
      <c r="A7666" s="5"/>
    </row>
    <row r="7667" spans="1:1">
      <c r="A7667" s="5"/>
    </row>
    <row r="7668" spans="1:1">
      <c r="A7668" s="5"/>
    </row>
    <row r="7669" spans="1:1">
      <c r="A7669" s="5"/>
    </row>
    <row r="7670" spans="1:1">
      <c r="A7670" s="5"/>
    </row>
    <row r="7671" spans="1:1">
      <c r="A7671" s="5"/>
    </row>
    <row r="7672" spans="1:1">
      <c r="A7672" s="5"/>
    </row>
    <row r="7673" spans="1:1">
      <c r="A7673" s="5"/>
    </row>
    <row r="7674" spans="1:1">
      <c r="A7674" s="5"/>
    </row>
    <row r="7675" spans="1:1">
      <c r="A7675" s="5"/>
    </row>
    <row r="7676" spans="1:1">
      <c r="A7676" s="5"/>
    </row>
    <row r="7677" spans="1:1">
      <c r="A7677" s="5"/>
    </row>
    <row r="7678" spans="1:1">
      <c r="A7678" s="5"/>
    </row>
    <row r="7679" spans="1:1">
      <c r="A7679" s="5"/>
    </row>
    <row r="7680" spans="1:1">
      <c r="A7680" s="5"/>
    </row>
    <row r="7681" spans="1:1">
      <c r="A7681" s="5"/>
    </row>
    <row r="7682" spans="1:1">
      <c r="A7682" s="5"/>
    </row>
    <row r="7683" spans="1:1">
      <c r="A7683" s="5"/>
    </row>
    <row r="7684" spans="1:1">
      <c r="A7684" s="5"/>
    </row>
    <row r="7685" spans="1:1">
      <c r="A7685" s="5"/>
    </row>
    <row r="7686" spans="1:1">
      <c r="A7686" s="5"/>
    </row>
    <row r="7687" spans="1:1">
      <c r="A7687" s="5"/>
    </row>
    <row r="7688" spans="1:1">
      <c r="A7688" s="5"/>
    </row>
    <row r="7689" spans="1:1">
      <c r="A7689" s="5"/>
    </row>
    <row r="7690" spans="1:1">
      <c r="A7690" s="5"/>
    </row>
    <row r="7691" spans="1:1">
      <c r="A7691" s="5"/>
    </row>
    <row r="7692" spans="1:1">
      <c r="A7692" s="5"/>
    </row>
    <row r="7693" spans="1:1">
      <c r="A7693" s="5"/>
    </row>
    <row r="7694" spans="1:1">
      <c r="A7694" s="5"/>
    </row>
    <row r="7695" spans="1:1">
      <c r="A7695" s="5"/>
    </row>
    <row r="7696" spans="1:1">
      <c r="A7696" s="5"/>
    </row>
    <row r="7697" spans="1:1">
      <c r="A7697" s="5"/>
    </row>
    <row r="7698" spans="1:1">
      <c r="A7698" s="5"/>
    </row>
    <row r="7699" spans="1:1">
      <c r="A7699" s="5"/>
    </row>
    <row r="7700" spans="1:1">
      <c r="A7700" s="5"/>
    </row>
    <row r="7701" spans="1:1">
      <c r="A7701" s="5"/>
    </row>
    <row r="7702" spans="1:1">
      <c r="A7702" s="5"/>
    </row>
    <row r="7703" spans="1:1">
      <c r="A7703" s="5"/>
    </row>
    <row r="7704" spans="1:1">
      <c r="A7704" s="5"/>
    </row>
    <row r="7705" spans="1:1">
      <c r="A7705" s="5"/>
    </row>
    <row r="7706" spans="1:1">
      <c r="A7706" s="5"/>
    </row>
    <row r="7707" spans="1:1">
      <c r="A7707" s="5"/>
    </row>
    <row r="7708" spans="1:1">
      <c r="A7708" s="5"/>
    </row>
    <row r="7709" spans="1:1">
      <c r="A7709" s="5"/>
    </row>
    <row r="7710" spans="1:1">
      <c r="A7710" s="5"/>
    </row>
    <row r="7711" spans="1:1">
      <c r="A7711" s="5"/>
    </row>
    <row r="7712" spans="1:1">
      <c r="A7712" s="5"/>
    </row>
    <row r="7713" spans="1:1">
      <c r="A7713" s="5"/>
    </row>
    <row r="7714" spans="1:1">
      <c r="A7714" s="5"/>
    </row>
    <row r="7715" spans="1:1">
      <c r="A7715" s="5"/>
    </row>
    <row r="7716" spans="1:1">
      <c r="A7716" s="5"/>
    </row>
    <row r="7717" spans="1:1">
      <c r="A7717" s="5"/>
    </row>
    <row r="7718" spans="1:1">
      <c r="A7718" s="5"/>
    </row>
    <row r="7719" spans="1:1">
      <c r="A7719" s="5"/>
    </row>
    <row r="7720" spans="1:1">
      <c r="A7720" s="5"/>
    </row>
    <row r="7721" spans="1:1">
      <c r="A7721" s="5"/>
    </row>
    <row r="7722" spans="1:1">
      <c r="A7722" s="5"/>
    </row>
    <row r="7723" spans="1:1">
      <c r="A7723" s="5"/>
    </row>
    <row r="7724" spans="1:1">
      <c r="A7724" s="5"/>
    </row>
    <row r="7725" spans="1:1">
      <c r="A7725" s="5"/>
    </row>
    <row r="7726" spans="1:1">
      <c r="A7726" s="5"/>
    </row>
    <row r="7727" spans="1:1">
      <c r="A7727" s="5"/>
    </row>
    <row r="7728" spans="1:1">
      <c r="A7728" s="5"/>
    </row>
    <row r="7729" spans="1:1">
      <c r="A7729" s="5"/>
    </row>
    <row r="7730" spans="1:1">
      <c r="A7730" s="5"/>
    </row>
    <row r="7731" spans="1:1">
      <c r="A7731" s="5"/>
    </row>
    <row r="7732" spans="1:1">
      <c r="A7732" s="5"/>
    </row>
    <row r="7733" spans="1:1">
      <c r="A7733" s="5"/>
    </row>
    <row r="7734" spans="1:1">
      <c r="A7734" s="5"/>
    </row>
    <row r="7735" spans="1:1">
      <c r="A7735" s="5"/>
    </row>
    <row r="7736" spans="1:1">
      <c r="A7736" s="5"/>
    </row>
    <row r="7737" spans="1:1">
      <c r="A7737" s="5"/>
    </row>
    <row r="7738" spans="1:1">
      <c r="A7738" s="5"/>
    </row>
    <row r="7739" spans="1:1">
      <c r="A7739" s="5"/>
    </row>
    <row r="7740" spans="1:1">
      <c r="A7740" s="5"/>
    </row>
    <row r="7741" spans="1:1">
      <c r="A7741" s="5"/>
    </row>
    <row r="7742" spans="1:1">
      <c r="A7742" s="5"/>
    </row>
    <row r="7743" spans="1:1">
      <c r="A7743" s="5"/>
    </row>
    <row r="7744" spans="1:1">
      <c r="A7744" s="5"/>
    </row>
    <row r="7745" spans="1:1">
      <c r="A7745" s="5"/>
    </row>
    <row r="7746" spans="1:1">
      <c r="A7746" s="5"/>
    </row>
    <row r="7747" spans="1:1">
      <c r="A7747" s="5"/>
    </row>
    <row r="7748" spans="1:1">
      <c r="A7748" s="5"/>
    </row>
    <row r="7749" spans="1:1">
      <c r="A7749" s="5"/>
    </row>
    <row r="7750" spans="1:1">
      <c r="A7750" s="5"/>
    </row>
    <row r="7751" spans="1:1">
      <c r="A7751" s="5"/>
    </row>
    <row r="7752" spans="1:1">
      <c r="A7752" s="5"/>
    </row>
    <row r="7753" spans="1:1">
      <c r="A7753" s="5"/>
    </row>
    <row r="7754" spans="1:1">
      <c r="A7754" s="5"/>
    </row>
    <row r="7755" spans="1:1">
      <c r="A7755" s="5"/>
    </row>
    <row r="7756" spans="1:1">
      <c r="A7756" s="5"/>
    </row>
    <row r="7757" spans="1:1">
      <c r="A7757" s="5"/>
    </row>
    <row r="7758" spans="1:1">
      <c r="A7758" s="5"/>
    </row>
    <row r="7759" spans="1:1">
      <c r="A7759" s="5"/>
    </row>
    <row r="7760" spans="1:1">
      <c r="A7760" s="5"/>
    </row>
    <row r="7761" spans="1:1">
      <c r="A7761" s="5"/>
    </row>
    <row r="7762" spans="1:1">
      <c r="A7762" s="5"/>
    </row>
    <row r="7763" spans="1:1">
      <c r="A7763" s="5"/>
    </row>
    <row r="7764" spans="1:1">
      <c r="A7764" s="5"/>
    </row>
    <row r="7765" spans="1:1">
      <c r="A7765" s="5"/>
    </row>
    <row r="7766" spans="1:1">
      <c r="A7766" s="5"/>
    </row>
    <row r="7767" spans="1:1">
      <c r="A7767" s="5"/>
    </row>
    <row r="7768" spans="1:1">
      <c r="A7768" s="5"/>
    </row>
    <row r="7769" spans="1:1">
      <c r="A7769" s="5"/>
    </row>
    <row r="7770" spans="1:1">
      <c r="A7770" s="5"/>
    </row>
    <row r="7771" spans="1:1">
      <c r="A7771" s="5"/>
    </row>
    <row r="7772" spans="1:1">
      <c r="A7772" s="5"/>
    </row>
    <row r="7773" spans="1:1">
      <c r="A7773" s="5"/>
    </row>
    <row r="7774" spans="1:1">
      <c r="A7774" s="5"/>
    </row>
    <row r="7775" spans="1:1">
      <c r="A7775" s="5"/>
    </row>
    <row r="7776" spans="1:1">
      <c r="A7776" s="5"/>
    </row>
    <row r="7777" spans="1:1">
      <c r="A7777" s="5"/>
    </row>
    <row r="7778" spans="1:1">
      <c r="A7778" s="5"/>
    </row>
    <row r="7779" spans="1:1">
      <c r="A7779" s="5"/>
    </row>
    <row r="7780" spans="1:1">
      <c r="A7780" s="5"/>
    </row>
    <row r="7781" spans="1:1">
      <c r="A7781" s="5"/>
    </row>
    <row r="7782" spans="1:1">
      <c r="A7782" s="5"/>
    </row>
    <row r="7783" spans="1:1">
      <c r="A7783" s="5"/>
    </row>
    <row r="7784" spans="1:1">
      <c r="A7784" s="5"/>
    </row>
    <row r="7785" spans="1:1">
      <c r="A7785" s="5"/>
    </row>
    <row r="7786" spans="1:1">
      <c r="A7786" s="5"/>
    </row>
    <row r="7787" spans="1:1">
      <c r="A7787" s="5"/>
    </row>
    <row r="7788" spans="1:1">
      <c r="A7788" s="5"/>
    </row>
    <row r="7789" spans="1:1">
      <c r="A7789" s="5"/>
    </row>
    <row r="7790" spans="1:1">
      <c r="A7790" s="5"/>
    </row>
    <row r="7791" spans="1:1">
      <c r="A7791" s="5"/>
    </row>
    <row r="7792" spans="1:1">
      <c r="A7792" s="5"/>
    </row>
    <row r="7793" spans="1:1">
      <c r="A7793" s="5"/>
    </row>
    <row r="7794" spans="1:1">
      <c r="A7794" s="5"/>
    </row>
    <row r="7795" spans="1:1">
      <c r="A7795" s="5"/>
    </row>
    <row r="7796" spans="1:1">
      <c r="A7796" s="5"/>
    </row>
    <row r="7797" spans="1:1">
      <c r="A7797" s="5"/>
    </row>
    <row r="7798" spans="1:1">
      <c r="A7798" s="5"/>
    </row>
    <row r="7799" spans="1:1">
      <c r="A7799" s="5"/>
    </row>
    <row r="7800" spans="1:1">
      <c r="A7800" s="5"/>
    </row>
    <row r="7801" spans="1:1">
      <c r="A7801" s="5"/>
    </row>
    <row r="7802" spans="1:1">
      <c r="A7802" s="5"/>
    </row>
    <row r="7803" spans="1:1">
      <c r="A7803" s="5"/>
    </row>
    <row r="7804" spans="1:1">
      <c r="A7804" s="5"/>
    </row>
    <row r="7805" spans="1:1">
      <c r="A7805" s="5"/>
    </row>
    <row r="7806" spans="1:1">
      <c r="A7806" s="5"/>
    </row>
    <row r="7807" spans="1:1">
      <c r="A7807" s="5"/>
    </row>
    <row r="7808" spans="1:1">
      <c r="A7808" s="5"/>
    </row>
    <row r="7809" spans="1:1">
      <c r="A7809" s="5"/>
    </row>
    <row r="7810" spans="1:1">
      <c r="A7810" s="5"/>
    </row>
    <row r="7811" spans="1:1">
      <c r="A7811" s="5"/>
    </row>
    <row r="7812" spans="1:1">
      <c r="A7812" s="5"/>
    </row>
    <row r="7813" spans="1:1">
      <c r="A7813" s="5"/>
    </row>
    <row r="7814" spans="1:1">
      <c r="A7814" s="5"/>
    </row>
    <row r="7815" spans="1:1">
      <c r="A7815" s="5"/>
    </row>
    <row r="7816" spans="1:1">
      <c r="A7816" s="5"/>
    </row>
    <row r="7817" spans="1:1">
      <c r="A7817" s="5"/>
    </row>
    <row r="7818" spans="1:1">
      <c r="A7818" s="5"/>
    </row>
    <row r="7819" spans="1:1">
      <c r="A7819" s="5"/>
    </row>
    <row r="7820" spans="1:1">
      <c r="A7820" s="5"/>
    </row>
    <row r="7821" spans="1:1">
      <c r="A7821" s="5"/>
    </row>
    <row r="7822" spans="1:1">
      <c r="A7822" s="5"/>
    </row>
    <row r="7823" spans="1:1">
      <c r="A7823" s="5"/>
    </row>
    <row r="7824" spans="1:1">
      <c r="A7824" s="5"/>
    </row>
    <row r="7825" spans="1:1">
      <c r="A7825" s="5"/>
    </row>
    <row r="7826" spans="1:1">
      <c r="A7826" s="5"/>
    </row>
    <row r="7827" spans="1:1">
      <c r="A7827" s="5"/>
    </row>
    <row r="7828" spans="1:1">
      <c r="A7828" s="5"/>
    </row>
    <row r="7829" spans="1:1">
      <c r="A7829" s="5"/>
    </row>
    <row r="7830" spans="1:1">
      <c r="A7830" s="5"/>
    </row>
    <row r="7831" spans="1:1">
      <c r="A7831" s="5"/>
    </row>
    <row r="7832" spans="1:1">
      <c r="A7832" s="5"/>
    </row>
    <row r="7833" spans="1:1">
      <c r="A7833" s="5"/>
    </row>
    <row r="7834" spans="1:1">
      <c r="A7834" s="5"/>
    </row>
    <row r="7835" spans="1:1">
      <c r="A7835" s="5"/>
    </row>
    <row r="7836" spans="1:1">
      <c r="A7836" s="5"/>
    </row>
    <row r="7837" spans="1:1">
      <c r="A7837" s="5"/>
    </row>
    <row r="7838" spans="1:1">
      <c r="A7838" s="5"/>
    </row>
    <row r="7839" spans="1:1">
      <c r="A7839" s="5"/>
    </row>
    <row r="7840" spans="1:1">
      <c r="A7840" s="5"/>
    </row>
    <row r="7841" spans="1:1">
      <c r="A7841" s="5"/>
    </row>
    <row r="7842" spans="1:1">
      <c r="A7842" s="5"/>
    </row>
    <row r="7843" spans="1:1">
      <c r="A7843" s="5"/>
    </row>
    <row r="7844" spans="1:1">
      <c r="A7844" s="5"/>
    </row>
    <row r="7845" spans="1:1">
      <c r="A7845" s="5"/>
    </row>
    <row r="7846" spans="1:1">
      <c r="A7846" s="5"/>
    </row>
    <row r="7847" spans="1:1">
      <c r="A7847" s="5"/>
    </row>
    <row r="7848" spans="1:1">
      <c r="A7848" s="5"/>
    </row>
    <row r="7849" spans="1:1">
      <c r="A7849" s="5"/>
    </row>
    <row r="7850" spans="1:1">
      <c r="A7850" s="5"/>
    </row>
    <row r="7851" spans="1:1">
      <c r="A7851" s="5"/>
    </row>
    <row r="7852" spans="1:1">
      <c r="A7852" s="5"/>
    </row>
    <row r="7853" spans="1:1">
      <c r="A7853" s="5"/>
    </row>
    <row r="7854" spans="1:1">
      <c r="A7854" s="5"/>
    </row>
    <row r="7855" spans="1:1">
      <c r="A7855" s="5"/>
    </row>
    <row r="7856" spans="1:1">
      <c r="A7856" s="5"/>
    </row>
    <row r="7857" spans="1:1">
      <c r="A7857" s="5"/>
    </row>
    <row r="7858" spans="1:1">
      <c r="A7858" s="5"/>
    </row>
    <row r="7859" spans="1:1">
      <c r="A7859" s="5"/>
    </row>
    <row r="7860" spans="1:1">
      <c r="A7860" s="5"/>
    </row>
    <row r="7861" spans="1:1">
      <c r="A7861" s="5"/>
    </row>
    <row r="7862" spans="1:1">
      <c r="A7862" s="5"/>
    </row>
    <row r="7863" spans="1:1">
      <c r="A7863" s="5"/>
    </row>
    <row r="7864" spans="1:1">
      <c r="A7864" s="5"/>
    </row>
    <row r="7865" spans="1:1">
      <c r="A7865" s="5"/>
    </row>
    <row r="7866" spans="1:1">
      <c r="A7866" s="5"/>
    </row>
    <row r="7867" spans="1:1">
      <c r="A7867" s="5"/>
    </row>
    <row r="7868" spans="1:1">
      <c r="A7868" s="5"/>
    </row>
    <row r="7869" spans="1:1">
      <c r="A7869" s="5"/>
    </row>
    <row r="7870" spans="1:1">
      <c r="A7870" s="5"/>
    </row>
    <row r="7871" spans="1:1">
      <c r="A7871" s="5"/>
    </row>
    <row r="7872" spans="1:1">
      <c r="A7872" s="5"/>
    </row>
    <row r="7873" spans="1:1">
      <c r="A7873" s="5"/>
    </row>
    <row r="7874" spans="1:1">
      <c r="A7874" s="5"/>
    </row>
    <row r="7875" spans="1:1">
      <c r="A7875" s="5"/>
    </row>
    <row r="7876" spans="1:1">
      <c r="A7876" s="5"/>
    </row>
    <row r="7877" spans="1:1">
      <c r="A7877" s="5"/>
    </row>
    <row r="7878" spans="1:1">
      <c r="A7878" s="5"/>
    </row>
    <row r="7879" spans="1:1">
      <c r="A7879" s="5"/>
    </row>
    <row r="7880" spans="1:1">
      <c r="A7880" s="5"/>
    </row>
    <row r="7881" spans="1:1">
      <c r="A7881" s="5"/>
    </row>
    <row r="7882" spans="1:1">
      <c r="A7882" s="5"/>
    </row>
    <row r="7883" spans="1:1">
      <c r="A7883" s="5"/>
    </row>
    <row r="7884" spans="1:1">
      <c r="A7884" s="5"/>
    </row>
    <row r="7885" spans="1:1">
      <c r="A7885" s="5"/>
    </row>
    <row r="7886" spans="1:1">
      <c r="A7886" s="5"/>
    </row>
    <row r="7887" spans="1:1">
      <c r="A7887" s="5"/>
    </row>
    <row r="7888" spans="1:1">
      <c r="A7888" s="5"/>
    </row>
    <row r="7889" spans="1:1">
      <c r="A7889" s="5"/>
    </row>
    <row r="7890" spans="1:1">
      <c r="A7890" s="5"/>
    </row>
    <row r="7891" spans="1:1">
      <c r="A7891" s="5"/>
    </row>
    <row r="7892" spans="1:1">
      <c r="A7892" s="5"/>
    </row>
    <row r="7893" spans="1:1">
      <c r="A7893" s="5"/>
    </row>
    <row r="7894" spans="1:1">
      <c r="A7894" s="5"/>
    </row>
    <row r="7895" spans="1:1">
      <c r="A7895" s="5"/>
    </row>
    <row r="7896" spans="1:1">
      <c r="A7896" s="5"/>
    </row>
    <row r="7897" spans="1:1">
      <c r="A7897" s="5"/>
    </row>
    <row r="7898" spans="1:1">
      <c r="A7898" s="5"/>
    </row>
    <row r="7899" spans="1:1">
      <c r="A7899" s="5"/>
    </row>
    <row r="7900" spans="1:1">
      <c r="A7900" s="5"/>
    </row>
    <row r="7901" spans="1:1">
      <c r="A7901" s="5"/>
    </row>
    <row r="7902" spans="1:1">
      <c r="A7902" s="5"/>
    </row>
    <row r="7903" spans="1:1">
      <c r="A7903" s="5"/>
    </row>
    <row r="7904" spans="1:1">
      <c r="A7904" s="5"/>
    </row>
    <row r="7905" spans="1:1">
      <c r="A7905" s="5"/>
    </row>
    <row r="7906" spans="1:1">
      <c r="A7906" s="5"/>
    </row>
    <row r="7907" spans="1:1">
      <c r="A7907" s="5"/>
    </row>
    <row r="7908" spans="1:1">
      <c r="A7908" s="5"/>
    </row>
    <row r="7909" spans="1:1">
      <c r="A7909" s="5"/>
    </row>
    <row r="7910" spans="1:1">
      <c r="A7910" s="5"/>
    </row>
    <row r="7911" spans="1:1">
      <c r="A7911" s="5"/>
    </row>
    <row r="7912" spans="1:1">
      <c r="A7912" s="5"/>
    </row>
    <row r="7913" spans="1:1">
      <c r="A7913" s="5"/>
    </row>
    <row r="7914" spans="1:1">
      <c r="A7914" s="5"/>
    </row>
    <row r="7915" spans="1:1">
      <c r="A7915" s="5"/>
    </row>
    <row r="7916" spans="1:1">
      <c r="A7916" s="5"/>
    </row>
    <row r="7917" spans="1:1">
      <c r="A7917" s="5"/>
    </row>
    <row r="7918" spans="1:1">
      <c r="A7918" s="5"/>
    </row>
    <row r="7919" spans="1:1">
      <c r="A7919" s="5"/>
    </row>
    <row r="7920" spans="1:1">
      <c r="A7920" s="5"/>
    </row>
    <row r="7921" spans="1:1">
      <c r="A7921" s="5"/>
    </row>
    <row r="7922" spans="1:1">
      <c r="A7922" s="5"/>
    </row>
    <row r="7923" spans="1:1">
      <c r="A7923" s="5"/>
    </row>
    <row r="7924" spans="1:1">
      <c r="A7924" s="5"/>
    </row>
    <row r="7925" spans="1:1">
      <c r="A7925" s="5"/>
    </row>
    <row r="7926" spans="1:1">
      <c r="A7926" s="5"/>
    </row>
    <row r="7927" spans="1:1">
      <c r="A7927" s="5"/>
    </row>
    <row r="7928" spans="1:1">
      <c r="A7928" s="5"/>
    </row>
    <row r="7929" spans="1:1">
      <c r="A7929" s="5"/>
    </row>
    <row r="7930" spans="1:1">
      <c r="A7930" s="5"/>
    </row>
    <row r="7931" spans="1:1">
      <c r="A7931" s="5"/>
    </row>
    <row r="7932" spans="1:1">
      <c r="A7932" s="5"/>
    </row>
    <row r="7933" spans="1:1">
      <c r="A7933" s="5"/>
    </row>
    <row r="7934" spans="1:1">
      <c r="A7934" s="5"/>
    </row>
    <row r="7935" spans="1:1">
      <c r="A7935" s="5"/>
    </row>
    <row r="7936" spans="1:1">
      <c r="A7936" s="5"/>
    </row>
    <row r="7937" spans="1:1">
      <c r="A7937" s="5"/>
    </row>
    <row r="7938" spans="1:1">
      <c r="A7938" s="5"/>
    </row>
    <row r="7939" spans="1:1">
      <c r="A7939" s="5"/>
    </row>
    <row r="7940" spans="1:1">
      <c r="A7940" s="5"/>
    </row>
    <row r="7941" spans="1:1">
      <c r="A7941" s="5"/>
    </row>
    <row r="7942" spans="1:1">
      <c r="A7942" s="5"/>
    </row>
    <row r="7943" spans="1:1">
      <c r="A7943" s="5"/>
    </row>
    <row r="7944" spans="1:1">
      <c r="A7944" s="5"/>
    </row>
    <row r="7945" spans="1:1">
      <c r="A7945" s="5"/>
    </row>
    <row r="7946" spans="1:1">
      <c r="A7946" s="5"/>
    </row>
    <row r="7947" spans="1:1">
      <c r="A7947" s="5"/>
    </row>
    <row r="7948" spans="1:1">
      <c r="A7948" s="5"/>
    </row>
    <row r="7949" spans="1:1">
      <c r="A7949" s="5"/>
    </row>
    <row r="7950" spans="1:1">
      <c r="A7950" s="5"/>
    </row>
    <row r="7951" spans="1:1">
      <c r="A7951" s="5"/>
    </row>
    <row r="7952" spans="1:1">
      <c r="A7952" s="5"/>
    </row>
    <row r="7953" spans="1:1">
      <c r="A7953" s="5"/>
    </row>
    <row r="7954" spans="1:1">
      <c r="A7954" s="5"/>
    </row>
    <row r="7955" spans="1:1">
      <c r="A7955" s="5"/>
    </row>
    <row r="7956" spans="1:1">
      <c r="A7956" s="5"/>
    </row>
    <row r="7957" spans="1:1">
      <c r="A7957" s="5"/>
    </row>
    <row r="7958" spans="1:1">
      <c r="A7958" s="5"/>
    </row>
    <row r="7959" spans="1:1">
      <c r="A7959" s="5"/>
    </row>
    <row r="7960" spans="1:1">
      <c r="A7960" s="5"/>
    </row>
    <row r="7961" spans="1:1">
      <c r="A7961" s="5"/>
    </row>
    <row r="7962" spans="1:1">
      <c r="A7962" s="5"/>
    </row>
    <row r="7963" spans="1:1">
      <c r="A7963" s="5"/>
    </row>
    <row r="7964" spans="1:1">
      <c r="A7964" s="5"/>
    </row>
    <row r="7965" spans="1:1">
      <c r="A7965" s="5"/>
    </row>
    <row r="7966" spans="1:1">
      <c r="A7966" s="5"/>
    </row>
    <row r="7967" spans="1:1">
      <c r="A7967" s="5"/>
    </row>
    <row r="7968" spans="1:1">
      <c r="A7968" s="5"/>
    </row>
    <row r="7969" spans="1:1">
      <c r="A7969" s="5"/>
    </row>
    <row r="7970" spans="1:1">
      <c r="A7970" s="5"/>
    </row>
    <row r="7971" spans="1:1">
      <c r="A7971" s="5"/>
    </row>
    <row r="7972" spans="1:1">
      <c r="A7972" s="5"/>
    </row>
    <row r="7973" spans="1:1">
      <c r="A7973" s="5"/>
    </row>
    <row r="7974" spans="1:1">
      <c r="A7974" s="5"/>
    </row>
    <row r="7975" spans="1:1">
      <c r="A7975" s="5"/>
    </row>
    <row r="7976" spans="1:1">
      <c r="A7976" s="5"/>
    </row>
    <row r="7977" spans="1:1">
      <c r="A7977" s="5"/>
    </row>
    <row r="7978" spans="1:1">
      <c r="A7978" s="5"/>
    </row>
    <row r="7979" spans="1:1">
      <c r="A7979" s="5"/>
    </row>
    <row r="7980" spans="1:1">
      <c r="A7980" s="5"/>
    </row>
    <row r="7981" spans="1:1">
      <c r="A7981" s="5"/>
    </row>
    <row r="7982" spans="1:1">
      <c r="A7982" s="5"/>
    </row>
    <row r="7983" spans="1:1">
      <c r="A7983" s="5"/>
    </row>
    <row r="7984" spans="1:1">
      <c r="A7984" s="5"/>
    </row>
    <row r="7985" spans="1:1">
      <c r="A7985" s="5"/>
    </row>
    <row r="7986" spans="1:1">
      <c r="A7986" s="5"/>
    </row>
    <row r="7987" spans="1:1">
      <c r="A7987" s="5"/>
    </row>
    <row r="7988" spans="1:1">
      <c r="A7988" s="5"/>
    </row>
    <row r="7989" spans="1:1">
      <c r="A7989" s="5"/>
    </row>
    <row r="7990" spans="1:1">
      <c r="A7990" s="5"/>
    </row>
    <row r="7991" spans="1:1">
      <c r="A7991" s="5"/>
    </row>
    <row r="7992" spans="1:1">
      <c r="A7992" s="5"/>
    </row>
    <row r="7993" spans="1:1">
      <c r="A7993" s="5"/>
    </row>
    <row r="7994" spans="1:1">
      <c r="A7994" s="5"/>
    </row>
    <row r="7995" spans="1:1">
      <c r="A7995" s="5"/>
    </row>
    <row r="7996" spans="1:1">
      <c r="A7996" s="5"/>
    </row>
    <row r="7997" spans="1:1">
      <c r="A7997" s="5"/>
    </row>
    <row r="7998" spans="1:1">
      <c r="A7998" s="5"/>
    </row>
    <row r="7999" spans="1:1">
      <c r="A7999" s="5"/>
    </row>
    <row r="8000" spans="1:1">
      <c r="A8000" s="5"/>
    </row>
    <row r="8001" spans="1:1">
      <c r="A8001" s="5"/>
    </row>
    <row r="8002" spans="1:1">
      <c r="A8002" s="5"/>
    </row>
    <row r="8003" spans="1:1">
      <c r="A8003" s="5"/>
    </row>
    <row r="8004" spans="1:1">
      <c r="A8004" s="5"/>
    </row>
    <row r="8005" spans="1:1">
      <c r="A8005" s="5"/>
    </row>
    <row r="8006" spans="1:1">
      <c r="A8006" s="5"/>
    </row>
    <row r="8007" spans="1:1">
      <c r="A8007" s="5"/>
    </row>
    <row r="8008" spans="1:1">
      <c r="A8008" s="5"/>
    </row>
    <row r="8009" spans="1:1">
      <c r="A8009" s="5"/>
    </row>
    <row r="8010" spans="1:1">
      <c r="A8010" s="5"/>
    </row>
    <row r="8011" spans="1:1">
      <c r="A8011" s="5"/>
    </row>
    <row r="8012" spans="1:1">
      <c r="A8012" s="5"/>
    </row>
    <row r="8013" spans="1:1">
      <c r="A8013" s="5"/>
    </row>
    <row r="8014" spans="1:1">
      <c r="A8014" s="5"/>
    </row>
    <row r="8015" spans="1:1">
      <c r="A8015" s="5"/>
    </row>
    <row r="8016" spans="1:1">
      <c r="A8016" s="5"/>
    </row>
    <row r="8017" spans="1:1">
      <c r="A8017" s="5"/>
    </row>
    <row r="8018" spans="1:1">
      <c r="A8018" s="5"/>
    </row>
    <row r="8019" spans="1:1">
      <c r="A8019" s="5"/>
    </row>
    <row r="8020" spans="1:1">
      <c r="A8020" s="5"/>
    </row>
    <row r="8021" spans="1:1">
      <c r="A8021" s="5"/>
    </row>
    <row r="8022" spans="1:1">
      <c r="A8022" s="5"/>
    </row>
    <row r="8023" spans="1:1">
      <c r="A8023" s="5"/>
    </row>
    <row r="8024" spans="1:1">
      <c r="A8024" s="5"/>
    </row>
    <row r="8025" spans="1:1">
      <c r="A8025" s="5"/>
    </row>
    <row r="8026" spans="1:1">
      <c r="A8026" s="5"/>
    </row>
    <row r="8027" spans="1:1">
      <c r="A8027" s="5"/>
    </row>
    <row r="8028" spans="1:1">
      <c r="A8028" s="5"/>
    </row>
    <row r="8029" spans="1:1">
      <c r="A8029" s="5"/>
    </row>
    <row r="8030" spans="1:1">
      <c r="A8030" s="5"/>
    </row>
    <row r="8031" spans="1:1">
      <c r="A8031" s="5"/>
    </row>
    <row r="8032" spans="1:1">
      <c r="A8032" s="5"/>
    </row>
    <row r="8033" spans="1:1">
      <c r="A8033" s="5"/>
    </row>
    <row r="8034" spans="1:1">
      <c r="A8034" s="5"/>
    </row>
    <row r="8035" spans="1:1">
      <c r="A8035" s="5"/>
    </row>
    <row r="8036" spans="1:1">
      <c r="A8036" s="5"/>
    </row>
    <row r="8037" spans="1:1">
      <c r="A8037" s="5"/>
    </row>
    <row r="8038" spans="1:1">
      <c r="A8038" s="5"/>
    </row>
    <row r="8039" spans="1:1">
      <c r="A8039" s="5"/>
    </row>
    <row r="8040" spans="1:1">
      <c r="A8040" s="5"/>
    </row>
    <row r="8041" spans="1:1">
      <c r="A8041" s="5"/>
    </row>
    <row r="8042" spans="1:1">
      <c r="A8042" s="5"/>
    </row>
    <row r="8043" spans="1:1">
      <c r="A8043" s="5"/>
    </row>
    <row r="8044" spans="1:1">
      <c r="A8044" s="5"/>
    </row>
    <row r="8045" spans="1:1">
      <c r="A8045" s="5"/>
    </row>
    <row r="8046" spans="1:1">
      <c r="A8046" s="5"/>
    </row>
    <row r="8047" spans="1:1">
      <c r="A8047" s="5"/>
    </row>
    <row r="8048" spans="1:1">
      <c r="A8048" s="5"/>
    </row>
    <row r="8049" spans="1:1">
      <c r="A8049" s="5"/>
    </row>
    <row r="8050" spans="1:1">
      <c r="A8050" s="5"/>
    </row>
    <row r="8051" spans="1:1">
      <c r="A8051" s="5"/>
    </row>
    <row r="8052" spans="1:1">
      <c r="A8052" s="5"/>
    </row>
    <row r="8053" spans="1:1">
      <c r="A8053" s="5"/>
    </row>
    <row r="8054" spans="1:1">
      <c r="A8054" s="5"/>
    </row>
    <row r="8055" spans="1:1">
      <c r="A8055" s="5"/>
    </row>
    <row r="8056" spans="1:1">
      <c r="A8056" s="5"/>
    </row>
    <row r="8057" spans="1:1">
      <c r="A8057" s="5"/>
    </row>
    <row r="8058" spans="1:1">
      <c r="A8058" s="5"/>
    </row>
    <row r="8059" spans="1:1">
      <c r="A8059" s="5"/>
    </row>
    <row r="8060" spans="1:1">
      <c r="A8060" s="5"/>
    </row>
    <row r="8061" spans="1:1">
      <c r="A8061" s="5"/>
    </row>
    <row r="8062" spans="1:1">
      <c r="A8062" s="5"/>
    </row>
    <row r="8063" spans="1:1">
      <c r="A8063" s="5"/>
    </row>
    <row r="8064" spans="1:1">
      <c r="A8064" s="5"/>
    </row>
    <row r="8065" spans="1:1">
      <c r="A8065" s="5"/>
    </row>
    <row r="8066" spans="1:1">
      <c r="A8066" s="5"/>
    </row>
    <row r="8067" spans="1:1">
      <c r="A8067" s="5"/>
    </row>
    <row r="8068" spans="1:1">
      <c r="A8068" s="5"/>
    </row>
    <row r="8069" spans="1:1">
      <c r="A8069" s="5"/>
    </row>
    <row r="8070" spans="1:1">
      <c r="A8070" s="5"/>
    </row>
    <row r="8071" spans="1:1">
      <c r="A8071" s="5"/>
    </row>
    <row r="8072" spans="1:1">
      <c r="A8072" s="5"/>
    </row>
    <row r="8073" spans="1:1">
      <c r="A8073" s="5"/>
    </row>
    <row r="8074" spans="1:1">
      <c r="A8074" s="5"/>
    </row>
    <row r="8075" spans="1:1">
      <c r="A8075" s="5"/>
    </row>
    <row r="8076" spans="1:1">
      <c r="A8076" s="5"/>
    </row>
    <row r="8077" spans="1:1">
      <c r="A8077" s="5"/>
    </row>
    <row r="8078" spans="1:1">
      <c r="A8078" s="5"/>
    </row>
    <row r="8079" spans="1:1">
      <c r="A8079" s="5"/>
    </row>
    <row r="8080" spans="1:1">
      <c r="A8080" s="5"/>
    </row>
    <row r="8081" spans="1:1">
      <c r="A8081" s="5"/>
    </row>
    <row r="8082" spans="1:1">
      <c r="A8082" s="5"/>
    </row>
    <row r="8083" spans="1:1">
      <c r="A8083" s="5"/>
    </row>
    <row r="8084" spans="1:1">
      <c r="A8084" s="5"/>
    </row>
    <row r="8085" spans="1:1">
      <c r="A8085" s="5"/>
    </row>
    <row r="8086" spans="1:1">
      <c r="A8086" s="5"/>
    </row>
    <row r="8087" spans="1:1">
      <c r="A8087" s="5"/>
    </row>
    <row r="8088" spans="1:1">
      <c r="A8088" s="5"/>
    </row>
    <row r="8089" spans="1:1">
      <c r="A8089" s="5"/>
    </row>
    <row r="8090" spans="1:1">
      <c r="A8090" s="5"/>
    </row>
    <row r="8091" spans="1:1">
      <c r="A8091" s="5"/>
    </row>
    <row r="8092" spans="1:1">
      <c r="A8092" s="5"/>
    </row>
    <row r="8093" spans="1:1">
      <c r="A8093" s="5"/>
    </row>
    <row r="8094" spans="1:1">
      <c r="A8094" s="5"/>
    </row>
    <row r="8095" spans="1:1">
      <c r="A8095" s="5"/>
    </row>
    <row r="8096" spans="1:1">
      <c r="A8096" s="5"/>
    </row>
    <row r="8097" spans="1:1">
      <c r="A8097" s="5"/>
    </row>
    <row r="8098" spans="1:1">
      <c r="A8098" s="5"/>
    </row>
    <row r="8099" spans="1:1">
      <c r="A8099" s="5"/>
    </row>
    <row r="8100" spans="1:1">
      <c r="A8100" s="5"/>
    </row>
    <row r="8101" spans="1:1">
      <c r="A8101" s="5"/>
    </row>
    <row r="8102" spans="1:1">
      <c r="A8102" s="5"/>
    </row>
    <row r="8103" spans="1:1">
      <c r="A8103" s="5"/>
    </row>
    <row r="8104" spans="1:1">
      <c r="A8104" s="5"/>
    </row>
    <row r="8105" spans="1:1">
      <c r="A8105" s="5"/>
    </row>
    <row r="8106" spans="1:1">
      <c r="A8106" s="5"/>
    </row>
    <row r="8107" spans="1:1">
      <c r="A8107" s="5"/>
    </row>
    <row r="8108" spans="1:1">
      <c r="A8108" s="5"/>
    </row>
    <row r="8109" spans="1:1">
      <c r="A8109" s="5"/>
    </row>
    <row r="8110" spans="1:1">
      <c r="A8110" s="5"/>
    </row>
    <row r="8111" spans="1:1">
      <c r="A8111" s="5"/>
    </row>
    <row r="8112" spans="1:1">
      <c r="A8112" s="5"/>
    </row>
    <row r="8113" spans="1:1">
      <c r="A8113" s="5"/>
    </row>
    <row r="8114" spans="1:1">
      <c r="A8114" s="5"/>
    </row>
    <row r="8115" spans="1:1">
      <c r="A8115" s="5"/>
    </row>
    <row r="8116" spans="1:1">
      <c r="A8116" s="5"/>
    </row>
    <row r="8117" spans="1:1">
      <c r="A8117" s="5"/>
    </row>
    <row r="8118" spans="1:1">
      <c r="A8118" s="5"/>
    </row>
    <row r="8119" spans="1:1">
      <c r="A8119" s="5"/>
    </row>
    <row r="8120" spans="1:1">
      <c r="A8120" s="5"/>
    </row>
    <row r="8121" spans="1:1">
      <c r="A8121" s="5"/>
    </row>
    <row r="8122" spans="1:1">
      <c r="A8122" s="5"/>
    </row>
    <row r="8123" spans="1:1">
      <c r="A8123" s="5"/>
    </row>
    <row r="8124" spans="1:1">
      <c r="A8124" s="5"/>
    </row>
    <row r="8125" spans="1:1">
      <c r="A8125" s="5"/>
    </row>
    <row r="8126" spans="1:1">
      <c r="A8126" s="5"/>
    </row>
    <row r="8127" spans="1:1">
      <c r="A8127" s="5"/>
    </row>
    <row r="8128" spans="1:1">
      <c r="A8128" s="5"/>
    </row>
    <row r="8129" spans="1:1">
      <c r="A8129" s="5"/>
    </row>
    <row r="8130" spans="1:1">
      <c r="A8130" s="5"/>
    </row>
    <row r="8131" spans="1:1">
      <c r="A8131" s="5"/>
    </row>
    <row r="8132" spans="1:1">
      <c r="A8132" s="5"/>
    </row>
    <row r="8133" spans="1:1">
      <c r="A8133" s="5"/>
    </row>
    <row r="8134" spans="1:1">
      <c r="A8134" s="5"/>
    </row>
    <row r="8135" spans="1:1">
      <c r="A8135" s="5"/>
    </row>
    <row r="8136" spans="1:1">
      <c r="A8136" s="5"/>
    </row>
    <row r="8137" spans="1:1">
      <c r="A8137" s="5"/>
    </row>
    <row r="8138" spans="1:1">
      <c r="A8138" s="5"/>
    </row>
    <row r="8139" spans="1:1">
      <c r="A8139" s="5"/>
    </row>
    <row r="8140" spans="1:1">
      <c r="A8140" s="5"/>
    </row>
    <row r="8141" spans="1:1">
      <c r="A8141" s="5"/>
    </row>
    <row r="8142" spans="1:1">
      <c r="A8142" s="5"/>
    </row>
    <row r="8143" spans="1:1">
      <c r="A8143" s="5"/>
    </row>
    <row r="8144" spans="1:1">
      <c r="A8144" s="5"/>
    </row>
    <row r="8145" spans="1:1">
      <c r="A8145" s="5"/>
    </row>
    <row r="8146" spans="1:1">
      <c r="A8146" s="5"/>
    </row>
    <row r="8147" spans="1:1">
      <c r="A8147" s="5"/>
    </row>
    <row r="8148" spans="1:1">
      <c r="A8148" s="5"/>
    </row>
    <row r="8149" spans="1:1">
      <c r="A8149" s="5"/>
    </row>
    <row r="8150" spans="1:1">
      <c r="A8150" s="5"/>
    </row>
    <row r="8151" spans="1:1">
      <c r="A8151" s="5"/>
    </row>
    <row r="8152" spans="1:1">
      <c r="A8152" s="5"/>
    </row>
    <row r="8153" spans="1:1">
      <c r="A8153" s="5"/>
    </row>
    <row r="8154" spans="1:1">
      <c r="A8154" s="5"/>
    </row>
    <row r="8155" spans="1:1">
      <c r="A8155" s="5"/>
    </row>
    <row r="8156" spans="1:1">
      <c r="A8156" s="5"/>
    </row>
    <row r="8157" spans="1:1">
      <c r="A8157" s="5"/>
    </row>
    <row r="8158" spans="1:1">
      <c r="A8158" s="5"/>
    </row>
    <row r="8159" spans="1:1">
      <c r="A8159" s="5"/>
    </row>
    <row r="8160" spans="1:1">
      <c r="A8160" s="5"/>
    </row>
    <row r="8161" spans="1:1">
      <c r="A8161" s="5"/>
    </row>
    <row r="8162" spans="1:1">
      <c r="A8162" s="5"/>
    </row>
    <row r="8163" spans="1:1">
      <c r="A8163" s="5"/>
    </row>
    <row r="8164" spans="1:1">
      <c r="A8164" s="5"/>
    </row>
    <row r="8165" spans="1:1">
      <c r="A8165" s="5"/>
    </row>
    <row r="8166" spans="1:1">
      <c r="A8166" s="5"/>
    </row>
    <row r="8167" spans="1:1">
      <c r="A8167" s="5"/>
    </row>
    <row r="8168" spans="1:1">
      <c r="A8168" s="5"/>
    </row>
    <row r="8169" spans="1:1">
      <c r="A8169" s="5"/>
    </row>
    <row r="8170" spans="1:1">
      <c r="A8170" s="5"/>
    </row>
    <row r="8171" spans="1:1">
      <c r="A8171" s="5"/>
    </row>
    <row r="8172" spans="1:1">
      <c r="A8172" s="5"/>
    </row>
    <row r="8173" spans="1:1">
      <c r="A8173" s="5"/>
    </row>
    <row r="8174" spans="1:1">
      <c r="A8174" s="5"/>
    </row>
    <row r="8175" spans="1:1">
      <c r="A8175" s="5"/>
    </row>
    <row r="8176" spans="1:1">
      <c r="A8176" s="5"/>
    </row>
    <row r="8177" spans="1:1">
      <c r="A8177" s="5"/>
    </row>
    <row r="8178" spans="1:1">
      <c r="A8178" s="5"/>
    </row>
    <row r="8179" spans="1:1">
      <c r="A8179" s="5"/>
    </row>
    <row r="8180" spans="1:1">
      <c r="A8180" s="5"/>
    </row>
    <row r="8181" spans="1:1">
      <c r="A8181" s="5"/>
    </row>
    <row r="8182" spans="1:1">
      <c r="A8182" s="5"/>
    </row>
    <row r="8183" spans="1:1">
      <c r="A8183" s="5"/>
    </row>
    <row r="8184" spans="1:1">
      <c r="A8184" s="5"/>
    </row>
    <row r="8185" spans="1:1">
      <c r="A8185" s="5"/>
    </row>
    <row r="8186" spans="1:1">
      <c r="A8186" s="5"/>
    </row>
    <row r="8187" spans="1:1">
      <c r="A8187" s="5"/>
    </row>
    <row r="8188" spans="1:1">
      <c r="A8188" s="5"/>
    </row>
    <row r="8189" spans="1:1">
      <c r="A8189" s="5"/>
    </row>
    <row r="8190" spans="1:1">
      <c r="A8190" s="5"/>
    </row>
    <row r="8191" spans="1:1">
      <c r="A8191" s="5"/>
    </row>
    <row r="8192" spans="1:1">
      <c r="A8192" s="5"/>
    </row>
    <row r="8193" spans="1:1">
      <c r="A8193" s="5"/>
    </row>
    <row r="8194" spans="1:1">
      <c r="A8194" s="5"/>
    </row>
    <row r="8195" spans="1:1">
      <c r="A8195" s="5"/>
    </row>
    <row r="8196" spans="1:1">
      <c r="A8196" s="5"/>
    </row>
    <row r="8197" spans="1:1">
      <c r="A8197" s="5"/>
    </row>
    <row r="8198" spans="1:1">
      <c r="A8198" s="5"/>
    </row>
    <row r="8199" spans="1:1">
      <c r="A8199" s="5"/>
    </row>
    <row r="8200" spans="1:1">
      <c r="A8200" s="5"/>
    </row>
    <row r="8201" spans="1:1">
      <c r="A8201" s="5"/>
    </row>
    <row r="8202" spans="1:1">
      <c r="A8202" s="5"/>
    </row>
    <row r="8203" spans="1:1">
      <c r="A8203" s="5"/>
    </row>
    <row r="8204" spans="1:1">
      <c r="A8204" s="5"/>
    </row>
    <row r="8205" spans="1:1">
      <c r="A8205" s="5"/>
    </row>
    <row r="8206" spans="1:1">
      <c r="A8206" s="5"/>
    </row>
    <row r="8207" spans="1:1">
      <c r="A8207" s="5"/>
    </row>
    <row r="8208" spans="1:1">
      <c r="A8208" s="5"/>
    </row>
    <row r="8209" spans="1:1">
      <c r="A8209" s="5"/>
    </row>
    <row r="8210" spans="1:1">
      <c r="A8210" s="5"/>
    </row>
    <row r="8211" spans="1:1">
      <c r="A8211" s="5"/>
    </row>
    <row r="8212" spans="1:1">
      <c r="A8212" s="5"/>
    </row>
    <row r="8213" spans="1:1">
      <c r="A8213" s="5"/>
    </row>
    <row r="8214" spans="1:1">
      <c r="A8214" s="5"/>
    </row>
    <row r="8215" spans="1:1">
      <c r="A8215" s="5"/>
    </row>
    <row r="8216" spans="1:1">
      <c r="A8216" s="5"/>
    </row>
    <row r="8217" spans="1:1">
      <c r="A8217" s="5"/>
    </row>
    <row r="8218" spans="1:1">
      <c r="A8218" s="5"/>
    </row>
    <row r="8219" spans="1:1">
      <c r="A8219" s="5"/>
    </row>
    <row r="8220" spans="1:1">
      <c r="A8220" s="5"/>
    </row>
    <row r="8221" spans="1:1">
      <c r="A8221" s="5"/>
    </row>
    <row r="8222" spans="1:1">
      <c r="A8222" s="5"/>
    </row>
    <row r="8223" spans="1:1">
      <c r="A8223" s="5"/>
    </row>
    <row r="8224" spans="1:1">
      <c r="A8224" s="5"/>
    </row>
    <row r="8225" spans="1:1">
      <c r="A8225" s="5"/>
    </row>
    <row r="8226" spans="1:1">
      <c r="A8226" s="5"/>
    </row>
    <row r="8227" spans="1:1">
      <c r="A8227" s="5"/>
    </row>
    <row r="8228" spans="1:1">
      <c r="A8228" s="5"/>
    </row>
    <row r="8229" spans="1:1">
      <c r="A8229" s="5"/>
    </row>
    <row r="8230" spans="1:1">
      <c r="A8230" s="5"/>
    </row>
    <row r="8231" spans="1:1">
      <c r="A8231" s="5"/>
    </row>
    <row r="8232" spans="1:1">
      <c r="A8232" s="5"/>
    </row>
    <row r="8233" spans="1:1">
      <c r="A8233" s="5"/>
    </row>
    <row r="8234" spans="1:1">
      <c r="A8234" s="5"/>
    </row>
    <row r="8235" spans="1:1">
      <c r="A8235" s="5"/>
    </row>
    <row r="8236" spans="1:1">
      <c r="A8236" s="5"/>
    </row>
    <row r="8237" spans="1:1">
      <c r="A8237" s="5"/>
    </row>
    <row r="8238" spans="1:1">
      <c r="A8238" s="5"/>
    </row>
    <row r="8239" spans="1:1">
      <c r="A8239" s="5"/>
    </row>
    <row r="8240" spans="1:1">
      <c r="A8240" s="5"/>
    </row>
    <row r="8241" spans="1:1">
      <c r="A8241" s="5"/>
    </row>
    <row r="8242" spans="1:1">
      <c r="A8242" s="5"/>
    </row>
    <row r="8243" spans="1:1">
      <c r="A8243" s="5"/>
    </row>
    <row r="8244" spans="1:1">
      <c r="A8244" s="5"/>
    </row>
    <row r="8245" spans="1:1">
      <c r="A8245" s="5"/>
    </row>
    <row r="8246" spans="1:1">
      <c r="A8246" s="5"/>
    </row>
    <row r="8247" spans="1:1">
      <c r="A8247" s="5"/>
    </row>
    <row r="8248" spans="1:1">
      <c r="A8248" s="5"/>
    </row>
    <row r="8249" spans="1:1">
      <c r="A8249" s="5"/>
    </row>
    <row r="8250" spans="1:1">
      <c r="A8250" s="5"/>
    </row>
    <row r="8251" spans="1:1">
      <c r="A8251" s="5"/>
    </row>
    <row r="8252" spans="1:1">
      <c r="A8252" s="5"/>
    </row>
    <row r="8253" spans="1:1">
      <c r="A8253" s="5"/>
    </row>
    <row r="8254" spans="1:1">
      <c r="A8254" s="5"/>
    </row>
    <row r="8255" spans="1:1">
      <c r="A8255" s="5"/>
    </row>
    <row r="8256" spans="1:1">
      <c r="A8256" s="5"/>
    </row>
    <row r="8257" spans="1:1">
      <c r="A8257" s="5"/>
    </row>
    <row r="8258" spans="1:1">
      <c r="A8258" s="5"/>
    </row>
    <row r="8259" spans="1:1">
      <c r="A8259" s="5"/>
    </row>
    <row r="8260" spans="1:1">
      <c r="A8260" s="5"/>
    </row>
    <row r="8261" spans="1:1">
      <c r="A8261" s="5"/>
    </row>
    <row r="8262" spans="1:1">
      <c r="A8262" s="5"/>
    </row>
    <row r="8263" spans="1:1">
      <c r="A8263" s="5"/>
    </row>
    <row r="8264" spans="1:1">
      <c r="A8264" s="5"/>
    </row>
    <row r="8265" spans="1:1">
      <c r="A8265" s="5"/>
    </row>
    <row r="8266" spans="1:1">
      <c r="A8266" s="5"/>
    </row>
    <row r="8267" spans="1:1">
      <c r="A8267" s="5"/>
    </row>
    <row r="8268" spans="1:1">
      <c r="A8268" s="5"/>
    </row>
    <row r="8269" spans="1:1">
      <c r="A8269" s="5"/>
    </row>
    <row r="8270" spans="1:1">
      <c r="A8270" s="5"/>
    </row>
    <row r="8271" spans="1:1">
      <c r="A8271" s="5"/>
    </row>
    <row r="8272" spans="1:1">
      <c r="A8272" s="5"/>
    </row>
    <row r="8273" spans="1:1">
      <c r="A8273" s="5"/>
    </row>
    <row r="8274" spans="1:1">
      <c r="A8274" s="5"/>
    </row>
    <row r="8275" spans="1:1">
      <c r="A8275" s="5"/>
    </row>
    <row r="8276" spans="1:1">
      <c r="A8276" s="5"/>
    </row>
    <row r="8277" spans="1:1">
      <c r="A8277" s="5"/>
    </row>
    <row r="8278" spans="1:1">
      <c r="A8278" s="5"/>
    </row>
    <row r="8279" spans="1:1">
      <c r="A8279" s="5"/>
    </row>
    <row r="8280" spans="1:1">
      <c r="A8280" s="5"/>
    </row>
    <row r="8281" spans="1:1">
      <c r="A8281" s="5"/>
    </row>
    <row r="8282" spans="1:1">
      <c r="A8282" s="5"/>
    </row>
    <row r="8283" spans="1:1">
      <c r="A8283" s="5"/>
    </row>
    <row r="8284" spans="1:1">
      <c r="A8284" s="5"/>
    </row>
    <row r="8285" spans="1:1">
      <c r="A8285" s="5"/>
    </row>
    <row r="8286" spans="1:1">
      <c r="A8286" s="5"/>
    </row>
    <row r="8287" spans="1:1">
      <c r="A8287" s="5"/>
    </row>
    <row r="8288" spans="1:1">
      <c r="A8288" s="5"/>
    </row>
    <row r="8289" spans="1:1">
      <c r="A8289" s="5"/>
    </row>
    <row r="8290" spans="1:1">
      <c r="A8290" s="5"/>
    </row>
    <row r="8291" spans="1:1">
      <c r="A8291" s="5"/>
    </row>
    <row r="8292" spans="1:1">
      <c r="A8292" s="5"/>
    </row>
    <row r="8293" spans="1:1">
      <c r="A8293" s="5"/>
    </row>
    <row r="8294" spans="1:1">
      <c r="A8294" s="5"/>
    </row>
    <row r="8295" spans="1:1">
      <c r="A8295" s="5"/>
    </row>
    <row r="8296" spans="1:1">
      <c r="A8296" s="5"/>
    </row>
    <row r="8297" spans="1:1">
      <c r="A8297" s="5"/>
    </row>
    <row r="8298" spans="1:1">
      <c r="A8298" s="5"/>
    </row>
    <row r="8299" spans="1:1">
      <c r="A8299" s="5"/>
    </row>
    <row r="8300" spans="1:1">
      <c r="A8300" s="5"/>
    </row>
    <row r="8301" spans="1:1">
      <c r="A8301" s="5"/>
    </row>
    <row r="8302" spans="1:1">
      <c r="A8302" s="5"/>
    </row>
    <row r="8303" spans="1:1">
      <c r="A8303" s="5"/>
    </row>
    <row r="8304" spans="1:1">
      <c r="A8304" s="5"/>
    </row>
    <row r="8305" spans="1:1">
      <c r="A8305" s="5"/>
    </row>
    <row r="8306" spans="1:1">
      <c r="A8306" s="5"/>
    </row>
    <row r="8307" spans="1:1">
      <c r="A8307" s="5"/>
    </row>
    <row r="8308" spans="1:1">
      <c r="A8308" s="5"/>
    </row>
    <row r="8309" spans="1:1">
      <c r="A8309" s="5"/>
    </row>
    <row r="8310" spans="1:1">
      <c r="A8310" s="5"/>
    </row>
    <row r="8311" spans="1:1">
      <c r="A8311" s="5"/>
    </row>
    <row r="8312" spans="1:1">
      <c r="A8312" s="5"/>
    </row>
    <row r="8313" spans="1:1">
      <c r="A8313" s="5"/>
    </row>
    <row r="8314" spans="1:1">
      <c r="A8314" s="5"/>
    </row>
    <row r="8315" spans="1:1">
      <c r="A8315" s="5"/>
    </row>
    <row r="8316" spans="1:1">
      <c r="A8316" s="5"/>
    </row>
    <row r="8317" spans="1:1">
      <c r="A8317" s="5"/>
    </row>
    <row r="8318" spans="1:1">
      <c r="A8318" s="5"/>
    </row>
    <row r="8319" spans="1:1">
      <c r="A8319" s="5"/>
    </row>
    <row r="8320" spans="1:1">
      <c r="A8320" s="5"/>
    </row>
    <row r="8321" spans="1:1">
      <c r="A8321" s="5"/>
    </row>
    <row r="8322" spans="1:1">
      <c r="A8322" s="5"/>
    </row>
    <row r="8323" spans="1:1">
      <c r="A8323" s="5"/>
    </row>
    <row r="8324" spans="1:1">
      <c r="A8324" s="5"/>
    </row>
    <row r="8325" spans="1:1">
      <c r="A8325" s="5"/>
    </row>
    <row r="8326" spans="1:1">
      <c r="A8326" s="5"/>
    </row>
    <row r="8327" spans="1:1">
      <c r="A8327" s="5"/>
    </row>
    <row r="8328" spans="1:1">
      <c r="A8328" s="5"/>
    </row>
    <row r="8329" spans="1:1">
      <c r="A8329" s="5"/>
    </row>
    <row r="8330" spans="1:1">
      <c r="A8330" s="5"/>
    </row>
    <row r="8331" spans="1:1">
      <c r="A8331" s="5"/>
    </row>
    <row r="8332" spans="1:1">
      <c r="A8332" s="5"/>
    </row>
    <row r="8333" spans="1:1">
      <c r="A8333" s="5"/>
    </row>
    <row r="8334" spans="1:1">
      <c r="A8334" s="5"/>
    </row>
    <row r="8335" spans="1:1">
      <c r="A8335" s="5"/>
    </row>
    <row r="8336" spans="1:1">
      <c r="A8336" s="5"/>
    </row>
    <row r="8337" spans="1:1">
      <c r="A8337" s="5"/>
    </row>
    <row r="8338" spans="1:1">
      <c r="A8338" s="5"/>
    </row>
    <row r="8339" spans="1:1">
      <c r="A8339" s="5"/>
    </row>
    <row r="8340" spans="1:1">
      <c r="A8340" s="5"/>
    </row>
    <row r="8341" spans="1:1">
      <c r="A8341" s="5"/>
    </row>
    <row r="8342" spans="1:1">
      <c r="A8342" s="5"/>
    </row>
    <row r="8343" spans="1:1">
      <c r="A8343" s="5"/>
    </row>
    <row r="8344" spans="1:1">
      <c r="A8344" s="5"/>
    </row>
    <row r="8345" spans="1:1">
      <c r="A8345" s="5"/>
    </row>
    <row r="8346" spans="1:1">
      <c r="A8346" s="5"/>
    </row>
    <row r="8347" spans="1:1">
      <c r="A8347" s="5"/>
    </row>
    <row r="8348" spans="1:1">
      <c r="A8348" s="5"/>
    </row>
    <row r="8349" spans="1:1">
      <c r="A8349" s="5"/>
    </row>
    <row r="8350" spans="1:1">
      <c r="A8350" s="5"/>
    </row>
    <row r="8351" spans="1:1">
      <c r="A8351" s="5"/>
    </row>
    <row r="8352" spans="1:1">
      <c r="A8352" s="5"/>
    </row>
    <row r="8353" spans="1:1">
      <c r="A8353" s="5"/>
    </row>
    <row r="8354" spans="1:1">
      <c r="A8354" s="5"/>
    </row>
    <row r="8355" spans="1:1">
      <c r="A8355" s="5"/>
    </row>
    <row r="8356" spans="1:1">
      <c r="A8356" s="5"/>
    </row>
    <row r="8357" spans="1:1">
      <c r="A8357" s="5"/>
    </row>
    <row r="8358" spans="1:1">
      <c r="A8358" s="5"/>
    </row>
    <row r="8359" spans="1:1">
      <c r="A8359" s="5"/>
    </row>
    <row r="8360" spans="1:1">
      <c r="A8360" s="5"/>
    </row>
    <row r="8361" spans="1:1">
      <c r="A8361" s="5"/>
    </row>
    <row r="8362" spans="1:1">
      <c r="A8362" s="5"/>
    </row>
    <row r="8363" spans="1:1">
      <c r="A8363" s="5"/>
    </row>
    <row r="8364" spans="1:1">
      <c r="A8364" s="5"/>
    </row>
    <row r="8365" spans="1:1">
      <c r="A8365" s="5"/>
    </row>
    <row r="8366" spans="1:1">
      <c r="A8366" s="5"/>
    </row>
    <row r="8367" spans="1:1">
      <c r="A8367" s="5"/>
    </row>
    <row r="8368" spans="1:1">
      <c r="A8368" s="5"/>
    </row>
    <row r="8369" spans="1:1">
      <c r="A8369" s="5"/>
    </row>
    <row r="8370" spans="1:1">
      <c r="A8370" s="5"/>
    </row>
    <row r="8371" spans="1:1">
      <c r="A8371" s="5"/>
    </row>
    <row r="8372" spans="1:1">
      <c r="A8372" s="5"/>
    </row>
    <row r="8373" spans="1:1">
      <c r="A8373" s="5"/>
    </row>
    <row r="8374" spans="1:1">
      <c r="A8374" s="5"/>
    </row>
    <row r="8375" spans="1:1">
      <c r="A8375" s="5"/>
    </row>
    <row r="8376" spans="1:1">
      <c r="A8376" s="5"/>
    </row>
    <row r="8377" spans="1:1">
      <c r="A8377" s="5"/>
    </row>
    <row r="8378" spans="1:1">
      <c r="A8378" s="5"/>
    </row>
    <row r="8379" spans="1:1">
      <c r="A8379" s="5"/>
    </row>
    <row r="8380" spans="1:1">
      <c r="A8380" s="5"/>
    </row>
    <row r="8381" spans="1:1">
      <c r="A8381" s="5"/>
    </row>
    <row r="8382" spans="1:1">
      <c r="A8382" s="5"/>
    </row>
    <row r="8383" spans="1:1">
      <c r="A8383" s="5"/>
    </row>
    <row r="8384" spans="1:1">
      <c r="A8384" s="5"/>
    </row>
    <row r="8385" spans="1:1">
      <c r="A8385" s="5"/>
    </row>
    <row r="8386" spans="1:1">
      <c r="A8386" s="5"/>
    </row>
    <row r="8387" spans="1:1">
      <c r="A8387" s="5"/>
    </row>
    <row r="8388" spans="1:1">
      <c r="A8388" s="5"/>
    </row>
    <row r="8389" spans="1:1">
      <c r="A8389" s="5"/>
    </row>
    <row r="8390" spans="1:1">
      <c r="A8390" s="5"/>
    </row>
    <row r="8391" spans="1:1">
      <c r="A8391" s="5"/>
    </row>
    <row r="8392" spans="1:1">
      <c r="A8392" s="5"/>
    </row>
    <row r="8393" spans="1:1">
      <c r="A8393" s="5"/>
    </row>
    <row r="8394" spans="1:1">
      <c r="A8394" s="5"/>
    </row>
    <row r="8395" spans="1:1">
      <c r="A8395" s="5"/>
    </row>
    <row r="8396" spans="1:1">
      <c r="A8396" s="5"/>
    </row>
    <row r="8397" spans="1:1">
      <c r="A8397" s="5"/>
    </row>
    <row r="8398" spans="1:1">
      <c r="A8398" s="5"/>
    </row>
    <row r="8399" spans="1:1">
      <c r="A8399" s="5"/>
    </row>
    <row r="8400" spans="1:1">
      <c r="A8400" s="5"/>
    </row>
    <row r="8401" spans="1:1">
      <c r="A8401" s="5"/>
    </row>
    <row r="8402" spans="1:1">
      <c r="A8402" s="5"/>
    </row>
    <row r="8403" spans="1:1">
      <c r="A8403" s="5"/>
    </row>
    <row r="8404" spans="1:1">
      <c r="A8404" s="5"/>
    </row>
    <row r="8405" spans="1:1">
      <c r="A8405" s="5"/>
    </row>
    <row r="8406" spans="1:1">
      <c r="A8406" s="5"/>
    </row>
    <row r="8407" spans="1:1">
      <c r="A8407" s="5"/>
    </row>
    <row r="8408" spans="1:1">
      <c r="A8408" s="5"/>
    </row>
    <row r="8409" spans="1:1">
      <c r="A8409" s="5"/>
    </row>
    <row r="8410" spans="1:1">
      <c r="A8410" s="5"/>
    </row>
    <row r="8411" spans="1:1">
      <c r="A8411" s="5"/>
    </row>
    <row r="8412" spans="1:1">
      <c r="A8412" s="5"/>
    </row>
    <row r="8413" spans="1:1">
      <c r="A8413" s="5"/>
    </row>
    <row r="8414" spans="1:1">
      <c r="A8414" s="5"/>
    </row>
    <row r="8415" spans="1:1">
      <c r="A8415" s="5"/>
    </row>
    <row r="8416" spans="1:1">
      <c r="A8416" s="5"/>
    </row>
    <row r="8417" spans="1:1">
      <c r="A8417" s="5"/>
    </row>
    <row r="8418" spans="1:1">
      <c r="A8418" s="5"/>
    </row>
    <row r="8419" spans="1:1">
      <c r="A8419" s="5"/>
    </row>
    <row r="8420" spans="1:1">
      <c r="A8420" s="5"/>
    </row>
    <row r="8421" spans="1:1">
      <c r="A8421" s="5"/>
    </row>
    <row r="8422" spans="1:1">
      <c r="A8422" s="5"/>
    </row>
    <row r="8423" spans="1:1">
      <c r="A8423" s="5"/>
    </row>
    <row r="8424" spans="1:1">
      <c r="A8424" s="5"/>
    </row>
    <row r="8425" spans="1:1">
      <c r="A8425" s="5"/>
    </row>
    <row r="8426" spans="1:1">
      <c r="A8426" s="5"/>
    </row>
    <row r="8427" spans="1:1">
      <c r="A8427" s="5"/>
    </row>
    <row r="8428" spans="1:1">
      <c r="A8428" s="5"/>
    </row>
    <row r="8429" spans="1:1">
      <c r="A8429" s="5"/>
    </row>
    <row r="8430" spans="1:1">
      <c r="A8430" s="5"/>
    </row>
    <row r="8431" spans="1:1">
      <c r="A8431" s="5"/>
    </row>
    <row r="8432" spans="1:1">
      <c r="A8432" s="5"/>
    </row>
    <row r="8433" spans="1:1">
      <c r="A8433" s="5"/>
    </row>
    <row r="8434" spans="1:1">
      <c r="A8434" s="5"/>
    </row>
    <row r="8435" spans="1:1">
      <c r="A8435" s="5"/>
    </row>
    <row r="8436" spans="1:1">
      <c r="A8436" s="5"/>
    </row>
    <row r="8437" spans="1:1">
      <c r="A8437" s="5"/>
    </row>
    <row r="8438" spans="1:1">
      <c r="A8438" s="5"/>
    </row>
    <row r="8439" spans="1:1">
      <c r="A8439" s="5"/>
    </row>
    <row r="8440" spans="1:1">
      <c r="A8440" s="5"/>
    </row>
    <row r="8441" spans="1:1">
      <c r="A8441" s="5"/>
    </row>
    <row r="8442" spans="1:1">
      <c r="A8442" s="5"/>
    </row>
    <row r="8443" spans="1:1">
      <c r="A8443" s="5"/>
    </row>
    <row r="8444" spans="1:1">
      <c r="A8444" s="5"/>
    </row>
    <row r="8445" spans="1:1">
      <c r="A8445" s="5"/>
    </row>
    <row r="8446" spans="1:1">
      <c r="A8446" s="5"/>
    </row>
    <row r="8447" spans="1:1">
      <c r="A8447" s="5"/>
    </row>
    <row r="8448" spans="1:1">
      <c r="A8448" s="5"/>
    </row>
    <row r="8449" spans="1:1">
      <c r="A8449" s="5"/>
    </row>
    <row r="8450" spans="1:1">
      <c r="A8450" s="5"/>
    </row>
    <row r="8451" spans="1:1">
      <c r="A8451" s="5"/>
    </row>
    <row r="8452" spans="1:1">
      <c r="A8452" s="5"/>
    </row>
    <row r="8453" spans="1:1">
      <c r="A8453" s="5"/>
    </row>
    <row r="8454" spans="1:1">
      <c r="A8454" s="5"/>
    </row>
    <row r="8455" spans="1:1">
      <c r="A8455" s="5"/>
    </row>
    <row r="8456" spans="1:1">
      <c r="A8456" s="5"/>
    </row>
    <row r="8457" spans="1:1">
      <c r="A8457" s="5"/>
    </row>
    <row r="8458" spans="1:1">
      <c r="A8458" s="5"/>
    </row>
    <row r="8459" spans="1:1">
      <c r="A8459" s="5"/>
    </row>
    <row r="8460" spans="1:1">
      <c r="A8460" s="5"/>
    </row>
    <row r="8461" spans="1:1">
      <c r="A8461" s="5"/>
    </row>
    <row r="8462" spans="1:1">
      <c r="A8462" s="5"/>
    </row>
    <row r="8463" spans="1:1">
      <c r="A8463" s="5"/>
    </row>
    <row r="8464" spans="1:1">
      <c r="A8464" s="5"/>
    </row>
    <row r="8465" spans="1:1">
      <c r="A8465" s="5"/>
    </row>
    <row r="8466" spans="1:1">
      <c r="A8466" s="5"/>
    </row>
    <row r="8467" spans="1:1">
      <c r="A8467" s="5"/>
    </row>
    <row r="8468" spans="1:1">
      <c r="A8468" s="5"/>
    </row>
    <row r="8469" spans="1:1">
      <c r="A8469" s="5"/>
    </row>
    <row r="8470" spans="1:1">
      <c r="A8470" s="5"/>
    </row>
    <row r="8471" spans="1:1">
      <c r="A8471" s="5"/>
    </row>
    <row r="8472" spans="1:1">
      <c r="A8472" s="5"/>
    </row>
    <row r="8473" spans="1:1">
      <c r="A8473" s="5"/>
    </row>
    <row r="8474" spans="1:1">
      <c r="A8474" s="5"/>
    </row>
    <row r="8475" spans="1:1">
      <c r="A8475" s="5"/>
    </row>
    <row r="8476" spans="1:1">
      <c r="A8476" s="5"/>
    </row>
    <row r="8477" spans="1:1">
      <c r="A8477" s="5"/>
    </row>
    <row r="8478" spans="1:1">
      <c r="A8478" s="5"/>
    </row>
    <row r="8479" spans="1:1">
      <c r="A8479" s="5"/>
    </row>
    <row r="8480" spans="1:1">
      <c r="A8480" s="5"/>
    </row>
    <row r="8481" spans="1:1">
      <c r="A8481" s="5"/>
    </row>
    <row r="8482" spans="1:1">
      <c r="A8482" s="5"/>
    </row>
    <row r="8483" spans="1:1">
      <c r="A8483" s="5"/>
    </row>
    <row r="8484" spans="1:1">
      <c r="A8484" s="5"/>
    </row>
    <row r="8485" spans="1:1">
      <c r="A8485" s="5"/>
    </row>
    <row r="8486" spans="1:1">
      <c r="A8486" s="5"/>
    </row>
    <row r="8487" spans="1:1">
      <c r="A8487" s="5"/>
    </row>
    <row r="8488" spans="1:1">
      <c r="A8488" s="5"/>
    </row>
    <row r="8489" spans="1:1">
      <c r="A8489" s="5"/>
    </row>
    <row r="8490" spans="1:1">
      <c r="A8490" s="5"/>
    </row>
    <row r="8491" spans="1:1">
      <c r="A8491" s="5"/>
    </row>
    <row r="8492" spans="1:1">
      <c r="A8492" s="5"/>
    </row>
    <row r="8493" spans="1:1">
      <c r="A8493" s="5"/>
    </row>
    <row r="8494" spans="1:1">
      <c r="A8494" s="5"/>
    </row>
    <row r="8495" spans="1:1">
      <c r="A8495" s="5"/>
    </row>
    <row r="8496" spans="1:1">
      <c r="A8496" s="5"/>
    </row>
    <row r="8497" spans="1:1">
      <c r="A8497" s="5"/>
    </row>
    <row r="8498" spans="1:1">
      <c r="A8498" s="5"/>
    </row>
    <row r="8499" spans="1:1">
      <c r="A8499" s="5"/>
    </row>
    <row r="8500" spans="1:1">
      <c r="A8500" s="5"/>
    </row>
    <row r="8501" spans="1:1">
      <c r="A8501" s="5"/>
    </row>
    <row r="8502" spans="1:1">
      <c r="A8502" s="5"/>
    </row>
    <row r="8503" spans="1:1">
      <c r="A8503" s="5"/>
    </row>
    <row r="8504" spans="1:1">
      <c r="A8504" s="5"/>
    </row>
    <row r="8505" spans="1:1">
      <c r="A8505" s="5"/>
    </row>
    <row r="8506" spans="1:1">
      <c r="A8506" s="5"/>
    </row>
    <row r="8507" spans="1:1">
      <c r="A8507" s="5"/>
    </row>
    <row r="8508" spans="1:1">
      <c r="A8508" s="5"/>
    </row>
    <row r="8509" spans="1:1">
      <c r="A8509" s="5"/>
    </row>
    <row r="8510" spans="1:1">
      <c r="A8510" s="5"/>
    </row>
    <row r="8511" spans="1:1">
      <c r="A8511" s="5"/>
    </row>
    <row r="8512" spans="1:1">
      <c r="A8512" s="5"/>
    </row>
    <row r="8513" spans="1:1">
      <c r="A8513" s="5"/>
    </row>
    <row r="8514" spans="1:1">
      <c r="A8514" s="5"/>
    </row>
    <row r="8515" spans="1:1">
      <c r="A8515" s="5"/>
    </row>
    <row r="8516" spans="1:1">
      <c r="A8516" s="5"/>
    </row>
    <row r="8517" spans="1:1">
      <c r="A8517" s="5"/>
    </row>
    <row r="8518" spans="1:1">
      <c r="A8518" s="5"/>
    </row>
    <row r="8519" spans="1:1">
      <c r="A8519" s="5"/>
    </row>
    <row r="8520" spans="1:1">
      <c r="A8520" s="5"/>
    </row>
    <row r="8521" spans="1:1">
      <c r="A8521" s="5"/>
    </row>
    <row r="8522" spans="1:1">
      <c r="A8522" s="5"/>
    </row>
    <row r="8523" spans="1:1">
      <c r="A8523" s="5"/>
    </row>
    <row r="8524" spans="1:1">
      <c r="A8524" s="5"/>
    </row>
    <row r="8525" spans="1:1">
      <c r="A8525" s="5"/>
    </row>
    <row r="8526" spans="1:1">
      <c r="A8526" s="5"/>
    </row>
    <row r="8527" spans="1:1">
      <c r="A8527" s="5"/>
    </row>
    <row r="8528" spans="1:1">
      <c r="A8528" s="5"/>
    </row>
    <row r="8529" spans="1:1">
      <c r="A8529" s="5"/>
    </row>
    <row r="8530" spans="1:1">
      <c r="A8530" s="5"/>
    </row>
    <row r="8531" spans="1:1">
      <c r="A8531" s="5"/>
    </row>
    <row r="8532" spans="1:1">
      <c r="A8532" s="5"/>
    </row>
    <row r="8533" spans="1:1">
      <c r="A8533" s="5"/>
    </row>
    <row r="8534" spans="1:1">
      <c r="A8534" s="5"/>
    </row>
    <row r="8535" spans="1:1">
      <c r="A8535" s="5"/>
    </row>
    <row r="8536" spans="1:1">
      <c r="A8536" s="5"/>
    </row>
    <row r="8537" spans="1:1">
      <c r="A8537" s="5"/>
    </row>
    <row r="8538" spans="1:1">
      <c r="A8538" s="5"/>
    </row>
    <row r="8539" spans="1:1">
      <c r="A8539" s="5"/>
    </row>
    <row r="8540" spans="1:1">
      <c r="A8540" s="5"/>
    </row>
    <row r="8541" spans="1:1">
      <c r="A8541" s="5"/>
    </row>
    <row r="8542" spans="1:1">
      <c r="A8542" s="5"/>
    </row>
    <row r="8543" spans="1:1">
      <c r="A8543" s="5"/>
    </row>
    <row r="8544" spans="1:1">
      <c r="A8544" s="5"/>
    </row>
    <row r="8545" spans="1:1">
      <c r="A8545" s="5"/>
    </row>
    <row r="8546" spans="1:1">
      <c r="A8546" s="5"/>
    </row>
    <row r="8547" spans="1:1">
      <c r="A8547" s="5"/>
    </row>
    <row r="8548" spans="1:1">
      <c r="A8548" s="5"/>
    </row>
    <row r="8549" spans="1:1">
      <c r="A8549" s="5"/>
    </row>
    <row r="8550" spans="1:1">
      <c r="A8550" s="5"/>
    </row>
    <row r="8551" spans="1:1">
      <c r="A8551" s="5"/>
    </row>
    <row r="8552" spans="1:1">
      <c r="A8552" s="5"/>
    </row>
    <row r="8553" spans="1:1">
      <c r="A8553" s="5"/>
    </row>
    <row r="8554" spans="1:1">
      <c r="A8554" s="5"/>
    </row>
    <row r="8555" spans="1:1">
      <c r="A8555" s="5"/>
    </row>
    <row r="8556" spans="1:1">
      <c r="A8556" s="5"/>
    </row>
    <row r="8557" spans="1:1">
      <c r="A8557" s="5"/>
    </row>
    <row r="8558" spans="1:1">
      <c r="A8558" s="5"/>
    </row>
    <row r="8559" spans="1:1">
      <c r="A8559" s="5"/>
    </row>
    <row r="8560" spans="1:1">
      <c r="A8560" s="5"/>
    </row>
    <row r="8561" spans="1:1">
      <c r="A8561" s="5"/>
    </row>
    <row r="8562" spans="1:1">
      <c r="A8562" s="5"/>
    </row>
    <row r="8563" spans="1:1">
      <c r="A8563" s="5"/>
    </row>
    <row r="8564" spans="1:1">
      <c r="A8564" s="5"/>
    </row>
    <row r="8565" spans="1:1">
      <c r="A8565" s="5"/>
    </row>
    <row r="8566" spans="1:1">
      <c r="A8566" s="5"/>
    </row>
    <row r="8567" spans="1:1">
      <c r="A8567" s="5"/>
    </row>
    <row r="8568" spans="1:1">
      <c r="A8568" s="5"/>
    </row>
    <row r="8569" spans="1:1">
      <c r="A8569" s="5"/>
    </row>
    <row r="8570" spans="1:1">
      <c r="A8570" s="5"/>
    </row>
    <row r="8571" spans="1:1">
      <c r="A8571" s="5"/>
    </row>
    <row r="8572" spans="1:1">
      <c r="A8572" s="5"/>
    </row>
    <row r="8573" spans="1:1">
      <c r="A8573" s="5"/>
    </row>
    <row r="8574" spans="1:1">
      <c r="A8574" s="5"/>
    </row>
    <row r="8575" spans="1:1">
      <c r="A8575" s="5"/>
    </row>
    <row r="8576" spans="1:1">
      <c r="A8576" s="5"/>
    </row>
    <row r="8577" spans="1:1">
      <c r="A8577" s="5"/>
    </row>
    <row r="8578" spans="1:1">
      <c r="A8578" s="5"/>
    </row>
    <row r="8579" spans="1:1">
      <c r="A8579" s="5"/>
    </row>
    <row r="8580" spans="1:1">
      <c r="A8580" s="5"/>
    </row>
    <row r="8581" spans="1:1">
      <c r="A8581" s="5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110"/>
  <sheetViews>
    <sheetView zoomScale="115" zoomScaleNormal="115" topLeftCell="A1055" workbookViewId="0">
      <selection activeCell="R1079" sqref="R1079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305</v>
      </c>
      <c r="F1" s="3" t="s">
        <v>323</v>
      </c>
      <c r="G1" s="3" t="s">
        <v>2560</v>
      </c>
      <c r="H1" s="3" t="s">
        <v>2561</v>
      </c>
      <c r="I1" s="3" t="s">
        <v>2562</v>
      </c>
      <c r="J1" s="3" t="s">
        <v>2563</v>
      </c>
      <c r="K1" s="3" t="s">
        <v>2564</v>
      </c>
      <c r="L1" s="3" t="s">
        <v>2565</v>
      </c>
      <c r="M1" s="3" t="s">
        <v>2566</v>
      </c>
      <c r="N1" s="3" t="s">
        <v>2567</v>
      </c>
      <c r="O1" s="3" t="s">
        <v>2568</v>
      </c>
      <c r="P1" s="3" t="s">
        <v>2569</v>
      </c>
      <c r="Q1" s="3" t="s">
        <v>2570</v>
      </c>
      <c r="R1" s="3" t="s">
        <v>2571</v>
      </c>
    </row>
    <row r="2" spans="1:18">
      <c r="A2" s="3" t="s">
        <v>2015</v>
      </c>
      <c r="B2" s="3" t="s">
        <v>2016</v>
      </c>
      <c r="C2" s="3" t="s">
        <v>2017</v>
      </c>
      <c r="D2" s="3" t="s">
        <v>2018</v>
      </c>
      <c r="E2" s="3" t="s">
        <v>340</v>
      </c>
      <c r="F2" s="3">
        <v>15.99</v>
      </c>
      <c r="G2" s="3" t="s">
        <v>2572</v>
      </c>
      <c r="H2" s="3"/>
      <c r="I2" s="3" t="s">
        <v>2573</v>
      </c>
      <c r="J2" s="3">
        <v>6</v>
      </c>
      <c r="K2" s="3">
        <v>6</v>
      </c>
      <c r="L2" s="3">
        <v>0</v>
      </c>
      <c r="M2" s="3">
        <v>0</v>
      </c>
      <c r="N2" s="3">
        <v>6</v>
      </c>
      <c r="O2" s="3">
        <v>0.11</v>
      </c>
      <c r="P2" s="3">
        <v>0</v>
      </c>
      <c r="Q2" s="3">
        <v>0</v>
      </c>
      <c r="R2" s="3">
        <v>0</v>
      </c>
    </row>
    <row r="3" spans="1:18">
      <c r="A3" s="3" t="s">
        <v>1851</v>
      </c>
      <c r="B3" s="3" t="s">
        <v>1852</v>
      </c>
      <c r="C3" s="3" t="s">
        <v>1853</v>
      </c>
      <c r="D3" s="3" t="s">
        <v>1854</v>
      </c>
      <c r="E3" s="3" t="s">
        <v>340</v>
      </c>
      <c r="F3" s="3">
        <v>15.99</v>
      </c>
      <c r="G3" s="3" t="s">
        <v>2572</v>
      </c>
      <c r="H3" s="3"/>
      <c r="I3" s="3" t="s">
        <v>2573</v>
      </c>
      <c r="J3" s="3">
        <v>3</v>
      </c>
      <c r="K3" s="3">
        <v>2</v>
      </c>
      <c r="L3" s="3">
        <v>1</v>
      </c>
      <c r="M3" s="3">
        <v>0</v>
      </c>
      <c r="N3" s="3">
        <v>3</v>
      </c>
      <c r="O3" s="3">
        <v>0.11</v>
      </c>
      <c r="P3" s="3">
        <v>0</v>
      </c>
      <c r="Q3" s="3">
        <v>0</v>
      </c>
      <c r="R3" s="3">
        <v>0</v>
      </c>
    </row>
    <row r="4" spans="1:18">
      <c r="A4" s="3" t="s">
        <v>470</v>
      </c>
      <c r="B4" s="3" t="s">
        <v>471</v>
      </c>
      <c r="C4" s="3" t="s">
        <v>472</v>
      </c>
      <c r="D4" s="3" t="s">
        <v>473</v>
      </c>
      <c r="E4" s="3" t="s">
        <v>340</v>
      </c>
      <c r="F4" s="3">
        <v>15.99</v>
      </c>
      <c r="G4" s="3" t="s">
        <v>2572</v>
      </c>
      <c r="H4" s="3"/>
      <c r="I4" s="3" t="s">
        <v>2573</v>
      </c>
      <c r="J4" s="3">
        <v>9</v>
      </c>
      <c r="K4" s="3">
        <v>9</v>
      </c>
      <c r="L4" s="3">
        <v>0</v>
      </c>
      <c r="M4" s="3">
        <v>0</v>
      </c>
      <c r="N4" s="3">
        <v>9</v>
      </c>
      <c r="O4" s="3">
        <v>0.11</v>
      </c>
      <c r="P4" s="3">
        <v>0</v>
      </c>
      <c r="Q4" s="3">
        <v>0</v>
      </c>
      <c r="R4" s="3">
        <v>0</v>
      </c>
    </row>
    <row r="5" spans="1:18">
      <c r="A5" s="3" t="s">
        <v>1969</v>
      </c>
      <c r="B5" s="3" t="s">
        <v>1970</v>
      </c>
      <c r="C5" s="3" t="s">
        <v>1971</v>
      </c>
      <c r="D5" s="3" t="s">
        <v>1972</v>
      </c>
      <c r="E5" s="3" t="s">
        <v>340</v>
      </c>
      <c r="F5" s="3">
        <v>15.99</v>
      </c>
      <c r="G5" s="3" t="s">
        <v>2572</v>
      </c>
      <c r="H5" s="3"/>
      <c r="I5" s="3" t="s">
        <v>2573</v>
      </c>
      <c r="J5" s="3">
        <v>11</v>
      </c>
      <c r="K5" s="3">
        <v>10</v>
      </c>
      <c r="L5" s="3">
        <v>1</v>
      </c>
      <c r="M5" s="3">
        <v>0</v>
      </c>
      <c r="N5" s="3">
        <v>11</v>
      </c>
      <c r="O5" s="3">
        <v>0.11</v>
      </c>
      <c r="P5" s="3">
        <v>0</v>
      </c>
      <c r="Q5" s="3">
        <v>0</v>
      </c>
      <c r="R5" s="3">
        <v>0</v>
      </c>
    </row>
    <row r="6" spans="1:18">
      <c r="A6" s="3" t="s">
        <v>1570</v>
      </c>
      <c r="B6" s="3" t="s">
        <v>1571</v>
      </c>
      <c r="C6" s="3" t="s">
        <v>1572</v>
      </c>
      <c r="D6" s="3" t="s">
        <v>1573</v>
      </c>
      <c r="E6" s="3" t="s">
        <v>340</v>
      </c>
      <c r="F6" s="3">
        <v>15.99</v>
      </c>
      <c r="G6" s="3" t="s">
        <v>2572</v>
      </c>
      <c r="H6" s="3"/>
      <c r="I6" s="3" t="s">
        <v>2573</v>
      </c>
      <c r="J6" s="3">
        <v>4</v>
      </c>
      <c r="K6" s="3">
        <v>4</v>
      </c>
      <c r="L6" s="3">
        <v>0</v>
      </c>
      <c r="M6" s="3">
        <v>0</v>
      </c>
      <c r="N6" s="3">
        <v>4</v>
      </c>
      <c r="O6" s="3">
        <v>0.11</v>
      </c>
      <c r="P6" s="3">
        <v>0</v>
      </c>
      <c r="Q6" s="3">
        <v>0</v>
      </c>
      <c r="R6" s="3">
        <v>0</v>
      </c>
    </row>
    <row r="7" spans="1:18">
      <c r="A7" s="3" t="s">
        <v>1682</v>
      </c>
      <c r="B7" s="3" t="s">
        <v>1683</v>
      </c>
      <c r="C7" s="3" t="s">
        <v>1684</v>
      </c>
      <c r="D7" s="3" t="s">
        <v>1685</v>
      </c>
      <c r="E7" s="3" t="s">
        <v>340</v>
      </c>
      <c r="F7" s="3">
        <v>15.99</v>
      </c>
      <c r="G7" s="3" t="s">
        <v>2572</v>
      </c>
      <c r="H7" s="3"/>
      <c r="I7" s="3" t="s">
        <v>2573</v>
      </c>
      <c r="J7" s="3">
        <v>1</v>
      </c>
      <c r="K7" s="3">
        <v>1</v>
      </c>
      <c r="L7" s="3">
        <v>0</v>
      </c>
      <c r="M7" s="3">
        <v>0</v>
      </c>
      <c r="N7" s="3">
        <v>1</v>
      </c>
      <c r="O7" s="3">
        <v>0.11</v>
      </c>
      <c r="P7" s="3">
        <v>0</v>
      </c>
      <c r="Q7" s="3">
        <v>0</v>
      </c>
      <c r="R7" s="3">
        <v>0</v>
      </c>
    </row>
    <row r="8" spans="1:18">
      <c r="A8" s="3" t="s">
        <v>1666</v>
      </c>
      <c r="B8" s="3" t="s">
        <v>1667</v>
      </c>
      <c r="C8" s="3" t="s">
        <v>1668</v>
      </c>
      <c r="D8" s="3" t="s">
        <v>1669</v>
      </c>
      <c r="E8" s="3" t="s">
        <v>340</v>
      </c>
      <c r="F8" s="3">
        <v>15.99</v>
      </c>
      <c r="G8" s="3" t="s">
        <v>2572</v>
      </c>
      <c r="H8" s="3"/>
      <c r="I8" s="3" t="s">
        <v>2573</v>
      </c>
      <c r="J8" s="3">
        <v>1</v>
      </c>
      <c r="K8" s="3">
        <v>1</v>
      </c>
      <c r="L8" s="3">
        <v>0</v>
      </c>
      <c r="M8" s="3">
        <v>0</v>
      </c>
      <c r="N8" s="3">
        <v>1</v>
      </c>
      <c r="O8" s="3">
        <v>0.11</v>
      </c>
      <c r="P8" s="3">
        <v>0</v>
      </c>
      <c r="Q8" s="3">
        <v>0</v>
      </c>
      <c r="R8" s="3">
        <v>0</v>
      </c>
    </row>
    <row r="9" spans="1:18">
      <c r="A9" s="3" t="s">
        <v>828</v>
      </c>
      <c r="B9" s="3" t="s">
        <v>829</v>
      </c>
      <c r="C9" s="3" t="s">
        <v>830</v>
      </c>
      <c r="D9" s="3" t="s">
        <v>831</v>
      </c>
      <c r="E9" s="3" t="s">
        <v>340</v>
      </c>
      <c r="F9" s="3">
        <v>15.99</v>
      </c>
      <c r="G9" s="3" t="s">
        <v>2572</v>
      </c>
      <c r="H9" s="3"/>
      <c r="I9" s="3" t="s">
        <v>2573</v>
      </c>
      <c r="J9" s="3">
        <v>2</v>
      </c>
      <c r="K9" s="3">
        <v>2</v>
      </c>
      <c r="L9" s="3">
        <v>0</v>
      </c>
      <c r="M9" s="3">
        <v>0</v>
      </c>
      <c r="N9" s="3">
        <v>2</v>
      </c>
      <c r="O9" s="3">
        <v>0.11</v>
      </c>
      <c r="P9" s="3">
        <v>0</v>
      </c>
      <c r="Q9" s="3">
        <v>0</v>
      </c>
      <c r="R9" s="3">
        <v>0</v>
      </c>
    </row>
    <row r="10" spans="1:18">
      <c r="A10" s="3" t="s">
        <v>1916</v>
      </c>
      <c r="B10" s="3" t="s">
        <v>1917</v>
      </c>
      <c r="C10" s="3" t="s">
        <v>1918</v>
      </c>
      <c r="D10" s="3" t="s">
        <v>1919</v>
      </c>
      <c r="E10" s="3" t="s">
        <v>340</v>
      </c>
      <c r="F10" s="3">
        <v>15.99</v>
      </c>
      <c r="G10" s="3" t="s">
        <v>2572</v>
      </c>
      <c r="H10" s="3"/>
      <c r="I10" s="3" t="s">
        <v>2573</v>
      </c>
      <c r="J10" s="3">
        <v>7</v>
      </c>
      <c r="K10" s="3">
        <v>7</v>
      </c>
      <c r="L10" s="3">
        <v>0</v>
      </c>
      <c r="M10" s="3">
        <v>0</v>
      </c>
      <c r="N10" s="3">
        <v>7</v>
      </c>
      <c r="O10" s="3">
        <v>0.11</v>
      </c>
      <c r="P10" s="3">
        <v>0</v>
      </c>
      <c r="Q10" s="3">
        <v>0</v>
      </c>
      <c r="R10" s="3">
        <v>0</v>
      </c>
    </row>
    <row r="11" spans="1:18">
      <c r="A11" s="3" t="s">
        <v>962</v>
      </c>
      <c r="B11" s="3" t="s">
        <v>963</v>
      </c>
      <c r="C11" s="3" t="s">
        <v>964</v>
      </c>
      <c r="D11" s="3" t="s">
        <v>965</v>
      </c>
      <c r="E11" s="3" t="s">
        <v>340</v>
      </c>
      <c r="F11" s="3">
        <v>15.99</v>
      </c>
      <c r="G11" s="3" t="s">
        <v>2572</v>
      </c>
      <c r="H11" s="3"/>
      <c r="I11" s="3" t="s">
        <v>2573</v>
      </c>
      <c r="J11" s="3">
        <v>6</v>
      </c>
      <c r="K11" s="3">
        <v>6</v>
      </c>
      <c r="L11" s="3">
        <v>0</v>
      </c>
      <c r="M11" s="3">
        <v>0</v>
      </c>
      <c r="N11" s="3">
        <v>6</v>
      </c>
      <c r="O11" s="3">
        <v>0.11</v>
      </c>
      <c r="P11" s="3">
        <v>0</v>
      </c>
      <c r="Q11" s="3">
        <v>0</v>
      </c>
      <c r="R11" s="3">
        <v>0</v>
      </c>
    </row>
    <row r="12" spans="1:18">
      <c r="A12" s="3" t="s">
        <v>1641</v>
      </c>
      <c r="B12" s="3" t="s">
        <v>1642</v>
      </c>
      <c r="C12" s="3" t="s">
        <v>1643</v>
      </c>
      <c r="D12" s="3" t="s">
        <v>1644</v>
      </c>
      <c r="E12" s="3" t="s">
        <v>340</v>
      </c>
      <c r="F12" s="3">
        <v>15.99</v>
      </c>
      <c r="G12" s="3" t="s">
        <v>2572</v>
      </c>
      <c r="H12" s="3"/>
      <c r="I12" s="3" t="s">
        <v>2573</v>
      </c>
      <c r="J12" s="3">
        <v>6</v>
      </c>
      <c r="K12" s="3">
        <v>6</v>
      </c>
      <c r="L12" s="3">
        <v>0</v>
      </c>
      <c r="M12" s="3">
        <v>0</v>
      </c>
      <c r="N12" s="3">
        <v>6</v>
      </c>
      <c r="O12" s="3">
        <v>0.11</v>
      </c>
      <c r="P12" s="3">
        <v>0</v>
      </c>
      <c r="Q12" s="3">
        <v>0</v>
      </c>
      <c r="R12" s="3">
        <v>0</v>
      </c>
    </row>
    <row r="13" spans="1:18">
      <c r="A13" s="3" t="s">
        <v>2574</v>
      </c>
      <c r="B13" s="3" t="s">
        <v>2575</v>
      </c>
      <c r="C13" s="3" t="s">
        <v>2576</v>
      </c>
      <c r="D13" s="3" t="s">
        <v>2577</v>
      </c>
      <c r="E13" s="3" t="s">
        <v>340</v>
      </c>
      <c r="F13" s="3">
        <v>15.99</v>
      </c>
      <c r="G13" s="3" t="s">
        <v>2572</v>
      </c>
      <c r="H13" s="3"/>
      <c r="I13" s="3" t="s">
        <v>2573</v>
      </c>
      <c r="J13" s="3">
        <v>1</v>
      </c>
      <c r="K13" s="3">
        <v>0</v>
      </c>
      <c r="L13" s="3">
        <v>1</v>
      </c>
      <c r="M13" s="3">
        <v>0</v>
      </c>
      <c r="N13" s="3">
        <v>1</v>
      </c>
      <c r="O13" s="3">
        <v>0.11</v>
      </c>
      <c r="P13" s="3">
        <v>0</v>
      </c>
      <c r="Q13" s="3">
        <v>0</v>
      </c>
      <c r="R13" s="3">
        <v>0</v>
      </c>
    </row>
    <row r="14" spans="1:18">
      <c r="A14" s="3" t="s">
        <v>2283</v>
      </c>
      <c r="B14" s="3" t="s">
        <v>2284</v>
      </c>
      <c r="C14" s="3" t="s">
        <v>2285</v>
      </c>
      <c r="D14" s="3" t="s">
        <v>2286</v>
      </c>
      <c r="E14" s="3" t="s">
        <v>340</v>
      </c>
      <c r="F14" s="3">
        <v>15.99</v>
      </c>
      <c r="G14" s="3" t="s">
        <v>2572</v>
      </c>
      <c r="H14" s="3"/>
      <c r="I14" s="3" t="s">
        <v>2573</v>
      </c>
      <c r="J14" s="3">
        <v>3</v>
      </c>
      <c r="K14" s="3">
        <v>2</v>
      </c>
      <c r="L14" s="3">
        <v>1</v>
      </c>
      <c r="M14" s="3">
        <v>0</v>
      </c>
      <c r="N14" s="3">
        <v>3</v>
      </c>
      <c r="O14" s="3">
        <v>0.11</v>
      </c>
      <c r="P14" s="3">
        <v>0</v>
      </c>
      <c r="Q14" s="3">
        <v>0</v>
      </c>
      <c r="R14" s="3">
        <v>0</v>
      </c>
    </row>
    <row r="15" spans="1:18">
      <c r="A15" s="3" t="s">
        <v>743</v>
      </c>
      <c r="B15" s="3" t="s">
        <v>744</v>
      </c>
      <c r="C15" s="3" t="s">
        <v>745</v>
      </c>
      <c r="D15" s="3" t="s">
        <v>746</v>
      </c>
      <c r="E15" s="3" t="s">
        <v>340</v>
      </c>
      <c r="F15" s="3">
        <v>15.99</v>
      </c>
      <c r="G15" s="3" t="s">
        <v>2572</v>
      </c>
      <c r="H15" s="3"/>
      <c r="I15" s="3" t="s">
        <v>2573</v>
      </c>
      <c r="J15" s="3">
        <v>7</v>
      </c>
      <c r="K15" s="3">
        <v>6</v>
      </c>
      <c r="L15" s="3">
        <v>1</v>
      </c>
      <c r="M15" s="3">
        <v>0</v>
      </c>
      <c r="N15" s="3">
        <v>7</v>
      </c>
      <c r="O15" s="3">
        <v>0.11</v>
      </c>
      <c r="P15" s="3">
        <v>0</v>
      </c>
      <c r="Q15" s="3">
        <v>0</v>
      </c>
      <c r="R15" s="3">
        <v>0</v>
      </c>
    </row>
    <row r="16" spans="1:18">
      <c r="A16" s="3" t="s">
        <v>1473</v>
      </c>
      <c r="B16" s="3" t="s">
        <v>1474</v>
      </c>
      <c r="C16" s="3" t="s">
        <v>1475</v>
      </c>
      <c r="D16" s="3" t="s">
        <v>1476</v>
      </c>
      <c r="E16" s="3" t="s">
        <v>340</v>
      </c>
      <c r="F16" s="3">
        <v>15.99</v>
      </c>
      <c r="G16" s="3" t="s">
        <v>2572</v>
      </c>
      <c r="H16" s="3"/>
      <c r="I16" s="3" t="s">
        <v>2573</v>
      </c>
      <c r="J16" s="3">
        <v>10</v>
      </c>
      <c r="K16" s="3">
        <v>8</v>
      </c>
      <c r="L16" s="3">
        <v>2</v>
      </c>
      <c r="M16" s="3">
        <v>0</v>
      </c>
      <c r="N16" s="3">
        <v>10</v>
      </c>
      <c r="O16" s="3">
        <v>0.11</v>
      </c>
      <c r="P16" s="3">
        <v>0</v>
      </c>
      <c r="Q16" s="3">
        <v>0</v>
      </c>
      <c r="R16" s="3">
        <v>0</v>
      </c>
    </row>
    <row r="17" spans="1:18">
      <c r="A17" s="3" t="s">
        <v>739</v>
      </c>
      <c r="B17" s="3" t="s">
        <v>740</v>
      </c>
      <c r="C17" s="3" t="s">
        <v>741</v>
      </c>
      <c r="D17" s="3" t="s">
        <v>742</v>
      </c>
      <c r="E17" s="3" t="s">
        <v>340</v>
      </c>
      <c r="F17" s="3">
        <v>15.99</v>
      </c>
      <c r="G17" s="3" t="s">
        <v>2572</v>
      </c>
      <c r="H17" s="3"/>
      <c r="I17" s="3" t="s">
        <v>2573</v>
      </c>
      <c r="J17" s="3">
        <v>1</v>
      </c>
      <c r="K17" s="3">
        <v>1</v>
      </c>
      <c r="L17" s="3">
        <v>0</v>
      </c>
      <c r="M17" s="3">
        <v>0</v>
      </c>
      <c r="N17" s="3">
        <v>1</v>
      </c>
      <c r="O17" s="3">
        <v>0.11</v>
      </c>
      <c r="P17" s="3">
        <v>0</v>
      </c>
      <c r="Q17" s="3">
        <v>0</v>
      </c>
      <c r="R17" s="3">
        <v>0</v>
      </c>
    </row>
    <row r="18" spans="1:18">
      <c r="A18" s="3" t="s">
        <v>1582</v>
      </c>
      <c r="B18" s="3" t="s">
        <v>1583</v>
      </c>
      <c r="C18" s="3" t="s">
        <v>1584</v>
      </c>
      <c r="D18" s="3" t="s">
        <v>1585</v>
      </c>
      <c r="E18" s="3" t="s">
        <v>340</v>
      </c>
      <c r="F18" s="3">
        <v>15.99</v>
      </c>
      <c r="G18" s="3" t="s">
        <v>2572</v>
      </c>
      <c r="H18" s="3"/>
      <c r="I18" s="3" t="s">
        <v>2573</v>
      </c>
      <c r="J18" s="3">
        <v>8</v>
      </c>
      <c r="K18" s="3">
        <v>6</v>
      </c>
      <c r="L18" s="3">
        <v>2</v>
      </c>
      <c r="M18" s="3">
        <v>0</v>
      </c>
      <c r="N18" s="3">
        <v>8</v>
      </c>
      <c r="O18" s="3">
        <v>0.11</v>
      </c>
      <c r="P18" s="3">
        <v>0</v>
      </c>
      <c r="Q18" s="3">
        <v>0</v>
      </c>
      <c r="R18" s="3">
        <v>0</v>
      </c>
    </row>
    <row r="19" spans="1:18">
      <c r="A19" s="3" t="s">
        <v>1374</v>
      </c>
      <c r="B19" s="3" t="s">
        <v>1375</v>
      </c>
      <c r="C19" s="3" t="s">
        <v>1376</v>
      </c>
      <c r="D19" s="3" t="s">
        <v>1377</v>
      </c>
      <c r="E19" s="3" t="s">
        <v>340</v>
      </c>
      <c r="F19" s="3">
        <v>15.99</v>
      </c>
      <c r="G19" s="3" t="s">
        <v>2572</v>
      </c>
      <c r="H19" s="3"/>
      <c r="I19" s="3" t="s">
        <v>2573</v>
      </c>
      <c r="J19" s="3">
        <v>5</v>
      </c>
      <c r="K19" s="3">
        <v>5</v>
      </c>
      <c r="L19" s="3">
        <v>0</v>
      </c>
      <c r="M19" s="3">
        <v>0</v>
      </c>
      <c r="N19" s="3">
        <v>5</v>
      </c>
      <c r="O19" s="3">
        <v>0.11</v>
      </c>
      <c r="P19" s="3">
        <v>0</v>
      </c>
      <c r="Q19" s="3">
        <v>0</v>
      </c>
      <c r="R19" s="3">
        <v>0</v>
      </c>
    </row>
    <row r="20" spans="1:18">
      <c r="A20" s="3" t="s">
        <v>2030</v>
      </c>
      <c r="B20" s="3" t="s">
        <v>2031</v>
      </c>
      <c r="C20" s="3" t="s">
        <v>2032</v>
      </c>
      <c r="D20" s="3" t="s">
        <v>2033</v>
      </c>
      <c r="E20" s="3" t="s">
        <v>340</v>
      </c>
      <c r="F20" s="3">
        <v>15.99</v>
      </c>
      <c r="G20" s="3" t="s">
        <v>2572</v>
      </c>
      <c r="H20" s="3"/>
      <c r="I20" s="3" t="s">
        <v>2573</v>
      </c>
      <c r="J20" s="3">
        <v>7</v>
      </c>
      <c r="K20" s="3">
        <v>7</v>
      </c>
      <c r="L20" s="3">
        <v>0</v>
      </c>
      <c r="M20" s="3">
        <v>0</v>
      </c>
      <c r="N20" s="3">
        <v>7</v>
      </c>
      <c r="O20" s="3">
        <v>0.11</v>
      </c>
      <c r="P20" s="3">
        <v>0</v>
      </c>
      <c r="Q20" s="3">
        <v>0</v>
      </c>
      <c r="R20" s="3">
        <v>0</v>
      </c>
    </row>
    <row r="21" spans="1:18">
      <c r="A21" s="3" t="s">
        <v>783</v>
      </c>
      <c r="B21" s="3" t="s">
        <v>784</v>
      </c>
      <c r="C21" s="3" t="s">
        <v>785</v>
      </c>
      <c r="D21" s="3" t="s">
        <v>786</v>
      </c>
      <c r="E21" s="3" t="s">
        <v>340</v>
      </c>
      <c r="F21" s="3">
        <v>15.99</v>
      </c>
      <c r="G21" s="3" t="s">
        <v>2572</v>
      </c>
      <c r="H21" s="3"/>
      <c r="I21" s="3" t="s">
        <v>2573</v>
      </c>
      <c r="J21" s="3">
        <v>2</v>
      </c>
      <c r="K21" s="3">
        <v>2</v>
      </c>
      <c r="L21" s="3">
        <v>0</v>
      </c>
      <c r="M21" s="3">
        <v>0</v>
      </c>
      <c r="N21" s="3">
        <v>2</v>
      </c>
      <c r="O21" s="3">
        <v>0.11</v>
      </c>
      <c r="P21" s="3">
        <v>0</v>
      </c>
      <c r="Q21" s="3">
        <v>0</v>
      </c>
      <c r="R21" s="3">
        <v>0</v>
      </c>
    </row>
    <row r="22" spans="1:18">
      <c r="A22" s="3" t="s">
        <v>1934</v>
      </c>
      <c r="B22" s="3" t="s">
        <v>1935</v>
      </c>
      <c r="C22" s="3" t="s">
        <v>1936</v>
      </c>
      <c r="D22" s="3" t="s">
        <v>1937</v>
      </c>
      <c r="E22" s="3" t="s">
        <v>340</v>
      </c>
      <c r="F22" s="3">
        <v>15.99</v>
      </c>
      <c r="G22" s="3" t="s">
        <v>2572</v>
      </c>
      <c r="H22" s="3"/>
      <c r="I22" s="3" t="s">
        <v>2573</v>
      </c>
      <c r="J22" s="3">
        <v>5</v>
      </c>
      <c r="K22" s="3">
        <v>5</v>
      </c>
      <c r="L22" s="3">
        <v>0</v>
      </c>
      <c r="M22" s="3">
        <v>0</v>
      </c>
      <c r="N22" s="3">
        <v>5</v>
      </c>
      <c r="O22" s="3">
        <v>0.11</v>
      </c>
      <c r="P22" s="3">
        <v>0</v>
      </c>
      <c r="Q22" s="3">
        <v>0</v>
      </c>
      <c r="R22" s="3">
        <v>0</v>
      </c>
    </row>
    <row r="23" spans="1:18">
      <c r="A23" s="3" t="s">
        <v>580</v>
      </c>
      <c r="B23" s="3" t="s">
        <v>581</v>
      </c>
      <c r="C23" s="3" t="s">
        <v>582</v>
      </c>
      <c r="D23" s="3" t="s">
        <v>583</v>
      </c>
      <c r="E23" s="3" t="s">
        <v>340</v>
      </c>
      <c r="F23" s="3">
        <v>15.99</v>
      </c>
      <c r="G23" s="3" t="s">
        <v>2572</v>
      </c>
      <c r="H23" s="3"/>
      <c r="I23" s="3" t="s">
        <v>2573</v>
      </c>
      <c r="J23" s="3">
        <v>14</v>
      </c>
      <c r="K23" s="3">
        <v>13</v>
      </c>
      <c r="L23" s="3">
        <v>1</v>
      </c>
      <c r="M23" s="3">
        <v>0</v>
      </c>
      <c r="N23" s="3">
        <v>14</v>
      </c>
      <c r="O23" s="3">
        <v>0.11</v>
      </c>
      <c r="P23" s="3">
        <v>0</v>
      </c>
      <c r="Q23" s="3">
        <v>0</v>
      </c>
      <c r="R23" s="3">
        <v>0</v>
      </c>
    </row>
    <row r="24" spans="1:18">
      <c r="A24" s="3" t="s">
        <v>623</v>
      </c>
      <c r="B24" s="3" t="s">
        <v>624</v>
      </c>
      <c r="C24" s="3" t="s">
        <v>625</v>
      </c>
      <c r="D24" s="3" t="s">
        <v>626</v>
      </c>
      <c r="E24" s="3" t="s">
        <v>340</v>
      </c>
      <c r="F24" s="3">
        <v>15.99</v>
      </c>
      <c r="G24" s="3" t="s">
        <v>2572</v>
      </c>
      <c r="H24" s="3"/>
      <c r="I24" s="3" t="s">
        <v>2573</v>
      </c>
      <c r="J24" s="3">
        <v>3</v>
      </c>
      <c r="K24" s="3">
        <v>3</v>
      </c>
      <c r="L24" s="3">
        <v>0</v>
      </c>
      <c r="M24" s="3">
        <v>0</v>
      </c>
      <c r="N24" s="3">
        <v>3</v>
      </c>
      <c r="O24" s="3">
        <v>0.11</v>
      </c>
      <c r="P24" s="3">
        <v>0</v>
      </c>
      <c r="Q24" s="3">
        <v>0</v>
      </c>
      <c r="R24" s="3">
        <v>0</v>
      </c>
    </row>
    <row r="25" spans="1:18">
      <c r="A25" s="3" t="s">
        <v>1314</v>
      </c>
      <c r="B25" s="3" t="s">
        <v>1315</v>
      </c>
      <c r="C25" s="3" t="s">
        <v>1316</v>
      </c>
      <c r="D25" s="3" t="s">
        <v>1317</v>
      </c>
      <c r="E25" s="3" t="s">
        <v>340</v>
      </c>
      <c r="F25" s="3">
        <v>15.99</v>
      </c>
      <c r="G25" s="3" t="s">
        <v>2572</v>
      </c>
      <c r="H25" s="3"/>
      <c r="I25" s="3" t="s">
        <v>2573</v>
      </c>
      <c r="J25" s="3">
        <v>8</v>
      </c>
      <c r="K25" s="3">
        <v>8</v>
      </c>
      <c r="L25" s="3">
        <v>0</v>
      </c>
      <c r="M25" s="3">
        <v>0</v>
      </c>
      <c r="N25" s="3">
        <v>8</v>
      </c>
      <c r="O25" s="3">
        <v>0.11</v>
      </c>
      <c r="P25" s="3">
        <v>0</v>
      </c>
      <c r="Q25" s="3">
        <v>0</v>
      </c>
      <c r="R25" s="3">
        <v>0</v>
      </c>
    </row>
    <row r="26" spans="1:18">
      <c r="A26" s="3" t="s">
        <v>1106</v>
      </c>
      <c r="B26" s="3" t="s">
        <v>1107</v>
      </c>
      <c r="C26" s="3" t="s">
        <v>1108</v>
      </c>
      <c r="D26" s="3" t="s">
        <v>1109</v>
      </c>
      <c r="E26" s="3" t="s">
        <v>340</v>
      </c>
      <c r="F26" s="3">
        <v>15.99</v>
      </c>
      <c r="G26" s="3" t="s">
        <v>2572</v>
      </c>
      <c r="H26" s="3"/>
      <c r="I26" s="3" t="s">
        <v>2573</v>
      </c>
      <c r="J26" s="3">
        <v>4</v>
      </c>
      <c r="K26" s="3">
        <v>4</v>
      </c>
      <c r="L26" s="3">
        <v>0</v>
      </c>
      <c r="M26" s="3">
        <v>0</v>
      </c>
      <c r="N26" s="3">
        <v>4</v>
      </c>
      <c r="O26" s="3">
        <v>0.11</v>
      </c>
      <c r="P26" s="3">
        <v>0</v>
      </c>
      <c r="Q26" s="3">
        <v>0</v>
      </c>
      <c r="R26" s="3">
        <v>0</v>
      </c>
    </row>
    <row r="27" spans="1:18">
      <c r="A27" s="3" t="s">
        <v>393</v>
      </c>
      <c r="B27" s="3" t="s">
        <v>394</v>
      </c>
      <c r="C27" s="3" t="s">
        <v>395</v>
      </c>
      <c r="D27" s="3" t="s">
        <v>396</v>
      </c>
      <c r="E27" s="3" t="s">
        <v>340</v>
      </c>
      <c r="F27" s="3">
        <v>15.99</v>
      </c>
      <c r="G27" s="3" t="s">
        <v>2572</v>
      </c>
      <c r="H27" s="3"/>
      <c r="I27" s="3" t="s">
        <v>2573</v>
      </c>
      <c r="J27" s="3">
        <v>4</v>
      </c>
      <c r="K27" s="3">
        <v>4</v>
      </c>
      <c r="L27" s="3">
        <v>0</v>
      </c>
      <c r="M27" s="3">
        <v>0</v>
      </c>
      <c r="N27" s="3">
        <v>4</v>
      </c>
      <c r="O27" s="3">
        <v>0.11</v>
      </c>
      <c r="P27" s="3">
        <v>0</v>
      </c>
      <c r="Q27" s="3">
        <v>0</v>
      </c>
      <c r="R27" s="3">
        <v>0</v>
      </c>
    </row>
    <row r="28" spans="1:18">
      <c r="A28" s="3" t="s">
        <v>2408</v>
      </c>
      <c r="B28" s="3" t="s">
        <v>2409</v>
      </c>
      <c r="C28" s="3" t="s">
        <v>2410</v>
      </c>
      <c r="D28" s="3" t="s">
        <v>2411</v>
      </c>
      <c r="E28" s="3" t="s">
        <v>340</v>
      </c>
      <c r="F28" s="3">
        <v>15.99</v>
      </c>
      <c r="G28" s="3" t="s">
        <v>2572</v>
      </c>
      <c r="H28" s="3"/>
      <c r="I28" s="3" t="s">
        <v>2573</v>
      </c>
      <c r="J28" s="3">
        <v>1</v>
      </c>
      <c r="K28" s="3">
        <v>1</v>
      </c>
      <c r="L28" s="3">
        <v>0</v>
      </c>
      <c r="M28" s="3">
        <v>0</v>
      </c>
      <c r="N28" s="3">
        <v>1</v>
      </c>
      <c r="O28" s="3">
        <v>0.11</v>
      </c>
      <c r="P28" s="3">
        <v>0</v>
      </c>
      <c r="Q28" s="3">
        <v>0</v>
      </c>
      <c r="R28" s="3">
        <v>0</v>
      </c>
    </row>
    <row r="29" spans="1:18">
      <c r="A29" s="3" t="s">
        <v>2578</v>
      </c>
      <c r="B29" s="3" t="s">
        <v>2579</v>
      </c>
      <c r="C29" s="3" t="s">
        <v>2580</v>
      </c>
      <c r="D29" s="3" t="s">
        <v>2581</v>
      </c>
      <c r="E29" s="3" t="s">
        <v>340</v>
      </c>
      <c r="F29" s="3">
        <v>15.99</v>
      </c>
      <c r="G29" s="3" t="s">
        <v>2572</v>
      </c>
      <c r="H29" s="3"/>
      <c r="I29" s="3" t="s">
        <v>2573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0.11</v>
      </c>
      <c r="P29" s="3">
        <v>0</v>
      </c>
      <c r="Q29" s="3">
        <v>0</v>
      </c>
      <c r="R29" s="3">
        <v>0</v>
      </c>
    </row>
    <row r="30" spans="1:18">
      <c r="A30" s="3" t="s">
        <v>1832</v>
      </c>
      <c r="B30" s="3" t="s">
        <v>1833</v>
      </c>
      <c r="C30" s="3" t="s">
        <v>1834</v>
      </c>
      <c r="D30" s="3" t="s">
        <v>1835</v>
      </c>
      <c r="E30" s="3" t="s">
        <v>340</v>
      </c>
      <c r="F30" s="3">
        <v>15.99</v>
      </c>
      <c r="G30" s="3" t="s">
        <v>2572</v>
      </c>
      <c r="H30" s="3"/>
      <c r="I30" s="3" t="s">
        <v>2573</v>
      </c>
      <c r="J30" s="3">
        <v>1</v>
      </c>
      <c r="K30" s="3">
        <v>1</v>
      </c>
      <c r="L30" s="3">
        <v>0</v>
      </c>
      <c r="M30" s="3">
        <v>0</v>
      </c>
      <c r="N30" s="3">
        <v>1</v>
      </c>
      <c r="O30" s="3">
        <v>0.11</v>
      </c>
      <c r="P30" s="3">
        <v>0</v>
      </c>
      <c r="Q30" s="3">
        <v>0</v>
      </c>
      <c r="R30" s="3">
        <v>0</v>
      </c>
    </row>
    <row r="31" spans="1:18">
      <c r="A31" s="3" t="s">
        <v>1759</v>
      </c>
      <c r="B31" s="3" t="s">
        <v>1760</v>
      </c>
      <c r="C31" s="3" t="s">
        <v>1761</v>
      </c>
      <c r="D31" s="3" t="s">
        <v>1762</v>
      </c>
      <c r="E31" s="3" t="s">
        <v>340</v>
      </c>
      <c r="F31" s="3">
        <v>15.99</v>
      </c>
      <c r="G31" s="3" t="s">
        <v>2572</v>
      </c>
      <c r="H31" s="3"/>
      <c r="I31" s="3" t="s">
        <v>2573</v>
      </c>
      <c r="J31" s="3">
        <v>1</v>
      </c>
      <c r="K31" s="3">
        <v>1</v>
      </c>
      <c r="L31" s="3">
        <v>0</v>
      </c>
      <c r="M31" s="3">
        <v>0</v>
      </c>
      <c r="N31" s="3">
        <v>1</v>
      </c>
      <c r="O31" s="3">
        <v>0.11</v>
      </c>
      <c r="P31" s="3">
        <v>0</v>
      </c>
      <c r="Q31" s="3">
        <v>0</v>
      </c>
      <c r="R31" s="3">
        <v>0</v>
      </c>
    </row>
    <row r="32" spans="1:18">
      <c r="A32" s="3" t="s">
        <v>2582</v>
      </c>
      <c r="B32" s="3" t="s">
        <v>2583</v>
      </c>
      <c r="C32" s="3" t="s">
        <v>2584</v>
      </c>
      <c r="D32" s="3" t="s">
        <v>2585</v>
      </c>
      <c r="E32" s="3" t="s">
        <v>340</v>
      </c>
      <c r="F32" s="3">
        <v>15.99</v>
      </c>
      <c r="G32" s="3" t="s">
        <v>2572</v>
      </c>
      <c r="H32" s="3"/>
      <c r="I32" s="3" t="s">
        <v>2573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0.11</v>
      </c>
      <c r="P32" s="3">
        <v>0</v>
      </c>
      <c r="Q32" s="3">
        <v>0</v>
      </c>
      <c r="R32" s="3">
        <v>0</v>
      </c>
    </row>
    <row r="33" spans="1:18">
      <c r="A33" s="3" t="s">
        <v>532</v>
      </c>
      <c r="B33" s="3" t="s">
        <v>533</v>
      </c>
      <c r="C33" s="3" t="s">
        <v>534</v>
      </c>
      <c r="D33" s="3" t="s">
        <v>535</v>
      </c>
      <c r="E33" s="3" t="s">
        <v>340</v>
      </c>
      <c r="F33" s="3">
        <v>15.99</v>
      </c>
      <c r="G33" s="3" t="s">
        <v>2572</v>
      </c>
      <c r="H33" s="3"/>
      <c r="I33" s="3" t="s">
        <v>2573</v>
      </c>
      <c r="J33" s="3">
        <v>2</v>
      </c>
      <c r="K33" s="3">
        <v>2</v>
      </c>
      <c r="L33" s="3">
        <v>0</v>
      </c>
      <c r="M33" s="3">
        <v>0</v>
      </c>
      <c r="N33" s="3">
        <v>2</v>
      </c>
      <c r="O33" s="3">
        <v>0.11</v>
      </c>
      <c r="P33" s="3">
        <v>0</v>
      </c>
      <c r="Q33" s="3">
        <v>0</v>
      </c>
      <c r="R33" s="3">
        <v>0</v>
      </c>
    </row>
    <row r="34" spans="1:18">
      <c r="A34" s="3" t="s">
        <v>2053</v>
      </c>
      <c r="B34" s="3" t="s">
        <v>2054</v>
      </c>
      <c r="C34" s="3" t="s">
        <v>2055</v>
      </c>
      <c r="D34" s="3" t="s">
        <v>2056</v>
      </c>
      <c r="E34" s="3" t="s">
        <v>340</v>
      </c>
      <c r="F34" s="3">
        <v>15.99</v>
      </c>
      <c r="G34" s="3" t="s">
        <v>2572</v>
      </c>
      <c r="H34" s="3"/>
      <c r="I34" s="3" t="s">
        <v>2573</v>
      </c>
      <c r="J34" s="3">
        <v>4</v>
      </c>
      <c r="K34" s="3">
        <v>4</v>
      </c>
      <c r="L34" s="3">
        <v>0</v>
      </c>
      <c r="M34" s="3">
        <v>0</v>
      </c>
      <c r="N34" s="3">
        <v>4</v>
      </c>
      <c r="O34" s="3">
        <v>0.11</v>
      </c>
      <c r="P34" s="3">
        <v>0</v>
      </c>
      <c r="Q34" s="3">
        <v>0</v>
      </c>
      <c r="R34" s="3">
        <v>0</v>
      </c>
    </row>
    <row r="35" spans="1:18">
      <c r="A35" s="3" t="s">
        <v>2378</v>
      </c>
      <c r="B35" s="3" t="s">
        <v>2379</v>
      </c>
      <c r="C35" s="3" t="s">
        <v>2380</v>
      </c>
      <c r="D35" s="3" t="s">
        <v>2381</v>
      </c>
      <c r="E35" s="3" t="s">
        <v>340</v>
      </c>
      <c r="F35" s="3">
        <v>15.99</v>
      </c>
      <c r="G35" s="3" t="s">
        <v>2572</v>
      </c>
      <c r="H35" s="3"/>
      <c r="I35" s="3" t="s">
        <v>2573</v>
      </c>
      <c r="J35" s="3">
        <v>2</v>
      </c>
      <c r="K35" s="3">
        <v>2</v>
      </c>
      <c r="L35" s="3">
        <v>0</v>
      </c>
      <c r="M35" s="3">
        <v>0</v>
      </c>
      <c r="N35" s="3">
        <v>2</v>
      </c>
      <c r="O35" s="3">
        <v>0.11</v>
      </c>
      <c r="P35" s="3">
        <v>0</v>
      </c>
      <c r="Q35" s="3">
        <v>0</v>
      </c>
      <c r="R35" s="3">
        <v>0</v>
      </c>
    </row>
    <row r="36" spans="1:18">
      <c r="A36" s="3" t="s">
        <v>864</v>
      </c>
      <c r="B36" s="3" t="s">
        <v>865</v>
      </c>
      <c r="C36" s="3" t="s">
        <v>866</v>
      </c>
      <c r="D36" s="3" t="s">
        <v>867</v>
      </c>
      <c r="E36" s="3" t="s">
        <v>340</v>
      </c>
      <c r="F36" s="3">
        <v>15.99</v>
      </c>
      <c r="G36" s="3" t="s">
        <v>2572</v>
      </c>
      <c r="H36" s="3"/>
      <c r="I36" s="3" t="s">
        <v>2573</v>
      </c>
      <c r="J36" s="3">
        <v>2</v>
      </c>
      <c r="K36" s="3">
        <v>2</v>
      </c>
      <c r="L36" s="3">
        <v>0</v>
      </c>
      <c r="M36" s="3">
        <v>0</v>
      </c>
      <c r="N36" s="3">
        <v>2</v>
      </c>
      <c r="O36" s="3">
        <v>0.11</v>
      </c>
      <c r="P36" s="3">
        <v>0</v>
      </c>
      <c r="Q36" s="3">
        <v>0</v>
      </c>
      <c r="R36" s="3">
        <v>0</v>
      </c>
    </row>
    <row r="37" spans="1:18">
      <c r="A37" s="3" t="s">
        <v>791</v>
      </c>
      <c r="B37" s="3" t="s">
        <v>792</v>
      </c>
      <c r="C37" s="3" t="s">
        <v>793</v>
      </c>
      <c r="D37" s="3" t="s">
        <v>794</v>
      </c>
      <c r="E37" s="3" t="s">
        <v>340</v>
      </c>
      <c r="F37" s="3">
        <v>15.99</v>
      </c>
      <c r="G37" s="3" t="s">
        <v>2572</v>
      </c>
      <c r="H37" s="3"/>
      <c r="I37" s="3" t="s">
        <v>2573</v>
      </c>
      <c r="J37" s="3">
        <v>8</v>
      </c>
      <c r="K37" s="3">
        <v>7</v>
      </c>
      <c r="L37" s="3">
        <v>1</v>
      </c>
      <c r="M37" s="3">
        <v>0</v>
      </c>
      <c r="N37" s="3">
        <v>8</v>
      </c>
      <c r="O37" s="3">
        <v>0.11</v>
      </c>
      <c r="P37" s="3">
        <v>0</v>
      </c>
      <c r="Q37" s="3">
        <v>0</v>
      </c>
      <c r="R37" s="3">
        <v>0</v>
      </c>
    </row>
    <row r="38" spans="1:18">
      <c r="A38" s="3" t="s">
        <v>2374</v>
      </c>
      <c r="B38" s="3" t="s">
        <v>2375</v>
      </c>
      <c r="C38" s="3" t="s">
        <v>2376</v>
      </c>
      <c r="D38" s="3" t="s">
        <v>2377</v>
      </c>
      <c r="E38" s="3" t="s">
        <v>340</v>
      </c>
      <c r="F38" s="3">
        <v>15.99</v>
      </c>
      <c r="G38" s="3" t="s">
        <v>2572</v>
      </c>
      <c r="H38" s="3"/>
      <c r="I38" s="3" t="s">
        <v>2573</v>
      </c>
      <c r="J38" s="3">
        <v>10</v>
      </c>
      <c r="K38" s="3">
        <v>10</v>
      </c>
      <c r="L38" s="3">
        <v>0</v>
      </c>
      <c r="M38" s="3">
        <v>0</v>
      </c>
      <c r="N38" s="3">
        <v>10</v>
      </c>
      <c r="O38" s="3">
        <v>0.11</v>
      </c>
      <c r="P38" s="3">
        <v>0</v>
      </c>
      <c r="Q38" s="3">
        <v>0</v>
      </c>
      <c r="R38" s="3">
        <v>0</v>
      </c>
    </row>
    <row r="39" spans="1:18">
      <c r="A39" s="3" t="s">
        <v>1418</v>
      </c>
      <c r="B39" s="3" t="s">
        <v>1419</v>
      </c>
      <c r="C39" s="3" t="s">
        <v>1420</v>
      </c>
      <c r="D39" s="3" t="s">
        <v>1421</v>
      </c>
      <c r="E39" s="3" t="s">
        <v>340</v>
      </c>
      <c r="F39" s="3">
        <v>15.99</v>
      </c>
      <c r="G39" s="3" t="s">
        <v>2572</v>
      </c>
      <c r="H39" s="3"/>
      <c r="I39" s="3" t="s">
        <v>2573</v>
      </c>
      <c r="J39" s="3">
        <v>4</v>
      </c>
      <c r="K39" s="3">
        <v>4</v>
      </c>
      <c r="L39" s="3">
        <v>0</v>
      </c>
      <c r="M39" s="3">
        <v>0</v>
      </c>
      <c r="N39" s="3">
        <v>4</v>
      </c>
      <c r="O39" s="3">
        <v>0.11</v>
      </c>
      <c r="P39" s="3">
        <v>0</v>
      </c>
      <c r="Q39" s="3">
        <v>0</v>
      </c>
      <c r="R39" s="3">
        <v>0</v>
      </c>
    </row>
    <row r="40" spans="1:18">
      <c r="A40" s="3" t="s">
        <v>1706</v>
      </c>
      <c r="B40" s="3" t="s">
        <v>1707</v>
      </c>
      <c r="C40" s="3" t="s">
        <v>1708</v>
      </c>
      <c r="D40" s="3" t="s">
        <v>1709</v>
      </c>
      <c r="E40" s="3" t="s">
        <v>340</v>
      </c>
      <c r="F40" s="3">
        <v>15.99</v>
      </c>
      <c r="G40" s="3" t="s">
        <v>2572</v>
      </c>
      <c r="H40" s="3"/>
      <c r="I40" s="3" t="s">
        <v>2573</v>
      </c>
      <c r="J40" s="3">
        <v>2</v>
      </c>
      <c r="K40" s="3">
        <v>2</v>
      </c>
      <c r="L40" s="3">
        <v>0</v>
      </c>
      <c r="M40" s="3">
        <v>0</v>
      </c>
      <c r="N40" s="3">
        <v>2</v>
      </c>
      <c r="O40" s="3">
        <v>0.11</v>
      </c>
      <c r="P40" s="3">
        <v>0</v>
      </c>
      <c r="Q40" s="3">
        <v>0</v>
      </c>
      <c r="R40" s="3">
        <v>0</v>
      </c>
    </row>
    <row r="41" spans="1:18">
      <c r="A41" s="3" t="s">
        <v>710</v>
      </c>
      <c r="B41" s="3" t="s">
        <v>711</v>
      </c>
      <c r="C41" s="3" t="s">
        <v>712</v>
      </c>
      <c r="D41" s="3" t="s">
        <v>713</v>
      </c>
      <c r="E41" s="3" t="s">
        <v>340</v>
      </c>
      <c r="F41" s="3">
        <v>15.99</v>
      </c>
      <c r="G41" s="3" t="s">
        <v>2572</v>
      </c>
      <c r="H41" s="3"/>
      <c r="I41" s="3" t="s">
        <v>2573</v>
      </c>
      <c r="J41" s="3">
        <v>4</v>
      </c>
      <c r="K41" s="3">
        <v>4</v>
      </c>
      <c r="L41" s="3">
        <v>0</v>
      </c>
      <c r="M41" s="3">
        <v>0</v>
      </c>
      <c r="N41" s="3">
        <v>4</v>
      </c>
      <c r="O41" s="3">
        <v>0.11</v>
      </c>
      <c r="P41" s="3">
        <v>0</v>
      </c>
      <c r="Q41" s="3">
        <v>0</v>
      </c>
      <c r="R41" s="3">
        <v>0</v>
      </c>
    </row>
    <row r="42" spans="1:18">
      <c r="A42" s="3" t="s">
        <v>2315</v>
      </c>
      <c r="B42" s="3" t="s">
        <v>2316</v>
      </c>
      <c r="C42" s="3" t="s">
        <v>2317</v>
      </c>
      <c r="D42" s="3" t="s">
        <v>2318</v>
      </c>
      <c r="E42" s="3" t="s">
        <v>340</v>
      </c>
      <c r="F42" s="3">
        <v>15.99</v>
      </c>
      <c r="G42" s="3" t="s">
        <v>2572</v>
      </c>
      <c r="H42" s="3"/>
      <c r="I42" s="3" t="s">
        <v>2573</v>
      </c>
      <c r="J42" s="3">
        <v>5</v>
      </c>
      <c r="K42" s="3">
        <v>5</v>
      </c>
      <c r="L42" s="3">
        <v>0</v>
      </c>
      <c r="M42" s="3">
        <v>0</v>
      </c>
      <c r="N42" s="3">
        <v>5</v>
      </c>
      <c r="O42" s="3">
        <v>0.11</v>
      </c>
      <c r="P42" s="3">
        <v>0</v>
      </c>
      <c r="Q42" s="3">
        <v>0</v>
      </c>
      <c r="R42" s="3">
        <v>0</v>
      </c>
    </row>
    <row r="43" spans="1:18">
      <c r="A43" s="3" t="s">
        <v>1047</v>
      </c>
      <c r="B43" s="3" t="s">
        <v>1048</v>
      </c>
      <c r="C43" s="3" t="s">
        <v>1049</v>
      </c>
      <c r="D43" s="3" t="s">
        <v>1050</v>
      </c>
      <c r="E43" s="3" t="s">
        <v>340</v>
      </c>
      <c r="F43" s="3">
        <v>15.99</v>
      </c>
      <c r="G43" s="3" t="s">
        <v>2572</v>
      </c>
      <c r="H43" s="3"/>
      <c r="I43" s="3" t="s">
        <v>2573</v>
      </c>
      <c r="J43" s="3">
        <v>1</v>
      </c>
      <c r="K43" s="3">
        <v>1</v>
      </c>
      <c r="L43" s="3">
        <v>0</v>
      </c>
      <c r="M43" s="3">
        <v>0</v>
      </c>
      <c r="N43" s="3">
        <v>1</v>
      </c>
      <c r="O43" s="3">
        <v>0.11</v>
      </c>
      <c r="P43" s="3">
        <v>0</v>
      </c>
      <c r="Q43" s="3">
        <v>0</v>
      </c>
      <c r="R43" s="3">
        <v>0</v>
      </c>
    </row>
    <row r="44" spans="1:18">
      <c r="A44" s="3" t="s">
        <v>2335</v>
      </c>
      <c r="B44" s="3" t="s">
        <v>2336</v>
      </c>
      <c r="C44" s="3" t="s">
        <v>2337</v>
      </c>
      <c r="D44" s="3" t="s">
        <v>2338</v>
      </c>
      <c r="E44" s="3" t="s">
        <v>340</v>
      </c>
      <c r="F44" s="3">
        <v>22.99</v>
      </c>
      <c r="G44" s="3" t="s">
        <v>2572</v>
      </c>
      <c r="H44" s="3"/>
      <c r="I44" s="3" t="s">
        <v>2573</v>
      </c>
      <c r="J44" s="3">
        <v>5</v>
      </c>
      <c r="K44" s="3">
        <v>5</v>
      </c>
      <c r="L44" s="3">
        <v>0</v>
      </c>
      <c r="M44" s="3">
        <v>0</v>
      </c>
      <c r="N44" s="3">
        <v>5</v>
      </c>
      <c r="O44" s="3">
        <v>0.18</v>
      </c>
      <c r="P44" s="3">
        <v>0</v>
      </c>
      <c r="Q44" s="3">
        <v>0</v>
      </c>
      <c r="R44" s="3">
        <v>0</v>
      </c>
    </row>
    <row r="45" spans="1:18">
      <c r="A45" s="3" t="s">
        <v>1072</v>
      </c>
      <c r="B45" s="3" t="s">
        <v>1073</v>
      </c>
      <c r="C45" s="3" t="s">
        <v>1074</v>
      </c>
      <c r="D45" s="3" t="s">
        <v>1075</v>
      </c>
      <c r="E45" s="3" t="s">
        <v>340</v>
      </c>
      <c r="F45" s="3">
        <v>22.99</v>
      </c>
      <c r="G45" s="3" t="s">
        <v>2572</v>
      </c>
      <c r="H45" s="3"/>
      <c r="I45" s="3" t="s">
        <v>2573</v>
      </c>
      <c r="J45" s="3">
        <v>5</v>
      </c>
      <c r="K45" s="3">
        <v>5</v>
      </c>
      <c r="L45" s="3">
        <v>0</v>
      </c>
      <c r="M45" s="3">
        <v>0</v>
      </c>
      <c r="N45" s="3">
        <v>5</v>
      </c>
      <c r="O45" s="3">
        <v>0.18</v>
      </c>
      <c r="P45" s="3">
        <v>0</v>
      </c>
      <c r="Q45" s="3">
        <v>0</v>
      </c>
      <c r="R45" s="3">
        <v>0</v>
      </c>
    </row>
    <row r="46" spans="1:18">
      <c r="A46" s="3" t="s">
        <v>1662</v>
      </c>
      <c r="B46" s="3" t="s">
        <v>1663</v>
      </c>
      <c r="C46" s="3" t="s">
        <v>1664</v>
      </c>
      <c r="D46" s="3" t="s">
        <v>1665</v>
      </c>
      <c r="E46" s="3" t="s">
        <v>340</v>
      </c>
      <c r="F46" s="3">
        <v>22.99</v>
      </c>
      <c r="G46" s="3" t="s">
        <v>2572</v>
      </c>
      <c r="H46" s="3"/>
      <c r="I46" s="3" t="s">
        <v>2573</v>
      </c>
      <c r="J46" s="3">
        <v>5</v>
      </c>
      <c r="K46" s="3">
        <v>5</v>
      </c>
      <c r="L46" s="3">
        <v>0</v>
      </c>
      <c r="M46" s="3">
        <v>0</v>
      </c>
      <c r="N46" s="3">
        <v>5</v>
      </c>
      <c r="O46" s="3">
        <v>0.18</v>
      </c>
      <c r="P46" s="3">
        <v>0</v>
      </c>
      <c r="Q46" s="3">
        <v>0</v>
      </c>
      <c r="R46" s="3">
        <v>0</v>
      </c>
    </row>
    <row r="47" spans="1:18">
      <c r="A47" s="3" t="s">
        <v>1138</v>
      </c>
      <c r="B47" s="3" t="s">
        <v>1139</v>
      </c>
      <c r="C47" s="3" t="s">
        <v>1140</v>
      </c>
      <c r="D47" s="3" t="s">
        <v>1141</v>
      </c>
      <c r="E47" s="3" t="s">
        <v>340</v>
      </c>
      <c r="F47" s="3">
        <v>22.99</v>
      </c>
      <c r="G47" s="3" t="s">
        <v>2572</v>
      </c>
      <c r="H47" s="3"/>
      <c r="I47" s="3" t="s">
        <v>2573</v>
      </c>
      <c r="J47" s="3">
        <v>5</v>
      </c>
      <c r="K47" s="3">
        <v>5</v>
      </c>
      <c r="L47" s="3">
        <v>0</v>
      </c>
      <c r="M47" s="3">
        <v>0</v>
      </c>
      <c r="N47" s="3">
        <v>5</v>
      </c>
      <c r="O47" s="3">
        <v>0.18</v>
      </c>
      <c r="P47" s="3">
        <v>0</v>
      </c>
      <c r="Q47" s="3">
        <v>0</v>
      </c>
      <c r="R47" s="3">
        <v>0</v>
      </c>
    </row>
    <row r="48" spans="1:18">
      <c r="A48" s="3" t="s">
        <v>1903</v>
      </c>
      <c r="B48" s="3" t="s">
        <v>1904</v>
      </c>
      <c r="C48" s="3" t="s">
        <v>1905</v>
      </c>
      <c r="D48" s="3" t="s">
        <v>1906</v>
      </c>
      <c r="E48" s="3" t="s">
        <v>340</v>
      </c>
      <c r="F48" s="3">
        <v>22.99</v>
      </c>
      <c r="G48" s="3" t="s">
        <v>2572</v>
      </c>
      <c r="H48" s="3"/>
      <c r="I48" s="3" t="s">
        <v>2573</v>
      </c>
      <c r="J48" s="3">
        <v>5</v>
      </c>
      <c r="K48" s="3">
        <v>5</v>
      </c>
      <c r="L48" s="3">
        <v>0</v>
      </c>
      <c r="M48" s="3">
        <v>0</v>
      </c>
      <c r="N48" s="3">
        <v>5</v>
      </c>
      <c r="O48" s="3">
        <v>0.18</v>
      </c>
      <c r="P48" s="3">
        <v>0</v>
      </c>
      <c r="Q48" s="3">
        <v>0</v>
      </c>
      <c r="R48" s="3">
        <v>0</v>
      </c>
    </row>
    <row r="49" spans="1:18">
      <c r="A49" s="3" t="s">
        <v>983</v>
      </c>
      <c r="B49" s="3" t="s">
        <v>984</v>
      </c>
      <c r="C49" s="3" t="s">
        <v>985</v>
      </c>
      <c r="D49" s="3" t="s">
        <v>986</v>
      </c>
      <c r="E49" s="3" t="s">
        <v>340</v>
      </c>
      <c r="F49" s="3">
        <v>22.99</v>
      </c>
      <c r="G49" s="3" t="s">
        <v>2572</v>
      </c>
      <c r="H49" s="3"/>
      <c r="I49" s="3" t="s">
        <v>2573</v>
      </c>
      <c r="J49" s="3">
        <v>4</v>
      </c>
      <c r="K49" s="3">
        <v>4</v>
      </c>
      <c r="L49" s="3">
        <v>0</v>
      </c>
      <c r="M49" s="3">
        <v>0</v>
      </c>
      <c r="N49" s="3">
        <v>4</v>
      </c>
      <c r="O49" s="3">
        <v>0.18</v>
      </c>
      <c r="P49" s="3">
        <v>0</v>
      </c>
      <c r="Q49" s="3">
        <v>0</v>
      </c>
      <c r="R49" s="3">
        <v>0</v>
      </c>
    </row>
    <row r="50" spans="1:18">
      <c r="A50" s="3" t="s">
        <v>2586</v>
      </c>
      <c r="B50" s="3" t="s">
        <v>2587</v>
      </c>
      <c r="C50" s="3" t="s">
        <v>2588</v>
      </c>
      <c r="D50" s="3" t="s">
        <v>2589</v>
      </c>
      <c r="E50" s="3" t="s">
        <v>340</v>
      </c>
      <c r="F50" s="3">
        <v>19.99</v>
      </c>
      <c r="G50" s="3" t="s">
        <v>2572</v>
      </c>
      <c r="H50" s="3"/>
      <c r="I50" s="3" t="s">
        <v>2573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</row>
    <row r="51" spans="1:18">
      <c r="A51" s="3" t="s">
        <v>2462</v>
      </c>
      <c r="B51" s="3" t="s">
        <v>2463</v>
      </c>
      <c r="C51" s="3" t="s">
        <v>2464</v>
      </c>
      <c r="D51" s="3" t="s">
        <v>2465</v>
      </c>
      <c r="E51" s="3" t="s">
        <v>340</v>
      </c>
      <c r="F51" s="3">
        <v>19.99</v>
      </c>
      <c r="G51" s="3" t="s">
        <v>2572</v>
      </c>
      <c r="H51" s="3"/>
      <c r="I51" s="3" t="s">
        <v>2573</v>
      </c>
      <c r="J51" s="3">
        <v>2</v>
      </c>
      <c r="K51" s="3">
        <v>2</v>
      </c>
      <c r="L51" s="3">
        <v>0</v>
      </c>
      <c r="M51" s="3">
        <v>0</v>
      </c>
      <c r="N51" s="3">
        <v>2</v>
      </c>
      <c r="O51" s="3">
        <v>0</v>
      </c>
      <c r="P51" s="3">
        <v>0</v>
      </c>
      <c r="Q51" s="3">
        <v>0</v>
      </c>
      <c r="R51" s="3">
        <v>0</v>
      </c>
    </row>
    <row r="52" spans="1:18">
      <c r="A52" s="3" t="s">
        <v>1259</v>
      </c>
      <c r="B52" s="3" t="s">
        <v>1260</v>
      </c>
      <c r="C52" s="3" t="s">
        <v>1261</v>
      </c>
      <c r="D52" s="3" t="s">
        <v>1262</v>
      </c>
      <c r="E52" s="3" t="s">
        <v>340</v>
      </c>
      <c r="F52" s="3">
        <v>19.99</v>
      </c>
      <c r="G52" s="3" t="s">
        <v>2572</v>
      </c>
      <c r="H52" s="3"/>
      <c r="I52" s="3" t="s">
        <v>2573</v>
      </c>
      <c r="J52" s="3">
        <v>1</v>
      </c>
      <c r="K52" s="3">
        <v>1</v>
      </c>
      <c r="L52" s="3">
        <v>0</v>
      </c>
      <c r="M52" s="3">
        <v>0</v>
      </c>
      <c r="N52" s="3">
        <v>1</v>
      </c>
      <c r="O52" s="3">
        <v>0</v>
      </c>
      <c r="P52" s="3">
        <v>0</v>
      </c>
      <c r="Q52" s="3">
        <v>0</v>
      </c>
      <c r="R52" s="3">
        <v>0</v>
      </c>
    </row>
    <row r="53" spans="1:18">
      <c r="A53" s="3" t="s">
        <v>837</v>
      </c>
      <c r="B53" s="3" t="s">
        <v>838</v>
      </c>
      <c r="C53" s="3" t="s">
        <v>839</v>
      </c>
      <c r="D53" s="3" t="s">
        <v>840</v>
      </c>
      <c r="E53" s="3" t="s">
        <v>340</v>
      </c>
      <c r="F53" s="3">
        <v>19.99</v>
      </c>
      <c r="G53" s="3" t="s">
        <v>2572</v>
      </c>
      <c r="H53" s="3"/>
      <c r="I53" s="3" t="s">
        <v>2573</v>
      </c>
      <c r="J53" s="3">
        <v>1</v>
      </c>
      <c r="K53" s="3">
        <v>1</v>
      </c>
      <c r="L53" s="3">
        <v>0</v>
      </c>
      <c r="M53" s="3">
        <v>0</v>
      </c>
      <c r="N53" s="3">
        <v>1</v>
      </c>
      <c r="O53" s="3">
        <v>0</v>
      </c>
      <c r="P53" s="3">
        <v>0</v>
      </c>
      <c r="Q53" s="3">
        <v>0</v>
      </c>
      <c r="R53" s="3">
        <v>0</v>
      </c>
    </row>
    <row r="54" spans="1:18">
      <c r="A54" s="3" t="s">
        <v>2199</v>
      </c>
      <c r="B54" s="3" t="s">
        <v>2200</v>
      </c>
      <c r="C54" s="3" t="s">
        <v>2201</v>
      </c>
      <c r="D54" s="3" t="s">
        <v>2202</v>
      </c>
      <c r="E54" s="3" t="s">
        <v>340</v>
      </c>
      <c r="F54" s="3">
        <v>19.99</v>
      </c>
      <c r="G54" s="3" t="s">
        <v>2572</v>
      </c>
      <c r="H54" s="3"/>
      <c r="I54" s="3" t="s">
        <v>2573</v>
      </c>
      <c r="J54" s="3">
        <v>2</v>
      </c>
      <c r="K54" s="3">
        <v>2</v>
      </c>
      <c r="L54" s="3">
        <v>0</v>
      </c>
      <c r="M54" s="3">
        <v>0</v>
      </c>
      <c r="N54" s="3">
        <v>2</v>
      </c>
      <c r="O54" s="3">
        <v>0</v>
      </c>
      <c r="P54" s="3">
        <v>0</v>
      </c>
      <c r="Q54" s="3">
        <v>0</v>
      </c>
      <c r="R54" s="3">
        <v>0</v>
      </c>
    </row>
    <row r="55" spans="1:18">
      <c r="A55" s="3" t="s">
        <v>2342</v>
      </c>
      <c r="B55" s="3" t="s">
        <v>2343</v>
      </c>
      <c r="C55" s="3" t="s">
        <v>2344</v>
      </c>
      <c r="D55" s="3" t="s">
        <v>2345</v>
      </c>
      <c r="E55" s="3" t="s">
        <v>340</v>
      </c>
      <c r="F55" s="3">
        <v>19.99</v>
      </c>
      <c r="G55" s="3" t="s">
        <v>2572</v>
      </c>
      <c r="H55" s="3"/>
      <c r="I55" s="3" t="s">
        <v>2573</v>
      </c>
      <c r="J55" s="3">
        <v>2</v>
      </c>
      <c r="K55" s="3">
        <v>2</v>
      </c>
      <c r="L55" s="3">
        <v>0</v>
      </c>
      <c r="M55" s="3">
        <v>0</v>
      </c>
      <c r="N55" s="3">
        <v>2</v>
      </c>
      <c r="O55" s="3">
        <v>0</v>
      </c>
      <c r="P55" s="3">
        <v>0</v>
      </c>
      <c r="Q55" s="3">
        <v>0</v>
      </c>
      <c r="R55" s="3">
        <v>0</v>
      </c>
    </row>
    <row r="56" spans="1:18">
      <c r="A56" s="3" t="s">
        <v>1172</v>
      </c>
      <c r="B56" s="3" t="s">
        <v>1173</v>
      </c>
      <c r="C56" s="3" t="s">
        <v>1174</v>
      </c>
      <c r="D56" s="3" t="s">
        <v>1175</v>
      </c>
      <c r="E56" s="3" t="s">
        <v>340</v>
      </c>
      <c r="F56" s="3">
        <v>19.99</v>
      </c>
      <c r="G56" s="3" t="s">
        <v>2572</v>
      </c>
      <c r="H56" s="3"/>
      <c r="I56" s="3" t="s">
        <v>2573</v>
      </c>
      <c r="J56" s="3">
        <v>2</v>
      </c>
      <c r="K56" s="3">
        <v>2</v>
      </c>
      <c r="L56" s="3">
        <v>0</v>
      </c>
      <c r="M56" s="3">
        <v>0</v>
      </c>
      <c r="N56" s="3">
        <v>2</v>
      </c>
      <c r="O56" s="3">
        <v>0</v>
      </c>
      <c r="P56" s="3">
        <v>0</v>
      </c>
      <c r="Q56" s="3">
        <v>0</v>
      </c>
      <c r="R56" s="3">
        <v>0</v>
      </c>
    </row>
    <row r="57" spans="1:18">
      <c r="A57" s="3" t="s">
        <v>823</v>
      </c>
      <c r="B57" s="3" t="s">
        <v>824</v>
      </c>
      <c r="C57" s="3" t="s">
        <v>825</v>
      </c>
      <c r="D57" s="3" t="s">
        <v>826</v>
      </c>
      <c r="E57" s="3" t="s">
        <v>340</v>
      </c>
      <c r="F57" s="3">
        <v>39.99</v>
      </c>
      <c r="G57" s="3" t="s">
        <v>2572</v>
      </c>
      <c r="H57" s="3"/>
      <c r="I57" s="3" t="s">
        <v>2573</v>
      </c>
      <c r="J57" s="3">
        <v>1</v>
      </c>
      <c r="K57" s="3">
        <v>1</v>
      </c>
      <c r="L57" s="3">
        <v>0</v>
      </c>
      <c r="M57" s="3">
        <v>0</v>
      </c>
      <c r="N57" s="3">
        <v>1</v>
      </c>
      <c r="O57" s="3">
        <v>0.08</v>
      </c>
      <c r="P57" s="3">
        <v>0</v>
      </c>
      <c r="Q57" s="3">
        <v>0</v>
      </c>
      <c r="R57" s="3">
        <v>0</v>
      </c>
    </row>
    <row r="58" spans="1:18">
      <c r="A58" s="3" t="s">
        <v>798</v>
      </c>
      <c r="B58" s="3" t="s">
        <v>799</v>
      </c>
      <c r="C58" s="3" t="s">
        <v>800</v>
      </c>
      <c r="D58" s="3" t="s">
        <v>801</v>
      </c>
      <c r="E58" s="3" t="s">
        <v>340</v>
      </c>
      <c r="F58" s="3">
        <v>39.99</v>
      </c>
      <c r="G58" s="3" t="s">
        <v>2572</v>
      </c>
      <c r="H58" s="3"/>
      <c r="I58" s="3" t="s">
        <v>2573</v>
      </c>
      <c r="J58" s="3">
        <v>3</v>
      </c>
      <c r="K58" s="3">
        <v>3</v>
      </c>
      <c r="L58" s="3">
        <v>0</v>
      </c>
      <c r="M58" s="3">
        <v>0</v>
      </c>
      <c r="N58" s="3">
        <v>3</v>
      </c>
      <c r="O58" s="3">
        <v>0</v>
      </c>
      <c r="P58" s="3">
        <v>0</v>
      </c>
      <c r="Q58" s="3">
        <v>0</v>
      </c>
      <c r="R58" s="3">
        <v>0</v>
      </c>
    </row>
    <row r="59" spans="1:18">
      <c r="A59" s="3" t="s">
        <v>2086</v>
      </c>
      <c r="B59" s="3" t="s">
        <v>2087</v>
      </c>
      <c r="C59" s="3" t="s">
        <v>2088</v>
      </c>
      <c r="D59" s="3" t="s">
        <v>2089</v>
      </c>
      <c r="E59" s="3" t="s">
        <v>340</v>
      </c>
      <c r="F59" s="3">
        <v>39.99</v>
      </c>
      <c r="G59" s="3" t="s">
        <v>2572</v>
      </c>
      <c r="H59" s="3"/>
      <c r="I59" s="3" t="s">
        <v>2573</v>
      </c>
      <c r="J59" s="3">
        <v>3</v>
      </c>
      <c r="K59" s="3">
        <v>3</v>
      </c>
      <c r="L59" s="3">
        <v>0</v>
      </c>
      <c r="M59" s="3">
        <v>0</v>
      </c>
      <c r="N59" s="3">
        <v>3</v>
      </c>
      <c r="O59" s="3">
        <v>0</v>
      </c>
      <c r="P59" s="3">
        <v>0</v>
      </c>
      <c r="Q59" s="3">
        <v>0</v>
      </c>
      <c r="R59" s="3">
        <v>0</v>
      </c>
    </row>
    <row r="60" spans="1:18">
      <c r="A60" s="3" t="s">
        <v>2483</v>
      </c>
      <c r="B60" s="3" t="s">
        <v>2484</v>
      </c>
      <c r="C60" s="3" t="s">
        <v>2485</v>
      </c>
      <c r="D60" s="3" t="s">
        <v>2486</v>
      </c>
      <c r="E60" s="3" t="s">
        <v>340</v>
      </c>
      <c r="F60" s="3">
        <v>39.99</v>
      </c>
      <c r="G60" s="3" t="s">
        <v>2572</v>
      </c>
      <c r="H60" s="3"/>
      <c r="I60" s="3" t="s">
        <v>2573</v>
      </c>
      <c r="J60" s="3">
        <v>3</v>
      </c>
      <c r="K60" s="3">
        <v>3</v>
      </c>
      <c r="L60" s="3">
        <v>0</v>
      </c>
      <c r="M60" s="3">
        <v>0</v>
      </c>
      <c r="N60" s="3">
        <v>3</v>
      </c>
      <c r="O60" s="3">
        <v>0</v>
      </c>
      <c r="P60" s="3">
        <v>0</v>
      </c>
      <c r="Q60" s="3">
        <v>0</v>
      </c>
      <c r="R60" s="3">
        <v>0</v>
      </c>
    </row>
    <row r="61" spans="1:18">
      <c r="A61" s="3" t="s">
        <v>1085</v>
      </c>
      <c r="B61" s="3" t="s">
        <v>1086</v>
      </c>
      <c r="C61" s="3" t="s">
        <v>1087</v>
      </c>
      <c r="D61" s="3" t="s">
        <v>1088</v>
      </c>
      <c r="E61" s="3" t="s">
        <v>340</v>
      </c>
      <c r="F61" s="3">
        <v>39.99</v>
      </c>
      <c r="G61" s="3" t="s">
        <v>2572</v>
      </c>
      <c r="H61" s="3"/>
      <c r="I61" s="3" t="s">
        <v>2573</v>
      </c>
      <c r="J61" s="3">
        <v>3</v>
      </c>
      <c r="K61" s="3">
        <v>3</v>
      </c>
      <c r="L61" s="3">
        <v>0</v>
      </c>
      <c r="M61" s="3">
        <v>0</v>
      </c>
      <c r="N61" s="3">
        <v>3</v>
      </c>
      <c r="O61" s="3">
        <v>0</v>
      </c>
      <c r="P61" s="3">
        <v>0</v>
      </c>
      <c r="Q61" s="3">
        <v>0</v>
      </c>
      <c r="R61" s="3">
        <v>0</v>
      </c>
    </row>
    <row r="62" spans="1:18">
      <c r="A62" s="3" t="s">
        <v>2590</v>
      </c>
      <c r="B62" s="3" t="s">
        <v>2591</v>
      </c>
      <c r="C62" s="3" t="s">
        <v>2592</v>
      </c>
      <c r="D62" s="3" t="s">
        <v>2593</v>
      </c>
      <c r="E62" s="3" t="s">
        <v>340</v>
      </c>
      <c r="F62" s="3">
        <v>39.99</v>
      </c>
      <c r="G62" s="3" t="s">
        <v>2572</v>
      </c>
      <c r="H62" s="3"/>
      <c r="I62" s="3" t="s">
        <v>2573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</row>
    <row r="63" spans="1:18">
      <c r="A63" s="3" t="s">
        <v>1026</v>
      </c>
      <c r="B63" s="3" t="s">
        <v>1027</v>
      </c>
      <c r="C63" s="3" t="s">
        <v>1028</v>
      </c>
      <c r="D63" s="3" t="s">
        <v>1029</v>
      </c>
      <c r="E63" s="3" t="s">
        <v>340</v>
      </c>
      <c r="F63" s="3">
        <v>30.99</v>
      </c>
      <c r="G63" s="3" t="s">
        <v>2572</v>
      </c>
      <c r="H63" s="3"/>
      <c r="I63" s="3" t="s">
        <v>2573</v>
      </c>
      <c r="J63" s="3">
        <v>2</v>
      </c>
      <c r="K63" s="3">
        <v>2</v>
      </c>
      <c r="L63" s="3">
        <v>0</v>
      </c>
      <c r="M63" s="3">
        <v>0</v>
      </c>
      <c r="N63" s="3">
        <v>2</v>
      </c>
      <c r="O63" s="3">
        <v>0.12</v>
      </c>
      <c r="P63" s="3">
        <v>0</v>
      </c>
      <c r="Q63" s="3">
        <v>0</v>
      </c>
      <c r="R63" s="3">
        <v>0</v>
      </c>
    </row>
    <row r="64" spans="1:18">
      <c r="A64" s="3" t="s">
        <v>1623</v>
      </c>
      <c r="B64" s="3" t="s">
        <v>1624</v>
      </c>
      <c r="C64" s="3" t="s">
        <v>1625</v>
      </c>
      <c r="D64" s="3" t="s">
        <v>1029</v>
      </c>
      <c r="E64" s="3" t="s">
        <v>340</v>
      </c>
      <c r="F64" s="3">
        <v>30.99</v>
      </c>
      <c r="G64" s="3" t="s">
        <v>2572</v>
      </c>
      <c r="H64" s="3"/>
      <c r="I64" s="3" t="s">
        <v>2573</v>
      </c>
      <c r="J64" s="3">
        <v>1</v>
      </c>
      <c r="K64" s="3">
        <v>1</v>
      </c>
      <c r="L64" s="3">
        <v>0</v>
      </c>
      <c r="M64" s="3">
        <v>0</v>
      </c>
      <c r="N64" s="3">
        <v>1</v>
      </c>
      <c r="O64" s="3">
        <v>0.16</v>
      </c>
      <c r="P64" s="3">
        <v>0</v>
      </c>
      <c r="Q64" s="3">
        <v>0</v>
      </c>
      <c r="R64" s="3">
        <v>0</v>
      </c>
    </row>
    <row r="65" spans="1:18">
      <c r="A65" s="3" t="s">
        <v>1060</v>
      </c>
      <c r="B65" s="3" t="s">
        <v>1061</v>
      </c>
      <c r="C65" s="3" t="s">
        <v>1062</v>
      </c>
      <c r="D65" s="3" t="s">
        <v>1029</v>
      </c>
      <c r="E65" s="3" t="s">
        <v>340</v>
      </c>
      <c r="F65" s="3">
        <v>30.99</v>
      </c>
      <c r="G65" s="3" t="s">
        <v>2572</v>
      </c>
      <c r="H65" s="3"/>
      <c r="I65" s="3" t="s">
        <v>2573</v>
      </c>
      <c r="J65" s="3">
        <v>2</v>
      </c>
      <c r="K65" s="3">
        <v>2</v>
      </c>
      <c r="L65" s="3">
        <v>0</v>
      </c>
      <c r="M65" s="3">
        <v>0</v>
      </c>
      <c r="N65" s="3">
        <v>2</v>
      </c>
      <c r="O65" s="3">
        <v>0.12</v>
      </c>
      <c r="P65" s="3">
        <v>0</v>
      </c>
      <c r="Q65" s="3">
        <v>0</v>
      </c>
      <c r="R65" s="3">
        <v>0</v>
      </c>
    </row>
    <row r="66" spans="1:18">
      <c r="A66" s="3" t="s">
        <v>1880</v>
      </c>
      <c r="B66" s="3" t="s">
        <v>1881</v>
      </c>
      <c r="C66" s="3" t="s">
        <v>1882</v>
      </c>
      <c r="D66" s="3" t="s">
        <v>1029</v>
      </c>
      <c r="E66" s="3" t="s">
        <v>340</v>
      </c>
      <c r="F66" s="3">
        <v>30.99</v>
      </c>
      <c r="G66" s="3" t="s">
        <v>2572</v>
      </c>
      <c r="H66" s="3"/>
      <c r="I66" s="3" t="s">
        <v>2573</v>
      </c>
      <c r="J66" s="3">
        <v>2</v>
      </c>
      <c r="K66" s="3">
        <v>2</v>
      </c>
      <c r="L66" s="3">
        <v>0</v>
      </c>
      <c r="M66" s="3">
        <v>0</v>
      </c>
      <c r="N66" s="3">
        <v>2</v>
      </c>
      <c r="O66" s="3">
        <v>0.12</v>
      </c>
      <c r="P66" s="3">
        <v>0</v>
      </c>
      <c r="Q66" s="3">
        <v>0</v>
      </c>
      <c r="R66" s="3">
        <v>0</v>
      </c>
    </row>
    <row r="67" spans="1:18">
      <c r="A67" s="3" t="s">
        <v>2594</v>
      </c>
      <c r="B67" s="3" t="s">
        <v>2595</v>
      </c>
      <c r="C67" s="3" t="s">
        <v>2596</v>
      </c>
      <c r="D67" s="3" t="s">
        <v>2597</v>
      </c>
      <c r="E67" s="3" t="s">
        <v>340</v>
      </c>
      <c r="F67" s="3">
        <v>29.99</v>
      </c>
      <c r="G67" s="3" t="s">
        <v>2572</v>
      </c>
      <c r="H67" s="3"/>
      <c r="I67" s="3" t="s">
        <v>2573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0.06</v>
      </c>
      <c r="P67" s="3">
        <v>0</v>
      </c>
      <c r="Q67" s="3">
        <v>0</v>
      </c>
      <c r="R67" s="3">
        <v>0</v>
      </c>
    </row>
    <row r="68" spans="1:18">
      <c r="A68" s="3" t="s">
        <v>1307</v>
      </c>
      <c r="B68" s="3" t="s">
        <v>1308</v>
      </c>
      <c r="C68" s="3" t="s">
        <v>1309</v>
      </c>
      <c r="D68" s="3" t="s">
        <v>1310</v>
      </c>
      <c r="E68" s="3" t="s">
        <v>340</v>
      </c>
      <c r="F68" s="3">
        <v>29.99</v>
      </c>
      <c r="G68" s="3" t="s">
        <v>2572</v>
      </c>
      <c r="H68" s="3"/>
      <c r="I68" s="3" t="s">
        <v>2573</v>
      </c>
      <c r="J68" s="3">
        <v>2</v>
      </c>
      <c r="K68" s="3">
        <v>2</v>
      </c>
      <c r="L68" s="3">
        <v>0</v>
      </c>
      <c r="M68" s="3">
        <v>0</v>
      </c>
      <c r="N68" s="3">
        <v>2</v>
      </c>
      <c r="O68" s="3">
        <v>0.06</v>
      </c>
      <c r="P68" s="3">
        <v>0</v>
      </c>
      <c r="Q68" s="3">
        <v>0</v>
      </c>
      <c r="R68" s="3">
        <v>0</v>
      </c>
    </row>
    <row r="69" spans="1:18">
      <c r="A69" s="3" t="s">
        <v>978</v>
      </c>
      <c r="B69" s="3" t="s">
        <v>979</v>
      </c>
      <c r="C69" s="3" t="s">
        <v>980</v>
      </c>
      <c r="D69" s="3" t="s">
        <v>981</v>
      </c>
      <c r="E69" s="3" t="s">
        <v>340</v>
      </c>
      <c r="F69" s="3">
        <v>29.99</v>
      </c>
      <c r="G69" s="3" t="s">
        <v>2572</v>
      </c>
      <c r="H69" s="3"/>
      <c r="I69" s="3" t="s">
        <v>2573</v>
      </c>
      <c r="J69" s="3">
        <v>1</v>
      </c>
      <c r="K69" s="3">
        <v>1</v>
      </c>
      <c r="L69" s="3">
        <v>0</v>
      </c>
      <c r="M69" s="3">
        <v>0</v>
      </c>
      <c r="N69" s="3">
        <v>1</v>
      </c>
      <c r="O69" s="3">
        <v>0.06</v>
      </c>
      <c r="P69" s="3">
        <v>0</v>
      </c>
      <c r="Q69" s="3">
        <v>0</v>
      </c>
      <c r="R69" s="3">
        <v>0</v>
      </c>
    </row>
    <row r="70" spans="1:18">
      <c r="A70" s="3" t="s">
        <v>2598</v>
      </c>
      <c r="B70" s="3" t="s">
        <v>2599</v>
      </c>
      <c r="C70" s="3" t="s">
        <v>2600</v>
      </c>
      <c r="D70" s="3" t="s">
        <v>2601</v>
      </c>
      <c r="E70" s="3" t="s">
        <v>340</v>
      </c>
      <c r="F70" s="3">
        <v>29.99</v>
      </c>
      <c r="G70" s="3" t="s">
        <v>2572</v>
      </c>
      <c r="H70" s="3"/>
      <c r="I70" s="3" t="s">
        <v>2573</v>
      </c>
      <c r="J70" s="3">
        <v>2</v>
      </c>
      <c r="K70" s="3">
        <v>0</v>
      </c>
      <c r="L70" s="3">
        <v>2</v>
      </c>
      <c r="M70" s="3">
        <v>0</v>
      </c>
      <c r="N70" s="3">
        <v>2</v>
      </c>
      <c r="O70" s="3">
        <v>0.06</v>
      </c>
      <c r="P70" s="3">
        <v>0</v>
      </c>
      <c r="Q70" s="3">
        <v>0</v>
      </c>
      <c r="R70" s="3">
        <v>0</v>
      </c>
    </row>
    <row r="71" spans="1:18">
      <c r="A71" s="3" t="s">
        <v>1900</v>
      </c>
      <c r="B71" s="3" t="s">
        <v>1901</v>
      </c>
      <c r="C71" s="3" t="s">
        <v>1902</v>
      </c>
      <c r="D71" s="3" t="s">
        <v>439</v>
      </c>
      <c r="E71" s="3" t="s">
        <v>340</v>
      </c>
      <c r="F71" s="3">
        <v>16.99</v>
      </c>
      <c r="G71" s="3" t="s">
        <v>2572</v>
      </c>
      <c r="H71" s="3"/>
      <c r="I71" s="3" t="s">
        <v>2573</v>
      </c>
      <c r="J71" s="3">
        <v>1</v>
      </c>
      <c r="K71" s="3">
        <v>1</v>
      </c>
      <c r="L71" s="3">
        <v>0</v>
      </c>
      <c r="M71" s="3">
        <v>0</v>
      </c>
      <c r="N71" s="3">
        <v>1</v>
      </c>
      <c r="O71" s="3">
        <v>0.19</v>
      </c>
      <c r="P71" s="3">
        <v>0</v>
      </c>
      <c r="Q71" s="3">
        <v>0</v>
      </c>
      <c r="R71" s="3">
        <v>0</v>
      </c>
    </row>
    <row r="72" spans="1:18">
      <c r="A72" s="3" t="s">
        <v>436</v>
      </c>
      <c r="B72" s="3" t="s">
        <v>437</v>
      </c>
      <c r="C72" s="3" t="s">
        <v>438</v>
      </c>
      <c r="D72" s="3" t="s">
        <v>439</v>
      </c>
      <c r="E72" s="3" t="s">
        <v>340</v>
      </c>
      <c r="F72" s="3">
        <v>16.99</v>
      </c>
      <c r="G72" s="3" t="s">
        <v>2572</v>
      </c>
      <c r="H72" s="3"/>
      <c r="I72" s="3" t="s">
        <v>2573</v>
      </c>
      <c r="J72" s="3">
        <v>1</v>
      </c>
      <c r="K72" s="3">
        <v>1</v>
      </c>
      <c r="L72" s="3">
        <v>0</v>
      </c>
      <c r="M72" s="3">
        <v>0</v>
      </c>
      <c r="N72" s="3">
        <v>1</v>
      </c>
      <c r="O72" s="3">
        <v>0.19</v>
      </c>
      <c r="P72" s="3">
        <v>0</v>
      </c>
      <c r="Q72" s="3">
        <v>0</v>
      </c>
      <c r="R72" s="3">
        <v>0</v>
      </c>
    </row>
    <row r="73" spans="1:18">
      <c r="A73" s="3" t="s">
        <v>2217</v>
      </c>
      <c r="B73" s="3" t="s">
        <v>2218</v>
      </c>
      <c r="C73" s="3" t="s">
        <v>2219</v>
      </c>
      <c r="D73" s="3" t="s">
        <v>439</v>
      </c>
      <c r="E73" s="3" t="s">
        <v>340</v>
      </c>
      <c r="F73" s="3">
        <v>16.99</v>
      </c>
      <c r="G73" s="3" t="s">
        <v>2572</v>
      </c>
      <c r="H73" s="3"/>
      <c r="I73" s="3" t="s">
        <v>2573</v>
      </c>
      <c r="J73" s="3">
        <v>1</v>
      </c>
      <c r="K73" s="3">
        <v>1</v>
      </c>
      <c r="L73" s="3">
        <v>0</v>
      </c>
      <c r="M73" s="3">
        <v>0</v>
      </c>
      <c r="N73" s="3">
        <v>1</v>
      </c>
      <c r="O73" s="3">
        <v>0.19</v>
      </c>
      <c r="P73" s="3">
        <v>0</v>
      </c>
      <c r="Q73" s="3">
        <v>0</v>
      </c>
      <c r="R73" s="3">
        <v>0</v>
      </c>
    </row>
    <row r="74" spans="1:18">
      <c r="A74" s="3" t="s">
        <v>1949</v>
      </c>
      <c r="B74" s="3" t="s">
        <v>1950</v>
      </c>
      <c r="C74" s="3" t="s">
        <v>1951</v>
      </c>
      <c r="D74" s="3" t="s">
        <v>439</v>
      </c>
      <c r="E74" s="3" t="s">
        <v>340</v>
      </c>
      <c r="F74" s="3">
        <v>16.99</v>
      </c>
      <c r="G74" s="3" t="s">
        <v>2572</v>
      </c>
      <c r="H74" s="3"/>
      <c r="I74" s="3" t="s">
        <v>2573</v>
      </c>
      <c r="J74" s="3">
        <v>1</v>
      </c>
      <c r="K74" s="3">
        <v>1</v>
      </c>
      <c r="L74" s="3">
        <v>0</v>
      </c>
      <c r="M74" s="3">
        <v>0</v>
      </c>
      <c r="N74" s="3">
        <v>1</v>
      </c>
      <c r="O74" s="3">
        <v>0.19</v>
      </c>
      <c r="P74" s="3">
        <v>0</v>
      </c>
      <c r="Q74" s="3">
        <v>0</v>
      </c>
      <c r="R74" s="3">
        <v>0</v>
      </c>
    </row>
    <row r="75" spans="1:18">
      <c r="A75" s="3" t="s">
        <v>933</v>
      </c>
      <c r="B75" s="3" t="s">
        <v>934</v>
      </c>
      <c r="C75" s="3" t="s">
        <v>935</v>
      </c>
      <c r="D75" s="3" t="s">
        <v>439</v>
      </c>
      <c r="E75" s="3" t="s">
        <v>340</v>
      </c>
      <c r="F75" s="3">
        <v>16.99</v>
      </c>
      <c r="G75" s="3" t="s">
        <v>2572</v>
      </c>
      <c r="H75" s="3"/>
      <c r="I75" s="3" t="s">
        <v>2573</v>
      </c>
      <c r="J75" s="3">
        <v>1</v>
      </c>
      <c r="K75" s="3">
        <v>1</v>
      </c>
      <c r="L75" s="3">
        <v>0</v>
      </c>
      <c r="M75" s="3">
        <v>0</v>
      </c>
      <c r="N75" s="3">
        <v>1</v>
      </c>
      <c r="O75" s="3">
        <v>0.19</v>
      </c>
      <c r="P75" s="3">
        <v>0</v>
      </c>
      <c r="Q75" s="3">
        <v>0</v>
      </c>
      <c r="R75" s="3">
        <v>0</v>
      </c>
    </row>
    <row r="76" spans="1:18">
      <c r="A76" s="3" t="s">
        <v>1883</v>
      </c>
      <c r="B76" s="3" t="s">
        <v>1884</v>
      </c>
      <c r="C76" s="3" t="s">
        <v>1885</v>
      </c>
      <c r="D76" s="3" t="s">
        <v>439</v>
      </c>
      <c r="E76" s="3" t="s">
        <v>340</v>
      </c>
      <c r="F76" s="3">
        <v>16.99</v>
      </c>
      <c r="G76" s="3" t="s">
        <v>2572</v>
      </c>
      <c r="H76" s="3"/>
      <c r="I76" s="3" t="s">
        <v>2573</v>
      </c>
      <c r="J76" s="3">
        <v>3</v>
      </c>
      <c r="K76" s="3">
        <v>3</v>
      </c>
      <c r="L76" s="3">
        <v>0</v>
      </c>
      <c r="M76" s="3">
        <v>0</v>
      </c>
      <c r="N76" s="3">
        <v>3</v>
      </c>
      <c r="O76" s="3">
        <v>0.19</v>
      </c>
      <c r="P76" s="3">
        <v>0</v>
      </c>
      <c r="Q76" s="3">
        <v>0</v>
      </c>
      <c r="R76" s="3">
        <v>0</v>
      </c>
    </row>
    <row r="77" spans="1:18">
      <c r="A77" s="3" t="s">
        <v>815</v>
      </c>
      <c r="B77" s="3" t="s">
        <v>816</v>
      </c>
      <c r="C77" s="3" t="s">
        <v>817</v>
      </c>
      <c r="D77" s="3" t="s">
        <v>11</v>
      </c>
      <c r="E77" s="3" t="s">
        <v>340</v>
      </c>
      <c r="F77" s="3">
        <v>39.99</v>
      </c>
      <c r="G77" s="3" t="s">
        <v>2572</v>
      </c>
      <c r="H77" s="3"/>
      <c r="I77" s="3" t="s">
        <v>2573</v>
      </c>
      <c r="J77" s="3">
        <v>8</v>
      </c>
      <c r="K77" s="3">
        <v>8</v>
      </c>
      <c r="L77" s="3">
        <v>0</v>
      </c>
      <c r="M77" s="3">
        <v>0</v>
      </c>
      <c r="N77" s="3">
        <v>8</v>
      </c>
      <c r="O77" s="3">
        <v>0.21</v>
      </c>
      <c r="P77" s="3">
        <v>0</v>
      </c>
      <c r="Q77" s="3">
        <v>0</v>
      </c>
      <c r="R77" s="3">
        <v>0</v>
      </c>
    </row>
    <row r="78" spans="1:18">
      <c r="A78" s="3" t="s">
        <v>8</v>
      </c>
      <c r="B78" s="3" t="s">
        <v>9</v>
      </c>
      <c r="C78" s="3" t="s">
        <v>10</v>
      </c>
      <c r="D78" s="3" t="s">
        <v>11</v>
      </c>
      <c r="E78" s="3" t="s">
        <v>340</v>
      </c>
      <c r="F78" s="3">
        <v>39.99</v>
      </c>
      <c r="G78" s="3" t="s">
        <v>2572</v>
      </c>
      <c r="H78" s="3"/>
      <c r="I78" s="3" t="s">
        <v>2573</v>
      </c>
      <c r="J78" s="3">
        <v>4</v>
      </c>
      <c r="K78" s="3">
        <v>2</v>
      </c>
      <c r="L78" s="3">
        <v>0</v>
      </c>
      <c r="M78" s="3">
        <v>2</v>
      </c>
      <c r="N78" s="3">
        <v>4</v>
      </c>
      <c r="O78" s="3">
        <v>0.21</v>
      </c>
      <c r="P78" s="3">
        <v>0</v>
      </c>
      <c r="Q78" s="3">
        <v>0</v>
      </c>
      <c r="R78" s="3">
        <v>0</v>
      </c>
    </row>
    <row r="79" spans="1:18">
      <c r="A79" s="3" t="s">
        <v>1252</v>
      </c>
      <c r="B79" s="3" t="s">
        <v>1253</v>
      </c>
      <c r="C79" s="3" t="s">
        <v>1254</v>
      </c>
      <c r="D79" s="3" t="s">
        <v>11</v>
      </c>
      <c r="E79" s="3" t="s">
        <v>340</v>
      </c>
      <c r="F79" s="3">
        <v>39.99</v>
      </c>
      <c r="G79" s="3" t="s">
        <v>2572</v>
      </c>
      <c r="H79" s="3"/>
      <c r="I79" s="3" t="s">
        <v>2573</v>
      </c>
      <c r="J79" s="3">
        <v>3</v>
      </c>
      <c r="K79" s="3">
        <v>3</v>
      </c>
      <c r="L79" s="3">
        <v>0</v>
      </c>
      <c r="M79" s="3">
        <v>0</v>
      </c>
      <c r="N79" s="3">
        <v>3</v>
      </c>
      <c r="O79" s="3">
        <v>0.21</v>
      </c>
      <c r="P79" s="3">
        <v>0</v>
      </c>
      <c r="Q79" s="3">
        <v>0</v>
      </c>
      <c r="R79" s="3">
        <v>0</v>
      </c>
    </row>
    <row r="80" spans="1:18">
      <c r="A80" s="3" t="s">
        <v>1051</v>
      </c>
      <c r="B80" s="3" t="s">
        <v>1052</v>
      </c>
      <c r="C80" s="3" t="s">
        <v>1053</v>
      </c>
      <c r="D80" s="3" t="s">
        <v>11</v>
      </c>
      <c r="E80" s="3" t="s">
        <v>340</v>
      </c>
      <c r="F80" s="3">
        <v>39.99</v>
      </c>
      <c r="G80" s="3" t="s">
        <v>2572</v>
      </c>
      <c r="H80" s="3"/>
      <c r="I80" s="3" t="s">
        <v>2573</v>
      </c>
      <c r="J80" s="3">
        <v>5</v>
      </c>
      <c r="K80" s="3">
        <v>5</v>
      </c>
      <c r="L80" s="3">
        <v>0</v>
      </c>
      <c r="M80" s="3">
        <v>0</v>
      </c>
      <c r="N80" s="3">
        <v>5</v>
      </c>
      <c r="O80" s="3">
        <v>0.21</v>
      </c>
      <c r="P80" s="3">
        <v>0</v>
      </c>
      <c r="Q80" s="3">
        <v>0</v>
      </c>
      <c r="R80" s="3">
        <v>0</v>
      </c>
    </row>
    <row r="81" spans="1:18">
      <c r="A81" s="3" t="s">
        <v>720</v>
      </c>
      <c r="B81" s="3" t="s">
        <v>721</v>
      </c>
      <c r="C81" s="3" t="s">
        <v>722</v>
      </c>
      <c r="D81" s="3" t="s">
        <v>11</v>
      </c>
      <c r="E81" s="3" t="s">
        <v>340</v>
      </c>
      <c r="F81" s="3">
        <v>39.99</v>
      </c>
      <c r="G81" s="3" t="s">
        <v>2572</v>
      </c>
      <c r="H81" s="3"/>
      <c r="I81" s="3" t="s">
        <v>2573</v>
      </c>
      <c r="J81" s="3">
        <v>4</v>
      </c>
      <c r="K81" s="3">
        <v>4</v>
      </c>
      <c r="L81" s="3">
        <v>0</v>
      </c>
      <c r="M81" s="3">
        <v>0</v>
      </c>
      <c r="N81" s="3">
        <v>4</v>
      </c>
      <c r="O81" s="3">
        <v>0.21</v>
      </c>
      <c r="P81" s="3">
        <v>0</v>
      </c>
      <c r="Q81" s="3">
        <v>0</v>
      </c>
      <c r="R81" s="3">
        <v>0</v>
      </c>
    </row>
    <row r="82" spans="1:18">
      <c r="A82" s="3" t="s">
        <v>1237</v>
      </c>
      <c r="B82" s="3" t="s">
        <v>1238</v>
      </c>
      <c r="C82" s="3" t="s">
        <v>1239</v>
      </c>
      <c r="D82" s="3" t="s">
        <v>11</v>
      </c>
      <c r="E82" s="3" t="s">
        <v>340</v>
      </c>
      <c r="F82" s="3">
        <v>39.99</v>
      </c>
      <c r="G82" s="3" t="s">
        <v>2572</v>
      </c>
      <c r="H82" s="3"/>
      <c r="I82" s="3" t="s">
        <v>2573</v>
      </c>
      <c r="J82" s="3">
        <v>1</v>
      </c>
      <c r="K82" s="3">
        <v>1</v>
      </c>
      <c r="L82" s="3">
        <v>0</v>
      </c>
      <c r="M82" s="3">
        <v>0</v>
      </c>
      <c r="N82" s="3">
        <v>1</v>
      </c>
      <c r="O82" s="3">
        <v>0.21</v>
      </c>
      <c r="P82" s="3">
        <v>0</v>
      </c>
      <c r="Q82" s="3">
        <v>0</v>
      </c>
      <c r="R82" s="3">
        <v>0</v>
      </c>
    </row>
    <row r="83" spans="1:18">
      <c r="A83" s="3" t="s">
        <v>1298</v>
      </c>
      <c r="B83" s="3" t="s">
        <v>1299</v>
      </c>
      <c r="C83" s="3" t="s">
        <v>1300</v>
      </c>
      <c r="D83" s="3" t="s">
        <v>11</v>
      </c>
      <c r="E83" s="3" t="s">
        <v>340</v>
      </c>
      <c r="F83" s="3">
        <v>39.99</v>
      </c>
      <c r="G83" s="3" t="s">
        <v>2572</v>
      </c>
      <c r="H83" s="3"/>
      <c r="I83" s="3" t="s">
        <v>2573</v>
      </c>
      <c r="J83" s="3">
        <v>2</v>
      </c>
      <c r="K83" s="3">
        <v>2</v>
      </c>
      <c r="L83" s="3">
        <v>0</v>
      </c>
      <c r="M83" s="3">
        <v>0</v>
      </c>
      <c r="N83" s="3">
        <v>2</v>
      </c>
      <c r="O83" s="3">
        <v>0.21</v>
      </c>
      <c r="P83" s="3">
        <v>0</v>
      </c>
      <c r="Q83" s="3">
        <v>0</v>
      </c>
      <c r="R83" s="3">
        <v>0</v>
      </c>
    </row>
    <row r="84" spans="1:18">
      <c r="A84" s="3" t="s">
        <v>2123</v>
      </c>
      <c r="B84" s="3" t="s">
        <v>2124</v>
      </c>
      <c r="C84" s="3" t="s">
        <v>2125</v>
      </c>
      <c r="D84" s="3" t="s">
        <v>11</v>
      </c>
      <c r="E84" s="3" t="s">
        <v>340</v>
      </c>
      <c r="F84" s="3">
        <v>39.99</v>
      </c>
      <c r="G84" s="3" t="s">
        <v>2572</v>
      </c>
      <c r="H84" s="3"/>
      <c r="I84" s="3" t="s">
        <v>2573</v>
      </c>
      <c r="J84" s="3">
        <v>2</v>
      </c>
      <c r="K84" s="3">
        <v>2</v>
      </c>
      <c r="L84" s="3">
        <v>0</v>
      </c>
      <c r="M84" s="3">
        <v>0</v>
      </c>
      <c r="N84" s="3">
        <v>2</v>
      </c>
      <c r="O84" s="3">
        <v>0.21</v>
      </c>
      <c r="P84" s="3">
        <v>0</v>
      </c>
      <c r="Q84" s="3">
        <v>0</v>
      </c>
      <c r="R84" s="3">
        <v>0</v>
      </c>
    </row>
    <row r="85" spans="1:18">
      <c r="A85" s="3" t="s">
        <v>1193</v>
      </c>
      <c r="B85" s="3" t="s">
        <v>1194</v>
      </c>
      <c r="C85" s="3" t="s">
        <v>1195</v>
      </c>
      <c r="D85" s="3" t="s">
        <v>11</v>
      </c>
      <c r="E85" s="3" t="s">
        <v>340</v>
      </c>
      <c r="F85" s="3">
        <v>39.99</v>
      </c>
      <c r="G85" s="3" t="s">
        <v>2572</v>
      </c>
      <c r="H85" s="3"/>
      <c r="I85" s="3" t="s">
        <v>2573</v>
      </c>
      <c r="J85" s="3">
        <v>2</v>
      </c>
      <c r="K85" s="3">
        <v>2</v>
      </c>
      <c r="L85" s="3">
        <v>0</v>
      </c>
      <c r="M85" s="3">
        <v>0</v>
      </c>
      <c r="N85" s="3">
        <v>2</v>
      </c>
      <c r="O85" s="3">
        <v>0.21</v>
      </c>
      <c r="P85" s="3">
        <v>0</v>
      </c>
      <c r="Q85" s="3">
        <v>0</v>
      </c>
      <c r="R85" s="3">
        <v>0</v>
      </c>
    </row>
    <row r="86" spans="1:18">
      <c r="A86" s="3" t="s">
        <v>2602</v>
      </c>
      <c r="B86" s="3" t="s">
        <v>2603</v>
      </c>
      <c r="C86" s="3" t="s">
        <v>2604</v>
      </c>
      <c r="D86" s="3" t="s">
        <v>11</v>
      </c>
      <c r="E86" s="3" t="s">
        <v>340</v>
      </c>
      <c r="F86" s="3">
        <v>39.99</v>
      </c>
      <c r="G86" s="3" t="s">
        <v>2572</v>
      </c>
      <c r="H86" s="3"/>
      <c r="I86" s="3" t="s">
        <v>2573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0.21</v>
      </c>
      <c r="P86" s="3">
        <v>0</v>
      </c>
      <c r="Q86" s="3">
        <v>0</v>
      </c>
      <c r="R86" s="3">
        <v>0</v>
      </c>
    </row>
    <row r="87" spans="1:18">
      <c r="A87" s="3" t="s">
        <v>2382</v>
      </c>
      <c r="B87" s="3" t="s">
        <v>2383</v>
      </c>
      <c r="C87" s="3" t="s">
        <v>2384</v>
      </c>
      <c r="D87" s="3" t="s">
        <v>11</v>
      </c>
      <c r="E87" s="3" t="s">
        <v>340</v>
      </c>
      <c r="F87" s="3">
        <v>39.99</v>
      </c>
      <c r="G87" s="3" t="s">
        <v>2572</v>
      </c>
      <c r="H87" s="3"/>
      <c r="I87" s="3" t="s">
        <v>2573</v>
      </c>
      <c r="J87" s="3">
        <v>1</v>
      </c>
      <c r="K87" s="3">
        <v>1</v>
      </c>
      <c r="L87" s="3">
        <v>0</v>
      </c>
      <c r="M87" s="3">
        <v>0</v>
      </c>
      <c r="N87" s="3">
        <v>1</v>
      </c>
      <c r="O87" s="3">
        <v>0.21</v>
      </c>
      <c r="P87" s="3">
        <v>0</v>
      </c>
      <c r="Q87" s="3">
        <v>0</v>
      </c>
      <c r="R87" s="3">
        <v>0</v>
      </c>
    </row>
    <row r="88" spans="1:18">
      <c r="A88" s="3" t="s">
        <v>2605</v>
      </c>
      <c r="B88" s="3" t="s">
        <v>2606</v>
      </c>
      <c r="C88" s="3" t="s">
        <v>2607</v>
      </c>
      <c r="D88" s="3" t="s">
        <v>11</v>
      </c>
      <c r="E88" s="3" t="s">
        <v>340</v>
      </c>
      <c r="F88" s="3">
        <v>39.99</v>
      </c>
      <c r="G88" s="3" t="s">
        <v>2572</v>
      </c>
      <c r="H88" s="3"/>
      <c r="I88" s="3" t="s">
        <v>2573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0.21</v>
      </c>
      <c r="P88" s="3">
        <v>0</v>
      </c>
      <c r="Q88" s="3">
        <v>0</v>
      </c>
      <c r="R88" s="3">
        <v>0</v>
      </c>
    </row>
    <row r="89" spans="1:18">
      <c r="A89" s="3" t="s">
        <v>2038</v>
      </c>
      <c r="B89" s="3" t="s">
        <v>2039</v>
      </c>
      <c r="C89" s="3" t="s">
        <v>2040</v>
      </c>
      <c r="D89" s="3" t="s">
        <v>11</v>
      </c>
      <c r="E89" s="3" t="s">
        <v>340</v>
      </c>
      <c r="F89" s="3">
        <v>39.99</v>
      </c>
      <c r="G89" s="3" t="s">
        <v>2572</v>
      </c>
      <c r="H89" s="3"/>
      <c r="I89" s="3" t="s">
        <v>2573</v>
      </c>
      <c r="J89" s="3">
        <v>4</v>
      </c>
      <c r="K89" s="3">
        <v>4</v>
      </c>
      <c r="L89" s="3">
        <v>0</v>
      </c>
      <c r="M89" s="3">
        <v>0</v>
      </c>
      <c r="N89" s="3">
        <v>4</v>
      </c>
      <c r="O89" s="3">
        <v>0.21</v>
      </c>
      <c r="P89" s="3">
        <v>0</v>
      </c>
      <c r="Q89" s="3">
        <v>0</v>
      </c>
      <c r="R89" s="3">
        <v>0</v>
      </c>
    </row>
    <row r="90" spans="1:18">
      <c r="A90" s="3" t="s">
        <v>12</v>
      </c>
      <c r="B90" s="3" t="s">
        <v>13</v>
      </c>
      <c r="C90" s="3" t="s">
        <v>14</v>
      </c>
      <c r="D90" s="3" t="s">
        <v>11</v>
      </c>
      <c r="E90" s="3" t="s">
        <v>340</v>
      </c>
      <c r="F90" s="3">
        <v>39.99</v>
      </c>
      <c r="G90" s="3" t="s">
        <v>2572</v>
      </c>
      <c r="H90" s="3"/>
      <c r="I90" s="3" t="s">
        <v>2573</v>
      </c>
      <c r="J90" s="3">
        <v>4</v>
      </c>
      <c r="K90" s="3">
        <v>2</v>
      </c>
      <c r="L90" s="3">
        <v>0</v>
      </c>
      <c r="M90" s="3">
        <v>2</v>
      </c>
      <c r="N90" s="3">
        <v>4</v>
      </c>
      <c r="O90" s="3">
        <v>0.21</v>
      </c>
      <c r="P90" s="3">
        <v>0</v>
      </c>
      <c r="Q90" s="3">
        <v>0</v>
      </c>
      <c r="R90" s="3">
        <v>0</v>
      </c>
    </row>
    <row r="91" spans="1:18">
      <c r="A91" s="3" t="s">
        <v>875</v>
      </c>
      <c r="B91" s="3" t="s">
        <v>876</v>
      </c>
      <c r="C91" s="3" t="s">
        <v>877</v>
      </c>
      <c r="D91" s="3" t="s">
        <v>878</v>
      </c>
      <c r="E91" s="3" t="s">
        <v>340</v>
      </c>
      <c r="F91" s="3">
        <v>39.99</v>
      </c>
      <c r="G91" s="3" t="s">
        <v>2572</v>
      </c>
      <c r="H91" s="3"/>
      <c r="I91" s="3" t="s">
        <v>2573</v>
      </c>
      <c r="J91" s="3">
        <v>3</v>
      </c>
      <c r="K91" s="3">
        <v>3</v>
      </c>
      <c r="L91" s="3">
        <v>0</v>
      </c>
      <c r="M91" s="3">
        <v>0</v>
      </c>
      <c r="N91" s="3">
        <v>3</v>
      </c>
      <c r="O91" s="3">
        <v>0</v>
      </c>
      <c r="P91" s="3">
        <v>0</v>
      </c>
      <c r="Q91" s="3">
        <v>0</v>
      </c>
      <c r="R91" s="3">
        <v>0</v>
      </c>
    </row>
    <row r="92" spans="1:18">
      <c r="A92" s="3" t="s">
        <v>1432</v>
      </c>
      <c r="B92" s="3" t="s">
        <v>1433</v>
      </c>
      <c r="C92" s="3" t="s">
        <v>1434</v>
      </c>
      <c r="D92" s="3" t="s">
        <v>1435</v>
      </c>
      <c r="E92" s="3" t="s">
        <v>340</v>
      </c>
      <c r="F92" s="3">
        <v>39.99</v>
      </c>
      <c r="G92" s="3" t="s">
        <v>2572</v>
      </c>
      <c r="H92" s="3"/>
      <c r="I92" s="3" t="s">
        <v>2573</v>
      </c>
      <c r="J92" s="3">
        <v>2</v>
      </c>
      <c r="K92" s="3">
        <v>2</v>
      </c>
      <c r="L92" s="3">
        <v>0</v>
      </c>
      <c r="M92" s="3">
        <v>0</v>
      </c>
      <c r="N92" s="3">
        <v>2</v>
      </c>
      <c r="O92" s="3">
        <v>0</v>
      </c>
      <c r="P92" s="3">
        <v>0</v>
      </c>
      <c r="Q92" s="3">
        <v>0</v>
      </c>
      <c r="R92" s="3">
        <v>0</v>
      </c>
    </row>
    <row r="93" spans="1:18">
      <c r="A93" s="3" t="s">
        <v>879</v>
      </c>
      <c r="B93" s="3" t="s">
        <v>880</v>
      </c>
      <c r="C93" s="3" t="s">
        <v>881</v>
      </c>
      <c r="D93" s="3" t="s">
        <v>882</v>
      </c>
      <c r="E93" s="3" t="s">
        <v>340</v>
      </c>
      <c r="F93" s="3">
        <v>29.87</v>
      </c>
      <c r="G93" s="3" t="s">
        <v>2572</v>
      </c>
      <c r="H93" s="3"/>
      <c r="I93" s="3" t="s">
        <v>2573</v>
      </c>
      <c r="J93" s="3">
        <v>2</v>
      </c>
      <c r="K93" s="3">
        <v>2</v>
      </c>
      <c r="L93" s="3">
        <v>0</v>
      </c>
      <c r="M93" s="3">
        <v>0</v>
      </c>
      <c r="N93" s="3">
        <v>2</v>
      </c>
      <c r="O93" s="3">
        <v>0.09</v>
      </c>
      <c r="P93" s="3">
        <v>0</v>
      </c>
      <c r="Q93" s="3">
        <v>0</v>
      </c>
      <c r="R93" s="3">
        <v>0</v>
      </c>
    </row>
    <row r="94" spans="1:18">
      <c r="A94" s="3" t="s">
        <v>1511</v>
      </c>
      <c r="B94" s="3" t="s">
        <v>1512</v>
      </c>
      <c r="C94" s="3" t="s">
        <v>1513</v>
      </c>
      <c r="D94" s="3" t="s">
        <v>1514</v>
      </c>
      <c r="E94" s="3" t="s">
        <v>340</v>
      </c>
      <c r="F94" s="3">
        <v>29.87</v>
      </c>
      <c r="G94" s="3" t="s">
        <v>2572</v>
      </c>
      <c r="H94" s="3"/>
      <c r="I94" s="3" t="s">
        <v>2573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0.09</v>
      </c>
      <c r="P94" s="3">
        <v>0</v>
      </c>
      <c r="Q94" s="3">
        <v>0</v>
      </c>
      <c r="R94" s="3">
        <v>0</v>
      </c>
    </row>
    <row r="95" spans="1:18">
      <c r="A95" s="3" t="s">
        <v>2515</v>
      </c>
      <c r="B95" s="3" t="s">
        <v>2516</v>
      </c>
      <c r="C95" s="3" t="s">
        <v>2517</v>
      </c>
      <c r="D95" s="3" t="s">
        <v>2518</v>
      </c>
      <c r="E95" s="3" t="s">
        <v>340</v>
      </c>
      <c r="F95" s="3">
        <v>29.87</v>
      </c>
      <c r="G95" s="3" t="s">
        <v>2572</v>
      </c>
      <c r="H95" s="3"/>
      <c r="I95" s="3" t="s">
        <v>2573</v>
      </c>
      <c r="J95" s="3">
        <v>1</v>
      </c>
      <c r="K95" s="3">
        <v>1</v>
      </c>
      <c r="L95" s="3">
        <v>0</v>
      </c>
      <c r="M95" s="3">
        <v>0</v>
      </c>
      <c r="N95" s="3">
        <v>1</v>
      </c>
      <c r="O95" s="3">
        <v>0.09</v>
      </c>
      <c r="P95" s="3">
        <v>0</v>
      </c>
      <c r="Q95" s="3">
        <v>0</v>
      </c>
      <c r="R95" s="3">
        <v>0</v>
      </c>
    </row>
    <row r="96" spans="1:18">
      <c r="A96" s="3" t="s">
        <v>1795</v>
      </c>
      <c r="B96" s="3" t="s">
        <v>1796</v>
      </c>
      <c r="C96" s="3" t="s">
        <v>1797</v>
      </c>
      <c r="D96" s="3" t="s">
        <v>1798</v>
      </c>
      <c r="E96" s="3" t="s">
        <v>340</v>
      </c>
      <c r="F96" s="3">
        <v>29.87</v>
      </c>
      <c r="G96" s="3" t="s">
        <v>2572</v>
      </c>
      <c r="H96" s="3"/>
      <c r="I96" s="3" t="s">
        <v>2573</v>
      </c>
      <c r="J96" s="3">
        <v>5</v>
      </c>
      <c r="K96" s="3">
        <v>5</v>
      </c>
      <c r="L96" s="3">
        <v>0</v>
      </c>
      <c r="M96" s="3">
        <v>0</v>
      </c>
      <c r="N96" s="3">
        <v>5</v>
      </c>
      <c r="O96" s="3">
        <v>0.09</v>
      </c>
      <c r="P96" s="3">
        <v>0</v>
      </c>
      <c r="Q96" s="3">
        <v>0</v>
      </c>
      <c r="R96" s="3">
        <v>0</v>
      </c>
    </row>
    <row r="97" spans="1:18">
      <c r="A97" s="3" t="s">
        <v>1862</v>
      </c>
      <c r="B97" s="3" t="s">
        <v>1863</v>
      </c>
      <c r="C97" s="3" t="s">
        <v>1864</v>
      </c>
      <c r="D97" s="3" t="s">
        <v>1865</v>
      </c>
      <c r="E97" s="3" t="s">
        <v>340</v>
      </c>
      <c r="F97" s="3">
        <v>29.87</v>
      </c>
      <c r="G97" s="3" t="s">
        <v>2572</v>
      </c>
      <c r="H97" s="3"/>
      <c r="I97" s="3" t="s">
        <v>2573</v>
      </c>
      <c r="J97" s="3">
        <v>1</v>
      </c>
      <c r="K97" s="3">
        <v>1</v>
      </c>
      <c r="L97" s="3">
        <v>0</v>
      </c>
      <c r="M97" s="3">
        <v>0</v>
      </c>
      <c r="N97" s="3">
        <v>1</v>
      </c>
      <c r="O97" s="3">
        <v>0.09</v>
      </c>
      <c r="P97" s="3">
        <v>0</v>
      </c>
      <c r="Q97" s="3">
        <v>0</v>
      </c>
      <c r="R97" s="3">
        <v>0</v>
      </c>
    </row>
    <row r="98" spans="1:18">
      <c r="A98" s="3" t="s">
        <v>2608</v>
      </c>
      <c r="B98" s="3" t="s">
        <v>2609</v>
      </c>
      <c r="C98" s="3" t="s">
        <v>2610</v>
      </c>
      <c r="D98" s="3" t="s">
        <v>2611</v>
      </c>
      <c r="E98" s="3" t="s">
        <v>340</v>
      </c>
      <c r="F98" s="3">
        <v>29.87</v>
      </c>
      <c r="G98" s="3" t="s">
        <v>2572</v>
      </c>
      <c r="H98" s="3"/>
      <c r="I98" s="3" t="s">
        <v>2573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0.09</v>
      </c>
      <c r="P98" s="3">
        <v>0</v>
      </c>
      <c r="Q98" s="3">
        <v>0</v>
      </c>
      <c r="R98" s="3">
        <v>0</v>
      </c>
    </row>
    <row r="99" spans="1:18">
      <c r="A99" s="3" t="s">
        <v>1791</v>
      </c>
      <c r="B99" s="3" t="s">
        <v>1792</v>
      </c>
      <c r="C99" s="3" t="s">
        <v>1793</v>
      </c>
      <c r="D99" s="3" t="s">
        <v>1794</v>
      </c>
      <c r="E99" s="3" t="s">
        <v>340</v>
      </c>
      <c r="F99" s="3">
        <v>29.87</v>
      </c>
      <c r="G99" s="3" t="s">
        <v>2572</v>
      </c>
      <c r="H99" s="3"/>
      <c r="I99" s="3" t="s">
        <v>2573</v>
      </c>
      <c r="J99" s="3">
        <v>1</v>
      </c>
      <c r="K99" s="3">
        <v>1</v>
      </c>
      <c r="L99" s="3">
        <v>0</v>
      </c>
      <c r="M99" s="3">
        <v>0</v>
      </c>
      <c r="N99" s="3">
        <v>1</v>
      </c>
      <c r="O99" s="3">
        <v>0.09</v>
      </c>
      <c r="P99" s="3">
        <v>0</v>
      </c>
      <c r="Q99" s="3">
        <v>0</v>
      </c>
      <c r="R99" s="3">
        <v>0</v>
      </c>
    </row>
    <row r="100" spans="1:18">
      <c r="A100" s="3" t="s">
        <v>1443</v>
      </c>
      <c r="B100" s="3" t="s">
        <v>1444</v>
      </c>
      <c r="C100" s="3" t="s">
        <v>1445</v>
      </c>
      <c r="D100" s="3" t="s">
        <v>1446</v>
      </c>
      <c r="E100" s="3" t="s">
        <v>340</v>
      </c>
      <c r="F100" s="3">
        <v>29.87</v>
      </c>
      <c r="G100" s="3" t="s">
        <v>2572</v>
      </c>
      <c r="H100" s="3"/>
      <c r="I100" s="3" t="s">
        <v>2573</v>
      </c>
      <c r="J100" s="3">
        <v>1</v>
      </c>
      <c r="K100" s="3">
        <v>1</v>
      </c>
      <c r="L100" s="3">
        <v>0</v>
      </c>
      <c r="M100" s="3">
        <v>0</v>
      </c>
      <c r="N100" s="3">
        <v>1</v>
      </c>
      <c r="O100" s="3">
        <v>0.09</v>
      </c>
      <c r="P100" s="3">
        <v>0</v>
      </c>
      <c r="Q100" s="3">
        <v>0</v>
      </c>
      <c r="R100" s="3">
        <v>0</v>
      </c>
    </row>
    <row r="101" spans="1:18">
      <c r="A101" s="3" t="s">
        <v>1807</v>
      </c>
      <c r="B101" s="3" t="s">
        <v>1808</v>
      </c>
      <c r="C101" s="3" t="s">
        <v>1809</v>
      </c>
      <c r="D101" s="3" t="s">
        <v>1810</v>
      </c>
      <c r="E101" s="3" t="s">
        <v>340</v>
      </c>
      <c r="F101" s="3">
        <v>29.87</v>
      </c>
      <c r="G101" s="3" t="s">
        <v>2572</v>
      </c>
      <c r="H101" s="3"/>
      <c r="I101" s="3" t="s">
        <v>2573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0.09</v>
      </c>
      <c r="P101" s="3">
        <v>0</v>
      </c>
      <c r="Q101" s="3">
        <v>0</v>
      </c>
      <c r="R101" s="3">
        <v>0</v>
      </c>
    </row>
    <row r="102" spans="1:18">
      <c r="A102" s="3" t="s">
        <v>366</v>
      </c>
      <c r="B102" s="3" t="s">
        <v>367</v>
      </c>
      <c r="C102" s="3" t="s">
        <v>368</v>
      </c>
      <c r="D102" s="3" t="s">
        <v>369</v>
      </c>
      <c r="E102" s="3" t="s">
        <v>340</v>
      </c>
      <c r="F102" s="3">
        <v>29.87</v>
      </c>
      <c r="G102" s="3" t="s">
        <v>2572</v>
      </c>
      <c r="H102" s="3"/>
      <c r="I102" s="3" t="s">
        <v>2573</v>
      </c>
      <c r="J102" s="3">
        <v>3</v>
      </c>
      <c r="K102" s="3">
        <v>3</v>
      </c>
      <c r="L102" s="3">
        <v>0</v>
      </c>
      <c r="M102" s="3">
        <v>0</v>
      </c>
      <c r="N102" s="3">
        <v>3</v>
      </c>
      <c r="O102" s="3">
        <v>0.09</v>
      </c>
      <c r="P102" s="3">
        <v>0</v>
      </c>
      <c r="Q102" s="3">
        <v>0</v>
      </c>
      <c r="R102" s="3">
        <v>0</v>
      </c>
    </row>
    <row r="103" spans="1:18">
      <c r="A103" s="3" t="s">
        <v>661</v>
      </c>
      <c r="B103" s="3" t="s">
        <v>662</v>
      </c>
      <c r="C103" s="3" t="s">
        <v>663</v>
      </c>
      <c r="D103" s="3" t="s">
        <v>664</v>
      </c>
      <c r="E103" s="3" t="s">
        <v>340</v>
      </c>
      <c r="F103" s="3">
        <v>29.87</v>
      </c>
      <c r="G103" s="3" t="s">
        <v>2572</v>
      </c>
      <c r="H103" s="3"/>
      <c r="I103" s="3" t="s">
        <v>2573</v>
      </c>
      <c r="J103" s="3">
        <v>1</v>
      </c>
      <c r="K103" s="3">
        <v>1</v>
      </c>
      <c r="L103" s="3">
        <v>0</v>
      </c>
      <c r="M103" s="3">
        <v>0</v>
      </c>
      <c r="N103" s="3">
        <v>1</v>
      </c>
      <c r="O103" s="3">
        <v>0.09</v>
      </c>
      <c r="P103" s="3">
        <v>0</v>
      </c>
      <c r="Q103" s="3">
        <v>0</v>
      </c>
      <c r="R103" s="3">
        <v>0</v>
      </c>
    </row>
    <row r="104" spans="1:18">
      <c r="A104" s="3" t="s">
        <v>895</v>
      </c>
      <c r="B104" s="3" t="s">
        <v>896</v>
      </c>
      <c r="C104" s="3" t="s">
        <v>897</v>
      </c>
      <c r="D104" s="3" t="s">
        <v>898</v>
      </c>
      <c r="E104" s="3" t="s">
        <v>340</v>
      </c>
      <c r="F104" s="3">
        <v>29.87</v>
      </c>
      <c r="G104" s="3" t="s">
        <v>2572</v>
      </c>
      <c r="H104" s="3"/>
      <c r="I104" s="3" t="s">
        <v>2573</v>
      </c>
      <c r="J104" s="3">
        <v>2</v>
      </c>
      <c r="K104" s="3">
        <v>2</v>
      </c>
      <c r="L104" s="3">
        <v>0</v>
      </c>
      <c r="M104" s="3">
        <v>0</v>
      </c>
      <c r="N104" s="3">
        <v>2</v>
      </c>
      <c r="O104" s="3">
        <v>0.09</v>
      </c>
      <c r="P104" s="3">
        <v>0</v>
      </c>
      <c r="Q104" s="3">
        <v>0</v>
      </c>
      <c r="R104" s="3">
        <v>0</v>
      </c>
    </row>
    <row r="105" spans="1:18">
      <c r="A105" s="3" t="s">
        <v>1013</v>
      </c>
      <c r="B105" s="3" t="s">
        <v>1014</v>
      </c>
      <c r="C105" s="3" t="s">
        <v>1015</v>
      </c>
      <c r="D105" s="3" t="s">
        <v>1016</v>
      </c>
      <c r="E105" s="3" t="s">
        <v>340</v>
      </c>
      <c r="F105" s="3">
        <v>29.87</v>
      </c>
      <c r="G105" s="3" t="s">
        <v>2572</v>
      </c>
      <c r="H105" s="3"/>
      <c r="I105" s="3" t="s">
        <v>2573</v>
      </c>
      <c r="J105" s="3">
        <v>2</v>
      </c>
      <c r="K105" s="3">
        <v>2</v>
      </c>
      <c r="L105" s="3">
        <v>0</v>
      </c>
      <c r="M105" s="3">
        <v>0</v>
      </c>
      <c r="N105" s="3">
        <v>2</v>
      </c>
      <c r="O105" s="3">
        <v>0.09</v>
      </c>
      <c r="P105" s="3">
        <v>0</v>
      </c>
      <c r="Q105" s="3">
        <v>0</v>
      </c>
      <c r="R105" s="3">
        <v>0</v>
      </c>
    </row>
    <row r="106" spans="1:18">
      <c r="A106" s="3" t="s">
        <v>1217</v>
      </c>
      <c r="B106" s="3" t="s">
        <v>1218</v>
      </c>
      <c r="C106" s="3" t="s">
        <v>1219</v>
      </c>
      <c r="D106" s="3" t="s">
        <v>1220</v>
      </c>
      <c r="E106" s="3" t="s">
        <v>340</v>
      </c>
      <c r="F106" s="3">
        <v>24</v>
      </c>
      <c r="G106" s="3" t="s">
        <v>2572</v>
      </c>
      <c r="H106" s="3"/>
      <c r="I106" s="3" t="s">
        <v>2573</v>
      </c>
      <c r="J106" s="3">
        <v>1</v>
      </c>
      <c r="K106" s="3">
        <v>1</v>
      </c>
      <c r="L106" s="3">
        <v>0</v>
      </c>
      <c r="M106" s="3">
        <v>0</v>
      </c>
      <c r="N106" s="3">
        <v>1</v>
      </c>
      <c r="O106" s="3">
        <v>0.09</v>
      </c>
      <c r="P106" s="3">
        <v>0</v>
      </c>
      <c r="Q106" s="3">
        <v>0</v>
      </c>
      <c r="R106" s="3">
        <v>0</v>
      </c>
    </row>
    <row r="107" spans="1:18">
      <c r="A107" s="3" t="s">
        <v>2612</v>
      </c>
      <c r="B107" s="3" t="s">
        <v>2613</v>
      </c>
      <c r="C107" s="3" t="s">
        <v>2614</v>
      </c>
      <c r="D107" s="3" t="s">
        <v>468</v>
      </c>
      <c r="E107" s="3" t="s">
        <v>340</v>
      </c>
      <c r="F107" s="3">
        <v>35</v>
      </c>
      <c r="G107" s="3" t="s">
        <v>2572</v>
      </c>
      <c r="H107" s="3"/>
      <c r="I107" s="3" t="s">
        <v>2573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0.1</v>
      </c>
      <c r="P107" s="3">
        <v>0</v>
      </c>
      <c r="Q107" s="3">
        <v>0</v>
      </c>
      <c r="R107" s="3">
        <v>0</v>
      </c>
    </row>
    <row r="108" spans="1:18">
      <c r="A108" s="3" t="s">
        <v>1877</v>
      </c>
      <c r="B108" s="3" t="s">
        <v>1878</v>
      </c>
      <c r="C108" s="3" t="s">
        <v>1879</v>
      </c>
      <c r="D108" s="3" t="s">
        <v>468</v>
      </c>
      <c r="E108" s="3" t="s">
        <v>340</v>
      </c>
      <c r="F108" s="3">
        <v>35</v>
      </c>
      <c r="G108" s="3" t="s">
        <v>2572</v>
      </c>
      <c r="H108" s="3"/>
      <c r="I108" s="3" t="s">
        <v>2573</v>
      </c>
      <c r="J108" s="3">
        <v>2</v>
      </c>
      <c r="K108" s="3">
        <v>2</v>
      </c>
      <c r="L108" s="3">
        <v>0</v>
      </c>
      <c r="M108" s="3">
        <v>0</v>
      </c>
      <c r="N108" s="3">
        <v>2</v>
      </c>
      <c r="O108" s="3">
        <v>0.1</v>
      </c>
      <c r="P108" s="3">
        <v>0</v>
      </c>
      <c r="Q108" s="3">
        <v>0</v>
      </c>
      <c r="R108" s="3">
        <v>0</v>
      </c>
    </row>
    <row r="109" spans="1:18">
      <c r="A109" s="3" t="s">
        <v>2325</v>
      </c>
      <c r="B109" s="3" t="s">
        <v>2326</v>
      </c>
      <c r="C109" s="3" t="s">
        <v>2327</v>
      </c>
      <c r="D109" s="3" t="s">
        <v>468</v>
      </c>
      <c r="E109" s="3" t="s">
        <v>340</v>
      </c>
      <c r="F109" s="3">
        <v>35</v>
      </c>
      <c r="G109" s="3" t="s">
        <v>2572</v>
      </c>
      <c r="H109" s="3"/>
      <c r="I109" s="3" t="s">
        <v>2573</v>
      </c>
      <c r="J109" s="3">
        <v>10</v>
      </c>
      <c r="K109" s="3">
        <v>10</v>
      </c>
      <c r="L109" s="3">
        <v>0</v>
      </c>
      <c r="M109" s="3">
        <v>0</v>
      </c>
      <c r="N109" s="3">
        <v>10</v>
      </c>
      <c r="O109" s="3">
        <v>0.1</v>
      </c>
      <c r="P109" s="3">
        <v>0</v>
      </c>
      <c r="Q109" s="3">
        <v>0</v>
      </c>
      <c r="R109" s="3">
        <v>0</v>
      </c>
    </row>
    <row r="110" spans="1:18">
      <c r="A110" s="3" t="s">
        <v>1550</v>
      </c>
      <c r="B110" s="3" t="s">
        <v>1551</v>
      </c>
      <c r="C110" s="3" t="s">
        <v>1552</v>
      </c>
      <c r="D110" s="3" t="s">
        <v>468</v>
      </c>
      <c r="E110" s="3" t="s">
        <v>340</v>
      </c>
      <c r="F110" s="3">
        <v>35</v>
      </c>
      <c r="G110" s="3" t="s">
        <v>2572</v>
      </c>
      <c r="H110" s="3"/>
      <c r="I110" s="3" t="s">
        <v>2573</v>
      </c>
      <c r="J110" s="3">
        <v>2</v>
      </c>
      <c r="K110" s="3">
        <v>2</v>
      </c>
      <c r="L110" s="3">
        <v>0</v>
      </c>
      <c r="M110" s="3">
        <v>0</v>
      </c>
      <c r="N110" s="3">
        <v>2</v>
      </c>
      <c r="O110" s="3">
        <v>0.1</v>
      </c>
      <c r="P110" s="3">
        <v>0</v>
      </c>
      <c r="Q110" s="3">
        <v>0</v>
      </c>
      <c r="R110" s="3">
        <v>0</v>
      </c>
    </row>
    <row r="111" spans="1:18">
      <c r="A111" s="3" t="s">
        <v>1866</v>
      </c>
      <c r="B111" s="3" t="s">
        <v>1867</v>
      </c>
      <c r="C111" s="3" t="s">
        <v>1868</v>
      </c>
      <c r="D111" s="3" t="s">
        <v>468</v>
      </c>
      <c r="E111" s="3" t="s">
        <v>340</v>
      </c>
      <c r="F111" s="3">
        <v>35</v>
      </c>
      <c r="G111" s="3" t="s">
        <v>2572</v>
      </c>
      <c r="H111" s="3"/>
      <c r="I111" s="3" t="s">
        <v>2573</v>
      </c>
      <c r="J111" s="3">
        <v>2</v>
      </c>
      <c r="K111" s="3">
        <v>2</v>
      </c>
      <c r="L111" s="3">
        <v>0</v>
      </c>
      <c r="M111" s="3">
        <v>0</v>
      </c>
      <c r="N111" s="3">
        <v>2</v>
      </c>
      <c r="O111" s="3">
        <v>0.1</v>
      </c>
      <c r="P111" s="3">
        <v>0</v>
      </c>
      <c r="Q111" s="3">
        <v>0</v>
      </c>
      <c r="R111" s="3">
        <v>0</v>
      </c>
    </row>
    <row r="112" spans="1:18">
      <c r="A112" s="3" t="s">
        <v>2350</v>
      </c>
      <c r="B112" s="3" t="s">
        <v>2351</v>
      </c>
      <c r="C112" s="3" t="s">
        <v>2352</v>
      </c>
      <c r="D112" s="3" t="s">
        <v>2353</v>
      </c>
      <c r="E112" s="3" t="s">
        <v>340</v>
      </c>
      <c r="F112" s="3">
        <v>35</v>
      </c>
      <c r="G112" s="3" t="s">
        <v>2572</v>
      </c>
      <c r="H112" s="3"/>
      <c r="I112" s="3" t="s">
        <v>2573</v>
      </c>
      <c r="J112" s="3">
        <v>2</v>
      </c>
      <c r="K112" s="3">
        <v>2</v>
      </c>
      <c r="L112" s="3">
        <v>0</v>
      </c>
      <c r="M112" s="3">
        <v>0</v>
      </c>
      <c r="N112" s="3">
        <v>2</v>
      </c>
      <c r="O112" s="3">
        <v>0.1</v>
      </c>
      <c r="P112" s="3">
        <v>0</v>
      </c>
      <c r="Q112" s="3">
        <v>0</v>
      </c>
      <c r="R112" s="3">
        <v>0</v>
      </c>
    </row>
    <row r="113" spans="1:18">
      <c r="A113" s="3" t="s">
        <v>2557</v>
      </c>
      <c r="B113" s="3" t="s">
        <v>2558</v>
      </c>
      <c r="C113" s="3" t="s">
        <v>2559</v>
      </c>
      <c r="D113" s="3" t="s">
        <v>468</v>
      </c>
      <c r="E113" s="3" t="s">
        <v>340</v>
      </c>
      <c r="F113" s="3">
        <v>35</v>
      </c>
      <c r="G113" s="3" t="s">
        <v>2572</v>
      </c>
      <c r="H113" s="3"/>
      <c r="I113" s="3" t="s">
        <v>2573</v>
      </c>
      <c r="J113" s="3">
        <v>3</v>
      </c>
      <c r="K113" s="3">
        <v>3</v>
      </c>
      <c r="L113" s="3">
        <v>0</v>
      </c>
      <c r="M113" s="3">
        <v>0</v>
      </c>
      <c r="N113" s="3">
        <v>3</v>
      </c>
      <c r="O113" s="3">
        <v>0.1</v>
      </c>
      <c r="P113" s="3">
        <v>0</v>
      </c>
      <c r="Q113" s="3">
        <v>0</v>
      </c>
      <c r="R113" s="3">
        <v>0</v>
      </c>
    </row>
    <row r="114" spans="1:18">
      <c r="A114" s="3" t="s">
        <v>1114</v>
      </c>
      <c r="B114" s="3" t="s">
        <v>1115</v>
      </c>
      <c r="C114" s="3" t="s">
        <v>1116</v>
      </c>
      <c r="D114" s="3" t="s">
        <v>468</v>
      </c>
      <c r="E114" s="3" t="s">
        <v>340</v>
      </c>
      <c r="F114" s="3">
        <v>35</v>
      </c>
      <c r="G114" s="3" t="s">
        <v>2572</v>
      </c>
      <c r="H114" s="3"/>
      <c r="I114" s="3" t="s">
        <v>2573</v>
      </c>
      <c r="J114" s="3">
        <v>6</v>
      </c>
      <c r="K114" s="3">
        <v>6</v>
      </c>
      <c r="L114" s="3">
        <v>0</v>
      </c>
      <c r="M114" s="3">
        <v>0</v>
      </c>
      <c r="N114" s="3">
        <v>6</v>
      </c>
      <c r="O114" s="3">
        <v>0.1</v>
      </c>
      <c r="P114" s="3">
        <v>0</v>
      </c>
      <c r="Q114" s="3">
        <v>0</v>
      </c>
      <c r="R114" s="3">
        <v>0</v>
      </c>
    </row>
    <row r="115" spans="1:18">
      <c r="A115" s="3" t="s">
        <v>1020</v>
      </c>
      <c r="B115" s="3" t="s">
        <v>1021</v>
      </c>
      <c r="C115" s="3" t="s">
        <v>1022</v>
      </c>
      <c r="D115" s="3" t="s">
        <v>468</v>
      </c>
      <c r="E115" s="3" t="s">
        <v>340</v>
      </c>
      <c r="F115" s="3">
        <v>35</v>
      </c>
      <c r="G115" s="3" t="s">
        <v>2572</v>
      </c>
      <c r="H115" s="3"/>
      <c r="I115" s="3" t="s">
        <v>2573</v>
      </c>
      <c r="J115" s="3">
        <v>4</v>
      </c>
      <c r="K115" s="3">
        <v>4</v>
      </c>
      <c r="L115" s="3">
        <v>0</v>
      </c>
      <c r="M115" s="3">
        <v>0</v>
      </c>
      <c r="N115" s="3">
        <v>4</v>
      </c>
      <c r="O115" s="3">
        <v>0.1</v>
      </c>
      <c r="P115" s="3">
        <v>0</v>
      </c>
      <c r="Q115" s="3">
        <v>0</v>
      </c>
      <c r="R115" s="3">
        <v>0</v>
      </c>
    </row>
    <row r="116" spans="1:18">
      <c r="A116" s="3" t="s">
        <v>1017</v>
      </c>
      <c r="B116" s="3" t="s">
        <v>1018</v>
      </c>
      <c r="C116" s="3" t="s">
        <v>1019</v>
      </c>
      <c r="D116" s="3" t="s">
        <v>468</v>
      </c>
      <c r="E116" s="3" t="s">
        <v>340</v>
      </c>
      <c r="F116" s="3">
        <v>35</v>
      </c>
      <c r="G116" s="3" t="s">
        <v>2572</v>
      </c>
      <c r="H116" s="3"/>
      <c r="I116" s="3" t="s">
        <v>2573</v>
      </c>
      <c r="J116" s="3">
        <v>5</v>
      </c>
      <c r="K116" s="3">
        <v>5</v>
      </c>
      <c r="L116" s="3">
        <v>0</v>
      </c>
      <c r="M116" s="3">
        <v>0</v>
      </c>
      <c r="N116" s="3">
        <v>5</v>
      </c>
      <c r="O116" s="3">
        <v>0.1</v>
      </c>
      <c r="P116" s="3">
        <v>0</v>
      </c>
      <c r="Q116" s="3">
        <v>0</v>
      </c>
      <c r="R116" s="3">
        <v>0</v>
      </c>
    </row>
    <row r="117" spans="1:18">
      <c r="A117" s="3" t="s">
        <v>1603</v>
      </c>
      <c r="B117" s="3" t="s">
        <v>1604</v>
      </c>
      <c r="C117" s="3" t="s">
        <v>1605</v>
      </c>
      <c r="D117" s="3" t="s">
        <v>1606</v>
      </c>
      <c r="E117" s="3" t="s">
        <v>340</v>
      </c>
      <c r="F117" s="3">
        <v>35</v>
      </c>
      <c r="G117" s="3" t="s">
        <v>2572</v>
      </c>
      <c r="H117" s="3"/>
      <c r="I117" s="3" t="s">
        <v>2573</v>
      </c>
      <c r="J117" s="3">
        <v>4</v>
      </c>
      <c r="K117" s="3">
        <v>4</v>
      </c>
      <c r="L117" s="3">
        <v>0</v>
      </c>
      <c r="M117" s="3">
        <v>0</v>
      </c>
      <c r="N117" s="3">
        <v>4</v>
      </c>
      <c r="O117" s="3">
        <v>0.1</v>
      </c>
      <c r="P117" s="3">
        <v>0</v>
      </c>
      <c r="Q117" s="3">
        <v>0</v>
      </c>
      <c r="R117" s="3">
        <v>0</v>
      </c>
    </row>
    <row r="118" spans="1:18">
      <c r="A118" s="3" t="s">
        <v>1770</v>
      </c>
      <c r="B118" s="3" t="s">
        <v>1771</v>
      </c>
      <c r="C118" s="3" t="s">
        <v>1772</v>
      </c>
      <c r="D118" s="3" t="s">
        <v>468</v>
      </c>
      <c r="E118" s="3" t="s">
        <v>340</v>
      </c>
      <c r="F118" s="3">
        <v>35</v>
      </c>
      <c r="G118" s="3" t="s">
        <v>2572</v>
      </c>
      <c r="H118" s="3"/>
      <c r="I118" s="3" t="s">
        <v>2573</v>
      </c>
      <c r="J118" s="3">
        <v>6</v>
      </c>
      <c r="K118" s="3">
        <v>6</v>
      </c>
      <c r="L118" s="3">
        <v>0</v>
      </c>
      <c r="M118" s="3">
        <v>0</v>
      </c>
      <c r="N118" s="3">
        <v>6</v>
      </c>
      <c r="O118" s="3">
        <v>0.1</v>
      </c>
      <c r="P118" s="3">
        <v>0</v>
      </c>
      <c r="Q118" s="3">
        <v>0</v>
      </c>
      <c r="R118" s="3">
        <v>0</v>
      </c>
    </row>
    <row r="119" spans="1:18">
      <c r="A119" s="3" t="s">
        <v>1304</v>
      </c>
      <c r="B119" s="3" t="s">
        <v>1305</v>
      </c>
      <c r="C119" s="3" t="s">
        <v>1306</v>
      </c>
      <c r="D119" s="3" t="s">
        <v>468</v>
      </c>
      <c r="E119" s="3" t="s">
        <v>340</v>
      </c>
      <c r="F119" s="3">
        <v>35</v>
      </c>
      <c r="G119" s="3" t="s">
        <v>2572</v>
      </c>
      <c r="H119" s="3"/>
      <c r="I119" s="3" t="s">
        <v>2573</v>
      </c>
      <c r="J119" s="3">
        <v>5</v>
      </c>
      <c r="K119" s="3">
        <v>4</v>
      </c>
      <c r="L119" s="3">
        <v>1</v>
      </c>
      <c r="M119" s="3">
        <v>0</v>
      </c>
      <c r="N119" s="3">
        <v>5</v>
      </c>
      <c r="O119" s="3">
        <v>0.1</v>
      </c>
      <c r="P119" s="3">
        <v>0</v>
      </c>
      <c r="Q119" s="3">
        <v>0</v>
      </c>
      <c r="R119" s="3">
        <v>0</v>
      </c>
    </row>
    <row r="120" spans="1:18">
      <c r="A120" s="3" t="s">
        <v>1547</v>
      </c>
      <c r="B120" s="3" t="s">
        <v>1548</v>
      </c>
      <c r="C120" s="3" t="s">
        <v>1549</v>
      </c>
      <c r="D120" s="3" t="s">
        <v>468</v>
      </c>
      <c r="E120" s="3" t="s">
        <v>340</v>
      </c>
      <c r="F120" s="3">
        <v>35</v>
      </c>
      <c r="G120" s="3" t="s">
        <v>2572</v>
      </c>
      <c r="H120" s="3"/>
      <c r="I120" s="3" t="s">
        <v>2573</v>
      </c>
      <c r="J120" s="3">
        <v>6</v>
      </c>
      <c r="K120" s="3">
        <v>6</v>
      </c>
      <c r="L120" s="3">
        <v>0</v>
      </c>
      <c r="M120" s="3">
        <v>0</v>
      </c>
      <c r="N120" s="3">
        <v>6</v>
      </c>
      <c r="O120" s="3">
        <v>0.1</v>
      </c>
      <c r="P120" s="3">
        <v>0</v>
      </c>
      <c r="Q120" s="3">
        <v>0</v>
      </c>
      <c r="R120" s="3">
        <v>0</v>
      </c>
    </row>
    <row r="121" spans="1:18">
      <c r="A121" s="3" t="s">
        <v>2459</v>
      </c>
      <c r="B121" s="3" t="s">
        <v>2460</v>
      </c>
      <c r="C121" s="3" t="s">
        <v>2461</v>
      </c>
      <c r="D121" s="3" t="s">
        <v>468</v>
      </c>
      <c r="E121" s="3" t="s">
        <v>340</v>
      </c>
      <c r="F121" s="3">
        <v>35</v>
      </c>
      <c r="G121" s="3" t="s">
        <v>2572</v>
      </c>
      <c r="H121" s="3"/>
      <c r="I121" s="3" t="s">
        <v>2573</v>
      </c>
      <c r="J121" s="3">
        <v>10</v>
      </c>
      <c r="K121" s="3">
        <v>10</v>
      </c>
      <c r="L121" s="3">
        <v>0</v>
      </c>
      <c r="M121" s="3">
        <v>0</v>
      </c>
      <c r="N121" s="3">
        <v>10</v>
      </c>
      <c r="O121" s="3">
        <v>0.1</v>
      </c>
      <c r="P121" s="3">
        <v>0</v>
      </c>
      <c r="Q121" s="3">
        <v>0</v>
      </c>
      <c r="R121" s="3">
        <v>0</v>
      </c>
    </row>
    <row r="122" spans="1:18">
      <c r="A122" s="3" t="s">
        <v>1744</v>
      </c>
      <c r="B122" s="3" t="s">
        <v>1745</v>
      </c>
      <c r="C122" s="3" t="s">
        <v>1746</v>
      </c>
      <c r="D122" s="3" t="s">
        <v>1747</v>
      </c>
      <c r="E122" s="3" t="s">
        <v>340</v>
      </c>
      <c r="F122" s="3">
        <v>35</v>
      </c>
      <c r="G122" s="3" t="s">
        <v>2572</v>
      </c>
      <c r="H122" s="3"/>
      <c r="I122" s="3" t="s">
        <v>2573</v>
      </c>
      <c r="J122" s="3">
        <v>2</v>
      </c>
      <c r="K122" s="3">
        <v>2</v>
      </c>
      <c r="L122" s="3">
        <v>0</v>
      </c>
      <c r="M122" s="3">
        <v>0</v>
      </c>
      <c r="N122" s="3">
        <v>2</v>
      </c>
      <c r="O122" s="3">
        <v>0.1</v>
      </c>
      <c r="P122" s="3">
        <v>0</v>
      </c>
      <c r="Q122" s="3">
        <v>0</v>
      </c>
      <c r="R122" s="3">
        <v>0</v>
      </c>
    </row>
    <row r="123" spans="1:18">
      <c r="A123" s="3" t="s">
        <v>2132</v>
      </c>
      <c r="B123" s="3" t="s">
        <v>2133</v>
      </c>
      <c r="C123" s="3" t="s">
        <v>2134</v>
      </c>
      <c r="D123" s="3" t="s">
        <v>468</v>
      </c>
      <c r="E123" s="3" t="s">
        <v>340</v>
      </c>
      <c r="F123" s="3">
        <v>35</v>
      </c>
      <c r="G123" s="3" t="s">
        <v>2572</v>
      </c>
      <c r="H123" s="3"/>
      <c r="I123" s="3" t="s">
        <v>2573</v>
      </c>
      <c r="J123" s="3">
        <v>5</v>
      </c>
      <c r="K123" s="3">
        <v>5</v>
      </c>
      <c r="L123" s="3">
        <v>0</v>
      </c>
      <c r="M123" s="3">
        <v>0</v>
      </c>
      <c r="N123" s="3">
        <v>5</v>
      </c>
      <c r="O123" s="3">
        <v>0.1</v>
      </c>
      <c r="P123" s="3">
        <v>0</v>
      </c>
      <c r="Q123" s="3">
        <v>0</v>
      </c>
      <c r="R123" s="3">
        <v>0</v>
      </c>
    </row>
    <row r="124" spans="1:18">
      <c r="A124" s="3" t="s">
        <v>1470</v>
      </c>
      <c r="B124" s="3" t="s">
        <v>1471</v>
      </c>
      <c r="C124" s="3" t="s">
        <v>1472</v>
      </c>
      <c r="D124" s="3" t="s">
        <v>468</v>
      </c>
      <c r="E124" s="3" t="s">
        <v>340</v>
      </c>
      <c r="F124" s="3">
        <v>35</v>
      </c>
      <c r="G124" s="3" t="s">
        <v>2572</v>
      </c>
      <c r="H124" s="3"/>
      <c r="I124" s="3" t="s">
        <v>2573</v>
      </c>
      <c r="J124" s="3">
        <v>5</v>
      </c>
      <c r="K124" s="3">
        <v>5</v>
      </c>
      <c r="L124" s="3">
        <v>0</v>
      </c>
      <c r="M124" s="3">
        <v>0</v>
      </c>
      <c r="N124" s="3">
        <v>5</v>
      </c>
      <c r="O124" s="3">
        <v>0.1</v>
      </c>
      <c r="P124" s="3">
        <v>0</v>
      </c>
      <c r="Q124" s="3">
        <v>0</v>
      </c>
      <c r="R124" s="3">
        <v>0</v>
      </c>
    </row>
    <row r="125" spans="1:18">
      <c r="A125" s="3" t="s">
        <v>2615</v>
      </c>
      <c r="B125" s="3" t="s">
        <v>2616</v>
      </c>
      <c r="C125" s="3" t="s">
        <v>2617</v>
      </c>
      <c r="D125" s="3" t="s">
        <v>468</v>
      </c>
      <c r="E125" s="3" t="s">
        <v>340</v>
      </c>
      <c r="F125" s="3">
        <v>35</v>
      </c>
      <c r="G125" s="3" t="s">
        <v>2572</v>
      </c>
      <c r="H125" s="3"/>
      <c r="I125" s="3" t="s">
        <v>2573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0.1</v>
      </c>
      <c r="P125" s="3">
        <v>0</v>
      </c>
      <c r="Q125" s="3">
        <v>0</v>
      </c>
      <c r="R125" s="3">
        <v>0</v>
      </c>
    </row>
    <row r="126" spans="1:18">
      <c r="A126" s="3" t="s">
        <v>780</v>
      </c>
      <c r="B126" s="3" t="s">
        <v>781</v>
      </c>
      <c r="C126" s="3" t="s">
        <v>782</v>
      </c>
      <c r="D126" s="3" t="s">
        <v>468</v>
      </c>
      <c r="E126" s="3" t="s">
        <v>340</v>
      </c>
      <c r="F126" s="3">
        <v>35</v>
      </c>
      <c r="G126" s="3" t="s">
        <v>2572</v>
      </c>
      <c r="H126" s="3"/>
      <c r="I126" s="3" t="s">
        <v>2573</v>
      </c>
      <c r="J126" s="3">
        <v>1</v>
      </c>
      <c r="K126" s="3">
        <v>1</v>
      </c>
      <c r="L126" s="3">
        <v>0</v>
      </c>
      <c r="M126" s="3">
        <v>0</v>
      </c>
      <c r="N126" s="3">
        <v>1</v>
      </c>
      <c r="O126" s="3">
        <v>0.1</v>
      </c>
      <c r="P126" s="3">
        <v>0</v>
      </c>
      <c r="Q126" s="3">
        <v>0</v>
      </c>
      <c r="R126" s="3">
        <v>0</v>
      </c>
    </row>
    <row r="127" spans="1:18">
      <c r="A127" s="3" t="s">
        <v>1855</v>
      </c>
      <c r="B127" s="3" t="s">
        <v>1856</v>
      </c>
      <c r="C127" s="3" t="s">
        <v>1857</v>
      </c>
      <c r="D127" s="3" t="s">
        <v>1858</v>
      </c>
      <c r="E127" s="3" t="s">
        <v>340</v>
      </c>
      <c r="F127" s="3">
        <v>35</v>
      </c>
      <c r="G127" s="3" t="s">
        <v>2572</v>
      </c>
      <c r="H127" s="3"/>
      <c r="I127" s="3" t="s">
        <v>2573</v>
      </c>
      <c r="J127" s="3">
        <v>4</v>
      </c>
      <c r="K127" s="3">
        <v>4</v>
      </c>
      <c r="L127" s="3">
        <v>0</v>
      </c>
      <c r="M127" s="3">
        <v>0</v>
      </c>
      <c r="N127" s="3">
        <v>4</v>
      </c>
      <c r="O127" s="3">
        <v>0.1</v>
      </c>
      <c r="P127" s="3">
        <v>0</v>
      </c>
      <c r="Q127" s="3">
        <v>0</v>
      </c>
      <c r="R127" s="3">
        <v>0</v>
      </c>
    </row>
    <row r="128" spans="1:18">
      <c r="A128" s="3" t="s">
        <v>465</v>
      </c>
      <c r="B128" s="3" t="s">
        <v>466</v>
      </c>
      <c r="C128" s="3" t="s">
        <v>467</v>
      </c>
      <c r="D128" s="3" t="s">
        <v>468</v>
      </c>
      <c r="E128" s="3" t="s">
        <v>340</v>
      </c>
      <c r="F128" s="3">
        <v>35</v>
      </c>
      <c r="G128" s="3" t="s">
        <v>2572</v>
      </c>
      <c r="H128" s="3"/>
      <c r="I128" s="3" t="s">
        <v>2573</v>
      </c>
      <c r="J128" s="3">
        <v>5</v>
      </c>
      <c r="K128" s="3">
        <v>5</v>
      </c>
      <c r="L128" s="3">
        <v>0</v>
      </c>
      <c r="M128" s="3">
        <v>0</v>
      </c>
      <c r="N128" s="3">
        <v>5</v>
      </c>
      <c r="O128" s="3">
        <v>0.1</v>
      </c>
      <c r="P128" s="3">
        <v>0</v>
      </c>
      <c r="Q128" s="3">
        <v>0</v>
      </c>
      <c r="R128" s="3">
        <v>0</v>
      </c>
    </row>
    <row r="129" spans="1:18">
      <c r="A129" s="3" t="s">
        <v>1987</v>
      </c>
      <c r="B129" s="3" t="s">
        <v>1988</v>
      </c>
      <c r="C129" s="3" t="s">
        <v>1989</v>
      </c>
      <c r="D129" s="3" t="s">
        <v>468</v>
      </c>
      <c r="E129" s="3" t="s">
        <v>340</v>
      </c>
      <c r="F129" s="3">
        <v>35</v>
      </c>
      <c r="G129" s="3" t="s">
        <v>2572</v>
      </c>
      <c r="H129" s="3"/>
      <c r="I129" s="3" t="s">
        <v>2573</v>
      </c>
      <c r="J129" s="3">
        <v>11</v>
      </c>
      <c r="K129" s="3">
        <v>11</v>
      </c>
      <c r="L129" s="3">
        <v>0</v>
      </c>
      <c r="M129" s="3">
        <v>0</v>
      </c>
      <c r="N129" s="3">
        <v>11</v>
      </c>
      <c r="O129" s="3">
        <v>0.1</v>
      </c>
      <c r="P129" s="3">
        <v>0</v>
      </c>
      <c r="Q129" s="3">
        <v>0</v>
      </c>
      <c r="R129" s="3">
        <v>0</v>
      </c>
    </row>
    <row r="130" spans="1:18">
      <c r="A130" s="3" t="s">
        <v>759</v>
      </c>
      <c r="B130" s="3" t="s">
        <v>760</v>
      </c>
      <c r="C130" s="3" t="s">
        <v>761</v>
      </c>
      <c r="D130" s="3" t="s">
        <v>468</v>
      </c>
      <c r="E130" s="3" t="s">
        <v>340</v>
      </c>
      <c r="F130" s="3">
        <v>35</v>
      </c>
      <c r="G130" s="3" t="s">
        <v>2572</v>
      </c>
      <c r="H130" s="3"/>
      <c r="I130" s="3" t="s">
        <v>2573</v>
      </c>
      <c r="J130" s="3">
        <v>7</v>
      </c>
      <c r="K130" s="3">
        <v>6</v>
      </c>
      <c r="L130" s="3">
        <v>1</v>
      </c>
      <c r="M130" s="3">
        <v>0</v>
      </c>
      <c r="N130" s="3">
        <v>7</v>
      </c>
      <c r="O130" s="3">
        <v>0.1</v>
      </c>
      <c r="P130" s="3">
        <v>0</v>
      </c>
      <c r="Q130" s="3">
        <v>0</v>
      </c>
      <c r="R130" s="3">
        <v>0</v>
      </c>
    </row>
    <row r="131" spans="1:18">
      <c r="A131" s="3" t="s">
        <v>1829</v>
      </c>
      <c r="B131" s="3" t="s">
        <v>1830</v>
      </c>
      <c r="C131" s="3" t="s">
        <v>1831</v>
      </c>
      <c r="D131" s="3" t="s">
        <v>468</v>
      </c>
      <c r="E131" s="3" t="s">
        <v>340</v>
      </c>
      <c r="F131" s="3">
        <v>35</v>
      </c>
      <c r="G131" s="3" t="s">
        <v>2572</v>
      </c>
      <c r="H131" s="3"/>
      <c r="I131" s="3" t="s">
        <v>2573</v>
      </c>
      <c r="J131" s="3">
        <v>8</v>
      </c>
      <c r="K131" s="3">
        <v>8</v>
      </c>
      <c r="L131" s="3">
        <v>0</v>
      </c>
      <c r="M131" s="3">
        <v>0</v>
      </c>
      <c r="N131" s="3">
        <v>8</v>
      </c>
      <c r="O131" s="3">
        <v>0.1</v>
      </c>
      <c r="P131" s="3">
        <v>0</v>
      </c>
      <c r="Q131" s="3">
        <v>0</v>
      </c>
      <c r="R131" s="3">
        <v>0</v>
      </c>
    </row>
    <row r="132" spans="1:18">
      <c r="A132" s="3" t="s">
        <v>773</v>
      </c>
      <c r="B132" s="3" t="s">
        <v>774</v>
      </c>
      <c r="C132" s="3" t="s">
        <v>775</v>
      </c>
      <c r="D132" s="3" t="s">
        <v>776</v>
      </c>
      <c r="E132" s="3" t="s">
        <v>340</v>
      </c>
      <c r="F132" s="3">
        <v>35</v>
      </c>
      <c r="G132" s="3" t="s">
        <v>2572</v>
      </c>
      <c r="H132" s="3"/>
      <c r="I132" s="3" t="s">
        <v>2573</v>
      </c>
      <c r="J132" s="3">
        <v>6</v>
      </c>
      <c r="K132" s="3">
        <v>6</v>
      </c>
      <c r="L132" s="3">
        <v>0</v>
      </c>
      <c r="M132" s="3">
        <v>0</v>
      </c>
      <c r="N132" s="3">
        <v>6</v>
      </c>
      <c r="O132" s="3">
        <v>0.1</v>
      </c>
      <c r="P132" s="3">
        <v>0</v>
      </c>
      <c r="Q132" s="3">
        <v>0</v>
      </c>
      <c r="R132" s="3">
        <v>0</v>
      </c>
    </row>
    <row r="133" spans="1:18">
      <c r="A133" s="3" t="s">
        <v>2328</v>
      </c>
      <c r="B133" s="3" t="s">
        <v>2329</v>
      </c>
      <c r="C133" s="3" t="s">
        <v>2330</v>
      </c>
      <c r="D133" s="3" t="s">
        <v>468</v>
      </c>
      <c r="E133" s="3" t="s">
        <v>340</v>
      </c>
      <c r="F133" s="3">
        <v>35</v>
      </c>
      <c r="G133" s="3" t="s">
        <v>2572</v>
      </c>
      <c r="H133" s="3"/>
      <c r="I133" s="3" t="s">
        <v>2573</v>
      </c>
      <c r="J133" s="3">
        <v>3</v>
      </c>
      <c r="K133" s="3">
        <v>3</v>
      </c>
      <c r="L133" s="3">
        <v>0</v>
      </c>
      <c r="M133" s="3">
        <v>0</v>
      </c>
      <c r="N133" s="3">
        <v>3</v>
      </c>
      <c r="O133" s="3">
        <v>0.1</v>
      </c>
      <c r="P133" s="3">
        <v>0</v>
      </c>
      <c r="Q133" s="3">
        <v>0</v>
      </c>
      <c r="R133" s="3">
        <v>0</v>
      </c>
    </row>
    <row r="134" spans="1:18">
      <c r="A134" s="3" t="s">
        <v>2271</v>
      </c>
      <c r="B134" s="3" t="s">
        <v>2272</v>
      </c>
      <c r="C134" s="3" t="s">
        <v>2273</v>
      </c>
      <c r="D134" s="3" t="s">
        <v>468</v>
      </c>
      <c r="E134" s="3" t="s">
        <v>340</v>
      </c>
      <c r="F134" s="3">
        <v>35</v>
      </c>
      <c r="G134" s="3" t="s">
        <v>2572</v>
      </c>
      <c r="H134" s="3"/>
      <c r="I134" s="3" t="s">
        <v>2573</v>
      </c>
      <c r="J134" s="3">
        <v>4</v>
      </c>
      <c r="K134" s="3">
        <v>4</v>
      </c>
      <c r="L134" s="3">
        <v>0</v>
      </c>
      <c r="M134" s="3">
        <v>0</v>
      </c>
      <c r="N134" s="3">
        <v>4</v>
      </c>
      <c r="O134" s="3">
        <v>0.1</v>
      </c>
      <c r="P134" s="3">
        <v>0</v>
      </c>
      <c r="Q134" s="3">
        <v>0</v>
      </c>
      <c r="R134" s="3">
        <v>0</v>
      </c>
    </row>
    <row r="135" spans="1:18">
      <c r="A135" s="3" t="s">
        <v>1504</v>
      </c>
      <c r="B135" s="3" t="s">
        <v>1505</v>
      </c>
      <c r="C135" s="3" t="s">
        <v>1506</v>
      </c>
      <c r="D135" s="3" t="s">
        <v>468</v>
      </c>
      <c r="E135" s="3" t="s">
        <v>340</v>
      </c>
      <c r="F135" s="3">
        <v>35</v>
      </c>
      <c r="G135" s="3" t="s">
        <v>2572</v>
      </c>
      <c r="H135" s="3"/>
      <c r="I135" s="3" t="s">
        <v>2573</v>
      </c>
      <c r="J135" s="3">
        <v>9</v>
      </c>
      <c r="K135" s="3">
        <v>9</v>
      </c>
      <c r="L135" s="3">
        <v>0</v>
      </c>
      <c r="M135" s="3">
        <v>0</v>
      </c>
      <c r="N135" s="3">
        <v>9</v>
      </c>
      <c r="O135" s="3">
        <v>0.1</v>
      </c>
      <c r="P135" s="3">
        <v>0</v>
      </c>
      <c r="Q135" s="3">
        <v>0</v>
      </c>
      <c r="R135" s="3">
        <v>0</v>
      </c>
    </row>
    <row r="136" spans="1:18">
      <c r="A136" s="3" t="s">
        <v>703</v>
      </c>
      <c r="B136" s="3" t="s">
        <v>704</v>
      </c>
      <c r="C136" s="3" t="s">
        <v>705</v>
      </c>
      <c r="D136" s="3" t="s">
        <v>468</v>
      </c>
      <c r="E136" s="3" t="s">
        <v>340</v>
      </c>
      <c r="F136" s="3">
        <v>35</v>
      </c>
      <c r="G136" s="3" t="s">
        <v>2572</v>
      </c>
      <c r="H136" s="3"/>
      <c r="I136" s="3" t="s">
        <v>2573</v>
      </c>
      <c r="J136" s="3">
        <v>5</v>
      </c>
      <c r="K136" s="3">
        <v>5</v>
      </c>
      <c r="L136" s="3">
        <v>0</v>
      </c>
      <c r="M136" s="3">
        <v>0</v>
      </c>
      <c r="N136" s="3">
        <v>5</v>
      </c>
      <c r="O136" s="3">
        <v>0.1</v>
      </c>
      <c r="P136" s="3">
        <v>0</v>
      </c>
      <c r="Q136" s="3">
        <v>0</v>
      </c>
      <c r="R136" s="3">
        <v>0</v>
      </c>
    </row>
    <row r="137" spans="1:18">
      <c r="A137" s="3" t="s">
        <v>2618</v>
      </c>
      <c r="B137" s="3" t="s">
        <v>2619</v>
      </c>
      <c r="C137" s="3" t="s">
        <v>2620</v>
      </c>
      <c r="D137" s="3" t="s">
        <v>468</v>
      </c>
      <c r="E137" s="3" t="s">
        <v>340</v>
      </c>
      <c r="F137" s="3">
        <v>35</v>
      </c>
      <c r="G137" s="3" t="s">
        <v>2572</v>
      </c>
      <c r="H137" s="3"/>
      <c r="I137" s="3" t="s">
        <v>2573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0.1</v>
      </c>
      <c r="P137" s="3">
        <v>0</v>
      </c>
      <c r="Q137" s="3">
        <v>0</v>
      </c>
      <c r="R137" s="3">
        <v>0</v>
      </c>
    </row>
    <row r="138" spans="1:18">
      <c r="A138" s="3" t="s">
        <v>2621</v>
      </c>
      <c r="B138" s="3" t="s">
        <v>2622</v>
      </c>
      <c r="C138" s="3" t="s">
        <v>2623</v>
      </c>
      <c r="D138" s="3" t="s">
        <v>468</v>
      </c>
      <c r="E138" s="3" t="s">
        <v>340</v>
      </c>
      <c r="F138" s="3">
        <v>35</v>
      </c>
      <c r="G138" s="3" t="s">
        <v>2572</v>
      </c>
      <c r="H138" s="3"/>
      <c r="I138" s="3" t="s">
        <v>2573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0.1</v>
      </c>
      <c r="P138" s="3">
        <v>0</v>
      </c>
      <c r="Q138" s="3">
        <v>0</v>
      </c>
      <c r="R138" s="3">
        <v>0</v>
      </c>
    </row>
    <row r="139" spans="1:18">
      <c r="A139" s="3" t="s">
        <v>1710</v>
      </c>
      <c r="B139" s="3" t="s">
        <v>1711</v>
      </c>
      <c r="C139" s="3" t="s">
        <v>1712</v>
      </c>
      <c r="D139" s="3" t="s">
        <v>468</v>
      </c>
      <c r="E139" s="3" t="s">
        <v>340</v>
      </c>
      <c r="F139" s="3">
        <v>35</v>
      </c>
      <c r="G139" s="3" t="s">
        <v>2572</v>
      </c>
      <c r="H139" s="3"/>
      <c r="I139" s="3" t="s">
        <v>2573</v>
      </c>
      <c r="J139" s="3">
        <v>3</v>
      </c>
      <c r="K139" s="3">
        <v>3</v>
      </c>
      <c r="L139" s="3">
        <v>0</v>
      </c>
      <c r="M139" s="3">
        <v>0</v>
      </c>
      <c r="N139" s="3">
        <v>3</v>
      </c>
      <c r="O139" s="3">
        <v>0.1</v>
      </c>
      <c r="P139" s="3">
        <v>0</v>
      </c>
      <c r="Q139" s="3">
        <v>0</v>
      </c>
      <c r="R139" s="3">
        <v>0</v>
      </c>
    </row>
    <row r="140" spans="1:18">
      <c r="A140" s="3" t="s">
        <v>1031</v>
      </c>
      <c r="B140" s="3" t="s">
        <v>1032</v>
      </c>
      <c r="C140" s="3" t="s">
        <v>1033</v>
      </c>
      <c r="D140" s="3" t="s">
        <v>468</v>
      </c>
      <c r="E140" s="3" t="s">
        <v>340</v>
      </c>
      <c r="F140" s="3">
        <v>35</v>
      </c>
      <c r="G140" s="3" t="s">
        <v>2572</v>
      </c>
      <c r="H140" s="3"/>
      <c r="I140" s="3" t="s">
        <v>2573</v>
      </c>
      <c r="J140" s="3">
        <v>7</v>
      </c>
      <c r="K140" s="3">
        <v>7</v>
      </c>
      <c r="L140" s="3">
        <v>0</v>
      </c>
      <c r="M140" s="3">
        <v>0</v>
      </c>
      <c r="N140" s="3">
        <v>7</v>
      </c>
      <c r="O140" s="3">
        <v>0.1</v>
      </c>
      <c r="P140" s="3">
        <v>0</v>
      </c>
      <c r="Q140" s="3">
        <v>0</v>
      </c>
      <c r="R140" s="3">
        <v>0</v>
      </c>
    </row>
    <row r="141" spans="1:18">
      <c r="A141" s="3" t="s">
        <v>1924</v>
      </c>
      <c r="B141" s="3" t="s">
        <v>1925</v>
      </c>
      <c r="C141" s="3" t="s">
        <v>1926</v>
      </c>
      <c r="D141" s="3" t="s">
        <v>468</v>
      </c>
      <c r="E141" s="3" t="s">
        <v>340</v>
      </c>
      <c r="F141" s="3">
        <v>35</v>
      </c>
      <c r="G141" s="3" t="s">
        <v>2572</v>
      </c>
      <c r="H141" s="3"/>
      <c r="I141" s="3" t="s">
        <v>2573</v>
      </c>
      <c r="J141" s="3">
        <v>1</v>
      </c>
      <c r="K141" s="3">
        <v>1</v>
      </c>
      <c r="L141" s="3">
        <v>0</v>
      </c>
      <c r="M141" s="3">
        <v>0</v>
      </c>
      <c r="N141" s="3">
        <v>1</v>
      </c>
      <c r="O141" s="3">
        <v>0.1</v>
      </c>
      <c r="P141" s="3">
        <v>0</v>
      </c>
      <c r="Q141" s="3">
        <v>0</v>
      </c>
      <c r="R141" s="3">
        <v>0</v>
      </c>
    </row>
    <row r="142" spans="1:18">
      <c r="A142" s="3" t="s">
        <v>2624</v>
      </c>
      <c r="B142" s="3" t="s">
        <v>2625</v>
      </c>
      <c r="C142" s="3" t="s">
        <v>2626</v>
      </c>
      <c r="D142" s="3" t="s">
        <v>2627</v>
      </c>
      <c r="E142" s="3" t="s">
        <v>340</v>
      </c>
      <c r="F142" s="3">
        <v>35</v>
      </c>
      <c r="G142" s="3" t="s">
        <v>2572</v>
      </c>
      <c r="H142" s="3"/>
      <c r="I142" s="3" t="s">
        <v>2573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0.08</v>
      </c>
      <c r="P142" s="3">
        <v>0</v>
      </c>
      <c r="Q142" s="3">
        <v>0</v>
      </c>
      <c r="R142" s="3">
        <v>0</v>
      </c>
    </row>
    <row r="143" spans="1:18">
      <c r="A143" s="3" t="s">
        <v>2628</v>
      </c>
      <c r="B143" s="3" t="s">
        <v>2629</v>
      </c>
      <c r="C143" s="3" t="s">
        <v>2630</v>
      </c>
      <c r="D143" s="3" t="s">
        <v>2627</v>
      </c>
      <c r="E143" s="3" t="s">
        <v>340</v>
      </c>
      <c r="F143" s="3">
        <v>35</v>
      </c>
      <c r="G143" s="3" t="s">
        <v>2572</v>
      </c>
      <c r="H143" s="3"/>
      <c r="I143" s="3" t="s">
        <v>2573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0.07</v>
      </c>
      <c r="P143" s="3">
        <v>0</v>
      </c>
      <c r="Q143" s="3">
        <v>0</v>
      </c>
      <c r="R143" s="3">
        <v>0</v>
      </c>
    </row>
    <row r="144" spans="1:18">
      <c r="A144" s="3" t="s">
        <v>2631</v>
      </c>
      <c r="B144" s="3" t="s">
        <v>2632</v>
      </c>
      <c r="C144" s="3" t="s">
        <v>2633</v>
      </c>
      <c r="D144" s="3" t="s">
        <v>2212</v>
      </c>
      <c r="E144" s="3" t="s">
        <v>340</v>
      </c>
      <c r="F144" s="3">
        <v>35</v>
      </c>
      <c r="G144" s="3" t="s">
        <v>2572</v>
      </c>
      <c r="H144" s="3"/>
      <c r="I144" s="3" t="s">
        <v>2573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0.06</v>
      </c>
      <c r="P144" s="3">
        <v>0</v>
      </c>
      <c r="Q144" s="3">
        <v>0</v>
      </c>
      <c r="R144" s="3">
        <v>0</v>
      </c>
    </row>
    <row r="145" spans="1:18">
      <c r="A145" s="3" t="s">
        <v>2634</v>
      </c>
      <c r="B145" s="3" t="s">
        <v>2635</v>
      </c>
      <c r="C145" s="3" t="s">
        <v>2636</v>
      </c>
      <c r="D145" s="3" t="s">
        <v>2212</v>
      </c>
      <c r="E145" s="3" t="s">
        <v>340</v>
      </c>
      <c r="F145" s="3">
        <v>35</v>
      </c>
      <c r="G145" s="3" t="s">
        <v>2572</v>
      </c>
      <c r="H145" s="3"/>
      <c r="I145" s="3" t="s">
        <v>2573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0.06</v>
      </c>
      <c r="P145" s="3">
        <v>0</v>
      </c>
      <c r="Q145" s="3">
        <v>0</v>
      </c>
      <c r="R145" s="3">
        <v>0</v>
      </c>
    </row>
    <row r="146" spans="1:18">
      <c r="A146" s="3" t="s">
        <v>2637</v>
      </c>
      <c r="B146" s="3" t="s">
        <v>2638</v>
      </c>
      <c r="C146" s="3" t="s">
        <v>2639</v>
      </c>
      <c r="D146" s="3" t="s">
        <v>2212</v>
      </c>
      <c r="E146" s="3" t="s">
        <v>340</v>
      </c>
      <c r="F146" s="3">
        <v>35</v>
      </c>
      <c r="G146" s="3" t="s">
        <v>2572</v>
      </c>
      <c r="H146" s="3"/>
      <c r="I146" s="3" t="s">
        <v>2573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0.06</v>
      </c>
      <c r="P146" s="3">
        <v>0</v>
      </c>
      <c r="Q146" s="3">
        <v>0</v>
      </c>
      <c r="R146" s="3">
        <v>0</v>
      </c>
    </row>
    <row r="147" spans="1:18">
      <c r="A147" s="3" t="s">
        <v>2209</v>
      </c>
      <c r="B147" s="3" t="s">
        <v>2210</v>
      </c>
      <c r="C147" s="3" t="s">
        <v>2211</v>
      </c>
      <c r="D147" s="3" t="s">
        <v>2212</v>
      </c>
      <c r="E147" s="3" t="s">
        <v>340</v>
      </c>
      <c r="F147" s="3">
        <v>35</v>
      </c>
      <c r="G147" s="3" t="s">
        <v>2572</v>
      </c>
      <c r="H147" s="3"/>
      <c r="I147" s="3" t="s">
        <v>2573</v>
      </c>
      <c r="J147" s="3">
        <v>5</v>
      </c>
      <c r="K147" s="3">
        <v>5</v>
      </c>
      <c r="L147" s="3">
        <v>0</v>
      </c>
      <c r="M147" s="3">
        <v>0</v>
      </c>
      <c r="N147" s="3">
        <v>5</v>
      </c>
      <c r="O147" s="3">
        <v>0.06</v>
      </c>
      <c r="P147" s="3">
        <v>0</v>
      </c>
      <c r="Q147" s="3">
        <v>0</v>
      </c>
      <c r="R147" s="3">
        <v>0</v>
      </c>
    </row>
    <row r="148" spans="1:18">
      <c r="A148" s="3" t="s">
        <v>2640</v>
      </c>
      <c r="B148" s="3" t="s">
        <v>2641</v>
      </c>
      <c r="C148" s="3" t="s">
        <v>2642</v>
      </c>
      <c r="D148" s="3" t="s">
        <v>2643</v>
      </c>
      <c r="E148" s="3" t="s">
        <v>340</v>
      </c>
      <c r="F148" s="3">
        <v>35</v>
      </c>
      <c r="G148" s="3" t="s">
        <v>2572</v>
      </c>
      <c r="H148" s="3"/>
      <c r="I148" s="3" t="s">
        <v>2573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0.1</v>
      </c>
      <c r="P148" s="3">
        <v>0</v>
      </c>
      <c r="Q148" s="3">
        <v>0</v>
      </c>
      <c r="R148" s="3">
        <v>0</v>
      </c>
    </row>
    <row r="149" spans="1:18">
      <c r="A149" s="3" t="s">
        <v>2644</v>
      </c>
      <c r="B149" s="3" t="s">
        <v>2645</v>
      </c>
      <c r="C149" s="3" t="s">
        <v>2646</v>
      </c>
      <c r="D149" s="3" t="s">
        <v>2647</v>
      </c>
      <c r="E149" s="3" t="s">
        <v>340</v>
      </c>
      <c r="F149" s="3">
        <v>35</v>
      </c>
      <c r="G149" s="3" t="s">
        <v>2572</v>
      </c>
      <c r="H149" s="3"/>
      <c r="I149" s="3" t="s">
        <v>2573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0.1</v>
      </c>
      <c r="P149" s="3">
        <v>0</v>
      </c>
      <c r="Q149" s="3">
        <v>0</v>
      </c>
      <c r="R149" s="3">
        <v>0</v>
      </c>
    </row>
    <row r="150" spans="1:18">
      <c r="A150" s="3" t="s">
        <v>2648</v>
      </c>
      <c r="B150" s="3" t="s">
        <v>2649</v>
      </c>
      <c r="C150" s="3" t="s">
        <v>2650</v>
      </c>
      <c r="D150" s="3" t="s">
        <v>2651</v>
      </c>
      <c r="E150" s="3" t="s">
        <v>340</v>
      </c>
      <c r="F150" s="3">
        <v>35</v>
      </c>
      <c r="G150" s="3" t="s">
        <v>2572</v>
      </c>
      <c r="H150" s="3"/>
      <c r="I150" s="3" t="s">
        <v>2573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0.1</v>
      </c>
      <c r="P150" s="3">
        <v>0</v>
      </c>
      <c r="Q150" s="3">
        <v>0</v>
      </c>
      <c r="R150" s="3">
        <v>0</v>
      </c>
    </row>
    <row r="151" spans="1:18">
      <c r="A151" s="3" t="s">
        <v>15</v>
      </c>
      <c r="B151" s="3" t="s">
        <v>16</v>
      </c>
      <c r="C151" s="3" t="s">
        <v>17</v>
      </c>
      <c r="D151" s="3" t="s">
        <v>18</v>
      </c>
      <c r="E151" s="3" t="s">
        <v>340</v>
      </c>
      <c r="F151" s="3">
        <v>35</v>
      </c>
      <c r="G151" s="3" t="s">
        <v>2572</v>
      </c>
      <c r="H151" s="3"/>
      <c r="I151" s="3" t="s">
        <v>2573</v>
      </c>
      <c r="J151" s="3">
        <v>1</v>
      </c>
      <c r="K151" s="3">
        <v>0</v>
      </c>
      <c r="L151" s="3">
        <v>0</v>
      </c>
      <c r="M151" s="3">
        <v>1</v>
      </c>
      <c r="N151" s="3">
        <v>1</v>
      </c>
      <c r="O151" s="3">
        <v>0.15</v>
      </c>
      <c r="P151" s="3">
        <v>0</v>
      </c>
      <c r="Q151" s="3">
        <v>0</v>
      </c>
      <c r="R151" s="3">
        <v>0</v>
      </c>
    </row>
    <row r="152" spans="1:18">
      <c r="A152" s="3" t="s">
        <v>2652</v>
      </c>
      <c r="B152" s="3" t="s">
        <v>2653</v>
      </c>
      <c r="C152" s="3" t="s">
        <v>2654</v>
      </c>
      <c r="D152" s="3" t="s">
        <v>2655</v>
      </c>
      <c r="E152" s="3" t="s">
        <v>340</v>
      </c>
      <c r="F152" s="3">
        <v>35</v>
      </c>
      <c r="G152" s="3" t="s">
        <v>2572</v>
      </c>
      <c r="H152" s="3"/>
      <c r="I152" s="3" t="s">
        <v>2573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0.1</v>
      </c>
      <c r="P152" s="3">
        <v>0</v>
      </c>
      <c r="Q152" s="3">
        <v>0</v>
      </c>
      <c r="R152" s="3">
        <v>0</v>
      </c>
    </row>
    <row r="153" spans="1:18">
      <c r="A153" s="3" t="s">
        <v>2656</v>
      </c>
      <c r="B153" s="3" t="s">
        <v>2657</v>
      </c>
      <c r="C153" s="3" t="s">
        <v>2658</v>
      </c>
      <c r="D153" s="3" t="s">
        <v>2659</v>
      </c>
      <c r="E153" s="3" t="s">
        <v>340</v>
      </c>
      <c r="F153" s="3">
        <v>35</v>
      </c>
      <c r="G153" s="3" t="s">
        <v>2572</v>
      </c>
      <c r="H153" s="3"/>
      <c r="I153" s="3" t="s">
        <v>2573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0.1</v>
      </c>
      <c r="P153" s="3">
        <v>0</v>
      </c>
      <c r="Q153" s="3">
        <v>0</v>
      </c>
      <c r="R153" s="3">
        <v>0</v>
      </c>
    </row>
    <row r="154" spans="1:18">
      <c r="A154" s="3" t="s">
        <v>2660</v>
      </c>
      <c r="B154" s="3" t="s">
        <v>2661</v>
      </c>
      <c r="C154" s="3" t="s">
        <v>2662</v>
      </c>
      <c r="D154" s="3" t="s">
        <v>2663</v>
      </c>
      <c r="E154" s="3" t="s">
        <v>340</v>
      </c>
      <c r="F154" s="3">
        <v>25</v>
      </c>
      <c r="G154" s="3" t="s">
        <v>2572</v>
      </c>
      <c r="H154" s="3"/>
      <c r="I154" s="3" t="s">
        <v>2573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0.1</v>
      </c>
      <c r="P154" s="3">
        <v>0</v>
      </c>
      <c r="Q154" s="3">
        <v>0</v>
      </c>
      <c r="R154" s="3">
        <v>0</v>
      </c>
    </row>
    <row r="155" spans="1:18">
      <c r="A155" s="3" t="s">
        <v>2539</v>
      </c>
      <c r="B155" s="3" t="s">
        <v>2540</v>
      </c>
      <c r="C155" s="3" t="s">
        <v>2541</v>
      </c>
      <c r="D155" s="3" t="s">
        <v>2542</v>
      </c>
      <c r="E155" s="3" t="s">
        <v>340</v>
      </c>
      <c r="F155" s="3">
        <v>35</v>
      </c>
      <c r="G155" s="3" t="s">
        <v>2572</v>
      </c>
      <c r="H155" s="3"/>
      <c r="I155" s="3" t="s">
        <v>2573</v>
      </c>
      <c r="J155" s="3">
        <v>10</v>
      </c>
      <c r="K155" s="3">
        <v>10</v>
      </c>
      <c r="L155" s="3">
        <v>0</v>
      </c>
      <c r="M155" s="3">
        <v>0</v>
      </c>
      <c r="N155" s="3">
        <v>10</v>
      </c>
      <c r="O155" s="3">
        <v>0.15</v>
      </c>
      <c r="P155" s="3">
        <v>0</v>
      </c>
      <c r="Q155" s="3">
        <v>0</v>
      </c>
      <c r="R155" s="3">
        <v>0</v>
      </c>
    </row>
    <row r="156" spans="1:18">
      <c r="A156" s="3" t="s">
        <v>1450</v>
      </c>
      <c r="B156" s="3" t="s">
        <v>1451</v>
      </c>
      <c r="C156" s="3" t="s">
        <v>1452</v>
      </c>
      <c r="D156" s="3" t="s">
        <v>1453</v>
      </c>
      <c r="E156" s="3" t="s">
        <v>340</v>
      </c>
      <c r="F156" s="3">
        <v>35</v>
      </c>
      <c r="G156" s="3" t="s">
        <v>2572</v>
      </c>
      <c r="H156" s="3"/>
      <c r="I156" s="3" t="s">
        <v>2573</v>
      </c>
      <c r="J156" s="3">
        <v>9</v>
      </c>
      <c r="K156" s="3">
        <v>9</v>
      </c>
      <c r="L156" s="3">
        <v>0</v>
      </c>
      <c r="M156" s="3">
        <v>0</v>
      </c>
      <c r="N156" s="3">
        <v>9</v>
      </c>
      <c r="O156" s="3">
        <v>0.17</v>
      </c>
      <c r="P156" s="3">
        <v>0</v>
      </c>
      <c r="Q156" s="3">
        <v>0</v>
      </c>
      <c r="R156" s="3">
        <v>0</v>
      </c>
    </row>
    <row r="157" spans="1:18">
      <c r="A157" s="3" t="s">
        <v>2664</v>
      </c>
      <c r="B157" s="3" t="s">
        <v>2665</v>
      </c>
      <c r="C157" s="3" t="s">
        <v>2666</v>
      </c>
      <c r="D157" s="3" t="s">
        <v>2667</v>
      </c>
      <c r="E157" s="3" t="s">
        <v>340</v>
      </c>
      <c r="F157" s="3">
        <v>35</v>
      </c>
      <c r="G157" s="3" t="s">
        <v>2572</v>
      </c>
      <c r="H157" s="3"/>
      <c r="I157" s="3" t="s">
        <v>2573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0.19</v>
      </c>
      <c r="P157" s="3">
        <v>0</v>
      </c>
      <c r="Q157" s="3">
        <v>0</v>
      </c>
      <c r="R157" s="3">
        <v>0</v>
      </c>
    </row>
    <row r="158" spans="1:18">
      <c r="A158" s="3" t="s">
        <v>1670</v>
      </c>
      <c r="B158" s="3" t="s">
        <v>1671</v>
      </c>
      <c r="C158" s="3" t="s">
        <v>1672</v>
      </c>
      <c r="D158" s="3" t="s">
        <v>1673</v>
      </c>
      <c r="E158" s="3" t="s">
        <v>340</v>
      </c>
      <c r="F158" s="3">
        <v>35</v>
      </c>
      <c r="G158" s="3" t="s">
        <v>2572</v>
      </c>
      <c r="H158" s="3"/>
      <c r="I158" s="3" t="s">
        <v>2573</v>
      </c>
      <c r="J158" s="3">
        <v>8</v>
      </c>
      <c r="K158" s="3">
        <v>8</v>
      </c>
      <c r="L158" s="3">
        <v>0</v>
      </c>
      <c r="M158" s="3">
        <v>0</v>
      </c>
      <c r="N158" s="3">
        <v>8</v>
      </c>
      <c r="O158" s="3">
        <v>0.19</v>
      </c>
      <c r="P158" s="3">
        <v>0</v>
      </c>
      <c r="Q158" s="3">
        <v>0</v>
      </c>
      <c r="R158" s="3">
        <v>0</v>
      </c>
    </row>
    <row r="159" spans="1:18">
      <c r="A159" s="3" t="s">
        <v>1179</v>
      </c>
      <c r="B159" s="3" t="s">
        <v>1180</v>
      </c>
      <c r="C159" s="3" t="s">
        <v>1181</v>
      </c>
      <c r="D159" s="3" t="s">
        <v>1182</v>
      </c>
      <c r="E159" s="3" t="s">
        <v>340</v>
      </c>
      <c r="F159" s="3">
        <v>35</v>
      </c>
      <c r="G159" s="3" t="s">
        <v>2572</v>
      </c>
      <c r="H159" s="3"/>
      <c r="I159" s="3" t="s">
        <v>2573</v>
      </c>
      <c r="J159" s="3">
        <v>2</v>
      </c>
      <c r="K159" s="3">
        <v>2</v>
      </c>
      <c r="L159" s="3">
        <v>0</v>
      </c>
      <c r="M159" s="3">
        <v>0</v>
      </c>
      <c r="N159" s="3">
        <v>2</v>
      </c>
      <c r="O159" s="3">
        <v>0.23</v>
      </c>
      <c r="P159" s="3">
        <v>0</v>
      </c>
      <c r="Q159" s="3">
        <v>0</v>
      </c>
      <c r="R159" s="3">
        <v>0</v>
      </c>
    </row>
    <row r="160" spans="1:18">
      <c r="A160" s="3" t="s">
        <v>1819</v>
      </c>
      <c r="B160" s="3" t="s">
        <v>1820</v>
      </c>
      <c r="C160" s="3" t="s">
        <v>1821</v>
      </c>
      <c r="D160" s="3" t="s">
        <v>1822</v>
      </c>
      <c r="E160" s="3" t="s">
        <v>340</v>
      </c>
      <c r="F160" s="3">
        <v>35</v>
      </c>
      <c r="G160" s="3" t="s">
        <v>2572</v>
      </c>
      <c r="H160" s="3"/>
      <c r="I160" s="3" t="s">
        <v>2573</v>
      </c>
      <c r="J160" s="3">
        <v>4</v>
      </c>
      <c r="K160" s="3">
        <v>4</v>
      </c>
      <c r="L160" s="3">
        <v>0</v>
      </c>
      <c r="M160" s="3">
        <v>0</v>
      </c>
      <c r="N160" s="3">
        <v>4</v>
      </c>
      <c r="O160" s="3">
        <v>0.19</v>
      </c>
      <c r="P160" s="3">
        <v>0</v>
      </c>
      <c r="Q160" s="3">
        <v>0</v>
      </c>
      <c r="R160" s="3">
        <v>0</v>
      </c>
    </row>
    <row r="161" spans="1:18">
      <c r="A161" s="3" t="s">
        <v>1724</v>
      </c>
      <c r="B161" s="3" t="s">
        <v>1725</v>
      </c>
      <c r="C161" s="3" t="s">
        <v>1726</v>
      </c>
      <c r="D161" s="3" t="s">
        <v>1727</v>
      </c>
      <c r="E161" s="3" t="s">
        <v>340</v>
      </c>
      <c r="F161" s="3">
        <v>35</v>
      </c>
      <c r="G161" s="3" t="s">
        <v>2572</v>
      </c>
      <c r="H161" s="3"/>
      <c r="I161" s="3" t="s">
        <v>2573</v>
      </c>
      <c r="J161" s="3">
        <v>2</v>
      </c>
      <c r="K161" s="3">
        <v>2</v>
      </c>
      <c r="L161" s="3">
        <v>0</v>
      </c>
      <c r="M161" s="3">
        <v>0</v>
      </c>
      <c r="N161" s="3">
        <v>2</v>
      </c>
      <c r="O161" s="3">
        <v>0.07</v>
      </c>
      <c r="P161" s="3">
        <v>0</v>
      </c>
      <c r="Q161" s="3">
        <v>0</v>
      </c>
      <c r="R161" s="3">
        <v>0</v>
      </c>
    </row>
    <row r="162" spans="1:18">
      <c r="A162" s="3" t="s">
        <v>451</v>
      </c>
      <c r="B162" s="3" t="s">
        <v>452</v>
      </c>
      <c r="C162" s="3" t="s">
        <v>453</v>
      </c>
      <c r="D162" s="3" t="s">
        <v>454</v>
      </c>
      <c r="E162" s="3" t="s">
        <v>340</v>
      </c>
      <c r="F162" s="3">
        <v>35</v>
      </c>
      <c r="G162" s="3" t="s">
        <v>2572</v>
      </c>
      <c r="H162" s="3"/>
      <c r="I162" s="3" t="s">
        <v>2573</v>
      </c>
      <c r="J162" s="3">
        <v>8</v>
      </c>
      <c r="K162" s="3">
        <v>8</v>
      </c>
      <c r="L162" s="3">
        <v>0</v>
      </c>
      <c r="M162" s="3">
        <v>0</v>
      </c>
      <c r="N162" s="3">
        <v>8</v>
      </c>
      <c r="O162" s="3">
        <v>0.24</v>
      </c>
      <c r="P162" s="3">
        <v>0</v>
      </c>
      <c r="Q162" s="3">
        <v>0</v>
      </c>
      <c r="R162" s="3">
        <v>0</v>
      </c>
    </row>
    <row r="163" spans="1:18">
      <c r="A163" s="3" t="s">
        <v>2668</v>
      </c>
      <c r="B163" s="3" t="s">
        <v>2669</v>
      </c>
      <c r="C163" s="3" t="s">
        <v>2670</v>
      </c>
      <c r="D163" s="3" t="s">
        <v>2671</v>
      </c>
      <c r="E163" s="3" t="s">
        <v>340</v>
      </c>
      <c r="F163" s="3">
        <v>35</v>
      </c>
      <c r="G163" s="3" t="s">
        <v>2572</v>
      </c>
      <c r="H163" s="3"/>
      <c r="I163" s="3" t="s">
        <v>2573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0.19</v>
      </c>
      <c r="P163" s="3">
        <v>0</v>
      </c>
      <c r="Q163" s="3">
        <v>0</v>
      </c>
      <c r="R163" s="3">
        <v>0</v>
      </c>
    </row>
    <row r="164" spans="1:18">
      <c r="A164" s="3" t="s">
        <v>2250</v>
      </c>
      <c r="B164" s="3" t="s">
        <v>2251</v>
      </c>
      <c r="C164" s="3" t="s">
        <v>2252</v>
      </c>
      <c r="D164" s="3" t="s">
        <v>2253</v>
      </c>
      <c r="E164" s="3" t="s">
        <v>340</v>
      </c>
      <c r="F164" s="3">
        <v>35</v>
      </c>
      <c r="G164" s="3" t="s">
        <v>2572</v>
      </c>
      <c r="H164" s="3"/>
      <c r="I164" s="3" t="s">
        <v>2573</v>
      </c>
      <c r="J164" s="3">
        <v>5</v>
      </c>
      <c r="K164" s="3">
        <v>5</v>
      </c>
      <c r="L164" s="3">
        <v>0</v>
      </c>
      <c r="M164" s="3">
        <v>0</v>
      </c>
      <c r="N164" s="3">
        <v>5</v>
      </c>
      <c r="O164" s="3">
        <v>0.15</v>
      </c>
      <c r="P164" s="3">
        <v>0</v>
      </c>
      <c r="Q164" s="3">
        <v>0</v>
      </c>
      <c r="R164" s="3">
        <v>0</v>
      </c>
    </row>
    <row r="165" spans="1:18">
      <c r="A165" s="3" t="s">
        <v>2107</v>
      </c>
      <c r="B165" s="3" t="s">
        <v>2108</v>
      </c>
      <c r="C165" s="3" t="s">
        <v>2109</v>
      </c>
      <c r="D165" s="3" t="s">
        <v>2110</v>
      </c>
      <c r="E165" s="3" t="s">
        <v>340</v>
      </c>
      <c r="F165" s="3">
        <v>35</v>
      </c>
      <c r="G165" s="3" t="s">
        <v>2572</v>
      </c>
      <c r="H165" s="3"/>
      <c r="I165" s="3" t="s">
        <v>2573</v>
      </c>
      <c r="J165" s="3">
        <v>6</v>
      </c>
      <c r="K165" s="3">
        <v>6</v>
      </c>
      <c r="L165" s="3">
        <v>0</v>
      </c>
      <c r="M165" s="3">
        <v>0</v>
      </c>
      <c r="N165" s="3">
        <v>6</v>
      </c>
      <c r="O165" s="3">
        <v>0.17</v>
      </c>
      <c r="P165" s="3">
        <v>0</v>
      </c>
      <c r="Q165" s="3">
        <v>0</v>
      </c>
      <c r="R165" s="3">
        <v>0</v>
      </c>
    </row>
    <row r="166" spans="1:18">
      <c r="A166" s="3" t="s">
        <v>1332</v>
      </c>
      <c r="B166" s="3" t="s">
        <v>1333</v>
      </c>
      <c r="C166" s="3" t="s">
        <v>1334</v>
      </c>
      <c r="D166" s="3" t="s">
        <v>1335</v>
      </c>
      <c r="E166" s="3" t="s">
        <v>340</v>
      </c>
      <c r="F166" s="3">
        <v>35</v>
      </c>
      <c r="G166" s="3" t="s">
        <v>2572</v>
      </c>
      <c r="H166" s="3"/>
      <c r="I166" s="3" t="s">
        <v>2573</v>
      </c>
      <c r="J166" s="3">
        <v>13</v>
      </c>
      <c r="K166" s="3">
        <v>13</v>
      </c>
      <c r="L166" s="3">
        <v>0</v>
      </c>
      <c r="M166" s="3">
        <v>0</v>
      </c>
      <c r="N166" s="3">
        <v>13</v>
      </c>
      <c r="O166" s="3">
        <v>0.19</v>
      </c>
      <c r="P166" s="3">
        <v>0</v>
      </c>
      <c r="Q166" s="3">
        <v>0</v>
      </c>
      <c r="R166" s="3">
        <v>0</v>
      </c>
    </row>
    <row r="167" spans="1:18">
      <c r="A167" s="3" t="s">
        <v>1836</v>
      </c>
      <c r="B167" s="3" t="s">
        <v>1837</v>
      </c>
      <c r="C167" s="3" t="s">
        <v>1838</v>
      </c>
      <c r="D167" s="3" t="s">
        <v>1839</v>
      </c>
      <c r="E167" s="3" t="s">
        <v>340</v>
      </c>
      <c r="F167" s="3">
        <v>35</v>
      </c>
      <c r="G167" s="3" t="s">
        <v>2572</v>
      </c>
      <c r="H167" s="3"/>
      <c r="I167" s="3" t="s">
        <v>2573</v>
      </c>
      <c r="J167" s="3">
        <v>13</v>
      </c>
      <c r="K167" s="3">
        <v>13</v>
      </c>
      <c r="L167" s="3">
        <v>0</v>
      </c>
      <c r="M167" s="3">
        <v>0</v>
      </c>
      <c r="N167" s="3">
        <v>13</v>
      </c>
      <c r="O167" s="3">
        <v>0.18</v>
      </c>
      <c r="P167" s="3">
        <v>0</v>
      </c>
      <c r="Q167" s="3">
        <v>0</v>
      </c>
      <c r="R167" s="3">
        <v>0</v>
      </c>
    </row>
    <row r="168" spans="1:18">
      <c r="A168" s="3" t="s">
        <v>1455</v>
      </c>
      <c r="B168" s="3" t="s">
        <v>1456</v>
      </c>
      <c r="C168" s="3" t="s">
        <v>1457</v>
      </c>
      <c r="D168" s="3" t="s">
        <v>1458</v>
      </c>
      <c r="E168" s="3" t="s">
        <v>340</v>
      </c>
      <c r="F168" s="3">
        <v>35</v>
      </c>
      <c r="G168" s="3" t="s">
        <v>2572</v>
      </c>
      <c r="H168" s="3"/>
      <c r="I168" s="3" t="s">
        <v>2573</v>
      </c>
      <c r="J168" s="3">
        <v>10</v>
      </c>
      <c r="K168" s="3">
        <v>10</v>
      </c>
      <c r="L168" s="3">
        <v>0</v>
      </c>
      <c r="M168" s="3">
        <v>0</v>
      </c>
      <c r="N168" s="3">
        <v>10</v>
      </c>
      <c r="O168" s="3">
        <v>0.22</v>
      </c>
      <c r="P168" s="3">
        <v>0</v>
      </c>
      <c r="Q168" s="3">
        <v>0</v>
      </c>
      <c r="R168" s="3">
        <v>0</v>
      </c>
    </row>
    <row r="169" spans="1:18">
      <c r="A169" s="3" t="s">
        <v>1920</v>
      </c>
      <c r="B169" s="3" t="s">
        <v>1921</v>
      </c>
      <c r="C169" s="3" t="s">
        <v>1922</v>
      </c>
      <c r="D169" s="3" t="s">
        <v>1923</v>
      </c>
      <c r="E169" s="3" t="s">
        <v>340</v>
      </c>
      <c r="F169" s="3">
        <v>35</v>
      </c>
      <c r="G169" s="3" t="s">
        <v>2572</v>
      </c>
      <c r="H169" s="3"/>
      <c r="I169" s="3" t="s">
        <v>2573</v>
      </c>
      <c r="J169" s="3">
        <v>5</v>
      </c>
      <c r="K169" s="3">
        <v>5</v>
      </c>
      <c r="L169" s="3">
        <v>0</v>
      </c>
      <c r="M169" s="3">
        <v>0</v>
      </c>
      <c r="N169" s="3">
        <v>5</v>
      </c>
      <c r="O169" s="3">
        <v>0.19</v>
      </c>
      <c r="P169" s="3">
        <v>0</v>
      </c>
      <c r="Q169" s="3">
        <v>0</v>
      </c>
      <c r="R169" s="3">
        <v>0</v>
      </c>
    </row>
    <row r="170" spans="1:18">
      <c r="A170" s="3" t="s">
        <v>2034</v>
      </c>
      <c r="B170" s="3" t="s">
        <v>2035</v>
      </c>
      <c r="C170" s="3" t="s">
        <v>2036</v>
      </c>
      <c r="D170" s="3" t="s">
        <v>2037</v>
      </c>
      <c r="E170" s="3" t="s">
        <v>340</v>
      </c>
      <c r="F170" s="3">
        <v>35</v>
      </c>
      <c r="G170" s="3" t="s">
        <v>2572</v>
      </c>
      <c r="H170" s="3"/>
      <c r="I170" s="3" t="s">
        <v>2573</v>
      </c>
      <c r="J170" s="3">
        <v>8</v>
      </c>
      <c r="K170" s="3">
        <v>8</v>
      </c>
      <c r="L170" s="3">
        <v>0</v>
      </c>
      <c r="M170" s="3">
        <v>0</v>
      </c>
      <c r="N170" s="3">
        <v>8</v>
      </c>
      <c r="O170" s="3">
        <v>0.16</v>
      </c>
      <c r="P170" s="3">
        <v>0</v>
      </c>
      <c r="Q170" s="3">
        <v>0</v>
      </c>
      <c r="R170" s="3">
        <v>0</v>
      </c>
    </row>
    <row r="171" spans="1:18">
      <c r="A171" s="3" t="s">
        <v>734</v>
      </c>
      <c r="B171" s="3" t="s">
        <v>735</v>
      </c>
      <c r="C171" s="3" t="s">
        <v>736</v>
      </c>
      <c r="D171" s="3" t="s">
        <v>737</v>
      </c>
      <c r="E171" s="3" t="s">
        <v>340</v>
      </c>
      <c r="F171" s="3">
        <v>35</v>
      </c>
      <c r="G171" s="3" t="s">
        <v>2572</v>
      </c>
      <c r="H171" s="3"/>
      <c r="I171" s="3" t="s">
        <v>2573</v>
      </c>
      <c r="J171" s="3">
        <v>10</v>
      </c>
      <c r="K171" s="3">
        <v>10</v>
      </c>
      <c r="L171" s="3">
        <v>0</v>
      </c>
      <c r="M171" s="3">
        <v>0</v>
      </c>
      <c r="N171" s="3">
        <v>10</v>
      </c>
      <c r="O171" s="3">
        <v>0.16</v>
      </c>
      <c r="P171" s="3">
        <v>0</v>
      </c>
      <c r="Q171" s="3">
        <v>0</v>
      </c>
      <c r="R171" s="3">
        <v>0</v>
      </c>
    </row>
    <row r="172" spans="1:18">
      <c r="A172" s="3" t="s">
        <v>2138</v>
      </c>
      <c r="B172" s="3" t="s">
        <v>2139</v>
      </c>
      <c r="C172" s="3" t="s">
        <v>2140</v>
      </c>
      <c r="D172" s="3" t="s">
        <v>2141</v>
      </c>
      <c r="E172" s="3" t="s">
        <v>340</v>
      </c>
      <c r="F172" s="3">
        <v>35</v>
      </c>
      <c r="G172" s="3" t="s">
        <v>2572</v>
      </c>
      <c r="H172" s="3"/>
      <c r="I172" s="3" t="s">
        <v>2573</v>
      </c>
      <c r="J172" s="3">
        <v>6</v>
      </c>
      <c r="K172" s="3">
        <v>6</v>
      </c>
      <c r="L172" s="3">
        <v>0</v>
      </c>
      <c r="M172" s="3">
        <v>0</v>
      </c>
      <c r="N172" s="3">
        <v>6</v>
      </c>
      <c r="O172" s="3">
        <v>0.16</v>
      </c>
      <c r="P172" s="3">
        <v>0</v>
      </c>
      <c r="Q172" s="3">
        <v>0</v>
      </c>
      <c r="R172" s="3">
        <v>0</v>
      </c>
    </row>
    <row r="173" spans="1:18">
      <c r="A173" s="3" t="s">
        <v>2274</v>
      </c>
      <c r="B173" s="3" t="s">
        <v>2275</v>
      </c>
      <c r="C173" s="3" t="s">
        <v>2276</v>
      </c>
      <c r="D173" s="3" t="s">
        <v>2277</v>
      </c>
      <c r="E173" s="3" t="s">
        <v>340</v>
      </c>
      <c r="F173" s="3">
        <v>35</v>
      </c>
      <c r="G173" s="3" t="s">
        <v>2572</v>
      </c>
      <c r="H173" s="3"/>
      <c r="I173" s="3" t="s">
        <v>2573</v>
      </c>
      <c r="J173" s="3">
        <v>9</v>
      </c>
      <c r="K173" s="3">
        <v>9</v>
      </c>
      <c r="L173" s="3">
        <v>0</v>
      </c>
      <c r="M173" s="3">
        <v>0</v>
      </c>
      <c r="N173" s="3">
        <v>9</v>
      </c>
      <c r="O173" s="3">
        <v>0.08</v>
      </c>
      <c r="P173" s="3">
        <v>0</v>
      </c>
      <c r="Q173" s="3">
        <v>0</v>
      </c>
      <c r="R173" s="3">
        <v>0</v>
      </c>
    </row>
    <row r="174" spans="1:18">
      <c r="A174" s="3" t="s">
        <v>1357</v>
      </c>
      <c r="B174" s="3" t="s">
        <v>1358</v>
      </c>
      <c r="C174" s="3" t="s">
        <v>1359</v>
      </c>
      <c r="D174" s="3" t="s">
        <v>1360</v>
      </c>
      <c r="E174" s="3" t="s">
        <v>340</v>
      </c>
      <c r="F174" s="3">
        <v>35</v>
      </c>
      <c r="G174" s="3" t="s">
        <v>2572</v>
      </c>
      <c r="H174" s="3"/>
      <c r="I174" s="3" t="s">
        <v>2573</v>
      </c>
      <c r="J174" s="3">
        <v>3</v>
      </c>
      <c r="K174" s="3">
        <v>3</v>
      </c>
      <c r="L174" s="3">
        <v>0</v>
      </c>
      <c r="M174" s="3">
        <v>0</v>
      </c>
      <c r="N174" s="3">
        <v>3</v>
      </c>
      <c r="O174" s="3">
        <v>0.16</v>
      </c>
      <c r="P174" s="3">
        <v>0</v>
      </c>
      <c r="Q174" s="3">
        <v>0</v>
      </c>
      <c r="R174" s="3">
        <v>0</v>
      </c>
    </row>
    <row r="175" spans="1:18">
      <c r="A175" s="3" t="s">
        <v>768</v>
      </c>
      <c r="B175" s="3" t="s">
        <v>769</v>
      </c>
      <c r="C175" s="3" t="s">
        <v>770</v>
      </c>
      <c r="D175" s="3" t="s">
        <v>771</v>
      </c>
      <c r="E175" s="3" t="s">
        <v>340</v>
      </c>
      <c r="F175" s="3">
        <v>35</v>
      </c>
      <c r="G175" s="3" t="s">
        <v>2572</v>
      </c>
      <c r="H175" s="3"/>
      <c r="I175" s="3" t="s">
        <v>2573</v>
      </c>
      <c r="J175" s="3">
        <v>6</v>
      </c>
      <c r="K175" s="3">
        <v>6</v>
      </c>
      <c r="L175" s="3">
        <v>0</v>
      </c>
      <c r="M175" s="3">
        <v>0</v>
      </c>
      <c r="N175" s="3">
        <v>6</v>
      </c>
      <c r="O175" s="3">
        <v>0.22</v>
      </c>
      <c r="P175" s="3">
        <v>0</v>
      </c>
      <c r="Q175" s="3">
        <v>0</v>
      </c>
      <c r="R175" s="3">
        <v>0</v>
      </c>
    </row>
    <row r="176" spans="1:18">
      <c r="A176" s="3" t="s">
        <v>2421</v>
      </c>
      <c r="B176" s="3" t="s">
        <v>2422</v>
      </c>
      <c r="C176" s="3" t="s">
        <v>2423</v>
      </c>
      <c r="D176" s="3" t="s">
        <v>2424</v>
      </c>
      <c r="E176" s="3" t="s">
        <v>340</v>
      </c>
      <c r="F176" s="3">
        <v>35</v>
      </c>
      <c r="G176" s="3" t="s">
        <v>2572</v>
      </c>
      <c r="H176" s="3"/>
      <c r="I176" s="3" t="s">
        <v>2573</v>
      </c>
      <c r="J176" s="3">
        <v>5</v>
      </c>
      <c r="K176" s="3">
        <v>5</v>
      </c>
      <c r="L176" s="3">
        <v>0</v>
      </c>
      <c r="M176" s="3">
        <v>0</v>
      </c>
      <c r="N176" s="3">
        <v>5</v>
      </c>
      <c r="O176" s="3">
        <v>0.2</v>
      </c>
      <c r="P176" s="3">
        <v>0</v>
      </c>
      <c r="Q176" s="3">
        <v>0</v>
      </c>
      <c r="R176" s="3">
        <v>0</v>
      </c>
    </row>
    <row r="177" spans="1:18">
      <c r="A177" s="3" t="s">
        <v>388</v>
      </c>
      <c r="B177" s="3" t="s">
        <v>389</v>
      </c>
      <c r="C177" s="3" t="s">
        <v>390</v>
      </c>
      <c r="D177" s="3" t="s">
        <v>391</v>
      </c>
      <c r="E177" s="3" t="s">
        <v>340</v>
      </c>
      <c r="F177" s="3">
        <v>35</v>
      </c>
      <c r="G177" s="3" t="s">
        <v>2572</v>
      </c>
      <c r="H177" s="3"/>
      <c r="I177" s="3" t="s">
        <v>2573</v>
      </c>
      <c r="J177" s="3">
        <v>8</v>
      </c>
      <c r="K177" s="3">
        <v>8</v>
      </c>
      <c r="L177" s="3">
        <v>0</v>
      </c>
      <c r="M177" s="3">
        <v>0</v>
      </c>
      <c r="N177" s="3">
        <v>8</v>
      </c>
      <c r="O177" s="3">
        <v>0.14</v>
      </c>
      <c r="P177" s="3">
        <v>0</v>
      </c>
      <c r="Q177" s="3">
        <v>0</v>
      </c>
      <c r="R177" s="3">
        <v>0</v>
      </c>
    </row>
    <row r="178" spans="1:18">
      <c r="A178" s="3" t="s">
        <v>850</v>
      </c>
      <c r="B178" s="3" t="s">
        <v>851</v>
      </c>
      <c r="C178" s="3" t="s">
        <v>852</v>
      </c>
      <c r="D178" s="3" t="s">
        <v>853</v>
      </c>
      <c r="E178" s="3" t="s">
        <v>340</v>
      </c>
      <c r="F178" s="3">
        <v>35</v>
      </c>
      <c r="G178" s="3" t="s">
        <v>2572</v>
      </c>
      <c r="H178" s="3"/>
      <c r="I178" s="3" t="s">
        <v>2573</v>
      </c>
      <c r="J178" s="3">
        <v>2</v>
      </c>
      <c r="K178" s="3">
        <v>2</v>
      </c>
      <c r="L178" s="3">
        <v>0</v>
      </c>
      <c r="M178" s="3">
        <v>0</v>
      </c>
      <c r="N178" s="3">
        <v>2</v>
      </c>
      <c r="O178" s="3">
        <v>0.19</v>
      </c>
      <c r="P178" s="3">
        <v>0</v>
      </c>
      <c r="Q178" s="3">
        <v>0</v>
      </c>
      <c r="R178" s="3">
        <v>0</v>
      </c>
    </row>
    <row r="179" spans="1:18">
      <c r="A179" s="3" t="s">
        <v>627</v>
      </c>
      <c r="B179" s="3" t="s">
        <v>628</v>
      </c>
      <c r="C179" s="3" t="s">
        <v>629</v>
      </c>
      <c r="D179" s="3" t="s">
        <v>630</v>
      </c>
      <c r="E179" s="3" t="s">
        <v>340</v>
      </c>
      <c r="F179" s="3">
        <v>35</v>
      </c>
      <c r="G179" s="3" t="s">
        <v>2572</v>
      </c>
      <c r="H179" s="3"/>
      <c r="I179" s="3" t="s">
        <v>2573</v>
      </c>
      <c r="J179" s="3">
        <v>4</v>
      </c>
      <c r="K179" s="3">
        <v>4</v>
      </c>
      <c r="L179" s="3">
        <v>0</v>
      </c>
      <c r="M179" s="3">
        <v>0</v>
      </c>
      <c r="N179" s="3">
        <v>4</v>
      </c>
      <c r="O179" s="3">
        <v>0.16</v>
      </c>
      <c r="P179" s="3">
        <v>0</v>
      </c>
      <c r="Q179" s="3">
        <v>0</v>
      </c>
      <c r="R179" s="3">
        <v>0</v>
      </c>
    </row>
    <row r="180" spans="1:18">
      <c r="A180" s="3" t="s">
        <v>1783</v>
      </c>
      <c r="B180" s="3" t="s">
        <v>1784</v>
      </c>
      <c r="C180" s="3" t="s">
        <v>1785</v>
      </c>
      <c r="D180" s="3" t="s">
        <v>1786</v>
      </c>
      <c r="E180" s="3" t="s">
        <v>340</v>
      </c>
      <c r="F180" s="3">
        <v>35</v>
      </c>
      <c r="G180" s="3" t="s">
        <v>2572</v>
      </c>
      <c r="H180" s="3"/>
      <c r="I180" s="3" t="s">
        <v>2573</v>
      </c>
      <c r="J180" s="3">
        <v>6</v>
      </c>
      <c r="K180" s="3">
        <v>6</v>
      </c>
      <c r="L180" s="3">
        <v>0</v>
      </c>
      <c r="M180" s="3">
        <v>0</v>
      </c>
      <c r="N180" s="3">
        <v>6</v>
      </c>
      <c r="O180" s="3">
        <v>0.19</v>
      </c>
      <c r="P180" s="3">
        <v>0</v>
      </c>
      <c r="Q180" s="3">
        <v>0</v>
      </c>
      <c r="R180" s="3">
        <v>0</v>
      </c>
    </row>
    <row r="181" spans="1:18">
      <c r="A181" s="3" t="s">
        <v>1872</v>
      </c>
      <c r="B181" s="3" t="s">
        <v>1873</v>
      </c>
      <c r="C181" s="3" t="s">
        <v>1874</v>
      </c>
      <c r="D181" s="3" t="s">
        <v>1875</v>
      </c>
      <c r="E181" s="3" t="s">
        <v>340</v>
      </c>
      <c r="F181" s="3">
        <v>35</v>
      </c>
      <c r="G181" s="3" t="s">
        <v>2572</v>
      </c>
      <c r="H181" s="3"/>
      <c r="I181" s="3" t="s">
        <v>2573</v>
      </c>
      <c r="J181" s="3">
        <v>5</v>
      </c>
      <c r="K181" s="3">
        <v>5</v>
      </c>
      <c r="L181" s="3">
        <v>0</v>
      </c>
      <c r="M181" s="3">
        <v>0</v>
      </c>
      <c r="N181" s="3">
        <v>5</v>
      </c>
      <c r="O181" s="3">
        <v>0.18</v>
      </c>
      <c r="P181" s="3">
        <v>0</v>
      </c>
      <c r="Q181" s="3">
        <v>0</v>
      </c>
      <c r="R181" s="3">
        <v>0</v>
      </c>
    </row>
    <row r="182" spans="1:18">
      <c r="A182" s="3" t="s">
        <v>1802</v>
      </c>
      <c r="B182" s="3" t="s">
        <v>1803</v>
      </c>
      <c r="C182" s="3" t="s">
        <v>1804</v>
      </c>
      <c r="D182" s="3" t="s">
        <v>1805</v>
      </c>
      <c r="E182" s="3" t="s">
        <v>340</v>
      </c>
      <c r="F182" s="3">
        <v>35</v>
      </c>
      <c r="G182" s="3" t="s">
        <v>2572</v>
      </c>
      <c r="H182" s="3"/>
      <c r="I182" s="3" t="s">
        <v>2573</v>
      </c>
      <c r="J182" s="3">
        <v>9</v>
      </c>
      <c r="K182" s="3">
        <v>9</v>
      </c>
      <c r="L182" s="3">
        <v>0</v>
      </c>
      <c r="M182" s="3">
        <v>0</v>
      </c>
      <c r="N182" s="3">
        <v>9</v>
      </c>
      <c r="O182" s="3">
        <v>0.14</v>
      </c>
      <c r="P182" s="3">
        <v>0</v>
      </c>
      <c r="Q182" s="3">
        <v>0</v>
      </c>
      <c r="R182" s="3">
        <v>0</v>
      </c>
    </row>
    <row r="183" spans="1:18">
      <c r="A183" s="3" t="s">
        <v>1523</v>
      </c>
      <c r="B183" s="3" t="s">
        <v>1524</v>
      </c>
      <c r="C183" s="3" t="s">
        <v>1525</v>
      </c>
      <c r="D183" s="3" t="s">
        <v>1526</v>
      </c>
      <c r="E183" s="3" t="s">
        <v>340</v>
      </c>
      <c r="F183" s="3">
        <v>35</v>
      </c>
      <c r="G183" s="3" t="s">
        <v>2572</v>
      </c>
      <c r="H183" s="3"/>
      <c r="I183" s="3" t="s">
        <v>2573</v>
      </c>
      <c r="J183" s="3">
        <v>7</v>
      </c>
      <c r="K183" s="3">
        <v>7</v>
      </c>
      <c r="L183" s="3">
        <v>0</v>
      </c>
      <c r="M183" s="3">
        <v>0</v>
      </c>
      <c r="N183" s="3">
        <v>7</v>
      </c>
      <c r="O183" s="3">
        <v>0.16</v>
      </c>
      <c r="P183" s="3">
        <v>0</v>
      </c>
      <c r="Q183" s="3">
        <v>0</v>
      </c>
      <c r="R183" s="3">
        <v>0</v>
      </c>
    </row>
    <row r="184" spans="1:18">
      <c r="A184" s="3" t="s">
        <v>547</v>
      </c>
      <c r="B184" s="3" t="s">
        <v>548</v>
      </c>
      <c r="C184" s="3" t="s">
        <v>549</v>
      </c>
      <c r="D184" s="3" t="s">
        <v>550</v>
      </c>
      <c r="E184" s="3" t="s">
        <v>340</v>
      </c>
      <c r="F184" s="3">
        <v>35</v>
      </c>
      <c r="G184" s="3" t="s">
        <v>2572</v>
      </c>
      <c r="H184" s="3"/>
      <c r="I184" s="3" t="s">
        <v>2573</v>
      </c>
      <c r="J184" s="3">
        <v>6</v>
      </c>
      <c r="K184" s="3">
        <v>6</v>
      </c>
      <c r="L184" s="3">
        <v>0</v>
      </c>
      <c r="M184" s="3">
        <v>0</v>
      </c>
      <c r="N184" s="3">
        <v>6</v>
      </c>
      <c r="O184" s="3">
        <v>0.19</v>
      </c>
      <c r="P184" s="3">
        <v>0</v>
      </c>
      <c r="Q184" s="3">
        <v>0</v>
      </c>
      <c r="R184" s="3">
        <v>0</v>
      </c>
    </row>
    <row r="185" spans="1:18">
      <c r="A185" s="3" t="s">
        <v>1327</v>
      </c>
      <c r="B185" s="3" t="s">
        <v>1328</v>
      </c>
      <c r="C185" s="3" t="s">
        <v>1329</v>
      </c>
      <c r="D185" s="3" t="s">
        <v>1330</v>
      </c>
      <c r="E185" s="3" t="s">
        <v>340</v>
      </c>
      <c r="F185" s="3">
        <v>35</v>
      </c>
      <c r="G185" s="3" t="s">
        <v>2572</v>
      </c>
      <c r="H185" s="3"/>
      <c r="I185" s="3" t="s">
        <v>2573</v>
      </c>
      <c r="J185" s="3">
        <v>11</v>
      </c>
      <c r="K185" s="3">
        <v>11</v>
      </c>
      <c r="L185" s="3">
        <v>0</v>
      </c>
      <c r="M185" s="3">
        <v>0</v>
      </c>
      <c r="N185" s="3">
        <v>11</v>
      </c>
      <c r="O185" s="3">
        <v>0.18</v>
      </c>
      <c r="P185" s="3">
        <v>0</v>
      </c>
      <c r="Q185" s="3">
        <v>0</v>
      </c>
      <c r="R185" s="3">
        <v>0</v>
      </c>
    </row>
    <row r="186" spans="1:18">
      <c r="A186" s="3" t="s">
        <v>377</v>
      </c>
      <c r="B186" s="3" t="s">
        <v>378</v>
      </c>
      <c r="C186" s="3" t="s">
        <v>379</v>
      </c>
      <c r="D186" s="3" t="s">
        <v>380</v>
      </c>
      <c r="E186" s="3" t="s">
        <v>340</v>
      </c>
      <c r="F186" s="3">
        <v>35</v>
      </c>
      <c r="G186" s="3" t="s">
        <v>2572</v>
      </c>
      <c r="H186" s="3"/>
      <c r="I186" s="3" t="s">
        <v>2573</v>
      </c>
      <c r="J186" s="3">
        <v>11</v>
      </c>
      <c r="K186" s="3">
        <v>11</v>
      </c>
      <c r="L186" s="3">
        <v>0</v>
      </c>
      <c r="M186" s="3">
        <v>0</v>
      </c>
      <c r="N186" s="3">
        <v>11</v>
      </c>
      <c r="O186" s="3">
        <v>0.25</v>
      </c>
      <c r="P186" s="3">
        <v>0</v>
      </c>
      <c r="Q186" s="3">
        <v>0</v>
      </c>
      <c r="R186" s="3">
        <v>0</v>
      </c>
    </row>
    <row r="187" spans="1:18">
      <c r="A187" s="3" t="s">
        <v>1999</v>
      </c>
      <c r="B187" s="3" t="s">
        <v>2000</v>
      </c>
      <c r="C187" s="3" t="s">
        <v>2001</v>
      </c>
      <c r="D187" s="3" t="s">
        <v>2002</v>
      </c>
      <c r="E187" s="3" t="s">
        <v>340</v>
      </c>
      <c r="F187" s="3">
        <v>35</v>
      </c>
      <c r="G187" s="3" t="s">
        <v>2572</v>
      </c>
      <c r="H187" s="3"/>
      <c r="I187" s="3" t="s">
        <v>2573</v>
      </c>
      <c r="J187" s="3">
        <v>3</v>
      </c>
      <c r="K187" s="3">
        <v>3</v>
      </c>
      <c r="L187" s="3">
        <v>0</v>
      </c>
      <c r="M187" s="3">
        <v>0</v>
      </c>
      <c r="N187" s="3">
        <v>3</v>
      </c>
      <c r="O187" s="3">
        <v>0.14</v>
      </c>
      <c r="P187" s="3">
        <v>0</v>
      </c>
      <c r="Q187" s="3">
        <v>0</v>
      </c>
      <c r="R187" s="3">
        <v>0</v>
      </c>
    </row>
    <row r="188" spans="1:18">
      <c r="A188" s="3" t="s">
        <v>1345</v>
      </c>
      <c r="B188" s="3" t="s">
        <v>1346</v>
      </c>
      <c r="C188" s="3" t="s">
        <v>1347</v>
      </c>
      <c r="D188" s="3" t="s">
        <v>1348</v>
      </c>
      <c r="E188" s="3" t="s">
        <v>340</v>
      </c>
      <c r="F188" s="3">
        <v>35</v>
      </c>
      <c r="G188" s="3" t="s">
        <v>2572</v>
      </c>
      <c r="H188" s="3"/>
      <c r="I188" s="3" t="s">
        <v>2573</v>
      </c>
      <c r="J188" s="3">
        <v>4</v>
      </c>
      <c r="K188" s="3">
        <v>4</v>
      </c>
      <c r="L188" s="3">
        <v>0</v>
      </c>
      <c r="M188" s="3">
        <v>0</v>
      </c>
      <c r="N188" s="3">
        <v>4</v>
      </c>
      <c r="O188" s="3">
        <v>0.19</v>
      </c>
      <c r="P188" s="3">
        <v>0</v>
      </c>
      <c r="Q188" s="3">
        <v>0</v>
      </c>
      <c r="R188" s="3">
        <v>0</v>
      </c>
    </row>
    <row r="189" spans="1:18">
      <c r="A189" s="3" t="s">
        <v>587</v>
      </c>
      <c r="B189" s="3" t="s">
        <v>588</v>
      </c>
      <c r="C189" s="3" t="s">
        <v>589</v>
      </c>
      <c r="D189" s="3" t="s">
        <v>590</v>
      </c>
      <c r="E189" s="3" t="s">
        <v>340</v>
      </c>
      <c r="F189" s="3">
        <v>35</v>
      </c>
      <c r="G189" s="3" t="s">
        <v>2572</v>
      </c>
      <c r="H189" s="3"/>
      <c r="I189" s="3" t="s">
        <v>2573</v>
      </c>
      <c r="J189" s="3">
        <v>6</v>
      </c>
      <c r="K189" s="3">
        <v>6</v>
      </c>
      <c r="L189" s="3">
        <v>0</v>
      </c>
      <c r="M189" s="3">
        <v>0</v>
      </c>
      <c r="N189" s="3">
        <v>6</v>
      </c>
      <c r="O189" s="3">
        <v>0.27</v>
      </c>
      <c r="P189" s="3">
        <v>0</v>
      </c>
      <c r="Q189" s="3">
        <v>0</v>
      </c>
      <c r="R189" s="3">
        <v>0</v>
      </c>
    </row>
    <row r="190" spans="1:18">
      <c r="A190" s="3" t="s">
        <v>2396</v>
      </c>
      <c r="B190" s="3" t="s">
        <v>2397</v>
      </c>
      <c r="C190" s="3" t="s">
        <v>2398</v>
      </c>
      <c r="D190" s="3" t="s">
        <v>2399</v>
      </c>
      <c r="E190" s="3" t="s">
        <v>340</v>
      </c>
      <c r="F190" s="3">
        <v>35</v>
      </c>
      <c r="G190" s="3" t="s">
        <v>2572</v>
      </c>
      <c r="H190" s="3"/>
      <c r="I190" s="3" t="s">
        <v>2573</v>
      </c>
      <c r="J190" s="3">
        <v>9</v>
      </c>
      <c r="K190" s="3">
        <v>9</v>
      </c>
      <c r="L190" s="3">
        <v>0</v>
      </c>
      <c r="M190" s="3">
        <v>0</v>
      </c>
      <c r="N190" s="3">
        <v>9</v>
      </c>
      <c r="O190" s="3">
        <v>0.13</v>
      </c>
      <c r="P190" s="3">
        <v>0</v>
      </c>
      <c r="Q190" s="3">
        <v>0</v>
      </c>
      <c r="R190" s="3">
        <v>0</v>
      </c>
    </row>
    <row r="191" spans="1:18">
      <c r="A191" s="3" t="s">
        <v>1008</v>
      </c>
      <c r="B191" s="3" t="s">
        <v>1009</v>
      </c>
      <c r="C191" s="3" t="s">
        <v>1010</v>
      </c>
      <c r="D191" s="3" t="s">
        <v>1011</v>
      </c>
      <c r="E191" s="3" t="s">
        <v>340</v>
      </c>
      <c r="F191" s="3">
        <v>35</v>
      </c>
      <c r="G191" s="3" t="s">
        <v>2572</v>
      </c>
      <c r="H191" s="3"/>
      <c r="I191" s="3" t="s">
        <v>2573</v>
      </c>
      <c r="J191" s="3">
        <v>6</v>
      </c>
      <c r="K191" s="3">
        <v>6</v>
      </c>
      <c r="L191" s="3">
        <v>0</v>
      </c>
      <c r="M191" s="3">
        <v>0</v>
      </c>
      <c r="N191" s="3">
        <v>6</v>
      </c>
      <c r="O191" s="3">
        <v>0.13</v>
      </c>
      <c r="P191" s="3">
        <v>0</v>
      </c>
      <c r="Q191" s="3">
        <v>0</v>
      </c>
      <c r="R191" s="3">
        <v>0</v>
      </c>
    </row>
    <row r="192" spans="1:18">
      <c r="A192" s="3" t="s">
        <v>632</v>
      </c>
      <c r="B192" s="3" t="s">
        <v>633</v>
      </c>
      <c r="C192" s="3" t="s">
        <v>634</v>
      </c>
      <c r="D192" s="3" t="s">
        <v>635</v>
      </c>
      <c r="E192" s="3" t="s">
        <v>340</v>
      </c>
      <c r="F192" s="3">
        <v>35</v>
      </c>
      <c r="G192" s="3" t="s">
        <v>2572</v>
      </c>
      <c r="H192" s="3"/>
      <c r="I192" s="3" t="s">
        <v>2573</v>
      </c>
      <c r="J192" s="3">
        <v>5</v>
      </c>
      <c r="K192" s="3">
        <v>5</v>
      </c>
      <c r="L192" s="3">
        <v>0</v>
      </c>
      <c r="M192" s="3">
        <v>0</v>
      </c>
      <c r="N192" s="3">
        <v>5</v>
      </c>
      <c r="O192" s="3">
        <v>0.21</v>
      </c>
      <c r="P192" s="3">
        <v>0</v>
      </c>
      <c r="Q192" s="3">
        <v>0</v>
      </c>
      <c r="R192" s="3">
        <v>0</v>
      </c>
    </row>
    <row r="193" spans="1:18">
      <c r="A193" s="3" t="s">
        <v>2672</v>
      </c>
      <c r="B193" s="3" t="s">
        <v>2673</v>
      </c>
      <c r="C193" s="3" t="s">
        <v>2674</v>
      </c>
      <c r="D193" s="3" t="s">
        <v>2675</v>
      </c>
      <c r="E193" s="3" t="s">
        <v>340</v>
      </c>
      <c r="F193" s="3">
        <v>35</v>
      </c>
      <c r="G193" s="3" t="s">
        <v>2572</v>
      </c>
      <c r="H193" s="3"/>
      <c r="I193" s="3" t="s">
        <v>2573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0.08</v>
      </c>
      <c r="P193" s="3">
        <v>0</v>
      </c>
      <c r="Q193" s="3">
        <v>0</v>
      </c>
      <c r="R193" s="3">
        <v>0</v>
      </c>
    </row>
    <row r="194" spans="1:18">
      <c r="A194" s="3" t="s">
        <v>1322</v>
      </c>
      <c r="B194" s="3" t="s">
        <v>1323</v>
      </c>
      <c r="C194" s="3" t="s">
        <v>1324</v>
      </c>
      <c r="D194" s="3" t="s">
        <v>1325</v>
      </c>
      <c r="E194" s="3" t="s">
        <v>340</v>
      </c>
      <c r="F194" s="3">
        <v>35</v>
      </c>
      <c r="G194" s="3" t="s">
        <v>2572</v>
      </c>
      <c r="H194" s="3"/>
      <c r="I194" s="3" t="s">
        <v>2573</v>
      </c>
      <c r="J194" s="3">
        <v>1</v>
      </c>
      <c r="K194" s="3">
        <v>1</v>
      </c>
      <c r="L194" s="3">
        <v>0</v>
      </c>
      <c r="M194" s="3">
        <v>0</v>
      </c>
      <c r="N194" s="3">
        <v>1</v>
      </c>
      <c r="O194" s="3">
        <v>0.08</v>
      </c>
      <c r="P194" s="3">
        <v>0</v>
      </c>
      <c r="Q194" s="3">
        <v>0</v>
      </c>
      <c r="R194" s="3">
        <v>0</v>
      </c>
    </row>
    <row r="195" spans="1:18">
      <c r="A195" s="3" t="s">
        <v>2676</v>
      </c>
      <c r="B195" s="3" t="s">
        <v>2677</v>
      </c>
      <c r="C195" s="3" t="s">
        <v>2678</v>
      </c>
      <c r="D195" s="3" t="s">
        <v>2675</v>
      </c>
      <c r="E195" s="3" t="s">
        <v>340</v>
      </c>
      <c r="F195" s="3">
        <v>35</v>
      </c>
      <c r="G195" s="3" t="s">
        <v>2572</v>
      </c>
      <c r="H195" s="3"/>
      <c r="I195" s="3" t="s">
        <v>2573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0.08</v>
      </c>
      <c r="P195" s="3">
        <v>0</v>
      </c>
      <c r="Q195" s="3">
        <v>0</v>
      </c>
      <c r="R195" s="3">
        <v>0</v>
      </c>
    </row>
    <row r="196" spans="1:18">
      <c r="A196" s="3" t="s">
        <v>33</v>
      </c>
      <c r="B196" s="3" t="s">
        <v>34</v>
      </c>
      <c r="C196" s="3" t="s">
        <v>35</v>
      </c>
      <c r="D196" s="3" t="s">
        <v>22</v>
      </c>
      <c r="E196" s="3" t="s">
        <v>340</v>
      </c>
      <c r="F196" s="3">
        <v>35</v>
      </c>
      <c r="G196" s="3" t="s">
        <v>2572</v>
      </c>
      <c r="H196" s="3"/>
      <c r="I196" s="3" t="s">
        <v>2573</v>
      </c>
      <c r="J196" s="3">
        <v>4</v>
      </c>
      <c r="K196" s="3">
        <v>2</v>
      </c>
      <c r="L196" s="3">
        <v>0</v>
      </c>
      <c r="M196" s="3">
        <v>2</v>
      </c>
      <c r="N196" s="3">
        <v>9</v>
      </c>
      <c r="O196" s="3">
        <v>0.1</v>
      </c>
      <c r="P196" s="3">
        <v>0</v>
      </c>
      <c r="Q196" s="3">
        <v>5</v>
      </c>
      <c r="R196" s="3">
        <v>0</v>
      </c>
    </row>
    <row r="197" spans="1:18">
      <c r="A197" s="3" t="s">
        <v>26</v>
      </c>
      <c r="B197" s="3" t="s">
        <v>27</v>
      </c>
      <c r="C197" s="3" t="s">
        <v>28</v>
      </c>
      <c r="D197" s="3" t="s">
        <v>22</v>
      </c>
      <c r="E197" s="3" t="s">
        <v>340</v>
      </c>
      <c r="F197" s="3">
        <v>35</v>
      </c>
      <c r="G197" s="3" t="s">
        <v>2572</v>
      </c>
      <c r="H197" s="3"/>
      <c r="I197" s="3" t="s">
        <v>2573</v>
      </c>
      <c r="J197" s="3">
        <v>2</v>
      </c>
      <c r="K197" s="3">
        <v>0</v>
      </c>
      <c r="L197" s="3">
        <v>1</v>
      </c>
      <c r="M197" s="3">
        <v>1</v>
      </c>
      <c r="N197" s="3">
        <v>2</v>
      </c>
      <c r="O197" s="3">
        <v>0.1</v>
      </c>
      <c r="P197" s="3">
        <v>0</v>
      </c>
      <c r="Q197" s="3">
        <v>0</v>
      </c>
      <c r="R197" s="3">
        <v>0</v>
      </c>
    </row>
    <row r="198" spans="1:18">
      <c r="A198" s="3" t="s">
        <v>1891</v>
      </c>
      <c r="B198" s="3" t="s">
        <v>1892</v>
      </c>
      <c r="C198" s="3" t="s">
        <v>1893</v>
      </c>
      <c r="D198" s="3" t="s">
        <v>22</v>
      </c>
      <c r="E198" s="3" t="s">
        <v>340</v>
      </c>
      <c r="F198" s="3">
        <v>35</v>
      </c>
      <c r="G198" s="3" t="s">
        <v>2572</v>
      </c>
      <c r="H198" s="3"/>
      <c r="I198" s="3" t="s">
        <v>2573</v>
      </c>
      <c r="J198" s="3">
        <v>1</v>
      </c>
      <c r="K198" s="3">
        <v>0</v>
      </c>
      <c r="L198" s="3">
        <v>1</v>
      </c>
      <c r="M198" s="3">
        <v>0</v>
      </c>
      <c r="N198" s="3">
        <v>16</v>
      </c>
      <c r="O198" s="3">
        <v>0.1</v>
      </c>
      <c r="P198" s="3">
        <v>0</v>
      </c>
      <c r="Q198" s="3">
        <v>15</v>
      </c>
      <c r="R198" s="3">
        <v>0</v>
      </c>
    </row>
    <row r="199" spans="1:18">
      <c r="A199" s="3" t="s">
        <v>19</v>
      </c>
      <c r="B199" s="3" t="s">
        <v>20</v>
      </c>
      <c r="C199" s="3" t="s">
        <v>21</v>
      </c>
      <c r="D199" s="3" t="s">
        <v>22</v>
      </c>
      <c r="E199" s="3" t="s">
        <v>340</v>
      </c>
      <c r="F199" s="3">
        <v>35</v>
      </c>
      <c r="G199" s="3" t="s">
        <v>2572</v>
      </c>
      <c r="H199" s="3"/>
      <c r="I199" s="3" t="s">
        <v>2573</v>
      </c>
      <c r="J199" s="3">
        <v>4</v>
      </c>
      <c r="K199" s="3">
        <v>0</v>
      </c>
      <c r="L199" s="3">
        <v>1</v>
      </c>
      <c r="M199" s="3">
        <v>3</v>
      </c>
      <c r="N199" s="3">
        <v>4</v>
      </c>
      <c r="O199" s="3">
        <v>0.1</v>
      </c>
      <c r="P199" s="3">
        <v>0</v>
      </c>
      <c r="Q199" s="3">
        <v>0</v>
      </c>
      <c r="R199" s="3">
        <v>0</v>
      </c>
    </row>
    <row r="200" spans="1:18">
      <c r="A200" s="3" t="s">
        <v>2437</v>
      </c>
      <c r="B200" s="3" t="s">
        <v>2438</v>
      </c>
      <c r="C200" s="3" t="s">
        <v>2439</v>
      </c>
      <c r="D200" s="3" t="s">
        <v>22</v>
      </c>
      <c r="E200" s="3" t="s">
        <v>340</v>
      </c>
      <c r="F200" s="3">
        <v>35</v>
      </c>
      <c r="G200" s="3" t="s">
        <v>2572</v>
      </c>
      <c r="H200" s="3"/>
      <c r="I200" s="3" t="s">
        <v>2573</v>
      </c>
      <c r="J200" s="3">
        <v>4</v>
      </c>
      <c r="K200" s="3">
        <v>4</v>
      </c>
      <c r="L200" s="3">
        <v>0</v>
      </c>
      <c r="M200" s="3">
        <v>0</v>
      </c>
      <c r="N200" s="3">
        <v>4</v>
      </c>
      <c r="O200" s="3">
        <v>0.1</v>
      </c>
      <c r="P200" s="3">
        <v>0</v>
      </c>
      <c r="Q200" s="3">
        <v>0</v>
      </c>
      <c r="R200" s="3">
        <v>0</v>
      </c>
    </row>
    <row r="201" spans="1:18">
      <c r="A201" s="3" t="s">
        <v>29</v>
      </c>
      <c r="B201" s="3" t="s">
        <v>30</v>
      </c>
      <c r="C201" s="3" t="s">
        <v>31</v>
      </c>
      <c r="D201" s="3" t="s">
        <v>32</v>
      </c>
      <c r="E201" s="3" t="s">
        <v>340</v>
      </c>
      <c r="F201" s="3">
        <v>35</v>
      </c>
      <c r="G201" s="3" t="s">
        <v>2572</v>
      </c>
      <c r="H201" s="3"/>
      <c r="I201" s="3" t="s">
        <v>2573</v>
      </c>
      <c r="J201" s="3">
        <v>3</v>
      </c>
      <c r="K201" s="3">
        <v>2</v>
      </c>
      <c r="L201" s="3">
        <v>0</v>
      </c>
      <c r="M201" s="3">
        <v>1</v>
      </c>
      <c r="N201" s="3">
        <v>3</v>
      </c>
      <c r="O201" s="3">
        <v>0.1</v>
      </c>
      <c r="P201" s="3">
        <v>0</v>
      </c>
      <c r="Q201" s="3">
        <v>0</v>
      </c>
      <c r="R201" s="3">
        <v>0</v>
      </c>
    </row>
    <row r="202" spans="1:18">
      <c r="A202" s="3" t="s">
        <v>1729</v>
      </c>
      <c r="B202" s="3" t="s">
        <v>1730</v>
      </c>
      <c r="C202" s="3" t="s">
        <v>1731</v>
      </c>
      <c r="D202" s="3" t="s">
        <v>22</v>
      </c>
      <c r="E202" s="3" t="s">
        <v>340</v>
      </c>
      <c r="F202" s="3">
        <v>35</v>
      </c>
      <c r="G202" s="3" t="s">
        <v>2572</v>
      </c>
      <c r="H202" s="3"/>
      <c r="I202" s="3" t="s">
        <v>2573</v>
      </c>
      <c r="J202" s="3">
        <v>7</v>
      </c>
      <c r="K202" s="3">
        <v>7</v>
      </c>
      <c r="L202" s="3">
        <v>0</v>
      </c>
      <c r="M202" s="3">
        <v>0</v>
      </c>
      <c r="N202" s="3">
        <v>7</v>
      </c>
      <c r="O202" s="3">
        <v>0.1</v>
      </c>
      <c r="P202" s="3">
        <v>0</v>
      </c>
      <c r="Q202" s="3">
        <v>0</v>
      </c>
      <c r="R202" s="3">
        <v>0</v>
      </c>
    </row>
    <row r="203" spans="1:18">
      <c r="A203" s="3" t="s">
        <v>949</v>
      </c>
      <c r="B203" s="3" t="s">
        <v>950</v>
      </c>
      <c r="C203" s="3" t="s">
        <v>951</v>
      </c>
      <c r="D203" s="3" t="s">
        <v>22</v>
      </c>
      <c r="E203" s="3" t="s">
        <v>340</v>
      </c>
      <c r="F203" s="3">
        <v>35</v>
      </c>
      <c r="G203" s="3" t="s">
        <v>2572</v>
      </c>
      <c r="H203" s="3"/>
      <c r="I203" s="3" t="s">
        <v>2573</v>
      </c>
      <c r="J203" s="3">
        <v>3</v>
      </c>
      <c r="K203" s="3">
        <v>3</v>
      </c>
      <c r="L203" s="3">
        <v>0</v>
      </c>
      <c r="M203" s="3">
        <v>0</v>
      </c>
      <c r="N203" s="3">
        <v>3</v>
      </c>
      <c r="O203" s="3">
        <v>0.1</v>
      </c>
      <c r="P203" s="3">
        <v>0</v>
      </c>
      <c r="Q203" s="3">
        <v>0</v>
      </c>
      <c r="R203" s="3">
        <v>0</v>
      </c>
    </row>
    <row r="204" spans="1:18">
      <c r="A204" s="3" t="s">
        <v>2679</v>
      </c>
      <c r="B204" s="3" t="s">
        <v>2680</v>
      </c>
      <c r="C204" s="3" t="s">
        <v>2681</v>
      </c>
      <c r="D204" s="3" t="s">
        <v>22</v>
      </c>
      <c r="E204" s="3" t="s">
        <v>340</v>
      </c>
      <c r="F204" s="3">
        <v>35</v>
      </c>
      <c r="G204" s="3" t="s">
        <v>2572</v>
      </c>
      <c r="H204" s="3"/>
      <c r="I204" s="3" t="s">
        <v>2573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0.1</v>
      </c>
      <c r="P204" s="3">
        <v>0</v>
      </c>
      <c r="Q204" s="3">
        <v>0</v>
      </c>
      <c r="R204" s="3">
        <v>0</v>
      </c>
    </row>
    <row r="205" spans="1:18">
      <c r="A205" s="3" t="s">
        <v>23</v>
      </c>
      <c r="B205" s="3" t="s">
        <v>24</v>
      </c>
      <c r="C205" s="3" t="s">
        <v>25</v>
      </c>
      <c r="D205" s="3" t="s">
        <v>22</v>
      </c>
      <c r="E205" s="3" t="s">
        <v>340</v>
      </c>
      <c r="F205" s="3">
        <v>35</v>
      </c>
      <c r="G205" s="3" t="s">
        <v>2572</v>
      </c>
      <c r="H205" s="3"/>
      <c r="I205" s="3" t="s">
        <v>2573</v>
      </c>
      <c r="J205" s="3">
        <v>11</v>
      </c>
      <c r="K205" s="3">
        <v>9</v>
      </c>
      <c r="L205" s="3">
        <v>0</v>
      </c>
      <c r="M205" s="3">
        <v>2</v>
      </c>
      <c r="N205" s="3">
        <v>11</v>
      </c>
      <c r="O205" s="3">
        <v>0.1</v>
      </c>
      <c r="P205" s="3">
        <v>0</v>
      </c>
      <c r="Q205" s="3">
        <v>0</v>
      </c>
      <c r="R205" s="3">
        <v>0</v>
      </c>
    </row>
    <row r="206" spans="1:18">
      <c r="A206" s="3" t="s">
        <v>1467</v>
      </c>
      <c r="B206" s="3" t="s">
        <v>1468</v>
      </c>
      <c r="C206" s="3" t="s">
        <v>1469</v>
      </c>
      <c r="D206" s="3" t="s">
        <v>22</v>
      </c>
      <c r="E206" s="3" t="s">
        <v>340</v>
      </c>
      <c r="F206" s="3">
        <v>35</v>
      </c>
      <c r="G206" s="3" t="s">
        <v>2572</v>
      </c>
      <c r="H206" s="3"/>
      <c r="I206" s="3" t="s">
        <v>2573</v>
      </c>
      <c r="J206" s="3">
        <v>8</v>
      </c>
      <c r="K206" s="3">
        <v>8</v>
      </c>
      <c r="L206" s="3">
        <v>0</v>
      </c>
      <c r="M206" s="3">
        <v>0</v>
      </c>
      <c r="N206" s="3">
        <v>8</v>
      </c>
      <c r="O206" s="3">
        <v>0.1</v>
      </c>
      <c r="P206" s="3">
        <v>0</v>
      </c>
      <c r="Q206" s="3">
        <v>0</v>
      </c>
      <c r="R206" s="3">
        <v>0</v>
      </c>
    </row>
    <row r="207" spans="1:18">
      <c r="A207" s="3" t="s">
        <v>36</v>
      </c>
      <c r="B207" s="3" t="s">
        <v>37</v>
      </c>
      <c r="C207" s="3" t="s">
        <v>38</v>
      </c>
      <c r="D207" s="3" t="s">
        <v>22</v>
      </c>
      <c r="E207" s="3" t="s">
        <v>340</v>
      </c>
      <c r="F207" s="3">
        <v>35</v>
      </c>
      <c r="G207" s="3" t="s">
        <v>2572</v>
      </c>
      <c r="H207" s="3"/>
      <c r="I207" s="3" t="s">
        <v>2573</v>
      </c>
      <c r="J207" s="3">
        <v>8</v>
      </c>
      <c r="K207" s="3">
        <v>7</v>
      </c>
      <c r="L207" s="3">
        <v>0</v>
      </c>
      <c r="M207" s="3">
        <v>1</v>
      </c>
      <c r="N207" s="3">
        <v>8</v>
      </c>
      <c r="O207" s="3">
        <v>0.1</v>
      </c>
      <c r="P207" s="3">
        <v>0</v>
      </c>
      <c r="Q207" s="3">
        <v>0</v>
      </c>
      <c r="R207" s="3">
        <v>0</v>
      </c>
    </row>
    <row r="208" spans="1:18">
      <c r="A208" s="3" t="s">
        <v>1076</v>
      </c>
      <c r="B208" s="3" t="s">
        <v>1077</v>
      </c>
      <c r="C208" s="3" t="s">
        <v>1078</v>
      </c>
      <c r="D208" s="3" t="s">
        <v>22</v>
      </c>
      <c r="E208" s="3" t="s">
        <v>340</v>
      </c>
      <c r="F208" s="3">
        <v>35</v>
      </c>
      <c r="G208" s="3" t="s">
        <v>2572</v>
      </c>
      <c r="H208" s="3"/>
      <c r="I208" s="3" t="s">
        <v>2573</v>
      </c>
      <c r="J208" s="3">
        <v>11</v>
      </c>
      <c r="K208" s="3">
        <v>10</v>
      </c>
      <c r="L208" s="3">
        <v>1</v>
      </c>
      <c r="M208" s="3">
        <v>0</v>
      </c>
      <c r="N208" s="3">
        <v>11</v>
      </c>
      <c r="O208" s="3">
        <v>0.1</v>
      </c>
      <c r="P208" s="3">
        <v>0</v>
      </c>
      <c r="Q208" s="3">
        <v>0</v>
      </c>
      <c r="R208" s="3">
        <v>0</v>
      </c>
    </row>
    <row r="209" spans="1:18">
      <c r="A209" s="3" t="s">
        <v>1477</v>
      </c>
      <c r="B209" s="3" t="s">
        <v>1478</v>
      </c>
      <c r="C209" s="3" t="s">
        <v>1479</v>
      </c>
      <c r="D209" s="3" t="s">
        <v>22</v>
      </c>
      <c r="E209" s="3" t="s">
        <v>340</v>
      </c>
      <c r="F209" s="3">
        <v>35</v>
      </c>
      <c r="G209" s="3" t="s">
        <v>2572</v>
      </c>
      <c r="H209" s="3"/>
      <c r="I209" s="3" t="s">
        <v>2573</v>
      </c>
      <c r="J209" s="3">
        <v>6</v>
      </c>
      <c r="K209" s="3">
        <v>6</v>
      </c>
      <c r="L209" s="3">
        <v>0</v>
      </c>
      <c r="M209" s="3">
        <v>0</v>
      </c>
      <c r="N209" s="3">
        <v>6</v>
      </c>
      <c r="O209" s="3">
        <v>0.1</v>
      </c>
      <c r="P209" s="3">
        <v>0</v>
      </c>
      <c r="Q209" s="3">
        <v>0</v>
      </c>
      <c r="R209" s="3">
        <v>0</v>
      </c>
    </row>
    <row r="210" spans="1:18">
      <c r="A210" s="3" t="s">
        <v>1222</v>
      </c>
      <c r="B210" s="3" t="s">
        <v>1223</v>
      </c>
      <c r="C210" s="3" t="s">
        <v>1224</v>
      </c>
      <c r="D210" s="3" t="s">
        <v>22</v>
      </c>
      <c r="E210" s="3" t="s">
        <v>340</v>
      </c>
      <c r="F210" s="3">
        <v>35</v>
      </c>
      <c r="G210" s="3" t="s">
        <v>2572</v>
      </c>
      <c r="H210" s="3"/>
      <c r="I210" s="3" t="s">
        <v>2573</v>
      </c>
      <c r="J210" s="3">
        <v>1</v>
      </c>
      <c r="K210" s="3">
        <v>1</v>
      </c>
      <c r="L210" s="3">
        <v>0</v>
      </c>
      <c r="M210" s="3">
        <v>0</v>
      </c>
      <c r="N210" s="3">
        <v>1</v>
      </c>
      <c r="O210" s="3">
        <v>0.1</v>
      </c>
      <c r="P210" s="3">
        <v>0</v>
      </c>
      <c r="Q210" s="3">
        <v>0</v>
      </c>
      <c r="R210" s="3">
        <v>0</v>
      </c>
    </row>
    <row r="211" spans="1:18">
      <c r="A211" s="3" t="s">
        <v>418</v>
      </c>
      <c r="B211" s="3" t="s">
        <v>419</v>
      </c>
      <c r="C211" s="3" t="s">
        <v>420</v>
      </c>
      <c r="D211" s="3" t="s">
        <v>22</v>
      </c>
      <c r="E211" s="3" t="s">
        <v>340</v>
      </c>
      <c r="F211" s="3">
        <v>35</v>
      </c>
      <c r="G211" s="3" t="s">
        <v>2572</v>
      </c>
      <c r="H211" s="3"/>
      <c r="I211" s="3" t="s">
        <v>2573</v>
      </c>
      <c r="J211" s="3">
        <v>5</v>
      </c>
      <c r="K211" s="3">
        <v>5</v>
      </c>
      <c r="L211" s="3">
        <v>0</v>
      </c>
      <c r="M211" s="3">
        <v>0</v>
      </c>
      <c r="N211" s="3">
        <v>5</v>
      </c>
      <c r="O211" s="3">
        <v>0.1</v>
      </c>
      <c r="P211" s="3">
        <v>0</v>
      </c>
      <c r="Q211" s="3">
        <v>0</v>
      </c>
      <c r="R211" s="3">
        <v>0</v>
      </c>
    </row>
    <row r="212" spans="1:18">
      <c r="A212" s="3" t="s">
        <v>2007</v>
      </c>
      <c r="B212" s="3" t="s">
        <v>2008</v>
      </c>
      <c r="C212" s="3" t="s">
        <v>2009</v>
      </c>
      <c r="D212" s="3" t="s">
        <v>2010</v>
      </c>
      <c r="E212" s="3" t="s">
        <v>340</v>
      </c>
      <c r="F212" s="3">
        <v>35</v>
      </c>
      <c r="G212" s="3" t="s">
        <v>2572</v>
      </c>
      <c r="H212" s="3"/>
      <c r="I212" s="3" t="s">
        <v>2573</v>
      </c>
      <c r="J212" s="3">
        <v>1</v>
      </c>
      <c r="K212" s="3">
        <v>1</v>
      </c>
      <c r="L212" s="3">
        <v>0</v>
      </c>
      <c r="M212" s="3">
        <v>0</v>
      </c>
      <c r="N212" s="3">
        <v>1</v>
      </c>
      <c r="O212" s="3">
        <v>0.09</v>
      </c>
      <c r="P212" s="3">
        <v>0</v>
      </c>
      <c r="Q212" s="3">
        <v>0</v>
      </c>
      <c r="R212" s="3">
        <v>0</v>
      </c>
    </row>
    <row r="213" spans="1:18">
      <c r="A213" s="3" t="s">
        <v>1996</v>
      </c>
      <c r="B213" s="3" t="s">
        <v>1997</v>
      </c>
      <c r="C213" s="3" t="s">
        <v>1998</v>
      </c>
      <c r="D213" s="3" t="s">
        <v>916</v>
      </c>
      <c r="E213" s="3" t="s">
        <v>340</v>
      </c>
      <c r="F213" s="3">
        <v>35</v>
      </c>
      <c r="G213" s="3" t="s">
        <v>2572</v>
      </c>
      <c r="H213" s="3"/>
      <c r="I213" s="3" t="s">
        <v>2573</v>
      </c>
      <c r="J213" s="3">
        <v>1</v>
      </c>
      <c r="K213" s="3">
        <v>1</v>
      </c>
      <c r="L213" s="3">
        <v>0</v>
      </c>
      <c r="M213" s="3">
        <v>0</v>
      </c>
      <c r="N213" s="3">
        <v>1</v>
      </c>
      <c r="O213" s="3">
        <v>0.07</v>
      </c>
      <c r="P213" s="3">
        <v>0</v>
      </c>
      <c r="Q213" s="3">
        <v>0</v>
      </c>
      <c r="R213" s="3">
        <v>0</v>
      </c>
    </row>
    <row r="214" spans="1:18">
      <c r="A214" s="3" t="s">
        <v>975</v>
      </c>
      <c r="B214" s="3" t="s">
        <v>976</v>
      </c>
      <c r="C214" s="3" t="s">
        <v>977</v>
      </c>
      <c r="D214" s="3" t="s">
        <v>916</v>
      </c>
      <c r="E214" s="3" t="s">
        <v>340</v>
      </c>
      <c r="F214" s="3">
        <v>35</v>
      </c>
      <c r="G214" s="3" t="s">
        <v>2572</v>
      </c>
      <c r="H214" s="3"/>
      <c r="I214" s="3" t="s">
        <v>2573</v>
      </c>
      <c r="J214" s="3">
        <v>1</v>
      </c>
      <c r="K214" s="3">
        <v>1</v>
      </c>
      <c r="L214" s="3">
        <v>0</v>
      </c>
      <c r="M214" s="3">
        <v>0</v>
      </c>
      <c r="N214" s="3">
        <v>1</v>
      </c>
      <c r="O214" s="3">
        <v>0.07</v>
      </c>
      <c r="P214" s="3">
        <v>0</v>
      </c>
      <c r="Q214" s="3">
        <v>0</v>
      </c>
      <c r="R214" s="3">
        <v>0</v>
      </c>
    </row>
    <row r="215" spans="1:18">
      <c r="A215" s="3" t="s">
        <v>1696</v>
      </c>
      <c r="B215" s="3" t="s">
        <v>1697</v>
      </c>
      <c r="C215" s="3" t="s">
        <v>1698</v>
      </c>
      <c r="D215" s="3" t="s">
        <v>1699</v>
      </c>
      <c r="E215" s="3" t="s">
        <v>340</v>
      </c>
      <c r="F215" s="3">
        <v>35</v>
      </c>
      <c r="G215" s="3" t="s">
        <v>2572</v>
      </c>
      <c r="H215" s="3"/>
      <c r="I215" s="3" t="s">
        <v>2573</v>
      </c>
      <c r="J215" s="3">
        <v>1</v>
      </c>
      <c r="K215" s="3">
        <v>1</v>
      </c>
      <c r="L215" s="3">
        <v>0</v>
      </c>
      <c r="M215" s="3">
        <v>0</v>
      </c>
      <c r="N215" s="3">
        <v>1</v>
      </c>
      <c r="O215" s="3">
        <v>0.07</v>
      </c>
      <c r="P215" s="3">
        <v>0</v>
      </c>
      <c r="Q215" s="3">
        <v>0</v>
      </c>
      <c r="R215" s="3">
        <v>0</v>
      </c>
    </row>
    <row r="216" spans="1:18">
      <c r="A216" s="3" t="s">
        <v>913</v>
      </c>
      <c r="B216" s="3" t="s">
        <v>914</v>
      </c>
      <c r="C216" s="3" t="s">
        <v>915</v>
      </c>
      <c r="D216" s="3" t="s">
        <v>916</v>
      </c>
      <c r="E216" s="3" t="s">
        <v>340</v>
      </c>
      <c r="F216" s="3">
        <v>35</v>
      </c>
      <c r="G216" s="3" t="s">
        <v>2572</v>
      </c>
      <c r="H216" s="3"/>
      <c r="I216" s="3" t="s">
        <v>2573</v>
      </c>
      <c r="J216" s="3">
        <v>1</v>
      </c>
      <c r="K216" s="3">
        <v>1</v>
      </c>
      <c r="L216" s="3">
        <v>0</v>
      </c>
      <c r="M216" s="3">
        <v>0</v>
      </c>
      <c r="N216" s="3">
        <v>1</v>
      </c>
      <c r="O216" s="3">
        <v>0.07</v>
      </c>
      <c r="P216" s="3">
        <v>0</v>
      </c>
      <c r="Q216" s="3">
        <v>0</v>
      </c>
      <c r="R216" s="3">
        <v>0</v>
      </c>
    </row>
    <row r="217" spans="1:18">
      <c r="A217" s="3" t="s">
        <v>2682</v>
      </c>
      <c r="B217" s="3" t="s">
        <v>2683</v>
      </c>
      <c r="C217" s="3" t="s">
        <v>2684</v>
      </c>
      <c r="D217" s="3" t="s">
        <v>2685</v>
      </c>
      <c r="E217" s="3" t="s">
        <v>340</v>
      </c>
      <c r="F217" s="3">
        <v>35</v>
      </c>
      <c r="G217" s="3" t="s">
        <v>2572</v>
      </c>
      <c r="H217" s="3"/>
      <c r="I217" s="3" t="s">
        <v>2573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0.08</v>
      </c>
      <c r="P217" s="3">
        <v>0</v>
      </c>
      <c r="Q217" s="3">
        <v>0</v>
      </c>
      <c r="R217" s="3">
        <v>0</v>
      </c>
    </row>
    <row r="218" spans="1:18">
      <c r="A218" s="3" t="s">
        <v>2686</v>
      </c>
      <c r="B218" s="3" t="s">
        <v>2687</v>
      </c>
      <c r="C218" s="3" t="s">
        <v>2688</v>
      </c>
      <c r="D218" s="3" t="s">
        <v>2689</v>
      </c>
      <c r="E218" s="3" t="s">
        <v>340</v>
      </c>
      <c r="F218" s="3">
        <v>35</v>
      </c>
      <c r="G218" s="3" t="s">
        <v>2572</v>
      </c>
      <c r="H218" s="3"/>
      <c r="I218" s="3" t="s">
        <v>2573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0.1</v>
      </c>
      <c r="P218" s="3">
        <v>0</v>
      </c>
      <c r="Q218" s="3">
        <v>0</v>
      </c>
      <c r="R218" s="3">
        <v>0</v>
      </c>
    </row>
    <row r="219" spans="1:18">
      <c r="A219" s="3" t="s">
        <v>1188</v>
      </c>
      <c r="B219" s="3" t="s">
        <v>1189</v>
      </c>
      <c r="C219" s="3" t="s">
        <v>1190</v>
      </c>
      <c r="D219" s="3" t="s">
        <v>1191</v>
      </c>
      <c r="E219" s="3" t="s">
        <v>340</v>
      </c>
      <c r="F219" s="3">
        <v>35</v>
      </c>
      <c r="G219" s="3" t="s">
        <v>2572</v>
      </c>
      <c r="H219" s="3"/>
      <c r="I219" s="3" t="s">
        <v>2573</v>
      </c>
      <c r="J219" s="3">
        <v>4</v>
      </c>
      <c r="K219" s="3">
        <v>4</v>
      </c>
      <c r="L219" s="3">
        <v>0</v>
      </c>
      <c r="M219" s="3">
        <v>0</v>
      </c>
      <c r="N219" s="3">
        <v>4</v>
      </c>
      <c r="O219" s="3">
        <v>0.1</v>
      </c>
      <c r="P219" s="3">
        <v>0</v>
      </c>
      <c r="Q219" s="3">
        <v>0</v>
      </c>
      <c r="R219" s="3">
        <v>0</v>
      </c>
    </row>
    <row r="220" spans="1:18">
      <c r="A220" s="3" t="s">
        <v>1556</v>
      </c>
      <c r="B220" s="3" t="s">
        <v>1557</v>
      </c>
      <c r="C220" s="3" t="s">
        <v>1558</v>
      </c>
      <c r="D220" s="3" t="s">
        <v>1559</v>
      </c>
      <c r="E220" s="3" t="s">
        <v>340</v>
      </c>
      <c r="F220" s="3">
        <v>35</v>
      </c>
      <c r="G220" s="3" t="s">
        <v>2572</v>
      </c>
      <c r="H220" s="3"/>
      <c r="I220" s="3" t="s">
        <v>2573</v>
      </c>
      <c r="J220" s="3">
        <v>10</v>
      </c>
      <c r="K220" s="3">
        <v>10</v>
      </c>
      <c r="L220" s="3">
        <v>0</v>
      </c>
      <c r="M220" s="3">
        <v>0</v>
      </c>
      <c r="N220" s="3">
        <v>10</v>
      </c>
      <c r="O220" s="3">
        <v>0.16</v>
      </c>
      <c r="P220" s="3">
        <v>0</v>
      </c>
      <c r="Q220" s="3">
        <v>0</v>
      </c>
      <c r="R220" s="3">
        <v>0</v>
      </c>
    </row>
    <row r="221" spans="1:18">
      <c r="A221" s="3" t="s">
        <v>682</v>
      </c>
      <c r="B221" s="3" t="s">
        <v>683</v>
      </c>
      <c r="C221" s="3" t="s">
        <v>684</v>
      </c>
      <c r="D221" s="3" t="s">
        <v>685</v>
      </c>
      <c r="E221" s="3" t="s">
        <v>340</v>
      </c>
      <c r="F221" s="3">
        <v>35</v>
      </c>
      <c r="G221" s="3" t="s">
        <v>2572</v>
      </c>
      <c r="H221" s="3"/>
      <c r="I221" s="3" t="s">
        <v>2573</v>
      </c>
      <c r="J221" s="3">
        <v>3</v>
      </c>
      <c r="K221" s="3">
        <v>3</v>
      </c>
      <c r="L221" s="3">
        <v>0</v>
      </c>
      <c r="M221" s="3">
        <v>0</v>
      </c>
      <c r="N221" s="3">
        <v>3</v>
      </c>
      <c r="O221" s="3">
        <v>0.13</v>
      </c>
      <c r="P221" s="3">
        <v>0</v>
      </c>
      <c r="Q221" s="3">
        <v>0</v>
      </c>
      <c r="R221" s="3">
        <v>0</v>
      </c>
    </row>
    <row r="222" spans="1:18">
      <c r="A222" s="3" t="s">
        <v>1004</v>
      </c>
      <c r="B222" s="3" t="s">
        <v>1005</v>
      </c>
      <c r="C222" s="3" t="s">
        <v>1006</v>
      </c>
      <c r="D222" s="3" t="s">
        <v>1007</v>
      </c>
      <c r="E222" s="3" t="s">
        <v>340</v>
      </c>
      <c r="F222" s="3">
        <v>35</v>
      </c>
      <c r="G222" s="3" t="s">
        <v>2572</v>
      </c>
      <c r="H222" s="3"/>
      <c r="I222" s="3" t="s">
        <v>2573</v>
      </c>
      <c r="J222" s="3">
        <v>5</v>
      </c>
      <c r="K222" s="3">
        <v>5</v>
      </c>
      <c r="L222" s="3">
        <v>0</v>
      </c>
      <c r="M222" s="3">
        <v>0</v>
      </c>
      <c r="N222" s="3">
        <v>5</v>
      </c>
      <c r="O222" s="3">
        <v>0.13</v>
      </c>
      <c r="P222" s="3">
        <v>0</v>
      </c>
      <c r="Q222" s="3">
        <v>0</v>
      </c>
      <c r="R222" s="3">
        <v>0</v>
      </c>
    </row>
    <row r="223" spans="1:18">
      <c r="A223" s="3" t="s">
        <v>1599</v>
      </c>
      <c r="B223" s="3" t="s">
        <v>1600</v>
      </c>
      <c r="C223" s="3" t="s">
        <v>1601</v>
      </c>
      <c r="D223" s="3" t="s">
        <v>1602</v>
      </c>
      <c r="E223" s="3" t="s">
        <v>340</v>
      </c>
      <c r="F223" s="3">
        <v>35</v>
      </c>
      <c r="G223" s="3" t="s">
        <v>2572</v>
      </c>
      <c r="H223" s="3"/>
      <c r="I223" s="3" t="s">
        <v>2573</v>
      </c>
      <c r="J223" s="3">
        <v>14</v>
      </c>
      <c r="K223" s="3">
        <v>14</v>
      </c>
      <c r="L223" s="3">
        <v>0</v>
      </c>
      <c r="M223" s="3">
        <v>0</v>
      </c>
      <c r="N223" s="3">
        <v>14</v>
      </c>
      <c r="O223" s="3">
        <v>0.13</v>
      </c>
      <c r="P223" s="3">
        <v>0</v>
      </c>
      <c r="Q223" s="3">
        <v>0</v>
      </c>
      <c r="R223" s="3">
        <v>0</v>
      </c>
    </row>
    <row r="224" spans="1:18">
      <c r="A224" s="3" t="s">
        <v>605</v>
      </c>
      <c r="B224" s="3" t="s">
        <v>606</v>
      </c>
      <c r="C224" s="3" t="s">
        <v>607</v>
      </c>
      <c r="D224" s="3" t="s">
        <v>608</v>
      </c>
      <c r="E224" s="3" t="s">
        <v>340</v>
      </c>
      <c r="F224" s="3">
        <v>35</v>
      </c>
      <c r="G224" s="3" t="s">
        <v>2572</v>
      </c>
      <c r="H224" s="3"/>
      <c r="I224" s="3" t="s">
        <v>2573</v>
      </c>
      <c r="J224" s="3">
        <v>1</v>
      </c>
      <c r="K224" s="3">
        <v>1</v>
      </c>
      <c r="L224" s="3">
        <v>0</v>
      </c>
      <c r="M224" s="3">
        <v>0</v>
      </c>
      <c r="N224" s="3">
        <v>1</v>
      </c>
      <c r="O224" s="3">
        <v>0.13</v>
      </c>
      <c r="P224" s="3">
        <v>0</v>
      </c>
      <c r="Q224" s="3">
        <v>0</v>
      </c>
      <c r="R224" s="3">
        <v>0</v>
      </c>
    </row>
    <row r="225" spans="1:18">
      <c r="A225" s="3" t="s">
        <v>2690</v>
      </c>
      <c r="B225" s="3" t="s">
        <v>2691</v>
      </c>
      <c r="C225" s="3" t="s">
        <v>2692</v>
      </c>
      <c r="D225" s="3" t="s">
        <v>2693</v>
      </c>
      <c r="E225" s="3" t="s">
        <v>340</v>
      </c>
      <c r="F225" s="3">
        <v>20.99</v>
      </c>
      <c r="G225" s="3" t="s">
        <v>2572</v>
      </c>
      <c r="H225" s="3"/>
      <c r="I225" s="3" t="s">
        <v>2573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0.11</v>
      </c>
      <c r="P225" s="3">
        <v>0</v>
      </c>
      <c r="Q225" s="3">
        <v>0</v>
      </c>
      <c r="R225" s="3">
        <v>0</v>
      </c>
    </row>
    <row r="226" spans="1:18">
      <c r="A226" s="3" t="s">
        <v>2694</v>
      </c>
      <c r="B226" s="3" t="s">
        <v>2695</v>
      </c>
      <c r="C226" s="3" t="s">
        <v>2696</v>
      </c>
      <c r="D226" s="3" t="s">
        <v>2697</v>
      </c>
      <c r="E226" s="3" t="s">
        <v>340</v>
      </c>
      <c r="F226" s="3">
        <v>20.99</v>
      </c>
      <c r="G226" s="3" t="s">
        <v>2572</v>
      </c>
      <c r="H226" s="3"/>
      <c r="I226" s="3" t="s">
        <v>2573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0.11</v>
      </c>
      <c r="P226" s="3">
        <v>0</v>
      </c>
      <c r="Q226" s="3">
        <v>0</v>
      </c>
      <c r="R226" s="3">
        <v>0</v>
      </c>
    </row>
    <row r="227" spans="1:18">
      <c r="A227" s="3" t="s">
        <v>2698</v>
      </c>
      <c r="B227" s="3" t="s">
        <v>2699</v>
      </c>
      <c r="C227" s="3" t="s">
        <v>2700</v>
      </c>
      <c r="D227" s="3" t="s">
        <v>2701</v>
      </c>
      <c r="E227" s="3" t="s">
        <v>340</v>
      </c>
      <c r="F227" s="3">
        <v>35</v>
      </c>
      <c r="G227" s="3" t="s">
        <v>2572</v>
      </c>
      <c r="H227" s="3"/>
      <c r="I227" s="3" t="s">
        <v>2573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0.1</v>
      </c>
      <c r="P227" s="3">
        <v>0</v>
      </c>
      <c r="Q227" s="3">
        <v>0</v>
      </c>
      <c r="R227" s="3">
        <v>0</v>
      </c>
    </row>
    <row r="228" spans="1:18">
      <c r="A228" s="3" t="s">
        <v>2183</v>
      </c>
      <c r="B228" s="3" t="s">
        <v>2184</v>
      </c>
      <c r="C228" s="3" t="s">
        <v>2185</v>
      </c>
      <c r="D228" s="3" t="s">
        <v>2186</v>
      </c>
      <c r="E228" s="3" t="s">
        <v>340</v>
      </c>
      <c r="F228" s="3">
        <v>20.99</v>
      </c>
      <c r="G228" s="3" t="s">
        <v>2572</v>
      </c>
      <c r="H228" s="3"/>
      <c r="I228" s="3" t="s">
        <v>2573</v>
      </c>
      <c r="J228" s="3">
        <v>8</v>
      </c>
      <c r="K228" s="3">
        <v>8</v>
      </c>
      <c r="L228" s="3">
        <v>0</v>
      </c>
      <c r="M228" s="3">
        <v>0</v>
      </c>
      <c r="N228" s="3">
        <v>8</v>
      </c>
      <c r="O228" s="3">
        <v>0.11</v>
      </c>
      <c r="P228" s="3">
        <v>0</v>
      </c>
      <c r="Q228" s="3">
        <v>0</v>
      </c>
      <c r="R228" s="3">
        <v>0</v>
      </c>
    </row>
    <row r="229" spans="1:18">
      <c r="A229" s="3" t="s">
        <v>2702</v>
      </c>
      <c r="B229" s="3" t="s">
        <v>2703</v>
      </c>
      <c r="C229" s="3" t="s">
        <v>2704</v>
      </c>
      <c r="D229" s="3" t="s">
        <v>2705</v>
      </c>
      <c r="E229" s="3" t="s">
        <v>340</v>
      </c>
      <c r="F229" s="3">
        <v>35</v>
      </c>
      <c r="G229" s="3" t="s">
        <v>2572</v>
      </c>
      <c r="H229" s="3"/>
      <c r="I229" s="3" t="s">
        <v>2573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0.08</v>
      </c>
      <c r="P229" s="3">
        <v>0</v>
      </c>
      <c r="Q229" s="3">
        <v>0</v>
      </c>
      <c r="R229" s="3">
        <v>0</v>
      </c>
    </row>
    <row r="230" spans="1:18">
      <c r="A230" s="3" t="s">
        <v>2454</v>
      </c>
      <c r="B230" s="3" t="s">
        <v>2455</v>
      </c>
      <c r="C230" s="3" t="s">
        <v>2456</v>
      </c>
      <c r="D230" s="3" t="s">
        <v>2457</v>
      </c>
      <c r="E230" s="3" t="s">
        <v>340</v>
      </c>
      <c r="F230" s="3">
        <v>35</v>
      </c>
      <c r="G230" s="3" t="s">
        <v>2572</v>
      </c>
      <c r="H230" s="3"/>
      <c r="I230" s="3" t="s">
        <v>2573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0.14</v>
      </c>
      <c r="P230" s="3">
        <v>0</v>
      </c>
      <c r="Q230" s="3">
        <v>0</v>
      </c>
      <c r="R230" s="3">
        <v>0</v>
      </c>
    </row>
    <row r="231" spans="1:18">
      <c r="A231" s="3" t="s">
        <v>2706</v>
      </c>
      <c r="B231" s="3" t="s">
        <v>2707</v>
      </c>
      <c r="C231" s="3" t="s">
        <v>2708</v>
      </c>
      <c r="D231" s="3" t="s">
        <v>2709</v>
      </c>
      <c r="E231" s="3" t="s">
        <v>340</v>
      </c>
      <c r="F231" s="3">
        <v>35</v>
      </c>
      <c r="G231" s="3" t="s">
        <v>2572</v>
      </c>
      <c r="H231" s="3"/>
      <c r="I231" s="3" t="s">
        <v>2573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0.14</v>
      </c>
      <c r="P231" s="3">
        <v>0</v>
      </c>
      <c r="Q231" s="3">
        <v>0</v>
      </c>
      <c r="R231" s="3">
        <v>0</v>
      </c>
    </row>
    <row r="232" spans="1:18">
      <c r="A232" s="3" t="s">
        <v>2044</v>
      </c>
      <c r="B232" s="3" t="s">
        <v>2045</v>
      </c>
      <c r="C232" s="3" t="s">
        <v>2046</v>
      </c>
      <c r="D232" s="3" t="s">
        <v>2047</v>
      </c>
      <c r="E232" s="3" t="s">
        <v>340</v>
      </c>
      <c r="F232" s="3">
        <v>35</v>
      </c>
      <c r="G232" s="3" t="s">
        <v>2572</v>
      </c>
      <c r="H232" s="3"/>
      <c r="I232" s="3" t="s">
        <v>2573</v>
      </c>
      <c r="J232" s="3">
        <v>4</v>
      </c>
      <c r="K232" s="3">
        <v>3</v>
      </c>
      <c r="L232" s="3">
        <v>1</v>
      </c>
      <c r="M232" s="3">
        <v>0</v>
      </c>
      <c r="N232" s="3">
        <v>4</v>
      </c>
      <c r="O232" s="3">
        <v>0.12</v>
      </c>
      <c r="P232" s="3">
        <v>0</v>
      </c>
      <c r="Q232" s="3">
        <v>0</v>
      </c>
      <c r="R232" s="3">
        <v>0</v>
      </c>
    </row>
    <row r="233" spans="1:18">
      <c r="A233" s="3" t="s">
        <v>39</v>
      </c>
      <c r="B233" s="3" t="s">
        <v>40</v>
      </c>
      <c r="C233" s="3" t="s">
        <v>41</v>
      </c>
      <c r="D233" s="3" t="s">
        <v>42</v>
      </c>
      <c r="E233" s="3" t="s">
        <v>340</v>
      </c>
      <c r="F233" s="3">
        <v>35</v>
      </c>
      <c r="G233" s="3" t="s">
        <v>2572</v>
      </c>
      <c r="H233" s="3"/>
      <c r="I233" s="3" t="s">
        <v>2573</v>
      </c>
      <c r="J233" s="3">
        <v>1</v>
      </c>
      <c r="K233" s="3">
        <v>0</v>
      </c>
      <c r="L233" s="3">
        <v>0</v>
      </c>
      <c r="M233" s="3">
        <v>1</v>
      </c>
      <c r="N233" s="3">
        <v>1</v>
      </c>
      <c r="O233" s="3">
        <v>0.12</v>
      </c>
      <c r="P233" s="3">
        <v>0</v>
      </c>
      <c r="Q233" s="3">
        <v>0</v>
      </c>
      <c r="R233" s="3">
        <v>0</v>
      </c>
    </row>
    <row r="234" spans="1:18">
      <c r="A234" s="3" t="s">
        <v>2710</v>
      </c>
      <c r="B234" s="3" t="s">
        <v>2711</v>
      </c>
      <c r="C234" s="3" t="s">
        <v>2712</v>
      </c>
      <c r="D234" s="3" t="s">
        <v>42</v>
      </c>
      <c r="E234" s="3" t="s">
        <v>340</v>
      </c>
      <c r="F234" s="3">
        <v>35</v>
      </c>
      <c r="G234" s="3" t="s">
        <v>2572</v>
      </c>
      <c r="H234" s="3"/>
      <c r="I234" s="3" t="s">
        <v>2573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0.12</v>
      </c>
      <c r="P234" s="3">
        <v>0</v>
      </c>
      <c r="Q234" s="3">
        <v>0</v>
      </c>
      <c r="R234" s="3">
        <v>0</v>
      </c>
    </row>
    <row r="235" spans="1:18">
      <c r="A235" s="3" t="s">
        <v>643</v>
      </c>
      <c r="B235" s="3" t="s">
        <v>644</v>
      </c>
      <c r="C235" s="3" t="s">
        <v>645</v>
      </c>
      <c r="D235" s="3" t="s">
        <v>646</v>
      </c>
      <c r="E235" s="3" t="s">
        <v>340</v>
      </c>
      <c r="F235" s="3">
        <v>35</v>
      </c>
      <c r="G235" s="3" t="s">
        <v>2572</v>
      </c>
      <c r="H235" s="3"/>
      <c r="I235" s="3" t="s">
        <v>2573</v>
      </c>
      <c r="J235" s="3">
        <v>1</v>
      </c>
      <c r="K235" s="3">
        <v>1</v>
      </c>
      <c r="L235" s="3">
        <v>0</v>
      </c>
      <c r="M235" s="3">
        <v>0</v>
      </c>
      <c r="N235" s="3">
        <v>1</v>
      </c>
      <c r="O235" s="3">
        <v>0.08</v>
      </c>
      <c r="P235" s="3">
        <v>0</v>
      </c>
      <c r="Q235" s="3">
        <v>0</v>
      </c>
      <c r="R235" s="3">
        <v>0</v>
      </c>
    </row>
    <row r="236" spans="1:18">
      <c r="A236" s="3" t="s">
        <v>648</v>
      </c>
      <c r="B236" s="3" t="s">
        <v>649</v>
      </c>
      <c r="C236" s="3" t="s">
        <v>650</v>
      </c>
      <c r="D236" s="3" t="s">
        <v>651</v>
      </c>
      <c r="E236" s="3" t="s">
        <v>340</v>
      </c>
      <c r="F236" s="3">
        <v>30</v>
      </c>
      <c r="G236" s="3" t="s">
        <v>2572</v>
      </c>
      <c r="H236" s="3"/>
      <c r="I236" s="3" t="s">
        <v>2573</v>
      </c>
      <c r="J236" s="3">
        <v>5</v>
      </c>
      <c r="K236" s="3">
        <v>5</v>
      </c>
      <c r="L236" s="3">
        <v>0</v>
      </c>
      <c r="M236" s="3">
        <v>0</v>
      </c>
      <c r="N236" s="3">
        <v>5</v>
      </c>
      <c r="O236" s="3">
        <v>0.06</v>
      </c>
      <c r="P236" s="3">
        <v>0</v>
      </c>
      <c r="Q236" s="3">
        <v>0</v>
      </c>
      <c r="R236" s="3">
        <v>0</v>
      </c>
    </row>
    <row r="237" spans="1:18">
      <c r="A237" s="3" t="s">
        <v>891</v>
      </c>
      <c r="B237" s="3" t="s">
        <v>892</v>
      </c>
      <c r="C237" s="3" t="s">
        <v>893</v>
      </c>
      <c r="D237" s="3" t="s">
        <v>651</v>
      </c>
      <c r="E237" s="3" t="s">
        <v>340</v>
      </c>
      <c r="F237" s="3">
        <v>30</v>
      </c>
      <c r="G237" s="3" t="s">
        <v>2572</v>
      </c>
      <c r="H237" s="3"/>
      <c r="I237" s="3" t="s">
        <v>2573</v>
      </c>
      <c r="J237" s="3">
        <v>1</v>
      </c>
      <c r="K237" s="3">
        <v>1</v>
      </c>
      <c r="L237" s="3">
        <v>0</v>
      </c>
      <c r="M237" s="3">
        <v>0</v>
      </c>
      <c r="N237" s="3">
        <v>1</v>
      </c>
      <c r="O237" s="3">
        <v>0.06</v>
      </c>
      <c r="P237" s="3">
        <v>0</v>
      </c>
      <c r="Q237" s="3">
        <v>0</v>
      </c>
      <c r="R237" s="3">
        <v>0</v>
      </c>
    </row>
    <row r="238" spans="1:18">
      <c r="A238" s="3" t="s">
        <v>2713</v>
      </c>
      <c r="B238" s="3" t="s">
        <v>2714</v>
      </c>
      <c r="C238" s="3" t="s">
        <v>2715</v>
      </c>
      <c r="D238" s="3" t="s">
        <v>2716</v>
      </c>
      <c r="E238" s="3" t="s">
        <v>340</v>
      </c>
      <c r="F238" s="3">
        <v>35</v>
      </c>
      <c r="G238" s="3" t="s">
        <v>2572</v>
      </c>
      <c r="H238" s="3"/>
      <c r="I238" s="3" t="s">
        <v>2573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0.07</v>
      </c>
      <c r="P238" s="3">
        <v>0</v>
      </c>
      <c r="Q238" s="3">
        <v>0</v>
      </c>
      <c r="R238" s="3">
        <v>0</v>
      </c>
    </row>
    <row r="239" spans="1:18">
      <c r="A239" s="3" t="s">
        <v>1886</v>
      </c>
      <c r="B239" s="3" t="s">
        <v>1887</v>
      </c>
      <c r="C239" s="3" t="s">
        <v>1888</v>
      </c>
      <c r="D239" s="3" t="s">
        <v>1889</v>
      </c>
      <c r="E239" s="3" t="s">
        <v>340</v>
      </c>
      <c r="F239" s="3">
        <v>35</v>
      </c>
      <c r="G239" s="3" t="s">
        <v>2572</v>
      </c>
      <c r="H239" s="3"/>
      <c r="I239" s="3" t="s">
        <v>2573</v>
      </c>
      <c r="J239" s="3">
        <v>2</v>
      </c>
      <c r="K239" s="3">
        <v>2</v>
      </c>
      <c r="L239" s="3">
        <v>0</v>
      </c>
      <c r="M239" s="3">
        <v>0</v>
      </c>
      <c r="N239" s="3">
        <v>2</v>
      </c>
      <c r="O239" s="3">
        <v>0.07</v>
      </c>
      <c r="P239" s="3">
        <v>0</v>
      </c>
      <c r="Q239" s="3">
        <v>0</v>
      </c>
      <c r="R239" s="3">
        <v>0</v>
      </c>
    </row>
    <row r="240" spans="1:18">
      <c r="A240" s="3" t="s">
        <v>2339</v>
      </c>
      <c r="B240" s="3" t="s">
        <v>2340</v>
      </c>
      <c r="C240" s="3" t="s">
        <v>2341</v>
      </c>
      <c r="D240" s="3" t="s">
        <v>2300</v>
      </c>
      <c r="E240" s="3" t="s">
        <v>340</v>
      </c>
      <c r="F240" s="3">
        <v>35</v>
      </c>
      <c r="G240" s="3" t="s">
        <v>2572</v>
      </c>
      <c r="H240" s="3"/>
      <c r="I240" s="3" t="s">
        <v>2573</v>
      </c>
      <c r="J240" s="3">
        <v>2</v>
      </c>
      <c r="K240" s="3">
        <v>2</v>
      </c>
      <c r="L240" s="3">
        <v>0</v>
      </c>
      <c r="M240" s="3">
        <v>0</v>
      </c>
      <c r="N240" s="3">
        <v>2</v>
      </c>
      <c r="O240" s="3">
        <v>0.13</v>
      </c>
      <c r="P240" s="3">
        <v>0</v>
      </c>
      <c r="Q240" s="3">
        <v>0</v>
      </c>
      <c r="R240" s="3">
        <v>0</v>
      </c>
    </row>
    <row r="241" spans="1:18">
      <c r="A241" s="3" t="s">
        <v>2297</v>
      </c>
      <c r="B241" s="3" t="s">
        <v>2298</v>
      </c>
      <c r="C241" s="3" t="s">
        <v>2299</v>
      </c>
      <c r="D241" s="3" t="s">
        <v>2300</v>
      </c>
      <c r="E241" s="3" t="s">
        <v>340</v>
      </c>
      <c r="F241" s="3">
        <v>35</v>
      </c>
      <c r="G241" s="3" t="s">
        <v>2572</v>
      </c>
      <c r="H241" s="3"/>
      <c r="I241" s="3" t="s">
        <v>2573</v>
      </c>
      <c r="J241" s="3">
        <v>2</v>
      </c>
      <c r="K241" s="3">
        <v>2</v>
      </c>
      <c r="L241" s="3">
        <v>0</v>
      </c>
      <c r="M241" s="3">
        <v>0</v>
      </c>
      <c r="N241" s="3">
        <v>2</v>
      </c>
      <c r="O241" s="3">
        <v>0.13</v>
      </c>
      <c r="P241" s="3">
        <v>0</v>
      </c>
      <c r="Q241" s="3">
        <v>0</v>
      </c>
      <c r="R241" s="3">
        <v>0</v>
      </c>
    </row>
    <row r="242" spans="1:18">
      <c r="A242" s="3" t="s">
        <v>2717</v>
      </c>
      <c r="B242" s="3" t="s">
        <v>2718</v>
      </c>
      <c r="C242" s="3" t="s">
        <v>2719</v>
      </c>
      <c r="D242" s="3" t="s">
        <v>2720</v>
      </c>
      <c r="E242" s="3" t="s">
        <v>340</v>
      </c>
      <c r="F242" s="3">
        <v>35</v>
      </c>
      <c r="G242" s="3" t="s">
        <v>2572</v>
      </c>
      <c r="H242" s="3"/>
      <c r="I242" s="3" t="s">
        <v>2573</v>
      </c>
      <c r="J242" s="3">
        <v>1</v>
      </c>
      <c r="K242" s="3">
        <v>0</v>
      </c>
      <c r="L242" s="3">
        <v>1</v>
      </c>
      <c r="M242" s="3">
        <v>0</v>
      </c>
      <c r="N242" s="3">
        <v>1</v>
      </c>
      <c r="O242" s="3">
        <v>0.13</v>
      </c>
      <c r="P242" s="3">
        <v>0</v>
      </c>
      <c r="Q242" s="3">
        <v>0</v>
      </c>
      <c r="R242" s="3">
        <v>0</v>
      </c>
    </row>
    <row r="243" spans="1:18">
      <c r="A243" s="3" t="s">
        <v>2721</v>
      </c>
      <c r="B243" s="3" t="s">
        <v>2722</v>
      </c>
      <c r="C243" s="3" t="s">
        <v>2723</v>
      </c>
      <c r="D243" s="3" t="s">
        <v>2300</v>
      </c>
      <c r="E243" s="3" t="s">
        <v>340</v>
      </c>
      <c r="F243" s="3">
        <v>35</v>
      </c>
      <c r="G243" s="3" t="s">
        <v>2572</v>
      </c>
      <c r="H243" s="3"/>
      <c r="I243" s="3" t="s">
        <v>2573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0.13</v>
      </c>
      <c r="P243" s="3">
        <v>0</v>
      </c>
      <c r="Q243" s="3">
        <v>0</v>
      </c>
      <c r="R243" s="3">
        <v>0</v>
      </c>
    </row>
    <row r="244" spans="1:18">
      <c r="A244" s="3" t="s">
        <v>2322</v>
      </c>
      <c r="B244" s="3" t="s">
        <v>2323</v>
      </c>
      <c r="C244" s="3" t="s">
        <v>2324</v>
      </c>
      <c r="D244" s="3" t="s">
        <v>2300</v>
      </c>
      <c r="E244" s="3" t="s">
        <v>340</v>
      </c>
      <c r="F244" s="3">
        <v>35</v>
      </c>
      <c r="G244" s="3" t="s">
        <v>2572</v>
      </c>
      <c r="H244" s="3"/>
      <c r="I244" s="3" t="s">
        <v>2573</v>
      </c>
      <c r="J244" s="3">
        <v>2</v>
      </c>
      <c r="K244" s="3">
        <v>2</v>
      </c>
      <c r="L244" s="3">
        <v>0</v>
      </c>
      <c r="M244" s="3">
        <v>0</v>
      </c>
      <c r="N244" s="3">
        <v>2</v>
      </c>
      <c r="O244" s="3">
        <v>0.13</v>
      </c>
      <c r="P244" s="3">
        <v>0</v>
      </c>
      <c r="Q244" s="3">
        <v>0</v>
      </c>
      <c r="R244" s="3">
        <v>0</v>
      </c>
    </row>
    <row r="245" spans="1:18">
      <c r="A245" s="3" t="s">
        <v>2724</v>
      </c>
      <c r="B245" s="3" t="s">
        <v>2725</v>
      </c>
      <c r="C245" s="3" t="s">
        <v>2726</v>
      </c>
      <c r="D245" s="3" t="s">
        <v>2300</v>
      </c>
      <c r="E245" s="3" t="s">
        <v>340</v>
      </c>
      <c r="F245" s="3">
        <v>35</v>
      </c>
      <c r="G245" s="3" t="s">
        <v>2572</v>
      </c>
      <c r="H245" s="3"/>
      <c r="I245" s="3" t="s">
        <v>2573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0.13</v>
      </c>
      <c r="P245" s="3">
        <v>0</v>
      </c>
      <c r="Q245" s="3">
        <v>0</v>
      </c>
      <c r="R245" s="3">
        <v>0</v>
      </c>
    </row>
    <row r="246" spans="1:18">
      <c r="A246" s="3" t="s">
        <v>2290</v>
      </c>
      <c r="B246" s="3" t="s">
        <v>2291</v>
      </c>
      <c r="C246" s="3" t="s">
        <v>2292</v>
      </c>
      <c r="D246" s="3" t="s">
        <v>680</v>
      </c>
      <c r="E246" s="3" t="s">
        <v>340</v>
      </c>
      <c r="F246" s="3">
        <v>35</v>
      </c>
      <c r="G246" s="3" t="s">
        <v>2572</v>
      </c>
      <c r="H246" s="3"/>
      <c r="I246" s="3" t="s">
        <v>2573</v>
      </c>
      <c r="J246" s="3">
        <v>1</v>
      </c>
      <c r="K246" s="3">
        <v>1</v>
      </c>
      <c r="L246" s="3">
        <v>0</v>
      </c>
      <c r="M246" s="3">
        <v>0</v>
      </c>
      <c r="N246" s="3">
        <v>1</v>
      </c>
      <c r="O246" s="3">
        <v>0.15</v>
      </c>
      <c r="P246" s="3">
        <v>0</v>
      </c>
      <c r="Q246" s="3">
        <v>0</v>
      </c>
      <c r="R246" s="3">
        <v>0</v>
      </c>
    </row>
    <row r="247" spans="1:18">
      <c r="A247" s="3" t="s">
        <v>1117</v>
      </c>
      <c r="B247" s="3" t="s">
        <v>1118</v>
      </c>
      <c r="C247" s="3" t="s">
        <v>1119</v>
      </c>
      <c r="D247" s="3" t="s">
        <v>364</v>
      </c>
      <c r="E247" s="3" t="s">
        <v>340</v>
      </c>
      <c r="F247" s="3">
        <v>35</v>
      </c>
      <c r="G247" s="3" t="s">
        <v>2572</v>
      </c>
      <c r="H247" s="3"/>
      <c r="I247" s="3" t="s">
        <v>2573</v>
      </c>
      <c r="J247" s="3">
        <v>1</v>
      </c>
      <c r="K247" s="3">
        <v>1</v>
      </c>
      <c r="L247" s="3">
        <v>0</v>
      </c>
      <c r="M247" s="3">
        <v>0</v>
      </c>
      <c r="N247" s="3">
        <v>1</v>
      </c>
      <c r="O247" s="3">
        <v>0.17</v>
      </c>
      <c r="P247" s="3">
        <v>0</v>
      </c>
      <c r="Q247" s="3">
        <v>0</v>
      </c>
      <c r="R247" s="3">
        <v>0</v>
      </c>
    </row>
    <row r="248" spans="1:18">
      <c r="A248" s="3" t="s">
        <v>2112</v>
      </c>
      <c r="B248" s="3" t="s">
        <v>2113</v>
      </c>
      <c r="C248" s="3" t="s">
        <v>2114</v>
      </c>
      <c r="D248" s="3" t="s">
        <v>680</v>
      </c>
      <c r="E248" s="3" t="s">
        <v>340</v>
      </c>
      <c r="F248" s="3">
        <v>35</v>
      </c>
      <c r="G248" s="3" t="s">
        <v>2572</v>
      </c>
      <c r="H248" s="3"/>
      <c r="I248" s="3" t="s">
        <v>2573</v>
      </c>
      <c r="J248" s="3">
        <v>1</v>
      </c>
      <c r="K248" s="3">
        <v>1</v>
      </c>
      <c r="L248" s="3">
        <v>0</v>
      </c>
      <c r="M248" s="3">
        <v>0</v>
      </c>
      <c r="N248" s="3">
        <v>1</v>
      </c>
      <c r="O248" s="3">
        <v>0.15</v>
      </c>
      <c r="P248" s="3">
        <v>0</v>
      </c>
      <c r="Q248" s="3">
        <v>0</v>
      </c>
      <c r="R248" s="3">
        <v>0</v>
      </c>
    </row>
    <row r="249" spans="1:18">
      <c r="A249" s="3" t="s">
        <v>1068</v>
      </c>
      <c r="B249" s="3" t="s">
        <v>1069</v>
      </c>
      <c r="C249" s="3" t="s">
        <v>1070</v>
      </c>
      <c r="D249" s="3" t="s">
        <v>364</v>
      </c>
      <c r="E249" s="3" t="s">
        <v>340</v>
      </c>
      <c r="F249" s="3">
        <v>35</v>
      </c>
      <c r="G249" s="3" t="s">
        <v>2572</v>
      </c>
      <c r="H249" s="3"/>
      <c r="I249" s="3" t="s">
        <v>2573</v>
      </c>
      <c r="J249" s="3">
        <v>3</v>
      </c>
      <c r="K249" s="3">
        <v>3</v>
      </c>
      <c r="L249" s="3">
        <v>0</v>
      </c>
      <c r="M249" s="3">
        <v>0</v>
      </c>
      <c r="N249" s="3">
        <v>3</v>
      </c>
      <c r="O249" s="3">
        <v>0.15</v>
      </c>
      <c r="P249" s="3">
        <v>0</v>
      </c>
      <c r="Q249" s="3">
        <v>0</v>
      </c>
      <c r="R249" s="3">
        <v>0</v>
      </c>
    </row>
    <row r="250" spans="1:18">
      <c r="A250" s="3" t="s">
        <v>615</v>
      </c>
      <c r="B250" s="3" t="s">
        <v>616</v>
      </c>
      <c r="C250" s="3" t="s">
        <v>617</v>
      </c>
      <c r="D250" s="3" t="s">
        <v>364</v>
      </c>
      <c r="E250" s="3" t="s">
        <v>340</v>
      </c>
      <c r="F250" s="3">
        <v>35</v>
      </c>
      <c r="G250" s="3" t="s">
        <v>2572</v>
      </c>
      <c r="H250" s="3"/>
      <c r="I250" s="3" t="s">
        <v>2573</v>
      </c>
      <c r="J250" s="3">
        <v>5</v>
      </c>
      <c r="K250" s="3">
        <v>5</v>
      </c>
      <c r="L250" s="3">
        <v>0</v>
      </c>
      <c r="M250" s="3">
        <v>0</v>
      </c>
      <c r="N250" s="3">
        <v>5</v>
      </c>
      <c r="O250" s="3">
        <v>0.14</v>
      </c>
      <c r="P250" s="3">
        <v>0</v>
      </c>
      <c r="Q250" s="3">
        <v>0</v>
      </c>
      <c r="R250" s="3">
        <v>0</v>
      </c>
    </row>
    <row r="251" spans="1:18">
      <c r="A251" s="3" t="s">
        <v>1539</v>
      </c>
      <c r="B251" s="3" t="s">
        <v>1540</v>
      </c>
      <c r="C251" s="3" t="s">
        <v>1541</v>
      </c>
      <c r="D251" s="3" t="s">
        <v>680</v>
      </c>
      <c r="E251" s="3" t="s">
        <v>340</v>
      </c>
      <c r="F251" s="3">
        <v>35</v>
      </c>
      <c r="G251" s="3" t="s">
        <v>2572</v>
      </c>
      <c r="H251" s="3"/>
      <c r="I251" s="3" t="s">
        <v>2573</v>
      </c>
      <c r="J251" s="3">
        <v>3</v>
      </c>
      <c r="K251" s="3">
        <v>3</v>
      </c>
      <c r="L251" s="3">
        <v>0</v>
      </c>
      <c r="M251" s="3">
        <v>0</v>
      </c>
      <c r="N251" s="3">
        <v>3</v>
      </c>
      <c r="O251" s="3">
        <v>0.15</v>
      </c>
      <c r="P251" s="3">
        <v>0</v>
      </c>
      <c r="Q251" s="3">
        <v>0</v>
      </c>
      <c r="R251" s="3">
        <v>0</v>
      </c>
    </row>
    <row r="252" spans="1:18">
      <c r="A252" s="3" t="s">
        <v>2359</v>
      </c>
      <c r="B252" s="3" t="s">
        <v>2360</v>
      </c>
      <c r="C252" s="3" t="s">
        <v>2361</v>
      </c>
      <c r="D252" s="3" t="s">
        <v>364</v>
      </c>
      <c r="E252" s="3" t="s">
        <v>340</v>
      </c>
      <c r="F252" s="3">
        <v>35</v>
      </c>
      <c r="G252" s="3" t="s">
        <v>2572</v>
      </c>
      <c r="H252" s="3"/>
      <c r="I252" s="3" t="s">
        <v>2573</v>
      </c>
      <c r="J252" s="3">
        <v>5</v>
      </c>
      <c r="K252" s="3">
        <v>5</v>
      </c>
      <c r="L252" s="3">
        <v>0</v>
      </c>
      <c r="M252" s="3">
        <v>0</v>
      </c>
      <c r="N252" s="3">
        <v>5</v>
      </c>
      <c r="O252" s="3">
        <v>0.16</v>
      </c>
      <c r="P252" s="3">
        <v>0</v>
      </c>
      <c r="Q252" s="3">
        <v>0</v>
      </c>
      <c r="R252" s="3">
        <v>0</v>
      </c>
    </row>
    <row r="253" spans="1:18">
      <c r="A253" s="3" t="s">
        <v>677</v>
      </c>
      <c r="B253" s="3" t="s">
        <v>678</v>
      </c>
      <c r="C253" s="3" t="s">
        <v>679</v>
      </c>
      <c r="D253" s="3" t="s">
        <v>680</v>
      </c>
      <c r="E253" s="3" t="s">
        <v>340</v>
      </c>
      <c r="F253" s="3">
        <v>35</v>
      </c>
      <c r="G253" s="3" t="s">
        <v>2572</v>
      </c>
      <c r="H253" s="3"/>
      <c r="I253" s="3" t="s">
        <v>2573</v>
      </c>
      <c r="J253" s="3">
        <v>10</v>
      </c>
      <c r="K253" s="3">
        <v>10</v>
      </c>
      <c r="L253" s="3">
        <v>0</v>
      </c>
      <c r="M253" s="3">
        <v>0</v>
      </c>
      <c r="N253" s="3">
        <v>10</v>
      </c>
      <c r="O253" s="3">
        <v>0.18</v>
      </c>
      <c r="P253" s="3">
        <v>0</v>
      </c>
      <c r="Q253" s="3">
        <v>0</v>
      </c>
      <c r="R253" s="3">
        <v>0</v>
      </c>
    </row>
    <row r="254" spans="1:18">
      <c r="A254" s="3" t="s">
        <v>2727</v>
      </c>
      <c r="B254" s="3" t="s">
        <v>2728</v>
      </c>
      <c r="C254" s="3" t="s">
        <v>2729</v>
      </c>
      <c r="D254" s="3" t="s">
        <v>680</v>
      </c>
      <c r="E254" s="3" t="s">
        <v>340</v>
      </c>
      <c r="F254" s="3">
        <v>35</v>
      </c>
      <c r="G254" s="3" t="s">
        <v>2572</v>
      </c>
      <c r="H254" s="3"/>
      <c r="I254" s="3" t="s">
        <v>2573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0.16</v>
      </c>
      <c r="P254" s="3">
        <v>0</v>
      </c>
      <c r="Q254" s="3">
        <v>0</v>
      </c>
      <c r="R254" s="3">
        <v>0</v>
      </c>
    </row>
    <row r="255" spans="1:18">
      <c r="A255" s="3" t="s">
        <v>1249</v>
      </c>
      <c r="B255" s="3" t="s">
        <v>1250</v>
      </c>
      <c r="C255" s="3" t="s">
        <v>1251</v>
      </c>
      <c r="D255" s="3" t="s">
        <v>364</v>
      </c>
      <c r="E255" s="3" t="s">
        <v>340</v>
      </c>
      <c r="F255" s="3">
        <v>35</v>
      </c>
      <c r="G255" s="3" t="s">
        <v>2572</v>
      </c>
      <c r="H255" s="3"/>
      <c r="I255" s="3" t="s">
        <v>2573</v>
      </c>
      <c r="J255" s="3">
        <v>1</v>
      </c>
      <c r="K255" s="3">
        <v>1</v>
      </c>
      <c r="L255" s="3">
        <v>0</v>
      </c>
      <c r="M255" s="3">
        <v>0</v>
      </c>
      <c r="N255" s="3">
        <v>1</v>
      </c>
      <c r="O255" s="3">
        <v>0.15</v>
      </c>
      <c r="P255" s="3">
        <v>0</v>
      </c>
      <c r="Q255" s="3">
        <v>0</v>
      </c>
      <c r="R255" s="3">
        <v>0</v>
      </c>
    </row>
    <row r="256" spans="1:18">
      <c r="A256" s="3" t="s">
        <v>2730</v>
      </c>
      <c r="B256" s="3" t="s">
        <v>2731</v>
      </c>
      <c r="C256" s="3" t="s">
        <v>2732</v>
      </c>
      <c r="D256" s="3" t="s">
        <v>364</v>
      </c>
      <c r="E256" s="3" t="s">
        <v>340</v>
      </c>
      <c r="F256" s="3">
        <v>35</v>
      </c>
      <c r="G256" s="3" t="s">
        <v>2572</v>
      </c>
      <c r="H256" s="3"/>
      <c r="I256" s="3" t="s">
        <v>2573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0.16</v>
      </c>
      <c r="P256" s="3">
        <v>0</v>
      </c>
      <c r="Q256" s="3">
        <v>0</v>
      </c>
      <c r="R256" s="3">
        <v>0</v>
      </c>
    </row>
    <row r="257" spans="1:18">
      <c r="A257" s="3" t="s">
        <v>899</v>
      </c>
      <c r="B257" s="3" t="s">
        <v>900</v>
      </c>
      <c r="C257" s="3" t="s">
        <v>901</v>
      </c>
      <c r="D257" s="3" t="s">
        <v>680</v>
      </c>
      <c r="E257" s="3" t="s">
        <v>340</v>
      </c>
      <c r="F257" s="3">
        <v>35</v>
      </c>
      <c r="G257" s="3" t="s">
        <v>2572</v>
      </c>
      <c r="H257" s="3"/>
      <c r="I257" s="3" t="s">
        <v>2573</v>
      </c>
      <c r="J257" s="3">
        <v>2</v>
      </c>
      <c r="K257" s="3">
        <v>2</v>
      </c>
      <c r="L257" s="3">
        <v>0</v>
      </c>
      <c r="M257" s="3">
        <v>0</v>
      </c>
      <c r="N257" s="3">
        <v>2</v>
      </c>
      <c r="O257" s="3">
        <v>0.16</v>
      </c>
      <c r="P257" s="3">
        <v>0</v>
      </c>
      <c r="Q257" s="3">
        <v>0</v>
      </c>
      <c r="R257" s="3">
        <v>0</v>
      </c>
    </row>
    <row r="258" spans="1:18">
      <c r="A258" s="3" t="s">
        <v>2733</v>
      </c>
      <c r="B258" s="3" t="s">
        <v>2734</v>
      </c>
      <c r="C258" s="3" t="s">
        <v>2735</v>
      </c>
      <c r="D258" s="3" t="s">
        <v>364</v>
      </c>
      <c r="E258" s="3" t="s">
        <v>340</v>
      </c>
      <c r="F258" s="3">
        <v>35</v>
      </c>
      <c r="G258" s="3" t="s">
        <v>2572</v>
      </c>
      <c r="H258" s="3"/>
      <c r="I258" s="3" t="s">
        <v>2573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0.15</v>
      </c>
      <c r="P258" s="3">
        <v>0</v>
      </c>
      <c r="Q258" s="3">
        <v>0</v>
      </c>
      <c r="R258" s="3">
        <v>0</v>
      </c>
    </row>
    <row r="259" spans="1:18">
      <c r="A259" s="3" t="s">
        <v>2191</v>
      </c>
      <c r="B259" s="3" t="s">
        <v>2192</v>
      </c>
      <c r="C259" s="3" t="s">
        <v>2193</v>
      </c>
      <c r="D259" s="3" t="s">
        <v>364</v>
      </c>
      <c r="E259" s="3" t="s">
        <v>340</v>
      </c>
      <c r="F259" s="3">
        <v>35</v>
      </c>
      <c r="G259" s="3" t="s">
        <v>2572</v>
      </c>
      <c r="H259" s="3"/>
      <c r="I259" s="3" t="s">
        <v>2573</v>
      </c>
      <c r="J259" s="3">
        <v>2</v>
      </c>
      <c r="K259" s="3">
        <v>2</v>
      </c>
      <c r="L259" s="3">
        <v>0</v>
      </c>
      <c r="M259" s="3">
        <v>0</v>
      </c>
      <c r="N259" s="3">
        <v>2</v>
      </c>
      <c r="O259" s="3">
        <v>0.21</v>
      </c>
      <c r="P259" s="3">
        <v>0</v>
      </c>
      <c r="Q259" s="3">
        <v>0</v>
      </c>
      <c r="R259" s="3">
        <v>0</v>
      </c>
    </row>
    <row r="260" spans="1:18">
      <c r="A260" s="3" t="s">
        <v>1927</v>
      </c>
      <c r="B260" s="3" t="s">
        <v>1928</v>
      </c>
      <c r="C260" s="3" t="s">
        <v>1929</v>
      </c>
      <c r="D260" s="3" t="s">
        <v>680</v>
      </c>
      <c r="E260" s="3" t="s">
        <v>340</v>
      </c>
      <c r="F260" s="3">
        <v>35</v>
      </c>
      <c r="G260" s="3" t="s">
        <v>2572</v>
      </c>
      <c r="H260" s="3"/>
      <c r="I260" s="3" t="s">
        <v>2573</v>
      </c>
      <c r="J260" s="3">
        <v>4</v>
      </c>
      <c r="K260" s="3">
        <v>4</v>
      </c>
      <c r="L260" s="3">
        <v>0</v>
      </c>
      <c r="M260" s="3">
        <v>0</v>
      </c>
      <c r="N260" s="3">
        <v>4</v>
      </c>
      <c r="O260" s="3">
        <v>0.22</v>
      </c>
      <c r="P260" s="3">
        <v>0</v>
      </c>
      <c r="Q260" s="3">
        <v>0</v>
      </c>
      <c r="R260" s="3">
        <v>0</v>
      </c>
    </row>
    <row r="261" spans="1:18">
      <c r="A261" s="3" t="s">
        <v>361</v>
      </c>
      <c r="B261" s="3" t="s">
        <v>362</v>
      </c>
      <c r="C261" s="3" t="s">
        <v>363</v>
      </c>
      <c r="D261" s="3" t="s">
        <v>364</v>
      </c>
      <c r="E261" s="3" t="s">
        <v>340</v>
      </c>
      <c r="F261" s="3">
        <v>35</v>
      </c>
      <c r="G261" s="3" t="s">
        <v>2572</v>
      </c>
      <c r="H261" s="3"/>
      <c r="I261" s="3" t="s">
        <v>2573</v>
      </c>
      <c r="J261" s="3">
        <v>4</v>
      </c>
      <c r="K261" s="3">
        <v>3</v>
      </c>
      <c r="L261" s="3">
        <v>1</v>
      </c>
      <c r="M261" s="3">
        <v>0</v>
      </c>
      <c r="N261" s="3">
        <v>4</v>
      </c>
      <c r="O261" s="3">
        <v>0.17</v>
      </c>
      <c r="P261" s="3">
        <v>0</v>
      </c>
      <c r="Q261" s="3">
        <v>0</v>
      </c>
      <c r="R261" s="3">
        <v>0</v>
      </c>
    </row>
    <row r="262" spans="1:18">
      <c r="A262" s="3" t="s">
        <v>2239</v>
      </c>
      <c r="B262" s="3" t="s">
        <v>2240</v>
      </c>
      <c r="C262" s="3" t="s">
        <v>2241</v>
      </c>
      <c r="D262" s="3" t="s">
        <v>680</v>
      </c>
      <c r="E262" s="3" t="s">
        <v>340</v>
      </c>
      <c r="F262" s="3">
        <v>35</v>
      </c>
      <c r="G262" s="3" t="s">
        <v>2572</v>
      </c>
      <c r="H262" s="3"/>
      <c r="I262" s="3" t="s">
        <v>2573</v>
      </c>
      <c r="J262" s="3">
        <v>6</v>
      </c>
      <c r="K262" s="3">
        <v>6</v>
      </c>
      <c r="L262" s="3">
        <v>0</v>
      </c>
      <c r="M262" s="3">
        <v>0</v>
      </c>
      <c r="N262" s="3">
        <v>6</v>
      </c>
      <c r="O262" s="3">
        <v>0.23</v>
      </c>
      <c r="P262" s="3">
        <v>0</v>
      </c>
      <c r="Q262" s="3">
        <v>0</v>
      </c>
      <c r="R262" s="3">
        <v>0</v>
      </c>
    </row>
    <row r="263" spans="1:18">
      <c r="A263" s="3" t="s">
        <v>909</v>
      </c>
      <c r="B263" s="3" t="s">
        <v>910</v>
      </c>
      <c r="C263" s="3" t="s">
        <v>911</v>
      </c>
      <c r="D263" s="3" t="s">
        <v>680</v>
      </c>
      <c r="E263" s="3" t="s">
        <v>340</v>
      </c>
      <c r="F263" s="3">
        <v>35</v>
      </c>
      <c r="G263" s="3" t="s">
        <v>2572</v>
      </c>
      <c r="H263" s="3"/>
      <c r="I263" s="3" t="s">
        <v>2573</v>
      </c>
      <c r="J263" s="3">
        <v>3</v>
      </c>
      <c r="K263" s="3">
        <v>3</v>
      </c>
      <c r="L263" s="3">
        <v>0</v>
      </c>
      <c r="M263" s="3">
        <v>0</v>
      </c>
      <c r="N263" s="3">
        <v>3</v>
      </c>
      <c r="O263" s="3">
        <v>0.15</v>
      </c>
      <c r="P263" s="3">
        <v>0</v>
      </c>
      <c r="Q263" s="3">
        <v>0</v>
      </c>
      <c r="R263" s="3">
        <v>0</v>
      </c>
    </row>
    <row r="264" spans="1:18">
      <c r="A264" s="3" t="s">
        <v>2736</v>
      </c>
      <c r="B264" s="3" t="s">
        <v>2737</v>
      </c>
      <c r="C264" s="3" t="s">
        <v>2738</v>
      </c>
      <c r="D264" s="3" t="s">
        <v>680</v>
      </c>
      <c r="E264" s="3" t="s">
        <v>340</v>
      </c>
      <c r="F264" s="3">
        <v>35</v>
      </c>
      <c r="G264" s="3" t="s">
        <v>2572</v>
      </c>
      <c r="H264" s="3"/>
      <c r="I264" s="3" t="s">
        <v>2573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0.15</v>
      </c>
      <c r="P264" s="3">
        <v>0</v>
      </c>
      <c r="Q264" s="3">
        <v>0</v>
      </c>
      <c r="R264" s="3">
        <v>0</v>
      </c>
    </row>
    <row r="265" spans="1:18">
      <c r="A265" s="3" t="s">
        <v>860</v>
      </c>
      <c r="B265" s="3" t="s">
        <v>861</v>
      </c>
      <c r="C265" s="3" t="s">
        <v>862</v>
      </c>
      <c r="D265" s="3" t="s">
        <v>364</v>
      </c>
      <c r="E265" s="3" t="s">
        <v>340</v>
      </c>
      <c r="F265" s="3">
        <v>35</v>
      </c>
      <c r="G265" s="3" t="s">
        <v>2572</v>
      </c>
      <c r="H265" s="3"/>
      <c r="I265" s="3" t="s">
        <v>2573</v>
      </c>
      <c r="J265" s="3">
        <v>1</v>
      </c>
      <c r="K265" s="3">
        <v>1</v>
      </c>
      <c r="L265" s="3">
        <v>0</v>
      </c>
      <c r="M265" s="3">
        <v>0</v>
      </c>
      <c r="N265" s="3">
        <v>1</v>
      </c>
      <c r="O265" s="3">
        <v>0.16</v>
      </c>
      <c r="P265" s="3">
        <v>0</v>
      </c>
      <c r="Q265" s="3">
        <v>0</v>
      </c>
      <c r="R265" s="3">
        <v>0</v>
      </c>
    </row>
    <row r="266" spans="1:18">
      <c r="A266" s="3" t="s">
        <v>2004</v>
      </c>
      <c r="B266" s="3" t="s">
        <v>2005</v>
      </c>
      <c r="C266" s="3" t="s">
        <v>2006</v>
      </c>
      <c r="D266" s="3" t="s">
        <v>680</v>
      </c>
      <c r="E266" s="3" t="s">
        <v>340</v>
      </c>
      <c r="F266" s="3">
        <v>35</v>
      </c>
      <c r="G266" s="3" t="s">
        <v>2572</v>
      </c>
      <c r="H266" s="3"/>
      <c r="I266" s="3" t="s">
        <v>2573</v>
      </c>
      <c r="J266" s="3">
        <v>2</v>
      </c>
      <c r="K266" s="3">
        <v>2</v>
      </c>
      <c r="L266" s="3">
        <v>0</v>
      </c>
      <c r="M266" s="3">
        <v>0</v>
      </c>
      <c r="N266" s="3">
        <v>2</v>
      </c>
      <c r="O266" s="3">
        <v>0.15</v>
      </c>
      <c r="P266" s="3">
        <v>0</v>
      </c>
      <c r="Q266" s="3">
        <v>0</v>
      </c>
      <c r="R266" s="3">
        <v>0</v>
      </c>
    </row>
    <row r="267" spans="1:18">
      <c r="A267" s="3" t="s">
        <v>2168</v>
      </c>
      <c r="B267" s="3" t="s">
        <v>2169</v>
      </c>
      <c r="C267" s="3" t="s">
        <v>2170</v>
      </c>
      <c r="D267" s="3" t="s">
        <v>680</v>
      </c>
      <c r="E267" s="3" t="s">
        <v>340</v>
      </c>
      <c r="F267" s="3">
        <v>35</v>
      </c>
      <c r="G267" s="3" t="s">
        <v>2572</v>
      </c>
      <c r="H267" s="3"/>
      <c r="I267" s="3" t="s">
        <v>2573</v>
      </c>
      <c r="J267" s="3">
        <v>1</v>
      </c>
      <c r="K267" s="3">
        <v>1</v>
      </c>
      <c r="L267" s="3">
        <v>0</v>
      </c>
      <c r="M267" s="3">
        <v>0</v>
      </c>
      <c r="N267" s="3">
        <v>1</v>
      </c>
      <c r="O267" s="3">
        <v>0.16</v>
      </c>
      <c r="P267" s="3">
        <v>0</v>
      </c>
      <c r="Q267" s="3">
        <v>0</v>
      </c>
      <c r="R267" s="3">
        <v>0</v>
      </c>
    </row>
    <row r="268" spans="1:18">
      <c r="A268" s="3" t="s">
        <v>812</v>
      </c>
      <c r="B268" s="3" t="s">
        <v>813</v>
      </c>
      <c r="C268" s="3" t="s">
        <v>814</v>
      </c>
      <c r="D268" s="3" t="s">
        <v>577</v>
      </c>
      <c r="E268" s="3" t="s">
        <v>340</v>
      </c>
      <c r="F268" s="3">
        <v>35</v>
      </c>
      <c r="G268" s="3" t="s">
        <v>2572</v>
      </c>
      <c r="H268" s="3"/>
      <c r="I268" s="3" t="s">
        <v>2573</v>
      </c>
      <c r="J268" s="3">
        <v>3</v>
      </c>
      <c r="K268" s="3">
        <v>3</v>
      </c>
      <c r="L268" s="3">
        <v>0</v>
      </c>
      <c r="M268" s="3">
        <v>0</v>
      </c>
      <c r="N268" s="3">
        <v>3</v>
      </c>
      <c r="O268" s="3">
        <v>0.1</v>
      </c>
      <c r="P268" s="3">
        <v>0</v>
      </c>
      <c r="Q268" s="3">
        <v>0</v>
      </c>
      <c r="R268" s="3">
        <v>0</v>
      </c>
    </row>
    <row r="269" spans="1:18">
      <c r="A269" s="3" t="s">
        <v>1610</v>
      </c>
      <c r="B269" s="3" t="s">
        <v>1611</v>
      </c>
      <c r="C269" s="3" t="s">
        <v>1612</v>
      </c>
      <c r="D269" s="3" t="s">
        <v>577</v>
      </c>
      <c r="E269" s="3" t="s">
        <v>340</v>
      </c>
      <c r="F269" s="3">
        <v>35</v>
      </c>
      <c r="G269" s="3" t="s">
        <v>2572</v>
      </c>
      <c r="H269" s="3"/>
      <c r="I269" s="3" t="s">
        <v>2573</v>
      </c>
      <c r="J269" s="3">
        <v>1</v>
      </c>
      <c r="K269" s="3">
        <v>1</v>
      </c>
      <c r="L269" s="3">
        <v>0</v>
      </c>
      <c r="M269" s="3">
        <v>0</v>
      </c>
      <c r="N269" s="3">
        <v>1</v>
      </c>
      <c r="O269" s="3">
        <v>0.1</v>
      </c>
      <c r="P269" s="3">
        <v>0</v>
      </c>
      <c r="Q269" s="3">
        <v>0</v>
      </c>
      <c r="R269" s="3">
        <v>0</v>
      </c>
    </row>
    <row r="270" spans="1:18">
      <c r="A270" s="3" t="s">
        <v>1415</v>
      </c>
      <c r="B270" s="3" t="s">
        <v>1416</v>
      </c>
      <c r="C270" s="3" t="s">
        <v>1417</v>
      </c>
      <c r="D270" s="3" t="s">
        <v>577</v>
      </c>
      <c r="E270" s="3" t="s">
        <v>340</v>
      </c>
      <c r="F270" s="3">
        <v>35</v>
      </c>
      <c r="G270" s="3" t="s">
        <v>2572</v>
      </c>
      <c r="H270" s="3"/>
      <c r="I270" s="3" t="s">
        <v>2573</v>
      </c>
      <c r="J270" s="3">
        <v>5</v>
      </c>
      <c r="K270" s="3">
        <v>5</v>
      </c>
      <c r="L270" s="3">
        <v>0</v>
      </c>
      <c r="M270" s="3">
        <v>0</v>
      </c>
      <c r="N270" s="3">
        <v>5</v>
      </c>
      <c r="O270" s="3">
        <v>0.1</v>
      </c>
      <c r="P270" s="3">
        <v>0</v>
      </c>
      <c r="Q270" s="3">
        <v>0</v>
      </c>
      <c r="R270" s="3">
        <v>0</v>
      </c>
    </row>
    <row r="271" spans="1:18">
      <c r="A271" s="3" t="s">
        <v>574</v>
      </c>
      <c r="B271" s="3" t="s">
        <v>575</v>
      </c>
      <c r="C271" s="3" t="s">
        <v>576</v>
      </c>
      <c r="D271" s="3" t="s">
        <v>577</v>
      </c>
      <c r="E271" s="3" t="s">
        <v>340</v>
      </c>
      <c r="F271" s="3">
        <v>35</v>
      </c>
      <c r="G271" s="3" t="s">
        <v>2572</v>
      </c>
      <c r="H271" s="3"/>
      <c r="I271" s="3" t="s">
        <v>2573</v>
      </c>
      <c r="J271" s="3">
        <v>4</v>
      </c>
      <c r="K271" s="3">
        <v>4</v>
      </c>
      <c r="L271" s="3">
        <v>0</v>
      </c>
      <c r="M271" s="3">
        <v>0</v>
      </c>
      <c r="N271" s="3">
        <v>4</v>
      </c>
      <c r="O271" s="3">
        <v>0.1</v>
      </c>
      <c r="P271" s="3">
        <v>0</v>
      </c>
      <c r="Q271" s="3">
        <v>0</v>
      </c>
      <c r="R271" s="3">
        <v>0</v>
      </c>
    </row>
    <row r="272" spans="1:18">
      <c r="A272" s="3" t="s">
        <v>1528</v>
      </c>
      <c r="B272" s="3" t="s">
        <v>1529</v>
      </c>
      <c r="C272" s="3" t="s">
        <v>1530</v>
      </c>
      <c r="D272" s="3" t="s">
        <v>577</v>
      </c>
      <c r="E272" s="3" t="s">
        <v>340</v>
      </c>
      <c r="F272" s="3">
        <v>35</v>
      </c>
      <c r="G272" s="3" t="s">
        <v>2572</v>
      </c>
      <c r="H272" s="3"/>
      <c r="I272" s="3" t="s">
        <v>2573</v>
      </c>
      <c r="J272" s="3">
        <v>4</v>
      </c>
      <c r="K272" s="3">
        <v>4</v>
      </c>
      <c r="L272" s="3">
        <v>0</v>
      </c>
      <c r="M272" s="3">
        <v>0</v>
      </c>
      <c r="N272" s="3">
        <v>4</v>
      </c>
      <c r="O272" s="3">
        <v>0.11</v>
      </c>
      <c r="P272" s="3">
        <v>0</v>
      </c>
      <c r="Q272" s="3">
        <v>0</v>
      </c>
      <c r="R272" s="3">
        <v>0</v>
      </c>
    </row>
    <row r="273" spans="1:18">
      <c r="A273" s="3" t="s">
        <v>2246</v>
      </c>
      <c r="B273" s="3" t="s">
        <v>2247</v>
      </c>
      <c r="C273" s="3" t="s">
        <v>2248</v>
      </c>
      <c r="D273" s="3" t="s">
        <v>577</v>
      </c>
      <c r="E273" s="3" t="s">
        <v>340</v>
      </c>
      <c r="F273" s="3">
        <v>35</v>
      </c>
      <c r="G273" s="3" t="s">
        <v>2572</v>
      </c>
      <c r="H273" s="3"/>
      <c r="I273" s="3" t="s">
        <v>2573</v>
      </c>
      <c r="J273" s="3">
        <v>1</v>
      </c>
      <c r="K273" s="3">
        <v>1</v>
      </c>
      <c r="L273" s="3">
        <v>0</v>
      </c>
      <c r="M273" s="3">
        <v>0</v>
      </c>
      <c r="N273" s="3">
        <v>1</v>
      </c>
      <c r="O273" s="3">
        <v>0.1</v>
      </c>
      <c r="P273" s="3">
        <v>0</v>
      </c>
      <c r="Q273" s="3">
        <v>0</v>
      </c>
      <c r="R273" s="3">
        <v>0</v>
      </c>
    </row>
    <row r="274" spans="1:18">
      <c r="A274" s="3" t="s">
        <v>1412</v>
      </c>
      <c r="B274" s="3" t="s">
        <v>1413</v>
      </c>
      <c r="C274" s="3" t="s">
        <v>1414</v>
      </c>
      <c r="D274" s="3" t="s">
        <v>577</v>
      </c>
      <c r="E274" s="3" t="s">
        <v>340</v>
      </c>
      <c r="F274" s="3">
        <v>35</v>
      </c>
      <c r="G274" s="3" t="s">
        <v>2572</v>
      </c>
      <c r="H274" s="3"/>
      <c r="I274" s="3" t="s">
        <v>2573</v>
      </c>
      <c r="J274" s="3">
        <v>7</v>
      </c>
      <c r="K274" s="3">
        <v>7</v>
      </c>
      <c r="L274" s="3">
        <v>0</v>
      </c>
      <c r="M274" s="3">
        <v>0</v>
      </c>
      <c r="N274" s="3">
        <v>7</v>
      </c>
      <c r="O274" s="3">
        <v>0.1</v>
      </c>
      <c r="P274" s="3">
        <v>0</v>
      </c>
      <c r="Q274" s="3">
        <v>0</v>
      </c>
      <c r="R274" s="3">
        <v>0</v>
      </c>
    </row>
    <row r="275" spans="1:18">
      <c r="A275" s="3" t="s">
        <v>1001</v>
      </c>
      <c r="B275" s="3" t="s">
        <v>1002</v>
      </c>
      <c r="C275" s="3" t="s">
        <v>1003</v>
      </c>
      <c r="D275" s="3" t="s">
        <v>577</v>
      </c>
      <c r="E275" s="3" t="s">
        <v>340</v>
      </c>
      <c r="F275" s="3">
        <v>35</v>
      </c>
      <c r="G275" s="3" t="s">
        <v>2572</v>
      </c>
      <c r="H275" s="3"/>
      <c r="I275" s="3" t="s">
        <v>2573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0.1</v>
      </c>
      <c r="P275" s="3">
        <v>0</v>
      </c>
      <c r="Q275" s="3">
        <v>0</v>
      </c>
      <c r="R275" s="3">
        <v>0</v>
      </c>
    </row>
    <row r="276" spans="1:18">
      <c r="A276" s="3" t="s">
        <v>2739</v>
      </c>
      <c r="B276" s="3" t="s">
        <v>2740</v>
      </c>
      <c r="C276" s="3" t="s">
        <v>2741</v>
      </c>
      <c r="D276" s="3" t="s">
        <v>577</v>
      </c>
      <c r="E276" s="3" t="s">
        <v>340</v>
      </c>
      <c r="F276" s="3">
        <v>35</v>
      </c>
      <c r="G276" s="3" t="s">
        <v>2572</v>
      </c>
      <c r="H276" s="3"/>
      <c r="I276" s="3" t="s">
        <v>2573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0.1</v>
      </c>
      <c r="P276" s="3">
        <v>0</v>
      </c>
      <c r="Q276" s="3">
        <v>0</v>
      </c>
      <c r="R276" s="3">
        <v>0</v>
      </c>
    </row>
    <row r="277" spans="1:18">
      <c r="A277" s="3" t="s">
        <v>2742</v>
      </c>
      <c r="B277" s="3" t="s">
        <v>2743</v>
      </c>
      <c r="C277" s="3" t="s">
        <v>2744</v>
      </c>
      <c r="D277" s="3" t="s">
        <v>577</v>
      </c>
      <c r="E277" s="3" t="s">
        <v>340</v>
      </c>
      <c r="F277" s="3">
        <v>35</v>
      </c>
      <c r="G277" s="3" t="s">
        <v>2572</v>
      </c>
      <c r="H277" s="3"/>
      <c r="I277" s="3" t="s">
        <v>2573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0.1</v>
      </c>
      <c r="P277" s="3">
        <v>0</v>
      </c>
      <c r="Q277" s="3">
        <v>0</v>
      </c>
      <c r="R277" s="3">
        <v>0</v>
      </c>
    </row>
    <row r="278" spans="1:18">
      <c r="A278" s="3" t="s">
        <v>1638</v>
      </c>
      <c r="B278" s="3" t="s">
        <v>1639</v>
      </c>
      <c r="C278" s="3" t="s">
        <v>1640</v>
      </c>
      <c r="D278" s="3" t="s">
        <v>577</v>
      </c>
      <c r="E278" s="3" t="s">
        <v>340</v>
      </c>
      <c r="F278" s="3">
        <v>35</v>
      </c>
      <c r="G278" s="3" t="s">
        <v>2572</v>
      </c>
      <c r="H278" s="3"/>
      <c r="I278" s="3" t="s">
        <v>2573</v>
      </c>
      <c r="J278" s="3">
        <v>1</v>
      </c>
      <c r="K278" s="3">
        <v>1</v>
      </c>
      <c r="L278" s="3">
        <v>0</v>
      </c>
      <c r="M278" s="3">
        <v>0</v>
      </c>
      <c r="N278" s="3">
        <v>1</v>
      </c>
      <c r="O278" s="3">
        <v>0.1</v>
      </c>
      <c r="P278" s="3">
        <v>0</v>
      </c>
      <c r="Q278" s="3">
        <v>0</v>
      </c>
      <c r="R278" s="3">
        <v>0</v>
      </c>
    </row>
    <row r="279" spans="1:18">
      <c r="A279" s="3" t="s">
        <v>706</v>
      </c>
      <c r="B279" s="3" t="s">
        <v>707</v>
      </c>
      <c r="C279" s="3" t="s">
        <v>708</v>
      </c>
      <c r="D279" s="3" t="s">
        <v>603</v>
      </c>
      <c r="E279" s="3" t="s">
        <v>340</v>
      </c>
      <c r="F279" s="3">
        <v>35</v>
      </c>
      <c r="G279" s="3" t="s">
        <v>2572</v>
      </c>
      <c r="H279" s="3"/>
      <c r="I279" s="3" t="s">
        <v>2573</v>
      </c>
      <c r="J279" s="3">
        <v>4</v>
      </c>
      <c r="K279" s="3">
        <v>4</v>
      </c>
      <c r="L279" s="3">
        <v>0</v>
      </c>
      <c r="M279" s="3">
        <v>0</v>
      </c>
      <c r="N279" s="3">
        <v>4</v>
      </c>
      <c r="O279" s="3">
        <v>0.18</v>
      </c>
      <c r="P279" s="3">
        <v>0</v>
      </c>
      <c r="Q279" s="3">
        <v>0</v>
      </c>
      <c r="R279" s="3">
        <v>0</v>
      </c>
    </row>
    <row r="280" spans="1:18">
      <c r="A280" s="3" t="s">
        <v>1946</v>
      </c>
      <c r="B280" s="3" t="s">
        <v>1947</v>
      </c>
      <c r="C280" s="3" t="s">
        <v>1948</v>
      </c>
      <c r="D280" s="3" t="s">
        <v>603</v>
      </c>
      <c r="E280" s="3" t="s">
        <v>340</v>
      </c>
      <c r="F280" s="3">
        <v>35</v>
      </c>
      <c r="G280" s="3" t="s">
        <v>2572</v>
      </c>
      <c r="H280" s="3"/>
      <c r="I280" s="3" t="s">
        <v>2573</v>
      </c>
      <c r="J280" s="3">
        <v>1</v>
      </c>
      <c r="K280" s="3">
        <v>1</v>
      </c>
      <c r="L280" s="3">
        <v>0</v>
      </c>
      <c r="M280" s="3">
        <v>0</v>
      </c>
      <c r="N280" s="3">
        <v>1</v>
      </c>
      <c r="O280" s="3">
        <v>0.18</v>
      </c>
      <c r="P280" s="3">
        <v>0</v>
      </c>
      <c r="Q280" s="3">
        <v>0</v>
      </c>
      <c r="R280" s="3">
        <v>0</v>
      </c>
    </row>
    <row r="281" spans="1:18">
      <c r="A281" s="3" t="s">
        <v>600</v>
      </c>
      <c r="B281" s="3" t="s">
        <v>601</v>
      </c>
      <c r="C281" s="3" t="s">
        <v>602</v>
      </c>
      <c r="D281" s="3" t="s">
        <v>603</v>
      </c>
      <c r="E281" s="3" t="s">
        <v>340</v>
      </c>
      <c r="F281" s="3">
        <v>35</v>
      </c>
      <c r="G281" s="3" t="s">
        <v>2572</v>
      </c>
      <c r="H281" s="3"/>
      <c r="I281" s="3" t="s">
        <v>2573</v>
      </c>
      <c r="J281" s="3">
        <v>1</v>
      </c>
      <c r="K281" s="3">
        <v>1</v>
      </c>
      <c r="L281" s="3">
        <v>0</v>
      </c>
      <c r="M281" s="3">
        <v>0</v>
      </c>
      <c r="N281" s="3">
        <v>1</v>
      </c>
      <c r="O281" s="3">
        <v>0.18</v>
      </c>
      <c r="P281" s="3">
        <v>0</v>
      </c>
      <c r="Q281" s="3">
        <v>0</v>
      </c>
      <c r="R281" s="3">
        <v>0</v>
      </c>
    </row>
    <row r="282" spans="1:18">
      <c r="A282" s="3" t="s">
        <v>1110</v>
      </c>
      <c r="B282" s="3" t="s">
        <v>1111</v>
      </c>
      <c r="C282" s="3" t="s">
        <v>1112</v>
      </c>
      <c r="D282" s="3" t="s">
        <v>1113</v>
      </c>
      <c r="E282" s="3" t="s">
        <v>340</v>
      </c>
      <c r="F282" s="3">
        <v>35</v>
      </c>
      <c r="G282" s="3" t="s">
        <v>2572</v>
      </c>
      <c r="H282" s="3"/>
      <c r="I282" s="3" t="s">
        <v>2573</v>
      </c>
      <c r="J282" s="3">
        <v>6</v>
      </c>
      <c r="K282" s="3">
        <v>6</v>
      </c>
      <c r="L282" s="3">
        <v>0</v>
      </c>
      <c r="M282" s="3">
        <v>0</v>
      </c>
      <c r="N282" s="3">
        <v>6</v>
      </c>
      <c r="O282" s="3">
        <v>0.18</v>
      </c>
      <c r="P282" s="3">
        <v>0</v>
      </c>
      <c r="Q282" s="3">
        <v>0</v>
      </c>
      <c r="R282" s="3">
        <v>0</v>
      </c>
    </row>
    <row r="283" spans="1:18">
      <c r="A283" s="3" t="s">
        <v>2554</v>
      </c>
      <c r="B283" s="3" t="s">
        <v>2555</v>
      </c>
      <c r="C283" s="3" t="s">
        <v>2556</v>
      </c>
      <c r="D283" s="3" t="s">
        <v>1113</v>
      </c>
      <c r="E283" s="3" t="s">
        <v>340</v>
      </c>
      <c r="F283" s="3">
        <v>35</v>
      </c>
      <c r="G283" s="3" t="s">
        <v>2572</v>
      </c>
      <c r="H283" s="3"/>
      <c r="I283" s="3" t="s">
        <v>2573</v>
      </c>
      <c r="J283" s="3">
        <v>1</v>
      </c>
      <c r="K283" s="3">
        <v>1</v>
      </c>
      <c r="L283" s="3">
        <v>0</v>
      </c>
      <c r="M283" s="3">
        <v>0</v>
      </c>
      <c r="N283" s="3">
        <v>1</v>
      </c>
      <c r="O283" s="3">
        <v>0.18</v>
      </c>
      <c r="P283" s="3">
        <v>0</v>
      </c>
      <c r="Q283" s="3">
        <v>0</v>
      </c>
      <c r="R283" s="3">
        <v>0</v>
      </c>
    </row>
    <row r="284" spans="1:18">
      <c r="A284" s="3" t="s">
        <v>1480</v>
      </c>
      <c r="B284" s="3" t="s">
        <v>1481</v>
      </c>
      <c r="C284" s="3" t="s">
        <v>1482</v>
      </c>
      <c r="D284" s="3" t="s">
        <v>1113</v>
      </c>
      <c r="E284" s="3" t="s">
        <v>340</v>
      </c>
      <c r="F284" s="3">
        <v>35</v>
      </c>
      <c r="G284" s="3" t="s">
        <v>2572</v>
      </c>
      <c r="H284" s="3"/>
      <c r="I284" s="3" t="s">
        <v>2573</v>
      </c>
      <c r="J284" s="3">
        <v>2</v>
      </c>
      <c r="K284" s="3">
        <v>2</v>
      </c>
      <c r="L284" s="3">
        <v>0</v>
      </c>
      <c r="M284" s="3">
        <v>0</v>
      </c>
      <c r="N284" s="3">
        <v>2</v>
      </c>
      <c r="O284" s="3">
        <v>0.18</v>
      </c>
      <c r="P284" s="3">
        <v>0</v>
      </c>
      <c r="Q284" s="3">
        <v>0</v>
      </c>
      <c r="R284" s="3">
        <v>0</v>
      </c>
    </row>
    <row r="285" spans="1:18">
      <c r="A285" s="3" t="s">
        <v>2426</v>
      </c>
      <c r="B285" s="3" t="s">
        <v>2427</v>
      </c>
      <c r="C285" s="3" t="s">
        <v>2428</v>
      </c>
      <c r="D285" s="3" t="s">
        <v>1113</v>
      </c>
      <c r="E285" s="3" t="s">
        <v>340</v>
      </c>
      <c r="F285" s="3">
        <v>35</v>
      </c>
      <c r="G285" s="3" t="s">
        <v>2572</v>
      </c>
      <c r="H285" s="3"/>
      <c r="I285" s="3" t="s">
        <v>2573</v>
      </c>
      <c r="J285" s="3">
        <v>3</v>
      </c>
      <c r="K285" s="3">
        <v>3</v>
      </c>
      <c r="L285" s="3">
        <v>0</v>
      </c>
      <c r="M285" s="3">
        <v>0</v>
      </c>
      <c r="N285" s="3">
        <v>3</v>
      </c>
      <c r="O285" s="3">
        <v>0.18</v>
      </c>
      <c r="P285" s="3">
        <v>0</v>
      </c>
      <c r="Q285" s="3">
        <v>0</v>
      </c>
      <c r="R285" s="3">
        <v>0</v>
      </c>
    </row>
    <row r="286" spans="1:18">
      <c r="A286" s="3" t="s">
        <v>2745</v>
      </c>
      <c r="B286" s="3" t="s">
        <v>2746</v>
      </c>
      <c r="C286" s="3" t="s">
        <v>2747</v>
      </c>
      <c r="D286" s="3" t="s">
        <v>2748</v>
      </c>
      <c r="E286" s="3" t="s">
        <v>340</v>
      </c>
      <c r="F286" s="3">
        <v>29.79</v>
      </c>
      <c r="G286" s="3" t="s">
        <v>2572</v>
      </c>
      <c r="H286" s="3"/>
      <c r="I286" s="3" t="s">
        <v>2573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0.11</v>
      </c>
      <c r="P286" s="3">
        <v>0</v>
      </c>
      <c r="Q286" s="3">
        <v>0</v>
      </c>
      <c r="R286" s="3">
        <v>0</v>
      </c>
    </row>
    <row r="287" spans="1:18">
      <c r="A287" s="3" t="s">
        <v>1168</v>
      </c>
      <c r="B287" s="3" t="s">
        <v>1169</v>
      </c>
      <c r="C287" s="3" t="s">
        <v>1170</v>
      </c>
      <c r="D287" s="3" t="s">
        <v>530</v>
      </c>
      <c r="E287" s="3" t="s">
        <v>340</v>
      </c>
      <c r="F287" s="3">
        <v>26.98</v>
      </c>
      <c r="G287" s="3" t="s">
        <v>2572</v>
      </c>
      <c r="H287" s="3"/>
      <c r="I287" s="3" t="s">
        <v>2573</v>
      </c>
      <c r="J287" s="3">
        <v>1</v>
      </c>
      <c r="K287" s="3">
        <v>1</v>
      </c>
      <c r="L287" s="3">
        <v>0</v>
      </c>
      <c r="M287" s="3">
        <v>0</v>
      </c>
      <c r="N287" s="3">
        <v>1</v>
      </c>
      <c r="O287" s="3">
        <v>0.11</v>
      </c>
      <c r="P287" s="3">
        <v>0</v>
      </c>
      <c r="Q287" s="3">
        <v>0</v>
      </c>
      <c r="R287" s="3">
        <v>0</v>
      </c>
    </row>
    <row r="288" spans="1:18">
      <c r="A288" s="3" t="s">
        <v>527</v>
      </c>
      <c r="B288" s="3" t="s">
        <v>528</v>
      </c>
      <c r="C288" s="3" t="s">
        <v>529</v>
      </c>
      <c r="D288" s="3" t="s">
        <v>530</v>
      </c>
      <c r="E288" s="3" t="s">
        <v>340</v>
      </c>
      <c r="F288" s="3">
        <v>26.98</v>
      </c>
      <c r="G288" s="3" t="s">
        <v>2572</v>
      </c>
      <c r="H288" s="3"/>
      <c r="I288" s="3" t="s">
        <v>2573</v>
      </c>
      <c r="J288" s="3">
        <v>4</v>
      </c>
      <c r="K288" s="3">
        <v>4</v>
      </c>
      <c r="L288" s="3">
        <v>0</v>
      </c>
      <c r="M288" s="3">
        <v>0</v>
      </c>
      <c r="N288" s="3">
        <v>4</v>
      </c>
      <c r="O288" s="3">
        <v>0.09</v>
      </c>
      <c r="P288" s="3">
        <v>0</v>
      </c>
      <c r="Q288" s="3">
        <v>0</v>
      </c>
      <c r="R288" s="3">
        <v>0</v>
      </c>
    </row>
    <row r="289" spans="1:18">
      <c r="A289" s="3" t="s">
        <v>955</v>
      </c>
      <c r="B289" s="3" t="s">
        <v>956</v>
      </c>
      <c r="C289" s="3" t="s">
        <v>957</v>
      </c>
      <c r="D289" s="3" t="s">
        <v>530</v>
      </c>
      <c r="E289" s="3" t="s">
        <v>340</v>
      </c>
      <c r="F289" s="3">
        <v>26.98</v>
      </c>
      <c r="G289" s="3" t="s">
        <v>2572</v>
      </c>
      <c r="H289" s="3"/>
      <c r="I289" s="3" t="s">
        <v>2573</v>
      </c>
      <c r="J289" s="3">
        <v>2</v>
      </c>
      <c r="K289" s="3">
        <v>2</v>
      </c>
      <c r="L289" s="3">
        <v>0</v>
      </c>
      <c r="M289" s="3">
        <v>0</v>
      </c>
      <c r="N289" s="3">
        <v>2</v>
      </c>
      <c r="O289" s="3">
        <v>0.11</v>
      </c>
      <c r="P289" s="3">
        <v>0</v>
      </c>
      <c r="Q289" s="3">
        <v>0</v>
      </c>
      <c r="R289" s="3">
        <v>0</v>
      </c>
    </row>
    <row r="290" spans="1:18">
      <c r="A290" s="3" t="s">
        <v>2444</v>
      </c>
      <c r="B290" s="3" t="s">
        <v>2445</v>
      </c>
      <c r="C290" s="3" t="s">
        <v>2446</v>
      </c>
      <c r="D290" s="3" t="s">
        <v>530</v>
      </c>
      <c r="E290" s="3" t="s">
        <v>340</v>
      </c>
      <c r="F290" s="3">
        <v>26.98</v>
      </c>
      <c r="G290" s="3" t="s">
        <v>2572</v>
      </c>
      <c r="H290" s="3"/>
      <c r="I290" s="3" t="s">
        <v>2573</v>
      </c>
      <c r="J290" s="3">
        <v>4</v>
      </c>
      <c r="K290" s="3">
        <v>4</v>
      </c>
      <c r="L290" s="3">
        <v>0</v>
      </c>
      <c r="M290" s="3">
        <v>0</v>
      </c>
      <c r="N290" s="3">
        <v>4</v>
      </c>
      <c r="O290" s="3">
        <v>0.11</v>
      </c>
      <c r="P290" s="3">
        <v>0</v>
      </c>
      <c r="Q290" s="3">
        <v>0</v>
      </c>
      <c r="R290" s="3">
        <v>0</v>
      </c>
    </row>
    <row r="291" spans="1:18">
      <c r="A291" s="3" t="s">
        <v>2749</v>
      </c>
      <c r="B291" s="3" t="s">
        <v>2750</v>
      </c>
      <c r="C291" s="3" t="s">
        <v>2751</v>
      </c>
      <c r="D291" s="3" t="s">
        <v>2752</v>
      </c>
      <c r="E291" s="3" t="s">
        <v>340</v>
      </c>
      <c r="F291" s="3">
        <v>39</v>
      </c>
      <c r="G291" s="3" t="s">
        <v>2572</v>
      </c>
      <c r="H291" s="3"/>
      <c r="I291" s="3" t="s">
        <v>2573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0.21</v>
      </c>
      <c r="P291" s="3">
        <v>0</v>
      </c>
      <c r="Q291" s="3">
        <v>0</v>
      </c>
      <c r="R291" s="3">
        <v>0</v>
      </c>
    </row>
    <row r="292" spans="1:18">
      <c r="A292" s="3" t="s">
        <v>2753</v>
      </c>
      <c r="B292" s="3" t="s">
        <v>2754</v>
      </c>
      <c r="C292" s="3" t="s">
        <v>2755</v>
      </c>
      <c r="D292" s="3" t="s">
        <v>2756</v>
      </c>
      <c r="E292" s="3" t="s">
        <v>340</v>
      </c>
      <c r="F292" s="3">
        <v>39</v>
      </c>
      <c r="G292" s="3" t="s">
        <v>2572</v>
      </c>
      <c r="H292" s="3"/>
      <c r="I292" s="3" t="s">
        <v>2573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0.21</v>
      </c>
      <c r="P292" s="3">
        <v>0</v>
      </c>
      <c r="Q292" s="3">
        <v>0</v>
      </c>
      <c r="R292" s="3">
        <v>0</v>
      </c>
    </row>
    <row r="293" spans="1:18">
      <c r="A293" s="3" t="s">
        <v>1658</v>
      </c>
      <c r="B293" s="3" t="s">
        <v>1659</v>
      </c>
      <c r="C293" s="3" t="s">
        <v>1660</v>
      </c>
      <c r="D293" s="3" t="s">
        <v>1235</v>
      </c>
      <c r="E293" s="3" t="s">
        <v>340</v>
      </c>
      <c r="F293" s="3">
        <v>30</v>
      </c>
      <c r="G293" s="3" t="s">
        <v>2572</v>
      </c>
      <c r="H293" s="3"/>
      <c r="I293" s="3" t="s">
        <v>2573</v>
      </c>
      <c r="J293" s="3">
        <v>10</v>
      </c>
      <c r="K293" s="3">
        <v>10</v>
      </c>
      <c r="L293" s="3">
        <v>0</v>
      </c>
      <c r="M293" s="3">
        <v>0</v>
      </c>
      <c r="N293" s="3">
        <v>10</v>
      </c>
      <c r="O293" s="3">
        <v>0.1</v>
      </c>
      <c r="P293" s="3">
        <v>0</v>
      </c>
      <c r="Q293" s="3">
        <v>0</v>
      </c>
      <c r="R293" s="3">
        <v>0</v>
      </c>
    </row>
    <row r="294" spans="1:18">
      <c r="A294" s="3" t="s">
        <v>1965</v>
      </c>
      <c r="B294" s="3" t="s">
        <v>1966</v>
      </c>
      <c r="C294" s="3" t="s">
        <v>1967</v>
      </c>
      <c r="D294" s="3" t="s">
        <v>1372</v>
      </c>
      <c r="E294" s="3" t="s">
        <v>340</v>
      </c>
      <c r="F294" s="3">
        <v>30</v>
      </c>
      <c r="G294" s="3" t="s">
        <v>2572</v>
      </c>
      <c r="H294" s="3"/>
      <c r="I294" s="3" t="s">
        <v>2573</v>
      </c>
      <c r="J294" s="3">
        <v>7</v>
      </c>
      <c r="K294" s="3">
        <v>7</v>
      </c>
      <c r="L294" s="3">
        <v>0</v>
      </c>
      <c r="M294" s="3">
        <v>0</v>
      </c>
      <c r="N294" s="3">
        <v>7</v>
      </c>
      <c r="O294" s="3">
        <v>0.08</v>
      </c>
      <c r="P294" s="3">
        <v>0</v>
      </c>
      <c r="Q294" s="3">
        <v>0</v>
      </c>
      <c r="R294" s="3">
        <v>0</v>
      </c>
    </row>
    <row r="295" spans="1:18">
      <c r="A295" s="3" t="s">
        <v>1232</v>
      </c>
      <c r="B295" s="3" t="s">
        <v>1233</v>
      </c>
      <c r="C295" s="3" t="s">
        <v>1234</v>
      </c>
      <c r="D295" s="3" t="s">
        <v>1235</v>
      </c>
      <c r="E295" s="3" t="s">
        <v>340</v>
      </c>
      <c r="F295" s="3">
        <v>30</v>
      </c>
      <c r="G295" s="3" t="s">
        <v>2572</v>
      </c>
      <c r="H295" s="3"/>
      <c r="I295" s="3" t="s">
        <v>2573</v>
      </c>
      <c r="J295" s="3">
        <v>3</v>
      </c>
      <c r="K295" s="3">
        <v>3</v>
      </c>
      <c r="L295" s="3">
        <v>0</v>
      </c>
      <c r="M295" s="3">
        <v>0</v>
      </c>
      <c r="N295" s="3">
        <v>3</v>
      </c>
      <c r="O295" s="3">
        <v>0.09</v>
      </c>
      <c r="P295" s="3">
        <v>0</v>
      </c>
      <c r="Q295" s="3">
        <v>0</v>
      </c>
      <c r="R295" s="3">
        <v>0</v>
      </c>
    </row>
    <row r="296" spans="1:18">
      <c r="A296" s="3" t="s">
        <v>1369</v>
      </c>
      <c r="B296" s="3" t="s">
        <v>1370</v>
      </c>
      <c r="C296" s="3" t="s">
        <v>1371</v>
      </c>
      <c r="D296" s="3" t="s">
        <v>1372</v>
      </c>
      <c r="E296" s="3" t="s">
        <v>340</v>
      </c>
      <c r="F296" s="3">
        <v>30</v>
      </c>
      <c r="G296" s="3" t="s">
        <v>2572</v>
      </c>
      <c r="H296" s="3"/>
      <c r="I296" s="3" t="s">
        <v>2573</v>
      </c>
      <c r="J296" s="3">
        <v>9</v>
      </c>
      <c r="K296" s="3">
        <v>9</v>
      </c>
      <c r="L296" s="3">
        <v>0</v>
      </c>
      <c r="M296" s="3">
        <v>0</v>
      </c>
      <c r="N296" s="3">
        <v>9</v>
      </c>
      <c r="O296" s="3">
        <v>0.13</v>
      </c>
      <c r="P296" s="3">
        <v>0</v>
      </c>
      <c r="Q296" s="3">
        <v>0</v>
      </c>
      <c r="R296" s="3">
        <v>0</v>
      </c>
    </row>
    <row r="297" spans="1:18">
      <c r="A297" s="3" t="s">
        <v>2757</v>
      </c>
      <c r="B297" s="3" t="s">
        <v>2758</v>
      </c>
      <c r="C297" s="3" t="s">
        <v>2759</v>
      </c>
      <c r="D297" s="3" t="s">
        <v>1392</v>
      </c>
      <c r="E297" s="3" t="s">
        <v>340</v>
      </c>
      <c r="F297" s="3">
        <v>30</v>
      </c>
      <c r="G297" s="3" t="s">
        <v>2572</v>
      </c>
      <c r="H297" s="3"/>
      <c r="I297" s="3" t="s">
        <v>2573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0.03</v>
      </c>
      <c r="P297" s="3">
        <v>0</v>
      </c>
      <c r="Q297" s="3">
        <v>0</v>
      </c>
      <c r="R297" s="3">
        <v>0</v>
      </c>
    </row>
    <row r="298" spans="1:18">
      <c r="A298" s="3" t="s">
        <v>2760</v>
      </c>
      <c r="B298" s="3" t="s">
        <v>2761</v>
      </c>
      <c r="C298" s="3" t="s">
        <v>2762</v>
      </c>
      <c r="D298" s="3" t="s">
        <v>1392</v>
      </c>
      <c r="E298" s="3" t="s">
        <v>340</v>
      </c>
      <c r="F298" s="3">
        <v>30</v>
      </c>
      <c r="G298" s="3" t="s">
        <v>2572</v>
      </c>
      <c r="H298" s="3"/>
      <c r="I298" s="3" t="s">
        <v>2573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0.03</v>
      </c>
      <c r="P298" s="3">
        <v>0</v>
      </c>
      <c r="Q298" s="3">
        <v>0</v>
      </c>
      <c r="R298" s="3">
        <v>0</v>
      </c>
    </row>
    <row r="299" spans="1:18">
      <c r="A299" s="3" t="s">
        <v>2498</v>
      </c>
      <c r="B299" s="3" t="s">
        <v>2499</v>
      </c>
      <c r="C299" s="3" t="s">
        <v>2500</v>
      </c>
      <c r="D299" s="3" t="s">
        <v>1392</v>
      </c>
      <c r="E299" s="3" t="s">
        <v>340</v>
      </c>
      <c r="F299" s="3">
        <v>18.99</v>
      </c>
      <c r="G299" s="3" t="s">
        <v>2572</v>
      </c>
      <c r="H299" s="3"/>
      <c r="I299" s="3" t="s">
        <v>2573</v>
      </c>
      <c r="J299" s="3">
        <v>4</v>
      </c>
      <c r="K299" s="3">
        <v>4</v>
      </c>
      <c r="L299" s="3">
        <v>0</v>
      </c>
      <c r="M299" s="3">
        <v>0</v>
      </c>
      <c r="N299" s="3">
        <v>4</v>
      </c>
      <c r="O299" s="3">
        <v>0.03</v>
      </c>
      <c r="P299" s="3">
        <v>0</v>
      </c>
      <c r="Q299" s="3">
        <v>0</v>
      </c>
      <c r="R299" s="3">
        <v>0</v>
      </c>
    </row>
    <row r="300" spans="1:18">
      <c r="A300" s="3" t="s">
        <v>1389</v>
      </c>
      <c r="B300" s="3" t="s">
        <v>1390</v>
      </c>
      <c r="C300" s="3" t="s">
        <v>1391</v>
      </c>
      <c r="D300" s="3" t="s">
        <v>1392</v>
      </c>
      <c r="E300" s="3" t="s">
        <v>340</v>
      </c>
      <c r="F300" s="3">
        <v>30</v>
      </c>
      <c r="G300" s="3" t="s">
        <v>2572</v>
      </c>
      <c r="H300" s="3"/>
      <c r="I300" s="3" t="s">
        <v>2573</v>
      </c>
      <c r="J300" s="3">
        <v>25</v>
      </c>
      <c r="K300" s="3">
        <v>25</v>
      </c>
      <c r="L300" s="3">
        <v>0</v>
      </c>
      <c r="M300" s="3">
        <v>0</v>
      </c>
      <c r="N300" s="3">
        <v>25</v>
      </c>
      <c r="O300" s="3">
        <v>0.03</v>
      </c>
      <c r="P300" s="3">
        <v>0</v>
      </c>
      <c r="Q300" s="3">
        <v>0</v>
      </c>
      <c r="R300" s="3">
        <v>0</v>
      </c>
    </row>
    <row r="301" spans="1:18">
      <c r="A301" s="3" t="s">
        <v>1961</v>
      </c>
      <c r="B301" s="3" t="s">
        <v>1962</v>
      </c>
      <c r="C301" s="3" t="s">
        <v>1963</v>
      </c>
      <c r="D301" s="3" t="s">
        <v>1964</v>
      </c>
      <c r="E301" s="3" t="s">
        <v>340</v>
      </c>
      <c r="F301" s="3">
        <v>35.88</v>
      </c>
      <c r="G301" s="3" t="s">
        <v>2572</v>
      </c>
      <c r="H301" s="3"/>
      <c r="I301" s="3" t="s">
        <v>2573</v>
      </c>
      <c r="J301" s="3">
        <v>1</v>
      </c>
      <c r="K301" s="3">
        <v>1</v>
      </c>
      <c r="L301" s="3">
        <v>0</v>
      </c>
      <c r="M301" s="3">
        <v>0</v>
      </c>
      <c r="N301" s="3">
        <v>1</v>
      </c>
      <c r="O301" s="3">
        <v>0.11</v>
      </c>
      <c r="P301" s="3">
        <v>0</v>
      </c>
      <c r="Q301" s="3">
        <v>0</v>
      </c>
      <c r="R301" s="3">
        <v>0</v>
      </c>
    </row>
    <row r="302" spans="1:18">
      <c r="A302" s="3" t="s">
        <v>1354</v>
      </c>
      <c r="B302" s="3" t="s">
        <v>1355</v>
      </c>
      <c r="C302" s="3" t="s">
        <v>1356</v>
      </c>
      <c r="D302" s="3" t="s">
        <v>613</v>
      </c>
      <c r="E302" s="3" t="s">
        <v>340</v>
      </c>
      <c r="F302" s="3">
        <v>30</v>
      </c>
      <c r="G302" s="3" t="s">
        <v>2572</v>
      </c>
      <c r="H302" s="3"/>
      <c r="I302" s="3" t="s">
        <v>2573</v>
      </c>
      <c r="J302" s="3">
        <v>3</v>
      </c>
      <c r="K302" s="3">
        <v>3</v>
      </c>
      <c r="L302" s="3">
        <v>0</v>
      </c>
      <c r="M302" s="3">
        <v>0</v>
      </c>
      <c r="N302" s="3">
        <v>3</v>
      </c>
      <c r="O302" s="3">
        <v>0.07</v>
      </c>
      <c r="P302" s="3">
        <v>0</v>
      </c>
      <c r="Q302" s="3">
        <v>0</v>
      </c>
      <c r="R302" s="3">
        <v>0</v>
      </c>
    </row>
    <row r="303" spans="1:18">
      <c r="A303" s="3" t="s">
        <v>2371</v>
      </c>
      <c r="B303" s="3" t="s">
        <v>2372</v>
      </c>
      <c r="C303" s="3" t="s">
        <v>2373</v>
      </c>
      <c r="D303" s="3" t="s">
        <v>613</v>
      </c>
      <c r="E303" s="3" t="s">
        <v>340</v>
      </c>
      <c r="F303" s="3">
        <v>30</v>
      </c>
      <c r="G303" s="3" t="s">
        <v>2572</v>
      </c>
      <c r="H303" s="3"/>
      <c r="I303" s="3" t="s">
        <v>2573</v>
      </c>
      <c r="J303" s="3">
        <v>5</v>
      </c>
      <c r="K303" s="3">
        <v>5</v>
      </c>
      <c r="L303" s="3">
        <v>0</v>
      </c>
      <c r="M303" s="3">
        <v>0</v>
      </c>
      <c r="N303" s="3">
        <v>5</v>
      </c>
      <c r="O303" s="3">
        <v>0.07</v>
      </c>
      <c r="P303" s="3">
        <v>0</v>
      </c>
      <c r="Q303" s="3">
        <v>0</v>
      </c>
      <c r="R303" s="3">
        <v>0</v>
      </c>
    </row>
    <row r="304" spans="1:18">
      <c r="A304" s="3" t="s">
        <v>929</v>
      </c>
      <c r="B304" s="3" t="s">
        <v>930</v>
      </c>
      <c r="C304" s="3" t="s">
        <v>931</v>
      </c>
      <c r="D304" s="3" t="s">
        <v>613</v>
      </c>
      <c r="E304" s="3" t="s">
        <v>340</v>
      </c>
      <c r="F304" s="3">
        <v>30</v>
      </c>
      <c r="G304" s="3" t="s">
        <v>2572</v>
      </c>
      <c r="H304" s="3"/>
      <c r="I304" s="3" t="s">
        <v>2573</v>
      </c>
      <c r="J304" s="3">
        <v>4</v>
      </c>
      <c r="K304" s="3">
        <v>4</v>
      </c>
      <c r="L304" s="3">
        <v>0</v>
      </c>
      <c r="M304" s="3">
        <v>0</v>
      </c>
      <c r="N304" s="3">
        <v>4</v>
      </c>
      <c r="O304" s="3">
        <v>0.07</v>
      </c>
      <c r="P304" s="3">
        <v>0</v>
      </c>
      <c r="Q304" s="3">
        <v>0</v>
      </c>
      <c r="R304" s="3">
        <v>0</v>
      </c>
    </row>
    <row r="305" spans="1:18">
      <c r="A305" s="3" t="s">
        <v>610</v>
      </c>
      <c r="B305" s="3" t="s">
        <v>611</v>
      </c>
      <c r="C305" s="3" t="s">
        <v>612</v>
      </c>
      <c r="D305" s="3" t="s">
        <v>613</v>
      </c>
      <c r="E305" s="3" t="s">
        <v>340</v>
      </c>
      <c r="F305" s="3">
        <v>30</v>
      </c>
      <c r="G305" s="3" t="s">
        <v>2572</v>
      </c>
      <c r="H305" s="3"/>
      <c r="I305" s="3" t="s">
        <v>2573</v>
      </c>
      <c r="J305" s="3">
        <v>4</v>
      </c>
      <c r="K305" s="3">
        <v>4</v>
      </c>
      <c r="L305" s="3">
        <v>0</v>
      </c>
      <c r="M305" s="3">
        <v>0</v>
      </c>
      <c r="N305" s="3">
        <v>4</v>
      </c>
      <c r="O305" s="3">
        <v>0.07</v>
      </c>
      <c r="P305" s="3">
        <v>0</v>
      </c>
      <c r="Q305" s="3">
        <v>0</v>
      </c>
      <c r="R305" s="3">
        <v>0</v>
      </c>
    </row>
    <row r="306" spans="1:18">
      <c r="A306" s="3" t="s">
        <v>1607</v>
      </c>
      <c r="B306" s="3" t="s">
        <v>1608</v>
      </c>
      <c r="C306" s="3" t="s">
        <v>1609</v>
      </c>
      <c r="D306" s="3" t="s">
        <v>613</v>
      </c>
      <c r="E306" s="3" t="s">
        <v>340</v>
      </c>
      <c r="F306" s="3">
        <v>30</v>
      </c>
      <c r="G306" s="3" t="s">
        <v>2572</v>
      </c>
      <c r="H306" s="3"/>
      <c r="I306" s="3" t="s">
        <v>2573</v>
      </c>
      <c r="J306" s="3">
        <v>4</v>
      </c>
      <c r="K306" s="3">
        <v>4</v>
      </c>
      <c r="L306" s="3">
        <v>0</v>
      </c>
      <c r="M306" s="3">
        <v>0</v>
      </c>
      <c r="N306" s="3">
        <v>4</v>
      </c>
      <c r="O306" s="3">
        <v>0.07</v>
      </c>
      <c r="P306" s="3">
        <v>0</v>
      </c>
      <c r="Q306" s="3">
        <v>0</v>
      </c>
      <c r="R306" s="3">
        <v>0</v>
      </c>
    </row>
    <row r="307" spans="1:18">
      <c r="A307" s="3" t="s">
        <v>2012</v>
      </c>
      <c r="B307" s="3" t="s">
        <v>2013</v>
      </c>
      <c r="C307" s="3" t="s">
        <v>2014</v>
      </c>
      <c r="D307" s="3" t="s">
        <v>613</v>
      </c>
      <c r="E307" s="3" t="s">
        <v>340</v>
      </c>
      <c r="F307" s="3">
        <v>30</v>
      </c>
      <c r="G307" s="3" t="s">
        <v>2572</v>
      </c>
      <c r="H307" s="3"/>
      <c r="I307" s="3" t="s">
        <v>2573</v>
      </c>
      <c r="J307" s="3">
        <v>6</v>
      </c>
      <c r="K307" s="3">
        <v>6</v>
      </c>
      <c r="L307" s="3">
        <v>0</v>
      </c>
      <c r="M307" s="3">
        <v>0</v>
      </c>
      <c r="N307" s="3">
        <v>6</v>
      </c>
      <c r="O307" s="3">
        <v>0.07</v>
      </c>
      <c r="P307" s="3">
        <v>0</v>
      </c>
      <c r="Q307" s="3">
        <v>0</v>
      </c>
      <c r="R307" s="3">
        <v>0</v>
      </c>
    </row>
    <row r="308" spans="1:18">
      <c r="A308" s="3" t="s">
        <v>2214</v>
      </c>
      <c r="B308" s="3" t="s">
        <v>2215</v>
      </c>
      <c r="C308" s="3" t="s">
        <v>2216</v>
      </c>
      <c r="D308" s="3" t="s">
        <v>613</v>
      </c>
      <c r="E308" s="3" t="s">
        <v>340</v>
      </c>
      <c r="F308" s="3">
        <v>30</v>
      </c>
      <c r="G308" s="3" t="s">
        <v>2572</v>
      </c>
      <c r="H308" s="3"/>
      <c r="I308" s="3" t="s">
        <v>2573</v>
      </c>
      <c r="J308" s="3">
        <v>7</v>
      </c>
      <c r="K308" s="3">
        <v>7</v>
      </c>
      <c r="L308" s="3">
        <v>0</v>
      </c>
      <c r="M308" s="3">
        <v>0</v>
      </c>
      <c r="N308" s="3">
        <v>7</v>
      </c>
      <c r="O308" s="3">
        <v>0.07</v>
      </c>
      <c r="P308" s="3">
        <v>0</v>
      </c>
      <c r="Q308" s="3">
        <v>0</v>
      </c>
      <c r="R308" s="3">
        <v>0</v>
      </c>
    </row>
    <row r="309" spans="1:18">
      <c r="A309" s="3" t="s">
        <v>906</v>
      </c>
      <c r="B309" s="3" t="s">
        <v>907</v>
      </c>
      <c r="C309" s="3" t="s">
        <v>908</v>
      </c>
      <c r="D309" s="3" t="s">
        <v>613</v>
      </c>
      <c r="E309" s="3" t="s">
        <v>340</v>
      </c>
      <c r="F309" s="3">
        <v>30</v>
      </c>
      <c r="G309" s="3" t="s">
        <v>2572</v>
      </c>
      <c r="H309" s="3"/>
      <c r="I309" s="3" t="s">
        <v>2573</v>
      </c>
      <c r="J309" s="3">
        <v>6</v>
      </c>
      <c r="K309" s="3">
        <v>6</v>
      </c>
      <c r="L309" s="3">
        <v>0</v>
      </c>
      <c r="M309" s="3">
        <v>0</v>
      </c>
      <c r="N309" s="3">
        <v>6</v>
      </c>
      <c r="O309" s="3">
        <v>0.07</v>
      </c>
      <c r="P309" s="3">
        <v>0</v>
      </c>
      <c r="Q309" s="3">
        <v>0</v>
      </c>
      <c r="R309" s="3">
        <v>0</v>
      </c>
    </row>
    <row r="310" spans="1:18">
      <c r="A310" s="3" t="s">
        <v>670</v>
      </c>
      <c r="B310" s="3" t="s">
        <v>671</v>
      </c>
      <c r="C310" s="3" t="s">
        <v>672</v>
      </c>
      <c r="D310" s="3" t="s">
        <v>613</v>
      </c>
      <c r="E310" s="3" t="s">
        <v>340</v>
      </c>
      <c r="F310" s="3">
        <v>30</v>
      </c>
      <c r="G310" s="3" t="s">
        <v>2572</v>
      </c>
      <c r="H310" s="3"/>
      <c r="I310" s="3" t="s">
        <v>2573</v>
      </c>
      <c r="J310" s="3">
        <v>2</v>
      </c>
      <c r="K310" s="3">
        <v>2</v>
      </c>
      <c r="L310" s="3">
        <v>0</v>
      </c>
      <c r="M310" s="3">
        <v>0</v>
      </c>
      <c r="N310" s="3">
        <v>2</v>
      </c>
      <c r="O310" s="3">
        <v>0.07</v>
      </c>
      <c r="P310" s="3">
        <v>0</v>
      </c>
      <c r="Q310" s="3">
        <v>0</v>
      </c>
      <c r="R310" s="3">
        <v>0</v>
      </c>
    </row>
    <row r="311" spans="1:18">
      <c r="A311" s="3" t="s">
        <v>846</v>
      </c>
      <c r="B311" s="3" t="s">
        <v>847</v>
      </c>
      <c r="C311" s="3" t="s">
        <v>848</v>
      </c>
      <c r="D311" s="3" t="s">
        <v>613</v>
      </c>
      <c r="E311" s="3" t="s">
        <v>340</v>
      </c>
      <c r="F311" s="3">
        <v>30</v>
      </c>
      <c r="G311" s="3" t="s">
        <v>2572</v>
      </c>
      <c r="H311" s="3"/>
      <c r="I311" s="3" t="s">
        <v>2573</v>
      </c>
      <c r="J311" s="3">
        <v>4</v>
      </c>
      <c r="K311" s="3">
        <v>4</v>
      </c>
      <c r="L311" s="3">
        <v>0</v>
      </c>
      <c r="M311" s="3">
        <v>0</v>
      </c>
      <c r="N311" s="3">
        <v>4</v>
      </c>
      <c r="O311" s="3">
        <v>0.07</v>
      </c>
      <c r="P311" s="3">
        <v>0</v>
      </c>
      <c r="Q311" s="3">
        <v>0</v>
      </c>
      <c r="R311" s="3">
        <v>0</v>
      </c>
    </row>
    <row r="312" spans="1:18">
      <c r="A312" s="3" t="s">
        <v>1176</v>
      </c>
      <c r="B312" s="3" t="s">
        <v>1177</v>
      </c>
      <c r="C312" s="3" t="s">
        <v>1178</v>
      </c>
      <c r="D312" s="3" t="s">
        <v>844</v>
      </c>
      <c r="E312" s="3" t="s">
        <v>340</v>
      </c>
      <c r="F312" s="3">
        <v>30</v>
      </c>
      <c r="G312" s="3" t="s">
        <v>2572</v>
      </c>
      <c r="H312" s="3"/>
      <c r="I312" s="3" t="s">
        <v>2573</v>
      </c>
      <c r="J312" s="3">
        <v>1</v>
      </c>
      <c r="K312" s="3">
        <v>1</v>
      </c>
      <c r="L312" s="3">
        <v>0</v>
      </c>
      <c r="M312" s="3">
        <v>0</v>
      </c>
      <c r="N312" s="3">
        <v>1</v>
      </c>
      <c r="O312" s="3">
        <v>0.22</v>
      </c>
      <c r="P312" s="3">
        <v>0</v>
      </c>
      <c r="Q312" s="3">
        <v>0</v>
      </c>
      <c r="R312" s="3">
        <v>0</v>
      </c>
    </row>
    <row r="313" spans="1:18">
      <c r="A313" s="3" t="s">
        <v>2763</v>
      </c>
      <c r="B313" s="3" t="s">
        <v>2764</v>
      </c>
      <c r="C313" s="3" t="s">
        <v>2765</v>
      </c>
      <c r="D313" s="3" t="s">
        <v>844</v>
      </c>
      <c r="E313" s="3" t="s">
        <v>340</v>
      </c>
      <c r="F313" s="3">
        <v>30</v>
      </c>
      <c r="G313" s="3" t="s">
        <v>2572</v>
      </c>
      <c r="H313" s="3"/>
      <c r="I313" s="3" t="s">
        <v>2573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0.22</v>
      </c>
      <c r="P313" s="3">
        <v>0</v>
      </c>
      <c r="Q313" s="3">
        <v>0</v>
      </c>
      <c r="R313" s="3">
        <v>0</v>
      </c>
    </row>
    <row r="314" spans="1:18">
      <c r="A314" s="3" t="s">
        <v>841</v>
      </c>
      <c r="B314" s="3" t="s">
        <v>842</v>
      </c>
      <c r="C314" s="3" t="s">
        <v>843</v>
      </c>
      <c r="D314" s="3" t="s">
        <v>844</v>
      </c>
      <c r="E314" s="3" t="s">
        <v>340</v>
      </c>
      <c r="F314" s="3">
        <v>30</v>
      </c>
      <c r="G314" s="3" t="s">
        <v>2572</v>
      </c>
      <c r="H314" s="3"/>
      <c r="I314" s="3" t="s">
        <v>2573</v>
      </c>
      <c r="J314" s="3">
        <v>1</v>
      </c>
      <c r="K314" s="3">
        <v>1</v>
      </c>
      <c r="L314" s="3">
        <v>0</v>
      </c>
      <c r="M314" s="3">
        <v>0</v>
      </c>
      <c r="N314" s="3">
        <v>1</v>
      </c>
      <c r="O314" s="3">
        <v>0.22</v>
      </c>
      <c r="P314" s="3">
        <v>0</v>
      </c>
      <c r="Q314" s="3">
        <v>0</v>
      </c>
      <c r="R314" s="3">
        <v>0</v>
      </c>
    </row>
    <row r="315" spans="1:18">
      <c r="A315" s="3" t="s">
        <v>2766</v>
      </c>
      <c r="B315" s="3" t="s">
        <v>2767</v>
      </c>
      <c r="C315" s="3" t="s">
        <v>2768</v>
      </c>
      <c r="D315" s="3" t="s">
        <v>2769</v>
      </c>
      <c r="E315" s="3" t="s">
        <v>340</v>
      </c>
      <c r="F315" s="3">
        <v>18.9</v>
      </c>
      <c r="G315" s="3" t="s">
        <v>2572</v>
      </c>
      <c r="H315" s="3"/>
      <c r="I315" s="3" t="s">
        <v>2573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0</v>
      </c>
    </row>
    <row r="316" spans="1:18">
      <c r="A316" s="3" t="s">
        <v>868</v>
      </c>
      <c r="B316" s="3" t="s">
        <v>869</v>
      </c>
      <c r="C316" s="3" t="s">
        <v>870</v>
      </c>
      <c r="D316" s="3" t="s">
        <v>871</v>
      </c>
      <c r="E316" s="3" t="s">
        <v>340</v>
      </c>
      <c r="F316" s="3">
        <v>18.9</v>
      </c>
      <c r="G316" s="3" t="s">
        <v>2572</v>
      </c>
      <c r="H316" s="3"/>
      <c r="I316" s="3" t="s">
        <v>2573</v>
      </c>
      <c r="J316" s="3">
        <v>1</v>
      </c>
      <c r="K316" s="3">
        <v>1</v>
      </c>
      <c r="L316" s="3">
        <v>0</v>
      </c>
      <c r="M316" s="3">
        <v>0</v>
      </c>
      <c r="N316" s="3">
        <v>1</v>
      </c>
      <c r="O316" s="3">
        <v>0</v>
      </c>
      <c r="P316" s="3">
        <v>0</v>
      </c>
      <c r="Q316" s="3">
        <v>0</v>
      </c>
      <c r="R316" s="3">
        <v>0</v>
      </c>
    </row>
    <row r="317" spans="1:18">
      <c r="A317" s="3" t="s">
        <v>2491</v>
      </c>
      <c r="B317" s="3" t="s">
        <v>2492</v>
      </c>
      <c r="C317" s="3" t="s">
        <v>2493</v>
      </c>
      <c r="D317" s="3" t="s">
        <v>2494</v>
      </c>
      <c r="E317" s="3" t="s">
        <v>340</v>
      </c>
      <c r="F317" s="3">
        <v>18.9</v>
      </c>
      <c r="G317" s="3" t="s">
        <v>2572</v>
      </c>
      <c r="H317" s="3"/>
      <c r="I317" s="3" t="s">
        <v>2573</v>
      </c>
      <c r="J317" s="3">
        <v>1</v>
      </c>
      <c r="K317" s="3">
        <v>1</v>
      </c>
      <c r="L317" s="3">
        <v>0</v>
      </c>
      <c r="M317" s="3">
        <v>0</v>
      </c>
      <c r="N317" s="3">
        <v>1</v>
      </c>
      <c r="O317" s="3">
        <v>0</v>
      </c>
      <c r="P317" s="3">
        <v>0</v>
      </c>
      <c r="Q317" s="3">
        <v>0</v>
      </c>
      <c r="R317" s="3">
        <v>0</v>
      </c>
    </row>
    <row r="318" spans="1:18">
      <c r="A318" s="3" t="s">
        <v>383</v>
      </c>
      <c r="B318" s="3" t="s">
        <v>384</v>
      </c>
      <c r="C318" s="3" t="s">
        <v>385</v>
      </c>
      <c r="D318" s="3" t="s">
        <v>386</v>
      </c>
      <c r="E318" s="3" t="s">
        <v>340</v>
      </c>
      <c r="F318" s="3">
        <v>18.9</v>
      </c>
      <c r="G318" s="3" t="s">
        <v>2572</v>
      </c>
      <c r="H318" s="3"/>
      <c r="I318" s="3" t="s">
        <v>2573</v>
      </c>
      <c r="J318" s="3">
        <v>1</v>
      </c>
      <c r="K318" s="3">
        <v>1</v>
      </c>
      <c r="L318" s="3">
        <v>0</v>
      </c>
      <c r="M318" s="3">
        <v>0</v>
      </c>
      <c r="N318" s="3">
        <v>1</v>
      </c>
      <c r="O318" s="3">
        <v>0</v>
      </c>
      <c r="P318" s="3">
        <v>0</v>
      </c>
      <c r="Q318" s="3">
        <v>0</v>
      </c>
      <c r="R318" s="3">
        <v>0</v>
      </c>
    </row>
    <row r="319" spans="1:18">
      <c r="A319" s="3" t="s">
        <v>2770</v>
      </c>
      <c r="B319" s="3" t="s">
        <v>2771</v>
      </c>
      <c r="C319" s="3" t="s">
        <v>2772</v>
      </c>
      <c r="D319" s="3" t="s">
        <v>2773</v>
      </c>
      <c r="E319" s="3" t="s">
        <v>340</v>
      </c>
      <c r="F319" s="3">
        <v>19.9</v>
      </c>
      <c r="G319" s="3" t="s">
        <v>2572</v>
      </c>
      <c r="H319" s="3"/>
      <c r="I319" s="3" t="s">
        <v>2573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0.08</v>
      </c>
      <c r="P319" s="3">
        <v>0</v>
      </c>
      <c r="Q319" s="3">
        <v>0</v>
      </c>
      <c r="R319" s="3">
        <v>0</v>
      </c>
    </row>
    <row r="320" spans="1:18">
      <c r="A320" s="3" t="s">
        <v>2774</v>
      </c>
      <c r="B320" s="3" t="s">
        <v>2775</v>
      </c>
      <c r="C320" s="3" t="s">
        <v>2776</v>
      </c>
      <c r="D320" s="3" t="s">
        <v>2773</v>
      </c>
      <c r="E320" s="3" t="s">
        <v>340</v>
      </c>
      <c r="F320" s="3">
        <v>19.9</v>
      </c>
      <c r="G320" s="3" t="s">
        <v>2572</v>
      </c>
      <c r="H320" s="3"/>
      <c r="I320" s="3" t="s">
        <v>2573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0.08</v>
      </c>
      <c r="P320" s="3">
        <v>0</v>
      </c>
      <c r="Q320" s="3">
        <v>0</v>
      </c>
      <c r="R320" s="3">
        <v>0</v>
      </c>
    </row>
    <row r="321" spans="1:18">
      <c r="A321" s="3" t="s">
        <v>2777</v>
      </c>
      <c r="B321" s="3" t="s">
        <v>2778</v>
      </c>
      <c r="C321" s="3" t="s">
        <v>2779</v>
      </c>
      <c r="D321" s="3" t="s">
        <v>2773</v>
      </c>
      <c r="E321" s="3" t="s">
        <v>340</v>
      </c>
      <c r="F321" s="3">
        <v>19.9</v>
      </c>
      <c r="G321" s="3" t="s">
        <v>2572</v>
      </c>
      <c r="H321" s="3"/>
      <c r="I321" s="3" t="s">
        <v>2573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0.08</v>
      </c>
      <c r="P321" s="3">
        <v>0</v>
      </c>
      <c r="Q321" s="3">
        <v>0</v>
      </c>
      <c r="R321" s="3">
        <v>0</v>
      </c>
    </row>
    <row r="322" spans="1:18">
      <c r="A322" s="3" t="s">
        <v>2780</v>
      </c>
      <c r="B322" s="3" t="s">
        <v>2781</v>
      </c>
      <c r="C322" s="3" t="s">
        <v>2782</v>
      </c>
      <c r="D322" s="3" t="s">
        <v>2773</v>
      </c>
      <c r="E322" s="3" t="s">
        <v>340</v>
      </c>
      <c r="F322" s="3">
        <v>19.9</v>
      </c>
      <c r="G322" s="3" t="s">
        <v>2572</v>
      </c>
      <c r="H322" s="3"/>
      <c r="I322" s="3" t="s">
        <v>2573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0.08</v>
      </c>
      <c r="P322" s="3">
        <v>0</v>
      </c>
      <c r="Q322" s="3">
        <v>0</v>
      </c>
      <c r="R322" s="3">
        <v>0</v>
      </c>
    </row>
    <row r="323" spans="1:18">
      <c r="A323" s="3" t="s">
        <v>2783</v>
      </c>
      <c r="B323" s="3" t="s">
        <v>2784</v>
      </c>
      <c r="C323" s="3" t="s">
        <v>2785</v>
      </c>
      <c r="D323" s="3" t="s">
        <v>1104</v>
      </c>
      <c r="E323" s="3" t="s">
        <v>340</v>
      </c>
      <c r="F323" s="3">
        <v>19.9</v>
      </c>
      <c r="G323" s="3" t="s">
        <v>2572</v>
      </c>
      <c r="H323" s="3"/>
      <c r="I323" s="3" t="s">
        <v>2573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0.05</v>
      </c>
      <c r="P323" s="3">
        <v>0</v>
      </c>
      <c r="Q323" s="3">
        <v>0</v>
      </c>
      <c r="R323" s="3">
        <v>0</v>
      </c>
    </row>
    <row r="324" spans="1:18">
      <c r="A324" s="3" t="s">
        <v>1101</v>
      </c>
      <c r="B324" s="3" t="s">
        <v>1102</v>
      </c>
      <c r="C324" s="3" t="s">
        <v>1103</v>
      </c>
      <c r="D324" s="3" t="s">
        <v>1104</v>
      </c>
      <c r="E324" s="3" t="s">
        <v>340</v>
      </c>
      <c r="F324" s="3">
        <v>29.99</v>
      </c>
      <c r="G324" s="3" t="s">
        <v>2572</v>
      </c>
      <c r="H324" s="3"/>
      <c r="I324" s="3" t="s">
        <v>2573</v>
      </c>
      <c r="J324" s="3">
        <v>2</v>
      </c>
      <c r="K324" s="3">
        <v>2</v>
      </c>
      <c r="L324" s="3">
        <v>0</v>
      </c>
      <c r="M324" s="3">
        <v>0</v>
      </c>
      <c r="N324" s="3">
        <v>2</v>
      </c>
      <c r="O324" s="3">
        <v>0.13</v>
      </c>
      <c r="P324" s="3">
        <v>0</v>
      </c>
      <c r="Q324" s="3">
        <v>0</v>
      </c>
      <c r="R324" s="3">
        <v>0</v>
      </c>
    </row>
    <row r="325" spans="1:18">
      <c r="A325" s="3" t="s">
        <v>1738</v>
      </c>
      <c r="B325" s="3" t="s">
        <v>1739</v>
      </c>
      <c r="C325" s="3" t="s">
        <v>1740</v>
      </c>
      <c r="D325" s="3" t="s">
        <v>1510</v>
      </c>
      <c r="E325" s="3" t="s">
        <v>340</v>
      </c>
      <c r="F325" s="3">
        <v>19.9</v>
      </c>
      <c r="G325" s="3" t="s">
        <v>2572</v>
      </c>
      <c r="H325" s="3"/>
      <c r="I325" s="3" t="s">
        <v>2573</v>
      </c>
      <c r="J325" s="3">
        <v>2</v>
      </c>
      <c r="K325" s="3">
        <v>2</v>
      </c>
      <c r="L325" s="3">
        <v>0</v>
      </c>
      <c r="M325" s="3">
        <v>0</v>
      </c>
      <c r="N325" s="3">
        <v>2</v>
      </c>
      <c r="O325" s="3">
        <v>0</v>
      </c>
      <c r="P325" s="3">
        <v>0</v>
      </c>
      <c r="Q325" s="3">
        <v>0</v>
      </c>
      <c r="R325" s="3">
        <v>0</v>
      </c>
    </row>
    <row r="326" spans="1:18">
      <c r="A326" s="3" t="s">
        <v>1507</v>
      </c>
      <c r="B326" s="3" t="s">
        <v>1508</v>
      </c>
      <c r="C326" s="3" t="s">
        <v>1509</v>
      </c>
      <c r="D326" s="3" t="s">
        <v>1510</v>
      </c>
      <c r="E326" s="3" t="s">
        <v>340</v>
      </c>
      <c r="F326" s="3">
        <v>19.9</v>
      </c>
      <c r="G326" s="3" t="s">
        <v>2572</v>
      </c>
      <c r="H326" s="3"/>
      <c r="I326" s="3" t="s">
        <v>2573</v>
      </c>
      <c r="J326" s="3">
        <v>2</v>
      </c>
      <c r="K326" s="3">
        <v>2</v>
      </c>
      <c r="L326" s="3">
        <v>0</v>
      </c>
      <c r="M326" s="3">
        <v>0</v>
      </c>
      <c r="N326" s="3">
        <v>2</v>
      </c>
      <c r="O326" s="3">
        <v>0</v>
      </c>
      <c r="P326" s="3">
        <v>0</v>
      </c>
      <c r="Q326" s="3">
        <v>0</v>
      </c>
      <c r="R326" s="3">
        <v>0</v>
      </c>
    </row>
    <row r="327" spans="1:18">
      <c r="A327" s="3" t="s">
        <v>2786</v>
      </c>
      <c r="B327" s="3" t="s">
        <v>2787</v>
      </c>
      <c r="C327" s="3" t="s">
        <v>2788</v>
      </c>
      <c r="D327" s="3" t="s">
        <v>2789</v>
      </c>
      <c r="E327" s="3" t="s">
        <v>340</v>
      </c>
      <c r="F327" s="3">
        <v>19.9</v>
      </c>
      <c r="G327" s="3" t="s">
        <v>2572</v>
      </c>
      <c r="H327" s="3"/>
      <c r="I327" s="3" t="s">
        <v>2573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0.01</v>
      </c>
      <c r="P327" s="3">
        <v>0</v>
      </c>
      <c r="Q327" s="3">
        <v>0</v>
      </c>
      <c r="R327" s="3">
        <v>0</v>
      </c>
    </row>
    <row r="328" spans="1:18">
      <c r="A328" s="3" t="s">
        <v>1340</v>
      </c>
      <c r="B328" s="3" t="s">
        <v>1341</v>
      </c>
      <c r="C328" s="3" t="s">
        <v>1342</v>
      </c>
      <c r="D328" s="3" t="s">
        <v>1343</v>
      </c>
      <c r="E328" s="3" t="s">
        <v>340</v>
      </c>
      <c r="F328" s="3">
        <v>19.9</v>
      </c>
      <c r="G328" s="3" t="s">
        <v>2572</v>
      </c>
      <c r="H328" s="3"/>
      <c r="I328" s="3" t="s">
        <v>2573</v>
      </c>
      <c r="J328" s="3">
        <v>1</v>
      </c>
      <c r="K328" s="3">
        <v>1</v>
      </c>
      <c r="L328" s="3">
        <v>0</v>
      </c>
      <c r="M328" s="3">
        <v>0</v>
      </c>
      <c r="N328" s="3">
        <v>1</v>
      </c>
      <c r="O328" s="3">
        <v>0.07</v>
      </c>
      <c r="P328" s="3">
        <v>0</v>
      </c>
      <c r="Q328" s="3">
        <v>0</v>
      </c>
      <c r="R328" s="3">
        <v>0</v>
      </c>
    </row>
    <row r="329" spans="1:18">
      <c r="A329" s="3" t="s">
        <v>2790</v>
      </c>
      <c r="B329" s="3" t="s">
        <v>2791</v>
      </c>
      <c r="C329" s="3" t="s">
        <v>2792</v>
      </c>
      <c r="D329" s="3" t="s">
        <v>1343</v>
      </c>
      <c r="E329" s="3" t="s">
        <v>340</v>
      </c>
      <c r="F329" s="3">
        <v>19.9</v>
      </c>
      <c r="G329" s="3" t="s">
        <v>2572</v>
      </c>
      <c r="H329" s="3"/>
      <c r="I329" s="3" t="s">
        <v>2573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0.07</v>
      </c>
      <c r="P329" s="3">
        <v>0</v>
      </c>
      <c r="Q329" s="3">
        <v>0</v>
      </c>
      <c r="R329" s="3">
        <v>0</v>
      </c>
    </row>
    <row r="330" spans="1:18">
      <c r="A330" s="3" t="s">
        <v>2793</v>
      </c>
      <c r="B330" s="3" t="s">
        <v>2794</v>
      </c>
      <c r="C330" s="3" t="s">
        <v>2795</v>
      </c>
      <c r="D330" s="3" t="s">
        <v>1343</v>
      </c>
      <c r="E330" s="3" t="s">
        <v>340</v>
      </c>
      <c r="F330" s="3">
        <v>19.9</v>
      </c>
      <c r="G330" s="3" t="s">
        <v>2572</v>
      </c>
      <c r="H330" s="3"/>
      <c r="I330" s="3" t="s">
        <v>2573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0.07</v>
      </c>
      <c r="P330" s="3">
        <v>0</v>
      </c>
      <c r="Q330" s="3">
        <v>0</v>
      </c>
      <c r="R330" s="3">
        <v>0</v>
      </c>
    </row>
    <row r="331" spans="1:18">
      <c r="A331" s="3" t="s">
        <v>1079</v>
      </c>
      <c r="B331" s="3" t="s">
        <v>1080</v>
      </c>
      <c r="C331" s="3" t="s">
        <v>1081</v>
      </c>
      <c r="D331" s="3" t="s">
        <v>921</v>
      </c>
      <c r="E331" s="3" t="s">
        <v>340</v>
      </c>
      <c r="F331" s="3">
        <v>29.99</v>
      </c>
      <c r="G331" s="3" t="s">
        <v>2572</v>
      </c>
      <c r="H331" s="3"/>
      <c r="I331" s="3" t="s">
        <v>2573</v>
      </c>
      <c r="J331" s="3">
        <v>5</v>
      </c>
      <c r="K331" s="3">
        <v>5</v>
      </c>
      <c r="L331" s="3">
        <v>0</v>
      </c>
      <c r="M331" s="3">
        <v>0</v>
      </c>
      <c r="N331" s="3">
        <v>5</v>
      </c>
      <c r="O331" s="3">
        <v>0.13</v>
      </c>
      <c r="P331" s="3">
        <v>0</v>
      </c>
      <c r="Q331" s="3">
        <v>0</v>
      </c>
      <c r="R331" s="3">
        <v>0</v>
      </c>
    </row>
    <row r="332" spans="1:18">
      <c r="A332" s="3" t="s">
        <v>2230</v>
      </c>
      <c r="B332" s="3" t="s">
        <v>2231</v>
      </c>
      <c r="C332" s="3" t="s">
        <v>2232</v>
      </c>
      <c r="D332" s="3" t="s">
        <v>2233</v>
      </c>
      <c r="E332" s="3">
        <v>32.99</v>
      </c>
      <c r="G332" s="3" t="s">
        <v>2572</v>
      </c>
      <c r="H332" s="3"/>
      <c r="I332" s="3" t="s">
        <v>2573</v>
      </c>
      <c r="J332" s="3">
        <v>4</v>
      </c>
      <c r="K332" s="3">
        <v>4</v>
      </c>
      <c r="L332" s="3">
        <v>0</v>
      </c>
      <c r="M332" s="3">
        <v>0</v>
      </c>
      <c r="N332" s="3">
        <v>4</v>
      </c>
      <c r="O332" s="3">
        <v>0.11</v>
      </c>
      <c r="P332" s="3">
        <v>0</v>
      </c>
      <c r="Q332" s="3">
        <v>0</v>
      </c>
      <c r="R332" s="3">
        <v>0</v>
      </c>
    </row>
    <row r="333" spans="1:18">
      <c r="A333" s="3" t="s">
        <v>918</v>
      </c>
      <c r="B333" s="3" t="s">
        <v>919</v>
      </c>
      <c r="C333" s="3" t="s">
        <v>920</v>
      </c>
      <c r="D333" s="3" t="s">
        <v>921</v>
      </c>
      <c r="E333" s="3" t="s">
        <v>340</v>
      </c>
      <c r="F333" s="3">
        <v>29.99</v>
      </c>
      <c r="G333" s="3" t="s">
        <v>2572</v>
      </c>
      <c r="H333" s="3"/>
      <c r="I333" s="3" t="s">
        <v>2573</v>
      </c>
      <c r="J333" s="3">
        <v>3</v>
      </c>
      <c r="K333" s="3">
        <v>3</v>
      </c>
      <c r="L333" s="3">
        <v>0</v>
      </c>
      <c r="M333" s="3">
        <v>0</v>
      </c>
      <c r="N333" s="3">
        <v>3</v>
      </c>
      <c r="O333" s="3">
        <v>0.13</v>
      </c>
      <c r="P333" s="3">
        <v>0</v>
      </c>
      <c r="Q333" s="3">
        <v>0</v>
      </c>
      <c r="R333" s="3">
        <v>0</v>
      </c>
    </row>
    <row r="334" spans="1:18">
      <c r="A334" s="3" t="s">
        <v>1788</v>
      </c>
      <c r="B334" s="3" t="s">
        <v>1789</v>
      </c>
      <c r="C334" s="3" t="s">
        <v>1790</v>
      </c>
      <c r="D334" s="3" t="s">
        <v>921</v>
      </c>
      <c r="E334" s="3" t="s">
        <v>340</v>
      </c>
      <c r="F334" s="3">
        <v>39.99</v>
      </c>
      <c r="G334" s="3" t="s">
        <v>2572</v>
      </c>
      <c r="H334" s="3"/>
      <c r="I334" s="3" t="s">
        <v>2573</v>
      </c>
      <c r="J334" s="3">
        <v>2</v>
      </c>
      <c r="K334" s="3">
        <v>2</v>
      </c>
      <c r="L334" s="3">
        <v>0</v>
      </c>
      <c r="M334" s="3">
        <v>0</v>
      </c>
      <c r="N334" s="3">
        <v>2</v>
      </c>
      <c r="O334" s="3">
        <v>0.13</v>
      </c>
      <c r="P334" s="3">
        <v>0</v>
      </c>
      <c r="Q334" s="3">
        <v>0</v>
      </c>
      <c r="R334" s="3">
        <v>0</v>
      </c>
    </row>
    <row r="335" spans="1:18">
      <c r="A335" s="3" t="s">
        <v>2796</v>
      </c>
      <c r="B335" s="3" t="s">
        <v>2797</v>
      </c>
      <c r="C335" s="3" t="s">
        <v>2798</v>
      </c>
      <c r="D335" s="3" t="s">
        <v>921</v>
      </c>
      <c r="E335" s="3" t="s">
        <v>340</v>
      </c>
      <c r="F335" s="3">
        <v>29.99</v>
      </c>
      <c r="G335" s="3" t="s">
        <v>2572</v>
      </c>
      <c r="H335" s="3"/>
      <c r="I335" s="3" t="s">
        <v>2573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0.13</v>
      </c>
      <c r="P335" s="3">
        <v>0</v>
      </c>
      <c r="Q335" s="3">
        <v>0</v>
      </c>
      <c r="R335" s="3">
        <v>0</v>
      </c>
    </row>
    <row r="336" spans="1:18">
      <c r="A336" s="3" t="s">
        <v>1732</v>
      </c>
      <c r="B336" s="3" t="s">
        <v>1733</v>
      </c>
      <c r="C336" s="3" t="s">
        <v>1734</v>
      </c>
      <c r="D336" s="3" t="s">
        <v>921</v>
      </c>
      <c r="E336" s="3" t="s">
        <v>340</v>
      </c>
      <c r="F336" s="3">
        <v>39.99</v>
      </c>
      <c r="G336" s="3" t="s">
        <v>2572</v>
      </c>
      <c r="H336" s="3"/>
      <c r="I336" s="3" t="s">
        <v>2573</v>
      </c>
      <c r="J336" s="3">
        <v>2</v>
      </c>
      <c r="K336" s="3">
        <v>2</v>
      </c>
      <c r="L336" s="3">
        <v>0</v>
      </c>
      <c r="M336" s="3">
        <v>0</v>
      </c>
      <c r="N336" s="3">
        <v>2</v>
      </c>
      <c r="O336" s="3">
        <v>0.13</v>
      </c>
      <c r="P336" s="3">
        <v>0</v>
      </c>
      <c r="Q336" s="3">
        <v>0</v>
      </c>
      <c r="R336" s="3">
        <v>0</v>
      </c>
    </row>
    <row r="337" spans="1:18">
      <c r="A337" s="3" t="s">
        <v>1535</v>
      </c>
      <c r="B337" s="3" t="s">
        <v>1536</v>
      </c>
      <c r="C337" s="3" t="s">
        <v>1537</v>
      </c>
      <c r="D337" s="3" t="s">
        <v>1538</v>
      </c>
      <c r="E337" s="3" t="s">
        <v>340</v>
      </c>
      <c r="F337" s="3">
        <v>39.99</v>
      </c>
      <c r="G337" s="3" t="s">
        <v>2572</v>
      </c>
      <c r="H337" s="3"/>
      <c r="I337" s="3" t="s">
        <v>2573</v>
      </c>
      <c r="J337" s="3">
        <v>1</v>
      </c>
      <c r="K337" s="3">
        <v>1</v>
      </c>
      <c r="L337" s="3">
        <v>0</v>
      </c>
      <c r="M337" s="3">
        <v>0</v>
      </c>
      <c r="N337" s="3">
        <v>1</v>
      </c>
      <c r="O337" s="3">
        <v>0.05</v>
      </c>
      <c r="P337" s="3">
        <v>0</v>
      </c>
      <c r="Q337" s="3">
        <v>0</v>
      </c>
      <c r="R337" s="3">
        <v>0</v>
      </c>
    </row>
    <row r="338" spans="1:18">
      <c r="A338" s="3" t="s">
        <v>47</v>
      </c>
      <c r="B338" s="3" t="s">
        <v>48</v>
      </c>
      <c r="C338" s="3" t="s">
        <v>49</v>
      </c>
      <c r="D338" s="3" t="s">
        <v>46</v>
      </c>
      <c r="E338" s="3" t="s">
        <v>340</v>
      </c>
      <c r="F338" s="3">
        <v>39.99</v>
      </c>
      <c r="G338" s="3" t="s">
        <v>2572</v>
      </c>
      <c r="H338" s="3"/>
      <c r="I338" s="3" t="s">
        <v>2573</v>
      </c>
      <c r="J338" s="3">
        <v>1</v>
      </c>
      <c r="K338" s="3">
        <v>0</v>
      </c>
      <c r="L338" s="3">
        <v>0</v>
      </c>
      <c r="M338" s="3">
        <v>1</v>
      </c>
      <c r="N338" s="3">
        <v>1</v>
      </c>
      <c r="O338" s="3">
        <v>0.05</v>
      </c>
      <c r="P338" s="3">
        <v>0</v>
      </c>
      <c r="Q338" s="3">
        <v>0</v>
      </c>
      <c r="R338" s="3">
        <v>0</v>
      </c>
    </row>
    <row r="339" spans="1:18">
      <c r="A339" s="3" t="s">
        <v>43</v>
      </c>
      <c r="B339" s="3" t="s">
        <v>44</v>
      </c>
      <c r="C339" s="3" t="s">
        <v>45</v>
      </c>
      <c r="D339" s="3" t="s">
        <v>46</v>
      </c>
      <c r="E339" s="3" t="s">
        <v>340</v>
      </c>
      <c r="F339" s="3">
        <v>39.99</v>
      </c>
      <c r="G339" s="3" t="s">
        <v>2572</v>
      </c>
      <c r="H339" s="3"/>
      <c r="I339" s="3" t="s">
        <v>2573</v>
      </c>
      <c r="J339" s="3">
        <v>1</v>
      </c>
      <c r="K339" s="3">
        <v>0</v>
      </c>
      <c r="L339" s="3">
        <v>0</v>
      </c>
      <c r="M339" s="3">
        <v>1</v>
      </c>
      <c r="N339" s="3">
        <v>1</v>
      </c>
      <c r="O339" s="3">
        <v>0.05</v>
      </c>
      <c r="P339" s="3">
        <v>0</v>
      </c>
      <c r="Q339" s="3">
        <v>0</v>
      </c>
      <c r="R339" s="3">
        <v>0</v>
      </c>
    </row>
    <row r="340" spans="1:18">
      <c r="A340" s="3" t="s">
        <v>2799</v>
      </c>
      <c r="B340" s="3" t="s">
        <v>2800</v>
      </c>
      <c r="C340" s="3" t="s">
        <v>2801</v>
      </c>
      <c r="D340" s="3" t="s">
        <v>2802</v>
      </c>
      <c r="E340" s="3" t="s">
        <v>340</v>
      </c>
      <c r="F340" s="3">
        <v>39.99</v>
      </c>
      <c r="G340" s="3" t="s">
        <v>2572</v>
      </c>
      <c r="H340" s="3"/>
      <c r="I340" s="3" t="s">
        <v>2573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0.05</v>
      </c>
      <c r="P340" s="3">
        <v>0</v>
      </c>
      <c r="Q340" s="3">
        <v>0</v>
      </c>
      <c r="R340" s="3">
        <v>0</v>
      </c>
    </row>
    <row r="341" spans="1:18">
      <c r="A341" s="3" t="s">
        <v>2803</v>
      </c>
      <c r="B341" s="3" t="s">
        <v>2804</v>
      </c>
      <c r="C341" s="3" t="s">
        <v>2805</v>
      </c>
      <c r="D341" s="3" t="s">
        <v>2806</v>
      </c>
      <c r="E341" s="3" t="s">
        <v>340</v>
      </c>
      <c r="F341" s="3">
        <v>39.99</v>
      </c>
      <c r="G341" s="3" t="s">
        <v>2572</v>
      </c>
      <c r="H341" s="3"/>
      <c r="I341" s="3" t="s">
        <v>2573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0.05</v>
      </c>
      <c r="P341" s="3">
        <v>0</v>
      </c>
      <c r="Q341" s="3">
        <v>0</v>
      </c>
      <c r="R341" s="3">
        <v>0</v>
      </c>
    </row>
    <row r="342" spans="1:18">
      <c r="A342" s="3" t="s">
        <v>1815</v>
      </c>
      <c r="B342" s="3" t="s">
        <v>1816</v>
      </c>
      <c r="C342" s="3" t="s">
        <v>1817</v>
      </c>
      <c r="D342" s="3" t="s">
        <v>1818</v>
      </c>
      <c r="E342" s="3" t="s">
        <v>340</v>
      </c>
      <c r="F342" s="3">
        <v>39.99</v>
      </c>
      <c r="G342" s="3" t="s">
        <v>2572</v>
      </c>
      <c r="H342" s="3"/>
      <c r="I342" s="3" t="s">
        <v>2573</v>
      </c>
      <c r="J342" s="3">
        <v>3</v>
      </c>
      <c r="K342" s="3">
        <v>3</v>
      </c>
      <c r="L342" s="3">
        <v>0</v>
      </c>
      <c r="M342" s="3">
        <v>0</v>
      </c>
      <c r="N342" s="3">
        <v>3</v>
      </c>
      <c r="O342" s="3">
        <v>0.05</v>
      </c>
      <c r="P342" s="3">
        <v>0</v>
      </c>
      <c r="Q342" s="3">
        <v>0</v>
      </c>
      <c r="R342" s="3">
        <v>0</v>
      </c>
    </row>
    <row r="343" spans="1:18">
      <c r="A343" s="3" t="s">
        <v>1199</v>
      </c>
      <c r="B343" s="3" t="s">
        <v>1200</v>
      </c>
      <c r="C343" s="3" t="s">
        <v>1201</v>
      </c>
      <c r="D343" s="3" t="s">
        <v>1202</v>
      </c>
      <c r="E343" s="3" t="s">
        <v>340</v>
      </c>
      <c r="F343" s="3">
        <v>39.99</v>
      </c>
      <c r="G343" s="3" t="s">
        <v>2572</v>
      </c>
      <c r="H343" s="3"/>
      <c r="I343" s="3" t="s">
        <v>2573</v>
      </c>
      <c r="J343" s="3">
        <v>3</v>
      </c>
      <c r="K343" s="3">
        <v>3</v>
      </c>
      <c r="L343" s="3">
        <v>0</v>
      </c>
      <c r="M343" s="3">
        <v>0</v>
      </c>
      <c r="N343" s="3">
        <v>3</v>
      </c>
      <c r="O343" s="3">
        <v>0.05</v>
      </c>
      <c r="P343" s="3">
        <v>0</v>
      </c>
      <c r="Q343" s="3">
        <v>0</v>
      </c>
      <c r="R343" s="3">
        <v>0</v>
      </c>
    </row>
    <row r="344" spans="1:18">
      <c r="A344" s="3" t="s">
        <v>1350</v>
      </c>
      <c r="B344" s="3" t="s">
        <v>1351</v>
      </c>
      <c r="C344" s="3" t="s">
        <v>1352</v>
      </c>
      <c r="D344" s="3" t="s">
        <v>1353</v>
      </c>
      <c r="E344" s="3" t="s">
        <v>340</v>
      </c>
      <c r="F344" s="3">
        <v>15.99</v>
      </c>
      <c r="G344" s="3" t="s">
        <v>2572</v>
      </c>
      <c r="H344" s="3"/>
      <c r="I344" s="3" t="s">
        <v>2573</v>
      </c>
      <c r="J344" s="3">
        <v>2</v>
      </c>
      <c r="K344" s="3">
        <v>2</v>
      </c>
      <c r="L344" s="3">
        <v>0</v>
      </c>
      <c r="M344" s="3">
        <v>0</v>
      </c>
      <c r="N344" s="3">
        <v>2</v>
      </c>
      <c r="O344" s="3">
        <v>0</v>
      </c>
      <c r="P344" s="3">
        <v>0</v>
      </c>
      <c r="Q344" s="3">
        <v>0</v>
      </c>
      <c r="R344" s="3">
        <v>0</v>
      </c>
    </row>
    <row r="345" spans="1:18">
      <c r="A345" s="3" t="s">
        <v>2235</v>
      </c>
      <c r="B345" s="3" t="s">
        <v>2236</v>
      </c>
      <c r="C345" s="3" t="s">
        <v>2237</v>
      </c>
      <c r="D345" s="3" t="s">
        <v>2238</v>
      </c>
      <c r="E345" s="3" t="s">
        <v>340</v>
      </c>
      <c r="F345" s="3">
        <v>15.99</v>
      </c>
      <c r="G345" s="3" t="s">
        <v>2572</v>
      </c>
      <c r="H345" s="3"/>
      <c r="I345" s="3" t="s">
        <v>2573</v>
      </c>
      <c r="J345" s="3">
        <v>3</v>
      </c>
      <c r="K345" s="3">
        <v>3</v>
      </c>
      <c r="L345" s="3">
        <v>0</v>
      </c>
      <c r="M345" s="3">
        <v>0</v>
      </c>
      <c r="N345" s="3">
        <v>3</v>
      </c>
      <c r="O345" s="3">
        <v>0</v>
      </c>
      <c r="P345" s="3">
        <v>0</v>
      </c>
      <c r="Q345" s="3">
        <v>0</v>
      </c>
      <c r="R345" s="3">
        <v>0</v>
      </c>
    </row>
    <row r="346" spans="1:18">
      <c r="A346" s="3" t="s">
        <v>1040</v>
      </c>
      <c r="B346" s="3" t="s">
        <v>1041</v>
      </c>
      <c r="C346" s="3" t="s">
        <v>1042</v>
      </c>
      <c r="D346" s="3" t="s">
        <v>1043</v>
      </c>
      <c r="E346" s="3" t="s">
        <v>340</v>
      </c>
      <c r="F346" s="3">
        <v>15.99</v>
      </c>
      <c r="G346" s="3" t="s">
        <v>2572</v>
      </c>
      <c r="H346" s="3"/>
      <c r="I346" s="3" t="s">
        <v>2573</v>
      </c>
      <c r="J346" s="3">
        <v>3</v>
      </c>
      <c r="K346" s="3">
        <v>3</v>
      </c>
      <c r="L346" s="3">
        <v>0</v>
      </c>
      <c r="M346" s="3">
        <v>0</v>
      </c>
      <c r="N346" s="3">
        <v>3</v>
      </c>
      <c r="O346" s="3">
        <v>0.05</v>
      </c>
      <c r="P346" s="3">
        <v>0</v>
      </c>
      <c r="Q346" s="3">
        <v>0</v>
      </c>
      <c r="R346" s="3">
        <v>0</v>
      </c>
    </row>
    <row r="347" spans="1:18">
      <c r="A347" s="3" t="s">
        <v>536</v>
      </c>
      <c r="B347" s="3" t="s">
        <v>537</v>
      </c>
      <c r="C347" s="3" t="s">
        <v>538</v>
      </c>
      <c r="D347" s="3" t="s">
        <v>539</v>
      </c>
      <c r="E347" s="3" t="s">
        <v>340</v>
      </c>
      <c r="F347" s="3">
        <v>15.99</v>
      </c>
      <c r="G347" s="3" t="s">
        <v>2572</v>
      </c>
      <c r="H347" s="3"/>
      <c r="I347" s="3" t="s">
        <v>2573</v>
      </c>
      <c r="J347" s="3">
        <v>3</v>
      </c>
      <c r="K347" s="3">
        <v>3</v>
      </c>
      <c r="L347" s="3">
        <v>0</v>
      </c>
      <c r="M347" s="3">
        <v>0</v>
      </c>
      <c r="N347" s="3">
        <v>3</v>
      </c>
      <c r="O347" s="3">
        <v>0</v>
      </c>
      <c r="P347" s="3">
        <v>0</v>
      </c>
      <c r="Q347" s="3">
        <v>0</v>
      </c>
      <c r="R347" s="3">
        <v>0</v>
      </c>
    </row>
    <row r="348" spans="1:18">
      <c r="A348" s="3" t="s">
        <v>1692</v>
      </c>
      <c r="B348" s="3" t="s">
        <v>1693</v>
      </c>
      <c r="C348" s="3" t="s">
        <v>1694</v>
      </c>
      <c r="D348" s="3" t="s">
        <v>1695</v>
      </c>
      <c r="E348" s="3" t="s">
        <v>340</v>
      </c>
      <c r="F348" s="3">
        <v>15.99</v>
      </c>
      <c r="G348" s="3" t="s">
        <v>2572</v>
      </c>
      <c r="H348" s="3"/>
      <c r="I348" s="3" t="s">
        <v>2573</v>
      </c>
      <c r="J348" s="3">
        <v>1</v>
      </c>
      <c r="K348" s="3">
        <v>1</v>
      </c>
      <c r="L348" s="3">
        <v>0</v>
      </c>
      <c r="M348" s="3">
        <v>0</v>
      </c>
      <c r="N348" s="3">
        <v>1</v>
      </c>
      <c r="O348" s="3">
        <v>0</v>
      </c>
      <c r="P348" s="3">
        <v>0</v>
      </c>
      <c r="Q348" s="3">
        <v>0</v>
      </c>
      <c r="R348" s="3">
        <v>0</v>
      </c>
    </row>
    <row r="349" spans="1:18">
      <c r="A349" s="3" t="s">
        <v>2259</v>
      </c>
      <c r="B349" s="3" t="s">
        <v>2260</v>
      </c>
      <c r="C349" s="3" t="s">
        <v>2261</v>
      </c>
      <c r="D349" s="3" t="s">
        <v>2262</v>
      </c>
      <c r="E349" s="3" t="s">
        <v>340</v>
      </c>
      <c r="F349" s="3">
        <v>19.9</v>
      </c>
      <c r="G349" s="3" t="s">
        <v>2572</v>
      </c>
      <c r="H349" s="3"/>
      <c r="I349" s="3" t="s">
        <v>2573</v>
      </c>
      <c r="J349" s="3">
        <v>1</v>
      </c>
      <c r="K349" s="3">
        <v>1</v>
      </c>
      <c r="L349" s="3">
        <v>0</v>
      </c>
      <c r="M349" s="3">
        <v>0</v>
      </c>
      <c r="N349" s="3">
        <v>1</v>
      </c>
      <c r="O349" s="3">
        <v>0.06</v>
      </c>
      <c r="P349" s="3">
        <v>0</v>
      </c>
      <c r="Q349" s="3">
        <v>0</v>
      </c>
      <c r="R349" s="3">
        <v>0</v>
      </c>
    </row>
    <row r="350" spans="1:18">
      <c r="A350" s="3" t="s">
        <v>1274</v>
      </c>
      <c r="B350" s="3" t="s">
        <v>1275</v>
      </c>
      <c r="C350" s="3" t="s">
        <v>1276</v>
      </c>
      <c r="D350" s="3" t="s">
        <v>1277</v>
      </c>
      <c r="E350" s="3" t="s">
        <v>340</v>
      </c>
      <c r="F350" s="3">
        <v>29.99</v>
      </c>
      <c r="G350" s="3" t="s">
        <v>2572</v>
      </c>
      <c r="H350" s="3"/>
      <c r="I350" s="3" t="s">
        <v>2573</v>
      </c>
      <c r="J350" s="3">
        <v>1</v>
      </c>
      <c r="K350" s="3">
        <v>1</v>
      </c>
      <c r="L350" s="3">
        <v>0</v>
      </c>
      <c r="M350" s="3">
        <v>0</v>
      </c>
      <c r="N350" s="3">
        <v>1</v>
      </c>
      <c r="O350" s="3">
        <v>0</v>
      </c>
      <c r="P350" s="3">
        <v>0</v>
      </c>
      <c r="Q350" s="3">
        <v>0</v>
      </c>
      <c r="R350" s="3">
        <v>0</v>
      </c>
    </row>
    <row r="351" spans="1:18">
      <c r="A351" s="3" t="s">
        <v>2152</v>
      </c>
      <c r="B351" s="3" t="s">
        <v>2153</v>
      </c>
      <c r="C351" s="3" t="s">
        <v>2154</v>
      </c>
      <c r="D351" s="3" t="s">
        <v>2155</v>
      </c>
      <c r="E351" s="3" t="s">
        <v>340</v>
      </c>
      <c r="F351" s="3">
        <v>29.99</v>
      </c>
      <c r="G351" s="3" t="s">
        <v>2572</v>
      </c>
      <c r="H351" s="3"/>
      <c r="I351" s="3" t="s">
        <v>2573</v>
      </c>
      <c r="J351" s="3">
        <v>1</v>
      </c>
      <c r="K351" s="3">
        <v>1</v>
      </c>
      <c r="L351" s="3">
        <v>0</v>
      </c>
      <c r="M351" s="3">
        <v>0</v>
      </c>
      <c r="N351" s="3">
        <v>1</v>
      </c>
      <c r="O351" s="3">
        <v>0.04</v>
      </c>
      <c r="P351" s="3">
        <v>0</v>
      </c>
      <c r="Q351" s="3">
        <v>0</v>
      </c>
      <c r="R351" s="3">
        <v>0</v>
      </c>
    </row>
    <row r="352" spans="1:18">
      <c r="A352" s="3" t="s">
        <v>2531</v>
      </c>
      <c r="B352" s="3" t="s">
        <v>2532</v>
      </c>
      <c r="C352" s="3" t="s">
        <v>2533</v>
      </c>
      <c r="D352" s="3" t="s">
        <v>2155</v>
      </c>
      <c r="E352" s="3" t="s">
        <v>340</v>
      </c>
      <c r="F352" s="3">
        <v>29.99</v>
      </c>
      <c r="G352" s="3" t="s">
        <v>2572</v>
      </c>
      <c r="H352" s="3"/>
      <c r="I352" s="3" t="s">
        <v>2573</v>
      </c>
      <c r="J352" s="3">
        <v>3</v>
      </c>
      <c r="K352" s="3">
        <v>3</v>
      </c>
      <c r="L352" s="3">
        <v>0</v>
      </c>
      <c r="M352" s="3">
        <v>0</v>
      </c>
      <c r="N352" s="3">
        <v>3</v>
      </c>
      <c r="O352" s="3">
        <v>0.04</v>
      </c>
      <c r="P352" s="3">
        <v>0</v>
      </c>
      <c r="Q352" s="3">
        <v>0</v>
      </c>
      <c r="R352" s="3">
        <v>0</v>
      </c>
    </row>
    <row r="353" spans="1:18">
      <c r="A353" s="3" t="s">
        <v>2807</v>
      </c>
      <c r="B353" s="3" t="s">
        <v>2808</v>
      </c>
      <c r="C353" s="3" t="s">
        <v>2809</v>
      </c>
      <c r="D353" s="3" t="s">
        <v>2810</v>
      </c>
      <c r="E353" s="3" t="s">
        <v>340</v>
      </c>
      <c r="F353" s="3">
        <v>18.99</v>
      </c>
      <c r="G353" s="3" t="s">
        <v>2573</v>
      </c>
      <c r="H353" s="3">
        <v>0</v>
      </c>
      <c r="I353" s="3" t="s">
        <v>2572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0.02</v>
      </c>
      <c r="P353" s="3">
        <v>0</v>
      </c>
      <c r="Q353" s="3">
        <v>0</v>
      </c>
      <c r="R353" s="3">
        <v>0</v>
      </c>
    </row>
    <row r="354" spans="1:18">
      <c r="A354" s="3" t="s">
        <v>2811</v>
      </c>
      <c r="B354" s="3" t="s">
        <v>2812</v>
      </c>
      <c r="C354" s="3" t="s">
        <v>2813</v>
      </c>
      <c r="D354" s="3" t="s">
        <v>2810</v>
      </c>
      <c r="E354" s="3" t="s">
        <v>340</v>
      </c>
      <c r="F354" s="3">
        <v>18.99</v>
      </c>
      <c r="G354" s="3" t="s">
        <v>2572</v>
      </c>
      <c r="H354" s="3"/>
      <c r="I354" s="3" t="s">
        <v>2573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0.02</v>
      </c>
      <c r="P354" s="3">
        <v>0</v>
      </c>
      <c r="Q354" s="3">
        <v>0</v>
      </c>
      <c r="R354" s="3">
        <v>0</v>
      </c>
    </row>
    <row r="355" spans="1:18">
      <c r="A355" s="3" t="s">
        <v>1263</v>
      </c>
      <c r="B355" s="3" t="s">
        <v>1264</v>
      </c>
      <c r="C355" s="3" t="s">
        <v>1265</v>
      </c>
      <c r="D355" s="3" t="s">
        <v>53</v>
      </c>
      <c r="E355" s="3" t="s">
        <v>340</v>
      </c>
      <c r="F355" s="3">
        <v>18.98</v>
      </c>
      <c r="G355" s="3" t="s">
        <v>2572</v>
      </c>
      <c r="H355" s="3"/>
      <c r="I355" s="3" t="s">
        <v>2573</v>
      </c>
      <c r="J355" s="3">
        <v>7</v>
      </c>
      <c r="K355" s="3">
        <v>7</v>
      </c>
      <c r="L355" s="3">
        <v>0</v>
      </c>
      <c r="M355" s="3">
        <v>0</v>
      </c>
      <c r="N355" s="3">
        <v>7</v>
      </c>
      <c r="O355" s="3">
        <v>0.08</v>
      </c>
      <c r="P355" s="3">
        <v>0</v>
      </c>
      <c r="Q355" s="3">
        <v>0</v>
      </c>
      <c r="R355" s="3">
        <v>0</v>
      </c>
    </row>
    <row r="356" spans="1:18">
      <c r="A356" s="3" t="s">
        <v>2814</v>
      </c>
      <c r="B356" s="3" t="s">
        <v>2815</v>
      </c>
      <c r="C356" s="3" t="s">
        <v>2816</v>
      </c>
      <c r="D356" s="3" t="s">
        <v>53</v>
      </c>
      <c r="E356" s="3" t="s">
        <v>340</v>
      </c>
      <c r="F356" s="3">
        <v>18.98</v>
      </c>
      <c r="G356" s="3" t="s">
        <v>2572</v>
      </c>
      <c r="H356" s="3"/>
      <c r="I356" s="3" t="s">
        <v>2573</v>
      </c>
      <c r="J356" s="3">
        <v>4</v>
      </c>
      <c r="K356" s="3">
        <v>0</v>
      </c>
      <c r="L356" s="3">
        <v>4</v>
      </c>
      <c r="M356" s="3">
        <v>0</v>
      </c>
      <c r="N356" s="3">
        <v>4</v>
      </c>
      <c r="O356" s="3">
        <v>0.08</v>
      </c>
      <c r="P356" s="3">
        <v>0</v>
      </c>
      <c r="Q356" s="3">
        <v>0</v>
      </c>
      <c r="R356" s="3">
        <v>0</v>
      </c>
    </row>
    <row r="357" spans="1:18">
      <c r="A357" s="3" t="s">
        <v>1464</v>
      </c>
      <c r="B357" s="3" t="s">
        <v>1465</v>
      </c>
      <c r="C357" s="3" t="s">
        <v>1466</v>
      </c>
      <c r="D357" s="3" t="s">
        <v>53</v>
      </c>
      <c r="E357" s="3" t="s">
        <v>340</v>
      </c>
      <c r="F357" s="3">
        <v>18.98</v>
      </c>
      <c r="G357" s="3" t="s">
        <v>2572</v>
      </c>
      <c r="H357" s="3"/>
      <c r="I357" s="3" t="s">
        <v>2573</v>
      </c>
      <c r="J357" s="3">
        <v>9</v>
      </c>
      <c r="K357" s="3">
        <v>9</v>
      </c>
      <c r="L357" s="3">
        <v>0</v>
      </c>
      <c r="M357" s="3">
        <v>0</v>
      </c>
      <c r="N357" s="3">
        <v>9</v>
      </c>
      <c r="O357" s="3">
        <v>0.08</v>
      </c>
      <c r="P357" s="3">
        <v>0</v>
      </c>
      <c r="Q357" s="3">
        <v>0</v>
      </c>
      <c r="R357" s="3">
        <v>0</v>
      </c>
    </row>
    <row r="358" spans="1:18">
      <c r="A358" s="3" t="s">
        <v>2495</v>
      </c>
      <c r="B358" s="3" t="s">
        <v>2496</v>
      </c>
      <c r="C358" s="3" t="s">
        <v>2497</v>
      </c>
      <c r="D358" s="3" t="s">
        <v>53</v>
      </c>
      <c r="E358" s="3" t="s">
        <v>340</v>
      </c>
      <c r="F358" s="3">
        <v>18.98</v>
      </c>
      <c r="G358" s="3" t="s">
        <v>2572</v>
      </c>
      <c r="H358" s="3"/>
      <c r="I358" s="3" t="s">
        <v>2573</v>
      </c>
      <c r="J358" s="3">
        <v>12</v>
      </c>
      <c r="K358" s="3">
        <v>12</v>
      </c>
      <c r="L358" s="3">
        <v>0</v>
      </c>
      <c r="M358" s="3">
        <v>0</v>
      </c>
      <c r="N358" s="3">
        <v>12</v>
      </c>
      <c r="O358" s="3">
        <v>0.08</v>
      </c>
      <c r="P358" s="3">
        <v>0</v>
      </c>
      <c r="Q358" s="3">
        <v>0</v>
      </c>
      <c r="R358" s="3">
        <v>0</v>
      </c>
    </row>
    <row r="359" spans="1:18">
      <c r="A359" s="3" t="s">
        <v>50</v>
      </c>
      <c r="B359" s="3" t="s">
        <v>51</v>
      </c>
      <c r="C359" s="3" t="s">
        <v>52</v>
      </c>
      <c r="D359" s="3" t="s">
        <v>53</v>
      </c>
      <c r="E359" s="3" t="s">
        <v>340</v>
      </c>
      <c r="F359" s="3">
        <v>18.98</v>
      </c>
      <c r="G359" s="3" t="s">
        <v>2572</v>
      </c>
      <c r="H359" s="3"/>
      <c r="I359" s="3" t="s">
        <v>2573</v>
      </c>
      <c r="J359" s="3">
        <v>39</v>
      </c>
      <c r="K359" s="3">
        <v>32</v>
      </c>
      <c r="L359" s="3">
        <v>6</v>
      </c>
      <c r="M359" s="3">
        <v>1</v>
      </c>
      <c r="N359" s="3">
        <v>39</v>
      </c>
      <c r="O359" s="3">
        <v>0.08</v>
      </c>
      <c r="P359" s="3">
        <v>0</v>
      </c>
      <c r="Q359" s="3">
        <v>0</v>
      </c>
      <c r="R359" s="3">
        <v>0</v>
      </c>
    </row>
    <row r="360" spans="1:18">
      <c r="A360" s="3" t="s">
        <v>1780</v>
      </c>
      <c r="B360" s="3" t="s">
        <v>1781</v>
      </c>
      <c r="C360" s="3" t="s">
        <v>1782</v>
      </c>
      <c r="D360" s="3" t="s">
        <v>53</v>
      </c>
      <c r="E360" s="3" t="s">
        <v>340</v>
      </c>
      <c r="F360" s="3">
        <v>18.98</v>
      </c>
      <c r="G360" s="3" t="s">
        <v>2572</v>
      </c>
      <c r="H360" s="3"/>
      <c r="I360" s="3" t="s">
        <v>2573</v>
      </c>
      <c r="J360" s="3">
        <v>50</v>
      </c>
      <c r="K360" s="3">
        <v>48</v>
      </c>
      <c r="L360" s="3">
        <v>2</v>
      </c>
      <c r="M360" s="3">
        <v>0</v>
      </c>
      <c r="N360" s="3">
        <v>50</v>
      </c>
      <c r="O360" s="3">
        <v>0.08</v>
      </c>
      <c r="P360" s="3">
        <v>0</v>
      </c>
      <c r="Q360" s="3">
        <v>0</v>
      </c>
      <c r="R360" s="3">
        <v>0</v>
      </c>
    </row>
    <row r="361" spans="1:18">
      <c r="A361" s="3" t="s">
        <v>1773</v>
      </c>
      <c r="B361" s="3" t="s">
        <v>1774</v>
      </c>
      <c r="C361" s="3" t="s">
        <v>1775</v>
      </c>
      <c r="D361" s="3" t="s">
        <v>53</v>
      </c>
      <c r="E361" s="3" t="s">
        <v>340</v>
      </c>
      <c r="F361" s="3">
        <v>18.98</v>
      </c>
      <c r="G361" s="3" t="s">
        <v>2572</v>
      </c>
      <c r="H361" s="3"/>
      <c r="I361" s="3" t="s">
        <v>2573</v>
      </c>
      <c r="J361" s="3">
        <v>9</v>
      </c>
      <c r="K361" s="3">
        <v>5</v>
      </c>
      <c r="L361" s="3">
        <v>4</v>
      </c>
      <c r="M361" s="3">
        <v>0</v>
      </c>
      <c r="N361" s="3">
        <v>9</v>
      </c>
      <c r="O361" s="3">
        <v>0.08</v>
      </c>
      <c r="P361" s="3">
        <v>0</v>
      </c>
      <c r="Q361" s="3">
        <v>0</v>
      </c>
      <c r="R361" s="3">
        <v>0</v>
      </c>
    </row>
    <row r="362" spans="1:18">
      <c r="A362" s="3" t="s">
        <v>54</v>
      </c>
      <c r="B362" s="3" t="s">
        <v>55</v>
      </c>
      <c r="C362" s="3" t="s">
        <v>56</v>
      </c>
      <c r="D362" s="3" t="s">
        <v>53</v>
      </c>
      <c r="E362" s="3" t="s">
        <v>340</v>
      </c>
      <c r="F362" s="3">
        <v>18.98</v>
      </c>
      <c r="G362" s="3" t="s">
        <v>2572</v>
      </c>
      <c r="H362" s="3"/>
      <c r="I362" s="3" t="s">
        <v>2573</v>
      </c>
      <c r="J362" s="3">
        <v>69</v>
      </c>
      <c r="K362" s="3">
        <v>53</v>
      </c>
      <c r="L362" s="3">
        <v>13</v>
      </c>
      <c r="M362" s="3">
        <v>3</v>
      </c>
      <c r="N362" s="3">
        <v>69</v>
      </c>
      <c r="O362" s="3">
        <v>0.08</v>
      </c>
      <c r="P362" s="3">
        <v>0</v>
      </c>
      <c r="Q362" s="3">
        <v>0</v>
      </c>
      <c r="R362" s="3">
        <v>0</v>
      </c>
    </row>
    <row r="363" spans="1:18">
      <c r="A363" s="3" t="s">
        <v>2817</v>
      </c>
      <c r="B363" s="3" t="s">
        <v>2818</v>
      </c>
      <c r="C363" s="3" t="s">
        <v>2819</v>
      </c>
      <c r="D363" s="3" t="s">
        <v>53</v>
      </c>
      <c r="E363" s="3" t="s">
        <v>340</v>
      </c>
      <c r="F363" s="3">
        <v>18.98</v>
      </c>
      <c r="G363" s="3" t="s">
        <v>2572</v>
      </c>
      <c r="H363" s="3"/>
      <c r="I363" s="3" t="s">
        <v>2573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0.08</v>
      </c>
      <c r="P363" s="3">
        <v>0</v>
      </c>
      <c r="Q363" s="3">
        <v>0</v>
      </c>
      <c r="R363" s="3">
        <v>0</v>
      </c>
    </row>
    <row r="364" spans="1:18">
      <c r="A364" s="3" t="s">
        <v>903</v>
      </c>
      <c r="B364" s="3" t="s">
        <v>904</v>
      </c>
      <c r="C364" s="3" t="s">
        <v>905</v>
      </c>
      <c r="D364" s="3" t="s">
        <v>53</v>
      </c>
      <c r="E364" s="3" t="s">
        <v>340</v>
      </c>
      <c r="F364" s="3">
        <v>12.98</v>
      </c>
      <c r="G364" s="3" t="s">
        <v>2572</v>
      </c>
      <c r="H364" s="3"/>
      <c r="I364" s="3" t="s">
        <v>2573</v>
      </c>
      <c r="J364" s="3">
        <v>6</v>
      </c>
      <c r="K364" s="3">
        <v>4</v>
      </c>
      <c r="L364" s="3">
        <v>2</v>
      </c>
      <c r="M364" s="3">
        <v>0</v>
      </c>
      <c r="N364" s="3">
        <v>6</v>
      </c>
      <c r="O364" s="3">
        <v>0.08</v>
      </c>
      <c r="P364" s="3">
        <v>0</v>
      </c>
      <c r="Q364" s="3">
        <v>0</v>
      </c>
      <c r="R364" s="3">
        <v>0</v>
      </c>
    </row>
    <row r="365" spans="1:18">
      <c r="A365" s="3" t="s">
        <v>2820</v>
      </c>
      <c r="B365" s="3" t="s">
        <v>2821</v>
      </c>
      <c r="C365" s="3" t="s">
        <v>2822</v>
      </c>
      <c r="D365" s="3"/>
      <c r="E365" s="3" t="s">
        <v>2823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2824</v>
      </c>
      <c r="B366" s="3" t="s">
        <v>2825</v>
      </c>
      <c r="C366" s="3" t="s">
        <v>2826</v>
      </c>
      <c r="D366" s="3" t="s">
        <v>1231</v>
      </c>
      <c r="E366" s="3" t="s">
        <v>340</v>
      </c>
      <c r="F366" s="3">
        <v>19.9</v>
      </c>
      <c r="G366" s="3" t="s">
        <v>2572</v>
      </c>
      <c r="H366" s="3"/>
      <c r="I366" s="3" t="s">
        <v>2573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0.13</v>
      </c>
      <c r="P366" s="3">
        <v>0</v>
      </c>
      <c r="Q366" s="3">
        <v>0</v>
      </c>
      <c r="R366" s="3">
        <v>0</v>
      </c>
    </row>
    <row r="367" spans="1:18">
      <c r="A367" s="3" t="s">
        <v>1228</v>
      </c>
      <c r="B367" s="3" t="s">
        <v>1229</v>
      </c>
      <c r="C367" s="3" t="s">
        <v>1230</v>
      </c>
      <c r="D367" s="3" t="s">
        <v>1231</v>
      </c>
      <c r="E367" s="3" t="s">
        <v>340</v>
      </c>
      <c r="F367" s="3">
        <v>19.9</v>
      </c>
      <c r="G367" s="3" t="s">
        <v>2572</v>
      </c>
      <c r="H367" s="3"/>
      <c r="I367" s="3" t="s">
        <v>2573</v>
      </c>
      <c r="J367" s="3">
        <v>2</v>
      </c>
      <c r="K367" s="3">
        <v>2</v>
      </c>
      <c r="L367" s="3">
        <v>0</v>
      </c>
      <c r="M367" s="3">
        <v>0</v>
      </c>
      <c r="N367" s="3">
        <v>2</v>
      </c>
      <c r="O367" s="3">
        <v>0</v>
      </c>
      <c r="P367" s="3">
        <v>0</v>
      </c>
      <c r="Q367" s="3">
        <v>0</v>
      </c>
      <c r="R367" s="3">
        <v>0</v>
      </c>
    </row>
    <row r="368" spans="1:18">
      <c r="A368" s="3" t="s">
        <v>2487</v>
      </c>
      <c r="B368" s="3" t="s">
        <v>2488</v>
      </c>
      <c r="C368" s="3" t="s">
        <v>2489</v>
      </c>
      <c r="D368" s="3" t="s">
        <v>2490</v>
      </c>
      <c r="E368" s="3" t="s">
        <v>340</v>
      </c>
      <c r="F368" s="3">
        <v>29.99</v>
      </c>
      <c r="G368" s="3" t="s">
        <v>2572</v>
      </c>
      <c r="H368" s="3"/>
      <c r="I368" s="3" t="s">
        <v>2573</v>
      </c>
      <c r="J368" s="3">
        <v>3</v>
      </c>
      <c r="K368" s="3">
        <v>3</v>
      </c>
      <c r="L368" s="3">
        <v>0</v>
      </c>
      <c r="M368" s="3">
        <v>0</v>
      </c>
      <c r="N368" s="3">
        <v>3</v>
      </c>
      <c r="O368" s="3">
        <v>0.14</v>
      </c>
      <c r="P368" s="3">
        <v>0</v>
      </c>
      <c r="Q368" s="3">
        <v>0</v>
      </c>
      <c r="R368" s="3">
        <v>0</v>
      </c>
    </row>
    <row r="369" spans="1:18">
      <c r="A369" s="3" t="s">
        <v>2096</v>
      </c>
      <c r="B369" s="3" t="s">
        <v>2097</v>
      </c>
      <c r="C369" s="3" t="s">
        <v>2098</v>
      </c>
      <c r="D369" s="3" t="s">
        <v>2099</v>
      </c>
      <c r="E369" s="3" t="s">
        <v>340</v>
      </c>
      <c r="F369" s="3">
        <v>29.99</v>
      </c>
      <c r="G369" s="3" t="s">
        <v>2572</v>
      </c>
      <c r="H369" s="3"/>
      <c r="I369" s="3" t="s">
        <v>2573</v>
      </c>
      <c r="J369" s="3">
        <v>2</v>
      </c>
      <c r="K369" s="3">
        <v>2</v>
      </c>
      <c r="L369" s="3">
        <v>0</v>
      </c>
      <c r="M369" s="3">
        <v>0</v>
      </c>
      <c r="N369" s="3">
        <v>2</v>
      </c>
      <c r="O369" s="3">
        <v>0.14</v>
      </c>
      <c r="P369" s="3">
        <v>0</v>
      </c>
      <c r="Q369" s="3">
        <v>0</v>
      </c>
      <c r="R369" s="3">
        <v>0</v>
      </c>
    </row>
    <row r="370" spans="1:18">
      <c r="A370" s="3" t="s">
        <v>2103</v>
      </c>
      <c r="B370" s="3" t="s">
        <v>2104</v>
      </c>
      <c r="C370" s="3" t="s">
        <v>2105</v>
      </c>
      <c r="D370" s="3" t="s">
        <v>2106</v>
      </c>
      <c r="E370" s="3" t="s">
        <v>340</v>
      </c>
      <c r="F370" s="3">
        <v>29.99</v>
      </c>
      <c r="G370" s="3" t="s">
        <v>2572</v>
      </c>
      <c r="H370" s="3"/>
      <c r="I370" s="3" t="s">
        <v>2573</v>
      </c>
      <c r="J370" s="3">
        <v>3</v>
      </c>
      <c r="K370" s="3">
        <v>3</v>
      </c>
      <c r="L370" s="3">
        <v>0</v>
      </c>
      <c r="M370" s="3">
        <v>0</v>
      </c>
      <c r="N370" s="3">
        <v>3</v>
      </c>
      <c r="O370" s="3">
        <v>0.14</v>
      </c>
      <c r="P370" s="3">
        <v>0</v>
      </c>
      <c r="Q370" s="3">
        <v>0</v>
      </c>
      <c r="R370" s="3">
        <v>0</v>
      </c>
    </row>
    <row r="371" spans="1:18">
      <c r="A371" s="3" t="s">
        <v>1266</v>
      </c>
      <c r="B371" s="3" t="s">
        <v>1267</v>
      </c>
      <c r="C371" s="3" t="s">
        <v>1268</v>
      </c>
      <c r="D371" s="3" t="s">
        <v>1269</v>
      </c>
      <c r="E371" s="3" t="s">
        <v>340</v>
      </c>
      <c r="F371" s="3">
        <v>29.99</v>
      </c>
      <c r="G371" s="3" t="s">
        <v>2572</v>
      </c>
      <c r="H371" s="3"/>
      <c r="I371" s="3" t="s">
        <v>2573</v>
      </c>
      <c r="J371" s="3">
        <v>3</v>
      </c>
      <c r="K371" s="3">
        <v>3</v>
      </c>
      <c r="L371" s="3">
        <v>0</v>
      </c>
      <c r="M371" s="3">
        <v>0</v>
      </c>
      <c r="N371" s="3">
        <v>3</v>
      </c>
      <c r="O371" s="3">
        <v>0.14</v>
      </c>
      <c r="P371" s="3">
        <v>0</v>
      </c>
      <c r="Q371" s="3">
        <v>0</v>
      </c>
      <c r="R371" s="3">
        <v>0</v>
      </c>
    </row>
    <row r="372" spans="1:18">
      <c r="A372" s="3" t="s">
        <v>2827</v>
      </c>
      <c r="B372" s="3" t="s">
        <v>2828</v>
      </c>
      <c r="C372" s="3" t="s">
        <v>2829</v>
      </c>
      <c r="D372" s="3" t="s">
        <v>2830</v>
      </c>
      <c r="E372" s="3" t="s">
        <v>340</v>
      </c>
      <c r="F372" s="3">
        <v>29.99</v>
      </c>
      <c r="G372" s="3" t="s">
        <v>2572</v>
      </c>
      <c r="H372" s="3"/>
      <c r="I372" s="3" t="s">
        <v>2573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0.14</v>
      </c>
      <c r="P372" s="3">
        <v>0</v>
      </c>
      <c r="Q372" s="3">
        <v>0</v>
      </c>
      <c r="R372" s="3">
        <v>0</v>
      </c>
    </row>
    <row r="373" spans="1:18">
      <c r="A373" s="3" t="s">
        <v>2831</v>
      </c>
      <c r="B373" s="3" t="s">
        <v>2832</v>
      </c>
      <c r="C373" s="3" t="s">
        <v>2833</v>
      </c>
      <c r="D373" s="3" t="s">
        <v>2834</v>
      </c>
      <c r="E373" s="3" t="s">
        <v>340</v>
      </c>
      <c r="F373" s="3">
        <v>29.99</v>
      </c>
      <c r="G373" s="3" t="s">
        <v>2572</v>
      </c>
      <c r="H373" s="3"/>
      <c r="I373" s="3" t="s">
        <v>2573</v>
      </c>
      <c r="J373" s="3">
        <v>1</v>
      </c>
      <c r="K373" s="3">
        <v>0</v>
      </c>
      <c r="L373" s="3">
        <v>1</v>
      </c>
      <c r="M373" s="3">
        <v>0</v>
      </c>
      <c r="N373" s="3">
        <v>1</v>
      </c>
      <c r="O373" s="3">
        <v>0.14</v>
      </c>
      <c r="P373" s="3">
        <v>0</v>
      </c>
      <c r="Q373" s="3">
        <v>0</v>
      </c>
      <c r="R373" s="3">
        <v>0</v>
      </c>
    </row>
    <row r="374" spans="1:18">
      <c r="A374" s="3" t="s">
        <v>2195</v>
      </c>
      <c r="B374" s="3" t="s">
        <v>2196</v>
      </c>
      <c r="C374" s="3" t="s">
        <v>2197</v>
      </c>
      <c r="D374" s="3" t="s">
        <v>2198</v>
      </c>
      <c r="E374" s="3" t="s">
        <v>340</v>
      </c>
      <c r="F374" s="3">
        <v>29.99</v>
      </c>
      <c r="G374" s="3" t="s">
        <v>2572</v>
      </c>
      <c r="H374" s="3"/>
      <c r="I374" s="3" t="s">
        <v>2573</v>
      </c>
      <c r="J374" s="3">
        <v>1</v>
      </c>
      <c r="K374" s="3">
        <v>1</v>
      </c>
      <c r="L374" s="3">
        <v>0</v>
      </c>
      <c r="M374" s="3">
        <v>0</v>
      </c>
      <c r="N374" s="3">
        <v>1</v>
      </c>
      <c r="O374" s="3">
        <v>0.14</v>
      </c>
      <c r="P374" s="3">
        <v>0</v>
      </c>
      <c r="Q374" s="3">
        <v>0</v>
      </c>
      <c r="R374" s="3">
        <v>0</v>
      </c>
    </row>
    <row r="375" spans="1:18">
      <c r="A375" s="3" t="s">
        <v>1064</v>
      </c>
      <c r="B375" s="3" t="s">
        <v>1065</v>
      </c>
      <c r="C375" s="3" t="s">
        <v>1066</v>
      </c>
      <c r="D375" s="3" t="s">
        <v>1067</v>
      </c>
      <c r="E375" s="3" t="s">
        <v>340</v>
      </c>
      <c r="F375" s="3">
        <v>29.99</v>
      </c>
      <c r="G375" s="3" t="s">
        <v>2572</v>
      </c>
      <c r="H375" s="3"/>
      <c r="I375" s="3" t="s">
        <v>2573</v>
      </c>
      <c r="J375" s="3">
        <v>5</v>
      </c>
      <c r="K375" s="3">
        <v>5</v>
      </c>
      <c r="L375" s="3">
        <v>0</v>
      </c>
      <c r="M375" s="3">
        <v>0</v>
      </c>
      <c r="N375" s="3">
        <v>5</v>
      </c>
      <c r="O375" s="3">
        <v>0.14</v>
      </c>
      <c r="P375" s="3">
        <v>0</v>
      </c>
      <c r="Q375" s="3">
        <v>0</v>
      </c>
      <c r="R375" s="3">
        <v>0</v>
      </c>
    </row>
    <row r="376" spans="1:18">
      <c r="A376" s="3" t="s">
        <v>592</v>
      </c>
      <c r="B376" s="3" t="s">
        <v>593</v>
      </c>
      <c r="C376" s="3" t="s">
        <v>594</v>
      </c>
      <c r="D376" s="3" t="s">
        <v>595</v>
      </c>
      <c r="E376" s="3" t="s">
        <v>340</v>
      </c>
      <c r="F376" s="3">
        <v>29.99</v>
      </c>
      <c r="G376" s="3" t="s">
        <v>2572</v>
      </c>
      <c r="H376" s="3"/>
      <c r="I376" s="3" t="s">
        <v>2573</v>
      </c>
      <c r="J376" s="3">
        <v>2</v>
      </c>
      <c r="K376" s="3">
        <v>2</v>
      </c>
      <c r="L376" s="3">
        <v>0</v>
      </c>
      <c r="M376" s="3">
        <v>0</v>
      </c>
      <c r="N376" s="3">
        <v>2</v>
      </c>
      <c r="O376" s="3">
        <v>0.14</v>
      </c>
      <c r="P376" s="3">
        <v>0</v>
      </c>
      <c r="Q376" s="3">
        <v>0</v>
      </c>
      <c r="R376" s="3">
        <v>0</v>
      </c>
    </row>
    <row r="377" spans="1:18">
      <c r="A377" s="3" t="s">
        <v>1286</v>
      </c>
      <c r="B377" s="3" t="s">
        <v>1287</v>
      </c>
      <c r="C377" s="3" t="s">
        <v>1288</v>
      </c>
      <c r="D377" s="3" t="s">
        <v>1289</v>
      </c>
      <c r="E377" s="3" t="s">
        <v>340</v>
      </c>
      <c r="F377" s="3">
        <v>29.99</v>
      </c>
      <c r="G377" s="3" t="s">
        <v>2572</v>
      </c>
      <c r="H377" s="3"/>
      <c r="I377" s="3" t="s">
        <v>2573</v>
      </c>
      <c r="J377" s="3">
        <v>1</v>
      </c>
      <c r="K377" s="3">
        <v>1</v>
      </c>
      <c r="L377" s="3">
        <v>0</v>
      </c>
      <c r="M377" s="3">
        <v>0</v>
      </c>
      <c r="N377" s="3">
        <v>1</v>
      </c>
      <c r="O377" s="3">
        <v>0.14</v>
      </c>
      <c r="P377" s="3">
        <v>0</v>
      </c>
      <c r="Q377" s="3">
        <v>0</v>
      </c>
      <c r="R377" s="3">
        <v>0</v>
      </c>
    </row>
    <row r="378" spans="1:18">
      <c r="A378" s="3" t="s">
        <v>1240</v>
      </c>
      <c r="B378" s="3" t="s">
        <v>1241</v>
      </c>
      <c r="C378" s="3" t="s">
        <v>1242</v>
      </c>
      <c r="D378" s="3" t="s">
        <v>1243</v>
      </c>
      <c r="E378" s="3" t="s">
        <v>340</v>
      </c>
      <c r="F378" s="3">
        <v>29.99</v>
      </c>
      <c r="G378" s="3" t="s">
        <v>2572</v>
      </c>
      <c r="H378" s="3"/>
      <c r="I378" s="3" t="s">
        <v>2573</v>
      </c>
      <c r="J378" s="3">
        <v>1</v>
      </c>
      <c r="K378" s="3">
        <v>1</v>
      </c>
      <c r="L378" s="3">
        <v>0</v>
      </c>
      <c r="M378" s="3">
        <v>0</v>
      </c>
      <c r="N378" s="3">
        <v>1</v>
      </c>
      <c r="O378" s="3">
        <v>0.14</v>
      </c>
      <c r="P378" s="3">
        <v>0</v>
      </c>
      <c r="Q378" s="3">
        <v>0</v>
      </c>
      <c r="R378" s="3">
        <v>0</v>
      </c>
    </row>
    <row r="379" spans="1:18">
      <c r="A379" s="3" t="s">
        <v>2220</v>
      </c>
      <c r="B379" s="3" t="s">
        <v>2221</v>
      </c>
      <c r="C379" s="3" t="s">
        <v>2222</v>
      </c>
      <c r="D379" s="3" t="s">
        <v>2223</v>
      </c>
      <c r="E379" s="3" t="s">
        <v>340</v>
      </c>
      <c r="F379" s="3">
        <v>29.99</v>
      </c>
      <c r="G379" s="3" t="s">
        <v>2572</v>
      </c>
      <c r="H379" s="3"/>
      <c r="I379" s="3" t="s">
        <v>2573</v>
      </c>
      <c r="J379" s="3">
        <v>4</v>
      </c>
      <c r="K379" s="3">
        <v>4</v>
      </c>
      <c r="L379" s="3">
        <v>0</v>
      </c>
      <c r="M379" s="3">
        <v>0</v>
      </c>
      <c r="N379" s="3">
        <v>4</v>
      </c>
      <c r="O379" s="3">
        <v>0.14</v>
      </c>
      <c r="P379" s="3">
        <v>0</v>
      </c>
      <c r="Q379" s="3">
        <v>0</v>
      </c>
      <c r="R379" s="3">
        <v>0</v>
      </c>
    </row>
    <row r="380" spans="1:18">
      <c r="A380" s="3" t="s">
        <v>2835</v>
      </c>
      <c r="B380" s="3" t="s">
        <v>2836</v>
      </c>
      <c r="C380" s="3" t="s">
        <v>2837</v>
      </c>
      <c r="D380" s="3" t="s">
        <v>2838</v>
      </c>
      <c r="E380" s="3" t="s">
        <v>340</v>
      </c>
      <c r="F380" s="3">
        <v>29.99</v>
      </c>
      <c r="G380" s="3" t="s">
        <v>2572</v>
      </c>
      <c r="H380" s="3"/>
      <c r="I380" s="3" t="s">
        <v>2573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0.14</v>
      </c>
      <c r="P380" s="3">
        <v>0</v>
      </c>
      <c r="Q380" s="3">
        <v>0</v>
      </c>
      <c r="R380" s="3">
        <v>0</v>
      </c>
    </row>
    <row r="381" spans="1:18">
      <c r="A381" s="3" t="s">
        <v>2839</v>
      </c>
      <c r="B381" s="3" t="s">
        <v>2840</v>
      </c>
      <c r="C381" s="3" t="s">
        <v>2841</v>
      </c>
      <c r="D381" s="3" t="s">
        <v>2842</v>
      </c>
      <c r="E381" s="3" t="s">
        <v>340</v>
      </c>
      <c r="F381" s="3">
        <v>19.9</v>
      </c>
      <c r="G381" s="3" t="s">
        <v>2572</v>
      </c>
      <c r="H381" s="3"/>
      <c r="I381" s="3" t="s">
        <v>2573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0.13</v>
      </c>
      <c r="P381" s="3">
        <v>0</v>
      </c>
      <c r="Q381" s="3">
        <v>0</v>
      </c>
      <c r="R381" s="3">
        <v>0</v>
      </c>
    </row>
    <row r="382" spans="1:18">
      <c r="A382" s="3" t="s">
        <v>2843</v>
      </c>
      <c r="B382" s="3" t="s">
        <v>2844</v>
      </c>
      <c r="C382" s="3" t="s">
        <v>2845</v>
      </c>
      <c r="D382" s="3" t="s">
        <v>2846</v>
      </c>
      <c r="E382" s="3" t="s">
        <v>340</v>
      </c>
      <c r="F382" s="3">
        <v>19.9</v>
      </c>
      <c r="G382" s="3" t="s">
        <v>2572</v>
      </c>
      <c r="H382" s="3"/>
      <c r="I382" s="3" t="s">
        <v>2573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0.13</v>
      </c>
      <c r="P382" s="3">
        <v>0</v>
      </c>
      <c r="Q382" s="3">
        <v>0</v>
      </c>
      <c r="R382" s="3">
        <v>0</v>
      </c>
    </row>
    <row r="383" spans="1:18">
      <c r="A383" s="3" t="s">
        <v>807</v>
      </c>
      <c r="B383" s="3" t="s">
        <v>808</v>
      </c>
      <c r="C383" s="3" t="s">
        <v>809</v>
      </c>
      <c r="D383" s="3" t="s">
        <v>810</v>
      </c>
      <c r="E383" s="3" t="s">
        <v>340</v>
      </c>
      <c r="F383" s="3">
        <v>19.9</v>
      </c>
      <c r="G383" s="3" t="s">
        <v>2572</v>
      </c>
      <c r="H383" s="3"/>
      <c r="I383" s="3" t="s">
        <v>2573</v>
      </c>
      <c r="J383" s="3">
        <v>3</v>
      </c>
      <c r="K383" s="3">
        <v>3</v>
      </c>
      <c r="L383" s="3">
        <v>0</v>
      </c>
      <c r="M383" s="3">
        <v>0</v>
      </c>
      <c r="N383" s="3">
        <v>3</v>
      </c>
      <c r="O383" s="3">
        <v>0.13</v>
      </c>
      <c r="P383" s="3">
        <v>0</v>
      </c>
      <c r="Q383" s="3">
        <v>0</v>
      </c>
      <c r="R383" s="3">
        <v>0</v>
      </c>
    </row>
    <row r="384" spans="1:18">
      <c r="A384" s="3" t="s">
        <v>2847</v>
      </c>
      <c r="B384" s="3" t="s">
        <v>2848</v>
      </c>
      <c r="C384" s="3" t="s">
        <v>2849</v>
      </c>
      <c r="D384" s="3" t="s">
        <v>2233</v>
      </c>
      <c r="E384" s="3">
        <v>19.99</v>
      </c>
      <c r="G384" s="3" t="s">
        <v>2572</v>
      </c>
      <c r="H384" s="3"/>
      <c r="I384" s="3" t="s">
        <v>2573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0.09</v>
      </c>
      <c r="P384" s="3">
        <v>0</v>
      </c>
      <c r="Q384" s="3">
        <v>0</v>
      </c>
      <c r="R384" s="3">
        <v>0</v>
      </c>
    </row>
    <row r="385" spans="1:18">
      <c r="A385" s="3" t="s">
        <v>2850</v>
      </c>
      <c r="B385" s="3" t="s">
        <v>2851</v>
      </c>
      <c r="C385" s="3" t="s">
        <v>2852</v>
      </c>
      <c r="D385" s="3" t="s">
        <v>477</v>
      </c>
      <c r="E385" s="3" t="s">
        <v>340</v>
      </c>
      <c r="F385" s="3">
        <v>42.88</v>
      </c>
      <c r="G385" s="3" t="s">
        <v>2572</v>
      </c>
      <c r="H385" s="3"/>
      <c r="I385" s="3" t="s">
        <v>2573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0.14</v>
      </c>
      <c r="P385" s="3">
        <v>0</v>
      </c>
      <c r="Q385" s="3">
        <v>0</v>
      </c>
      <c r="R385" s="3">
        <v>0</v>
      </c>
    </row>
    <row r="386" spans="1:18">
      <c r="A386" s="3" t="s">
        <v>803</v>
      </c>
      <c r="B386" s="3" t="s">
        <v>804</v>
      </c>
      <c r="C386" s="3" t="s">
        <v>805</v>
      </c>
      <c r="D386" s="3" t="s">
        <v>477</v>
      </c>
      <c r="E386" s="3" t="s">
        <v>340</v>
      </c>
      <c r="F386" s="3">
        <v>42.88</v>
      </c>
      <c r="G386" s="3" t="s">
        <v>2572</v>
      </c>
      <c r="H386" s="3"/>
      <c r="I386" s="3" t="s">
        <v>2573</v>
      </c>
      <c r="J386" s="3">
        <v>2</v>
      </c>
      <c r="K386" s="3">
        <v>2</v>
      </c>
      <c r="L386" s="3">
        <v>0</v>
      </c>
      <c r="M386" s="3">
        <v>0</v>
      </c>
      <c r="N386" s="3">
        <v>2</v>
      </c>
      <c r="O386" s="3">
        <v>0.05</v>
      </c>
      <c r="P386" s="3">
        <v>0</v>
      </c>
      <c r="Q386" s="3">
        <v>0</v>
      </c>
      <c r="R386" s="3">
        <v>0</v>
      </c>
    </row>
    <row r="387" spans="1:18">
      <c r="A387" s="3" t="s">
        <v>2405</v>
      </c>
      <c r="B387" s="3" t="s">
        <v>2406</v>
      </c>
      <c r="C387" s="3" t="s">
        <v>2407</v>
      </c>
      <c r="D387" s="3" t="s">
        <v>477</v>
      </c>
      <c r="E387" s="3" t="s">
        <v>340</v>
      </c>
      <c r="F387" s="3">
        <v>42.88</v>
      </c>
      <c r="G387" s="3" t="s">
        <v>2572</v>
      </c>
      <c r="H387" s="3"/>
      <c r="I387" s="3" t="s">
        <v>2573</v>
      </c>
      <c r="J387" s="3">
        <v>1</v>
      </c>
      <c r="K387" s="3">
        <v>1</v>
      </c>
      <c r="L387" s="3">
        <v>0</v>
      </c>
      <c r="M387" s="3">
        <v>0</v>
      </c>
      <c r="N387" s="3">
        <v>1</v>
      </c>
      <c r="O387" s="3">
        <v>0.14</v>
      </c>
      <c r="P387" s="3">
        <v>0</v>
      </c>
      <c r="Q387" s="3">
        <v>0</v>
      </c>
      <c r="R387" s="3">
        <v>0</v>
      </c>
    </row>
    <row r="388" spans="1:18">
      <c r="A388" s="3" t="s">
        <v>959</v>
      </c>
      <c r="B388" s="3" t="s">
        <v>960</v>
      </c>
      <c r="C388" s="3" t="s">
        <v>961</v>
      </c>
      <c r="D388" s="3" t="s">
        <v>477</v>
      </c>
      <c r="E388" s="3" t="s">
        <v>340</v>
      </c>
      <c r="F388" s="3">
        <v>42.88</v>
      </c>
      <c r="G388" s="3" t="s">
        <v>2572</v>
      </c>
      <c r="H388" s="3"/>
      <c r="I388" s="3" t="s">
        <v>2573</v>
      </c>
      <c r="J388" s="3">
        <v>4</v>
      </c>
      <c r="K388" s="3">
        <v>4</v>
      </c>
      <c r="L388" s="3">
        <v>0</v>
      </c>
      <c r="M388" s="3">
        <v>0</v>
      </c>
      <c r="N388" s="3">
        <v>4</v>
      </c>
      <c r="O388" s="3">
        <v>0.05</v>
      </c>
      <c r="P388" s="3">
        <v>0</v>
      </c>
      <c r="Q388" s="3">
        <v>0</v>
      </c>
      <c r="R388" s="3">
        <v>0</v>
      </c>
    </row>
    <row r="389" spans="1:18">
      <c r="A389" s="3" t="s">
        <v>557</v>
      </c>
      <c r="B389" s="3" t="s">
        <v>558</v>
      </c>
      <c r="C389" s="3" t="s">
        <v>559</v>
      </c>
      <c r="D389" s="3" t="s">
        <v>477</v>
      </c>
      <c r="E389" s="3" t="s">
        <v>340</v>
      </c>
      <c r="F389" s="3">
        <v>42.88</v>
      </c>
      <c r="G389" s="3" t="s">
        <v>2572</v>
      </c>
      <c r="H389" s="3"/>
      <c r="I389" s="3" t="s">
        <v>2573</v>
      </c>
      <c r="J389" s="3">
        <v>4</v>
      </c>
      <c r="K389" s="3">
        <v>4</v>
      </c>
      <c r="L389" s="3">
        <v>0</v>
      </c>
      <c r="M389" s="3">
        <v>0</v>
      </c>
      <c r="N389" s="3">
        <v>4</v>
      </c>
      <c r="O389" s="3">
        <v>0.05</v>
      </c>
      <c r="P389" s="3">
        <v>0</v>
      </c>
      <c r="Q389" s="3">
        <v>0</v>
      </c>
      <c r="R389" s="3">
        <v>0</v>
      </c>
    </row>
    <row r="390" spans="1:18">
      <c r="A390" s="3" t="s">
        <v>1721</v>
      </c>
      <c r="B390" s="3" t="s">
        <v>1722</v>
      </c>
      <c r="C390" s="3" t="s">
        <v>1723</v>
      </c>
      <c r="D390" s="3" t="s">
        <v>477</v>
      </c>
      <c r="E390" s="3" t="s">
        <v>340</v>
      </c>
      <c r="F390" s="3">
        <v>42.88</v>
      </c>
      <c r="G390" s="3" t="s">
        <v>2572</v>
      </c>
      <c r="H390" s="3"/>
      <c r="I390" s="3" t="s">
        <v>2573</v>
      </c>
      <c r="J390" s="3">
        <v>3</v>
      </c>
      <c r="K390" s="3">
        <v>3</v>
      </c>
      <c r="L390" s="3">
        <v>0</v>
      </c>
      <c r="M390" s="3">
        <v>0</v>
      </c>
      <c r="N390" s="3">
        <v>3</v>
      </c>
      <c r="O390" s="3">
        <v>0.14</v>
      </c>
      <c r="P390" s="3">
        <v>0</v>
      </c>
      <c r="Q390" s="3">
        <v>0</v>
      </c>
      <c r="R390" s="3">
        <v>0</v>
      </c>
    </row>
    <row r="391" spans="1:18">
      <c r="A391" s="3" t="s">
        <v>474</v>
      </c>
      <c r="B391" s="3" t="s">
        <v>475</v>
      </c>
      <c r="C391" s="3" t="s">
        <v>476</v>
      </c>
      <c r="D391" s="3" t="s">
        <v>477</v>
      </c>
      <c r="E391" s="3" t="s">
        <v>340</v>
      </c>
      <c r="F391" s="3">
        <v>42.88</v>
      </c>
      <c r="G391" s="3" t="s">
        <v>2572</v>
      </c>
      <c r="H391" s="3"/>
      <c r="I391" s="3" t="s">
        <v>2573</v>
      </c>
      <c r="J391" s="3">
        <v>4</v>
      </c>
      <c r="K391" s="3">
        <v>4</v>
      </c>
      <c r="L391" s="3">
        <v>0</v>
      </c>
      <c r="M391" s="3">
        <v>0</v>
      </c>
      <c r="N391" s="3">
        <v>4</v>
      </c>
      <c r="O391" s="3">
        <v>0.05</v>
      </c>
      <c r="P391" s="3">
        <v>0</v>
      </c>
      <c r="Q391" s="3">
        <v>0</v>
      </c>
      <c r="R391" s="3">
        <v>0</v>
      </c>
    </row>
    <row r="392" spans="1:18">
      <c r="A392" s="3" t="s">
        <v>2853</v>
      </c>
      <c r="B392" s="3" t="s">
        <v>2854</v>
      </c>
      <c r="C392" s="3" t="s">
        <v>2855</v>
      </c>
      <c r="D392" s="3" t="s">
        <v>477</v>
      </c>
      <c r="E392" s="3" t="s">
        <v>340</v>
      </c>
      <c r="F392" s="3">
        <v>42.88</v>
      </c>
      <c r="G392" s="3" t="s">
        <v>2572</v>
      </c>
      <c r="H392" s="3"/>
      <c r="I392" s="3" t="s">
        <v>2573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0.14</v>
      </c>
      <c r="P392" s="3">
        <v>0</v>
      </c>
      <c r="Q392" s="3">
        <v>0</v>
      </c>
      <c r="R392" s="3">
        <v>0</v>
      </c>
    </row>
    <row r="393" spans="1:18">
      <c r="A393" s="3" t="s">
        <v>2856</v>
      </c>
      <c r="B393" s="3" t="s">
        <v>2857</v>
      </c>
      <c r="C393" s="3" t="s">
        <v>2858</v>
      </c>
      <c r="D393" s="3" t="s">
        <v>477</v>
      </c>
      <c r="E393" s="3" t="s">
        <v>340</v>
      </c>
      <c r="F393" s="3">
        <v>42.88</v>
      </c>
      <c r="G393" s="3" t="s">
        <v>2572</v>
      </c>
      <c r="H393" s="3"/>
      <c r="I393" s="3" t="s">
        <v>2573</v>
      </c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>
        <v>0.14</v>
      </c>
      <c r="P393" s="3">
        <v>0</v>
      </c>
      <c r="Q393" s="3">
        <v>0</v>
      </c>
      <c r="R393" s="3">
        <v>0</v>
      </c>
    </row>
    <row r="394" spans="1:18">
      <c r="A394" s="3" t="s">
        <v>2859</v>
      </c>
      <c r="B394" s="3" t="s">
        <v>2860</v>
      </c>
      <c r="C394" s="3" t="s">
        <v>2861</v>
      </c>
      <c r="D394" s="3" t="s">
        <v>477</v>
      </c>
      <c r="E394" s="3" t="s">
        <v>340</v>
      </c>
      <c r="F394" s="3">
        <v>42.88</v>
      </c>
      <c r="G394" s="3" t="s">
        <v>2572</v>
      </c>
      <c r="H394" s="3"/>
      <c r="I394" s="3" t="s">
        <v>2573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0.14</v>
      </c>
      <c r="P394" s="3">
        <v>0</v>
      </c>
      <c r="Q394" s="3">
        <v>0</v>
      </c>
      <c r="R394" s="3">
        <v>0</v>
      </c>
    </row>
    <row r="395" spans="1:18">
      <c r="A395" s="3" t="s">
        <v>1716</v>
      </c>
      <c r="B395" s="3" t="s">
        <v>1717</v>
      </c>
      <c r="C395" s="3" t="s">
        <v>1718</v>
      </c>
      <c r="D395" s="3" t="s">
        <v>1719</v>
      </c>
      <c r="E395" s="3" t="s">
        <v>340</v>
      </c>
      <c r="F395" s="3">
        <v>29.99</v>
      </c>
      <c r="G395" s="3" t="s">
        <v>2572</v>
      </c>
      <c r="H395" s="3"/>
      <c r="I395" s="3" t="s">
        <v>2573</v>
      </c>
      <c r="J395" s="3">
        <v>1</v>
      </c>
      <c r="K395" s="3">
        <v>1</v>
      </c>
      <c r="L395" s="3">
        <v>0</v>
      </c>
      <c r="M395" s="3">
        <v>0</v>
      </c>
      <c r="N395" s="3">
        <v>1</v>
      </c>
      <c r="O395" s="3">
        <v>0.05</v>
      </c>
      <c r="P395" s="3">
        <v>0</v>
      </c>
      <c r="Q395" s="3">
        <v>0</v>
      </c>
      <c r="R395" s="3">
        <v>0</v>
      </c>
    </row>
    <row r="396" spans="1:18">
      <c r="A396" s="3" t="s">
        <v>65</v>
      </c>
      <c r="B396" s="3" t="s">
        <v>66</v>
      </c>
      <c r="C396" s="3" t="s">
        <v>67</v>
      </c>
      <c r="D396" s="3" t="s">
        <v>68</v>
      </c>
      <c r="E396" s="3" t="s">
        <v>340</v>
      </c>
      <c r="F396" s="3">
        <v>18.99</v>
      </c>
      <c r="G396" s="3" t="s">
        <v>2572</v>
      </c>
      <c r="H396" s="3"/>
      <c r="I396" s="3" t="s">
        <v>2573</v>
      </c>
      <c r="J396" s="3">
        <v>52</v>
      </c>
      <c r="K396" s="3">
        <v>31</v>
      </c>
      <c r="L396" s="3">
        <v>20</v>
      </c>
      <c r="M396" s="3">
        <v>1</v>
      </c>
      <c r="N396" s="3">
        <v>77</v>
      </c>
      <c r="O396" s="3">
        <v>0.05</v>
      </c>
      <c r="P396" s="3">
        <v>0</v>
      </c>
      <c r="Q396" s="3">
        <v>25</v>
      </c>
      <c r="R396" s="3">
        <v>0</v>
      </c>
    </row>
    <row r="397" spans="1:18">
      <c r="A397" s="3" t="s">
        <v>69</v>
      </c>
      <c r="B397" s="3" t="s">
        <v>70</v>
      </c>
      <c r="C397" s="3" t="s">
        <v>71</v>
      </c>
      <c r="D397" s="3" t="s">
        <v>72</v>
      </c>
      <c r="E397" s="3" t="s">
        <v>340</v>
      </c>
      <c r="F397" s="3">
        <v>18.99</v>
      </c>
      <c r="G397" s="3" t="s">
        <v>2572</v>
      </c>
      <c r="H397" s="3"/>
      <c r="I397" s="3" t="s">
        <v>2573</v>
      </c>
      <c r="J397" s="3">
        <v>9</v>
      </c>
      <c r="K397" s="3">
        <v>2</v>
      </c>
      <c r="L397" s="3">
        <v>6</v>
      </c>
      <c r="M397" s="3">
        <v>1</v>
      </c>
      <c r="N397" s="3">
        <v>39</v>
      </c>
      <c r="O397" s="3">
        <v>0.05</v>
      </c>
      <c r="P397" s="3">
        <v>0</v>
      </c>
      <c r="Q397" s="3">
        <v>30</v>
      </c>
      <c r="R397" s="3">
        <v>0</v>
      </c>
    </row>
    <row r="398" spans="1:18">
      <c r="A398" s="3" t="s">
        <v>2161</v>
      </c>
      <c r="B398" s="3" t="s">
        <v>2162</v>
      </c>
      <c r="C398" s="3" t="s">
        <v>2163</v>
      </c>
      <c r="D398" s="3" t="s">
        <v>2164</v>
      </c>
      <c r="E398" s="3" t="s">
        <v>340</v>
      </c>
      <c r="F398" s="3">
        <v>18.99</v>
      </c>
      <c r="G398" s="3" t="s">
        <v>2572</v>
      </c>
      <c r="H398" s="3"/>
      <c r="I398" s="3" t="s">
        <v>2573</v>
      </c>
      <c r="J398" s="3">
        <v>12</v>
      </c>
      <c r="K398" s="3">
        <v>10</v>
      </c>
      <c r="L398" s="3">
        <v>2</v>
      </c>
      <c r="M398" s="3">
        <v>0</v>
      </c>
      <c r="N398" s="3">
        <v>12</v>
      </c>
      <c r="O398" s="3">
        <v>0.05</v>
      </c>
      <c r="P398" s="3">
        <v>0</v>
      </c>
      <c r="Q398" s="3">
        <v>0</v>
      </c>
      <c r="R398" s="3">
        <v>0</v>
      </c>
    </row>
    <row r="399" spans="1:18">
      <c r="A399" s="3" t="s">
        <v>100</v>
      </c>
      <c r="B399" s="3" t="s">
        <v>101</v>
      </c>
      <c r="C399" s="3" t="s">
        <v>102</v>
      </c>
      <c r="D399" s="3" t="s">
        <v>103</v>
      </c>
      <c r="E399" s="3" t="s">
        <v>340</v>
      </c>
      <c r="F399" s="3">
        <v>18.99</v>
      </c>
      <c r="G399" s="3" t="s">
        <v>2572</v>
      </c>
      <c r="H399" s="3"/>
      <c r="I399" s="3" t="s">
        <v>2573</v>
      </c>
      <c r="J399" s="3">
        <v>16</v>
      </c>
      <c r="K399" s="3">
        <v>11</v>
      </c>
      <c r="L399" s="3">
        <v>2</v>
      </c>
      <c r="M399" s="3">
        <v>3</v>
      </c>
      <c r="N399" s="3">
        <v>16</v>
      </c>
      <c r="O399" s="3">
        <v>0.05</v>
      </c>
      <c r="P399" s="3">
        <v>0</v>
      </c>
      <c r="Q399" s="3">
        <v>0</v>
      </c>
      <c r="R399" s="3">
        <v>0</v>
      </c>
    </row>
    <row r="400" spans="1:18">
      <c r="A400" s="3" t="s">
        <v>73</v>
      </c>
      <c r="B400" s="3" t="s">
        <v>74</v>
      </c>
      <c r="C400" s="3" t="s">
        <v>75</v>
      </c>
      <c r="D400" s="3" t="s">
        <v>76</v>
      </c>
      <c r="E400" s="3" t="s">
        <v>340</v>
      </c>
      <c r="F400" s="3">
        <v>18.99</v>
      </c>
      <c r="G400" s="3" t="s">
        <v>2572</v>
      </c>
      <c r="H400" s="3"/>
      <c r="I400" s="3" t="s">
        <v>2573</v>
      </c>
      <c r="J400" s="3">
        <v>142</v>
      </c>
      <c r="K400" s="3">
        <v>80</v>
      </c>
      <c r="L400" s="3">
        <v>51</v>
      </c>
      <c r="M400" s="3">
        <v>11</v>
      </c>
      <c r="N400" s="3">
        <v>142</v>
      </c>
      <c r="O400" s="3">
        <v>0.05</v>
      </c>
      <c r="P400" s="3">
        <v>0</v>
      </c>
      <c r="Q400" s="3">
        <v>0</v>
      </c>
      <c r="R400" s="3">
        <v>0</v>
      </c>
    </row>
    <row r="401" spans="1:18">
      <c r="A401" s="3" t="s">
        <v>57</v>
      </c>
      <c r="B401" s="3" t="s">
        <v>58</v>
      </c>
      <c r="C401" s="3" t="s">
        <v>59</v>
      </c>
      <c r="D401" s="3" t="s">
        <v>60</v>
      </c>
      <c r="E401" s="3" t="s">
        <v>340</v>
      </c>
      <c r="F401" s="3">
        <v>18.99</v>
      </c>
      <c r="G401" s="3" t="s">
        <v>2572</v>
      </c>
      <c r="H401" s="3"/>
      <c r="I401" s="3" t="s">
        <v>2573</v>
      </c>
      <c r="J401" s="3">
        <v>170</v>
      </c>
      <c r="K401" s="3">
        <v>108</v>
      </c>
      <c r="L401" s="3">
        <v>56</v>
      </c>
      <c r="M401" s="3">
        <v>6</v>
      </c>
      <c r="N401" s="3">
        <v>199</v>
      </c>
      <c r="O401" s="3">
        <v>0.05</v>
      </c>
      <c r="P401" s="3">
        <v>0</v>
      </c>
      <c r="Q401" s="3">
        <v>29</v>
      </c>
      <c r="R401" s="3">
        <v>0</v>
      </c>
    </row>
    <row r="402" spans="1:18">
      <c r="A402" s="3" t="s">
        <v>96</v>
      </c>
      <c r="B402" s="3" t="s">
        <v>97</v>
      </c>
      <c r="C402" s="3" t="s">
        <v>98</v>
      </c>
      <c r="D402" s="3" t="s">
        <v>99</v>
      </c>
      <c r="E402" s="3" t="s">
        <v>340</v>
      </c>
      <c r="F402" s="3">
        <v>18.99</v>
      </c>
      <c r="G402" s="3" t="s">
        <v>2572</v>
      </c>
      <c r="H402" s="3"/>
      <c r="I402" s="3" t="s">
        <v>2573</v>
      </c>
      <c r="J402" s="3">
        <v>60</v>
      </c>
      <c r="K402" s="3">
        <v>38</v>
      </c>
      <c r="L402" s="3">
        <v>20</v>
      </c>
      <c r="M402" s="3">
        <v>2</v>
      </c>
      <c r="N402" s="3">
        <v>91</v>
      </c>
      <c r="O402" s="3">
        <v>0.05</v>
      </c>
      <c r="P402" s="3">
        <v>0</v>
      </c>
      <c r="Q402" s="3">
        <v>31</v>
      </c>
      <c r="R402" s="3">
        <v>0</v>
      </c>
    </row>
    <row r="403" spans="1:18">
      <c r="A403" s="3" t="s">
        <v>77</v>
      </c>
      <c r="B403" s="3" t="s">
        <v>78</v>
      </c>
      <c r="C403" s="3" t="s">
        <v>79</v>
      </c>
      <c r="D403" s="3" t="s">
        <v>80</v>
      </c>
      <c r="E403" s="3" t="s">
        <v>340</v>
      </c>
      <c r="F403" s="3">
        <v>18.99</v>
      </c>
      <c r="G403" s="3" t="s">
        <v>2572</v>
      </c>
      <c r="H403" s="3"/>
      <c r="I403" s="3" t="s">
        <v>2573</v>
      </c>
      <c r="J403" s="3">
        <v>173</v>
      </c>
      <c r="K403" s="3">
        <v>134</v>
      </c>
      <c r="L403" s="3">
        <v>33</v>
      </c>
      <c r="M403" s="3">
        <v>6</v>
      </c>
      <c r="N403" s="3">
        <v>173</v>
      </c>
      <c r="O403" s="3">
        <v>0.1</v>
      </c>
      <c r="P403" s="3">
        <v>0</v>
      </c>
      <c r="Q403" s="3">
        <v>0</v>
      </c>
      <c r="R403" s="3">
        <v>0</v>
      </c>
    </row>
    <row r="404" spans="1:18">
      <c r="A404" s="3" t="s">
        <v>89</v>
      </c>
      <c r="B404" s="3" t="s">
        <v>90</v>
      </c>
      <c r="C404" s="3" t="s">
        <v>91</v>
      </c>
      <c r="D404" s="3" t="s">
        <v>64</v>
      </c>
      <c r="E404" s="3" t="s">
        <v>340</v>
      </c>
      <c r="F404" s="3">
        <v>29.99</v>
      </c>
      <c r="G404" s="3" t="s">
        <v>2572</v>
      </c>
      <c r="H404" s="3"/>
      <c r="I404" s="3" t="s">
        <v>2573</v>
      </c>
      <c r="J404" s="3">
        <v>32</v>
      </c>
      <c r="K404" s="3">
        <v>25</v>
      </c>
      <c r="L404" s="3">
        <v>5</v>
      </c>
      <c r="M404" s="3">
        <v>2</v>
      </c>
      <c r="N404" s="3">
        <v>32</v>
      </c>
      <c r="O404" s="3">
        <v>0.01</v>
      </c>
      <c r="P404" s="3">
        <v>0</v>
      </c>
      <c r="Q404" s="3">
        <v>0</v>
      </c>
      <c r="R404" s="3">
        <v>0</v>
      </c>
    </row>
    <row r="405" spans="1:18">
      <c r="A405" s="3" t="s">
        <v>61</v>
      </c>
      <c r="B405" s="3" t="s">
        <v>62</v>
      </c>
      <c r="C405" s="3" t="s">
        <v>63</v>
      </c>
      <c r="D405" s="3" t="s">
        <v>64</v>
      </c>
      <c r="E405" s="3" t="s">
        <v>340</v>
      </c>
      <c r="F405" s="3">
        <v>29.99</v>
      </c>
      <c r="G405" s="3" t="s">
        <v>2572</v>
      </c>
      <c r="H405" s="3"/>
      <c r="I405" s="3" t="s">
        <v>2573</v>
      </c>
      <c r="J405" s="3">
        <v>28</v>
      </c>
      <c r="K405" s="3">
        <v>22</v>
      </c>
      <c r="L405" s="3">
        <v>5</v>
      </c>
      <c r="M405" s="3">
        <v>1</v>
      </c>
      <c r="N405" s="3">
        <v>28</v>
      </c>
      <c r="O405" s="3">
        <v>0.01</v>
      </c>
      <c r="P405" s="3">
        <v>0</v>
      </c>
      <c r="Q405" s="3">
        <v>0</v>
      </c>
      <c r="R405" s="3">
        <v>0</v>
      </c>
    </row>
    <row r="406" spans="1:18">
      <c r="A406" s="3" t="s">
        <v>1630</v>
      </c>
      <c r="B406" s="3" t="s">
        <v>1631</v>
      </c>
      <c r="C406" s="3" t="s">
        <v>1632</v>
      </c>
      <c r="D406" s="3" t="s">
        <v>1633</v>
      </c>
      <c r="E406" s="3" t="s">
        <v>340</v>
      </c>
      <c r="F406" s="3">
        <v>18.99</v>
      </c>
      <c r="G406" s="3" t="s">
        <v>2572</v>
      </c>
      <c r="H406" s="3"/>
      <c r="I406" s="3" t="s">
        <v>2573</v>
      </c>
      <c r="J406" s="3">
        <v>8</v>
      </c>
      <c r="K406" s="3">
        <v>7</v>
      </c>
      <c r="L406" s="3">
        <v>1</v>
      </c>
      <c r="M406" s="3">
        <v>0</v>
      </c>
      <c r="N406" s="3">
        <v>20</v>
      </c>
      <c r="O406" s="3">
        <v>0.01</v>
      </c>
      <c r="P406" s="3">
        <v>12</v>
      </c>
      <c r="Q406" s="3">
        <v>0</v>
      </c>
      <c r="R406" s="3">
        <v>0</v>
      </c>
    </row>
    <row r="407" spans="1:18">
      <c r="A407" s="3" t="s">
        <v>2287</v>
      </c>
      <c r="B407" s="3" t="s">
        <v>2288</v>
      </c>
      <c r="C407" s="3" t="s">
        <v>2289</v>
      </c>
      <c r="D407" s="3" t="s">
        <v>64</v>
      </c>
      <c r="E407" s="3" t="s">
        <v>340</v>
      </c>
      <c r="F407" s="3">
        <v>29.99</v>
      </c>
      <c r="G407" s="3" t="s">
        <v>2572</v>
      </c>
      <c r="H407" s="3"/>
      <c r="I407" s="3" t="s">
        <v>2573</v>
      </c>
      <c r="J407" s="3">
        <v>11</v>
      </c>
      <c r="K407" s="3">
        <v>5</v>
      </c>
      <c r="L407" s="3">
        <v>6</v>
      </c>
      <c r="M407" s="3">
        <v>0</v>
      </c>
      <c r="N407" s="3">
        <v>11</v>
      </c>
      <c r="O407" s="3">
        <v>0.01</v>
      </c>
      <c r="P407" s="3">
        <v>0</v>
      </c>
      <c r="Q407" s="3">
        <v>0</v>
      </c>
      <c r="R407" s="3">
        <v>0</v>
      </c>
    </row>
    <row r="408" spans="1:18">
      <c r="A408" s="3" t="s">
        <v>2157</v>
      </c>
      <c r="B408" s="3" t="s">
        <v>2158</v>
      </c>
      <c r="C408" s="3" t="s">
        <v>2159</v>
      </c>
      <c r="D408" s="3" t="s">
        <v>2160</v>
      </c>
      <c r="E408" s="3" t="s">
        <v>340</v>
      </c>
      <c r="F408" s="3">
        <v>42.38</v>
      </c>
      <c r="G408" s="3" t="s">
        <v>2572</v>
      </c>
      <c r="H408" s="3"/>
      <c r="I408" s="3" t="s">
        <v>2573</v>
      </c>
      <c r="J408" s="3">
        <v>6</v>
      </c>
      <c r="K408" s="3">
        <v>6</v>
      </c>
      <c r="L408" s="3">
        <v>0</v>
      </c>
      <c r="M408" s="3">
        <v>0</v>
      </c>
      <c r="N408" s="3">
        <v>6</v>
      </c>
      <c r="O408" s="3">
        <v>0.09</v>
      </c>
      <c r="P408" s="3">
        <v>0</v>
      </c>
      <c r="Q408" s="3">
        <v>0</v>
      </c>
      <c r="R408" s="3">
        <v>0</v>
      </c>
    </row>
    <row r="409" spans="1:18">
      <c r="A409" s="3" t="s">
        <v>2392</v>
      </c>
      <c r="B409" s="3" t="s">
        <v>2393</v>
      </c>
      <c r="C409" s="3" t="s">
        <v>2394</v>
      </c>
      <c r="D409" s="3" t="s">
        <v>2395</v>
      </c>
      <c r="E409" s="3" t="s">
        <v>340</v>
      </c>
      <c r="F409" s="3">
        <v>42.38</v>
      </c>
      <c r="G409" s="3" t="s">
        <v>2572</v>
      </c>
      <c r="H409" s="3"/>
      <c r="I409" s="3" t="s">
        <v>2573</v>
      </c>
      <c r="J409" s="3">
        <v>3</v>
      </c>
      <c r="K409" s="3">
        <v>3</v>
      </c>
      <c r="L409" s="3">
        <v>0</v>
      </c>
      <c r="M409" s="3">
        <v>0</v>
      </c>
      <c r="N409" s="3">
        <v>3</v>
      </c>
      <c r="O409" s="3">
        <v>0.09</v>
      </c>
      <c r="P409" s="3">
        <v>0</v>
      </c>
      <c r="Q409" s="3">
        <v>0</v>
      </c>
      <c r="R409" s="3">
        <v>0</v>
      </c>
    </row>
    <row r="410" spans="1:18">
      <c r="A410" s="3" t="s">
        <v>1133</v>
      </c>
      <c r="B410" s="3" t="s">
        <v>1134</v>
      </c>
      <c r="C410" s="3" t="s">
        <v>1135</v>
      </c>
      <c r="D410" s="3" t="s">
        <v>1136</v>
      </c>
      <c r="E410" s="3" t="s">
        <v>340</v>
      </c>
      <c r="F410" s="3">
        <v>42.38</v>
      </c>
      <c r="G410" s="3" t="s">
        <v>2572</v>
      </c>
      <c r="H410" s="3"/>
      <c r="I410" s="3" t="s">
        <v>2573</v>
      </c>
      <c r="J410" s="3">
        <v>6</v>
      </c>
      <c r="K410" s="3">
        <v>6</v>
      </c>
      <c r="L410" s="3">
        <v>0</v>
      </c>
      <c r="M410" s="3">
        <v>0</v>
      </c>
      <c r="N410" s="3">
        <v>6</v>
      </c>
      <c r="O410" s="3">
        <v>0.09</v>
      </c>
      <c r="P410" s="3">
        <v>0</v>
      </c>
      <c r="Q410" s="3">
        <v>0</v>
      </c>
      <c r="R410" s="3">
        <v>0</v>
      </c>
    </row>
    <row r="411" spans="1:18">
      <c r="A411" s="3" t="s">
        <v>1776</v>
      </c>
      <c r="B411" s="3" t="s">
        <v>1777</v>
      </c>
      <c r="C411" s="3" t="s">
        <v>1778</v>
      </c>
      <c r="D411" s="3" t="s">
        <v>1779</v>
      </c>
      <c r="E411" s="3" t="s">
        <v>340</v>
      </c>
      <c r="F411" s="3">
        <v>42.38</v>
      </c>
      <c r="G411" s="3" t="s">
        <v>2572</v>
      </c>
      <c r="H411" s="3"/>
      <c r="I411" s="3" t="s">
        <v>2573</v>
      </c>
      <c r="J411" s="3">
        <v>4</v>
      </c>
      <c r="K411" s="3">
        <v>4</v>
      </c>
      <c r="L411" s="3">
        <v>0</v>
      </c>
      <c r="M411" s="3">
        <v>0</v>
      </c>
      <c r="N411" s="3">
        <v>4</v>
      </c>
      <c r="O411" s="3">
        <v>0.09</v>
      </c>
      <c r="P411" s="3">
        <v>0</v>
      </c>
      <c r="Q411" s="3">
        <v>0</v>
      </c>
      <c r="R411" s="3">
        <v>0</v>
      </c>
    </row>
    <row r="412" spans="1:18">
      <c r="A412" s="3" t="s">
        <v>2862</v>
      </c>
      <c r="B412" s="3" t="s">
        <v>2863</v>
      </c>
      <c r="C412" s="3" t="s">
        <v>2864</v>
      </c>
      <c r="D412" s="3" t="s">
        <v>95</v>
      </c>
      <c r="E412" s="3" t="s">
        <v>340</v>
      </c>
      <c r="F412" s="3">
        <v>16.99</v>
      </c>
      <c r="G412" s="3" t="s">
        <v>2572</v>
      </c>
      <c r="H412" s="3"/>
      <c r="I412" s="3" t="s">
        <v>2573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0.09</v>
      </c>
      <c r="P412" s="3">
        <v>0</v>
      </c>
      <c r="Q412" s="3">
        <v>0</v>
      </c>
      <c r="R412" s="3">
        <v>0</v>
      </c>
    </row>
    <row r="413" spans="1:18">
      <c r="A413" s="3" t="s">
        <v>2865</v>
      </c>
      <c r="B413" s="3" t="s">
        <v>2866</v>
      </c>
      <c r="C413" s="3" t="s">
        <v>2867</v>
      </c>
      <c r="D413" s="3" t="s">
        <v>95</v>
      </c>
      <c r="E413" s="3" t="s">
        <v>340</v>
      </c>
      <c r="F413" s="3">
        <v>16.99</v>
      </c>
      <c r="G413" s="3" t="s">
        <v>2572</v>
      </c>
      <c r="H413" s="3"/>
      <c r="I413" s="3" t="s">
        <v>2573</v>
      </c>
      <c r="J413" s="3">
        <v>1</v>
      </c>
      <c r="K413" s="3">
        <v>0</v>
      </c>
      <c r="L413" s="3">
        <v>1</v>
      </c>
      <c r="M413" s="3">
        <v>0</v>
      </c>
      <c r="N413" s="3">
        <v>1</v>
      </c>
      <c r="O413" s="3">
        <v>0.09</v>
      </c>
      <c r="P413" s="3">
        <v>0</v>
      </c>
      <c r="Q413" s="3">
        <v>0</v>
      </c>
      <c r="R413" s="3">
        <v>0</v>
      </c>
    </row>
    <row r="414" spans="1:18">
      <c r="A414" s="3" t="s">
        <v>92</v>
      </c>
      <c r="B414" s="3" t="s">
        <v>93</v>
      </c>
      <c r="C414" s="3" t="s">
        <v>94</v>
      </c>
      <c r="D414" s="3" t="s">
        <v>95</v>
      </c>
      <c r="E414" s="3" t="s">
        <v>340</v>
      </c>
      <c r="F414" s="3">
        <v>16.99</v>
      </c>
      <c r="G414" s="3" t="s">
        <v>2572</v>
      </c>
      <c r="H414" s="3"/>
      <c r="I414" s="3" t="s">
        <v>2573</v>
      </c>
      <c r="J414" s="3">
        <v>2</v>
      </c>
      <c r="K414" s="3">
        <v>0</v>
      </c>
      <c r="L414" s="3">
        <v>1</v>
      </c>
      <c r="M414" s="3">
        <v>1</v>
      </c>
      <c r="N414" s="3">
        <v>2</v>
      </c>
      <c r="O414" s="3">
        <v>0.09</v>
      </c>
      <c r="P414" s="3">
        <v>0</v>
      </c>
      <c r="Q414" s="3">
        <v>0</v>
      </c>
      <c r="R414" s="3">
        <v>0</v>
      </c>
    </row>
    <row r="415" spans="1:18">
      <c r="A415" s="3" t="s">
        <v>2868</v>
      </c>
      <c r="B415" s="3" t="s">
        <v>2869</v>
      </c>
      <c r="C415" s="3" t="s">
        <v>2870</v>
      </c>
      <c r="D415" s="3" t="s">
        <v>95</v>
      </c>
      <c r="E415" s="3" t="s">
        <v>340</v>
      </c>
      <c r="F415" s="3">
        <v>16.99</v>
      </c>
      <c r="G415" s="3" t="s">
        <v>2572</v>
      </c>
      <c r="H415" s="3"/>
      <c r="I415" s="3" t="s">
        <v>2573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0.09</v>
      </c>
      <c r="P415" s="3">
        <v>0</v>
      </c>
      <c r="Q415" s="3">
        <v>0</v>
      </c>
      <c r="R415" s="3">
        <v>0</v>
      </c>
    </row>
    <row r="416" spans="1:18">
      <c r="A416" s="3" t="s">
        <v>2871</v>
      </c>
      <c r="B416" s="3" t="s">
        <v>2872</v>
      </c>
      <c r="C416" s="3" t="s">
        <v>2873</v>
      </c>
      <c r="D416" s="3" t="s">
        <v>95</v>
      </c>
      <c r="E416" s="3" t="s">
        <v>340</v>
      </c>
      <c r="F416" s="3">
        <v>16.99</v>
      </c>
      <c r="G416" s="3" t="s">
        <v>2572</v>
      </c>
      <c r="H416" s="3"/>
      <c r="I416" s="3" t="s">
        <v>2573</v>
      </c>
      <c r="J416" s="3">
        <v>1</v>
      </c>
      <c r="K416" s="3">
        <v>0</v>
      </c>
      <c r="L416" s="3">
        <v>1</v>
      </c>
      <c r="M416" s="3">
        <v>0</v>
      </c>
      <c r="N416" s="3">
        <v>1</v>
      </c>
      <c r="O416" s="3">
        <v>0.09</v>
      </c>
      <c r="P416" s="3">
        <v>0</v>
      </c>
      <c r="Q416" s="3">
        <v>0</v>
      </c>
      <c r="R416" s="3">
        <v>0</v>
      </c>
    </row>
    <row r="417" spans="1:18">
      <c r="A417" s="3" t="s">
        <v>2874</v>
      </c>
      <c r="B417" s="3" t="s">
        <v>2875</v>
      </c>
      <c r="C417" s="3" t="s">
        <v>2876</v>
      </c>
      <c r="D417" s="3" t="s">
        <v>95</v>
      </c>
      <c r="E417" s="3" t="s">
        <v>340</v>
      </c>
      <c r="F417" s="3">
        <v>16.99</v>
      </c>
      <c r="G417" s="3" t="s">
        <v>2572</v>
      </c>
      <c r="H417" s="3"/>
      <c r="I417" s="3" t="s">
        <v>2573</v>
      </c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>
        <v>0.09</v>
      </c>
      <c r="P417" s="3">
        <v>0</v>
      </c>
      <c r="Q417" s="3">
        <v>0</v>
      </c>
      <c r="R417" s="3">
        <v>0</v>
      </c>
    </row>
    <row r="418" spans="1:18">
      <c r="A418" s="3" t="s">
        <v>2877</v>
      </c>
      <c r="B418" s="3" t="s">
        <v>2878</v>
      </c>
      <c r="C418" s="3" t="s">
        <v>2879</v>
      </c>
      <c r="D418" s="3" t="s">
        <v>95</v>
      </c>
      <c r="E418" s="3" t="s">
        <v>340</v>
      </c>
      <c r="F418" s="3">
        <v>16.99</v>
      </c>
      <c r="G418" s="3" t="s">
        <v>2572</v>
      </c>
      <c r="H418" s="3"/>
      <c r="I418" s="3" t="s">
        <v>2573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0.09</v>
      </c>
      <c r="P418" s="3">
        <v>0</v>
      </c>
      <c r="Q418" s="3">
        <v>0</v>
      </c>
      <c r="R418" s="3">
        <v>0</v>
      </c>
    </row>
    <row r="419" spans="1:18">
      <c r="A419" s="3" t="s">
        <v>1429</v>
      </c>
      <c r="B419" s="3" t="s">
        <v>1430</v>
      </c>
      <c r="C419" s="3" t="s">
        <v>1431</v>
      </c>
      <c r="D419" s="3" t="s">
        <v>88</v>
      </c>
      <c r="E419" s="3" t="s">
        <v>340</v>
      </c>
      <c r="F419" s="3">
        <v>29.99</v>
      </c>
      <c r="G419" s="3" t="s">
        <v>2572</v>
      </c>
      <c r="H419" s="3"/>
      <c r="I419" s="3" t="s">
        <v>2573</v>
      </c>
      <c r="J419" s="3">
        <v>2</v>
      </c>
      <c r="K419" s="3">
        <v>1</v>
      </c>
      <c r="L419" s="3">
        <v>1</v>
      </c>
      <c r="M419" s="3">
        <v>0</v>
      </c>
      <c r="N419" s="3">
        <v>2</v>
      </c>
      <c r="O419" s="3">
        <v>0.07</v>
      </c>
      <c r="P419" s="3">
        <v>0</v>
      </c>
      <c r="Q419" s="3">
        <v>0</v>
      </c>
      <c r="R419" s="3">
        <v>0</v>
      </c>
    </row>
    <row r="420" spans="1:18">
      <c r="A420" s="3" t="s">
        <v>346</v>
      </c>
      <c r="B420" s="3" t="s">
        <v>347</v>
      </c>
      <c r="C420" s="3" t="s">
        <v>348</v>
      </c>
      <c r="D420" s="3" t="s">
        <v>88</v>
      </c>
      <c r="E420" s="3" t="s">
        <v>340</v>
      </c>
      <c r="F420" s="3">
        <v>29.99</v>
      </c>
      <c r="G420" s="3" t="s">
        <v>2572</v>
      </c>
      <c r="H420" s="3"/>
      <c r="I420" s="3" t="s">
        <v>2573</v>
      </c>
      <c r="J420" s="3">
        <v>9</v>
      </c>
      <c r="K420" s="3">
        <v>8</v>
      </c>
      <c r="L420" s="3">
        <v>1</v>
      </c>
      <c r="M420" s="3">
        <v>0</v>
      </c>
      <c r="N420" s="3">
        <v>9</v>
      </c>
      <c r="O420" s="3">
        <v>0.07</v>
      </c>
      <c r="P420" s="3">
        <v>0</v>
      </c>
      <c r="Q420" s="3">
        <v>0</v>
      </c>
      <c r="R420" s="3">
        <v>0</v>
      </c>
    </row>
    <row r="421" spans="1:18">
      <c r="A421" s="3" t="s">
        <v>966</v>
      </c>
      <c r="B421" s="3" t="s">
        <v>967</v>
      </c>
      <c r="C421" s="3" t="s">
        <v>968</v>
      </c>
      <c r="D421" s="3" t="s">
        <v>88</v>
      </c>
      <c r="E421" s="3" t="s">
        <v>340</v>
      </c>
      <c r="F421" s="3">
        <v>29.99</v>
      </c>
      <c r="G421" s="3" t="s">
        <v>2572</v>
      </c>
      <c r="H421" s="3"/>
      <c r="I421" s="3" t="s">
        <v>2573</v>
      </c>
      <c r="J421" s="3">
        <v>11</v>
      </c>
      <c r="K421" s="3">
        <v>11</v>
      </c>
      <c r="L421" s="3">
        <v>0</v>
      </c>
      <c r="M421" s="3">
        <v>0</v>
      </c>
      <c r="N421" s="3">
        <v>11</v>
      </c>
      <c r="O421" s="3">
        <v>0.07</v>
      </c>
      <c r="P421" s="3">
        <v>0</v>
      </c>
      <c r="Q421" s="3">
        <v>0</v>
      </c>
      <c r="R421" s="3">
        <v>0</v>
      </c>
    </row>
    <row r="422" spans="1:18">
      <c r="A422" s="3" t="s">
        <v>85</v>
      </c>
      <c r="B422" s="3" t="s">
        <v>86</v>
      </c>
      <c r="C422" s="3" t="s">
        <v>87</v>
      </c>
      <c r="D422" s="3" t="s">
        <v>88</v>
      </c>
      <c r="E422" s="3" t="s">
        <v>340</v>
      </c>
      <c r="F422" s="3">
        <v>29.99</v>
      </c>
      <c r="G422" s="3" t="s">
        <v>2572</v>
      </c>
      <c r="H422" s="3"/>
      <c r="I422" s="3" t="s">
        <v>2573</v>
      </c>
      <c r="J422" s="3">
        <v>5</v>
      </c>
      <c r="K422" s="3">
        <v>1</v>
      </c>
      <c r="L422" s="3">
        <v>3</v>
      </c>
      <c r="M422" s="3">
        <v>1</v>
      </c>
      <c r="N422" s="3">
        <v>5</v>
      </c>
      <c r="O422" s="3">
        <v>0.07</v>
      </c>
      <c r="P422" s="3">
        <v>0</v>
      </c>
      <c r="Q422" s="3">
        <v>0</v>
      </c>
      <c r="R422" s="3">
        <v>0</v>
      </c>
    </row>
    <row r="423" spans="1:18">
      <c r="A423" s="3" t="s">
        <v>1361</v>
      </c>
      <c r="B423" s="3" t="s">
        <v>1362</v>
      </c>
      <c r="C423" s="3" t="s">
        <v>1363</v>
      </c>
      <c r="D423" s="3" t="s">
        <v>1364</v>
      </c>
      <c r="E423" s="3" t="s">
        <v>340</v>
      </c>
      <c r="F423" s="3">
        <v>38.88</v>
      </c>
      <c r="G423" s="3" t="s">
        <v>2572</v>
      </c>
      <c r="H423" s="3"/>
      <c r="I423" s="3" t="s">
        <v>2573</v>
      </c>
      <c r="J423" s="3">
        <v>1</v>
      </c>
      <c r="K423" s="3">
        <v>1</v>
      </c>
      <c r="L423" s="3">
        <v>0</v>
      </c>
      <c r="M423" s="3">
        <v>0</v>
      </c>
      <c r="N423" s="3">
        <v>1</v>
      </c>
      <c r="O423" s="3">
        <v>0.06</v>
      </c>
      <c r="P423" s="3">
        <v>0</v>
      </c>
      <c r="Q423" s="3">
        <v>0</v>
      </c>
      <c r="R423" s="3">
        <v>0</v>
      </c>
    </row>
    <row r="424" spans="1:18">
      <c r="A424" s="3" t="s">
        <v>501</v>
      </c>
      <c r="B424" s="3" t="s">
        <v>502</v>
      </c>
      <c r="C424" s="3" t="s">
        <v>503</v>
      </c>
      <c r="D424" s="3" t="s">
        <v>504</v>
      </c>
      <c r="E424" s="3" t="s">
        <v>340</v>
      </c>
      <c r="F424" s="3">
        <v>38.88</v>
      </c>
      <c r="G424" s="3" t="s">
        <v>2572</v>
      </c>
      <c r="H424" s="3"/>
      <c r="I424" s="3" t="s">
        <v>2573</v>
      </c>
      <c r="J424" s="3">
        <v>1</v>
      </c>
      <c r="K424" s="3">
        <v>1</v>
      </c>
      <c r="L424" s="3">
        <v>0</v>
      </c>
      <c r="M424" s="3">
        <v>0</v>
      </c>
      <c r="N424" s="3">
        <v>1</v>
      </c>
      <c r="O424" s="3">
        <v>0.06</v>
      </c>
      <c r="P424" s="3">
        <v>0</v>
      </c>
      <c r="Q424" s="3">
        <v>0</v>
      </c>
      <c r="R424" s="3">
        <v>0</v>
      </c>
    </row>
    <row r="425" spans="1:18">
      <c r="A425" s="3" t="s">
        <v>1500</v>
      </c>
      <c r="B425" s="3" t="s">
        <v>1501</v>
      </c>
      <c r="C425" s="3" t="s">
        <v>1502</v>
      </c>
      <c r="D425" s="3" t="s">
        <v>1503</v>
      </c>
      <c r="E425" s="3" t="s">
        <v>340</v>
      </c>
      <c r="F425" s="3">
        <v>38.88</v>
      </c>
      <c r="G425" s="3" t="s">
        <v>2572</v>
      </c>
      <c r="H425" s="3"/>
      <c r="I425" s="3" t="s">
        <v>2573</v>
      </c>
      <c r="J425" s="3">
        <v>4</v>
      </c>
      <c r="K425" s="3">
        <v>4</v>
      </c>
      <c r="L425" s="3">
        <v>0</v>
      </c>
      <c r="M425" s="3">
        <v>0</v>
      </c>
      <c r="N425" s="3">
        <v>4</v>
      </c>
      <c r="O425" s="3">
        <v>0.06</v>
      </c>
      <c r="P425" s="3">
        <v>0</v>
      </c>
      <c r="Q425" s="3">
        <v>0</v>
      </c>
      <c r="R425" s="3">
        <v>0</v>
      </c>
    </row>
    <row r="426" spans="1:18">
      <c r="A426" s="3" t="s">
        <v>2880</v>
      </c>
      <c r="B426" s="3" t="s">
        <v>2881</v>
      </c>
      <c r="C426" s="3" t="s">
        <v>2882</v>
      </c>
      <c r="D426" s="3" t="s">
        <v>2883</v>
      </c>
      <c r="E426" s="3" t="s">
        <v>340</v>
      </c>
      <c r="F426" s="3">
        <v>38.88</v>
      </c>
      <c r="G426" s="3" t="s">
        <v>2572</v>
      </c>
      <c r="H426" s="3"/>
      <c r="I426" s="3" t="s">
        <v>2573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0.06</v>
      </c>
      <c r="P426" s="3">
        <v>0</v>
      </c>
      <c r="Q426" s="3">
        <v>0</v>
      </c>
      <c r="R426" s="3">
        <v>0</v>
      </c>
    </row>
    <row r="427" spans="1:18">
      <c r="A427" s="3" t="s">
        <v>1378</v>
      </c>
      <c r="B427" s="3" t="s">
        <v>1379</v>
      </c>
      <c r="C427" s="3" t="s">
        <v>1380</v>
      </c>
      <c r="D427" s="3" t="s">
        <v>111</v>
      </c>
      <c r="E427" s="3" t="s">
        <v>340</v>
      </c>
      <c r="F427" s="3">
        <v>38.88</v>
      </c>
      <c r="G427" s="3" t="s">
        <v>2572</v>
      </c>
      <c r="H427" s="3"/>
      <c r="I427" s="3" t="s">
        <v>2573</v>
      </c>
      <c r="J427" s="3">
        <v>5</v>
      </c>
      <c r="K427" s="3">
        <v>5</v>
      </c>
      <c r="L427" s="3">
        <v>0</v>
      </c>
      <c r="M427" s="3">
        <v>0</v>
      </c>
      <c r="N427" s="3">
        <v>5</v>
      </c>
      <c r="O427" s="3">
        <v>0.06</v>
      </c>
      <c r="P427" s="3">
        <v>0</v>
      </c>
      <c r="Q427" s="3">
        <v>0</v>
      </c>
      <c r="R427" s="3">
        <v>0</v>
      </c>
    </row>
    <row r="428" spans="1:18">
      <c r="A428" s="3" t="s">
        <v>1590</v>
      </c>
      <c r="B428" s="3" t="s">
        <v>1591</v>
      </c>
      <c r="C428" s="3" t="s">
        <v>1592</v>
      </c>
      <c r="D428" s="3" t="s">
        <v>111</v>
      </c>
      <c r="E428" s="3" t="s">
        <v>340</v>
      </c>
      <c r="F428" s="3">
        <v>38.88</v>
      </c>
      <c r="G428" s="3" t="s">
        <v>2572</v>
      </c>
      <c r="H428" s="3"/>
      <c r="I428" s="3" t="s">
        <v>2573</v>
      </c>
      <c r="J428" s="3">
        <v>1</v>
      </c>
      <c r="K428" s="3">
        <v>1</v>
      </c>
      <c r="L428" s="3">
        <v>0</v>
      </c>
      <c r="M428" s="3">
        <v>0</v>
      </c>
      <c r="N428" s="3">
        <v>1</v>
      </c>
      <c r="O428" s="3">
        <v>0.06</v>
      </c>
      <c r="P428" s="3">
        <v>0</v>
      </c>
      <c r="Q428" s="3">
        <v>0</v>
      </c>
      <c r="R428" s="3">
        <v>0</v>
      </c>
    </row>
    <row r="429" spans="1:18">
      <c r="A429" s="3" t="s">
        <v>81</v>
      </c>
      <c r="B429" s="3" t="s">
        <v>82</v>
      </c>
      <c r="C429" s="3" t="s">
        <v>83</v>
      </c>
      <c r="D429" s="3" t="s">
        <v>84</v>
      </c>
      <c r="E429" s="3" t="s">
        <v>340</v>
      </c>
      <c r="F429" s="3">
        <v>38.88</v>
      </c>
      <c r="G429" s="3" t="s">
        <v>2572</v>
      </c>
      <c r="H429" s="3"/>
      <c r="I429" s="3" t="s">
        <v>2573</v>
      </c>
      <c r="J429" s="3">
        <v>9</v>
      </c>
      <c r="K429" s="3">
        <v>8</v>
      </c>
      <c r="L429" s="3">
        <v>0</v>
      </c>
      <c r="M429" s="3">
        <v>1</v>
      </c>
      <c r="N429" s="3">
        <v>9</v>
      </c>
      <c r="O429" s="3">
        <v>0.06</v>
      </c>
      <c r="P429" s="3">
        <v>0</v>
      </c>
      <c r="Q429" s="3">
        <v>0</v>
      </c>
      <c r="R429" s="3">
        <v>0</v>
      </c>
    </row>
    <row r="430" spans="1:18">
      <c r="A430" s="3" t="s">
        <v>2884</v>
      </c>
      <c r="B430" s="3" t="s">
        <v>2885</v>
      </c>
      <c r="C430" s="3" t="s">
        <v>2886</v>
      </c>
      <c r="D430" s="3" t="s">
        <v>111</v>
      </c>
      <c r="E430" s="3" t="s">
        <v>340</v>
      </c>
      <c r="F430" s="3">
        <v>38.88</v>
      </c>
      <c r="G430" s="3" t="s">
        <v>2572</v>
      </c>
      <c r="H430" s="3"/>
      <c r="I430" s="3" t="s">
        <v>2573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0.06</v>
      </c>
      <c r="P430" s="3">
        <v>0</v>
      </c>
      <c r="Q430" s="3">
        <v>0</v>
      </c>
      <c r="R430" s="3">
        <v>0</v>
      </c>
    </row>
    <row r="431" spans="1:18">
      <c r="A431" s="3" t="s">
        <v>1057</v>
      </c>
      <c r="B431" s="3" t="s">
        <v>1058</v>
      </c>
      <c r="C431" s="3" t="s">
        <v>1059</v>
      </c>
      <c r="D431" s="3" t="s">
        <v>111</v>
      </c>
      <c r="E431" s="3" t="s">
        <v>340</v>
      </c>
      <c r="F431" s="3">
        <v>38.88</v>
      </c>
      <c r="G431" s="3" t="s">
        <v>2572</v>
      </c>
      <c r="H431" s="3"/>
      <c r="I431" s="3" t="s">
        <v>2573</v>
      </c>
      <c r="J431" s="3">
        <v>2</v>
      </c>
      <c r="K431" s="3">
        <v>2</v>
      </c>
      <c r="L431" s="3">
        <v>0</v>
      </c>
      <c r="M431" s="3">
        <v>0</v>
      </c>
      <c r="N431" s="3">
        <v>2</v>
      </c>
      <c r="O431" s="3">
        <v>0.06</v>
      </c>
      <c r="P431" s="3">
        <v>0</v>
      </c>
      <c r="Q431" s="3">
        <v>0</v>
      </c>
      <c r="R431" s="3">
        <v>0</v>
      </c>
    </row>
    <row r="432" spans="1:18">
      <c r="A432" s="3" t="s">
        <v>1447</v>
      </c>
      <c r="B432" s="3" t="s">
        <v>1448</v>
      </c>
      <c r="C432" s="3" t="s">
        <v>1449</v>
      </c>
      <c r="D432" s="3" t="s">
        <v>111</v>
      </c>
      <c r="E432" s="3" t="s">
        <v>340</v>
      </c>
      <c r="F432" s="3">
        <v>38.88</v>
      </c>
      <c r="G432" s="3" t="s">
        <v>2572</v>
      </c>
      <c r="H432" s="3"/>
      <c r="I432" s="3" t="s">
        <v>2573</v>
      </c>
      <c r="J432" s="3">
        <v>2</v>
      </c>
      <c r="K432" s="3">
        <v>1</v>
      </c>
      <c r="L432" s="3">
        <v>1</v>
      </c>
      <c r="M432" s="3">
        <v>0</v>
      </c>
      <c r="N432" s="3">
        <v>2</v>
      </c>
      <c r="O432" s="3">
        <v>0.06</v>
      </c>
      <c r="P432" s="3">
        <v>0</v>
      </c>
      <c r="Q432" s="3">
        <v>0</v>
      </c>
      <c r="R432" s="3">
        <v>0</v>
      </c>
    </row>
    <row r="433" spans="1:18">
      <c r="A433" s="3" t="s">
        <v>1574</v>
      </c>
      <c r="B433" s="3" t="s">
        <v>1575</v>
      </c>
      <c r="C433" s="3" t="s">
        <v>1576</v>
      </c>
      <c r="D433" s="3" t="s">
        <v>1577</v>
      </c>
      <c r="E433" s="3" t="s">
        <v>340</v>
      </c>
      <c r="F433" s="3">
        <v>38.88</v>
      </c>
      <c r="G433" s="3" t="s">
        <v>2572</v>
      </c>
      <c r="H433" s="3"/>
      <c r="I433" s="3" t="s">
        <v>2573</v>
      </c>
      <c r="J433" s="3">
        <v>3</v>
      </c>
      <c r="K433" s="3">
        <v>3</v>
      </c>
      <c r="L433" s="3">
        <v>0</v>
      </c>
      <c r="M433" s="3">
        <v>0</v>
      </c>
      <c r="N433" s="3">
        <v>3</v>
      </c>
      <c r="O433" s="3">
        <v>0.06</v>
      </c>
      <c r="P433" s="3">
        <v>0</v>
      </c>
      <c r="Q433" s="3">
        <v>0</v>
      </c>
      <c r="R433" s="3">
        <v>0</v>
      </c>
    </row>
    <row r="434" spans="1:18">
      <c r="A434" s="3" t="s">
        <v>2887</v>
      </c>
      <c r="B434" s="3" t="s">
        <v>2888</v>
      </c>
      <c r="C434" s="3" t="s">
        <v>2889</v>
      </c>
      <c r="D434" s="3" t="s">
        <v>2890</v>
      </c>
      <c r="E434" s="3" t="s">
        <v>340</v>
      </c>
      <c r="F434" s="3">
        <v>38.88</v>
      </c>
      <c r="G434" s="3" t="s">
        <v>2572</v>
      </c>
      <c r="H434" s="3"/>
      <c r="I434" s="3" t="s">
        <v>2573</v>
      </c>
      <c r="J434" s="3">
        <v>1</v>
      </c>
      <c r="K434" s="3">
        <v>0</v>
      </c>
      <c r="L434" s="3">
        <v>1</v>
      </c>
      <c r="M434" s="3">
        <v>0</v>
      </c>
      <c r="N434" s="3">
        <v>1</v>
      </c>
      <c r="O434" s="3">
        <v>0.06</v>
      </c>
      <c r="P434" s="3">
        <v>0</v>
      </c>
      <c r="Q434" s="3">
        <v>0</v>
      </c>
      <c r="R434" s="3">
        <v>0</v>
      </c>
    </row>
    <row r="435" spans="1:18">
      <c r="A435" s="3" t="s">
        <v>1614</v>
      </c>
      <c r="B435" s="3" t="s">
        <v>1615</v>
      </c>
      <c r="C435" s="3" t="s">
        <v>1616</v>
      </c>
      <c r="D435" s="3" t="s">
        <v>1617</v>
      </c>
      <c r="E435" s="3" t="s">
        <v>340</v>
      </c>
      <c r="F435" s="3">
        <v>9.99</v>
      </c>
      <c r="G435" s="3" t="s">
        <v>2572</v>
      </c>
      <c r="H435" s="3"/>
      <c r="I435" s="3" t="s">
        <v>2573</v>
      </c>
      <c r="J435" s="3">
        <v>4</v>
      </c>
      <c r="K435" s="3">
        <v>2</v>
      </c>
      <c r="L435" s="3">
        <v>2</v>
      </c>
      <c r="M435" s="3">
        <v>0</v>
      </c>
      <c r="N435" s="3">
        <v>4</v>
      </c>
      <c r="O435" s="3">
        <v>0.06</v>
      </c>
      <c r="P435" s="3">
        <v>0</v>
      </c>
      <c r="Q435" s="3">
        <v>0</v>
      </c>
      <c r="R435" s="3">
        <v>0</v>
      </c>
    </row>
    <row r="436" spans="1:18">
      <c r="A436" s="3" t="s">
        <v>2891</v>
      </c>
      <c r="B436" s="3" t="s">
        <v>2892</v>
      </c>
      <c r="C436" s="3" t="s">
        <v>2893</v>
      </c>
      <c r="D436" s="3" t="s">
        <v>2894</v>
      </c>
      <c r="E436" s="3" t="s">
        <v>340</v>
      </c>
      <c r="F436" s="3">
        <v>38.88</v>
      </c>
      <c r="G436" s="3" t="s">
        <v>2572</v>
      </c>
      <c r="H436" s="3"/>
      <c r="I436" s="3" t="s">
        <v>2573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0.06</v>
      </c>
      <c r="P436" s="3">
        <v>0</v>
      </c>
      <c r="Q436" s="3">
        <v>0</v>
      </c>
      <c r="R436" s="3">
        <v>0</v>
      </c>
    </row>
    <row r="437" spans="1:18">
      <c r="A437" s="3" t="s">
        <v>2022</v>
      </c>
      <c r="B437" s="3" t="s">
        <v>2023</v>
      </c>
      <c r="C437" s="3" t="s">
        <v>2024</v>
      </c>
      <c r="D437" s="3" t="s">
        <v>2025</v>
      </c>
      <c r="E437" s="3" t="s">
        <v>340</v>
      </c>
      <c r="F437" s="3">
        <v>38.88</v>
      </c>
      <c r="G437" s="3" t="s">
        <v>2572</v>
      </c>
      <c r="H437" s="3"/>
      <c r="I437" s="3" t="s">
        <v>2573</v>
      </c>
      <c r="J437" s="3">
        <v>3</v>
      </c>
      <c r="K437" s="3">
        <v>2</v>
      </c>
      <c r="L437" s="3">
        <v>1</v>
      </c>
      <c r="M437" s="3">
        <v>0</v>
      </c>
      <c r="N437" s="3">
        <v>3</v>
      </c>
      <c r="O437" s="3">
        <v>0.06</v>
      </c>
      <c r="P437" s="3">
        <v>0</v>
      </c>
      <c r="Q437" s="3">
        <v>0</v>
      </c>
      <c r="R437" s="3">
        <v>0</v>
      </c>
    </row>
    <row r="438" spans="1:18">
      <c r="A438" s="3" t="s">
        <v>2062</v>
      </c>
      <c r="B438" s="3" t="s">
        <v>2063</v>
      </c>
      <c r="C438" s="3" t="s">
        <v>2064</v>
      </c>
      <c r="D438" s="3" t="s">
        <v>2065</v>
      </c>
      <c r="E438" s="3" t="s">
        <v>340</v>
      </c>
      <c r="F438" s="3">
        <v>38.88</v>
      </c>
      <c r="G438" s="3" t="s">
        <v>2572</v>
      </c>
      <c r="H438" s="3"/>
      <c r="I438" s="3" t="s">
        <v>2573</v>
      </c>
      <c r="J438" s="3">
        <v>1</v>
      </c>
      <c r="K438" s="3">
        <v>1</v>
      </c>
      <c r="L438" s="3">
        <v>0</v>
      </c>
      <c r="M438" s="3">
        <v>0</v>
      </c>
      <c r="N438" s="3">
        <v>1</v>
      </c>
      <c r="O438" s="3">
        <v>0.06</v>
      </c>
      <c r="P438" s="3">
        <v>0</v>
      </c>
      <c r="Q438" s="3">
        <v>0</v>
      </c>
      <c r="R438" s="3">
        <v>0</v>
      </c>
    </row>
    <row r="439" spans="1:18">
      <c r="A439" s="3" t="s">
        <v>2895</v>
      </c>
      <c r="B439" s="3" t="s">
        <v>2896</v>
      </c>
      <c r="C439" s="3" t="s">
        <v>2897</v>
      </c>
      <c r="D439" s="3" t="s">
        <v>111</v>
      </c>
      <c r="E439" s="3" t="s">
        <v>340</v>
      </c>
      <c r="F439" s="3">
        <v>38.88</v>
      </c>
      <c r="G439" s="3" t="s">
        <v>2572</v>
      </c>
      <c r="H439" s="3"/>
      <c r="I439" s="3" t="s">
        <v>2573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0.06</v>
      </c>
      <c r="P439" s="3">
        <v>0</v>
      </c>
      <c r="Q439" s="3">
        <v>0</v>
      </c>
      <c r="R439" s="3">
        <v>0</v>
      </c>
    </row>
    <row r="440" spans="1:18">
      <c r="A440" s="3" t="s">
        <v>2898</v>
      </c>
      <c r="B440" s="3" t="s">
        <v>2899</v>
      </c>
      <c r="C440" s="3" t="s">
        <v>2900</v>
      </c>
      <c r="D440" s="3" t="s">
        <v>111</v>
      </c>
      <c r="E440" s="3" t="s">
        <v>340</v>
      </c>
      <c r="F440" s="3">
        <v>38.88</v>
      </c>
      <c r="G440" s="3" t="s">
        <v>2572</v>
      </c>
      <c r="H440" s="3"/>
      <c r="I440" s="3" t="s">
        <v>2573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0.06</v>
      </c>
      <c r="P440" s="3">
        <v>0</v>
      </c>
      <c r="Q440" s="3">
        <v>0</v>
      </c>
      <c r="R440" s="3">
        <v>0</v>
      </c>
    </row>
    <row r="441" spans="1:18">
      <c r="A441" s="3" t="s">
        <v>1735</v>
      </c>
      <c r="B441" s="3" t="s">
        <v>1736</v>
      </c>
      <c r="C441" s="3" t="s">
        <v>1737</v>
      </c>
      <c r="D441" s="3" t="s">
        <v>111</v>
      </c>
      <c r="E441" s="3" t="s">
        <v>340</v>
      </c>
      <c r="F441" s="3">
        <v>38.88</v>
      </c>
      <c r="G441" s="3" t="s">
        <v>2572</v>
      </c>
      <c r="H441" s="3"/>
      <c r="I441" s="3" t="s">
        <v>2573</v>
      </c>
      <c r="J441" s="3">
        <v>11</v>
      </c>
      <c r="K441" s="3">
        <v>10</v>
      </c>
      <c r="L441" s="3">
        <v>1</v>
      </c>
      <c r="M441" s="3">
        <v>0</v>
      </c>
      <c r="N441" s="3">
        <v>11</v>
      </c>
      <c r="O441" s="3">
        <v>0.06</v>
      </c>
      <c r="P441" s="3">
        <v>0</v>
      </c>
      <c r="Q441" s="3">
        <v>0</v>
      </c>
      <c r="R441" s="3">
        <v>0</v>
      </c>
    </row>
    <row r="442" spans="1:18">
      <c r="A442" s="3" t="s">
        <v>1489</v>
      </c>
      <c r="B442" s="3" t="s">
        <v>1490</v>
      </c>
      <c r="C442" s="3" t="s">
        <v>1491</v>
      </c>
      <c r="D442" s="3" t="s">
        <v>111</v>
      </c>
      <c r="E442" s="3" t="s">
        <v>340</v>
      </c>
      <c r="F442" s="3">
        <v>38.88</v>
      </c>
      <c r="G442" s="3" t="s">
        <v>2572</v>
      </c>
      <c r="H442" s="3"/>
      <c r="I442" s="3" t="s">
        <v>2573</v>
      </c>
      <c r="J442" s="3">
        <v>3</v>
      </c>
      <c r="K442" s="3">
        <v>3</v>
      </c>
      <c r="L442" s="3">
        <v>0</v>
      </c>
      <c r="M442" s="3">
        <v>0</v>
      </c>
      <c r="N442" s="3">
        <v>3</v>
      </c>
      <c r="O442" s="3">
        <v>0.06</v>
      </c>
      <c r="P442" s="3">
        <v>0</v>
      </c>
      <c r="Q442" s="3">
        <v>0</v>
      </c>
      <c r="R442" s="3">
        <v>0</v>
      </c>
    </row>
    <row r="443" spans="1:18">
      <c r="A443" s="3" t="s">
        <v>1423</v>
      </c>
      <c r="B443" s="3" t="s">
        <v>1424</v>
      </c>
      <c r="C443" s="3" t="s">
        <v>1425</v>
      </c>
      <c r="D443" s="3" t="s">
        <v>111</v>
      </c>
      <c r="E443" s="3" t="s">
        <v>340</v>
      </c>
      <c r="F443" s="3">
        <v>38.88</v>
      </c>
      <c r="G443" s="3" t="s">
        <v>2572</v>
      </c>
      <c r="H443" s="3"/>
      <c r="I443" s="3" t="s">
        <v>2573</v>
      </c>
      <c r="J443" s="3">
        <v>6</v>
      </c>
      <c r="K443" s="3">
        <v>6</v>
      </c>
      <c r="L443" s="3">
        <v>0</v>
      </c>
      <c r="M443" s="3">
        <v>0</v>
      </c>
      <c r="N443" s="3">
        <v>6</v>
      </c>
      <c r="O443" s="3">
        <v>0.06</v>
      </c>
      <c r="P443" s="3">
        <v>0</v>
      </c>
      <c r="Q443" s="3">
        <v>0</v>
      </c>
      <c r="R443" s="3">
        <v>0</v>
      </c>
    </row>
    <row r="444" spans="1:18">
      <c r="A444" s="3" t="s">
        <v>2901</v>
      </c>
      <c r="B444" s="3" t="s">
        <v>2902</v>
      </c>
      <c r="C444" s="3" t="s">
        <v>2903</v>
      </c>
      <c r="D444" s="3" t="s">
        <v>111</v>
      </c>
      <c r="E444" s="3" t="s">
        <v>340</v>
      </c>
      <c r="F444" s="3">
        <v>38.88</v>
      </c>
      <c r="G444" s="3" t="s">
        <v>2572</v>
      </c>
      <c r="H444" s="3"/>
      <c r="I444" s="3" t="s">
        <v>2573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0.06</v>
      </c>
      <c r="P444" s="3">
        <v>0</v>
      </c>
      <c r="Q444" s="3">
        <v>0</v>
      </c>
      <c r="R444" s="3">
        <v>0</v>
      </c>
    </row>
    <row r="445" spans="1:18">
      <c r="A445" s="3" t="s">
        <v>2904</v>
      </c>
      <c r="B445" s="3" t="s">
        <v>2905</v>
      </c>
      <c r="C445" s="3" t="s">
        <v>2906</v>
      </c>
      <c r="D445" s="3" t="s">
        <v>111</v>
      </c>
      <c r="E445" s="3" t="s">
        <v>340</v>
      </c>
      <c r="F445" s="3">
        <v>38.88</v>
      </c>
      <c r="G445" s="3" t="s">
        <v>2572</v>
      </c>
      <c r="H445" s="3"/>
      <c r="I445" s="3" t="s">
        <v>2573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0.06</v>
      </c>
      <c r="P445" s="3">
        <v>0</v>
      </c>
      <c r="Q445" s="3">
        <v>0</v>
      </c>
      <c r="R445" s="3">
        <v>0</v>
      </c>
    </row>
    <row r="446" spans="1:18">
      <c r="A446" s="3" t="s">
        <v>2907</v>
      </c>
      <c r="B446" s="3" t="s">
        <v>2908</v>
      </c>
      <c r="C446" s="3" t="s">
        <v>2909</v>
      </c>
      <c r="D446" s="3" t="s">
        <v>111</v>
      </c>
      <c r="E446" s="3" t="s">
        <v>340</v>
      </c>
      <c r="F446" s="3">
        <v>38.88</v>
      </c>
      <c r="G446" s="3" t="s">
        <v>2572</v>
      </c>
      <c r="H446" s="3"/>
      <c r="I446" s="3" t="s">
        <v>2573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0.06</v>
      </c>
      <c r="P446" s="3">
        <v>0</v>
      </c>
      <c r="Q446" s="3">
        <v>0</v>
      </c>
      <c r="R446" s="3">
        <v>0</v>
      </c>
    </row>
    <row r="447" spans="1:18">
      <c r="A447" s="3" t="s">
        <v>1897</v>
      </c>
      <c r="B447" s="3" t="s">
        <v>1898</v>
      </c>
      <c r="C447" s="3" t="s">
        <v>1899</v>
      </c>
      <c r="D447" s="3" t="s">
        <v>111</v>
      </c>
      <c r="E447" s="3" t="s">
        <v>340</v>
      </c>
      <c r="F447" s="3">
        <v>38.88</v>
      </c>
      <c r="G447" s="3" t="s">
        <v>2572</v>
      </c>
      <c r="H447" s="3"/>
      <c r="I447" s="3" t="s">
        <v>2573</v>
      </c>
      <c r="J447" s="3">
        <v>8</v>
      </c>
      <c r="K447" s="3">
        <v>8</v>
      </c>
      <c r="L447" s="3">
        <v>0</v>
      </c>
      <c r="M447" s="3">
        <v>0</v>
      </c>
      <c r="N447" s="3">
        <v>8</v>
      </c>
      <c r="O447" s="3">
        <v>0.06</v>
      </c>
      <c r="P447" s="3">
        <v>0</v>
      </c>
      <c r="Q447" s="3">
        <v>0</v>
      </c>
      <c r="R447" s="3">
        <v>0</v>
      </c>
    </row>
    <row r="448" spans="1:18">
      <c r="A448" s="3" t="s">
        <v>2171</v>
      </c>
      <c r="B448" s="3" t="s">
        <v>2172</v>
      </c>
      <c r="C448" s="3" t="s">
        <v>2173</v>
      </c>
      <c r="D448" s="3" t="s">
        <v>111</v>
      </c>
      <c r="E448" s="3" t="s">
        <v>340</v>
      </c>
      <c r="F448" s="3">
        <v>38.88</v>
      </c>
      <c r="G448" s="3" t="s">
        <v>2572</v>
      </c>
      <c r="H448" s="3"/>
      <c r="I448" s="3" t="s">
        <v>2573</v>
      </c>
      <c r="J448" s="3">
        <v>4</v>
      </c>
      <c r="K448" s="3">
        <v>4</v>
      </c>
      <c r="L448" s="3">
        <v>0</v>
      </c>
      <c r="M448" s="3">
        <v>0</v>
      </c>
      <c r="N448" s="3">
        <v>4</v>
      </c>
      <c r="O448" s="3">
        <v>0.06</v>
      </c>
      <c r="P448" s="3">
        <v>0</v>
      </c>
      <c r="Q448" s="3">
        <v>0</v>
      </c>
      <c r="R448" s="3">
        <v>0</v>
      </c>
    </row>
    <row r="449" spans="1:18">
      <c r="A449" s="3" t="s">
        <v>2070</v>
      </c>
      <c r="B449" s="3" t="s">
        <v>2071</v>
      </c>
      <c r="C449" s="3" t="s">
        <v>2072</v>
      </c>
      <c r="D449" s="3" t="s">
        <v>2073</v>
      </c>
      <c r="E449" s="3" t="s">
        <v>340</v>
      </c>
      <c r="F449" s="3">
        <v>38.88</v>
      </c>
      <c r="G449" s="3" t="s">
        <v>2572</v>
      </c>
      <c r="H449" s="3"/>
      <c r="I449" s="3" t="s">
        <v>2573</v>
      </c>
      <c r="J449" s="3">
        <v>2</v>
      </c>
      <c r="K449" s="3">
        <v>2</v>
      </c>
      <c r="L449" s="3">
        <v>0</v>
      </c>
      <c r="M449" s="3">
        <v>0</v>
      </c>
      <c r="N449" s="3">
        <v>2</v>
      </c>
      <c r="O449" s="3">
        <v>0.04</v>
      </c>
      <c r="P449" s="3">
        <v>0</v>
      </c>
      <c r="Q449" s="3">
        <v>0</v>
      </c>
      <c r="R449" s="3">
        <v>0</v>
      </c>
    </row>
    <row r="450" spans="1:18">
      <c r="A450" s="3" t="s">
        <v>1184</v>
      </c>
      <c r="B450" s="3" t="s">
        <v>1185</v>
      </c>
      <c r="C450" s="3" t="s">
        <v>1186</v>
      </c>
      <c r="D450" s="3" t="s">
        <v>111</v>
      </c>
      <c r="E450" s="3" t="s">
        <v>340</v>
      </c>
      <c r="F450" s="3">
        <v>38.88</v>
      </c>
      <c r="G450" s="3" t="s">
        <v>2572</v>
      </c>
      <c r="H450" s="3"/>
      <c r="I450" s="3" t="s">
        <v>2573</v>
      </c>
      <c r="J450" s="3">
        <v>2</v>
      </c>
      <c r="K450" s="3">
        <v>1</v>
      </c>
      <c r="L450" s="3">
        <v>1</v>
      </c>
      <c r="M450" s="3">
        <v>0</v>
      </c>
      <c r="N450" s="3">
        <v>2</v>
      </c>
      <c r="O450" s="3">
        <v>0.06</v>
      </c>
      <c r="P450" s="3">
        <v>0</v>
      </c>
      <c r="Q450" s="3">
        <v>0</v>
      </c>
      <c r="R450" s="3">
        <v>0</v>
      </c>
    </row>
    <row r="451" spans="1:18">
      <c r="A451" s="3" t="s">
        <v>2910</v>
      </c>
      <c r="B451" s="3" t="s">
        <v>2911</v>
      </c>
      <c r="C451" s="3" t="s">
        <v>2912</v>
      </c>
      <c r="D451" s="3" t="s">
        <v>2913</v>
      </c>
      <c r="E451" s="3" t="s">
        <v>340</v>
      </c>
      <c r="F451" s="3">
        <v>38.88</v>
      </c>
      <c r="G451" s="3" t="s">
        <v>2572</v>
      </c>
      <c r="H451" s="3"/>
      <c r="I451" s="3" t="s">
        <v>2573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0.06</v>
      </c>
      <c r="P451" s="3">
        <v>0</v>
      </c>
      <c r="Q451" s="3">
        <v>0</v>
      </c>
      <c r="R451" s="3">
        <v>0</v>
      </c>
    </row>
    <row r="452" spans="1:18">
      <c r="A452" s="3" t="s">
        <v>2914</v>
      </c>
      <c r="B452" s="3" t="s">
        <v>2915</v>
      </c>
      <c r="C452" s="3" t="s">
        <v>2916</v>
      </c>
      <c r="D452" s="3" t="s">
        <v>111</v>
      </c>
      <c r="E452" s="3" t="s">
        <v>340</v>
      </c>
      <c r="F452" s="3">
        <v>38.88</v>
      </c>
      <c r="G452" s="3" t="s">
        <v>2572</v>
      </c>
      <c r="H452" s="3"/>
      <c r="I452" s="3" t="s">
        <v>2573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0.06</v>
      </c>
      <c r="P452" s="3">
        <v>0</v>
      </c>
      <c r="Q452" s="3">
        <v>0</v>
      </c>
      <c r="R452" s="3">
        <v>0</v>
      </c>
    </row>
    <row r="453" spans="1:18">
      <c r="A453" s="3" t="s">
        <v>2917</v>
      </c>
      <c r="B453" s="3" t="s">
        <v>2918</v>
      </c>
      <c r="C453" s="3" t="s">
        <v>2919</v>
      </c>
      <c r="D453" s="3" t="s">
        <v>111</v>
      </c>
      <c r="E453" s="3" t="s">
        <v>340</v>
      </c>
      <c r="F453" s="3">
        <v>38.88</v>
      </c>
      <c r="G453" s="3" t="s">
        <v>2572</v>
      </c>
      <c r="H453" s="3"/>
      <c r="I453" s="3" t="s">
        <v>2573</v>
      </c>
      <c r="J453" s="3">
        <v>1</v>
      </c>
      <c r="K453" s="3">
        <v>0</v>
      </c>
      <c r="L453" s="3">
        <v>1</v>
      </c>
      <c r="M453" s="3">
        <v>0</v>
      </c>
      <c r="N453" s="3">
        <v>1</v>
      </c>
      <c r="O453" s="3">
        <v>0.06</v>
      </c>
      <c r="P453" s="3">
        <v>0</v>
      </c>
      <c r="Q453" s="3">
        <v>0</v>
      </c>
      <c r="R453" s="3">
        <v>0</v>
      </c>
    </row>
    <row r="454" spans="1:18">
      <c r="A454" s="3" t="s">
        <v>2920</v>
      </c>
      <c r="B454" s="3" t="s">
        <v>2921</v>
      </c>
      <c r="C454" s="3" t="s">
        <v>2922</v>
      </c>
      <c r="D454" s="3" t="s">
        <v>111</v>
      </c>
      <c r="E454" s="3" t="s">
        <v>340</v>
      </c>
      <c r="F454" s="3">
        <v>38.88</v>
      </c>
      <c r="G454" s="3" t="s">
        <v>2572</v>
      </c>
      <c r="H454" s="3"/>
      <c r="I454" s="3" t="s">
        <v>2573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0.06</v>
      </c>
      <c r="P454" s="3">
        <v>0</v>
      </c>
      <c r="Q454" s="3">
        <v>0</v>
      </c>
      <c r="R454" s="3">
        <v>0</v>
      </c>
    </row>
    <row r="455" spans="1:18">
      <c r="A455" s="3" t="s">
        <v>479</v>
      </c>
      <c r="B455" s="3" t="s">
        <v>480</v>
      </c>
      <c r="C455" s="3" t="s">
        <v>481</v>
      </c>
      <c r="D455" s="3" t="s">
        <v>111</v>
      </c>
      <c r="E455" s="3" t="s">
        <v>340</v>
      </c>
      <c r="F455" s="3">
        <v>38.88</v>
      </c>
      <c r="G455" s="3" t="s">
        <v>2572</v>
      </c>
      <c r="H455" s="3"/>
      <c r="I455" s="3" t="s">
        <v>2573</v>
      </c>
      <c r="J455" s="3">
        <v>3</v>
      </c>
      <c r="K455" s="3">
        <v>3</v>
      </c>
      <c r="L455" s="3">
        <v>0</v>
      </c>
      <c r="M455" s="3">
        <v>0</v>
      </c>
      <c r="N455" s="3">
        <v>3</v>
      </c>
      <c r="O455" s="3">
        <v>0.06</v>
      </c>
      <c r="P455" s="3">
        <v>0</v>
      </c>
      <c r="Q455" s="3">
        <v>0</v>
      </c>
      <c r="R455" s="3">
        <v>0</v>
      </c>
    </row>
    <row r="456" spans="1:18">
      <c r="A456" s="3" t="s">
        <v>108</v>
      </c>
      <c r="B456" s="3" t="s">
        <v>109</v>
      </c>
      <c r="C456" s="3" t="s">
        <v>110</v>
      </c>
      <c r="D456" s="3" t="s">
        <v>111</v>
      </c>
      <c r="E456" s="3" t="s">
        <v>340</v>
      </c>
      <c r="F456" s="3">
        <v>38.88</v>
      </c>
      <c r="G456" s="3" t="s">
        <v>2572</v>
      </c>
      <c r="H456" s="3"/>
      <c r="I456" s="3" t="s">
        <v>2573</v>
      </c>
      <c r="J456" s="3">
        <v>7</v>
      </c>
      <c r="K456" s="3">
        <v>6</v>
      </c>
      <c r="L456" s="3">
        <v>0</v>
      </c>
      <c r="M456" s="3">
        <v>1</v>
      </c>
      <c r="N456" s="3">
        <v>7</v>
      </c>
      <c r="O456" s="3">
        <v>0.06</v>
      </c>
      <c r="P456" s="3">
        <v>0</v>
      </c>
      <c r="Q456" s="3">
        <v>0</v>
      </c>
      <c r="R456" s="3">
        <v>0</v>
      </c>
    </row>
    <row r="457" spans="1:18">
      <c r="A457" s="3" t="s">
        <v>104</v>
      </c>
      <c r="B457" s="3" t="s">
        <v>105</v>
      </c>
      <c r="C457" s="3" t="s">
        <v>106</v>
      </c>
      <c r="D457" s="3" t="s">
        <v>107</v>
      </c>
      <c r="E457" s="3" t="s">
        <v>340</v>
      </c>
      <c r="F457" s="3">
        <v>19.9</v>
      </c>
      <c r="G457" s="3" t="s">
        <v>2572</v>
      </c>
      <c r="H457" s="3"/>
      <c r="I457" s="3" t="s">
        <v>2573</v>
      </c>
      <c r="J457" s="3">
        <v>1</v>
      </c>
      <c r="K457" s="3">
        <v>0</v>
      </c>
      <c r="L457" s="3">
        <v>0</v>
      </c>
      <c r="M457" s="3">
        <v>1</v>
      </c>
      <c r="N457" s="3">
        <v>1</v>
      </c>
      <c r="O457" s="3">
        <v>0.07</v>
      </c>
      <c r="P457" s="3">
        <v>0</v>
      </c>
      <c r="Q457" s="3">
        <v>0</v>
      </c>
      <c r="R457" s="3">
        <v>0</v>
      </c>
    </row>
    <row r="458" spans="1:18">
      <c r="A458" s="3" t="s">
        <v>2048</v>
      </c>
      <c r="B458" s="3" t="s">
        <v>2049</v>
      </c>
      <c r="C458" s="3" t="s">
        <v>2050</v>
      </c>
      <c r="D458" s="3" t="s">
        <v>2051</v>
      </c>
      <c r="E458" s="3" t="s">
        <v>340</v>
      </c>
      <c r="F458" s="3">
        <v>19.9</v>
      </c>
      <c r="G458" s="3" t="s">
        <v>2572</v>
      </c>
      <c r="H458" s="3"/>
      <c r="I458" s="3" t="s">
        <v>2573</v>
      </c>
      <c r="J458" s="3">
        <v>1</v>
      </c>
      <c r="K458" s="3">
        <v>1</v>
      </c>
      <c r="L458" s="3">
        <v>0</v>
      </c>
      <c r="M458" s="3">
        <v>0</v>
      </c>
      <c r="N458" s="3">
        <v>1</v>
      </c>
      <c r="O458" s="3">
        <v>0.11</v>
      </c>
      <c r="P458" s="3">
        <v>0</v>
      </c>
      <c r="Q458" s="3">
        <v>0</v>
      </c>
      <c r="R458" s="3">
        <v>0</v>
      </c>
    </row>
    <row r="459" spans="1:18">
      <c r="A459" s="3" t="s">
        <v>2511</v>
      </c>
      <c r="B459" s="3" t="s">
        <v>2512</v>
      </c>
      <c r="C459" s="3" t="s">
        <v>2513</v>
      </c>
      <c r="D459" s="3" t="s">
        <v>2514</v>
      </c>
      <c r="E459" s="3" t="s">
        <v>340</v>
      </c>
      <c r="F459" s="3">
        <v>19.9</v>
      </c>
      <c r="G459" s="3" t="s">
        <v>2572</v>
      </c>
      <c r="H459" s="3"/>
      <c r="I459" s="3" t="s">
        <v>2573</v>
      </c>
      <c r="J459" s="3">
        <v>4</v>
      </c>
      <c r="K459" s="3">
        <v>4</v>
      </c>
      <c r="L459" s="3">
        <v>0</v>
      </c>
      <c r="M459" s="3">
        <v>0</v>
      </c>
      <c r="N459" s="3">
        <v>4</v>
      </c>
      <c r="O459" s="3">
        <v>0.11</v>
      </c>
      <c r="P459" s="3">
        <v>0</v>
      </c>
      <c r="Q459" s="3">
        <v>0</v>
      </c>
      <c r="R459" s="3">
        <v>0</v>
      </c>
    </row>
    <row r="460" spans="1:18">
      <c r="A460" s="3" t="s">
        <v>2923</v>
      </c>
      <c r="B460" s="3" t="s">
        <v>2924</v>
      </c>
      <c r="C460" s="3" t="s">
        <v>2925</v>
      </c>
      <c r="D460" s="3" t="s">
        <v>2926</v>
      </c>
      <c r="E460" s="3" t="s">
        <v>340</v>
      </c>
      <c r="F460" s="3">
        <v>19.9</v>
      </c>
      <c r="G460" s="3" t="s">
        <v>2572</v>
      </c>
      <c r="H460" s="3"/>
      <c r="I460" s="3" t="s">
        <v>2573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0.11</v>
      </c>
      <c r="P460" s="3">
        <v>0</v>
      </c>
      <c r="Q460" s="3">
        <v>0</v>
      </c>
      <c r="R460" s="3">
        <v>0</v>
      </c>
    </row>
    <row r="461" spans="1:18">
      <c r="A461" s="3" t="s">
        <v>422</v>
      </c>
      <c r="B461" s="3" t="s">
        <v>423</v>
      </c>
      <c r="C461" s="3" t="s">
        <v>424</v>
      </c>
      <c r="D461" s="3" t="s">
        <v>411</v>
      </c>
      <c r="E461" s="3" t="s">
        <v>340</v>
      </c>
      <c r="F461" s="3">
        <v>19.9</v>
      </c>
      <c r="G461" s="3" t="s">
        <v>2572</v>
      </c>
      <c r="H461" s="3"/>
      <c r="I461" s="3" t="s">
        <v>2573</v>
      </c>
      <c r="J461" s="3">
        <v>1</v>
      </c>
      <c r="K461" s="3">
        <v>1</v>
      </c>
      <c r="L461" s="3">
        <v>0</v>
      </c>
      <c r="M461" s="3">
        <v>0</v>
      </c>
      <c r="N461" s="3">
        <v>1</v>
      </c>
      <c r="O461" s="3">
        <v>0.05</v>
      </c>
      <c r="P461" s="3">
        <v>0</v>
      </c>
      <c r="Q461" s="3">
        <v>0</v>
      </c>
      <c r="R461" s="3">
        <v>0</v>
      </c>
    </row>
    <row r="462" spans="1:18">
      <c r="A462" s="3" t="s">
        <v>1290</v>
      </c>
      <c r="B462" s="3" t="s">
        <v>1291</v>
      </c>
      <c r="C462" s="3" t="s">
        <v>1292</v>
      </c>
      <c r="D462" s="3" t="s">
        <v>1293</v>
      </c>
      <c r="E462" s="3" t="s">
        <v>340</v>
      </c>
      <c r="F462" s="3">
        <v>19.9</v>
      </c>
      <c r="G462" s="3" t="s">
        <v>2572</v>
      </c>
      <c r="H462" s="3"/>
      <c r="I462" s="3" t="s">
        <v>2573</v>
      </c>
      <c r="J462" s="3">
        <v>1</v>
      </c>
      <c r="K462" s="3">
        <v>1</v>
      </c>
      <c r="L462" s="3">
        <v>0</v>
      </c>
      <c r="M462" s="3">
        <v>0</v>
      </c>
      <c r="N462" s="3">
        <v>1</v>
      </c>
      <c r="O462" s="3">
        <v>0.05</v>
      </c>
      <c r="P462" s="3">
        <v>0</v>
      </c>
      <c r="Q462" s="3">
        <v>0</v>
      </c>
      <c r="R462" s="3">
        <v>0</v>
      </c>
    </row>
    <row r="463" spans="1:18">
      <c r="A463" s="3" t="s">
        <v>408</v>
      </c>
      <c r="B463" s="3" t="s">
        <v>409</v>
      </c>
      <c r="C463" s="3" t="s">
        <v>410</v>
      </c>
      <c r="D463" s="3" t="s">
        <v>411</v>
      </c>
      <c r="E463" s="3" t="s">
        <v>340</v>
      </c>
      <c r="F463" s="3">
        <v>42.88</v>
      </c>
      <c r="G463" s="3" t="s">
        <v>2572</v>
      </c>
      <c r="H463" s="3"/>
      <c r="I463" s="3" t="s">
        <v>2573</v>
      </c>
      <c r="J463" s="3">
        <v>2</v>
      </c>
      <c r="K463" s="3">
        <v>2</v>
      </c>
      <c r="L463" s="3">
        <v>0</v>
      </c>
      <c r="M463" s="3">
        <v>0</v>
      </c>
      <c r="N463" s="3">
        <v>2</v>
      </c>
      <c r="O463" s="3">
        <v>0.05</v>
      </c>
      <c r="P463" s="3">
        <v>0</v>
      </c>
      <c r="Q463" s="3">
        <v>0</v>
      </c>
      <c r="R463" s="3">
        <v>0</v>
      </c>
    </row>
    <row r="464" spans="1:18">
      <c r="A464" s="3" t="s">
        <v>494</v>
      </c>
      <c r="B464" s="3" t="s">
        <v>495</v>
      </c>
      <c r="C464" s="3" t="s">
        <v>496</v>
      </c>
      <c r="D464" s="3" t="s">
        <v>411</v>
      </c>
      <c r="E464" s="3" t="s">
        <v>340</v>
      </c>
      <c r="F464" s="3">
        <v>42.88</v>
      </c>
      <c r="G464" s="3" t="s">
        <v>2572</v>
      </c>
      <c r="H464" s="3"/>
      <c r="I464" s="3" t="s">
        <v>2573</v>
      </c>
      <c r="J464" s="3">
        <v>1</v>
      </c>
      <c r="K464" s="3">
        <v>1</v>
      </c>
      <c r="L464" s="3">
        <v>0</v>
      </c>
      <c r="M464" s="3">
        <v>0</v>
      </c>
      <c r="N464" s="3">
        <v>1</v>
      </c>
      <c r="O464" s="3">
        <v>0.14</v>
      </c>
      <c r="P464" s="3">
        <v>0</v>
      </c>
      <c r="Q464" s="3">
        <v>0</v>
      </c>
      <c r="R464" s="3">
        <v>0</v>
      </c>
    </row>
    <row r="465" spans="1:18">
      <c r="A465" s="3" t="s">
        <v>1255</v>
      </c>
      <c r="B465" s="3" t="s">
        <v>1256</v>
      </c>
      <c r="C465" s="3" t="s">
        <v>1257</v>
      </c>
      <c r="D465" s="3" t="s">
        <v>1258</v>
      </c>
      <c r="E465" s="3" t="s">
        <v>340</v>
      </c>
      <c r="F465" s="3">
        <v>19.9</v>
      </c>
      <c r="G465" s="3" t="s">
        <v>2572</v>
      </c>
      <c r="H465" s="3"/>
      <c r="I465" s="3" t="s">
        <v>2573</v>
      </c>
      <c r="J465" s="3">
        <v>1</v>
      </c>
      <c r="K465" s="3">
        <v>1</v>
      </c>
      <c r="L465" s="3">
        <v>0</v>
      </c>
      <c r="M465" s="3">
        <v>0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</row>
    <row r="466" spans="1:18">
      <c r="A466" s="3" t="s">
        <v>2477</v>
      </c>
      <c r="B466" s="3" t="s">
        <v>2478</v>
      </c>
      <c r="C466" s="3" t="s">
        <v>2479</v>
      </c>
      <c r="D466" s="3" t="s">
        <v>411</v>
      </c>
      <c r="E466" s="3" t="s">
        <v>340</v>
      </c>
      <c r="F466" s="3">
        <v>19.9</v>
      </c>
      <c r="G466" s="3" t="s">
        <v>2572</v>
      </c>
      <c r="H466" s="3"/>
      <c r="I466" s="3" t="s">
        <v>2573</v>
      </c>
      <c r="J466" s="3">
        <v>2</v>
      </c>
      <c r="K466" s="3">
        <v>2</v>
      </c>
      <c r="L466" s="3">
        <v>0</v>
      </c>
      <c r="M466" s="3">
        <v>0</v>
      </c>
      <c r="N466" s="3">
        <v>2</v>
      </c>
      <c r="O466" s="3">
        <v>0</v>
      </c>
      <c r="P466" s="3">
        <v>0</v>
      </c>
      <c r="Q466" s="3">
        <v>0</v>
      </c>
      <c r="R466" s="3">
        <v>0</v>
      </c>
    </row>
    <row r="467" spans="1:18">
      <c r="A467" s="3" t="s">
        <v>1627</v>
      </c>
      <c r="B467" s="3" t="s">
        <v>1628</v>
      </c>
      <c r="C467" s="3" t="s">
        <v>1629</v>
      </c>
      <c r="D467" s="3" t="s">
        <v>1258</v>
      </c>
      <c r="E467" s="3" t="s">
        <v>340</v>
      </c>
      <c r="F467" s="3">
        <v>19.9</v>
      </c>
      <c r="G467" s="3" t="s">
        <v>2572</v>
      </c>
      <c r="H467" s="3"/>
      <c r="I467" s="3" t="s">
        <v>2573</v>
      </c>
      <c r="J467" s="3">
        <v>1</v>
      </c>
      <c r="K467" s="3">
        <v>1</v>
      </c>
      <c r="L467" s="3">
        <v>0</v>
      </c>
      <c r="M467" s="3">
        <v>0</v>
      </c>
      <c r="N467" s="3">
        <v>1</v>
      </c>
      <c r="O467" s="3">
        <v>0</v>
      </c>
      <c r="P467" s="3">
        <v>0</v>
      </c>
      <c r="Q467" s="3">
        <v>0</v>
      </c>
      <c r="R467" s="3">
        <v>0</v>
      </c>
    </row>
    <row r="468" spans="1:18">
      <c r="A468" s="3" t="s">
        <v>1486</v>
      </c>
      <c r="B468" s="3" t="s">
        <v>1487</v>
      </c>
      <c r="C468" s="3" t="s">
        <v>1488</v>
      </c>
      <c r="D468" s="3" t="s">
        <v>1258</v>
      </c>
      <c r="E468" s="3" t="s">
        <v>340</v>
      </c>
      <c r="F468" s="3">
        <v>19.9</v>
      </c>
      <c r="G468" s="3" t="s">
        <v>2572</v>
      </c>
      <c r="H468" s="3"/>
      <c r="I468" s="3" t="s">
        <v>2573</v>
      </c>
      <c r="J468" s="3">
        <v>2</v>
      </c>
      <c r="K468" s="3">
        <v>2</v>
      </c>
      <c r="L468" s="3">
        <v>0</v>
      </c>
      <c r="M468" s="3">
        <v>0</v>
      </c>
      <c r="N468" s="3">
        <v>2</v>
      </c>
      <c r="O468" s="3">
        <v>0</v>
      </c>
      <c r="P468" s="3">
        <v>0</v>
      </c>
      <c r="Q468" s="3">
        <v>0</v>
      </c>
      <c r="R468" s="3">
        <v>0</v>
      </c>
    </row>
    <row r="469" spans="1:18">
      <c r="A469" s="3" t="s">
        <v>1973</v>
      </c>
      <c r="B469" s="3" t="s">
        <v>1974</v>
      </c>
      <c r="C469" s="3" t="s">
        <v>1975</v>
      </c>
      <c r="D469" s="3" t="s">
        <v>411</v>
      </c>
      <c r="E469" s="3" t="s">
        <v>340</v>
      </c>
      <c r="F469" s="3">
        <v>19.9</v>
      </c>
      <c r="G469" s="3" t="s">
        <v>2572</v>
      </c>
      <c r="H469" s="3"/>
      <c r="I469" s="3" t="s">
        <v>2573</v>
      </c>
      <c r="J469" s="3">
        <v>2</v>
      </c>
      <c r="K469" s="3">
        <v>2</v>
      </c>
      <c r="L469" s="3">
        <v>0</v>
      </c>
      <c r="M469" s="3">
        <v>0</v>
      </c>
      <c r="N469" s="3">
        <v>2</v>
      </c>
      <c r="O469" s="3">
        <v>0</v>
      </c>
      <c r="P469" s="3">
        <v>0</v>
      </c>
      <c r="Q469" s="3">
        <v>0</v>
      </c>
      <c r="R469" s="3">
        <v>0</v>
      </c>
    </row>
    <row r="470" spans="1:18">
      <c r="A470" s="3" t="s">
        <v>336</v>
      </c>
      <c r="B470" s="3" t="s">
        <v>337</v>
      </c>
      <c r="C470" s="3" t="s">
        <v>338</v>
      </c>
      <c r="D470" s="3" t="s">
        <v>339</v>
      </c>
      <c r="E470" s="3" t="s">
        <v>340</v>
      </c>
      <c r="F470" s="3">
        <v>19.9</v>
      </c>
      <c r="G470" s="3" t="s">
        <v>2572</v>
      </c>
      <c r="H470" s="3"/>
      <c r="I470" s="3" t="s">
        <v>2573</v>
      </c>
      <c r="J470" s="3">
        <v>3</v>
      </c>
      <c r="K470" s="3">
        <v>3</v>
      </c>
      <c r="L470" s="3">
        <v>0</v>
      </c>
      <c r="M470" s="3">
        <v>0</v>
      </c>
      <c r="N470" s="3">
        <v>3</v>
      </c>
      <c r="O470" s="3">
        <v>0</v>
      </c>
      <c r="P470" s="3">
        <v>0</v>
      </c>
      <c r="Q470" s="3">
        <v>0</v>
      </c>
      <c r="R470" s="3">
        <v>0</v>
      </c>
    </row>
    <row r="471" spans="1:18">
      <c r="A471" s="3" t="s">
        <v>1645</v>
      </c>
      <c r="B471" s="3" t="s">
        <v>1646</v>
      </c>
      <c r="C471" s="3" t="s">
        <v>1647</v>
      </c>
      <c r="D471" s="3" t="s">
        <v>339</v>
      </c>
      <c r="E471" s="3" t="s">
        <v>340</v>
      </c>
      <c r="F471" s="3">
        <v>19.9</v>
      </c>
      <c r="G471" s="3" t="s">
        <v>2572</v>
      </c>
      <c r="H471" s="3"/>
      <c r="I471" s="3" t="s">
        <v>2573</v>
      </c>
      <c r="J471" s="3">
        <v>2</v>
      </c>
      <c r="K471" s="3">
        <v>2</v>
      </c>
      <c r="L471" s="3">
        <v>0</v>
      </c>
      <c r="M471" s="3">
        <v>0</v>
      </c>
      <c r="N471" s="3">
        <v>2</v>
      </c>
      <c r="O471" s="3">
        <v>0</v>
      </c>
      <c r="P471" s="3">
        <v>0</v>
      </c>
      <c r="Q471" s="3">
        <v>0</v>
      </c>
      <c r="R471" s="3">
        <v>0</v>
      </c>
    </row>
    <row r="472" spans="1:18">
      <c r="A472" s="3" t="s">
        <v>571</v>
      </c>
      <c r="B472" s="3" t="s">
        <v>572</v>
      </c>
      <c r="C472" s="3" t="s">
        <v>573</v>
      </c>
      <c r="D472" s="3" t="s">
        <v>463</v>
      </c>
      <c r="E472" s="3" t="s">
        <v>340</v>
      </c>
      <c r="F472" s="3">
        <v>19.99</v>
      </c>
      <c r="G472" s="3" t="s">
        <v>2572</v>
      </c>
      <c r="H472" s="3"/>
      <c r="I472" s="3" t="s">
        <v>2573</v>
      </c>
      <c r="J472" s="3">
        <v>1</v>
      </c>
      <c r="K472" s="3">
        <v>1</v>
      </c>
      <c r="L472" s="3">
        <v>0</v>
      </c>
      <c r="M472" s="3">
        <v>0</v>
      </c>
      <c r="N472" s="3">
        <v>1</v>
      </c>
      <c r="O472" s="3">
        <v>0.11</v>
      </c>
      <c r="P472" s="3">
        <v>0</v>
      </c>
      <c r="Q472" s="3">
        <v>0</v>
      </c>
      <c r="R472" s="3">
        <v>0</v>
      </c>
    </row>
    <row r="473" spans="1:18">
      <c r="A473" s="3" t="s">
        <v>460</v>
      </c>
      <c r="B473" s="3" t="s">
        <v>461</v>
      </c>
      <c r="C473" s="3" t="s">
        <v>462</v>
      </c>
      <c r="D473" s="3" t="s">
        <v>463</v>
      </c>
      <c r="E473" s="3" t="s">
        <v>340</v>
      </c>
      <c r="F473" s="3">
        <v>19.99</v>
      </c>
      <c r="G473" s="3" t="s">
        <v>2572</v>
      </c>
      <c r="H473" s="3"/>
      <c r="I473" s="3" t="s">
        <v>2573</v>
      </c>
      <c r="J473" s="3">
        <v>1</v>
      </c>
      <c r="K473" s="3">
        <v>1</v>
      </c>
      <c r="L473" s="3">
        <v>0</v>
      </c>
      <c r="M473" s="3">
        <v>0</v>
      </c>
      <c r="N473" s="3">
        <v>1</v>
      </c>
      <c r="O473" s="3">
        <v>0.11</v>
      </c>
      <c r="P473" s="3">
        <v>0</v>
      </c>
      <c r="Q473" s="3">
        <v>0</v>
      </c>
      <c r="R473" s="3">
        <v>0</v>
      </c>
    </row>
    <row r="474" spans="1:18">
      <c r="A474" s="3" t="s">
        <v>1553</v>
      </c>
      <c r="B474" s="3" t="s">
        <v>1554</v>
      </c>
      <c r="C474" s="3" t="s">
        <v>1555</v>
      </c>
      <c r="D474" s="3" t="s">
        <v>463</v>
      </c>
      <c r="E474" s="3" t="s">
        <v>340</v>
      </c>
      <c r="F474" s="3">
        <v>19.99</v>
      </c>
      <c r="G474" s="3" t="s">
        <v>2572</v>
      </c>
      <c r="H474" s="3"/>
      <c r="I474" s="3" t="s">
        <v>2573</v>
      </c>
      <c r="J474" s="3">
        <v>3</v>
      </c>
      <c r="K474" s="3">
        <v>3</v>
      </c>
      <c r="L474" s="3">
        <v>0</v>
      </c>
      <c r="M474" s="3">
        <v>0</v>
      </c>
      <c r="N474" s="3">
        <v>3</v>
      </c>
      <c r="O474" s="3">
        <v>0.11</v>
      </c>
      <c r="P474" s="3">
        <v>0</v>
      </c>
      <c r="Q474" s="3">
        <v>0</v>
      </c>
      <c r="R474" s="3">
        <v>0</v>
      </c>
    </row>
    <row r="475" spans="1:18">
      <c r="A475" s="3" t="s">
        <v>1283</v>
      </c>
      <c r="B475" s="3" t="s">
        <v>1284</v>
      </c>
      <c r="C475" s="3" t="s">
        <v>1285</v>
      </c>
      <c r="D475" s="3" t="s">
        <v>463</v>
      </c>
      <c r="E475" s="3" t="s">
        <v>340</v>
      </c>
      <c r="F475" s="3">
        <v>19.99</v>
      </c>
      <c r="G475" s="3" t="s">
        <v>2572</v>
      </c>
      <c r="H475" s="3"/>
      <c r="I475" s="3" t="s">
        <v>2573</v>
      </c>
      <c r="J475" s="3">
        <v>1</v>
      </c>
      <c r="K475" s="3">
        <v>1</v>
      </c>
      <c r="L475" s="3">
        <v>0</v>
      </c>
      <c r="M475" s="3">
        <v>0</v>
      </c>
      <c r="N475" s="3">
        <v>1</v>
      </c>
      <c r="O475" s="3">
        <v>0.11</v>
      </c>
      <c r="P475" s="3">
        <v>0</v>
      </c>
      <c r="Q475" s="3">
        <v>0</v>
      </c>
      <c r="R475" s="3">
        <v>0</v>
      </c>
    </row>
    <row r="476" spans="1:18">
      <c r="A476" s="3" t="s">
        <v>1689</v>
      </c>
      <c r="B476" s="3" t="s">
        <v>1690</v>
      </c>
      <c r="C476" s="3" t="s">
        <v>1691</v>
      </c>
      <c r="D476" s="3" t="s">
        <v>463</v>
      </c>
      <c r="E476" s="3" t="s">
        <v>340</v>
      </c>
      <c r="F476" s="3">
        <v>19.99</v>
      </c>
      <c r="G476" s="3" t="s">
        <v>2572</v>
      </c>
      <c r="H476" s="3"/>
      <c r="I476" s="3" t="s">
        <v>2573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0.11</v>
      </c>
      <c r="P476" s="3">
        <v>0</v>
      </c>
      <c r="Q476" s="3">
        <v>0</v>
      </c>
      <c r="R476" s="3">
        <v>0</v>
      </c>
    </row>
    <row r="477" spans="1:18">
      <c r="A477" s="3" t="s">
        <v>2927</v>
      </c>
      <c r="B477" s="3" t="s">
        <v>2928</v>
      </c>
      <c r="C477" s="3" t="s">
        <v>2929</v>
      </c>
      <c r="D477" s="3" t="s">
        <v>463</v>
      </c>
      <c r="E477" s="3" t="s">
        <v>340</v>
      </c>
      <c r="F477" s="3">
        <v>19.99</v>
      </c>
      <c r="G477" s="3" t="s">
        <v>2572</v>
      </c>
      <c r="H477" s="3"/>
      <c r="I477" s="3" t="s">
        <v>2573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0.11</v>
      </c>
      <c r="P477" s="3">
        <v>0</v>
      </c>
      <c r="Q477" s="3">
        <v>0</v>
      </c>
      <c r="R477" s="3">
        <v>0</v>
      </c>
    </row>
    <row r="478" spans="1:18">
      <c r="A478" s="3" t="s">
        <v>2930</v>
      </c>
      <c r="B478" s="3" t="s">
        <v>2931</v>
      </c>
      <c r="C478" s="3" t="s">
        <v>2932</v>
      </c>
      <c r="D478" s="3" t="s">
        <v>463</v>
      </c>
      <c r="E478" s="3" t="s">
        <v>340</v>
      </c>
      <c r="F478" s="3">
        <v>19.99</v>
      </c>
      <c r="G478" s="3" t="s">
        <v>2572</v>
      </c>
      <c r="H478" s="3"/>
      <c r="I478" s="3" t="s">
        <v>2573</v>
      </c>
      <c r="J478" s="3">
        <v>1</v>
      </c>
      <c r="K478" s="3">
        <v>0</v>
      </c>
      <c r="L478" s="3">
        <v>1</v>
      </c>
      <c r="M478" s="3">
        <v>0</v>
      </c>
      <c r="N478" s="3">
        <v>1</v>
      </c>
      <c r="O478" s="3">
        <v>0.11</v>
      </c>
      <c r="P478" s="3">
        <v>0</v>
      </c>
      <c r="Q478" s="3">
        <v>0</v>
      </c>
      <c r="R478" s="3">
        <v>0</v>
      </c>
    </row>
    <row r="479" spans="1:18">
      <c r="A479" s="3" t="s">
        <v>2385</v>
      </c>
      <c r="B479" s="3" t="s">
        <v>2386</v>
      </c>
      <c r="C479" s="3" t="s">
        <v>2387</v>
      </c>
      <c r="D479" s="3" t="s">
        <v>835</v>
      </c>
      <c r="E479" s="3" t="s">
        <v>340</v>
      </c>
      <c r="F479" s="3">
        <v>19.9</v>
      </c>
      <c r="G479" s="3" t="s">
        <v>2572</v>
      </c>
      <c r="H479" s="3"/>
      <c r="I479" s="3" t="s">
        <v>2573</v>
      </c>
      <c r="J479" s="3">
        <v>1</v>
      </c>
      <c r="K479" s="3">
        <v>1</v>
      </c>
      <c r="L479" s="3">
        <v>0</v>
      </c>
      <c r="M479" s="3">
        <v>0</v>
      </c>
      <c r="N479" s="3">
        <v>1</v>
      </c>
      <c r="O479" s="3">
        <v>0.08</v>
      </c>
      <c r="P479" s="3">
        <v>0</v>
      </c>
      <c r="Q479" s="3">
        <v>0</v>
      </c>
      <c r="R479" s="3">
        <v>0</v>
      </c>
    </row>
    <row r="480" spans="1:18">
      <c r="A480" s="3" t="s">
        <v>2933</v>
      </c>
      <c r="B480" s="3" t="s">
        <v>2934</v>
      </c>
      <c r="C480" s="3" t="s">
        <v>2935</v>
      </c>
      <c r="D480" s="3"/>
      <c r="E480" s="3" t="s">
        <v>2823</v>
      </c>
      <c r="F480" s="3"/>
      <c r="G480" s="3"/>
      <c r="H480" s="3"/>
      <c r="I480" s="3"/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/>
      <c r="P480" s="3">
        <v>0</v>
      </c>
      <c r="Q480" s="3">
        <v>0</v>
      </c>
      <c r="R480" s="3">
        <v>0</v>
      </c>
    </row>
    <row r="481" spans="1:18">
      <c r="A481" s="3" t="s">
        <v>832</v>
      </c>
      <c r="B481" s="3" t="s">
        <v>833</v>
      </c>
      <c r="C481" s="3" t="s">
        <v>834</v>
      </c>
      <c r="D481" s="3" t="s">
        <v>835</v>
      </c>
      <c r="E481" s="3" t="s">
        <v>340</v>
      </c>
      <c r="F481" s="3">
        <v>19.9</v>
      </c>
      <c r="G481" s="3" t="s">
        <v>2572</v>
      </c>
      <c r="H481" s="3"/>
      <c r="I481" s="3" t="s">
        <v>2573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0.08</v>
      </c>
      <c r="P481" s="3">
        <v>0</v>
      </c>
      <c r="Q481" s="3">
        <v>0</v>
      </c>
      <c r="R481" s="3">
        <v>0</v>
      </c>
    </row>
    <row r="482" spans="1:18">
      <c r="A482" s="3" t="s">
        <v>522</v>
      </c>
      <c r="B482" s="3" t="s">
        <v>523</v>
      </c>
      <c r="C482" s="3" t="s">
        <v>524</v>
      </c>
      <c r="D482" s="3" t="s">
        <v>525</v>
      </c>
      <c r="E482" s="3" t="s">
        <v>340</v>
      </c>
      <c r="F482" s="3">
        <v>32.99</v>
      </c>
      <c r="G482" s="3" t="s">
        <v>2572</v>
      </c>
      <c r="H482" s="3"/>
      <c r="I482" s="3" t="s">
        <v>2573</v>
      </c>
      <c r="J482" s="3">
        <v>3</v>
      </c>
      <c r="K482" s="3">
        <v>3</v>
      </c>
      <c r="L482" s="3">
        <v>0</v>
      </c>
      <c r="M482" s="3">
        <v>0</v>
      </c>
      <c r="N482" s="3">
        <v>3</v>
      </c>
      <c r="O482" s="3">
        <v>0.09</v>
      </c>
      <c r="P482" s="3">
        <v>0</v>
      </c>
      <c r="Q482" s="3">
        <v>0</v>
      </c>
      <c r="R482" s="3">
        <v>0</v>
      </c>
    </row>
    <row r="483" spans="1:18">
      <c r="A483" s="3" t="s">
        <v>1799</v>
      </c>
      <c r="B483" s="3" t="s">
        <v>1800</v>
      </c>
      <c r="C483" s="3" t="s">
        <v>1801</v>
      </c>
      <c r="D483" s="3" t="s">
        <v>525</v>
      </c>
      <c r="E483" s="3" t="s">
        <v>340</v>
      </c>
      <c r="F483" s="3">
        <v>32.99</v>
      </c>
      <c r="G483" s="3" t="s">
        <v>2572</v>
      </c>
      <c r="H483" s="3"/>
      <c r="I483" s="3" t="s">
        <v>2573</v>
      </c>
      <c r="J483" s="3">
        <v>3</v>
      </c>
      <c r="K483" s="3">
        <v>3</v>
      </c>
      <c r="L483" s="3">
        <v>0</v>
      </c>
      <c r="M483" s="3">
        <v>0</v>
      </c>
      <c r="N483" s="3">
        <v>3</v>
      </c>
      <c r="O483" s="3">
        <v>0.09</v>
      </c>
      <c r="P483" s="3">
        <v>0</v>
      </c>
      <c r="Q483" s="3">
        <v>0</v>
      </c>
      <c r="R483" s="3">
        <v>0</v>
      </c>
    </row>
    <row r="484" spans="1:18">
      <c r="A484" s="3" t="s">
        <v>936</v>
      </c>
      <c r="B484" s="3" t="s">
        <v>937</v>
      </c>
      <c r="C484" s="3" t="s">
        <v>938</v>
      </c>
      <c r="D484" s="3" t="s">
        <v>525</v>
      </c>
      <c r="E484" s="3" t="s">
        <v>340</v>
      </c>
      <c r="F484" s="3">
        <v>32.99</v>
      </c>
      <c r="G484" s="3" t="s">
        <v>2572</v>
      </c>
      <c r="H484" s="3"/>
      <c r="I484" s="3" t="s">
        <v>2573</v>
      </c>
      <c r="J484" s="3">
        <v>4</v>
      </c>
      <c r="K484" s="3">
        <v>4</v>
      </c>
      <c r="L484" s="3">
        <v>0</v>
      </c>
      <c r="M484" s="3">
        <v>0</v>
      </c>
      <c r="N484" s="3">
        <v>4</v>
      </c>
      <c r="O484" s="3">
        <v>0.09</v>
      </c>
      <c r="P484" s="3">
        <v>0</v>
      </c>
      <c r="Q484" s="3">
        <v>0</v>
      </c>
      <c r="R484" s="3">
        <v>0</v>
      </c>
    </row>
    <row r="485" spans="1:18">
      <c r="A485" s="3" t="s">
        <v>2474</v>
      </c>
      <c r="B485" s="3" t="s">
        <v>2475</v>
      </c>
      <c r="C485" s="3" t="s">
        <v>2476</v>
      </c>
      <c r="D485" s="3" t="s">
        <v>525</v>
      </c>
      <c r="E485" s="3" t="s">
        <v>340</v>
      </c>
      <c r="F485" s="3">
        <v>32.99</v>
      </c>
      <c r="G485" s="3" t="s">
        <v>2572</v>
      </c>
      <c r="H485" s="3"/>
      <c r="I485" s="3" t="s">
        <v>2573</v>
      </c>
      <c r="J485" s="3">
        <v>1</v>
      </c>
      <c r="K485" s="3">
        <v>1</v>
      </c>
      <c r="L485" s="3">
        <v>0</v>
      </c>
      <c r="M485" s="3">
        <v>0</v>
      </c>
      <c r="N485" s="3">
        <v>1</v>
      </c>
      <c r="O485" s="3">
        <v>0.09</v>
      </c>
      <c r="P485" s="3">
        <v>0</v>
      </c>
      <c r="Q485" s="3">
        <v>0</v>
      </c>
      <c r="R485" s="3">
        <v>0</v>
      </c>
    </row>
    <row r="486" spans="1:18">
      <c r="A486" s="3" t="s">
        <v>1394</v>
      </c>
      <c r="B486" s="3" t="s">
        <v>1395</v>
      </c>
      <c r="C486" s="3" t="s">
        <v>1396</v>
      </c>
      <c r="D486" s="3" t="s">
        <v>525</v>
      </c>
      <c r="E486" s="3" t="s">
        <v>340</v>
      </c>
      <c r="F486" s="3">
        <v>32.99</v>
      </c>
      <c r="G486" s="3" t="s">
        <v>2572</v>
      </c>
      <c r="H486" s="3"/>
      <c r="I486" s="3" t="s">
        <v>2573</v>
      </c>
      <c r="J486" s="3">
        <v>1</v>
      </c>
      <c r="K486" s="3">
        <v>1</v>
      </c>
      <c r="L486" s="3">
        <v>0</v>
      </c>
      <c r="M486" s="3">
        <v>0</v>
      </c>
      <c r="N486" s="3">
        <v>1</v>
      </c>
      <c r="O486" s="3">
        <v>0.09</v>
      </c>
      <c r="P486" s="3">
        <v>0</v>
      </c>
      <c r="Q486" s="3">
        <v>0</v>
      </c>
      <c r="R486" s="3">
        <v>0</v>
      </c>
    </row>
    <row r="487" spans="1:18">
      <c r="A487" s="3" t="s">
        <v>2135</v>
      </c>
      <c r="B487" s="3" t="s">
        <v>2136</v>
      </c>
      <c r="C487" s="3" t="s">
        <v>2137</v>
      </c>
      <c r="D487" s="3" t="s">
        <v>525</v>
      </c>
      <c r="E487" s="3" t="s">
        <v>340</v>
      </c>
      <c r="F487" s="3">
        <v>32.99</v>
      </c>
      <c r="G487" s="3" t="s">
        <v>2572</v>
      </c>
      <c r="H487" s="3"/>
      <c r="I487" s="3" t="s">
        <v>2573</v>
      </c>
      <c r="J487" s="3">
        <v>6</v>
      </c>
      <c r="K487" s="3">
        <v>6</v>
      </c>
      <c r="L487" s="3">
        <v>0</v>
      </c>
      <c r="M487" s="3">
        <v>0</v>
      </c>
      <c r="N487" s="3">
        <v>6</v>
      </c>
      <c r="O487" s="3">
        <v>0.09</v>
      </c>
      <c r="P487" s="3">
        <v>0</v>
      </c>
      <c r="Q487" s="3">
        <v>0</v>
      </c>
      <c r="R487" s="3">
        <v>0</v>
      </c>
    </row>
    <row r="488" spans="1:18">
      <c r="A488" s="3" t="s">
        <v>1497</v>
      </c>
      <c r="B488" s="3" t="s">
        <v>1498</v>
      </c>
      <c r="C488" s="3" t="s">
        <v>1499</v>
      </c>
      <c r="D488" s="3" t="s">
        <v>525</v>
      </c>
      <c r="E488" s="3" t="s">
        <v>340</v>
      </c>
      <c r="F488" s="3">
        <v>32.99</v>
      </c>
      <c r="G488" s="3" t="s">
        <v>2572</v>
      </c>
      <c r="H488" s="3"/>
      <c r="I488" s="3" t="s">
        <v>2573</v>
      </c>
      <c r="J488" s="3">
        <v>4</v>
      </c>
      <c r="K488" s="3">
        <v>4</v>
      </c>
      <c r="L488" s="3">
        <v>0</v>
      </c>
      <c r="M488" s="3">
        <v>0</v>
      </c>
      <c r="N488" s="3">
        <v>4</v>
      </c>
      <c r="O488" s="3">
        <v>0.09</v>
      </c>
      <c r="P488" s="3">
        <v>0</v>
      </c>
      <c r="Q488" s="3">
        <v>0</v>
      </c>
      <c r="R488" s="3">
        <v>0</v>
      </c>
    </row>
    <row r="489" spans="1:18">
      <c r="A489" s="3" t="s">
        <v>2418</v>
      </c>
      <c r="B489" s="3" t="s">
        <v>2419</v>
      </c>
      <c r="C489" s="3" t="s">
        <v>2420</v>
      </c>
      <c r="D489" s="3" t="s">
        <v>525</v>
      </c>
      <c r="E489" s="3" t="s">
        <v>340</v>
      </c>
      <c r="F489" s="3">
        <v>32.99</v>
      </c>
      <c r="G489" s="3" t="s">
        <v>2572</v>
      </c>
      <c r="H489" s="3"/>
      <c r="I489" s="3" t="s">
        <v>2573</v>
      </c>
      <c r="J489" s="3">
        <v>5</v>
      </c>
      <c r="K489" s="3">
        <v>5</v>
      </c>
      <c r="L489" s="3">
        <v>0</v>
      </c>
      <c r="M489" s="3">
        <v>0</v>
      </c>
      <c r="N489" s="3">
        <v>5</v>
      </c>
      <c r="O489" s="3">
        <v>0.09</v>
      </c>
      <c r="P489" s="3">
        <v>0</v>
      </c>
      <c r="Q489" s="3">
        <v>0</v>
      </c>
      <c r="R489" s="3">
        <v>0</v>
      </c>
    </row>
    <row r="490" spans="1:18">
      <c r="A490" s="3" t="s">
        <v>1128</v>
      </c>
      <c r="B490" s="3" t="s">
        <v>1129</v>
      </c>
      <c r="C490" s="3" t="s">
        <v>1130</v>
      </c>
      <c r="D490" s="3" t="s">
        <v>1131</v>
      </c>
      <c r="E490" s="3" t="s">
        <v>340</v>
      </c>
      <c r="F490" s="3">
        <v>19.9</v>
      </c>
      <c r="G490" s="3" t="s">
        <v>2572</v>
      </c>
      <c r="H490" s="3"/>
      <c r="I490" s="3" t="s">
        <v>2573</v>
      </c>
      <c r="J490" s="3">
        <v>3</v>
      </c>
      <c r="K490" s="3">
        <v>3</v>
      </c>
      <c r="L490" s="3">
        <v>0</v>
      </c>
      <c r="M490" s="3">
        <v>0</v>
      </c>
      <c r="N490" s="3">
        <v>3</v>
      </c>
      <c r="O490" s="3">
        <v>0.03</v>
      </c>
      <c r="P490" s="3">
        <v>0</v>
      </c>
      <c r="Q490" s="3">
        <v>0</v>
      </c>
      <c r="R490" s="3">
        <v>0</v>
      </c>
    </row>
    <row r="491" spans="1:18">
      <c r="A491" s="3" t="s">
        <v>1686</v>
      </c>
      <c r="B491" s="3" t="s">
        <v>1687</v>
      </c>
      <c r="C491" s="3" t="s">
        <v>1688</v>
      </c>
      <c r="D491" s="3" t="s">
        <v>1131</v>
      </c>
      <c r="E491" s="3" t="s">
        <v>340</v>
      </c>
      <c r="F491" s="3">
        <v>19.9</v>
      </c>
      <c r="G491" s="3" t="s">
        <v>2572</v>
      </c>
      <c r="H491" s="3"/>
      <c r="I491" s="3" t="s">
        <v>2573</v>
      </c>
      <c r="J491" s="3">
        <v>2</v>
      </c>
      <c r="K491" s="3">
        <v>2</v>
      </c>
      <c r="L491" s="3">
        <v>0</v>
      </c>
      <c r="M491" s="3">
        <v>0</v>
      </c>
      <c r="N491" s="3">
        <v>2</v>
      </c>
      <c r="O491" s="3">
        <v>0.03</v>
      </c>
      <c r="P491" s="3">
        <v>0</v>
      </c>
      <c r="Q491" s="3">
        <v>0</v>
      </c>
      <c r="R491" s="3">
        <v>0</v>
      </c>
    </row>
    <row r="492" spans="1:18">
      <c r="A492" s="3" t="s">
        <v>988</v>
      </c>
      <c r="B492" s="3" t="s">
        <v>989</v>
      </c>
      <c r="C492" s="3" t="s">
        <v>990</v>
      </c>
      <c r="D492" s="3" t="s">
        <v>991</v>
      </c>
      <c r="E492" s="3" t="s">
        <v>340</v>
      </c>
      <c r="F492" s="3">
        <v>29.99</v>
      </c>
      <c r="G492" s="3" t="s">
        <v>2572</v>
      </c>
      <c r="H492" s="3"/>
      <c r="I492" s="3" t="s">
        <v>2573</v>
      </c>
      <c r="J492" s="3">
        <v>2</v>
      </c>
      <c r="K492" s="3">
        <v>2</v>
      </c>
      <c r="L492" s="3">
        <v>0</v>
      </c>
      <c r="M492" s="3">
        <v>0</v>
      </c>
      <c r="N492" s="3">
        <v>2</v>
      </c>
      <c r="O492" s="3">
        <v>0.05</v>
      </c>
      <c r="P492" s="3">
        <v>0</v>
      </c>
      <c r="Q492" s="3">
        <v>0</v>
      </c>
      <c r="R492" s="3">
        <v>0</v>
      </c>
    </row>
    <row r="493" spans="1:18">
      <c r="A493" s="3" t="s">
        <v>2388</v>
      </c>
      <c r="B493" s="3" t="s">
        <v>2389</v>
      </c>
      <c r="C493" s="3" t="s">
        <v>2390</v>
      </c>
      <c r="D493" s="3" t="s">
        <v>991</v>
      </c>
      <c r="E493" s="3" t="s">
        <v>340</v>
      </c>
      <c r="F493" s="3">
        <v>29.99</v>
      </c>
      <c r="G493" s="3" t="s">
        <v>2572</v>
      </c>
      <c r="H493" s="3"/>
      <c r="I493" s="3" t="s">
        <v>2573</v>
      </c>
      <c r="J493" s="3">
        <v>15</v>
      </c>
      <c r="K493" s="3">
        <v>14</v>
      </c>
      <c r="L493" s="3">
        <v>1</v>
      </c>
      <c r="M493" s="3">
        <v>0</v>
      </c>
      <c r="N493" s="3">
        <v>15</v>
      </c>
      <c r="O493" s="3">
        <v>0.06</v>
      </c>
      <c r="P493" s="3">
        <v>0</v>
      </c>
      <c r="Q493" s="3">
        <v>0</v>
      </c>
      <c r="R493" s="3">
        <v>0</v>
      </c>
    </row>
    <row r="494" spans="1:18">
      <c r="A494" s="3" t="s">
        <v>2936</v>
      </c>
      <c r="B494" s="3" t="s">
        <v>2937</v>
      </c>
      <c r="C494" s="3" t="s">
        <v>2938</v>
      </c>
      <c r="D494" s="3" t="s">
        <v>115</v>
      </c>
      <c r="E494" s="3" t="s">
        <v>340</v>
      </c>
      <c r="F494" s="3">
        <v>16.99</v>
      </c>
      <c r="G494" s="3" t="s">
        <v>2572</v>
      </c>
      <c r="H494" s="3"/>
      <c r="I494" s="3" t="s">
        <v>2573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0.06</v>
      </c>
      <c r="P494" s="3">
        <v>0</v>
      </c>
      <c r="Q494" s="3">
        <v>0</v>
      </c>
      <c r="R494" s="3">
        <v>0</v>
      </c>
    </row>
    <row r="495" spans="1:18">
      <c r="A495" s="3" t="s">
        <v>2939</v>
      </c>
      <c r="B495" s="3" t="s">
        <v>2940</v>
      </c>
      <c r="C495" s="3" t="s">
        <v>2941</v>
      </c>
      <c r="D495" s="3" t="s">
        <v>115</v>
      </c>
      <c r="E495" s="3" t="s">
        <v>340</v>
      </c>
      <c r="F495" s="3">
        <v>20.99</v>
      </c>
      <c r="G495" s="3" t="s">
        <v>2572</v>
      </c>
      <c r="H495" s="3"/>
      <c r="I495" s="3" t="s">
        <v>2573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0.06</v>
      </c>
      <c r="P495" s="3">
        <v>0</v>
      </c>
      <c r="Q495" s="3">
        <v>0</v>
      </c>
      <c r="R495" s="3">
        <v>0</v>
      </c>
    </row>
    <row r="496" spans="1:18">
      <c r="A496" s="3" t="s">
        <v>2480</v>
      </c>
      <c r="B496" s="3" t="s">
        <v>2481</v>
      </c>
      <c r="C496" s="3" t="s">
        <v>2482</v>
      </c>
      <c r="D496" s="3" t="s">
        <v>115</v>
      </c>
      <c r="E496" s="3" t="s">
        <v>340</v>
      </c>
      <c r="F496" s="3">
        <v>16.99</v>
      </c>
      <c r="G496" s="3" t="s">
        <v>2572</v>
      </c>
      <c r="H496" s="3"/>
      <c r="I496" s="3" t="s">
        <v>2573</v>
      </c>
      <c r="J496" s="3">
        <v>7</v>
      </c>
      <c r="K496" s="3">
        <v>6</v>
      </c>
      <c r="L496" s="3">
        <v>1</v>
      </c>
      <c r="M496" s="3">
        <v>0</v>
      </c>
      <c r="N496" s="3">
        <v>7</v>
      </c>
      <c r="O496" s="3">
        <v>0.06</v>
      </c>
      <c r="P496" s="3">
        <v>0</v>
      </c>
      <c r="Q496" s="3">
        <v>0</v>
      </c>
      <c r="R496" s="3">
        <v>0</v>
      </c>
    </row>
    <row r="497" spans="1:18">
      <c r="A497" s="3" t="s">
        <v>1824</v>
      </c>
      <c r="B497" s="3" t="s">
        <v>1825</v>
      </c>
      <c r="C497" s="3" t="s">
        <v>1826</v>
      </c>
      <c r="D497" s="3" t="s">
        <v>1827</v>
      </c>
      <c r="E497" s="3" t="s">
        <v>340</v>
      </c>
      <c r="F497" s="3">
        <v>16.99</v>
      </c>
      <c r="G497" s="3" t="s">
        <v>2572</v>
      </c>
      <c r="H497" s="3"/>
      <c r="I497" s="3" t="s">
        <v>2573</v>
      </c>
      <c r="J497" s="3">
        <v>46</v>
      </c>
      <c r="K497" s="3">
        <v>43</v>
      </c>
      <c r="L497" s="3">
        <v>3</v>
      </c>
      <c r="M497" s="3">
        <v>0</v>
      </c>
      <c r="N497" s="3">
        <v>46</v>
      </c>
      <c r="O497" s="3">
        <v>0.06</v>
      </c>
      <c r="P497" s="3">
        <v>0</v>
      </c>
      <c r="Q497" s="3">
        <v>0</v>
      </c>
      <c r="R497" s="3">
        <v>0</v>
      </c>
    </row>
    <row r="498" spans="1:18">
      <c r="A498" s="3" t="s">
        <v>1931</v>
      </c>
      <c r="B498" s="3" t="s">
        <v>1932</v>
      </c>
      <c r="C498" s="3" t="s">
        <v>1933</v>
      </c>
      <c r="D498" s="3" t="s">
        <v>115</v>
      </c>
      <c r="E498" s="3" t="s">
        <v>340</v>
      </c>
      <c r="F498" s="3">
        <v>16.99</v>
      </c>
      <c r="G498" s="3" t="s">
        <v>2572</v>
      </c>
      <c r="H498" s="3"/>
      <c r="I498" s="3" t="s">
        <v>2573</v>
      </c>
      <c r="J498" s="3">
        <v>22</v>
      </c>
      <c r="K498" s="3">
        <v>21</v>
      </c>
      <c r="L498" s="3">
        <v>1</v>
      </c>
      <c r="M498" s="3">
        <v>0</v>
      </c>
      <c r="N498" s="3">
        <v>22</v>
      </c>
      <c r="O498" s="3">
        <v>0.06</v>
      </c>
      <c r="P498" s="3">
        <v>0</v>
      </c>
      <c r="Q498" s="3">
        <v>0</v>
      </c>
      <c r="R498" s="3">
        <v>0</v>
      </c>
    </row>
    <row r="499" spans="1:18">
      <c r="A499" s="3" t="s">
        <v>2942</v>
      </c>
      <c r="B499" s="3" t="s">
        <v>2943</v>
      </c>
      <c r="C499" s="3" t="s">
        <v>2944</v>
      </c>
      <c r="D499" s="3" t="s">
        <v>115</v>
      </c>
      <c r="E499" s="3" t="s">
        <v>340</v>
      </c>
      <c r="F499" s="3">
        <v>16.99</v>
      </c>
      <c r="G499" s="3" t="s">
        <v>2572</v>
      </c>
      <c r="H499" s="3"/>
      <c r="I499" s="3" t="s">
        <v>2573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0.06</v>
      </c>
      <c r="P499" s="3">
        <v>0</v>
      </c>
      <c r="Q499" s="3">
        <v>0</v>
      </c>
      <c r="R499" s="3">
        <v>0</v>
      </c>
    </row>
    <row r="500" spans="1:18">
      <c r="A500" s="3" t="s">
        <v>112</v>
      </c>
      <c r="B500" s="3" t="s">
        <v>113</v>
      </c>
      <c r="C500" s="3" t="s">
        <v>114</v>
      </c>
      <c r="D500" s="3" t="s">
        <v>115</v>
      </c>
      <c r="E500" s="3" t="s">
        <v>340</v>
      </c>
      <c r="F500" s="3">
        <v>16.99</v>
      </c>
      <c r="G500" s="3" t="s">
        <v>2572</v>
      </c>
      <c r="H500" s="3"/>
      <c r="I500" s="3" t="s">
        <v>2573</v>
      </c>
      <c r="J500" s="3">
        <v>32</v>
      </c>
      <c r="K500" s="3">
        <v>30</v>
      </c>
      <c r="L500" s="3">
        <v>1</v>
      </c>
      <c r="M500" s="3">
        <v>1</v>
      </c>
      <c r="N500" s="3">
        <v>32</v>
      </c>
      <c r="O500" s="3">
        <v>0.06</v>
      </c>
      <c r="P500" s="3">
        <v>0</v>
      </c>
      <c r="Q500" s="3">
        <v>0</v>
      </c>
      <c r="R500" s="3">
        <v>0</v>
      </c>
    </row>
    <row r="501" spans="1:18">
      <c r="A501" s="3" t="s">
        <v>1755</v>
      </c>
      <c r="B501" s="3" t="s">
        <v>1756</v>
      </c>
      <c r="C501" s="3" t="s">
        <v>1757</v>
      </c>
      <c r="D501" s="3" t="s">
        <v>732</v>
      </c>
      <c r="E501" s="3" t="s">
        <v>340</v>
      </c>
      <c r="F501" s="3">
        <v>29.99</v>
      </c>
      <c r="G501" s="3" t="s">
        <v>2572</v>
      </c>
      <c r="H501" s="3"/>
      <c r="I501" s="3" t="s">
        <v>2573</v>
      </c>
      <c r="J501" s="3">
        <v>2</v>
      </c>
      <c r="K501" s="3">
        <v>2</v>
      </c>
      <c r="L501" s="3">
        <v>0</v>
      </c>
      <c r="M501" s="3">
        <v>0</v>
      </c>
      <c r="N501" s="3">
        <v>2</v>
      </c>
      <c r="O501" s="3">
        <v>0.04</v>
      </c>
      <c r="P501" s="3">
        <v>0</v>
      </c>
      <c r="Q501" s="3">
        <v>0</v>
      </c>
      <c r="R501" s="3">
        <v>0</v>
      </c>
    </row>
    <row r="502" spans="1:18">
      <c r="A502" s="3" t="s">
        <v>729</v>
      </c>
      <c r="B502" s="3" t="s">
        <v>730</v>
      </c>
      <c r="C502" s="3" t="s">
        <v>731</v>
      </c>
      <c r="D502" s="3" t="s">
        <v>732</v>
      </c>
      <c r="E502" s="3" t="s">
        <v>340</v>
      </c>
      <c r="F502" s="3">
        <v>29.99</v>
      </c>
      <c r="G502" s="3" t="s">
        <v>2572</v>
      </c>
      <c r="H502" s="3"/>
      <c r="I502" s="3" t="s">
        <v>2573</v>
      </c>
      <c r="J502" s="3">
        <v>2</v>
      </c>
      <c r="K502" s="3">
        <v>2</v>
      </c>
      <c r="L502" s="3">
        <v>0</v>
      </c>
      <c r="M502" s="3">
        <v>0</v>
      </c>
      <c r="N502" s="3">
        <v>2</v>
      </c>
      <c r="O502" s="3">
        <v>0.04</v>
      </c>
      <c r="P502" s="3">
        <v>0</v>
      </c>
      <c r="Q502" s="3">
        <v>0</v>
      </c>
      <c r="R502" s="3">
        <v>0</v>
      </c>
    </row>
    <row r="503" spans="1:18">
      <c r="A503" s="3" t="s">
        <v>1648</v>
      </c>
      <c r="B503" s="3" t="s">
        <v>1649</v>
      </c>
      <c r="C503" s="3" t="s">
        <v>1650</v>
      </c>
      <c r="D503" s="3" t="s">
        <v>490</v>
      </c>
      <c r="E503" s="3" t="s">
        <v>340</v>
      </c>
      <c r="F503" s="3">
        <v>39.99</v>
      </c>
      <c r="G503" s="3" t="s">
        <v>2572</v>
      </c>
      <c r="H503" s="3"/>
      <c r="I503" s="3" t="s">
        <v>2573</v>
      </c>
      <c r="J503" s="3">
        <v>2</v>
      </c>
      <c r="K503" s="3">
        <v>2</v>
      </c>
      <c r="L503" s="3">
        <v>0</v>
      </c>
      <c r="M503" s="3">
        <v>0</v>
      </c>
      <c r="N503" s="3">
        <v>2</v>
      </c>
      <c r="O503" s="3">
        <v>0.06</v>
      </c>
      <c r="P503" s="3">
        <v>0</v>
      </c>
      <c r="Q503" s="3">
        <v>0</v>
      </c>
      <c r="R503" s="3">
        <v>0</v>
      </c>
    </row>
    <row r="504" spans="1:18">
      <c r="A504" s="3" t="s">
        <v>498</v>
      </c>
      <c r="B504" s="3" t="s">
        <v>499</v>
      </c>
      <c r="C504" s="3" t="s">
        <v>500</v>
      </c>
      <c r="D504" s="3" t="s">
        <v>490</v>
      </c>
      <c r="E504" s="3" t="s">
        <v>340</v>
      </c>
      <c r="F504" s="3">
        <v>39.99</v>
      </c>
      <c r="G504" s="3" t="s">
        <v>2572</v>
      </c>
      <c r="H504" s="3"/>
      <c r="I504" s="3" t="s">
        <v>2573</v>
      </c>
      <c r="J504" s="3">
        <v>1</v>
      </c>
      <c r="K504" s="3">
        <v>1</v>
      </c>
      <c r="L504" s="3">
        <v>0</v>
      </c>
      <c r="M504" s="3">
        <v>0</v>
      </c>
      <c r="N504" s="3">
        <v>1</v>
      </c>
      <c r="O504" s="3">
        <v>0.06</v>
      </c>
      <c r="P504" s="3">
        <v>0</v>
      </c>
      <c r="Q504" s="3">
        <v>0</v>
      </c>
      <c r="R504" s="3">
        <v>0</v>
      </c>
    </row>
    <row r="505" spans="1:18">
      <c r="A505" s="3" t="s">
        <v>755</v>
      </c>
      <c r="B505" s="3" t="s">
        <v>756</v>
      </c>
      <c r="C505" s="3" t="s">
        <v>757</v>
      </c>
      <c r="D505" s="3" t="s">
        <v>758</v>
      </c>
      <c r="E505" s="3" t="s">
        <v>340</v>
      </c>
      <c r="F505" s="3">
        <v>39.99</v>
      </c>
      <c r="G505" s="3" t="s">
        <v>2572</v>
      </c>
      <c r="H505" s="3"/>
      <c r="I505" s="3" t="s">
        <v>2573</v>
      </c>
      <c r="J505" s="3">
        <v>3</v>
      </c>
      <c r="K505" s="3">
        <v>3</v>
      </c>
      <c r="L505" s="3">
        <v>0</v>
      </c>
      <c r="M505" s="3">
        <v>0</v>
      </c>
      <c r="N505" s="3">
        <v>3</v>
      </c>
      <c r="O505" s="3">
        <v>0.06</v>
      </c>
      <c r="P505" s="3">
        <v>0</v>
      </c>
      <c r="Q505" s="3">
        <v>0</v>
      </c>
      <c r="R505" s="3">
        <v>0</v>
      </c>
    </row>
    <row r="506" spans="1:18">
      <c r="A506" s="3" t="s">
        <v>972</v>
      </c>
      <c r="B506" s="3" t="s">
        <v>973</v>
      </c>
      <c r="C506" s="3" t="s">
        <v>974</v>
      </c>
      <c r="D506" s="3" t="s">
        <v>490</v>
      </c>
      <c r="E506" s="3" t="s">
        <v>340</v>
      </c>
      <c r="F506" s="3">
        <v>39.99</v>
      </c>
      <c r="G506" s="3" t="s">
        <v>2572</v>
      </c>
      <c r="H506" s="3"/>
      <c r="I506" s="3" t="s">
        <v>2573</v>
      </c>
      <c r="J506" s="3">
        <v>4</v>
      </c>
      <c r="K506" s="3">
        <v>4</v>
      </c>
      <c r="L506" s="3">
        <v>0</v>
      </c>
      <c r="M506" s="3">
        <v>0</v>
      </c>
      <c r="N506" s="3">
        <v>4</v>
      </c>
      <c r="O506" s="3">
        <v>0.06</v>
      </c>
      <c r="P506" s="3">
        <v>0</v>
      </c>
      <c r="Q506" s="3">
        <v>0</v>
      </c>
      <c r="R506" s="3">
        <v>0</v>
      </c>
    </row>
    <row r="507" spans="1:18">
      <c r="A507" s="3" t="s">
        <v>2203</v>
      </c>
      <c r="B507" s="3" t="s">
        <v>2204</v>
      </c>
      <c r="C507" s="3" t="s">
        <v>2205</v>
      </c>
      <c r="D507" s="3" t="s">
        <v>490</v>
      </c>
      <c r="E507" s="3" t="s">
        <v>340</v>
      </c>
      <c r="F507" s="3">
        <v>39.99</v>
      </c>
      <c r="G507" s="3" t="s">
        <v>2572</v>
      </c>
      <c r="H507" s="3"/>
      <c r="I507" s="3" t="s">
        <v>2573</v>
      </c>
      <c r="J507" s="3">
        <v>3</v>
      </c>
      <c r="K507" s="3">
        <v>3</v>
      </c>
      <c r="L507" s="3">
        <v>0</v>
      </c>
      <c r="M507" s="3">
        <v>0</v>
      </c>
      <c r="N507" s="3">
        <v>3</v>
      </c>
      <c r="O507" s="3">
        <v>0.06</v>
      </c>
      <c r="P507" s="3">
        <v>0</v>
      </c>
      <c r="Q507" s="3">
        <v>0</v>
      </c>
      <c r="R507" s="3">
        <v>0</v>
      </c>
    </row>
    <row r="508" spans="1:18">
      <c r="A508" s="3" t="s">
        <v>506</v>
      </c>
      <c r="B508" s="3" t="s">
        <v>507</v>
      </c>
      <c r="C508" s="3" t="s">
        <v>508</v>
      </c>
      <c r="D508" s="3" t="s">
        <v>490</v>
      </c>
      <c r="E508" s="3" t="s">
        <v>340</v>
      </c>
      <c r="F508" s="3">
        <v>39.99</v>
      </c>
      <c r="G508" s="3" t="s">
        <v>2572</v>
      </c>
      <c r="H508" s="3"/>
      <c r="I508" s="3" t="s">
        <v>2573</v>
      </c>
      <c r="J508" s="3">
        <v>1</v>
      </c>
      <c r="K508" s="3">
        <v>1</v>
      </c>
      <c r="L508" s="3">
        <v>0</v>
      </c>
      <c r="M508" s="3">
        <v>0</v>
      </c>
      <c r="N508" s="3">
        <v>1</v>
      </c>
      <c r="O508" s="3">
        <v>0.06</v>
      </c>
      <c r="P508" s="3">
        <v>0</v>
      </c>
      <c r="Q508" s="3">
        <v>0</v>
      </c>
      <c r="R508" s="3">
        <v>0</v>
      </c>
    </row>
    <row r="509" spans="1:18">
      <c r="A509" s="3" t="s">
        <v>487</v>
      </c>
      <c r="B509" s="3" t="s">
        <v>488</v>
      </c>
      <c r="C509" s="3" t="s">
        <v>489</v>
      </c>
      <c r="D509" s="3" t="s">
        <v>490</v>
      </c>
      <c r="E509" s="3" t="s">
        <v>340</v>
      </c>
      <c r="F509" s="3">
        <v>39.99</v>
      </c>
      <c r="G509" s="3" t="s">
        <v>2572</v>
      </c>
      <c r="H509" s="3"/>
      <c r="I509" s="3" t="s">
        <v>2573</v>
      </c>
      <c r="J509" s="3">
        <v>2</v>
      </c>
      <c r="K509" s="3">
        <v>2</v>
      </c>
      <c r="L509" s="3">
        <v>0</v>
      </c>
      <c r="M509" s="3">
        <v>0</v>
      </c>
      <c r="N509" s="3">
        <v>2</v>
      </c>
      <c r="O509" s="3">
        <v>0.06</v>
      </c>
      <c r="P509" s="3">
        <v>0</v>
      </c>
      <c r="Q509" s="3">
        <v>0</v>
      </c>
      <c r="R509" s="3">
        <v>0</v>
      </c>
    </row>
    <row r="510" spans="1:18">
      <c r="A510" s="3" t="s">
        <v>2551</v>
      </c>
      <c r="B510" s="3" t="s">
        <v>2552</v>
      </c>
      <c r="C510" s="3" t="s">
        <v>2553</v>
      </c>
      <c r="D510" s="3" t="s">
        <v>490</v>
      </c>
      <c r="E510" s="3" t="s">
        <v>340</v>
      </c>
      <c r="F510" s="3">
        <v>39.99</v>
      </c>
      <c r="G510" s="3" t="s">
        <v>2572</v>
      </c>
      <c r="H510" s="3"/>
      <c r="I510" s="3" t="s">
        <v>2573</v>
      </c>
      <c r="J510" s="3">
        <v>1</v>
      </c>
      <c r="K510" s="3">
        <v>1</v>
      </c>
      <c r="L510" s="3">
        <v>0</v>
      </c>
      <c r="M510" s="3">
        <v>0</v>
      </c>
      <c r="N510" s="3">
        <v>1</v>
      </c>
      <c r="O510" s="3">
        <v>0.06</v>
      </c>
      <c r="P510" s="3">
        <v>0</v>
      </c>
      <c r="Q510" s="3">
        <v>0</v>
      </c>
      <c r="R510" s="3">
        <v>0</v>
      </c>
    </row>
    <row r="511" spans="1:18">
      <c r="A511" s="3" t="s">
        <v>2264</v>
      </c>
      <c r="B511" s="3" t="s">
        <v>2265</v>
      </c>
      <c r="C511" s="3" t="s">
        <v>2266</v>
      </c>
      <c r="D511" s="3" t="s">
        <v>490</v>
      </c>
      <c r="E511" s="3" t="s">
        <v>340</v>
      </c>
      <c r="F511" s="3">
        <v>39.99</v>
      </c>
      <c r="G511" s="3" t="s">
        <v>2572</v>
      </c>
      <c r="H511" s="3"/>
      <c r="I511" s="3" t="s">
        <v>2573</v>
      </c>
      <c r="J511" s="3">
        <v>3</v>
      </c>
      <c r="K511" s="3">
        <v>3</v>
      </c>
      <c r="L511" s="3">
        <v>0</v>
      </c>
      <c r="M511" s="3">
        <v>0</v>
      </c>
      <c r="N511" s="3">
        <v>3</v>
      </c>
      <c r="O511" s="3">
        <v>0.06</v>
      </c>
      <c r="P511" s="3">
        <v>0</v>
      </c>
      <c r="Q511" s="3">
        <v>0</v>
      </c>
      <c r="R511" s="3">
        <v>0</v>
      </c>
    </row>
    <row r="512" spans="1:18">
      <c r="A512" s="3" t="s">
        <v>795</v>
      </c>
      <c r="B512" s="3" t="s">
        <v>796</v>
      </c>
      <c r="C512" s="3" t="s">
        <v>797</v>
      </c>
      <c r="D512" s="3" t="s">
        <v>490</v>
      </c>
      <c r="E512" s="3" t="s">
        <v>340</v>
      </c>
      <c r="F512" s="3">
        <v>39.99</v>
      </c>
      <c r="G512" s="3" t="s">
        <v>2572</v>
      </c>
      <c r="H512" s="3"/>
      <c r="I512" s="3" t="s">
        <v>2573</v>
      </c>
      <c r="J512" s="3">
        <v>3</v>
      </c>
      <c r="K512" s="3">
        <v>3</v>
      </c>
      <c r="L512" s="3">
        <v>0</v>
      </c>
      <c r="M512" s="3">
        <v>0</v>
      </c>
      <c r="N512" s="3">
        <v>3</v>
      </c>
      <c r="O512" s="3">
        <v>0.06</v>
      </c>
      <c r="P512" s="3">
        <v>0</v>
      </c>
      <c r="Q512" s="3">
        <v>0</v>
      </c>
      <c r="R512" s="3">
        <v>0</v>
      </c>
    </row>
    <row r="513" spans="1:18">
      <c r="A513" s="3" t="s">
        <v>1958</v>
      </c>
      <c r="B513" s="3" t="s">
        <v>1959</v>
      </c>
      <c r="C513" s="3" t="s">
        <v>1960</v>
      </c>
      <c r="D513" s="3" t="s">
        <v>490</v>
      </c>
      <c r="E513" s="3" t="s">
        <v>340</v>
      </c>
      <c r="F513" s="3">
        <v>39.99</v>
      </c>
      <c r="G513" s="3" t="s">
        <v>2572</v>
      </c>
      <c r="H513" s="3"/>
      <c r="I513" s="3" t="s">
        <v>2573</v>
      </c>
      <c r="J513" s="3">
        <v>1</v>
      </c>
      <c r="K513" s="3">
        <v>1</v>
      </c>
      <c r="L513" s="3">
        <v>0</v>
      </c>
      <c r="M513" s="3">
        <v>0</v>
      </c>
      <c r="N513" s="3">
        <v>1</v>
      </c>
      <c r="O513" s="3">
        <v>0.06</v>
      </c>
      <c r="P513" s="3">
        <v>0</v>
      </c>
      <c r="Q513" s="3">
        <v>0</v>
      </c>
      <c r="R513" s="3">
        <v>0</v>
      </c>
    </row>
    <row r="514" spans="1:18">
      <c r="A514" s="3" t="s">
        <v>1483</v>
      </c>
      <c r="B514" s="3" t="s">
        <v>1484</v>
      </c>
      <c r="C514" s="3" t="s">
        <v>1485</v>
      </c>
      <c r="D514" s="3" t="s">
        <v>490</v>
      </c>
      <c r="E514" s="3" t="s">
        <v>340</v>
      </c>
      <c r="F514" s="3">
        <v>39.99</v>
      </c>
      <c r="G514" s="3" t="s">
        <v>2572</v>
      </c>
      <c r="H514" s="3"/>
      <c r="I514" s="3" t="s">
        <v>2573</v>
      </c>
      <c r="J514" s="3">
        <v>2</v>
      </c>
      <c r="K514" s="3">
        <v>2</v>
      </c>
      <c r="L514" s="3">
        <v>0</v>
      </c>
      <c r="M514" s="3">
        <v>0</v>
      </c>
      <c r="N514" s="3">
        <v>2</v>
      </c>
      <c r="O514" s="3">
        <v>0.06</v>
      </c>
      <c r="P514" s="3">
        <v>0</v>
      </c>
      <c r="Q514" s="3">
        <v>0</v>
      </c>
      <c r="R514" s="3">
        <v>0</v>
      </c>
    </row>
    <row r="515" spans="1:18">
      <c r="A515" s="3" t="s">
        <v>1763</v>
      </c>
      <c r="B515" s="3" t="s">
        <v>1764</v>
      </c>
      <c r="C515" s="3" t="s">
        <v>1765</v>
      </c>
      <c r="D515" s="3" t="s">
        <v>490</v>
      </c>
      <c r="E515" s="3" t="s">
        <v>340</v>
      </c>
      <c r="F515" s="3">
        <v>39.99</v>
      </c>
      <c r="G515" s="3" t="s">
        <v>2572</v>
      </c>
      <c r="H515" s="3"/>
      <c r="I515" s="3" t="s">
        <v>2573</v>
      </c>
      <c r="J515" s="3">
        <v>3</v>
      </c>
      <c r="K515" s="3">
        <v>3</v>
      </c>
      <c r="L515" s="3">
        <v>0</v>
      </c>
      <c r="M515" s="3">
        <v>0</v>
      </c>
      <c r="N515" s="3">
        <v>3</v>
      </c>
      <c r="O515" s="3">
        <v>0.06</v>
      </c>
      <c r="P515" s="3">
        <v>0</v>
      </c>
      <c r="Q515" s="3">
        <v>0</v>
      </c>
      <c r="R515" s="3">
        <v>0</v>
      </c>
    </row>
    <row r="516" spans="1:18">
      <c r="A516" s="3" t="s">
        <v>1741</v>
      </c>
      <c r="B516" s="3" t="s">
        <v>1742</v>
      </c>
      <c r="C516" s="3" t="s">
        <v>1743</v>
      </c>
      <c r="D516" s="3" t="s">
        <v>490</v>
      </c>
      <c r="E516" s="3" t="s">
        <v>340</v>
      </c>
      <c r="F516" s="3">
        <v>39.99</v>
      </c>
      <c r="G516" s="3" t="s">
        <v>2572</v>
      </c>
      <c r="H516" s="3"/>
      <c r="I516" s="3" t="s">
        <v>2573</v>
      </c>
      <c r="J516" s="3">
        <v>2</v>
      </c>
      <c r="K516" s="3">
        <v>2</v>
      </c>
      <c r="L516" s="3">
        <v>0</v>
      </c>
      <c r="M516" s="3">
        <v>0</v>
      </c>
      <c r="N516" s="3">
        <v>2</v>
      </c>
      <c r="O516" s="3">
        <v>0.06</v>
      </c>
      <c r="P516" s="3">
        <v>0</v>
      </c>
      <c r="Q516" s="3">
        <v>0</v>
      </c>
      <c r="R516" s="3">
        <v>0</v>
      </c>
    </row>
    <row r="517" spans="1:18">
      <c r="A517" s="3" t="s">
        <v>584</v>
      </c>
      <c r="B517" s="3" t="s">
        <v>585</v>
      </c>
      <c r="C517" s="3" t="s">
        <v>586</v>
      </c>
      <c r="D517" s="3" t="s">
        <v>490</v>
      </c>
      <c r="E517" s="3" t="s">
        <v>340</v>
      </c>
      <c r="F517" s="3">
        <v>39.99</v>
      </c>
      <c r="G517" s="3" t="s">
        <v>2572</v>
      </c>
      <c r="H517" s="3"/>
      <c r="I517" s="3" t="s">
        <v>2573</v>
      </c>
      <c r="J517" s="3">
        <v>3</v>
      </c>
      <c r="K517" s="3">
        <v>3</v>
      </c>
      <c r="L517" s="3">
        <v>0</v>
      </c>
      <c r="M517" s="3">
        <v>0</v>
      </c>
      <c r="N517" s="3">
        <v>3</v>
      </c>
      <c r="O517" s="3">
        <v>0.06</v>
      </c>
      <c r="P517" s="3">
        <v>0</v>
      </c>
      <c r="Q517" s="3">
        <v>0</v>
      </c>
      <c r="R517" s="3">
        <v>0</v>
      </c>
    </row>
    <row r="518" spans="1:18">
      <c r="A518" s="3" t="s">
        <v>2309</v>
      </c>
      <c r="B518" s="3" t="s">
        <v>2310</v>
      </c>
      <c r="C518" s="3" t="s">
        <v>2311</v>
      </c>
      <c r="D518" s="3" t="s">
        <v>490</v>
      </c>
      <c r="E518" s="3" t="s">
        <v>340</v>
      </c>
      <c r="F518" s="3">
        <v>39.99</v>
      </c>
      <c r="G518" s="3" t="s">
        <v>2572</v>
      </c>
      <c r="H518" s="3"/>
      <c r="I518" s="3" t="s">
        <v>2573</v>
      </c>
      <c r="J518" s="3">
        <v>4</v>
      </c>
      <c r="K518" s="3">
        <v>4</v>
      </c>
      <c r="L518" s="3">
        <v>0</v>
      </c>
      <c r="M518" s="3">
        <v>0</v>
      </c>
      <c r="N518" s="3">
        <v>4</v>
      </c>
      <c r="O518" s="3">
        <v>0.06</v>
      </c>
      <c r="P518" s="3">
        <v>0</v>
      </c>
      <c r="Q518" s="3">
        <v>0</v>
      </c>
      <c r="R518" s="3">
        <v>0</v>
      </c>
    </row>
    <row r="519" spans="1:18">
      <c r="A519" s="3" t="s">
        <v>2090</v>
      </c>
      <c r="B519" s="3" t="s">
        <v>2091</v>
      </c>
      <c r="C519" s="3" t="s">
        <v>2092</v>
      </c>
      <c r="D519" s="3" t="s">
        <v>490</v>
      </c>
      <c r="E519" s="3" t="s">
        <v>340</v>
      </c>
      <c r="F519" s="3">
        <v>39.99</v>
      </c>
      <c r="G519" s="3" t="s">
        <v>2572</v>
      </c>
      <c r="H519" s="3"/>
      <c r="I519" s="3" t="s">
        <v>2573</v>
      </c>
      <c r="J519" s="3">
        <v>4</v>
      </c>
      <c r="K519" s="3">
        <v>4</v>
      </c>
      <c r="L519" s="3">
        <v>0</v>
      </c>
      <c r="M519" s="3">
        <v>0</v>
      </c>
      <c r="N519" s="3">
        <v>4</v>
      </c>
      <c r="O519" s="3">
        <v>0.06</v>
      </c>
      <c r="P519" s="3">
        <v>0</v>
      </c>
      <c r="Q519" s="3">
        <v>0</v>
      </c>
      <c r="R519" s="3">
        <v>0</v>
      </c>
    </row>
    <row r="520" spans="1:18">
      <c r="A520" s="3" t="s">
        <v>1402</v>
      </c>
      <c r="B520" s="3" t="s">
        <v>1403</v>
      </c>
      <c r="C520" s="3" t="s">
        <v>1404</v>
      </c>
      <c r="D520" s="3" t="s">
        <v>490</v>
      </c>
      <c r="E520" s="3" t="s">
        <v>340</v>
      </c>
      <c r="F520" s="3">
        <v>39.99</v>
      </c>
      <c r="G520" s="3" t="s">
        <v>2572</v>
      </c>
      <c r="H520" s="3"/>
      <c r="I520" s="3" t="s">
        <v>2573</v>
      </c>
      <c r="J520" s="3">
        <v>3</v>
      </c>
      <c r="K520" s="3">
        <v>3</v>
      </c>
      <c r="L520" s="3">
        <v>0</v>
      </c>
      <c r="M520" s="3">
        <v>0</v>
      </c>
      <c r="N520" s="3">
        <v>3</v>
      </c>
      <c r="O520" s="3">
        <v>0.06</v>
      </c>
      <c r="P520" s="3">
        <v>0</v>
      </c>
      <c r="Q520" s="3">
        <v>0</v>
      </c>
      <c r="R520" s="3">
        <v>0</v>
      </c>
    </row>
    <row r="521" spans="1:18">
      <c r="A521" s="3" t="s">
        <v>638</v>
      </c>
      <c r="B521" s="3" t="s">
        <v>639</v>
      </c>
      <c r="C521" s="3" t="s">
        <v>640</v>
      </c>
      <c r="D521" s="3" t="s">
        <v>641</v>
      </c>
      <c r="E521" s="3" t="s">
        <v>340</v>
      </c>
      <c r="F521" s="3">
        <v>19.99</v>
      </c>
      <c r="G521" s="3" t="s">
        <v>2572</v>
      </c>
      <c r="H521" s="3"/>
      <c r="I521" s="3" t="s">
        <v>2573</v>
      </c>
      <c r="J521" s="3">
        <v>4</v>
      </c>
      <c r="K521" s="3">
        <v>4</v>
      </c>
      <c r="L521" s="3">
        <v>0</v>
      </c>
      <c r="M521" s="3">
        <v>0</v>
      </c>
      <c r="N521" s="3">
        <v>4</v>
      </c>
      <c r="O521" s="3">
        <v>0.05</v>
      </c>
      <c r="P521" s="3">
        <v>0</v>
      </c>
      <c r="Q521" s="3">
        <v>0</v>
      </c>
      <c r="R521" s="3">
        <v>0</v>
      </c>
    </row>
    <row r="522" spans="1:18">
      <c r="A522" s="3" t="s">
        <v>887</v>
      </c>
      <c r="B522" s="3" t="s">
        <v>888</v>
      </c>
      <c r="C522" s="3" t="s">
        <v>889</v>
      </c>
      <c r="D522" s="3" t="s">
        <v>641</v>
      </c>
      <c r="E522" s="3" t="s">
        <v>340</v>
      </c>
      <c r="F522" s="3">
        <v>19.99</v>
      </c>
      <c r="G522" s="3" t="s">
        <v>2572</v>
      </c>
      <c r="H522" s="3"/>
      <c r="I522" s="3" t="s">
        <v>2573</v>
      </c>
      <c r="J522" s="3">
        <v>1</v>
      </c>
      <c r="K522" s="3">
        <v>1</v>
      </c>
      <c r="L522" s="3">
        <v>0</v>
      </c>
      <c r="M522" s="3">
        <v>0</v>
      </c>
      <c r="N522" s="3">
        <v>1</v>
      </c>
      <c r="O522" s="3">
        <v>0.05</v>
      </c>
      <c r="P522" s="3">
        <v>0</v>
      </c>
      <c r="Q522" s="3">
        <v>0</v>
      </c>
      <c r="R522" s="3">
        <v>0</v>
      </c>
    </row>
    <row r="523" spans="1:18">
      <c r="A523" s="3" t="s">
        <v>1386</v>
      </c>
      <c r="B523" s="3" t="s">
        <v>1387</v>
      </c>
      <c r="C523" s="3" t="s">
        <v>1388</v>
      </c>
      <c r="D523" s="3" t="s">
        <v>641</v>
      </c>
      <c r="E523" s="3" t="s">
        <v>340</v>
      </c>
      <c r="F523" s="3">
        <v>19.99</v>
      </c>
      <c r="G523" s="3" t="s">
        <v>2572</v>
      </c>
      <c r="H523" s="3"/>
      <c r="I523" s="3" t="s">
        <v>2573</v>
      </c>
      <c r="J523" s="3">
        <v>2</v>
      </c>
      <c r="K523" s="3">
        <v>2</v>
      </c>
      <c r="L523" s="3">
        <v>0</v>
      </c>
      <c r="M523" s="3">
        <v>0</v>
      </c>
      <c r="N523" s="3">
        <v>2</v>
      </c>
      <c r="O523" s="3">
        <v>0.05</v>
      </c>
      <c r="P523" s="3">
        <v>0</v>
      </c>
      <c r="Q523" s="3">
        <v>0</v>
      </c>
      <c r="R523" s="3">
        <v>0</v>
      </c>
    </row>
    <row r="524" spans="1:18">
      <c r="A524" s="3" t="s">
        <v>2945</v>
      </c>
      <c r="B524" s="3" t="s">
        <v>2946</v>
      </c>
      <c r="C524" s="3" t="s">
        <v>2947</v>
      </c>
      <c r="D524" s="3" t="s">
        <v>2948</v>
      </c>
      <c r="E524" s="3" t="s">
        <v>340</v>
      </c>
      <c r="F524" s="3">
        <v>17.99</v>
      </c>
      <c r="G524" s="3" t="s">
        <v>2572</v>
      </c>
      <c r="H524" s="3"/>
      <c r="I524" s="3" t="s">
        <v>2573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0.04</v>
      </c>
      <c r="P524" s="3">
        <v>0</v>
      </c>
      <c r="Q524" s="3">
        <v>0</v>
      </c>
      <c r="R524" s="3">
        <v>0</v>
      </c>
    </row>
    <row r="525" spans="1:18">
      <c r="A525" s="3" t="s">
        <v>1976</v>
      </c>
      <c r="B525" s="3" t="s">
        <v>1977</v>
      </c>
      <c r="C525" s="3" t="s">
        <v>1978</v>
      </c>
      <c r="D525" s="3" t="s">
        <v>1979</v>
      </c>
      <c r="E525" s="3" t="s">
        <v>340</v>
      </c>
      <c r="F525" s="3">
        <v>32.88</v>
      </c>
      <c r="G525" s="3" t="s">
        <v>2572</v>
      </c>
      <c r="H525" s="3"/>
      <c r="I525" s="3" t="s">
        <v>2573</v>
      </c>
      <c r="J525" s="3">
        <v>2</v>
      </c>
      <c r="K525" s="3">
        <v>2</v>
      </c>
      <c r="L525" s="3">
        <v>0</v>
      </c>
      <c r="M525" s="3">
        <v>0</v>
      </c>
      <c r="N525" s="3">
        <v>2</v>
      </c>
      <c r="O525" s="3">
        <v>0.04</v>
      </c>
      <c r="P525" s="3">
        <v>0</v>
      </c>
      <c r="Q525" s="3">
        <v>0</v>
      </c>
      <c r="R525" s="3">
        <v>0</v>
      </c>
    </row>
    <row r="526" spans="1:18">
      <c r="A526" s="3" t="s">
        <v>2279</v>
      </c>
      <c r="B526" s="3" t="s">
        <v>2280</v>
      </c>
      <c r="C526" s="3" t="s">
        <v>2281</v>
      </c>
      <c r="D526" s="3" t="s">
        <v>2282</v>
      </c>
      <c r="E526" s="3" t="s">
        <v>340</v>
      </c>
      <c r="F526" s="3">
        <v>32.88</v>
      </c>
      <c r="G526" s="3" t="s">
        <v>2572</v>
      </c>
      <c r="H526" s="3"/>
      <c r="I526" s="3" t="s">
        <v>2573</v>
      </c>
      <c r="J526" s="3">
        <v>1</v>
      </c>
      <c r="K526" s="3">
        <v>1</v>
      </c>
      <c r="L526" s="3">
        <v>0</v>
      </c>
      <c r="M526" s="3">
        <v>0</v>
      </c>
      <c r="N526" s="3">
        <v>1</v>
      </c>
      <c r="O526" s="3">
        <v>0.04</v>
      </c>
      <c r="P526" s="3">
        <v>0</v>
      </c>
      <c r="Q526" s="3">
        <v>0</v>
      </c>
      <c r="R526" s="3">
        <v>0</v>
      </c>
    </row>
    <row r="527" spans="1:18">
      <c r="A527" s="3" t="s">
        <v>1089</v>
      </c>
      <c r="B527" s="3" t="s">
        <v>1090</v>
      </c>
      <c r="C527" s="3" t="s">
        <v>1091</v>
      </c>
      <c r="D527" s="3" t="s">
        <v>1092</v>
      </c>
      <c r="E527" s="3" t="s">
        <v>340</v>
      </c>
      <c r="F527" s="3">
        <v>29.99</v>
      </c>
      <c r="G527" s="3" t="s">
        <v>2572</v>
      </c>
      <c r="H527" s="3"/>
      <c r="I527" s="3" t="s">
        <v>2573</v>
      </c>
      <c r="J527" s="3">
        <v>2</v>
      </c>
      <c r="K527" s="3">
        <v>2</v>
      </c>
      <c r="L527" s="3">
        <v>0</v>
      </c>
      <c r="M527" s="3">
        <v>0</v>
      </c>
      <c r="N527" s="3">
        <v>2</v>
      </c>
      <c r="O527" s="3">
        <v>0.05</v>
      </c>
      <c r="P527" s="3">
        <v>0</v>
      </c>
      <c r="Q527" s="3">
        <v>0</v>
      </c>
      <c r="R527" s="3">
        <v>0</v>
      </c>
    </row>
    <row r="528" spans="1:18">
      <c r="A528" s="3" t="s">
        <v>116</v>
      </c>
      <c r="B528" s="3" t="s">
        <v>117</v>
      </c>
      <c r="C528" s="3" t="s">
        <v>118</v>
      </c>
      <c r="D528" s="3" t="s">
        <v>119</v>
      </c>
      <c r="E528" s="3" t="s">
        <v>340</v>
      </c>
      <c r="F528" s="3">
        <v>28.98</v>
      </c>
      <c r="G528" s="3" t="s">
        <v>2572</v>
      </c>
      <c r="H528" s="3"/>
      <c r="I528" s="3" t="s">
        <v>2573</v>
      </c>
      <c r="J528" s="3">
        <v>16</v>
      </c>
      <c r="K528" s="3">
        <v>15</v>
      </c>
      <c r="L528" s="3">
        <v>0</v>
      </c>
      <c r="M528" s="3">
        <v>1</v>
      </c>
      <c r="N528" s="3">
        <v>16</v>
      </c>
      <c r="O528" s="3">
        <v>0.06</v>
      </c>
      <c r="P528" s="3">
        <v>0</v>
      </c>
      <c r="Q528" s="3">
        <v>0</v>
      </c>
      <c r="R528" s="3">
        <v>0</v>
      </c>
    </row>
    <row r="529" spans="1:18">
      <c r="A529" s="3" t="s">
        <v>561</v>
      </c>
      <c r="B529" s="3" t="s">
        <v>562</v>
      </c>
      <c r="C529" s="3" t="s">
        <v>563</v>
      </c>
      <c r="D529" s="3" t="s">
        <v>119</v>
      </c>
      <c r="E529" s="3" t="s">
        <v>340</v>
      </c>
      <c r="F529" s="3">
        <v>28.98</v>
      </c>
      <c r="G529" s="3" t="s">
        <v>2572</v>
      </c>
      <c r="H529" s="3"/>
      <c r="I529" s="3" t="s">
        <v>2573</v>
      </c>
      <c r="J529" s="3">
        <v>19</v>
      </c>
      <c r="K529" s="3">
        <v>18</v>
      </c>
      <c r="L529" s="3">
        <v>1</v>
      </c>
      <c r="M529" s="3">
        <v>0</v>
      </c>
      <c r="N529" s="3">
        <v>19</v>
      </c>
      <c r="O529" s="3">
        <v>0.06</v>
      </c>
      <c r="P529" s="3">
        <v>0</v>
      </c>
      <c r="Q529" s="3">
        <v>0</v>
      </c>
      <c r="R529" s="3">
        <v>0</v>
      </c>
    </row>
    <row r="530" spans="1:18">
      <c r="A530" s="3" t="s">
        <v>2415</v>
      </c>
      <c r="B530" s="3" t="s">
        <v>2416</v>
      </c>
      <c r="C530" s="3" t="s">
        <v>2417</v>
      </c>
      <c r="D530" s="3" t="s">
        <v>119</v>
      </c>
      <c r="E530" s="3" t="s">
        <v>340</v>
      </c>
      <c r="F530" s="3">
        <v>28.98</v>
      </c>
      <c r="G530" s="3" t="s">
        <v>2572</v>
      </c>
      <c r="H530" s="3"/>
      <c r="I530" s="3" t="s">
        <v>2573</v>
      </c>
      <c r="J530" s="3">
        <v>4</v>
      </c>
      <c r="K530" s="3">
        <v>4</v>
      </c>
      <c r="L530" s="3">
        <v>0</v>
      </c>
      <c r="M530" s="3">
        <v>0</v>
      </c>
      <c r="N530" s="3">
        <v>4</v>
      </c>
      <c r="O530" s="3">
        <v>0.06</v>
      </c>
      <c r="P530" s="3">
        <v>0</v>
      </c>
      <c r="Q530" s="3">
        <v>0</v>
      </c>
      <c r="R530" s="3">
        <v>0</v>
      </c>
    </row>
    <row r="531" spans="1:18">
      <c r="A531" s="3" t="s">
        <v>2949</v>
      </c>
      <c r="B531" s="3" t="s">
        <v>2950</v>
      </c>
      <c r="C531" s="3" t="s">
        <v>2951</v>
      </c>
      <c r="D531" s="3" t="s">
        <v>119</v>
      </c>
      <c r="E531" s="3" t="s">
        <v>340</v>
      </c>
      <c r="F531" s="3">
        <v>28.98</v>
      </c>
      <c r="G531" s="3" t="s">
        <v>2572</v>
      </c>
      <c r="H531" s="3"/>
      <c r="I531" s="3" t="s">
        <v>2573</v>
      </c>
      <c r="J531" s="3">
        <v>1</v>
      </c>
      <c r="K531" s="3">
        <v>0</v>
      </c>
      <c r="L531" s="3">
        <v>1</v>
      </c>
      <c r="M531" s="3">
        <v>0</v>
      </c>
      <c r="N531" s="3">
        <v>1</v>
      </c>
      <c r="O531" s="3">
        <v>0.06</v>
      </c>
      <c r="P531" s="3">
        <v>0</v>
      </c>
      <c r="Q531" s="3">
        <v>0</v>
      </c>
      <c r="R531" s="3">
        <v>0</v>
      </c>
    </row>
    <row r="532" spans="1:18">
      <c r="A532" s="3" t="s">
        <v>2952</v>
      </c>
      <c r="B532" s="3" t="s">
        <v>2953</v>
      </c>
      <c r="C532" s="3" t="s">
        <v>2954</v>
      </c>
      <c r="D532" s="3" t="s">
        <v>2955</v>
      </c>
      <c r="E532" s="3" t="s">
        <v>340</v>
      </c>
      <c r="F532" s="3">
        <v>32.99</v>
      </c>
      <c r="G532" s="3" t="s">
        <v>2572</v>
      </c>
      <c r="H532" s="3"/>
      <c r="I532" s="3" t="s">
        <v>2573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0.11</v>
      </c>
      <c r="P532" s="3">
        <v>0</v>
      </c>
      <c r="Q532" s="3">
        <v>0</v>
      </c>
      <c r="R532" s="3">
        <v>0</v>
      </c>
    </row>
    <row r="533" spans="1:18">
      <c r="A533" s="3" t="s">
        <v>2956</v>
      </c>
      <c r="B533" s="3" t="s">
        <v>2957</v>
      </c>
      <c r="C533" s="3" t="s">
        <v>2958</v>
      </c>
      <c r="D533" s="3" t="s">
        <v>2959</v>
      </c>
      <c r="E533" s="3" t="s">
        <v>340</v>
      </c>
      <c r="F533" s="3">
        <v>32.99</v>
      </c>
      <c r="G533" s="3" t="s">
        <v>2572</v>
      </c>
      <c r="H533" s="3"/>
      <c r="I533" s="3" t="s">
        <v>2573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0.11</v>
      </c>
      <c r="P533" s="3">
        <v>0</v>
      </c>
      <c r="Q533" s="3">
        <v>0</v>
      </c>
      <c r="R533" s="3">
        <v>0</v>
      </c>
    </row>
    <row r="534" spans="1:18">
      <c r="A534" s="3" t="s">
        <v>2960</v>
      </c>
      <c r="B534" s="3" t="s">
        <v>2961</v>
      </c>
      <c r="C534" s="3" t="s">
        <v>2962</v>
      </c>
      <c r="D534" s="3" t="s">
        <v>2959</v>
      </c>
      <c r="E534" s="3" t="s">
        <v>340</v>
      </c>
      <c r="F534" s="3">
        <v>32.99</v>
      </c>
      <c r="G534" s="3" t="s">
        <v>2572</v>
      </c>
      <c r="H534" s="3"/>
      <c r="I534" s="3" t="s">
        <v>2573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0.11</v>
      </c>
      <c r="P534" s="3">
        <v>0</v>
      </c>
      <c r="Q534" s="3">
        <v>0</v>
      </c>
      <c r="R534" s="3">
        <v>0</v>
      </c>
    </row>
    <row r="535" spans="1:18">
      <c r="A535" s="3" t="s">
        <v>2963</v>
      </c>
      <c r="B535" s="3" t="s">
        <v>2964</v>
      </c>
      <c r="C535" s="3" t="s">
        <v>2965</v>
      </c>
      <c r="D535" s="3" t="s">
        <v>2959</v>
      </c>
      <c r="E535" s="3" t="s">
        <v>340</v>
      </c>
      <c r="F535" s="3">
        <v>32.99</v>
      </c>
      <c r="G535" s="3" t="s">
        <v>2572</v>
      </c>
      <c r="H535" s="3"/>
      <c r="I535" s="3" t="s">
        <v>2573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0.11</v>
      </c>
      <c r="P535" s="3">
        <v>0</v>
      </c>
      <c r="Q535" s="3">
        <v>0</v>
      </c>
      <c r="R535" s="3">
        <v>0</v>
      </c>
    </row>
    <row r="536" spans="1:18">
      <c r="A536" s="3" t="s">
        <v>2966</v>
      </c>
      <c r="B536" s="3" t="s">
        <v>2967</v>
      </c>
      <c r="C536" s="3" t="s">
        <v>2968</v>
      </c>
      <c r="D536" s="3" t="s">
        <v>2969</v>
      </c>
      <c r="E536" s="3" t="s">
        <v>340</v>
      </c>
      <c r="F536" s="3">
        <v>19.9</v>
      </c>
      <c r="G536" s="3" t="s">
        <v>2572</v>
      </c>
      <c r="H536" s="3"/>
      <c r="I536" s="3" t="s">
        <v>2573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0.02</v>
      </c>
      <c r="P536" s="3">
        <v>0</v>
      </c>
      <c r="Q536" s="3">
        <v>0</v>
      </c>
      <c r="R536" s="3">
        <v>0</v>
      </c>
    </row>
    <row r="537" spans="1:18">
      <c r="A537" s="3" t="s">
        <v>2970</v>
      </c>
      <c r="B537" s="3" t="s">
        <v>2971</v>
      </c>
      <c r="C537" s="3" t="s">
        <v>2972</v>
      </c>
      <c r="D537" s="3" t="s">
        <v>406</v>
      </c>
      <c r="E537" s="3" t="s">
        <v>340</v>
      </c>
      <c r="F537" s="3">
        <v>35.98</v>
      </c>
      <c r="G537" s="3" t="s">
        <v>2572</v>
      </c>
      <c r="H537" s="3"/>
      <c r="I537" s="3" t="s">
        <v>2573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0.08</v>
      </c>
      <c r="P537" s="3">
        <v>0</v>
      </c>
      <c r="Q537" s="3">
        <v>0</v>
      </c>
      <c r="R537" s="3">
        <v>0</v>
      </c>
    </row>
    <row r="538" spans="1:18">
      <c r="A538" s="3" t="s">
        <v>2973</v>
      </c>
      <c r="B538" s="3" t="s">
        <v>2974</v>
      </c>
      <c r="C538" s="3" t="s">
        <v>2975</v>
      </c>
      <c r="D538" s="3" t="s">
        <v>406</v>
      </c>
      <c r="E538" s="3" t="s">
        <v>340</v>
      </c>
      <c r="F538" s="3">
        <v>35.98</v>
      </c>
      <c r="G538" s="3" t="s">
        <v>2572</v>
      </c>
      <c r="H538" s="3"/>
      <c r="I538" s="3" t="s">
        <v>2573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0.11</v>
      </c>
      <c r="P538" s="3">
        <v>0</v>
      </c>
      <c r="Q538" s="3">
        <v>0</v>
      </c>
      <c r="R538" s="3">
        <v>0</v>
      </c>
    </row>
    <row r="539" spans="1:18">
      <c r="A539" s="3" t="s">
        <v>403</v>
      </c>
      <c r="B539" s="3" t="s">
        <v>404</v>
      </c>
      <c r="C539" s="3" t="s">
        <v>405</v>
      </c>
      <c r="D539" s="3" t="s">
        <v>406</v>
      </c>
      <c r="E539" s="3" t="s">
        <v>340</v>
      </c>
      <c r="F539" s="3">
        <v>35.98</v>
      </c>
      <c r="G539" s="3" t="s">
        <v>2572</v>
      </c>
      <c r="H539" s="3"/>
      <c r="I539" s="3" t="s">
        <v>2573</v>
      </c>
      <c r="J539" s="3">
        <v>5</v>
      </c>
      <c r="K539" s="3">
        <v>5</v>
      </c>
      <c r="L539" s="3">
        <v>0</v>
      </c>
      <c r="M539" s="3">
        <v>0</v>
      </c>
      <c r="N539" s="3">
        <v>5</v>
      </c>
      <c r="O539" s="3">
        <v>0.11</v>
      </c>
      <c r="P539" s="3">
        <v>0</v>
      </c>
      <c r="Q539" s="3">
        <v>0</v>
      </c>
      <c r="R539" s="3">
        <v>0</v>
      </c>
    </row>
    <row r="540" spans="1:18">
      <c r="A540" s="3" t="s">
        <v>2429</v>
      </c>
      <c r="B540" s="3" t="s">
        <v>2430</v>
      </c>
      <c r="C540" s="3" t="s">
        <v>2431</v>
      </c>
      <c r="D540" s="3" t="s">
        <v>406</v>
      </c>
      <c r="E540" s="3" t="s">
        <v>340</v>
      </c>
      <c r="F540" s="3">
        <v>35.98</v>
      </c>
      <c r="G540" s="3" t="s">
        <v>2572</v>
      </c>
      <c r="H540" s="3"/>
      <c r="I540" s="3" t="s">
        <v>2573</v>
      </c>
      <c r="J540" s="3">
        <v>10</v>
      </c>
      <c r="K540" s="3">
        <v>10</v>
      </c>
      <c r="L540" s="3">
        <v>0</v>
      </c>
      <c r="M540" s="3">
        <v>0</v>
      </c>
      <c r="N540" s="3">
        <v>10</v>
      </c>
      <c r="O540" s="3">
        <v>0.1</v>
      </c>
      <c r="P540" s="3">
        <v>0</v>
      </c>
      <c r="Q540" s="3">
        <v>0</v>
      </c>
      <c r="R540" s="3">
        <v>0</v>
      </c>
    </row>
    <row r="541" spans="1:18">
      <c r="A541" s="3" t="s">
        <v>2976</v>
      </c>
      <c r="B541" s="3" t="s">
        <v>2977</v>
      </c>
      <c r="C541" s="3" t="s">
        <v>2978</v>
      </c>
      <c r="D541" s="3" t="s">
        <v>406</v>
      </c>
      <c r="E541" s="3" t="s">
        <v>340</v>
      </c>
      <c r="F541" s="3">
        <v>35.98</v>
      </c>
      <c r="G541" s="3" t="s">
        <v>2572</v>
      </c>
      <c r="H541" s="3"/>
      <c r="I541" s="3" t="s">
        <v>2573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0.1</v>
      </c>
      <c r="P541" s="3">
        <v>0</v>
      </c>
      <c r="Q541" s="3">
        <v>0</v>
      </c>
      <c r="R541" s="3">
        <v>0</v>
      </c>
    </row>
    <row r="542" spans="1:18">
      <c r="A542" s="3" t="s">
        <v>1097</v>
      </c>
      <c r="B542" s="3" t="s">
        <v>1098</v>
      </c>
      <c r="C542" s="3" t="s">
        <v>1099</v>
      </c>
      <c r="D542" s="3" t="s">
        <v>1100</v>
      </c>
      <c r="E542" s="3" t="s">
        <v>340</v>
      </c>
      <c r="F542" s="3">
        <v>19.9</v>
      </c>
      <c r="G542" s="3" t="s">
        <v>2572</v>
      </c>
      <c r="H542" s="3"/>
      <c r="I542" s="3" t="s">
        <v>2573</v>
      </c>
      <c r="J542" s="3">
        <v>1</v>
      </c>
      <c r="K542" s="3">
        <v>1</v>
      </c>
      <c r="L542" s="3">
        <v>0</v>
      </c>
      <c r="M542" s="3">
        <v>0</v>
      </c>
      <c r="N542" s="3">
        <v>1</v>
      </c>
      <c r="O542" s="3">
        <v>0</v>
      </c>
      <c r="P542" s="3">
        <v>0</v>
      </c>
      <c r="Q542" s="3">
        <v>0</v>
      </c>
      <c r="R542" s="3">
        <v>0</v>
      </c>
    </row>
    <row r="543" spans="1:18">
      <c r="A543" s="3" t="s">
        <v>2979</v>
      </c>
      <c r="B543" s="3" t="s">
        <v>2980</v>
      </c>
      <c r="C543" s="3" t="s">
        <v>2981</v>
      </c>
      <c r="D543" s="3" t="s">
        <v>1100</v>
      </c>
      <c r="E543" s="3" t="s">
        <v>340</v>
      </c>
      <c r="F543" s="3">
        <v>19.9</v>
      </c>
      <c r="G543" s="3" t="s">
        <v>2572</v>
      </c>
      <c r="H543" s="3"/>
      <c r="I543" s="3" t="s">
        <v>2573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</v>
      </c>
      <c r="P543" s="3">
        <v>0</v>
      </c>
      <c r="Q543" s="3">
        <v>0</v>
      </c>
      <c r="R543" s="3">
        <v>0</v>
      </c>
    </row>
    <row r="544" spans="1:18">
      <c r="A544" s="3" t="s">
        <v>2469</v>
      </c>
      <c r="B544" s="3" t="s">
        <v>2470</v>
      </c>
      <c r="C544" s="3" t="s">
        <v>2471</v>
      </c>
      <c r="D544" s="3" t="s">
        <v>2472</v>
      </c>
      <c r="E544" s="3" t="s">
        <v>340</v>
      </c>
      <c r="F544" s="3">
        <v>35.98</v>
      </c>
      <c r="G544" s="3" t="s">
        <v>2572</v>
      </c>
      <c r="H544" s="3"/>
      <c r="I544" s="3" t="s">
        <v>2573</v>
      </c>
      <c r="J544" s="3">
        <v>1</v>
      </c>
      <c r="K544" s="3">
        <v>1</v>
      </c>
      <c r="L544" s="3">
        <v>0</v>
      </c>
      <c r="M544" s="3">
        <v>0</v>
      </c>
      <c r="N544" s="3">
        <v>1</v>
      </c>
      <c r="O544" s="3">
        <v>0.11</v>
      </c>
      <c r="P544" s="3">
        <v>0</v>
      </c>
      <c r="Q544" s="3">
        <v>0</v>
      </c>
      <c r="R544" s="3">
        <v>0</v>
      </c>
    </row>
    <row r="545" spans="1:18">
      <c r="A545" s="3" t="s">
        <v>2982</v>
      </c>
      <c r="B545" s="3" t="s">
        <v>2983</v>
      </c>
      <c r="C545" s="3" t="s">
        <v>2984</v>
      </c>
      <c r="D545" s="3"/>
      <c r="E545" s="3" t="s">
        <v>2823</v>
      </c>
      <c r="F545" s="3"/>
      <c r="G545" s="3"/>
      <c r="H545" s="3"/>
      <c r="I545" s="3"/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/>
      <c r="P545" s="3">
        <v>0</v>
      </c>
      <c r="Q545" s="3">
        <v>0</v>
      </c>
      <c r="R545" s="3">
        <v>0</v>
      </c>
    </row>
    <row r="546" spans="1:18">
      <c r="A546" s="3" t="s">
        <v>2985</v>
      </c>
      <c r="B546" s="3" t="s">
        <v>2986</v>
      </c>
      <c r="C546" s="3" t="s">
        <v>2987</v>
      </c>
      <c r="D546" s="3"/>
      <c r="E546" s="3" t="s">
        <v>2823</v>
      </c>
      <c r="F546" s="3"/>
      <c r="G546" s="3"/>
      <c r="H546" s="3"/>
      <c r="I546" s="3"/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/>
      <c r="P546" s="3">
        <v>0</v>
      </c>
      <c r="Q546" s="3">
        <v>0</v>
      </c>
      <c r="R546" s="3">
        <v>0</v>
      </c>
    </row>
    <row r="547" spans="1:18">
      <c r="A547" s="3" t="s">
        <v>2988</v>
      </c>
      <c r="B547" s="3" t="s">
        <v>2989</v>
      </c>
      <c r="C547" s="3" t="s">
        <v>2990</v>
      </c>
      <c r="D547" s="3" t="s">
        <v>2991</v>
      </c>
      <c r="E547" s="3" t="s">
        <v>340</v>
      </c>
      <c r="F547" s="3">
        <v>32.88</v>
      </c>
      <c r="G547" s="3" t="s">
        <v>2572</v>
      </c>
      <c r="H547" s="3"/>
      <c r="I547" s="3" t="s">
        <v>2573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0.11</v>
      </c>
      <c r="P547" s="3">
        <v>0</v>
      </c>
      <c r="Q547" s="3">
        <v>0</v>
      </c>
      <c r="R547" s="3">
        <v>0</v>
      </c>
    </row>
    <row r="548" spans="1:18">
      <c r="A548" s="3" t="s">
        <v>2366</v>
      </c>
      <c r="B548" s="3" t="s">
        <v>2367</v>
      </c>
      <c r="C548" s="3" t="s">
        <v>2368</v>
      </c>
      <c r="D548" s="3" t="s">
        <v>2369</v>
      </c>
      <c r="E548" s="3" t="s">
        <v>340</v>
      </c>
      <c r="F548" s="3">
        <v>32.88</v>
      </c>
      <c r="G548" s="3" t="s">
        <v>2572</v>
      </c>
      <c r="H548" s="3"/>
      <c r="I548" s="3" t="s">
        <v>2573</v>
      </c>
      <c r="J548" s="3">
        <v>7</v>
      </c>
      <c r="K548" s="3">
        <v>7</v>
      </c>
      <c r="L548" s="3">
        <v>0</v>
      </c>
      <c r="M548" s="3">
        <v>0</v>
      </c>
      <c r="N548" s="3">
        <v>7</v>
      </c>
      <c r="O548" s="3">
        <v>0.11</v>
      </c>
      <c r="P548" s="3">
        <v>0</v>
      </c>
      <c r="Q548" s="3">
        <v>0</v>
      </c>
      <c r="R548" s="3">
        <v>0</v>
      </c>
    </row>
    <row r="549" spans="1:18">
      <c r="A549" s="3" t="s">
        <v>2992</v>
      </c>
      <c r="B549" s="3" t="s">
        <v>2993</v>
      </c>
      <c r="C549" s="3" t="s">
        <v>2994</v>
      </c>
      <c r="D549" s="3" t="s">
        <v>2995</v>
      </c>
      <c r="E549" s="3" t="s">
        <v>340</v>
      </c>
      <c r="F549" s="3">
        <v>39.99</v>
      </c>
      <c r="G549" s="3" t="s">
        <v>2572</v>
      </c>
      <c r="H549" s="3"/>
      <c r="I549" s="3" t="s">
        <v>2573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</row>
    <row r="550" spans="1:18">
      <c r="A550" s="3" t="s">
        <v>2996</v>
      </c>
      <c r="B550" s="3" t="s">
        <v>2997</v>
      </c>
      <c r="C550" s="3" t="s">
        <v>2998</v>
      </c>
      <c r="D550" s="3" t="s">
        <v>2995</v>
      </c>
      <c r="E550" s="3" t="s">
        <v>340</v>
      </c>
      <c r="F550" s="3">
        <v>39.99</v>
      </c>
      <c r="G550" s="3" t="s">
        <v>2572</v>
      </c>
      <c r="H550" s="3"/>
      <c r="I550" s="3" t="s">
        <v>2573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</v>
      </c>
      <c r="P550" s="3">
        <v>0</v>
      </c>
      <c r="Q550" s="3">
        <v>0</v>
      </c>
      <c r="R550" s="3">
        <v>0</v>
      </c>
    </row>
    <row r="551" spans="1:18">
      <c r="A551" s="3" t="s">
        <v>2999</v>
      </c>
      <c r="B551" s="3" t="s">
        <v>3000</v>
      </c>
      <c r="C551" s="3" t="s">
        <v>3001</v>
      </c>
      <c r="D551" s="3" t="s">
        <v>2995</v>
      </c>
      <c r="E551" s="3" t="s">
        <v>340</v>
      </c>
      <c r="F551" s="3">
        <v>39.99</v>
      </c>
      <c r="G551" s="3" t="s">
        <v>2572</v>
      </c>
      <c r="H551" s="3"/>
      <c r="I551" s="3" t="s">
        <v>2573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3">
        <v>0</v>
      </c>
      <c r="Q551" s="3">
        <v>0</v>
      </c>
      <c r="R551" s="3">
        <v>0</v>
      </c>
    </row>
    <row r="552" spans="1:18">
      <c r="A552" s="3" t="s">
        <v>3002</v>
      </c>
      <c r="B552" s="3" t="s">
        <v>3003</v>
      </c>
      <c r="C552" s="3" t="s">
        <v>3004</v>
      </c>
      <c r="D552" s="3" t="s">
        <v>3005</v>
      </c>
      <c r="E552" s="3" t="s">
        <v>340</v>
      </c>
      <c r="F552" s="3">
        <v>39.99</v>
      </c>
      <c r="G552" s="3" t="s">
        <v>2572</v>
      </c>
      <c r="H552" s="3"/>
      <c r="I552" s="3" t="s">
        <v>2573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</v>
      </c>
      <c r="P552" s="3">
        <v>0</v>
      </c>
      <c r="Q552" s="3">
        <v>0</v>
      </c>
      <c r="R552" s="3">
        <v>0</v>
      </c>
    </row>
    <row r="553" spans="1:18">
      <c r="A553" s="3" t="s">
        <v>3006</v>
      </c>
      <c r="B553" s="3" t="s">
        <v>3007</v>
      </c>
      <c r="C553" s="3" t="s">
        <v>3008</v>
      </c>
      <c r="D553" s="3" t="s">
        <v>3005</v>
      </c>
      <c r="E553" s="3" t="s">
        <v>340</v>
      </c>
      <c r="F553" s="3">
        <v>39.99</v>
      </c>
      <c r="G553" s="3" t="s">
        <v>2572</v>
      </c>
      <c r="H553" s="3"/>
      <c r="I553" s="3" t="s">
        <v>2573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</row>
    <row r="554" spans="1:18">
      <c r="A554" s="3" t="s">
        <v>3009</v>
      </c>
      <c r="B554" s="3" t="s">
        <v>3010</v>
      </c>
      <c r="C554" s="3" t="s">
        <v>3011</v>
      </c>
      <c r="D554" s="3" t="s">
        <v>3005</v>
      </c>
      <c r="E554" s="3" t="s">
        <v>340</v>
      </c>
      <c r="F554" s="3">
        <v>39.99</v>
      </c>
      <c r="G554" s="3" t="s">
        <v>2572</v>
      </c>
      <c r="H554" s="3"/>
      <c r="I554" s="3" t="s">
        <v>2573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</row>
    <row r="555" spans="1:18">
      <c r="A555" s="3" t="s">
        <v>3012</v>
      </c>
      <c r="B555" s="3" t="s">
        <v>3013</v>
      </c>
      <c r="C555" s="3" t="s">
        <v>3014</v>
      </c>
      <c r="D555" s="3" t="s">
        <v>3005</v>
      </c>
      <c r="E555" s="3" t="s">
        <v>340</v>
      </c>
      <c r="F555" s="3">
        <v>39.99</v>
      </c>
      <c r="G555" s="3" t="s">
        <v>2572</v>
      </c>
      <c r="H555" s="3"/>
      <c r="I555" s="3" t="s">
        <v>2573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</row>
    <row r="556" spans="1:18">
      <c r="A556" s="3" t="s">
        <v>3015</v>
      </c>
      <c r="B556" s="3" t="s">
        <v>3016</v>
      </c>
      <c r="C556" s="3" t="s">
        <v>3017</v>
      </c>
      <c r="D556" s="3" t="s">
        <v>3005</v>
      </c>
      <c r="E556" s="3" t="s">
        <v>340</v>
      </c>
      <c r="F556" s="3">
        <v>39.99</v>
      </c>
      <c r="G556" s="3" t="s">
        <v>2572</v>
      </c>
      <c r="H556" s="3"/>
      <c r="I556" s="3" t="s">
        <v>2573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</row>
    <row r="557" spans="1:18">
      <c r="A557" s="3" t="s">
        <v>3018</v>
      </c>
      <c r="B557" s="3" t="s">
        <v>3019</v>
      </c>
      <c r="C557" s="3" t="s">
        <v>3020</v>
      </c>
      <c r="D557" s="3" t="s">
        <v>3005</v>
      </c>
      <c r="E557" s="3" t="s">
        <v>340</v>
      </c>
      <c r="F557" s="3">
        <v>39.99</v>
      </c>
      <c r="G557" s="3" t="s">
        <v>2572</v>
      </c>
      <c r="H557" s="3"/>
      <c r="I557" s="3" t="s">
        <v>2573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</row>
    <row r="558" spans="1:18">
      <c r="A558" s="3" t="s">
        <v>3021</v>
      </c>
      <c r="B558" s="3" t="s">
        <v>3022</v>
      </c>
      <c r="C558" s="3" t="s">
        <v>3023</v>
      </c>
      <c r="D558" s="3" t="s">
        <v>3005</v>
      </c>
      <c r="E558" s="3" t="s">
        <v>340</v>
      </c>
      <c r="F558" s="3">
        <v>39.99</v>
      </c>
      <c r="G558" s="3" t="s">
        <v>2572</v>
      </c>
      <c r="H558" s="3"/>
      <c r="I558" s="3" t="s">
        <v>2573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</row>
    <row r="559" spans="1:18">
      <c r="A559" s="3" t="s">
        <v>3024</v>
      </c>
      <c r="B559" s="3" t="s">
        <v>3025</v>
      </c>
      <c r="C559" s="3" t="s">
        <v>3026</v>
      </c>
      <c r="D559" s="3" t="s">
        <v>3005</v>
      </c>
      <c r="E559" s="3" t="s">
        <v>340</v>
      </c>
      <c r="F559" s="3">
        <v>39.99</v>
      </c>
      <c r="G559" s="3" t="s">
        <v>2572</v>
      </c>
      <c r="H559" s="3"/>
      <c r="I559" s="3" t="s">
        <v>2573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</row>
    <row r="560" spans="1:18">
      <c r="A560" s="3" t="s">
        <v>3027</v>
      </c>
      <c r="B560" s="3" t="s">
        <v>3028</v>
      </c>
      <c r="C560" s="3" t="s">
        <v>3029</v>
      </c>
      <c r="D560" s="3" t="s">
        <v>3030</v>
      </c>
      <c r="E560" s="3" t="s">
        <v>340</v>
      </c>
      <c r="F560" s="3">
        <v>39.99</v>
      </c>
      <c r="G560" s="3" t="s">
        <v>2572</v>
      </c>
      <c r="H560" s="3"/>
      <c r="I560" s="3" t="s">
        <v>2573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</row>
    <row r="561" spans="1:18">
      <c r="A561" s="3" t="s">
        <v>3031</v>
      </c>
      <c r="B561" s="3" t="s">
        <v>3032</v>
      </c>
      <c r="C561" s="3" t="s">
        <v>3033</v>
      </c>
      <c r="D561" s="3" t="s">
        <v>3030</v>
      </c>
      <c r="E561" s="3" t="s">
        <v>340</v>
      </c>
      <c r="F561" s="3">
        <v>39.99</v>
      </c>
      <c r="G561" s="3" t="s">
        <v>2572</v>
      </c>
      <c r="H561" s="3"/>
      <c r="I561" s="3" t="s">
        <v>2573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</row>
    <row r="562" spans="1:18">
      <c r="A562" s="3" t="s">
        <v>3034</v>
      </c>
      <c r="B562" s="3" t="s">
        <v>3035</v>
      </c>
      <c r="C562" s="3" t="s">
        <v>3036</v>
      </c>
      <c r="D562" s="3" t="s">
        <v>3030</v>
      </c>
      <c r="E562" s="3" t="s">
        <v>340</v>
      </c>
      <c r="F562" s="3">
        <v>39.99</v>
      </c>
      <c r="G562" s="3" t="s">
        <v>2572</v>
      </c>
      <c r="H562" s="3"/>
      <c r="I562" s="3" t="s">
        <v>2573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</v>
      </c>
      <c r="P562" s="3">
        <v>0</v>
      </c>
      <c r="Q562" s="3">
        <v>0</v>
      </c>
      <c r="R562" s="3">
        <v>0</v>
      </c>
    </row>
    <row r="563" spans="1:18">
      <c r="A563" s="3" t="s">
        <v>3037</v>
      </c>
      <c r="B563" s="3" t="s">
        <v>3038</v>
      </c>
      <c r="C563" s="3" t="s">
        <v>3039</v>
      </c>
      <c r="D563" s="3" t="s">
        <v>3040</v>
      </c>
      <c r="E563" s="3" t="s">
        <v>340</v>
      </c>
      <c r="F563" s="3">
        <v>39.99</v>
      </c>
      <c r="G563" s="3" t="s">
        <v>2572</v>
      </c>
      <c r="H563" s="3"/>
      <c r="I563" s="3" t="s">
        <v>2573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</row>
    <row r="564" spans="1:18">
      <c r="A564" s="3" t="s">
        <v>3041</v>
      </c>
      <c r="B564" s="3" t="s">
        <v>3042</v>
      </c>
      <c r="C564" s="3" t="s">
        <v>3043</v>
      </c>
      <c r="D564" s="3" t="s">
        <v>123</v>
      </c>
      <c r="E564" s="3" t="s">
        <v>340</v>
      </c>
      <c r="F564" s="3">
        <v>39.99</v>
      </c>
      <c r="G564" s="3" t="s">
        <v>2572</v>
      </c>
      <c r="H564" s="3"/>
      <c r="I564" s="3" t="s">
        <v>2573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</row>
    <row r="565" spans="1:18">
      <c r="A565" s="3" t="s">
        <v>3044</v>
      </c>
      <c r="B565" s="3" t="s">
        <v>3045</v>
      </c>
      <c r="C565" s="3" t="s">
        <v>3046</v>
      </c>
      <c r="D565" s="3" t="s">
        <v>123</v>
      </c>
      <c r="E565" s="3" t="s">
        <v>340</v>
      </c>
      <c r="F565" s="3">
        <v>39.99</v>
      </c>
      <c r="G565" s="3" t="s">
        <v>2572</v>
      </c>
      <c r="H565" s="3"/>
      <c r="I565" s="3" t="s">
        <v>2573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</row>
    <row r="566" spans="1:18">
      <c r="A566" s="3" t="s">
        <v>3047</v>
      </c>
      <c r="B566" s="3" t="s">
        <v>3048</v>
      </c>
      <c r="C566" s="3" t="s">
        <v>3049</v>
      </c>
      <c r="D566" s="3" t="s">
        <v>123</v>
      </c>
      <c r="E566" s="3" t="s">
        <v>340</v>
      </c>
      <c r="F566" s="3">
        <v>39.99</v>
      </c>
      <c r="G566" s="3" t="s">
        <v>2572</v>
      </c>
      <c r="H566" s="3"/>
      <c r="I566" s="3" t="s">
        <v>2573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</row>
    <row r="567" spans="1:18">
      <c r="A567" s="3" t="s">
        <v>3050</v>
      </c>
      <c r="B567" s="3" t="s">
        <v>3051</v>
      </c>
      <c r="C567" s="3" t="s">
        <v>3052</v>
      </c>
      <c r="D567" s="3" t="s">
        <v>123</v>
      </c>
      <c r="E567" s="3" t="s">
        <v>340</v>
      </c>
      <c r="F567" s="3">
        <v>39.99</v>
      </c>
      <c r="G567" s="3" t="s">
        <v>2572</v>
      </c>
      <c r="H567" s="3"/>
      <c r="I567" s="3" t="s">
        <v>2573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</row>
    <row r="568" spans="1:18">
      <c r="A568" s="3" t="s">
        <v>3053</v>
      </c>
      <c r="B568" s="3" t="s">
        <v>3054</v>
      </c>
      <c r="C568" s="3" t="s">
        <v>3055</v>
      </c>
      <c r="D568" s="3" t="s">
        <v>123</v>
      </c>
      <c r="E568" s="3" t="s">
        <v>340</v>
      </c>
      <c r="F568" s="3">
        <v>39.99</v>
      </c>
      <c r="G568" s="3" t="s">
        <v>2572</v>
      </c>
      <c r="H568" s="3"/>
      <c r="I568" s="3" t="s">
        <v>2573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</row>
    <row r="569" spans="1:18">
      <c r="A569" s="3" t="s">
        <v>120</v>
      </c>
      <c r="B569" s="3" t="s">
        <v>121</v>
      </c>
      <c r="C569" s="3" t="s">
        <v>122</v>
      </c>
      <c r="D569" s="3" t="s">
        <v>123</v>
      </c>
      <c r="E569" s="3" t="s">
        <v>340</v>
      </c>
      <c r="F569" s="3">
        <v>39.99</v>
      </c>
      <c r="G569" s="3" t="s">
        <v>2572</v>
      </c>
      <c r="H569" s="3"/>
      <c r="I569" s="3" t="s">
        <v>2573</v>
      </c>
      <c r="J569" s="3">
        <v>17</v>
      </c>
      <c r="K569" s="3">
        <v>13</v>
      </c>
      <c r="L569" s="3">
        <v>0</v>
      </c>
      <c r="M569" s="3">
        <v>4</v>
      </c>
      <c r="N569" s="3">
        <v>18</v>
      </c>
      <c r="O569" s="3">
        <v>0.11</v>
      </c>
      <c r="P569" s="3">
        <v>0</v>
      </c>
      <c r="Q569" s="3">
        <v>1</v>
      </c>
      <c r="R569" s="3">
        <v>0</v>
      </c>
    </row>
    <row r="570" spans="1:18">
      <c r="A570" s="3" t="s">
        <v>751</v>
      </c>
      <c r="B570" s="3" t="s">
        <v>752</v>
      </c>
      <c r="C570" s="3" t="s">
        <v>753</v>
      </c>
      <c r="D570" s="3" t="s">
        <v>123</v>
      </c>
      <c r="E570" s="3" t="s">
        <v>340</v>
      </c>
      <c r="F570" s="3">
        <v>39.99</v>
      </c>
      <c r="G570" s="3" t="s">
        <v>2572</v>
      </c>
      <c r="H570" s="3"/>
      <c r="I570" s="3" t="s">
        <v>2573</v>
      </c>
      <c r="J570" s="3">
        <v>96</v>
      </c>
      <c r="K570" s="3">
        <v>96</v>
      </c>
      <c r="L570" s="3">
        <v>0</v>
      </c>
      <c r="M570" s="3">
        <v>0</v>
      </c>
      <c r="N570" s="3">
        <v>96</v>
      </c>
      <c r="O570" s="3">
        <v>0.11</v>
      </c>
      <c r="P570" s="3">
        <v>0</v>
      </c>
      <c r="Q570" s="3">
        <v>0</v>
      </c>
      <c r="R570" s="3">
        <v>0</v>
      </c>
    </row>
    <row r="571" spans="1:18">
      <c r="A571" s="3" t="s">
        <v>124</v>
      </c>
      <c r="B571" s="3" t="s">
        <v>125</v>
      </c>
      <c r="C571" s="3" t="s">
        <v>126</v>
      </c>
      <c r="D571" s="3" t="s">
        <v>123</v>
      </c>
      <c r="E571" s="3" t="s">
        <v>340</v>
      </c>
      <c r="F571" s="3">
        <v>39.99</v>
      </c>
      <c r="G571" s="3" t="s">
        <v>2572</v>
      </c>
      <c r="H571" s="3"/>
      <c r="I571" s="3" t="s">
        <v>2573</v>
      </c>
      <c r="J571" s="3">
        <v>104</v>
      </c>
      <c r="K571" s="3">
        <v>103</v>
      </c>
      <c r="L571" s="3">
        <v>0</v>
      </c>
      <c r="M571" s="3">
        <v>1</v>
      </c>
      <c r="N571" s="3">
        <v>104</v>
      </c>
      <c r="O571" s="3">
        <v>0.11</v>
      </c>
      <c r="P571" s="3">
        <v>0</v>
      </c>
      <c r="Q571" s="3">
        <v>0</v>
      </c>
      <c r="R571" s="3">
        <v>0</v>
      </c>
    </row>
    <row r="572" spans="1:18">
      <c r="A572" s="3" t="s">
        <v>3056</v>
      </c>
      <c r="B572" s="3" t="s">
        <v>3057</v>
      </c>
      <c r="C572" s="3" t="s">
        <v>3058</v>
      </c>
      <c r="D572" s="3" t="s">
        <v>123</v>
      </c>
      <c r="E572" s="3" t="s">
        <v>340</v>
      </c>
      <c r="F572" s="3">
        <v>39.99</v>
      </c>
      <c r="G572" s="3" t="s">
        <v>2572</v>
      </c>
      <c r="H572" s="3"/>
      <c r="I572" s="3" t="s">
        <v>2573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</row>
    <row r="573" spans="1:18">
      <c r="A573" s="3" t="s">
        <v>1082</v>
      </c>
      <c r="B573" s="3" t="s">
        <v>1083</v>
      </c>
      <c r="C573" s="3" t="s">
        <v>1084</v>
      </c>
      <c r="D573" s="3" t="s">
        <v>123</v>
      </c>
      <c r="E573" s="3" t="s">
        <v>340</v>
      </c>
      <c r="F573" s="3">
        <v>39.99</v>
      </c>
      <c r="G573" s="3" t="s">
        <v>2572</v>
      </c>
      <c r="H573" s="3"/>
      <c r="I573" s="3" t="s">
        <v>2573</v>
      </c>
      <c r="J573" s="3">
        <v>26</v>
      </c>
      <c r="K573" s="3">
        <v>26</v>
      </c>
      <c r="L573" s="3">
        <v>0</v>
      </c>
      <c r="M573" s="3">
        <v>0</v>
      </c>
      <c r="N573" s="3">
        <v>26</v>
      </c>
      <c r="O573" s="3">
        <v>0.11</v>
      </c>
      <c r="P573" s="3">
        <v>0</v>
      </c>
      <c r="Q573" s="3">
        <v>0</v>
      </c>
      <c r="R573" s="3">
        <v>0</v>
      </c>
    </row>
    <row r="574" spans="1:18">
      <c r="A574" s="3" t="s">
        <v>3059</v>
      </c>
      <c r="B574" s="3" t="s">
        <v>3060</v>
      </c>
      <c r="C574" s="3" t="s">
        <v>3061</v>
      </c>
      <c r="D574" s="3" t="s">
        <v>159</v>
      </c>
      <c r="E574" s="3" t="s">
        <v>340</v>
      </c>
      <c r="F574" s="3">
        <v>39.99</v>
      </c>
      <c r="G574" s="3" t="s">
        <v>2572</v>
      </c>
      <c r="H574" s="3"/>
      <c r="I574" s="3" t="s">
        <v>2573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</row>
    <row r="575" spans="1:18">
      <c r="A575" s="3" t="s">
        <v>3062</v>
      </c>
      <c r="B575" s="3" t="s">
        <v>3063</v>
      </c>
      <c r="C575" s="3" t="s">
        <v>3064</v>
      </c>
      <c r="D575" s="3" t="s">
        <v>159</v>
      </c>
      <c r="E575" s="3" t="s">
        <v>340</v>
      </c>
      <c r="F575" s="3">
        <v>39.99</v>
      </c>
      <c r="G575" s="3" t="s">
        <v>2572</v>
      </c>
      <c r="H575" s="3"/>
      <c r="I575" s="3" t="s">
        <v>2573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</row>
    <row r="576" spans="1:18">
      <c r="A576" s="3" t="s">
        <v>3065</v>
      </c>
      <c r="B576" s="3" t="s">
        <v>3066</v>
      </c>
      <c r="C576" s="3" t="s">
        <v>3067</v>
      </c>
      <c r="D576" s="3" t="s">
        <v>123</v>
      </c>
      <c r="E576" s="3" t="s">
        <v>340</v>
      </c>
      <c r="F576" s="3">
        <v>39.99</v>
      </c>
      <c r="G576" s="3" t="s">
        <v>2572</v>
      </c>
      <c r="H576" s="3"/>
      <c r="I576" s="3" t="s">
        <v>2573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</row>
    <row r="577" spans="1:18">
      <c r="A577" s="3" t="s">
        <v>3068</v>
      </c>
      <c r="B577" s="3" t="s">
        <v>3069</v>
      </c>
      <c r="C577" s="3" t="s">
        <v>3070</v>
      </c>
      <c r="D577" s="3" t="s">
        <v>159</v>
      </c>
      <c r="E577" s="3" t="s">
        <v>340</v>
      </c>
      <c r="F577" s="3">
        <v>39.99</v>
      </c>
      <c r="G577" s="3" t="s">
        <v>2572</v>
      </c>
      <c r="H577" s="3"/>
      <c r="I577" s="3" t="s">
        <v>2573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</row>
    <row r="578" spans="1:18">
      <c r="A578" s="3" t="s">
        <v>3071</v>
      </c>
      <c r="B578" s="3" t="s">
        <v>3072</v>
      </c>
      <c r="C578" s="3" t="s">
        <v>3073</v>
      </c>
      <c r="D578" s="3" t="s">
        <v>123</v>
      </c>
      <c r="E578" s="3" t="s">
        <v>340</v>
      </c>
      <c r="F578" s="3">
        <v>39.99</v>
      </c>
      <c r="G578" s="3" t="s">
        <v>2572</v>
      </c>
      <c r="H578" s="3"/>
      <c r="I578" s="3" t="s">
        <v>2573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</row>
    <row r="579" spans="1:18">
      <c r="A579" s="3" t="s">
        <v>3074</v>
      </c>
      <c r="B579" s="3" t="s">
        <v>3075</v>
      </c>
      <c r="C579" s="3" t="s">
        <v>3076</v>
      </c>
      <c r="D579" s="3" t="s">
        <v>3077</v>
      </c>
      <c r="E579" s="3" t="s">
        <v>340</v>
      </c>
      <c r="F579" s="3">
        <v>39.99</v>
      </c>
      <c r="G579" s="3" t="s">
        <v>2572</v>
      </c>
      <c r="H579" s="3"/>
      <c r="I579" s="3" t="s">
        <v>2573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</v>
      </c>
      <c r="Q579" s="3">
        <v>0</v>
      </c>
      <c r="R579" s="3">
        <v>0</v>
      </c>
    </row>
    <row r="580" spans="1:18">
      <c r="A580" s="3" t="s">
        <v>3078</v>
      </c>
      <c r="B580" s="3" t="s">
        <v>3079</v>
      </c>
      <c r="C580" s="3" t="s">
        <v>3080</v>
      </c>
      <c r="D580" s="3" t="s">
        <v>3077</v>
      </c>
      <c r="E580" s="3" t="s">
        <v>340</v>
      </c>
      <c r="F580" s="3">
        <v>39.99</v>
      </c>
      <c r="G580" s="3" t="s">
        <v>2572</v>
      </c>
      <c r="H580" s="3"/>
      <c r="I580" s="3" t="s">
        <v>2573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</row>
    <row r="581" spans="1:18">
      <c r="A581" s="3" t="s">
        <v>3081</v>
      </c>
      <c r="B581" s="3" t="s">
        <v>3082</v>
      </c>
      <c r="C581" s="3" t="s">
        <v>3083</v>
      </c>
      <c r="D581" s="3" t="s">
        <v>3077</v>
      </c>
      <c r="E581" s="3" t="s">
        <v>340</v>
      </c>
      <c r="F581" s="3">
        <v>39.99</v>
      </c>
      <c r="G581" s="3" t="s">
        <v>2572</v>
      </c>
      <c r="H581" s="3"/>
      <c r="I581" s="3" t="s">
        <v>2573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</row>
    <row r="582" spans="1:18">
      <c r="A582" s="3" t="s">
        <v>3084</v>
      </c>
      <c r="B582" s="3" t="s">
        <v>3085</v>
      </c>
      <c r="C582" s="3" t="s">
        <v>3086</v>
      </c>
      <c r="D582" s="3" t="s">
        <v>3077</v>
      </c>
      <c r="E582" s="3" t="s">
        <v>340</v>
      </c>
      <c r="F582" s="3">
        <v>39.99</v>
      </c>
      <c r="G582" s="3" t="s">
        <v>2572</v>
      </c>
      <c r="H582" s="3"/>
      <c r="I582" s="3" t="s">
        <v>2573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</row>
    <row r="583" spans="1:18">
      <c r="A583" s="3" t="s">
        <v>3087</v>
      </c>
      <c r="B583" s="3" t="s">
        <v>3088</v>
      </c>
      <c r="C583" s="3" t="s">
        <v>3089</v>
      </c>
      <c r="D583" s="3" t="s">
        <v>3077</v>
      </c>
      <c r="E583" s="3" t="s">
        <v>340</v>
      </c>
      <c r="F583" s="3">
        <v>39.99</v>
      </c>
      <c r="G583" s="3" t="s">
        <v>2572</v>
      </c>
      <c r="H583" s="3"/>
      <c r="I583" s="3" t="s">
        <v>2573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</row>
    <row r="584" spans="1:18">
      <c r="A584" s="3" t="s">
        <v>3090</v>
      </c>
      <c r="B584" s="3" t="s">
        <v>3091</v>
      </c>
      <c r="C584" s="3" t="s">
        <v>3092</v>
      </c>
      <c r="D584" s="3" t="s">
        <v>3093</v>
      </c>
      <c r="E584" s="3" t="s">
        <v>340</v>
      </c>
      <c r="F584" s="3">
        <v>39.99</v>
      </c>
      <c r="G584" s="3" t="s">
        <v>2572</v>
      </c>
      <c r="H584" s="3"/>
      <c r="I584" s="3" t="s">
        <v>2573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</row>
    <row r="585" spans="1:18">
      <c r="A585" s="3" t="s">
        <v>3094</v>
      </c>
      <c r="B585" s="3" t="s">
        <v>3095</v>
      </c>
      <c r="C585" s="3" t="s">
        <v>3096</v>
      </c>
      <c r="D585" s="3" t="s">
        <v>3093</v>
      </c>
      <c r="E585" s="3" t="s">
        <v>340</v>
      </c>
      <c r="F585" s="3">
        <v>39.99</v>
      </c>
      <c r="G585" s="3" t="s">
        <v>2572</v>
      </c>
      <c r="H585" s="3"/>
      <c r="I585" s="3" t="s">
        <v>2573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</row>
    <row r="586" spans="1:18">
      <c r="A586" s="3" t="s">
        <v>3097</v>
      </c>
      <c r="B586" s="3" t="s">
        <v>3098</v>
      </c>
      <c r="C586" s="3" t="s">
        <v>3099</v>
      </c>
      <c r="D586" s="3" t="s">
        <v>3093</v>
      </c>
      <c r="E586" s="3" t="s">
        <v>340</v>
      </c>
      <c r="F586" s="3">
        <v>39.99</v>
      </c>
      <c r="G586" s="3" t="s">
        <v>2572</v>
      </c>
      <c r="H586" s="3"/>
      <c r="I586" s="3" t="s">
        <v>2573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</v>
      </c>
      <c r="P586" s="3">
        <v>0</v>
      </c>
      <c r="Q586" s="3">
        <v>0</v>
      </c>
      <c r="R586" s="3">
        <v>0</v>
      </c>
    </row>
    <row r="587" spans="1:18">
      <c r="A587" s="3" t="s">
        <v>3100</v>
      </c>
      <c r="B587" s="3" t="s">
        <v>3101</v>
      </c>
      <c r="C587" s="3" t="s">
        <v>3102</v>
      </c>
      <c r="D587" s="3" t="s">
        <v>3093</v>
      </c>
      <c r="E587" s="3" t="s">
        <v>340</v>
      </c>
      <c r="F587" s="3">
        <v>39.99</v>
      </c>
      <c r="G587" s="3" t="s">
        <v>2572</v>
      </c>
      <c r="H587" s="3"/>
      <c r="I587" s="3" t="s">
        <v>2573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</row>
    <row r="588" spans="1:18">
      <c r="A588" s="3" t="s">
        <v>3103</v>
      </c>
      <c r="B588" s="3" t="s">
        <v>3104</v>
      </c>
      <c r="C588" s="3" t="s">
        <v>3105</v>
      </c>
      <c r="D588" s="3" t="s">
        <v>3093</v>
      </c>
      <c r="E588" s="3" t="s">
        <v>340</v>
      </c>
      <c r="F588" s="3">
        <v>39.99</v>
      </c>
      <c r="G588" s="3" t="s">
        <v>2572</v>
      </c>
      <c r="H588" s="3"/>
      <c r="I588" s="3" t="s">
        <v>2573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</row>
    <row r="589" spans="1:18">
      <c r="A589" s="3" t="s">
        <v>3106</v>
      </c>
      <c r="B589" s="3" t="s">
        <v>3107</v>
      </c>
      <c r="C589" s="3" t="s">
        <v>3108</v>
      </c>
      <c r="D589" s="3" t="s">
        <v>3093</v>
      </c>
      <c r="E589" s="3" t="s">
        <v>340</v>
      </c>
      <c r="F589" s="3">
        <v>39.99</v>
      </c>
      <c r="G589" s="3" t="s">
        <v>2572</v>
      </c>
      <c r="H589" s="3"/>
      <c r="I589" s="3" t="s">
        <v>2573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</row>
    <row r="590" spans="1:18">
      <c r="A590" s="3" t="s">
        <v>3109</v>
      </c>
      <c r="B590" s="3" t="s">
        <v>3110</v>
      </c>
      <c r="C590" s="3" t="s">
        <v>3111</v>
      </c>
      <c r="D590" s="3" t="s">
        <v>123</v>
      </c>
      <c r="E590" s="3" t="s">
        <v>340</v>
      </c>
      <c r="F590" s="3">
        <v>39.99</v>
      </c>
      <c r="G590" s="3" t="s">
        <v>2572</v>
      </c>
      <c r="H590" s="3"/>
      <c r="I590" s="3" t="s">
        <v>2573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</row>
    <row r="591" spans="1:18">
      <c r="A591" s="3" t="s">
        <v>3112</v>
      </c>
      <c r="B591" s="3" t="s">
        <v>3113</v>
      </c>
      <c r="C591" s="3" t="s">
        <v>3114</v>
      </c>
      <c r="D591" s="3" t="s">
        <v>123</v>
      </c>
      <c r="E591" s="3" t="s">
        <v>340</v>
      </c>
      <c r="F591" s="3">
        <v>39.99</v>
      </c>
      <c r="G591" s="3" t="s">
        <v>2572</v>
      </c>
      <c r="H591" s="3"/>
      <c r="I591" s="3" t="s">
        <v>2573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3">
        <v>0</v>
      </c>
      <c r="Q591" s="3">
        <v>0</v>
      </c>
      <c r="R591" s="3">
        <v>0</v>
      </c>
    </row>
    <row r="592" spans="1:18">
      <c r="A592" s="3" t="s">
        <v>3115</v>
      </c>
      <c r="B592" s="3" t="s">
        <v>3116</v>
      </c>
      <c r="C592" s="3" t="s">
        <v>3117</v>
      </c>
      <c r="D592" s="3" t="s">
        <v>123</v>
      </c>
      <c r="E592" s="3" t="s">
        <v>340</v>
      </c>
      <c r="F592" s="3">
        <v>39.99</v>
      </c>
      <c r="G592" s="3" t="s">
        <v>2572</v>
      </c>
      <c r="H592" s="3"/>
      <c r="I592" s="3" t="s">
        <v>2573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</row>
    <row r="593" spans="1:18">
      <c r="A593" s="3" t="s">
        <v>3118</v>
      </c>
      <c r="B593" s="3" t="s">
        <v>3119</v>
      </c>
      <c r="C593" s="3" t="s">
        <v>3120</v>
      </c>
      <c r="D593" s="3" t="s">
        <v>3121</v>
      </c>
      <c r="E593" s="3" t="s">
        <v>340</v>
      </c>
      <c r="F593" s="3">
        <v>39.99</v>
      </c>
      <c r="G593" s="3" t="s">
        <v>2572</v>
      </c>
      <c r="H593" s="3"/>
      <c r="I593" s="3" t="s">
        <v>2573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0.03</v>
      </c>
      <c r="P593" s="3">
        <v>0</v>
      </c>
      <c r="Q593" s="3">
        <v>0</v>
      </c>
      <c r="R593" s="3">
        <v>0</v>
      </c>
    </row>
    <row r="594" spans="1:18">
      <c r="A594" s="3" t="s">
        <v>3122</v>
      </c>
      <c r="B594" s="3" t="s">
        <v>3123</v>
      </c>
      <c r="C594" s="3" t="s">
        <v>3124</v>
      </c>
      <c r="D594" s="3" t="s">
        <v>3121</v>
      </c>
      <c r="E594" s="3" t="s">
        <v>340</v>
      </c>
      <c r="F594" s="3">
        <v>39.99</v>
      </c>
      <c r="G594" s="3" t="s">
        <v>2572</v>
      </c>
      <c r="H594" s="3"/>
      <c r="I594" s="3" t="s">
        <v>2573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0.03</v>
      </c>
      <c r="P594" s="3">
        <v>0</v>
      </c>
      <c r="Q594" s="3">
        <v>0</v>
      </c>
      <c r="R594" s="3">
        <v>0</v>
      </c>
    </row>
    <row r="595" spans="1:18">
      <c r="A595" s="3" t="s">
        <v>3125</v>
      </c>
      <c r="B595" s="3" t="s">
        <v>3126</v>
      </c>
      <c r="C595" s="3" t="s">
        <v>3127</v>
      </c>
      <c r="D595" s="3" t="s">
        <v>3121</v>
      </c>
      <c r="E595" s="3" t="s">
        <v>340</v>
      </c>
      <c r="F595" s="3">
        <v>39.99</v>
      </c>
      <c r="G595" s="3" t="s">
        <v>2572</v>
      </c>
      <c r="H595" s="3"/>
      <c r="I595" s="3" t="s">
        <v>2573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0.03</v>
      </c>
      <c r="P595" s="3">
        <v>0</v>
      </c>
      <c r="Q595" s="3">
        <v>0</v>
      </c>
      <c r="R595" s="3">
        <v>0</v>
      </c>
    </row>
    <row r="596" spans="1:18">
      <c r="A596" s="3" t="s">
        <v>3128</v>
      </c>
      <c r="B596" s="3" t="s">
        <v>3129</v>
      </c>
      <c r="C596" s="3" t="s">
        <v>3130</v>
      </c>
      <c r="D596" s="3" t="s">
        <v>3121</v>
      </c>
      <c r="E596" s="3" t="s">
        <v>340</v>
      </c>
      <c r="F596" s="3">
        <v>39.99</v>
      </c>
      <c r="G596" s="3" t="s">
        <v>2572</v>
      </c>
      <c r="H596" s="3"/>
      <c r="I596" s="3" t="s">
        <v>2573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0.03</v>
      </c>
      <c r="P596" s="3">
        <v>0</v>
      </c>
      <c r="Q596" s="3">
        <v>0</v>
      </c>
      <c r="R596" s="3">
        <v>0</v>
      </c>
    </row>
    <row r="597" spans="1:18">
      <c r="A597" s="3" t="s">
        <v>3131</v>
      </c>
      <c r="B597" s="3" t="s">
        <v>3132</v>
      </c>
      <c r="C597" s="3" t="s">
        <v>3133</v>
      </c>
      <c r="D597" s="3" t="s">
        <v>3134</v>
      </c>
      <c r="E597" s="3" t="s">
        <v>340</v>
      </c>
      <c r="F597" s="3">
        <v>39.99</v>
      </c>
      <c r="G597" s="3" t="s">
        <v>2572</v>
      </c>
      <c r="H597" s="3"/>
      <c r="I597" s="3" t="s">
        <v>2573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0.03</v>
      </c>
      <c r="P597" s="3">
        <v>0</v>
      </c>
      <c r="Q597" s="3">
        <v>0</v>
      </c>
      <c r="R597" s="3">
        <v>0</v>
      </c>
    </row>
    <row r="598" spans="1:18">
      <c r="A598" s="3" t="s">
        <v>3135</v>
      </c>
      <c r="B598" s="3" t="s">
        <v>3136</v>
      </c>
      <c r="C598" s="3" t="s">
        <v>3137</v>
      </c>
      <c r="D598" s="3" t="s">
        <v>3134</v>
      </c>
      <c r="E598" s="3" t="s">
        <v>340</v>
      </c>
      <c r="F598" s="3">
        <v>39.99</v>
      </c>
      <c r="G598" s="3" t="s">
        <v>2572</v>
      </c>
      <c r="H598" s="3"/>
      <c r="I598" s="3" t="s">
        <v>2573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0.03</v>
      </c>
      <c r="P598" s="3">
        <v>0</v>
      </c>
      <c r="Q598" s="3">
        <v>0</v>
      </c>
      <c r="R598" s="3">
        <v>0</v>
      </c>
    </row>
    <row r="599" spans="1:18">
      <c r="A599" s="3" t="s">
        <v>3138</v>
      </c>
      <c r="B599" s="3" t="s">
        <v>3139</v>
      </c>
      <c r="C599" s="3" t="s">
        <v>3140</v>
      </c>
      <c r="D599" s="3" t="s">
        <v>3134</v>
      </c>
      <c r="E599" s="3" t="s">
        <v>340</v>
      </c>
      <c r="F599" s="3">
        <v>39.99</v>
      </c>
      <c r="G599" s="3" t="s">
        <v>2572</v>
      </c>
      <c r="H599" s="3"/>
      <c r="I599" s="3" t="s">
        <v>2573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0.03</v>
      </c>
      <c r="P599" s="3">
        <v>0</v>
      </c>
      <c r="Q599" s="3">
        <v>0</v>
      </c>
      <c r="R599" s="3">
        <v>0</v>
      </c>
    </row>
    <row r="600" spans="1:18">
      <c r="A600" s="3" t="s">
        <v>3141</v>
      </c>
      <c r="B600" s="3" t="s">
        <v>3142</v>
      </c>
      <c r="C600" s="3" t="s">
        <v>3143</v>
      </c>
      <c r="D600" s="3" t="s">
        <v>3134</v>
      </c>
      <c r="E600" s="3" t="s">
        <v>340</v>
      </c>
      <c r="F600" s="3">
        <v>39.99</v>
      </c>
      <c r="G600" s="3" t="s">
        <v>2572</v>
      </c>
      <c r="H600" s="3"/>
      <c r="I600" s="3" t="s">
        <v>2573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0.03</v>
      </c>
      <c r="P600" s="3">
        <v>0</v>
      </c>
      <c r="Q600" s="3">
        <v>0</v>
      </c>
      <c r="R600" s="3">
        <v>0</v>
      </c>
    </row>
    <row r="601" spans="1:18">
      <c r="A601" s="3" t="s">
        <v>3144</v>
      </c>
      <c r="B601" s="3" t="s">
        <v>3145</v>
      </c>
      <c r="C601" s="3" t="s">
        <v>3146</v>
      </c>
      <c r="D601" s="3" t="s">
        <v>3147</v>
      </c>
      <c r="E601" s="3" t="s">
        <v>340</v>
      </c>
      <c r="F601" s="3">
        <v>39.99</v>
      </c>
      <c r="G601" s="3" t="s">
        <v>2572</v>
      </c>
      <c r="H601" s="3"/>
      <c r="I601" s="3" t="s">
        <v>2573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0.03</v>
      </c>
      <c r="P601" s="3">
        <v>0</v>
      </c>
      <c r="Q601" s="3">
        <v>0</v>
      </c>
      <c r="R601" s="3">
        <v>0</v>
      </c>
    </row>
    <row r="602" spans="1:18">
      <c r="A602" s="3" t="s">
        <v>3148</v>
      </c>
      <c r="B602" s="3" t="s">
        <v>3149</v>
      </c>
      <c r="C602" s="3" t="s">
        <v>3150</v>
      </c>
      <c r="D602" s="3" t="s">
        <v>3147</v>
      </c>
      <c r="E602" s="3" t="s">
        <v>340</v>
      </c>
      <c r="F602" s="3">
        <v>39.99</v>
      </c>
      <c r="G602" s="3" t="s">
        <v>2572</v>
      </c>
      <c r="H602" s="3"/>
      <c r="I602" s="3" t="s">
        <v>2573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0.03</v>
      </c>
      <c r="P602" s="3">
        <v>0</v>
      </c>
      <c r="Q602" s="3">
        <v>0</v>
      </c>
      <c r="R602" s="3">
        <v>0</v>
      </c>
    </row>
    <row r="603" spans="1:18">
      <c r="A603" s="3" t="s">
        <v>3151</v>
      </c>
      <c r="B603" s="3" t="s">
        <v>3152</v>
      </c>
      <c r="C603" s="3" t="s">
        <v>3153</v>
      </c>
      <c r="D603" s="3" t="s">
        <v>3147</v>
      </c>
      <c r="E603" s="3" t="s">
        <v>340</v>
      </c>
      <c r="F603" s="3">
        <v>39.99</v>
      </c>
      <c r="G603" s="3" t="s">
        <v>2572</v>
      </c>
      <c r="H603" s="3"/>
      <c r="I603" s="3" t="s">
        <v>2573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0.03</v>
      </c>
      <c r="P603" s="3">
        <v>0</v>
      </c>
      <c r="Q603" s="3">
        <v>0</v>
      </c>
      <c r="R603" s="3">
        <v>0</v>
      </c>
    </row>
    <row r="604" spans="1:18">
      <c r="A604" s="3" t="s">
        <v>3154</v>
      </c>
      <c r="B604" s="3" t="s">
        <v>3155</v>
      </c>
      <c r="C604" s="3" t="s">
        <v>3156</v>
      </c>
      <c r="D604" s="3" t="s">
        <v>3147</v>
      </c>
      <c r="E604" s="3" t="s">
        <v>340</v>
      </c>
      <c r="F604" s="3">
        <v>39.99</v>
      </c>
      <c r="G604" s="3" t="s">
        <v>2572</v>
      </c>
      <c r="H604" s="3"/>
      <c r="I604" s="3" t="s">
        <v>2573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0.03</v>
      </c>
      <c r="P604" s="3">
        <v>0</v>
      </c>
      <c r="Q604" s="3">
        <v>0</v>
      </c>
      <c r="R604" s="3">
        <v>0</v>
      </c>
    </row>
    <row r="605" spans="1:18">
      <c r="A605" s="3" t="s">
        <v>3157</v>
      </c>
      <c r="B605" s="3" t="s">
        <v>3158</v>
      </c>
      <c r="C605" s="3" t="s">
        <v>3159</v>
      </c>
      <c r="D605" s="3"/>
      <c r="E605" s="3" t="s">
        <v>2823</v>
      </c>
      <c r="F605" s="3"/>
      <c r="G605" s="3"/>
      <c r="H605" s="3"/>
      <c r="I605" s="3"/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/>
      <c r="P605" s="3">
        <v>0</v>
      </c>
      <c r="Q605" s="3">
        <v>0</v>
      </c>
      <c r="R605" s="3">
        <v>0</v>
      </c>
    </row>
    <row r="606" spans="1:18">
      <c r="A606" s="3" t="s">
        <v>3160</v>
      </c>
      <c r="B606" s="3" t="s">
        <v>3161</v>
      </c>
      <c r="C606" s="3" t="s">
        <v>3162</v>
      </c>
      <c r="D606" s="3"/>
      <c r="E606" s="3" t="s">
        <v>2823</v>
      </c>
      <c r="F606" s="3"/>
      <c r="G606" s="3"/>
      <c r="H606" s="3"/>
      <c r="I606" s="3"/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/>
      <c r="P606" s="3">
        <v>0</v>
      </c>
      <c r="Q606" s="3">
        <v>0</v>
      </c>
      <c r="R606" s="3">
        <v>0</v>
      </c>
    </row>
    <row r="607" spans="1:18">
      <c r="A607" s="3" t="s">
        <v>3163</v>
      </c>
      <c r="B607" s="3" t="s">
        <v>3164</v>
      </c>
      <c r="C607" s="3" t="s">
        <v>3165</v>
      </c>
      <c r="D607" s="3"/>
      <c r="E607" s="3" t="s">
        <v>2823</v>
      </c>
      <c r="F607" s="3"/>
      <c r="G607" s="3"/>
      <c r="H607" s="3"/>
      <c r="I607" s="3"/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/>
      <c r="P607" s="3">
        <v>0</v>
      </c>
      <c r="Q607" s="3">
        <v>0</v>
      </c>
      <c r="R607" s="3">
        <v>0</v>
      </c>
    </row>
    <row r="608" spans="1:18">
      <c r="A608" s="3" t="s">
        <v>3166</v>
      </c>
      <c r="B608" s="3" t="s">
        <v>3167</v>
      </c>
      <c r="C608" s="3" t="s">
        <v>3168</v>
      </c>
      <c r="D608" s="3"/>
      <c r="E608" s="3" t="s">
        <v>2823</v>
      </c>
      <c r="F608" s="3"/>
      <c r="G608" s="3"/>
      <c r="H608" s="3"/>
      <c r="I608" s="3"/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/>
      <c r="P608" s="3">
        <v>0</v>
      </c>
      <c r="Q608" s="3">
        <v>0</v>
      </c>
      <c r="R608" s="3">
        <v>0</v>
      </c>
    </row>
    <row r="609" spans="1:18">
      <c r="A609" s="3" t="s">
        <v>3169</v>
      </c>
      <c r="B609" s="3" t="s">
        <v>3170</v>
      </c>
      <c r="C609" s="3" t="s">
        <v>3171</v>
      </c>
      <c r="D609" s="3"/>
      <c r="E609" s="3" t="s">
        <v>2823</v>
      </c>
      <c r="F609" s="3"/>
      <c r="G609" s="3"/>
      <c r="H609" s="3"/>
      <c r="I609" s="3"/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/>
      <c r="P609" s="3">
        <v>0</v>
      </c>
      <c r="Q609" s="3">
        <v>0</v>
      </c>
      <c r="R609" s="3">
        <v>0</v>
      </c>
    </row>
    <row r="610" spans="1:18">
      <c r="A610" s="3" t="s">
        <v>3172</v>
      </c>
      <c r="B610" s="3" t="s">
        <v>3173</v>
      </c>
      <c r="C610" s="3" t="s">
        <v>3174</v>
      </c>
      <c r="D610" s="3"/>
      <c r="E610" s="3" t="s">
        <v>2823</v>
      </c>
      <c r="F610" s="3"/>
      <c r="G610" s="3"/>
      <c r="H610" s="3"/>
      <c r="I610" s="3"/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/>
      <c r="P610" s="3">
        <v>0</v>
      </c>
      <c r="Q610" s="3">
        <v>0</v>
      </c>
      <c r="R610" s="3">
        <v>0</v>
      </c>
    </row>
    <row r="611" spans="1:18">
      <c r="A611" s="3" t="s">
        <v>3175</v>
      </c>
      <c r="B611" s="3" t="s">
        <v>3176</v>
      </c>
      <c r="C611" s="3" t="s">
        <v>3177</v>
      </c>
      <c r="D611" s="3"/>
      <c r="E611" s="3" t="s">
        <v>2823</v>
      </c>
      <c r="F611" s="3"/>
      <c r="G611" s="3"/>
      <c r="H611" s="3"/>
      <c r="I611" s="3"/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/>
      <c r="P611" s="3">
        <v>0</v>
      </c>
      <c r="Q611" s="3">
        <v>0</v>
      </c>
      <c r="R611" s="3">
        <v>0</v>
      </c>
    </row>
    <row r="612" spans="1:18">
      <c r="A612" s="3" t="s">
        <v>3178</v>
      </c>
      <c r="B612" s="3" t="s">
        <v>3179</v>
      </c>
      <c r="C612" s="3" t="s">
        <v>3180</v>
      </c>
      <c r="D612" s="3"/>
      <c r="E612" s="3" t="s">
        <v>2823</v>
      </c>
      <c r="F612" s="3"/>
      <c r="G612" s="3"/>
      <c r="H612" s="3"/>
      <c r="I612" s="3"/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/>
      <c r="P612" s="3">
        <v>0</v>
      </c>
      <c r="Q612" s="3">
        <v>0</v>
      </c>
      <c r="R612" s="3">
        <v>0</v>
      </c>
    </row>
    <row r="613" spans="1:18">
      <c r="A613" s="3" t="s">
        <v>3181</v>
      </c>
      <c r="B613" s="3" t="s">
        <v>3182</v>
      </c>
      <c r="C613" s="3" t="s">
        <v>3183</v>
      </c>
      <c r="D613" s="3"/>
      <c r="E613" s="3" t="s">
        <v>2823</v>
      </c>
      <c r="F613" s="3"/>
      <c r="G613" s="3"/>
      <c r="H613" s="3"/>
      <c r="I613" s="3"/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/>
      <c r="P613" s="3">
        <v>0</v>
      </c>
      <c r="Q613" s="3">
        <v>0</v>
      </c>
      <c r="R613" s="3">
        <v>0</v>
      </c>
    </row>
    <row r="614" spans="1:18">
      <c r="A614" s="3" t="s">
        <v>3184</v>
      </c>
      <c r="B614" s="3" t="s">
        <v>3185</v>
      </c>
      <c r="C614" s="3" t="s">
        <v>3186</v>
      </c>
      <c r="D614" s="3"/>
      <c r="E614" s="3" t="s">
        <v>2823</v>
      </c>
      <c r="F614" s="3"/>
      <c r="G614" s="3"/>
      <c r="H614" s="3"/>
      <c r="I614" s="3"/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/>
      <c r="P614" s="3">
        <v>0</v>
      </c>
      <c r="Q614" s="3">
        <v>0</v>
      </c>
      <c r="R614" s="3">
        <v>0</v>
      </c>
    </row>
    <row r="615" spans="1:18">
      <c r="A615" s="3" t="s">
        <v>3187</v>
      </c>
      <c r="B615" s="3" t="s">
        <v>3188</v>
      </c>
      <c r="C615" s="3" t="s">
        <v>3189</v>
      </c>
      <c r="D615" s="3"/>
      <c r="E615" s="3" t="s">
        <v>2823</v>
      </c>
      <c r="F615" s="3"/>
      <c r="G615" s="3"/>
      <c r="H615" s="3"/>
      <c r="I615" s="3"/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/>
      <c r="P615" s="3">
        <v>0</v>
      </c>
      <c r="Q615" s="3">
        <v>0</v>
      </c>
      <c r="R615" s="3">
        <v>0</v>
      </c>
    </row>
    <row r="616" spans="1:18">
      <c r="A616" s="3" t="s">
        <v>3190</v>
      </c>
      <c r="B616" s="3" t="s">
        <v>3191</v>
      </c>
      <c r="C616" s="3" t="s">
        <v>3192</v>
      </c>
      <c r="D616" s="3"/>
      <c r="E616" s="3" t="s">
        <v>2823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3193</v>
      </c>
      <c r="B617" s="3" t="s">
        <v>3194</v>
      </c>
      <c r="C617" s="3" t="s">
        <v>3195</v>
      </c>
      <c r="D617" s="3"/>
      <c r="E617" s="3" t="s">
        <v>2823</v>
      </c>
      <c r="F617" s="3"/>
      <c r="G617" s="3"/>
      <c r="H617" s="3"/>
      <c r="I617" s="3"/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/>
      <c r="P617" s="3">
        <v>0</v>
      </c>
      <c r="Q617" s="3">
        <v>0</v>
      </c>
      <c r="R617" s="3">
        <v>0</v>
      </c>
    </row>
    <row r="618" spans="1:18">
      <c r="A618" s="3" t="s">
        <v>3196</v>
      </c>
      <c r="B618" s="3" t="s">
        <v>3197</v>
      </c>
      <c r="C618" s="3" t="s">
        <v>3198</v>
      </c>
      <c r="D618" s="3"/>
      <c r="E618" s="3" t="s">
        <v>2823</v>
      </c>
      <c r="F618" s="3"/>
      <c r="G618" s="3"/>
      <c r="H618" s="3"/>
      <c r="I618" s="3"/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/>
      <c r="P618" s="3">
        <v>0</v>
      </c>
      <c r="Q618" s="3">
        <v>0</v>
      </c>
      <c r="R618" s="3">
        <v>0</v>
      </c>
    </row>
    <row r="619" spans="1:18">
      <c r="A619" s="3" t="s">
        <v>3199</v>
      </c>
      <c r="B619" s="3" t="s">
        <v>3200</v>
      </c>
      <c r="C619" s="3" t="s">
        <v>3201</v>
      </c>
      <c r="D619" s="3"/>
      <c r="E619" s="3" t="s">
        <v>2823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3202</v>
      </c>
      <c r="B620" s="3" t="s">
        <v>3203</v>
      </c>
      <c r="C620" s="3" t="s">
        <v>3204</v>
      </c>
      <c r="D620" s="3"/>
      <c r="E620" s="3" t="s">
        <v>2823</v>
      </c>
      <c r="F620" s="3"/>
      <c r="G620" s="3"/>
      <c r="H620" s="3"/>
      <c r="I620" s="3"/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/>
      <c r="P620" s="3">
        <v>0</v>
      </c>
      <c r="Q620" s="3">
        <v>0</v>
      </c>
      <c r="R620" s="3">
        <v>0</v>
      </c>
    </row>
    <row r="621" spans="1:18">
      <c r="A621" s="3" t="s">
        <v>3205</v>
      </c>
      <c r="B621" s="3" t="s">
        <v>3206</v>
      </c>
      <c r="C621" s="3" t="s">
        <v>3207</v>
      </c>
      <c r="D621" s="3"/>
      <c r="E621" s="3" t="s">
        <v>2823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3208</v>
      </c>
      <c r="B622" s="3" t="s">
        <v>3209</v>
      </c>
      <c r="C622" s="3" t="s">
        <v>3210</v>
      </c>
      <c r="D622" s="3"/>
      <c r="E622" s="3" t="s">
        <v>2823</v>
      </c>
      <c r="F622" s="3"/>
      <c r="G622" s="3"/>
      <c r="H622" s="3"/>
      <c r="I622" s="3"/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/>
      <c r="P622" s="3">
        <v>0</v>
      </c>
      <c r="Q622" s="3">
        <v>0</v>
      </c>
      <c r="R622" s="3">
        <v>0</v>
      </c>
    </row>
    <row r="623" spans="1:18">
      <c r="A623" s="3" t="s">
        <v>3211</v>
      </c>
      <c r="B623" s="3" t="s">
        <v>3212</v>
      </c>
      <c r="C623" s="3" t="s">
        <v>3213</v>
      </c>
      <c r="D623" s="3"/>
      <c r="E623" s="3" t="s">
        <v>2823</v>
      </c>
      <c r="F623" s="3"/>
      <c r="G623" s="3"/>
      <c r="H623" s="3"/>
      <c r="I623" s="3"/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/>
      <c r="P623" s="3">
        <v>0</v>
      </c>
      <c r="Q623" s="3">
        <v>0</v>
      </c>
      <c r="R623" s="3">
        <v>0</v>
      </c>
    </row>
    <row r="624" spans="1:18">
      <c r="A624" s="3" t="s">
        <v>3214</v>
      </c>
      <c r="B624" s="3" t="s">
        <v>3215</v>
      </c>
      <c r="C624" s="3" t="s">
        <v>3216</v>
      </c>
      <c r="D624" s="3"/>
      <c r="E624" s="3" t="s">
        <v>2823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3217</v>
      </c>
      <c r="B625" s="3" t="s">
        <v>3218</v>
      </c>
      <c r="C625" s="3" t="s">
        <v>3219</v>
      </c>
      <c r="D625" s="3"/>
      <c r="E625" s="3" t="s">
        <v>2823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3220</v>
      </c>
      <c r="B626" s="3" t="s">
        <v>3221</v>
      </c>
      <c r="C626" s="3" t="s">
        <v>3222</v>
      </c>
      <c r="D626" s="3"/>
      <c r="E626" s="3" t="s">
        <v>2823</v>
      </c>
      <c r="F626" s="3"/>
      <c r="G626" s="3"/>
      <c r="H626" s="3"/>
      <c r="I626" s="3"/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/>
      <c r="P626" s="3">
        <v>0</v>
      </c>
      <c r="Q626" s="3">
        <v>0</v>
      </c>
      <c r="R626" s="3">
        <v>0</v>
      </c>
    </row>
    <row r="627" spans="1:18">
      <c r="A627" s="3" t="s">
        <v>3223</v>
      </c>
      <c r="B627" s="3" t="s">
        <v>3224</v>
      </c>
      <c r="C627" s="3" t="s">
        <v>3225</v>
      </c>
      <c r="D627" s="3"/>
      <c r="E627" s="3" t="s">
        <v>2823</v>
      </c>
      <c r="F627" s="3"/>
      <c r="G627" s="3"/>
      <c r="H627" s="3"/>
      <c r="I627" s="3"/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/>
      <c r="P627" s="3">
        <v>0</v>
      </c>
      <c r="Q627" s="3">
        <v>0</v>
      </c>
      <c r="R627" s="3">
        <v>0</v>
      </c>
    </row>
    <row r="628" spans="1:18">
      <c r="A628" s="3" t="s">
        <v>3226</v>
      </c>
      <c r="B628" s="3" t="s">
        <v>3227</v>
      </c>
      <c r="C628" s="3" t="s">
        <v>3228</v>
      </c>
      <c r="D628" s="3"/>
      <c r="E628" s="3" t="s">
        <v>2823</v>
      </c>
      <c r="F628" s="3"/>
      <c r="G628" s="3"/>
      <c r="H628" s="3"/>
      <c r="I628" s="3"/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3229</v>
      </c>
      <c r="B629" s="3" t="s">
        <v>3230</v>
      </c>
      <c r="C629" s="3" t="s">
        <v>3231</v>
      </c>
      <c r="D629" s="3"/>
      <c r="E629" s="3" t="s">
        <v>2823</v>
      </c>
      <c r="F629" s="3"/>
      <c r="G629" s="3"/>
      <c r="H629" s="3"/>
      <c r="I629" s="3"/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/>
      <c r="P629" s="3">
        <v>0</v>
      </c>
      <c r="Q629" s="3">
        <v>0</v>
      </c>
      <c r="R629" s="3">
        <v>0</v>
      </c>
    </row>
    <row r="630" spans="1:18">
      <c r="A630" s="3" t="s">
        <v>3232</v>
      </c>
      <c r="B630" s="3" t="s">
        <v>3233</v>
      </c>
      <c r="C630" s="3" t="s">
        <v>3234</v>
      </c>
      <c r="D630" s="3"/>
      <c r="E630" s="3" t="s">
        <v>2823</v>
      </c>
      <c r="F630" s="3"/>
      <c r="G630" s="3"/>
      <c r="H630" s="3"/>
      <c r="I630" s="3"/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/>
      <c r="P630" s="3">
        <v>0</v>
      </c>
      <c r="Q630" s="3">
        <v>0</v>
      </c>
      <c r="R630" s="3">
        <v>0</v>
      </c>
    </row>
    <row r="631" spans="1:18">
      <c r="A631" s="3" t="s">
        <v>3235</v>
      </c>
      <c r="B631" s="3" t="s">
        <v>3236</v>
      </c>
      <c r="C631" s="3" t="s">
        <v>3237</v>
      </c>
      <c r="D631" s="3"/>
      <c r="E631" s="3" t="s">
        <v>2823</v>
      </c>
      <c r="F631" s="3"/>
      <c r="G631" s="3"/>
      <c r="H631" s="3"/>
      <c r="I631" s="3"/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/>
      <c r="P631" s="3">
        <v>0</v>
      </c>
      <c r="Q631" s="3">
        <v>0</v>
      </c>
      <c r="R631" s="3">
        <v>0</v>
      </c>
    </row>
    <row r="632" spans="1:18">
      <c r="A632" s="3" t="s">
        <v>3238</v>
      </c>
      <c r="B632" s="3" t="s">
        <v>3239</v>
      </c>
      <c r="C632" s="3" t="s">
        <v>3240</v>
      </c>
      <c r="D632" s="3"/>
      <c r="E632" s="3" t="s">
        <v>2823</v>
      </c>
      <c r="F632" s="3"/>
      <c r="G632" s="3"/>
      <c r="H632" s="3"/>
      <c r="I632" s="3"/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/>
      <c r="P632" s="3">
        <v>0</v>
      </c>
      <c r="Q632" s="3">
        <v>0</v>
      </c>
      <c r="R632" s="3">
        <v>0</v>
      </c>
    </row>
    <row r="633" spans="1:18">
      <c r="A633" s="3" t="s">
        <v>3241</v>
      </c>
      <c r="B633" s="3" t="s">
        <v>3242</v>
      </c>
      <c r="C633" s="3" t="s">
        <v>3243</v>
      </c>
      <c r="D633" s="3"/>
      <c r="E633" s="3" t="s">
        <v>2823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3244</v>
      </c>
      <c r="B634" s="3" t="s">
        <v>3245</v>
      </c>
      <c r="C634" s="3" t="s">
        <v>3246</v>
      </c>
      <c r="D634" s="3"/>
      <c r="E634" s="3" t="s">
        <v>2823</v>
      </c>
      <c r="F634" s="3"/>
      <c r="G634" s="3"/>
      <c r="H634" s="3"/>
      <c r="I634" s="3"/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/>
      <c r="P634" s="3">
        <v>0</v>
      </c>
      <c r="Q634" s="3">
        <v>0</v>
      </c>
      <c r="R634" s="3">
        <v>0</v>
      </c>
    </row>
    <row r="635" spans="1:18">
      <c r="A635" s="3" t="s">
        <v>3247</v>
      </c>
      <c r="B635" s="3" t="s">
        <v>3248</v>
      </c>
      <c r="C635" s="3" t="s">
        <v>3249</v>
      </c>
      <c r="D635" s="3"/>
      <c r="E635" s="3" t="s">
        <v>2823</v>
      </c>
      <c r="F635" s="3"/>
      <c r="G635" s="3"/>
      <c r="H635" s="3"/>
      <c r="I635" s="3"/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/>
      <c r="P635" s="3">
        <v>0</v>
      </c>
      <c r="Q635" s="3">
        <v>0</v>
      </c>
      <c r="R635" s="3">
        <v>0</v>
      </c>
    </row>
    <row r="636" spans="1:18">
      <c r="A636" s="3" t="s">
        <v>3250</v>
      </c>
      <c r="B636" s="3" t="s">
        <v>3251</v>
      </c>
      <c r="C636" s="3" t="s">
        <v>3252</v>
      </c>
      <c r="D636" s="3"/>
      <c r="E636" s="3" t="s">
        <v>2823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3253</v>
      </c>
      <c r="B637" s="3" t="s">
        <v>3254</v>
      </c>
      <c r="C637" s="3" t="s">
        <v>3255</v>
      </c>
      <c r="D637" s="3"/>
      <c r="E637" s="3" t="s">
        <v>2823</v>
      </c>
      <c r="F637" s="3"/>
      <c r="G637" s="3"/>
      <c r="H637" s="3"/>
      <c r="I637" s="3"/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/>
      <c r="P637" s="3">
        <v>0</v>
      </c>
      <c r="Q637" s="3">
        <v>0</v>
      </c>
      <c r="R637" s="3">
        <v>0</v>
      </c>
    </row>
    <row r="638" spans="1:18">
      <c r="A638" s="3" t="s">
        <v>3256</v>
      </c>
      <c r="B638" s="3" t="s">
        <v>3257</v>
      </c>
      <c r="C638" s="3" t="s">
        <v>3258</v>
      </c>
      <c r="D638" s="3"/>
      <c r="E638" s="3" t="s">
        <v>2823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3259</v>
      </c>
      <c r="B639" s="3" t="s">
        <v>3260</v>
      </c>
      <c r="C639" s="3" t="s">
        <v>3261</v>
      </c>
      <c r="D639" s="3"/>
      <c r="E639" s="3" t="s">
        <v>2823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3262</v>
      </c>
      <c r="B640" s="3" t="s">
        <v>3263</v>
      </c>
      <c r="C640" s="3" t="s">
        <v>3264</v>
      </c>
      <c r="D640" s="3"/>
      <c r="E640" s="3" t="s">
        <v>2823</v>
      </c>
      <c r="F640" s="3"/>
      <c r="G640" s="3"/>
      <c r="H640" s="3"/>
      <c r="I640" s="3"/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/>
      <c r="P640" s="3">
        <v>0</v>
      </c>
      <c r="Q640" s="3">
        <v>0</v>
      </c>
      <c r="R640" s="3">
        <v>0</v>
      </c>
    </row>
    <row r="641" spans="1:18">
      <c r="A641" s="3" t="s">
        <v>3265</v>
      </c>
      <c r="B641" s="3" t="s">
        <v>3266</v>
      </c>
      <c r="C641" s="3" t="s">
        <v>3267</v>
      </c>
      <c r="D641" s="3" t="s">
        <v>429</v>
      </c>
      <c r="E641" s="3" t="s">
        <v>340</v>
      </c>
      <c r="F641" s="3">
        <v>39.99</v>
      </c>
      <c r="G641" s="3" t="s">
        <v>2572</v>
      </c>
      <c r="H641" s="3"/>
      <c r="I641" s="3" t="s">
        <v>2573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</row>
    <row r="642" spans="1:18">
      <c r="A642" s="3" t="s">
        <v>426</v>
      </c>
      <c r="B642" s="3" t="s">
        <v>427</v>
      </c>
      <c r="C642" s="3" t="s">
        <v>428</v>
      </c>
      <c r="D642" s="3" t="s">
        <v>429</v>
      </c>
      <c r="E642" s="3" t="s">
        <v>340</v>
      </c>
      <c r="F642" s="3">
        <v>39.99</v>
      </c>
      <c r="G642" s="3" t="s">
        <v>2572</v>
      </c>
      <c r="H642" s="3"/>
      <c r="I642" s="3" t="s">
        <v>2573</v>
      </c>
      <c r="J642" s="3">
        <v>8</v>
      </c>
      <c r="K642" s="3">
        <v>7</v>
      </c>
      <c r="L642" s="3">
        <v>1</v>
      </c>
      <c r="M642" s="3">
        <v>0</v>
      </c>
      <c r="N642" s="3">
        <v>8</v>
      </c>
      <c r="O642" s="3">
        <v>0.13</v>
      </c>
      <c r="P642" s="3">
        <v>0</v>
      </c>
      <c r="Q642" s="3">
        <v>0</v>
      </c>
      <c r="R642" s="3">
        <v>0</v>
      </c>
    </row>
    <row r="643" spans="1:18">
      <c r="A643" s="3" t="s">
        <v>3268</v>
      </c>
      <c r="B643" s="3" t="s">
        <v>3269</v>
      </c>
      <c r="C643" s="3" t="s">
        <v>3270</v>
      </c>
      <c r="D643" s="3" t="s">
        <v>429</v>
      </c>
      <c r="E643" s="3" t="s">
        <v>340</v>
      </c>
      <c r="F643" s="3">
        <v>39.99</v>
      </c>
      <c r="G643" s="3" t="s">
        <v>2572</v>
      </c>
      <c r="H643" s="3"/>
      <c r="I643" s="3" t="s">
        <v>2573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</row>
    <row r="644" spans="1:18">
      <c r="A644" s="3" t="s">
        <v>3271</v>
      </c>
      <c r="B644" s="3" t="s">
        <v>3272</v>
      </c>
      <c r="C644" s="3" t="s">
        <v>3273</v>
      </c>
      <c r="D644" s="3" t="s">
        <v>429</v>
      </c>
      <c r="E644" s="3" t="s">
        <v>340</v>
      </c>
      <c r="F644" s="3">
        <v>39.99</v>
      </c>
      <c r="G644" s="3" t="s">
        <v>2572</v>
      </c>
      <c r="H644" s="3"/>
      <c r="I644" s="3" t="s">
        <v>2573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</row>
    <row r="645" spans="1:18">
      <c r="A645" s="3" t="s">
        <v>3274</v>
      </c>
      <c r="B645" s="3" t="s">
        <v>3275</v>
      </c>
      <c r="C645" s="3" t="s">
        <v>3276</v>
      </c>
      <c r="D645" s="3" t="s">
        <v>429</v>
      </c>
      <c r="E645" s="3" t="s">
        <v>340</v>
      </c>
      <c r="F645" s="3">
        <v>39.99</v>
      </c>
      <c r="G645" s="3" t="s">
        <v>2572</v>
      </c>
      <c r="H645" s="3"/>
      <c r="I645" s="3" t="s">
        <v>2573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</v>
      </c>
      <c r="P645" s="3">
        <v>0</v>
      </c>
      <c r="Q645" s="3">
        <v>0</v>
      </c>
      <c r="R645" s="3">
        <v>0</v>
      </c>
    </row>
    <row r="646" spans="1:18">
      <c r="A646" s="3" t="s">
        <v>3277</v>
      </c>
      <c r="B646" s="3" t="s">
        <v>3278</v>
      </c>
      <c r="C646" s="3" t="s">
        <v>3279</v>
      </c>
      <c r="D646" s="3" t="s">
        <v>429</v>
      </c>
      <c r="E646" s="3" t="s">
        <v>340</v>
      </c>
      <c r="F646" s="3">
        <v>39.99</v>
      </c>
      <c r="G646" s="3" t="s">
        <v>2572</v>
      </c>
      <c r="H646" s="3"/>
      <c r="I646" s="3" t="s">
        <v>2573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</row>
    <row r="647" spans="1:18">
      <c r="A647" s="3" t="s">
        <v>3280</v>
      </c>
      <c r="B647" s="3" t="s">
        <v>3281</v>
      </c>
      <c r="C647" s="3" t="s">
        <v>3282</v>
      </c>
      <c r="D647" s="3" t="s">
        <v>429</v>
      </c>
      <c r="E647" s="3" t="s">
        <v>340</v>
      </c>
      <c r="F647" s="3">
        <v>39.99</v>
      </c>
      <c r="G647" s="3" t="s">
        <v>2572</v>
      </c>
      <c r="H647" s="3"/>
      <c r="I647" s="3" t="s">
        <v>2573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</row>
    <row r="648" spans="1:18">
      <c r="A648" s="3" t="s">
        <v>3283</v>
      </c>
      <c r="B648" s="3" t="s">
        <v>3284</v>
      </c>
      <c r="C648" s="3" t="s">
        <v>3285</v>
      </c>
      <c r="D648" s="3" t="s">
        <v>429</v>
      </c>
      <c r="E648" s="3" t="s">
        <v>340</v>
      </c>
      <c r="F648" s="3">
        <v>39.99</v>
      </c>
      <c r="G648" s="3" t="s">
        <v>2572</v>
      </c>
      <c r="H648" s="3"/>
      <c r="I648" s="3" t="s">
        <v>2573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</row>
    <row r="649" spans="1:18">
      <c r="A649" s="3" t="s">
        <v>147</v>
      </c>
      <c r="B649" s="3" t="s">
        <v>148</v>
      </c>
      <c r="C649" s="3" t="s">
        <v>149</v>
      </c>
      <c r="D649" s="3" t="s">
        <v>143</v>
      </c>
      <c r="E649" s="3" t="s">
        <v>340</v>
      </c>
      <c r="F649" s="3">
        <v>39.99</v>
      </c>
      <c r="G649" s="3" t="s">
        <v>2572</v>
      </c>
      <c r="H649" s="3"/>
      <c r="I649" s="3" t="s">
        <v>2573</v>
      </c>
      <c r="J649" s="3">
        <v>4</v>
      </c>
      <c r="K649" s="3">
        <v>0</v>
      </c>
      <c r="L649" s="3">
        <v>3</v>
      </c>
      <c r="M649" s="3">
        <v>1</v>
      </c>
      <c r="N649" s="3">
        <v>4</v>
      </c>
      <c r="O649" s="3">
        <v>0.12</v>
      </c>
      <c r="P649" s="3">
        <v>0</v>
      </c>
      <c r="Q649" s="3">
        <v>0</v>
      </c>
      <c r="R649" s="3">
        <v>0</v>
      </c>
    </row>
    <row r="650" spans="1:18">
      <c r="A650" s="3" t="s">
        <v>150</v>
      </c>
      <c r="B650" s="3" t="s">
        <v>151</v>
      </c>
      <c r="C650" s="3" t="s">
        <v>152</v>
      </c>
      <c r="D650" s="3" t="s">
        <v>143</v>
      </c>
      <c r="E650" s="3" t="s">
        <v>340</v>
      </c>
      <c r="F650" s="3">
        <v>39.99</v>
      </c>
      <c r="G650" s="3" t="s">
        <v>2572</v>
      </c>
      <c r="H650" s="3"/>
      <c r="I650" s="3" t="s">
        <v>2573</v>
      </c>
      <c r="J650" s="3">
        <v>12</v>
      </c>
      <c r="K650" s="3">
        <v>0</v>
      </c>
      <c r="L650" s="3">
        <v>10</v>
      </c>
      <c r="M650" s="3">
        <v>2</v>
      </c>
      <c r="N650" s="3">
        <v>12</v>
      </c>
      <c r="O650" s="3">
        <v>0.12</v>
      </c>
      <c r="P650" s="3">
        <v>0</v>
      </c>
      <c r="Q650" s="3">
        <v>0</v>
      </c>
      <c r="R650" s="3">
        <v>0</v>
      </c>
    </row>
    <row r="651" spans="1:18">
      <c r="A651" s="3" t="s">
        <v>3286</v>
      </c>
      <c r="B651" s="3" t="s">
        <v>3287</v>
      </c>
      <c r="C651" s="3" t="s">
        <v>3288</v>
      </c>
      <c r="D651" s="3" t="s">
        <v>143</v>
      </c>
      <c r="E651" s="3" t="s">
        <v>340</v>
      </c>
      <c r="F651" s="3">
        <v>39.99</v>
      </c>
      <c r="G651" s="3" t="s">
        <v>2572</v>
      </c>
      <c r="H651" s="3"/>
      <c r="I651" s="3" t="s">
        <v>2573</v>
      </c>
      <c r="J651" s="3">
        <v>7</v>
      </c>
      <c r="K651" s="3">
        <v>0</v>
      </c>
      <c r="L651" s="3">
        <v>7</v>
      </c>
      <c r="M651" s="3">
        <v>0</v>
      </c>
      <c r="N651" s="3">
        <v>7</v>
      </c>
      <c r="O651" s="3">
        <v>0.12</v>
      </c>
      <c r="P651" s="3">
        <v>0</v>
      </c>
      <c r="Q651" s="3">
        <v>0</v>
      </c>
      <c r="R651" s="3">
        <v>0</v>
      </c>
    </row>
    <row r="652" spans="1:18">
      <c r="A652" s="3" t="s">
        <v>140</v>
      </c>
      <c r="B652" s="3" t="s">
        <v>141</v>
      </c>
      <c r="C652" s="3" t="s">
        <v>142</v>
      </c>
      <c r="D652" s="3" t="s">
        <v>143</v>
      </c>
      <c r="E652" s="3" t="s">
        <v>340</v>
      </c>
      <c r="F652" s="3">
        <v>39.99</v>
      </c>
      <c r="G652" s="3" t="s">
        <v>2572</v>
      </c>
      <c r="H652" s="3"/>
      <c r="I652" s="3" t="s">
        <v>2573</v>
      </c>
      <c r="J652" s="3">
        <v>19</v>
      </c>
      <c r="K652" s="3">
        <v>15</v>
      </c>
      <c r="L652" s="3">
        <v>2</v>
      </c>
      <c r="M652" s="3">
        <v>2</v>
      </c>
      <c r="N652" s="3">
        <v>19</v>
      </c>
      <c r="O652" s="3">
        <v>0.12</v>
      </c>
      <c r="P652" s="3">
        <v>0</v>
      </c>
      <c r="Q652" s="3">
        <v>0</v>
      </c>
      <c r="R652" s="3">
        <v>0</v>
      </c>
    </row>
    <row r="653" spans="1:18">
      <c r="A653" s="3" t="s">
        <v>1984</v>
      </c>
      <c r="B653" s="3" t="s">
        <v>1985</v>
      </c>
      <c r="C653" s="3" t="s">
        <v>1986</v>
      </c>
      <c r="D653" s="3" t="s">
        <v>143</v>
      </c>
      <c r="E653" s="3" t="s">
        <v>340</v>
      </c>
      <c r="F653" s="3">
        <v>39.99</v>
      </c>
      <c r="G653" s="3" t="s">
        <v>2572</v>
      </c>
      <c r="H653" s="3"/>
      <c r="I653" s="3" t="s">
        <v>2573</v>
      </c>
      <c r="J653" s="3">
        <v>11</v>
      </c>
      <c r="K653" s="3">
        <v>9</v>
      </c>
      <c r="L653" s="3">
        <v>2</v>
      </c>
      <c r="M653" s="3">
        <v>0</v>
      </c>
      <c r="N653" s="3">
        <v>11</v>
      </c>
      <c r="O653" s="3">
        <v>0.12</v>
      </c>
      <c r="P653" s="3">
        <v>0</v>
      </c>
      <c r="Q653" s="3">
        <v>0</v>
      </c>
      <c r="R653" s="3">
        <v>0</v>
      </c>
    </row>
    <row r="654" spans="1:18">
      <c r="A654" s="3" t="s">
        <v>137</v>
      </c>
      <c r="B654" s="3" t="s">
        <v>138</v>
      </c>
      <c r="C654" s="3" t="s">
        <v>139</v>
      </c>
      <c r="D654" s="3" t="s">
        <v>130</v>
      </c>
      <c r="E654" s="3" t="s">
        <v>340</v>
      </c>
      <c r="F654" s="3">
        <v>39.99</v>
      </c>
      <c r="G654" s="3" t="s">
        <v>2572</v>
      </c>
      <c r="H654" s="3"/>
      <c r="I654" s="3" t="s">
        <v>2573</v>
      </c>
      <c r="J654" s="3">
        <v>7</v>
      </c>
      <c r="K654" s="3">
        <v>2</v>
      </c>
      <c r="L654" s="3">
        <v>0</v>
      </c>
      <c r="M654" s="3">
        <v>5</v>
      </c>
      <c r="N654" s="3">
        <v>7</v>
      </c>
      <c r="O654" s="3">
        <v>0.12</v>
      </c>
      <c r="P654" s="3">
        <v>0</v>
      </c>
      <c r="Q654" s="3">
        <v>0</v>
      </c>
      <c r="R654" s="3">
        <v>0</v>
      </c>
    </row>
    <row r="655" spans="1:18">
      <c r="A655" s="3" t="s">
        <v>131</v>
      </c>
      <c r="B655" s="3" t="s">
        <v>132</v>
      </c>
      <c r="C655" s="3" t="s">
        <v>133</v>
      </c>
      <c r="D655" s="3" t="s">
        <v>130</v>
      </c>
      <c r="E655" s="3" t="s">
        <v>340</v>
      </c>
      <c r="F655" s="3">
        <v>39.99</v>
      </c>
      <c r="G655" s="3" t="s">
        <v>2572</v>
      </c>
      <c r="H655" s="3"/>
      <c r="I655" s="3" t="s">
        <v>2573</v>
      </c>
      <c r="J655" s="3">
        <v>1</v>
      </c>
      <c r="K655" s="3">
        <v>0</v>
      </c>
      <c r="L655" s="3">
        <v>0</v>
      </c>
      <c r="M655" s="3">
        <v>1</v>
      </c>
      <c r="N655" s="3">
        <v>1</v>
      </c>
      <c r="O655" s="3">
        <v>0.12</v>
      </c>
      <c r="P655" s="3">
        <v>0</v>
      </c>
      <c r="Q655" s="3">
        <v>0</v>
      </c>
      <c r="R655" s="3">
        <v>0</v>
      </c>
    </row>
    <row r="656" spans="1:18">
      <c r="A656" s="3" t="s">
        <v>134</v>
      </c>
      <c r="B656" s="3" t="s">
        <v>135</v>
      </c>
      <c r="C656" s="3" t="s">
        <v>136</v>
      </c>
      <c r="D656" s="3" t="s">
        <v>130</v>
      </c>
      <c r="E656" s="3" t="s">
        <v>340</v>
      </c>
      <c r="F656" s="3">
        <v>39.99</v>
      </c>
      <c r="G656" s="3" t="s">
        <v>2572</v>
      </c>
      <c r="H656" s="3"/>
      <c r="I656" s="3" t="s">
        <v>2573</v>
      </c>
      <c r="J656" s="3">
        <v>5</v>
      </c>
      <c r="K656" s="3">
        <v>2</v>
      </c>
      <c r="L656" s="3">
        <v>1</v>
      </c>
      <c r="M656" s="3">
        <v>2</v>
      </c>
      <c r="N656" s="3">
        <v>10</v>
      </c>
      <c r="O656" s="3">
        <v>0.12</v>
      </c>
      <c r="P656" s="3">
        <v>0</v>
      </c>
      <c r="Q656" s="3">
        <v>5</v>
      </c>
      <c r="R656" s="3">
        <v>0</v>
      </c>
    </row>
    <row r="657" spans="1:18">
      <c r="A657" s="3" t="s">
        <v>144</v>
      </c>
      <c r="B657" s="3" t="s">
        <v>145</v>
      </c>
      <c r="C657" s="3" t="s">
        <v>146</v>
      </c>
      <c r="D657" s="3" t="s">
        <v>130</v>
      </c>
      <c r="E657" s="3" t="s">
        <v>340</v>
      </c>
      <c r="F657" s="3">
        <v>39.99</v>
      </c>
      <c r="G657" s="3" t="s">
        <v>2572</v>
      </c>
      <c r="H657" s="3"/>
      <c r="I657" s="3" t="s">
        <v>2573</v>
      </c>
      <c r="J657" s="3">
        <v>12</v>
      </c>
      <c r="K657" s="3">
        <v>11</v>
      </c>
      <c r="L657" s="3">
        <v>0</v>
      </c>
      <c r="M657" s="3">
        <v>1</v>
      </c>
      <c r="N657" s="3">
        <v>12</v>
      </c>
      <c r="O657" s="3">
        <v>0.12</v>
      </c>
      <c r="P657" s="3">
        <v>0</v>
      </c>
      <c r="Q657" s="3">
        <v>0</v>
      </c>
      <c r="R657" s="3">
        <v>0</v>
      </c>
    </row>
    <row r="658" spans="1:18">
      <c r="A658" s="3" t="s">
        <v>127</v>
      </c>
      <c r="B658" s="3" t="s">
        <v>128</v>
      </c>
      <c r="C658" s="3" t="s">
        <v>129</v>
      </c>
      <c r="D658" s="3" t="s">
        <v>130</v>
      </c>
      <c r="E658" s="3" t="s">
        <v>340</v>
      </c>
      <c r="F658" s="3">
        <v>39.99</v>
      </c>
      <c r="G658" s="3" t="s">
        <v>2572</v>
      </c>
      <c r="H658" s="3"/>
      <c r="I658" s="3" t="s">
        <v>2573</v>
      </c>
      <c r="J658" s="3">
        <v>11</v>
      </c>
      <c r="K658" s="3">
        <v>9</v>
      </c>
      <c r="L658" s="3">
        <v>0</v>
      </c>
      <c r="M658" s="3">
        <v>2</v>
      </c>
      <c r="N658" s="3">
        <v>11</v>
      </c>
      <c r="O658" s="3">
        <v>0.12</v>
      </c>
      <c r="P658" s="3">
        <v>0</v>
      </c>
      <c r="Q658" s="3">
        <v>0</v>
      </c>
      <c r="R658" s="3">
        <v>0</v>
      </c>
    </row>
    <row r="659" spans="1:18">
      <c r="A659" s="3" t="s">
        <v>3289</v>
      </c>
      <c r="B659" s="3" t="s">
        <v>3290</v>
      </c>
      <c r="C659" s="3" t="s">
        <v>3291</v>
      </c>
      <c r="D659" s="3" t="s">
        <v>3292</v>
      </c>
      <c r="E659" s="3" t="s">
        <v>340</v>
      </c>
      <c r="F659" s="3">
        <v>39.99</v>
      </c>
      <c r="G659" s="3" t="s">
        <v>2572</v>
      </c>
      <c r="H659" s="3"/>
      <c r="I659" s="3" t="s">
        <v>2573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0.08</v>
      </c>
      <c r="P659" s="3">
        <v>0</v>
      </c>
      <c r="Q659" s="3">
        <v>0</v>
      </c>
      <c r="R659" s="3">
        <v>0</v>
      </c>
    </row>
    <row r="660" spans="1:18">
      <c r="A660" s="3" t="s">
        <v>3293</v>
      </c>
      <c r="B660" s="3" t="s">
        <v>3294</v>
      </c>
      <c r="C660" s="3" t="s">
        <v>3295</v>
      </c>
      <c r="D660" s="3" t="s">
        <v>3292</v>
      </c>
      <c r="E660" s="3" t="s">
        <v>340</v>
      </c>
      <c r="F660" s="3">
        <v>39.99</v>
      </c>
      <c r="G660" s="3" t="s">
        <v>2572</v>
      </c>
      <c r="H660" s="3"/>
      <c r="I660" s="3" t="s">
        <v>2573</v>
      </c>
      <c r="J660" s="3">
        <v>2</v>
      </c>
      <c r="K660" s="3">
        <v>0</v>
      </c>
      <c r="L660" s="3">
        <v>2</v>
      </c>
      <c r="M660" s="3">
        <v>0</v>
      </c>
      <c r="N660" s="3">
        <v>2</v>
      </c>
      <c r="O660" s="3">
        <v>0.08</v>
      </c>
      <c r="P660" s="3">
        <v>0</v>
      </c>
      <c r="Q660" s="3">
        <v>0</v>
      </c>
      <c r="R660" s="3">
        <v>0</v>
      </c>
    </row>
    <row r="661" spans="1:18">
      <c r="A661" s="3" t="s">
        <v>3296</v>
      </c>
      <c r="B661" s="3" t="s">
        <v>3297</v>
      </c>
      <c r="C661" s="3" t="s">
        <v>3298</v>
      </c>
      <c r="D661" s="3" t="s">
        <v>3292</v>
      </c>
      <c r="E661" s="3" t="s">
        <v>340</v>
      </c>
      <c r="F661" s="3">
        <v>39.99</v>
      </c>
      <c r="G661" s="3" t="s">
        <v>2572</v>
      </c>
      <c r="H661" s="3"/>
      <c r="I661" s="3" t="s">
        <v>2573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</row>
    <row r="662" spans="1:18">
      <c r="A662" s="3" t="s">
        <v>3299</v>
      </c>
      <c r="B662" s="3" t="s">
        <v>3300</v>
      </c>
      <c r="C662" s="3" t="s">
        <v>3301</v>
      </c>
      <c r="D662" s="3" t="s">
        <v>3292</v>
      </c>
      <c r="E662" s="3" t="s">
        <v>340</v>
      </c>
      <c r="F662" s="3">
        <v>39.99</v>
      </c>
      <c r="G662" s="3" t="s">
        <v>2572</v>
      </c>
      <c r="H662" s="3"/>
      <c r="I662" s="3" t="s">
        <v>2573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0.08</v>
      </c>
      <c r="P662" s="3">
        <v>0</v>
      </c>
      <c r="Q662" s="3">
        <v>0</v>
      </c>
      <c r="R662" s="3">
        <v>0</v>
      </c>
    </row>
    <row r="663" spans="1:18">
      <c r="A663" s="3" t="s">
        <v>3302</v>
      </c>
      <c r="B663" s="3" t="s">
        <v>3303</v>
      </c>
      <c r="C663" s="3" t="s">
        <v>3304</v>
      </c>
      <c r="D663" s="3" t="s">
        <v>3292</v>
      </c>
      <c r="E663" s="3" t="s">
        <v>340</v>
      </c>
      <c r="F663" s="3">
        <v>39.99</v>
      </c>
      <c r="G663" s="3" t="s">
        <v>2572</v>
      </c>
      <c r="H663" s="3"/>
      <c r="I663" s="3" t="s">
        <v>2573</v>
      </c>
      <c r="J663" s="3">
        <v>2</v>
      </c>
      <c r="K663" s="3">
        <v>0</v>
      </c>
      <c r="L663" s="3">
        <v>2</v>
      </c>
      <c r="M663" s="3">
        <v>0</v>
      </c>
      <c r="N663" s="3">
        <v>2</v>
      </c>
      <c r="O663" s="3">
        <v>0.08</v>
      </c>
      <c r="P663" s="3">
        <v>0</v>
      </c>
      <c r="Q663" s="3">
        <v>0</v>
      </c>
      <c r="R663" s="3">
        <v>0</v>
      </c>
    </row>
    <row r="664" spans="1:18">
      <c r="A664" s="3" t="s">
        <v>3305</v>
      </c>
      <c r="B664" s="3" t="s">
        <v>3306</v>
      </c>
      <c r="C664" s="3" t="s">
        <v>3307</v>
      </c>
      <c r="D664" s="3"/>
      <c r="E664" s="3" t="s">
        <v>2823</v>
      </c>
      <c r="F664" s="3"/>
      <c r="G664" s="3"/>
      <c r="H664" s="3"/>
      <c r="I664" s="3"/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/>
      <c r="P664" s="3">
        <v>0</v>
      </c>
      <c r="Q664" s="3">
        <v>0</v>
      </c>
      <c r="R664" s="3">
        <v>0</v>
      </c>
    </row>
    <row r="665" spans="1:18">
      <c r="A665" s="3" t="s">
        <v>3308</v>
      </c>
      <c r="B665" s="3" t="s">
        <v>3309</v>
      </c>
      <c r="C665" s="3" t="s">
        <v>3310</v>
      </c>
      <c r="D665" s="3"/>
      <c r="E665" s="3" t="s">
        <v>2823</v>
      </c>
      <c r="F665" s="3"/>
      <c r="G665" s="3"/>
      <c r="H665" s="3"/>
      <c r="I665" s="3"/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/>
      <c r="P665" s="3">
        <v>0</v>
      </c>
      <c r="Q665" s="3">
        <v>0</v>
      </c>
      <c r="R665" s="3">
        <v>0</v>
      </c>
    </row>
    <row r="666" spans="1:18">
      <c r="A666" s="3" t="s">
        <v>3311</v>
      </c>
      <c r="B666" s="3" t="s">
        <v>3312</v>
      </c>
      <c r="C666" s="3" t="s">
        <v>3313</v>
      </c>
      <c r="D666" s="3"/>
      <c r="E666" s="3" t="s">
        <v>2823</v>
      </c>
      <c r="F666" s="3"/>
      <c r="G666" s="3"/>
      <c r="H666" s="3"/>
      <c r="I666" s="3"/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3314</v>
      </c>
      <c r="B667" s="3" t="s">
        <v>3315</v>
      </c>
      <c r="C667" s="3" t="s">
        <v>3316</v>
      </c>
      <c r="D667" s="3"/>
      <c r="E667" s="3" t="s">
        <v>2823</v>
      </c>
      <c r="F667" s="3"/>
      <c r="G667" s="3"/>
      <c r="H667" s="3"/>
      <c r="I667" s="3"/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/>
      <c r="P667" s="3">
        <v>0</v>
      </c>
      <c r="Q667" s="3">
        <v>0</v>
      </c>
      <c r="R667" s="3">
        <v>0</v>
      </c>
    </row>
    <row r="668" spans="1:18">
      <c r="A668" s="3" t="s">
        <v>3317</v>
      </c>
      <c r="B668" s="3" t="s">
        <v>3318</v>
      </c>
      <c r="C668" s="3" t="s">
        <v>3319</v>
      </c>
      <c r="D668" s="3"/>
      <c r="E668" s="3" t="s">
        <v>2823</v>
      </c>
      <c r="F668" s="3"/>
      <c r="G668" s="3"/>
      <c r="H668" s="3"/>
      <c r="I668" s="3"/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/>
      <c r="P668" s="3">
        <v>0</v>
      </c>
      <c r="Q668" s="3">
        <v>0</v>
      </c>
      <c r="R668" s="3">
        <v>0</v>
      </c>
    </row>
    <row r="669" spans="1:18">
      <c r="A669" s="3" t="s">
        <v>3320</v>
      </c>
      <c r="B669" s="3" t="s">
        <v>3321</v>
      </c>
      <c r="C669" s="3" t="s">
        <v>3322</v>
      </c>
      <c r="D669" s="3"/>
      <c r="E669" s="3" t="s">
        <v>2823</v>
      </c>
      <c r="F669" s="3"/>
      <c r="G669" s="3"/>
      <c r="H669" s="3"/>
      <c r="I669" s="3"/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/>
      <c r="P669" s="3">
        <v>0</v>
      </c>
      <c r="Q669" s="3">
        <v>0</v>
      </c>
      <c r="R669" s="3">
        <v>0</v>
      </c>
    </row>
    <row r="670" spans="1:18">
      <c r="A670" s="3" t="s">
        <v>3323</v>
      </c>
      <c r="B670" s="3" t="s">
        <v>3324</v>
      </c>
      <c r="C670" s="3" t="s">
        <v>3325</v>
      </c>
      <c r="D670" s="3"/>
      <c r="E670" s="3" t="s">
        <v>2823</v>
      </c>
      <c r="F670" s="3"/>
      <c r="G670" s="3"/>
      <c r="H670" s="3"/>
      <c r="I670" s="3"/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/>
      <c r="P670" s="3">
        <v>0</v>
      </c>
      <c r="Q670" s="3">
        <v>0</v>
      </c>
      <c r="R670" s="3">
        <v>0</v>
      </c>
    </row>
    <row r="671" spans="1:18">
      <c r="A671" s="3" t="s">
        <v>3326</v>
      </c>
      <c r="B671" s="3" t="s">
        <v>3327</v>
      </c>
      <c r="C671" s="3" t="s">
        <v>3328</v>
      </c>
      <c r="D671" s="3"/>
      <c r="E671" s="3" t="s">
        <v>2823</v>
      </c>
      <c r="F671" s="3"/>
      <c r="G671" s="3"/>
      <c r="H671" s="3"/>
      <c r="I671" s="3"/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/>
      <c r="P671" s="3">
        <v>0</v>
      </c>
      <c r="Q671" s="3">
        <v>0</v>
      </c>
      <c r="R671" s="3">
        <v>0</v>
      </c>
    </row>
    <row r="672" spans="1:18">
      <c r="A672" s="3" t="s">
        <v>3329</v>
      </c>
      <c r="B672" s="3" t="s">
        <v>3330</v>
      </c>
      <c r="C672" s="3" t="s">
        <v>3331</v>
      </c>
      <c r="D672" s="3"/>
      <c r="E672" s="3" t="s">
        <v>2823</v>
      </c>
      <c r="F672" s="3"/>
      <c r="G672" s="3"/>
      <c r="H672" s="3"/>
      <c r="I672" s="3"/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/>
      <c r="P672" s="3">
        <v>0</v>
      </c>
      <c r="Q672" s="3">
        <v>0</v>
      </c>
      <c r="R672" s="3">
        <v>0</v>
      </c>
    </row>
    <row r="673" spans="1:18">
      <c r="A673" s="3" t="s">
        <v>3332</v>
      </c>
      <c r="B673" s="3" t="s">
        <v>3333</v>
      </c>
      <c r="C673" s="3" t="s">
        <v>3334</v>
      </c>
      <c r="D673" s="3"/>
      <c r="E673" s="3" t="s">
        <v>2823</v>
      </c>
      <c r="F673" s="3"/>
      <c r="G673" s="3"/>
      <c r="H673" s="3"/>
      <c r="I673" s="3"/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/>
      <c r="P673" s="3">
        <v>0</v>
      </c>
      <c r="Q673" s="3">
        <v>0</v>
      </c>
      <c r="R673" s="3">
        <v>0</v>
      </c>
    </row>
    <row r="674" spans="1:18">
      <c r="A674" s="3" t="s">
        <v>3335</v>
      </c>
      <c r="B674" s="3" t="s">
        <v>3336</v>
      </c>
      <c r="C674" s="3" t="s">
        <v>3337</v>
      </c>
      <c r="D674" s="3"/>
      <c r="E674" s="3" t="s">
        <v>2823</v>
      </c>
      <c r="F674" s="3"/>
      <c r="G674" s="3"/>
      <c r="H674" s="3"/>
      <c r="I674" s="3"/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3338</v>
      </c>
      <c r="B675" s="3" t="s">
        <v>3339</v>
      </c>
      <c r="C675" s="3" t="s">
        <v>3340</v>
      </c>
      <c r="D675" s="3"/>
      <c r="E675" s="3" t="s">
        <v>2823</v>
      </c>
      <c r="F675" s="3"/>
      <c r="G675" s="3"/>
      <c r="H675" s="3"/>
      <c r="I675" s="3"/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/>
      <c r="P675" s="3">
        <v>0</v>
      </c>
      <c r="Q675" s="3">
        <v>0</v>
      </c>
      <c r="R675" s="3">
        <v>0</v>
      </c>
    </row>
    <row r="676" spans="1:18">
      <c r="A676" s="3" t="s">
        <v>3341</v>
      </c>
      <c r="B676" s="3" t="s">
        <v>3342</v>
      </c>
      <c r="C676" s="3" t="s">
        <v>3343</v>
      </c>
      <c r="D676" s="3"/>
      <c r="E676" s="3" t="s">
        <v>2823</v>
      </c>
      <c r="F676" s="3"/>
      <c r="G676" s="3"/>
      <c r="H676" s="3"/>
      <c r="I676" s="3"/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/>
      <c r="P676" s="3">
        <v>0</v>
      </c>
      <c r="Q676" s="3">
        <v>0</v>
      </c>
      <c r="R676" s="3">
        <v>0</v>
      </c>
    </row>
    <row r="677" spans="1:18">
      <c r="A677" s="3" t="s">
        <v>3344</v>
      </c>
      <c r="B677" s="3" t="s">
        <v>3345</v>
      </c>
      <c r="C677" s="3" t="s">
        <v>3346</v>
      </c>
      <c r="D677" s="3"/>
      <c r="E677" s="3" t="s">
        <v>2823</v>
      </c>
      <c r="F677" s="3"/>
      <c r="G677" s="3"/>
      <c r="H677" s="3"/>
      <c r="I677" s="3"/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/>
      <c r="P677" s="3">
        <v>0</v>
      </c>
      <c r="Q677" s="3">
        <v>0</v>
      </c>
      <c r="R677" s="3">
        <v>0</v>
      </c>
    </row>
    <row r="678" spans="1:18">
      <c r="A678" s="3" t="s">
        <v>3347</v>
      </c>
      <c r="B678" s="3" t="s">
        <v>3348</v>
      </c>
      <c r="C678" s="3" t="s">
        <v>3349</v>
      </c>
      <c r="D678" s="3"/>
      <c r="E678" s="3" t="s">
        <v>2823</v>
      </c>
      <c r="F678" s="3"/>
      <c r="G678" s="3"/>
      <c r="H678" s="3"/>
      <c r="I678" s="3"/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/>
      <c r="P678" s="3">
        <v>0</v>
      </c>
      <c r="Q678" s="3">
        <v>0</v>
      </c>
      <c r="R678" s="3">
        <v>0</v>
      </c>
    </row>
    <row r="679" spans="1:18">
      <c r="A679" s="3" t="s">
        <v>3350</v>
      </c>
      <c r="B679" s="3" t="s">
        <v>3351</v>
      </c>
      <c r="C679" s="3" t="s">
        <v>3352</v>
      </c>
      <c r="D679" s="3"/>
      <c r="E679" s="3" t="s">
        <v>2823</v>
      </c>
      <c r="F679" s="3"/>
      <c r="G679" s="3"/>
      <c r="H679" s="3"/>
      <c r="I679" s="3"/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/>
      <c r="P679" s="3">
        <v>0</v>
      </c>
      <c r="Q679" s="3">
        <v>0</v>
      </c>
      <c r="R679" s="3">
        <v>0</v>
      </c>
    </row>
    <row r="680" spans="1:18">
      <c r="A680" s="3" t="s">
        <v>3353</v>
      </c>
      <c r="B680" s="3" t="s">
        <v>3354</v>
      </c>
      <c r="C680" s="3" t="s">
        <v>3355</v>
      </c>
      <c r="D680" s="3"/>
      <c r="E680" s="3" t="s">
        <v>2823</v>
      </c>
      <c r="F680" s="3"/>
      <c r="G680" s="3"/>
      <c r="H680" s="3"/>
      <c r="I680" s="3"/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/>
      <c r="P680" s="3">
        <v>0</v>
      </c>
      <c r="Q680" s="3">
        <v>0</v>
      </c>
      <c r="R680" s="3">
        <v>0</v>
      </c>
    </row>
    <row r="681" spans="1:18">
      <c r="A681" s="3" t="s">
        <v>3356</v>
      </c>
      <c r="B681" s="3" t="s">
        <v>3357</v>
      </c>
      <c r="C681" s="3" t="s">
        <v>3358</v>
      </c>
      <c r="D681" s="3"/>
      <c r="E681" s="3" t="s">
        <v>2823</v>
      </c>
      <c r="F681" s="3"/>
      <c r="G681" s="3"/>
      <c r="H681" s="3"/>
      <c r="I681" s="3"/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/>
      <c r="P681" s="3">
        <v>0</v>
      </c>
      <c r="Q681" s="3">
        <v>0</v>
      </c>
      <c r="R681" s="3">
        <v>0</v>
      </c>
    </row>
    <row r="682" spans="1:18">
      <c r="A682" s="3" t="s">
        <v>3359</v>
      </c>
      <c r="B682" s="3" t="s">
        <v>3360</v>
      </c>
      <c r="C682" s="3" t="s">
        <v>3361</v>
      </c>
      <c r="D682" s="3"/>
      <c r="E682" s="3" t="s">
        <v>2823</v>
      </c>
      <c r="F682" s="3"/>
      <c r="G682" s="3"/>
      <c r="H682" s="3"/>
      <c r="I682" s="3"/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/>
      <c r="P682" s="3">
        <v>0</v>
      </c>
      <c r="Q682" s="3">
        <v>0</v>
      </c>
      <c r="R682" s="3">
        <v>0</v>
      </c>
    </row>
    <row r="683" spans="1:18">
      <c r="A683" s="3" t="s">
        <v>3362</v>
      </c>
      <c r="B683" s="3" t="s">
        <v>3363</v>
      </c>
      <c r="C683" s="3" t="s">
        <v>3364</v>
      </c>
      <c r="D683" s="3"/>
      <c r="E683" s="3" t="s">
        <v>2823</v>
      </c>
      <c r="F683" s="3"/>
      <c r="G683" s="3"/>
      <c r="H683" s="3"/>
      <c r="I683" s="3"/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/>
      <c r="P683" s="3">
        <v>0</v>
      </c>
      <c r="Q683" s="3">
        <v>0</v>
      </c>
      <c r="R683" s="3">
        <v>0</v>
      </c>
    </row>
    <row r="684" spans="1:18">
      <c r="A684" s="3" t="s">
        <v>3365</v>
      </c>
      <c r="B684" s="3" t="s">
        <v>3366</v>
      </c>
      <c r="C684" s="3" t="s">
        <v>3367</v>
      </c>
      <c r="D684" s="3"/>
      <c r="E684" s="3" t="s">
        <v>2823</v>
      </c>
      <c r="F684" s="3"/>
      <c r="G684" s="3"/>
      <c r="H684" s="3"/>
      <c r="I684" s="3"/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/>
      <c r="P684" s="3">
        <v>0</v>
      </c>
      <c r="Q684" s="3">
        <v>0</v>
      </c>
      <c r="R684" s="3">
        <v>0</v>
      </c>
    </row>
    <row r="685" spans="1:18">
      <c r="A685" s="3" t="s">
        <v>3368</v>
      </c>
      <c r="B685" s="3" t="s">
        <v>3369</v>
      </c>
      <c r="C685" s="3" t="s">
        <v>3370</v>
      </c>
      <c r="D685" s="3"/>
      <c r="E685" s="3" t="s">
        <v>2823</v>
      </c>
      <c r="F685" s="3"/>
      <c r="G685" s="3"/>
      <c r="H685" s="3"/>
      <c r="I685" s="3"/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/>
      <c r="P685" s="3">
        <v>0</v>
      </c>
      <c r="Q685" s="3">
        <v>0</v>
      </c>
      <c r="R685" s="3">
        <v>0</v>
      </c>
    </row>
    <row r="686" spans="1:18">
      <c r="A686" s="3" t="s">
        <v>3371</v>
      </c>
      <c r="B686" s="3" t="s">
        <v>3372</v>
      </c>
      <c r="C686" s="3" t="s">
        <v>3373</v>
      </c>
      <c r="D686" s="3"/>
      <c r="E686" s="3" t="s">
        <v>2823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3374</v>
      </c>
      <c r="B687" s="3" t="s">
        <v>3375</v>
      </c>
      <c r="C687" s="3" t="s">
        <v>3376</v>
      </c>
      <c r="D687" s="3"/>
      <c r="E687" s="3" t="s">
        <v>2823</v>
      </c>
      <c r="F687" s="3"/>
      <c r="G687" s="3"/>
      <c r="H687" s="3"/>
      <c r="I687" s="3"/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/>
      <c r="P687" s="3">
        <v>0</v>
      </c>
      <c r="Q687" s="3">
        <v>0</v>
      </c>
      <c r="R687" s="3">
        <v>0</v>
      </c>
    </row>
    <row r="688" spans="1:18">
      <c r="A688" s="3" t="s">
        <v>1675</v>
      </c>
      <c r="B688" s="3" t="s">
        <v>1676</v>
      </c>
      <c r="C688" s="3" t="s">
        <v>1677</v>
      </c>
      <c r="D688" s="3" t="s">
        <v>1678</v>
      </c>
      <c r="E688" s="3" t="s">
        <v>340</v>
      </c>
      <c r="F688" s="3">
        <v>39.99</v>
      </c>
      <c r="G688" s="3" t="s">
        <v>2572</v>
      </c>
      <c r="H688" s="3"/>
      <c r="I688" s="3" t="s">
        <v>2573</v>
      </c>
      <c r="J688" s="3">
        <v>5</v>
      </c>
      <c r="K688" s="3">
        <v>5</v>
      </c>
      <c r="L688" s="3">
        <v>0</v>
      </c>
      <c r="M688" s="3">
        <v>0</v>
      </c>
      <c r="N688" s="3">
        <v>5</v>
      </c>
      <c r="O688" s="3">
        <v>0.28</v>
      </c>
      <c r="P688" s="3">
        <v>0</v>
      </c>
      <c r="Q688" s="3">
        <v>0</v>
      </c>
      <c r="R688" s="3">
        <v>0</v>
      </c>
    </row>
    <row r="689" spans="1:18">
      <c r="A689" s="3" t="s">
        <v>2075</v>
      </c>
      <c r="B689" s="3" t="s">
        <v>2076</v>
      </c>
      <c r="C689" s="3" t="s">
        <v>2077</v>
      </c>
      <c r="D689" s="3" t="s">
        <v>2078</v>
      </c>
      <c r="E689" s="3" t="s">
        <v>340</v>
      </c>
      <c r="F689" s="3">
        <v>39.99</v>
      </c>
      <c r="G689" s="3" t="s">
        <v>2572</v>
      </c>
      <c r="H689" s="3"/>
      <c r="I689" s="3" t="s">
        <v>2573</v>
      </c>
      <c r="J689" s="3">
        <v>3</v>
      </c>
      <c r="K689" s="3">
        <v>3</v>
      </c>
      <c r="L689" s="3">
        <v>0</v>
      </c>
      <c r="M689" s="3">
        <v>0</v>
      </c>
      <c r="N689" s="3">
        <v>3</v>
      </c>
      <c r="O689" s="3">
        <v>0.28</v>
      </c>
      <c r="P689" s="3">
        <v>0</v>
      </c>
      <c r="Q689" s="3">
        <v>0</v>
      </c>
      <c r="R689" s="3">
        <v>0</v>
      </c>
    </row>
    <row r="690" spans="1:18">
      <c r="A690" s="3" t="s">
        <v>3377</v>
      </c>
      <c r="B690" s="3" t="s">
        <v>3378</v>
      </c>
      <c r="C690" s="3" t="s">
        <v>3379</v>
      </c>
      <c r="D690" s="3" t="s">
        <v>2078</v>
      </c>
      <c r="E690" s="3" t="s">
        <v>340</v>
      </c>
      <c r="F690" s="3">
        <v>39.99</v>
      </c>
      <c r="G690" s="3" t="s">
        <v>2572</v>
      </c>
      <c r="H690" s="3"/>
      <c r="I690" s="3" t="s">
        <v>2573</v>
      </c>
      <c r="J690" s="3">
        <v>1</v>
      </c>
      <c r="K690" s="3">
        <v>0</v>
      </c>
      <c r="L690" s="3">
        <v>1</v>
      </c>
      <c r="M690" s="3">
        <v>0</v>
      </c>
      <c r="N690" s="3">
        <v>1</v>
      </c>
      <c r="O690" s="3">
        <v>0.28</v>
      </c>
      <c r="P690" s="3">
        <v>0</v>
      </c>
      <c r="Q690" s="3">
        <v>0</v>
      </c>
      <c r="R690" s="3">
        <v>0</v>
      </c>
    </row>
    <row r="691" spans="1:18">
      <c r="A691" s="3" t="s">
        <v>1844</v>
      </c>
      <c r="B691" s="3" t="s">
        <v>1845</v>
      </c>
      <c r="C691" s="3" t="s">
        <v>1846</v>
      </c>
      <c r="D691" s="3" t="s">
        <v>1678</v>
      </c>
      <c r="E691" s="3" t="s">
        <v>340</v>
      </c>
      <c r="F691" s="3">
        <v>39.99</v>
      </c>
      <c r="G691" s="3" t="s">
        <v>2572</v>
      </c>
      <c r="H691" s="3"/>
      <c r="I691" s="3" t="s">
        <v>2573</v>
      </c>
      <c r="J691" s="3">
        <v>3</v>
      </c>
      <c r="K691" s="3">
        <v>3</v>
      </c>
      <c r="L691" s="3">
        <v>0</v>
      </c>
      <c r="M691" s="3">
        <v>0</v>
      </c>
      <c r="N691" s="3">
        <v>3</v>
      </c>
      <c r="O691" s="3">
        <v>0.28</v>
      </c>
      <c r="P691" s="3">
        <v>0</v>
      </c>
      <c r="Q691" s="3">
        <v>0</v>
      </c>
      <c r="R691" s="3">
        <v>0</v>
      </c>
    </row>
    <row r="692" spans="1:18">
      <c r="A692" s="3" t="s">
        <v>2312</v>
      </c>
      <c r="B692" s="3" t="s">
        <v>2313</v>
      </c>
      <c r="C692" s="3" t="s">
        <v>2314</v>
      </c>
      <c r="D692" s="3" t="s">
        <v>1678</v>
      </c>
      <c r="E692" s="3" t="s">
        <v>340</v>
      </c>
      <c r="F692" s="3">
        <v>39.99</v>
      </c>
      <c r="G692" s="3" t="s">
        <v>2572</v>
      </c>
      <c r="H692" s="3"/>
      <c r="I692" s="3" t="s">
        <v>2573</v>
      </c>
      <c r="J692" s="3">
        <v>1</v>
      </c>
      <c r="K692" s="3">
        <v>1</v>
      </c>
      <c r="L692" s="3">
        <v>0</v>
      </c>
      <c r="M692" s="3">
        <v>0</v>
      </c>
      <c r="N692" s="3">
        <v>1</v>
      </c>
      <c r="O692" s="3">
        <v>0.28</v>
      </c>
      <c r="P692" s="3">
        <v>0</v>
      </c>
      <c r="Q692" s="3">
        <v>0</v>
      </c>
      <c r="R692" s="3">
        <v>0</v>
      </c>
    </row>
    <row r="693" spans="1:18">
      <c r="A693" s="3" t="s">
        <v>3380</v>
      </c>
      <c r="B693" s="3" t="s">
        <v>3381</v>
      </c>
      <c r="C693" s="3" t="s">
        <v>3382</v>
      </c>
      <c r="D693" s="3" t="s">
        <v>1678</v>
      </c>
      <c r="E693" s="3" t="s">
        <v>340</v>
      </c>
      <c r="F693" s="3">
        <v>39.99</v>
      </c>
      <c r="G693" s="3" t="s">
        <v>2572</v>
      </c>
      <c r="H693" s="3"/>
      <c r="I693" s="3" t="s">
        <v>2573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0.28</v>
      </c>
      <c r="P693" s="3">
        <v>0</v>
      </c>
      <c r="Q693" s="3">
        <v>0</v>
      </c>
      <c r="R693" s="3">
        <v>0</v>
      </c>
    </row>
    <row r="694" spans="1:18">
      <c r="A694" s="3" t="s">
        <v>153</v>
      </c>
      <c r="B694" s="3" t="s">
        <v>154</v>
      </c>
      <c r="C694" s="3" t="s">
        <v>155</v>
      </c>
      <c r="D694" s="3" t="s">
        <v>123</v>
      </c>
      <c r="E694" s="3" t="s">
        <v>340</v>
      </c>
      <c r="F694" s="3">
        <v>39.99</v>
      </c>
      <c r="G694" s="3" t="s">
        <v>2572</v>
      </c>
      <c r="H694" s="3"/>
      <c r="I694" s="3" t="s">
        <v>2573</v>
      </c>
      <c r="J694" s="3">
        <v>3</v>
      </c>
      <c r="K694" s="3">
        <v>0</v>
      </c>
      <c r="L694" s="3">
        <v>1</v>
      </c>
      <c r="M694" s="3">
        <v>2</v>
      </c>
      <c r="N694" s="3">
        <v>3</v>
      </c>
      <c r="O694" s="3">
        <v>0.09</v>
      </c>
      <c r="P694" s="3">
        <v>0</v>
      </c>
      <c r="Q694" s="3">
        <v>0</v>
      </c>
      <c r="R694" s="3">
        <v>0</v>
      </c>
    </row>
    <row r="695" spans="1:18">
      <c r="A695" s="3" t="s">
        <v>2206</v>
      </c>
      <c r="B695" s="3" t="s">
        <v>2207</v>
      </c>
      <c r="C695" s="3" t="s">
        <v>2208</v>
      </c>
      <c r="D695" s="3" t="s">
        <v>123</v>
      </c>
      <c r="E695" s="3" t="s">
        <v>340</v>
      </c>
      <c r="F695" s="3">
        <v>39.99</v>
      </c>
      <c r="G695" s="3" t="s">
        <v>2572</v>
      </c>
      <c r="H695" s="3"/>
      <c r="I695" s="3" t="s">
        <v>2573</v>
      </c>
      <c r="J695" s="3">
        <v>3</v>
      </c>
      <c r="K695" s="3">
        <v>2</v>
      </c>
      <c r="L695" s="3">
        <v>1</v>
      </c>
      <c r="M695" s="3">
        <v>0</v>
      </c>
      <c r="N695" s="3">
        <v>3</v>
      </c>
      <c r="O695" s="3">
        <v>0.09</v>
      </c>
      <c r="P695" s="3">
        <v>0</v>
      </c>
      <c r="Q695" s="3">
        <v>0</v>
      </c>
      <c r="R695" s="3">
        <v>0</v>
      </c>
    </row>
    <row r="696" spans="1:18">
      <c r="A696" s="3" t="s">
        <v>1752</v>
      </c>
      <c r="B696" s="3" t="s">
        <v>1753</v>
      </c>
      <c r="C696" s="3" t="s">
        <v>1754</v>
      </c>
      <c r="D696" s="3"/>
      <c r="E696" s="3" t="s">
        <v>2823</v>
      </c>
      <c r="F696" s="3"/>
      <c r="G696" s="3"/>
      <c r="H696" s="3"/>
      <c r="I696" s="3"/>
      <c r="J696" s="3">
        <v>3</v>
      </c>
      <c r="K696" s="3">
        <v>1</v>
      </c>
      <c r="L696" s="3">
        <v>2</v>
      </c>
      <c r="M696" s="3">
        <v>0</v>
      </c>
      <c r="N696" s="3">
        <v>3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1993</v>
      </c>
      <c r="B697" s="3" t="s">
        <v>1994</v>
      </c>
      <c r="C697" s="3" t="s">
        <v>1995</v>
      </c>
      <c r="D697" s="3" t="s">
        <v>123</v>
      </c>
      <c r="E697" s="3" t="s">
        <v>340</v>
      </c>
      <c r="F697" s="3">
        <v>39.99</v>
      </c>
      <c r="G697" s="3" t="s">
        <v>2572</v>
      </c>
      <c r="H697" s="3"/>
      <c r="I697" s="3" t="s">
        <v>2573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0.09</v>
      </c>
      <c r="P697" s="3">
        <v>0</v>
      </c>
      <c r="Q697" s="3">
        <v>0</v>
      </c>
      <c r="R697" s="3">
        <v>0</v>
      </c>
    </row>
    <row r="698" spans="1:18">
      <c r="A698" s="3" t="s">
        <v>3383</v>
      </c>
      <c r="B698" s="3" t="s">
        <v>3384</v>
      </c>
      <c r="C698" s="3" t="s">
        <v>3385</v>
      </c>
      <c r="D698" s="3" t="s">
        <v>123</v>
      </c>
      <c r="E698" s="3" t="s">
        <v>340</v>
      </c>
      <c r="F698" s="3">
        <v>39.99</v>
      </c>
      <c r="G698" s="3" t="s">
        <v>2572</v>
      </c>
      <c r="H698" s="3"/>
      <c r="I698" s="3" t="s">
        <v>2573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0.09</v>
      </c>
      <c r="P698" s="3">
        <v>0</v>
      </c>
      <c r="Q698" s="3">
        <v>0</v>
      </c>
      <c r="R698" s="3">
        <v>0</v>
      </c>
    </row>
    <row r="699" spans="1:18">
      <c r="A699" s="3" t="s">
        <v>163</v>
      </c>
      <c r="B699" s="3" t="s">
        <v>164</v>
      </c>
      <c r="C699" s="3" t="s">
        <v>165</v>
      </c>
      <c r="D699" s="3" t="s">
        <v>123</v>
      </c>
      <c r="E699" s="3" t="s">
        <v>340</v>
      </c>
      <c r="F699" s="3">
        <v>39.99</v>
      </c>
      <c r="G699" s="3" t="s">
        <v>2572</v>
      </c>
      <c r="H699" s="3"/>
      <c r="I699" s="3" t="s">
        <v>2573</v>
      </c>
      <c r="J699" s="3">
        <v>3</v>
      </c>
      <c r="K699" s="3">
        <v>0</v>
      </c>
      <c r="L699" s="3">
        <v>2</v>
      </c>
      <c r="M699" s="3">
        <v>1</v>
      </c>
      <c r="N699" s="3">
        <v>3</v>
      </c>
      <c r="O699" s="3">
        <v>0.09</v>
      </c>
      <c r="P699" s="3">
        <v>0</v>
      </c>
      <c r="Q699" s="3">
        <v>0</v>
      </c>
      <c r="R699" s="3">
        <v>0</v>
      </c>
    </row>
    <row r="700" spans="1:18">
      <c r="A700" s="3" t="s">
        <v>3386</v>
      </c>
      <c r="B700" s="3" t="s">
        <v>3387</v>
      </c>
      <c r="C700" s="3" t="s">
        <v>3388</v>
      </c>
      <c r="D700" s="3" t="s">
        <v>123</v>
      </c>
      <c r="E700" s="3" t="s">
        <v>340</v>
      </c>
      <c r="F700" s="3">
        <v>39.99</v>
      </c>
      <c r="G700" s="3" t="s">
        <v>2572</v>
      </c>
      <c r="H700" s="3"/>
      <c r="I700" s="3" t="s">
        <v>2573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0.09</v>
      </c>
      <c r="P700" s="3">
        <v>0</v>
      </c>
      <c r="Q700" s="3">
        <v>0</v>
      </c>
      <c r="R700" s="3">
        <v>0</v>
      </c>
    </row>
    <row r="701" spans="1:18">
      <c r="A701" s="3" t="s">
        <v>483</v>
      </c>
      <c r="B701" s="3" t="s">
        <v>484</v>
      </c>
      <c r="C701" s="3" t="s">
        <v>485</v>
      </c>
      <c r="D701" s="3" t="s">
        <v>123</v>
      </c>
      <c r="E701" s="3" t="s">
        <v>340</v>
      </c>
      <c r="F701" s="3">
        <v>39.99</v>
      </c>
      <c r="G701" s="3" t="s">
        <v>2572</v>
      </c>
      <c r="H701" s="3"/>
      <c r="I701" s="3" t="s">
        <v>2573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0.09</v>
      </c>
      <c r="P701" s="3">
        <v>0</v>
      </c>
      <c r="Q701" s="3">
        <v>0</v>
      </c>
      <c r="R701" s="3">
        <v>0</v>
      </c>
    </row>
    <row r="702" spans="1:18">
      <c r="A702" s="3" t="s">
        <v>3389</v>
      </c>
      <c r="B702" s="3" t="s">
        <v>3390</v>
      </c>
      <c r="C702" s="3" t="s">
        <v>3391</v>
      </c>
      <c r="D702" s="3" t="s">
        <v>123</v>
      </c>
      <c r="E702" s="3" t="s">
        <v>340</v>
      </c>
      <c r="F702" s="3">
        <v>39.99</v>
      </c>
      <c r="G702" s="3" t="s">
        <v>2572</v>
      </c>
      <c r="H702" s="3"/>
      <c r="I702" s="3" t="s">
        <v>2573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0.09</v>
      </c>
      <c r="P702" s="3">
        <v>0</v>
      </c>
      <c r="Q702" s="3">
        <v>0</v>
      </c>
      <c r="R702" s="3">
        <v>0</v>
      </c>
    </row>
    <row r="703" spans="1:18">
      <c r="A703" s="3" t="s">
        <v>3392</v>
      </c>
      <c r="B703" s="3" t="s">
        <v>3393</v>
      </c>
      <c r="C703" s="3" t="s">
        <v>3394</v>
      </c>
      <c r="D703" s="3" t="s">
        <v>123</v>
      </c>
      <c r="E703" s="3" t="s">
        <v>340</v>
      </c>
      <c r="F703" s="3">
        <v>39.99</v>
      </c>
      <c r="G703" s="3" t="s">
        <v>2572</v>
      </c>
      <c r="H703" s="3"/>
      <c r="I703" s="3" t="s">
        <v>2573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0.09</v>
      </c>
      <c r="P703" s="3">
        <v>0</v>
      </c>
      <c r="Q703" s="3">
        <v>0</v>
      </c>
      <c r="R703" s="3">
        <v>0</v>
      </c>
    </row>
    <row r="704" spans="1:18">
      <c r="A704" s="3" t="s">
        <v>160</v>
      </c>
      <c r="B704" s="3" t="s">
        <v>161</v>
      </c>
      <c r="C704" s="3" t="s">
        <v>162</v>
      </c>
      <c r="D704" s="3"/>
      <c r="E704" s="3" t="s">
        <v>2823</v>
      </c>
      <c r="F704" s="3"/>
      <c r="G704" s="3"/>
      <c r="H704" s="3"/>
      <c r="I704" s="3"/>
      <c r="J704" s="3">
        <v>2</v>
      </c>
      <c r="K704" s="3">
        <v>0</v>
      </c>
      <c r="L704" s="3">
        <v>1</v>
      </c>
      <c r="M704" s="3">
        <v>1</v>
      </c>
      <c r="N704" s="3">
        <v>2</v>
      </c>
      <c r="O704" s="3"/>
      <c r="P704" s="3">
        <v>0</v>
      </c>
      <c r="Q704" s="3">
        <v>0</v>
      </c>
      <c r="R704" s="3">
        <v>0</v>
      </c>
    </row>
    <row r="705" spans="1:18">
      <c r="A705" s="3" t="s">
        <v>3395</v>
      </c>
      <c r="B705" s="3" t="s">
        <v>3396</v>
      </c>
      <c r="C705" s="3" t="s">
        <v>3397</v>
      </c>
      <c r="D705" s="3" t="s">
        <v>123</v>
      </c>
      <c r="E705" s="3" t="s">
        <v>340</v>
      </c>
      <c r="F705" s="3">
        <v>39.99</v>
      </c>
      <c r="G705" s="3" t="s">
        <v>2572</v>
      </c>
      <c r="H705" s="3"/>
      <c r="I705" s="3" t="s">
        <v>2573</v>
      </c>
      <c r="J705" s="3">
        <v>3</v>
      </c>
      <c r="K705" s="3">
        <v>0</v>
      </c>
      <c r="L705" s="3">
        <v>3</v>
      </c>
      <c r="M705" s="3">
        <v>0</v>
      </c>
      <c r="N705" s="3">
        <v>3</v>
      </c>
      <c r="O705" s="3">
        <v>0.09</v>
      </c>
      <c r="P705" s="3">
        <v>0</v>
      </c>
      <c r="Q705" s="3">
        <v>0</v>
      </c>
      <c r="R705" s="3">
        <v>0</v>
      </c>
    </row>
    <row r="706" spans="1:18">
      <c r="A706" s="3" t="s">
        <v>3398</v>
      </c>
      <c r="B706" s="3" t="s">
        <v>3399</v>
      </c>
      <c r="C706" s="3" t="s">
        <v>3400</v>
      </c>
      <c r="D706" s="3" t="s">
        <v>159</v>
      </c>
      <c r="E706" s="3" t="s">
        <v>340</v>
      </c>
      <c r="F706" s="3">
        <v>39.99</v>
      </c>
      <c r="G706" s="3" t="s">
        <v>2572</v>
      </c>
      <c r="H706" s="3"/>
      <c r="I706" s="3" t="s">
        <v>2573</v>
      </c>
      <c r="J706" s="3">
        <v>2</v>
      </c>
      <c r="K706" s="3">
        <v>0</v>
      </c>
      <c r="L706" s="3">
        <v>2</v>
      </c>
      <c r="M706" s="3">
        <v>0</v>
      </c>
      <c r="N706" s="3">
        <v>2</v>
      </c>
      <c r="O706" s="3">
        <v>0.09</v>
      </c>
      <c r="P706" s="3">
        <v>0</v>
      </c>
      <c r="Q706" s="3">
        <v>0</v>
      </c>
      <c r="R706" s="3">
        <v>0</v>
      </c>
    </row>
    <row r="707" spans="1:18">
      <c r="A707" s="3" t="s">
        <v>156</v>
      </c>
      <c r="B707" s="3" t="s">
        <v>157</v>
      </c>
      <c r="C707" s="3" t="s">
        <v>158</v>
      </c>
      <c r="D707" s="3" t="s">
        <v>159</v>
      </c>
      <c r="E707" s="3" t="s">
        <v>340</v>
      </c>
      <c r="F707" s="3">
        <v>39.99</v>
      </c>
      <c r="G707" s="3" t="s">
        <v>2572</v>
      </c>
      <c r="H707" s="3"/>
      <c r="I707" s="3" t="s">
        <v>2573</v>
      </c>
      <c r="J707" s="3">
        <v>2</v>
      </c>
      <c r="K707" s="3">
        <v>0</v>
      </c>
      <c r="L707" s="3">
        <v>1</v>
      </c>
      <c r="M707" s="3">
        <v>1</v>
      </c>
      <c r="N707" s="3">
        <v>2</v>
      </c>
      <c r="O707" s="3">
        <v>0.09</v>
      </c>
      <c r="P707" s="3">
        <v>0</v>
      </c>
      <c r="Q707" s="3">
        <v>0</v>
      </c>
      <c r="R707" s="3">
        <v>0</v>
      </c>
    </row>
    <row r="708" spans="1:18">
      <c r="A708" s="3" t="s">
        <v>3401</v>
      </c>
      <c r="B708" s="3" t="s">
        <v>3402</v>
      </c>
      <c r="C708" s="3" t="s">
        <v>3403</v>
      </c>
      <c r="D708" s="3" t="s">
        <v>159</v>
      </c>
      <c r="E708" s="3" t="s">
        <v>340</v>
      </c>
      <c r="F708" s="3">
        <v>39.99</v>
      </c>
      <c r="G708" s="3" t="s">
        <v>2572</v>
      </c>
      <c r="H708" s="3"/>
      <c r="I708" s="3" t="s">
        <v>2573</v>
      </c>
      <c r="J708" s="3">
        <v>1</v>
      </c>
      <c r="K708" s="3">
        <v>0</v>
      </c>
      <c r="L708" s="3">
        <v>1</v>
      </c>
      <c r="M708" s="3">
        <v>0</v>
      </c>
      <c r="N708" s="3">
        <v>1</v>
      </c>
      <c r="O708" s="3">
        <v>0.09</v>
      </c>
      <c r="P708" s="3">
        <v>0</v>
      </c>
      <c r="Q708" s="3">
        <v>0</v>
      </c>
      <c r="R708" s="3">
        <v>0</v>
      </c>
    </row>
    <row r="709" spans="1:18">
      <c r="A709" s="3" t="s">
        <v>3404</v>
      </c>
      <c r="B709" s="3" t="s">
        <v>3405</v>
      </c>
      <c r="C709" s="3" t="s">
        <v>3406</v>
      </c>
      <c r="D709" s="3" t="s">
        <v>159</v>
      </c>
      <c r="E709" s="3" t="s">
        <v>340</v>
      </c>
      <c r="F709" s="3">
        <v>39.99</v>
      </c>
      <c r="G709" s="3" t="s">
        <v>2572</v>
      </c>
      <c r="H709" s="3"/>
      <c r="I709" s="3" t="s">
        <v>2573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0.09</v>
      </c>
      <c r="P709" s="3">
        <v>0</v>
      </c>
      <c r="Q709" s="3">
        <v>0</v>
      </c>
      <c r="R709" s="3">
        <v>0</v>
      </c>
    </row>
    <row r="710" spans="1:18">
      <c r="A710" s="3" t="s">
        <v>3407</v>
      </c>
      <c r="B710" s="3" t="s">
        <v>3408</v>
      </c>
      <c r="C710" s="3" t="s">
        <v>3409</v>
      </c>
      <c r="D710" s="3"/>
      <c r="E710" s="3" t="s">
        <v>2823</v>
      </c>
      <c r="F710" s="3"/>
      <c r="G710" s="3"/>
      <c r="H710" s="3"/>
      <c r="I710" s="3"/>
      <c r="J710" s="3">
        <v>1</v>
      </c>
      <c r="K710" s="3">
        <v>0</v>
      </c>
      <c r="L710" s="3">
        <v>1</v>
      </c>
      <c r="M710" s="3">
        <v>0</v>
      </c>
      <c r="N710" s="3">
        <v>1</v>
      </c>
      <c r="O710" s="3"/>
      <c r="P710" s="3">
        <v>0</v>
      </c>
      <c r="Q710" s="3">
        <v>0</v>
      </c>
      <c r="R710" s="3">
        <v>0</v>
      </c>
    </row>
    <row r="711" spans="1:18">
      <c r="A711" s="3" t="s">
        <v>3410</v>
      </c>
      <c r="B711" s="3" t="s">
        <v>3411</v>
      </c>
      <c r="C711" s="3" t="s">
        <v>3412</v>
      </c>
      <c r="D711" s="3" t="s">
        <v>159</v>
      </c>
      <c r="E711" s="3" t="s">
        <v>340</v>
      </c>
      <c r="F711" s="3">
        <v>39.99</v>
      </c>
      <c r="G711" s="3" t="s">
        <v>2572</v>
      </c>
      <c r="H711" s="3"/>
      <c r="I711" s="3" t="s">
        <v>2573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0.09</v>
      </c>
      <c r="P711" s="3">
        <v>0</v>
      </c>
      <c r="Q711" s="3">
        <v>0</v>
      </c>
      <c r="R711" s="3">
        <v>0</v>
      </c>
    </row>
    <row r="712" spans="1:18">
      <c r="A712" s="3" t="s">
        <v>3413</v>
      </c>
      <c r="B712" s="3" t="s">
        <v>3414</v>
      </c>
      <c r="C712" s="3" t="s">
        <v>3415</v>
      </c>
      <c r="D712" s="3" t="s">
        <v>3416</v>
      </c>
      <c r="E712" s="3" t="s">
        <v>340</v>
      </c>
      <c r="F712" s="3">
        <v>22.99</v>
      </c>
      <c r="G712" s="3" t="s">
        <v>2572</v>
      </c>
      <c r="H712" s="3"/>
      <c r="I712" s="3" t="s">
        <v>2573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0.05</v>
      </c>
      <c r="P712" s="3">
        <v>0</v>
      </c>
      <c r="Q712" s="3">
        <v>0</v>
      </c>
      <c r="R712" s="3">
        <v>0</v>
      </c>
    </row>
    <row r="713" spans="1:18">
      <c r="A713" s="3" t="s">
        <v>3417</v>
      </c>
      <c r="B713" s="3" t="s">
        <v>3418</v>
      </c>
      <c r="C713" s="3" t="s">
        <v>3419</v>
      </c>
      <c r="D713" s="3" t="s">
        <v>3416</v>
      </c>
      <c r="E713" s="3" t="s">
        <v>340</v>
      </c>
      <c r="F713" s="3">
        <v>15.99</v>
      </c>
      <c r="G713" s="3" t="s">
        <v>2572</v>
      </c>
      <c r="H713" s="3"/>
      <c r="I713" s="3" t="s">
        <v>2573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0.05</v>
      </c>
      <c r="P713" s="3">
        <v>0</v>
      </c>
      <c r="Q713" s="3">
        <v>0</v>
      </c>
      <c r="R713" s="3">
        <v>0</v>
      </c>
    </row>
    <row r="714" spans="1:18">
      <c r="A714" s="3" t="s">
        <v>3420</v>
      </c>
      <c r="B714" s="3" t="s">
        <v>3421</v>
      </c>
      <c r="C714" s="3" t="s">
        <v>3422</v>
      </c>
      <c r="D714" s="3" t="s">
        <v>3423</v>
      </c>
      <c r="E714" s="3" t="s">
        <v>340</v>
      </c>
      <c r="F714" s="3">
        <v>39.99</v>
      </c>
      <c r="G714" s="3" t="s">
        <v>2572</v>
      </c>
      <c r="H714" s="3"/>
      <c r="I714" s="3" t="s">
        <v>2573</v>
      </c>
      <c r="J714" s="3">
        <v>1</v>
      </c>
      <c r="K714" s="3">
        <v>0</v>
      </c>
      <c r="L714" s="3">
        <v>1</v>
      </c>
      <c r="M714" s="3">
        <v>0</v>
      </c>
      <c r="N714" s="3">
        <v>1</v>
      </c>
      <c r="O714" s="3">
        <v>0.12</v>
      </c>
      <c r="P714" s="3">
        <v>0</v>
      </c>
      <c r="Q714" s="3">
        <v>0</v>
      </c>
      <c r="R714" s="3">
        <v>0</v>
      </c>
    </row>
    <row r="715" spans="1:18">
      <c r="A715" s="3" t="s">
        <v>698</v>
      </c>
      <c r="B715" s="3" t="s">
        <v>699</v>
      </c>
      <c r="C715" s="3" t="s">
        <v>700</v>
      </c>
      <c r="D715" s="3" t="s">
        <v>701</v>
      </c>
      <c r="E715" s="3" t="s">
        <v>340</v>
      </c>
      <c r="F715" s="3">
        <v>39.99</v>
      </c>
      <c r="G715" s="3" t="s">
        <v>2572</v>
      </c>
      <c r="H715" s="3"/>
      <c r="I715" s="3" t="s">
        <v>2573</v>
      </c>
      <c r="J715" s="3">
        <v>4</v>
      </c>
      <c r="K715" s="3">
        <v>4</v>
      </c>
      <c r="L715" s="3">
        <v>0</v>
      </c>
      <c r="M715" s="3">
        <v>0</v>
      </c>
      <c r="N715" s="3">
        <v>4</v>
      </c>
      <c r="O715" s="3">
        <v>0.06</v>
      </c>
      <c r="P715" s="3">
        <v>0</v>
      </c>
      <c r="Q715" s="3">
        <v>0</v>
      </c>
      <c r="R715" s="3">
        <v>0</v>
      </c>
    </row>
    <row r="716" spans="1:18">
      <c r="A716" s="3" t="s">
        <v>3424</v>
      </c>
      <c r="B716" s="3" t="s">
        <v>3425</v>
      </c>
      <c r="C716" s="3" t="s">
        <v>3426</v>
      </c>
      <c r="D716" s="3" t="s">
        <v>886</v>
      </c>
      <c r="E716" s="3" t="s">
        <v>340</v>
      </c>
      <c r="F716" s="3">
        <v>39.99</v>
      </c>
      <c r="G716" s="3" t="s">
        <v>2572</v>
      </c>
      <c r="H716" s="3"/>
      <c r="I716" s="3" t="s">
        <v>2573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0.06</v>
      </c>
      <c r="P716" s="3">
        <v>0</v>
      </c>
      <c r="Q716" s="3">
        <v>0</v>
      </c>
      <c r="R716" s="3">
        <v>0</v>
      </c>
    </row>
    <row r="717" spans="1:18">
      <c r="A717" s="3" t="s">
        <v>883</v>
      </c>
      <c r="B717" s="3" t="s">
        <v>884</v>
      </c>
      <c r="C717" s="3" t="s">
        <v>885</v>
      </c>
      <c r="D717" s="3" t="s">
        <v>886</v>
      </c>
      <c r="E717" s="3" t="s">
        <v>340</v>
      </c>
      <c r="F717" s="3">
        <v>39.99</v>
      </c>
      <c r="G717" s="3" t="s">
        <v>2572</v>
      </c>
      <c r="H717" s="3"/>
      <c r="I717" s="3" t="s">
        <v>2573</v>
      </c>
      <c r="J717" s="3">
        <v>1</v>
      </c>
      <c r="K717" s="3">
        <v>1</v>
      </c>
      <c r="L717" s="3">
        <v>0</v>
      </c>
      <c r="M717" s="3">
        <v>0</v>
      </c>
      <c r="N717" s="3">
        <v>1</v>
      </c>
      <c r="O717" s="3">
        <v>0.06</v>
      </c>
      <c r="P717" s="3">
        <v>0</v>
      </c>
      <c r="Q717" s="3">
        <v>0</v>
      </c>
      <c r="R717" s="3">
        <v>0</v>
      </c>
    </row>
    <row r="718" spans="1:18">
      <c r="A718" s="3" t="s">
        <v>3427</v>
      </c>
      <c r="B718" s="3" t="s">
        <v>3428</v>
      </c>
      <c r="C718" s="3" t="s">
        <v>3429</v>
      </c>
      <c r="D718" s="3" t="s">
        <v>886</v>
      </c>
      <c r="E718" s="3" t="s">
        <v>340</v>
      </c>
      <c r="F718" s="3">
        <v>39.99</v>
      </c>
      <c r="G718" s="3" t="s">
        <v>2572</v>
      </c>
      <c r="H718" s="3"/>
      <c r="I718" s="3" t="s">
        <v>2573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0.06</v>
      </c>
      <c r="P718" s="3">
        <v>0</v>
      </c>
      <c r="Q718" s="3">
        <v>0</v>
      </c>
      <c r="R718" s="3">
        <v>0</v>
      </c>
    </row>
    <row r="719" spans="1:18">
      <c r="A719" s="3" t="s">
        <v>2362</v>
      </c>
      <c r="B719" s="3" t="s">
        <v>2363</v>
      </c>
      <c r="C719" s="3" t="s">
        <v>2364</v>
      </c>
      <c r="D719" s="3" t="s">
        <v>2365</v>
      </c>
      <c r="E719" s="3" t="s">
        <v>340</v>
      </c>
      <c r="F719" s="3">
        <v>39.99</v>
      </c>
      <c r="G719" s="3" t="s">
        <v>2572</v>
      </c>
      <c r="H719" s="3"/>
      <c r="I719" s="3" t="s">
        <v>2573</v>
      </c>
      <c r="J719" s="3">
        <v>1</v>
      </c>
      <c r="K719" s="3">
        <v>1</v>
      </c>
      <c r="L719" s="3">
        <v>0</v>
      </c>
      <c r="M719" s="3">
        <v>0</v>
      </c>
      <c r="N719" s="3">
        <v>1</v>
      </c>
      <c r="O719" s="3">
        <v>0.06</v>
      </c>
      <c r="P719" s="3">
        <v>0</v>
      </c>
      <c r="Q719" s="3">
        <v>0</v>
      </c>
      <c r="R719" s="3">
        <v>0</v>
      </c>
    </row>
    <row r="720" spans="1:18">
      <c r="A720" s="3" t="s">
        <v>2115</v>
      </c>
      <c r="B720" s="3" t="s">
        <v>2116</v>
      </c>
      <c r="C720" s="3" t="s">
        <v>2117</v>
      </c>
      <c r="D720" s="3" t="s">
        <v>2118</v>
      </c>
      <c r="E720" s="3" t="s">
        <v>340</v>
      </c>
      <c r="F720" s="3">
        <v>39.99</v>
      </c>
      <c r="G720" s="3" t="s">
        <v>2572</v>
      </c>
      <c r="H720" s="3"/>
      <c r="I720" s="3" t="s">
        <v>2573</v>
      </c>
      <c r="J720" s="3">
        <v>2</v>
      </c>
      <c r="K720" s="3">
        <v>1</v>
      </c>
      <c r="L720" s="3">
        <v>1</v>
      </c>
      <c r="M720" s="3">
        <v>0</v>
      </c>
      <c r="N720" s="3">
        <v>2</v>
      </c>
      <c r="O720" s="3">
        <v>0.09</v>
      </c>
      <c r="P720" s="3">
        <v>0</v>
      </c>
      <c r="Q720" s="3">
        <v>0</v>
      </c>
      <c r="R720" s="3">
        <v>0</v>
      </c>
    </row>
    <row r="721" spans="1:18">
      <c r="A721" s="3" t="s">
        <v>2535</v>
      </c>
      <c r="B721" s="3" t="s">
        <v>2536</v>
      </c>
      <c r="C721" s="3" t="s">
        <v>2537</v>
      </c>
      <c r="D721" s="3" t="s">
        <v>2538</v>
      </c>
      <c r="E721" s="3" t="s">
        <v>340</v>
      </c>
      <c r="F721" s="3">
        <v>15.99</v>
      </c>
      <c r="G721" s="3" t="s">
        <v>2572</v>
      </c>
      <c r="H721" s="3"/>
      <c r="I721" s="3" t="s">
        <v>2573</v>
      </c>
      <c r="J721" s="3">
        <v>13</v>
      </c>
      <c r="K721" s="3">
        <v>13</v>
      </c>
      <c r="L721" s="3">
        <v>0</v>
      </c>
      <c r="M721" s="3">
        <v>0</v>
      </c>
      <c r="N721" s="3">
        <v>13</v>
      </c>
      <c r="O721" s="3">
        <v>0.02</v>
      </c>
      <c r="P721" s="3">
        <v>0</v>
      </c>
      <c r="Q721" s="3">
        <v>0</v>
      </c>
      <c r="R721" s="3">
        <v>0</v>
      </c>
    </row>
    <row r="722" spans="1:18">
      <c r="A722" s="3" t="s">
        <v>1542</v>
      </c>
      <c r="B722" s="3" t="s">
        <v>1543</v>
      </c>
      <c r="C722" s="3" t="s">
        <v>1544</v>
      </c>
      <c r="D722" s="3" t="s">
        <v>1545</v>
      </c>
      <c r="E722" s="3" t="s">
        <v>340</v>
      </c>
      <c r="F722" s="3">
        <v>13.99</v>
      </c>
      <c r="G722" s="3" t="s">
        <v>2572</v>
      </c>
      <c r="H722" s="3"/>
      <c r="I722" s="3" t="s">
        <v>2573</v>
      </c>
      <c r="J722" s="3">
        <v>9</v>
      </c>
      <c r="K722" s="3">
        <v>9</v>
      </c>
      <c r="L722" s="3">
        <v>0</v>
      </c>
      <c r="M722" s="3">
        <v>0</v>
      </c>
      <c r="N722" s="3">
        <v>9</v>
      </c>
      <c r="O722" s="3">
        <v>0.02</v>
      </c>
      <c r="P722" s="3">
        <v>0</v>
      </c>
      <c r="Q722" s="3">
        <v>0</v>
      </c>
      <c r="R722" s="3">
        <v>0</v>
      </c>
    </row>
    <row r="723" spans="1:18">
      <c r="A723" s="3" t="s">
        <v>3430</v>
      </c>
      <c r="B723" s="3" t="s">
        <v>3431</v>
      </c>
      <c r="C723" s="3" t="s">
        <v>3432</v>
      </c>
      <c r="D723" s="3" t="s">
        <v>3433</v>
      </c>
      <c r="E723" s="3" t="s">
        <v>340</v>
      </c>
      <c r="F723" s="3">
        <v>15.99</v>
      </c>
      <c r="G723" s="3" t="s">
        <v>2572</v>
      </c>
      <c r="H723" s="3"/>
      <c r="I723" s="3" t="s">
        <v>2573</v>
      </c>
      <c r="J723" s="3">
        <v>3</v>
      </c>
      <c r="K723" s="3">
        <v>0</v>
      </c>
      <c r="L723" s="3">
        <v>3</v>
      </c>
      <c r="M723" s="3">
        <v>0</v>
      </c>
      <c r="N723" s="3">
        <v>3</v>
      </c>
      <c r="O723" s="3">
        <v>0.02</v>
      </c>
      <c r="P723" s="3">
        <v>0</v>
      </c>
      <c r="Q723" s="3">
        <v>0</v>
      </c>
      <c r="R723" s="3">
        <v>0</v>
      </c>
    </row>
    <row r="724" spans="1:18">
      <c r="A724" s="3" t="s">
        <v>3434</v>
      </c>
      <c r="B724" s="3" t="s">
        <v>3435</v>
      </c>
      <c r="C724" s="3" t="s">
        <v>3436</v>
      </c>
      <c r="D724" s="3" t="s">
        <v>1914</v>
      </c>
      <c r="E724" s="3" t="s">
        <v>340</v>
      </c>
      <c r="F724" s="3">
        <v>19.9</v>
      </c>
      <c r="G724" s="3" t="s">
        <v>2572</v>
      </c>
      <c r="H724" s="3"/>
      <c r="I724" s="3" t="s">
        <v>2573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0.06</v>
      </c>
      <c r="P724" s="3">
        <v>0</v>
      </c>
      <c r="Q724" s="3">
        <v>0</v>
      </c>
      <c r="R724" s="3">
        <v>0</v>
      </c>
    </row>
    <row r="725" spans="1:18">
      <c r="A725" s="3" t="s">
        <v>1911</v>
      </c>
      <c r="B725" s="3" t="s">
        <v>1912</v>
      </c>
      <c r="C725" s="3" t="s">
        <v>1913</v>
      </c>
      <c r="D725" s="3" t="s">
        <v>1914</v>
      </c>
      <c r="E725" s="3" t="s">
        <v>340</v>
      </c>
      <c r="F725" s="3">
        <v>19.9</v>
      </c>
      <c r="G725" s="3" t="s">
        <v>2572</v>
      </c>
      <c r="H725" s="3"/>
      <c r="I725" s="3" t="s">
        <v>2573</v>
      </c>
      <c r="J725" s="3">
        <v>2</v>
      </c>
      <c r="K725" s="3">
        <v>2</v>
      </c>
      <c r="L725" s="3">
        <v>0</v>
      </c>
      <c r="M725" s="3">
        <v>0</v>
      </c>
      <c r="N725" s="3">
        <v>2</v>
      </c>
      <c r="O725" s="3">
        <v>0.06</v>
      </c>
      <c r="P725" s="3">
        <v>0</v>
      </c>
      <c r="Q725" s="3">
        <v>0</v>
      </c>
      <c r="R725" s="3">
        <v>0</v>
      </c>
    </row>
    <row r="726" spans="1:18">
      <c r="A726" s="3" t="s">
        <v>3437</v>
      </c>
      <c r="B726" s="3" t="s">
        <v>3438</v>
      </c>
      <c r="C726" s="3" t="s">
        <v>3439</v>
      </c>
      <c r="D726" s="3" t="s">
        <v>3440</v>
      </c>
      <c r="E726" s="3" t="s">
        <v>340</v>
      </c>
      <c r="F726" s="3">
        <v>19.9</v>
      </c>
      <c r="G726" s="3" t="s">
        <v>2572</v>
      </c>
      <c r="H726" s="3"/>
      <c r="I726" s="3" t="s">
        <v>2573</v>
      </c>
      <c r="J726" s="3">
        <v>1</v>
      </c>
      <c r="K726" s="3">
        <v>0</v>
      </c>
      <c r="L726" s="3">
        <v>1</v>
      </c>
      <c r="M726" s="3">
        <v>0</v>
      </c>
      <c r="N726" s="3">
        <v>1</v>
      </c>
      <c r="O726" s="3">
        <v>0.06</v>
      </c>
      <c r="P726" s="3">
        <v>0</v>
      </c>
      <c r="Q726" s="3">
        <v>0</v>
      </c>
      <c r="R726" s="3">
        <v>0</v>
      </c>
    </row>
    <row r="727" spans="1:18">
      <c r="A727" s="3" t="s">
        <v>3441</v>
      </c>
      <c r="B727" s="3" t="s">
        <v>3442</v>
      </c>
      <c r="C727" s="3" t="s">
        <v>3443</v>
      </c>
      <c r="D727" s="3"/>
      <c r="E727" s="3" t="s">
        <v>2823</v>
      </c>
      <c r="F727" s="3"/>
      <c r="G727" s="3"/>
      <c r="H727" s="3"/>
      <c r="I727" s="3"/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/>
      <c r="P727" s="3">
        <v>0</v>
      </c>
      <c r="Q727" s="3">
        <v>0</v>
      </c>
      <c r="R727" s="3">
        <v>0</v>
      </c>
    </row>
    <row r="728" spans="1:18">
      <c r="A728" s="3" t="s">
        <v>2400</v>
      </c>
      <c r="B728" s="3" t="s">
        <v>2401</v>
      </c>
      <c r="C728" s="3" t="s">
        <v>2402</v>
      </c>
      <c r="D728" s="3" t="s">
        <v>2403</v>
      </c>
      <c r="E728" s="3" t="s">
        <v>340</v>
      </c>
      <c r="F728" s="3">
        <v>39.99</v>
      </c>
      <c r="G728" s="3" t="s">
        <v>2572</v>
      </c>
      <c r="H728" s="3"/>
      <c r="I728" s="3" t="s">
        <v>2573</v>
      </c>
      <c r="J728" s="3">
        <v>1</v>
      </c>
      <c r="K728" s="3">
        <v>1</v>
      </c>
      <c r="L728" s="3">
        <v>0</v>
      </c>
      <c r="M728" s="3">
        <v>0</v>
      </c>
      <c r="N728" s="3">
        <v>1</v>
      </c>
      <c r="O728" s="3">
        <v>0.08</v>
      </c>
      <c r="P728" s="3">
        <v>0</v>
      </c>
      <c r="Q728" s="3">
        <v>0</v>
      </c>
      <c r="R728" s="3">
        <v>0</v>
      </c>
    </row>
    <row r="729" spans="1:18">
      <c r="A729" s="3" t="s">
        <v>3444</v>
      </c>
      <c r="B729" s="3" t="s">
        <v>3445</v>
      </c>
      <c r="C729" s="3" t="s">
        <v>3446</v>
      </c>
      <c r="D729" s="3" t="s">
        <v>3447</v>
      </c>
      <c r="E729" s="3" t="s">
        <v>340</v>
      </c>
      <c r="F729" s="3">
        <v>39.99</v>
      </c>
      <c r="G729" s="3" t="s">
        <v>2572</v>
      </c>
      <c r="H729" s="3"/>
      <c r="I729" s="3" t="s">
        <v>2573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0.05</v>
      </c>
      <c r="P729" s="3">
        <v>0</v>
      </c>
      <c r="Q729" s="3">
        <v>0</v>
      </c>
      <c r="R729" s="3">
        <v>0</v>
      </c>
    </row>
    <row r="730" spans="1:18">
      <c r="A730" s="3" t="s">
        <v>2120</v>
      </c>
      <c r="B730" s="3" t="s">
        <v>2121</v>
      </c>
      <c r="C730" s="3" t="s">
        <v>2122</v>
      </c>
      <c r="D730" s="3" t="s">
        <v>169</v>
      </c>
      <c r="E730" s="3" t="s">
        <v>340</v>
      </c>
      <c r="F730" s="3">
        <v>39.99</v>
      </c>
      <c r="G730" s="3" t="s">
        <v>2572</v>
      </c>
      <c r="H730" s="3"/>
      <c r="I730" s="3" t="s">
        <v>2573</v>
      </c>
      <c r="J730" s="3">
        <v>1</v>
      </c>
      <c r="K730" s="3">
        <v>1</v>
      </c>
      <c r="L730" s="3">
        <v>0</v>
      </c>
      <c r="M730" s="3">
        <v>0</v>
      </c>
      <c r="N730" s="3">
        <v>1</v>
      </c>
      <c r="O730" s="3">
        <v>0.05</v>
      </c>
      <c r="P730" s="3">
        <v>0</v>
      </c>
      <c r="Q730" s="3">
        <v>0</v>
      </c>
      <c r="R730" s="3">
        <v>0</v>
      </c>
    </row>
    <row r="731" spans="1:18">
      <c r="A731" s="3" t="s">
        <v>2041</v>
      </c>
      <c r="B731" s="3" t="s">
        <v>2042</v>
      </c>
      <c r="C731" s="3" t="s">
        <v>2043</v>
      </c>
      <c r="D731" s="3" t="s">
        <v>169</v>
      </c>
      <c r="E731" s="3" t="s">
        <v>340</v>
      </c>
      <c r="F731" s="3">
        <v>39.99</v>
      </c>
      <c r="G731" s="3" t="s">
        <v>2572</v>
      </c>
      <c r="H731" s="3"/>
      <c r="I731" s="3" t="s">
        <v>2573</v>
      </c>
      <c r="J731" s="3">
        <v>6</v>
      </c>
      <c r="K731" s="3">
        <v>6</v>
      </c>
      <c r="L731" s="3">
        <v>0</v>
      </c>
      <c r="M731" s="3">
        <v>0</v>
      </c>
      <c r="N731" s="3">
        <v>6</v>
      </c>
      <c r="O731" s="3">
        <v>0.05</v>
      </c>
      <c r="P731" s="3">
        <v>0</v>
      </c>
      <c r="Q731" s="3">
        <v>0</v>
      </c>
      <c r="R731" s="3">
        <v>0</v>
      </c>
    </row>
    <row r="732" spans="1:18">
      <c r="A732" s="3" t="s">
        <v>166</v>
      </c>
      <c r="B732" s="3" t="s">
        <v>167</v>
      </c>
      <c r="C732" s="3" t="s">
        <v>168</v>
      </c>
      <c r="D732" s="3" t="s">
        <v>169</v>
      </c>
      <c r="E732" s="3" t="s">
        <v>340</v>
      </c>
      <c r="F732" s="3">
        <v>39.99</v>
      </c>
      <c r="G732" s="3" t="s">
        <v>2572</v>
      </c>
      <c r="H732" s="3"/>
      <c r="I732" s="3" t="s">
        <v>2573</v>
      </c>
      <c r="J732" s="3">
        <v>5</v>
      </c>
      <c r="K732" s="3">
        <v>4</v>
      </c>
      <c r="L732" s="3">
        <v>0</v>
      </c>
      <c r="M732" s="3">
        <v>1</v>
      </c>
      <c r="N732" s="3">
        <v>5</v>
      </c>
      <c r="O732" s="3">
        <v>0.05</v>
      </c>
      <c r="P732" s="3">
        <v>0</v>
      </c>
      <c r="Q732" s="3">
        <v>0</v>
      </c>
      <c r="R732" s="3">
        <v>0</v>
      </c>
    </row>
    <row r="733" spans="1:18">
      <c r="A733" s="3" t="s">
        <v>765</v>
      </c>
      <c r="B733" s="3" t="s">
        <v>766</v>
      </c>
      <c r="C733" s="3" t="s">
        <v>767</v>
      </c>
      <c r="D733" s="3" t="s">
        <v>169</v>
      </c>
      <c r="E733" s="3" t="s">
        <v>340</v>
      </c>
      <c r="F733" s="3">
        <v>39.99</v>
      </c>
      <c r="G733" s="3" t="s">
        <v>2572</v>
      </c>
      <c r="H733" s="3"/>
      <c r="I733" s="3" t="s">
        <v>2573</v>
      </c>
      <c r="J733" s="3">
        <v>1</v>
      </c>
      <c r="K733" s="3">
        <v>1</v>
      </c>
      <c r="L733" s="3">
        <v>0</v>
      </c>
      <c r="M733" s="3">
        <v>0</v>
      </c>
      <c r="N733" s="3">
        <v>1</v>
      </c>
      <c r="O733" s="3">
        <v>0.05</v>
      </c>
      <c r="P733" s="3">
        <v>0</v>
      </c>
      <c r="Q733" s="3">
        <v>0</v>
      </c>
      <c r="R733" s="3">
        <v>0</v>
      </c>
    </row>
    <row r="734" spans="1:18">
      <c r="A734" s="3" t="s">
        <v>2019</v>
      </c>
      <c r="B734" s="3" t="s">
        <v>2020</v>
      </c>
      <c r="C734" s="3" t="s">
        <v>2021</v>
      </c>
      <c r="D734" s="3" t="s">
        <v>169</v>
      </c>
      <c r="E734" s="3" t="s">
        <v>340</v>
      </c>
      <c r="F734" s="3">
        <v>39.99</v>
      </c>
      <c r="G734" s="3" t="s">
        <v>2572</v>
      </c>
      <c r="H734" s="3"/>
      <c r="I734" s="3" t="s">
        <v>2573</v>
      </c>
      <c r="J734" s="3">
        <v>6</v>
      </c>
      <c r="K734" s="3">
        <v>6</v>
      </c>
      <c r="L734" s="3">
        <v>0</v>
      </c>
      <c r="M734" s="3">
        <v>0</v>
      </c>
      <c r="N734" s="3">
        <v>6</v>
      </c>
      <c r="O734" s="3">
        <v>0.05</v>
      </c>
      <c r="P734" s="3">
        <v>0</v>
      </c>
      <c r="Q734" s="3">
        <v>0</v>
      </c>
      <c r="R734" s="3">
        <v>0</v>
      </c>
    </row>
    <row r="735" spans="1:18">
      <c r="A735" s="3" t="s">
        <v>1955</v>
      </c>
      <c r="B735" s="3" t="s">
        <v>1956</v>
      </c>
      <c r="C735" s="3" t="s">
        <v>1957</v>
      </c>
      <c r="D735" s="3" t="s">
        <v>169</v>
      </c>
      <c r="E735" s="3" t="s">
        <v>340</v>
      </c>
      <c r="F735" s="3">
        <v>39.99</v>
      </c>
      <c r="G735" s="3" t="s">
        <v>2572</v>
      </c>
      <c r="H735" s="3"/>
      <c r="I735" s="3" t="s">
        <v>2573</v>
      </c>
      <c r="J735" s="3">
        <v>11</v>
      </c>
      <c r="K735" s="3">
        <v>11</v>
      </c>
      <c r="L735" s="3">
        <v>0</v>
      </c>
      <c r="M735" s="3">
        <v>0</v>
      </c>
      <c r="N735" s="3">
        <v>11</v>
      </c>
      <c r="O735" s="3">
        <v>0.05</v>
      </c>
      <c r="P735" s="3">
        <v>0</v>
      </c>
      <c r="Q735" s="3">
        <v>0</v>
      </c>
      <c r="R735" s="3">
        <v>0</v>
      </c>
    </row>
    <row r="736" spans="1:18">
      <c r="A736" s="3" t="s">
        <v>2319</v>
      </c>
      <c r="B736" s="3" t="s">
        <v>2320</v>
      </c>
      <c r="C736" s="3" t="s">
        <v>2321</v>
      </c>
      <c r="D736" s="3" t="s">
        <v>181</v>
      </c>
      <c r="E736" s="3" t="s">
        <v>340</v>
      </c>
      <c r="F736" s="3">
        <v>29.99</v>
      </c>
      <c r="G736" s="3" t="s">
        <v>2573</v>
      </c>
      <c r="H736" s="3">
        <v>20</v>
      </c>
      <c r="I736" s="3" t="s">
        <v>2572</v>
      </c>
      <c r="J736" s="3">
        <v>6</v>
      </c>
      <c r="K736" s="3">
        <v>6</v>
      </c>
      <c r="L736" s="3">
        <v>0</v>
      </c>
      <c r="M736" s="3">
        <v>0</v>
      </c>
      <c r="N736" s="3">
        <v>6</v>
      </c>
      <c r="O736" s="3">
        <v>0.09</v>
      </c>
      <c r="P736" s="3">
        <v>0</v>
      </c>
      <c r="Q736" s="3">
        <v>0</v>
      </c>
      <c r="R736" s="3">
        <v>0</v>
      </c>
    </row>
    <row r="737" spans="1:18">
      <c r="A737" s="3" t="s">
        <v>3448</v>
      </c>
      <c r="B737" s="3" t="s">
        <v>3449</v>
      </c>
      <c r="C737" s="3" t="s">
        <v>3450</v>
      </c>
      <c r="D737" s="3" t="s">
        <v>188</v>
      </c>
      <c r="E737" s="3" t="s">
        <v>340</v>
      </c>
      <c r="F737" s="3">
        <v>29.99</v>
      </c>
      <c r="G737" s="3" t="s">
        <v>2573</v>
      </c>
      <c r="H737" s="3">
        <v>20</v>
      </c>
      <c r="I737" s="3" t="s">
        <v>2572</v>
      </c>
      <c r="J737" s="3">
        <v>1</v>
      </c>
      <c r="K737" s="3">
        <v>0</v>
      </c>
      <c r="L737" s="3">
        <v>1</v>
      </c>
      <c r="M737" s="3">
        <v>0</v>
      </c>
      <c r="N737" s="3">
        <v>11</v>
      </c>
      <c r="O737" s="3">
        <v>0.09</v>
      </c>
      <c r="P737" s="3">
        <v>0</v>
      </c>
      <c r="Q737" s="3">
        <v>10</v>
      </c>
      <c r="R737" s="3">
        <v>0</v>
      </c>
    </row>
    <row r="738" spans="1:18">
      <c r="A738" s="3" t="s">
        <v>2079</v>
      </c>
      <c r="B738" s="3" t="s">
        <v>2080</v>
      </c>
      <c r="C738" s="3" t="s">
        <v>2081</v>
      </c>
      <c r="D738" s="3" t="s">
        <v>177</v>
      </c>
      <c r="E738" s="3" t="s">
        <v>340</v>
      </c>
      <c r="F738" s="3">
        <v>29.99</v>
      </c>
      <c r="G738" s="3" t="s">
        <v>2573</v>
      </c>
      <c r="H738" s="3">
        <v>20</v>
      </c>
      <c r="I738" s="3" t="s">
        <v>2572</v>
      </c>
      <c r="J738" s="3">
        <v>10</v>
      </c>
      <c r="K738" s="3">
        <v>10</v>
      </c>
      <c r="L738" s="3">
        <v>0</v>
      </c>
      <c r="M738" s="3">
        <v>0</v>
      </c>
      <c r="N738" s="3">
        <v>10</v>
      </c>
      <c r="O738" s="3">
        <v>0.09</v>
      </c>
      <c r="P738" s="3">
        <v>0</v>
      </c>
      <c r="Q738" s="3">
        <v>0</v>
      </c>
      <c r="R738" s="3">
        <v>0</v>
      </c>
    </row>
    <row r="739" spans="1:18">
      <c r="A739" s="3" t="s">
        <v>2451</v>
      </c>
      <c r="B739" s="3" t="s">
        <v>2452</v>
      </c>
      <c r="C739" s="3" t="s">
        <v>2453</v>
      </c>
      <c r="D739" s="3" t="s">
        <v>196</v>
      </c>
      <c r="E739" s="3" t="s">
        <v>340</v>
      </c>
      <c r="F739" s="3">
        <v>29.99</v>
      </c>
      <c r="G739" s="3" t="s">
        <v>2573</v>
      </c>
      <c r="H739" s="3">
        <v>20</v>
      </c>
      <c r="I739" s="3" t="s">
        <v>2572</v>
      </c>
      <c r="J739" s="3">
        <v>1</v>
      </c>
      <c r="K739" s="3">
        <v>0</v>
      </c>
      <c r="L739" s="3">
        <v>1</v>
      </c>
      <c r="M739" s="3">
        <v>0</v>
      </c>
      <c r="N739" s="3">
        <v>1</v>
      </c>
      <c r="O739" s="3">
        <v>0.09</v>
      </c>
      <c r="P739" s="3">
        <v>0</v>
      </c>
      <c r="Q739" s="3">
        <v>0</v>
      </c>
      <c r="R739" s="3">
        <v>0</v>
      </c>
    </row>
    <row r="740" spans="1:18">
      <c r="A740" s="3" t="s">
        <v>170</v>
      </c>
      <c r="B740" s="3" t="s">
        <v>171</v>
      </c>
      <c r="C740" s="3" t="s">
        <v>172</v>
      </c>
      <c r="D740" s="3" t="s">
        <v>173</v>
      </c>
      <c r="E740" s="3" t="s">
        <v>340</v>
      </c>
      <c r="F740" s="3">
        <v>29.99</v>
      </c>
      <c r="G740" s="3" t="s">
        <v>2573</v>
      </c>
      <c r="H740" s="3">
        <v>20</v>
      </c>
      <c r="I740" s="3" t="s">
        <v>2572</v>
      </c>
      <c r="J740" s="3">
        <v>1</v>
      </c>
      <c r="K740" s="3">
        <v>0</v>
      </c>
      <c r="L740" s="3">
        <v>0</v>
      </c>
      <c r="M740" s="3">
        <v>1</v>
      </c>
      <c r="N740" s="3">
        <v>6</v>
      </c>
      <c r="O740" s="3">
        <v>0.09</v>
      </c>
      <c r="P740" s="3">
        <v>0</v>
      </c>
      <c r="Q740" s="3">
        <v>5</v>
      </c>
      <c r="R740" s="3">
        <v>0</v>
      </c>
    </row>
    <row r="741" spans="1:18">
      <c r="A741" s="3" t="s">
        <v>2100</v>
      </c>
      <c r="B741" s="3" t="s">
        <v>2101</v>
      </c>
      <c r="C741" s="3" t="s">
        <v>2102</v>
      </c>
      <c r="D741" s="3" t="s">
        <v>181</v>
      </c>
      <c r="E741" s="3" t="s">
        <v>340</v>
      </c>
      <c r="F741" s="3">
        <v>29.99</v>
      </c>
      <c r="G741" s="3" t="s">
        <v>2573</v>
      </c>
      <c r="H741" s="3">
        <v>20</v>
      </c>
      <c r="I741" s="3" t="s">
        <v>2572</v>
      </c>
      <c r="J741" s="3">
        <v>6</v>
      </c>
      <c r="K741" s="3">
        <v>6</v>
      </c>
      <c r="L741" s="3">
        <v>0</v>
      </c>
      <c r="M741" s="3">
        <v>0</v>
      </c>
      <c r="N741" s="3">
        <v>6</v>
      </c>
      <c r="O741" s="3">
        <v>0.04</v>
      </c>
      <c r="P741" s="3">
        <v>0</v>
      </c>
      <c r="Q741" s="3">
        <v>0</v>
      </c>
      <c r="R741" s="3">
        <v>0</v>
      </c>
    </row>
    <row r="742" spans="1:18">
      <c r="A742" s="3" t="s">
        <v>2188</v>
      </c>
      <c r="B742" s="3" t="s">
        <v>2189</v>
      </c>
      <c r="C742" s="3" t="s">
        <v>2190</v>
      </c>
      <c r="D742" s="3" t="s">
        <v>188</v>
      </c>
      <c r="E742" s="3" t="s">
        <v>340</v>
      </c>
      <c r="F742" s="3">
        <v>29.99</v>
      </c>
      <c r="G742" s="3" t="s">
        <v>2573</v>
      </c>
      <c r="H742" s="3">
        <v>20</v>
      </c>
      <c r="I742" s="3" t="s">
        <v>2572</v>
      </c>
      <c r="J742" s="3">
        <v>2</v>
      </c>
      <c r="K742" s="3">
        <v>2</v>
      </c>
      <c r="L742" s="3">
        <v>0</v>
      </c>
      <c r="M742" s="3">
        <v>0</v>
      </c>
      <c r="N742" s="3">
        <v>6</v>
      </c>
      <c r="O742" s="3">
        <v>0.04</v>
      </c>
      <c r="P742" s="3">
        <v>0</v>
      </c>
      <c r="Q742" s="3">
        <v>0</v>
      </c>
      <c r="R742" s="3">
        <v>4</v>
      </c>
    </row>
    <row r="743" spans="1:18">
      <c r="A743" s="3" t="s">
        <v>2026</v>
      </c>
      <c r="B743" s="3" t="s">
        <v>2027</v>
      </c>
      <c r="C743" s="3" t="s">
        <v>2028</v>
      </c>
      <c r="D743" s="3" t="s">
        <v>2029</v>
      </c>
      <c r="E743" s="3" t="s">
        <v>340</v>
      </c>
      <c r="F743" s="3">
        <v>29.99</v>
      </c>
      <c r="G743" s="3" t="s">
        <v>2573</v>
      </c>
      <c r="H743" s="3">
        <v>20</v>
      </c>
      <c r="I743" s="3" t="s">
        <v>2572</v>
      </c>
      <c r="J743" s="3">
        <v>5</v>
      </c>
      <c r="K743" s="3">
        <v>3</v>
      </c>
      <c r="L743" s="3">
        <v>2</v>
      </c>
      <c r="M743" s="3">
        <v>0</v>
      </c>
      <c r="N743" s="3">
        <v>8</v>
      </c>
      <c r="O743" s="3">
        <v>0.04</v>
      </c>
      <c r="P743" s="3">
        <v>0</v>
      </c>
      <c r="Q743" s="3">
        <v>0</v>
      </c>
      <c r="R743" s="3">
        <v>3</v>
      </c>
    </row>
    <row r="744" spans="1:18">
      <c r="A744" s="3" t="s">
        <v>3451</v>
      </c>
      <c r="B744" s="3" t="s">
        <v>3452</v>
      </c>
      <c r="C744" s="3" t="s">
        <v>3453</v>
      </c>
      <c r="D744" s="3" t="s">
        <v>196</v>
      </c>
      <c r="E744" s="3" t="s">
        <v>340</v>
      </c>
      <c r="F744" s="3">
        <v>29.99</v>
      </c>
      <c r="G744" s="3" t="s">
        <v>2573</v>
      </c>
      <c r="H744" s="3">
        <v>20</v>
      </c>
      <c r="I744" s="3" t="s">
        <v>2572</v>
      </c>
      <c r="J744" s="3">
        <v>1</v>
      </c>
      <c r="K744" s="3">
        <v>0</v>
      </c>
      <c r="L744" s="3">
        <v>1</v>
      </c>
      <c r="M744" s="3">
        <v>0</v>
      </c>
      <c r="N744" s="3">
        <v>16</v>
      </c>
      <c r="O744" s="3">
        <v>0.04</v>
      </c>
      <c r="P744" s="3">
        <v>0</v>
      </c>
      <c r="Q744" s="3">
        <v>15</v>
      </c>
      <c r="R744" s="3">
        <v>0</v>
      </c>
    </row>
    <row r="745" spans="1:18">
      <c r="A745" s="3" t="s">
        <v>926</v>
      </c>
      <c r="B745" s="3" t="s">
        <v>927</v>
      </c>
      <c r="C745" s="3" t="s">
        <v>928</v>
      </c>
      <c r="D745" s="3" t="s">
        <v>173</v>
      </c>
      <c r="E745" s="3" t="s">
        <v>340</v>
      </c>
      <c r="F745" s="3">
        <v>29.99</v>
      </c>
      <c r="G745" s="3" t="s">
        <v>2573</v>
      </c>
      <c r="H745" s="3">
        <v>20</v>
      </c>
      <c r="I745" s="3" t="s">
        <v>2572</v>
      </c>
      <c r="J745" s="3">
        <v>5</v>
      </c>
      <c r="K745" s="3">
        <v>5</v>
      </c>
      <c r="L745" s="3">
        <v>0</v>
      </c>
      <c r="M745" s="3">
        <v>0</v>
      </c>
      <c r="N745" s="3">
        <v>5</v>
      </c>
      <c r="O745" s="3">
        <v>0.04</v>
      </c>
      <c r="P745" s="3">
        <v>0</v>
      </c>
      <c r="Q745" s="3">
        <v>0</v>
      </c>
      <c r="R745" s="3">
        <v>0</v>
      </c>
    </row>
    <row r="746" spans="1:18">
      <c r="A746" s="3" t="s">
        <v>207</v>
      </c>
      <c r="B746" s="3" t="s">
        <v>208</v>
      </c>
      <c r="C746" s="3" t="s">
        <v>209</v>
      </c>
      <c r="D746" s="3" t="s">
        <v>181</v>
      </c>
      <c r="E746" s="3" t="s">
        <v>340</v>
      </c>
      <c r="F746" s="3">
        <v>29.99</v>
      </c>
      <c r="G746" s="3" t="s">
        <v>2573</v>
      </c>
      <c r="H746" s="3">
        <v>20</v>
      </c>
      <c r="I746" s="3" t="s">
        <v>2572</v>
      </c>
      <c r="J746" s="3">
        <v>7</v>
      </c>
      <c r="K746" s="3">
        <v>3</v>
      </c>
      <c r="L746" s="3">
        <v>2</v>
      </c>
      <c r="M746" s="3">
        <v>2</v>
      </c>
      <c r="N746" s="3">
        <v>7</v>
      </c>
      <c r="O746" s="3">
        <v>0.04</v>
      </c>
      <c r="P746" s="3">
        <v>0</v>
      </c>
      <c r="Q746" s="3">
        <v>0</v>
      </c>
      <c r="R746" s="3">
        <v>0</v>
      </c>
    </row>
    <row r="747" spans="1:18">
      <c r="A747" s="3" t="s">
        <v>2243</v>
      </c>
      <c r="B747" s="3" t="s">
        <v>2244</v>
      </c>
      <c r="C747" s="3" t="s">
        <v>2245</v>
      </c>
      <c r="D747" s="3" t="s">
        <v>188</v>
      </c>
      <c r="E747" s="3" t="s">
        <v>340</v>
      </c>
      <c r="F747" s="3">
        <v>29.99</v>
      </c>
      <c r="G747" s="3" t="s">
        <v>2573</v>
      </c>
      <c r="H747" s="3">
        <v>20</v>
      </c>
      <c r="I747" s="3" t="s">
        <v>2572</v>
      </c>
      <c r="J747" s="3">
        <v>12</v>
      </c>
      <c r="K747" s="3">
        <v>11</v>
      </c>
      <c r="L747" s="3">
        <v>1</v>
      </c>
      <c r="M747" s="3">
        <v>0</v>
      </c>
      <c r="N747" s="3">
        <v>12</v>
      </c>
      <c r="O747" s="3">
        <v>0.04</v>
      </c>
      <c r="P747" s="3">
        <v>0</v>
      </c>
      <c r="Q747" s="3">
        <v>0</v>
      </c>
      <c r="R747" s="3">
        <v>0</v>
      </c>
    </row>
    <row r="748" spans="1:18">
      <c r="A748" s="3" t="s">
        <v>3454</v>
      </c>
      <c r="B748" s="3" t="s">
        <v>3455</v>
      </c>
      <c r="C748" s="3" t="s">
        <v>3456</v>
      </c>
      <c r="D748" s="3" t="s">
        <v>177</v>
      </c>
      <c r="E748" s="3" t="s">
        <v>340</v>
      </c>
      <c r="F748" s="3">
        <v>29.99</v>
      </c>
      <c r="G748" s="3" t="s">
        <v>2573</v>
      </c>
      <c r="H748" s="3">
        <v>19</v>
      </c>
      <c r="I748" s="3" t="s">
        <v>2572</v>
      </c>
      <c r="J748" s="3">
        <v>3</v>
      </c>
      <c r="K748" s="3">
        <v>0</v>
      </c>
      <c r="L748" s="3">
        <v>3</v>
      </c>
      <c r="M748" s="3">
        <v>0</v>
      </c>
      <c r="N748" s="3">
        <v>6</v>
      </c>
      <c r="O748" s="3">
        <v>0.04</v>
      </c>
      <c r="P748" s="3">
        <v>0</v>
      </c>
      <c r="Q748" s="3">
        <v>3</v>
      </c>
      <c r="R748" s="3">
        <v>0</v>
      </c>
    </row>
    <row r="749" spans="1:18">
      <c r="A749" s="3" t="s">
        <v>923</v>
      </c>
      <c r="B749" s="3" t="s">
        <v>924</v>
      </c>
      <c r="C749" s="3" t="s">
        <v>925</v>
      </c>
      <c r="D749" s="3" t="s">
        <v>196</v>
      </c>
      <c r="E749" s="3" t="s">
        <v>340</v>
      </c>
      <c r="F749" s="3">
        <v>29.99</v>
      </c>
      <c r="G749" s="3" t="s">
        <v>2573</v>
      </c>
      <c r="H749" s="3">
        <v>20</v>
      </c>
      <c r="I749" s="3" t="s">
        <v>2572</v>
      </c>
      <c r="J749" s="3">
        <v>6</v>
      </c>
      <c r="K749" s="3">
        <v>0</v>
      </c>
      <c r="L749" s="3">
        <v>6</v>
      </c>
      <c r="M749" s="3">
        <v>0</v>
      </c>
      <c r="N749" s="3">
        <v>7</v>
      </c>
      <c r="O749" s="3">
        <v>0.09</v>
      </c>
      <c r="P749" s="3">
        <v>0</v>
      </c>
      <c r="Q749" s="3">
        <v>1</v>
      </c>
      <c r="R749" s="3">
        <v>0</v>
      </c>
    </row>
    <row r="750" spans="1:18">
      <c r="A750" s="3" t="s">
        <v>2501</v>
      </c>
      <c r="B750" s="3" t="s">
        <v>2502</v>
      </c>
      <c r="C750" s="3" t="s">
        <v>2503</v>
      </c>
      <c r="D750" s="3" t="s">
        <v>173</v>
      </c>
      <c r="E750" s="3" t="s">
        <v>340</v>
      </c>
      <c r="F750" s="3">
        <v>29.99</v>
      </c>
      <c r="G750" s="3" t="s">
        <v>2573</v>
      </c>
      <c r="H750" s="3">
        <v>20</v>
      </c>
      <c r="I750" s="3" t="s">
        <v>2572</v>
      </c>
      <c r="J750" s="3">
        <v>7</v>
      </c>
      <c r="K750" s="3">
        <v>7</v>
      </c>
      <c r="L750" s="3">
        <v>0</v>
      </c>
      <c r="M750" s="3">
        <v>0</v>
      </c>
      <c r="N750" s="3">
        <v>7</v>
      </c>
      <c r="O750" s="3">
        <v>0.04</v>
      </c>
      <c r="P750" s="3">
        <v>0</v>
      </c>
      <c r="Q750" s="3">
        <v>0</v>
      </c>
      <c r="R750" s="3">
        <v>0</v>
      </c>
    </row>
    <row r="751" spans="1:18">
      <c r="A751" s="3" t="s">
        <v>197</v>
      </c>
      <c r="B751" s="3" t="s">
        <v>198</v>
      </c>
      <c r="C751" s="3" t="s">
        <v>199</v>
      </c>
      <c r="D751" s="3" t="s">
        <v>181</v>
      </c>
      <c r="E751" s="3" t="s">
        <v>340</v>
      </c>
      <c r="F751" s="3">
        <v>29.99</v>
      </c>
      <c r="G751" s="3" t="s">
        <v>2573</v>
      </c>
      <c r="H751" s="3">
        <v>20</v>
      </c>
      <c r="I751" s="3" t="s">
        <v>2572</v>
      </c>
      <c r="J751" s="3">
        <v>2</v>
      </c>
      <c r="K751" s="3">
        <v>1</v>
      </c>
      <c r="L751" s="3">
        <v>0</v>
      </c>
      <c r="M751" s="3">
        <v>1</v>
      </c>
      <c r="N751" s="3">
        <v>2</v>
      </c>
      <c r="O751" s="3">
        <v>0.09</v>
      </c>
      <c r="P751" s="3">
        <v>0</v>
      </c>
      <c r="Q751" s="3">
        <v>0</v>
      </c>
      <c r="R751" s="3">
        <v>0</v>
      </c>
    </row>
    <row r="752" spans="1:18">
      <c r="A752" s="3" t="s">
        <v>1841</v>
      </c>
      <c r="B752" s="3" t="s">
        <v>1842</v>
      </c>
      <c r="C752" s="3" t="s">
        <v>1843</v>
      </c>
      <c r="D752" s="3" t="s">
        <v>188</v>
      </c>
      <c r="E752" s="3" t="s">
        <v>340</v>
      </c>
      <c r="F752" s="3">
        <v>29.99</v>
      </c>
      <c r="G752" s="3" t="s">
        <v>2573</v>
      </c>
      <c r="H752" s="3">
        <v>20</v>
      </c>
      <c r="I752" s="3" t="s">
        <v>2572</v>
      </c>
      <c r="J752" s="3">
        <v>1</v>
      </c>
      <c r="K752" s="3">
        <v>1</v>
      </c>
      <c r="L752" s="3">
        <v>0</v>
      </c>
      <c r="M752" s="3">
        <v>0</v>
      </c>
      <c r="N752" s="3">
        <v>1</v>
      </c>
      <c r="O752" s="3">
        <v>0.09</v>
      </c>
      <c r="P752" s="3">
        <v>0</v>
      </c>
      <c r="Q752" s="3">
        <v>0</v>
      </c>
      <c r="R752" s="3">
        <v>0</v>
      </c>
    </row>
    <row r="753" spans="1:18">
      <c r="A753" s="3" t="s">
        <v>174</v>
      </c>
      <c r="B753" s="3" t="s">
        <v>175</v>
      </c>
      <c r="C753" s="3" t="s">
        <v>176</v>
      </c>
      <c r="D753" s="3" t="s">
        <v>177</v>
      </c>
      <c r="E753" s="3" t="s">
        <v>340</v>
      </c>
      <c r="F753" s="3">
        <v>29.99</v>
      </c>
      <c r="G753" s="3" t="s">
        <v>2573</v>
      </c>
      <c r="H753" s="3">
        <v>20</v>
      </c>
      <c r="I753" s="3" t="s">
        <v>2572</v>
      </c>
      <c r="J753" s="3">
        <v>1</v>
      </c>
      <c r="K753" s="3">
        <v>0</v>
      </c>
      <c r="L753" s="3">
        <v>0</v>
      </c>
      <c r="M753" s="3">
        <v>1</v>
      </c>
      <c r="N753" s="3">
        <v>6</v>
      </c>
      <c r="O753" s="3">
        <v>0.09</v>
      </c>
      <c r="P753" s="3">
        <v>0</v>
      </c>
      <c r="Q753" s="3">
        <v>5</v>
      </c>
      <c r="R753" s="3">
        <v>0</v>
      </c>
    </row>
    <row r="754" spans="1:18">
      <c r="A754" s="3" t="s">
        <v>1409</v>
      </c>
      <c r="B754" s="3" t="s">
        <v>1410</v>
      </c>
      <c r="C754" s="3" t="s">
        <v>1411</v>
      </c>
      <c r="D754" s="3" t="s">
        <v>196</v>
      </c>
      <c r="E754" s="3" t="s">
        <v>340</v>
      </c>
      <c r="F754" s="3">
        <v>29.99</v>
      </c>
      <c r="G754" s="3" t="s">
        <v>2573</v>
      </c>
      <c r="H754" s="3">
        <v>20</v>
      </c>
      <c r="I754" s="3" t="s">
        <v>2572</v>
      </c>
      <c r="J754" s="3">
        <v>2</v>
      </c>
      <c r="K754" s="3">
        <v>0</v>
      </c>
      <c r="L754" s="3">
        <v>2</v>
      </c>
      <c r="M754" s="3">
        <v>0</v>
      </c>
      <c r="N754" s="3">
        <v>2</v>
      </c>
      <c r="O754" s="3">
        <v>0.09</v>
      </c>
      <c r="P754" s="3">
        <v>0</v>
      </c>
      <c r="Q754" s="3">
        <v>0</v>
      </c>
      <c r="R754" s="3">
        <v>0</v>
      </c>
    </row>
    <row r="755" spans="1:18">
      <c r="A755" s="3" t="s">
        <v>686</v>
      </c>
      <c r="B755" s="3" t="s">
        <v>687</v>
      </c>
      <c r="C755" s="3" t="s">
        <v>688</v>
      </c>
      <c r="D755" s="3" t="s">
        <v>173</v>
      </c>
      <c r="E755" s="3" t="s">
        <v>340</v>
      </c>
      <c r="F755" s="3">
        <v>29.99</v>
      </c>
      <c r="G755" s="3" t="s">
        <v>2573</v>
      </c>
      <c r="H755" s="3">
        <v>20</v>
      </c>
      <c r="I755" s="3" t="s">
        <v>2572</v>
      </c>
      <c r="J755" s="3">
        <v>21</v>
      </c>
      <c r="K755" s="3">
        <v>21</v>
      </c>
      <c r="L755" s="3">
        <v>0</v>
      </c>
      <c r="M755" s="3">
        <v>0</v>
      </c>
      <c r="N755" s="3">
        <v>21</v>
      </c>
      <c r="O755" s="3">
        <v>0.09</v>
      </c>
      <c r="P755" s="3">
        <v>0</v>
      </c>
      <c r="Q755" s="3">
        <v>0</v>
      </c>
      <c r="R755" s="3">
        <v>0</v>
      </c>
    </row>
    <row r="756" spans="1:18">
      <c r="A756" s="3" t="s">
        <v>178</v>
      </c>
      <c r="B756" s="3" t="s">
        <v>179</v>
      </c>
      <c r="C756" s="3" t="s">
        <v>180</v>
      </c>
      <c r="D756" s="3" t="s">
        <v>181</v>
      </c>
      <c r="E756" s="3" t="s">
        <v>340</v>
      </c>
      <c r="F756" s="3">
        <v>29.99</v>
      </c>
      <c r="G756" s="3" t="s">
        <v>2572</v>
      </c>
      <c r="H756" s="3"/>
      <c r="I756" s="3" t="s">
        <v>2573</v>
      </c>
      <c r="J756" s="3">
        <v>8</v>
      </c>
      <c r="K756" s="3">
        <v>7</v>
      </c>
      <c r="L756" s="3">
        <v>0</v>
      </c>
      <c r="M756" s="3">
        <v>1</v>
      </c>
      <c r="N756" s="3">
        <v>8</v>
      </c>
      <c r="O756" s="3">
        <v>0.09</v>
      </c>
      <c r="P756" s="3">
        <v>0</v>
      </c>
      <c r="Q756" s="3">
        <v>0</v>
      </c>
      <c r="R756" s="3">
        <v>0</v>
      </c>
    </row>
    <row r="757" spans="1:18">
      <c r="A757" s="3" t="s">
        <v>185</v>
      </c>
      <c r="B757" s="3" t="s">
        <v>186</v>
      </c>
      <c r="C757" s="3" t="s">
        <v>187</v>
      </c>
      <c r="D757" s="3" t="s">
        <v>188</v>
      </c>
      <c r="E757" s="3" t="s">
        <v>340</v>
      </c>
      <c r="F757" s="3">
        <v>29.99</v>
      </c>
      <c r="G757" s="3" t="s">
        <v>2572</v>
      </c>
      <c r="H757" s="3"/>
      <c r="I757" s="3" t="s">
        <v>2573</v>
      </c>
      <c r="J757" s="3">
        <v>5</v>
      </c>
      <c r="K757" s="3">
        <v>2</v>
      </c>
      <c r="L757" s="3">
        <v>1</v>
      </c>
      <c r="M757" s="3">
        <v>2</v>
      </c>
      <c r="N757" s="3">
        <v>10</v>
      </c>
      <c r="O757" s="3">
        <v>0.09</v>
      </c>
      <c r="P757" s="3">
        <v>0</v>
      </c>
      <c r="Q757" s="3">
        <v>0</v>
      </c>
      <c r="R757" s="3">
        <v>5</v>
      </c>
    </row>
    <row r="758" spans="1:18">
      <c r="A758" s="3" t="s">
        <v>969</v>
      </c>
      <c r="B758" s="3" t="s">
        <v>970</v>
      </c>
      <c r="C758" s="3" t="s">
        <v>971</v>
      </c>
      <c r="D758" s="3" t="s">
        <v>177</v>
      </c>
      <c r="E758" s="3" t="s">
        <v>340</v>
      </c>
      <c r="F758" s="3">
        <v>29.99</v>
      </c>
      <c r="G758" s="3" t="s">
        <v>2572</v>
      </c>
      <c r="H758" s="3"/>
      <c r="I758" s="3" t="s">
        <v>2573</v>
      </c>
      <c r="J758" s="3">
        <v>6</v>
      </c>
      <c r="K758" s="3">
        <v>5</v>
      </c>
      <c r="L758" s="3">
        <v>1</v>
      </c>
      <c r="M758" s="3">
        <v>0</v>
      </c>
      <c r="N758" s="3">
        <v>14</v>
      </c>
      <c r="O758" s="3">
        <v>0.09</v>
      </c>
      <c r="P758" s="3">
        <v>0</v>
      </c>
      <c r="Q758" s="3">
        <v>8</v>
      </c>
      <c r="R758" s="3">
        <v>0</v>
      </c>
    </row>
    <row r="759" spans="1:18">
      <c r="A759" s="3" t="s">
        <v>193</v>
      </c>
      <c r="B759" s="3" t="s">
        <v>194</v>
      </c>
      <c r="C759" s="3" t="s">
        <v>195</v>
      </c>
      <c r="D759" s="3" t="s">
        <v>196</v>
      </c>
      <c r="E759" s="3" t="s">
        <v>340</v>
      </c>
      <c r="F759" s="3">
        <v>29.99</v>
      </c>
      <c r="G759" s="3" t="s">
        <v>2572</v>
      </c>
      <c r="H759" s="3"/>
      <c r="I759" s="3" t="s">
        <v>2573</v>
      </c>
      <c r="J759" s="3">
        <v>9</v>
      </c>
      <c r="K759" s="3">
        <v>2</v>
      </c>
      <c r="L759" s="3">
        <v>5</v>
      </c>
      <c r="M759" s="3">
        <v>2</v>
      </c>
      <c r="N759" s="3">
        <v>25</v>
      </c>
      <c r="O759" s="3">
        <v>0.09</v>
      </c>
      <c r="P759" s="3">
        <v>0</v>
      </c>
      <c r="Q759" s="3">
        <v>16</v>
      </c>
      <c r="R759" s="3">
        <v>0</v>
      </c>
    </row>
    <row r="760" spans="1:18">
      <c r="A760" s="3" t="s">
        <v>1436</v>
      </c>
      <c r="B760" s="3" t="s">
        <v>1437</v>
      </c>
      <c r="C760" s="3" t="s">
        <v>1438</v>
      </c>
      <c r="D760" s="3" t="s">
        <v>173</v>
      </c>
      <c r="E760" s="3" t="s">
        <v>340</v>
      </c>
      <c r="F760" s="3">
        <v>29.99</v>
      </c>
      <c r="G760" s="3" t="s">
        <v>2572</v>
      </c>
      <c r="H760" s="3"/>
      <c r="I760" s="3" t="s">
        <v>2573</v>
      </c>
      <c r="J760" s="3">
        <v>13</v>
      </c>
      <c r="K760" s="3">
        <v>12</v>
      </c>
      <c r="L760" s="3">
        <v>1</v>
      </c>
      <c r="M760" s="3">
        <v>0</v>
      </c>
      <c r="N760" s="3">
        <v>13</v>
      </c>
      <c r="O760" s="3">
        <v>0.09</v>
      </c>
      <c r="P760" s="3">
        <v>0</v>
      </c>
      <c r="Q760" s="3">
        <v>0</v>
      </c>
      <c r="R760" s="3">
        <v>0</v>
      </c>
    </row>
    <row r="761" spans="1:18">
      <c r="A761" s="3" t="s">
        <v>182</v>
      </c>
      <c r="B761" s="3" t="s">
        <v>183</v>
      </c>
      <c r="C761" s="3" t="s">
        <v>184</v>
      </c>
      <c r="D761" s="3" t="s">
        <v>181</v>
      </c>
      <c r="E761" s="3" t="s">
        <v>340</v>
      </c>
      <c r="F761" s="3">
        <v>29.99</v>
      </c>
      <c r="G761" s="3" t="s">
        <v>2573</v>
      </c>
      <c r="H761" s="3">
        <v>20</v>
      </c>
      <c r="I761" s="3" t="s">
        <v>2572</v>
      </c>
      <c r="J761" s="3">
        <v>12</v>
      </c>
      <c r="K761" s="3">
        <v>10</v>
      </c>
      <c r="L761" s="3">
        <v>0</v>
      </c>
      <c r="M761" s="3">
        <v>2</v>
      </c>
      <c r="N761" s="3">
        <v>12</v>
      </c>
      <c r="O761" s="3">
        <v>0.09</v>
      </c>
      <c r="P761" s="3">
        <v>0</v>
      </c>
      <c r="Q761" s="3">
        <v>0</v>
      </c>
      <c r="R761" s="3">
        <v>0</v>
      </c>
    </row>
    <row r="762" spans="1:18">
      <c r="A762" s="3" t="s">
        <v>1679</v>
      </c>
      <c r="B762" s="3" t="s">
        <v>1680</v>
      </c>
      <c r="C762" s="3" t="s">
        <v>1681</v>
      </c>
      <c r="D762" s="3" t="s">
        <v>188</v>
      </c>
      <c r="E762" s="3" t="s">
        <v>340</v>
      </c>
      <c r="F762" s="3">
        <v>29.99</v>
      </c>
      <c r="G762" s="3" t="s">
        <v>2573</v>
      </c>
      <c r="H762" s="3">
        <v>20</v>
      </c>
      <c r="I762" s="3" t="s">
        <v>2572</v>
      </c>
      <c r="J762" s="3">
        <v>4</v>
      </c>
      <c r="K762" s="3">
        <v>3</v>
      </c>
      <c r="L762" s="3">
        <v>1</v>
      </c>
      <c r="M762" s="3">
        <v>0</v>
      </c>
      <c r="N762" s="3">
        <v>10</v>
      </c>
      <c r="O762" s="3">
        <v>0.09</v>
      </c>
      <c r="P762" s="3">
        <v>0</v>
      </c>
      <c r="Q762" s="3">
        <v>6</v>
      </c>
      <c r="R762" s="3">
        <v>0</v>
      </c>
    </row>
    <row r="763" spans="1:18">
      <c r="A763" s="3" t="s">
        <v>1156</v>
      </c>
      <c r="B763" s="3" t="s">
        <v>1157</v>
      </c>
      <c r="C763" s="3" t="s">
        <v>1158</v>
      </c>
      <c r="D763" s="3" t="s">
        <v>177</v>
      </c>
      <c r="E763" s="3" t="s">
        <v>340</v>
      </c>
      <c r="F763" s="3">
        <v>29.99</v>
      </c>
      <c r="G763" s="3" t="s">
        <v>2573</v>
      </c>
      <c r="H763" s="3">
        <v>19</v>
      </c>
      <c r="I763" s="3" t="s">
        <v>2572</v>
      </c>
      <c r="J763" s="3">
        <v>16</v>
      </c>
      <c r="K763" s="3">
        <v>15</v>
      </c>
      <c r="L763" s="3">
        <v>1</v>
      </c>
      <c r="M763" s="3">
        <v>0</v>
      </c>
      <c r="N763" s="3">
        <v>16</v>
      </c>
      <c r="O763" s="3">
        <v>0.09</v>
      </c>
      <c r="P763" s="3">
        <v>0</v>
      </c>
      <c r="Q763" s="3">
        <v>0</v>
      </c>
      <c r="R763" s="3">
        <v>0</v>
      </c>
    </row>
    <row r="764" spans="1:18">
      <c r="A764" s="3" t="s">
        <v>3457</v>
      </c>
      <c r="B764" s="3" t="s">
        <v>3458</v>
      </c>
      <c r="C764" s="3" t="s">
        <v>3459</v>
      </c>
      <c r="D764" s="3" t="s">
        <v>3460</v>
      </c>
      <c r="E764" s="3" t="s">
        <v>340</v>
      </c>
      <c r="F764" s="3">
        <v>29.99</v>
      </c>
      <c r="G764" s="3" t="s">
        <v>2573</v>
      </c>
      <c r="H764" s="3">
        <v>20</v>
      </c>
      <c r="I764" s="3" t="s">
        <v>2572</v>
      </c>
      <c r="J764" s="3">
        <v>2</v>
      </c>
      <c r="K764" s="3">
        <v>0</v>
      </c>
      <c r="L764" s="3">
        <v>2</v>
      </c>
      <c r="M764" s="3">
        <v>0</v>
      </c>
      <c r="N764" s="3">
        <v>7</v>
      </c>
      <c r="O764" s="3">
        <v>0.04</v>
      </c>
      <c r="P764" s="3">
        <v>0</v>
      </c>
      <c r="Q764" s="3">
        <v>5</v>
      </c>
      <c r="R764" s="3">
        <v>0</v>
      </c>
    </row>
    <row r="765" spans="1:18">
      <c r="A765" s="3" t="s">
        <v>204</v>
      </c>
      <c r="B765" s="3" t="s">
        <v>205</v>
      </c>
      <c r="C765" s="3" t="s">
        <v>206</v>
      </c>
      <c r="D765" s="3" t="s">
        <v>173</v>
      </c>
      <c r="E765" s="3" t="s">
        <v>340</v>
      </c>
      <c r="F765" s="3">
        <v>29.99</v>
      </c>
      <c r="G765" s="3" t="s">
        <v>2573</v>
      </c>
      <c r="H765" s="3">
        <v>20</v>
      </c>
      <c r="I765" s="3" t="s">
        <v>2572</v>
      </c>
      <c r="J765" s="3">
        <v>7</v>
      </c>
      <c r="K765" s="3">
        <v>6</v>
      </c>
      <c r="L765" s="3">
        <v>0</v>
      </c>
      <c r="M765" s="3">
        <v>1</v>
      </c>
      <c r="N765" s="3">
        <v>7</v>
      </c>
      <c r="O765" s="3">
        <v>0.09</v>
      </c>
      <c r="P765" s="3">
        <v>0</v>
      </c>
      <c r="Q765" s="3">
        <v>0</v>
      </c>
      <c r="R765" s="3">
        <v>0</v>
      </c>
    </row>
    <row r="766" spans="1:18">
      <c r="A766" s="3" t="s">
        <v>2448</v>
      </c>
      <c r="B766" s="3" t="s">
        <v>2449</v>
      </c>
      <c r="C766" s="3" t="s">
        <v>2450</v>
      </c>
      <c r="D766" s="3" t="s">
        <v>181</v>
      </c>
      <c r="E766" s="3" t="s">
        <v>340</v>
      </c>
      <c r="F766" s="3">
        <v>29.99</v>
      </c>
      <c r="G766" s="3" t="s">
        <v>2573</v>
      </c>
      <c r="H766" s="3">
        <v>20</v>
      </c>
      <c r="I766" s="3" t="s">
        <v>2572</v>
      </c>
      <c r="J766" s="3">
        <v>14</v>
      </c>
      <c r="K766" s="3">
        <v>14</v>
      </c>
      <c r="L766" s="3">
        <v>0</v>
      </c>
      <c r="M766" s="3">
        <v>0</v>
      </c>
      <c r="N766" s="3">
        <v>14</v>
      </c>
      <c r="O766" s="3">
        <v>0.09</v>
      </c>
      <c r="P766" s="3">
        <v>0</v>
      </c>
      <c r="Q766" s="3">
        <v>0</v>
      </c>
      <c r="R766" s="3">
        <v>0</v>
      </c>
    </row>
    <row r="767" spans="1:18">
      <c r="A767" s="3" t="s">
        <v>1596</v>
      </c>
      <c r="B767" s="3" t="s">
        <v>1597</v>
      </c>
      <c r="C767" s="3" t="s">
        <v>1598</v>
      </c>
      <c r="D767" s="3" t="s">
        <v>188</v>
      </c>
      <c r="E767" s="3" t="s">
        <v>340</v>
      </c>
      <c r="F767" s="3">
        <v>29.99</v>
      </c>
      <c r="G767" s="3" t="s">
        <v>2573</v>
      </c>
      <c r="H767" s="3">
        <v>20</v>
      </c>
      <c r="I767" s="3" t="s">
        <v>2572</v>
      </c>
      <c r="J767" s="3">
        <v>9</v>
      </c>
      <c r="K767" s="3">
        <v>8</v>
      </c>
      <c r="L767" s="3">
        <v>1</v>
      </c>
      <c r="M767" s="3">
        <v>0</v>
      </c>
      <c r="N767" s="3">
        <v>9</v>
      </c>
      <c r="O767" s="3">
        <v>0.09</v>
      </c>
      <c r="P767" s="3">
        <v>0</v>
      </c>
      <c r="Q767" s="3">
        <v>0</v>
      </c>
      <c r="R767" s="3">
        <v>0</v>
      </c>
    </row>
    <row r="768" spans="1:18">
      <c r="A768" s="3" t="s">
        <v>2126</v>
      </c>
      <c r="B768" s="3" t="s">
        <v>2127</v>
      </c>
      <c r="C768" s="3" t="s">
        <v>2128</v>
      </c>
      <c r="D768" s="3" t="s">
        <v>177</v>
      </c>
      <c r="E768" s="3" t="s">
        <v>340</v>
      </c>
      <c r="F768" s="3">
        <v>29.99</v>
      </c>
      <c r="G768" s="3" t="s">
        <v>2573</v>
      </c>
      <c r="H768" s="3">
        <v>20</v>
      </c>
      <c r="I768" s="3" t="s">
        <v>2572</v>
      </c>
      <c r="J768" s="3">
        <v>10</v>
      </c>
      <c r="K768" s="3">
        <v>10</v>
      </c>
      <c r="L768" s="3">
        <v>0</v>
      </c>
      <c r="M768" s="3">
        <v>0</v>
      </c>
      <c r="N768" s="3">
        <v>10</v>
      </c>
      <c r="O768" s="3">
        <v>0.09</v>
      </c>
      <c r="P768" s="3">
        <v>0</v>
      </c>
      <c r="Q768" s="3">
        <v>0</v>
      </c>
      <c r="R768" s="3">
        <v>0</v>
      </c>
    </row>
    <row r="769" spans="1:18">
      <c r="A769" s="3" t="s">
        <v>3461</v>
      </c>
      <c r="B769" s="3" t="s">
        <v>3462</v>
      </c>
      <c r="C769" s="3" t="s">
        <v>3463</v>
      </c>
      <c r="D769" s="3" t="s">
        <v>196</v>
      </c>
      <c r="E769" s="3" t="s">
        <v>340</v>
      </c>
      <c r="F769" s="3">
        <v>29.99</v>
      </c>
      <c r="G769" s="3" t="s">
        <v>2573</v>
      </c>
      <c r="H769" s="3">
        <v>20</v>
      </c>
      <c r="I769" s="3" t="s">
        <v>2572</v>
      </c>
      <c r="J769" s="3">
        <v>0</v>
      </c>
      <c r="K769" s="3">
        <v>0</v>
      </c>
      <c r="L769" s="3">
        <v>0</v>
      </c>
      <c r="M769" s="3">
        <v>0</v>
      </c>
      <c r="N769" s="3">
        <v>6</v>
      </c>
      <c r="O769" s="3">
        <v>0.09</v>
      </c>
      <c r="P769" s="3">
        <v>0</v>
      </c>
      <c r="Q769" s="3">
        <v>6</v>
      </c>
      <c r="R769" s="3">
        <v>0</v>
      </c>
    </row>
    <row r="770" spans="1:18">
      <c r="A770" s="3" t="s">
        <v>1044</v>
      </c>
      <c r="B770" s="3" t="s">
        <v>1045</v>
      </c>
      <c r="C770" s="3" t="s">
        <v>1046</v>
      </c>
      <c r="D770" s="3" t="s">
        <v>173</v>
      </c>
      <c r="E770" s="3" t="s">
        <v>340</v>
      </c>
      <c r="F770" s="3">
        <v>29.99</v>
      </c>
      <c r="G770" s="3" t="s">
        <v>2573</v>
      </c>
      <c r="H770" s="3">
        <v>20</v>
      </c>
      <c r="I770" s="3" t="s">
        <v>2572</v>
      </c>
      <c r="J770" s="3">
        <v>11</v>
      </c>
      <c r="K770" s="3">
        <v>11</v>
      </c>
      <c r="L770" s="3">
        <v>0</v>
      </c>
      <c r="M770" s="3">
        <v>0</v>
      </c>
      <c r="N770" s="3">
        <v>11</v>
      </c>
      <c r="O770" s="3">
        <v>0.09</v>
      </c>
      <c r="P770" s="3">
        <v>0</v>
      </c>
      <c r="Q770" s="3">
        <v>0</v>
      </c>
      <c r="R770" s="3">
        <v>0</v>
      </c>
    </row>
    <row r="771" spans="1:18">
      <c r="A771" s="3" t="s">
        <v>543</v>
      </c>
      <c r="B771" s="3" t="s">
        <v>544</v>
      </c>
      <c r="C771" s="3" t="s">
        <v>545</v>
      </c>
      <c r="D771" s="3" t="s">
        <v>546</v>
      </c>
      <c r="E771" s="3" t="s">
        <v>340</v>
      </c>
      <c r="F771" s="3">
        <v>29.99</v>
      </c>
      <c r="G771" s="3" t="s">
        <v>2573</v>
      </c>
      <c r="H771" s="3">
        <v>20</v>
      </c>
      <c r="I771" s="3" t="s">
        <v>2572</v>
      </c>
      <c r="J771" s="3">
        <v>9</v>
      </c>
      <c r="K771" s="3">
        <v>9</v>
      </c>
      <c r="L771" s="3">
        <v>0</v>
      </c>
      <c r="M771" s="3">
        <v>0</v>
      </c>
      <c r="N771" s="3">
        <v>9</v>
      </c>
      <c r="O771" s="3">
        <v>0.09</v>
      </c>
      <c r="P771" s="3">
        <v>0</v>
      </c>
      <c r="Q771" s="3">
        <v>0</v>
      </c>
      <c r="R771" s="3">
        <v>0</v>
      </c>
    </row>
    <row r="772" spans="1:18">
      <c r="A772" s="3" t="s">
        <v>872</v>
      </c>
      <c r="B772" s="3" t="s">
        <v>873</v>
      </c>
      <c r="C772" s="3" t="s">
        <v>874</v>
      </c>
      <c r="D772" s="3" t="s">
        <v>188</v>
      </c>
      <c r="E772" s="3" t="s">
        <v>340</v>
      </c>
      <c r="F772" s="3">
        <v>29.99</v>
      </c>
      <c r="G772" s="3" t="s">
        <v>2573</v>
      </c>
      <c r="H772" s="3">
        <v>20</v>
      </c>
      <c r="I772" s="3" t="s">
        <v>2572</v>
      </c>
      <c r="J772" s="3">
        <v>9</v>
      </c>
      <c r="K772" s="3">
        <v>9</v>
      </c>
      <c r="L772" s="3">
        <v>0</v>
      </c>
      <c r="M772" s="3">
        <v>0</v>
      </c>
      <c r="N772" s="3">
        <v>9</v>
      </c>
      <c r="O772" s="3">
        <v>0.09</v>
      </c>
      <c r="P772" s="3">
        <v>0</v>
      </c>
      <c r="Q772" s="3">
        <v>0</v>
      </c>
      <c r="R772" s="3">
        <v>0</v>
      </c>
    </row>
    <row r="773" spans="1:18">
      <c r="A773" s="3" t="s">
        <v>1196</v>
      </c>
      <c r="B773" s="3" t="s">
        <v>1197</v>
      </c>
      <c r="C773" s="3" t="s">
        <v>1198</v>
      </c>
      <c r="D773" s="3" t="s">
        <v>177</v>
      </c>
      <c r="E773" s="3" t="s">
        <v>340</v>
      </c>
      <c r="F773" s="3">
        <v>29.99</v>
      </c>
      <c r="G773" s="3" t="s">
        <v>2573</v>
      </c>
      <c r="H773" s="3">
        <v>20</v>
      </c>
      <c r="I773" s="3" t="s">
        <v>2572</v>
      </c>
      <c r="J773" s="3">
        <v>6</v>
      </c>
      <c r="K773" s="3">
        <v>6</v>
      </c>
      <c r="L773" s="3">
        <v>0</v>
      </c>
      <c r="M773" s="3">
        <v>0</v>
      </c>
      <c r="N773" s="3">
        <v>6</v>
      </c>
      <c r="O773" s="3">
        <v>0.09</v>
      </c>
      <c r="P773" s="3">
        <v>0</v>
      </c>
      <c r="Q773" s="3">
        <v>0</v>
      </c>
      <c r="R773" s="3">
        <v>0</v>
      </c>
    </row>
    <row r="774" spans="1:18">
      <c r="A774" s="3" t="s">
        <v>200</v>
      </c>
      <c r="B774" s="3" t="s">
        <v>201</v>
      </c>
      <c r="C774" s="3" t="s">
        <v>202</v>
      </c>
      <c r="D774" s="3" t="s">
        <v>203</v>
      </c>
      <c r="E774" s="3" t="s">
        <v>340</v>
      </c>
      <c r="F774" s="3">
        <v>29.99</v>
      </c>
      <c r="G774" s="3" t="s">
        <v>2573</v>
      </c>
      <c r="H774" s="3">
        <v>20</v>
      </c>
      <c r="I774" s="3" t="s">
        <v>2572</v>
      </c>
      <c r="J774" s="3">
        <v>4</v>
      </c>
      <c r="K774" s="3">
        <v>0</v>
      </c>
      <c r="L774" s="3">
        <v>3</v>
      </c>
      <c r="M774" s="3">
        <v>1</v>
      </c>
      <c r="N774" s="3">
        <v>7</v>
      </c>
      <c r="O774" s="3">
        <v>0.04</v>
      </c>
      <c r="P774" s="3">
        <v>0</v>
      </c>
      <c r="Q774" s="3">
        <v>3</v>
      </c>
      <c r="R774" s="3">
        <v>0</v>
      </c>
    </row>
    <row r="775" spans="1:18">
      <c r="A775" s="3" t="s">
        <v>2224</v>
      </c>
      <c r="B775" s="3" t="s">
        <v>2225</v>
      </c>
      <c r="C775" s="3" t="s">
        <v>2226</v>
      </c>
      <c r="D775" s="3" t="s">
        <v>173</v>
      </c>
      <c r="E775" s="3" t="s">
        <v>340</v>
      </c>
      <c r="F775" s="3">
        <v>29.99</v>
      </c>
      <c r="G775" s="3" t="s">
        <v>2573</v>
      </c>
      <c r="H775" s="3">
        <v>20</v>
      </c>
      <c r="I775" s="3" t="s">
        <v>2572</v>
      </c>
      <c r="J775" s="3">
        <v>10</v>
      </c>
      <c r="K775" s="3">
        <v>10</v>
      </c>
      <c r="L775" s="3">
        <v>0</v>
      </c>
      <c r="M775" s="3">
        <v>0</v>
      </c>
      <c r="N775" s="3">
        <v>10</v>
      </c>
      <c r="O775" s="3">
        <v>0.09</v>
      </c>
      <c r="P775" s="3">
        <v>0</v>
      </c>
      <c r="Q775" s="3">
        <v>0</v>
      </c>
      <c r="R775" s="3">
        <v>0</v>
      </c>
    </row>
    <row r="776" spans="1:18">
      <c r="A776" s="3" t="s">
        <v>2508</v>
      </c>
      <c r="B776" s="3" t="s">
        <v>2509</v>
      </c>
      <c r="C776" s="3" t="s">
        <v>2510</v>
      </c>
      <c r="D776" s="3" t="s">
        <v>181</v>
      </c>
      <c r="E776" s="3" t="s">
        <v>340</v>
      </c>
      <c r="F776" s="3">
        <v>29.99</v>
      </c>
      <c r="G776" s="3" t="s">
        <v>2573</v>
      </c>
      <c r="H776" s="3">
        <v>20</v>
      </c>
      <c r="I776" s="3" t="s">
        <v>2572</v>
      </c>
      <c r="J776" s="3">
        <v>4</v>
      </c>
      <c r="K776" s="3">
        <v>4</v>
      </c>
      <c r="L776" s="3">
        <v>0</v>
      </c>
      <c r="M776" s="3">
        <v>0</v>
      </c>
      <c r="N776" s="3">
        <v>4</v>
      </c>
      <c r="O776" s="3">
        <v>0.04</v>
      </c>
      <c r="P776" s="3">
        <v>0</v>
      </c>
      <c r="Q776" s="3">
        <v>0</v>
      </c>
      <c r="R776" s="3">
        <v>0</v>
      </c>
    </row>
    <row r="777" spans="1:18">
      <c r="A777" s="3" t="s">
        <v>747</v>
      </c>
      <c r="B777" s="3" t="s">
        <v>748</v>
      </c>
      <c r="C777" s="3" t="s">
        <v>749</v>
      </c>
      <c r="D777" s="3" t="s">
        <v>188</v>
      </c>
      <c r="E777" s="3" t="s">
        <v>340</v>
      </c>
      <c r="F777" s="3">
        <v>29.99</v>
      </c>
      <c r="G777" s="3" t="s">
        <v>2573</v>
      </c>
      <c r="H777" s="3">
        <v>19</v>
      </c>
      <c r="I777" s="3" t="s">
        <v>2572</v>
      </c>
      <c r="J777" s="3">
        <v>4</v>
      </c>
      <c r="K777" s="3">
        <v>3</v>
      </c>
      <c r="L777" s="3">
        <v>1</v>
      </c>
      <c r="M777" s="3">
        <v>0</v>
      </c>
      <c r="N777" s="3">
        <v>4</v>
      </c>
      <c r="O777" s="3">
        <v>0.04</v>
      </c>
      <c r="P777" s="3">
        <v>0</v>
      </c>
      <c r="Q777" s="3">
        <v>0</v>
      </c>
      <c r="R777" s="3">
        <v>0</v>
      </c>
    </row>
    <row r="778" spans="1:18">
      <c r="A778" s="3" t="s">
        <v>1703</v>
      </c>
      <c r="B778" s="3" t="s">
        <v>1704</v>
      </c>
      <c r="C778" s="3" t="s">
        <v>1705</v>
      </c>
      <c r="D778" s="3" t="s">
        <v>177</v>
      </c>
      <c r="E778" s="3" t="s">
        <v>340</v>
      </c>
      <c r="F778" s="3">
        <v>29.99</v>
      </c>
      <c r="G778" s="3" t="s">
        <v>2573</v>
      </c>
      <c r="H778" s="3">
        <v>20</v>
      </c>
      <c r="I778" s="3" t="s">
        <v>2572</v>
      </c>
      <c r="J778" s="3">
        <v>2</v>
      </c>
      <c r="K778" s="3">
        <v>1</v>
      </c>
      <c r="L778" s="3">
        <v>1</v>
      </c>
      <c r="M778" s="3">
        <v>0</v>
      </c>
      <c r="N778" s="3">
        <v>12</v>
      </c>
      <c r="O778" s="3">
        <v>0.04</v>
      </c>
      <c r="P778" s="3">
        <v>0</v>
      </c>
      <c r="Q778" s="3">
        <v>10</v>
      </c>
      <c r="R778" s="3">
        <v>0</v>
      </c>
    </row>
    <row r="779" spans="1:18">
      <c r="A779" s="3" t="s">
        <v>189</v>
      </c>
      <c r="B779" s="3" t="s">
        <v>190</v>
      </c>
      <c r="C779" s="3" t="s">
        <v>191</v>
      </c>
      <c r="D779" s="3" t="s">
        <v>192</v>
      </c>
      <c r="E779" s="3" t="s">
        <v>340</v>
      </c>
      <c r="F779" s="3">
        <v>29.99</v>
      </c>
      <c r="G779" s="3" t="s">
        <v>2573</v>
      </c>
      <c r="H779" s="3">
        <v>20</v>
      </c>
      <c r="I779" s="3" t="s">
        <v>2572</v>
      </c>
      <c r="J779" s="3">
        <v>3</v>
      </c>
      <c r="K779" s="3">
        <v>0</v>
      </c>
      <c r="L779" s="3">
        <v>1</v>
      </c>
      <c r="M779" s="3">
        <v>2</v>
      </c>
      <c r="N779" s="3">
        <v>13</v>
      </c>
      <c r="O779" s="3">
        <v>0.04</v>
      </c>
      <c r="P779" s="3">
        <v>0</v>
      </c>
      <c r="Q779" s="3">
        <v>10</v>
      </c>
      <c r="R779" s="3">
        <v>0</v>
      </c>
    </row>
    <row r="780" spans="1:18">
      <c r="A780" s="3" t="s">
        <v>1301</v>
      </c>
      <c r="B780" s="3" t="s">
        <v>1302</v>
      </c>
      <c r="C780" s="3" t="s">
        <v>1303</v>
      </c>
      <c r="D780" s="3" t="s">
        <v>173</v>
      </c>
      <c r="E780" s="3" t="s">
        <v>340</v>
      </c>
      <c r="F780" s="3">
        <v>29.99</v>
      </c>
      <c r="G780" s="3" t="s">
        <v>2573</v>
      </c>
      <c r="H780" s="3">
        <v>20</v>
      </c>
      <c r="I780" s="3" t="s">
        <v>2572</v>
      </c>
      <c r="J780" s="3">
        <v>4</v>
      </c>
      <c r="K780" s="3">
        <v>4</v>
      </c>
      <c r="L780" s="3">
        <v>0</v>
      </c>
      <c r="M780" s="3">
        <v>0</v>
      </c>
      <c r="N780" s="3">
        <v>4</v>
      </c>
      <c r="O780" s="3">
        <v>0.04</v>
      </c>
      <c r="P780" s="3">
        <v>0</v>
      </c>
      <c r="Q780" s="3">
        <v>0</v>
      </c>
      <c r="R780" s="3">
        <v>0</v>
      </c>
    </row>
    <row r="781" spans="1:18">
      <c r="A781" s="3" t="s">
        <v>1034</v>
      </c>
      <c r="B781" s="3" t="s">
        <v>1035</v>
      </c>
      <c r="C781" s="3" t="s">
        <v>1036</v>
      </c>
      <c r="D781" s="3" t="s">
        <v>213</v>
      </c>
      <c r="E781" s="3" t="s">
        <v>340</v>
      </c>
      <c r="F781" s="3">
        <v>39.99</v>
      </c>
      <c r="G781" s="3" t="s">
        <v>2572</v>
      </c>
      <c r="H781" s="3"/>
      <c r="I781" s="3" t="s">
        <v>2573</v>
      </c>
      <c r="J781" s="3">
        <v>4</v>
      </c>
      <c r="K781" s="3">
        <v>4</v>
      </c>
      <c r="L781" s="3">
        <v>0</v>
      </c>
      <c r="M781" s="3">
        <v>0</v>
      </c>
      <c r="N781" s="3">
        <v>4</v>
      </c>
      <c r="O781" s="3">
        <v>0.04</v>
      </c>
      <c r="P781" s="3">
        <v>0</v>
      </c>
      <c r="Q781" s="3">
        <v>0</v>
      </c>
      <c r="R781" s="3">
        <v>0</v>
      </c>
    </row>
    <row r="782" spans="1:18">
      <c r="A782" s="3" t="s">
        <v>1225</v>
      </c>
      <c r="B782" s="3" t="s">
        <v>1226</v>
      </c>
      <c r="C782" s="3" t="s">
        <v>1227</v>
      </c>
      <c r="D782" s="3" t="s">
        <v>213</v>
      </c>
      <c r="E782" s="3" t="s">
        <v>340</v>
      </c>
      <c r="F782" s="3">
        <v>39.99</v>
      </c>
      <c r="G782" s="3" t="s">
        <v>2572</v>
      </c>
      <c r="H782" s="3"/>
      <c r="I782" s="3" t="s">
        <v>2573</v>
      </c>
      <c r="J782" s="3">
        <v>7</v>
      </c>
      <c r="K782" s="3">
        <v>6</v>
      </c>
      <c r="L782" s="3">
        <v>1</v>
      </c>
      <c r="M782" s="3">
        <v>0</v>
      </c>
      <c r="N782" s="3">
        <v>7</v>
      </c>
      <c r="O782" s="3">
        <v>0.04</v>
      </c>
      <c r="P782" s="3">
        <v>0</v>
      </c>
      <c r="Q782" s="3">
        <v>0</v>
      </c>
      <c r="R782" s="3">
        <v>0</v>
      </c>
    </row>
    <row r="783" spans="1:18">
      <c r="A783" s="3" t="s">
        <v>3464</v>
      </c>
      <c r="B783" s="3" t="s">
        <v>3465</v>
      </c>
      <c r="C783" s="3" t="s">
        <v>3466</v>
      </c>
      <c r="D783" s="3" t="s">
        <v>213</v>
      </c>
      <c r="E783" s="3" t="s">
        <v>340</v>
      </c>
      <c r="F783" s="3">
        <v>39.99</v>
      </c>
      <c r="G783" s="3" t="s">
        <v>2572</v>
      </c>
      <c r="H783" s="3"/>
      <c r="I783" s="3" t="s">
        <v>2573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0.04</v>
      </c>
      <c r="P783" s="3">
        <v>0</v>
      </c>
      <c r="Q783" s="3">
        <v>0</v>
      </c>
      <c r="R783" s="3">
        <v>0</v>
      </c>
    </row>
    <row r="784" spans="1:18">
      <c r="A784" s="3" t="s">
        <v>1700</v>
      </c>
      <c r="B784" s="3" t="s">
        <v>1701</v>
      </c>
      <c r="C784" s="3" t="s">
        <v>1702</v>
      </c>
      <c r="D784" s="3" t="s">
        <v>213</v>
      </c>
      <c r="E784" s="3" t="s">
        <v>340</v>
      </c>
      <c r="F784" s="3">
        <v>39.99</v>
      </c>
      <c r="G784" s="3" t="s">
        <v>2572</v>
      </c>
      <c r="H784" s="3"/>
      <c r="I784" s="3" t="s">
        <v>2573</v>
      </c>
      <c r="J784" s="3">
        <v>9</v>
      </c>
      <c r="K784" s="3">
        <v>8</v>
      </c>
      <c r="L784" s="3">
        <v>1</v>
      </c>
      <c r="M784" s="3">
        <v>0</v>
      </c>
      <c r="N784" s="3">
        <v>9</v>
      </c>
      <c r="O784" s="3">
        <v>0.04</v>
      </c>
      <c r="P784" s="3">
        <v>0</v>
      </c>
      <c r="Q784" s="3">
        <v>0</v>
      </c>
      <c r="R784" s="3">
        <v>0</v>
      </c>
    </row>
    <row r="785" spans="1:18">
      <c r="A785" s="3" t="s">
        <v>1869</v>
      </c>
      <c r="B785" s="3" t="s">
        <v>1870</v>
      </c>
      <c r="C785" s="3" t="s">
        <v>1871</v>
      </c>
      <c r="D785" s="3" t="s">
        <v>213</v>
      </c>
      <c r="E785" s="3" t="s">
        <v>340</v>
      </c>
      <c r="F785" s="3">
        <v>39.99</v>
      </c>
      <c r="G785" s="3" t="s">
        <v>2572</v>
      </c>
      <c r="H785" s="3"/>
      <c r="I785" s="3" t="s">
        <v>2573</v>
      </c>
      <c r="J785" s="3">
        <v>16</v>
      </c>
      <c r="K785" s="3">
        <v>15</v>
      </c>
      <c r="L785" s="3">
        <v>1</v>
      </c>
      <c r="M785" s="3">
        <v>0</v>
      </c>
      <c r="N785" s="3">
        <v>16</v>
      </c>
      <c r="O785" s="3">
        <v>0.04</v>
      </c>
      <c r="P785" s="3">
        <v>0</v>
      </c>
      <c r="Q785" s="3">
        <v>0</v>
      </c>
      <c r="R785" s="3">
        <v>0</v>
      </c>
    </row>
    <row r="786" spans="1:18">
      <c r="A786" s="3" t="s">
        <v>1164</v>
      </c>
      <c r="B786" s="3" t="s">
        <v>1165</v>
      </c>
      <c r="C786" s="3" t="s">
        <v>1166</v>
      </c>
      <c r="D786" s="3" t="s">
        <v>213</v>
      </c>
      <c r="E786" s="3" t="s">
        <v>340</v>
      </c>
      <c r="F786" s="3">
        <v>39.99</v>
      </c>
      <c r="G786" s="3" t="s">
        <v>2572</v>
      </c>
      <c r="H786" s="3"/>
      <c r="I786" s="3" t="s">
        <v>2573</v>
      </c>
      <c r="J786" s="3">
        <v>11</v>
      </c>
      <c r="K786" s="3">
        <v>11</v>
      </c>
      <c r="L786" s="3">
        <v>0</v>
      </c>
      <c r="M786" s="3">
        <v>0</v>
      </c>
      <c r="N786" s="3">
        <v>11</v>
      </c>
      <c r="O786" s="3">
        <v>0.04</v>
      </c>
      <c r="P786" s="3">
        <v>0</v>
      </c>
      <c r="Q786" s="3">
        <v>0</v>
      </c>
      <c r="R786" s="3">
        <v>0</v>
      </c>
    </row>
    <row r="787" spans="1:18">
      <c r="A787" s="3" t="s">
        <v>1894</v>
      </c>
      <c r="B787" s="3" t="s">
        <v>1895</v>
      </c>
      <c r="C787" s="3" t="s">
        <v>1896</v>
      </c>
      <c r="D787" s="3" t="s">
        <v>213</v>
      </c>
      <c r="E787" s="3" t="s">
        <v>340</v>
      </c>
      <c r="F787" s="3">
        <v>39.99</v>
      </c>
      <c r="G787" s="3" t="s">
        <v>2572</v>
      </c>
      <c r="H787" s="3"/>
      <c r="I787" s="3" t="s">
        <v>2573</v>
      </c>
      <c r="J787" s="3">
        <v>4</v>
      </c>
      <c r="K787" s="3">
        <v>4</v>
      </c>
      <c r="L787" s="3">
        <v>0</v>
      </c>
      <c r="M787" s="3">
        <v>0</v>
      </c>
      <c r="N787" s="3">
        <v>4</v>
      </c>
      <c r="O787" s="3">
        <v>0.04</v>
      </c>
      <c r="P787" s="3">
        <v>0</v>
      </c>
      <c r="Q787" s="3">
        <v>0</v>
      </c>
      <c r="R787" s="3">
        <v>0</v>
      </c>
    </row>
    <row r="788" spans="1:18">
      <c r="A788" s="3" t="s">
        <v>3467</v>
      </c>
      <c r="B788" s="3" t="s">
        <v>3468</v>
      </c>
      <c r="C788" s="3" t="s">
        <v>3469</v>
      </c>
      <c r="D788" s="3" t="s">
        <v>213</v>
      </c>
      <c r="E788" s="3" t="s">
        <v>340</v>
      </c>
      <c r="F788" s="3">
        <v>39.99</v>
      </c>
      <c r="G788" s="3" t="s">
        <v>2572</v>
      </c>
      <c r="H788" s="3"/>
      <c r="I788" s="3" t="s">
        <v>2573</v>
      </c>
      <c r="J788" s="3">
        <v>0</v>
      </c>
      <c r="K788" s="3">
        <v>0</v>
      </c>
      <c r="L788" s="3">
        <v>0</v>
      </c>
      <c r="M788" s="3">
        <v>0</v>
      </c>
      <c r="N788" s="3">
        <v>0</v>
      </c>
      <c r="O788" s="3">
        <v>0.04</v>
      </c>
      <c r="P788" s="3">
        <v>0</v>
      </c>
      <c r="Q788" s="3">
        <v>0</v>
      </c>
      <c r="R788" s="3">
        <v>0</v>
      </c>
    </row>
    <row r="789" spans="1:18">
      <c r="A789" s="3" t="s">
        <v>3470</v>
      </c>
      <c r="B789" s="3" t="s">
        <v>3471</v>
      </c>
      <c r="C789" s="3" t="s">
        <v>3472</v>
      </c>
      <c r="D789" s="3" t="s">
        <v>213</v>
      </c>
      <c r="E789" s="3" t="s">
        <v>340</v>
      </c>
      <c r="F789" s="3">
        <v>39.99</v>
      </c>
      <c r="G789" s="3" t="s">
        <v>2572</v>
      </c>
      <c r="H789" s="3"/>
      <c r="I789" s="3" t="s">
        <v>2573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0.04</v>
      </c>
      <c r="P789" s="3">
        <v>0</v>
      </c>
      <c r="Q789" s="3">
        <v>0</v>
      </c>
      <c r="R789" s="3">
        <v>0</v>
      </c>
    </row>
    <row r="790" spans="1:18">
      <c r="A790" s="3" t="s">
        <v>1023</v>
      </c>
      <c r="B790" s="3" t="s">
        <v>1024</v>
      </c>
      <c r="C790" s="3" t="s">
        <v>1025</v>
      </c>
      <c r="D790" s="3" t="s">
        <v>213</v>
      </c>
      <c r="E790" s="3" t="s">
        <v>340</v>
      </c>
      <c r="F790" s="3">
        <v>39.99</v>
      </c>
      <c r="G790" s="3" t="s">
        <v>2572</v>
      </c>
      <c r="H790" s="3"/>
      <c r="I790" s="3" t="s">
        <v>2573</v>
      </c>
      <c r="J790" s="3">
        <v>14</v>
      </c>
      <c r="K790" s="3">
        <v>14</v>
      </c>
      <c r="L790" s="3">
        <v>0</v>
      </c>
      <c r="M790" s="3">
        <v>0</v>
      </c>
      <c r="N790" s="3">
        <v>14</v>
      </c>
      <c r="O790" s="3">
        <v>0.04</v>
      </c>
      <c r="P790" s="3">
        <v>0</v>
      </c>
      <c r="Q790" s="3">
        <v>0</v>
      </c>
      <c r="R790" s="3">
        <v>0</v>
      </c>
    </row>
    <row r="791" spans="1:18">
      <c r="A791" s="3" t="s">
        <v>3473</v>
      </c>
      <c r="B791" s="3" t="s">
        <v>3474</v>
      </c>
      <c r="C791" s="3" t="s">
        <v>3475</v>
      </c>
      <c r="D791" s="3" t="s">
        <v>213</v>
      </c>
      <c r="E791" s="3" t="s">
        <v>340</v>
      </c>
      <c r="F791" s="3">
        <v>39.99</v>
      </c>
      <c r="G791" s="3" t="s">
        <v>2572</v>
      </c>
      <c r="H791" s="3"/>
      <c r="I791" s="3" t="s">
        <v>2573</v>
      </c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>
        <v>0.04</v>
      </c>
      <c r="P791" s="3">
        <v>0</v>
      </c>
      <c r="Q791" s="3">
        <v>0</v>
      </c>
      <c r="R791" s="3">
        <v>0</v>
      </c>
    </row>
    <row r="792" spans="1:18">
      <c r="A792" s="3" t="s">
        <v>2093</v>
      </c>
      <c r="B792" s="3" t="s">
        <v>2094</v>
      </c>
      <c r="C792" s="3" t="s">
        <v>2095</v>
      </c>
      <c r="D792" s="3" t="s">
        <v>213</v>
      </c>
      <c r="E792" s="3" t="s">
        <v>340</v>
      </c>
      <c r="F792" s="3">
        <v>39.99</v>
      </c>
      <c r="G792" s="3" t="s">
        <v>2572</v>
      </c>
      <c r="H792" s="3"/>
      <c r="I792" s="3" t="s">
        <v>2573</v>
      </c>
      <c r="J792" s="3">
        <v>12</v>
      </c>
      <c r="K792" s="3">
        <v>12</v>
      </c>
      <c r="L792" s="3">
        <v>0</v>
      </c>
      <c r="M792" s="3">
        <v>0</v>
      </c>
      <c r="N792" s="3">
        <v>12</v>
      </c>
      <c r="O792" s="3">
        <v>0.04</v>
      </c>
      <c r="P792" s="3">
        <v>0</v>
      </c>
      <c r="Q792" s="3">
        <v>0</v>
      </c>
      <c r="R792" s="3">
        <v>0</v>
      </c>
    </row>
    <row r="793" spans="1:18">
      <c r="A793" s="3" t="s">
        <v>2129</v>
      </c>
      <c r="B793" s="3" t="s">
        <v>2130</v>
      </c>
      <c r="C793" s="3" t="s">
        <v>2131</v>
      </c>
      <c r="D793" s="3" t="s">
        <v>213</v>
      </c>
      <c r="E793" s="3" t="s">
        <v>340</v>
      </c>
      <c r="F793" s="3">
        <v>39.99</v>
      </c>
      <c r="G793" s="3" t="s">
        <v>2572</v>
      </c>
      <c r="H793" s="3"/>
      <c r="I793" s="3" t="s">
        <v>2573</v>
      </c>
      <c r="J793" s="3">
        <v>16</v>
      </c>
      <c r="K793" s="3">
        <v>16</v>
      </c>
      <c r="L793" s="3">
        <v>0</v>
      </c>
      <c r="M793" s="3">
        <v>0</v>
      </c>
      <c r="N793" s="3">
        <v>16</v>
      </c>
      <c r="O793" s="3">
        <v>0.04</v>
      </c>
      <c r="P793" s="3">
        <v>0</v>
      </c>
      <c r="Q793" s="3">
        <v>0</v>
      </c>
      <c r="R793" s="3">
        <v>0</v>
      </c>
    </row>
    <row r="794" spans="1:18">
      <c r="A794" s="3" t="s">
        <v>1990</v>
      </c>
      <c r="B794" s="3" t="s">
        <v>1991</v>
      </c>
      <c r="C794" s="3" t="s">
        <v>1992</v>
      </c>
      <c r="D794" s="3" t="s">
        <v>213</v>
      </c>
      <c r="E794" s="3" t="s">
        <v>340</v>
      </c>
      <c r="F794" s="3">
        <v>39.99</v>
      </c>
      <c r="G794" s="3" t="s">
        <v>2572</v>
      </c>
      <c r="H794" s="3"/>
      <c r="I794" s="3" t="s">
        <v>2573</v>
      </c>
      <c r="J794" s="3">
        <v>13</v>
      </c>
      <c r="K794" s="3">
        <v>13</v>
      </c>
      <c r="L794" s="3">
        <v>0</v>
      </c>
      <c r="M794" s="3">
        <v>0</v>
      </c>
      <c r="N794" s="3">
        <v>13</v>
      </c>
      <c r="O794" s="3">
        <v>0.04</v>
      </c>
      <c r="P794" s="3">
        <v>0</v>
      </c>
      <c r="Q794" s="3">
        <v>0</v>
      </c>
      <c r="R794" s="3">
        <v>0</v>
      </c>
    </row>
    <row r="795" spans="1:18">
      <c r="A795" s="3" t="s">
        <v>3476</v>
      </c>
      <c r="B795" s="3" t="s">
        <v>3477</v>
      </c>
      <c r="C795" s="3" t="s">
        <v>3478</v>
      </c>
      <c r="D795" s="3" t="s">
        <v>213</v>
      </c>
      <c r="E795" s="3" t="s">
        <v>340</v>
      </c>
      <c r="F795" s="3">
        <v>39.99</v>
      </c>
      <c r="G795" s="3" t="s">
        <v>2572</v>
      </c>
      <c r="H795" s="3"/>
      <c r="I795" s="3" t="s">
        <v>2573</v>
      </c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>
        <v>0.04</v>
      </c>
      <c r="P795" s="3">
        <v>0</v>
      </c>
      <c r="Q795" s="3">
        <v>0</v>
      </c>
      <c r="R795" s="3">
        <v>0</v>
      </c>
    </row>
    <row r="796" spans="1:18">
      <c r="A796" s="3" t="s">
        <v>3479</v>
      </c>
      <c r="B796" s="3" t="s">
        <v>3480</v>
      </c>
      <c r="C796" s="3" t="s">
        <v>3481</v>
      </c>
      <c r="D796" s="3" t="s">
        <v>213</v>
      </c>
      <c r="E796" s="3" t="s">
        <v>340</v>
      </c>
      <c r="F796" s="3">
        <v>22.99</v>
      </c>
      <c r="G796" s="3" t="s">
        <v>2572</v>
      </c>
      <c r="H796" s="3"/>
      <c r="I796" s="3" t="s">
        <v>2573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0.04</v>
      </c>
      <c r="P796" s="3">
        <v>0</v>
      </c>
      <c r="Q796" s="3">
        <v>0</v>
      </c>
      <c r="R796" s="3">
        <v>0</v>
      </c>
    </row>
    <row r="797" spans="1:18">
      <c r="A797" s="3" t="s">
        <v>3482</v>
      </c>
      <c r="B797" s="3" t="s">
        <v>3483</v>
      </c>
      <c r="C797" s="3" t="s">
        <v>3484</v>
      </c>
      <c r="D797" s="3" t="s">
        <v>213</v>
      </c>
      <c r="E797" s="3" t="s">
        <v>340</v>
      </c>
      <c r="F797" s="3">
        <v>39.99</v>
      </c>
      <c r="G797" s="3" t="s">
        <v>2572</v>
      </c>
      <c r="H797" s="3"/>
      <c r="I797" s="3" t="s">
        <v>2573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0.06</v>
      </c>
      <c r="P797" s="3">
        <v>0</v>
      </c>
      <c r="Q797" s="3">
        <v>0</v>
      </c>
      <c r="R797" s="3">
        <v>0</v>
      </c>
    </row>
    <row r="798" spans="1:18">
      <c r="A798" s="3" t="s">
        <v>3485</v>
      </c>
      <c r="B798" s="3" t="s">
        <v>3486</v>
      </c>
      <c r="C798" s="3" t="s">
        <v>3487</v>
      </c>
      <c r="D798" s="3" t="s">
        <v>213</v>
      </c>
      <c r="E798" s="3" t="s">
        <v>340</v>
      </c>
      <c r="F798" s="3">
        <v>22.99</v>
      </c>
      <c r="G798" s="3" t="s">
        <v>2572</v>
      </c>
      <c r="H798" s="3"/>
      <c r="I798" s="3" t="s">
        <v>2573</v>
      </c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>
        <v>0.03</v>
      </c>
      <c r="P798" s="3">
        <v>0</v>
      </c>
      <c r="Q798" s="3">
        <v>0</v>
      </c>
      <c r="R798" s="3">
        <v>0</v>
      </c>
    </row>
    <row r="799" spans="1:18">
      <c r="A799" s="3" t="s">
        <v>3488</v>
      </c>
      <c r="B799" s="3" t="s">
        <v>3489</v>
      </c>
      <c r="C799" s="3" t="s">
        <v>3490</v>
      </c>
      <c r="D799" s="3" t="s">
        <v>213</v>
      </c>
      <c r="E799" s="3" t="s">
        <v>340</v>
      </c>
      <c r="F799" s="3">
        <v>22.99</v>
      </c>
      <c r="G799" s="3" t="s">
        <v>2572</v>
      </c>
      <c r="H799" s="3"/>
      <c r="I799" s="3" t="s">
        <v>2573</v>
      </c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>
        <v>0.03</v>
      </c>
      <c r="P799" s="3">
        <v>0</v>
      </c>
      <c r="Q799" s="3">
        <v>0</v>
      </c>
      <c r="R799" s="3">
        <v>0</v>
      </c>
    </row>
    <row r="800" spans="1:18">
      <c r="A800" s="3" t="s">
        <v>1578</v>
      </c>
      <c r="B800" s="3" t="s">
        <v>1579</v>
      </c>
      <c r="C800" s="3" t="s">
        <v>1580</v>
      </c>
      <c r="D800" s="3" t="s">
        <v>213</v>
      </c>
      <c r="E800" s="3" t="s">
        <v>340</v>
      </c>
      <c r="F800" s="3">
        <v>22.99</v>
      </c>
      <c r="G800" s="3" t="s">
        <v>2572</v>
      </c>
      <c r="H800" s="3"/>
      <c r="I800" s="3" t="s">
        <v>2573</v>
      </c>
      <c r="J800" s="3">
        <v>10</v>
      </c>
      <c r="K800" s="3">
        <v>10</v>
      </c>
      <c r="L800" s="3">
        <v>0</v>
      </c>
      <c r="M800" s="3">
        <v>0</v>
      </c>
      <c r="N800" s="3">
        <v>10</v>
      </c>
      <c r="O800" s="3">
        <v>0.03</v>
      </c>
      <c r="P800" s="3">
        <v>0</v>
      </c>
      <c r="Q800" s="3">
        <v>0</v>
      </c>
      <c r="R800" s="3">
        <v>0</v>
      </c>
    </row>
    <row r="801" spans="1:18">
      <c r="A801" s="3" t="s">
        <v>565</v>
      </c>
      <c r="B801" s="3" t="s">
        <v>566</v>
      </c>
      <c r="C801" s="3" t="s">
        <v>567</v>
      </c>
      <c r="D801" s="3" t="s">
        <v>213</v>
      </c>
      <c r="E801" s="3" t="s">
        <v>340</v>
      </c>
      <c r="F801" s="3">
        <v>22.8</v>
      </c>
      <c r="G801" s="3" t="s">
        <v>2572</v>
      </c>
      <c r="H801" s="3"/>
      <c r="I801" s="3" t="s">
        <v>2573</v>
      </c>
      <c r="J801" s="3">
        <v>13</v>
      </c>
      <c r="K801" s="3">
        <v>12</v>
      </c>
      <c r="L801" s="3">
        <v>1</v>
      </c>
      <c r="M801" s="3">
        <v>0</v>
      </c>
      <c r="N801" s="3">
        <v>13</v>
      </c>
      <c r="O801" s="3">
        <v>0.03</v>
      </c>
      <c r="P801" s="3">
        <v>0</v>
      </c>
      <c r="Q801" s="3">
        <v>0</v>
      </c>
      <c r="R801" s="3">
        <v>0</v>
      </c>
    </row>
    <row r="802" spans="1:18">
      <c r="A802" s="3" t="s">
        <v>509</v>
      </c>
      <c r="B802" s="3" t="s">
        <v>510</v>
      </c>
      <c r="C802" s="3" t="s">
        <v>511</v>
      </c>
      <c r="D802" s="3" t="s">
        <v>213</v>
      </c>
      <c r="E802" s="3" t="s">
        <v>340</v>
      </c>
      <c r="F802" s="3">
        <v>22.91</v>
      </c>
      <c r="G802" s="3" t="s">
        <v>2572</v>
      </c>
      <c r="H802" s="3"/>
      <c r="I802" s="3" t="s">
        <v>2573</v>
      </c>
      <c r="J802" s="3">
        <v>9</v>
      </c>
      <c r="K802" s="3">
        <v>9</v>
      </c>
      <c r="L802" s="3">
        <v>0</v>
      </c>
      <c r="M802" s="3">
        <v>0</v>
      </c>
      <c r="N802" s="3">
        <v>9</v>
      </c>
      <c r="O802" s="3">
        <v>0.04</v>
      </c>
      <c r="P802" s="3">
        <v>0</v>
      </c>
      <c r="Q802" s="3">
        <v>0</v>
      </c>
      <c r="R802" s="3">
        <v>0</v>
      </c>
    </row>
    <row r="803" spans="1:18">
      <c r="A803" s="3" t="s">
        <v>2165</v>
      </c>
      <c r="B803" s="3" t="s">
        <v>2166</v>
      </c>
      <c r="C803" s="3" t="s">
        <v>2167</v>
      </c>
      <c r="D803" s="3" t="s">
        <v>213</v>
      </c>
      <c r="E803" s="3" t="s">
        <v>340</v>
      </c>
      <c r="F803" s="3">
        <v>21.95</v>
      </c>
      <c r="G803" s="3" t="s">
        <v>2572</v>
      </c>
      <c r="H803" s="3"/>
      <c r="I803" s="3" t="s">
        <v>2573</v>
      </c>
      <c r="J803" s="3">
        <v>1</v>
      </c>
      <c r="K803" s="3">
        <v>1</v>
      </c>
      <c r="L803" s="3">
        <v>0</v>
      </c>
      <c r="M803" s="3">
        <v>0</v>
      </c>
      <c r="N803" s="3">
        <v>1</v>
      </c>
      <c r="O803" s="3">
        <v>0.05</v>
      </c>
      <c r="P803" s="3">
        <v>0</v>
      </c>
      <c r="Q803" s="3">
        <v>0</v>
      </c>
      <c r="R803" s="3">
        <v>0</v>
      </c>
    </row>
    <row r="804" spans="1:18">
      <c r="A804" s="3" t="s">
        <v>716</v>
      </c>
      <c r="B804" s="3" t="s">
        <v>717</v>
      </c>
      <c r="C804" s="3" t="s">
        <v>718</v>
      </c>
      <c r="D804" s="3" t="s">
        <v>213</v>
      </c>
      <c r="E804" s="3" t="s">
        <v>340</v>
      </c>
      <c r="F804" s="3">
        <v>22.99</v>
      </c>
      <c r="G804" s="3" t="s">
        <v>2572</v>
      </c>
      <c r="H804" s="3"/>
      <c r="I804" s="3" t="s">
        <v>2573</v>
      </c>
      <c r="J804" s="3">
        <v>8</v>
      </c>
      <c r="K804" s="3">
        <v>6</v>
      </c>
      <c r="L804" s="3">
        <v>2</v>
      </c>
      <c r="M804" s="3">
        <v>0</v>
      </c>
      <c r="N804" s="3">
        <v>8</v>
      </c>
      <c r="O804" s="3">
        <v>0.03</v>
      </c>
      <c r="P804" s="3">
        <v>0</v>
      </c>
      <c r="Q804" s="3">
        <v>0</v>
      </c>
      <c r="R804" s="3">
        <v>0</v>
      </c>
    </row>
    <row r="805" spans="1:18">
      <c r="A805" s="3" t="s">
        <v>3491</v>
      </c>
      <c r="B805" s="3" t="s">
        <v>3492</v>
      </c>
      <c r="C805" s="3" t="s">
        <v>3493</v>
      </c>
      <c r="D805" s="3" t="s">
        <v>213</v>
      </c>
      <c r="E805" s="3" t="s">
        <v>340</v>
      </c>
      <c r="F805" s="3">
        <v>22.99</v>
      </c>
      <c r="G805" s="3" t="s">
        <v>2572</v>
      </c>
      <c r="H805" s="3"/>
      <c r="I805" s="3" t="s">
        <v>2573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0.05</v>
      </c>
      <c r="P805" s="3">
        <v>0</v>
      </c>
      <c r="Q805" s="3">
        <v>0</v>
      </c>
      <c r="R805" s="3">
        <v>0</v>
      </c>
    </row>
    <row r="806" spans="1:18">
      <c r="A806" s="3" t="s">
        <v>3494</v>
      </c>
      <c r="B806" s="3" t="s">
        <v>3495</v>
      </c>
      <c r="C806" s="3" t="s">
        <v>3496</v>
      </c>
      <c r="D806" s="3" t="s">
        <v>213</v>
      </c>
      <c r="E806" s="3" t="s">
        <v>340</v>
      </c>
      <c r="F806" s="3">
        <v>22.63</v>
      </c>
      <c r="G806" s="3" t="s">
        <v>2572</v>
      </c>
      <c r="H806" s="3"/>
      <c r="I806" s="3" t="s">
        <v>2573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0.05</v>
      </c>
      <c r="P806" s="3">
        <v>0</v>
      </c>
      <c r="Q806" s="3">
        <v>0</v>
      </c>
      <c r="R806" s="3">
        <v>0</v>
      </c>
    </row>
    <row r="807" spans="1:18">
      <c r="A807" s="3" t="s">
        <v>356</v>
      </c>
      <c r="B807" s="3" t="s">
        <v>357</v>
      </c>
      <c r="C807" s="3" t="s">
        <v>358</v>
      </c>
      <c r="D807" s="3" t="s">
        <v>213</v>
      </c>
      <c r="E807" s="3" t="s">
        <v>340</v>
      </c>
      <c r="F807" s="3">
        <v>22.9</v>
      </c>
      <c r="G807" s="3" t="s">
        <v>2572</v>
      </c>
      <c r="H807" s="3"/>
      <c r="I807" s="3" t="s">
        <v>2573</v>
      </c>
      <c r="J807" s="3">
        <v>7</v>
      </c>
      <c r="K807" s="3">
        <v>7</v>
      </c>
      <c r="L807" s="3">
        <v>0</v>
      </c>
      <c r="M807" s="3">
        <v>0</v>
      </c>
      <c r="N807" s="3">
        <v>7</v>
      </c>
      <c r="O807" s="3">
        <v>0.05</v>
      </c>
      <c r="P807" s="3">
        <v>0</v>
      </c>
      <c r="Q807" s="3">
        <v>0</v>
      </c>
      <c r="R807" s="3">
        <v>0</v>
      </c>
    </row>
    <row r="808" spans="1:18">
      <c r="A808" s="3" t="s">
        <v>432</v>
      </c>
      <c r="B808" s="3" t="s">
        <v>433</v>
      </c>
      <c r="C808" s="3" t="s">
        <v>434</v>
      </c>
      <c r="D808" s="3" t="s">
        <v>213</v>
      </c>
      <c r="E808" s="3" t="s">
        <v>340</v>
      </c>
      <c r="F808" s="3">
        <v>22.85</v>
      </c>
      <c r="G808" s="3" t="s">
        <v>2572</v>
      </c>
      <c r="H808" s="3"/>
      <c r="I808" s="3" t="s">
        <v>2573</v>
      </c>
      <c r="J808" s="3">
        <v>6</v>
      </c>
      <c r="K808" s="3">
        <v>6</v>
      </c>
      <c r="L808" s="3">
        <v>0</v>
      </c>
      <c r="M808" s="3">
        <v>0</v>
      </c>
      <c r="N808" s="3">
        <v>6</v>
      </c>
      <c r="O808" s="3">
        <v>0.03</v>
      </c>
      <c r="P808" s="3">
        <v>0</v>
      </c>
      <c r="Q808" s="3">
        <v>0</v>
      </c>
      <c r="R808" s="3">
        <v>0</v>
      </c>
    </row>
    <row r="809" spans="1:18">
      <c r="A809" s="3" t="s">
        <v>777</v>
      </c>
      <c r="B809" s="3" t="s">
        <v>778</v>
      </c>
      <c r="C809" s="3" t="s">
        <v>779</v>
      </c>
      <c r="D809" s="3" t="s">
        <v>213</v>
      </c>
      <c r="E809" s="3" t="s">
        <v>340</v>
      </c>
      <c r="F809" s="3">
        <v>22.95</v>
      </c>
      <c r="G809" s="3" t="s">
        <v>2572</v>
      </c>
      <c r="H809" s="3"/>
      <c r="I809" s="3" t="s">
        <v>2573</v>
      </c>
      <c r="J809" s="3">
        <v>14</v>
      </c>
      <c r="K809" s="3">
        <v>14</v>
      </c>
      <c r="L809" s="3">
        <v>0</v>
      </c>
      <c r="M809" s="3">
        <v>0</v>
      </c>
      <c r="N809" s="3">
        <v>14</v>
      </c>
      <c r="O809" s="3">
        <v>0.04</v>
      </c>
      <c r="P809" s="3">
        <v>0</v>
      </c>
      <c r="Q809" s="3">
        <v>0</v>
      </c>
      <c r="R809" s="3">
        <v>0</v>
      </c>
    </row>
    <row r="810" spans="1:18">
      <c r="A810" s="3" t="s">
        <v>1593</v>
      </c>
      <c r="B810" s="3" t="s">
        <v>1594</v>
      </c>
      <c r="C810" s="3" t="s">
        <v>1595</v>
      </c>
      <c r="D810" s="3" t="s">
        <v>213</v>
      </c>
      <c r="E810" s="3" t="s">
        <v>340</v>
      </c>
      <c r="F810" s="3">
        <v>21.87</v>
      </c>
      <c r="G810" s="3" t="s">
        <v>2572</v>
      </c>
      <c r="H810" s="3"/>
      <c r="I810" s="3" t="s">
        <v>2573</v>
      </c>
      <c r="J810" s="3">
        <v>13</v>
      </c>
      <c r="K810" s="3">
        <v>13</v>
      </c>
      <c r="L810" s="3">
        <v>0</v>
      </c>
      <c r="M810" s="3">
        <v>0</v>
      </c>
      <c r="N810" s="3">
        <v>13</v>
      </c>
      <c r="O810" s="3">
        <v>0.04</v>
      </c>
      <c r="P810" s="3">
        <v>0</v>
      </c>
      <c r="Q810" s="3">
        <v>0</v>
      </c>
      <c r="R810" s="3">
        <v>0</v>
      </c>
    </row>
    <row r="811" spans="1:18">
      <c r="A811" s="3" t="s">
        <v>210</v>
      </c>
      <c r="B811" s="3" t="s">
        <v>211</v>
      </c>
      <c r="C811" s="3" t="s">
        <v>212</v>
      </c>
      <c r="D811" s="3" t="s">
        <v>213</v>
      </c>
      <c r="E811" s="3" t="s">
        <v>340</v>
      </c>
      <c r="F811" s="3">
        <v>22.83</v>
      </c>
      <c r="G811" s="3" t="s">
        <v>2572</v>
      </c>
      <c r="H811" s="3"/>
      <c r="I811" s="3" t="s">
        <v>2573</v>
      </c>
      <c r="J811" s="3">
        <v>4</v>
      </c>
      <c r="K811" s="3">
        <v>3</v>
      </c>
      <c r="L811" s="3">
        <v>0</v>
      </c>
      <c r="M811" s="3">
        <v>1</v>
      </c>
      <c r="N811" s="3">
        <v>4</v>
      </c>
      <c r="O811" s="3">
        <v>0.11</v>
      </c>
      <c r="P811" s="3">
        <v>0</v>
      </c>
      <c r="Q811" s="3">
        <v>0</v>
      </c>
      <c r="R811" s="3">
        <v>0</v>
      </c>
    </row>
    <row r="812" spans="1:18">
      <c r="A812" s="3" t="s">
        <v>3497</v>
      </c>
      <c r="B812" s="3" t="s">
        <v>3498</v>
      </c>
      <c r="C812" s="3" t="s">
        <v>3499</v>
      </c>
      <c r="D812" s="3" t="s">
        <v>1211</v>
      </c>
      <c r="E812" s="3" t="s">
        <v>340</v>
      </c>
      <c r="F812" s="3">
        <v>39.99</v>
      </c>
      <c r="G812" s="3" t="s">
        <v>2572</v>
      </c>
      <c r="H812" s="3"/>
      <c r="I812" s="3" t="s">
        <v>2573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0.07</v>
      </c>
      <c r="P812" s="3">
        <v>0</v>
      </c>
      <c r="Q812" s="3">
        <v>0</v>
      </c>
      <c r="R812" s="3">
        <v>0</v>
      </c>
    </row>
    <row r="813" spans="1:18">
      <c r="A813" s="3" t="s">
        <v>3500</v>
      </c>
      <c r="B813" s="3" t="s">
        <v>3501</v>
      </c>
      <c r="C813" s="3" t="s">
        <v>3502</v>
      </c>
      <c r="D813" s="3" t="s">
        <v>3503</v>
      </c>
      <c r="E813" s="3" t="s">
        <v>340</v>
      </c>
      <c r="F813" s="3">
        <v>39.99</v>
      </c>
      <c r="G813" s="3" t="s">
        <v>2572</v>
      </c>
      <c r="H813" s="3"/>
      <c r="I813" s="3" t="s">
        <v>2573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0.07</v>
      </c>
      <c r="P813" s="3">
        <v>0</v>
      </c>
      <c r="Q813" s="3">
        <v>0</v>
      </c>
      <c r="R813" s="3">
        <v>0</v>
      </c>
    </row>
    <row r="814" spans="1:18">
      <c r="A814" s="3" t="s">
        <v>3504</v>
      </c>
      <c r="B814" s="3" t="s">
        <v>3505</v>
      </c>
      <c r="C814" s="3" t="s">
        <v>3506</v>
      </c>
      <c r="D814" s="3" t="s">
        <v>1211</v>
      </c>
      <c r="E814" s="3" t="s">
        <v>340</v>
      </c>
      <c r="F814" s="3">
        <v>39.99</v>
      </c>
      <c r="G814" s="3" t="s">
        <v>2572</v>
      </c>
      <c r="H814" s="3"/>
      <c r="I814" s="3" t="s">
        <v>2573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0.07</v>
      </c>
      <c r="P814" s="3">
        <v>0</v>
      </c>
      <c r="Q814" s="3">
        <v>0</v>
      </c>
      <c r="R814" s="3">
        <v>0</v>
      </c>
    </row>
    <row r="815" spans="1:18">
      <c r="A815" s="3" t="s">
        <v>3507</v>
      </c>
      <c r="B815" s="3" t="s">
        <v>3508</v>
      </c>
      <c r="C815" s="3" t="s">
        <v>3509</v>
      </c>
      <c r="D815" s="3" t="s">
        <v>1211</v>
      </c>
      <c r="E815" s="3" t="s">
        <v>340</v>
      </c>
      <c r="F815" s="3">
        <v>39.99</v>
      </c>
      <c r="G815" s="3" t="s">
        <v>2572</v>
      </c>
      <c r="H815" s="3"/>
      <c r="I815" s="3" t="s">
        <v>2573</v>
      </c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>
        <v>0.07</v>
      </c>
      <c r="P815" s="3">
        <v>0</v>
      </c>
      <c r="Q815" s="3">
        <v>0</v>
      </c>
      <c r="R815" s="3">
        <v>0</v>
      </c>
    </row>
    <row r="816" spans="1:18">
      <c r="A816" s="3" t="s">
        <v>3510</v>
      </c>
      <c r="B816" s="3" t="s">
        <v>3511</v>
      </c>
      <c r="C816" s="3" t="s">
        <v>3512</v>
      </c>
      <c r="D816" s="3" t="s">
        <v>1211</v>
      </c>
      <c r="E816" s="3" t="s">
        <v>340</v>
      </c>
      <c r="F816" s="3">
        <v>39.99</v>
      </c>
      <c r="G816" s="3" t="s">
        <v>2572</v>
      </c>
      <c r="H816" s="3"/>
      <c r="I816" s="3" t="s">
        <v>2573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0.07</v>
      </c>
      <c r="P816" s="3">
        <v>0</v>
      </c>
      <c r="Q816" s="3">
        <v>0</v>
      </c>
      <c r="R816" s="3">
        <v>0</v>
      </c>
    </row>
    <row r="817" spans="1:18">
      <c r="A817" s="3" t="s">
        <v>1208</v>
      </c>
      <c r="B817" s="3" t="s">
        <v>1209</v>
      </c>
      <c r="C817" s="3" t="s">
        <v>1210</v>
      </c>
      <c r="D817" s="3" t="s">
        <v>1211</v>
      </c>
      <c r="E817" s="3" t="s">
        <v>340</v>
      </c>
      <c r="F817" s="3">
        <v>39.99</v>
      </c>
      <c r="G817" s="3" t="s">
        <v>2572</v>
      </c>
      <c r="H817" s="3"/>
      <c r="I817" s="3" t="s">
        <v>2573</v>
      </c>
      <c r="J817" s="3">
        <v>2</v>
      </c>
      <c r="K817" s="3">
        <v>1</v>
      </c>
      <c r="L817" s="3">
        <v>1</v>
      </c>
      <c r="M817" s="3">
        <v>0</v>
      </c>
      <c r="N817" s="3">
        <v>2</v>
      </c>
      <c r="O817" s="3">
        <v>0.07</v>
      </c>
      <c r="P817" s="3">
        <v>0</v>
      </c>
      <c r="Q817" s="3">
        <v>0</v>
      </c>
      <c r="R817" s="3">
        <v>0</v>
      </c>
    </row>
    <row r="818" spans="1:18">
      <c r="A818" s="3" t="s">
        <v>3513</v>
      </c>
      <c r="B818" s="3" t="s">
        <v>3514</v>
      </c>
      <c r="C818" s="3" t="s">
        <v>3515</v>
      </c>
      <c r="D818" s="3" t="s">
        <v>1211</v>
      </c>
      <c r="E818" s="3" t="s">
        <v>340</v>
      </c>
      <c r="F818" s="3">
        <v>39.99</v>
      </c>
      <c r="G818" s="3" t="s">
        <v>2572</v>
      </c>
      <c r="H818" s="3"/>
      <c r="I818" s="3" t="s">
        <v>2573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0.07</v>
      </c>
      <c r="P818" s="3">
        <v>0</v>
      </c>
      <c r="Q818" s="3">
        <v>0</v>
      </c>
      <c r="R818" s="3">
        <v>0</v>
      </c>
    </row>
    <row r="819" spans="1:18">
      <c r="A819" s="3" t="s">
        <v>3516</v>
      </c>
      <c r="B819" s="3" t="s">
        <v>3517</v>
      </c>
      <c r="C819" s="3" t="s">
        <v>3518</v>
      </c>
      <c r="D819" s="3" t="s">
        <v>1211</v>
      </c>
      <c r="E819" s="3" t="s">
        <v>340</v>
      </c>
      <c r="F819" s="3">
        <v>39.99</v>
      </c>
      <c r="G819" s="3" t="s">
        <v>2572</v>
      </c>
      <c r="H819" s="3"/>
      <c r="I819" s="3" t="s">
        <v>2573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0.07</v>
      </c>
      <c r="P819" s="3">
        <v>0</v>
      </c>
      <c r="Q819" s="3">
        <v>0</v>
      </c>
      <c r="R819" s="3">
        <v>0</v>
      </c>
    </row>
    <row r="820" spans="1:18">
      <c r="A820" s="3" t="s">
        <v>3519</v>
      </c>
      <c r="B820" s="3" t="s">
        <v>3520</v>
      </c>
      <c r="C820" s="3" t="s">
        <v>3521</v>
      </c>
      <c r="D820" s="3" t="s">
        <v>1211</v>
      </c>
      <c r="E820" s="3" t="s">
        <v>340</v>
      </c>
      <c r="F820" s="3">
        <v>39.99</v>
      </c>
      <c r="G820" s="3" t="s">
        <v>2572</v>
      </c>
      <c r="H820" s="3"/>
      <c r="I820" s="3" t="s">
        <v>2573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0.07</v>
      </c>
      <c r="P820" s="3">
        <v>0</v>
      </c>
      <c r="Q820" s="3">
        <v>0</v>
      </c>
      <c r="R820" s="3">
        <v>0</v>
      </c>
    </row>
    <row r="821" spans="1:18">
      <c r="A821" s="3" t="s">
        <v>3522</v>
      </c>
      <c r="B821" s="3" t="s">
        <v>3523</v>
      </c>
      <c r="C821" s="3" t="s">
        <v>3524</v>
      </c>
      <c r="D821" s="3" t="s">
        <v>1211</v>
      </c>
      <c r="E821" s="3" t="s">
        <v>340</v>
      </c>
      <c r="F821" s="3">
        <v>39.99</v>
      </c>
      <c r="G821" s="3" t="s">
        <v>2572</v>
      </c>
      <c r="H821" s="3"/>
      <c r="I821" s="3" t="s">
        <v>2573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0.07</v>
      </c>
      <c r="P821" s="3">
        <v>0</v>
      </c>
      <c r="Q821" s="3">
        <v>0</v>
      </c>
      <c r="R821" s="3">
        <v>0</v>
      </c>
    </row>
    <row r="822" spans="1:18">
      <c r="A822" s="3" t="s">
        <v>3525</v>
      </c>
      <c r="B822" s="3" t="s">
        <v>3526</v>
      </c>
      <c r="C822" s="3" t="s">
        <v>3527</v>
      </c>
      <c r="D822" s="3" t="s">
        <v>1211</v>
      </c>
      <c r="E822" s="3" t="s">
        <v>340</v>
      </c>
      <c r="F822" s="3">
        <v>39.99</v>
      </c>
      <c r="G822" s="3" t="s">
        <v>2572</v>
      </c>
      <c r="H822" s="3"/>
      <c r="I822" s="3" t="s">
        <v>2573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0.07</v>
      </c>
      <c r="P822" s="3">
        <v>0</v>
      </c>
      <c r="Q822" s="3">
        <v>0</v>
      </c>
      <c r="R822" s="3">
        <v>0</v>
      </c>
    </row>
    <row r="823" spans="1:18">
      <c r="A823" s="3" t="s">
        <v>3528</v>
      </c>
      <c r="B823" s="3" t="s">
        <v>3529</v>
      </c>
      <c r="C823" s="3" t="s">
        <v>3530</v>
      </c>
      <c r="D823" s="3" t="s">
        <v>1211</v>
      </c>
      <c r="E823" s="3" t="s">
        <v>340</v>
      </c>
      <c r="F823" s="3">
        <v>39.99</v>
      </c>
      <c r="G823" s="3" t="s">
        <v>2572</v>
      </c>
      <c r="H823" s="3"/>
      <c r="I823" s="3" t="s">
        <v>2573</v>
      </c>
      <c r="J823" s="3">
        <v>2</v>
      </c>
      <c r="K823" s="3">
        <v>0</v>
      </c>
      <c r="L823" s="3">
        <v>2</v>
      </c>
      <c r="M823" s="3">
        <v>0</v>
      </c>
      <c r="N823" s="3">
        <v>2</v>
      </c>
      <c r="O823" s="3">
        <v>0.07</v>
      </c>
      <c r="P823" s="3">
        <v>0</v>
      </c>
      <c r="Q823" s="3">
        <v>0</v>
      </c>
      <c r="R823" s="3">
        <v>0</v>
      </c>
    </row>
    <row r="824" spans="1:18">
      <c r="A824" s="3" t="s">
        <v>3531</v>
      </c>
      <c r="B824" s="3" t="s">
        <v>3532</v>
      </c>
      <c r="C824" s="3" t="s">
        <v>3533</v>
      </c>
      <c r="D824" s="3" t="s">
        <v>3534</v>
      </c>
      <c r="E824" s="3" t="s">
        <v>340</v>
      </c>
      <c r="F824" s="3">
        <v>39.99</v>
      </c>
      <c r="G824" s="3" t="s">
        <v>2572</v>
      </c>
      <c r="H824" s="3"/>
      <c r="I824" s="3" t="s">
        <v>2573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0.05</v>
      </c>
      <c r="P824" s="3">
        <v>0</v>
      </c>
      <c r="Q824" s="3">
        <v>0</v>
      </c>
      <c r="R824" s="3">
        <v>0</v>
      </c>
    </row>
    <row r="825" spans="1:18">
      <c r="A825" s="3" t="s">
        <v>3535</v>
      </c>
      <c r="B825" s="3" t="s">
        <v>3536</v>
      </c>
      <c r="C825" s="3" t="s">
        <v>3537</v>
      </c>
      <c r="D825" s="3" t="s">
        <v>3534</v>
      </c>
      <c r="E825" s="3" t="s">
        <v>340</v>
      </c>
      <c r="F825" s="3">
        <v>39.99</v>
      </c>
      <c r="G825" s="3" t="s">
        <v>2572</v>
      </c>
      <c r="H825" s="3"/>
      <c r="I825" s="3" t="s">
        <v>2573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0.05</v>
      </c>
      <c r="P825" s="3">
        <v>0</v>
      </c>
      <c r="Q825" s="3">
        <v>0</v>
      </c>
      <c r="R825" s="3">
        <v>0</v>
      </c>
    </row>
    <row r="826" spans="1:18">
      <c r="A826" s="3" t="s">
        <v>3538</v>
      </c>
      <c r="B826" s="3" t="s">
        <v>3539</v>
      </c>
      <c r="C826" s="3" t="s">
        <v>3540</v>
      </c>
      <c r="D826" s="3" t="s">
        <v>3534</v>
      </c>
      <c r="E826" s="3" t="s">
        <v>340</v>
      </c>
      <c r="F826" s="3">
        <v>39.99</v>
      </c>
      <c r="G826" s="3" t="s">
        <v>2572</v>
      </c>
      <c r="H826" s="3"/>
      <c r="I826" s="3" t="s">
        <v>2573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0.05</v>
      </c>
      <c r="P826" s="3">
        <v>0</v>
      </c>
      <c r="Q826" s="3">
        <v>0</v>
      </c>
      <c r="R826" s="3">
        <v>0</v>
      </c>
    </row>
    <row r="827" spans="1:18">
      <c r="A827" s="3" t="s">
        <v>568</v>
      </c>
      <c r="B827" s="3" t="s">
        <v>569</v>
      </c>
      <c r="C827" s="3" t="s">
        <v>570</v>
      </c>
      <c r="D827" s="3" t="s">
        <v>555</v>
      </c>
      <c r="E827" s="3" t="s">
        <v>340</v>
      </c>
      <c r="F827" s="3">
        <v>39.99</v>
      </c>
      <c r="G827" s="3" t="s">
        <v>2572</v>
      </c>
      <c r="H827" s="3"/>
      <c r="I827" s="3" t="s">
        <v>2573</v>
      </c>
      <c r="J827" s="3">
        <v>4</v>
      </c>
      <c r="K827" s="3">
        <v>4</v>
      </c>
      <c r="L827" s="3">
        <v>0</v>
      </c>
      <c r="M827" s="3">
        <v>0</v>
      </c>
      <c r="N827" s="3">
        <v>4</v>
      </c>
      <c r="O827" s="3">
        <v>0.07</v>
      </c>
      <c r="P827" s="3">
        <v>0</v>
      </c>
      <c r="Q827" s="3">
        <v>0</v>
      </c>
      <c r="R827" s="3">
        <v>0</v>
      </c>
    </row>
    <row r="828" spans="1:18">
      <c r="A828" s="3" t="s">
        <v>3541</v>
      </c>
      <c r="B828" s="3" t="s">
        <v>3542</v>
      </c>
      <c r="C828" s="3" t="s">
        <v>3543</v>
      </c>
      <c r="D828" s="3" t="s">
        <v>555</v>
      </c>
      <c r="E828" s="3" t="s">
        <v>340</v>
      </c>
      <c r="F828" s="3">
        <v>39.99</v>
      </c>
      <c r="G828" s="3" t="s">
        <v>2572</v>
      </c>
      <c r="H828" s="3"/>
      <c r="I828" s="3" t="s">
        <v>2573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0.07</v>
      </c>
      <c r="P828" s="3">
        <v>0</v>
      </c>
      <c r="Q828" s="3">
        <v>0</v>
      </c>
      <c r="R828" s="3">
        <v>0</v>
      </c>
    </row>
    <row r="829" spans="1:18">
      <c r="A829" s="3" t="s">
        <v>3544</v>
      </c>
      <c r="B829" s="3" t="s">
        <v>3545</v>
      </c>
      <c r="C829" s="3" t="s">
        <v>3546</v>
      </c>
      <c r="D829" s="3" t="s">
        <v>555</v>
      </c>
      <c r="E829" s="3" t="s">
        <v>340</v>
      </c>
      <c r="F829" s="3">
        <v>39.99</v>
      </c>
      <c r="G829" s="3" t="s">
        <v>2572</v>
      </c>
      <c r="H829" s="3"/>
      <c r="I829" s="3" t="s">
        <v>2573</v>
      </c>
      <c r="J829" s="3">
        <v>1</v>
      </c>
      <c r="K829" s="3">
        <v>0</v>
      </c>
      <c r="L829" s="3">
        <v>1</v>
      </c>
      <c r="M829" s="3">
        <v>0</v>
      </c>
      <c r="N829" s="3">
        <v>1</v>
      </c>
      <c r="O829" s="3">
        <v>0.07</v>
      </c>
      <c r="P829" s="3">
        <v>0</v>
      </c>
      <c r="Q829" s="3">
        <v>0</v>
      </c>
      <c r="R829" s="3">
        <v>0</v>
      </c>
    </row>
    <row r="830" spans="1:18">
      <c r="A830" s="3" t="s">
        <v>552</v>
      </c>
      <c r="B830" s="3" t="s">
        <v>553</v>
      </c>
      <c r="C830" s="3" t="s">
        <v>554</v>
      </c>
      <c r="D830" s="3" t="s">
        <v>555</v>
      </c>
      <c r="E830" s="3" t="s">
        <v>340</v>
      </c>
      <c r="F830" s="3">
        <v>39.99</v>
      </c>
      <c r="G830" s="3" t="s">
        <v>2572</v>
      </c>
      <c r="H830" s="3"/>
      <c r="I830" s="3" t="s">
        <v>2573</v>
      </c>
      <c r="J830" s="3">
        <v>3</v>
      </c>
      <c r="K830" s="3">
        <v>3</v>
      </c>
      <c r="L830" s="3">
        <v>0</v>
      </c>
      <c r="M830" s="3">
        <v>0</v>
      </c>
      <c r="N830" s="3">
        <v>3</v>
      </c>
      <c r="O830" s="3">
        <v>0.07</v>
      </c>
      <c r="P830" s="3">
        <v>0</v>
      </c>
      <c r="Q830" s="3">
        <v>0</v>
      </c>
      <c r="R830" s="3">
        <v>0</v>
      </c>
    </row>
    <row r="831" spans="1:18">
      <c r="A831" s="3" t="s">
        <v>952</v>
      </c>
      <c r="B831" s="3" t="s">
        <v>953</v>
      </c>
      <c r="C831" s="3" t="s">
        <v>954</v>
      </c>
      <c r="D831" s="3" t="s">
        <v>555</v>
      </c>
      <c r="E831" s="3" t="s">
        <v>340</v>
      </c>
      <c r="F831" s="3">
        <v>39.99</v>
      </c>
      <c r="G831" s="3" t="s">
        <v>2572</v>
      </c>
      <c r="H831" s="3"/>
      <c r="I831" s="3" t="s">
        <v>2573</v>
      </c>
      <c r="J831" s="3">
        <v>2</v>
      </c>
      <c r="K831" s="3">
        <v>2</v>
      </c>
      <c r="L831" s="3">
        <v>0</v>
      </c>
      <c r="M831" s="3">
        <v>0</v>
      </c>
      <c r="N831" s="3">
        <v>2</v>
      </c>
      <c r="O831" s="3">
        <v>0.07</v>
      </c>
      <c r="P831" s="3">
        <v>0</v>
      </c>
      <c r="Q831" s="3">
        <v>0</v>
      </c>
      <c r="R831" s="3">
        <v>0</v>
      </c>
    </row>
    <row r="832" spans="1:18">
      <c r="A832" s="3" t="s">
        <v>762</v>
      </c>
      <c r="B832" s="3" t="s">
        <v>763</v>
      </c>
      <c r="C832" s="3" t="s">
        <v>764</v>
      </c>
      <c r="D832" s="3" t="s">
        <v>555</v>
      </c>
      <c r="E832" s="3" t="s">
        <v>340</v>
      </c>
      <c r="F832" s="3">
        <v>39.99</v>
      </c>
      <c r="G832" s="3" t="s">
        <v>2572</v>
      </c>
      <c r="H832" s="3"/>
      <c r="I832" s="3" t="s">
        <v>2573</v>
      </c>
      <c r="J832" s="3">
        <v>3</v>
      </c>
      <c r="K832" s="3">
        <v>3</v>
      </c>
      <c r="L832" s="3">
        <v>0</v>
      </c>
      <c r="M832" s="3">
        <v>0</v>
      </c>
      <c r="N832" s="3">
        <v>3</v>
      </c>
      <c r="O832" s="3">
        <v>0.07</v>
      </c>
      <c r="P832" s="3">
        <v>0</v>
      </c>
      <c r="Q832" s="3">
        <v>0</v>
      </c>
      <c r="R832" s="3">
        <v>0</v>
      </c>
    </row>
    <row r="833" spans="1:18">
      <c r="A833" s="3" t="s">
        <v>3547</v>
      </c>
      <c r="B833" s="3" t="s">
        <v>3548</v>
      </c>
      <c r="C833" s="3" t="s">
        <v>3549</v>
      </c>
      <c r="D833" s="3" t="s">
        <v>555</v>
      </c>
      <c r="E833" s="3" t="s">
        <v>340</v>
      </c>
      <c r="F833" s="3">
        <v>39.99</v>
      </c>
      <c r="G833" s="3" t="s">
        <v>2572</v>
      </c>
      <c r="H833" s="3"/>
      <c r="I833" s="3" t="s">
        <v>2573</v>
      </c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>
        <v>0.07</v>
      </c>
      <c r="P833" s="3">
        <v>0</v>
      </c>
      <c r="Q833" s="3">
        <v>0</v>
      </c>
      <c r="R833" s="3">
        <v>0</v>
      </c>
    </row>
    <row r="834" spans="1:18">
      <c r="A834" s="3" t="s">
        <v>1532</v>
      </c>
      <c r="B834" s="3" t="s">
        <v>1533</v>
      </c>
      <c r="C834" s="3" t="s">
        <v>1534</v>
      </c>
      <c r="D834" s="3" t="s">
        <v>555</v>
      </c>
      <c r="E834" s="3" t="s">
        <v>340</v>
      </c>
      <c r="F834" s="3">
        <v>39.99</v>
      </c>
      <c r="G834" s="3" t="s">
        <v>2572</v>
      </c>
      <c r="H834" s="3"/>
      <c r="I834" s="3" t="s">
        <v>2573</v>
      </c>
      <c r="J834" s="3">
        <v>1</v>
      </c>
      <c r="K834" s="3">
        <v>1</v>
      </c>
      <c r="L834" s="3">
        <v>0</v>
      </c>
      <c r="M834" s="3">
        <v>0</v>
      </c>
      <c r="N834" s="3">
        <v>1</v>
      </c>
      <c r="O834" s="3">
        <v>0.07</v>
      </c>
      <c r="P834" s="3">
        <v>0</v>
      </c>
      <c r="Q834" s="3">
        <v>0</v>
      </c>
      <c r="R834" s="3">
        <v>0</v>
      </c>
    </row>
    <row r="835" spans="1:18">
      <c r="A835" s="3" t="s">
        <v>1713</v>
      </c>
      <c r="B835" s="3" t="s">
        <v>1714</v>
      </c>
      <c r="C835" s="3" t="s">
        <v>1715</v>
      </c>
      <c r="D835" s="3" t="s">
        <v>555</v>
      </c>
      <c r="E835" s="3" t="s">
        <v>340</v>
      </c>
      <c r="F835" s="3">
        <v>39.99</v>
      </c>
      <c r="G835" s="3" t="s">
        <v>2572</v>
      </c>
      <c r="H835" s="3"/>
      <c r="I835" s="3" t="s">
        <v>2573</v>
      </c>
      <c r="J835" s="3">
        <v>3</v>
      </c>
      <c r="K835" s="3">
        <v>3</v>
      </c>
      <c r="L835" s="3">
        <v>0</v>
      </c>
      <c r="M835" s="3">
        <v>0</v>
      </c>
      <c r="N835" s="3">
        <v>3</v>
      </c>
      <c r="O835" s="3">
        <v>0.07</v>
      </c>
      <c r="P835" s="3">
        <v>0</v>
      </c>
      <c r="Q835" s="3">
        <v>0</v>
      </c>
      <c r="R835" s="3">
        <v>0</v>
      </c>
    </row>
    <row r="836" spans="1:18">
      <c r="A836" s="3" t="s">
        <v>1054</v>
      </c>
      <c r="B836" s="3" t="s">
        <v>1055</v>
      </c>
      <c r="C836" s="3" t="s">
        <v>1056</v>
      </c>
      <c r="D836" s="3" t="s">
        <v>555</v>
      </c>
      <c r="E836" s="3" t="s">
        <v>340</v>
      </c>
      <c r="F836" s="3">
        <v>39.99</v>
      </c>
      <c r="G836" s="3" t="s">
        <v>2572</v>
      </c>
      <c r="H836" s="3"/>
      <c r="I836" s="3" t="s">
        <v>2573</v>
      </c>
      <c r="J836" s="3">
        <v>1</v>
      </c>
      <c r="K836" s="3">
        <v>1</v>
      </c>
      <c r="L836" s="3">
        <v>0</v>
      </c>
      <c r="M836" s="3">
        <v>0</v>
      </c>
      <c r="N836" s="3">
        <v>1</v>
      </c>
      <c r="O836" s="3">
        <v>0.07</v>
      </c>
      <c r="P836" s="3">
        <v>0</v>
      </c>
      <c r="Q836" s="3">
        <v>0</v>
      </c>
      <c r="R836" s="3">
        <v>0</v>
      </c>
    </row>
    <row r="837" spans="1:18">
      <c r="A837" s="3" t="s">
        <v>1311</v>
      </c>
      <c r="B837" s="3" t="s">
        <v>1312</v>
      </c>
      <c r="C837" s="3" t="s">
        <v>1313</v>
      </c>
      <c r="D837" s="3" t="s">
        <v>555</v>
      </c>
      <c r="E837" s="3" t="s">
        <v>340</v>
      </c>
      <c r="F837" s="3">
        <v>39.99</v>
      </c>
      <c r="G837" s="3" t="s">
        <v>2572</v>
      </c>
      <c r="H837" s="3"/>
      <c r="I837" s="3" t="s">
        <v>2573</v>
      </c>
      <c r="J837" s="3">
        <v>3</v>
      </c>
      <c r="K837" s="3">
        <v>3</v>
      </c>
      <c r="L837" s="3">
        <v>0</v>
      </c>
      <c r="M837" s="3">
        <v>0</v>
      </c>
      <c r="N837" s="3">
        <v>3</v>
      </c>
      <c r="O837" s="3">
        <v>0.07</v>
      </c>
      <c r="P837" s="3">
        <v>0</v>
      </c>
      <c r="Q837" s="3">
        <v>0</v>
      </c>
      <c r="R837" s="3">
        <v>0</v>
      </c>
    </row>
    <row r="838" spans="1:18">
      <c r="A838" s="3" t="s">
        <v>3550</v>
      </c>
      <c r="B838" s="3" t="s">
        <v>3551</v>
      </c>
      <c r="C838" s="3" t="s">
        <v>3552</v>
      </c>
      <c r="D838" s="3" t="s">
        <v>555</v>
      </c>
      <c r="E838" s="3" t="s">
        <v>340</v>
      </c>
      <c r="F838" s="3">
        <v>39.99</v>
      </c>
      <c r="G838" s="3" t="s">
        <v>2572</v>
      </c>
      <c r="H838" s="3"/>
      <c r="I838" s="3" t="s">
        <v>2573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0.07</v>
      </c>
      <c r="P838" s="3">
        <v>0</v>
      </c>
      <c r="Q838" s="3">
        <v>0</v>
      </c>
      <c r="R838" s="3">
        <v>0</v>
      </c>
    </row>
    <row r="839" spans="1:18">
      <c r="A839" s="3" t="s">
        <v>3553</v>
      </c>
      <c r="B839" s="3" t="s">
        <v>3554</v>
      </c>
      <c r="C839" s="3" t="s">
        <v>3555</v>
      </c>
      <c r="D839" s="3" t="s">
        <v>3556</v>
      </c>
      <c r="E839" s="3" t="s">
        <v>340</v>
      </c>
      <c r="F839" s="3">
        <v>59.99</v>
      </c>
      <c r="G839" s="3" t="s">
        <v>2572</v>
      </c>
      <c r="H839" s="3"/>
      <c r="I839" s="3" t="s">
        <v>2573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0.12</v>
      </c>
      <c r="P839" s="3">
        <v>0</v>
      </c>
      <c r="Q839" s="3">
        <v>0</v>
      </c>
      <c r="R839" s="3">
        <v>0</v>
      </c>
    </row>
    <row r="840" spans="1:18">
      <c r="A840" s="3" t="s">
        <v>2526</v>
      </c>
      <c r="B840" s="3" t="s">
        <v>2527</v>
      </c>
      <c r="C840" s="3" t="s">
        <v>2528</v>
      </c>
      <c r="D840" s="3" t="s">
        <v>2529</v>
      </c>
      <c r="E840" s="3" t="s">
        <v>340</v>
      </c>
      <c r="F840" s="3">
        <v>59.99</v>
      </c>
      <c r="G840" s="3" t="s">
        <v>2572</v>
      </c>
      <c r="H840" s="3"/>
      <c r="I840" s="3" t="s">
        <v>2573</v>
      </c>
      <c r="J840" s="3">
        <v>1</v>
      </c>
      <c r="K840" s="3">
        <v>1</v>
      </c>
      <c r="L840" s="3">
        <v>0</v>
      </c>
      <c r="M840" s="3">
        <v>0</v>
      </c>
      <c r="N840" s="3">
        <v>1</v>
      </c>
      <c r="O840" s="3">
        <v>0.12</v>
      </c>
      <c r="P840" s="3">
        <v>0</v>
      </c>
      <c r="Q840" s="3">
        <v>0</v>
      </c>
      <c r="R840" s="3">
        <v>0</v>
      </c>
    </row>
    <row r="841" spans="1:18">
      <c r="A841" s="3" t="s">
        <v>1618</v>
      </c>
      <c r="B841" s="3" t="s">
        <v>1619</v>
      </c>
      <c r="C841" s="3" t="s">
        <v>1620</v>
      </c>
      <c r="D841" s="3" t="s">
        <v>1621</v>
      </c>
      <c r="E841" s="3" t="s">
        <v>340</v>
      </c>
      <c r="F841" s="3">
        <v>59.99</v>
      </c>
      <c r="G841" s="3" t="s">
        <v>2572</v>
      </c>
      <c r="H841" s="3"/>
      <c r="I841" s="3" t="s">
        <v>2573</v>
      </c>
      <c r="J841" s="3">
        <v>1</v>
      </c>
      <c r="K841" s="3">
        <v>1</v>
      </c>
      <c r="L841" s="3">
        <v>0</v>
      </c>
      <c r="M841" s="3">
        <v>0</v>
      </c>
      <c r="N841" s="3">
        <v>1</v>
      </c>
      <c r="O841" s="3">
        <v>0.12</v>
      </c>
      <c r="P841" s="3">
        <v>0</v>
      </c>
      <c r="Q841" s="3">
        <v>0</v>
      </c>
      <c r="R841" s="3">
        <v>0</v>
      </c>
    </row>
    <row r="842" spans="1:18">
      <c r="A842" s="3" t="s">
        <v>3557</v>
      </c>
      <c r="B842" s="3" t="s">
        <v>3558</v>
      </c>
      <c r="C842" s="3" t="s">
        <v>3559</v>
      </c>
      <c r="D842" s="3" t="s">
        <v>3560</v>
      </c>
      <c r="E842" s="3" t="s">
        <v>340</v>
      </c>
      <c r="F842" s="3">
        <v>59.99</v>
      </c>
      <c r="G842" s="3" t="s">
        <v>2572</v>
      </c>
      <c r="H842" s="3"/>
      <c r="I842" s="3" t="s">
        <v>2573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0.12</v>
      </c>
      <c r="P842" s="3">
        <v>0</v>
      </c>
      <c r="Q842" s="3">
        <v>0</v>
      </c>
      <c r="R842" s="3">
        <v>0</v>
      </c>
    </row>
    <row r="843" spans="1:18">
      <c r="A843" s="3" t="s">
        <v>689</v>
      </c>
      <c r="B843" s="3" t="s">
        <v>690</v>
      </c>
      <c r="C843" s="3" t="s">
        <v>691</v>
      </c>
      <c r="D843" s="3" t="s">
        <v>692</v>
      </c>
      <c r="E843" s="3" t="s">
        <v>340</v>
      </c>
      <c r="F843" s="3">
        <v>29.99</v>
      </c>
      <c r="G843" s="3" t="s">
        <v>2572</v>
      </c>
      <c r="H843" s="3"/>
      <c r="I843" s="3" t="s">
        <v>2573</v>
      </c>
      <c r="J843" s="3">
        <v>2</v>
      </c>
      <c r="K843" s="3">
        <v>2</v>
      </c>
      <c r="L843" s="3">
        <v>0</v>
      </c>
      <c r="M843" s="3">
        <v>0</v>
      </c>
      <c r="N843" s="3">
        <v>2</v>
      </c>
      <c r="O843" s="3">
        <v>0.08</v>
      </c>
      <c r="P843" s="3">
        <v>0</v>
      </c>
      <c r="Q843" s="3">
        <v>0</v>
      </c>
      <c r="R843" s="3">
        <v>0</v>
      </c>
    </row>
    <row r="844" spans="1:18">
      <c r="A844" s="3" t="s">
        <v>1405</v>
      </c>
      <c r="B844" s="3" t="s">
        <v>1406</v>
      </c>
      <c r="C844" s="3" t="s">
        <v>1407</v>
      </c>
      <c r="D844" s="3" t="s">
        <v>1408</v>
      </c>
      <c r="E844" s="3" t="s">
        <v>340</v>
      </c>
      <c r="F844" s="3">
        <v>29.99</v>
      </c>
      <c r="G844" s="3" t="s">
        <v>2572</v>
      </c>
      <c r="H844" s="3"/>
      <c r="I844" s="3" t="s">
        <v>2573</v>
      </c>
      <c r="J844" s="3">
        <v>1</v>
      </c>
      <c r="K844" s="3">
        <v>1</v>
      </c>
      <c r="L844" s="3">
        <v>0</v>
      </c>
      <c r="M844" s="3">
        <v>0</v>
      </c>
      <c r="N844" s="3">
        <v>1</v>
      </c>
      <c r="O844" s="3">
        <v>0.08</v>
      </c>
      <c r="P844" s="3">
        <v>0</v>
      </c>
      <c r="Q844" s="3">
        <v>0</v>
      </c>
      <c r="R844" s="3">
        <v>0</v>
      </c>
    </row>
    <row r="845" spans="1:18">
      <c r="A845" s="3" t="s">
        <v>3561</v>
      </c>
      <c r="B845" s="3" t="s">
        <v>3562</v>
      </c>
      <c r="C845" s="3" t="s">
        <v>3563</v>
      </c>
      <c r="D845" s="3" t="s">
        <v>3564</v>
      </c>
      <c r="E845" s="3" t="s">
        <v>340</v>
      </c>
      <c r="F845" s="3">
        <v>29.99</v>
      </c>
      <c r="G845" s="3" t="s">
        <v>2572</v>
      </c>
      <c r="H845" s="3"/>
      <c r="I845" s="3" t="s">
        <v>2573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0.08</v>
      </c>
      <c r="P845" s="3">
        <v>0</v>
      </c>
      <c r="Q845" s="3">
        <v>0</v>
      </c>
      <c r="R845" s="3">
        <v>0</v>
      </c>
    </row>
    <row r="846" spans="1:18">
      <c r="A846" s="3" t="s">
        <v>3565</v>
      </c>
      <c r="B846" s="3" t="s">
        <v>3566</v>
      </c>
      <c r="C846" s="3" t="s">
        <v>3567</v>
      </c>
      <c r="D846" s="3" t="s">
        <v>3568</v>
      </c>
      <c r="E846" s="3" t="s">
        <v>340</v>
      </c>
      <c r="F846" s="3">
        <v>29.99</v>
      </c>
      <c r="G846" s="3" t="s">
        <v>2572</v>
      </c>
      <c r="H846" s="3"/>
      <c r="I846" s="3" t="s">
        <v>2573</v>
      </c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>
        <v>0.08</v>
      </c>
      <c r="P846" s="3">
        <v>0</v>
      </c>
      <c r="Q846" s="3">
        <v>0</v>
      </c>
      <c r="R846" s="3">
        <v>0</v>
      </c>
    </row>
    <row r="847" spans="1:18">
      <c r="A847" s="3" t="s">
        <v>3569</v>
      </c>
      <c r="B847" s="3" t="s">
        <v>3570</v>
      </c>
      <c r="C847" s="3" t="s">
        <v>3571</v>
      </c>
      <c r="D847" s="3" t="s">
        <v>3572</v>
      </c>
      <c r="E847" s="3" t="s">
        <v>340</v>
      </c>
      <c r="F847" s="3">
        <v>29.99</v>
      </c>
      <c r="G847" s="3" t="s">
        <v>2572</v>
      </c>
      <c r="H847" s="3"/>
      <c r="I847" s="3" t="s">
        <v>2573</v>
      </c>
      <c r="J847" s="3">
        <v>1</v>
      </c>
      <c r="K847" s="3">
        <v>0</v>
      </c>
      <c r="L847" s="3">
        <v>1</v>
      </c>
      <c r="M847" s="3">
        <v>0</v>
      </c>
      <c r="N847" s="3">
        <v>1</v>
      </c>
      <c r="O847" s="3">
        <v>0.08</v>
      </c>
      <c r="P847" s="3">
        <v>0</v>
      </c>
      <c r="Q847" s="3">
        <v>0</v>
      </c>
      <c r="R847" s="3">
        <v>0</v>
      </c>
    </row>
    <row r="848" spans="1:18">
      <c r="A848" s="3" t="s">
        <v>3573</v>
      </c>
      <c r="B848" s="3" t="s">
        <v>3574</v>
      </c>
      <c r="C848" s="3" t="s">
        <v>3575</v>
      </c>
      <c r="D848" s="3" t="s">
        <v>3576</v>
      </c>
      <c r="E848" s="3" t="s">
        <v>340</v>
      </c>
      <c r="F848" s="3">
        <v>29.99</v>
      </c>
      <c r="G848" s="3" t="s">
        <v>2572</v>
      </c>
      <c r="H848" s="3"/>
      <c r="I848" s="3" t="s">
        <v>2573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0.08</v>
      </c>
      <c r="P848" s="3">
        <v>0</v>
      </c>
      <c r="Q848" s="3">
        <v>0</v>
      </c>
      <c r="R848" s="3">
        <v>0</v>
      </c>
    </row>
    <row r="849" spans="1:18">
      <c r="A849" s="3" t="s">
        <v>3577</v>
      </c>
      <c r="B849" s="3" t="s">
        <v>3578</v>
      </c>
      <c r="C849" s="3" t="s">
        <v>3579</v>
      </c>
      <c r="D849" s="3" t="s">
        <v>3580</v>
      </c>
      <c r="E849" s="3" t="s">
        <v>340</v>
      </c>
      <c r="F849" s="3">
        <v>12.99</v>
      </c>
      <c r="G849" s="3" t="s">
        <v>2572</v>
      </c>
      <c r="H849" s="3"/>
      <c r="I849" s="3" t="s">
        <v>2573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0.08</v>
      </c>
      <c r="P849" s="3">
        <v>0</v>
      </c>
      <c r="Q849" s="3">
        <v>0</v>
      </c>
      <c r="R849" s="3">
        <v>0</v>
      </c>
    </row>
    <row r="850" spans="1:18">
      <c r="A850" s="3" t="s">
        <v>1460</v>
      </c>
      <c r="B850" s="3" t="s">
        <v>1461</v>
      </c>
      <c r="C850" s="3" t="s">
        <v>1462</v>
      </c>
      <c r="D850" s="3" t="s">
        <v>1463</v>
      </c>
      <c r="E850" s="3" t="s">
        <v>340</v>
      </c>
      <c r="F850" s="3">
        <v>12.99</v>
      </c>
      <c r="G850" s="3" t="s">
        <v>2572</v>
      </c>
      <c r="H850" s="3"/>
      <c r="I850" s="3" t="s">
        <v>2573</v>
      </c>
      <c r="J850" s="3">
        <v>1</v>
      </c>
      <c r="K850" s="3">
        <v>1</v>
      </c>
      <c r="L850" s="3">
        <v>0</v>
      </c>
      <c r="M850" s="3">
        <v>0</v>
      </c>
      <c r="N850" s="3">
        <v>1</v>
      </c>
      <c r="O850" s="3">
        <v>0.08</v>
      </c>
      <c r="P850" s="3">
        <v>0</v>
      </c>
      <c r="Q850" s="3">
        <v>0</v>
      </c>
      <c r="R850" s="3">
        <v>0</v>
      </c>
    </row>
    <row r="851" spans="1:18">
      <c r="A851" s="3" t="s">
        <v>446</v>
      </c>
      <c r="B851" s="3" t="s">
        <v>447</v>
      </c>
      <c r="C851" s="3" t="s">
        <v>448</v>
      </c>
      <c r="D851" s="3" t="s">
        <v>449</v>
      </c>
      <c r="E851" s="3" t="s">
        <v>340</v>
      </c>
      <c r="F851" s="3">
        <v>12.99</v>
      </c>
      <c r="G851" s="3" t="s">
        <v>2572</v>
      </c>
      <c r="H851" s="3"/>
      <c r="I851" s="3" t="s">
        <v>2573</v>
      </c>
      <c r="J851" s="3">
        <v>1</v>
      </c>
      <c r="K851" s="3">
        <v>1</v>
      </c>
      <c r="L851" s="3">
        <v>0</v>
      </c>
      <c r="M851" s="3">
        <v>0</v>
      </c>
      <c r="N851" s="3">
        <v>1</v>
      </c>
      <c r="O851" s="3">
        <v>0.08</v>
      </c>
      <c r="P851" s="3">
        <v>0</v>
      </c>
      <c r="Q851" s="3">
        <v>0</v>
      </c>
      <c r="R851" s="3">
        <v>0</v>
      </c>
    </row>
    <row r="852" spans="1:18">
      <c r="A852" s="3" t="s">
        <v>3581</v>
      </c>
      <c r="B852" s="3" t="s">
        <v>3582</v>
      </c>
      <c r="C852" s="3" t="s">
        <v>3583</v>
      </c>
      <c r="D852" s="3" t="s">
        <v>3584</v>
      </c>
      <c r="E852" s="3" t="s">
        <v>340</v>
      </c>
      <c r="F852" s="3">
        <v>12.99</v>
      </c>
      <c r="G852" s="3" t="s">
        <v>2572</v>
      </c>
      <c r="H852" s="3"/>
      <c r="I852" s="3" t="s">
        <v>2573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>
        <v>0.08</v>
      </c>
      <c r="P852" s="3">
        <v>0</v>
      </c>
      <c r="Q852" s="3">
        <v>0</v>
      </c>
      <c r="R852" s="3">
        <v>0</v>
      </c>
    </row>
    <row r="853" spans="1:18">
      <c r="A853" s="3" t="s">
        <v>2148</v>
      </c>
      <c r="B853" s="3" t="s">
        <v>2149</v>
      </c>
      <c r="C853" s="3" t="s">
        <v>2150</v>
      </c>
      <c r="D853" s="3" t="s">
        <v>2151</v>
      </c>
      <c r="E853" s="3" t="s">
        <v>340</v>
      </c>
      <c r="F853" s="3">
        <v>12.99</v>
      </c>
      <c r="G853" s="3" t="s">
        <v>2572</v>
      </c>
      <c r="H853" s="3"/>
      <c r="I853" s="3" t="s">
        <v>2573</v>
      </c>
      <c r="J853" s="3">
        <v>2</v>
      </c>
      <c r="K853" s="3">
        <v>2</v>
      </c>
      <c r="L853" s="3">
        <v>0</v>
      </c>
      <c r="M853" s="3">
        <v>0</v>
      </c>
      <c r="N853" s="3">
        <v>2</v>
      </c>
      <c r="O853" s="3">
        <v>0.08</v>
      </c>
      <c r="P853" s="3">
        <v>0</v>
      </c>
      <c r="Q853" s="3">
        <v>0</v>
      </c>
      <c r="R853" s="3">
        <v>0</v>
      </c>
    </row>
    <row r="854" spans="1:18">
      <c r="A854" s="3" t="s">
        <v>3585</v>
      </c>
      <c r="B854" s="3" t="s">
        <v>3586</v>
      </c>
      <c r="C854" s="3" t="s">
        <v>3587</v>
      </c>
      <c r="D854" s="3" t="s">
        <v>3588</v>
      </c>
      <c r="E854" s="3" t="s">
        <v>340</v>
      </c>
      <c r="F854" s="3">
        <v>12.99</v>
      </c>
      <c r="G854" s="3" t="s">
        <v>2572</v>
      </c>
      <c r="H854" s="3"/>
      <c r="I854" s="3" t="s">
        <v>2573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0.08</v>
      </c>
      <c r="P854" s="3">
        <v>0</v>
      </c>
      <c r="Q854" s="3">
        <v>0</v>
      </c>
      <c r="R854" s="3">
        <v>0</v>
      </c>
    </row>
    <row r="855" spans="1:18">
      <c r="A855" s="3" t="s">
        <v>3589</v>
      </c>
      <c r="B855" s="3" t="s">
        <v>3590</v>
      </c>
      <c r="C855" s="3" t="s">
        <v>3591</v>
      </c>
      <c r="D855" s="3" t="s">
        <v>3592</v>
      </c>
      <c r="E855" s="3" t="s">
        <v>340</v>
      </c>
      <c r="F855" s="3">
        <v>9.99</v>
      </c>
      <c r="G855" s="3" t="s">
        <v>2572</v>
      </c>
      <c r="H855" s="3"/>
      <c r="I855" s="3" t="s">
        <v>2573</v>
      </c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>
        <v>0.08</v>
      </c>
      <c r="P855" s="3">
        <v>0</v>
      </c>
      <c r="Q855" s="3">
        <v>0</v>
      </c>
      <c r="R855" s="3">
        <v>0</v>
      </c>
    </row>
    <row r="856" spans="1:18">
      <c r="A856" s="3" t="s">
        <v>2522</v>
      </c>
      <c r="B856" s="3" t="s">
        <v>2523</v>
      </c>
      <c r="C856" s="3" t="s">
        <v>2524</v>
      </c>
      <c r="D856" s="3" t="s">
        <v>2525</v>
      </c>
      <c r="E856" s="3" t="s">
        <v>340</v>
      </c>
      <c r="F856" s="3">
        <v>39.99</v>
      </c>
      <c r="G856" s="3" t="s">
        <v>2572</v>
      </c>
      <c r="H856" s="3"/>
      <c r="I856" s="3" t="s">
        <v>2573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0.06</v>
      </c>
      <c r="P856" s="3">
        <v>0</v>
      </c>
      <c r="Q856" s="3">
        <v>0</v>
      </c>
      <c r="R856" s="3">
        <v>0</v>
      </c>
    </row>
    <row r="857" spans="1:18">
      <c r="A857" s="3" t="s">
        <v>3593</v>
      </c>
      <c r="B857" s="3" t="s">
        <v>3594</v>
      </c>
      <c r="C857" s="3" t="s">
        <v>3595</v>
      </c>
      <c r="D857" s="3" t="s">
        <v>3596</v>
      </c>
      <c r="E857" s="3" t="s">
        <v>340</v>
      </c>
      <c r="F857" s="3">
        <v>39.99</v>
      </c>
      <c r="G857" s="3" t="s">
        <v>2572</v>
      </c>
      <c r="H857" s="3"/>
      <c r="I857" s="3" t="s">
        <v>2573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0.06</v>
      </c>
      <c r="P857" s="3">
        <v>0</v>
      </c>
      <c r="Q857" s="3">
        <v>0</v>
      </c>
      <c r="R857" s="3">
        <v>0</v>
      </c>
    </row>
    <row r="858" spans="1:18">
      <c r="A858" s="3" t="s">
        <v>2504</v>
      </c>
      <c r="B858" s="3" t="s">
        <v>2505</v>
      </c>
      <c r="C858" s="3" t="s">
        <v>2506</v>
      </c>
      <c r="D858" s="3" t="s">
        <v>2507</v>
      </c>
      <c r="E858" s="3" t="s">
        <v>340</v>
      </c>
      <c r="F858" s="3">
        <v>39.99</v>
      </c>
      <c r="G858" s="3" t="s">
        <v>2572</v>
      </c>
      <c r="H858" s="3"/>
      <c r="I858" s="3" t="s">
        <v>2573</v>
      </c>
      <c r="J858" s="3">
        <v>6</v>
      </c>
      <c r="K858" s="3">
        <v>6</v>
      </c>
      <c r="L858" s="3">
        <v>0</v>
      </c>
      <c r="M858" s="3">
        <v>0</v>
      </c>
      <c r="N858" s="3">
        <v>6</v>
      </c>
      <c r="O858" s="3">
        <v>0.06</v>
      </c>
      <c r="P858" s="3">
        <v>0</v>
      </c>
      <c r="Q858" s="3">
        <v>0</v>
      </c>
      <c r="R858" s="3">
        <v>0</v>
      </c>
    </row>
    <row r="859" spans="1:18">
      <c r="A859" s="3" t="s">
        <v>1515</v>
      </c>
      <c r="B859" s="3" t="s">
        <v>1516</v>
      </c>
      <c r="C859" s="3" t="s">
        <v>1517</v>
      </c>
      <c r="D859" s="3" t="s">
        <v>1518</v>
      </c>
      <c r="E859" s="3" t="s">
        <v>340</v>
      </c>
      <c r="F859" s="3">
        <v>39.99</v>
      </c>
      <c r="G859" s="3" t="s">
        <v>2572</v>
      </c>
      <c r="H859" s="3"/>
      <c r="I859" s="3" t="s">
        <v>2573</v>
      </c>
      <c r="J859" s="3">
        <v>6</v>
      </c>
      <c r="K859" s="3">
        <v>6</v>
      </c>
      <c r="L859" s="3">
        <v>0</v>
      </c>
      <c r="M859" s="3">
        <v>0</v>
      </c>
      <c r="N859" s="3">
        <v>6</v>
      </c>
      <c r="O859" s="3">
        <v>0.06</v>
      </c>
      <c r="P859" s="3">
        <v>0</v>
      </c>
      <c r="Q859" s="3">
        <v>0</v>
      </c>
      <c r="R859" s="3">
        <v>0</v>
      </c>
    </row>
    <row r="860" spans="1:18">
      <c r="A860" s="3" t="s">
        <v>855</v>
      </c>
      <c r="B860" s="3" t="s">
        <v>856</v>
      </c>
      <c r="C860" s="3" t="s">
        <v>857</v>
      </c>
      <c r="D860" s="3" t="s">
        <v>858</v>
      </c>
      <c r="E860" s="3" t="s">
        <v>340</v>
      </c>
      <c r="F860" s="3">
        <v>39.99</v>
      </c>
      <c r="G860" s="3" t="s">
        <v>2572</v>
      </c>
      <c r="H860" s="3"/>
      <c r="I860" s="3" t="s">
        <v>2573</v>
      </c>
      <c r="J860" s="3">
        <v>4</v>
      </c>
      <c r="K860" s="3">
        <v>4</v>
      </c>
      <c r="L860" s="3">
        <v>0</v>
      </c>
      <c r="M860" s="3">
        <v>0</v>
      </c>
      <c r="N860" s="3">
        <v>4</v>
      </c>
      <c r="O860" s="3">
        <v>0.06</v>
      </c>
      <c r="P860" s="3">
        <v>0</v>
      </c>
      <c r="Q860" s="3">
        <v>0</v>
      </c>
      <c r="R860" s="3">
        <v>0</v>
      </c>
    </row>
    <row r="861" spans="1:18">
      <c r="A861" s="3" t="s">
        <v>1365</v>
      </c>
      <c r="B861" s="3" t="s">
        <v>1366</v>
      </c>
      <c r="C861" s="3" t="s">
        <v>1367</v>
      </c>
      <c r="D861" s="3" t="s">
        <v>1368</v>
      </c>
      <c r="E861" s="3" t="s">
        <v>340</v>
      </c>
      <c r="F861" s="3">
        <v>39.99</v>
      </c>
      <c r="G861" s="3" t="s">
        <v>2572</v>
      </c>
      <c r="H861" s="3"/>
      <c r="I861" s="3" t="s">
        <v>2573</v>
      </c>
      <c r="J861" s="3">
        <v>18</v>
      </c>
      <c r="K861" s="3">
        <v>18</v>
      </c>
      <c r="L861" s="3">
        <v>0</v>
      </c>
      <c r="M861" s="3">
        <v>0</v>
      </c>
      <c r="N861" s="3">
        <v>18</v>
      </c>
      <c r="O861" s="3">
        <v>0.06</v>
      </c>
      <c r="P861" s="3">
        <v>0</v>
      </c>
      <c r="Q861" s="3">
        <v>0</v>
      </c>
      <c r="R861" s="3">
        <v>0</v>
      </c>
    </row>
    <row r="862" spans="1:18">
      <c r="A862" s="3" t="s">
        <v>3597</v>
      </c>
      <c r="B862" s="3" t="s">
        <v>3598</v>
      </c>
      <c r="C862" s="3" t="s">
        <v>3599</v>
      </c>
      <c r="D862" s="3" t="s">
        <v>3600</v>
      </c>
      <c r="E862" s="3" t="s">
        <v>340</v>
      </c>
      <c r="F862" s="3">
        <v>29.99</v>
      </c>
      <c r="G862" s="3" t="s">
        <v>2572</v>
      </c>
      <c r="H862" s="3"/>
      <c r="I862" s="3" t="s">
        <v>2573</v>
      </c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>
        <v>0.05</v>
      </c>
      <c r="P862" s="3">
        <v>0</v>
      </c>
      <c r="Q862" s="3">
        <v>0</v>
      </c>
      <c r="R862" s="3">
        <v>0</v>
      </c>
    </row>
    <row r="863" spans="1:18">
      <c r="A863" s="3" t="s">
        <v>3601</v>
      </c>
      <c r="B863" s="3" t="s">
        <v>3602</v>
      </c>
      <c r="C863" s="3" t="s">
        <v>3603</v>
      </c>
      <c r="D863" s="3" t="s">
        <v>3604</v>
      </c>
      <c r="E863" s="3" t="s">
        <v>340</v>
      </c>
      <c r="F863" s="3">
        <v>29.99</v>
      </c>
      <c r="G863" s="3" t="s">
        <v>2572</v>
      </c>
      <c r="H863" s="3"/>
      <c r="I863" s="3" t="s">
        <v>2573</v>
      </c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>
        <v>0.05</v>
      </c>
      <c r="P863" s="3">
        <v>0</v>
      </c>
      <c r="Q863" s="3">
        <v>0</v>
      </c>
      <c r="R863" s="3">
        <v>0</v>
      </c>
    </row>
    <row r="864" spans="1:18">
      <c r="A864" s="3" t="s">
        <v>3605</v>
      </c>
      <c r="B864" s="3" t="s">
        <v>3606</v>
      </c>
      <c r="C864" s="3" t="s">
        <v>3607</v>
      </c>
      <c r="D864" s="3" t="s">
        <v>3608</v>
      </c>
      <c r="E864" s="3" t="s">
        <v>340</v>
      </c>
      <c r="F864" s="3">
        <v>29.99</v>
      </c>
      <c r="G864" s="3" t="s">
        <v>2572</v>
      </c>
      <c r="H864" s="3"/>
      <c r="I864" s="3" t="s">
        <v>2573</v>
      </c>
      <c r="J864" s="3">
        <v>1</v>
      </c>
      <c r="K864" s="3">
        <v>0</v>
      </c>
      <c r="L864" s="3">
        <v>1</v>
      </c>
      <c r="M864" s="3">
        <v>0</v>
      </c>
      <c r="N864" s="3">
        <v>1</v>
      </c>
      <c r="O864" s="3">
        <v>0.05</v>
      </c>
      <c r="P864" s="3">
        <v>0</v>
      </c>
      <c r="Q864" s="3">
        <v>0</v>
      </c>
      <c r="R864" s="3">
        <v>0</v>
      </c>
    </row>
    <row r="865" spans="1:18">
      <c r="A865" s="3" t="s">
        <v>214</v>
      </c>
      <c r="B865" s="3" t="s">
        <v>215</v>
      </c>
      <c r="C865" s="3" t="s">
        <v>216</v>
      </c>
      <c r="D865" s="3" t="s">
        <v>217</v>
      </c>
      <c r="E865" s="3" t="s">
        <v>340</v>
      </c>
      <c r="F865" s="3">
        <v>29.99</v>
      </c>
      <c r="G865" s="3" t="s">
        <v>2572</v>
      </c>
      <c r="H865" s="3"/>
      <c r="I865" s="3" t="s">
        <v>2573</v>
      </c>
      <c r="J865" s="3">
        <v>3</v>
      </c>
      <c r="K865" s="3">
        <v>0</v>
      </c>
      <c r="L865" s="3">
        <v>0</v>
      </c>
      <c r="M865" s="3">
        <v>3</v>
      </c>
      <c r="N865" s="3">
        <v>3</v>
      </c>
      <c r="O865" s="3">
        <v>0.05</v>
      </c>
      <c r="P865" s="3">
        <v>0</v>
      </c>
      <c r="Q865" s="3">
        <v>0</v>
      </c>
      <c r="R865" s="3">
        <v>0</v>
      </c>
    </row>
    <row r="866" spans="1:18">
      <c r="A866" s="3" t="s">
        <v>3609</v>
      </c>
      <c r="B866" s="3" t="s">
        <v>3610</v>
      </c>
      <c r="C866" s="3" t="s">
        <v>3611</v>
      </c>
      <c r="D866" s="3" t="s">
        <v>3608</v>
      </c>
      <c r="E866" s="3" t="s">
        <v>340</v>
      </c>
      <c r="F866" s="3">
        <v>29.99</v>
      </c>
      <c r="G866" s="3" t="s">
        <v>2572</v>
      </c>
      <c r="H866" s="3"/>
      <c r="I866" s="3" t="s">
        <v>2573</v>
      </c>
      <c r="J866" s="3">
        <v>1</v>
      </c>
      <c r="K866" s="3">
        <v>0</v>
      </c>
      <c r="L866" s="3">
        <v>1</v>
      </c>
      <c r="M866" s="3">
        <v>0</v>
      </c>
      <c r="N866" s="3">
        <v>1</v>
      </c>
      <c r="O866" s="3">
        <v>0.05</v>
      </c>
      <c r="P866" s="3">
        <v>0</v>
      </c>
      <c r="Q866" s="3">
        <v>0</v>
      </c>
      <c r="R866" s="3">
        <v>0</v>
      </c>
    </row>
    <row r="867" spans="1:18">
      <c r="A867" s="3" t="s">
        <v>3612</v>
      </c>
      <c r="B867" s="3" t="s">
        <v>3613</v>
      </c>
      <c r="C867" s="3" t="s">
        <v>3614</v>
      </c>
      <c r="D867" s="3" t="s">
        <v>3615</v>
      </c>
      <c r="E867" s="3" t="s">
        <v>340</v>
      </c>
      <c r="F867" s="3">
        <v>15.9</v>
      </c>
      <c r="G867" s="3" t="s">
        <v>2572</v>
      </c>
      <c r="H867" s="3"/>
      <c r="I867" s="3" t="s">
        <v>2573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</row>
    <row r="868" spans="1:18">
      <c r="A868" s="3" t="s">
        <v>3616</v>
      </c>
      <c r="B868" s="3" t="s">
        <v>3617</v>
      </c>
      <c r="C868" s="3" t="s">
        <v>3618</v>
      </c>
      <c r="D868" s="3" t="s">
        <v>1126</v>
      </c>
      <c r="E868" s="3" t="s">
        <v>340</v>
      </c>
      <c r="F868" s="3">
        <v>39.99</v>
      </c>
      <c r="G868" s="3" t="s">
        <v>2572</v>
      </c>
      <c r="H868" s="3"/>
      <c r="I868" s="3" t="s">
        <v>2573</v>
      </c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>
        <v>0.04</v>
      </c>
      <c r="P868" s="3">
        <v>0</v>
      </c>
      <c r="Q868" s="3">
        <v>0</v>
      </c>
      <c r="R868" s="3">
        <v>0</v>
      </c>
    </row>
    <row r="869" spans="1:18">
      <c r="A869" s="3" t="s">
        <v>665</v>
      </c>
      <c r="B869" s="3" t="s">
        <v>666</v>
      </c>
      <c r="C869" s="3" t="s">
        <v>667</v>
      </c>
      <c r="D869" s="3" t="s">
        <v>668</v>
      </c>
      <c r="E869" s="3" t="s">
        <v>340</v>
      </c>
      <c r="F869" s="3">
        <v>39.99</v>
      </c>
      <c r="G869" s="3" t="s">
        <v>2572</v>
      </c>
      <c r="H869" s="3"/>
      <c r="I869" s="3" t="s">
        <v>2573</v>
      </c>
      <c r="J869" s="3">
        <v>1</v>
      </c>
      <c r="K869" s="3">
        <v>1</v>
      </c>
      <c r="L869" s="3">
        <v>0</v>
      </c>
      <c r="M869" s="3">
        <v>0</v>
      </c>
      <c r="N869" s="3">
        <v>1</v>
      </c>
      <c r="O869" s="3">
        <v>0.08</v>
      </c>
      <c r="P869" s="3">
        <v>0</v>
      </c>
      <c r="Q869" s="3">
        <v>0</v>
      </c>
      <c r="R869" s="3">
        <v>0</v>
      </c>
    </row>
    <row r="870" spans="1:18">
      <c r="A870" s="3" t="s">
        <v>3619</v>
      </c>
      <c r="B870" s="3" t="s">
        <v>3620</v>
      </c>
      <c r="C870" s="3" t="s">
        <v>3621</v>
      </c>
      <c r="D870" s="3" t="s">
        <v>1126</v>
      </c>
      <c r="E870" s="3" t="s">
        <v>340</v>
      </c>
      <c r="F870" s="3">
        <v>39.99</v>
      </c>
      <c r="G870" s="3" t="s">
        <v>2572</v>
      </c>
      <c r="H870" s="3"/>
      <c r="I870" s="3" t="s">
        <v>2573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0.08</v>
      </c>
      <c r="P870" s="3">
        <v>0</v>
      </c>
      <c r="Q870" s="3">
        <v>0</v>
      </c>
      <c r="R870" s="3">
        <v>0</v>
      </c>
    </row>
    <row r="871" spans="1:18">
      <c r="A871" s="3" t="s">
        <v>2082</v>
      </c>
      <c r="B871" s="3" t="s">
        <v>2083</v>
      </c>
      <c r="C871" s="3" t="s">
        <v>2084</v>
      </c>
      <c r="D871" s="3" t="s">
        <v>668</v>
      </c>
      <c r="E871" s="3" t="s">
        <v>340</v>
      </c>
      <c r="F871" s="3">
        <v>39.99</v>
      </c>
      <c r="G871" s="3" t="s">
        <v>2572</v>
      </c>
      <c r="H871" s="3"/>
      <c r="I871" s="3" t="s">
        <v>2573</v>
      </c>
      <c r="J871" s="3">
        <v>1</v>
      </c>
      <c r="K871" s="3">
        <v>1</v>
      </c>
      <c r="L871" s="3">
        <v>0</v>
      </c>
      <c r="M871" s="3">
        <v>0</v>
      </c>
      <c r="N871" s="3">
        <v>1</v>
      </c>
      <c r="O871" s="3">
        <v>0.07</v>
      </c>
      <c r="P871" s="3">
        <v>0</v>
      </c>
      <c r="Q871" s="3">
        <v>0</v>
      </c>
      <c r="R871" s="3">
        <v>0</v>
      </c>
    </row>
    <row r="872" spans="1:18">
      <c r="A872" s="3" t="s">
        <v>1123</v>
      </c>
      <c r="B872" s="3" t="s">
        <v>1124</v>
      </c>
      <c r="C872" s="3" t="s">
        <v>1125</v>
      </c>
      <c r="D872" s="3" t="s">
        <v>1126</v>
      </c>
      <c r="E872" s="3" t="s">
        <v>340</v>
      </c>
      <c r="F872" s="3">
        <v>39.99</v>
      </c>
      <c r="G872" s="3" t="s">
        <v>2572</v>
      </c>
      <c r="H872" s="3"/>
      <c r="I872" s="3" t="s">
        <v>2573</v>
      </c>
      <c r="J872" s="3">
        <v>1</v>
      </c>
      <c r="K872" s="3">
        <v>1</v>
      </c>
      <c r="L872" s="3">
        <v>0</v>
      </c>
      <c r="M872" s="3">
        <v>0</v>
      </c>
      <c r="N872" s="3">
        <v>1</v>
      </c>
      <c r="O872" s="3">
        <v>0.05</v>
      </c>
      <c r="P872" s="3">
        <v>0</v>
      </c>
      <c r="Q872" s="3">
        <v>0</v>
      </c>
      <c r="R872" s="3">
        <v>0</v>
      </c>
    </row>
    <row r="873" spans="1:18">
      <c r="A873" s="3" t="s">
        <v>3622</v>
      </c>
      <c r="B873" s="3" t="s">
        <v>3623</v>
      </c>
      <c r="C873" s="3" t="s">
        <v>3189</v>
      </c>
      <c r="D873" s="3" t="s">
        <v>3624</v>
      </c>
      <c r="E873" s="3" t="s">
        <v>340</v>
      </c>
      <c r="F873" s="3">
        <v>39.99</v>
      </c>
      <c r="G873" s="3" t="s">
        <v>2572</v>
      </c>
      <c r="H873" s="3"/>
      <c r="I873" s="3" t="s">
        <v>2573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0.07</v>
      </c>
      <c r="P873" s="3">
        <v>0</v>
      </c>
      <c r="Q873" s="3">
        <v>0</v>
      </c>
      <c r="R873" s="3">
        <v>0</v>
      </c>
    </row>
    <row r="874" spans="1:18">
      <c r="A874" s="3" t="s">
        <v>3625</v>
      </c>
      <c r="B874" s="3" t="s">
        <v>3626</v>
      </c>
      <c r="C874" s="3" t="s">
        <v>3627</v>
      </c>
      <c r="D874" s="3" t="s">
        <v>1126</v>
      </c>
      <c r="E874" s="3" t="s">
        <v>340</v>
      </c>
      <c r="F874" s="3">
        <v>39.99</v>
      </c>
      <c r="G874" s="3" t="s">
        <v>2572</v>
      </c>
      <c r="H874" s="3"/>
      <c r="I874" s="3" t="s">
        <v>2573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0.05</v>
      </c>
      <c r="P874" s="3">
        <v>0</v>
      </c>
      <c r="Q874" s="3">
        <v>0</v>
      </c>
      <c r="R874" s="3">
        <v>0</v>
      </c>
    </row>
    <row r="875" spans="1:18">
      <c r="A875" s="3" t="s">
        <v>3628</v>
      </c>
      <c r="B875" s="3" t="s">
        <v>3629</v>
      </c>
      <c r="C875" s="3" t="s">
        <v>3630</v>
      </c>
      <c r="D875" s="3" t="s">
        <v>516</v>
      </c>
      <c r="E875" s="3" t="s">
        <v>340</v>
      </c>
      <c r="F875" s="3">
        <v>39.99</v>
      </c>
      <c r="G875" s="3" t="s">
        <v>2572</v>
      </c>
      <c r="H875" s="3"/>
      <c r="I875" s="3" t="s">
        <v>2573</v>
      </c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>
        <v>0.08</v>
      </c>
      <c r="P875" s="3">
        <v>0</v>
      </c>
      <c r="Q875" s="3">
        <v>0</v>
      </c>
      <c r="R875" s="3">
        <v>0</v>
      </c>
    </row>
    <row r="876" spans="1:18">
      <c r="A876" s="3" t="s">
        <v>519</v>
      </c>
      <c r="B876" s="3" t="s">
        <v>520</v>
      </c>
      <c r="C876" s="3" t="s">
        <v>521</v>
      </c>
      <c r="D876" s="3" t="s">
        <v>516</v>
      </c>
      <c r="E876" s="3" t="s">
        <v>340</v>
      </c>
      <c r="F876" s="3">
        <v>39.99</v>
      </c>
      <c r="G876" s="3" t="s">
        <v>2572</v>
      </c>
      <c r="H876" s="3"/>
      <c r="I876" s="3" t="s">
        <v>2573</v>
      </c>
      <c r="J876" s="3">
        <v>1</v>
      </c>
      <c r="K876" s="3">
        <v>1</v>
      </c>
      <c r="L876" s="3">
        <v>0</v>
      </c>
      <c r="M876" s="3">
        <v>0</v>
      </c>
      <c r="N876" s="3">
        <v>1</v>
      </c>
      <c r="O876" s="3">
        <v>0.08</v>
      </c>
      <c r="P876" s="3">
        <v>0</v>
      </c>
      <c r="Q876" s="3">
        <v>0</v>
      </c>
      <c r="R876" s="3">
        <v>0</v>
      </c>
    </row>
    <row r="877" spans="1:18">
      <c r="A877" s="3" t="s">
        <v>540</v>
      </c>
      <c r="B877" s="3" t="s">
        <v>541</v>
      </c>
      <c r="C877" s="3" t="s">
        <v>542</v>
      </c>
      <c r="D877" s="3" t="s">
        <v>516</v>
      </c>
      <c r="E877" s="3" t="s">
        <v>340</v>
      </c>
      <c r="F877" s="3">
        <v>39.99</v>
      </c>
      <c r="G877" s="3" t="s">
        <v>2572</v>
      </c>
      <c r="H877" s="3"/>
      <c r="I877" s="3" t="s">
        <v>2573</v>
      </c>
      <c r="J877" s="3">
        <v>1</v>
      </c>
      <c r="K877" s="3">
        <v>1</v>
      </c>
      <c r="L877" s="3">
        <v>0</v>
      </c>
      <c r="M877" s="3">
        <v>0</v>
      </c>
      <c r="N877" s="3">
        <v>1</v>
      </c>
      <c r="O877" s="3">
        <v>0.08</v>
      </c>
      <c r="P877" s="3">
        <v>0</v>
      </c>
      <c r="Q877" s="3">
        <v>0</v>
      </c>
      <c r="R877" s="3">
        <v>0</v>
      </c>
    </row>
    <row r="878" spans="1:18">
      <c r="A878" s="3" t="s">
        <v>1654</v>
      </c>
      <c r="B878" s="3" t="s">
        <v>1655</v>
      </c>
      <c r="C878" s="3" t="s">
        <v>1656</v>
      </c>
      <c r="D878" s="3" t="s">
        <v>1657</v>
      </c>
      <c r="E878" s="3" t="s">
        <v>340</v>
      </c>
      <c r="F878" s="3">
        <v>39.99</v>
      </c>
      <c r="G878" s="3" t="s">
        <v>2572</v>
      </c>
      <c r="H878" s="3"/>
      <c r="I878" s="3" t="s">
        <v>2573</v>
      </c>
      <c r="J878" s="3">
        <v>1</v>
      </c>
      <c r="K878" s="3">
        <v>1</v>
      </c>
      <c r="L878" s="3">
        <v>0</v>
      </c>
      <c r="M878" s="3">
        <v>0</v>
      </c>
      <c r="N878" s="3">
        <v>1</v>
      </c>
      <c r="O878" s="3">
        <v>0.08</v>
      </c>
      <c r="P878" s="3">
        <v>0</v>
      </c>
      <c r="Q878" s="3">
        <v>0</v>
      </c>
      <c r="R878" s="3">
        <v>0</v>
      </c>
    </row>
    <row r="879" spans="1:18">
      <c r="A879" s="3" t="s">
        <v>3631</v>
      </c>
      <c r="B879" s="3" t="s">
        <v>3632</v>
      </c>
      <c r="C879" s="3" t="s">
        <v>3633</v>
      </c>
      <c r="D879" s="3" t="s">
        <v>516</v>
      </c>
      <c r="E879" s="3" t="s">
        <v>340</v>
      </c>
      <c r="F879" s="3">
        <v>39.99</v>
      </c>
      <c r="G879" s="3" t="s">
        <v>2572</v>
      </c>
      <c r="H879" s="3"/>
      <c r="I879" s="3" t="s">
        <v>2573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0.08</v>
      </c>
      <c r="P879" s="3">
        <v>0</v>
      </c>
      <c r="Q879" s="3">
        <v>0</v>
      </c>
      <c r="R879" s="3">
        <v>0</v>
      </c>
    </row>
    <row r="880" spans="1:18">
      <c r="A880" s="3" t="s">
        <v>3634</v>
      </c>
      <c r="B880" s="3" t="s">
        <v>3635</v>
      </c>
      <c r="C880" s="3" t="s">
        <v>3636</v>
      </c>
      <c r="D880" s="3" t="s">
        <v>516</v>
      </c>
      <c r="E880" s="3" t="s">
        <v>340</v>
      </c>
      <c r="F880" s="3">
        <v>39.99</v>
      </c>
      <c r="G880" s="3" t="s">
        <v>2572</v>
      </c>
      <c r="H880" s="3"/>
      <c r="I880" s="3" t="s">
        <v>2573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0.08</v>
      </c>
      <c r="P880" s="3">
        <v>0</v>
      </c>
      <c r="Q880" s="3">
        <v>0</v>
      </c>
      <c r="R880" s="3">
        <v>0</v>
      </c>
    </row>
    <row r="881" spans="1:18">
      <c r="A881" s="3" t="s">
        <v>3637</v>
      </c>
      <c r="B881" s="3" t="s">
        <v>3638</v>
      </c>
      <c r="C881" s="3" t="s">
        <v>3639</v>
      </c>
      <c r="D881" s="3" t="s">
        <v>516</v>
      </c>
      <c r="E881" s="3" t="s">
        <v>340</v>
      </c>
      <c r="F881" s="3">
        <v>39.99</v>
      </c>
      <c r="G881" s="3" t="s">
        <v>2572</v>
      </c>
      <c r="H881" s="3"/>
      <c r="I881" s="3" t="s">
        <v>2573</v>
      </c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>
        <v>0.08</v>
      </c>
      <c r="P881" s="3">
        <v>0</v>
      </c>
      <c r="Q881" s="3">
        <v>0</v>
      </c>
      <c r="R881" s="3">
        <v>0</v>
      </c>
    </row>
    <row r="882" spans="1:18">
      <c r="A882" s="3" t="s">
        <v>3640</v>
      </c>
      <c r="B882" s="3" t="s">
        <v>3641</v>
      </c>
      <c r="C882" s="3" t="s">
        <v>3642</v>
      </c>
      <c r="D882" s="3" t="s">
        <v>516</v>
      </c>
      <c r="E882" s="3" t="s">
        <v>340</v>
      </c>
      <c r="F882" s="3">
        <v>39.99</v>
      </c>
      <c r="G882" s="3" t="s">
        <v>2572</v>
      </c>
      <c r="H882" s="3"/>
      <c r="I882" s="3" t="s">
        <v>2573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0.08</v>
      </c>
      <c r="P882" s="3">
        <v>0</v>
      </c>
      <c r="Q882" s="3">
        <v>0</v>
      </c>
      <c r="R882" s="3">
        <v>0</v>
      </c>
    </row>
    <row r="883" spans="1:18">
      <c r="A883" s="3" t="s">
        <v>3643</v>
      </c>
      <c r="B883" s="3" t="s">
        <v>3644</v>
      </c>
      <c r="C883" s="3" t="s">
        <v>3645</v>
      </c>
      <c r="D883" s="3" t="s">
        <v>516</v>
      </c>
      <c r="E883" s="3" t="s">
        <v>340</v>
      </c>
      <c r="F883" s="3">
        <v>39.99</v>
      </c>
      <c r="G883" s="3" t="s">
        <v>2572</v>
      </c>
      <c r="H883" s="3"/>
      <c r="I883" s="3" t="s">
        <v>2573</v>
      </c>
      <c r="J883" s="3">
        <v>1</v>
      </c>
      <c r="K883" s="3">
        <v>0</v>
      </c>
      <c r="L883" s="3">
        <v>1</v>
      </c>
      <c r="M883" s="3">
        <v>0</v>
      </c>
      <c r="N883" s="3">
        <v>1</v>
      </c>
      <c r="O883" s="3">
        <v>0.08</v>
      </c>
      <c r="P883" s="3">
        <v>0</v>
      </c>
      <c r="Q883" s="3">
        <v>0</v>
      </c>
      <c r="R883" s="3">
        <v>0</v>
      </c>
    </row>
    <row r="884" spans="1:18">
      <c r="A884" s="3" t="s">
        <v>3646</v>
      </c>
      <c r="B884" s="3" t="s">
        <v>3647</v>
      </c>
      <c r="C884" s="3" t="s">
        <v>3648</v>
      </c>
      <c r="D884" s="3" t="s">
        <v>516</v>
      </c>
      <c r="E884" s="3" t="s">
        <v>340</v>
      </c>
      <c r="F884" s="3">
        <v>39.99</v>
      </c>
      <c r="G884" s="3" t="s">
        <v>2572</v>
      </c>
      <c r="H884" s="3"/>
      <c r="I884" s="3" t="s">
        <v>2573</v>
      </c>
      <c r="J884" s="3">
        <v>1</v>
      </c>
      <c r="K884" s="3">
        <v>0</v>
      </c>
      <c r="L884" s="3">
        <v>1</v>
      </c>
      <c r="M884" s="3">
        <v>0</v>
      </c>
      <c r="N884" s="3">
        <v>1</v>
      </c>
      <c r="O884" s="3">
        <v>0.08</v>
      </c>
      <c r="P884" s="3">
        <v>0</v>
      </c>
      <c r="Q884" s="3">
        <v>0</v>
      </c>
      <c r="R884" s="3">
        <v>0</v>
      </c>
    </row>
    <row r="885" spans="1:18">
      <c r="A885" s="3" t="s">
        <v>3649</v>
      </c>
      <c r="B885" s="3" t="s">
        <v>3650</v>
      </c>
      <c r="C885" s="3" t="s">
        <v>3651</v>
      </c>
      <c r="D885" s="3" t="s">
        <v>1657</v>
      </c>
      <c r="E885" s="3" t="s">
        <v>340</v>
      </c>
      <c r="F885" s="3">
        <v>39.99</v>
      </c>
      <c r="G885" s="3" t="s">
        <v>2572</v>
      </c>
      <c r="H885" s="3"/>
      <c r="I885" s="3" t="s">
        <v>2573</v>
      </c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>
        <v>0.08</v>
      </c>
      <c r="P885" s="3">
        <v>0</v>
      </c>
      <c r="Q885" s="3">
        <v>0</v>
      </c>
      <c r="R885" s="3">
        <v>0</v>
      </c>
    </row>
    <row r="886" spans="1:18">
      <c r="A886" s="3" t="s">
        <v>1635</v>
      </c>
      <c r="B886" s="3" t="s">
        <v>1636</v>
      </c>
      <c r="C886" s="3" t="s">
        <v>1637</v>
      </c>
      <c r="D886" s="3" t="s">
        <v>516</v>
      </c>
      <c r="E886" s="3" t="s">
        <v>340</v>
      </c>
      <c r="F886" s="3">
        <v>39.99</v>
      </c>
      <c r="G886" s="3" t="s">
        <v>2572</v>
      </c>
      <c r="H886" s="3"/>
      <c r="I886" s="3" t="s">
        <v>2573</v>
      </c>
      <c r="J886" s="3">
        <v>2</v>
      </c>
      <c r="K886" s="3">
        <v>2</v>
      </c>
      <c r="L886" s="3">
        <v>0</v>
      </c>
      <c r="M886" s="3">
        <v>0</v>
      </c>
      <c r="N886" s="3">
        <v>2</v>
      </c>
      <c r="O886" s="3">
        <v>0.08</v>
      </c>
      <c r="P886" s="3">
        <v>0</v>
      </c>
      <c r="Q886" s="3">
        <v>0</v>
      </c>
      <c r="R886" s="3">
        <v>0</v>
      </c>
    </row>
    <row r="887" spans="1:18">
      <c r="A887" s="3" t="s">
        <v>3652</v>
      </c>
      <c r="B887" s="3" t="s">
        <v>3653</v>
      </c>
      <c r="C887" s="3" t="s">
        <v>3654</v>
      </c>
      <c r="D887" s="3" t="s">
        <v>516</v>
      </c>
      <c r="E887" s="3" t="s">
        <v>340</v>
      </c>
      <c r="F887" s="3">
        <v>39.99</v>
      </c>
      <c r="G887" s="3" t="s">
        <v>2572</v>
      </c>
      <c r="H887" s="3"/>
      <c r="I887" s="3" t="s">
        <v>2573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0.08</v>
      </c>
      <c r="P887" s="3">
        <v>0</v>
      </c>
      <c r="Q887" s="3">
        <v>0</v>
      </c>
      <c r="R887" s="3">
        <v>0</v>
      </c>
    </row>
    <row r="888" spans="1:18">
      <c r="A888" s="3" t="s">
        <v>513</v>
      </c>
      <c r="B888" s="3" t="s">
        <v>514</v>
      </c>
      <c r="C888" s="3" t="s">
        <v>515</v>
      </c>
      <c r="D888" s="3" t="s">
        <v>516</v>
      </c>
      <c r="E888" s="3" t="s">
        <v>340</v>
      </c>
      <c r="F888" s="3">
        <v>39.99</v>
      </c>
      <c r="G888" s="3" t="s">
        <v>2572</v>
      </c>
      <c r="H888" s="3"/>
      <c r="I888" s="3" t="s">
        <v>2573</v>
      </c>
      <c r="J888" s="3">
        <v>2</v>
      </c>
      <c r="K888" s="3">
        <v>2</v>
      </c>
      <c r="L888" s="3">
        <v>0</v>
      </c>
      <c r="M888" s="3">
        <v>0</v>
      </c>
      <c r="N888" s="3">
        <v>2</v>
      </c>
      <c r="O888" s="3">
        <v>0.08</v>
      </c>
      <c r="P888" s="3">
        <v>0</v>
      </c>
      <c r="Q888" s="3">
        <v>0</v>
      </c>
      <c r="R888" s="3">
        <v>0</v>
      </c>
    </row>
    <row r="889" spans="1:18">
      <c r="A889" s="3" t="s">
        <v>3655</v>
      </c>
      <c r="B889" s="3" t="s">
        <v>3656</v>
      </c>
      <c r="C889" s="3" t="s">
        <v>3657</v>
      </c>
      <c r="D889" s="3" t="s">
        <v>1150</v>
      </c>
      <c r="E889" s="3" t="s">
        <v>340</v>
      </c>
      <c r="F889" s="3">
        <v>39.99</v>
      </c>
      <c r="G889" s="3" t="s">
        <v>2572</v>
      </c>
      <c r="H889" s="3"/>
      <c r="I889" s="3" t="s">
        <v>2573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0.06</v>
      </c>
      <c r="P889" s="3">
        <v>0</v>
      </c>
      <c r="Q889" s="3">
        <v>0</v>
      </c>
      <c r="R889" s="3">
        <v>0</v>
      </c>
    </row>
    <row r="890" spans="1:18">
      <c r="A890" s="3" t="s">
        <v>3658</v>
      </c>
      <c r="B890" s="3" t="s">
        <v>3659</v>
      </c>
      <c r="C890" s="3" t="s">
        <v>3660</v>
      </c>
      <c r="D890" s="3" t="s">
        <v>1150</v>
      </c>
      <c r="E890" s="3" t="s">
        <v>340</v>
      </c>
      <c r="F890" s="3">
        <v>39.99</v>
      </c>
      <c r="G890" s="3" t="s">
        <v>2572</v>
      </c>
      <c r="H890" s="3"/>
      <c r="I890" s="3" t="s">
        <v>2573</v>
      </c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>
        <v>0.06</v>
      </c>
      <c r="P890" s="3">
        <v>0</v>
      </c>
      <c r="Q890" s="3">
        <v>0</v>
      </c>
      <c r="R890" s="3">
        <v>0</v>
      </c>
    </row>
    <row r="891" spans="1:18">
      <c r="A891" s="3" t="s">
        <v>3661</v>
      </c>
      <c r="B891" s="3" t="s">
        <v>3662</v>
      </c>
      <c r="C891" s="3" t="s">
        <v>3663</v>
      </c>
      <c r="D891" s="3" t="s">
        <v>1150</v>
      </c>
      <c r="E891" s="3" t="s">
        <v>340</v>
      </c>
      <c r="F891" s="3">
        <v>39.99</v>
      </c>
      <c r="G891" s="3" t="s">
        <v>2572</v>
      </c>
      <c r="H891" s="3"/>
      <c r="I891" s="3" t="s">
        <v>2573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0.06</v>
      </c>
      <c r="P891" s="3">
        <v>0</v>
      </c>
      <c r="Q891" s="3">
        <v>0</v>
      </c>
      <c r="R891" s="3">
        <v>0</v>
      </c>
    </row>
    <row r="892" spans="1:18">
      <c r="A892" s="3" t="s">
        <v>1147</v>
      </c>
      <c r="B892" s="3" t="s">
        <v>1148</v>
      </c>
      <c r="C892" s="3" t="s">
        <v>1149</v>
      </c>
      <c r="D892" s="3" t="s">
        <v>1150</v>
      </c>
      <c r="E892" s="3" t="s">
        <v>340</v>
      </c>
      <c r="F892" s="3">
        <v>39.99</v>
      </c>
      <c r="G892" s="3" t="s">
        <v>2572</v>
      </c>
      <c r="H892" s="3"/>
      <c r="I892" s="3" t="s">
        <v>2573</v>
      </c>
      <c r="J892" s="3">
        <v>2</v>
      </c>
      <c r="K892" s="3">
        <v>1</v>
      </c>
      <c r="L892" s="3">
        <v>1</v>
      </c>
      <c r="M892" s="3">
        <v>0</v>
      </c>
      <c r="N892" s="3">
        <v>2</v>
      </c>
      <c r="O892" s="3">
        <v>0.06</v>
      </c>
      <c r="P892" s="3">
        <v>0</v>
      </c>
      <c r="Q892" s="3">
        <v>0</v>
      </c>
      <c r="R892" s="3">
        <v>0</v>
      </c>
    </row>
    <row r="893" spans="1:18">
      <c r="A893" s="3" t="s">
        <v>3664</v>
      </c>
      <c r="B893" s="3" t="s">
        <v>3665</v>
      </c>
      <c r="C893" s="3" t="s">
        <v>3666</v>
      </c>
      <c r="D893" s="3" t="s">
        <v>1150</v>
      </c>
      <c r="E893" s="3" t="s">
        <v>340</v>
      </c>
      <c r="F893" s="3">
        <v>39.99</v>
      </c>
      <c r="G893" s="3" t="s">
        <v>2572</v>
      </c>
      <c r="H893" s="3"/>
      <c r="I893" s="3" t="s">
        <v>2573</v>
      </c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>
        <v>0.06</v>
      </c>
      <c r="P893" s="3">
        <v>0</v>
      </c>
      <c r="Q893" s="3">
        <v>0</v>
      </c>
      <c r="R893" s="3">
        <v>0</v>
      </c>
    </row>
    <row r="894" spans="1:18">
      <c r="A894" s="3" t="s">
        <v>3667</v>
      </c>
      <c r="B894" s="3" t="s">
        <v>3668</v>
      </c>
      <c r="C894" s="3" t="s">
        <v>3669</v>
      </c>
      <c r="D894" s="3" t="s">
        <v>656</v>
      </c>
      <c r="E894" s="3" t="s">
        <v>340</v>
      </c>
      <c r="F894" s="3">
        <v>39.99</v>
      </c>
      <c r="G894" s="3" t="s">
        <v>2572</v>
      </c>
      <c r="H894" s="3"/>
      <c r="I894" s="3" t="s">
        <v>2573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0.09</v>
      </c>
      <c r="P894" s="3">
        <v>0</v>
      </c>
      <c r="Q894" s="3">
        <v>0</v>
      </c>
      <c r="R894" s="3">
        <v>0</v>
      </c>
    </row>
    <row r="895" spans="1:18">
      <c r="A895" s="3" t="s">
        <v>653</v>
      </c>
      <c r="B895" s="3" t="s">
        <v>654</v>
      </c>
      <c r="C895" s="3" t="s">
        <v>655</v>
      </c>
      <c r="D895" s="3" t="s">
        <v>656</v>
      </c>
      <c r="E895" s="3" t="s">
        <v>340</v>
      </c>
      <c r="F895" s="3">
        <v>39.99</v>
      </c>
      <c r="G895" s="3" t="s">
        <v>2572</v>
      </c>
      <c r="H895" s="3"/>
      <c r="I895" s="3" t="s">
        <v>2573</v>
      </c>
      <c r="J895" s="3">
        <v>1</v>
      </c>
      <c r="K895" s="3">
        <v>1</v>
      </c>
      <c r="L895" s="3">
        <v>0</v>
      </c>
      <c r="M895" s="3">
        <v>0</v>
      </c>
      <c r="N895" s="3">
        <v>1</v>
      </c>
      <c r="O895" s="3">
        <v>0.09</v>
      </c>
      <c r="P895" s="3">
        <v>0</v>
      </c>
      <c r="Q895" s="3">
        <v>0</v>
      </c>
      <c r="R895" s="3">
        <v>0</v>
      </c>
    </row>
    <row r="896" spans="1:18">
      <c r="A896" s="3" t="s">
        <v>1094</v>
      </c>
      <c r="B896" s="3" t="s">
        <v>1095</v>
      </c>
      <c r="C896" s="3" t="s">
        <v>1096</v>
      </c>
      <c r="D896" s="3" t="s">
        <v>656</v>
      </c>
      <c r="E896" s="3" t="s">
        <v>340</v>
      </c>
      <c r="F896" s="3">
        <v>39.99</v>
      </c>
      <c r="G896" s="3" t="s">
        <v>2572</v>
      </c>
      <c r="H896" s="3"/>
      <c r="I896" s="3" t="s">
        <v>2573</v>
      </c>
      <c r="J896" s="3">
        <v>4</v>
      </c>
      <c r="K896" s="3">
        <v>4</v>
      </c>
      <c r="L896" s="3">
        <v>0</v>
      </c>
      <c r="M896" s="3">
        <v>0</v>
      </c>
      <c r="N896" s="3">
        <v>4</v>
      </c>
      <c r="O896" s="3">
        <v>0.09</v>
      </c>
      <c r="P896" s="3">
        <v>0</v>
      </c>
      <c r="Q896" s="3">
        <v>0</v>
      </c>
      <c r="R896" s="3">
        <v>0</v>
      </c>
    </row>
    <row r="897" spans="1:18">
      <c r="A897" s="3" t="s">
        <v>2178</v>
      </c>
      <c r="B897" s="3" t="s">
        <v>2179</v>
      </c>
      <c r="C897" s="3" t="s">
        <v>2180</v>
      </c>
      <c r="D897" s="3" t="s">
        <v>2181</v>
      </c>
      <c r="E897" s="3" t="s">
        <v>340</v>
      </c>
      <c r="F897" s="3">
        <v>39.99</v>
      </c>
      <c r="G897" s="3" t="s">
        <v>2572</v>
      </c>
      <c r="H897" s="3"/>
      <c r="I897" s="3" t="s">
        <v>2573</v>
      </c>
      <c r="J897" s="3">
        <v>1</v>
      </c>
      <c r="K897" s="3">
        <v>1</v>
      </c>
      <c r="L897" s="3">
        <v>0</v>
      </c>
      <c r="M897" s="3">
        <v>0</v>
      </c>
      <c r="N897" s="3">
        <v>1</v>
      </c>
      <c r="O897" s="3">
        <v>0.14</v>
      </c>
      <c r="P897" s="3">
        <v>0</v>
      </c>
      <c r="Q897" s="3">
        <v>0</v>
      </c>
      <c r="R897" s="3">
        <v>0</v>
      </c>
    </row>
    <row r="898" spans="1:18">
      <c r="A898" s="3" t="s">
        <v>3670</v>
      </c>
      <c r="B898" s="3" t="s">
        <v>3671</v>
      </c>
      <c r="C898" s="3" t="s">
        <v>3672</v>
      </c>
      <c r="D898" s="3" t="s">
        <v>2181</v>
      </c>
      <c r="E898" s="3" t="s">
        <v>340</v>
      </c>
      <c r="F898" s="3">
        <v>39.99</v>
      </c>
      <c r="G898" s="3" t="s">
        <v>2572</v>
      </c>
      <c r="H898" s="3"/>
      <c r="I898" s="3" t="s">
        <v>2573</v>
      </c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>
        <v>0.14</v>
      </c>
      <c r="P898" s="3">
        <v>0</v>
      </c>
      <c r="Q898" s="3">
        <v>0</v>
      </c>
      <c r="R898" s="3">
        <v>0</v>
      </c>
    </row>
    <row r="899" spans="1:18">
      <c r="A899" s="3" t="s">
        <v>3673</v>
      </c>
      <c r="B899" s="3" t="s">
        <v>3674</v>
      </c>
      <c r="C899" s="3" t="s">
        <v>3675</v>
      </c>
      <c r="D899" s="3" t="s">
        <v>3676</v>
      </c>
      <c r="E899" s="3" t="s">
        <v>340</v>
      </c>
      <c r="F899" s="3">
        <v>39.99</v>
      </c>
      <c r="G899" s="3" t="s">
        <v>2572</v>
      </c>
      <c r="H899" s="3"/>
      <c r="I899" s="3" t="s">
        <v>2573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0.06</v>
      </c>
      <c r="P899" s="3">
        <v>0</v>
      </c>
      <c r="Q899" s="3">
        <v>0</v>
      </c>
      <c r="R899" s="3">
        <v>0</v>
      </c>
    </row>
    <row r="900" spans="1:18">
      <c r="A900" s="3" t="s">
        <v>3677</v>
      </c>
      <c r="B900" s="3" t="s">
        <v>3678</v>
      </c>
      <c r="C900" s="3" t="s">
        <v>3679</v>
      </c>
      <c r="D900" s="3" t="s">
        <v>3676</v>
      </c>
      <c r="E900" s="3" t="s">
        <v>340</v>
      </c>
      <c r="F900" s="3">
        <v>39.99</v>
      </c>
      <c r="G900" s="3" t="s">
        <v>2572</v>
      </c>
      <c r="H900" s="3"/>
      <c r="I900" s="3" t="s">
        <v>2573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0.06</v>
      </c>
      <c r="P900" s="3">
        <v>0</v>
      </c>
      <c r="Q900" s="3">
        <v>0</v>
      </c>
      <c r="R900" s="3">
        <v>0</v>
      </c>
    </row>
    <row r="901" spans="1:18">
      <c r="A901" s="3" t="s">
        <v>1142</v>
      </c>
      <c r="B901" s="3" t="s">
        <v>1143</v>
      </c>
      <c r="C901" s="3" t="s">
        <v>1144</v>
      </c>
      <c r="D901" s="3" t="s">
        <v>1145</v>
      </c>
      <c r="E901" s="3" t="s">
        <v>340</v>
      </c>
      <c r="F901" s="3">
        <v>39.99</v>
      </c>
      <c r="G901" s="3" t="s">
        <v>2572</v>
      </c>
      <c r="H901" s="3"/>
      <c r="I901" s="3" t="s">
        <v>2573</v>
      </c>
      <c r="J901" s="3">
        <v>3</v>
      </c>
      <c r="K901" s="3">
        <v>3</v>
      </c>
      <c r="L901" s="3">
        <v>0</v>
      </c>
      <c r="M901" s="3">
        <v>0</v>
      </c>
      <c r="N901" s="3">
        <v>3</v>
      </c>
      <c r="O901" s="3">
        <v>0.06</v>
      </c>
      <c r="P901" s="3">
        <v>0</v>
      </c>
      <c r="Q901" s="3">
        <v>0</v>
      </c>
      <c r="R901" s="3">
        <v>0</v>
      </c>
    </row>
    <row r="902" spans="1:18">
      <c r="A902" s="3" t="s">
        <v>3680</v>
      </c>
      <c r="B902" s="3" t="s">
        <v>3681</v>
      </c>
      <c r="C902" s="3" t="s">
        <v>3682</v>
      </c>
      <c r="D902" s="3" t="s">
        <v>401</v>
      </c>
      <c r="E902" s="3" t="s">
        <v>340</v>
      </c>
      <c r="F902" s="3">
        <v>39.99</v>
      </c>
      <c r="G902" s="3" t="s">
        <v>2572</v>
      </c>
      <c r="H902" s="3"/>
      <c r="I902" s="3" t="s">
        <v>2573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0.09</v>
      </c>
      <c r="P902" s="3">
        <v>0</v>
      </c>
      <c r="Q902" s="3">
        <v>0</v>
      </c>
      <c r="R902" s="3">
        <v>0</v>
      </c>
    </row>
    <row r="903" spans="1:18">
      <c r="A903" s="3" t="s">
        <v>1943</v>
      </c>
      <c r="B903" s="3" t="s">
        <v>1944</v>
      </c>
      <c r="C903" s="3" t="s">
        <v>1945</v>
      </c>
      <c r="D903" s="3" t="s">
        <v>401</v>
      </c>
      <c r="E903" s="3" t="s">
        <v>340</v>
      </c>
      <c r="F903" s="3">
        <v>39.99</v>
      </c>
      <c r="G903" s="3" t="s">
        <v>2572</v>
      </c>
      <c r="H903" s="3"/>
      <c r="I903" s="3" t="s">
        <v>2573</v>
      </c>
      <c r="J903" s="3">
        <v>1</v>
      </c>
      <c r="K903" s="3">
        <v>1</v>
      </c>
      <c r="L903" s="3">
        <v>0</v>
      </c>
      <c r="M903" s="3">
        <v>0</v>
      </c>
      <c r="N903" s="3">
        <v>1</v>
      </c>
      <c r="O903" s="3">
        <v>0.09</v>
      </c>
      <c r="P903" s="3">
        <v>0</v>
      </c>
      <c r="Q903" s="3">
        <v>0</v>
      </c>
      <c r="R903" s="3">
        <v>0</v>
      </c>
    </row>
    <row r="904" spans="1:18">
      <c r="A904" s="3" t="s">
        <v>2227</v>
      </c>
      <c r="B904" s="3" t="s">
        <v>2228</v>
      </c>
      <c r="C904" s="3" t="s">
        <v>2229</v>
      </c>
      <c r="D904" s="3" t="s">
        <v>401</v>
      </c>
      <c r="E904" s="3" t="s">
        <v>340</v>
      </c>
      <c r="F904" s="3">
        <v>39.99</v>
      </c>
      <c r="G904" s="3" t="s">
        <v>2572</v>
      </c>
      <c r="H904" s="3"/>
      <c r="I904" s="3" t="s">
        <v>2573</v>
      </c>
      <c r="J904" s="3">
        <v>9</v>
      </c>
      <c r="K904" s="3">
        <v>8</v>
      </c>
      <c r="L904" s="3">
        <v>1</v>
      </c>
      <c r="M904" s="3">
        <v>0</v>
      </c>
      <c r="N904" s="3">
        <v>9</v>
      </c>
      <c r="O904" s="3">
        <v>0.09</v>
      </c>
      <c r="P904" s="3">
        <v>0</v>
      </c>
      <c r="Q904" s="3">
        <v>0</v>
      </c>
      <c r="R904" s="3">
        <v>0</v>
      </c>
    </row>
    <row r="905" spans="1:18">
      <c r="A905" s="3" t="s">
        <v>658</v>
      </c>
      <c r="B905" s="3" t="s">
        <v>659</v>
      </c>
      <c r="C905" s="3" t="s">
        <v>660</v>
      </c>
      <c r="D905" s="3" t="s">
        <v>401</v>
      </c>
      <c r="E905" s="3" t="s">
        <v>340</v>
      </c>
      <c r="F905" s="3">
        <v>39.99</v>
      </c>
      <c r="G905" s="3" t="s">
        <v>2572</v>
      </c>
      <c r="H905" s="3"/>
      <c r="I905" s="3" t="s">
        <v>2573</v>
      </c>
      <c r="J905" s="3">
        <v>2</v>
      </c>
      <c r="K905" s="3">
        <v>2</v>
      </c>
      <c r="L905" s="3">
        <v>0</v>
      </c>
      <c r="M905" s="3">
        <v>0</v>
      </c>
      <c r="N905" s="3">
        <v>2</v>
      </c>
      <c r="O905" s="3">
        <v>0.09</v>
      </c>
      <c r="P905" s="3">
        <v>0</v>
      </c>
      <c r="Q905" s="3">
        <v>0</v>
      </c>
      <c r="R905" s="3">
        <v>0</v>
      </c>
    </row>
    <row r="906" spans="1:18">
      <c r="A906" s="3" t="s">
        <v>398</v>
      </c>
      <c r="B906" s="3" t="s">
        <v>399</v>
      </c>
      <c r="C906" s="3" t="s">
        <v>400</v>
      </c>
      <c r="D906" s="3" t="s">
        <v>401</v>
      </c>
      <c r="E906" s="3" t="s">
        <v>340</v>
      </c>
      <c r="F906" s="3">
        <v>39.99</v>
      </c>
      <c r="G906" s="3" t="s">
        <v>2572</v>
      </c>
      <c r="H906" s="3"/>
      <c r="I906" s="3" t="s">
        <v>2573</v>
      </c>
      <c r="J906" s="3">
        <v>1</v>
      </c>
      <c r="K906" s="3">
        <v>1</v>
      </c>
      <c r="L906" s="3">
        <v>0</v>
      </c>
      <c r="M906" s="3">
        <v>0</v>
      </c>
      <c r="N906" s="3">
        <v>1</v>
      </c>
      <c r="O906" s="3">
        <v>0.09</v>
      </c>
      <c r="P906" s="3">
        <v>0</v>
      </c>
      <c r="Q906" s="3">
        <v>0</v>
      </c>
      <c r="R906" s="3">
        <v>0</v>
      </c>
    </row>
    <row r="907" spans="1:18">
      <c r="A907" s="3" t="s">
        <v>3683</v>
      </c>
      <c r="B907" s="3" t="s">
        <v>3684</v>
      </c>
      <c r="C907" s="3" t="s">
        <v>3685</v>
      </c>
      <c r="D907" s="3" t="s">
        <v>401</v>
      </c>
      <c r="E907" s="3" t="s">
        <v>340</v>
      </c>
      <c r="F907" s="3">
        <v>39.99</v>
      </c>
      <c r="G907" s="3" t="s">
        <v>2572</v>
      </c>
      <c r="H907" s="3"/>
      <c r="I907" s="3" t="s">
        <v>2573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0.09</v>
      </c>
      <c r="P907" s="3">
        <v>0</v>
      </c>
      <c r="Q907" s="3">
        <v>0</v>
      </c>
      <c r="R907" s="3">
        <v>0</v>
      </c>
    </row>
    <row r="908" spans="1:18">
      <c r="A908" s="3" t="s">
        <v>3686</v>
      </c>
      <c r="B908" s="3" t="s">
        <v>3687</v>
      </c>
      <c r="C908" s="3" t="s">
        <v>3688</v>
      </c>
      <c r="D908" s="3" t="s">
        <v>3689</v>
      </c>
      <c r="E908" s="3" t="s">
        <v>340</v>
      </c>
      <c r="F908" s="3">
        <v>13.99</v>
      </c>
      <c r="G908" s="3" t="s">
        <v>2572</v>
      </c>
      <c r="H908" s="3"/>
      <c r="I908" s="3" t="s">
        <v>2573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0.12</v>
      </c>
      <c r="P908" s="3">
        <v>0</v>
      </c>
      <c r="Q908" s="3">
        <v>0</v>
      </c>
      <c r="R908" s="3">
        <v>0</v>
      </c>
    </row>
    <row r="909" spans="1:18">
      <c r="A909" s="3" t="s">
        <v>3690</v>
      </c>
      <c r="B909" s="3" t="s">
        <v>3691</v>
      </c>
      <c r="C909" s="3" t="s">
        <v>3692</v>
      </c>
      <c r="D909" s="3" t="s">
        <v>3693</v>
      </c>
      <c r="E909" s="3" t="s">
        <v>340</v>
      </c>
      <c r="F909" s="3">
        <v>9.99</v>
      </c>
      <c r="G909" s="3" t="s">
        <v>2572</v>
      </c>
      <c r="H909" s="3"/>
      <c r="I909" s="3" t="s">
        <v>2573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0.12</v>
      </c>
      <c r="P909" s="3">
        <v>0</v>
      </c>
      <c r="Q909" s="3">
        <v>0</v>
      </c>
      <c r="R909" s="3">
        <v>0</v>
      </c>
    </row>
    <row r="910" spans="1:18">
      <c r="A910" s="3" t="s">
        <v>3694</v>
      </c>
      <c r="B910" s="3" t="s">
        <v>3695</v>
      </c>
      <c r="C910" s="3" t="s">
        <v>3696</v>
      </c>
      <c r="D910" s="3" t="s">
        <v>3693</v>
      </c>
      <c r="E910" s="3" t="s">
        <v>340</v>
      </c>
      <c r="F910" s="3">
        <v>17.99</v>
      </c>
      <c r="G910" s="3" t="s">
        <v>2572</v>
      </c>
      <c r="H910" s="3"/>
      <c r="I910" s="3" t="s">
        <v>2573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0.12</v>
      </c>
      <c r="P910" s="3">
        <v>0</v>
      </c>
      <c r="Q910" s="3">
        <v>0</v>
      </c>
      <c r="R910" s="3">
        <v>0</v>
      </c>
    </row>
    <row r="911" spans="1:18">
      <c r="A911" s="3" t="s">
        <v>1294</v>
      </c>
      <c r="B911" s="3" t="s">
        <v>1295</v>
      </c>
      <c r="C911" s="3" t="s">
        <v>1296</v>
      </c>
      <c r="D911" s="3" t="s">
        <v>416</v>
      </c>
      <c r="E911" s="3" t="s">
        <v>340</v>
      </c>
      <c r="F911" s="3">
        <v>39.99</v>
      </c>
      <c r="G911" s="3" t="s">
        <v>2572</v>
      </c>
      <c r="H911" s="3"/>
      <c r="I911" s="3" t="s">
        <v>2573</v>
      </c>
      <c r="J911" s="3">
        <v>4</v>
      </c>
      <c r="K911" s="3">
        <v>4</v>
      </c>
      <c r="L911" s="3">
        <v>0</v>
      </c>
      <c r="M911" s="3">
        <v>0</v>
      </c>
      <c r="N911" s="3">
        <v>4</v>
      </c>
      <c r="O911" s="3">
        <v>0.06</v>
      </c>
      <c r="P911" s="3">
        <v>0</v>
      </c>
      <c r="Q911" s="3">
        <v>0</v>
      </c>
      <c r="R911" s="3">
        <v>0</v>
      </c>
    </row>
    <row r="912" spans="1:18">
      <c r="A912" s="3" t="s">
        <v>673</v>
      </c>
      <c r="B912" s="3" t="s">
        <v>674</v>
      </c>
      <c r="C912" s="3" t="s">
        <v>675</v>
      </c>
      <c r="D912" s="3" t="s">
        <v>416</v>
      </c>
      <c r="E912" s="3" t="s">
        <v>340</v>
      </c>
      <c r="F912" s="3">
        <v>39.99</v>
      </c>
      <c r="G912" s="3" t="s">
        <v>2572</v>
      </c>
      <c r="H912" s="3"/>
      <c r="I912" s="3" t="s">
        <v>2573</v>
      </c>
      <c r="J912" s="3">
        <v>1</v>
      </c>
      <c r="K912" s="3">
        <v>1</v>
      </c>
      <c r="L912" s="3">
        <v>0</v>
      </c>
      <c r="M912" s="3">
        <v>0</v>
      </c>
      <c r="N912" s="3">
        <v>1</v>
      </c>
      <c r="O912" s="3">
        <v>0.12</v>
      </c>
      <c r="P912" s="3">
        <v>0</v>
      </c>
      <c r="Q912" s="3">
        <v>0</v>
      </c>
      <c r="R912" s="3">
        <v>0</v>
      </c>
    </row>
    <row r="913" spans="1:18">
      <c r="A913" s="3" t="s">
        <v>1213</v>
      </c>
      <c r="B913" s="3" t="s">
        <v>1214</v>
      </c>
      <c r="C913" s="3" t="s">
        <v>1215</v>
      </c>
      <c r="D913" s="3" t="s">
        <v>416</v>
      </c>
      <c r="E913" s="3" t="s">
        <v>340</v>
      </c>
      <c r="F913" s="3">
        <v>39.99</v>
      </c>
      <c r="G913" s="3" t="s">
        <v>2572</v>
      </c>
      <c r="H913" s="3"/>
      <c r="I913" s="3" t="s">
        <v>2573</v>
      </c>
      <c r="J913" s="3">
        <v>3</v>
      </c>
      <c r="K913" s="3">
        <v>2</v>
      </c>
      <c r="L913" s="3">
        <v>1</v>
      </c>
      <c r="M913" s="3">
        <v>0</v>
      </c>
      <c r="N913" s="3">
        <v>3</v>
      </c>
      <c r="O913" s="3">
        <v>0.06</v>
      </c>
      <c r="P913" s="3">
        <v>0</v>
      </c>
      <c r="Q913" s="3">
        <v>0</v>
      </c>
      <c r="R913" s="3">
        <v>0</v>
      </c>
    </row>
    <row r="914" spans="1:18">
      <c r="A914" s="3" t="s">
        <v>413</v>
      </c>
      <c r="B914" s="3" t="s">
        <v>414</v>
      </c>
      <c r="C914" s="3" t="s">
        <v>415</v>
      </c>
      <c r="D914" s="3" t="s">
        <v>416</v>
      </c>
      <c r="E914" s="3" t="s">
        <v>340</v>
      </c>
      <c r="F914" s="3">
        <v>39.99</v>
      </c>
      <c r="G914" s="3" t="s">
        <v>2572</v>
      </c>
      <c r="H914" s="3"/>
      <c r="I914" s="3" t="s">
        <v>2573</v>
      </c>
      <c r="J914" s="3">
        <v>10</v>
      </c>
      <c r="K914" s="3">
        <v>10</v>
      </c>
      <c r="L914" s="3">
        <v>0</v>
      </c>
      <c r="M914" s="3">
        <v>0</v>
      </c>
      <c r="N914" s="3">
        <v>10</v>
      </c>
      <c r="O914" s="3">
        <v>0.06</v>
      </c>
      <c r="P914" s="3">
        <v>0</v>
      </c>
      <c r="Q914" s="3">
        <v>0</v>
      </c>
      <c r="R914" s="3">
        <v>0</v>
      </c>
    </row>
    <row r="915" spans="1:18">
      <c r="A915" s="3" t="s">
        <v>619</v>
      </c>
      <c r="B915" s="3" t="s">
        <v>620</v>
      </c>
      <c r="C915" s="3" t="s">
        <v>621</v>
      </c>
      <c r="D915" s="3" t="s">
        <v>416</v>
      </c>
      <c r="E915" s="3" t="s">
        <v>340</v>
      </c>
      <c r="F915" s="3">
        <v>39.99</v>
      </c>
      <c r="G915" s="3" t="s">
        <v>2572</v>
      </c>
      <c r="H915" s="3"/>
      <c r="I915" s="3" t="s">
        <v>2573</v>
      </c>
      <c r="J915" s="3">
        <v>2</v>
      </c>
      <c r="K915" s="3">
        <v>2</v>
      </c>
      <c r="L915" s="3">
        <v>0</v>
      </c>
      <c r="M915" s="3">
        <v>0</v>
      </c>
      <c r="N915" s="3">
        <v>2</v>
      </c>
      <c r="O915" s="3">
        <v>0.06</v>
      </c>
      <c r="P915" s="3">
        <v>0</v>
      </c>
      <c r="Q915" s="3">
        <v>0</v>
      </c>
      <c r="R915" s="3">
        <v>0</v>
      </c>
    </row>
    <row r="916" spans="1:18">
      <c r="A916" s="3" t="s">
        <v>2255</v>
      </c>
      <c r="B916" s="3" t="s">
        <v>2256</v>
      </c>
      <c r="C916" s="3" t="s">
        <v>2257</v>
      </c>
      <c r="D916" s="3" t="s">
        <v>416</v>
      </c>
      <c r="E916" s="3" t="s">
        <v>340</v>
      </c>
      <c r="F916" s="3">
        <v>39.99</v>
      </c>
      <c r="G916" s="3" t="s">
        <v>2572</v>
      </c>
      <c r="H916" s="3"/>
      <c r="I916" s="3" t="s">
        <v>2573</v>
      </c>
      <c r="J916" s="3">
        <v>1</v>
      </c>
      <c r="K916" s="3">
        <v>1</v>
      </c>
      <c r="L916" s="3">
        <v>0</v>
      </c>
      <c r="M916" s="3">
        <v>0</v>
      </c>
      <c r="N916" s="3">
        <v>1</v>
      </c>
      <c r="O916" s="3">
        <v>0.05</v>
      </c>
      <c r="P916" s="3">
        <v>0</v>
      </c>
      <c r="Q916" s="3">
        <v>0</v>
      </c>
      <c r="R916" s="3">
        <v>0</v>
      </c>
    </row>
    <row r="917" spans="1:18">
      <c r="A917" s="3" t="s">
        <v>2331</v>
      </c>
      <c r="B917" s="3" t="s">
        <v>2332</v>
      </c>
      <c r="C917" s="3" t="s">
        <v>2333</v>
      </c>
      <c r="D917" s="3" t="s">
        <v>416</v>
      </c>
      <c r="E917" s="3" t="s">
        <v>340</v>
      </c>
      <c r="F917" s="3">
        <v>39.99</v>
      </c>
      <c r="G917" s="3" t="s">
        <v>2572</v>
      </c>
      <c r="H917" s="3"/>
      <c r="I917" s="3" t="s">
        <v>2573</v>
      </c>
      <c r="J917" s="3">
        <v>4</v>
      </c>
      <c r="K917" s="3">
        <v>4</v>
      </c>
      <c r="L917" s="3">
        <v>0</v>
      </c>
      <c r="M917" s="3">
        <v>0</v>
      </c>
      <c r="N917" s="3">
        <v>4</v>
      </c>
      <c r="O917" s="3">
        <v>0.03</v>
      </c>
      <c r="P917" s="3">
        <v>0</v>
      </c>
      <c r="Q917" s="3">
        <v>0</v>
      </c>
      <c r="R917" s="3">
        <v>0</v>
      </c>
    </row>
    <row r="918" spans="1:18">
      <c r="A918" s="3" t="s">
        <v>2548</v>
      </c>
      <c r="B918" s="3" t="s">
        <v>2549</v>
      </c>
      <c r="C918" s="3" t="s">
        <v>2550</v>
      </c>
      <c r="D918" s="3" t="s">
        <v>1162</v>
      </c>
      <c r="E918" s="3" t="s">
        <v>340</v>
      </c>
      <c r="F918" s="3">
        <v>21.99</v>
      </c>
      <c r="G918" s="3" t="s">
        <v>2572</v>
      </c>
      <c r="H918" s="3"/>
      <c r="I918" s="3" t="s">
        <v>2573</v>
      </c>
      <c r="J918" s="3">
        <v>2</v>
      </c>
      <c r="K918" s="3">
        <v>1</v>
      </c>
      <c r="L918" s="3">
        <v>1</v>
      </c>
      <c r="M918" s="3">
        <v>0</v>
      </c>
      <c r="N918" s="3">
        <v>2</v>
      </c>
      <c r="O918" s="3">
        <v>0.09</v>
      </c>
      <c r="P918" s="3">
        <v>0</v>
      </c>
      <c r="Q918" s="3">
        <v>0</v>
      </c>
      <c r="R918" s="3">
        <v>0</v>
      </c>
    </row>
    <row r="919" spans="1:18">
      <c r="A919" s="3" t="s">
        <v>3697</v>
      </c>
      <c r="B919" s="3" t="s">
        <v>3698</v>
      </c>
      <c r="C919" s="3" t="s">
        <v>3699</v>
      </c>
      <c r="D919" s="3" t="s">
        <v>1162</v>
      </c>
      <c r="E919" s="3" t="s">
        <v>340</v>
      </c>
      <c r="F919" s="3">
        <v>21.99</v>
      </c>
      <c r="G919" s="3" t="s">
        <v>2572</v>
      </c>
      <c r="H919" s="3"/>
      <c r="I919" s="3" t="s">
        <v>2573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0.09</v>
      </c>
      <c r="P919" s="3">
        <v>0</v>
      </c>
      <c r="Q919" s="3">
        <v>0</v>
      </c>
      <c r="R919" s="3">
        <v>0</v>
      </c>
    </row>
    <row r="920" spans="1:18">
      <c r="A920" s="3" t="s">
        <v>1908</v>
      </c>
      <c r="B920" s="3" t="s">
        <v>1909</v>
      </c>
      <c r="C920" s="3" t="s">
        <v>1910</v>
      </c>
      <c r="D920" s="3" t="s">
        <v>1162</v>
      </c>
      <c r="E920" s="3" t="s">
        <v>340</v>
      </c>
      <c r="F920" s="3">
        <v>19.13</v>
      </c>
      <c r="G920" s="3" t="s">
        <v>2572</v>
      </c>
      <c r="H920" s="3"/>
      <c r="I920" s="3" t="s">
        <v>2573</v>
      </c>
      <c r="J920" s="3">
        <v>9</v>
      </c>
      <c r="K920" s="3">
        <v>9</v>
      </c>
      <c r="L920" s="3">
        <v>0</v>
      </c>
      <c r="M920" s="3">
        <v>0</v>
      </c>
      <c r="N920" s="3">
        <v>9</v>
      </c>
      <c r="O920" s="3">
        <v>0.09</v>
      </c>
      <c r="P920" s="3">
        <v>0</v>
      </c>
      <c r="Q920" s="3">
        <v>0</v>
      </c>
      <c r="R920" s="3">
        <v>0</v>
      </c>
    </row>
    <row r="921" spans="1:18">
      <c r="A921" s="3" t="s">
        <v>1159</v>
      </c>
      <c r="B921" s="3" t="s">
        <v>1160</v>
      </c>
      <c r="C921" s="3" t="s">
        <v>1161</v>
      </c>
      <c r="D921" s="3" t="s">
        <v>1162</v>
      </c>
      <c r="E921" s="3" t="s">
        <v>340</v>
      </c>
      <c r="F921" s="3">
        <v>21.99</v>
      </c>
      <c r="G921" s="3" t="s">
        <v>2572</v>
      </c>
      <c r="H921" s="3"/>
      <c r="I921" s="3" t="s">
        <v>2573</v>
      </c>
      <c r="J921" s="3">
        <v>14</v>
      </c>
      <c r="K921" s="3">
        <v>14</v>
      </c>
      <c r="L921" s="3">
        <v>0</v>
      </c>
      <c r="M921" s="3">
        <v>0</v>
      </c>
      <c r="N921" s="3">
        <v>14</v>
      </c>
      <c r="O921" s="3">
        <v>0.09</v>
      </c>
      <c r="P921" s="3">
        <v>0</v>
      </c>
      <c r="Q921" s="3">
        <v>0</v>
      </c>
      <c r="R921" s="3">
        <v>0</v>
      </c>
    </row>
    <row r="922" spans="1:18">
      <c r="A922" s="3" t="s">
        <v>3700</v>
      </c>
      <c r="B922" s="3" t="s">
        <v>3701</v>
      </c>
      <c r="C922" s="3" t="s">
        <v>3702</v>
      </c>
      <c r="D922" s="3" t="s">
        <v>3703</v>
      </c>
      <c r="E922" s="3" t="s">
        <v>340</v>
      </c>
      <c r="F922" s="3">
        <v>39.99</v>
      </c>
      <c r="G922" s="3" t="s">
        <v>2572</v>
      </c>
      <c r="H922" s="3"/>
      <c r="I922" s="3" t="s">
        <v>2573</v>
      </c>
      <c r="J922" s="3">
        <v>1</v>
      </c>
      <c r="K922" s="3">
        <v>0</v>
      </c>
      <c r="L922" s="3">
        <v>1</v>
      </c>
      <c r="M922" s="3">
        <v>0</v>
      </c>
      <c r="N922" s="3">
        <v>1</v>
      </c>
      <c r="O922" s="3">
        <v>0.11</v>
      </c>
      <c r="P922" s="3">
        <v>0</v>
      </c>
      <c r="Q922" s="3">
        <v>0</v>
      </c>
      <c r="R922" s="3">
        <v>0</v>
      </c>
    </row>
    <row r="923" spans="1:18">
      <c r="A923" s="3" t="s">
        <v>3704</v>
      </c>
      <c r="B923" s="3" t="s">
        <v>3705</v>
      </c>
      <c r="C923" s="3" t="s">
        <v>3706</v>
      </c>
      <c r="D923" s="3" t="s">
        <v>3707</v>
      </c>
      <c r="E923" s="3" t="s">
        <v>340</v>
      </c>
      <c r="F923" s="3">
        <v>39.99</v>
      </c>
      <c r="G923" s="3" t="s">
        <v>2572</v>
      </c>
      <c r="H923" s="3"/>
      <c r="I923" s="3" t="s">
        <v>2573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0.13</v>
      </c>
      <c r="P923" s="3">
        <v>0</v>
      </c>
      <c r="Q923" s="3">
        <v>0</v>
      </c>
      <c r="R923" s="3">
        <v>0</v>
      </c>
    </row>
    <row r="924" spans="1:18">
      <c r="A924" s="3" t="s">
        <v>3708</v>
      </c>
      <c r="B924" s="3" t="s">
        <v>3709</v>
      </c>
      <c r="C924" s="3" t="s">
        <v>3710</v>
      </c>
      <c r="D924" s="3" t="s">
        <v>3707</v>
      </c>
      <c r="E924" s="3" t="s">
        <v>340</v>
      </c>
      <c r="F924" s="3">
        <v>39.99</v>
      </c>
      <c r="G924" s="3" t="s">
        <v>2572</v>
      </c>
      <c r="H924" s="3"/>
      <c r="I924" s="3" t="s">
        <v>2573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0.13</v>
      </c>
      <c r="P924" s="3">
        <v>0</v>
      </c>
      <c r="Q924" s="3">
        <v>0</v>
      </c>
      <c r="R924" s="3">
        <v>0</v>
      </c>
    </row>
    <row r="925" spans="1:18">
      <c r="A925" s="3" t="s">
        <v>787</v>
      </c>
      <c r="B925" s="3" t="s">
        <v>788</v>
      </c>
      <c r="C925" s="3" t="s">
        <v>789</v>
      </c>
      <c r="D925" s="3" t="s">
        <v>790</v>
      </c>
      <c r="E925" s="3" t="s">
        <v>340</v>
      </c>
      <c r="F925" s="3">
        <v>19.9</v>
      </c>
      <c r="G925" s="3" t="s">
        <v>2572</v>
      </c>
      <c r="H925" s="3"/>
      <c r="I925" s="3" t="s">
        <v>2573</v>
      </c>
      <c r="J925" s="3">
        <v>2</v>
      </c>
      <c r="K925" s="3">
        <v>1</v>
      </c>
      <c r="L925" s="3">
        <v>1</v>
      </c>
      <c r="M925" s="3">
        <v>0</v>
      </c>
      <c r="N925" s="3">
        <v>2</v>
      </c>
      <c r="O925" s="3">
        <v>0</v>
      </c>
      <c r="P925" s="3">
        <v>0</v>
      </c>
      <c r="Q925" s="3">
        <v>0</v>
      </c>
      <c r="R925" s="3">
        <v>0</v>
      </c>
    </row>
    <row r="926" spans="1:18">
      <c r="A926" s="3" t="s">
        <v>2302</v>
      </c>
      <c r="B926" s="3" t="s">
        <v>2303</v>
      </c>
      <c r="C926" s="3" t="s">
        <v>2304</v>
      </c>
      <c r="D926" s="3" t="s">
        <v>2305</v>
      </c>
      <c r="E926" s="3" t="s">
        <v>340</v>
      </c>
      <c r="F926" s="3">
        <v>19.9</v>
      </c>
      <c r="G926" s="3" t="s">
        <v>2572</v>
      </c>
      <c r="H926" s="3"/>
      <c r="I926" s="3" t="s">
        <v>2573</v>
      </c>
      <c r="J926" s="3">
        <v>1</v>
      </c>
      <c r="K926" s="3">
        <v>1</v>
      </c>
      <c r="L926" s="3">
        <v>0</v>
      </c>
      <c r="M926" s="3">
        <v>0</v>
      </c>
      <c r="N926" s="3">
        <v>1</v>
      </c>
      <c r="O926" s="3">
        <v>0</v>
      </c>
      <c r="P926" s="3">
        <v>0</v>
      </c>
      <c r="Q926" s="3">
        <v>0</v>
      </c>
      <c r="R926" s="3">
        <v>0</v>
      </c>
    </row>
    <row r="927" spans="1:18">
      <c r="A927" s="3" t="s">
        <v>3711</v>
      </c>
      <c r="B927" s="3" t="s">
        <v>3712</v>
      </c>
      <c r="C927" s="3" t="s">
        <v>3713</v>
      </c>
      <c r="D927" s="3" t="s">
        <v>2305</v>
      </c>
      <c r="E927" s="3" t="s">
        <v>340</v>
      </c>
      <c r="F927" s="3">
        <v>19.9</v>
      </c>
      <c r="G927" s="3" t="s">
        <v>2572</v>
      </c>
      <c r="H927" s="3"/>
      <c r="I927" s="3" t="s">
        <v>2573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</row>
    <row r="928" spans="1:18">
      <c r="A928" s="3" t="s">
        <v>3714</v>
      </c>
      <c r="B928" s="3" t="s">
        <v>3715</v>
      </c>
      <c r="C928" s="3" t="s">
        <v>3716</v>
      </c>
      <c r="D928" s="3" t="s">
        <v>3717</v>
      </c>
      <c r="E928" s="3" t="s">
        <v>340</v>
      </c>
      <c r="F928" s="3">
        <v>39.99</v>
      </c>
      <c r="G928" s="3" t="s">
        <v>2572</v>
      </c>
      <c r="H928" s="3"/>
      <c r="I928" s="3" t="s">
        <v>2573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0.13</v>
      </c>
      <c r="P928" s="3">
        <v>0</v>
      </c>
      <c r="Q928" s="3">
        <v>0</v>
      </c>
      <c r="R928" s="3">
        <v>0</v>
      </c>
    </row>
    <row r="929" spans="1:18">
      <c r="A929" s="3" t="s">
        <v>818</v>
      </c>
      <c r="B929" s="3" t="s">
        <v>819</v>
      </c>
      <c r="C929" s="3" t="s">
        <v>820</v>
      </c>
      <c r="D929" s="3" t="s">
        <v>821</v>
      </c>
      <c r="E929" s="3" t="s">
        <v>340</v>
      </c>
      <c r="F929" s="3">
        <v>39.99</v>
      </c>
      <c r="G929" s="3" t="s">
        <v>2572</v>
      </c>
      <c r="H929" s="3"/>
      <c r="I929" s="3" t="s">
        <v>2573</v>
      </c>
      <c r="J929" s="3">
        <v>8</v>
      </c>
      <c r="K929" s="3">
        <v>8</v>
      </c>
      <c r="L929" s="3">
        <v>0</v>
      </c>
      <c r="M929" s="3">
        <v>0</v>
      </c>
      <c r="N929" s="3">
        <v>8</v>
      </c>
      <c r="O929" s="3">
        <v>0.13</v>
      </c>
      <c r="P929" s="3">
        <v>0</v>
      </c>
      <c r="Q929" s="3">
        <v>0</v>
      </c>
      <c r="R929" s="3">
        <v>0</v>
      </c>
    </row>
    <row r="930" spans="1:18">
      <c r="A930" s="3" t="s">
        <v>694</v>
      </c>
      <c r="B930" s="3" t="s">
        <v>695</v>
      </c>
      <c r="C930" s="3" t="s">
        <v>696</v>
      </c>
      <c r="D930" s="3" t="s">
        <v>697</v>
      </c>
      <c r="E930" s="3" t="s">
        <v>340</v>
      </c>
      <c r="F930" s="3">
        <v>22.99</v>
      </c>
      <c r="G930" s="3" t="s">
        <v>2572</v>
      </c>
      <c r="H930" s="3"/>
      <c r="I930" s="3" t="s">
        <v>2573</v>
      </c>
      <c r="J930" s="3">
        <v>3</v>
      </c>
      <c r="K930" s="3">
        <v>3</v>
      </c>
      <c r="L930" s="3">
        <v>0</v>
      </c>
      <c r="M930" s="3">
        <v>0</v>
      </c>
      <c r="N930" s="3">
        <v>3</v>
      </c>
      <c r="O930" s="3">
        <v>0.01</v>
      </c>
      <c r="P930" s="3">
        <v>0</v>
      </c>
      <c r="Q930" s="3">
        <v>0</v>
      </c>
      <c r="R930" s="3">
        <v>0</v>
      </c>
    </row>
    <row r="931" spans="1:18">
      <c r="A931" s="3" t="s">
        <v>1381</v>
      </c>
      <c r="B931" s="3" t="s">
        <v>1382</v>
      </c>
      <c r="C931" s="3" t="s">
        <v>1383</v>
      </c>
      <c r="D931" s="3" t="s">
        <v>1384</v>
      </c>
      <c r="E931" s="3" t="s">
        <v>340</v>
      </c>
      <c r="F931" s="3">
        <v>22.99</v>
      </c>
      <c r="G931" s="3" t="s">
        <v>2572</v>
      </c>
      <c r="H931" s="3"/>
      <c r="I931" s="3" t="s">
        <v>2573</v>
      </c>
      <c r="J931" s="3">
        <v>3</v>
      </c>
      <c r="K931" s="3">
        <v>3</v>
      </c>
      <c r="L931" s="3">
        <v>0</v>
      </c>
      <c r="M931" s="3">
        <v>0</v>
      </c>
      <c r="N931" s="3">
        <v>3</v>
      </c>
      <c r="O931" s="3">
        <v>0.01</v>
      </c>
      <c r="P931" s="3">
        <v>0</v>
      </c>
      <c r="Q931" s="3">
        <v>0</v>
      </c>
      <c r="R931" s="3">
        <v>0</v>
      </c>
    </row>
    <row r="932" spans="1:18">
      <c r="A932" s="3" t="s">
        <v>1397</v>
      </c>
      <c r="B932" s="3" t="s">
        <v>1398</v>
      </c>
      <c r="C932" s="3" t="s">
        <v>1399</v>
      </c>
      <c r="D932" s="3" t="s">
        <v>1400</v>
      </c>
      <c r="E932" s="3" t="s">
        <v>340</v>
      </c>
      <c r="F932" s="3">
        <v>17.99</v>
      </c>
      <c r="G932" s="3" t="s">
        <v>2572</v>
      </c>
      <c r="H932" s="3"/>
      <c r="I932" s="3" t="s">
        <v>2573</v>
      </c>
      <c r="J932" s="3">
        <v>1</v>
      </c>
      <c r="K932" s="3">
        <v>1</v>
      </c>
      <c r="L932" s="3">
        <v>0</v>
      </c>
      <c r="M932" s="3">
        <v>0</v>
      </c>
      <c r="N932" s="3">
        <v>1</v>
      </c>
      <c r="O932" s="3">
        <v>0.08</v>
      </c>
      <c r="P932" s="3">
        <v>0</v>
      </c>
      <c r="Q932" s="3">
        <v>0</v>
      </c>
      <c r="R932" s="3">
        <v>0</v>
      </c>
    </row>
    <row r="933" spans="1:18">
      <c r="A933" s="3" t="s">
        <v>1561</v>
      </c>
      <c r="B933" s="3" t="s">
        <v>1562</v>
      </c>
      <c r="C933" s="3" t="s">
        <v>1563</v>
      </c>
      <c r="D933" s="3" t="s">
        <v>1564</v>
      </c>
      <c r="E933" s="3" t="s">
        <v>340</v>
      </c>
      <c r="F933" s="3">
        <v>17.99</v>
      </c>
      <c r="G933" s="3" t="s">
        <v>2572</v>
      </c>
      <c r="H933" s="3"/>
      <c r="I933" s="3" t="s">
        <v>2573</v>
      </c>
      <c r="J933" s="3">
        <v>2</v>
      </c>
      <c r="K933" s="3">
        <v>2</v>
      </c>
      <c r="L933" s="3">
        <v>0</v>
      </c>
      <c r="M933" s="3">
        <v>0</v>
      </c>
      <c r="N933" s="3">
        <v>2</v>
      </c>
      <c r="O933" s="3">
        <v>0.08</v>
      </c>
      <c r="P933" s="3">
        <v>0</v>
      </c>
      <c r="Q933" s="3">
        <v>0</v>
      </c>
      <c r="R933" s="3">
        <v>0</v>
      </c>
    </row>
    <row r="934" spans="1:18">
      <c r="A934" s="3" t="s">
        <v>1519</v>
      </c>
      <c r="B934" s="3" t="s">
        <v>1520</v>
      </c>
      <c r="C934" s="3" t="s">
        <v>1521</v>
      </c>
      <c r="D934" s="3" t="s">
        <v>1522</v>
      </c>
      <c r="E934" s="3" t="s">
        <v>340</v>
      </c>
      <c r="F934" s="3">
        <v>19.99</v>
      </c>
      <c r="G934" s="3" t="s">
        <v>2572</v>
      </c>
      <c r="H934" s="3"/>
      <c r="I934" s="3" t="s">
        <v>2573</v>
      </c>
      <c r="J934" s="3">
        <v>3</v>
      </c>
      <c r="K934" s="3">
        <v>3</v>
      </c>
      <c r="L934" s="3">
        <v>0</v>
      </c>
      <c r="M934" s="3">
        <v>0</v>
      </c>
      <c r="N934" s="3">
        <v>3</v>
      </c>
      <c r="O934" s="3">
        <v>0.08</v>
      </c>
      <c r="P934" s="3">
        <v>0</v>
      </c>
      <c r="Q934" s="3">
        <v>0</v>
      </c>
      <c r="R934" s="3">
        <v>0</v>
      </c>
    </row>
    <row r="935" spans="1:18">
      <c r="A935" s="3" t="s">
        <v>351</v>
      </c>
      <c r="B935" s="3" t="s">
        <v>352</v>
      </c>
      <c r="C935" s="3" t="s">
        <v>353</v>
      </c>
      <c r="D935" s="3" t="s">
        <v>354</v>
      </c>
      <c r="E935" s="3" t="s">
        <v>340</v>
      </c>
      <c r="F935" s="3">
        <v>22.99</v>
      </c>
      <c r="G935" s="3" t="s">
        <v>2572</v>
      </c>
      <c r="H935" s="3"/>
      <c r="I935" s="3" t="s">
        <v>2573</v>
      </c>
      <c r="J935" s="3">
        <v>5</v>
      </c>
      <c r="K935" s="3">
        <v>5</v>
      </c>
      <c r="L935" s="3">
        <v>0</v>
      </c>
      <c r="M935" s="3">
        <v>0</v>
      </c>
      <c r="N935" s="3">
        <v>5</v>
      </c>
      <c r="O935" s="3">
        <v>0.01</v>
      </c>
      <c r="P935" s="3">
        <v>0</v>
      </c>
      <c r="Q935" s="3">
        <v>0</v>
      </c>
      <c r="R935" s="3">
        <v>0</v>
      </c>
    </row>
    <row r="936" spans="1:18">
      <c r="A936" s="3" t="s">
        <v>2544</v>
      </c>
      <c r="B936" s="3" t="s">
        <v>2545</v>
      </c>
      <c r="C936" s="3" t="s">
        <v>2546</v>
      </c>
      <c r="D936" s="3" t="s">
        <v>2547</v>
      </c>
      <c r="E936" s="3" t="s">
        <v>340</v>
      </c>
      <c r="F936" s="3">
        <v>22.99</v>
      </c>
      <c r="G936" s="3" t="s">
        <v>2572</v>
      </c>
      <c r="H936" s="3"/>
      <c r="I936" s="3" t="s">
        <v>2573</v>
      </c>
      <c r="J936" s="3">
        <v>2</v>
      </c>
      <c r="K936" s="3">
        <v>2</v>
      </c>
      <c r="L936" s="3">
        <v>0</v>
      </c>
      <c r="M936" s="3">
        <v>0</v>
      </c>
      <c r="N936" s="3">
        <v>2</v>
      </c>
      <c r="O936" s="3">
        <v>0.01</v>
      </c>
      <c r="P936" s="3">
        <v>0</v>
      </c>
      <c r="Q936" s="3">
        <v>0</v>
      </c>
      <c r="R936" s="3">
        <v>0</v>
      </c>
    </row>
    <row r="937" spans="1:18">
      <c r="A937" s="3" t="s">
        <v>1811</v>
      </c>
      <c r="B937" s="3" t="s">
        <v>1812</v>
      </c>
      <c r="C937" s="3" t="s">
        <v>1813</v>
      </c>
      <c r="D937" s="3" t="s">
        <v>1814</v>
      </c>
      <c r="E937" s="3" t="s">
        <v>340</v>
      </c>
      <c r="F937" s="3">
        <v>17.99</v>
      </c>
      <c r="G937" s="3" t="s">
        <v>2572</v>
      </c>
      <c r="H937" s="3"/>
      <c r="I937" s="3" t="s">
        <v>2573</v>
      </c>
      <c r="J937" s="3">
        <v>1</v>
      </c>
      <c r="K937" s="3">
        <v>1</v>
      </c>
      <c r="L937" s="3">
        <v>0</v>
      </c>
      <c r="M937" s="3">
        <v>0</v>
      </c>
      <c r="N937" s="3">
        <v>1</v>
      </c>
      <c r="O937" s="3">
        <v>0.01</v>
      </c>
      <c r="P937" s="3">
        <v>0</v>
      </c>
      <c r="Q937" s="3">
        <v>0</v>
      </c>
      <c r="R937" s="3">
        <v>0</v>
      </c>
    </row>
    <row r="938" spans="1:18">
      <c r="A938" s="3" t="s">
        <v>456</v>
      </c>
      <c r="B938" s="3" t="s">
        <v>457</v>
      </c>
      <c r="C938" s="3" t="s">
        <v>458</v>
      </c>
      <c r="D938" s="3" t="s">
        <v>459</v>
      </c>
      <c r="E938" s="3" t="s">
        <v>340</v>
      </c>
      <c r="F938" s="3">
        <v>17.99</v>
      </c>
      <c r="G938" s="3" t="s">
        <v>2572</v>
      </c>
      <c r="H938" s="3"/>
      <c r="I938" s="3" t="s">
        <v>2573</v>
      </c>
      <c r="J938" s="3">
        <v>4</v>
      </c>
      <c r="K938" s="3">
        <v>4</v>
      </c>
      <c r="L938" s="3">
        <v>0</v>
      </c>
      <c r="M938" s="3">
        <v>0</v>
      </c>
      <c r="N938" s="3">
        <v>4</v>
      </c>
      <c r="O938" s="3">
        <v>0.01</v>
      </c>
      <c r="P938" s="3">
        <v>0</v>
      </c>
      <c r="Q938" s="3">
        <v>0</v>
      </c>
      <c r="R938" s="3">
        <v>0</v>
      </c>
    </row>
    <row r="939" spans="1:18">
      <c r="A939" s="3" t="s">
        <v>2066</v>
      </c>
      <c r="B939" s="3" t="s">
        <v>2067</v>
      </c>
      <c r="C939" s="3" t="s">
        <v>2068</v>
      </c>
      <c r="D939" s="3" t="s">
        <v>2069</v>
      </c>
      <c r="E939" s="3" t="s">
        <v>340</v>
      </c>
      <c r="F939" s="3">
        <v>22.99</v>
      </c>
      <c r="G939" s="3" t="s">
        <v>2572</v>
      </c>
      <c r="H939" s="3"/>
      <c r="I939" s="3" t="s">
        <v>2573</v>
      </c>
      <c r="J939" s="3">
        <v>1</v>
      </c>
      <c r="K939" s="3">
        <v>1</v>
      </c>
      <c r="L939" s="3">
        <v>0</v>
      </c>
      <c r="M939" s="3">
        <v>0</v>
      </c>
      <c r="N939" s="3">
        <v>1</v>
      </c>
      <c r="O939" s="3">
        <v>0.01</v>
      </c>
      <c r="P939" s="3">
        <v>0</v>
      </c>
      <c r="Q939" s="3">
        <v>0</v>
      </c>
      <c r="R939" s="3">
        <v>0</v>
      </c>
    </row>
    <row r="940" spans="1:18">
      <c r="A940" s="3" t="s">
        <v>1847</v>
      </c>
      <c r="B940" s="3" t="s">
        <v>1848</v>
      </c>
      <c r="C940" s="3" t="s">
        <v>1849</v>
      </c>
      <c r="D940" s="3" t="s">
        <v>1850</v>
      </c>
      <c r="E940" s="3" t="s">
        <v>340</v>
      </c>
      <c r="F940" s="3">
        <v>19.99</v>
      </c>
      <c r="G940" s="3" t="s">
        <v>2572</v>
      </c>
      <c r="H940" s="3"/>
      <c r="I940" s="3" t="s">
        <v>2573</v>
      </c>
      <c r="J940" s="3">
        <v>5</v>
      </c>
      <c r="K940" s="3">
        <v>5</v>
      </c>
      <c r="L940" s="3">
        <v>0</v>
      </c>
      <c r="M940" s="3">
        <v>0</v>
      </c>
      <c r="N940" s="3">
        <v>5</v>
      </c>
      <c r="O940" s="3">
        <v>0.01</v>
      </c>
      <c r="P940" s="3">
        <v>0</v>
      </c>
      <c r="Q940" s="3">
        <v>0</v>
      </c>
      <c r="R940" s="3">
        <v>0</v>
      </c>
    </row>
    <row r="941" spans="1:18">
      <c r="A941" s="3" t="s">
        <v>1439</v>
      </c>
      <c r="B941" s="3" t="s">
        <v>1440</v>
      </c>
      <c r="C941" s="3" t="s">
        <v>1441</v>
      </c>
      <c r="D941" s="3" t="s">
        <v>1442</v>
      </c>
      <c r="E941" s="3" t="s">
        <v>340</v>
      </c>
      <c r="F941" s="3">
        <v>16.99</v>
      </c>
      <c r="G941" s="3" t="s">
        <v>2572</v>
      </c>
      <c r="H941" s="3"/>
      <c r="I941" s="3" t="s">
        <v>2573</v>
      </c>
      <c r="J941" s="3">
        <v>1</v>
      </c>
      <c r="K941" s="3">
        <v>1</v>
      </c>
      <c r="L941" s="3">
        <v>0</v>
      </c>
      <c r="M941" s="3">
        <v>0</v>
      </c>
      <c r="N941" s="3">
        <v>1</v>
      </c>
      <c r="O941" s="3">
        <v>0.01</v>
      </c>
      <c r="P941" s="3">
        <v>0</v>
      </c>
      <c r="Q941" s="3">
        <v>0</v>
      </c>
      <c r="R941" s="3">
        <v>0</v>
      </c>
    </row>
    <row r="942" spans="1:18">
      <c r="A942" s="3" t="s">
        <v>1204</v>
      </c>
      <c r="B942" s="3" t="s">
        <v>1205</v>
      </c>
      <c r="C942" s="3" t="s">
        <v>1206</v>
      </c>
      <c r="D942" s="3" t="s">
        <v>1207</v>
      </c>
      <c r="E942" s="3" t="s">
        <v>340</v>
      </c>
      <c r="F942" s="3">
        <v>19.99</v>
      </c>
      <c r="G942" s="3" t="s">
        <v>2572</v>
      </c>
      <c r="H942" s="3"/>
      <c r="I942" s="3" t="s">
        <v>2573</v>
      </c>
      <c r="J942" s="3">
        <v>5</v>
      </c>
      <c r="K942" s="3">
        <v>5</v>
      </c>
      <c r="L942" s="3">
        <v>0</v>
      </c>
      <c r="M942" s="3">
        <v>0</v>
      </c>
      <c r="N942" s="3">
        <v>5</v>
      </c>
      <c r="O942" s="3">
        <v>0.01</v>
      </c>
      <c r="P942" s="3">
        <v>0</v>
      </c>
      <c r="Q942" s="3">
        <v>0</v>
      </c>
      <c r="R942" s="3">
        <v>0</v>
      </c>
    </row>
    <row r="943" spans="1:18">
      <c r="A943" s="3" t="s">
        <v>1566</v>
      </c>
      <c r="B943" s="3" t="s">
        <v>1567</v>
      </c>
      <c r="C943" s="3" t="s">
        <v>1568</v>
      </c>
      <c r="D943" s="3" t="s">
        <v>1569</v>
      </c>
      <c r="E943" s="3" t="s">
        <v>340</v>
      </c>
      <c r="F943" s="3">
        <v>22.99</v>
      </c>
      <c r="G943" s="3" t="s">
        <v>2572</v>
      </c>
      <c r="H943" s="3"/>
      <c r="I943" s="3" t="s">
        <v>2573</v>
      </c>
      <c r="J943" s="3">
        <v>5</v>
      </c>
      <c r="K943" s="3">
        <v>5</v>
      </c>
      <c r="L943" s="3">
        <v>0</v>
      </c>
      <c r="M943" s="3">
        <v>0</v>
      </c>
      <c r="N943" s="3">
        <v>5</v>
      </c>
      <c r="O943" s="3">
        <v>0.01</v>
      </c>
      <c r="P943" s="3">
        <v>0</v>
      </c>
      <c r="Q943" s="3">
        <v>0</v>
      </c>
      <c r="R943" s="3">
        <v>0</v>
      </c>
    </row>
    <row r="944" spans="1:18">
      <c r="A944" s="3" t="s">
        <v>2174</v>
      </c>
      <c r="B944" s="3" t="s">
        <v>2175</v>
      </c>
      <c r="C944" s="3" t="s">
        <v>2176</v>
      </c>
      <c r="D944" s="3" t="s">
        <v>2177</v>
      </c>
      <c r="E944" s="3" t="s">
        <v>340</v>
      </c>
      <c r="F944" s="3">
        <v>22.99</v>
      </c>
      <c r="G944" s="3" t="s">
        <v>2572</v>
      </c>
      <c r="H944" s="3"/>
      <c r="I944" s="3" t="s">
        <v>2573</v>
      </c>
      <c r="J944" s="3">
        <v>3</v>
      </c>
      <c r="K944" s="3">
        <v>3</v>
      </c>
      <c r="L944" s="3">
        <v>0</v>
      </c>
      <c r="M944" s="3">
        <v>0</v>
      </c>
      <c r="N944" s="3">
        <v>3</v>
      </c>
      <c r="O944" s="3">
        <v>0.01</v>
      </c>
      <c r="P944" s="3">
        <v>0</v>
      </c>
      <c r="Q944" s="3">
        <v>0</v>
      </c>
      <c r="R944" s="3">
        <v>0</v>
      </c>
    </row>
    <row r="945" spans="1:18">
      <c r="A945" s="3" t="s">
        <v>2267</v>
      </c>
      <c r="B945" s="3" t="s">
        <v>2268</v>
      </c>
      <c r="C945" s="3" t="s">
        <v>2269</v>
      </c>
      <c r="D945" s="3" t="s">
        <v>2270</v>
      </c>
      <c r="E945" s="3" t="s">
        <v>340</v>
      </c>
      <c r="F945" s="3">
        <v>17.99</v>
      </c>
      <c r="G945" s="3" t="s">
        <v>2572</v>
      </c>
      <c r="H945" s="3"/>
      <c r="I945" s="3" t="s">
        <v>2573</v>
      </c>
      <c r="J945" s="3">
        <v>2</v>
      </c>
      <c r="K945" s="3">
        <v>2</v>
      </c>
      <c r="L945" s="3">
        <v>0</v>
      </c>
      <c r="M945" s="3">
        <v>0</v>
      </c>
      <c r="N945" s="3">
        <v>2</v>
      </c>
      <c r="O945" s="3">
        <v>0.01</v>
      </c>
      <c r="P945" s="3">
        <v>0</v>
      </c>
      <c r="Q945" s="3">
        <v>0</v>
      </c>
      <c r="R945" s="3">
        <v>0</v>
      </c>
    </row>
    <row r="946" spans="1:18">
      <c r="A946" s="3" t="s">
        <v>3718</v>
      </c>
      <c r="B946" s="3" t="s">
        <v>3719</v>
      </c>
      <c r="C946" s="3" t="s">
        <v>3720</v>
      </c>
      <c r="D946" s="3" t="s">
        <v>3721</v>
      </c>
      <c r="E946" s="3" t="s">
        <v>340</v>
      </c>
      <c r="F946" s="3">
        <v>19.9</v>
      </c>
      <c r="G946" s="3" t="s">
        <v>2572</v>
      </c>
      <c r="H946" s="3"/>
      <c r="I946" s="3" t="s">
        <v>2573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0.08</v>
      </c>
      <c r="P946" s="3">
        <v>0</v>
      </c>
      <c r="Q946" s="3">
        <v>0</v>
      </c>
      <c r="R946" s="3">
        <v>0</v>
      </c>
    </row>
    <row r="947" spans="1:18">
      <c r="A947" s="3" t="s">
        <v>3722</v>
      </c>
      <c r="B947" s="3" t="s">
        <v>3723</v>
      </c>
      <c r="C947" s="3" t="s">
        <v>3724</v>
      </c>
      <c r="D947" s="3" t="s">
        <v>3725</v>
      </c>
      <c r="E947" s="3" t="s">
        <v>340</v>
      </c>
      <c r="F947" s="3">
        <v>19.9</v>
      </c>
      <c r="G947" s="3" t="s">
        <v>2572</v>
      </c>
      <c r="H947" s="3"/>
      <c r="I947" s="3" t="s">
        <v>2573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0.08</v>
      </c>
      <c r="P947" s="3">
        <v>0</v>
      </c>
      <c r="Q947" s="3">
        <v>0</v>
      </c>
      <c r="R947" s="3">
        <v>0</v>
      </c>
    </row>
    <row r="948" spans="1:18">
      <c r="A948" s="3" t="s">
        <v>944</v>
      </c>
      <c r="B948" s="3" t="s">
        <v>945</v>
      </c>
      <c r="C948" s="3" t="s">
        <v>946</v>
      </c>
      <c r="D948" s="3" t="s">
        <v>947</v>
      </c>
      <c r="E948" s="3" t="s">
        <v>340</v>
      </c>
      <c r="F948" s="3">
        <v>26.99</v>
      </c>
      <c r="G948" s="3" t="s">
        <v>2572</v>
      </c>
      <c r="H948" s="3"/>
      <c r="I948" s="3" t="s">
        <v>2573</v>
      </c>
      <c r="J948" s="3">
        <v>1</v>
      </c>
      <c r="K948" s="3">
        <v>1</v>
      </c>
      <c r="L948" s="3">
        <v>0</v>
      </c>
      <c r="M948" s="3">
        <v>0</v>
      </c>
      <c r="N948" s="3">
        <v>1</v>
      </c>
      <c r="O948" s="3">
        <v>0.28</v>
      </c>
      <c r="P948" s="3">
        <v>0</v>
      </c>
      <c r="Q948" s="3">
        <v>0</v>
      </c>
      <c r="R948" s="3">
        <v>0</v>
      </c>
    </row>
    <row r="949" spans="1:18">
      <c r="A949" s="3" t="s">
        <v>1766</v>
      </c>
      <c r="B949" s="3" t="s">
        <v>1767</v>
      </c>
      <c r="C949" s="3" t="s">
        <v>1768</v>
      </c>
      <c r="D949" s="3" t="s">
        <v>1769</v>
      </c>
      <c r="E949" s="3" t="s">
        <v>340</v>
      </c>
      <c r="F949" s="3">
        <v>23.99</v>
      </c>
      <c r="G949" s="3" t="s">
        <v>2572</v>
      </c>
      <c r="H949" s="3"/>
      <c r="I949" s="3" t="s">
        <v>2573</v>
      </c>
      <c r="J949" s="3">
        <v>1</v>
      </c>
      <c r="K949" s="3">
        <v>1</v>
      </c>
      <c r="L949" s="3">
        <v>0</v>
      </c>
      <c r="M949" s="3">
        <v>0</v>
      </c>
      <c r="N949" s="3">
        <v>1</v>
      </c>
      <c r="O949" s="3">
        <v>0.28</v>
      </c>
      <c r="P949" s="3">
        <v>0</v>
      </c>
      <c r="Q949" s="3">
        <v>0</v>
      </c>
      <c r="R949" s="3">
        <v>0</v>
      </c>
    </row>
    <row r="950" spans="1:18">
      <c r="A950" s="3" t="s">
        <v>3726</v>
      </c>
      <c r="B950" s="3" t="s">
        <v>3727</v>
      </c>
      <c r="C950" s="3" t="s">
        <v>3728</v>
      </c>
      <c r="D950" s="3" t="s">
        <v>3729</v>
      </c>
      <c r="E950" s="3" t="s">
        <v>340</v>
      </c>
      <c r="F950" s="3">
        <v>39.99</v>
      </c>
      <c r="G950" s="3" t="s">
        <v>2572</v>
      </c>
      <c r="H950" s="3"/>
      <c r="I950" s="3" t="s">
        <v>2573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0.28</v>
      </c>
      <c r="P950" s="3">
        <v>0</v>
      </c>
      <c r="Q950" s="3">
        <v>0</v>
      </c>
      <c r="R950" s="3">
        <v>0</v>
      </c>
    </row>
    <row r="951" spans="1:18">
      <c r="A951" s="3" t="s">
        <v>3730</v>
      </c>
      <c r="B951" s="3" t="s">
        <v>3731</v>
      </c>
      <c r="C951" s="3" t="s">
        <v>3732</v>
      </c>
      <c r="D951" s="3" t="s">
        <v>3733</v>
      </c>
      <c r="E951" s="3" t="s">
        <v>340</v>
      </c>
      <c r="F951" s="3">
        <v>26.99</v>
      </c>
      <c r="G951" s="3" t="s">
        <v>2572</v>
      </c>
      <c r="H951" s="3"/>
      <c r="I951" s="3" t="s">
        <v>2573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0.28</v>
      </c>
      <c r="P951" s="3">
        <v>0</v>
      </c>
      <c r="Q951" s="3">
        <v>0</v>
      </c>
      <c r="R951" s="3">
        <v>0</v>
      </c>
    </row>
    <row r="952" spans="1:18">
      <c r="A952" s="3" t="s">
        <v>3734</v>
      </c>
      <c r="B952" s="3" t="s">
        <v>3735</v>
      </c>
      <c r="C952" s="3" t="s">
        <v>3736</v>
      </c>
      <c r="D952" s="3" t="s">
        <v>3737</v>
      </c>
      <c r="E952" s="3" t="s">
        <v>340</v>
      </c>
      <c r="F952" s="3">
        <v>39.99</v>
      </c>
      <c r="G952" s="3" t="s">
        <v>2572</v>
      </c>
      <c r="H952" s="3"/>
      <c r="I952" s="3" t="s">
        <v>2573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0.28</v>
      </c>
      <c r="P952" s="3">
        <v>0</v>
      </c>
      <c r="Q952" s="3">
        <v>0</v>
      </c>
      <c r="R952" s="3">
        <v>0</v>
      </c>
    </row>
    <row r="953" spans="1:18">
      <c r="A953" s="3" t="s">
        <v>3738</v>
      </c>
      <c r="B953" s="3" t="s">
        <v>3739</v>
      </c>
      <c r="C953" s="3" t="s">
        <v>3740</v>
      </c>
      <c r="D953" s="3" t="s">
        <v>3741</v>
      </c>
      <c r="E953" s="3" t="s">
        <v>340</v>
      </c>
      <c r="F953" s="3">
        <v>9.99</v>
      </c>
      <c r="G953" s="3" t="s">
        <v>2572</v>
      </c>
      <c r="H953" s="3"/>
      <c r="I953" s="3" t="s">
        <v>2573</v>
      </c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>
        <v>0.28</v>
      </c>
      <c r="P953" s="3">
        <v>0</v>
      </c>
      <c r="Q953" s="3">
        <v>0</v>
      </c>
      <c r="R953" s="3">
        <v>0</v>
      </c>
    </row>
    <row r="954" spans="1:18">
      <c r="A954" s="3" t="s">
        <v>997</v>
      </c>
      <c r="B954" s="3" t="s">
        <v>998</v>
      </c>
      <c r="C954" s="3" t="s">
        <v>999</v>
      </c>
      <c r="D954" s="3" t="s">
        <v>1000</v>
      </c>
      <c r="E954" s="3" t="s">
        <v>340</v>
      </c>
      <c r="F954" s="3">
        <v>23.99</v>
      </c>
      <c r="G954" s="3" t="s">
        <v>2572</v>
      </c>
      <c r="H954" s="3"/>
      <c r="I954" s="3" t="s">
        <v>2573</v>
      </c>
      <c r="J954" s="3">
        <v>1</v>
      </c>
      <c r="K954" s="3">
        <v>1</v>
      </c>
      <c r="L954" s="3">
        <v>0</v>
      </c>
      <c r="M954" s="3">
        <v>0</v>
      </c>
      <c r="N954" s="3">
        <v>1</v>
      </c>
      <c r="O954" s="3">
        <v>0.28</v>
      </c>
      <c r="P954" s="3">
        <v>0</v>
      </c>
      <c r="Q954" s="3">
        <v>0</v>
      </c>
      <c r="R954" s="3">
        <v>0</v>
      </c>
    </row>
    <row r="955" spans="1:18">
      <c r="A955" s="3" t="s">
        <v>3742</v>
      </c>
      <c r="B955" s="3" t="s">
        <v>3743</v>
      </c>
      <c r="C955" s="3" t="s">
        <v>3744</v>
      </c>
      <c r="D955" s="3" t="s">
        <v>3745</v>
      </c>
      <c r="E955" s="3" t="s">
        <v>340</v>
      </c>
      <c r="F955" s="3">
        <v>39.99</v>
      </c>
      <c r="G955" s="3" t="s">
        <v>2572</v>
      </c>
      <c r="H955" s="3"/>
      <c r="I955" s="3" t="s">
        <v>2573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0.28</v>
      </c>
      <c r="P955" s="3">
        <v>0</v>
      </c>
      <c r="Q955" s="3">
        <v>0</v>
      </c>
      <c r="R955" s="3">
        <v>0</v>
      </c>
    </row>
    <row r="956" spans="1:18">
      <c r="A956" s="3" t="s">
        <v>1270</v>
      </c>
      <c r="B956" s="3" t="s">
        <v>1271</v>
      </c>
      <c r="C956" s="3" t="s">
        <v>1272</v>
      </c>
      <c r="D956" s="3" t="s">
        <v>1273</v>
      </c>
      <c r="E956" s="3" t="s">
        <v>340</v>
      </c>
      <c r="F956" s="3">
        <v>39.99</v>
      </c>
      <c r="G956" s="3" t="s">
        <v>2572</v>
      </c>
      <c r="H956" s="3"/>
      <c r="I956" s="3" t="s">
        <v>2573</v>
      </c>
      <c r="J956" s="3">
        <v>1</v>
      </c>
      <c r="K956" s="3">
        <v>1</v>
      </c>
      <c r="L956" s="3">
        <v>0</v>
      </c>
      <c r="M956" s="3">
        <v>0</v>
      </c>
      <c r="N956" s="3">
        <v>1</v>
      </c>
      <c r="O956" s="3">
        <v>0.28</v>
      </c>
      <c r="P956" s="3">
        <v>0</v>
      </c>
      <c r="Q956" s="3">
        <v>0</v>
      </c>
      <c r="R956" s="3">
        <v>0</v>
      </c>
    </row>
    <row r="957" spans="1:18">
      <c r="A957" s="3" t="s">
        <v>993</v>
      </c>
      <c r="B957" s="3" t="s">
        <v>994</v>
      </c>
      <c r="C957" s="3" t="s">
        <v>995</v>
      </c>
      <c r="D957" s="3" t="s">
        <v>996</v>
      </c>
      <c r="E957" s="3" t="s">
        <v>340</v>
      </c>
      <c r="F957" s="3">
        <v>39.99</v>
      </c>
      <c r="G957" s="3" t="s">
        <v>2572</v>
      </c>
      <c r="H957" s="3"/>
      <c r="I957" s="3" t="s">
        <v>2573</v>
      </c>
      <c r="J957" s="3">
        <v>6</v>
      </c>
      <c r="K957" s="3">
        <v>6</v>
      </c>
      <c r="L957" s="3">
        <v>0</v>
      </c>
      <c r="M957" s="3">
        <v>0</v>
      </c>
      <c r="N957" s="3">
        <v>6</v>
      </c>
      <c r="O957" s="3">
        <v>0.28</v>
      </c>
      <c r="P957" s="3">
        <v>0</v>
      </c>
      <c r="Q957" s="3">
        <v>0</v>
      </c>
      <c r="R957" s="3">
        <v>0</v>
      </c>
    </row>
    <row r="958" spans="1:18">
      <c r="A958" s="3" t="s">
        <v>3746</v>
      </c>
      <c r="B958" s="3" t="s">
        <v>3747</v>
      </c>
      <c r="C958" s="3" t="s">
        <v>3748</v>
      </c>
      <c r="D958" s="3" t="s">
        <v>123</v>
      </c>
      <c r="E958" s="3" t="s">
        <v>340</v>
      </c>
      <c r="F958" s="3">
        <v>39.99</v>
      </c>
      <c r="G958" s="3" t="s">
        <v>2572</v>
      </c>
      <c r="H958" s="3"/>
      <c r="I958" s="3" t="s">
        <v>2573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0.28</v>
      </c>
      <c r="P958" s="3">
        <v>0</v>
      </c>
      <c r="Q958" s="3">
        <v>0</v>
      </c>
      <c r="R958" s="3">
        <v>0</v>
      </c>
    </row>
    <row r="959" spans="1:18">
      <c r="A959" s="3" t="s">
        <v>3749</v>
      </c>
      <c r="B959" s="3" t="s">
        <v>3750</v>
      </c>
      <c r="C959" s="3" t="s">
        <v>3751</v>
      </c>
      <c r="D959" s="3" t="s">
        <v>3752</v>
      </c>
      <c r="E959" s="3" t="s">
        <v>340</v>
      </c>
      <c r="F959" s="3">
        <v>23.99</v>
      </c>
      <c r="G959" s="3" t="s">
        <v>2572</v>
      </c>
      <c r="H959" s="3"/>
      <c r="I959" s="3" t="s">
        <v>2573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0.28</v>
      </c>
      <c r="P959" s="3">
        <v>0</v>
      </c>
      <c r="Q959" s="3">
        <v>0</v>
      </c>
      <c r="R959" s="3">
        <v>0</v>
      </c>
    </row>
    <row r="960" spans="1:18">
      <c r="A960" s="3" t="s">
        <v>3753</v>
      </c>
      <c r="B960" s="3" t="s">
        <v>3754</v>
      </c>
      <c r="C960" s="3" t="s">
        <v>3755</v>
      </c>
      <c r="D960" s="3" t="s">
        <v>3756</v>
      </c>
      <c r="E960" s="3" t="s">
        <v>340</v>
      </c>
      <c r="F960" s="3">
        <v>39.99</v>
      </c>
      <c r="G960" s="3" t="s">
        <v>2572</v>
      </c>
      <c r="H960" s="3"/>
      <c r="I960" s="3" t="s">
        <v>2573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0.28</v>
      </c>
      <c r="P960" s="3">
        <v>0</v>
      </c>
      <c r="Q960" s="3">
        <v>0</v>
      </c>
      <c r="R960" s="3">
        <v>0</v>
      </c>
    </row>
    <row r="961" spans="1:18">
      <c r="A961" s="3" t="s">
        <v>3757</v>
      </c>
      <c r="B961" s="3" t="s">
        <v>3758</v>
      </c>
      <c r="C961" s="3" t="s">
        <v>3759</v>
      </c>
      <c r="D961" s="3" t="s">
        <v>444</v>
      </c>
      <c r="E961" s="3" t="s">
        <v>340</v>
      </c>
      <c r="F961" s="3">
        <v>39.99</v>
      </c>
      <c r="G961" s="3" t="s">
        <v>2572</v>
      </c>
      <c r="H961" s="3"/>
      <c r="I961" s="3" t="s">
        <v>2573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0.28</v>
      </c>
      <c r="P961" s="3">
        <v>0</v>
      </c>
      <c r="Q961" s="3">
        <v>0</v>
      </c>
      <c r="R961" s="3">
        <v>0</v>
      </c>
    </row>
    <row r="962" spans="1:18">
      <c r="A962" s="3" t="s">
        <v>2306</v>
      </c>
      <c r="B962" s="3" t="s">
        <v>2307</v>
      </c>
      <c r="C962" s="3" t="s">
        <v>2308</v>
      </c>
      <c r="D962" s="3" t="s">
        <v>444</v>
      </c>
      <c r="E962" s="3" t="s">
        <v>340</v>
      </c>
      <c r="F962" s="3">
        <v>39.99</v>
      </c>
      <c r="G962" s="3" t="s">
        <v>2572</v>
      </c>
      <c r="H962" s="3"/>
      <c r="I962" s="3" t="s">
        <v>2573</v>
      </c>
      <c r="J962" s="3">
        <v>3</v>
      </c>
      <c r="K962" s="3">
        <v>3</v>
      </c>
      <c r="L962" s="3">
        <v>0</v>
      </c>
      <c r="M962" s="3">
        <v>0</v>
      </c>
      <c r="N962" s="3">
        <v>3</v>
      </c>
      <c r="O962" s="3">
        <v>0.28</v>
      </c>
      <c r="P962" s="3">
        <v>0</v>
      </c>
      <c r="Q962" s="3">
        <v>0</v>
      </c>
      <c r="R962" s="3">
        <v>0</v>
      </c>
    </row>
    <row r="963" spans="1:18">
      <c r="A963" s="3" t="s">
        <v>3760</v>
      </c>
      <c r="B963" s="3" t="s">
        <v>3761</v>
      </c>
      <c r="C963" s="3" t="s">
        <v>3762</v>
      </c>
      <c r="D963" s="3" t="s">
        <v>444</v>
      </c>
      <c r="E963" s="3" t="s">
        <v>340</v>
      </c>
      <c r="F963" s="3">
        <v>39.99</v>
      </c>
      <c r="G963" s="3" t="s">
        <v>2572</v>
      </c>
      <c r="H963" s="3"/>
      <c r="I963" s="3" t="s">
        <v>2573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0.28</v>
      </c>
      <c r="P963" s="3">
        <v>0</v>
      </c>
      <c r="Q963" s="3">
        <v>0</v>
      </c>
      <c r="R963" s="3">
        <v>0</v>
      </c>
    </row>
    <row r="964" spans="1:18">
      <c r="A964" s="3" t="s">
        <v>441</v>
      </c>
      <c r="B964" s="3" t="s">
        <v>442</v>
      </c>
      <c r="C964" s="3" t="s">
        <v>443</v>
      </c>
      <c r="D964" s="3" t="s">
        <v>444</v>
      </c>
      <c r="E964" s="3" t="s">
        <v>340</v>
      </c>
      <c r="F964" s="3">
        <v>23.99</v>
      </c>
      <c r="G964" s="3" t="s">
        <v>2572</v>
      </c>
      <c r="H964" s="3"/>
      <c r="I964" s="3" t="s">
        <v>2573</v>
      </c>
      <c r="J964" s="3">
        <v>1</v>
      </c>
      <c r="K964" s="3">
        <v>1</v>
      </c>
      <c r="L964" s="3">
        <v>0</v>
      </c>
      <c r="M964" s="3">
        <v>0</v>
      </c>
      <c r="N964" s="3">
        <v>1</v>
      </c>
      <c r="O964" s="3">
        <v>0.28</v>
      </c>
      <c r="P964" s="3">
        <v>0</v>
      </c>
      <c r="Q964" s="3">
        <v>0</v>
      </c>
      <c r="R964" s="3">
        <v>0</v>
      </c>
    </row>
    <row r="965" spans="1:18">
      <c r="A965" s="3" t="s">
        <v>3763</v>
      </c>
      <c r="B965" s="3" t="s">
        <v>3764</v>
      </c>
      <c r="C965" s="3" t="s">
        <v>3765</v>
      </c>
      <c r="D965" s="3" t="s">
        <v>444</v>
      </c>
      <c r="E965" s="3" t="s">
        <v>340</v>
      </c>
      <c r="F965" s="3">
        <v>39.99</v>
      </c>
      <c r="G965" s="3" t="s">
        <v>2572</v>
      </c>
      <c r="H965" s="3"/>
      <c r="I965" s="3" t="s">
        <v>2573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0.28</v>
      </c>
      <c r="P965" s="3">
        <v>0</v>
      </c>
      <c r="Q965" s="3">
        <v>0</v>
      </c>
      <c r="R965" s="3">
        <v>0</v>
      </c>
    </row>
    <row r="966" spans="1:18">
      <c r="A966" s="3" t="s">
        <v>3766</v>
      </c>
      <c r="B966" s="3" t="s">
        <v>3767</v>
      </c>
      <c r="C966" s="3" t="s">
        <v>3768</v>
      </c>
      <c r="D966" s="3" t="s">
        <v>444</v>
      </c>
      <c r="E966" s="3" t="s">
        <v>340</v>
      </c>
      <c r="F966" s="3">
        <v>39.99</v>
      </c>
      <c r="G966" s="3" t="s">
        <v>2572</v>
      </c>
      <c r="H966" s="3"/>
      <c r="I966" s="3" t="s">
        <v>2573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0.28</v>
      </c>
      <c r="P966" s="3">
        <v>0</v>
      </c>
      <c r="Q966" s="3">
        <v>0</v>
      </c>
      <c r="R966" s="3">
        <v>0</v>
      </c>
    </row>
    <row r="967" spans="1:18">
      <c r="A967" s="3" t="s">
        <v>1037</v>
      </c>
      <c r="B967" s="3" t="s">
        <v>1038</v>
      </c>
      <c r="C967" s="3" t="s">
        <v>1039</v>
      </c>
      <c r="D967" s="3" t="s">
        <v>444</v>
      </c>
      <c r="E967" s="3" t="s">
        <v>340</v>
      </c>
      <c r="F967" s="3">
        <v>39.99</v>
      </c>
      <c r="G967" s="3" t="s">
        <v>2572</v>
      </c>
      <c r="H967" s="3"/>
      <c r="I967" s="3" t="s">
        <v>2573</v>
      </c>
      <c r="J967" s="3">
        <v>2</v>
      </c>
      <c r="K967" s="3">
        <v>2</v>
      </c>
      <c r="L967" s="3">
        <v>0</v>
      </c>
      <c r="M967" s="3">
        <v>0</v>
      </c>
      <c r="N967" s="3">
        <v>2</v>
      </c>
      <c r="O967" s="3">
        <v>0.28</v>
      </c>
      <c r="P967" s="3">
        <v>0</v>
      </c>
      <c r="Q967" s="3">
        <v>0</v>
      </c>
      <c r="R967" s="3">
        <v>0</v>
      </c>
    </row>
    <row r="968" spans="1:18">
      <c r="A968" s="3" t="s">
        <v>3769</v>
      </c>
      <c r="B968" s="3" t="s">
        <v>3770</v>
      </c>
      <c r="C968" s="3" t="s">
        <v>3771</v>
      </c>
      <c r="D968" s="3" t="s">
        <v>444</v>
      </c>
      <c r="E968" s="3" t="s">
        <v>340</v>
      </c>
      <c r="F968" s="3">
        <v>39.99</v>
      </c>
      <c r="G968" s="3" t="s">
        <v>2572</v>
      </c>
      <c r="H968" s="3"/>
      <c r="I968" s="3" t="s">
        <v>2573</v>
      </c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>
        <v>0.28</v>
      </c>
      <c r="P968" s="3">
        <v>0</v>
      </c>
      <c r="Q968" s="3">
        <v>0</v>
      </c>
      <c r="R968" s="3">
        <v>0</v>
      </c>
    </row>
    <row r="969" spans="1:18">
      <c r="A969" s="3" t="s">
        <v>3772</v>
      </c>
      <c r="B969" s="3" t="s">
        <v>3773</v>
      </c>
      <c r="C969" s="3" t="s">
        <v>3774</v>
      </c>
      <c r="D969" s="3" t="s">
        <v>3775</v>
      </c>
      <c r="E969" s="3" t="s">
        <v>340</v>
      </c>
      <c r="F969" s="3">
        <v>15.99</v>
      </c>
      <c r="G969" s="3" t="s">
        <v>2572</v>
      </c>
      <c r="H969" s="3"/>
      <c r="I969" s="3" t="s">
        <v>2573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0.06</v>
      </c>
      <c r="P969" s="3">
        <v>0</v>
      </c>
      <c r="Q969" s="3">
        <v>0</v>
      </c>
      <c r="R969" s="3">
        <v>0</v>
      </c>
    </row>
    <row r="970" spans="1:18">
      <c r="A970" s="3" t="s">
        <v>3776</v>
      </c>
      <c r="B970" s="3" t="s">
        <v>3777</v>
      </c>
      <c r="C970" s="3" t="s">
        <v>3778</v>
      </c>
      <c r="D970" s="3" t="s">
        <v>3779</v>
      </c>
      <c r="E970" s="3" t="s">
        <v>340</v>
      </c>
      <c r="F970" s="3">
        <v>17.99</v>
      </c>
      <c r="G970" s="3" t="s">
        <v>2572</v>
      </c>
      <c r="H970" s="3"/>
      <c r="I970" s="3" t="s">
        <v>2573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0.06</v>
      </c>
      <c r="P970" s="3">
        <v>0</v>
      </c>
      <c r="Q970" s="3">
        <v>0</v>
      </c>
      <c r="R970" s="3">
        <v>0</v>
      </c>
    </row>
    <row r="971" spans="1:18">
      <c r="A971" s="3" t="s">
        <v>233</v>
      </c>
      <c r="B971" s="3" t="s">
        <v>234</v>
      </c>
      <c r="C971" s="3" t="s">
        <v>235</v>
      </c>
      <c r="D971" s="3" t="s">
        <v>236</v>
      </c>
      <c r="E971" s="3" t="s">
        <v>340</v>
      </c>
      <c r="F971" s="3">
        <v>15.99</v>
      </c>
      <c r="G971" s="3" t="s">
        <v>2572</v>
      </c>
      <c r="H971" s="3"/>
      <c r="I971" s="3" t="s">
        <v>2573</v>
      </c>
      <c r="J971" s="3">
        <v>4</v>
      </c>
      <c r="K971" s="3">
        <v>2</v>
      </c>
      <c r="L971" s="3">
        <v>1</v>
      </c>
      <c r="M971" s="3">
        <v>1</v>
      </c>
      <c r="N971" s="3">
        <v>4</v>
      </c>
      <c r="O971" s="3">
        <v>0.06</v>
      </c>
      <c r="P971" s="3">
        <v>0</v>
      </c>
      <c r="Q971" s="3">
        <v>0</v>
      </c>
      <c r="R971" s="3">
        <v>0</v>
      </c>
    </row>
    <row r="972" spans="1:18">
      <c r="A972" s="3" t="s">
        <v>229</v>
      </c>
      <c r="B972" s="3" t="s">
        <v>230</v>
      </c>
      <c r="C972" s="3" t="s">
        <v>231</v>
      </c>
      <c r="D972" s="3" t="s">
        <v>232</v>
      </c>
      <c r="E972" s="3" t="s">
        <v>340</v>
      </c>
      <c r="F972" s="3">
        <v>17.99</v>
      </c>
      <c r="G972" s="3" t="s">
        <v>2572</v>
      </c>
      <c r="H972" s="3"/>
      <c r="I972" s="3" t="s">
        <v>2573</v>
      </c>
      <c r="J972" s="3">
        <v>6</v>
      </c>
      <c r="K972" s="3">
        <v>4</v>
      </c>
      <c r="L972" s="3">
        <v>0</v>
      </c>
      <c r="M972" s="3">
        <v>2</v>
      </c>
      <c r="N972" s="3">
        <v>6</v>
      </c>
      <c r="O972" s="3">
        <v>0.06</v>
      </c>
      <c r="P972" s="3">
        <v>0</v>
      </c>
      <c r="Q972" s="3">
        <v>0</v>
      </c>
      <c r="R972" s="3">
        <v>0</v>
      </c>
    </row>
    <row r="973" spans="1:18">
      <c r="A973" s="3" t="s">
        <v>2433</v>
      </c>
      <c r="B973" s="3" t="s">
        <v>2434</v>
      </c>
      <c r="C973" s="3" t="s">
        <v>2435</v>
      </c>
      <c r="D973" s="3" t="s">
        <v>2436</v>
      </c>
      <c r="E973" s="3" t="s">
        <v>340</v>
      </c>
      <c r="F973" s="3">
        <v>15.99</v>
      </c>
      <c r="G973" s="3" t="s">
        <v>2572</v>
      </c>
      <c r="H973" s="3"/>
      <c r="I973" s="3" t="s">
        <v>2573</v>
      </c>
      <c r="J973" s="3">
        <v>3</v>
      </c>
      <c r="K973" s="3">
        <v>3</v>
      </c>
      <c r="L973" s="3">
        <v>0</v>
      </c>
      <c r="M973" s="3">
        <v>0</v>
      </c>
      <c r="N973" s="3">
        <v>3</v>
      </c>
      <c r="O973" s="3">
        <v>0.06</v>
      </c>
      <c r="P973" s="3">
        <v>0</v>
      </c>
      <c r="Q973" s="3">
        <v>0</v>
      </c>
      <c r="R973" s="3">
        <v>0</v>
      </c>
    </row>
    <row r="974" spans="1:18">
      <c r="A974" s="3" t="s">
        <v>222</v>
      </c>
      <c r="B974" s="3" t="s">
        <v>223</v>
      </c>
      <c r="C974" s="3" t="s">
        <v>224</v>
      </c>
      <c r="D974" s="3" t="s">
        <v>225</v>
      </c>
      <c r="E974" s="3" t="s">
        <v>340</v>
      </c>
      <c r="F974" s="3">
        <v>11.99</v>
      </c>
      <c r="G974" s="3" t="s">
        <v>2572</v>
      </c>
      <c r="H974" s="3"/>
      <c r="I974" s="3" t="s">
        <v>2573</v>
      </c>
      <c r="J974" s="3">
        <v>9</v>
      </c>
      <c r="K974" s="3">
        <v>8</v>
      </c>
      <c r="L974" s="3">
        <v>0</v>
      </c>
      <c r="M974" s="3">
        <v>1</v>
      </c>
      <c r="N974" s="3">
        <v>9</v>
      </c>
      <c r="O974" s="3">
        <v>0.06</v>
      </c>
      <c r="P974" s="3">
        <v>0</v>
      </c>
      <c r="Q974" s="3">
        <v>0</v>
      </c>
      <c r="R974" s="3">
        <v>0</v>
      </c>
    </row>
    <row r="975" spans="1:18">
      <c r="A975" s="3" t="s">
        <v>2346</v>
      </c>
      <c r="B975" s="3" t="s">
        <v>2347</v>
      </c>
      <c r="C975" s="3" t="s">
        <v>2348</v>
      </c>
      <c r="D975" s="3" t="s">
        <v>1281</v>
      </c>
      <c r="E975" s="3" t="s">
        <v>340</v>
      </c>
      <c r="F975" s="3">
        <v>39.99</v>
      </c>
      <c r="G975" s="3" t="s">
        <v>2572</v>
      </c>
      <c r="H975" s="3"/>
      <c r="I975" s="3" t="s">
        <v>2573</v>
      </c>
      <c r="J975" s="3">
        <v>12</v>
      </c>
      <c r="K975" s="3">
        <v>12</v>
      </c>
      <c r="L975" s="3">
        <v>0</v>
      </c>
      <c r="M975" s="3">
        <v>0</v>
      </c>
      <c r="N975" s="3">
        <v>12</v>
      </c>
      <c r="O975" s="3">
        <v>0.07</v>
      </c>
      <c r="P975" s="3">
        <v>0</v>
      </c>
      <c r="Q975" s="3">
        <v>0</v>
      </c>
      <c r="R975" s="3">
        <v>0</v>
      </c>
    </row>
    <row r="976" spans="1:18">
      <c r="A976" s="3" t="s">
        <v>1278</v>
      </c>
      <c r="B976" s="3" t="s">
        <v>1279</v>
      </c>
      <c r="C976" s="3" t="s">
        <v>1280</v>
      </c>
      <c r="D976" s="3" t="s">
        <v>1281</v>
      </c>
      <c r="E976" s="3" t="s">
        <v>340</v>
      </c>
      <c r="F976" s="3">
        <v>39.99</v>
      </c>
      <c r="G976" s="3" t="s">
        <v>2572</v>
      </c>
      <c r="H976" s="3"/>
      <c r="I976" s="3" t="s">
        <v>2573</v>
      </c>
      <c r="J976" s="3">
        <v>7</v>
      </c>
      <c r="K976" s="3">
        <v>7</v>
      </c>
      <c r="L976" s="3">
        <v>0</v>
      </c>
      <c r="M976" s="3">
        <v>0</v>
      </c>
      <c r="N976" s="3">
        <v>7</v>
      </c>
      <c r="O976" s="3">
        <v>0.07</v>
      </c>
      <c r="P976" s="3">
        <v>0</v>
      </c>
      <c r="Q976" s="3">
        <v>0</v>
      </c>
      <c r="R976" s="3">
        <v>0</v>
      </c>
    </row>
    <row r="977" spans="1:18">
      <c r="A977" s="3" t="s">
        <v>1318</v>
      </c>
      <c r="B977" s="3" t="s">
        <v>1319</v>
      </c>
      <c r="C977" s="3" t="s">
        <v>1320</v>
      </c>
      <c r="D977" s="3" t="s">
        <v>1281</v>
      </c>
      <c r="E977" s="3" t="s">
        <v>340</v>
      </c>
      <c r="F977" s="3">
        <v>39.99</v>
      </c>
      <c r="G977" s="3" t="s">
        <v>2572</v>
      </c>
      <c r="H977" s="3"/>
      <c r="I977" s="3" t="s">
        <v>2573</v>
      </c>
      <c r="J977" s="3">
        <v>2</v>
      </c>
      <c r="K977" s="3">
        <v>1</v>
      </c>
      <c r="L977" s="3">
        <v>1</v>
      </c>
      <c r="M977" s="3">
        <v>0</v>
      </c>
      <c r="N977" s="3">
        <v>2</v>
      </c>
      <c r="O977" s="3">
        <v>0.06</v>
      </c>
      <c r="P977" s="3">
        <v>0</v>
      </c>
      <c r="Q977" s="3">
        <v>0</v>
      </c>
      <c r="R977" s="3">
        <v>0</v>
      </c>
    </row>
    <row r="978" spans="1:18">
      <c r="A978" s="3" t="s">
        <v>939</v>
      </c>
      <c r="B978" s="3" t="s">
        <v>940</v>
      </c>
      <c r="C978" s="3" t="s">
        <v>941</v>
      </c>
      <c r="D978" s="3" t="s">
        <v>942</v>
      </c>
      <c r="E978" s="3" t="s">
        <v>340</v>
      </c>
      <c r="F978" s="3">
        <v>39.99</v>
      </c>
      <c r="G978" s="3" t="s">
        <v>2572</v>
      </c>
      <c r="H978" s="3"/>
      <c r="I978" s="3" t="s">
        <v>2573</v>
      </c>
      <c r="J978" s="3">
        <v>1</v>
      </c>
      <c r="K978" s="3">
        <v>1</v>
      </c>
      <c r="L978" s="3">
        <v>0</v>
      </c>
      <c r="M978" s="3">
        <v>0</v>
      </c>
      <c r="N978" s="3">
        <v>1</v>
      </c>
      <c r="O978" s="3">
        <v>0.1</v>
      </c>
      <c r="P978" s="3">
        <v>0</v>
      </c>
      <c r="Q978" s="3">
        <v>0</v>
      </c>
      <c r="R978" s="3">
        <v>0</v>
      </c>
    </row>
    <row r="979" spans="1:18">
      <c r="A979" s="3" t="s">
        <v>3780</v>
      </c>
      <c r="B979" s="3" t="s">
        <v>3781</v>
      </c>
      <c r="C979" s="3" t="s">
        <v>3782</v>
      </c>
      <c r="D979" s="3" t="s">
        <v>942</v>
      </c>
      <c r="E979" s="3" t="s">
        <v>340</v>
      </c>
      <c r="F979" s="3">
        <v>39.99</v>
      </c>
      <c r="G979" s="3" t="s">
        <v>2572</v>
      </c>
      <c r="H979" s="3"/>
      <c r="I979" s="3" t="s">
        <v>2573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0.1</v>
      </c>
      <c r="P979" s="3">
        <v>0</v>
      </c>
      <c r="Q979" s="3">
        <v>0</v>
      </c>
      <c r="R979" s="3">
        <v>0</v>
      </c>
    </row>
    <row r="980" spans="1:18">
      <c r="A980" s="3" t="s">
        <v>3783</v>
      </c>
      <c r="B980" s="3" t="s">
        <v>3784</v>
      </c>
      <c r="C980" s="3" t="s">
        <v>3785</v>
      </c>
      <c r="D980" s="3" t="s">
        <v>3786</v>
      </c>
      <c r="E980" s="3" t="s">
        <v>340</v>
      </c>
      <c r="F980" s="3">
        <v>39.99</v>
      </c>
      <c r="G980" s="3" t="s">
        <v>2572</v>
      </c>
      <c r="H980" s="3"/>
      <c r="I980" s="3" t="s">
        <v>2573</v>
      </c>
      <c r="J980" s="3">
        <v>1</v>
      </c>
      <c r="K980" s="3">
        <v>0</v>
      </c>
      <c r="L980" s="3">
        <v>1</v>
      </c>
      <c r="M980" s="3">
        <v>0</v>
      </c>
      <c r="N980" s="3">
        <v>1</v>
      </c>
      <c r="O980" s="3">
        <v>0.1</v>
      </c>
      <c r="P980" s="3">
        <v>0</v>
      </c>
      <c r="Q980" s="3">
        <v>0</v>
      </c>
      <c r="R980" s="3">
        <v>0</v>
      </c>
    </row>
    <row r="981" spans="1:18">
      <c r="A981" s="3" t="s">
        <v>3787</v>
      </c>
      <c r="B981" s="3" t="s">
        <v>3788</v>
      </c>
      <c r="C981" s="3" t="s">
        <v>3789</v>
      </c>
      <c r="D981" s="3" t="s">
        <v>3786</v>
      </c>
      <c r="E981" s="3" t="s">
        <v>340</v>
      </c>
      <c r="F981" s="3">
        <v>39.99</v>
      </c>
      <c r="G981" s="3" t="s">
        <v>2572</v>
      </c>
      <c r="H981" s="3"/>
      <c r="I981" s="3" t="s">
        <v>2573</v>
      </c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>
        <v>0.1</v>
      </c>
      <c r="P981" s="3">
        <v>0</v>
      </c>
      <c r="Q981" s="3">
        <v>0</v>
      </c>
      <c r="R981" s="3">
        <v>0</v>
      </c>
    </row>
    <row r="982" spans="1:18">
      <c r="A982" s="3" t="s">
        <v>2057</v>
      </c>
      <c r="B982" s="3" t="s">
        <v>2058</v>
      </c>
      <c r="C982" s="3" t="s">
        <v>2059</v>
      </c>
      <c r="D982" s="3" t="s">
        <v>2060</v>
      </c>
      <c r="E982" s="3" t="s">
        <v>340</v>
      </c>
      <c r="F982" s="3">
        <v>39.99</v>
      </c>
      <c r="G982" s="3" t="s">
        <v>2572</v>
      </c>
      <c r="H982" s="3"/>
      <c r="I982" s="3" t="s">
        <v>2573</v>
      </c>
      <c r="J982" s="3">
        <v>8</v>
      </c>
      <c r="K982" s="3">
        <v>8</v>
      </c>
      <c r="L982" s="3">
        <v>0</v>
      </c>
      <c r="M982" s="3">
        <v>0</v>
      </c>
      <c r="N982" s="3">
        <v>8</v>
      </c>
      <c r="O982" s="3">
        <v>0.09</v>
      </c>
      <c r="P982" s="3">
        <v>0</v>
      </c>
      <c r="Q982" s="3">
        <v>0</v>
      </c>
      <c r="R982" s="3">
        <v>0</v>
      </c>
    </row>
    <row r="983" spans="1:18">
      <c r="A983" s="3" t="s">
        <v>226</v>
      </c>
      <c r="B983" s="3" t="s">
        <v>227</v>
      </c>
      <c r="C983" s="3" t="s">
        <v>228</v>
      </c>
      <c r="D983" s="3" t="s">
        <v>221</v>
      </c>
      <c r="E983" s="3" t="s">
        <v>340</v>
      </c>
      <c r="F983" s="3">
        <v>39.99</v>
      </c>
      <c r="G983" s="3" t="s">
        <v>2572</v>
      </c>
      <c r="H983" s="3"/>
      <c r="I983" s="3" t="s">
        <v>2573</v>
      </c>
      <c r="J983" s="3">
        <v>10</v>
      </c>
      <c r="K983" s="3">
        <v>8</v>
      </c>
      <c r="L983" s="3">
        <v>1</v>
      </c>
      <c r="M983" s="3">
        <v>1</v>
      </c>
      <c r="N983" s="3">
        <v>10</v>
      </c>
      <c r="O983" s="3">
        <v>0.11</v>
      </c>
      <c r="P983" s="3">
        <v>0</v>
      </c>
      <c r="Q983" s="3">
        <v>0</v>
      </c>
      <c r="R983" s="3">
        <v>0</v>
      </c>
    </row>
    <row r="984" spans="1:18">
      <c r="A984" s="3" t="s">
        <v>218</v>
      </c>
      <c r="B984" s="3" t="s">
        <v>219</v>
      </c>
      <c r="C984" s="3" t="s">
        <v>220</v>
      </c>
      <c r="D984" s="3" t="s">
        <v>221</v>
      </c>
      <c r="E984" s="3" t="s">
        <v>340</v>
      </c>
      <c r="F984" s="3">
        <v>39.99</v>
      </c>
      <c r="G984" s="3" t="s">
        <v>2572</v>
      </c>
      <c r="H984" s="3"/>
      <c r="I984" s="3" t="s">
        <v>2573</v>
      </c>
      <c r="J984" s="3">
        <v>11</v>
      </c>
      <c r="K984" s="3">
        <v>8</v>
      </c>
      <c r="L984" s="3">
        <v>2</v>
      </c>
      <c r="M984" s="3">
        <v>1</v>
      </c>
      <c r="N984" s="3">
        <v>11</v>
      </c>
      <c r="O984" s="3">
        <v>0.11</v>
      </c>
      <c r="P984" s="3">
        <v>0</v>
      </c>
      <c r="Q984" s="3">
        <v>0</v>
      </c>
      <c r="R984" s="3">
        <v>0</v>
      </c>
    </row>
    <row r="985" spans="1:18">
      <c r="A985" s="3" t="s">
        <v>3790</v>
      </c>
      <c r="B985" s="3" t="s">
        <v>3791</v>
      </c>
      <c r="C985" s="3" t="s">
        <v>3792</v>
      </c>
      <c r="D985" s="3" t="s">
        <v>221</v>
      </c>
      <c r="E985" s="3" t="s">
        <v>340</v>
      </c>
      <c r="F985" s="3">
        <v>39.99</v>
      </c>
      <c r="G985" s="3" t="s">
        <v>2572</v>
      </c>
      <c r="H985" s="3"/>
      <c r="I985" s="3" t="s">
        <v>2573</v>
      </c>
      <c r="J985" s="3">
        <v>3</v>
      </c>
      <c r="K985" s="3">
        <v>0</v>
      </c>
      <c r="L985" s="3">
        <v>3</v>
      </c>
      <c r="M985" s="3">
        <v>0</v>
      </c>
      <c r="N985" s="3">
        <v>3</v>
      </c>
      <c r="O985" s="3">
        <v>0.11</v>
      </c>
      <c r="P985" s="3">
        <v>0</v>
      </c>
      <c r="Q985" s="3">
        <v>0</v>
      </c>
      <c r="R985" s="3">
        <v>0</v>
      </c>
    </row>
    <row r="986" spans="1:18">
      <c r="A986" s="3" t="s">
        <v>3793</v>
      </c>
      <c r="B986" s="3" t="s">
        <v>3794</v>
      </c>
      <c r="C986" s="3" t="s">
        <v>3795</v>
      </c>
      <c r="D986" s="3" t="s">
        <v>221</v>
      </c>
      <c r="E986" s="3" t="s">
        <v>340</v>
      </c>
      <c r="F986" s="3">
        <v>39.99</v>
      </c>
      <c r="G986" s="3" t="s">
        <v>2572</v>
      </c>
      <c r="H986" s="3"/>
      <c r="I986" s="3" t="s">
        <v>2573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0.11</v>
      </c>
      <c r="P986" s="3">
        <v>0</v>
      </c>
      <c r="Q986" s="3">
        <v>0</v>
      </c>
      <c r="R986" s="3">
        <v>0</v>
      </c>
    </row>
    <row r="987" spans="1:18">
      <c r="A987" s="3" t="s">
        <v>254</v>
      </c>
      <c r="B987" s="3" t="s">
        <v>255</v>
      </c>
      <c r="C987" s="3" t="s">
        <v>256</v>
      </c>
      <c r="D987" s="3" t="s">
        <v>221</v>
      </c>
      <c r="E987" s="3" t="s">
        <v>340</v>
      </c>
      <c r="F987" s="3">
        <v>39.99</v>
      </c>
      <c r="G987" s="3" t="s">
        <v>2572</v>
      </c>
      <c r="H987" s="3"/>
      <c r="I987" s="3" t="s">
        <v>2573</v>
      </c>
      <c r="J987" s="3">
        <v>5</v>
      </c>
      <c r="K987" s="3">
        <v>4</v>
      </c>
      <c r="L987" s="3">
        <v>0</v>
      </c>
      <c r="M987" s="3">
        <v>1</v>
      </c>
      <c r="N987" s="3">
        <v>5</v>
      </c>
      <c r="O987" s="3">
        <v>0.11</v>
      </c>
      <c r="P987" s="3">
        <v>0</v>
      </c>
      <c r="Q987" s="3">
        <v>0</v>
      </c>
      <c r="R987" s="3">
        <v>0</v>
      </c>
    </row>
    <row r="988" spans="1:18">
      <c r="A988" s="3" t="s">
        <v>3796</v>
      </c>
      <c r="B988" s="3" t="s">
        <v>3797</v>
      </c>
      <c r="C988" s="3" t="s">
        <v>3798</v>
      </c>
      <c r="D988" s="3" t="s">
        <v>221</v>
      </c>
      <c r="E988" s="3" t="s">
        <v>340</v>
      </c>
      <c r="F988" s="3">
        <v>39.99</v>
      </c>
      <c r="G988" s="3" t="s">
        <v>2572</v>
      </c>
      <c r="H988" s="3"/>
      <c r="I988" s="3" t="s">
        <v>2573</v>
      </c>
      <c r="J988" s="3">
        <v>2</v>
      </c>
      <c r="K988" s="3">
        <v>0</v>
      </c>
      <c r="L988" s="3">
        <v>2</v>
      </c>
      <c r="M988" s="3">
        <v>0</v>
      </c>
      <c r="N988" s="3">
        <v>2</v>
      </c>
      <c r="O988" s="3">
        <v>0.11</v>
      </c>
      <c r="P988" s="3">
        <v>0</v>
      </c>
      <c r="Q988" s="3">
        <v>0</v>
      </c>
      <c r="R988" s="3">
        <v>0</v>
      </c>
    </row>
    <row r="989" spans="1:18">
      <c r="A989" s="3" t="s">
        <v>277</v>
      </c>
      <c r="B989" s="3" t="s">
        <v>278</v>
      </c>
      <c r="C989" s="3" t="s">
        <v>279</v>
      </c>
      <c r="D989" s="3" t="s">
        <v>260</v>
      </c>
      <c r="E989" s="3" t="s">
        <v>340</v>
      </c>
      <c r="F989" s="3">
        <v>21.99</v>
      </c>
      <c r="G989" s="3" t="s">
        <v>2572</v>
      </c>
      <c r="H989" s="3"/>
      <c r="I989" s="3" t="s">
        <v>2573</v>
      </c>
      <c r="J989" s="3">
        <v>33</v>
      </c>
      <c r="K989" s="3">
        <v>17</v>
      </c>
      <c r="L989" s="3">
        <v>15</v>
      </c>
      <c r="M989" s="3">
        <v>1</v>
      </c>
      <c r="N989" s="3">
        <v>33</v>
      </c>
      <c r="O989" s="3">
        <v>0.01</v>
      </c>
      <c r="P989" s="3">
        <v>0</v>
      </c>
      <c r="Q989" s="3">
        <v>0</v>
      </c>
      <c r="R989" s="3">
        <v>0</v>
      </c>
    </row>
    <row r="990" spans="1:18">
      <c r="A990" s="3" t="s">
        <v>257</v>
      </c>
      <c r="B990" s="3" t="s">
        <v>258</v>
      </c>
      <c r="C990" s="3" t="s">
        <v>259</v>
      </c>
      <c r="D990" s="3" t="s">
        <v>260</v>
      </c>
      <c r="E990" s="3" t="s">
        <v>340</v>
      </c>
      <c r="F990" s="3">
        <v>21.99</v>
      </c>
      <c r="G990" s="3" t="s">
        <v>2572</v>
      </c>
      <c r="H990" s="3"/>
      <c r="I990" s="3" t="s">
        <v>2573</v>
      </c>
      <c r="J990" s="3">
        <v>10</v>
      </c>
      <c r="K990" s="3">
        <v>7</v>
      </c>
      <c r="L990" s="3">
        <v>2</v>
      </c>
      <c r="M990" s="3">
        <v>1</v>
      </c>
      <c r="N990" s="3">
        <v>10</v>
      </c>
      <c r="O990" s="3">
        <v>0.01</v>
      </c>
      <c r="P990" s="3">
        <v>0</v>
      </c>
      <c r="Q990" s="3">
        <v>0</v>
      </c>
      <c r="R990" s="3">
        <v>0</v>
      </c>
    </row>
    <row r="991" spans="1:18">
      <c r="A991" s="3" t="s">
        <v>267</v>
      </c>
      <c r="B991" s="3" t="s">
        <v>268</v>
      </c>
      <c r="C991" s="3" t="s">
        <v>269</v>
      </c>
      <c r="D991" s="3" t="s">
        <v>243</v>
      </c>
      <c r="E991" s="3" t="s">
        <v>340</v>
      </c>
      <c r="F991" s="3">
        <v>21.99</v>
      </c>
      <c r="G991" s="3" t="s">
        <v>2572</v>
      </c>
      <c r="H991" s="3"/>
      <c r="I991" s="3" t="s">
        <v>2573</v>
      </c>
      <c r="J991" s="3">
        <v>22</v>
      </c>
      <c r="K991" s="3">
        <v>0</v>
      </c>
      <c r="L991" s="3">
        <v>18</v>
      </c>
      <c r="M991" s="3">
        <v>4</v>
      </c>
      <c r="N991" s="3">
        <v>22</v>
      </c>
      <c r="O991" s="3">
        <v>0.02</v>
      </c>
      <c r="P991" s="3">
        <v>0</v>
      </c>
      <c r="Q991" s="3">
        <v>0</v>
      </c>
      <c r="R991" s="3">
        <v>0</v>
      </c>
    </row>
    <row r="992" spans="1:18">
      <c r="A992" s="3" t="s">
        <v>264</v>
      </c>
      <c r="B992" s="3" t="s">
        <v>265</v>
      </c>
      <c r="C992" s="3" t="s">
        <v>266</v>
      </c>
      <c r="D992" s="3" t="s">
        <v>243</v>
      </c>
      <c r="E992" s="3" t="s">
        <v>340</v>
      </c>
      <c r="F992" s="3">
        <v>19.99</v>
      </c>
      <c r="G992" s="3" t="s">
        <v>2572</v>
      </c>
      <c r="H992" s="3"/>
      <c r="I992" s="3" t="s">
        <v>2573</v>
      </c>
      <c r="J992" s="3">
        <v>30</v>
      </c>
      <c r="K992" s="3">
        <v>1</v>
      </c>
      <c r="L992" s="3">
        <v>21</v>
      </c>
      <c r="M992" s="3">
        <v>8</v>
      </c>
      <c r="N992" s="3">
        <v>30</v>
      </c>
      <c r="O992" s="3">
        <v>0.01</v>
      </c>
      <c r="P992" s="3">
        <v>0</v>
      </c>
      <c r="Q992" s="3">
        <v>0</v>
      </c>
      <c r="R992" s="3">
        <v>0</v>
      </c>
    </row>
    <row r="993" spans="1:18">
      <c r="A993" s="3" t="s">
        <v>251</v>
      </c>
      <c r="B993" s="3" t="s">
        <v>252</v>
      </c>
      <c r="C993" s="3" t="s">
        <v>253</v>
      </c>
      <c r="D993" s="3" t="s">
        <v>243</v>
      </c>
      <c r="E993" s="3" t="s">
        <v>340</v>
      </c>
      <c r="F993" s="3">
        <v>19.99</v>
      </c>
      <c r="G993" s="3" t="s">
        <v>2572</v>
      </c>
      <c r="H993" s="3"/>
      <c r="I993" s="3" t="s">
        <v>2573</v>
      </c>
      <c r="J993" s="3">
        <v>6</v>
      </c>
      <c r="K993" s="3">
        <v>0</v>
      </c>
      <c r="L993" s="3">
        <v>5</v>
      </c>
      <c r="M993" s="3">
        <v>1</v>
      </c>
      <c r="N993" s="3">
        <v>6</v>
      </c>
      <c r="O993" s="3">
        <v>0.01</v>
      </c>
      <c r="P993" s="3">
        <v>0</v>
      </c>
      <c r="Q993" s="3">
        <v>0</v>
      </c>
      <c r="R993" s="3">
        <v>0</v>
      </c>
    </row>
    <row r="994" spans="1:18">
      <c r="A994" s="3" t="s">
        <v>240</v>
      </c>
      <c r="B994" s="3" t="s">
        <v>241</v>
      </c>
      <c r="C994" s="3" t="s">
        <v>242</v>
      </c>
      <c r="D994" s="3" t="s">
        <v>243</v>
      </c>
      <c r="E994" s="3" t="s">
        <v>340</v>
      </c>
      <c r="F994" s="3">
        <v>21.99</v>
      </c>
      <c r="G994" s="3" t="s">
        <v>2572</v>
      </c>
      <c r="H994" s="3"/>
      <c r="I994" s="3" t="s">
        <v>2573</v>
      </c>
      <c r="J994" s="3">
        <v>16</v>
      </c>
      <c r="K994" s="3">
        <v>0</v>
      </c>
      <c r="L994" s="3">
        <v>14</v>
      </c>
      <c r="M994" s="3">
        <v>2</v>
      </c>
      <c r="N994" s="3">
        <v>16</v>
      </c>
      <c r="O994" s="3">
        <v>0.01</v>
      </c>
      <c r="P994" s="3">
        <v>0</v>
      </c>
      <c r="Q994" s="3">
        <v>0</v>
      </c>
      <c r="R994" s="3">
        <v>0</v>
      </c>
    </row>
    <row r="995" spans="1:18">
      <c r="A995" s="3" t="s">
        <v>237</v>
      </c>
      <c r="B995" s="3" t="s">
        <v>238</v>
      </c>
      <c r="C995" s="3" t="s">
        <v>239</v>
      </c>
      <c r="D995" s="3" t="s">
        <v>221</v>
      </c>
      <c r="E995" s="3" t="s">
        <v>340</v>
      </c>
      <c r="F995" s="3">
        <v>39.99</v>
      </c>
      <c r="G995" s="3" t="s">
        <v>2572</v>
      </c>
      <c r="H995" s="3"/>
      <c r="I995" s="3" t="s">
        <v>2573</v>
      </c>
      <c r="J995" s="3">
        <v>3</v>
      </c>
      <c r="K995" s="3">
        <v>0</v>
      </c>
      <c r="L995" s="3">
        <v>0</v>
      </c>
      <c r="M995" s="3">
        <v>3</v>
      </c>
      <c r="N995" s="3">
        <v>3</v>
      </c>
      <c r="O995" s="3">
        <v>0.11</v>
      </c>
      <c r="P995" s="3">
        <v>0</v>
      </c>
      <c r="Q995" s="3">
        <v>0</v>
      </c>
      <c r="R995" s="3">
        <v>0</v>
      </c>
    </row>
    <row r="996" spans="1:18">
      <c r="A996" s="3" t="s">
        <v>280</v>
      </c>
      <c r="B996" s="3" t="s">
        <v>281</v>
      </c>
      <c r="C996" s="3" t="s">
        <v>282</v>
      </c>
      <c r="D996" s="3" t="s">
        <v>221</v>
      </c>
      <c r="E996" s="3" t="s">
        <v>340</v>
      </c>
      <c r="F996" s="3">
        <v>39.99</v>
      </c>
      <c r="G996" s="3" t="s">
        <v>2572</v>
      </c>
      <c r="H996" s="3"/>
      <c r="I996" s="3" t="s">
        <v>2573</v>
      </c>
      <c r="J996" s="3">
        <v>2</v>
      </c>
      <c r="K996" s="3">
        <v>0</v>
      </c>
      <c r="L996" s="3">
        <v>0</v>
      </c>
      <c r="M996" s="3">
        <v>2</v>
      </c>
      <c r="N996" s="3">
        <v>2</v>
      </c>
      <c r="O996" s="3">
        <v>0.11</v>
      </c>
      <c r="P996" s="3">
        <v>0</v>
      </c>
      <c r="Q996" s="3">
        <v>0</v>
      </c>
      <c r="R996" s="3">
        <v>0</v>
      </c>
    </row>
    <row r="997" spans="1:18">
      <c r="A997" s="3" t="s">
        <v>3799</v>
      </c>
      <c r="B997" s="3" t="s">
        <v>3800</v>
      </c>
      <c r="C997" s="3" t="s">
        <v>3801</v>
      </c>
      <c r="D997" s="3" t="s">
        <v>221</v>
      </c>
      <c r="E997" s="3" t="s">
        <v>340</v>
      </c>
      <c r="F997" s="3">
        <v>39.99</v>
      </c>
      <c r="G997" s="3" t="s">
        <v>2572</v>
      </c>
      <c r="H997" s="3"/>
      <c r="I997" s="3" t="s">
        <v>2573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0.11</v>
      </c>
      <c r="P997" s="3">
        <v>0</v>
      </c>
      <c r="Q997" s="3">
        <v>0</v>
      </c>
      <c r="R997" s="3">
        <v>0</v>
      </c>
    </row>
    <row r="998" spans="1:18">
      <c r="A998" s="3" t="s">
        <v>3802</v>
      </c>
      <c r="B998" s="3" t="s">
        <v>3803</v>
      </c>
      <c r="C998" s="3" t="s">
        <v>3804</v>
      </c>
      <c r="D998" s="3" t="s">
        <v>221</v>
      </c>
      <c r="E998" s="3" t="s">
        <v>340</v>
      </c>
      <c r="F998" s="3">
        <v>39.99</v>
      </c>
      <c r="G998" s="3" t="s">
        <v>2572</v>
      </c>
      <c r="H998" s="3"/>
      <c r="I998" s="3" t="s">
        <v>2573</v>
      </c>
      <c r="J998" s="3">
        <v>1</v>
      </c>
      <c r="K998" s="3">
        <v>0</v>
      </c>
      <c r="L998" s="3">
        <v>1</v>
      </c>
      <c r="M998" s="3">
        <v>0</v>
      </c>
      <c r="N998" s="3">
        <v>1</v>
      </c>
      <c r="O998" s="3">
        <v>0.11</v>
      </c>
      <c r="P998" s="3">
        <v>0</v>
      </c>
      <c r="Q998" s="3">
        <v>0</v>
      </c>
      <c r="R998" s="3">
        <v>0</v>
      </c>
    </row>
    <row r="999" spans="1:18">
      <c r="A999" s="3" t="s">
        <v>261</v>
      </c>
      <c r="B999" s="3" t="s">
        <v>262</v>
      </c>
      <c r="C999" s="3" t="s">
        <v>263</v>
      </c>
      <c r="D999" s="3" t="s">
        <v>221</v>
      </c>
      <c r="E999" s="3" t="s">
        <v>340</v>
      </c>
      <c r="F999" s="3">
        <v>39.99</v>
      </c>
      <c r="G999" s="3" t="s">
        <v>2572</v>
      </c>
      <c r="H999" s="3"/>
      <c r="I999" s="3" t="s">
        <v>2573</v>
      </c>
      <c r="J999" s="3">
        <v>3</v>
      </c>
      <c r="K999" s="3">
        <v>1</v>
      </c>
      <c r="L999" s="3">
        <v>1</v>
      </c>
      <c r="M999" s="3">
        <v>1</v>
      </c>
      <c r="N999" s="3">
        <v>3</v>
      </c>
      <c r="O999" s="3">
        <v>0.11</v>
      </c>
      <c r="P999" s="3">
        <v>0</v>
      </c>
      <c r="Q999" s="3">
        <v>0</v>
      </c>
      <c r="R999" s="3">
        <v>0</v>
      </c>
    </row>
    <row r="1000" spans="1:18">
      <c r="A1000" s="3" t="s">
        <v>274</v>
      </c>
      <c r="B1000" s="3" t="s">
        <v>275</v>
      </c>
      <c r="C1000" s="3" t="s">
        <v>276</v>
      </c>
      <c r="D1000" s="3" t="s">
        <v>221</v>
      </c>
      <c r="E1000" s="3" t="s">
        <v>340</v>
      </c>
      <c r="F1000" s="3">
        <v>39.99</v>
      </c>
      <c r="G1000" s="3" t="s">
        <v>2572</v>
      </c>
      <c r="H1000" s="3"/>
      <c r="I1000" s="3" t="s">
        <v>2573</v>
      </c>
      <c r="J1000" s="3">
        <v>6</v>
      </c>
      <c r="K1000" s="3">
        <v>1</v>
      </c>
      <c r="L1000" s="3">
        <v>3</v>
      </c>
      <c r="M1000" s="3">
        <v>2</v>
      </c>
      <c r="N1000" s="3">
        <v>6</v>
      </c>
      <c r="O1000" s="3">
        <v>0.11</v>
      </c>
      <c r="P1000" s="3">
        <v>0</v>
      </c>
      <c r="Q1000" s="3">
        <v>0</v>
      </c>
      <c r="R1000" s="3">
        <v>0</v>
      </c>
    </row>
    <row r="1001" spans="1:18">
      <c r="A1001" s="3" t="s">
        <v>3805</v>
      </c>
      <c r="B1001" s="3" t="s">
        <v>3806</v>
      </c>
      <c r="C1001" s="3" t="s">
        <v>3807</v>
      </c>
      <c r="D1001" s="3" t="s">
        <v>247</v>
      </c>
      <c r="E1001" s="3" t="s">
        <v>340</v>
      </c>
      <c r="F1001" s="3">
        <v>39.99</v>
      </c>
      <c r="G1001" s="3" t="s">
        <v>2572</v>
      </c>
      <c r="H1001" s="3"/>
      <c r="I1001" s="3" t="s">
        <v>2573</v>
      </c>
      <c r="J1001" s="3">
        <v>0</v>
      </c>
      <c r="K1001" s="3">
        <v>0</v>
      </c>
      <c r="L1001" s="3">
        <v>0</v>
      </c>
      <c r="M1001" s="3">
        <v>0</v>
      </c>
      <c r="N1001" s="3">
        <v>10</v>
      </c>
      <c r="O1001" s="3">
        <v>0.06</v>
      </c>
      <c r="P1001" s="3">
        <v>0</v>
      </c>
      <c r="Q1001" s="3">
        <v>10</v>
      </c>
      <c r="R1001" s="3">
        <v>0</v>
      </c>
    </row>
    <row r="1002" spans="1:18">
      <c r="A1002" s="3" t="s">
        <v>289</v>
      </c>
      <c r="B1002" s="3" t="s">
        <v>290</v>
      </c>
      <c r="C1002" s="3" t="s">
        <v>291</v>
      </c>
      <c r="D1002" s="3" t="s">
        <v>247</v>
      </c>
      <c r="E1002" s="3" t="s">
        <v>340</v>
      </c>
      <c r="F1002" s="3">
        <v>39.99</v>
      </c>
      <c r="G1002" s="3" t="s">
        <v>2572</v>
      </c>
      <c r="H1002" s="3"/>
      <c r="I1002" s="3" t="s">
        <v>2573</v>
      </c>
      <c r="J1002" s="3">
        <v>10</v>
      </c>
      <c r="K1002" s="3">
        <v>6</v>
      </c>
      <c r="L1002" s="3">
        <v>2</v>
      </c>
      <c r="M1002" s="3">
        <v>2</v>
      </c>
      <c r="N1002" s="3">
        <v>13</v>
      </c>
      <c r="O1002" s="3">
        <v>0.06</v>
      </c>
      <c r="P1002" s="3">
        <v>0</v>
      </c>
      <c r="Q1002" s="3">
        <v>3</v>
      </c>
      <c r="R1002" s="3">
        <v>0</v>
      </c>
    </row>
    <row r="1003" spans="1:18">
      <c r="A1003" s="3" t="s">
        <v>3808</v>
      </c>
      <c r="B1003" s="3" t="s">
        <v>3809</v>
      </c>
      <c r="C1003" s="3" t="s">
        <v>3810</v>
      </c>
      <c r="D1003" s="3" t="s">
        <v>247</v>
      </c>
      <c r="E1003" s="3" t="s">
        <v>340</v>
      </c>
      <c r="F1003" s="3">
        <v>39.99</v>
      </c>
      <c r="G1003" s="3" t="s">
        <v>2572</v>
      </c>
      <c r="H1003" s="3"/>
      <c r="I1003" s="3" t="s">
        <v>2573</v>
      </c>
      <c r="J1003" s="3">
        <v>0</v>
      </c>
      <c r="K1003" s="3">
        <v>0</v>
      </c>
      <c r="L1003" s="3">
        <v>0</v>
      </c>
      <c r="M1003" s="3">
        <v>0</v>
      </c>
      <c r="N1003" s="3">
        <v>3</v>
      </c>
      <c r="O1003" s="3">
        <v>0.06</v>
      </c>
      <c r="P1003" s="3">
        <v>0</v>
      </c>
      <c r="Q1003" s="3">
        <v>3</v>
      </c>
      <c r="R1003" s="3">
        <v>0</v>
      </c>
    </row>
    <row r="1004" spans="1:18">
      <c r="A1004" s="3" t="s">
        <v>283</v>
      </c>
      <c r="B1004" s="3" t="s">
        <v>284</v>
      </c>
      <c r="C1004" s="3" t="s">
        <v>285</v>
      </c>
      <c r="D1004" s="3" t="s">
        <v>247</v>
      </c>
      <c r="E1004" s="3" t="s">
        <v>340</v>
      </c>
      <c r="F1004" s="3">
        <v>39.99</v>
      </c>
      <c r="G1004" s="3" t="s">
        <v>2572</v>
      </c>
      <c r="H1004" s="3"/>
      <c r="I1004" s="3" t="s">
        <v>2573</v>
      </c>
      <c r="J1004" s="3">
        <v>4</v>
      </c>
      <c r="K1004" s="3">
        <v>2</v>
      </c>
      <c r="L1004" s="3">
        <v>1</v>
      </c>
      <c r="M1004" s="3">
        <v>1</v>
      </c>
      <c r="N1004" s="3">
        <v>7</v>
      </c>
      <c r="O1004" s="3">
        <v>0.06</v>
      </c>
      <c r="P1004" s="3">
        <v>0</v>
      </c>
      <c r="Q1004" s="3">
        <v>3</v>
      </c>
      <c r="R1004" s="3">
        <v>0</v>
      </c>
    </row>
    <row r="1005" spans="1:18">
      <c r="A1005" s="3" t="s">
        <v>244</v>
      </c>
      <c r="B1005" s="3" t="s">
        <v>245</v>
      </c>
      <c r="C1005" s="3" t="s">
        <v>246</v>
      </c>
      <c r="D1005" s="3" t="s">
        <v>247</v>
      </c>
      <c r="E1005" s="3" t="s">
        <v>340</v>
      </c>
      <c r="F1005" s="3">
        <v>39.99</v>
      </c>
      <c r="G1005" s="3" t="s">
        <v>2572</v>
      </c>
      <c r="H1005" s="3"/>
      <c r="I1005" s="3" t="s">
        <v>2573</v>
      </c>
      <c r="J1005" s="3">
        <v>6</v>
      </c>
      <c r="K1005" s="3">
        <v>0</v>
      </c>
      <c r="L1005" s="3">
        <v>4</v>
      </c>
      <c r="M1005" s="3">
        <v>2</v>
      </c>
      <c r="N1005" s="3">
        <v>21</v>
      </c>
      <c r="O1005" s="3">
        <v>0.06</v>
      </c>
      <c r="P1005" s="3">
        <v>0</v>
      </c>
      <c r="Q1005" s="3">
        <v>15</v>
      </c>
      <c r="R1005" s="3">
        <v>0</v>
      </c>
    </row>
    <row r="1006" spans="1:18">
      <c r="A1006" s="3" t="s">
        <v>1120</v>
      </c>
      <c r="B1006" s="3" t="s">
        <v>1121</v>
      </c>
      <c r="C1006" s="3" t="s">
        <v>1122</v>
      </c>
      <c r="D1006" s="3" t="s">
        <v>247</v>
      </c>
      <c r="E1006" s="3" t="s">
        <v>340</v>
      </c>
      <c r="F1006" s="3">
        <v>39.99</v>
      </c>
      <c r="G1006" s="3" t="s">
        <v>2572</v>
      </c>
      <c r="H1006" s="3"/>
      <c r="I1006" s="3" t="s">
        <v>2573</v>
      </c>
      <c r="J1006" s="3">
        <v>7</v>
      </c>
      <c r="K1006" s="3">
        <v>6</v>
      </c>
      <c r="L1006" s="3">
        <v>1</v>
      </c>
      <c r="M1006" s="3">
        <v>0</v>
      </c>
      <c r="N1006" s="3">
        <v>7</v>
      </c>
      <c r="O1006" s="3">
        <v>0.06</v>
      </c>
      <c r="P1006" s="3">
        <v>0</v>
      </c>
      <c r="Q1006" s="3">
        <v>0</v>
      </c>
      <c r="R1006" s="3">
        <v>0</v>
      </c>
    </row>
    <row r="1007" spans="1:18">
      <c r="A1007" s="3" t="s">
        <v>2440</v>
      </c>
      <c r="B1007" s="3" t="s">
        <v>2441</v>
      </c>
      <c r="C1007" s="3" t="s">
        <v>2442</v>
      </c>
      <c r="D1007" s="3" t="s">
        <v>2443</v>
      </c>
      <c r="E1007" s="3" t="s">
        <v>340</v>
      </c>
      <c r="F1007" s="3">
        <v>39.99</v>
      </c>
      <c r="G1007" s="3" t="s">
        <v>2572</v>
      </c>
      <c r="H1007" s="3"/>
      <c r="I1007" s="3" t="s">
        <v>2573</v>
      </c>
      <c r="J1007" s="3">
        <v>2</v>
      </c>
      <c r="K1007" s="3">
        <v>2</v>
      </c>
      <c r="L1007" s="3">
        <v>0</v>
      </c>
      <c r="M1007" s="3">
        <v>0</v>
      </c>
      <c r="N1007" s="3">
        <v>7</v>
      </c>
      <c r="O1007" s="3">
        <v>0.06</v>
      </c>
      <c r="P1007" s="3">
        <v>0</v>
      </c>
      <c r="Q1007" s="3">
        <v>5</v>
      </c>
      <c r="R1007" s="3">
        <v>0</v>
      </c>
    </row>
    <row r="1008" spans="1:18">
      <c r="A1008" s="3" t="s">
        <v>3811</v>
      </c>
      <c r="B1008" s="3" t="s">
        <v>3812</v>
      </c>
      <c r="C1008" s="3" t="s">
        <v>3813</v>
      </c>
      <c r="D1008" s="3" t="s">
        <v>247</v>
      </c>
      <c r="E1008" s="3" t="s">
        <v>340</v>
      </c>
      <c r="F1008" s="3">
        <v>39.99</v>
      </c>
      <c r="G1008" s="3" t="s">
        <v>2572</v>
      </c>
      <c r="H1008" s="3"/>
      <c r="I1008" s="3" t="s">
        <v>2573</v>
      </c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>
        <v>0.06</v>
      </c>
      <c r="P1008" s="3">
        <v>0</v>
      </c>
      <c r="Q1008" s="3">
        <v>0</v>
      </c>
      <c r="R1008" s="3">
        <v>0</v>
      </c>
    </row>
    <row r="1009" spans="1:18">
      <c r="A1009" s="3" t="s">
        <v>3814</v>
      </c>
      <c r="B1009" s="3" t="s">
        <v>3815</v>
      </c>
      <c r="C1009" s="3" t="s">
        <v>3816</v>
      </c>
      <c r="D1009" s="3" t="s">
        <v>247</v>
      </c>
      <c r="E1009" s="3" t="s">
        <v>340</v>
      </c>
      <c r="F1009" s="3">
        <v>39.99</v>
      </c>
      <c r="G1009" s="3" t="s">
        <v>2572</v>
      </c>
      <c r="H1009" s="3"/>
      <c r="I1009" s="3" t="s">
        <v>2573</v>
      </c>
      <c r="J1009" s="3">
        <v>1</v>
      </c>
      <c r="K1009" s="3">
        <v>0</v>
      </c>
      <c r="L1009" s="3">
        <v>1</v>
      </c>
      <c r="M1009" s="3">
        <v>0</v>
      </c>
      <c r="N1009" s="3">
        <v>11</v>
      </c>
      <c r="O1009" s="3">
        <v>0.06</v>
      </c>
      <c r="P1009" s="3">
        <v>0</v>
      </c>
      <c r="Q1009" s="3">
        <v>10</v>
      </c>
      <c r="R1009" s="3">
        <v>0</v>
      </c>
    </row>
    <row r="1010" spans="1:18">
      <c r="A1010" s="3" t="s">
        <v>3817</v>
      </c>
      <c r="B1010" s="3" t="s">
        <v>3818</v>
      </c>
      <c r="C1010" s="3" t="s">
        <v>3819</v>
      </c>
      <c r="D1010" s="3" t="s">
        <v>247</v>
      </c>
      <c r="E1010" s="3" t="s">
        <v>340</v>
      </c>
      <c r="F1010" s="3">
        <v>39.99</v>
      </c>
      <c r="G1010" s="3" t="s">
        <v>2572</v>
      </c>
      <c r="H1010" s="3"/>
      <c r="I1010" s="3" t="s">
        <v>2573</v>
      </c>
      <c r="J1010" s="3">
        <v>1</v>
      </c>
      <c r="K1010" s="3">
        <v>0</v>
      </c>
      <c r="L1010" s="3">
        <v>1</v>
      </c>
      <c r="M1010" s="3">
        <v>0</v>
      </c>
      <c r="N1010" s="3">
        <v>1</v>
      </c>
      <c r="O1010" s="3">
        <v>0.06</v>
      </c>
      <c r="P1010" s="3">
        <v>0</v>
      </c>
      <c r="Q1010" s="3">
        <v>0</v>
      </c>
      <c r="R1010" s="3">
        <v>0</v>
      </c>
    </row>
    <row r="1011" spans="1:18">
      <c r="A1011" s="3" t="s">
        <v>286</v>
      </c>
      <c r="B1011" s="3" t="s">
        <v>287</v>
      </c>
      <c r="C1011" s="3" t="s">
        <v>288</v>
      </c>
      <c r="D1011" s="3" t="s">
        <v>247</v>
      </c>
      <c r="E1011" s="3" t="s">
        <v>340</v>
      </c>
      <c r="F1011" s="3">
        <v>39.99</v>
      </c>
      <c r="G1011" s="3" t="s">
        <v>2572</v>
      </c>
      <c r="H1011" s="3"/>
      <c r="I1011" s="3" t="s">
        <v>2573</v>
      </c>
      <c r="J1011" s="3">
        <v>4</v>
      </c>
      <c r="K1011" s="3">
        <v>0</v>
      </c>
      <c r="L1011" s="3">
        <v>2</v>
      </c>
      <c r="M1011" s="3">
        <v>2</v>
      </c>
      <c r="N1011" s="3">
        <v>10</v>
      </c>
      <c r="O1011" s="3">
        <v>0.06</v>
      </c>
      <c r="P1011" s="3">
        <v>0</v>
      </c>
      <c r="Q1011" s="3">
        <v>6</v>
      </c>
      <c r="R1011" s="3">
        <v>0</v>
      </c>
    </row>
    <row r="1012" spans="1:18">
      <c r="A1012" s="3" t="s">
        <v>3820</v>
      </c>
      <c r="B1012" s="3" t="s">
        <v>3821</v>
      </c>
      <c r="C1012" s="3" t="s">
        <v>3822</v>
      </c>
      <c r="D1012" s="3" t="s">
        <v>247</v>
      </c>
      <c r="E1012" s="3" t="s">
        <v>340</v>
      </c>
      <c r="F1012" s="3">
        <v>39.99</v>
      </c>
      <c r="G1012" s="3" t="s">
        <v>2572</v>
      </c>
      <c r="H1012" s="3"/>
      <c r="I1012" s="3" t="s">
        <v>2573</v>
      </c>
      <c r="J1012" s="3">
        <v>2</v>
      </c>
      <c r="K1012" s="3">
        <v>0</v>
      </c>
      <c r="L1012" s="3">
        <v>2</v>
      </c>
      <c r="M1012" s="3">
        <v>0</v>
      </c>
      <c r="N1012" s="3">
        <v>7</v>
      </c>
      <c r="O1012" s="3">
        <v>0.06</v>
      </c>
      <c r="P1012" s="3">
        <v>0</v>
      </c>
      <c r="Q1012" s="3">
        <v>5</v>
      </c>
      <c r="R1012" s="3">
        <v>0</v>
      </c>
    </row>
    <row r="1013" spans="1:18">
      <c r="A1013" s="3" t="s">
        <v>3823</v>
      </c>
      <c r="B1013" s="3" t="s">
        <v>3824</v>
      </c>
      <c r="C1013" s="3" t="s">
        <v>3825</v>
      </c>
      <c r="D1013" s="3" t="s">
        <v>247</v>
      </c>
      <c r="E1013" s="3" t="s">
        <v>340</v>
      </c>
      <c r="F1013" s="3">
        <v>39.99</v>
      </c>
      <c r="G1013" s="3" t="s">
        <v>2572</v>
      </c>
      <c r="H1013" s="3"/>
      <c r="I1013" s="3" t="s">
        <v>2573</v>
      </c>
      <c r="J1013" s="3">
        <v>4</v>
      </c>
      <c r="K1013" s="3">
        <v>0</v>
      </c>
      <c r="L1013" s="3">
        <v>4</v>
      </c>
      <c r="M1013" s="3">
        <v>0</v>
      </c>
      <c r="N1013" s="3">
        <v>14</v>
      </c>
      <c r="O1013" s="3">
        <v>0.06</v>
      </c>
      <c r="P1013" s="3">
        <v>0</v>
      </c>
      <c r="Q1013" s="3">
        <v>10</v>
      </c>
      <c r="R1013" s="3">
        <v>0</v>
      </c>
    </row>
    <row r="1014" spans="1:18">
      <c r="A1014" s="3" t="s">
        <v>248</v>
      </c>
      <c r="B1014" s="3" t="s">
        <v>249</v>
      </c>
      <c r="C1014" s="3" t="s">
        <v>250</v>
      </c>
      <c r="D1014" s="3" t="s">
        <v>247</v>
      </c>
      <c r="E1014" s="3" t="s">
        <v>340</v>
      </c>
      <c r="F1014" s="3">
        <v>39.99</v>
      </c>
      <c r="G1014" s="3" t="s">
        <v>2572</v>
      </c>
      <c r="H1014" s="3"/>
      <c r="I1014" s="3" t="s">
        <v>2573</v>
      </c>
      <c r="J1014" s="3">
        <v>12</v>
      </c>
      <c r="K1014" s="3">
        <v>9</v>
      </c>
      <c r="L1014" s="3">
        <v>2</v>
      </c>
      <c r="M1014" s="3">
        <v>1</v>
      </c>
      <c r="N1014" s="3">
        <v>17</v>
      </c>
      <c r="O1014" s="3">
        <v>0.06</v>
      </c>
      <c r="P1014" s="3">
        <v>0</v>
      </c>
      <c r="Q1014" s="3">
        <v>5</v>
      </c>
      <c r="R1014" s="3">
        <v>0</v>
      </c>
    </row>
    <row r="1015" spans="1:18">
      <c r="A1015" s="3" t="s">
        <v>1952</v>
      </c>
      <c r="B1015" s="3" t="s">
        <v>1953</v>
      </c>
      <c r="C1015" s="3" t="s">
        <v>1954</v>
      </c>
      <c r="D1015" s="3" t="s">
        <v>247</v>
      </c>
      <c r="E1015" s="3" t="s">
        <v>340</v>
      </c>
      <c r="F1015" s="3">
        <v>39.99</v>
      </c>
      <c r="G1015" s="3" t="s">
        <v>2572</v>
      </c>
      <c r="H1015" s="3"/>
      <c r="I1015" s="3" t="s">
        <v>2573</v>
      </c>
      <c r="J1015" s="3">
        <v>10</v>
      </c>
      <c r="K1015" s="3">
        <v>8</v>
      </c>
      <c r="L1015" s="3">
        <v>2</v>
      </c>
      <c r="M1015" s="3">
        <v>0</v>
      </c>
      <c r="N1015" s="3">
        <v>15</v>
      </c>
      <c r="O1015" s="3">
        <v>0.06</v>
      </c>
      <c r="P1015" s="3">
        <v>0</v>
      </c>
      <c r="Q1015" s="3">
        <v>5</v>
      </c>
      <c r="R1015" s="3">
        <v>0</v>
      </c>
    </row>
    <row r="1016" spans="1:18">
      <c r="A1016" s="3" t="s">
        <v>3826</v>
      </c>
      <c r="B1016" s="3" t="s">
        <v>3827</v>
      </c>
      <c r="C1016" s="3" t="s">
        <v>3828</v>
      </c>
      <c r="D1016" s="3" t="s">
        <v>247</v>
      </c>
      <c r="E1016" s="3" t="s">
        <v>340</v>
      </c>
      <c r="F1016" s="3">
        <v>39.99</v>
      </c>
      <c r="G1016" s="3" t="s">
        <v>2572</v>
      </c>
      <c r="H1016" s="3"/>
      <c r="I1016" s="3" t="s">
        <v>2573</v>
      </c>
      <c r="J1016" s="3">
        <v>3</v>
      </c>
      <c r="K1016" s="3">
        <v>0</v>
      </c>
      <c r="L1016" s="3">
        <v>3</v>
      </c>
      <c r="M1016" s="3">
        <v>0</v>
      </c>
      <c r="N1016" s="3">
        <v>3</v>
      </c>
      <c r="O1016" s="3">
        <v>0.06</v>
      </c>
      <c r="P1016" s="3">
        <v>0</v>
      </c>
      <c r="Q1016" s="3">
        <v>0</v>
      </c>
      <c r="R1016" s="3">
        <v>0</v>
      </c>
    </row>
    <row r="1017" spans="1:18">
      <c r="A1017" s="3" t="s">
        <v>3829</v>
      </c>
      <c r="B1017" s="3" t="s">
        <v>3830</v>
      </c>
      <c r="C1017" s="3" t="s">
        <v>3831</v>
      </c>
      <c r="D1017" s="3"/>
      <c r="E1017" s="3" t="s">
        <v>2823</v>
      </c>
      <c r="F1017" s="3"/>
      <c r="G1017" s="3"/>
      <c r="H1017" s="3"/>
      <c r="I1017" s="3"/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/>
      <c r="P1017" s="3">
        <v>0</v>
      </c>
      <c r="Q1017" s="3">
        <v>0</v>
      </c>
      <c r="R1017" s="3">
        <v>0</v>
      </c>
    </row>
    <row r="1018" spans="1:18">
      <c r="A1018" s="3" t="s">
        <v>3832</v>
      </c>
      <c r="B1018" s="3" t="s">
        <v>3833</v>
      </c>
      <c r="C1018" s="3" t="s">
        <v>3834</v>
      </c>
      <c r="D1018" s="3"/>
      <c r="E1018" s="3" t="s">
        <v>2823</v>
      </c>
      <c r="F1018" s="3"/>
      <c r="G1018" s="3"/>
      <c r="H1018" s="3"/>
      <c r="I1018" s="3"/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/>
      <c r="P1018" s="3">
        <v>0</v>
      </c>
      <c r="Q1018" s="3">
        <v>0</v>
      </c>
      <c r="R1018" s="3">
        <v>0</v>
      </c>
    </row>
    <row r="1019" spans="1:18">
      <c r="A1019" s="3" t="s">
        <v>3835</v>
      </c>
      <c r="B1019" s="3" t="s">
        <v>3836</v>
      </c>
      <c r="C1019" s="3" t="s">
        <v>3837</v>
      </c>
      <c r="D1019" s="3" t="s">
        <v>2146</v>
      </c>
      <c r="E1019" s="3" t="s">
        <v>340</v>
      </c>
      <c r="F1019" s="3">
        <v>39.99</v>
      </c>
      <c r="G1019" s="3" t="s">
        <v>2572</v>
      </c>
      <c r="H1019" s="3"/>
      <c r="I1019" s="3" t="s">
        <v>2573</v>
      </c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>
        <v>0.13</v>
      </c>
      <c r="P1019" s="3">
        <v>0</v>
      </c>
      <c r="Q1019" s="3">
        <v>0</v>
      </c>
      <c r="R1019" s="3">
        <v>0</v>
      </c>
    </row>
    <row r="1020" spans="1:18">
      <c r="A1020" s="3" t="s">
        <v>3838</v>
      </c>
      <c r="B1020" s="3" t="s">
        <v>3839</v>
      </c>
      <c r="C1020" s="3" t="s">
        <v>3840</v>
      </c>
      <c r="D1020" s="3" t="s">
        <v>2146</v>
      </c>
      <c r="E1020" s="3" t="s">
        <v>340</v>
      </c>
      <c r="F1020" s="3">
        <v>39.99</v>
      </c>
      <c r="G1020" s="3" t="s">
        <v>2572</v>
      </c>
      <c r="H1020" s="3"/>
      <c r="I1020" s="3" t="s">
        <v>2573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0.12</v>
      </c>
      <c r="P1020" s="3">
        <v>0</v>
      </c>
      <c r="Q1020" s="3">
        <v>0</v>
      </c>
      <c r="R1020" s="3">
        <v>0</v>
      </c>
    </row>
    <row r="1021" spans="1:18">
      <c r="A1021" s="3" t="s">
        <v>2143</v>
      </c>
      <c r="B1021" s="3" t="s">
        <v>2144</v>
      </c>
      <c r="C1021" s="3" t="s">
        <v>2145</v>
      </c>
      <c r="D1021" s="3" t="s">
        <v>2146</v>
      </c>
      <c r="E1021" s="3" t="s">
        <v>340</v>
      </c>
      <c r="F1021" s="3">
        <v>39.99</v>
      </c>
      <c r="G1021" s="3" t="s">
        <v>2572</v>
      </c>
      <c r="H1021" s="3"/>
      <c r="I1021" s="3" t="s">
        <v>2573</v>
      </c>
      <c r="J1021" s="3">
        <v>2</v>
      </c>
      <c r="K1021" s="3">
        <v>1</v>
      </c>
      <c r="L1021" s="3">
        <v>1</v>
      </c>
      <c r="M1021" s="3">
        <v>0</v>
      </c>
      <c r="N1021" s="3">
        <v>2</v>
      </c>
      <c r="O1021" s="3">
        <v>0.08</v>
      </c>
      <c r="P1021" s="3">
        <v>0</v>
      </c>
      <c r="Q1021" s="3">
        <v>0</v>
      </c>
      <c r="R1021" s="3">
        <v>0</v>
      </c>
    </row>
    <row r="1022" spans="1:18">
      <c r="A1022" s="3" t="s">
        <v>3841</v>
      </c>
      <c r="B1022" s="3" t="s">
        <v>3842</v>
      </c>
      <c r="C1022" s="3" t="s">
        <v>3843</v>
      </c>
      <c r="D1022" s="3" t="s">
        <v>2146</v>
      </c>
      <c r="E1022" s="3" t="s">
        <v>340</v>
      </c>
      <c r="F1022" s="3">
        <v>39.99</v>
      </c>
      <c r="G1022" s="3" t="s">
        <v>2572</v>
      </c>
      <c r="H1022" s="3"/>
      <c r="I1022" s="3" t="s">
        <v>2573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0.08</v>
      </c>
      <c r="P1022" s="3">
        <v>0</v>
      </c>
      <c r="Q1022" s="3">
        <v>0</v>
      </c>
      <c r="R1022" s="3">
        <v>0</v>
      </c>
    </row>
    <row r="1023" spans="1:18">
      <c r="A1023" s="3" t="s">
        <v>3844</v>
      </c>
      <c r="B1023" s="3" t="s">
        <v>3845</v>
      </c>
      <c r="C1023" s="3" t="s">
        <v>3846</v>
      </c>
      <c r="D1023" s="3" t="s">
        <v>2146</v>
      </c>
      <c r="E1023" s="3" t="s">
        <v>340</v>
      </c>
      <c r="F1023" s="3">
        <v>39.99</v>
      </c>
      <c r="G1023" s="3" t="s">
        <v>2572</v>
      </c>
      <c r="H1023" s="3"/>
      <c r="I1023" s="3" t="s">
        <v>2573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0.13</v>
      </c>
      <c r="P1023" s="3">
        <v>0</v>
      </c>
      <c r="Q1023" s="3">
        <v>0</v>
      </c>
      <c r="R1023" s="3">
        <v>0</v>
      </c>
    </row>
    <row r="1024" spans="1:18">
      <c r="A1024" s="3" t="s">
        <v>270</v>
      </c>
      <c r="B1024" s="3" t="s">
        <v>271</v>
      </c>
      <c r="C1024" s="3" t="s">
        <v>272</v>
      </c>
      <c r="D1024" s="3" t="s">
        <v>273</v>
      </c>
      <c r="E1024" s="3" t="s">
        <v>340</v>
      </c>
      <c r="F1024" s="3">
        <v>29.99</v>
      </c>
      <c r="G1024" s="3" t="s">
        <v>2572</v>
      </c>
      <c r="H1024" s="3"/>
      <c r="I1024" s="3" t="s">
        <v>2573</v>
      </c>
      <c r="J1024" s="3">
        <v>2</v>
      </c>
      <c r="K1024" s="3">
        <v>0</v>
      </c>
      <c r="L1024" s="3">
        <v>0</v>
      </c>
      <c r="M1024" s="3">
        <v>2</v>
      </c>
      <c r="N1024" s="3">
        <v>2</v>
      </c>
      <c r="O1024" s="3">
        <v>0.09</v>
      </c>
      <c r="P1024" s="3">
        <v>0</v>
      </c>
      <c r="Q1024" s="3">
        <v>0</v>
      </c>
      <c r="R1024" s="3">
        <v>0</v>
      </c>
    </row>
    <row r="1025" spans="1:18">
      <c r="A1025" s="3" t="s">
        <v>1152</v>
      </c>
      <c r="B1025" s="3" t="s">
        <v>1153</v>
      </c>
      <c r="C1025" s="3" t="s">
        <v>1154</v>
      </c>
      <c r="D1025" s="3" t="s">
        <v>273</v>
      </c>
      <c r="E1025" s="3" t="s">
        <v>340</v>
      </c>
      <c r="F1025" s="3">
        <v>29.99</v>
      </c>
      <c r="G1025" s="3" t="s">
        <v>2572</v>
      </c>
      <c r="H1025" s="3"/>
      <c r="I1025" s="3" t="s">
        <v>2573</v>
      </c>
      <c r="J1025" s="3">
        <v>4</v>
      </c>
      <c r="K1025" s="3">
        <v>3</v>
      </c>
      <c r="L1025" s="3">
        <v>1</v>
      </c>
      <c r="M1025" s="3">
        <v>0</v>
      </c>
      <c r="N1025" s="3">
        <v>4</v>
      </c>
      <c r="O1025" s="3">
        <v>0.09</v>
      </c>
      <c r="P1025" s="3">
        <v>0</v>
      </c>
      <c r="Q1025" s="3">
        <v>0</v>
      </c>
      <c r="R1025" s="3">
        <v>0</v>
      </c>
    </row>
    <row r="1026" spans="1:18">
      <c r="A1026" s="3" t="s">
        <v>3847</v>
      </c>
      <c r="B1026" s="3" t="s">
        <v>3848</v>
      </c>
      <c r="C1026" s="3" t="s">
        <v>3849</v>
      </c>
      <c r="D1026" s="3" t="s">
        <v>273</v>
      </c>
      <c r="E1026" s="3" t="s">
        <v>340</v>
      </c>
      <c r="F1026" s="3">
        <v>29.99</v>
      </c>
      <c r="G1026" s="3" t="s">
        <v>2572</v>
      </c>
      <c r="H1026" s="3"/>
      <c r="I1026" s="3" t="s">
        <v>2573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0.09</v>
      </c>
      <c r="P1026" s="3">
        <v>0</v>
      </c>
      <c r="Q1026" s="3">
        <v>0</v>
      </c>
      <c r="R1026" s="3">
        <v>0</v>
      </c>
    </row>
    <row r="1027" spans="1:18">
      <c r="A1027" s="3" t="s">
        <v>3850</v>
      </c>
      <c r="B1027" s="3" t="s">
        <v>3851</v>
      </c>
      <c r="C1027" s="3" t="s">
        <v>3852</v>
      </c>
      <c r="D1027" s="3" t="s">
        <v>273</v>
      </c>
      <c r="E1027" s="3" t="s">
        <v>340</v>
      </c>
      <c r="F1027" s="3">
        <v>29.99</v>
      </c>
      <c r="G1027" s="3" t="s">
        <v>2572</v>
      </c>
      <c r="H1027" s="3"/>
      <c r="I1027" s="3" t="s">
        <v>2573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0.09</v>
      </c>
      <c r="P1027" s="3">
        <v>0</v>
      </c>
      <c r="Q1027" s="3">
        <v>0</v>
      </c>
      <c r="R1027" s="3">
        <v>0</v>
      </c>
    </row>
    <row r="1028" spans="1:18">
      <c r="A1028" s="3" t="s">
        <v>3853</v>
      </c>
      <c r="B1028" s="3" t="s">
        <v>3854</v>
      </c>
      <c r="C1028" s="3" t="s">
        <v>3855</v>
      </c>
      <c r="D1028" s="3" t="s">
        <v>273</v>
      </c>
      <c r="E1028" s="3" t="s">
        <v>340</v>
      </c>
      <c r="F1028" s="3">
        <v>29.99</v>
      </c>
      <c r="G1028" s="3" t="s">
        <v>2572</v>
      </c>
      <c r="H1028" s="3"/>
      <c r="I1028" s="3" t="s">
        <v>2573</v>
      </c>
      <c r="J1028" s="3">
        <v>1</v>
      </c>
      <c r="K1028" s="3">
        <v>0</v>
      </c>
      <c r="L1028" s="3">
        <v>1</v>
      </c>
      <c r="M1028" s="3">
        <v>0</v>
      </c>
      <c r="N1028" s="3">
        <v>1</v>
      </c>
      <c r="O1028" s="3">
        <v>0.09</v>
      </c>
      <c r="P1028" s="3">
        <v>0</v>
      </c>
      <c r="Q1028" s="3">
        <v>0</v>
      </c>
      <c r="R1028" s="3">
        <v>0</v>
      </c>
    </row>
    <row r="1029" spans="1:18">
      <c r="A1029" s="3" t="s">
        <v>2466</v>
      </c>
      <c r="B1029" s="3" t="s">
        <v>2467</v>
      </c>
      <c r="C1029" s="3" t="s">
        <v>2468</v>
      </c>
      <c r="D1029" s="3" t="s">
        <v>273</v>
      </c>
      <c r="E1029" s="3" t="s">
        <v>340</v>
      </c>
      <c r="F1029" s="3">
        <v>29.99</v>
      </c>
      <c r="G1029" s="3" t="s">
        <v>2572</v>
      </c>
      <c r="H1029" s="3"/>
      <c r="I1029" s="3" t="s">
        <v>2573</v>
      </c>
      <c r="J1029" s="3">
        <v>5</v>
      </c>
      <c r="K1029" s="3">
        <v>5</v>
      </c>
      <c r="L1029" s="3">
        <v>0</v>
      </c>
      <c r="M1029" s="3">
        <v>0</v>
      </c>
      <c r="N1029" s="3">
        <v>5</v>
      </c>
      <c r="O1029" s="3">
        <v>0.09</v>
      </c>
      <c r="P1029" s="3">
        <v>0</v>
      </c>
      <c r="Q1029" s="3">
        <v>0</v>
      </c>
      <c r="R1029" s="3">
        <v>0</v>
      </c>
    </row>
    <row r="1030" spans="1:18">
      <c r="A1030" s="3" t="s">
        <v>3856</v>
      </c>
      <c r="B1030" s="3" t="s">
        <v>3857</v>
      </c>
      <c r="C1030" s="3" t="s">
        <v>3858</v>
      </c>
      <c r="D1030" s="3" t="s">
        <v>273</v>
      </c>
      <c r="E1030" s="3" t="s">
        <v>340</v>
      </c>
      <c r="F1030" s="3">
        <v>29.99</v>
      </c>
      <c r="G1030" s="3" t="s">
        <v>2572</v>
      </c>
      <c r="H1030" s="3"/>
      <c r="I1030" s="3" t="s">
        <v>2573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0.09</v>
      </c>
      <c r="P1030" s="3">
        <v>0</v>
      </c>
      <c r="Q1030" s="3">
        <v>0</v>
      </c>
      <c r="R1030" s="3">
        <v>0</v>
      </c>
    </row>
    <row r="1031" spans="1:18">
      <c r="A1031" s="3" t="s">
        <v>3859</v>
      </c>
      <c r="B1031" s="3" t="s">
        <v>3860</v>
      </c>
      <c r="C1031" s="3" t="s">
        <v>3861</v>
      </c>
      <c r="D1031" s="3" t="s">
        <v>1941</v>
      </c>
      <c r="E1031" s="3" t="s">
        <v>340</v>
      </c>
      <c r="F1031" s="3">
        <v>19.9</v>
      </c>
      <c r="G1031" s="3" t="s">
        <v>2572</v>
      </c>
      <c r="H1031" s="3"/>
      <c r="I1031" s="3" t="s">
        <v>2573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0.1</v>
      </c>
      <c r="P1031" s="3">
        <v>0</v>
      </c>
      <c r="Q1031" s="3">
        <v>0</v>
      </c>
      <c r="R1031" s="3">
        <v>0</v>
      </c>
    </row>
    <row r="1032" spans="1:18">
      <c r="A1032" s="3" t="s">
        <v>1938</v>
      </c>
      <c r="B1032" s="3" t="s">
        <v>1939</v>
      </c>
      <c r="C1032" s="3" t="s">
        <v>1940</v>
      </c>
      <c r="D1032" s="3" t="s">
        <v>1941</v>
      </c>
      <c r="E1032" s="3" t="s">
        <v>340</v>
      </c>
      <c r="F1032" s="3">
        <v>19.9</v>
      </c>
      <c r="G1032" s="3" t="s">
        <v>2572</v>
      </c>
      <c r="H1032" s="3"/>
      <c r="I1032" s="3" t="s">
        <v>2573</v>
      </c>
      <c r="J1032" s="3">
        <v>3</v>
      </c>
      <c r="K1032" s="3">
        <v>3</v>
      </c>
      <c r="L1032" s="3">
        <v>0</v>
      </c>
      <c r="M1032" s="3">
        <v>0</v>
      </c>
      <c r="N1032" s="3">
        <v>3</v>
      </c>
      <c r="O1032" s="3">
        <v>0.1</v>
      </c>
      <c r="P1032" s="3">
        <v>0</v>
      </c>
      <c r="Q1032" s="3">
        <v>0</v>
      </c>
      <c r="R1032" s="3">
        <v>0</v>
      </c>
    </row>
    <row r="1033" spans="1:18">
      <c r="A1033" s="3" t="s">
        <v>3862</v>
      </c>
      <c r="B1033" s="3" t="s">
        <v>3863</v>
      </c>
      <c r="C1033" s="3" t="s">
        <v>3864</v>
      </c>
      <c r="D1033" s="3" t="s">
        <v>3703</v>
      </c>
      <c r="E1033" s="3" t="s">
        <v>340</v>
      </c>
      <c r="F1033" s="3">
        <v>19.9</v>
      </c>
      <c r="G1033" s="3" t="s">
        <v>2572</v>
      </c>
      <c r="H1033" s="3"/>
      <c r="I1033" s="3" t="s">
        <v>2573</v>
      </c>
      <c r="J1033" s="3">
        <v>1</v>
      </c>
      <c r="K1033" s="3">
        <v>0</v>
      </c>
      <c r="L1033" s="3">
        <v>1</v>
      </c>
      <c r="M1033" s="3">
        <v>0</v>
      </c>
      <c r="N1033" s="3">
        <v>1</v>
      </c>
      <c r="O1033" s="3">
        <v>0.07</v>
      </c>
      <c r="P1033" s="3">
        <v>0</v>
      </c>
      <c r="Q1033" s="3">
        <v>0</v>
      </c>
      <c r="R1033" s="3">
        <v>0</v>
      </c>
    </row>
    <row r="1034" spans="1:18">
      <c r="A1034" s="3" t="s">
        <v>3865</v>
      </c>
      <c r="B1034" s="3" t="s">
        <v>3866</v>
      </c>
      <c r="C1034" s="3" t="s">
        <v>3867</v>
      </c>
      <c r="D1034" s="3" t="s">
        <v>3703</v>
      </c>
      <c r="E1034" s="3" t="s">
        <v>340</v>
      </c>
      <c r="F1034" s="3">
        <v>19.9</v>
      </c>
      <c r="G1034" s="3" t="s">
        <v>2572</v>
      </c>
      <c r="H1034" s="3"/>
      <c r="I1034" s="3" t="s">
        <v>2573</v>
      </c>
      <c r="J1034" s="3">
        <v>1</v>
      </c>
      <c r="K1034" s="3">
        <v>0</v>
      </c>
      <c r="L1034" s="3">
        <v>1</v>
      </c>
      <c r="M1034" s="3">
        <v>0</v>
      </c>
      <c r="N1034" s="3">
        <v>1</v>
      </c>
      <c r="O1034" s="3">
        <v>0.07</v>
      </c>
      <c r="P1034" s="3">
        <v>0</v>
      </c>
      <c r="Q1034" s="3">
        <v>0</v>
      </c>
      <c r="R1034" s="3">
        <v>0</v>
      </c>
    </row>
    <row r="1035" spans="1:18">
      <c r="A1035" s="3" t="s">
        <v>3868</v>
      </c>
      <c r="B1035" s="3" t="s">
        <v>3869</v>
      </c>
      <c r="C1035" s="3" t="s">
        <v>3870</v>
      </c>
      <c r="D1035" s="3" t="s">
        <v>3703</v>
      </c>
      <c r="E1035" s="3" t="s">
        <v>340</v>
      </c>
      <c r="F1035" s="3">
        <v>19.9</v>
      </c>
      <c r="G1035" s="3" t="s">
        <v>2572</v>
      </c>
      <c r="H1035" s="3"/>
      <c r="I1035" s="3" t="s">
        <v>2573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0.07</v>
      </c>
      <c r="P1035" s="3">
        <v>0</v>
      </c>
      <c r="Q1035" s="3">
        <v>0</v>
      </c>
      <c r="R1035" s="3">
        <v>0</v>
      </c>
    </row>
    <row r="1036" spans="1:18">
      <c r="A1036" s="3" t="s">
        <v>3871</v>
      </c>
      <c r="B1036" s="3" t="s">
        <v>3872</v>
      </c>
      <c r="C1036" s="3" t="s">
        <v>3873</v>
      </c>
      <c r="D1036" s="3" t="s">
        <v>3703</v>
      </c>
      <c r="E1036" s="3" t="s">
        <v>340</v>
      </c>
      <c r="F1036" s="3">
        <v>19.9</v>
      </c>
      <c r="G1036" s="3" t="s">
        <v>2572</v>
      </c>
      <c r="H1036" s="3"/>
      <c r="I1036" s="3" t="s">
        <v>2573</v>
      </c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>
        <v>0.07</v>
      </c>
      <c r="P1036" s="3">
        <v>0</v>
      </c>
      <c r="Q1036" s="3">
        <v>0</v>
      </c>
      <c r="R1036" s="3">
        <v>0</v>
      </c>
    </row>
    <row r="1037" spans="1:18">
      <c r="A1037" s="3" t="s">
        <v>3874</v>
      </c>
      <c r="B1037" s="3" t="s">
        <v>3875</v>
      </c>
      <c r="C1037" s="3" t="s">
        <v>3876</v>
      </c>
      <c r="D1037" s="3" t="s">
        <v>3877</v>
      </c>
      <c r="E1037" s="3" t="s">
        <v>340</v>
      </c>
      <c r="F1037" s="3">
        <v>19.9</v>
      </c>
      <c r="G1037" s="3" t="s">
        <v>2572</v>
      </c>
      <c r="H1037" s="3"/>
      <c r="I1037" s="3" t="s">
        <v>2573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0.07</v>
      </c>
      <c r="P1037" s="3">
        <v>0</v>
      </c>
      <c r="Q1037" s="3">
        <v>0</v>
      </c>
      <c r="R1037" s="3">
        <v>0</v>
      </c>
    </row>
    <row r="1038" spans="1:18">
      <c r="A1038" s="3" t="s">
        <v>3878</v>
      </c>
      <c r="B1038" s="3" t="s">
        <v>3879</v>
      </c>
      <c r="C1038" s="3" t="s">
        <v>3880</v>
      </c>
      <c r="D1038" s="3" t="s">
        <v>3877</v>
      </c>
      <c r="E1038" s="3" t="s">
        <v>340</v>
      </c>
      <c r="F1038" s="3">
        <v>19.9</v>
      </c>
      <c r="G1038" s="3" t="s">
        <v>2572</v>
      </c>
      <c r="H1038" s="3"/>
      <c r="I1038" s="3" t="s">
        <v>2573</v>
      </c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>
        <v>0.07</v>
      </c>
      <c r="P1038" s="3">
        <v>0</v>
      </c>
      <c r="Q1038" s="3">
        <v>0</v>
      </c>
      <c r="R1038" s="3">
        <v>0</v>
      </c>
    </row>
    <row r="1039" spans="1:18">
      <c r="A1039" s="3" t="s">
        <v>3881</v>
      </c>
      <c r="B1039" s="3" t="s">
        <v>3882</v>
      </c>
      <c r="C1039" s="3" t="s">
        <v>3883</v>
      </c>
      <c r="D1039" s="3" t="s">
        <v>3877</v>
      </c>
      <c r="E1039" s="3" t="s">
        <v>340</v>
      </c>
      <c r="F1039" s="3">
        <v>19.9</v>
      </c>
      <c r="G1039" s="3" t="s">
        <v>2572</v>
      </c>
      <c r="H1039" s="3"/>
      <c r="I1039" s="3" t="s">
        <v>2573</v>
      </c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>
        <v>0.07</v>
      </c>
      <c r="P1039" s="3">
        <v>0</v>
      </c>
      <c r="Q1039" s="3">
        <v>0</v>
      </c>
      <c r="R1039" s="3">
        <v>0</v>
      </c>
    </row>
    <row r="1040" spans="1:18">
      <c r="A1040" s="3" t="s">
        <v>3884</v>
      </c>
      <c r="B1040" s="3" t="s">
        <v>3885</v>
      </c>
      <c r="C1040" s="3" t="s">
        <v>3886</v>
      </c>
      <c r="D1040" s="3" t="s">
        <v>3877</v>
      </c>
      <c r="E1040" s="3" t="s">
        <v>340</v>
      </c>
      <c r="F1040" s="3">
        <v>19.9</v>
      </c>
      <c r="G1040" s="3" t="s">
        <v>2572</v>
      </c>
      <c r="H1040" s="3"/>
      <c r="I1040" s="3" t="s">
        <v>2573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0.07</v>
      </c>
      <c r="P1040" s="3">
        <v>0</v>
      </c>
      <c r="Q1040" s="3">
        <v>0</v>
      </c>
      <c r="R1040" s="3">
        <v>0</v>
      </c>
    </row>
    <row r="1041" spans="1:18">
      <c r="A1041" s="3" t="s">
        <v>3887</v>
      </c>
      <c r="B1041" s="3" t="s">
        <v>3888</v>
      </c>
      <c r="C1041" s="3" t="s">
        <v>3889</v>
      </c>
      <c r="D1041" s="3" t="s">
        <v>3877</v>
      </c>
      <c r="E1041" s="3" t="s">
        <v>340</v>
      </c>
      <c r="F1041" s="3">
        <v>19.9</v>
      </c>
      <c r="G1041" s="3" t="s">
        <v>2572</v>
      </c>
      <c r="H1041" s="3"/>
      <c r="I1041" s="3" t="s">
        <v>2573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0.07</v>
      </c>
      <c r="P1041" s="3">
        <v>0</v>
      </c>
      <c r="Q1041" s="3">
        <v>0</v>
      </c>
      <c r="R1041" s="3">
        <v>0</v>
      </c>
    </row>
    <row r="1042" spans="1:18">
      <c r="A1042" s="3" t="s">
        <v>3890</v>
      </c>
      <c r="B1042" s="3" t="s">
        <v>3891</v>
      </c>
      <c r="C1042" s="3" t="s">
        <v>3892</v>
      </c>
      <c r="D1042" s="3" t="s">
        <v>303</v>
      </c>
      <c r="E1042" s="3" t="s">
        <v>340</v>
      </c>
      <c r="F1042" s="3">
        <v>39.99</v>
      </c>
      <c r="G1042" s="3" t="s">
        <v>2572</v>
      </c>
      <c r="H1042" s="3"/>
      <c r="I1042" s="3" t="s">
        <v>2573</v>
      </c>
      <c r="J1042" s="3">
        <v>2</v>
      </c>
      <c r="K1042" s="3">
        <v>0</v>
      </c>
      <c r="L1042" s="3">
        <v>2</v>
      </c>
      <c r="M1042" s="3">
        <v>0</v>
      </c>
      <c r="N1042" s="3">
        <v>2</v>
      </c>
      <c r="O1042" s="3">
        <v>0.1</v>
      </c>
      <c r="P1042" s="3">
        <v>0</v>
      </c>
      <c r="Q1042" s="3">
        <v>0</v>
      </c>
      <c r="R1042" s="3">
        <v>0</v>
      </c>
    </row>
    <row r="1043" spans="1:18">
      <c r="A1043" s="3" t="s">
        <v>300</v>
      </c>
      <c r="B1043" s="3" t="s">
        <v>301</v>
      </c>
      <c r="C1043" s="3" t="s">
        <v>302</v>
      </c>
      <c r="D1043" s="3" t="s">
        <v>303</v>
      </c>
      <c r="E1043" s="3" t="s">
        <v>340</v>
      </c>
      <c r="F1043" s="3">
        <v>39.99</v>
      </c>
      <c r="G1043" s="3" t="s">
        <v>2572</v>
      </c>
      <c r="H1043" s="3"/>
      <c r="I1043" s="3" t="s">
        <v>2573</v>
      </c>
      <c r="J1043" s="3">
        <v>6</v>
      </c>
      <c r="K1043" s="3">
        <v>2</v>
      </c>
      <c r="L1043" s="3">
        <v>3</v>
      </c>
      <c r="M1043" s="3">
        <v>1</v>
      </c>
      <c r="N1043" s="3">
        <v>6</v>
      </c>
      <c r="O1043" s="3">
        <v>0.1</v>
      </c>
      <c r="P1043" s="3">
        <v>0</v>
      </c>
      <c r="Q1043" s="3">
        <v>0</v>
      </c>
      <c r="R1043" s="3">
        <v>0</v>
      </c>
    </row>
    <row r="1044" spans="1:18">
      <c r="A1044" s="3" t="s">
        <v>3893</v>
      </c>
      <c r="B1044" s="3" t="s">
        <v>3894</v>
      </c>
      <c r="C1044" s="3" t="s">
        <v>3895</v>
      </c>
      <c r="D1044" s="3" t="s">
        <v>303</v>
      </c>
      <c r="E1044" s="3" t="s">
        <v>340</v>
      </c>
      <c r="F1044" s="3">
        <v>39.99</v>
      </c>
      <c r="G1044" s="3" t="s">
        <v>2572</v>
      </c>
      <c r="H1044" s="3"/>
      <c r="I1044" s="3" t="s">
        <v>2573</v>
      </c>
      <c r="J1044" s="3">
        <v>2</v>
      </c>
      <c r="K1044" s="3">
        <v>0</v>
      </c>
      <c r="L1044" s="3">
        <v>2</v>
      </c>
      <c r="M1044" s="3">
        <v>0</v>
      </c>
      <c r="N1044" s="3">
        <v>2</v>
      </c>
      <c r="O1044" s="3">
        <v>0.1</v>
      </c>
      <c r="P1044" s="3">
        <v>0</v>
      </c>
      <c r="Q1044" s="3">
        <v>0</v>
      </c>
      <c r="R1044" s="3">
        <v>0</v>
      </c>
    </row>
    <row r="1045" spans="1:18">
      <c r="A1045" s="3" t="s">
        <v>3896</v>
      </c>
      <c r="B1045" s="3" t="s">
        <v>3897</v>
      </c>
      <c r="C1045" s="3" t="s">
        <v>3898</v>
      </c>
      <c r="D1045" s="3" t="s">
        <v>303</v>
      </c>
      <c r="E1045" s="3" t="s">
        <v>340</v>
      </c>
      <c r="F1045" s="3">
        <v>39.99</v>
      </c>
      <c r="G1045" s="3" t="s">
        <v>2572</v>
      </c>
      <c r="H1045" s="3"/>
      <c r="I1045" s="3" t="s">
        <v>2573</v>
      </c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0.1</v>
      </c>
      <c r="P1045" s="3">
        <v>0</v>
      </c>
      <c r="Q1045" s="3">
        <v>0</v>
      </c>
      <c r="R1045" s="3">
        <v>0</v>
      </c>
    </row>
    <row r="1046" spans="1:18">
      <c r="A1046" s="3" t="s">
        <v>3899</v>
      </c>
      <c r="B1046" s="3" t="s">
        <v>3900</v>
      </c>
      <c r="C1046" s="3" t="s">
        <v>3901</v>
      </c>
      <c r="D1046" s="3" t="s">
        <v>303</v>
      </c>
      <c r="E1046" s="3" t="s">
        <v>340</v>
      </c>
      <c r="F1046" s="3">
        <v>39.99</v>
      </c>
      <c r="G1046" s="3" t="s">
        <v>2572</v>
      </c>
      <c r="H1046" s="3"/>
      <c r="I1046" s="3" t="s">
        <v>2573</v>
      </c>
      <c r="J1046" s="3">
        <v>2</v>
      </c>
      <c r="K1046" s="3">
        <v>0</v>
      </c>
      <c r="L1046" s="3">
        <v>2</v>
      </c>
      <c r="M1046" s="3">
        <v>0</v>
      </c>
      <c r="N1046" s="3">
        <v>2</v>
      </c>
      <c r="O1046" s="3">
        <v>0.1</v>
      </c>
      <c r="P1046" s="3">
        <v>0</v>
      </c>
      <c r="Q1046" s="3">
        <v>0</v>
      </c>
      <c r="R1046" s="3">
        <v>0</v>
      </c>
    </row>
    <row r="1047" spans="1:18">
      <c r="A1047" s="3" t="s">
        <v>3902</v>
      </c>
      <c r="B1047" s="3" t="s">
        <v>3903</v>
      </c>
      <c r="C1047" s="3" t="s">
        <v>3904</v>
      </c>
      <c r="D1047" s="3" t="s">
        <v>303</v>
      </c>
      <c r="E1047" s="3" t="s">
        <v>340</v>
      </c>
      <c r="F1047" s="3">
        <v>39.99</v>
      </c>
      <c r="G1047" s="3" t="s">
        <v>2572</v>
      </c>
      <c r="H1047" s="3"/>
      <c r="I1047" s="3" t="s">
        <v>2573</v>
      </c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>
        <v>0.1</v>
      </c>
      <c r="P1047" s="3">
        <v>0</v>
      </c>
      <c r="Q1047" s="3">
        <v>0</v>
      </c>
      <c r="R1047" s="3">
        <v>0</v>
      </c>
    </row>
    <row r="1048" spans="1:18">
      <c r="A1048" s="3" t="s">
        <v>3905</v>
      </c>
      <c r="B1048" s="3" t="s">
        <v>3906</v>
      </c>
      <c r="C1048" s="3" t="s">
        <v>3907</v>
      </c>
      <c r="D1048" s="3" t="s">
        <v>303</v>
      </c>
      <c r="E1048" s="3" t="s">
        <v>340</v>
      </c>
      <c r="F1048" s="3">
        <v>39.99</v>
      </c>
      <c r="G1048" s="3" t="s">
        <v>2572</v>
      </c>
      <c r="H1048" s="3"/>
      <c r="I1048" s="3" t="s">
        <v>2573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0.1</v>
      </c>
      <c r="P1048" s="3">
        <v>0</v>
      </c>
      <c r="Q1048" s="3">
        <v>0</v>
      </c>
      <c r="R1048" s="3">
        <v>0</v>
      </c>
    </row>
    <row r="1049" spans="1:18">
      <c r="A1049" s="3" t="s">
        <v>3908</v>
      </c>
      <c r="B1049" s="3" t="s">
        <v>3909</v>
      </c>
      <c r="C1049" s="3" t="s">
        <v>3910</v>
      </c>
      <c r="D1049" s="3" t="s">
        <v>303</v>
      </c>
      <c r="E1049" s="3" t="s">
        <v>340</v>
      </c>
      <c r="F1049" s="3">
        <v>39.99</v>
      </c>
      <c r="G1049" s="3" t="s">
        <v>2572</v>
      </c>
      <c r="H1049" s="3"/>
      <c r="I1049" s="3" t="s">
        <v>2573</v>
      </c>
      <c r="J1049" s="3">
        <v>1</v>
      </c>
      <c r="K1049" s="3">
        <v>0</v>
      </c>
      <c r="L1049" s="3">
        <v>1</v>
      </c>
      <c r="M1049" s="3">
        <v>0</v>
      </c>
      <c r="N1049" s="3">
        <v>1</v>
      </c>
      <c r="O1049" s="3">
        <v>0.1</v>
      </c>
      <c r="P1049" s="3">
        <v>0</v>
      </c>
      <c r="Q1049" s="3">
        <v>0</v>
      </c>
      <c r="R1049" s="3">
        <v>0</v>
      </c>
    </row>
    <row r="1050" spans="1:18">
      <c r="A1050" s="3" t="s">
        <v>292</v>
      </c>
      <c r="B1050" s="3" t="s">
        <v>293</v>
      </c>
      <c r="C1050" s="3" t="s">
        <v>294</v>
      </c>
      <c r="D1050" s="3" t="s">
        <v>295</v>
      </c>
      <c r="E1050" s="3" t="s">
        <v>340</v>
      </c>
      <c r="F1050" s="3">
        <v>39.99</v>
      </c>
      <c r="G1050" s="3" t="s">
        <v>2572</v>
      </c>
      <c r="H1050" s="3"/>
      <c r="I1050" s="3" t="s">
        <v>2573</v>
      </c>
      <c r="J1050" s="3">
        <v>6</v>
      </c>
      <c r="K1050" s="3">
        <v>2</v>
      </c>
      <c r="L1050" s="3">
        <v>3</v>
      </c>
      <c r="M1050" s="3">
        <v>1</v>
      </c>
      <c r="N1050" s="3">
        <v>7</v>
      </c>
      <c r="O1050" s="3">
        <v>0.1</v>
      </c>
      <c r="P1050" s="3">
        <v>0</v>
      </c>
      <c r="Q1050" s="3">
        <v>0</v>
      </c>
      <c r="R1050" s="3">
        <v>1</v>
      </c>
    </row>
    <row r="1051" spans="1:18">
      <c r="A1051" s="3" t="s">
        <v>3911</v>
      </c>
      <c r="B1051" s="3" t="s">
        <v>3912</v>
      </c>
      <c r="C1051" s="3" t="s">
        <v>3913</v>
      </c>
      <c r="D1051" s="3" t="s">
        <v>295</v>
      </c>
      <c r="E1051" s="3" t="s">
        <v>340</v>
      </c>
      <c r="F1051" s="3">
        <v>39.99</v>
      </c>
      <c r="G1051" s="3" t="s">
        <v>2572</v>
      </c>
      <c r="H1051" s="3"/>
      <c r="I1051" s="3" t="s">
        <v>2573</v>
      </c>
      <c r="J1051" s="3">
        <v>3</v>
      </c>
      <c r="K1051" s="3">
        <v>0</v>
      </c>
      <c r="L1051" s="3">
        <v>3</v>
      </c>
      <c r="M1051" s="3">
        <v>0</v>
      </c>
      <c r="N1051" s="3">
        <v>3</v>
      </c>
      <c r="O1051" s="3">
        <v>0.1</v>
      </c>
      <c r="P1051" s="3">
        <v>0</v>
      </c>
      <c r="Q1051" s="3">
        <v>0</v>
      </c>
      <c r="R1051" s="3">
        <v>0</v>
      </c>
    </row>
    <row r="1052" spans="1:18">
      <c r="A1052" s="3" t="s">
        <v>3914</v>
      </c>
      <c r="B1052" s="3" t="s">
        <v>3915</v>
      </c>
      <c r="C1052" s="3" t="s">
        <v>3916</v>
      </c>
      <c r="D1052" s="3" t="s">
        <v>295</v>
      </c>
      <c r="E1052" s="3" t="s">
        <v>340</v>
      </c>
      <c r="F1052" s="3">
        <v>39.99</v>
      </c>
      <c r="G1052" s="3" t="s">
        <v>2572</v>
      </c>
      <c r="H1052" s="3"/>
      <c r="I1052" s="3" t="s">
        <v>2573</v>
      </c>
      <c r="J1052" s="3">
        <v>3</v>
      </c>
      <c r="K1052" s="3">
        <v>0</v>
      </c>
      <c r="L1052" s="3">
        <v>3</v>
      </c>
      <c r="M1052" s="3">
        <v>0</v>
      </c>
      <c r="N1052" s="3">
        <v>3</v>
      </c>
      <c r="O1052" s="3">
        <v>0.1</v>
      </c>
      <c r="P1052" s="3">
        <v>0</v>
      </c>
      <c r="Q1052" s="3">
        <v>0</v>
      </c>
      <c r="R1052" s="3">
        <v>0</v>
      </c>
    </row>
    <row r="1053" spans="1:18">
      <c r="A1053" s="3" t="s">
        <v>3917</v>
      </c>
      <c r="B1053" s="3" t="s">
        <v>3918</v>
      </c>
      <c r="C1053" s="3" t="s">
        <v>3919</v>
      </c>
      <c r="D1053" s="3" t="s">
        <v>295</v>
      </c>
      <c r="E1053" s="3" t="s">
        <v>340</v>
      </c>
      <c r="F1053" s="3">
        <v>39.99</v>
      </c>
      <c r="G1053" s="3" t="s">
        <v>2572</v>
      </c>
      <c r="H1053" s="3"/>
      <c r="I1053" s="3" t="s">
        <v>2573</v>
      </c>
      <c r="J1053" s="3">
        <v>4</v>
      </c>
      <c r="K1053" s="3">
        <v>0</v>
      </c>
      <c r="L1053" s="3">
        <v>4</v>
      </c>
      <c r="M1053" s="3">
        <v>0</v>
      </c>
      <c r="N1053" s="3">
        <v>4</v>
      </c>
      <c r="O1053" s="3">
        <v>0.1</v>
      </c>
      <c r="P1053" s="3">
        <v>0</v>
      </c>
      <c r="Q1053" s="3">
        <v>0</v>
      </c>
      <c r="R1053" s="3">
        <v>0</v>
      </c>
    </row>
    <row r="1054" spans="1:18">
      <c r="A1054" s="3" t="s">
        <v>1651</v>
      </c>
      <c r="B1054" s="3" t="s">
        <v>1652</v>
      </c>
      <c r="C1054" s="3" t="s">
        <v>1653</v>
      </c>
      <c r="D1054" s="3" t="s">
        <v>295</v>
      </c>
      <c r="E1054" s="3" t="s">
        <v>340</v>
      </c>
      <c r="F1054" s="3">
        <v>39.99</v>
      </c>
      <c r="G1054" s="3" t="s">
        <v>2572</v>
      </c>
      <c r="H1054" s="3"/>
      <c r="I1054" s="3" t="s">
        <v>2573</v>
      </c>
      <c r="J1054" s="3">
        <v>2</v>
      </c>
      <c r="K1054" s="3">
        <v>0</v>
      </c>
      <c r="L1054" s="3">
        <v>2</v>
      </c>
      <c r="M1054" s="3">
        <v>0</v>
      </c>
      <c r="N1054" s="3">
        <v>2</v>
      </c>
      <c r="O1054" s="3">
        <v>0.1</v>
      </c>
      <c r="P1054" s="3">
        <v>0</v>
      </c>
      <c r="Q1054" s="3">
        <v>0</v>
      </c>
      <c r="R1054" s="3">
        <v>0</v>
      </c>
    </row>
    <row r="1055" spans="1:18">
      <c r="A1055" s="3" t="s">
        <v>3920</v>
      </c>
      <c r="B1055" s="3" t="s">
        <v>3921</v>
      </c>
      <c r="C1055" s="3" t="s">
        <v>3922</v>
      </c>
      <c r="D1055" s="3" t="s">
        <v>295</v>
      </c>
      <c r="E1055" s="3" t="s">
        <v>340</v>
      </c>
      <c r="F1055" s="3">
        <v>39.99</v>
      </c>
      <c r="G1055" s="3" t="s">
        <v>2572</v>
      </c>
      <c r="H1055" s="3"/>
      <c r="I1055" s="3" t="s">
        <v>2573</v>
      </c>
      <c r="J1055" s="3">
        <v>2</v>
      </c>
      <c r="K1055" s="3">
        <v>0</v>
      </c>
      <c r="L1055" s="3">
        <v>2</v>
      </c>
      <c r="M1055" s="3">
        <v>0</v>
      </c>
      <c r="N1055" s="3">
        <v>2</v>
      </c>
      <c r="O1055" s="3">
        <v>0.1</v>
      </c>
      <c r="P1055" s="3">
        <v>0</v>
      </c>
      <c r="Q1055" s="3">
        <v>0</v>
      </c>
      <c r="R1055" s="3">
        <v>0</v>
      </c>
    </row>
    <row r="1056" spans="1:18">
      <c r="A1056" s="3" t="s">
        <v>1426</v>
      </c>
      <c r="B1056" s="3" t="s">
        <v>1427</v>
      </c>
      <c r="C1056" s="3" t="s">
        <v>1428</v>
      </c>
      <c r="D1056" s="3" t="s">
        <v>295</v>
      </c>
      <c r="E1056" s="3" t="s">
        <v>340</v>
      </c>
      <c r="F1056" s="3">
        <v>39.99</v>
      </c>
      <c r="G1056" s="3" t="s">
        <v>2572</v>
      </c>
      <c r="H1056" s="3"/>
      <c r="I1056" s="3" t="s">
        <v>2573</v>
      </c>
      <c r="J1056" s="3">
        <v>1</v>
      </c>
      <c r="K1056" s="3">
        <v>1</v>
      </c>
      <c r="L1056" s="3">
        <v>0</v>
      </c>
      <c r="M1056" s="3">
        <v>0</v>
      </c>
      <c r="N1056" s="3">
        <v>1</v>
      </c>
      <c r="O1056" s="3">
        <v>0.1</v>
      </c>
      <c r="P1056" s="3">
        <v>0</v>
      </c>
      <c r="Q1056" s="3">
        <v>0</v>
      </c>
      <c r="R1056" s="3">
        <v>0</v>
      </c>
    </row>
    <row r="1057" spans="1:18">
      <c r="A1057" s="3" t="s">
        <v>3923</v>
      </c>
      <c r="B1057" s="3" t="s">
        <v>3924</v>
      </c>
      <c r="C1057" s="3" t="s">
        <v>3925</v>
      </c>
      <c r="D1057" s="3" t="s">
        <v>295</v>
      </c>
      <c r="E1057" s="3" t="s">
        <v>340</v>
      </c>
      <c r="F1057" s="3">
        <v>39.99</v>
      </c>
      <c r="G1057" s="3" t="s">
        <v>2572</v>
      </c>
      <c r="H1057" s="3"/>
      <c r="I1057" s="3" t="s">
        <v>2573</v>
      </c>
      <c r="J1057" s="3">
        <v>2</v>
      </c>
      <c r="K1057" s="3">
        <v>0</v>
      </c>
      <c r="L1057" s="3">
        <v>2</v>
      </c>
      <c r="M1057" s="3">
        <v>0</v>
      </c>
      <c r="N1057" s="3">
        <v>2</v>
      </c>
      <c r="O1057" s="3">
        <v>0.1</v>
      </c>
      <c r="P1057" s="3">
        <v>0</v>
      </c>
      <c r="Q1057" s="3">
        <v>0</v>
      </c>
      <c r="R1057" s="3">
        <v>0</v>
      </c>
    </row>
    <row r="1058" spans="1:18">
      <c r="A1058" s="3" t="s">
        <v>296</v>
      </c>
      <c r="B1058" s="3" t="s">
        <v>297</v>
      </c>
      <c r="C1058" s="3" t="s">
        <v>298</v>
      </c>
      <c r="D1058" s="3" t="s">
        <v>299</v>
      </c>
      <c r="E1058" s="3" t="s">
        <v>340</v>
      </c>
      <c r="F1058" s="3">
        <v>19.99</v>
      </c>
      <c r="G1058" s="3" t="s">
        <v>2572</v>
      </c>
      <c r="H1058" s="3"/>
      <c r="I1058" s="3" t="s">
        <v>2573</v>
      </c>
      <c r="J1058" s="3">
        <v>2</v>
      </c>
      <c r="K1058" s="3">
        <v>1</v>
      </c>
      <c r="L1058" s="3">
        <v>0</v>
      </c>
      <c r="M1058" s="3">
        <v>1</v>
      </c>
      <c r="N1058" s="3">
        <v>2</v>
      </c>
      <c r="O1058" s="3">
        <v>0.13</v>
      </c>
      <c r="P1058" s="3">
        <v>0</v>
      </c>
      <c r="Q1058" s="3">
        <v>0</v>
      </c>
      <c r="R1058" s="3">
        <v>0</v>
      </c>
    </row>
    <row r="1059" spans="1:18">
      <c r="A1059" s="3" t="s">
        <v>2293</v>
      </c>
      <c r="B1059" s="3" t="s">
        <v>2294</v>
      </c>
      <c r="C1059" s="3" t="s">
        <v>2295</v>
      </c>
      <c r="D1059" s="3" t="s">
        <v>2296</v>
      </c>
      <c r="E1059" s="3" t="s">
        <v>340</v>
      </c>
      <c r="F1059" s="3">
        <v>19.99</v>
      </c>
      <c r="G1059" s="3" t="s">
        <v>2572</v>
      </c>
      <c r="H1059" s="3"/>
      <c r="I1059" s="3" t="s">
        <v>2573</v>
      </c>
      <c r="J1059" s="3">
        <v>3</v>
      </c>
      <c r="K1059" s="3">
        <v>3</v>
      </c>
      <c r="L1059" s="3">
        <v>0</v>
      </c>
      <c r="M1059" s="3">
        <v>0</v>
      </c>
      <c r="N1059" s="3">
        <v>3</v>
      </c>
      <c r="O1059" s="3">
        <v>0.13</v>
      </c>
      <c r="P1059" s="3">
        <v>0</v>
      </c>
      <c r="Q1059" s="3">
        <v>0</v>
      </c>
      <c r="R1059" s="3">
        <v>0</v>
      </c>
    </row>
    <row r="1060" spans="1:18">
      <c r="A1060" s="3" t="s">
        <v>1244</v>
      </c>
      <c r="B1060" s="3" t="s">
        <v>1245</v>
      </c>
      <c r="C1060" s="3" t="s">
        <v>1246</v>
      </c>
      <c r="D1060" s="3" t="s">
        <v>1247</v>
      </c>
      <c r="E1060" s="3" t="s">
        <v>340</v>
      </c>
      <c r="F1060" s="3">
        <v>19.99</v>
      </c>
      <c r="G1060" s="3" t="s">
        <v>2572</v>
      </c>
      <c r="H1060" s="3"/>
      <c r="I1060" s="3" t="s">
        <v>2573</v>
      </c>
      <c r="J1060" s="3">
        <v>4</v>
      </c>
      <c r="K1060" s="3">
        <v>4</v>
      </c>
      <c r="L1060" s="3">
        <v>0</v>
      </c>
      <c r="M1060" s="3">
        <v>0</v>
      </c>
      <c r="N1060" s="3">
        <v>4</v>
      </c>
      <c r="O1060" s="3">
        <v>0.13</v>
      </c>
      <c r="P1060" s="3">
        <v>0</v>
      </c>
      <c r="Q1060" s="3">
        <v>0</v>
      </c>
      <c r="R1060" s="3">
        <v>0</v>
      </c>
    </row>
    <row r="1061" spans="1:18">
      <c r="A1061" s="3" t="s">
        <v>3926</v>
      </c>
      <c r="B1061" s="3" t="s">
        <v>3927</v>
      </c>
      <c r="C1061" s="3" t="s">
        <v>3928</v>
      </c>
      <c r="D1061" s="3" t="s">
        <v>3929</v>
      </c>
      <c r="E1061" s="3" t="s">
        <v>340</v>
      </c>
      <c r="F1061" s="3">
        <v>19.99</v>
      </c>
      <c r="G1061" s="3" t="s">
        <v>2572</v>
      </c>
      <c r="H1061" s="3"/>
      <c r="I1061" s="3" t="s">
        <v>2573</v>
      </c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>
        <v>0.13</v>
      </c>
      <c r="P1061" s="3">
        <v>0</v>
      </c>
      <c r="Q1061" s="3">
        <v>0</v>
      </c>
      <c r="R1061" s="3">
        <v>0</v>
      </c>
    </row>
    <row r="1062" spans="1:18">
      <c r="A1062" s="3" t="s">
        <v>3930</v>
      </c>
      <c r="B1062" s="3" t="s">
        <v>3931</v>
      </c>
      <c r="C1062" s="3" t="s">
        <v>3932</v>
      </c>
      <c r="D1062" s="3" t="s">
        <v>3933</v>
      </c>
      <c r="E1062" s="3" t="s">
        <v>340</v>
      </c>
      <c r="F1062" s="3">
        <v>39.99</v>
      </c>
      <c r="G1062" s="3" t="s">
        <v>2572</v>
      </c>
      <c r="H1062" s="3"/>
      <c r="I1062" s="3" t="s">
        <v>2573</v>
      </c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>
        <v>0.15</v>
      </c>
      <c r="P1062" s="3">
        <v>0</v>
      </c>
      <c r="Q1062" s="3">
        <v>0</v>
      </c>
      <c r="R1062" s="3">
        <v>0</v>
      </c>
    </row>
    <row r="1063" spans="1:18">
      <c r="A1063" s="3" t="s">
        <v>3934</v>
      </c>
      <c r="B1063" s="3" t="s">
        <v>3935</v>
      </c>
      <c r="C1063" s="3" t="s">
        <v>3936</v>
      </c>
      <c r="D1063" s="3" t="s">
        <v>3933</v>
      </c>
      <c r="E1063" s="3" t="s">
        <v>340</v>
      </c>
      <c r="F1063" s="3">
        <v>39.99</v>
      </c>
      <c r="G1063" s="3" t="s">
        <v>2572</v>
      </c>
      <c r="H1063" s="3"/>
      <c r="I1063" s="3" t="s">
        <v>2573</v>
      </c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>
        <v>0.15</v>
      </c>
      <c r="P1063" s="3">
        <v>0</v>
      </c>
      <c r="Q1063" s="3">
        <v>0</v>
      </c>
      <c r="R1063" s="3">
        <v>0</v>
      </c>
    </row>
    <row r="1064" spans="1:18">
      <c r="A1064" s="3" t="s">
        <v>3937</v>
      </c>
      <c r="B1064" s="3" t="s">
        <v>3938</v>
      </c>
      <c r="C1064" s="3" t="s">
        <v>3939</v>
      </c>
      <c r="D1064" s="3" t="s">
        <v>1495</v>
      </c>
      <c r="E1064" s="3" t="s">
        <v>340</v>
      </c>
      <c r="F1064" s="3">
        <v>39.99</v>
      </c>
      <c r="G1064" s="3" t="s">
        <v>2572</v>
      </c>
      <c r="H1064" s="3"/>
      <c r="I1064" s="3" t="s">
        <v>2573</v>
      </c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>
        <v>0.08</v>
      </c>
      <c r="P1064" s="3">
        <v>0</v>
      </c>
      <c r="Q1064" s="3">
        <v>0</v>
      </c>
      <c r="R1064" s="3">
        <v>0</v>
      </c>
    </row>
    <row r="1065" spans="1:18">
      <c r="A1065" s="3" t="s">
        <v>3940</v>
      </c>
      <c r="B1065" s="3" t="s">
        <v>3941</v>
      </c>
      <c r="C1065" s="3" t="s">
        <v>3942</v>
      </c>
      <c r="D1065" s="3" t="s">
        <v>1495</v>
      </c>
      <c r="E1065" s="3" t="s">
        <v>340</v>
      </c>
      <c r="F1065" s="3">
        <v>39.99</v>
      </c>
      <c r="G1065" s="3" t="s">
        <v>2572</v>
      </c>
      <c r="H1065" s="3"/>
      <c r="I1065" s="3" t="s">
        <v>2573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0.08</v>
      </c>
      <c r="P1065" s="3">
        <v>0</v>
      </c>
      <c r="Q1065" s="3">
        <v>0</v>
      </c>
      <c r="R1065" s="3">
        <v>0</v>
      </c>
    </row>
    <row r="1066" spans="1:18">
      <c r="A1066" s="3" t="s">
        <v>2519</v>
      </c>
      <c r="B1066" s="3" t="s">
        <v>2520</v>
      </c>
      <c r="C1066" s="3" t="s">
        <v>2521</v>
      </c>
      <c r="D1066" s="3" t="s">
        <v>1495</v>
      </c>
      <c r="E1066" s="3" t="s">
        <v>340</v>
      </c>
      <c r="F1066" s="3">
        <v>39.99</v>
      </c>
      <c r="G1066" s="3" t="s">
        <v>2572</v>
      </c>
      <c r="H1066" s="3"/>
      <c r="I1066" s="3" t="s">
        <v>2573</v>
      </c>
      <c r="J1066" s="3">
        <v>9</v>
      </c>
      <c r="K1066" s="3">
        <v>9</v>
      </c>
      <c r="L1066" s="3">
        <v>0</v>
      </c>
      <c r="M1066" s="3">
        <v>0</v>
      </c>
      <c r="N1066" s="3">
        <v>9</v>
      </c>
      <c r="O1066" s="3">
        <v>0.08</v>
      </c>
      <c r="P1066" s="3">
        <v>0</v>
      </c>
      <c r="Q1066" s="3">
        <v>0</v>
      </c>
      <c r="R1066" s="3">
        <v>0</v>
      </c>
    </row>
    <row r="1067" spans="1:18">
      <c r="A1067" s="3" t="s">
        <v>3943</v>
      </c>
      <c r="B1067" s="3" t="s">
        <v>3944</v>
      </c>
      <c r="C1067" s="3" t="s">
        <v>3945</v>
      </c>
      <c r="D1067" s="3" t="s">
        <v>1495</v>
      </c>
      <c r="E1067" s="3" t="s">
        <v>340</v>
      </c>
      <c r="F1067" s="3">
        <v>39.99</v>
      </c>
      <c r="G1067" s="3" t="s">
        <v>2572</v>
      </c>
      <c r="H1067" s="3"/>
      <c r="I1067" s="3" t="s">
        <v>2573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0.08</v>
      </c>
      <c r="P1067" s="3">
        <v>0</v>
      </c>
      <c r="Q1067" s="3">
        <v>0</v>
      </c>
      <c r="R1067" s="3">
        <v>0</v>
      </c>
    </row>
    <row r="1068" spans="1:18">
      <c r="A1068" s="3" t="s">
        <v>1859</v>
      </c>
      <c r="B1068" s="3" t="s">
        <v>1860</v>
      </c>
      <c r="C1068" s="3" t="s">
        <v>1861</v>
      </c>
      <c r="D1068" s="3" t="s">
        <v>1495</v>
      </c>
      <c r="E1068" s="3" t="s">
        <v>340</v>
      </c>
      <c r="F1068" s="3">
        <v>39.99</v>
      </c>
      <c r="G1068" s="3" t="s">
        <v>2572</v>
      </c>
      <c r="H1068" s="3"/>
      <c r="I1068" s="3" t="s">
        <v>2573</v>
      </c>
      <c r="J1068" s="3">
        <v>2</v>
      </c>
      <c r="K1068" s="3">
        <v>2</v>
      </c>
      <c r="L1068" s="3">
        <v>0</v>
      </c>
      <c r="M1068" s="3">
        <v>0</v>
      </c>
      <c r="N1068" s="3">
        <v>2</v>
      </c>
      <c r="O1068" s="3">
        <v>0.08</v>
      </c>
      <c r="P1068" s="3">
        <v>0</v>
      </c>
      <c r="Q1068" s="3">
        <v>0</v>
      </c>
      <c r="R1068" s="3">
        <v>0</v>
      </c>
    </row>
    <row r="1069" spans="1:18">
      <c r="A1069" s="3" t="s">
        <v>1492</v>
      </c>
      <c r="B1069" s="3" t="s">
        <v>1493</v>
      </c>
      <c r="C1069" s="3" t="s">
        <v>1494</v>
      </c>
      <c r="D1069" s="3" t="s">
        <v>1495</v>
      </c>
      <c r="E1069" s="3" t="s">
        <v>340</v>
      </c>
      <c r="F1069" s="3">
        <v>39.99</v>
      </c>
      <c r="G1069" s="3" t="s">
        <v>2572</v>
      </c>
      <c r="H1069" s="3"/>
      <c r="I1069" s="3" t="s">
        <v>2573</v>
      </c>
      <c r="J1069" s="3">
        <v>4</v>
      </c>
      <c r="K1069" s="3">
        <v>4</v>
      </c>
      <c r="L1069" s="3">
        <v>0</v>
      </c>
      <c r="M1069" s="3">
        <v>0</v>
      </c>
      <c r="N1069" s="3">
        <v>4</v>
      </c>
      <c r="O1069" s="3">
        <v>0.08</v>
      </c>
      <c r="P1069" s="3">
        <v>0</v>
      </c>
      <c r="Q1069" s="3">
        <v>0</v>
      </c>
      <c r="R1069" s="3">
        <v>0</v>
      </c>
    </row>
    <row r="1070" spans="1:18">
      <c r="A1070" s="3" t="s">
        <v>1981</v>
      </c>
      <c r="B1070" s="3" t="s">
        <v>1982</v>
      </c>
      <c r="C1070" s="3" t="s">
        <v>1983</v>
      </c>
      <c r="D1070" s="3" t="s">
        <v>1751</v>
      </c>
      <c r="E1070" s="3" t="s">
        <v>340</v>
      </c>
      <c r="F1070" s="3">
        <v>19.9</v>
      </c>
      <c r="G1070" s="3" t="s">
        <v>2572</v>
      </c>
      <c r="H1070" s="3"/>
      <c r="I1070" s="3" t="s">
        <v>2573</v>
      </c>
      <c r="J1070" s="3">
        <v>2</v>
      </c>
      <c r="K1070" s="3">
        <v>2</v>
      </c>
      <c r="L1070" s="3">
        <v>0</v>
      </c>
      <c r="M1070" s="3">
        <v>0</v>
      </c>
      <c r="N1070" s="3">
        <v>2</v>
      </c>
      <c r="O1070" s="3">
        <v>0.13</v>
      </c>
      <c r="P1070" s="3">
        <v>0</v>
      </c>
      <c r="Q1070" s="3">
        <v>0</v>
      </c>
      <c r="R1070" s="3">
        <v>0</v>
      </c>
    </row>
    <row r="1071" spans="1:18">
      <c r="A1071" s="3" t="s">
        <v>1748</v>
      </c>
      <c r="B1071" s="3" t="s">
        <v>1749</v>
      </c>
      <c r="C1071" s="3" t="s">
        <v>1750</v>
      </c>
      <c r="D1071" s="3" t="s">
        <v>1751</v>
      </c>
      <c r="E1071" s="3" t="s">
        <v>340</v>
      </c>
      <c r="F1071" s="3">
        <v>19.9</v>
      </c>
      <c r="G1071" s="3" t="s">
        <v>2572</v>
      </c>
      <c r="H1071" s="3"/>
      <c r="I1071" s="3" t="s">
        <v>2573</v>
      </c>
      <c r="J1071" s="3">
        <v>1</v>
      </c>
      <c r="K1071" s="3">
        <v>1</v>
      </c>
      <c r="L1071" s="3">
        <v>0</v>
      </c>
      <c r="M1071" s="3">
        <v>0</v>
      </c>
      <c r="N1071" s="3">
        <v>1</v>
      </c>
      <c r="O1071" s="3">
        <v>0</v>
      </c>
      <c r="P1071" s="3">
        <v>0</v>
      </c>
      <c r="Q1071" s="3">
        <v>0</v>
      </c>
      <c r="R1071" s="3">
        <v>0</v>
      </c>
    </row>
    <row r="1072" spans="1:18">
      <c r="A1072" s="3" t="s">
        <v>1586</v>
      </c>
      <c r="B1072" s="3" t="s">
        <v>1587</v>
      </c>
      <c r="C1072" s="3" t="s">
        <v>1588</v>
      </c>
      <c r="D1072" s="3" t="s">
        <v>1589</v>
      </c>
      <c r="E1072" s="3" t="s">
        <v>340</v>
      </c>
      <c r="F1072" s="3">
        <v>19.9</v>
      </c>
      <c r="G1072" s="3" t="s">
        <v>2572</v>
      </c>
      <c r="H1072" s="3"/>
      <c r="I1072" s="3" t="s">
        <v>2573</v>
      </c>
      <c r="J1072" s="3">
        <v>3</v>
      </c>
      <c r="K1072" s="3">
        <v>3</v>
      </c>
      <c r="L1072" s="3">
        <v>0</v>
      </c>
      <c r="M1072" s="3">
        <v>0</v>
      </c>
      <c r="N1072" s="3">
        <v>3</v>
      </c>
      <c r="O1072" s="3">
        <v>0</v>
      </c>
      <c r="P1072" s="3">
        <v>0</v>
      </c>
      <c r="Q1072" s="3">
        <v>0</v>
      </c>
      <c r="R1072" s="3">
        <v>0</v>
      </c>
    </row>
    <row r="1073" spans="1:18">
      <c r="A1073" s="3" t="s">
        <v>2354</v>
      </c>
      <c r="B1073" s="3" t="s">
        <v>2355</v>
      </c>
      <c r="C1073" s="3" t="s">
        <v>2356</v>
      </c>
      <c r="D1073" s="3" t="s">
        <v>2357</v>
      </c>
      <c r="E1073" s="3" t="s">
        <v>340</v>
      </c>
      <c r="F1073" s="3">
        <v>39.99</v>
      </c>
      <c r="G1073" s="3" t="s">
        <v>2572</v>
      </c>
      <c r="H1073" s="3"/>
      <c r="I1073" s="3" t="s">
        <v>2573</v>
      </c>
      <c r="J1073" s="3">
        <v>3</v>
      </c>
      <c r="K1073" s="3">
        <v>3</v>
      </c>
      <c r="L1073" s="3">
        <v>0</v>
      </c>
      <c r="M1073" s="3">
        <v>0</v>
      </c>
      <c r="N1073" s="3">
        <v>3</v>
      </c>
      <c r="O1073" s="3">
        <v>0</v>
      </c>
      <c r="P1073" s="3">
        <v>0</v>
      </c>
      <c r="Q1073" s="3">
        <v>0</v>
      </c>
      <c r="R1073" s="3">
        <v>0</v>
      </c>
    </row>
    <row r="1074" spans="1:18">
      <c r="A1074" s="3" t="s">
        <v>2412</v>
      </c>
      <c r="B1074" s="3" t="s">
        <v>2413</v>
      </c>
      <c r="C1074" s="3" t="s">
        <v>2414</v>
      </c>
      <c r="D1074" s="3" t="s">
        <v>727</v>
      </c>
      <c r="E1074" s="3" t="s">
        <v>340</v>
      </c>
      <c r="F1074" s="3">
        <v>16.99</v>
      </c>
      <c r="G1074" s="3" t="s">
        <v>2572</v>
      </c>
      <c r="H1074" s="3"/>
      <c r="I1074" s="3" t="s">
        <v>2573</v>
      </c>
      <c r="J1074" s="3">
        <v>5</v>
      </c>
      <c r="K1074" s="3">
        <v>5</v>
      </c>
      <c r="L1074" s="3">
        <v>0</v>
      </c>
      <c r="M1074" s="3">
        <v>0</v>
      </c>
      <c r="N1074" s="3">
        <v>5</v>
      </c>
      <c r="O1074" s="3">
        <v>0</v>
      </c>
      <c r="P1074" s="3">
        <v>0</v>
      </c>
      <c r="Q1074" s="3">
        <v>0</v>
      </c>
      <c r="R1074" s="3">
        <v>0</v>
      </c>
    </row>
    <row r="1075" spans="1:18">
      <c r="A1075" s="3" t="s">
        <v>724</v>
      </c>
      <c r="B1075" s="3" t="s">
        <v>725</v>
      </c>
      <c r="C1075" s="3" t="s">
        <v>726</v>
      </c>
      <c r="D1075" s="3" t="s">
        <v>727</v>
      </c>
      <c r="E1075" s="3" t="s">
        <v>340</v>
      </c>
      <c r="F1075" s="3">
        <v>39.99</v>
      </c>
      <c r="G1075" s="3" t="s">
        <v>2572</v>
      </c>
      <c r="H1075" s="3"/>
      <c r="I1075" s="3" t="s">
        <v>2573</v>
      </c>
      <c r="J1075" s="3">
        <v>4</v>
      </c>
      <c r="K1075" s="3">
        <v>4</v>
      </c>
      <c r="L1075" s="3">
        <v>0</v>
      </c>
      <c r="M1075" s="3">
        <v>0</v>
      </c>
      <c r="N1075" s="3">
        <v>4</v>
      </c>
      <c r="O1075" s="3">
        <v>0</v>
      </c>
      <c r="P1075" s="3">
        <v>0</v>
      </c>
      <c r="Q1075" s="3">
        <v>0</v>
      </c>
      <c r="R1075" s="3">
        <v>0</v>
      </c>
    </row>
    <row r="1076" spans="1:18">
      <c r="A1076" s="3" t="s">
        <v>3946</v>
      </c>
      <c r="B1076" s="3" t="s">
        <v>3947</v>
      </c>
      <c r="C1076" s="3" t="s">
        <v>3948</v>
      </c>
      <c r="D1076" s="3" t="s">
        <v>375</v>
      </c>
      <c r="E1076" s="3" t="s">
        <v>340</v>
      </c>
      <c r="F1076" s="3">
        <v>39.99</v>
      </c>
      <c r="G1076" s="3" t="s">
        <v>2572</v>
      </c>
      <c r="H1076" s="3"/>
      <c r="I1076" s="3" t="s">
        <v>2573</v>
      </c>
      <c r="J1076" s="3">
        <v>1</v>
      </c>
      <c r="K1076" s="3">
        <v>0</v>
      </c>
      <c r="L1076" s="3">
        <v>1</v>
      </c>
      <c r="M1076" s="3">
        <v>0</v>
      </c>
      <c r="N1076" s="3">
        <v>1</v>
      </c>
      <c r="O1076" s="3">
        <v>0.04</v>
      </c>
      <c r="P1076" s="3">
        <v>0</v>
      </c>
      <c r="Q1076" s="3">
        <v>0</v>
      </c>
      <c r="R1076" s="3">
        <v>0</v>
      </c>
    </row>
    <row r="1077" spans="1:18">
      <c r="A1077" s="3" t="s">
        <v>1337</v>
      </c>
      <c r="B1077" s="3" t="s">
        <v>1338</v>
      </c>
      <c r="C1077" s="3" t="s">
        <v>1339</v>
      </c>
      <c r="D1077" s="3" t="s">
        <v>375</v>
      </c>
      <c r="E1077" s="3" t="s">
        <v>340</v>
      </c>
      <c r="F1077" s="3">
        <v>39.99</v>
      </c>
      <c r="G1077" s="3" t="s">
        <v>2572</v>
      </c>
      <c r="H1077" s="3"/>
      <c r="I1077" s="3" t="s">
        <v>2573</v>
      </c>
      <c r="J1077" s="3">
        <v>8</v>
      </c>
      <c r="K1077" s="3">
        <v>7</v>
      </c>
      <c r="L1077" s="3">
        <v>1</v>
      </c>
      <c r="M1077" s="3">
        <v>0</v>
      </c>
      <c r="N1077" s="3">
        <v>8</v>
      </c>
      <c r="O1077" s="3">
        <v>0.04</v>
      </c>
      <c r="P1077" s="3">
        <v>0</v>
      </c>
      <c r="Q1077" s="3">
        <v>0</v>
      </c>
      <c r="R1077" s="3">
        <v>0</v>
      </c>
    </row>
    <row r="1078" spans="1:18">
      <c r="A1078" s="3" t="s">
        <v>597</v>
      </c>
      <c r="B1078" s="3" t="s">
        <v>598</v>
      </c>
      <c r="C1078" s="3" t="s">
        <v>599</v>
      </c>
      <c r="D1078" s="3" t="s">
        <v>375</v>
      </c>
      <c r="E1078" s="3" t="s">
        <v>340</v>
      </c>
      <c r="F1078" s="3">
        <v>39.99</v>
      </c>
      <c r="G1078" s="3" t="s">
        <v>2572</v>
      </c>
      <c r="H1078" s="3"/>
      <c r="I1078" s="3" t="s">
        <v>2573</v>
      </c>
      <c r="J1078" s="3">
        <v>2</v>
      </c>
      <c r="K1078" s="3">
        <v>2</v>
      </c>
      <c r="L1078" s="3">
        <v>0</v>
      </c>
      <c r="M1078" s="3">
        <v>0</v>
      </c>
      <c r="N1078" s="3">
        <v>2</v>
      </c>
      <c r="O1078" s="3">
        <v>0.04</v>
      </c>
      <c r="P1078" s="3">
        <v>0</v>
      </c>
      <c r="Q1078" s="3">
        <v>0</v>
      </c>
      <c r="R1078" s="3">
        <v>0</v>
      </c>
    </row>
    <row r="1079" spans="1:18">
      <c r="A1079" s="3" t="s">
        <v>372</v>
      </c>
      <c r="B1079" s="3" t="s">
        <v>373</v>
      </c>
      <c r="C1079" s="3" t="s">
        <v>374</v>
      </c>
      <c r="D1079" s="3" t="s">
        <v>375</v>
      </c>
      <c r="E1079" s="3" t="s">
        <v>340</v>
      </c>
      <c r="F1079" s="3">
        <v>39.99</v>
      </c>
      <c r="G1079" s="3" t="s">
        <v>2572</v>
      </c>
      <c r="H1079" s="3"/>
      <c r="I1079" s="3" t="s">
        <v>2573</v>
      </c>
      <c r="J1079" s="3">
        <v>5</v>
      </c>
      <c r="K1079" s="3">
        <v>5</v>
      </c>
      <c r="L1079" s="3">
        <v>0</v>
      </c>
      <c r="M1079" s="3">
        <v>0</v>
      </c>
      <c r="N1079" s="3">
        <v>5</v>
      </c>
      <c r="O1079" s="3">
        <v>0.04</v>
      </c>
      <c r="P1079" s="3">
        <v>0</v>
      </c>
      <c r="Q1079" s="3">
        <v>0</v>
      </c>
      <c r="R1079" s="3">
        <v>0</v>
      </c>
    </row>
    <row r="1080" spans="1:18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</row>
    <row r="1081" spans="1:18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</row>
    <row r="1082" spans="1:18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</row>
    <row r="1083" spans="1:18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</row>
    <row r="1084" spans="1:18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</row>
    <row r="1085" spans="1:18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</row>
    <row r="1086" spans="1:18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</row>
    <row r="1087" spans="1:18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</row>
    <row r="1088" spans="1:18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</row>
    <row r="1089" spans="1:18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</row>
    <row r="1090" spans="1:18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</row>
    <row r="1091" spans="1:18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</row>
    <row r="1092" spans="1:18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</row>
    <row r="1093" spans="1:18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</row>
    <row r="1094" spans="1:18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</row>
    <row r="1095" spans="1:18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</row>
    <row r="1096" spans="1:18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</row>
    <row r="1097" spans="1:18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</row>
    <row r="1098" spans="1:18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</row>
    <row r="1099" spans="1:18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</row>
    <row r="1100" spans="1:18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</row>
    <row r="1101" spans="1:18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</row>
    <row r="1102" spans="1:18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</row>
    <row r="1103" spans="1:18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</row>
    <row r="1104" spans="1:18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</row>
    <row r="1105" spans="1:18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</row>
    <row r="1106" spans="1:18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</row>
    <row r="1107" spans="1:18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</row>
    <row r="1108" spans="1:18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</row>
    <row r="1109" spans="1:18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</row>
    <row r="1110" spans="1:18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170"/>
  <sheetViews>
    <sheetView tabSelected="1" topLeftCell="B1" workbookViewId="0">
      <selection activeCell="B3" sqref="B3:N1080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3949</v>
      </c>
      <c r="C1" t="s">
        <v>3950</v>
      </c>
      <c r="D1" t="s">
        <v>3951</v>
      </c>
      <c r="E1" t="s">
        <v>3952</v>
      </c>
      <c r="F1" t="s">
        <v>3953</v>
      </c>
      <c r="G1" t="s">
        <v>6</v>
      </c>
      <c r="H1" s="2" t="s">
        <v>7</v>
      </c>
      <c r="I1" t="s">
        <v>5</v>
      </c>
      <c r="J1" t="s">
        <v>309</v>
      </c>
      <c r="K1" t="s">
        <v>310</v>
      </c>
      <c r="L1" t="s">
        <v>311</v>
      </c>
      <c r="M1" t="s">
        <v>312</v>
      </c>
      <c r="N1" t="s">
        <v>3954</v>
      </c>
    </row>
    <row r="2" s="1" customFormat="1" spans="1:14">
      <c r="A2" s="1" t="s">
        <v>3955</v>
      </c>
      <c r="B2" s="1">
        <f>SUM(B3:B65536)</f>
        <v>3408</v>
      </c>
      <c r="C2" s="1">
        <f t="shared" ref="C2:N2" si="0">SUM(C3:C65536)</f>
        <v>550</v>
      </c>
      <c r="D2" s="1">
        <f t="shared" si="0"/>
        <v>324</v>
      </c>
      <c r="E2" s="1">
        <f t="shared" si="0"/>
        <v>13</v>
      </c>
      <c r="F2" s="1">
        <f t="shared" si="0"/>
        <v>337</v>
      </c>
      <c r="G2" s="1">
        <f t="shared" si="0"/>
        <v>42</v>
      </c>
      <c r="H2" s="1">
        <f t="shared" si="0"/>
        <v>62</v>
      </c>
      <c r="I2" s="1">
        <f t="shared" si="0"/>
        <v>50</v>
      </c>
      <c r="J2" s="1">
        <f t="shared" si="0"/>
        <v>942</v>
      </c>
      <c r="K2" s="1">
        <f t="shared" si="0"/>
        <v>240</v>
      </c>
      <c r="L2" s="1">
        <f t="shared" si="0"/>
        <v>499</v>
      </c>
      <c r="M2" s="1">
        <f t="shared" si="0"/>
        <v>296</v>
      </c>
      <c r="N2" s="1">
        <f t="shared" si="0"/>
        <v>1977</v>
      </c>
    </row>
    <row r="3" spans="1:14">
      <c r="A3" s="3" t="s">
        <v>8</v>
      </c>
      <c r="B3">
        <f>IFERROR(VLOOKUP(A3,管理亚马逊库存!A:K,11,0),"")</f>
        <v>2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1</v>
      </c>
      <c r="H3">
        <f>IFERROR(VLOOKUP(A3,预留库存!A:H,8,0),0)</f>
        <v>0</v>
      </c>
      <c r="I3">
        <f>IFERROR(VLOOKUP(A3,预留库存!A:F,6,0),0)</f>
        <v>1</v>
      </c>
      <c r="J3">
        <f>IFERROR(VLOOKUP(A3,库龄!B:K,9,0),0)</f>
        <v>3</v>
      </c>
      <c r="K3">
        <f>IFERROR(VLOOKUP(A3,库龄!B:L,10,0),0)</f>
        <v>1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4</v>
      </c>
    </row>
    <row r="4" spans="1:14">
      <c r="A4" s="3" t="s">
        <v>12</v>
      </c>
      <c r="B4">
        <f>IFERROR(VLOOKUP(A4,管理亚马逊库存!A:K,11,0),"")</f>
        <v>2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1</v>
      </c>
      <c r="J4">
        <f>IFERROR(VLOOKUP(A4,库龄!B:K,9,0),0)</f>
        <v>4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4</v>
      </c>
    </row>
    <row r="5" spans="1:14">
      <c r="A5" s="3" t="s">
        <v>15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19</v>
      </c>
      <c r="B6">
        <f>IFERROR(VLOOKUP(A6,管理亚马逊库存!A:K,11,0),"")</f>
        <v>0</v>
      </c>
      <c r="C6">
        <f>IFERROR(VLOOKUP(A6,管理亚马逊库存!A:L,12,0),"")</f>
        <v>1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2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23</v>
      </c>
      <c r="B7">
        <f>IFERROR(VLOOKUP(A7,管理亚马逊库存!A:K,11,0),"")</f>
        <v>9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26</v>
      </c>
      <c r="B8">
        <f>IFERROR(VLOOKUP(A8,管理亚马逊库存!A:K,11,0),"")</f>
        <v>0</v>
      </c>
      <c r="C8">
        <f>IFERROR(VLOOKUP(A8,管理亚马逊库存!A:L,12,0),"")</f>
        <v>1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29</v>
      </c>
      <c r="B9">
        <f>IFERROR(VLOOKUP(A9,管理亚马逊库存!A:K,11,0),"")</f>
        <v>2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33</v>
      </c>
      <c r="B10">
        <f>IFERROR(VLOOKUP(A10,管理亚马逊库存!A:K,11,0),"")</f>
        <v>2</v>
      </c>
      <c r="C10">
        <f>IFERROR(VLOOKUP(A10,管理亚马逊库存!A:L,12,0),"")</f>
        <v>0</v>
      </c>
      <c r="D10">
        <f>IFERROR(VLOOKUP(A10,管理亚马逊库存!A:Q,17,0),"")</f>
        <v>5</v>
      </c>
      <c r="E10">
        <f>IFERROR(VLOOKUP(A10,管理亚马逊库存!A:R,18,0),"")</f>
        <v>0</v>
      </c>
      <c r="F10">
        <f t="shared" si="1"/>
        <v>5</v>
      </c>
      <c r="G10">
        <f>IFERROR(VLOOKUP(A10,预留库存!A:G,7,0),0)</f>
        <v>1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36</v>
      </c>
      <c r="B11">
        <f>IFERROR(VLOOKUP(A11,管理亚马逊库存!A:K,11,0),"")</f>
        <v>7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39</v>
      </c>
      <c r="B12">
        <f>IFERROR(VLOOKUP(A12,管理亚马逊库存!A:K,11,0),"")</f>
        <v>0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IFERROR(VLOOKUP(A12,库龄!B:K,9,0),0)</f>
        <v>1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1</v>
      </c>
    </row>
    <row r="13" spans="1:14">
      <c r="A13" s="3" t="s">
        <v>43</v>
      </c>
      <c r="B13">
        <f>IFERROR(VLOOKUP(A13,管理亚马逊库存!A:K,11,0),"")</f>
        <v>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1</v>
      </c>
      <c r="M13">
        <f>IFERROR(VLOOKUP(A13,库龄!B:N,12,0),0)</f>
        <v>0</v>
      </c>
      <c r="N13">
        <f t="shared" si="2"/>
        <v>1</v>
      </c>
    </row>
    <row r="14" spans="1:14">
      <c r="A14" s="3" t="s">
        <v>47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1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1</v>
      </c>
    </row>
    <row r="15" spans="1:14">
      <c r="A15" s="3" t="s">
        <v>50</v>
      </c>
      <c r="B15">
        <f>IFERROR(VLOOKUP(A15,管理亚马逊库存!A:K,11,0),"")</f>
        <v>32</v>
      </c>
      <c r="C15">
        <f>IFERROR(VLOOKUP(A15,管理亚马逊库存!A:L,12,0),"")</f>
        <v>6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54</v>
      </c>
      <c r="B16">
        <f>IFERROR(VLOOKUP(A16,管理亚马逊库存!A:K,11,0),"")</f>
        <v>53</v>
      </c>
      <c r="C16">
        <f>IFERROR(VLOOKUP(A16,管理亚马逊库存!A:L,12,0),"")</f>
        <v>13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1</v>
      </c>
      <c r="H16">
        <f>IFERROR(VLOOKUP(A16,预留库存!A:H,8,0),0)</f>
        <v>1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57</v>
      </c>
      <c r="B17">
        <f>IFERROR(VLOOKUP(A17,管理亚马逊库存!A:K,11,0),"")</f>
        <v>108</v>
      </c>
      <c r="C17">
        <f>IFERROR(VLOOKUP(A17,管理亚马逊库存!A:L,12,0),"")</f>
        <v>56</v>
      </c>
      <c r="D17">
        <f>IFERROR(VLOOKUP(A17,管理亚马逊库存!A:Q,17,0),"")</f>
        <v>29</v>
      </c>
      <c r="E17">
        <f>IFERROR(VLOOKUP(A17,管理亚马逊库存!A:R,18,0),"")</f>
        <v>0</v>
      </c>
      <c r="F17">
        <f t="shared" si="1"/>
        <v>29</v>
      </c>
      <c r="G17">
        <f>IFERROR(VLOOKUP(A17,预留库存!A:G,7,0),0)</f>
        <v>2</v>
      </c>
      <c r="H17">
        <f>IFERROR(VLOOKUP(A17,预留库存!A:H,8,0),0)</f>
        <v>3</v>
      </c>
      <c r="I17">
        <f>IFERROR(VLOOKUP(A17,预留库存!A:F,6,0),0)</f>
        <v>1</v>
      </c>
      <c r="J17">
        <f>IFERROR(VLOOKUP(A17,库龄!B:K,9,0),0)</f>
        <v>18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18</v>
      </c>
    </row>
    <row r="18" spans="1:14">
      <c r="A18" s="3" t="s">
        <v>61</v>
      </c>
      <c r="B18">
        <f>IFERROR(VLOOKUP(A18,管理亚马逊库存!A:K,11,0),"")</f>
        <v>22</v>
      </c>
      <c r="C18">
        <f>IFERROR(VLOOKUP(A18,管理亚马逊库存!A:L,12,0),"")</f>
        <v>5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1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65</v>
      </c>
      <c r="B19">
        <f>IFERROR(VLOOKUP(A19,管理亚马逊库存!A:K,11,0),"")</f>
        <v>31</v>
      </c>
      <c r="C19">
        <f>IFERROR(VLOOKUP(A19,管理亚马逊库存!A:L,12,0),"")</f>
        <v>20</v>
      </c>
      <c r="D19">
        <f>IFERROR(VLOOKUP(A19,管理亚马逊库存!A:Q,17,0),"")</f>
        <v>25</v>
      </c>
      <c r="E19">
        <f>IFERROR(VLOOKUP(A19,管理亚马逊库存!A:R,18,0),"")</f>
        <v>0</v>
      </c>
      <c r="F19">
        <f t="shared" si="1"/>
        <v>25</v>
      </c>
      <c r="G19">
        <f>IFERROR(VLOOKUP(A19,预留库存!A:G,7,0),0)</f>
        <v>1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69</v>
      </c>
      <c r="B20">
        <f>IFERROR(VLOOKUP(A20,管理亚马逊库存!A:K,11,0),"")</f>
        <v>2</v>
      </c>
      <c r="C20">
        <f>IFERROR(VLOOKUP(A20,管理亚马逊库存!A:L,12,0),"")</f>
        <v>6</v>
      </c>
      <c r="D20">
        <f>IFERROR(VLOOKUP(A20,管理亚马逊库存!A:Q,17,0),"")</f>
        <v>30</v>
      </c>
      <c r="E20">
        <f>IFERROR(VLOOKUP(A20,管理亚马逊库存!A:R,18,0),"")</f>
        <v>0</v>
      </c>
      <c r="F20">
        <f t="shared" si="1"/>
        <v>30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1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73</v>
      </c>
      <c r="B21">
        <f>IFERROR(VLOOKUP(A21,管理亚马逊库存!A:K,11,0),"")</f>
        <v>80</v>
      </c>
      <c r="C21">
        <f>IFERROR(VLOOKUP(A21,管理亚马逊库存!A:L,12,0),"")</f>
        <v>51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3</v>
      </c>
      <c r="H21">
        <f>IFERROR(VLOOKUP(A21,预留库存!A:H,8,0),0)</f>
        <v>3</v>
      </c>
      <c r="I21">
        <f>IFERROR(VLOOKUP(A21,预留库存!A:F,6,0),0)</f>
        <v>5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77</v>
      </c>
      <c r="B22">
        <f>IFERROR(VLOOKUP(A22,管理亚马逊库存!A:K,11,0),"")</f>
        <v>134</v>
      </c>
      <c r="C22">
        <f>IFERROR(VLOOKUP(A22,管理亚马逊库存!A:L,12,0),"")</f>
        <v>33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1</v>
      </c>
      <c r="H22">
        <f>IFERROR(VLOOKUP(A22,预留库存!A:H,8,0),0)</f>
        <v>4</v>
      </c>
      <c r="I22">
        <f>IFERROR(VLOOKUP(A22,预留库存!A:F,6,0),0)</f>
        <v>1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81</v>
      </c>
      <c r="B23">
        <f>IFERROR(VLOOKUP(A23,管理亚马逊库存!A:K,11,0),"")</f>
        <v>8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1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6</v>
      </c>
      <c r="M23">
        <f>IFERROR(VLOOKUP(A23,库龄!B:N,12,0),0)</f>
        <v>0</v>
      </c>
      <c r="N23">
        <f t="shared" si="2"/>
        <v>6</v>
      </c>
    </row>
    <row r="24" spans="1:14">
      <c r="A24" s="3" t="s">
        <v>85</v>
      </c>
      <c r="B24">
        <f>IFERROR(VLOOKUP(A24,管理亚马逊库存!A:K,11,0),"")</f>
        <v>1</v>
      </c>
      <c r="C24">
        <f>IFERROR(VLOOKUP(A24,管理亚马逊库存!A:L,12,0),"")</f>
        <v>3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89</v>
      </c>
      <c r="B25">
        <f>IFERROR(VLOOKUP(A25,管理亚马逊库存!A:K,11,0),"")</f>
        <v>25</v>
      </c>
      <c r="C25">
        <f>IFERROR(VLOOKUP(A25,管理亚马逊库存!A:L,12,0),"")</f>
        <v>5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1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92</v>
      </c>
      <c r="B26">
        <f>IFERROR(VLOOKUP(A26,管理亚马逊库存!A:K,11,0),"")</f>
        <v>0</v>
      </c>
      <c r="C26">
        <f>IFERROR(VLOOKUP(A26,管理亚马逊库存!A:L,12,0),"")</f>
        <v>1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1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96</v>
      </c>
      <c r="B27">
        <f>IFERROR(VLOOKUP(A27,管理亚马逊库存!A:K,11,0),"")</f>
        <v>38</v>
      </c>
      <c r="C27">
        <f>IFERROR(VLOOKUP(A27,管理亚马逊库存!A:L,12,0),"")</f>
        <v>20</v>
      </c>
      <c r="D27">
        <f>IFERROR(VLOOKUP(A27,管理亚马逊库存!A:Q,17,0),"")</f>
        <v>31</v>
      </c>
      <c r="E27">
        <f>IFERROR(VLOOKUP(A27,管理亚马逊库存!A:R,18,0),"")</f>
        <v>0</v>
      </c>
      <c r="F27">
        <f t="shared" si="1"/>
        <v>31</v>
      </c>
      <c r="G27">
        <f>IFERROR(VLOOKUP(A27,预留库存!A:G,7,0),0)</f>
        <v>1</v>
      </c>
      <c r="H27">
        <f>IFERROR(VLOOKUP(A27,预留库存!A:H,8,0),0)</f>
        <v>0</v>
      </c>
      <c r="I27">
        <f>IFERROR(VLOOKUP(A27,预留库存!A:F,6,0),0)</f>
        <v>1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100</v>
      </c>
      <c r="B28">
        <f>IFERROR(VLOOKUP(A28,管理亚马逊库存!A:K,11,0),"")</f>
        <v>11</v>
      </c>
      <c r="C28">
        <f>IFERROR(VLOOKUP(A28,管理亚马逊库存!A:L,12,0),"")</f>
        <v>2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</v>
      </c>
      <c r="H28">
        <f>IFERROR(VLOOKUP(A28,预留库存!A:H,8,0),0)</f>
        <v>2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104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1</v>
      </c>
      <c r="L29">
        <f>IFERROR(VLOOKUP(A29,库龄!B:M,11,0),0)</f>
        <v>0</v>
      </c>
      <c r="M29">
        <f>IFERROR(VLOOKUP(A29,库龄!B:N,12,0),0)</f>
        <v>0</v>
      </c>
      <c r="N29">
        <f t="shared" si="2"/>
        <v>1</v>
      </c>
    </row>
    <row r="30" spans="1:14">
      <c r="A30" s="3" t="s">
        <v>108</v>
      </c>
      <c r="B30">
        <f>IFERROR(VLOOKUP(A30,管理亚马逊库存!A:K,11,0),"")</f>
        <v>6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1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1</v>
      </c>
      <c r="L30">
        <f>IFERROR(VLOOKUP(A30,库龄!B:M,11,0),0)</f>
        <v>3</v>
      </c>
      <c r="M30">
        <f>IFERROR(VLOOKUP(A30,库龄!B:N,12,0),0)</f>
        <v>0</v>
      </c>
      <c r="N30">
        <f t="shared" si="2"/>
        <v>4</v>
      </c>
    </row>
    <row r="31" spans="1:14">
      <c r="A31" s="3" t="s">
        <v>112</v>
      </c>
      <c r="B31">
        <f>IFERROR(VLOOKUP(A31,管理亚马逊库存!A:K,11,0),"")</f>
        <v>30</v>
      </c>
      <c r="C31">
        <f>IFERROR(VLOOKUP(A31,管理亚马逊库存!A:L,12,0),"")</f>
        <v>1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1</v>
      </c>
      <c r="J31">
        <f>IFERROR(VLOOKUP(A31,库龄!B:K,9,0),0)</f>
        <v>1</v>
      </c>
      <c r="K31">
        <f>IFERROR(VLOOKUP(A31,库龄!B:L,10,0),0)</f>
        <v>1</v>
      </c>
      <c r="L31">
        <f>IFERROR(VLOOKUP(A31,库龄!B:M,11,0),0)</f>
        <v>27</v>
      </c>
      <c r="M31">
        <f>IFERROR(VLOOKUP(A31,库龄!B:N,12,0),0)</f>
        <v>0</v>
      </c>
      <c r="N31">
        <f t="shared" si="2"/>
        <v>29</v>
      </c>
    </row>
    <row r="32" spans="1:14">
      <c r="A32" s="3" t="s">
        <v>116</v>
      </c>
      <c r="B32">
        <f>IFERROR(VLOOKUP(A32,管理亚马逊库存!A:K,11,0),"")</f>
        <v>15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0</v>
      </c>
      <c r="J32">
        <f>IFERROR(VLOOKUP(A32,库龄!B:K,9,0),0)</f>
        <v>2</v>
      </c>
      <c r="K32">
        <f>IFERROR(VLOOKUP(A32,库龄!B:L,10,0),0)</f>
        <v>2</v>
      </c>
      <c r="L32">
        <f>IFERROR(VLOOKUP(A32,库龄!B:M,11,0),0)</f>
        <v>9</v>
      </c>
      <c r="M32">
        <f>IFERROR(VLOOKUP(A32,库龄!B:N,12,0),0)</f>
        <v>0</v>
      </c>
      <c r="N32">
        <f t="shared" si="2"/>
        <v>13</v>
      </c>
    </row>
    <row r="33" spans="1:14">
      <c r="A33" s="3" t="s">
        <v>120</v>
      </c>
      <c r="B33">
        <f>IFERROR(VLOOKUP(A33,管理亚马逊库存!A:K,11,0),"")</f>
        <v>13</v>
      </c>
      <c r="C33">
        <f>IFERROR(VLOOKUP(A33,管理亚马逊库存!A:L,12,0),"")</f>
        <v>0</v>
      </c>
      <c r="D33">
        <f>IFERROR(VLOOKUP(A33,管理亚马逊库存!A:Q,17,0),"")</f>
        <v>1</v>
      </c>
      <c r="E33">
        <f>IFERROR(VLOOKUP(A33,管理亚马逊库存!A:R,18,0),"")</f>
        <v>0</v>
      </c>
      <c r="F33">
        <f t="shared" si="1"/>
        <v>1</v>
      </c>
      <c r="G33">
        <f>IFERROR(VLOOKUP(A33,预留库存!A:G,7,0),0)</f>
        <v>0</v>
      </c>
      <c r="H33">
        <f>IFERROR(VLOOKUP(A33,预留库存!A:H,8,0),0)</f>
        <v>3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124</v>
      </c>
      <c r="B34">
        <f>IFERROR(VLOOKUP(A34,管理亚马逊库存!A:K,11,0),"")</f>
        <v>103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1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127</v>
      </c>
      <c r="B35">
        <f>IFERROR(VLOOKUP(A35,管理亚马逊库存!A:K,11,0),"")</f>
        <v>9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1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131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134</v>
      </c>
      <c r="B37">
        <f>IFERROR(VLOOKUP(A37,管理亚马逊库存!A:K,11,0),"")</f>
        <v>2</v>
      </c>
      <c r="C37">
        <f>IFERROR(VLOOKUP(A37,管理亚马逊库存!A:L,12,0),"")</f>
        <v>1</v>
      </c>
      <c r="D37">
        <f>IFERROR(VLOOKUP(A37,管理亚马逊库存!A:Q,17,0),"")</f>
        <v>5</v>
      </c>
      <c r="E37">
        <f>IFERROR(VLOOKUP(A37,管理亚马逊库存!A:R,18,0),"")</f>
        <v>0</v>
      </c>
      <c r="F37">
        <f t="shared" si="1"/>
        <v>5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2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137</v>
      </c>
      <c r="B38">
        <f>IFERROR(VLOOKUP(A38,管理亚马逊库存!A:K,11,0),"")</f>
        <v>2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</v>
      </c>
      <c r="H38">
        <f>IFERROR(VLOOKUP(A38,预留库存!A:H,8,0),0)</f>
        <v>2</v>
      </c>
      <c r="I38">
        <f>IFERROR(VLOOKUP(A38,预留库存!A:F,6,0),0)</f>
        <v>2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140</v>
      </c>
      <c r="B39">
        <f>IFERROR(VLOOKUP(A39,管理亚马逊库存!A:K,11,0),"")</f>
        <v>15</v>
      </c>
      <c r="C39">
        <f>IFERROR(VLOOKUP(A39,管理亚马逊库存!A:L,12,0),"")</f>
        <v>2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</v>
      </c>
      <c r="H39">
        <f>IFERROR(VLOOKUP(A39,预留库存!A:H,8,0),0)</f>
        <v>0</v>
      </c>
      <c r="I39">
        <f>IFERROR(VLOOKUP(A39,预留库存!A:F,6,0),0)</f>
        <v>1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144</v>
      </c>
      <c r="B40">
        <f>IFERROR(VLOOKUP(A40,管理亚马逊库存!A:K,11,0),"")</f>
        <v>11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147</v>
      </c>
      <c r="B41">
        <f>IFERROR(VLOOKUP(A41,管理亚马逊库存!A:K,11,0),"")</f>
        <v>0</v>
      </c>
      <c r="C41">
        <f>IFERROR(VLOOKUP(A41,管理亚马逊库存!A:L,12,0),"")</f>
        <v>3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150</v>
      </c>
      <c r="B42">
        <f>IFERROR(VLOOKUP(A42,管理亚马逊库存!A:K,11,0),"")</f>
        <v>0</v>
      </c>
      <c r="C42">
        <f>IFERROR(VLOOKUP(A42,管理亚马逊库存!A:L,12,0),"")</f>
        <v>10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1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153</v>
      </c>
      <c r="B43">
        <f>IFERROR(VLOOKUP(A43,管理亚马逊库存!A:K,11,0),"")</f>
        <v>0</v>
      </c>
      <c r="C43">
        <f>IFERROR(VLOOKUP(A43,管理亚马逊库存!A:L,12,0),"")</f>
        <v>1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1</v>
      </c>
      <c r="I43">
        <f>IFERROR(VLOOKUP(A43,预留库存!A:F,6,0),0)</f>
        <v>1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156</v>
      </c>
      <c r="B44">
        <f>IFERROR(VLOOKUP(A44,管理亚马逊库存!A:K,11,0),"")</f>
        <v>0</v>
      </c>
      <c r="C44">
        <f>IFERROR(VLOOKUP(A44,管理亚马逊库存!A:L,12,0),"")</f>
        <v>1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1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160</v>
      </c>
      <c r="B45">
        <f>IFERROR(VLOOKUP(A45,管理亚马逊库存!A:K,11,0),"")</f>
        <v>0</v>
      </c>
      <c r="C45">
        <f>IFERROR(VLOOKUP(A45,管理亚马逊库存!A:L,12,0),"")</f>
        <v>1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1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163</v>
      </c>
      <c r="B46">
        <f>IFERROR(VLOOKUP(A46,管理亚马逊库存!A:K,11,0),"")</f>
        <v>0</v>
      </c>
      <c r="C46">
        <f>IFERROR(VLOOKUP(A46,管理亚马逊库存!A:L,12,0),"")</f>
        <v>2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1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166</v>
      </c>
      <c r="B47">
        <f>IFERROR(VLOOKUP(A47,管理亚马逊库存!A:K,11,0),"")</f>
        <v>4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IFERROR(VLOOKUP(A47,库龄!B:K,9,0),0)</f>
        <v>3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3</v>
      </c>
    </row>
    <row r="48" spans="1:14">
      <c r="A48" s="3" t="s">
        <v>170</v>
      </c>
      <c r="B48">
        <f>IFERROR(VLOOKUP(A48,管理亚马逊库存!A:K,11,0),"")</f>
        <v>0</v>
      </c>
      <c r="C48">
        <f>IFERROR(VLOOKUP(A48,管理亚马逊库存!A:L,12,0),"")</f>
        <v>0</v>
      </c>
      <c r="D48">
        <f>IFERROR(VLOOKUP(A48,管理亚马逊库存!A:Q,17,0),"")</f>
        <v>5</v>
      </c>
      <c r="E48">
        <f>IFERROR(VLOOKUP(A48,管理亚马逊库存!A:R,18,0),"")</f>
        <v>0</v>
      </c>
      <c r="F48">
        <f t="shared" si="1"/>
        <v>5</v>
      </c>
      <c r="G48">
        <f>IFERROR(VLOOKUP(A48,预留库存!A:G,7,0),0)</f>
        <v>1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174</v>
      </c>
      <c r="B49">
        <f>IFERROR(VLOOKUP(A49,管理亚马逊库存!A:K,11,0),"")</f>
        <v>0</v>
      </c>
      <c r="C49">
        <f>IFERROR(VLOOKUP(A49,管理亚马逊库存!A:L,12,0),"")</f>
        <v>0</v>
      </c>
      <c r="D49">
        <f>IFERROR(VLOOKUP(A49,管理亚马逊库存!A:Q,17,0),"")</f>
        <v>5</v>
      </c>
      <c r="E49">
        <f>IFERROR(VLOOKUP(A49,管理亚马逊库存!A:R,18,0),"")</f>
        <v>0</v>
      </c>
      <c r="F49">
        <f t="shared" si="1"/>
        <v>5</v>
      </c>
      <c r="G49">
        <f>IFERROR(VLOOKUP(A49,预留库存!A:G,7,0),0)</f>
        <v>0</v>
      </c>
      <c r="H49">
        <f>IFERROR(VLOOKUP(A49,预留库存!A:H,8,0),0)</f>
        <v>1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178</v>
      </c>
      <c r="B50">
        <f>IFERROR(VLOOKUP(A50,管理亚马逊库存!A:K,11,0),"")</f>
        <v>7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1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5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5</v>
      </c>
    </row>
    <row r="51" spans="1:14">
      <c r="A51" s="3" t="s">
        <v>182</v>
      </c>
      <c r="B51">
        <f>IFERROR(VLOOKUP(A51,管理亚马逊库存!A:K,11,0),"")</f>
        <v>10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1</v>
      </c>
      <c r="H51">
        <f>IFERROR(VLOOKUP(A51,预留库存!A:H,8,0),0)</f>
        <v>0</v>
      </c>
      <c r="I51">
        <f>IFERROR(VLOOKUP(A51,预留库存!A:F,6,0),0)</f>
        <v>1</v>
      </c>
      <c r="J51">
        <f>IFERROR(VLOOKUP(A51,库龄!B:K,9,0),0)</f>
        <v>1</v>
      </c>
      <c r="K51">
        <f>IFERROR(VLOOKUP(A51,库龄!B:L,10,0),0)</f>
        <v>1</v>
      </c>
      <c r="L51">
        <f>IFERROR(VLOOKUP(A51,库龄!B:M,11,0),0)</f>
        <v>0</v>
      </c>
      <c r="M51">
        <f>IFERROR(VLOOKUP(A51,库龄!B:N,12,0),0)</f>
        <v>0</v>
      </c>
      <c r="N51">
        <f t="shared" si="2"/>
        <v>2</v>
      </c>
    </row>
    <row r="52" spans="1:14">
      <c r="A52" s="3" t="s">
        <v>185</v>
      </c>
      <c r="B52">
        <f>IFERROR(VLOOKUP(A52,管理亚马逊库存!A:K,11,0),"")</f>
        <v>2</v>
      </c>
      <c r="C52">
        <f>IFERROR(VLOOKUP(A52,管理亚马逊库存!A:L,12,0),"")</f>
        <v>1</v>
      </c>
      <c r="D52">
        <f>IFERROR(VLOOKUP(A52,管理亚马逊库存!A:Q,17,0),"")</f>
        <v>0</v>
      </c>
      <c r="E52">
        <f>IFERROR(VLOOKUP(A52,管理亚马逊库存!A:R,18,0),"")</f>
        <v>5</v>
      </c>
      <c r="F52">
        <f t="shared" si="1"/>
        <v>5</v>
      </c>
      <c r="G52">
        <f>IFERROR(VLOOKUP(A52,预留库存!A:G,7,0),0)</f>
        <v>1</v>
      </c>
      <c r="H52">
        <f>IFERROR(VLOOKUP(A52,预留库存!A:H,8,0),0)</f>
        <v>0</v>
      </c>
      <c r="I52">
        <f>IFERROR(VLOOKUP(A52,预留库存!A:F,6,0),0)</f>
        <v>1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189</v>
      </c>
      <c r="B53">
        <f>IFERROR(VLOOKUP(A53,管理亚马逊库存!A:K,11,0),"")</f>
        <v>0</v>
      </c>
      <c r="C53">
        <f>IFERROR(VLOOKUP(A53,管理亚马逊库存!A:L,12,0),"")</f>
        <v>1</v>
      </c>
      <c r="D53">
        <f>IFERROR(VLOOKUP(A53,管理亚马逊库存!A:Q,17,0),"")</f>
        <v>10</v>
      </c>
      <c r="E53">
        <f>IFERROR(VLOOKUP(A53,管理亚马逊库存!A:R,18,0),"")</f>
        <v>0</v>
      </c>
      <c r="F53">
        <f t="shared" si="1"/>
        <v>10</v>
      </c>
      <c r="G53">
        <f>IFERROR(VLOOKUP(A53,预留库存!A:G,7,0),0)</f>
        <v>1</v>
      </c>
      <c r="H53">
        <f>IFERROR(VLOOKUP(A53,预留库存!A:H,8,0),0)</f>
        <v>0</v>
      </c>
      <c r="I53">
        <f>IFERROR(VLOOKUP(A53,预留库存!A:F,6,0),0)</f>
        <v>1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193</v>
      </c>
      <c r="B54">
        <f>IFERROR(VLOOKUP(A54,管理亚马逊库存!A:K,11,0),"")</f>
        <v>2</v>
      </c>
      <c r="C54">
        <f>IFERROR(VLOOKUP(A54,管理亚马逊库存!A:L,12,0),"")</f>
        <v>5</v>
      </c>
      <c r="D54">
        <f>IFERROR(VLOOKUP(A54,管理亚马逊库存!A:Q,17,0),"")</f>
        <v>16</v>
      </c>
      <c r="E54">
        <f>IFERROR(VLOOKUP(A54,管理亚马逊库存!A:R,18,0),"")</f>
        <v>0</v>
      </c>
      <c r="F54">
        <f t="shared" si="1"/>
        <v>16</v>
      </c>
      <c r="G54">
        <f>IFERROR(VLOOKUP(A54,预留库存!A:G,7,0),0)</f>
        <v>0</v>
      </c>
      <c r="H54">
        <f>IFERROR(VLOOKUP(A54,预留库存!A:H,8,0),0)</f>
        <v>2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197</v>
      </c>
      <c r="B55">
        <f>IFERROR(VLOOKUP(A55,管理亚马逊库存!A:K,11,0),"")</f>
        <v>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1</v>
      </c>
      <c r="I55">
        <f>IFERROR(VLOOKUP(A55,预留库存!A:F,6,0),0)</f>
        <v>0</v>
      </c>
      <c r="J55">
        <f>IFERROR(VLOOKUP(A55,库龄!B:K,9,0),0)</f>
        <v>1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1</v>
      </c>
    </row>
    <row r="56" spans="1:14">
      <c r="A56" s="3" t="s">
        <v>200</v>
      </c>
      <c r="B56">
        <f>IFERROR(VLOOKUP(A56,管理亚马逊库存!A:K,11,0),"")</f>
        <v>0</v>
      </c>
      <c r="C56">
        <f>IFERROR(VLOOKUP(A56,管理亚马逊库存!A:L,12,0),"")</f>
        <v>3</v>
      </c>
      <c r="D56">
        <f>IFERROR(VLOOKUP(A56,管理亚马逊库存!A:Q,17,0),"")</f>
        <v>3</v>
      </c>
      <c r="E56">
        <f>IFERROR(VLOOKUP(A56,管理亚马逊库存!A:R,18,0),"")</f>
        <v>0</v>
      </c>
      <c r="F56">
        <f t="shared" si="1"/>
        <v>3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204</v>
      </c>
      <c r="B57">
        <f>IFERROR(VLOOKUP(A57,管理亚马逊库存!A:K,11,0),"")</f>
        <v>6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1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3</v>
      </c>
      <c r="K57">
        <f>IFERROR(VLOOKUP(A57,库龄!B:L,10,0),0)</f>
        <v>0</v>
      </c>
      <c r="L57">
        <f>IFERROR(VLOOKUP(A57,库龄!B:M,11,0),0)</f>
        <v>1</v>
      </c>
      <c r="M57">
        <f>IFERROR(VLOOKUP(A57,库龄!B:N,12,0),0)</f>
        <v>1</v>
      </c>
      <c r="N57">
        <f t="shared" si="2"/>
        <v>5</v>
      </c>
    </row>
    <row r="58" spans="1:14">
      <c r="A58" s="3" t="s">
        <v>207</v>
      </c>
      <c r="B58">
        <f>IFERROR(VLOOKUP(A58,管理亚马逊库存!A:K,11,0),"")</f>
        <v>3</v>
      </c>
      <c r="C58">
        <f>IFERROR(VLOOKUP(A58,管理亚马逊库存!A:L,12,0),"")</f>
        <v>2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1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210</v>
      </c>
      <c r="B59">
        <f>IFERROR(VLOOKUP(A59,管理亚马逊库存!A:K,11,0),"")</f>
        <v>3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1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2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2</v>
      </c>
    </row>
    <row r="60" spans="1:14">
      <c r="A60" s="3" t="s">
        <v>214</v>
      </c>
      <c r="B60">
        <f>IFERROR(VLOOKUP(A60,管理亚马逊库存!A:K,11,0),"")</f>
        <v>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3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218</v>
      </c>
      <c r="B61">
        <f>IFERROR(VLOOKUP(A61,管理亚马逊库存!A:K,11,0),"")</f>
        <v>8</v>
      </c>
      <c r="C61">
        <f>IFERROR(VLOOKUP(A61,管理亚马逊库存!A:L,12,0),"")</f>
        <v>2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1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222</v>
      </c>
      <c r="B62">
        <f>IFERROR(VLOOKUP(A62,管理亚马逊库存!A:K,11,0),"")</f>
        <v>8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1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1</v>
      </c>
      <c r="K62">
        <f>IFERROR(VLOOKUP(A62,库龄!B:L,10,0),0)</f>
        <v>0</v>
      </c>
      <c r="L62">
        <f>IFERROR(VLOOKUP(A62,库龄!B:M,11,0),0)</f>
        <v>1</v>
      </c>
      <c r="M62">
        <f>IFERROR(VLOOKUP(A62,库龄!B:N,12,0),0)</f>
        <v>6</v>
      </c>
      <c r="N62">
        <f t="shared" si="2"/>
        <v>8</v>
      </c>
    </row>
    <row r="63" spans="1:14">
      <c r="A63" s="3" t="s">
        <v>226</v>
      </c>
      <c r="B63">
        <f>IFERROR(VLOOKUP(A63,管理亚马逊库存!A:K,11,0),"")</f>
        <v>8</v>
      </c>
      <c r="C63">
        <f>IFERROR(VLOOKUP(A63,管理亚马逊库存!A:L,12,0),"")</f>
        <v>1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1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229</v>
      </c>
      <c r="B64">
        <f>IFERROR(VLOOKUP(A64,管理亚马逊库存!A:K,11,0),"")</f>
        <v>4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1</v>
      </c>
      <c r="H64">
        <f>IFERROR(VLOOKUP(A64,预留库存!A:H,8,0),0)</f>
        <v>0</v>
      </c>
      <c r="I64">
        <f>IFERROR(VLOOKUP(A64,预留库存!A:F,6,0),0)</f>
        <v>1</v>
      </c>
      <c r="J64">
        <f>IFERROR(VLOOKUP(A64,库龄!B:K,9,0),0)</f>
        <v>1</v>
      </c>
      <c r="K64">
        <f>IFERROR(VLOOKUP(A64,库龄!B:L,10,0),0)</f>
        <v>2</v>
      </c>
      <c r="L64">
        <f>IFERROR(VLOOKUP(A64,库龄!B:M,11,0),0)</f>
        <v>1</v>
      </c>
      <c r="M64">
        <f>IFERROR(VLOOKUP(A64,库龄!B:N,12,0),0)</f>
        <v>2</v>
      </c>
      <c r="N64">
        <f t="shared" si="2"/>
        <v>6</v>
      </c>
    </row>
    <row r="65" spans="1:14">
      <c r="A65" s="3" t="s">
        <v>233</v>
      </c>
      <c r="B65">
        <f>IFERROR(VLOOKUP(A65,管理亚马逊库存!A:K,11,0),"")</f>
        <v>2</v>
      </c>
      <c r="C65">
        <f>IFERROR(VLOOKUP(A65,管理亚马逊库存!A:L,12,0),"")</f>
        <v>1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1</v>
      </c>
      <c r="J65">
        <f>IFERROR(VLOOKUP(A65,库龄!B:K,9,0),0)</f>
        <v>1</v>
      </c>
      <c r="K65">
        <f>IFERROR(VLOOKUP(A65,库龄!B:L,10,0),0)</f>
        <v>0</v>
      </c>
      <c r="L65">
        <f>IFERROR(VLOOKUP(A65,库龄!B:M,11,0),0)</f>
        <v>1</v>
      </c>
      <c r="M65">
        <f>IFERROR(VLOOKUP(A65,库龄!B:N,12,0),0)</f>
        <v>0</v>
      </c>
      <c r="N65">
        <f t="shared" si="2"/>
        <v>2</v>
      </c>
    </row>
    <row r="66" spans="1:14">
      <c r="A66" s="3" t="s">
        <v>237</v>
      </c>
      <c r="B66">
        <f>IFERROR(VLOOKUP(A66,管理亚马逊库存!A:K,11,0),"")</f>
        <v>0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2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240</v>
      </c>
      <c r="B67">
        <f>IFERROR(VLOOKUP(A67,管理亚马逊库存!A:K,11,0),"")</f>
        <v>0</v>
      </c>
      <c r="C67">
        <f>IFERROR(VLOOKUP(A67,管理亚马逊库存!A:L,12,0),"")</f>
        <v>14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2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244</v>
      </c>
      <c r="B68">
        <f>IFERROR(VLOOKUP(A68,管理亚马逊库存!A:K,11,0),"")</f>
        <v>0</v>
      </c>
      <c r="C68">
        <f>IFERROR(VLOOKUP(A68,管理亚马逊库存!A:L,12,0),"")</f>
        <v>4</v>
      </c>
      <c r="D68">
        <f>IFERROR(VLOOKUP(A68,管理亚马逊库存!A:Q,17,0),"")</f>
        <v>15</v>
      </c>
      <c r="E68">
        <f>IFERROR(VLOOKUP(A68,管理亚马逊库存!A:R,18,0),"")</f>
        <v>0</v>
      </c>
      <c r="F68">
        <f t="shared" si="3"/>
        <v>15</v>
      </c>
      <c r="G68">
        <f>IFERROR(VLOOKUP(A68,预留库存!A:G,7,0),0)</f>
        <v>0</v>
      </c>
      <c r="H68">
        <f>IFERROR(VLOOKUP(A68,预留库存!A:H,8,0),0)</f>
        <v>2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248</v>
      </c>
      <c r="B69">
        <f>IFERROR(VLOOKUP(A69,管理亚马逊库存!A:K,11,0),"")</f>
        <v>9</v>
      </c>
      <c r="C69">
        <f>IFERROR(VLOOKUP(A69,管理亚马逊库存!A:L,12,0),"")</f>
        <v>2</v>
      </c>
      <c r="D69">
        <f>IFERROR(VLOOKUP(A69,管理亚马逊库存!A:Q,17,0),"")</f>
        <v>5</v>
      </c>
      <c r="E69">
        <f>IFERROR(VLOOKUP(A69,管理亚马逊库存!A:R,18,0),"")</f>
        <v>0</v>
      </c>
      <c r="F69">
        <f t="shared" si="3"/>
        <v>5</v>
      </c>
      <c r="G69">
        <f>IFERROR(VLOOKUP(A69,预留库存!A:G,7,0),0)</f>
        <v>0</v>
      </c>
      <c r="H69">
        <f>IFERROR(VLOOKUP(A69,预留库存!A:H,8,0),0)</f>
        <v>1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251</v>
      </c>
      <c r="B70">
        <f>IFERROR(VLOOKUP(A70,管理亚马逊库存!A:K,11,0),"")</f>
        <v>0</v>
      </c>
      <c r="C70">
        <f>IFERROR(VLOOKUP(A70,管理亚马逊库存!A:L,12,0),"")</f>
        <v>5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254</v>
      </c>
      <c r="B71">
        <f>IFERROR(VLOOKUP(A71,管理亚马逊库存!A:K,11,0),"")</f>
        <v>4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257</v>
      </c>
      <c r="B72">
        <f>IFERROR(VLOOKUP(A72,管理亚马逊库存!A:K,11,0),"")</f>
        <v>7</v>
      </c>
      <c r="C72">
        <f>IFERROR(VLOOKUP(A72,管理亚马逊库存!A:L,12,0),"")</f>
        <v>2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261</v>
      </c>
      <c r="B73">
        <f>IFERROR(VLOOKUP(A73,管理亚马逊库存!A:K,11,0),"")</f>
        <v>1</v>
      </c>
      <c r="C73">
        <f>IFERROR(VLOOKUP(A73,管理亚马逊库存!A:L,12,0),"")</f>
        <v>1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1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264</v>
      </c>
      <c r="B74">
        <f>IFERROR(VLOOKUP(A74,管理亚马逊库存!A:K,11,0),"")</f>
        <v>1</v>
      </c>
      <c r="C74">
        <f>IFERROR(VLOOKUP(A74,管理亚马逊库存!A:L,12,0),"")</f>
        <v>21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3</v>
      </c>
      <c r="H74">
        <f>IFERROR(VLOOKUP(A74,预留库存!A:H,8,0),0)</f>
        <v>3</v>
      </c>
      <c r="I74">
        <f>IFERROR(VLOOKUP(A74,预留库存!A:F,6,0),0)</f>
        <v>2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267</v>
      </c>
      <c r="B75">
        <f>IFERROR(VLOOKUP(A75,管理亚马逊库存!A:K,11,0),"")</f>
        <v>0</v>
      </c>
      <c r="C75">
        <f>IFERROR(VLOOKUP(A75,管理亚马逊库存!A:L,12,0),"")</f>
        <v>18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2</v>
      </c>
      <c r="H75">
        <f>IFERROR(VLOOKUP(A75,预留库存!A:H,8,0),0)</f>
        <v>1</v>
      </c>
      <c r="I75">
        <f>IFERROR(VLOOKUP(A75,预留库存!A:F,6,0),0)</f>
        <v>1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270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2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274</v>
      </c>
      <c r="B77">
        <f>IFERROR(VLOOKUP(A77,管理亚马逊库存!A:K,11,0),"")</f>
        <v>1</v>
      </c>
      <c r="C77">
        <f>IFERROR(VLOOKUP(A77,管理亚马逊库存!A:L,12,0),"")</f>
        <v>3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2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277</v>
      </c>
      <c r="B78">
        <f>IFERROR(VLOOKUP(A78,管理亚马逊库存!A:K,11,0),"")</f>
        <v>17</v>
      </c>
      <c r="C78">
        <f>IFERROR(VLOOKUP(A78,管理亚马逊库存!A:L,12,0),"")</f>
        <v>15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280</v>
      </c>
      <c r="B79">
        <f>IFERROR(VLOOKUP(A79,管理亚马逊库存!A:K,11,0),"")</f>
        <v>0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1</v>
      </c>
      <c r="I79">
        <f>IFERROR(VLOOKUP(A79,预留库存!A:F,6,0),0)</f>
        <v>1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283</v>
      </c>
      <c r="B80">
        <f>IFERROR(VLOOKUP(A80,管理亚马逊库存!A:K,11,0),"")</f>
        <v>2</v>
      </c>
      <c r="C80">
        <f>IFERROR(VLOOKUP(A80,管理亚马逊库存!A:L,12,0),"")</f>
        <v>1</v>
      </c>
      <c r="D80">
        <f>IFERROR(VLOOKUP(A80,管理亚马逊库存!A:Q,17,0),"")</f>
        <v>3</v>
      </c>
      <c r="E80">
        <f>IFERROR(VLOOKUP(A80,管理亚马逊库存!A:R,18,0),"")</f>
        <v>0</v>
      </c>
      <c r="F80">
        <f t="shared" si="3"/>
        <v>3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1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286</v>
      </c>
      <c r="B81">
        <f>IFERROR(VLOOKUP(A81,管理亚马逊库存!A:K,11,0),"")</f>
        <v>0</v>
      </c>
      <c r="C81">
        <f>IFERROR(VLOOKUP(A81,管理亚马逊库存!A:L,12,0),"")</f>
        <v>2</v>
      </c>
      <c r="D81">
        <f>IFERROR(VLOOKUP(A81,管理亚马逊库存!A:Q,17,0),"")</f>
        <v>6</v>
      </c>
      <c r="E81">
        <f>IFERROR(VLOOKUP(A81,管理亚马逊库存!A:R,18,0),"")</f>
        <v>0</v>
      </c>
      <c r="F81">
        <f t="shared" si="3"/>
        <v>6</v>
      </c>
      <c r="G81">
        <f>IFERROR(VLOOKUP(A81,预留库存!A:G,7,0),0)</f>
        <v>0</v>
      </c>
      <c r="H81">
        <f>IFERROR(VLOOKUP(A81,预留库存!A:H,8,0),0)</f>
        <v>2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289</v>
      </c>
      <c r="B82">
        <f>IFERROR(VLOOKUP(A82,管理亚马逊库存!A:K,11,0),"")</f>
        <v>6</v>
      </c>
      <c r="C82">
        <f>IFERROR(VLOOKUP(A82,管理亚马逊库存!A:L,12,0),"")</f>
        <v>2</v>
      </c>
      <c r="D82">
        <f>IFERROR(VLOOKUP(A82,管理亚马逊库存!A:Q,17,0),"")</f>
        <v>3</v>
      </c>
      <c r="E82">
        <f>IFERROR(VLOOKUP(A82,管理亚马逊库存!A:R,18,0),"")</f>
        <v>0</v>
      </c>
      <c r="F82">
        <f t="shared" si="3"/>
        <v>3</v>
      </c>
      <c r="G82">
        <f>IFERROR(VLOOKUP(A82,预留库存!A:G,7,0),0)</f>
        <v>0</v>
      </c>
      <c r="H82">
        <f>IFERROR(VLOOKUP(A82,预留库存!A:H,8,0),0)</f>
        <v>1</v>
      </c>
      <c r="I82">
        <f>IFERROR(VLOOKUP(A82,预留库存!A:F,6,0),0)</f>
        <v>1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292</v>
      </c>
      <c r="B83">
        <f>IFERROR(VLOOKUP(A83,管理亚马逊库存!A:K,11,0),"")</f>
        <v>2</v>
      </c>
      <c r="C83">
        <f>IFERROR(VLOOKUP(A83,管理亚马逊库存!A:L,12,0),"")</f>
        <v>3</v>
      </c>
      <c r="D83">
        <f>IFERROR(VLOOKUP(A83,管理亚马逊库存!A:Q,17,0),"")</f>
        <v>0</v>
      </c>
      <c r="E83">
        <f>IFERROR(VLOOKUP(A83,管理亚马逊库存!A:R,18,0),"")</f>
        <v>1</v>
      </c>
      <c r="F83">
        <f t="shared" si="3"/>
        <v>1</v>
      </c>
      <c r="G83">
        <f>IFERROR(VLOOKUP(A83,预留库存!A:G,7,0),0)</f>
        <v>1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296</v>
      </c>
      <c r="B84">
        <f>IFERROR(VLOOKUP(A84,管理亚马逊库存!A:K,11,0),"")</f>
        <v>1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300</v>
      </c>
      <c r="B85">
        <f>IFERROR(VLOOKUP(A85,管理亚马逊库存!A:K,11,0),"")</f>
        <v>2</v>
      </c>
      <c r="C85">
        <f>IFERROR(VLOOKUP(A85,管理亚马逊库存!A:L,12,0),"")</f>
        <v>3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1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336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3</v>
      </c>
      <c r="N86">
        <f t="shared" si="4"/>
        <v>3</v>
      </c>
    </row>
    <row r="87" spans="1:14">
      <c r="A87" s="3" t="s">
        <v>346</v>
      </c>
      <c r="B87">
        <f>IFERROR(VLOOKUP(A87,管理亚马逊库存!A:K,11,0),"")</f>
        <v>8</v>
      </c>
      <c r="C87">
        <f>IFERROR(VLOOKUP(A87,管理亚马逊库存!A:L,12,0),"")</f>
        <v>1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5</v>
      </c>
      <c r="K87">
        <f>IFERROR(VLOOKUP(A87,库龄!B:L,10,0),0)</f>
        <v>1</v>
      </c>
      <c r="L87">
        <f>IFERROR(VLOOKUP(A87,库龄!B:M,11,0),0)</f>
        <v>0</v>
      </c>
      <c r="M87">
        <f>IFERROR(VLOOKUP(A87,库龄!B:N,12,0),0)</f>
        <v>0</v>
      </c>
      <c r="N87">
        <f t="shared" si="4"/>
        <v>6</v>
      </c>
    </row>
    <row r="88" spans="1:14">
      <c r="A88" s="3" t="s">
        <v>351</v>
      </c>
      <c r="B88">
        <f>IFERROR(VLOOKUP(A88,管理亚马逊库存!A:K,11,0),"")</f>
        <v>5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5</v>
      </c>
      <c r="N88">
        <f t="shared" si="4"/>
        <v>5</v>
      </c>
    </row>
    <row r="89" spans="1:14">
      <c r="A89" s="3" t="s">
        <v>356</v>
      </c>
      <c r="B89">
        <f>IFERROR(VLOOKUP(A89,管理亚马逊库存!A:K,11,0),"")</f>
        <v>7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3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3</v>
      </c>
    </row>
    <row r="90" spans="1:14">
      <c r="A90" s="3" t="s">
        <v>361</v>
      </c>
      <c r="B90">
        <f>IFERROR(VLOOKUP(A90,管理亚马逊库存!A:K,11,0),"")</f>
        <v>3</v>
      </c>
      <c r="C90">
        <f>IFERROR(VLOOKUP(A90,管理亚马逊库存!A:L,12,0),"")</f>
        <v>1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3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3</v>
      </c>
    </row>
    <row r="91" spans="1:14">
      <c r="A91" s="3" t="s">
        <v>366</v>
      </c>
      <c r="B91">
        <f>IFERROR(VLOOKUP(A91,管理亚马逊库存!A:K,11,0),"")</f>
        <v>3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2</v>
      </c>
      <c r="M91">
        <f>IFERROR(VLOOKUP(A91,库龄!B:N,12,0),0)</f>
        <v>0</v>
      </c>
      <c r="N91">
        <f t="shared" si="4"/>
        <v>2</v>
      </c>
    </row>
    <row r="92" spans="1:14">
      <c r="A92" s="3" t="s">
        <v>372</v>
      </c>
      <c r="B92">
        <f>IFERROR(VLOOKUP(A92,管理亚马逊库存!A:K,11,0),"")</f>
        <v>5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4</v>
      </c>
      <c r="M92">
        <f>IFERROR(VLOOKUP(A92,库龄!B:N,12,0),0)</f>
        <v>0</v>
      </c>
      <c r="N92">
        <f t="shared" si="4"/>
        <v>4</v>
      </c>
    </row>
    <row r="93" spans="1:14">
      <c r="A93" s="3" t="s">
        <v>377</v>
      </c>
      <c r="B93">
        <f>IFERROR(VLOOKUP(A93,管理亚马逊库存!A:K,11,0),"")</f>
        <v>11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9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9</v>
      </c>
    </row>
    <row r="94" spans="1:14">
      <c r="A94" s="3" t="s">
        <v>383</v>
      </c>
      <c r="B94">
        <f>IFERROR(VLOOKUP(A94,管理亚马逊库存!A:K,11,0),"")</f>
        <v>1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1</v>
      </c>
      <c r="N94">
        <f t="shared" si="4"/>
        <v>1</v>
      </c>
    </row>
    <row r="95" spans="1:14">
      <c r="A95" s="3" t="s">
        <v>388</v>
      </c>
      <c r="B95">
        <f>IFERROR(VLOOKUP(A95,管理亚马逊库存!A:K,11,0),"")</f>
        <v>8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8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8</v>
      </c>
    </row>
    <row r="96" spans="1:14">
      <c r="A96" s="3" t="s">
        <v>393</v>
      </c>
      <c r="B96">
        <f>IFERROR(VLOOKUP(A96,管理亚马逊库存!A:K,11,0),"")</f>
        <v>4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4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4</v>
      </c>
    </row>
    <row r="97" spans="1:14">
      <c r="A97" s="3" t="s">
        <v>398</v>
      </c>
      <c r="B97">
        <f>IFERROR(VLOOKUP(A97,管理亚马逊库存!A:K,11,0),"")</f>
        <v>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403</v>
      </c>
      <c r="B98">
        <f>IFERROR(VLOOKUP(A98,管理亚马逊库存!A:K,11,0),"")</f>
        <v>5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2</v>
      </c>
      <c r="N98">
        <f t="shared" si="4"/>
        <v>2</v>
      </c>
    </row>
    <row r="99" spans="1:14">
      <c r="A99" s="3" t="s">
        <v>408</v>
      </c>
      <c r="B99">
        <f>IFERROR(VLOOKUP(A99,管理亚马逊库存!A:K,11,0),"")</f>
        <v>2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2</v>
      </c>
      <c r="M99">
        <f>IFERROR(VLOOKUP(A99,库龄!B:N,12,0),0)</f>
        <v>0</v>
      </c>
      <c r="N99">
        <f t="shared" si="4"/>
        <v>2</v>
      </c>
    </row>
    <row r="100" spans="1:14">
      <c r="A100" s="3" t="s">
        <v>413</v>
      </c>
      <c r="B100">
        <f>IFERROR(VLOOKUP(A100,管理亚马逊库存!A:K,11,0),"")</f>
        <v>10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1</v>
      </c>
      <c r="K100">
        <f>IFERROR(VLOOKUP(A100,库龄!B:L,10,0),0)</f>
        <v>1</v>
      </c>
      <c r="L100">
        <f>IFERROR(VLOOKUP(A100,库龄!B:M,11,0),0)</f>
        <v>7</v>
      </c>
      <c r="M100">
        <f>IFERROR(VLOOKUP(A100,库龄!B:N,12,0),0)</f>
        <v>0</v>
      </c>
      <c r="N100">
        <f t="shared" si="4"/>
        <v>9</v>
      </c>
    </row>
    <row r="101" spans="1:14">
      <c r="A101" s="3" t="s">
        <v>418</v>
      </c>
      <c r="B101">
        <f>IFERROR(VLOOKUP(A101,管理亚马逊库存!A:K,11,0),"")</f>
        <v>5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422</v>
      </c>
      <c r="B102">
        <f>IFERROR(VLOOKUP(A102,管理亚马逊库存!A:K,11,0),"")</f>
        <v>1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1</v>
      </c>
      <c r="M102">
        <f>IFERROR(VLOOKUP(A102,库龄!B:N,12,0),0)</f>
        <v>0</v>
      </c>
      <c r="N102">
        <f t="shared" si="4"/>
        <v>1</v>
      </c>
    </row>
    <row r="103" spans="1:14">
      <c r="A103" s="3" t="s">
        <v>426</v>
      </c>
      <c r="B103">
        <f>IFERROR(VLOOKUP(A103,管理亚马逊库存!A:K,11,0),"")</f>
        <v>7</v>
      </c>
      <c r="C103">
        <f>IFERROR(VLOOKUP(A103,管理亚马逊库存!A:L,12,0),"")</f>
        <v>1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432</v>
      </c>
      <c r="B104">
        <f>IFERROR(VLOOKUP(A104,管理亚马逊库存!A:K,11,0),"")</f>
        <v>6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6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6</v>
      </c>
    </row>
    <row r="105" spans="1:14">
      <c r="A105" s="3" t="s">
        <v>436</v>
      </c>
      <c r="B105">
        <f>IFERROR(VLOOKUP(A105,管理亚马逊库存!A:K,11,0),"")</f>
        <v>1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1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1</v>
      </c>
    </row>
    <row r="106" spans="1:14">
      <c r="A106" s="3" t="s">
        <v>441</v>
      </c>
      <c r="B106">
        <f>IFERROR(VLOOKUP(A106,管理亚马逊库存!A:K,11,0),"")</f>
        <v>1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1</v>
      </c>
      <c r="N106">
        <f t="shared" si="4"/>
        <v>1</v>
      </c>
    </row>
    <row r="107" spans="1:14">
      <c r="A107" s="3" t="s">
        <v>446</v>
      </c>
      <c r="B107">
        <f>IFERROR(VLOOKUP(A107,管理亚马逊库存!A:K,11,0),"")</f>
        <v>1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</v>
      </c>
    </row>
    <row r="108" spans="1:14">
      <c r="A108" s="3" t="s">
        <v>451</v>
      </c>
      <c r="B108">
        <f>IFERROR(VLOOKUP(A108,管理亚马逊库存!A:K,11,0),"")</f>
        <v>8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8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8</v>
      </c>
    </row>
    <row r="109" spans="1:14">
      <c r="A109" s="3" t="s">
        <v>456</v>
      </c>
      <c r="B109">
        <f>IFERROR(VLOOKUP(A109,管理亚马逊库存!A:K,11,0),"")</f>
        <v>4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4</v>
      </c>
      <c r="N109">
        <f t="shared" si="4"/>
        <v>4</v>
      </c>
    </row>
    <row r="110" spans="1:14">
      <c r="A110" s="3" t="s">
        <v>460</v>
      </c>
      <c r="B110">
        <f>IFERROR(VLOOKUP(A110,管理亚马逊库存!A:K,11,0),"")</f>
        <v>1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465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5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5</v>
      </c>
    </row>
    <row r="112" spans="1:14">
      <c r="A112" s="3" t="s">
        <v>470</v>
      </c>
      <c r="B112">
        <f>IFERROR(VLOOKUP(A112,管理亚马逊库存!A:K,11,0),"")</f>
        <v>9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7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7</v>
      </c>
    </row>
    <row r="113" spans="1:14">
      <c r="A113" s="3" t="s">
        <v>474</v>
      </c>
      <c r="B113">
        <f>IFERROR(VLOOKUP(A113,管理亚马逊库存!A:K,11,0),"")</f>
        <v>4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3</v>
      </c>
      <c r="M113">
        <f>IFERROR(VLOOKUP(A113,库龄!B:N,12,0),0)</f>
        <v>0</v>
      </c>
      <c r="N113">
        <f t="shared" si="4"/>
        <v>3</v>
      </c>
    </row>
    <row r="114" spans="1:14">
      <c r="A114" s="3" t="s">
        <v>479</v>
      </c>
      <c r="B114">
        <f>IFERROR(VLOOKUP(A114,管理亚马逊库存!A:K,11,0),"")</f>
        <v>3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483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487</v>
      </c>
      <c r="B116">
        <f>IFERROR(VLOOKUP(A116,管理亚马逊库存!A:K,11,0),"")</f>
        <v>2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2</v>
      </c>
      <c r="N116">
        <f t="shared" si="4"/>
        <v>2</v>
      </c>
    </row>
    <row r="117" spans="1:14">
      <c r="A117" s="3" t="s">
        <v>494</v>
      </c>
      <c r="B117">
        <f>IFERROR(VLOOKUP(A117,管理亚马逊库存!A:K,11,0),"")</f>
        <v>1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1</v>
      </c>
      <c r="N117">
        <f t="shared" si="4"/>
        <v>1</v>
      </c>
    </row>
    <row r="118" spans="1:14">
      <c r="A118" s="3" t="s">
        <v>498</v>
      </c>
      <c r="B118">
        <f>IFERROR(VLOOKUP(A118,管理亚马逊库存!A:K,11,0),"")</f>
        <v>1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1</v>
      </c>
      <c r="N118">
        <f t="shared" si="4"/>
        <v>1</v>
      </c>
    </row>
    <row r="119" spans="1:14">
      <c r="A119" s="3" t="s">
        <v>501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1</v>
      </c>
      <c r="M119">
        <f>IFERROR(VLOOKUP(A119,库龄!B:N,12,0),0)</f>
        <v>0</v>
      </c>
      <c r="N119">
        <f t="shared" si="4"/>
        <v>1</v>
      </c>
    </row>
    <row r="120" spans="1:14">
      <c r="A120" s="3" t="s">
        <v>506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1</v>
      </c>
      <c r="N120">
        <f t="shared" si="4"/>
        <v>1</v>
      </c>
    </row>
    <row r="121" spans="1:14">
      <c r="A121" s="3" t="s">
        <v>509</v>
      </c>
      <c r="B121">
        <f>IFERROR(VLOOKUP(A121,管理亚马逊库存!A:K,11,0),"")</f>
        <v>9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5</v>
      </c>
      <c r="K121">
        <f>IFERROR(VLOOKUP(A121,库龄!B:L,10,0),0)</f>
        <v>0</v>
      </c>
      <c r="L121">
        <f>IFERROR(VLOOKUP(A121,库龄!B:M,11,0),0)</f>
        <v>1</v>
      </c>
      <c r="M121">
        <f>IFERROR(VLOOKUP(A121,库龄!B:N,12,0),0)</f>
        <v>3</v>
      </c>
      <c r="N121">
        <f t="shared" si="4"/>
        <v>9</v>
      </c>
    </row>
    <row r="122" spans="1:14">
      <c r="A122" s="3" t="s">
        <v>513</v>
      </c>
      <c r="B122">
        <f>IFERROR(VLOOKUP(A122,管理亚马逊库存!A:K,11,0),"")</f>
        <v>2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2</v>
      </c>
      <c r="M122">
        <f>IFERROR(VLOOKUP(A122,库龄!B:N,12,0),0)</f>
        <v>0</v>
      </c>
      <c r="N122">
        <f t="shared" si="4"/>
        <v>2</v>
      </c>
    </row>
    <row r="123" spans="1:14">
      <c r="A123" s="3" t="s">
        <v>519</v>
      </c>
      <c r="B123">
        <f>IFERROR(VLOOKUP(A123,管理亚马逊库存!A:K,11,0),"")</f>
        <v>1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1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1</v>
      </c>
    </row>
    <row r="124" spans="1:14">
      <c r="A124" s="3" t="s">
        <v>522</v>
      </c>
      <c r="B124">
        <f>IFERROR(VLOOKUP(A124,管理亚马逊库存!A:K,11,0),"")</f>
        <v>3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3</v>
      </c>
      <c r="N124">
        <f t="shared" si="4"/>
        <v>3</v>
      </c>
    </row>
    <row r="125" spans="1:14">
      <c r="A125" s="3" t="s">
        <v>527</v>
      </c>
      <c r="B125">
        <f>IFERROR(VLOOKUP(A125,管理亚马逊库存!A:K,11,0),"")</f>
        <v>4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4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4</v>
      </c>
    </row>
    <row r="126" spans="1:14">
      <c r="A126" s="3" t="s">
        <v>532</v>
      </c>
      <c r="B126">
        <f>IFERROR(VLOOKUP(A126,管理亚马逊库存!A:K,11,0),"")</f>
        <v>2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2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2</v>
      </c>
    </row>
    <row r="127" spans="1:14">
      <c r="A127" s="3" t="s">
        <v>536</v>
      </c>
      <c r="B127">
        <f>IFERROR(VLOOKUP(A127,管理亚马逊库存!A:K,11,0),"")</f>
        <v>3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3</v>
      </c>
      <c r="M127">
        <f>IFERROR(VLOOKUP(A127,库龄!B:N,12,0),0)</f>
        <v>0</v>
      </c>
      <c r="N127">
        <f t="shared" si="4"/>
        <v>3</v>
      </c>
    </row>
    <row r="128" spans="1:14">
      <c r="A128" s="3" t="s">
        <v>540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543</v>
      </c>
      <c r="B129">
        <f>IFERROR(VLOOKUP(A129,管理亚马逊库存!A:K,11,0),"")</f>
        <v>9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5</v>
      </c>
      <c r="K129">
        <f>IFERROR(VLOOKUP(A129,库龄!B:L,10,0),0)</f>
        <v>0</v>
      </c>
      <c r="L129">
        <f>IFERROR(VLOOKUP(A129,库龄!B:M,11,0),0)</f>
        <v>2</v>
      </c>
      <c r="M129">
        <f>IFERROR(VLOOKUP(A129,库龄!B:N,12,0),0)</f>
        <v>1</v>
      </c>
      <c r="N129">
        <f t="shared" si="4"/>
        <v>8</v>
      </c>
    </row>
    <row r="130" spans="1:14">
      <c r="A130" s="3" t="s">
        <v>547</v>
      </c>
      <c r="B130">
        <f>IFERROR(VLOOKUP(A130,管理亚马逊库存!A:K,11,0),"")</f>
        <v>6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6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6</v>
      </c>
    </row>
    <row r="131" spans="1:14">
      <c r="A131" s="3" t="s">
        <v>552</v>
      </c>
      <c r="B131">
        <f>IFERROR(VLOOKUP(A131,管理亚马逊库存!A:K,11,0),"")</f>
        <v>3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3</v>
      </c>
      <c r="N131">
        <f t="shared" ref="N131:N194" si="6">SUM(J131:M131)</f>
        <v>3</v>
      </c>
    </row>
    <row r="132" spans="1:14">
      <c r="A132" s="3" t="s">
        <v>557</v>
      </c>
      <c r="B132">
        <f>IFERROR(VLOOKUP(A132,管理亚马逊库存!A:K,11,0),"")</f>
        <v>4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4</v>
      </c>
      <c r="M132">
        <f>IFERROR(VLOOKUP(A132,库龄!B:N,12,0),0)</f>
        <v>0</v>
      </c>
      <c r="N132">
        <f t="shared" si="6"/>
        <v>4</v>
      </c>
    </row>
    <row r="133" spans="1:14">
      <c r="A133" s="3" t="s">
        <v>561</v>
      </c>
      <c r="B133">
        <f>IFERROR(VLOOKUP(A133,管理亚马逊库存!A:K,11,0),"")</f>
        <v>18</v>
      </c>
      <c r="C133">
        <f>IFERROR(VLOOKUP(A133,管理亚马逊库存!A:L,12,0),"")</f>
        <v>1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17</v>
      </c>
      <c r="M133">
        <f>IFERROR(VLOOKUP(A133,库龄!B:N,12,0),0)</f>
        <v>1</v>
      </c>
      <c r="N133">
        <f t="shared" si="6"/>
        <v>18</v>
      </c>
    </row>
    <row r="134" spans="1:14">
      <c r="A134" s="3" t="s">
        <v>565</v>
      </c>
      <c r="B134">
        <f>IFERROR(VLOOKUP(A134,管理亚马逊库存!A:K,11,0),"")</f>
        <v>12</v>
      </c>
      <c r="C134">
        <f>IFERROR(VLOOKUP(A134,管理亚马逊库存!A:L,12,0),"")</f>
        <v>1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11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11</v>
      </c>
    </row>
    <row r="135" spans="1:14">
      <c r="A135" s="3" t="s">
        <v>568</v>
      </c>
      <c r="B135">
        <f>IFERROR(VLOOKUP(A135,管理亚马逊库存!A:K,11,0),"")</f>
        <v>4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2</v>
      </c>
      <c r="K135">
        <f>IFERROR(VLOOKUP(A135,库龄!B:L,10,0),0)</f>
        <v>0</v>
      </c>
      <c r="L135">
        <f>IFERROR(VLOOKUP(A135,库龄!B:M,11,0),0)</f>
        <v>2</v>
      </c>
      <c r="M135">
        <f>IFERROR(VLOOKUP(A135,库龄!B:N,12,0),0)</f>
        <v>0</v>
      </c>
      <c r="N135">
        <f t="shared" si="6"/>
        <v>4</v>
      </c>
    </row>
    <row r="136" spans="1:14">
      <c r="A136" s="3" t="s">
        <v>571</v>
      </c>
      <c r="B136">
        <f>IFERROR(VLOOKUP(A136,管理亚马逊库存!A:K,11,0),"")</f>
        <v>1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1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1</v>
      </c>
    </row>
    <row r="137" spans="1:14">
      <c r="A137" s="3" t="s">
        <v>574</v>
      </c>
      <c r="B137">
        <f>IFERROR(VLOOKUP(A137,管理亚马逊库存!A:K,11,0),"")</f>
        <v>4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1</v>
      </c>
      <c r="K137">
        <f>IFERROR(VLOOKUP(A137,库龄!B:L,10,0),0)</f>
        <v>2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3</v>
      </c>
    </row>
    <row r="138" spans="1:14">
      <c r="A138" s="3" t="s">
        <v>580</v>
      </c>
      <c r="B138">
        <f>IFERROR(VLOOKUP(A138,管理亚马逊库存!A:K,11,0),"")</f>
        <v>13</v>
      </c>
      <c r="C138">
        <f>IFERROR(VLOOKUP(A138,管理亚马逊库存!A:L,12,0),"")</f>
        <v>1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13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13</v>
      </c>
    </row>
    <row r="139" spans="1:14">
      <c r="A139" s="3" t="s">
        <v>584</v>
      </c>
      <c r="B139">
        <f>IFERROR(VLOOKUP(A139,管理亚马逊库存!A:K,11,0),"")</f>
        <v>3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3</v>
      </c>
      <c r="N139">
        <f t="shared" si="6"/>
        <v>3</v>
      </c>
    </row>
    <row r="140" spans="1:14">
      <c r="A140" s="3" t="s">
        <v>587</v>
      </c>
      <c r="B140">
        <f>IFERROR(VLOOKUP(A140,管理亚马逊库存!A:K,11,0),"")</f>
        <v>6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5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5</v>
      </c>
    </row>
    <row r="141" spans="1:14">
      <c r="A141" s="3" t="s">
        <v>592</v>
      </c>
      <c r="B141">
        <f>IFERROR(VLOOKUP(A141,管理亚马逊库存!A:K,11,0),"")</f>
        <v>2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2</v>
      </c>
      <c r="N141">
        <f t="shared" si="6"/>
        <v>2</v>
      </c>
    </row>
    <row r="142" spans="1:14">
      <c r="A142" s="3" t="s">
        <v>597</v>
      </c>
      <c r="B142">
        <f>IFERROR(VLOOKUP(A142,管理亚马逊库存!A:K,11,0),"")</f>
        <v>2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600</v>
      </c>
      <c r="B143">
        <f>IFERROR(VLOOKUP(A143,管理亚马逊库存!A:K,11,0),"")</f>
        <v>1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605</v>
      </c>
      <c r="B144">
        <f>IFERROR(VLOOKUP(A144,管理亚马逊库存!A:K,11,0),"")</f>
        <v>1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610</v>
      </c>
      <c r="B145">
        <f>IFERROR(VLOOKUP(A145,管理亚马逊库存!A:K,11,0),"")</f>
        <v>4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4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4</v>
      </c>
    </row>
    <row r="146" spans="1:14">
      <c r="A146" s="3" t="s">
        <v>615</v>
      </c>
      <c r="B146">
        <f>IFERROR(VLOOKUP(A146,管理亚马逊库存!A:K,11,0),"")</f>
        <v>5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5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5</v>
      </c>
    </row>
    <row r="147" spans="1:14">
      <c r="A147" s="3" t="s">
        <v>619</v>
      </c>
      <c r="B147">
        <f>IFERROR(VLOOKUP(A147,管理亚马逊库存!A:K,11,0),"")</f>
        <v>2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2</v>
      </c>
      <c r="N147">
        <f t="shared" si="6"/>
        <v>2</v>
      </c>
    </row>
    <row r="148" spans="1:14">
      <c r="A148" s="3" t="s">
        <v>623</v>
      </c>
      <c r="B148">
        <f>IFERROR(VLOOKUP(A148,管理亚马逊库存!A:K,11,0),"")</f>
        <v>3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3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3</v>
      </c>
    </row>
    <row r="149" spans="1:14">
      <c r="A149" s="3" t="s">
        <v>627</v>
      </c>
      <c r="B149">
        <f>IFERROR(VLOOKUP(A149,管理亚马逊库存!A:K,11,0),"")</f>
        <v>4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4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4</v>
      </c>
    </row>
    <row r="150" spans="1:14">
      <c r="A150" s="3" t="s">
        <v>632</v>
      </c>
      <c r="B150">
        <f>IFERROR(VLOOKUP(A150,管理亚马逊库存!A:K,11,0),"")</f>
        <v>5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5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5</v>
      </c>
    </row>
    <row r="151" spans="1:14">
      <c r="A151" s="3" t="s">
        <v>638</v>
      </c>
      <c r="B151">
        <f>IFERROR(VLOOKUP(A151,管理亚马逊库存!A:K,11,0),"")</f>
        <v>4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4</v>
      </c>
      <c r="N151">
        <f t="shared" si="6"/>
        <v>4</v>
      </c>
    </row>
    <row r="152" spans="1:14">
      <c r="A152" s="3" t="s">
        <v>643</v>
      </c>
      <c r="B152">
        <f>IFERROR(VLOOKUP(A152,管理亚马逊库存!A:K,11,0),"")</f>
        <v>1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648</v>
      </c>
      <c r="B153">
        <f>IFERROR(VLOOKUP(A153,管理亚马逊库存!A:K,11,0),"")</f>
        <v>5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1</v>
      </c>
      <c r="K153">
        <f>IFERROR(VLOOKUP(A153,库龄!B:L,10,0),0)</f>
        <v>2</v>
      </c>
      <c r="L153">
        <f>IFERROR(VLOOKUP(A153,库龄!B:M,11,0),0)</f>
        <v>2</v>
      </c>
      <c r="M153">
        <f>IFERROR(VLOOKUP(A153,库龄!B:N,12,0),0)</f>
        <v>0</v>
      </c>
      <c r="N153">
        <f t="shared" si="6"/>
        <v>5</v>
      </c>
    </row>
    <row r="154" spans="1:14">
      <c r="A154" s="3" t="s">
        <v>653</v>
      </c>
      <c r="B154">
        <f>IFERROR(VLOOKUP(A154,管理亚马逊库存!A:K,11,0),"")</f>
        <v>1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1</v>
      </c>
      <c r="M154">
        <f>IFERROR(VLOOKUP(A154,库龄!B:N,12,0),0)</f>
        <v>0</v>
      </c>
      <c r="N154">
        <f t="shared" si="6"/>
        <v>1</v>
      </c>
    </row>
    <row r="155" spans="1:14">
      <c r="A155" s="3" t="s">
        <v>658</v>
      </c>
      <c r="B155">
        <f>IFERROR(VLOOKUP(A155,管理亚马逊库存!A:K,11,0),"")</f>
        <v>2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1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2</v>
      </c>
      <c r="N155">
        <f t="shared" si="6"/>
        <v>3</v>
      </c>
    </row>
    <row r="156" spans="1:14">
      <c r="A156" s="3" t="s">
        <v>661</v>
      </c>
      <c r="B156">
        <f>IFERROR(VLOOKUP(A156,管理亚马逊库存!A:K,11,0),"")</f>
        <v>1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665</v>
      </c>
      <c r="B157">
        <f>IFERROR(VLOOKUP(A157,管理亚马逊库存!A:K,11,0),"")</f>
        <v>1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1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1</v>
      </c>
    </row>
    <row r="158" spans="1:14">
      <c r="A158" s="3" t="s">
        <v>670</v>
      </c>
      <c r="B158">
        <f>IFERROR(VLOOKUP(A158,管理亚马逊库存!A:K,11,0),"")</f>
        <v>2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2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2</v>
      </c>
    </row>
    <row r="159" spans="1:14">
      <c r="A159" s="3" t="s">
        <v>673</v>
      </c>
      <c r="B159">
        <f>IFERROR(VLOOKUP(A159,管理亚马逊库存!A:K,11,0),"")</f>
        <v>1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1</v>
      </c>
      <c r="N159">
        <f t="shared" si="6"/>
        <v>1</v>
      </c>
    </row>
    <row r="160" spans="1:14">
      <c r="A160" s="3" t="s">
        <v>677</v>
      </c>
      <c r="B160">
        <f>IFERROR(VLOOKUP(A160,管理亚马逊库存!A:K,11,0),"")</f>
        <v>10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10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10</v>
      </c>
    </row>
    <row r="161" spans="1:14">
      <c r="A161" s="3" t="s">
        <v>682</v>
      </c>
      <c r="B161">
        <f>IFERROR(VLOOKUP(A161,管理亚马逊库存!A:K,11,0),"")</f>
        <v>3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686</v>
      </c>
      <c r="B162">
        <f>IFERROR(VLOOKUP(A162,管理亚马逊库存!A:K,11,0),"")</f>
        <v>21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22</v>
      </c>
      <c r="N162">
        <f t="shared" si="6"/>
        <v>22</v>
      </c>
    </row>
    <row r="163" spans="1:14">
      <c r="A163" s="3" t="s">
        <v>689</v>
      </c>
      <c r="B163">
        <f>IFERROR(VLOOKUP(A163,管理亚马逊库存!A:K,11,0),"")</f>
        <v>2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1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1</v>
      </c>
    </row>
    <row r="164" spans="1:14">
      <c r="A164" s="3" t="s">
        <v>694</v>
      </c>
      <c r="B164">
        <f>IFERROR(VLOOKUP(A164,管理亚马逊库存!A:K,11,0),"")</f>
        <v>3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1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2</v>
      </c>
      <c r="N164">
        <f t="shared" si="6"/>
        <v>3</v>
      </c>
    </row>
    <row r="165" spans="1:14">
      <c r="A165" s="3" t="s">
        <v>698</v>
      </c>
      <c r="B165">
        <f>IFERROR(VLOOKUP(A165,管理亚马逊库存!A:K,11,0),"")</f>
        <v>4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1</v>
      </c>
      <c r="K165">
        <f>IFERROR(VLOOKUP(A165,库龄!B:L,10,0),0)</f>
        <v>0</v>
      </c>
      <c r="L165">
        <f>IFERROR(VLOOKUP(A165,库龄!B:M,11,0),0)</f>
        <v>3</v>
      </c>
      <c r="M165">
        <f>IFERROR(VLOOKUP(A165,库龄!B:N,12,0),0)</f>
        <v>0</v>
      </c>
      <c r="N165">
        <f t="shared" si="6"/>
        <v>4</v>
      </c>
    </row>
    <row r="166" spans="1:14">
      <c r="A166" s="3" t="s">
        <v>703</v>
      </c>
      <c r="B166">
        <f>IFERROR(VLOOKUP(A166,管理亚马逊库存!A:K,11,0),"")</f>
        <v>5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5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5</v>
      </c>
    </row>
    <row r="167" spans="1:14">
      <c r="A167" s="3" t="s">
        <v>706</v>
      </c>
      <c r="B167">
        <f>IFERROR(VLOOKUP(A167,管理亚马逊库存!A:K,11,0),"")</f>
        <v>4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1</v>
      </c>
      <c r="K167">
        <f>IFERROR(VLOOKUP(A167,库龄!B:L,10,0),0)</f>
        <v>3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4</v>
      </c>
    </row>
    <row r="168" spans="1:14">
      <c r="A168" s="3" t="s">
        <v>710</v>
      </c>
      <c r="B168">
        <f>IFERROR(VLOOKUP(A168,管理亚马逊库存!A:K,11,0),"")</f>
        <v>4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3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3</v>
      </c>
    </row>
    <row r="169" spans="1:14">
      <c r="A169" s="3" t="s">
        <v>716</v>
      </c>
      <c r="B169">
        <f>IFERROR(VLOOKUP(A169,管理亚马逊库存!A:K,11,0),"")</f>
        <v>6</v>
      </c>
      <c r="C169">
        <f>IFERROR(VLOOKUP(A169,管理亚马逊库存!A:L,12,0),"")</f>
        <v>2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3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3</v>
      </c>
    </row>
    <row r="170" spans="1:14">
      <c r="A170" s="3" t="s">
        <v>720</v>
      </c>
      <c r="B170">
        <f>IFERROR(VLOOKUP(A170,管理亚马逊库存!A:K,11,0),"")</f>
        <v>4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1</v>
      </c>
      <c r="K170">
        <f>IFERROR(VLOOKUP(A170,库龄!B:L,10,0),0)</f>
        <v>3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4</v>
      </c>
    </row>
    <row r="171" spans="1:14">
      <c r="A171" s="3" t="s">
        <v>724</v>
      </c>
      <c r="B171">
        <f>IFERROR(VLOOKUP(A171,管理亚马逊库存!A:K,11,0),"")</f>
        <v>4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4</v>
      </c>
      <c r="M171">
        <f>IFERROR(VLOOKUP(A171,库龄!B:N,12,0),0)</f>
        <v>0</v>
      </c>
      <c r="N171">
        <f t="shared" si="6"/>
        <v>4</v>
      </c>
    </row>
    <row r="172" spans="1:14">
      <c r="A172" s="3" t="s">
        <v>729</v>
      </c>
      <c r="B172">
        <f>IFERROR(VLOOKUP(A172,管理亚马逊库存!A:K,11,0),"")</f>
        <v>2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1</v>
      </c>
      <c r="M172">
        <f>IFERROR(VLOOKUP(A172,库龄!B:N,12,0),0)</f>
        <v>1</v>
      </c>
      <c r="N172">
        <f t="shared" si="6"/>
        <v>2</v>
      </c>
    </row>
    <row r="173" spans="1:14">
      <c r="A173" s="3" t="s">
        <v>734</v>
      </c>
      <c r="B173">
        <f>IFERROR(VLOOKUP(A173,管理亚马逊库存!A:K,11,0),"")</f>
        <v>10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9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9</v>
      </c>
    </row>
    <row r="174" spans="1:14">
      <c r="A174" s="3" t="s">
        <v>739</v>
      </c>
      <c r="B174">
        <f>IFERROR(VLOOKUP(A174,管理亚马逊库存!A:K,11,0),"")</f>
        <v>1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743</v>
      </c>
      <c r="B175">
        <f>IFERROR(VLOOKUP(A175,管理亚马逊库存!A:K,11,0),"")</f>
        <v>6</v>
      </c>
      <c r="C175">
        <f>IFERROR(VLOOKUP(A175,管理亚马逊库存!A:L,12,0),"")</f>
        <v>1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6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6</v>
      </c>
    </row>
    <row r="176" spans="1:14">
      <c r="A176" s="3" t="s">
        <v>747</v>
      </c>
      <c r="B176">
        <f>IFERROR(VLOOKUP(A176,管理亚马逊库存!A:K,11,0),"")</f>
        <v>3</v>
      </c>
      <c r="C176">
        <f>IFERROR(VLOOKUP(A176,管理亚马逊库存!A:L,12,0),"")</f>
        <v>1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751</v>
      </c>
      <c r="B177">
        <f>IFERROR(VLOOKUP(A177,管理亚马逊库存!A:K,11,0),"")</f>
        <v>96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755</v>
      </c>
      <c r="B178">
        <f>IFERROR(VLOOKUP(A178,管理亚马逊库存!A:K,11,0),"")</f>
        <v>3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3</v>
      </c>
      <c r="N178">
        <f t="shared" si="6"/>
        <v>3</v>
      </c>
    </row>
    <row r="179" spans="1:14">
      <c r="A179" s="3" t="s">
        <v>759</v>
      </c>
      <c r="B179">
        <f>IFERROR(VLOOKUP(A179,管理亚马逊库存!A:K,11,0),"")</f>
        <v>6</v>
      </c>
      <c r="C179">
        <f>IFERROR(VLOOKUP(A179,管理亚马逊库存!A:L,12,0),"")</f>
        <v>1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5</v>
      </c>
      <c r="K179">
        <f>IFERROR(VLOOKUP(A179,库龄!B:L,10,0),0)</f>
        <v>1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6</v>
      </c>
    </row>
    <row r="180" spans="1:14">
      <c r="A180" s="3" t="s">
        <v>762</v>
      </c>
      <c r="B180">
        <f>IFERROR(VLOOKUP(A180,管理亚马逊库存!A:K,11,0),"")</f>
        <v>3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3</v>
      </c>
      <c r="M180">
        <f>IFERROR(VLOOKUP(A180,库龄!B:N,12,0),0)</f>
        <v>0</v>
      </c>
      <c r="N180">
        <f t="shared" si="6"/>
        <v>3</v>
      </c>
    </row>
    <row r="181" spans="1:14">
      <c r="A181" s="3" t="s">
        <v>765</v>
      </c>
      <c r="B181">
        <f>IFERROR(VLOOKUP(A181,管理亚马逊库存!A:K,11,0),"")</f>
        <v>1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768</v>
      </c>
      <c r="B182">
        <f>IFERROR(VLOOKUP(A182,管理亚马逊库存!A:K,11,0),"")</f>
        <v>6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6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6</v>
      </c>
    </row>
    <row r="183" spans="1:14">
      <c r="A183" s="3" t="s">
        <v>773</v>
      </c>
      <c r="B183">
        <f>IFERROR(VLOOKUP(A183,管理亚马逊库存!A:K,11,0),"")</f>
        <v>6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6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6</v>
      </c>
    </row>
    <row r="184" spans="1:14">
      <c r="A184" s="3" t="s">
        <v>777</v>
      </c>
      <c r="B184">
        <f>IFERROR(VLOOKUP(A184,管理亚马逊库存!A:K,11,0),"")</f>
        <v>14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5</v>
      </c>
      <c r="K184">
        <f>IFERROR(VLOOKUP(A184,库龄!B:L,10,0),0)</f>
        <v>0</v>
      </c>
      <c r="L184">
        <f>IFERROR(VLOOKUP(A184,库龄!B:M,11,0),0)</f>
        <v>9</v>
      </c>
      <c r="M184">
        <f>IFERROR(VLOOKUP(A184,库龄!B:N,12,0),0)</f>
        <v>0</v>
      </c>
      <c r="N184">
        <f t="shared" si="6"/>
        <v>14</v>
      </c>
    </row>
    <row r="185" spans="1:14">
      <c r="A185" s="3" t="s">
        <v>780</v>
      </c>
      <c r="B185">
        <f>IFERROR(VLOOKUP(A185,管理亚马逊库存!A:K,11,0),"")</f>
        <v>1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1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1</v>
      </c>
    </row>
    <row r="186" spans="1:14">
      <c r="A186" s="3" t="s">
        <v>783</v>
      </c>
      <c r="B186">
        <f>IFERROR(VLOOKUP(A186,管理亚马逊库存!A:K,11,0),"")</f>
        <v>2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2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2</v>
      </c>
    </row>
    <row r="187" spans="1:14">
      <c r="A187" s="3" t="s">
        <v>787</v>
      </c>
      <c r="B187">
        <f>IFERROR(VLOOKUP(A187,管理亚马逊库存!A:K,11,0),"")</f>
        <v>1</v>
      </c>
      <c r="C187">
        <f>IFERROR(VLOOKUP(A187,管理亚马逊库存!A:L,12,0),"")</f>
        <v>1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1</v>
      </c>
      <c r="M187">
        <f>IFERROR(VLOOKUP(A187,库龄!B:N,12,0),0)</f>
        <v>0</v>
      </c>
      <c r="N187">
        <f t="shared" si="6"/>
        <v>1</v>
      </c>
    </row>
    <row r="188" spans="1:14">
      <c r="A188" s="3" t="s">
        <v>791</v>
      </c>
      <c r="B188">
        <f>IFERROR(VLOOKUP(A188,管理亚马逊库存!A:K,11,0),"")</f>
        <v>7</v>
      </c>
      <c r="C188">
        <f>IFERROR(VLOOKUP(A188,管理亚马逊库存!A:L,12,0),"")</f>
        <v>1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7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7</v>
      </c>
    </row>
    <row r="189" spans="1:14">
      <c r="A189" s="3" t="s">
        <v>795</v>
      </c>
      <c r="B189">
        <f>IFERROR(VLOOKUP(A189,管理亚马逊库存!A:K,11,0),"")</f>
        <v>3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3</v>
      </c>
      <c r="N189">
        <f t="shared" si="6"/>
        <v>3</v>
      </c>
    </row>
    <row r="190" spans="1:14">
      <c r="A190" s="3" t="s">
        <v>798</v>
      </c>
      <c r="B190">
        <f>IFERROR(VLOOKUP(A190,管理亚马逊库存!A:K,11,0),"")</f>
        <v>3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3</v>
      </c>
      <c r="M190">
        <f>IFERROR(VLOOKUP(A190,库龄!B:N,12,0),0)</f>
        <v>0</v>
      </c>
      <c r="N190">
        <f t="shared" si="6"/>
        <v>3</v>
      </c>
    </row>
    <row r="191" spans="1:14">
      <c r="A191" s="3" t="s">
        <v>803</v>
      </c>
      <c r="B191">
        <f>IFERROR(VLOOKUP(A191,管理亚马逊库存!A:K,11,0),"")</f>
        <v>2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2</v>
      </c>
      <c r="N191">
        <f t="shared" si="6"/>
        <v>2</v>
      </c>
    </row>
    <row r="192" spans="1:14">
      <c r="A192" s="3" t="s">
        <v>807</v>
      </c>
      <c r="B192">
        <f>IFERROR(VLOOKUP(A192,管理亚马逊库存!A:K,11,0),"")</f>
        <v>3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3</v>
      </c>
      <c r="N192">
        <f t="shared" si="6"/>
        <v>3</v>
      </c>
    </row>
    <row r="193" spans="1:14">
      <c r="A193" s="3" t="s">
        <v>812</v>
      </c>
      <c r="B193">
        <f>IFERROR(VLOOKUP(A193,管理亚马逊库存!A:K,11,0),"")</f>
        <v>3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3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3</v>
      </c>
    </row>
    <row r="194" spans="1:14">
      <c r="A194" s="3" t="s">
        <v>815</v>
      </c>
      <c r="B194">
        <f>IFERROR(VLOOKUP(A194,管理亚马逊库存!A:K,11,0),"")</f>
        <v>8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5</v>
      </c>
      <c r="K194">
        <f>IFERROR(VLOOKUP(A194,库龄!B:L,10,0),0)</f>
        <v>3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8</v>
      </c>
    </row>
    <row r="195" spans="1:14">
      <c r="A195" s="3" t="s">
        <v>818</v>
      </c>
      <c r="B195">
        <f>IFERROR(VLOOKUP(A195,管理亚马逊库存!A:K,11,0),"")</f>
        <v>8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1</v>
      </c>
      <c r="L195">
        <f>IFERROR(VLOOKUP(A195,库龄!B:M,11,0),0)</f>
        <v>6</v>
      </c>
      <c r="M195">
        <f>IFERROR(VLOOKUP(A195,库龄!B:N,12,0),0)</f>
        <v>0</v>
      </c>
      <c r="N195">
        <f t="shared" ref="N195:N258" si="8">SUM(J195:M195)</f>
        <v>7</v>
      </c>
    </row>
    <row r="196" spans="1:14">
      <c r="A196" s="3" t="s">
        <v>823</v>
      </c>
      <c r="B196">
        <f>IFERROR(VLOOKUP(A196,管理亚马逊库存!A:K,11,0),"")</f>
        <v>1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828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2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2</v>
      </c>
    </row>
    <row r="198" spans="1:14">
      <c r="A198" s="3" t="s">
        <v>832</v>
      </c>
      <c r="B198">
        <f>IFERROR(VLOOKUP(A198,管理亚马逊库存!A:K,11,0),"")</f>
        <v>0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1</v>
      </c>
      <c r="M198">
        <f>IFERROR(VLOOKUP(A198,库龄!B:N,12,0),0)</f>
        <v>0</v>
      </c>
      <c r="N198">
        <f t="shared" si="8"/>
        <v>1</v>
      </c>
    </row>
    <row r="199" spans="1:14">
      <c r="A199" s="3" t="s">
        <v>837</v>
      </c>
      <c r="B199">
        <f>IFERROR(VLOOKUP(A199,管理亚马逊库存!A:K,11,0),"")</f>
        <v>1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1</v>
      </c>
      <c r="M199">
        <f>IFERROR(VLOOKUP(A199,库龄!B:N,12,0),0)</f>
        <v>0</v>
      </c>
      <c r="N199">
        <f t="shared" si="8"/>
        <v>1</v>
      </c>
    </row>
    <row r="200" spans="1:14">
      <c r="A200" s="3" t="s">
        <v>841</v>
      </c>
      <c r="B200">
        <f>IFERROR(VLOOKUP(A200,管理亚马逊库存!A:K,11,0),"")</f>
        <v>1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1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1</v>
      </c>
    </row>
    <row r="201" spans="1:14">
      <c r="A201" s="3" t="s">
        <v>846</v>
      </c>
      <c r="B201">
        <f>IFERROR(VLOOKUP(A201,管理亚马逊库存!A:K,11,0),"")</f>
        <v>4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1</v>
      </c>
      <c r="L201">
        <f>IFERROR(VLOOKUP(A201,库龄!B:M,11,0),0)</f>
        <v>3</v>
      </c>
      <c r="M201">
        <f>IFERROR(VLOOKUP(A201,库龄!B:N,12,0),0)</f>
        <v>0</v>
      </c>
      <c r="N201">
        <f t="shared" si="8"/>
        <v>4</v>
      </c>
    </row>
    <row r="202" spans="1:14">
      <c r="A202" s="3" t="s">
        <v>850</v>
      </c>
      <c r="B202">
        <f>IFERROR(VLOOKUP(A202,管理亚马逊库存!A:K,11,0),"")</f>
        <v>2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2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2</v>
      </c>
    </row>
    <row r="203" spans="1:14">
      <c r="A203" s="3" t="s">
        <v>855</v>
      </c>
      <c r="B203">
        <f>IFERROR(VLOOKUP(A203,管理亚马逊库存!A:K,11,0),"")</f>
        <v>4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1</v>
      </c>
      <c r="L203">
        <f>IFERROR(VLOOKUP(A203,库龄!B:M,11,0),0)</f>
        <v>3</v>
      </c>
      <c r="M203">
        <f>IFERROR(VLOOKUP(A203,库龄!B:N,12,0),0)</f>
        <v>0</v>
      </c>
      <c r="N203">
        <f t="shared" si="8"/>
        <v>4</v>
      </c>
    </row>
    <row r="204" spans="1:14">
      <c r="A204" s="3" t="s">
        <v>860</v>
      </c>
      <c r="B204">
        <f>IFERROR(VLOOKUP(A204,管理亚马逊库存!A:K,11,0),"")</f>
        <v>1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1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1</v>
      </c>
    </row>
    <row r="205" spans="1:14">
      <c r="A205" s="3" t="s">
        <v>864</v>
      </c>
      <c r="B205">
        <f>IFERROR(VLOOKUP(A205,管理亚马逊库存!A:K,11,0),"")</f>
        <v>2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2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2</v>
      </c>
    </row>
    <row r="206" spans="1:14">
      <c r="A206" s="3" t="s">
        <v>868</v>
      </c>
      <c r="B206">
        <f>IFERROR(VLOOKUP(A206,管理亚马逊库存!A:K,11,0),"")</f>
        <v>1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1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1</v>
      </c>
    </row>
    <row r="207" spans="1:14">
      <c r="A207" s="3" t="s">
        <v>872</v>
      </c>
      <c r="B207">
        <f>IFERROR(VLOOKUP(A207,管理亚马逊库存!A:K,11,0),"")</f>
        <v>9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875</v>
      </c>
      <c r="B208">
        <f>IFERROR(VLOOKUP(A208,管理亚马逊库存!A:K,11,0),"")</f>
        <v>3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3</v>
      </c>
      <c r="M208">
        <f>IFERROR(VLOOKUP(A208,库龄!B:N,12,0),0)</f>
        <v>0</v>
      </c>
      <c r="N208">
        <f t="shared" si="8"/>
        <v>3</v>
      </c>
    </row>
    <row r="209" spans="1:14">
      <c r="A209" s="3" t="s">
        <v>879</v>
      </c>
      <c r="B209">
        <f>IFERROR(VLOOKUP(A209,管理亚马逊库存!A:K,11,0),"")</f>
        <v>2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2</v>
      </c>
      <c r="M209">
        <f>IFERROR(VLOOKUP(A209,库龄!B:N,12,0),0)</f>
        <v>0</v>
      </c>
      <c r="N209">
        <f t="shared" si="8"/>
        <v>2</v>
      </c>
    </row>
    <row r="210" spans="1:14">
      <c r="A210" s="3" t="s">
        <v>883</v>
      </c>
      <c r="B210">
        <f>IFERROR(VLOOKUP(A210,管理亚马逊库存!A:K,11,0),"")</f>
        <v>1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1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1</v>
      </c>
    </row>
    <row r="211" spans="1:14">
      <c r="A211" s="3" t="s">
        <v>887</v>
      </c>
      <c r="B211">
        <f>IFERROR(VLOOKUP(A211,管理亚马逊库存!A:K,11,0),"")</f>
        <v>1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1</v>
      </c>
      <c r="N211">
        <f t="shared" si="8"/>
        <v>1</v>
      </c>
    </row>
    <row r="212" spans="1:14">
      <c r="A212" s="3" t="s">
        <v>891</v>
      </c>
      <c r="B212">
        <f>IFERROR(VLOOKUP(A212,管理亚马逊库存!A:K,11,0),"")</f>
        <v>1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1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1</v>
      </c>
    </row>
    <row r="213" spans="1:14">
      <c r="A213" s="3" t="s">
        <v>895</v>
      </c>
      <c r="B213">
        <f>IFERROR(VLOOKUP(A213,管理亚马逊库存!A:K,11,0),"")</f>
        <v>2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1</v>
      </c>
      <c r="K213">
        <f>IFERROR(VLOOKUP(A213,库龄!B:L,10,0),0)</f>
        <v>0</v>
      </c>
      <c r="L213">
        <f>IFERROR(VLOOKUP(A213,库龄!B:M,11,0),0)</f>
        <v>1</v>
      </c>
      <c r="M213">
        <f>IFERROR(VLOOKUP(A213,库龄!B:N,12,0),0)</f>
        <v>0</v>
      </c>
      <c r="N213">
        <f t="shared" si="8"/>
        <v>2</v>
      </c>
    </row>
    <row r="214" spans="1:14">
      <c r="A214" s="3" t="s">
        <v>899</v>
      </c>
      <c r="B214">
        <f>IFERROR(VLOOKUP(A214,管理亚马逊库存!A:K,11,0),"")</f>
        <v>2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2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2</v>
      </c>
    </row>
    <row r="215" spans="1:14">
      <c r="A215" s="3" t="s">
        <v>903</v>
      </c>
      <c r="B215">
        <f>IFERROR(VLOOKUP(A215,管理亚马逊库存!A:K,11,0),"")</f>
        <v>4</v>
      </c>
      <c r="C215">
        <f>IFERROR(VLOOKUP(A215,管理亚马逊库存!A:L,12,0),"")</f>
        <v>2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1</v>
      </c>
      <c r="K215">
        <f>IFERROR(VLOOKUP(A215,库龄!B:L,10,0),0)</f>
        <v>0</v>
      </c>
      <c r="L215">
        <f>IFERROR(VLOOKUP(A215,库龄!B:M,11,0),0)</f>
        <v>1</v>
      </c>
      <c r="M215">
        <f>IFERROR(VLOOKUP(A215,库龄!B:N,12,0),0)</f>
        <v>0</v>
      </c>
      <c r="N215">
        <f t="shared" si="8"/>
        <v>2</v>
      </c>
    </row>
    <row r="216" spans="1:14">
      <c r="A216" s="3" t="s">
        <v>906</v>
      </c>
      <c r="B216">
        <f>IFERROR(VLOOKUP(A216,管理亚马逊库存!A:K,11,0),"")</f>
        <v>6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3</v>
      </c>
      <c r="L216">
        <f>IFERROR(VLOOKUP(A216,库龄!B:M,11,0),0)</f>
        <v>3</v>
      </c>
      <c r="M216">
        <f>IFERROR(VLOOKUP(A216,库龄!B:N,12,0),0)</f>
        <v>0</v>
      </c>
      <c r="N216">
        <f t="shared" si="8"/>
        <v>6</v>
      </c>
    </row>
    <row r="217" spans="1:14">
      <c r="A217" s="3" t="s">
        <v>909</v>
      </c>
      <c r="B217">
        <f>IFERROR(VLOOKUP(A217,管理亚马逊库存!A:K,11,0),"")</f>
        <v>3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3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3</v>
      </c>
    </row>
    <row r="218" spans="1:14">
      <c r="A218" s="3" t="s">
        <v>913</v>
      </c>
      <c r="B218">
        <f>IFERROR(VLOOKUP(A218,管理亚马逊库存!A:K,11,0),"")</f>
        <v>1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918</v>
      </c>
      <c r="B219">
        <f>IFERROR(VLOOKUP(A219,管理亚马逊库存!A:K,11,0),"")</f>
        <v>3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3</v>
      </c>
      <c r="M219">
        <f>IFERROR(VLOOKUP(A219,库龄!B:N,12,0),0)</f>
        <v>0</v>
      </c>
      <c r="N219">
        <f t="shared" si="8"/>
        <v>3</v>
      </c>
    </row>
    <row r="220" spans="1:14">
      <c r="A220" s="3" t="s">
        <v>923</v>
      </c>
      <c r="B220">
        <f>IFERROR(VLOOKUP(A220,管理亚马逊库存!A:K,11,0),"")</f>
        <v>0</v>
      </c>
      <c r="C220">
        <f>IFERROR(VLOOKUP(A220,管理亚马逊库存!A:L,12,0),"")</f>
        <v>6</v>
      </c>
      <c r="D220">
        <f>IFERROR(VLOOKUP(A220,管理亚马逊库存!A:Q,17,0),"")</f>
        <v>1</v>
      </c>
      <c r="E220">
        <f>IFERROR(VLOOKUP(A220,管理亚马逊库存!A:R,18,0),"")</f>
        <v>0</v>
      </c>
      <c r="F220">
        <f t="shared" si="7"/>
        <v>1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926</v>
      </c>
      <c r="B221">
        <f>IFERROR(VLOOKUP(A221,管理亚马逊库存!A:K,11,0),"")</f>
        <v>5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929</v>
      </c>
      <c r="B222">
        <f>IFERROR(VLOOKUP(A222,管理亚马逊库存!A:K,11,0),"")</f>
        <v>4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4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4</v>
      </c>
    </row>
    <row r="223" spans="1:14">
      <c r="A223" s="3" t="s">
        <v>933</v>
      </c>
      <c r="B223">
        <f>IFERROR(VLOOKUP(A223,管理亚马逊库存!A:K,11,0),"")</f>
        <v>1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1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1</v>
      </c>
    </row>
    <row r="224" spans="1:14">
      <c r="A224" s="3" t="s">
        <v>936</v>
      </c>
      <c r="B224">
        <f>IFERROR(VLOOKUP(A224,管理亚马逊库存!A:K,11,0),"")</f>
        <v>4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4</v>
      </c>
      <c r="M224">
        <f>IFERROR(VLOOKUP(A224,库龄!B:N,12,0),0)</f>
        <v>0</v>
      </c>
      <c r="N224">
        <f t="shared" si="8"/>
        <v>4</v>
      </c>
    </row>
    <row r="225" spans="1:14">
      <c r="A225" s="3" t="s">
        <v>939</v>
      </c>
      <c r="B225">
        <f>IFERROR(VLOOKUP(A225,管理亚马逊库存!A:K,11,0),"")</f>
        <v>1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1</v>
      </c>
      <c r="N225">
        <f t="shared" si="8"/>
        <v>1</v>
      </c>
    </row>
    <row r="226" spans="1:14">
      <c r="A226" s="3" t="s">
        <v>944</v>
      </c>
      <c r="B226">
        <f>IFERROR(VLOOKUP(A226,管理亚马逊库存!A:K,11,0),"")</f>
        <v>1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949</v>
      </c>
      <c r="B227">
        <f>IFERROR(VLOOKUP(A227,管理亚马逊库存!A:K,11,0),"")</f>
        <v>3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952</v>
      </c>
      <c r="B228">
        <f>IFERROR(VLOOKUP(A228,管理亚马逊库存!A:K,11,0),"")</f>
        <v>2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2</v>
      </c>
      <c r="N228">
        <f t="shared" si="8"/>
        <v>2</v>
      </c>
    </row>
    <row r="229" spans="1:14">
      <c r="A229" s="3" t="s">
        <v>955</v>
      </c>
      <c r="B229">
        <f>IFERROR(VLOOKUP(A229,管理亚马逊库存!A:K,11,0),"")</f>
        <v>2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2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2</v>
      </c>
    </row>
    <row r="230" spans="1:14">
      <c r="A230" s="3" t="s">
        <v>959</v>
      </c>
      <c r="B230">
        <f>IFERROR(VLOOKUP(A230,管理亚马逊库存!A:K,11,0),"")</f>
        <v>4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1</v>
      </c>
      <c r="K230">
        <f>IFERROR(VLOOKUP(A230,库龄!B:L,10,0),0)</f>
        <v>1</v>
      </c>
      <c r="L230">
        <f>IFERROR(VLOOKUP(A230,库龄!B:M,11,0),0)</f>
        <v>2</v>
      </c>
      <c r="M230">
        <f>IFERROR(VLOOKUP(A230,库龄!B:N,12,0),0)</f>
        <v>0</v>
      </c>
      <c r="N230">
        <f t="shared" si="8"/>
        <v>4</v>
      </c>
    </row>
    <row r="231" spans="1:14">
      <c r="A231" s="3" t="s">
        <v>962</v>
      </c>
      <c r="B231">
        <f>IFERROR(VLOOKUP(A231,管理亚马逊库存!A:K,11,0),"")</f>
        <v>6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5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5</v>
      </c>
    </row>
    <row r="232" spans="1:14">
      <c r="A232" s="3" t="s">
        <v>966</v>
      </c>
      <c r="B232">
        <f>IFERROR(VLOOKUP(A232,管理亚马逊库存!A:K,11,0),"")</f>
        <v>11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2</v>
      </c>
      <c r="K232">
        <f>IFERROR(VLOOKUP(A232,库龄!B:L,10,0),0)</f>
        <v>1</v>
      </c>
      <c r="L232">
        <f>IFERROR(VLOOKUP(A232,库龄!B:M,11,0),0)</f>
        <v>5</v>
      </c>
      <c r="M232">
        <f>IFERROR(VLOOKUP(A232,库龄!B:N,12,0),0)</f>
        <v>0</v>
      </c>
      <c r="N232">
        <f t="shared" si="8"/>
        <v>8</v>
      </c>
    </row>
    <row r="233" spans="1:14">
      <c r="A233" s="3" t="s">
        <v>969</v>
      </c>
      <c r="B233">
        <f>IFERROR(VLOOKUP(A233,管理亚马逊库存!A:K,11,0),"")</f>
        <v>5</v>
      </c>
      <c r="C233">
        <f>IFERROR(VLOOKUP(A233,管理亚马逊库存!A:L,12,0),"")</f>
        <v>1</v>
      </c>
      <c r="D233">
        <f>IFERROR(VLOOKUP(A233,管理亚马逊库存!A:Q,17,0),"")</f>
        <v>8</v>
      </c>
      <c r="E233">
        <f>IFERROR(VLOOKUP(A233,管理亚马逊库存!A:R,18,0),"")</f>
        <v>0</v>
      </c>
      <c r="F233">
        <f t="shared" si="7"/>
        <v>8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972</v>
      </c>
      <c r="B234">
        <f>IFERROR(VLOOKUP(A234,管理亚马逊库存!A:K,11,0),"")</f>
        <v>4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4</v>
      </c>
      <c r="N234">
        <f t="shared" si="8"/>
        <v>4</v>
      </c>
    </row>
    <row r="235" spans="1:14">
      <c r="A235" s="3" t="s">
        <v>975</v>
      </c>
      <c r="B235">
        <f>IFERROR(VLOOKUP(A235,管理亚马逊库存!A:K,11,0),"")</f>
        <v>1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978</v>
      </c>
      <c r="B236">
        <f>IFERROR(VLOOKUP(A236,管理亚马逊库存!A:K,11,0),"")</f>
        <v>1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983</v>
      </c>
      <c r="B237">
        <f>IFERROR(VLOOKUP(A237,管理亚马逊库存!A:K,11,0),"")</f>
        <v>4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4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4</v>
      </c>
    </row>
    <row r="238" spans="1:14">
      <c r="A238" s="3" t="s">
        <v>988</v>
      </c>
      <c r="B238">
        <f>IFERROR(VLOOKUP(A238,管理亚马逊库存!A:K,11,0),"")</f>
        <v>2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1</v>
      </c>
      <c r="L238">
        <f>IFERROR(VLOOKUP(A238,库龄!B:M,11,0),0)</f>
        <v>1</v>
      </c>
      <c r="M238">
        <f>IFERROR(VLOOKUP(A238,库龄!B:N,12,0),0)</f>
        <v>0</v>
      </c>
      <c r="N238">
        <f t="shared" si="8"/>
        <v>2</v>
      </c>
    </row>
    <row r="239" spans="1:14">
      <c r="A239" s="3" t="s">
        <v>993</v>
      </c>
      <c r="B239">
        <f>IFERROR(VLOOKUP(A239,管理亚马逊库存!A:K,11,0),"")</f>
        <v>6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2</v>
      </c>
      <c r="K239">
        <f>IFERROR(VLOOKUP(A239,库龄!B:L,10,0),0)</f>
        <v>0</v>
      </c>
      <c r="L239">
        <f>IFERROR(VLOOKUP(A239,库龄!B:M,11,0),0)</f>
        <v>4</v>
      </c>
      <c r="M239">
        <f>IFERROR(VLOOKUP(A239,库龄!B:N,12,0),0)</f>
        <v>0</v>
      </c>
      <c r="N239">
        <f t="shared" si="8"/>
        <v>6</v>
      </c>
    </row>
    <row r="240" spans="1:14">
      <c r="A240" s="3" t="s">
        <v>997</v>
      </c>
      <c r="B240">
        <f>IFERROR(VLOOKUP(A240,管理亚马逊库存!A:K,11,0),"")</f>
        <v>1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1001</v>
      </c>
      <c r="B241">
        <f>IFERROR(VLOOKUP(A241,管理亚马逊库存!A:K,11,0),"")</f>
        <v>2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1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1</v>
      </c>
    </row>
    <row r="242" spans="1:14">
      <c r="A242" s="3" t="s">
        <v>1004</v>
      </c>
      <c r="B242">
        <f>IFERROR(VLOOKUP(A242,管理亚马逊库存!A:K,11,0),"")</f>
        <v>5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1008</v>
      </c>
      <c r="B243">
        <f>IFERROR(VLOOKUP(A243,管理亚马逊库存!A:K,11,0),"")</f>
        <v>6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5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5</v>
      </c>
    </row>
    <row r="244" spans="1:14">
      <c r="A244" s="3" t="s">
        <v>1013</v>
      </c>
      <c r="B244">
        <f>IFERROR(VLOOKUP(A244,管理亚马逊库存!A:K,11,0),"")</f>
        <v>2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1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1</v>
      </c>
      <c r="N244">
        <f t="shared" si="8"/>
        <v>2</v>
      </c>
    </row>
    <row r="245" spans="1:14">
      <c r="A245" s="3" t="s">
        <v>1017</v>
      </c>
      <c r="B245">
        <f>IFERROR(VLOOKUP(A245,管理亚马逊库存!A:K,11,0),"")</f>
        <v>5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5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5</v>
      </c>
    </row>
    <row r="246" spans="1:14">
      <c r="A246" s="3" t="s">
        <v>1020</v>
      </c>
      <c r="B246">
        <f>IFERROR(VLOOKUP(A246,管理亚马逊库存!A:K,11,0),"")</f>
        <v>4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4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4</v>
      </c>
    </row>
    <row r="247" spans="1:14">
      <c r="A247" s="3" t="s">
        <v>1023</v>
      </c>
      <c r="B247">
        <f>IFERROR(VLOOKUP(A247,管理亚马逊库存!A:K,11,0),"")</f>
        <v>14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13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13</v>
      </c>
    </row>
    <row r="248" spans="1:14">
      <c r="A248" s="3" t="s">
        <v>1026</v>
      </c>
      <c r="B248">
        <f>IFERROR(VLOOKUP(A248,管理亚马逊库存!A:K,11,0),"")</f>
        <v>2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2</v>
      </c>
      <c r="M248">
        <f>IFERROR(VLOOKUP(A248,库龄!B:N,12,0),0)</f>
        <v>0</v>
      </c>
      <c r="N248">
        <f t="shared" si="8"/>
        <v>2</v>
      </c>
    </row>
    <row r="249" spans="1:14">
      <c r="A249" s="3" t="s">
        <v>1031</v>
      </c>
      <c r="B249">
        <f>IFERROR(VLOOKUP(A249,管理亚马逊库存!A:K,11,0),"")</f>
        <v>7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7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7</v>
      </c>
    </row>
    <row r="250" spans="1:14">
      <c r="A250" s="3" t="s">
        <v>1034</v>
      </c>
      <c r="B250">
        <f>IFERROR(VLOOKUP(A250,管理亚马逊库存!A:K,11,0),"")</f>
        <v>4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1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1</v>
      </c>
    </row>
    <row r="251" spans="1:14">
      <c r="A251" s="3" t="s">
        <v>1037</v>
      </c>
      <c r="B251">
        <f>IFERROR(VLOOKUP(A251,管理亚马逊库存!A:K,11,0),"")</f>
        <v>2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2</v>
      </c>
      <c r="N251">
        <f t="shared" si="8"/>
        <v>2</v>
      </c>
    </row>
    <row r="252" spans="1:14">
      <c r="A252" s="3" t="s">
        <v>1040</v>
      </c>
      <c r="B252">
        <f>IFERROR(VLOOKUP(A252,管理亚马逊库存!A:K,11,0),"")</f>
        <v>3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1</v>
      </c>
      <c r="K252">
        <f>IFERROR(VLOOKUP(A252,库龄!B:L,10,0),0)</f>
        <v>0</v>
      </c>
      <c r="L252">
        <f>IFERROR(VLOOKUP(A252,库龄!B:M,11,0),0)</f>
        <v>2</v>
      </c>
      <c r="M252">
        <f>IFERROR(VLOOKUP(A252,库龄!B:N,12,0),0)</f>
        <v>0</v>
      </c>
      <c r="N252">
        <f t="shared" si="8"/>
        <v>3</v>
      </c>
    </row>
    <row r="253" spans="1:14">
      <c r="A253" s="3" t="s">
        <v>1044</v>
      </c>
      <c r="B253">
        <f>IFERROR(VLOOKUP(A253,管理亚马逊库存!A:K,11,0),"")</f>
        <v>11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1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4</v>
      </c>
      <c r="N253">
        <f t="shared" si="8"/>
        <v>5</v>
      </c>
    </row>
    <row r="254" spans="1:14">
      <c r="A254" s="3" t="s">
        <v>1047</v>
      </c>
      <c r="B254">
        <f>IFERROR(VLOOKUP(A254,管理亚马逊库存!A:K,11,0),"")</f>
        <v>1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1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1</v>
      </c>
    </row>
    <row r="255" spans="1:14">
      <c r="A255" s="3" t="s">
        <v>1051</v>
      </c>
      <c r="B255">
        <f>IFERROR(VLOOKUP(A255,管理亚马逊库存!A:K,11,0),"")</f>
        <v>5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5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5</v>
      </c>
    </row>
    <row r="256" spans="1:14">
      <c r="A256" s="3" t="s">
        <v>1054</v>
      </c>
      <c r="B256">
        <f>IFERROR(VLOOKUP(A256,管理亚马逊库存!A:K,11,0),"")</f>
        <v>1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1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1</v>
      </c>
    </row>
    <row r="257" spans="1:14">
      <c r="A257" s="3" t="s">
        <v>1057</v>
      </c>
      <c r="B257">
        <f>IFERROR(VLOOKUP(A257,管理亚马逊库存!A:K,11,0),"")</f>
        <v>2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1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1</v>
      </c>
      <c r="N257">
        <f t="shared" si="8"/>
        <v>2</v>
      </c>
    </row>
    <row r="258" spans="1:14">
      <c r="A258" s="3" t="s">
        <v>1060</v>
      </c>
      <c r="B258">
        <f>IFERROR(VLOOKUP(A258,管理亚马逊库存!A:K,11,0),"")</f>
        <v>2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2</v>
      </c>
      <c r="M258">
        <f>IFERROR(VLOOKUP(A258,库龄!B:N,12,0),0)</f>
        <v>0</v>
      </c>
      <c r="N258">
        <f t="shared" si="8"/>
        <v>2</v>
      </c>
    </row>
    <row r="259" spans="1:14">
      <c r="A259" s="3" t="s">
        <v>1064</v>
      </c>
      <c r="B259">
        <f>IFERROR(VLOOKUP(A259,管理亚马逊库存!A:K,11,0),"")</f>
        <v>5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4</v>
      </c>
      <c r="M259">
        <f>IFERROR(VLOOKUP(A259,库龄!B:N,12,0),0)</f>
        <v>0</v>
      </c>
      <c r="N259">
        <f t="shared" ref="N259:N322" si="10">SUM(J259:M259)</f>
        <v>4</v>
      </c>
    </row>
    <row r="260" spans="1:14">
      <c r="A260" s="3" t="s">
        <v>1068</v>
      </c>
      <c r="B260">
        <f>IFERROR(VLOOKUP(A260,管理亚马逊库存!A:K,11,0),"")</f>
        <v>3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3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3</v>
      </c>
    </row>
    <row r="261" spans="1:14">
      <c r="A261" s="3" t="s">
        <v>1072</v>
      </c>
      <c r="B261">
        <f>IFERROR(VLOOKUP(A261,管理亚马逊库存!A:K,11,0),"")</f>
        <v>5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5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5</v>
      </c>
    </row>
    <row r="262" spans="1:14">
      <c r="A262" s="3" t="s">
        <v>1076</v>
      </c>
      <c r="B262">
        <f>IFERROR(VLOOKUP(A262,管理亚马逊库存!A:K,11,0),"")</f>
        <v>10</v>
      </c>
      <c r="C262">
        <f>IFERROR(VLOOKUP(A262,管理亚马逊库存!A:L,12,0),"")</f>
        <v>1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1079</v>
      </c>
      <c r="B263">
        <f>IFERROR(VLOOKUP(A263,管理亚马逊库存!A:K,11,0),"")</f>
        <v>5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5</v>
      </c>
      <c r="M263">
        <f>IFERROR(VLOOKUP(A263,库龄!B:N,12,0),0)</f>
        <v>0</v>
      </c>
      <c r="N263">
        <f t="shared" si="10"/>
        <v>5</v>
      </c>
    </row>
    <row r="264" spans="1:14">
      <c r="A264" s="3" t="s">
        <v>1082</v>
      </c>
      <c r="B264">
        <f>IFERROR(VLOOKUP(A264,管理亚马逊库存!A:K,11,0),"")</f>
        <v>26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1085</v>
      </c>
      <c r="B265">
        <f>IFERROR(VLOOKUP(A265,管理亚马逊库存!A:K,11,0),"")</f>
        <v>3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3</v>
      </c>
      <c r="M265">
        <f>IFERROR(VLOOKUP(A265,库龄!B:N,12,0),0)</f>
        <v>0</v>
      </c>
      <c r="N265">
        <f t="shared" si="10"/>
        <v>3</v>
      </c>
    </row>
    <row r="266" spans="1:14">
      <c r="A266" s="3" t="s">
        <v>1089</v>
      </c>
      <c r="B266">
        <f>IFERROR(VLOOKUP(A266,管理亚马逊库存!A:K,11,0),"")</f>
        <v>2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2</v>
      </c>
      <c r="N266">
        <f t="shared" si="10"/>
        <v>2</v>
      </c>
    </row>
    <row r="267" spans="1:14">
      <c r="A267" s="3" t="s">
        <v>1094</v>
      </c>
      <c r="B267">
        <f>IFERROR(VLOOKUP(A267,管理亚马逊库存!A:K,11,0),"")</f>
        <v>4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4</v>
      </c>
      <c r="N267">
        <f t="shared" si="10"/>
        <v>4</v>
      </c>
    </row>
    <row r="268" spans="1:14">
      <c r="A268" s="3" t="s">
        <v>1097</v>
      </c>
      <c r="B268">
        <f>IFERROR(VLOOKUP(A268,管理亚马逊库存!A:K,11,0),"")</f>
        <v>1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1</v>
      </c>
      <c r="N268">
        <f t="shared" si="10"/>
        <v>1</v>
      </c>
    </row>
    <row r="269" spans="1:14">
      <c r="A269" s="3" t="s">
        <v>1101</v>
      </c>
      <c r="B269">
        <f>IFERROR(VLOOKUP(A269,管理亚马逊库存!A:K,11,0),"")</f>
        <v>2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2</v>
      </c>
      <c r="N269">
        <f t="shared" si="10"/>
        <v>2</v>
      </c>
    </row>
    <row r="270" spans="1:14">
      <c r="A270" s="3" t="s">
        <v>1106</v>
      </c>
      <c r="B270">
        <f>IFERROR(VLOOKUP(A270,管理亚马逊库存!A:K,11,0),"")</f>
        <v>4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4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4</v>
      </c>
    </row>
    <row r="271" spans="1:14">
      <c r="A271" s="3" t="s">
        <v>1110</v>
      </c>
      <c r="B271">
        <f>IFERROR(VLOOKUP(A271,管理亚马逊库存!A:K,11,0),"")</f>
        <v>6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1</v>
      </c>
      <c r="K271">
        <f>IFERROR(VLOOKUP(A271,库龄!B:L,10,0),0)</f>
        <v>5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6</v>
      </c>
    </row>
    <row r="272" spans="1:14">
      <c r="A272" s="3" t="s">
        <v>1114</v>
      </c>
      <c r="B272">
        <f>IFERROR(VLOOKUP(A272,管理亚马逊库存!A:K,11,0),"")</f>
        <v>6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6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6</v>
      </c>
    </row>
    <row r="273" spans="1:14">
      <c r="A273" s="3" t="s">
        <v>1117</v>
      </c>
      <c r="B273">
        <f>IFERROR(VLOOKUP(A273,管理亚马逊库存!A:K,11,0),"")</f>
        <v>1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1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1</v>
      </c>
    </row>
    <row r="274" spans="1:14">
      <c r="A274" s="3" t="s">
        <v>1120</v>
      </c>
      <c r="B274">
        <f>IFERROR(VLOOKUP(A274,管理亚马逊库存!A:K,11,0),"")</f>
        <v>6</v>
      </c>
      <c r="C274">
        <f>IFERROR(VLOOKUP(A274,管理亚马逊库存!A:L,12,0),"")</f>
        <v>1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1123</v>
      </c>
      <c r="B275">
        <f>IFERROR(VLOOKUP(A275,管理亚马逊库存!A:K,11,0),"")</f>
        <v>1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1128</v>
      </c>
      <c r="B276">
        <f>IFERROR(VLOOKUP(A276,管理亚马逊库存!A:K,11,0),"")</f>
        <v>3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3</v>
      </c>
      <c r="N276">
        <f t="shared" si="10"/>
        <v>3</v>
      </c>
    </row>
    <row r="277" spans="1:14">
      <c r="A277" s="3" t="s">
        <v>1133</v>
      </c>
      <c r="B277">
        <f>IFERROR(VLOOKUP(A277,管理亚马逊库存!A:K,11,0),"")</f>
        <v>6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2</v>
      </c>
      <c r="K277">
        <f>IFERROR(VLOOKUP(A277,库龄!B:L,10,0),0)</f>
        <v>1</v>
      </c>
      <c r="L277">
        <f>IFERROR(VLOOKUP(A277,库龄!B:M,11,0),0)</f>
        <v>2</v>
      </c>
      <c r="M277">
        <f>IFERROR(VLOOKUP(A277,库龄!B:N,12,0),0)</f>
        <v>0</v>
      </c>
      <c r="N277">
        <f t="shared" si="10"/>
        <v>5</v>
      </c>
    </row>
    <row r="278" spans="1:14">
      <c r="A278" s="3" t="s">
        <v>1138</v>
      </c>
      <c r="B278">
        <f>IFERROR(VLOOKUP(A278,管理亚马逊库存!A:K,11,0),"")</f>
        <v>5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1</v>
      </c>
      <c r="K278">
        <f>IFERROR(VLOOKUP(A278,库龄!B:L,10,0),0)</f>
        <v>4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5</v>
      </c>
    </row>
    <row r="279" spans="1:14">
      <c r="A279" s="3" t="s">
        <v>1142</v>
      </c>
      <c r="B279">
        <f>IFERROR(VLOOKUP(A279,管理亚马逊库存!A:K,11,0),"")</f>
        <v>3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1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1</v>
      </c>
    </row>
    <row r="280" spans="1:14">
      <c r="A280" s="3" t="s">
        <v>1147</v>
      </c>
      <c r="B280">
        <f>IFERROR(VLOOKUP(A280,管理亚马逊库存!A:K,11,0),"")</f>
        <v>1</v>
      </c>
      <c r="C280">
        <f>IFERROR(VLOOKUP(A280,管理亚马逊库存!A:L,12,0),"")</f>
        <v>1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1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1</v>
      </c>
    </row>
    <row r="281" spans="1:14">
      <c r="A281" s="3" t="s">
        <v>1152</v>
      </c>
      <c r="B281">
        <f>IFERROR(VLOOKUP(A281,管理亚马逊库存!A:K,11,0),"")</f>
        <v>3</v>
      </c>
      <c r="C281">
        <f>IFERROR(VLOOKUP(A281,管理亚马逊库存!A:L,12,0),"")</f>
        <v>1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1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1</v>
      </c>
    </row>
    <row r="282" spans="1:14">
      <c r="A282" s="3" t="s">
        <v>1156</v>
      </c>
      <c r="B282">
        <f>IFERROR(VLOOKUP(A282,管理亚马逊库存!A:K,11,0),"")</f>
        <v>15</v>
      </c>
      <c r="C282">
        <f>IFERROR(VLOOKUP(A282,管理亚马逊库存!A:L,12,0),"")</f>
        <v>1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1159</v>
      </c>
      <c r="B283">
        <f>IFERROR(VLOOKUP(A283,管理亚马逊库存!A:K,11,0),"")</f>
        <v>14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9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9</v>
      </c>
    </row>
    <row r="284" spans="1:14">
      <c r="A284" s="3" t="s">
        <v>1164</v>
      </c>
      <c r="B284">
        <f>IFERROR(VLOOKUP(A284,管理亚马逊库存!A:K,11,0),"")</f>
        <v>11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5</v>
      </c>
      <c r="K284">
        <f>IFERROR(VLOOKUP(A284,库龄!B:L,10,0),0)</f>
        <v>0</v>
      </c>
      <c r="L284">
        <f>IFERROR(VLOOKUP(A284,库龄!B:M,11,0),0)</f>
        <v>3</v>
      </c>
      <c r="M284">
        <f>IFERROR(VLOOKUP(A284,库龄!B:N,12,0),0)</f>
        <v>3</v>
      </c>
      <c r="N284">
        <f t="shared" si="10"/>
        <v>11</v>
      </c>
    </row>
    <row r="285" spans="1:14">
      <c r="A285" s="3" t="s">
        <v>1168</v>
      </c>
      <c r="B285">
        <f>IFERROR(VLOOKUP(A285,管理亚马逊库存!A:K,11,0),"")</f>
        <v>1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1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1</v>
      </c>
    </row>
    <row r="286" spans="1:14">
      <c r="A286" s="3" t="s">
        <v>1172</v>
      </c>
      <c r="B286">
        <f>IFERROR(VLOOKUP(A286,管理亚马逊库存!A:K,11,0),"")</f>
        <v>2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2</v>
      </c>
      <c r="M286">
        <f>IFERROR(VLOOKUP(A286,库龄!B:N,12,0),0)</f>
        <v>0</v>
      </c>
      <c r="N286">
        <f t="shared" si="10"/>
        <v>2</v>
      </c>
    </row>
    <row r="287" spans="1:14">
      <c r="A287" s="3" t="s">
        <v>1176</v>
      </c>
      <c r="B287">
        <f>IFERROR(VLOOKUP(A287,管理亚马逊库存!A:K,11,0),"")</f>
        <v>1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1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1</v>
      </c>
    </row>
    <row r="288" spans="1:14">
      <c r="A288" s="3" t="s">
        <v>1179</v>
      </c>
      <c r="B288">
        <f>IFERROR(VLOOKUP(A288,管理亚马逊库存!A:K,11,0),"")</f>
        <v>2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2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2</v>
      </c>
    </row>
    <row r="289" spans="1:14">
      <c r="A289" s="3" t="s">
        <v>1184</v>
      </c>
      <c r="B289">
        <f>IFERROR(VLOOKUP(A289,管理亚马逊库存!A:K,11,0),"")</f>
        <v>1</v>
      </c>
      <c r="C289">
        <f>IFERROR(VLOOKUP(A289,管理亚马逊库存!A:L,12,0),"")</f>
        <v>1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1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1</v>
      </c>
    </row>
    <row r="290" spans="1:14">
      <c r="A290" s="3" t="s">
        <v>1188</v>
      </c>
      <c r="B290">
        <f>IFERROR(VLOOKUP(A290,管理亚马逊库存!A:K,11,0),"")</f>
        <v>4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1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1</v>
      </c>
    </row>
    <row r="291" spans="1:14">
      <c r="A291" s="3" t="s">
        <v>1193</v>
      </c>
      <c r="B291">
        <f>IFERROR(VLOOKUP(A291,管理亚马逊库存!A:K,11,0),"")</f>
        <v>2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1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1</v>
      </c>
    </row>
    <row r="292" spans="1:14">
      <c r="A292" s="3" t="s">
        <v>1196</v>
      </c>
      <c r="B292">
        <f>IFERROR(VLOOKUP(A292,管理亚马逊库存!A:K,11,0),"")</f>
        <v>6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1199</v>
      </c>
      <c r="B293">
        <f>IFERROR(VLOOKUP(A293,管理亚马逊库存!A:K,11,0),"")</f>
        <v>3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3</v>
      </c>
      <c r="M293">
        <f>IFERROR(VLOOKUP(A293,库龄!B:N,12,0),0)</f>
        <v>0</v>
      </c>
      <c r="N293">
        <f t="shared" si="10"/>
        <v>3</v>
      </c>
    </row>
    <row r="294" spans="1:14">
      <c r="A294" s="3" t="s">
        <v>1204</v>
      </c>
      <c r="B294">
        <f>IFERROR(VLOOKUP(A294,管理亚马逊库存!A:K,11,0),"")</f>
        <v>5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1</v>
      </c>
      <c r="L294">
        <f>IFERROR(VLOOKUP(A294,库龄!B:M,11,0),0)</f>
        <v>1</v>
      </c>
      <c r="M294">
        <f>IFERROR(VLOOKUP(A294,库龄!B:N,12,0),0)</f>
        <v>2</v>
      </c>
      <c r="N294">
        <f t="shared" si="10"/>
        <v>4</v>
      </c>
    </row>
    <row r="295" spans="1:14">
      <c r="A295" s="3" t="s">
        <v>1208</v>
      </c>
      <c r="B295">
        <f>IFERROR(VLOOKUP(A295,管理亚马逊库存!A:K,11,0),"")</f>
        <v>1</v>
      </c>
      <c r="C295">
        <f>IFERROR(VLOOKUP(A295,管理亚马逊库存!A:L,12,0),"")</f>
        <v>1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1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1</v>
      </c>
    </row>
    <row r="296" spans="1:14">
      <c r="A296" s="3" t="s">
        <v>1213</v>
      </c>
      <c r="B296">
        <f>IFERROR(VLOOKUP(A296,管理亚马逊库存!A:K,11,0),"")</f>
        <v>2</v>
      </c>
      <c r="C296">
        <f>IFERROR(VLOOKUP(A296,管理亚马逊库存!A:L,12,0),"")</f>
        <v>1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1</v>
      </c>
      <c r="L296">
        <f>IFERROR(VLOOKUP(A296,库龄!B:M,11,0),0)</f>
        <v>0</v>
      </c>
      <c r="M296">
        <f>IFERROR(VLOOKUP(A296,库龄!B:N,12,0),0)</f>
        <v>1</v>
      </c>
      <c r="N296">
        <f t="shared" si="10"/>
        <v>2</v>
      </c>
    </row>
    <row r="297" spans="1:14">
      <c r="A297" s="3" t="s">
        <v>1217</v>
      </c>
      <c r="B297">
        <f>IFERROR(VLOOKUP(A297,管理亚马逊库存!A:K,11,0),"")</f>
        <v>1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1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1</v>
      </c>
    </row>
    <row r="298" spans="1:14">
      <c r="A298" s="3" t="s">
        <v>1222</v>
      </c>
      <c r="B298">
        <f>IFERROR(VLOOKUP(A298,管理亚马逊库存!A:K,11,0),"")</f>
        <v>1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1225</v>
      </c>
      <c r="B299">
        <f>IFERROR(VLOOKUP(A299,管理亚马逊库存!A:K,11,0),"")</f>
        <v>6</v>
      </c>
      <c r="C299">
        <f>IFERROR(VLOOKUP(A299,管理亚马逊库存!A:L,12,0),"")</f>
        <v>1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1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1</v>
      </c>
    </row>
    <row r="300" spans="1:14">
      <c r="A300" s="3" t="s">
        <v>1228</v>
      </c>
      <c r="B300">
        <f>IFERROR(VLOOKUP(A300,管理亚马逊库存!A:K,11,0),"")</f>
        <v>2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2</v>
      </c>
      <c r="M300">
        <f>IFERROR(VLOOKUP(A300,库龄!B:N,12,0),0)</f>
        <v>0</v>
      </c>
      <c r="N300">
        <f t="shared" si="10"/>
        <v>2</v>
      </c>
    </row>
    <row r="301" spans="1:14">
      <c r="A301" s="3" t="s">
        <v>1232</v>
      </c>
      <c r="B301">
        <f>IFERROR(VLOOKUP(A301,管理亚马逊库存!A:K,11,0),"")</f>
        <v>3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3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3</v>
      </c>
    </row>
    <row r="302" spans="1:14">
      <c r="A302" s="3" t="s">
        <v>1237</v>
      </c>
      <c r="B302">
        <f>IFERROR(VLOOKUP(A302,管理亚马逊库存!A:K,11,0),"")</f>
        <v>1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1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1</v>
      </c>
    </row>
    <row r="303" spans="1:14">
      <c r="A303" s="3" t="s">
        <v>1240</v>
      </c>
      <c r="B303">
        <f>IFERROR(VLOOKUP(A303,管理亚马逊库存!A:K,11,0),"")</f>
        <v>1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1244</v>
      </c>
      <c r="B304">
        <f>IFERROR(VLOOKUP(A304,管理亚马逊库存!A:K,11,0),"")</f>
        <v>4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2</v>
      </c>
      <c r="K304">
        <f>IFERROR(VLOOKUP(A304,库龄!B:L,10,0),0)</f>
        <v>2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4</v>
      </c>
    </row>
    <row r="305" spans="1:14">
      <c r="A305" s="3" t="s">
        <v>1249</v>
      </c>
      <c r="B305">
        <f>IFERROR(VLOOKUP(A305,管理亚马逊库存!A:K,11,0),"")</f>
        <v>1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1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1</v>
      </c>
    </row>
    <row r="306" spans="1:14">
      <c r="A306" s="3" t="s">
        <v>1252</v>
      </c>
      <c r="B306">
        <f>IFERROR(VLOOKUP(A306,管理亚马逊库存!A:K,11,0),"")</f>
        <v>3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2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2</v>
      </c>
    </row>
    <row r="307" spans="1:14">
      <c r="A307" s="3" t="s">
        <v>1255</v>
      </c>
      <c r="B307">
        <f>IFERROR(VLOOKUP(A307,管理亚马逊库存!A:K,11,0),"")</f>
        <v>1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1</v>
      </c>
      <c r="N307">
        <f t="shared" si="10"/>
        <v>1</v>
      </c>
    </row>
    <row r="308" spans="1:14">
      <c r="A308" s="3" t="s">
        <v>1259</v>
      </c>
      <c r="B308">
        <f>IFERROR(VLOOKUP(A308,管理亚马逊库存!A:K,11,0),"")</f>
        <v>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1</v>
      </c>
      <c r="M308">
        <f>IFERROR(VLOOKUP(A308,库龄!B:N,12,0),0)</f>
        <v>0</v>
      </c>
      <c r="N308">
        <f t="shared" si="10"/>
        <v>1</v>
      </c>
    </row>
    <row r="309" spans="1:14">
      <c r="A309" s="3" t="s">
        <v>1263</v>
      </c>
      <c r="B309">
        <f>IFERROR(VLOOKUP(A309,管理亚马逊库存!A:K,11,0),"")</f>
        <v>7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1266</v>
      </c>
      <c r="B310">
        <f>IFERROR(VLOOKUP(A310,管理亚马逊库存!A:K,11,0),"")</f>
        <v>3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3</v>
      </c>
      <c r="M310">
        <f>IFERROR(VLOOKUP(A310,库龄!B:N,12,0),0)</f>
        <v>0</v>
      </c>
      <c r="N310">
        <f t="shared" si="10"/>
        <v>3</v>
      </c>
    </row>
    <row r="311" spans="1:14">
      <c r="A311" s="3" t="s">
        <v>1270</v>
      </c>
      <c r="B311">
        <f>IFERROR(VLOOKUP(A311,管理亚马逊库存!A:K,11,0),"")</f>
        <v>1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1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1</v>
      </c>
    </row>
    <row r="312" spans="1:14">
      <c r="A312" s="3" t="s">
        <v>1274</v>
      </c>
      <c r="B312">
        <f>IFERROR(VLOOKUP(A312,管理亚马逊库存!A:K,11,0),"")</f>
        <v>1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1</v>
      </c>
      <c r="N312">
        <f t="shared" si="10"/>
        <v>1</v>
      </c>
    </row>
    <row r="313" spans="1:14">
      <c r="A313" s="3" t="s">
        <v>1278</v>
      </c>
      <c r="B313">
        <f>IFERROR(VLOOKUP(A313,管理亚马逊库存!A:K,11,0),"")</f>
        <v>7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2</v>
      </c>
      <c r="M313">
        <f>IFERROR(VLOOKUP(A313,库龄!B:N,12,0),0)</f>
        <v>5</v>
      </c>
      <c r="N313">
        <f t="shared" si="10"/>
        <v>7</v>
      </c>
    </row>
    <row r="314" spans="1:14">
      <c r="A314" s="3" t="s">
        <v>1283</v>
      </c>
      <c r="B314">
        <f>IFERROR(VLOOKUP(A314,管理亚马逊库存!A:K,11,0),"")</f>
        <v>1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1286</v>
      </c>
      <c r="B315">
        <f>IFERROR(VLOOKUP(A315,管理亚马逊库存!A:K,11,0),"")</f>
        <v>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1</v>
      </c>
      <c r="N315">
        <f t="shared" si="10"/>
        <v>1</v>
      </c>
    </row>
    <row r="316" spans="1:14">
      <c r="A316" s="3" t="s">
        <v>1290</v>
      </c>
      <c r="B316">
        <f>IFERROR(VLOOKUP(A316,管理亚马逊库存!A:K,11,0),"")</f>
        <v>1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1</v>
      </c>
      <c r="M316">
        <f>IFERROR(VLOOKUP(A316,库龄!B:N,12,0),0)</f>
        <v>0</v>
      </c>
      <c r="N316">
        <f t="shared" si="10"/>
        <v>1</v>
      </c>
    </row>
    <row r="317" spans="1:14">
      <c r="A317" s="3" t="s">
        <v>1294</v>
      </c>
      <c r="B317">
        <f>IFERROR(VLOOKUP(A317,管理亚马逊库存!A:K,11,0),"")</f>
        <v>4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2</v>
      </c>
      <c r="M317">
        <f>IFERROR(VLOOKUP(A317,库龄!B:N,12,0),0)</f>
        <v>2</v>
      </c>
      <c r="N317">
        <f t="shared" si="10"/>
        <v>4</v>
      </c>
    </row>
    <row r="318" spans="1:14">
      <c r="A318" s="3" t="s">
        <v>1298</v>
      </c>
      <c r="B318">
        <f>IFERROR(VLOOKUP(A318,管理亚马逊库存!A:K,11,0),"")</f>
        <v>2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2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2</v>
      </c>
    </row>
    <row r="319" spans="1:14">
      <c r="A319" s="3" t="s">
        <v>1301</v>
      </c>
      <c r="B319">
        <f>IFERROR(VLOOKUP(A319,管理亚马逊库存!A:K,11,0),"")</f>
        <v>4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1304</v>
      </c>
      <c r="B320">
        <f>IFERROR(VLOOKUP(A320,管理亚马逊库存!A:K,11,0),"")</f>
        <v>4</v>
      </c>
      <c r="C320">
        <f>IFERROR(VLOOKUP(A320,管理亚马逊库存!A:L,12,0),"")</f>
        <v>1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3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3</v>
      </c>
    </row>
    <row r="321" spans="1:14">
      <c r="A321" s="3" t="s">
        <v>1307</v>
      </c>
      <c r="B321">
        <f>IFERROR(VLOOKUP(A321,管理亚马逊库存!A:K,11,0),"")</f>
        <v>2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1311</v>
      </c>
      <c r="B322">
        <f>IFERROR(VLOOKUP(A322,管理亚马逊库存!A:K,11,0),"")</f>
        <v>3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3</v>
      </c>
      <c r="M322">
        <f>IFERROR(VLOOKUP(A322,库龄!B:N,12,0),0)</f>
        <v>0</v>
      </c>
      <c r="N322">
        <f t="shared" si="10"/>
        <v>3</v>
      </c>
    </row>
    <row r="323" spans="1:14">
      <c r="A323" s="3" t="s">
        <v>1314</v>
      </c>
      <c r="B323">
        <f>IFERROR(VLOOKUP(A323,管理亚马逊库存!A:K,11,0),"")</f>
        <v>8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8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8</v>
      </c>
    </row>
    <row r="324" spans="1:14">
      <c r="A324" s="3" t="s">
        <v>1318</v>
      </c>
      <c r="B324">
        <f>IFERROR(VLOOKUP(A324,管理亚马逊库存!A:K,11,0),"")</f>
        <v>1</v>
      </c>
      <c r="C324">
        <f>IFERROR(VLOOKUP(A324,管理亚马逊库存!A:L,12,0),"")</f>
        <v>1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1322</v>
      </c>
      <c r="B325">
        <f>IFERROR(VLOOKUP(A325,管理亚马逊库存!A:K,11,0),"")</f>
        <v>1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1327</v>
      </c>
      <c r="B326">
        <f>IFERROR(VLOOKUP(A326,管理亚马逊库存!A:K,11,0),"")</f>
        <v>11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11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11</v>
      </c>
    </row>
    <row r="327" spans="1:14">
      <c r="A327" s="3" t="s">
        <v>1332</v>
      </c>
      <c r="B327">
        <f>IFERROR(VLOOKUP(A327,管理亚马逊库存!A:K,11,0),"")</f>
        <v>13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12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12</v>
      </c>
    </row>
    <row r="328" spans="1:14">
      <c r="A328" s="3" t="s">
        <v>1337</v>
      </c>
      <c r="B328">
        <f>IFERROR(VLOOKUP(A328,管理亚马逊库存!A:K,11,0),"")</f>
        <v>7</v>
      </c>
      <c r="C328">
        <f>IFERROR(VLOOKUP(A328,管理亚马逊库存!A:L,12,0),"")</f>
        <v>1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6</v>
      </c>
      <c r="M328">
        <f>IFERROR(VLOOKUP(A328,库龄!B:N,12,0),0)</f>
        <v>0</v>
      </c>
      <c r="N328">
        <f t="shared" si="12"/>
        <v>6</v>
      </c>
    </row>
    <row r="329" spans="1:14">
      <c r="A329" s="3" t="s">
        <v>1340</v>
      </c>
      <c r="B329">
        <f>IFERROR(VLOOKUP(A329,管理亚马逊库存!A:K,11,0),"")</f>
        <v>1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1</v>
      </c>
      <c r="M329">
        <f>IFERROR(VLOOKUP(A329,库龄!B:N,12,0),0)</f>
        <v>0</v>
      </c>
      <c r="N329">
        <f t="shared" si="12"/>
        <v>1</v>
      </c>
    </row>
    <row r="330" spans="1:14">
      <c r="A330" s="3" t="s">
        <v>1345</v>
      </c>
      <c r="B330">
        <f>IFERROR(VLOOKUP(A330,管理亚马逊库存!A:K,11,0),"")</f>
        <v>4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2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2</v>
      </c>
    </row>
    <row r="331" spans="1:14">
      <c r="A331" s="3" t="s">
        <v>1350</v>
      </c>
      <c r="B331">
        <f>IFERROR(VLOOKUP(A331,管理亚马逊库存!A:K,11,0),"")</f>
        <v>2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2</v>
      </c>
      <c r="M331">
        <f>IFERROR(VLOOKUP(A331,库龄!B:N,12,0),0)</f>
        <v>0</v>
      </c>
      <c r="N331">
        <f t="shared" si="12"/>
        <v>2</v>
      </c>
    </row>
    <row r="332" spans="1:14">
      <c r="A332" s="3" t="s">
        <v>1354</v>
      </c>
      <c r="B332">
        <f>IFERROR(VLOOKUP(A332,管理亚马逊库存!A:K,11,0),"")</f>
        <v>3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3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3</v>
      </c>
    </row>
    <row r="333" spans="1:14">
      <c r="A333" s="3" t="s">
        <v>1357</v>
      </c>
      <c r="B333">
        <f>IFERROR(VLOOKUP(A333,管理亚马逊库存!A:K,11,0),"")</f>
        <v>3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2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2</v>
      </c>
    </row>
    <row r="334" spans="1:14">
      <c r="A334" s="3" t="s">
        <v>1361</v>
      </c>
      <c r="B334">
        <f>IFERROR(VLOOKUP(A334,管理亚马逊库存!A:K,11,0),"")</f>
        <v>1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1365</v>
      </c>
      <c r="B335">
        <f>IFERROR(VLOOKUP(A335,管理亚马逊库存!A:K,11,0),"")</f>
        <v>18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1</v>
      </c>
      <c r="K335">
        <f>IFERROR(VLOOKUP(A335,库龄!B:L,10,0),0)</f>
        <v>0</v>
      </c>
      <c r="L335">
        <f>IFERROR(VLOOKUP(A335,库龄!B:M,11,0),0)</f>
        <v>17</v>
      </c>
      <c r="M335">
        <f>IFERROR(VLOOKUP(A335,库龄!B:N,12,0),0)</f>
        <v>0</v>
      </c>
      <c r="N335">
        <f t="shared" si="12"/>
        <v>18</v>
      </c>
    </row>
    <row r="336" spans="1:14">
      <c r="A336" s="3" t="s">
        <v>1369</v>
      </c>
      <c r="B336">
        <f>IFERROR(VLOOKUP(A336,管理亚马逊库存!A:K,11,0),"")</f>
        <v>9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5</v>
      </c>
      <c r="K336">
        <f>IFERROR(VLOOKUP(A336,库龄!B:L,10,0),0)</f>
        <v>0</v>
      </c>
      <c r="L336">
        <f>IFERROR(VLOOKUP(A336,库龄!B:M,11,0),0)</f>
        <v>4</v>
      </c>
      <c r="M336">
        <f>IFERROR(VLOOKUP(A336,库龄!B:N,12,0),0)</f>
        <v>0</v>
      </c>
      <c r="N336">
        <f t="shared" si="12"/>
        <v>9</v>
      </c>
    </row>
    <row r="337" spans="1:14">
      <c r="A337" s="3" t="s">
        <v>1374</v>
      </c>
      <c r="B337">
        <f>IFERROR(VLOOKUP(A337,管理亚马逊库存!A:K,11,0),"")</f>
        <v>5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5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5</v>
      </c>
    </row>
    <row r="338" spans="1:14">
      <c r="A338" s="3" t="s">
        <v>1378</v>
      </c>
      <c r="B338">
        <f>IFERROR(VLOOKUP(A338,管理亚马逊库存!A:K,11,0),"")</f>
        <v>5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5</v>
      </c>
      <c r="M338">
        <f>IFERROR(VLOOKUP(A338,库龄!B:N,12,0),0)</f>
        <v>0</v>
      </c>
      <c r="N338">
        <f t="shared" si="12"/>
        <v>5</v>
      </c>
    </row>
    <row r="339" spans="1:14">
      <c r="A339" s="3" t="s">
        <v>1381</v>
      </c>
      <c r="B339">
        <f>IFERROR(VLOOKUP(A339,管理亚马逊库存!A:K,11,0),"")</f>
        <v>3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3</v>
      </c>
      <c r="N339">
        <f t="shared" si="12"/>
        <v>3</v>
      </c>
    </row>
    <row r="340" spans="1:14">
      <c r="A340" s="3" t="s">
        <v>1386</v>
      </c>
      <c r="B340">
        <f>IFERROR(VLOOKUP(A340,管理亚马逊库存!A:K,11,0),"")</f>
        <v>2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1</v>
      </c>
      <c r="M340">
        <f>IFERROR(VLOOKUP(A340,库龄!B:N,12,0),0)</f>
        <v>1</v>
      </c>
      <c r="N340">
        <f t="shared" si="12"/>
        <v>2</v>
      </c>
    </row>
    <row r="341" spans="1:14">
      <c r="A341" s="3" t="s">
        <v>1389</v>
      </c>
      <c r="B341">
        <f>IFERROR(VLOOKUP(A341,管理亚马逊库存!A:K,11,0),"")</f>
        <v>25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24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24</v>
      </c>
    </row>
    <row r="342" spans="1:14">
      <c r="A342" s="3" t="s">
        <v>1394</v>
      </c>
      <c r="B342">
        <f>IFERROR(VLOOKUP(A342,管理亚马逊库存!A:K,11,0),"")</f>
        <v>1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1</v>
      </c>
      <c r="M342">
        <f>IFERROR(VLOOKUP(A342,库龄!B:N,12,0),0)</f>
        <v>0</v>
      </c>
      <c r="N342">
        <f t="shared" si="12"/>
        <v>1</v>
      </c>
    </row>
    <row r="343" spans="1:14">
      <c r="A343" s="3" t="s">
        <v>1397</v>
      </c>
      <c r="B343">
        <f>IFERROR(VLOOKUP(A343,管理亚马逊库存!A:K,11,0),"")</f>
        <v>1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1</v>
      </c>
      <c r="N343">
        <f t="shared" si="12"/>
        <v>1</v>
      </c>
    </row>
    <row r="344" spans="1:14">
      <c r="A344" s="3" t="s">
        <v>1402</v>
      </c>
      <c r="B344">
        <f>IFERROR(VLOOKUP(A344,管理亚马逊库存!A:K,11,0),"")</f>
        <v>3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1</v>
      </c>
      <c r="M344">
        <f>IFERROR(VLOOKUP(A344,库龄!B:N,12,0),0)</f>
        <v>2</v>
      </c>
      <c r="N344">
        <f t="shared" si="12"/>
        <v>3</v>
      </c>
    </row>
    <row r="345" spans="1:14">
      <c r="A345" s="3" t="s">
        <v>1405</v>
      </c>
      <c r="B345">
        <f>IFERROR(VLOOKUP(A345,管理亚马逊库存!A:K,11,0),"")</f>
        <v>1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1</v>
      </c>
      <c r="M345">
        <f>IFERROR(VLOOKUP(A345,库龄!B:N,12,0),0)</f>
        <v>0</v>
      </c>
      <c r="N345">
        <f t="shared" si="12"/>
        <v>1</v>
      </c>
    </row>
    <row r="346" spans="1:14">
      <c r="A346" s="3" t="s">
        <v>1409</v>
      </c>
      <c r="B346">
        <f>IFERROR(VLOOKUP(A346,管理亚马逊库存!A:K,11,0),"")</f>
        <v>0</v>
      </c>
      <c r="C346">
        <f>IFERROR(VLOOKUP(A346,管理亚马逊库存!A:L,12,0),"")</f>
        <v>2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1412</v>
      </c>
      <c r="B347">
        <f>IFERROR(VLOOKUP(A347,管理亚马逊库存!A:K,11,0),"")</f>
        <v>7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2</v>
      </c>
      <c r="K347">
        <f>IFERROR(VLOOKUP(A347,库龄!B:L,10,0),0)</f>
        <v>5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7</v>
      </c>
    </row>
    <row r="348" spans="1:14">
      <c r="A348" s="3" t="s">
        <v>1415</v>
      </c>
      <c r="B348">
        <f>IFERROR(VLOOKUP(A348,管理亚马逊库存!A:K,11,0),"")</f>
        <v>5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5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5</v>
      </c>
    </row>
    <row r="349" spans="1:14">
      <c r="A349" s="3" t="s">
        <v>1418</v>
      </c>
      <c r="B349">
        <f>IFERROR(VLOOKUP(A349,管理亚马逊库存!A:K,11,0),"")</f>
        <v>4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4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4</v>
      </c>
    </row>
    <row r="350" spans="1:14">
      <c r="A350" s="3" t="s">
        <v>1423</v>
      </c>
      <c r="B350">
        <f>IFERROR(VLOOKUP(A350,管理亚马逊库存!A:K,11,0),"")</f>
        <v>6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1</v>
      </c>
      <c r="K350">
        <f>IFERROR(VLOOKUP(A350,库龄!B:L,10,0),0)</f>
        <v>1</v>
      </c>
      <c r="L350">
        <f>IFERROR(VLOOKUP(A350,库龄!B:M,11,0),0)</f>
        <v>1</v>
      </c>
      <c r="M350">
        <f>IFERROR(VLOOKUP(A350,库龄!B:N,12,0),0)</f>
        <v>2</v>
      </c>
      <c r="N350">
        <f t="shared" si="12"/>
        <v>5</v>
      </c>
    </row>
    <row r="351" spans="1:14">
      <c r="A351" s="3" t="s">
        <v>1426</v>
      </c>
      <c r="B351">
        <f>IFERROR(VLOOKUP(A351,管理亚马逊库存!A:K,11,0),"")</f>
        <v>1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1429</v>
      </c>
      <c r="B352">
        <f>IFERROR(VLOOKUP(A352,管理亚马逊库存!A:K,11,0),"")</f>
        <v>1</v>
      </c>
      <c r="C352">
        <f>IFERROR(VLOOKUP(A352,管理亚马逊库存!A:L,12,0),"")</f>
        <v>1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1432</v>
      </c>
      <c r="B353">
        <f>IFERROR(VLOOKUP(A353,管理亚马逊库存!A:K,11,0),"")</f>
        <v>2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2</v>
      </c>
      <c r="M353">
        <f>IFERROR(VLOOKUP(A353,库龄!B:N,12,0),0)</f>
        <v>0</v>
      </c>
      <c r="N353">
        <f t="shared" si="12"/>
        <v>2</v>
      </c>
    </row>
    <row r="354" spans="1:14">
      <c r="A354" s="3" t="s">
        <v>1436</v>
      </c>
      <c r="B354">
        <f>IFERROR(VLOOKUP(A354,管理亚马逊库存!A:K,11,0),"")</f>
        <v>12</v>
      </c>
      <c r="C354">
        <f>IFERROR(VLOOKUP(A354,管理亚马逊库存!A:L,12,0),"")</f>
        <v>1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5</v>
      </c>
      <c r="K354">
        <f>IFERROR(VLOOKUP(A354,库龄!B:L,10,0),0)</f>
        <v>2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7</v>
      </c>
    </row>
    <row r="355" spans="1:14">
      <c r="A355" s="3" t="s">
        <v>1439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1</v>
      </c>
      <c r="N355">
        <f t="shared" si="12"/>
        <v>1</v>
      </c>
    </row>
    <row r="356" spans="1:14">
      <c r="A356" s="3" t="s">
        <v>1443</v>
      </c>
      <c r="B356">
        <f>IFERROR(VLOOKUP(A356,管理亚马逊库存!A:K,11,0),"")</f>
        <v>1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1</v>
      </c>
      <c r="N356">
        <f t="shared" si="12"/>
        <v>1</v>
      </c>
    </row>
    <row r="357" spans="1:14">
      <c r="A357" s="3" t="s">
        <v>1447</v>
      </c>
      <c r="B357">
        <f>IFERROR(VLOOKUP(A357,管理亚马逊库存!A:K,11,0),"")</f>
        <v>1</v>
      </c>
      <c r="C357">
        <f>IFERROR(VLOOKUP(A357,管理亚马逊库存!A:L,12,0),"")</f>
        <v>1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1450</v>
      </c>
      <c r="B358">
        <f>IFERROR(VLOOKUP(A358,管理亚马逊库存!A:K,11,0),"")</f>
        <v>9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9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9</v>
      </c>
    </row>
    <row r="359" spans="1:14">
      <c r="A359" s="3" t="s">
        <v>1455</v>
      </c>
      <c r="B359">
        <f>IFERROR(VLOOKUP(A359,管理亚马逊库存!A:K,11,0),"")</f>
        <v>10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10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10</v>
      </c>
    </row>
    <row r="360" spans="1:14">
      <c r="A360" s="3" t="s">
        <v>1460</v>
      </c>
      <c r="B360">
        <f>IFERROR(VLOOKUP(A360,管理亚马逊库存!A:K,11,0),"")</f>
        <v>1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1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1</v>
      </c>
    </row>
    <row r="361" spans="1:14">
      <c r="A361" s="3" t="s">
        <v>1464</v>
      </c>
      <c r="B361">
        <f>IFERROR(VLOOKUP(A361,管理亚马逊库存!A:K,11,0),"")</f>
        <v>9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1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1</v>
      </c>
    </row>
    <row r="362" spans="1:14">
      <c r="A362" s="3" t="s">
        <v>1467</v>
      </c>
      <c r="B362">
        <f>IFERROR(VLOOKUP(A362,管理亚马逊库存!A:K,11,0),"")</f>
        <v>8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1470</v>
      </c>
      <c r="B363">
        <f>IFERROR(VLOOKUP(A363,管理亚马逊库存!A:K,11,0),"")</f>
        <v>5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5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5</v>
      </c>
    </row>
    <row r="364" spans="1:14">
      <c r="A364" s="3" t="s">
        <v>1473</v>
      </c>
      <c r="B364">
        <f>IFERROR(VLOOKUP(A364,管理亚马逊库存!A:K,11,0),"")</f>
        <v>8</v>
      </c>
      <c r="C364">
        <f>IFERROR(VLOOKUP(A364,管理亚马逊库存!A:L,12,0),"")</f>
        <v>2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8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8</v>
      </c>
    </row>
    <row r="365" spans="1:14">
      <c r="A365" s="3" t="s">
        <v>1477</v>
      </c>
      <c r="B365">
        <f>IFERROR(VLOOKUP(A365,管理亚马逊库存!A:K,11,0),"")</f>
        <v>6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1480</v>
      </c>
      <c r="B366">
        <f>IFERROR(VLOOKUP(A366,管理亚马逊库存!A:K,11,0),"")</f>
        <v>2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2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2</v>
      </c>
    </row>
    <row r="367" spans="1:14">
      <c r="A367" s="3" t="s">
        <v>1483</v>
      </c>
      <c r="B367">
        <f>IFERROR(VLOOKUP(A367,管理亚马逊库存!A:K,11,0),"")</f>
        <v>2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2</v>
      </c>
      <c r="N367">
        <f t="shared" si="12"/>
        <v>2</v>
      </c>
    </row>
    <row r="368" spans="1:14">
      <c r="A368" s="3" t="s">
        <v>1486</v>
      </c>
      <c r="B368">
        <f>IFERROR(VLOOKUP(A368,管理亚马逊库存!A:K,11,0),"")</f>
        <v>2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2</v>
      </c>
      <c r="N368">
        <f t="shared" si="12"/>
        <v>2</v>
      </c>
    </row>
    <row r="369" spans="1:14">
      <c r="A369" s="3" t="s">
        <v>1489</v>
      </c>
      <c r="B369">
        <f>IFERROR(VLOOKUP(A369,管理亚马逊库存!A:K,11,0),"")</f>
        <v>3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1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1</v>
      </c>
      <c r="N369">
        <f t="shared" si="12"/>
        <v>2</v>
      </c>
    </row>
    <row r="370" spans="1:14">
      <c r="A370" s="3" t="s">
        <v>1492</v>
      </c>
      <c r="B370">
        <f>IFERROR(VLOOKUP(A370,管理亚马逊库存!A:K,11,0),"")</f>
        <v>4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4</v>
      </c>
      <c r="M370">
        <f>IFERROR(VLOOKUP(A370,库龄!B:N,12,0),0)</f>
        <v>0</v>
      </c>
      <c r="N370">
        <f t="shared" si="12"/>
        <v>4</v>
      </c>
    </row>
    <row r="371" spans="1:14">
      <c r="A371" s="3" t="s">
        <v>1497</v>
      </c>
      <c r="B371">
        <f>IFERROR(VLOOKUP(A371,管理亚马逊库存!A:K,11,0),"")</f>
        <v>4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4</v>
      </c>
      <c r="M371">
        <f>IFERROR(VLOOKUP(A371,库龄!B:N,12,0),0)</f>
        <v>0</v>
      </c>
      <c r="N371">
        <f t="shared" si="12"/>
        <v>4</v>
      </c>
    </row>
    <row r="372" spans="1:14">
      <c r="A372" s="3" t="s">
        <v>1500</v>
      </c>
      <c r="B372">
        <f>IFERROR(VLOOKUP(A372,管理亚马逊库存!A:K,11,0),"")</f>
        <v>4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3</v>
      </c>
      <c r="N372">
        <f t="shared" si="12"/>
        <v>3</v>
      </c>
    </row>
    <row r="373" spans="1:14">
      <c r="A373" s="3" t="s">
        <v>1504</v>
      </c>
      <c r="B373">
        <f>IFERROR(VLOOKUP(A373,管理亚马逊库存!A:K,11,0),"")</f>
        <v>9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9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9</v>
      </c>
    </row>
    <row r="374" spans="1:14">
      <c r="A374" s="3" t="s">
        <v>1507</v>
      </c>
      <c r="B374">
        <f>IFERROR(VLOOKUP(A374,管理亚马逊库存!A:K,11,0),"")</f>
        <v>2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2</v>
      </c>
      <c r="M374">
        <f>IFERROR(VLOOKUP(A374,库龄!B:N,12,0),0)</f>
        <v>0</v>
      </c>
      <c r="N374">
        <f t="shared" si="12"/>
        <v>2</v>
      </c>
    </row>
    <row r="375" spans="1:14">
      <c r="A375" s="3" t="s">
        <v>1511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1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1</v>
      </c>
    </row>
    <row r="376" spans="1:14">
      <c r="A376" s="3" t="s">
        <v>1515</v>
      </c>
      <c r="B376">
        <f>IFERROR(VLOOKUP(A376,管理亚马逊库存!A:K,11,0),"")</f>
        <v>6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1</v>
      </c>
      <c r="L376">
        <f>IFERROR(VLOOKUP(A376,库龄!B:M,11,0),0)</f>
        <v>5</v>
      </c>
      <c r="M376">
        <f>IFERROR(VLOOKUP(A376,库龄!B:N,12,0),0)</f>
        <v>0</v>
      </c>
      <c r="N376">
        <f t="shared" si="12"/>
        <v>6</v>
      </c>
    </row>
    <row r="377" spans="1:14">
      <c r="A377" s="3" t="s">
        <v>1519</v>
      </c>
      <c r="B377">
        <f>IFERROR(VLOOKUP(A377,管理亚马逊库存!A:K,11,0),"")</f>
        <v>3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3</v>
      </c>
      <c r="N377">
        <f t="shared" si="12"/>
        <v>3</v>
      </c>
    </row>
    <row r="378" spans="1:14">
      <c r="A378" s="3" t="s">
        <v>1523</v>
      </c>
      <c r="B378">
        <f>IFERROR(VLOOKUP(A378,管理亚马逊库存!A:K,11,0),"")</f>
        <v>7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5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5</v>
      </c>
    </row>
    <row r="379" spans="1:14">
      <c r="A379" s="3" t="s">
        <v>1528</v>
      </c>
      <c r="B379">
        <f>IFERROR(VLOOKUP(A379,管理亚马逊库存!A:K,11,0),"")</f>
        <v>4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1</v>
      </c>
      <c r="K379">
        <f>IFERROR(VLOOKUP(A379,库龄!B:L,10,0),0)</f>
        <v>2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3</v>
      </c>
    </row>
    <row r="380" spans="1:14">
      <c r="A380" s="3" t="s">
        <v>1532</v>
      </c>
      <c r="B380">
        <f>IFERROR(VLOOKUP(A380,管理亚马逊库存!A:K,11,0),"")</f>
        <v>1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1</v>
      </c>
      <c r="M380">
        <f>IFERROR(VLOOKUP(A380,库龄!B:N,12,0),0)</f>
        <v>0</v>
      </c>
      <c r="N380">
        <f t="shared" si="12"/>
        <v>1</v>
      </c>
    </row>
    <row r="381" spans="1:14">
      <c r="A381" s="3" t="s">
        <v>1535</v>
      </c>
      <c r="B381">
        <f>IFERROR(VLOOKUP(A381,管理亚马逊库存!A:K,11,0),"")</f>
        <v>1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1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1</v>
      </c>
    </row>
    <row r="382" spans="1:14">
      <c r="A382" s="3" t="s">
        <v>1539</v>
      </c>
      <c r="B382">
        <f>IFERROR(VLOOKUP(A382,管理亚马逊库存!A:K,11,0),"")</f>
        <v>3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3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3</v>
      </c>
    </row>
    <row r="383" spans="1:14">
      <c r="A383" s="3" t="s">
        <v>1542</v>
      </c>
      <c r="B383">
        <f>IFERROR(VLOOKUP(A383,管理亚马逊库存!A:K,11,0),"")</f>
        <v>9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2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2</v>
      </c>
    </row>
    <row r="384" spans="1:14">
      <c r="A384" s="3" t="s">
        <v>1547</v>
      </c>
      <c r="B384">
        <f>IFERROR(VLOOKUP(A384,管理亚马逊库存!A:K,11,0),"")</f>
        <v>6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4</v>
      </c>
      <c r="K384">
        <f>IFERROR(VLOOKUP(A384,库龄!B:L,10,0),0)</f>
        <v>2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6</v>
      </c>
    </row>
    <row r="385" spans="1:14">
      <c r="A385" s="3" t="s">
        <v>1550</v>
      </c>
      <c r="B385">
        <f>IFERROR(VLOOKUP(A385,管理亚马逊库存!A:K,11,0),"")</f>
        <v>2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2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2</v>
      </c>
    </row>
    <row r="386" spans="1:14">
      <c r="A386" s="3" t="s">
        <v>1553</v>
      </c>
      <c r="B386">
        <f>IFERROR(VLOOKUP(A386,管理亚马逊库存!A:K,11,0),"")</f>
        <v>3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1</v>
      </c>
      <c r="K386">
        <f>IFERROR(VLOOKUP(A386,库龄!B:L,10,0),0)</f>
        <v>2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3</v>
      </c>
    </row>
    <row r="387" spans="1:14">
      <c r="A387" s="3" t="s">
        <v>1556</v>
      </c>
      <c r="B387">
        <f>IFERROR(VLOOKUP(A387,管理亚马逊库存!A:K,11,0),"")</f>
        <v>10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4</v>
      </c>
      <c r="K387">
        <f>IFERROR(VLOOKUP(A387,库龄!B:L,10,0),0)</f>
        <v>1</v>
      </c>
      <c r="L387">
        <f>IFERROR(VLOOKUP(A387,库龄!B:M,11,0),0)</f>
        <v>3</v>
      </c>
      <c r="M387">
        <f>IFERROR(VLOOKUP(A387,库龄!B:N,12,0),0)</f>
        <v>0</v>
      </c>
      <c r="N387">
        <f t="shared" ref="N387:N450" si="14">SUM(J387:M387)</f>
        <v>8</v>
      </c>
    </row>
    <row r="388" spans="1:14">
      <c r="A388" s="3" t="s">
        <v>1561</v>
      </c>
      <c r="B388">
        <f>IFERROR(VLOOKUP(A388,管理亚马逊库存!A:K,11,0),"")</f>
        <v>2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2</v>
      </c>
      <c r="N388">
        <f t="shared" si="14"/>
        <v>2</v>
      </c>
    </row>
    <row r="389" spans="1:14">
      <c r="A389" s="3" t="s">
        <v>1566</v>
      </c>
      <c r="B389">
        <f>IFERROR(VLOOKUP(A389,管理亚马逊库存!A:K,11,0),"")</f>
        <v>5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5</v>
      </c>
      <c r="N389">
        <f t="shared" si="14"/>
        <v>5</v>
      </c>
    </row>
    <row r="390" spans="1:14">
      <c r="A390" s="3" t="s">
        <v>1570</v>
      </c>
      <c r="B390">
        <f>IFERROR(VLOOKUP(A390,管理亚马逊库存!A:K,11,0),"")</f>
        <v>4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4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4</v>
      </c>
    </row>
    <row r="391" spans="1:14">
      <c r="A391" s="3" t="s">
        <v>1574</v>
      </c>
      <c r="B391">
        <f>IFERROR(VLOOKUP(A391,管理亚马逊库存!A:K,11,0),"")</f>
        <v>3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1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1</v>
      </c>
    </row>
    <row r="392" spans="1:14">
      <c r="A392" s="3" t="s">
        <v>1578</v>
      </c>
      <c r="B392">
        <f>IFERROR(VLOOKUP(A392,管理亚马逊库存!A:K,11,0),"")</f>
        <v>10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2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2</v>
      </c>
    </row>
    <row r="393" spans="1:14">
      <c r="A393" s="3" t="s">
        <v>1582</v>
      </c>
      <c r="B393">
        <f>IFERROR(VLOOKUP(A393,管理亚马逊库存!A:K,11,0),"")</f>
        <v>6</v>
      </c>
      <c r="C393">
        <f>IFERROR(VLOOKUP(A393,管理亚马逊库存!A:L,12,0),"")</f>
        <v>2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6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6</v>
      </c>
    </row>
    <row r="394" spans="1:14">
      <c r="A394" s="3" t="s">
        <v>1586</v>
      </c>
      <c r="B394">
        <f>IFERROR(VLOOKUP(A394,管理亚马逊库存!A:K,11,0),"")</f>
        <v>3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4</v>
      </c>
      <c r="M394">
        <f>IFERROR(VLOOKUP(A394,库龄!B:N,12,0),0)</f>
        <v>0</v>
      </c>
      <c r="N394">
        <f t="shared" si="14"/>
        <v>4</v>
      </c>
    </row>
    <row r="395" spans="1:14">
      <c r="A395" s="3" t="s">
        <v>1590</v>
      </c>
      <c r="B395">
        <f>IFERROR(VLOOKUP(A395,管理亚马逊库存!A:K,11,0),"")</f>
        <v>1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1593</v>
      </c>
      <c r="B396">
        <f>IFERROR(VLOOKUP(A396,管理亚马逊库存!A:K,11,0),"")</f>
        <v>13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1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10</v>
      </c>
      <c r="N396">
        <f t="shared" si="14"/>
        <v>11</v>
      </c>
    </row>
    <row r="397" spans="1:14">
      <c r="A397" s="3" t="s">
        <v>1596</v>
      </c>
      <c r="B397">
        <f>IFERROR(VLOOKUP(A397,管理亚马逊库存!A:K,11,0),"")</f>
        <v>8</v>
      </c>
      <c r="C397">
        <f>IFERROR(VLOOKUP(A397,管理亚马逊库存!A:L,12,0),"")</f>
        <v>1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3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3</v>
      </c>
    </row>
    <row r="398" spans="1:14">
      <c r="A398" s="3" t="s">
        <v>1599</v>
      </c>
      <c r="B398">
        <f>IFERROR(VLOOKUP(A398,管理亚马逊库存!A:K,11,0),"")</f>
        <v>14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6</v>
      </c>
      <c r="L398">
        <f>IFERROR(VLOOKUP(A398,库龄!B:M,11,0),0)</f>
        <v>7</v>
      </c>
      <c r="M398">
        <f>IFERROR(VLOOKUP(A398,库龄!B:N,12,0),0)</f>
        <v>0</v>
      </c>
      <c r="N398">
        <f t="shared" si="14"/>
        <v>13</v>
      </c>
    </row>
    <row r="399" spans="1:14">
      <c r="A399" s="3" t="s">
        <v>1603</v>
      </c>
      <c r="B399">
        <f>IFERROR(VLOOKUP(A399,管理亚马逊库存!A:K,11,0),"")</f>
        <v>4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4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4</v>
      </c>
    </row>
    <row r="400" spans="1:14">
      <c r="A400" s="3" t="s">
        <v>1607</v>
      </c>
      <c r="B400">
        <f>IFERROR(VLOOKUP(A400,管理亚马逊库存!A:K,11,0),"")</f>
        <v>4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4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4</v>
      </c>
    </row>
    <row r="401" spans="1:14">
      <c r="A401" s="3" t="s">
        <v>1610</v>
      </c>
      <c r="B401">
        <f>IFERROR(VLOOKUP(A401,管理亚马逊库存!A:K,11,0),"")</f>
        <v>1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1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1</v>
      </c>
    </row>
    <row r="402" spans="1:14">
      <c r="A402" s="3" t="s">
        <v>1614</v>
      </c>
      <c r="B402">
        <f>IFERROR(VLOOKUP(A402,管理亚马逊库存!A:K,11,0),"")</f>
        <v>2</v>
      </c>
      <c r="C402">
        <f>IFERROR(VLOOKUP(A402,管理亚马逊库存!A:L,12,0),"")</f>
        <v>2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1618</v>
      </c>
      <c r="B403">
        <f>IFERROR(VLOOKUP(A403,管理亚马逊库存!A:K,11,0),"")</f>
        <v>1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1</v>
      </c>
      <c r="K403">
        <f>IFERROR(VLOOKUP(A403,库龄!B:L,10,0),0)</f>
        <v>1</v>
      </c>
      <c r="L403">
        <f>IFERROR(VLOOKUP(A403,库龄!B:M,11,0),0)</f>
        <v>0</v>
      </c>
      <c r="M403">
        <f>IFERROR(VLOOKUP(A403,库龄!B:N,12,0),0)</f>
        <v>1</v>
      </c>
      <c r="N403">
        <f t="shared" si="14"/>
        <v>3</v>
      </c>
    </row>
    <row r="404" spans="1:14">
      <c r="A404" s="3" t="s">
        <v>1623</v>
      </c>
      <c r="B404">
        <f>IFERROR(VLOOKUP(A404,管理亚马逊库存!A:K,11,0),"")</f>
        <v>1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1</v>
      </c>
      <c r="M404">
        <f>IFERROR(VLOOKUP(A404,库龄!B:N,12,0),0)</f>
        <v>0</v>
      </c>
      <c r="N404">
        <f t="shared" si="14"/>
        <v>1</v>
      </c>
    </row>
    <row r="405" spans="1:14">
      <c r="A405" s="3" t="s">
        <v>1627</v>
      </c>
      <c r="B405">
        <f>IFERROR(VLOOKUP(A405,管理亚马逊库存!A:K,11,0),"")</f>
        <v>1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1</v>
      </c>
      <c r="N405">
        <f t="shared" si="14"/>
        <v>1</v>
      </c>
    </row>
    <row r="406" spans="1:14">
      <c r="A406" s="3" t="s">
        <v>1630</v>
      </c>
      <c r="B406">
        <f>IFERROR(VLOOKUP(A406,管理亚马逊库存!A:K,11,0),"")</f>
        <v>7</v>
      </c>
      <c r="C406">
        <f>IFERROR(VLOOKUP(A406,管理亚马逊库存!A:L,12,0),"")</f>
        <v>1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1635</v>
      </c>
      <c r="B407">
        <f>IFERROR(VLOOKUP(A407,管理亚马逊库存!A:K,11,0),"")</f>
        <v>2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2</v>
      </c>
      <c r="M407">
        <f>IFERROR(VLOOKUP(A407,库龄!B:N,12,0),0)</f>
        <v>0</v>
      </c>
      <c r="N407">
        <f t="shared" si="14"/>
        <v>2</v>
      </c>
    </row>
    <row r="408" spans="1:14">
      <c r="A408" s="3" t="s">
        <v>1638</v>
      </c>
      <c r="B408">
        <f>IFERROR(VLOOKUP(A408,管理亚马逊库存!A:K,11,0),"")</f>
        <v>1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1641</v>
      </c>
      <c r="B409">
        <f>IFERROR(VLOOKUP(A409,管理亚马逊库存!A:K,11,0),"")</f>
        <v>6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6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6</v>
      </c>
    </row>
    <row r="410" spans="1:14">
      <c r="A410" s="3" t="s">
        <v>1645</v>
      </c>
      <c r="B410">
        <f>IFERROR(VLOOKUP(A410,管理亚马逊库存!A:K,11,0),"")</f>
        <v>2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2</v>
      </c>
      <c r="N410">
        <f t="shared" si="14"/>
        <v>2</v>
      </c>
    </row>
    <row r="411" spans="1:14">
      <c r="A411" s="3" t="s">
        <v>1648</v>
      </c>
      <c r="B411">
        <f>IFERROR(VLOOKUP(A411,管理亚马逊库存!A:K,11,0),"")</f>
        <v>2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2</v>
      </c>
      <c r="N411">
        <f t="shared" si="14"/>
        <v>2</v>
      </c>
    </row>
    <row r="412" spans="1:14">
      <c r="A412" s="3" t="s">
        <v>1651</v>
      </c>
      <c r="B412">
        <f>IFERROR(VLOOKUP(A412,管理亚马逊库存!A:K,11,0),"")</f>
        <v>0</v>
      </c>
      <c r="C412">
        <f>IFERROR(VLOOKUP(A412,管理亚马逊库存!A:L,12,0),"")</f>
        <v>2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1654</v>
      </c>
      <c r="B413">
        <f>IFERROR(VLOOKUP(A413,管理亚马逊库存!A:K,11,0),"")</f>
        <v>1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1</v>
      </c>
      <c r="M413">
        <f>IFERROR(VLOOKUP(A413,库龄!B:N,12,0),0)</f>
        <v>0</v>
      </c>
      <c r="N413">
        <f t="shared" si="14"/>
        <v>1</v>
      </c>
    </row>
    <row r="414" spans="1:14">
      <c r="A414" s="3" t="s">
        <v>1658</v>
      </c>
      <c r="B414">
        <f>IFERROR(VLOOKUP(A414,管理亚马逊库存!A:K,11,0),"")</f>
        <v>10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10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10</v>
      </c>
    </row>
    <row r="415" spans="1:14">
      <c r="A415" s="3" t="s">
        <v>1662</v>
      </c>
      <c r="B415">
        <f>IFERROR(VLOOKUP(A415,管理亚马逊库存!A:K,11,0),"")</f>
        <v>5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5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5</v>
      </c>
    </row>
    <row r="416" spans="1:14">
      <c r="A416" s="3" t="s">
        <v>1666</v>
      </c>
      <c r="B416">
        <f>IFERROR(VLOOKUP(A416,管理亚马逊库存!A:K,11,0),"")</f>
        <v>1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1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1</v>
      </c>
    </row>
    <row r="417" spans="1:14">
      <c r="A417" s="3" t="s">
        <v>1670</v>
      </c>
      <c r="B417">
        <f>IFERROR(VLOOKUP(A417,管理亚马逊库存!A:K,11,0),"")</f>
        <v>8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8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8</v>
      </c>
    </row>
    <row r="418" spans="1:14">
      <c r="A418" s="3" t="s">
        <v>1675</v>
      </c>
      <c r="B418">
        <f>IFERROR(VLOOKUP(A418,管理亚马逊库存!A:K,11,0),"")</f>
        <v>5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1679</v>
      </c>
      <c r="B419">
        <f>IFERROR(VLOOKUP(A419,管理亚马逊库存!A:K,11,0),"")</f>
        <v>3</v>
      </c>
      <c r="C419">
        <f>IFERROR(VLOOKUP(A419,管理亚马逊库存!A:L,12,0),"")</f>
        <v>1</v>
      </c>
      <c r="D419">
        <f>IFERROR(VLOOKUP(A419,管理亚马逊库存!A:Q,17,0),"")</f>
        <v>6</v>
      </c>
      <c r="E419">
        <f>IFERROR(VLOOKUP(A419,管理亚马逊库存!A:R,18,0),"")</f>
        <v>0</v>
      </c>
      <c r="F419">
        <f t="shared" si="13"/>
        <v>6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1682</v>
      </c>
      <c r="B420">
        <f>IFERROR(VLOOKUP(A420,管理亚马逊库存!A:K,11,0),"")</f>
        <v>1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1686</v>
      </c>
      <c r="B421">
        <f>IFERROR(VLOOKUP(A421,管理亚马逊库存!A:K,11,0),"")</f>
        <v>2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1</v>
      </c>
      <c r="K421">
        <f>IFERROR(VLOOKUP(A421,库龄!B:L,10,0),0)</f>
        <v>0</v>
      </c>
      <c r="L421">
        <f>IFERROR(VLOOKUP(A421,库龄!B:M,11,0),0)</f>
        <v>1</v>
      </c>
      <c r="M421">
        <f>IFERROR(VLOOKUP(A421,库龄!B:N,12,0),0)</f>
        <v>0</v>
      </c>
      <c r="N421">
        <f t="shared" si="14"/>
        <v>2</v>
      </c>
    </row>
    <row r="422" spans="1:14">
      <c r="A422" s="3" t="s">
        <v>1689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1692</v>
      </c>
      <c r="B423">
        <f>IFERROR(VLOOKUP(A423,管理亚马逊库存!A:K,11,0),"")</f>
        <v>1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1</v>
      </c>
      <c r="M423">
        <f>IFERROR(VLOOKUP(A423,库龄!B:N,12,0),0)</f>
        <v>0</v>
      </c>
      <c r="N423">
        <f t="shared" si="14"/>
        <v>1</v>
      </c>
    </row>
    <row r="424" spans="1:14">
      <c r="A424" s="3" t="s">
        <v>1696</v>
      </c>
      <c r="B424">
        <f>IFERROR(VLOOKUP(A424,管理亚马逊库存!A:K,11,0),"")</f>
        <v>1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1700</v>
      </c>
      <c r="B425">
        <f>IFERROR(VLOOKUP(A425,管理亚马逊库存!A:K,11,0),"")</f>
        <v>8</v>
      </c>
      <c r="C425">
        <f>IFERROR(VLOOKUP(A425,管理亚马逊库存!A:L,12,0),"")</f>
        <v>1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3</v>
      </c>
      <c r="K425">
        <f>IFERROR(VLOOKUP(A425,库龄!B:L,10,0),0)</f>
        <v>0</v>
      </c>
      <c r="L425">
        <f>IFERROR(VLOOKUP(A425,库龄!B:M,11,0),0)</f>
        <v>3</v>
      </c>
      <c r="M425">
        <f>IFERROR(VLOOKUP(A425,库龄!B:N,12,0),0)</f>
        <v>0</v>
      </c>
      <c r="N425">
        <f t="shared" si="14"/>
        <v>6</v>
      </c>
    </row>
    <row r="426" spans="1:14">
      <c r="A426" s="3" t="s">
        <v>1703</v>
      </c>
      <c r="B426">
        <f>IFERROR(VLOOKUP(A426,管理亚马逊库存!A:K,11,0),"")</f>
        <v>1</v>
      </c>
      <c r="C426">
        <f>IFERROR(VLOOKUP(A426,管理亚马逊库存!A:L,12,0),"")</f>
        <v>1</v>
      </c>
      <c r="D426">
        <f>IFERROR(VLOOKUP(A426,管理亚马逊库存!A:Q,17,0),"")</f>
        <v>10</v>
      </c>
      <c r="E426">
        <f>IFERROR(VLOOKUP(A426,管理亚马逊库存!A:R,18,0),"")</f>
        <v>0</v>
      </c>
      <c r="F426">
        <f t="shared" si="13"/>
        <v>10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1706</v>
      </c>
      <c r="B427">
        <f>IFERROR(VLOOKUP(A427,管理亚马逊库存!A:K,11,0),"")</f>
        <v>2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2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2</v>
      </c>
    </row>
    <row r="428" spans="1:14">
      <c r="A428" s="3" t="s">
        <v>1710</v>
      </c>
      <c r="B428">
        <f>IFERROR(VLOOKUP(A428,管理亚马逊库存!A:K,11,0),"")</f>
        <v>3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3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3</v>
      </c>
    </row>
    <row r="429" spans="1:14">
      <c r="A429" s="3" t="s">
        <v>1713</v>
      </c>
      <c r="B429">
        <f>IFERROR(VLOOKUP(A429,管理亚马逊库存!A:K,11,0),"")</f>
        <v>3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1</v>
      </c>
      <c r="K429">
        <f>IFERROR(VLOOKUP(A429,库龄!B:L,10,0),0)</f>
        <v>0</v>
      </c>
      <c r="L429">
        <f>IFERROR(VLOOKUP(A429,库龄!B:M,11,0),0)</f>
        <v>2</v>
      </c>
      <c r="M429">
        <f>IFERROR(VLOOKUP(A429,库龄!B:N,12,0),0)</f>
        <v>0</v>
      </c>
      <c r="N429">
        <f t="shared" si="14"/>
        <v>3</v>
      </c>
    </row>
    <row r="430" spans="1:14">
      <c r="A430" s="3" t="s">
        <v>1716</v>
      </c>
      <c r="B430">
        <f>IFERROR(VLOOKUP(A430,管理亚马逊库存!A:K,11,0),"")</f>
        <v>1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1721</v>
      </c>
      <c r="B431">
        <f>IFERROR(VLOOKUP(A431,管理亚马逊库存!A:K,11,0),"")</f>
        <v>3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1</v>
      </c>
      <c r="K431">
        <f>IFERROR(VLOOKUP(A431,库龄!B:L,10,0),0)</f>
        <v>0</v>
      </c>
      <c r="L431">
        <f>IFERROR(VLOOKUP(A431,库龄!B:M,11,0),0)</f>
        <v>2</v>
      </c>
      <c r="M431">
        <f>IFERROR(VLOOKUP(A431,库龄!B:N,12,0),0)</f>
        <v>0</v>
      </c>
      <c r="N431">
        <f t="shared" si="14"/>
        <v>3</v>
      </c>
    </row>
    <row r="432" spans="1:14">
      <c r="A432" s="3" t="s">
        <v>1724</v>
      </c>
      <c r="B432">
        <f>IFERROR(VLOOKUP(A432,管理亚马逊库存!A:K,11,0),"")</f>
        <v>2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1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1</v>
      </c>
    </row>
    <row r="433" spans="1:14">
      <c r="A433" s="3" t="s">
        <v>1729</v>
      </c>
      <c r="B433">
        <f>IFERROR(VLOOKUP(A433,管理亚马逊库存!A:K,11,0),"")</f>
        <v>7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1732</v>
      </c>
      <c r="B434">
        <f>IFERROR(VLOOKUP(A434,管理亚马逊库存!A:K,11,0),"")</f>
        <v>2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1</v>
      </c>
      <c r="M434">
        <f>IFERROR(VLOOKUP(A434,库龄!B:N,12,0),0)</f>
        <v>0</v>
      </c>
      <c r="N434">
        <f t="shared" si="14"/>
        <v>1</v>
      </c>
    </row>
    <row r="435" spans="1:14">
      <c r="A435" s="3" t="s">
        <v>1735</v>
      </c>
      <c r="B435">
        <f>IFERROR(VLOOKUP(A435,管理亚马逊库存!A:K,11,0),"")</f>
        <v>10</v>
      </c>
      <c r="C435">
        <f>IFERROR(VLOOKUP(A435,管理亚马逊库存!A:L,12,0),"")</f>
        <v>1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3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7</v>
      </c>
      <c r="N435">
        <f t="shared" si="14"/>
        <v>10</v>
      </c>
    </row>
    <row r="436" spans="1:14">
      <c r="A436" s="3" t="s">
        <v>1738</v>
      </c>
      <c r="B436">
        <f>IFERROR(VLOOKUP(A436,管理亚马逊库存!A:K,11,0),"")</f>
        <v>2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2</v>
      </c>
      <c r="M436">
        <f>IFERROR(VLOOKUP(A436,库龄!B:N,12,0),0)</f>
        <v>0</v>
      </c>
      <c r="N436">
        <f t="shared" si="14"/>
        <v>2</v>
      </c>
    </row>
    <row r="437" spans="1:14">
      <c r="A437" s="3" t="s">
        <v>1741</v>
      </c>
      <c r="B437">
        <f>IFERROR(VLOOKUP(A437,管理亚马逊库存!A:K,11,0),"")</f>
        <v>2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2</v>
      </c>
      <c r="N437">
        <f t="shared" si="14"/>
        <v>2</v>
      </c>
    </row>
    <row r="438" spans="1:14">
      <c r="A438" s="3" t="s">
        <v>1744</v>
      </c>
      <c r="B438">
        <f>IFERROR(VLOOKUP(A438,管理亚马逊库存!A:K,11,0),"")</f>
        <v>2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2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2</v>
      </c>
    </row>
    <row r="439" spans="1:14">
      <c r="A439" s="3" t="s">
        <v>1748</v>
      </c>
      <c r="B439">
        <f>IFERROR(VLOOKUP(A439,管理亚马逊库存!A:K,11,0),"")</f>
        <v>1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1</v>
      </c>
      <c r="M439">
        <f>IFERROR(VLOOKUP(A439,库龄!B:N,12,0),0)</f>
        <v>0</v>
      </c>
      <c r="N439">
        <f t="shared" si="14"/>
        <v>1</v>
      </c>
    </row>
    <row r="440" spans="1:14">
      <c r="A440" s="3" t="s">
        <v>1752</v>
      </c>
      <c r="B440">
        <f>IFERROR(VLOOKUP(A440,管理亚马逊库存!A:K,11,0),"")</f>
        <v>1</v>
      </c>
      <c r="C440">
        <f>IFERROR(VLOOKUP(A440,管理亚马逊库存!A:L,12,0),"")</f>
        <v>2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1755</v>
      </c>
      <c r="B441">
        <f>IFERROR(VLOOKUP(A441,管理亚马逊库存!A:K,11,0),"")</f>
        <v>2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1</v>
      </c>
      <c r="M441">
        <f>IFERROR(VLOOKUP(A441,库龄!B:N,12,0),0)</f>
        <v>1</v>
      </c>
      <c r="N441">
        <f t="shared" si="14"/>
        <v>2</v>
      </c>
    </row>
    <row r="442" spans="1:14">
      <c r="A442" s="3" t="s">
        <v>1759</v>
      </c>
      <c r="B442">
        <f>IFERROR(VLOOKUP(A442,管理亚马逊库存!A:K,11,0),"")</f>
        <v>1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1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1</v>
      </c>
    </row>
    <row r="443" spans="1:14">
      <c r="A443" s="3" t="s">
        <v>1763</v>
      </c>
      <c r="B443">
        <f>IFERROR(VLOOKUP(A443,管理亚马逊库存!A:K,11,0),"")</f>
        <v>3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3</v>
      </c>
      <c r="N443">
        <f t="shared" si="14"/>
        <v>3</v>
      </c>
    </row>
    <row r="444" spans="1:14">
      <c r="A444" s="3" t="s">
        <v>1766</v>
      </c>
      <c r="B444">
        <f>IFERROR(VLOOKUP(A444,管理亚马逊库存!A:K,11,0),"")</f>
        <v>1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1</v>
      </c>
      <c r="M444">
        <f>IFERROR(VLOOKUP(A444,库龄!B:N,12,0),0)</f>
        <v>0</v>
      </c>
      <c r="N444">
        <f t="shared" si="14"/>
        <v>1</v>
      </c>
    </row>
    <row r="445" spans="1:14">
      <c r="A445" s="3" t="s">
        <v>1770</v>
      </c>
      <c r="B445">
        <f>IFERROR(VLOOKUP(A445,管理亚马逊库存!A:K,11,0),"")</f>
        <v>6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1</v>
      </c>
      <c r="K445">
        <f>IFERROR(VLOOKUP(A445,库龄!B:L,10,0),0)</f>
        <v>5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6</v>
      </c>
    </row>
    <row r="446" spans="1:14">
      <c r="A446" s="3" t="s">
        <v>1773</v>
      </c>
      <c r="B446">
        <f>IFERROR(VLOOKUP(A446,管理亚马逊库存!A:K,11,0),"")</f>
        <v>5</v>
      </c>
      <c r="C446">
        <f>IFERROR(VLOOKUP(A446,管理亚马逊库存!A:L,12,0),"")</f>
        <v>4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1776</v>
      </c>
      <c r="B447">
        <f>IFERROR(VLOOKUP(A447,管理亚马逊库存!A:K,11,0),"")</f>
        <v>4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1</v>
      </c>
      <c r="L447">
        <f>IFERROR(VLOOKUP(A447,库龄!B:M,11,0),0)</f>
        <v>3</v>
      </c>
      <c r="M447">
        <f>IFERROR(VLOOKUP(A447,库龄!B:N,12,0),0)</f>
        <v>0</v>
      </c>
      <c r="N447">
        <f t="shared" si="14"/>
        <v>4</v>
      </c>
    </row>
    <row r="448" spans="1:14">
      <c r="A448" s="3" t="s">
        <v>1780</v>
      </c>
      <c r="B448">
        <f>IFERROR(VLOOKUP(A448,管理亚马逊库存!A:K,11,0),"")</f>
        <v>48</v>
      </c>
      <c r="C448">
        <f>IFERROR(VLOOKUP(A448,管理亚马逊库存!A:L,12,0),"")</f>
        <v>2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1783</v>
      </c>
      <c r="B449">
        <f>IFERROR(VLOOKUP(A449,管理亚马逊库存!A:K,11,0),"")</f>
        <v>6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5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5</v>
      </c>
    </row>
    <row r="450" spans="1:14">
      <c r="A450" s="3" t="s">
        <v>1788</v>
      </c>
      <c r="B450">
        <f>IFERROR(VLOOKUP(A450,管理亚马逊库存!A:K,11,0),"")</f>
        <v>2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2</v>
      </c>
      <c r="M450">
        <f>IFERROR(VLOOKUP(A450,库龄!B:N,12,0),0)</f>
        <v>0</v>
      </c>
      <c r="N450">
        <f t="shared" si="14"/>
        <v>2</v>
      </c>
    </row>
    <row r="451" spans="1:14">
      <c r="A451" s="3" t="s">
        <v>1791</v>
      </c>
      <c r="B451">
        <f>IFERROR(VLOOKUP(A451,管理亚马逊库存!A:K,11,0),"")</f>
        <v>1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1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1</v>
      </c>
    </row>
    <row r="452" spans="1:14">
      <c r="A452" s="3" t="s">
        <v>1795</v>
      </c>
      <c r="B452">
        <f>IFERROR(VLOOKUP(A452,管理亚马逊库存!A:K,11,0),"")</f>
        <v>5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2</v>
      </c>
      <c r="M452">
        <f>IFERROR(VLOOKUP(A452,库龄!B:N,12,0),0)</f>
        <v>3</v>
      </c>
      <c r="N452">
        <f t="shared" si="16"/>
        <v>5</v>
      </c>
    </row>
    <row r="453" spans="1:14">
      <c r="A453" s="3" t="s">
        <v>1799</v>
      </c>
      <c r="B453">
        <f>IFERROR(VLOOKUP(A453,管理亚马逊库存!A:K,11,0),"")</f>
        <v>3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1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2</v>
      </c>
      <c r="N453">
        <f t="shared" si="16"/>
        <v>3</v>
      </c>
    </row>
    <row r="454" spans="1:14">
      <c r="A454" s="3" t="s">
        <v>1802</v>
      </c>
      <c r="B454">
        <f>IFERROR(VLOOKUP(A454,管理亚马逊库存!A:K,11,0),"")</f>
        <v>9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9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9</v>
      </c>
    </row>
    <row r="455" spans="1:14">
      <c r="A455" s="3" t="s">
        <v>1807</v>
      </c>
      <c r="B455">
        <f>IFERROR(VLOOKUP(A455,管理亚马逊库存!A:K,11,0),"")</f>
        <v>1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1811</v>
      </c>
      <c r="B456">
        <f>IFERROR(VLOOKUP(A456,管理亚马逊库存!A:K,11,0),"")</f>
        <v>1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1</v>
      </c>
      <c r="N456">
        <f t="shared" si="16"/>
        <v>1</v>
      </c>
    </row>
    <row r="457" spans="1:14">
      <c r="A457" s="3" t="s">
        <v>1815</v>
      </c>
      <c r="B457">
        <f>IFERROR(VLOOKUP(A457,管理亚马逊库存!A:K,11,0),"")</f>
        <v>3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3</v>
      </c>
      <c r="M457">
        <f>IFERROR(VLOOKUP(A457,库龄!B:N,12,0),0)</f>
        <v>0</v>
      </c>
      <c r="N457">
        <f t="shared" si="16"/>
        <v>3</v>
      </c>
    </row>
    <row r="458" spans="1:14">
      <c r="A458" s="3" t="s">
        <v>1819</v>
      </c>
      <c r="B458">
        <f>IFERROR(VLOOKUP(A458,管理亚马逊库存!A:K,11,0),"")</f>
        <v>4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4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4</v>
      </c>
    </row>
    <row r="459" spans="1:14">
      <c r="A459" s="3" t="s">
        <v>1824</v>
      </c>
      <c r="B459">
        <f>IFERROR(VLOOKUP(A459,管理亚马逊库存!A:K,11,0),"")</f>
        <v>43</v>
      </c>
      <c r="C459">
        <f>IFERROR(VLOOKUP(A459,管理亚马逊库存!A:L,12,0),"")</f>
        <v>3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6</v>
      </c>
      <c r="K459">
        <f>IFERROR(VLOOKUP(A459,库龄!B:L,10,0),0)</f>
        <v>2</v>
      </c>
      <c r="L459">
        <f>IFERROR(VLOOKUP(A459,库龄!B:M,11,0),0)</f>
        <v>28</v>
      </c>
      <c r="M459">
        <f>IFERROR(VLOOKUP(A459,库龄!B:N,12,0),0)</f>
        <v>0</v>
      </c>
      <c r="N459">
        <f t="shared" si="16"/>
        <v>36</v>
      </c>
    </row>
    <row r="460" spans="1:14">
      <c r="A460" s="3" t="s">
        <v>1829</v>
      </c>
      <c r="B460">
        <f>IFERROR(VLOOKUP(A460,管理亚马逊库存!A:K,11,0),"")</f>
        <v>8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4</v>
      </c>
      <c r="K460">
        <f>IFERROR(VLOOKUP(A460,库龄!B:L,10,0),0)</f>
        <v>4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8</v>
      </c>
    </row>
    <row r="461" spans="1:14">
      <c r="A461" s="3" t="s">
        <v>1832</v>
      </c>
      <c r="B461">
        <f>IFERROR(VLOOKUP(A461,管理亚马逊库存!A:K,11,0),"")</f>
        <v>1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1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1</v>
      </c>
    </row>
    <row r="462" spans="1:14">
      <c r="A462" s="3" t="s">
        <v>1836</v>
      </c>
      <c r="B462">
        <f>IFERROR(VLOOKUP(A462,管理亚马逊库存!A:K,11,0),"")</f>
        <v>13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11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11</v>
      </c>
    </row>
    <row r="463" spans="1:14">
      <c r="A463" s="3" t="s">
        <v>1841</v>
      </c>
      <c r="B463">
        <f>IFERROR(VLOOKUP(A463,管理亚马逊库存!A:K,11,0),"")</f>
        <v>1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1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1</v>
      </c>
    </row>
    <row r="464" spans="1:14">
      <c r="A464" s="3" t="s">
        <v>1844</v>
      </c>
      <c r="B464">
        <f>IFERROR(VLOOKUP(A464,管理亚马逊库存!A:K,11,0),"")</f>
        <v>3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1847</v>
      </c>
      <c r="B465">
        <f>IFERROR(VLOOKUP(A465,管理亚马逊库存!A:K,11,0),"")</f>
        <v>5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5</v>
      </c>
      <c r="N465">
        <f t="shared" si="16"/>
        <v>5</v>
      </c>
    </row>
    <row r="466" spans="1:14">
      <c r="A466" s="3" t="s">
        <v>1851</v>
      </c>
      <c r="B466">
        <f>IFERROR(VLOOKUP(A466,管理亚马逊库存!A:K,11,0),"")</f>
        <v>2</v>
      </c>
      <c r="C466">
        <f>IFERROR(VLOOKUP(A466,管理亚马逊库存!A:L,12,0),"")</f>
        <v>1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2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2</v>
      </c>
    </row>
    <row r="467" spans="1:14">
      <c r="A467" s="3" t="s">
        <v>1855</v>
      </c>
      <c r="B467">
        <f>IFERROR(VLOOKUP(A467,管理亚马逊库存!A:K,11,0),"")</f>
        <v>4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4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4</v>
      </c>
    </row>
    <row r="468" spans="1:14">
      <c r="A468" s="3" t="s">
        <v>1859</v>
      </c>
      <c r="B468">
        <f>IFERROR(VLOOKUP(A468,管理亚马逊库存!A:K,11,0),"")</f>
        <v>2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1</v>
      </c>
      <c r="K468">
        <f>IFERROR(VLOOKUP(A468,库龄!B:L,10,0),0)</f>
        <v>0</v>
      </c>
      <c r="L468">
        <f>IFERROR(VLOOKUP(A468,库龄!B:M,11,0),0)</f>
        <v>1</v>
      </c>
      <c r="M468">
        <f>IFERROR(VLOOKUP(A468,库龄!B:N,12,0),0)</f>
        <v>0</v>
      </c>
      <c r="N468">
        <f t="shared" si="16"/>
        <v>2</v>
      </c>
    </row>
    <row r="469" spans="1:14">
      <c r="A469" s="3" t="s">
        <v>1862</v>
      </c>
      <c r="B469">
        <f>IFERROR(VLOOKUP(A469,管理亚马逊库存!A:K,11,0),"")</f>
        <v>1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1866</v>
      </c>
      <c r="B470">
        <f>IFERROR(VLOOKUP(A470,管理亚马逊库存!A:K,11,0),"")</f>
        <v>2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2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2</v>
      </c>
    </row>
    <row r="471" spans="1:14">
      <c r="A471" s="3" t="s">
        <v>1869</v>
      </c>
      <c r="B471">
        <f>IFERROR(VLOOKUP(A471,管理亚马逊库存!A:K,11,0),"")</f>
        <v>15</v>
      </c>
      <c r="C471">
        <f>IFERROR(VLOOKUP(A471,管理亚马逊库存!A:L,12,0),"")</f>
        <v>1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1</v>
      </c>
      <c r="K471">
        <f>IFERROR(VLOOKUP(A471,库龄!B:L,10,0),0)</f>
        <v>0</v>
      </c>
      <c r="L471">
        <f>IFERROR(VLOOKUP(A471,库龄!B:M,11,0),0)</f>
        <v>13</v>
      </c>
      <c r="M471">
        <f>IFERROR(VLOOKUP(A471,库龄!B:N,12,0),0)</f>
        <v>0</v>
      </c>
      <c r="N471">
        <f t="shared" si="16"/>
        <v>14</v>
      </c>
    </row>
    <row r="472" spans="1:14">
      <c r="A472" s="3" t="s">
        <v>1872</v>
      </c>
      <c r="B472">
        <f>IFERROR(VLOOKUP(A472,管理亚马逊库存!A:K,11,0),"")</f>
        <v>5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1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1</v>
      </c>
    </row>
    <row r="473" spans="1:14">
      <c r="A473" s="3" t="s">
        <v>1877</v>
      </c>
      <c r="B473">
        <f>IFERROR(VLOOKUP(A473,管理亚马逊库存!A:K,11,0),"")</f>
        <v>2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2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2</v>
      </c>
    </row>
    <row r="474" spans="1:14">
      <c r="A474" s="3" t="s">
        <v>1880</v>
      </c>
      <c r="B474">
        <f>IFERROR(VLOOKUP(A474,管理亚马逊库存!A:K,11,0),"")</f>
        <v>2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2</v>
      </c>
      <c r="M474">
        <f>IFERROR(VLOOKUP(A474,库龄!B:N,12,0),0)</f>
        <v>0</v>
      </c>
      <c r="N474">
        <f t="shared" si="16"/>
        <v>2</v>
      </c>
    </row>
    <row r="475" spans="1:14">
      <c r="A475" s="3" t="s">
        <v>1883</v>
      </c>
      <c r="B475">
        <f>IFERROR(VLOOKUP(A475,管理亚马逊库存!A:K,11,0),"")</f>
        <v>3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1</v>
      </c>
      <c r="K475">
        <f>IFERROR(VLOOKUP(A475,库龄!B:L,10,0),0)</f>
        <v>1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2</v>
      </c>
    </row>
    <row r="476" spans="1:14">
      <c r="A476" s="3" t="s">
        <v>1886</v>
      </c>
      <c r="B476">
        <f>IFERROR(VLOOKUP(A476,管理亚马逊库存!A:K,11,0),"")</f>
        <v>2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2</v>
      </c>
      <c r="M476">
        <f>IFERROR(VLOOKUP(A476,库龄!B:N,12,0),0)</f>
        <v>0</v>
      </c>
      <c r="N476">
        <f t="shared" si="16"/>
        <v>2</v>
      </c>
    </row>
    <row r="477" spans="1:14">
      <c r="A477" s="3" t="s">
        <v>1891</v>
      </c>
      <c r="B477">
        <f>IFERROR(VLOOKUP(A477,管理亚马逊库存!A:K,11,0),"")</f>
        <v>0</v>
      </c>
      <c r="C477">
        <f>IFERROR(VLOOKUP(A477,管理亚马逊库存!A:L,12,0),"")</f>
        <v>1</v>
      </c>
      <c r="D477">
        <f>IFERROR(VLOOKUP(A477,管理亚马逊库存!A:Q,17,0),"")</f>
        <v>15</v>
      </c>
      <c r="E477">
        <f>IFERROR(VLOOKUP(A477,管理亚马逊库存!A:R,18,0),"")</f>
        <v>0</v>
      </c>
      <c r="F477">
        <f t="shared" si="15"/>
        <v>15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1894</v>
      </c>
      <c r="B478">
        <f>IFERROR(VLOOKUP(A478,管理亚马逊库存!A:K,11,0),"")</f>
        <v>4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4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4</v>
      </c>
    </row>
    <row r="479" spans="1:14">
      <c r="A479" s="3" t="s">
        <v>1897</v>
      </c>
      <c r="B479">
        <f>IFERROR(VLOOKUP(A479,管理亚马逊库存!A:K,11,0),"")</f>
        <v>8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1</v>
      </c>
      <c r="K479">
        <f>IFERROR(VLOOKUP(A479,库龄!B:L,10,0),0)</f>
        <v>1</v>
      </c>
      <c r="L479">
        <f>IFERROR(VLOOKUP(A479,库龄!B:M,11,0),0)</f>
        <v>0</v>
      </c>
      <c r="M479">
        <f>IFERROR(VLOOKUP(A479,库龄!B:N,12,0),0)</f>
        <v>6</v>
      </c>
      <c r="N479">
        <f t="shared" si="16"/>
        <v>8</v>
      </c>
    </row>
    <row r="480" spans="1:14">
      <c r="A480" s="3" t="s">
        <v>1900</v>
      </c>
      <c r="B480">
        <f>IFERROR(VLOOKUP(A480,管理亚马逊库存!A:K,11,0),"")</f>
        <v>1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1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1</v>
      </c>
    </row>
    <row r="481" spans="1:14">
      <c r="A481" s="3" t="s">
        <v>1903</v>
      </c>
      <c r="B481">
        <f>IFERROR(VLOOKUP(A481,管理亚马逊库存!A:K,11,0),"")</f>
        <v>5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5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5</v>
      </c>
    </row>
    <row r="482" spans="1:14">
      <c r="A482" s="3" t="s">
        <v>1908</v>
      </c>
      <c r="B482">
        <f>IFERROR(VLOOKUP(A482,管理亚马逊库存!A:K,11,0),"")</f>
        <v>9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3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3</v>
      </c>
    </row>
    <row r="483" spans="1:14">
      <c r="A483" s="3" t="s">
        <v>1911</v>
      </c>
      <c r="B483">
        <f>IFERROR(VLOOKUP(A483,管理亚马逊库存!A:K,11,0),"")</f>
        <v>2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2</v>
      </c>
      <c r="M483">
        <f>IFERROR(VLOOKUP(A483,库龄!B:N,12,0),0)</f>
        <v>0</v>
      </c>
      <c r="N483">
        <f t="shared" si="16"/>
        <v>2</v>
      </c>
    </row>
    <row r="484" spans="1:14">
      <c r="A484" s="3" t="s">
        <v>1916</v>
      </c>
      <c r="B484">
        <f>IFERROR(VLOOKUP(A484,管理亚马逊库存!A:K,11,0),"")</f>
        <v>7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7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7</v>
      </c>
    </row>
    <row r="485" spans="1:14">
      <c r="A485" s="3" t="s">
        <v>1920</v>
      </c>
      <c r="B485">
        <f>IFERROR(VLOOKUP(A485,管理亚马逊库存!A:K,11,0),"")</f>
        <v>5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5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5</v>
      </c>
    </row>
    <row r="486" spans="1:14">
      <c r="A486" s="3" t="s">
        <v>1924</v>
      </c>
      <c r="B486">
        <f>IFERROR(VLOOKUP(A486,管理亚马逊库存!A:K,11,0),"")</f>
        <v>1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1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1</v>
      </c>
    </row>
    <row r="487" spans="1:14">
      <c r="A487" s="3" t="s">
        <v>1927</v>
      </c>
      <c r="B487">
        <f>IFERROR(VLOOKUP(A487,管理亚马逊库存!A:K,11,0),"")</f>
        <v>4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3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3</v>
      </c>
    </row>
    <row r="488" spans="1:14">
      <c r="A488" s="3" t="s">
        <v>1931</v>
      </c>
      <c r="B488">
        <f>IFERROR(VLOOKUP(A488,管理亚马逊库存!A:K,11,0),"")</f>
        <v>21</v>
      </c>
      <c r="C488">
        <f>IFERROR(VLOOKUP(A488,管理亚马逊库存!A:L,12,0),"")</f>
        <v>1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17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17</v>
      </c>
    </row>
    <row r="489" spans="1:14">
      <c r="A489" s="3" t="s">
        <v>1934</v>
      </c>
      <c r="B489">
        <f>IFERROR(VLOOKUP(A489,管理亚马逊库存!A:K,11,0),"")</f>
        <v>5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5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5</v>
      </c>
    </row>
    <row r="490" spans="1:14">
      <c r="A490" s="3" t="s">
        <v>1938</v>
      </c>
      <c r="B490">
        <f>IFERROR(VLOOKUP(A490,管理亚马逊库存!A:K,11,0),"")</f>
        <v>3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3</v>
      </c>
      <c r="M490">
        <f>IFERROR(VLOOKUP(A490,库龄!B:N,12,0),0)</f>
        <v>0</v>
      </c>
      <c r="N490">
        <f t="shared" si="16"/>
        <v>3</v>
      </c>
    </row>
    <row r="491" spans="1:14">
      <c r="A491" s="3" t="s">
        <v>1943</v>
      </c>
      <c r="B491">
        <f>IFERROR(VLOOKUP(A491,管理亚马逊库存!A:K,11,0),"")</f>
        <v>1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1946</v>
      </c>
      <c r="B492">
        <f>IFERROR(VLOOKUP(A492,管理亚马逊库存!A:K,11,0),"")</f>
        <v>1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1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1</v>
      </c>
    </row>
    <row r="493" spans="1:14">
      <c r="A493" s="3" t="s">
        <v>1949</v>
      </c>
      <c r="B493">
        <f>IFERROR(VLOOKUP(A493,管理亚马逊库存!A:K,11,0),"")</f>
        <v>1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1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1</v>
      </c>
    </row>
    <row r="494" spans="1:14">
      <c r="A494" s="3" t="s">
        <v>1952</v>
      </c>
      <c r="B494">
        <f>IFERROR(VLOOKUP(A494,管理亚马逊库存!A:K,11,0),"")</f>
        <v>8</v>
      </c>
      <c r="C494">
        <f>IFERROR(VLOOKUP(A494,管理亚马逊库存!A:L,12,0),"")</f>
        <v>2</v>
      </c>
      <c r="D494">
        <f>IFERROR(VLOOKUP(A494,管理亚马逊库存!A:Q,17,0),"")</f>
        <v>5</v>
      </c>
      <c r="E494">
        <f>IFERROR(VLOOKUP(A494,管理亚马逊库存!A:R,18,0),"")</f>
        <v>0</v>
      </c>
      <c r="F494">
        <f t="shared" si="15"/>
        <v>5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1955</v>
      </c>
      <c r="B495">
        <f>IFERROR(VLOOKUP(A495,管理亚马逊库存!A:K,11,0),"")</f>
        <v>11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1</v>
      </c>
      <c r="K495">
        <f>IFERROR(VLOOKUP(A495,库龄!B:L,10,0),0)</f>
        <v>2</v>
      </c>
      <c r="L495">
        <f>IFERROR(VLOOKUP(A495,库龄!B:M,11,0),0)</f>
        <v>8</v>
      </c>
      <c r="M495">
        <f>IFERROR(VLOOKUP(A495,库龄!B:N,12,0),0)</f>
        <v>0</v>
      </c>
      <c r="N495">
        <f t="shared" si="16"/>
        <v>11</v>
      </c>
    </row>
    <row r="496" spans="1:14">
      <c r="A496" s="3" t="s">
        <v>1958</v>
      </c>
      <c r="B496">
        <f>IFERROR(VLOOKUP(A496,管理亚马逊库存!A:K,11,0),"")</f>
        <v>1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1</v>
      </c>
      <c r="N496">
        <f t="shared" si="16"/>
        <v>1</v>
      </c>
    </row>
    <row r="497" spans="1:14">
      <c r="A497" s="3" t="s">
        <v>1961</v>
      </c>
      <c r="B497">
        <f>IFERROR(VLOOKUP(A497,管理亚马逊库存!A:K,11,0),"")</f>
        <v>1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1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1</v>
      </c>
    </row>
    <row r="498" spans="1:14">
      <c r="A498" s="3" t="s">
        <v>1965</v>
      </c>
      <c r="B498">
        <f>IFERROR(VLOOKUP(A498,管理亚马逊库存!A:K,11,0),"")</f>
        <v>7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5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5</v>
      </c>
    </row>
    <row r="499" spans="1:14">
      <c r="A499" s="3" t="s">
        <v>1969</v>
      </c>
      <c r="B499">
        <f>IFERROR(VLOOKUP(A499,管理亚马逊库存!A:K,11,0),"")</f>
        <v>10</v>
      </c>
      <c r="C499">
        <f>IFERROR(VLOOKUP(A499,管理亚马逊库存!A:L,12,0),"")</f>
        <v>1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10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10</v>
      </c>
    </row>
    <row r="500" spans="1:14">
      <c r="A500" s="3" t="s">
        <v>1973</v>
      </c>
      <c r="B500">
        <f>IFERROR(VLOOKUP(A500,管理亚马逊库存!A:K,11,0),"")</f>
        <v>2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2</v>
      </c>
      <c r="N500">
        <f t="shared" si="16"/>
        <v>2</v>
      </c>
    </row>
    <row r="501" spans="1:14">
      <c r="A501" s="3" t="s">
        <v>1976</v>
      </c>
      <c r="B501">
        <f>IFERROR(VLOOKUP(A501,管理亚马逊库存!A:K,11,0),"")</f>
        <v>2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1</v>
      </c>
      <c r="L501">
        <f>IFERROR(VLOOKUP(A501,库龄!B:M,11,0),0)</f>
        <v>0</v>
      </c>
      <c r="M501">
        <f>IFERROR(VLOOKUP(A501,库龄!B:N,12,0),0)</f>
        <v>1</v>
      </c>
      <c r="N501">
        <f t="shared" si="16"/>
        <v>2</v>
      </c>
    </row>
    <row r="502" spans="1:14">
      <c r="A502" s="3" t="s">
        <v>1981</v>
      </c>
      <c r="B502">
        <f>IFERROR(VLOOKUP(A502,管理亚马逊库存!A:K,11,0),"")</f>
        <v>2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1</v>
      </c>
      <c r="M502">
        <f>IFERROR(VLOOKUP(A502,库龄!B:N,12,0),0)</f>
        <v>0</v>
      </c>
      <c r="N502">
        <f t="shared" si="16"/>
        <v>1</v>
      </c>
    </row>
    <row r="503" spans="1:14">
      <c r="A503" s="3" t="s">
        <v>1984</v>
      </c>
      <c r="B503">
        <f>IFERROR(VLOOKUP(A503,管理亚马逊库存!A:K,11,0),"")</f>
        <v>9</v>
      </c>
      <c r="C503">
        <f>IFERROR(VLOOKUP(A503,管理亚马逊库存!A:L,12,0),"")</f>
        <v>2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1987</v>
      </c>
      <c r="B504">
        <f>IFERROR(VLOOKUP(A504,管理亚马逊库存!A:K,11,0),"")</f>
        <v>11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11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11</v>
      </c>
    </row>
    <row r="505" spans="1:14">
      <c r="A505" s="3" t="s">
        <v>1990</v>
      </c>
      <c r="B505">
        <f>IFERROR(VLOOKUP(A505,管理亚马逊库存!A:K,11,0),"")</f>
        <v>13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5</v>
      </c>
      <c r="K505">
        <f>IFERROR(VLOOKUP(A505,库龄!B:L,10,0),0)</f>
        <v>0</v>
      </c>
      <c r="L505">
        <f>IFERROR(VLOOKUP(A505,库龄!B:M,11,0),0)</f>
        <v>1</v>
      </c>
      <c r="M505">
        <f>IFERROR(VLOOKUP(A505,库龄!B:N,12,0),0)</f>
        <v>7</v>
      </c>
      <c r="N505">
        <f t="shared" si="16"/>
        <v>13</v>
      </c>
    </row>
    <row r="506" spans="1:14">
      <c r="A506" s="3" t="s">
        <v>1993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1996</v>
      </c>
      <c r="B507">
        <f>IFERROR(VLOOKUP(A507,管理亚马逊库存!A:K,11,0),"")</f>
        <v>1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1999</v>
      </c>
      <c r="B508">
        <f>IFERROR(VLOOKUP(A508,管理亚马逊库存!A:K,11,0),"")</f>
        <v>3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3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3</v>
      </c>
    </row>
    <row r="509" spans="1:14">
      <c r="A509" s="3" t="s">
        <v>2004</v>
      </c>
      <c r="B509">
        <f>IFERROR(VLOOKUP(A509,管理亚马逊库存!A:K,11,0),"")</f>
        <v>2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1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1</v>
      </c>
    </row>
    <row r="510" spans="1:14">
      <c r="A510" s="3" t="s">
        <v>2007</v>
      </c>
      <c r="B510">
        <f>IFERROR(VLOOKUP(A510,管理亚马逊库存!A:K,11,0),"")</f>
        <v>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1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1</v>
      </c>
    </row>
    <row r="511" spans="1:14">
      <c r="A511" s="3" t="s">
        <v>2012</v>
      </c>
      <c r="B511">
        <f>IFERROR(VLOOKUP(A511,管理亚马逊库存!A:K,11,0),"")</f>
        <v>6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1</v>
      </c>
      <c r="K511">
        <f>IFERROR(VLOOKUP(A511,库龄!B:L,10,0),0)</f>
        <v>1</v>
      </c>
      <c r="L511">
        <f>IFERROR(VLOOKUP(A511,库龄!B:M,11,0),0)</f>
        <v>4</v>
      </c>
      <c r="M511">
        <f>IFERROR(VLOOKUP(A511,库龄!B:N,12,0),0)</f>
        <v>0</v>
      </c>
      <c r="N511">
        <f t="shared" si="16"/>
        <v>6</v>
      </c>
    </row>
    <row r="512" spans="1:14">
      <c r="A512" s="3" t="s">
        <v>2015</v>
      </c>
      <c r="B512">
        <f>IFERROR(VLOOKUP(A512,管理亚马逊库存!A:K,11,0),"")</f>
        <v>6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5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5</v>
      </c>
    </row>
    <row r="513" spans="1:14">
      <c r="A513" s="3" t="s">
        <v>2019</v>
      </c>
      <c r="B513">
        <f>IFERROR(VLOOKUP(A513,管理亚马逊库存!A:K,11,0),"")</f>
        <v>6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6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6</v>
      </c>
    </row>
    <row r="514" spans="1:14">
      <c r="A514" s="3" t="s">
        <v>2022</v>
      </c>
      <c r="B514">
        <f>IFERROR(VLOOKUP(A514,管理亚马逊库存!A:K,11,0),"")</f>
        <v>2</v>
      </c>
      <c r="C514">
        <f>IFERROR(VLOOKUP(A514,管理亚马逊库存!A:L,12,0),"")</f>
        <v>1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2026</v>
      </c>
      <c r="B515">
        <f>IFERROR(VLOOKUP(A515,管理亚马逊库存!A:K,11,0),"")</f>
        <v>3</v>
      </c>
      <c r="C515">
        <f>IFERROR(VLOOKUP(A515,管理亚马逊库存!A:L,12,0),"")</f>
        <v>2</v>
      </c>
      <c r="D515">
        <f>IFERROR(VLOOKUP(A515,管理亚马逊库存!A:Q,17,0),"")</f>
        <v>0</v>
      </c>
      <c r="E515">
        <f>IFERROR(VLOOKUP(A515,管理亚马逊库存!A:R,18,0),"")</f>
        <v>3</v>
      </c>
      <c r="F515">
        <f t="shared" ref="F515:F578" si="17">SUM(D515:E515)</f>
        <v>3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2030</v>
      </c>
      <c r="B516">
        <f>IFERROR(VLOOKUP(A516,管理亚马逊库存!A:K,11,0),"")</f>
        <v>7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3</v>
      </c>
      <c r="K516">
        <f>IFERROR(VLOOKUP(A516,库龄!B:L,10,0),0)</f>
        <v>4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7</v>
      </c>
    </row>
    <row r="517" spans="1:14">
      <c r="A517" s="3" t="s">
        <v>2034</v>
      </c>
      <c r="B517">
        <f>IFERROR(VLOOKUP(A517,管理亚马逊库存!A:K,11,0),"")</f>
        <v>8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8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8</v>
      </c>
    </row>
    <row r="518" spans="1:14">
      <c r="A518" s="3" t="s">
        <v>2038</v>
      </c>
      <c r="B518">
        <f>IFERROR(VLOOKUP(A518,管理亚马逊库存!A:K,11,0),"")</f>
        <v>4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4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4</v>
      </c>
    </row>
    <row r="519" spans="1:14">
      <c r="A519" s="3" t="s">
        <v>2041</v>
      </c>
      <c r="B519">
        <f>IFERROR(VLOOKUP(A519,管理亚马逊库存!A:K,11,0),"")</f>
        <v>6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6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6</v>
      </c>
    </row>
    <row r="520" spans="1:14">
      <c r="A520" s="3" t="s">
        <v>2044</v>
      </c>
      <c r="B520">
        <f>IFERROR(VLOOKUP(A520,管理亚马逊库存!A:K,11,0),"")</f>
        <v>3</v>
      </c>
      <c r="C520">
        <f>IFERROR(VLOOKUP(A520,管理亚马逊库存!A:L,12,0),"")</f>
        <v>1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3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3</v>
      </c>
    </row>
    <row r="521" spans="1:14">
      <c r="A521" s="3" t="s">
        <v>2048</v>
      </c>
      <c r="B521">
        <f>IFERROR(VLOOKUP(A521,管理亚马逊库存!A:K,11,0),"")</f>
        <v>1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1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1</v>
      </c>
    </row>
    <row r="522" spans="1:14">
      <c r="A522" s="3" t="s">
        <v>2053</v>
      </c>
      <c r="B522">
        <f>IFERROR(VLOOKUP(A522,管理亚马逊库存!A:K,11,0),"")</f>
        <v>4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4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4</v>
      </c>
    </row>
    <row r="523" spans="1:14">
      <c r="A523" s="3" t="s">
        <v>2057</v>
      </c>
      <c r="B523">
        <f>IFERROR(VLOOKUP(A523,管理亚马逊库存!A:K,11,0),"")</f>
        <v>8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1</v>
      </c>
      <c r="L523">
        <f>IFERROR(VLOOKUP(A523,库龄!B:M,11,0),0)</f>
        <v>7</v>
      </c>
      <c r="M523">
        <f>IFERROR(VLOOKUP(A523,库龄!B:N,12,0),0)</f>
        <v>0</v>
      </c>
      <c r="N523">
        <f t="shared" si="18"/>
        <v>8</v>
      </c>
    </row>
    <row r="524" spans="1:14">
      <c r="A524" s="3" t="s">
        <v>2062</v>
      </c>
      <c r="B524">
        <f>IFERROR(VLOOKUP(A524,管理亚马逊库存!A:K,11,0),"")</f>
        <v>1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2066</v>
      </c>
      <c r="B525">
        <f>IFERROR(VLOOKUP(A525,管理亚马逊库存!A:K,11,0),"")</f>
        <v>1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1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1</v>
      </c>
    </row>
    <row r="526" spans="1:14">
      <c r="A526" s="3" t="s">
        <v>2070</v>
      </c>
      <c r="B526">
        <f>IFERROR(VLOOKUP(A526,管理亚马逊库存!A:K,11,0),"")</f>
        <v>2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1</v>
      </c>
      <c r="M526">
        <f>IFERROR(VLOOKUP(A526,库龄!B:N,12,0),0)</f>
        <v>0</v>
      </c>
      <c r="N526">
        <f t="shared" si="18"/>
        <v>1</v>
      </c>
    </row>
    <row r="527" spans="1:14">
      <c r="A527" s="3" t="s">
        <v>2075</v>
      </c>
      <c r="B527">
        <f>IFERROR(VLOOKUP(A527,管理亚马逊库存!A:K,11,0),"")</f>
        <v>3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2079</v>
      </c>
      <c r="B528">
        <f>IFERROR(VLOOKUP(A528,管理亚马逊库存!A:K,11,0),"")</f>
        <v>10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2082</v>
      </c>
      <c r="B529">
        <f>IFERROR(VLOOKUP(A529,管理亚马逊库存!A:K,11,0),"")</f>
        <v>1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1</v>
      </c>
      <c r="M529">
        <f>IFERROR(VLOOKUP(A529,库龄!B:N,12,0),0)</f>
        <v>0</v>
      </c>
      <c r="N529">
        <f t="shared" si="18"/>
        <v>1</v>
      </c>
    </row>
    <row r="530" spans="1:14">
      <c r="A530" s="3" t="s">
        <v>2086</v>
      </c>
      <c r="B530">
        <f>IFERROR(VLOOKUP(A530,管理亚马逊库存!A:K,11,0),"")</f>
        <v>3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3</v>
      </c>
      <c r="M530">
        <f>IFERROR(VLOOKUP(A530,库龄!B:N,12,0),0)</f>
        <v>0</v>
      </c>
      <c r="N530">
        <f t="shared" si="18"/>
        <v>3</v>
      </c>
    </row>
    <row r="531" spans="1:14">
      <c r="A531" s="3" t="s">
        <v>2090</v>
      </c>
      <c r="B531">
        <f>IFERROR(VLOOKUP(A531,管理亚马逊库存!A:K,11,0),"")</f>
        <v>4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1</v>
      </c>
      <c r="L531">
        <f>IFERROR(VLOOKUP(A531,库龄!B:M,11,0),0)</f>
        <v>0</v>
      </c>
      <c r="M531">
        <f>IFERROR(VLOOKUP(A531,库龄!B:N,12,0),0)</f>
        <v>3</v>
      </c>
      <c r="N531">
        <f t="shared" si="18"/>
        <v>4</v>
      </c>
    </row>
    <row r="532" spans="1:14">
      <c r="A532" s="3" t="s">
        <v>2093</v>
      </c>
      <c r="B532">
        <f>IFERROR(VLOOKUP(A532,管理亚马逊库存!A:K,11,0),"")</f>
        <v>12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4</v>
      </c>
      <c r="K532">
        <f>IFERROR(VLOOKUP(A532,库龄!B:L,10,0),0)</f>
        <v>1</v>
      </c>
      <c r="L532">
        <f>IFERROR(VLOOKUP(A532,库龄!B:M,11,0),0)</f>
        <v>3</v>
      </c>
      <c r="M532">
        <f>IFERROR(VLOOKUP(A532,库龄!B:N,12,0),0)</f>
        <v>4</v>
      </c>
      <c r="N532">
        <f t="shared" si="18"/>
        <v>12</v>
      </c>
    </row>
    <row r="533" spans="1:14">
      <c r="A533" s="3" t="s">
        <v>2096</v>
      </c>
      <c r="B533">
        <f>IFERROR(VLOOKUP(A533,管理亚马逊库存!A:K,11,0),"")</f>
        <v>2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1</v>
      </c>
      <c r="L533">
        <f>IFERROR(VLOOKUP(A533,库龄!B:M,11,0),0)</f>
        <v>0</v>
      </c>
      <c r="M533">
        <f>IFERROR(VLOOKUP(A533,库龄!B:N,12,0),0)</f>
        <v>1</v>
      </c>
      <c r="N533">
        <f t="shared" si="18"/>
        <v>2</v>
      </c>
    </row>
    <row r="534" spans="1:14">
      <c r="A534" s="3" t="s">
        <v>2100</v>
      </c>
      <c r="B534">
        <f>IFERROR(VLOOKUP(A534,管理亚马逊库存!A:K,11,0),"")</f>
        <v>6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1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2</v>
      </c>
      <c r="N534">
        <f t="shared" si="18"/>
        <v>3</v>
      </c>
    </row>
    <row r="535" spans="1:14">
      <c r="A535" s="3" t="s">
        <v>2103</v>
      </c>
      <c r="B535">
        <f>IFERROR(VLOOKUP(A535,管理亚马逊库存!A:K,11,0),"")</f>
        <v>3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3</v>
      </c>
      <c r="N535">
        <f t="shared" si="18"/>
        <v>3</v>
      </c>
    </row>
    <row r="536" spans="1:14">
      <c r="A536" s="3" t="s">
        <v>2107</v>
      </c>
      <c r="B536">
        <f>IFERROR(VLOOKUP(A536,管理亚马逊库存!A:K,11,0),"")</f>
        <v>6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6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6</v>
      </c>
    </row>
    <row r="537" spans="1:14">
      <c r="A537" s="3" t="s">
        <v>2112</v>
      </c>
      <c r="B537">
        <f>IFERROR(VLOOKUP(A537,管理亚马逊库存!A:K,11,0),"")</f>
        <v>1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1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1</v>
      </c>
    </row>
    <row r="538" spans="1:14">
      <c r="A538" s="3" t="s">
        <v>2115</v>
      </c>
      <c r="B538">
        <f>IFERROR(VLOOKUP(A538,管理亚马逊库存!A:K,11,0),"")</f>
        <v>1</v>
      </c>
      <c r="C538">
        <f>IFERROR(VLOOKUP(A538,管理亚马逊库存!A:L,12,0),"")</f>
        <v>1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2120</v>
      </c>
      <c r="B539">
        <f>IFERROR(VLOOKUP(A539,管理亚马逊库存!A:K,11,0),"")</f>
        <v>1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1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1</v>
      </c>
    </row>
    <row r="540" spans="1:14">
      <c r="A540" s="3" t="s">
        <v>2123</v>
      </c>
      <c r="B540">
        <f>IFERROR(VLOOKUP(A540,管理亚马逊库存!A:K,11,0),"")</f>
        <v>2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2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2</v>
      </c>
    </row>
    <row r="541" spans="1:14">
      <c r="A541" s="3" t="s">
        <v>2126</v>
      </c>
      <c r="B541">
        <f>IFERROR(VLOOKUP(A541,管理亚马逊库存!A:K,11,0),"")</f>
        <v>10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2129</v>
      </c>
      <c r="B542">
        <f>IFERROR(VLOOKUP(A542,管理亚马逊库存!A:K,11,0),"")</f>
        <v>16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4</v>
      </c>
      <c r="K542">
        <f>IFERROR(VLOOKUP(A542,库龄!B:L,10,0),0)</f>
        <v>1</v>
      </c>
      <c r="L542">
        <f>IFERROR(VLOOKUP(A542,库龄!B:M,11,0),0)</f>
        <v>4</v>
      </c>
      <c r="M542">
        <f>IFERROR(VLOOKUP(A542,库龄!B:N,12,0),0)</f>
        <v>7</v>
      </c>
      <c r="N542">
        <f t="shared" si="18"/>
        <v>16</v>
      </c>
    </row>
    <row r="543" spans="1:14">
      <c r="A543" s="3" t="s">
        <v>2132</v>
      </c>
      <c r="B543">
        <f>IFERROR(VLOOKUP(A543,管理亚马逊库存!A:K,11,0),"")</f>
        <v>5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5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5</v>
      </c>
    </row>
    <row r="544" spans="1:14">
      <c r="A544" s="3" t="s">
        <v>2135</v>
      </c>
      <c r="B544">
        <f>IFERROR(VLOOKUP(A544,管理亚马逊库存!A:K,11,0),"")</f>
        <v>6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1</v>
      </c>
      <c r="K544">
        <f>IFERROR(VLOOKUP(A544,库龄!B:L,10,0),0)</f>
        <v>0</v>
      </c>
      <c r="L544">
        <f>IFERROR(VLOOKUP(A544,库龄!B:M,11,0),0)</f>
        <v>5</v>
      </c>
      <c r="M544">
        <f>IFERROR(VLOOKUP(A544,库龄!B:N,12,0),0)</f>
        <v>0</v>
      </c>
      <c r="N544">
        <f t="shared" si="18"/>
        <v>6</v>
      </c>
    </row>
    <row r="545" spans="1:14">
      <c r="A545" s="3" t="s">
        <v>2138</v>
      </c>
      <c r="B545">
        <f>IFERROR(VLOOKUP(A545,管理亚马逊库存!A:K,11,0),"")</f>
        <v>6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6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6</v>
      </c>
    </row>
    <row r="546" spans="1:14">
      <c r="A546" s="3" t="s">
        <v>2143</v>
      </c>
      <c r="B546">
        <f>IFERROR(VLOOKUP(A546,管理亚马逊库存!A:K,11,0),"")</f>
        <v>1</v>
      </c>
      <c r="C546">
        <f>IFERROR(VLOOKUP(A546,管理亚马逊库存!A:L,12,0),"")</f>
        <v>1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2148</v>
      </c>
      <c r="B547">
        <f>IFERROR(VLOOKUP(A547,管理亚马逊库存!A:K,11,0),"")</f>
        <v>2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1</v>
      </c>
      <c r="K547">
        <f>IFERROR(VLOOKUP(A547,库龄!B:L,10,0),0)</f>
        <v>1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2</v>
      </c>
    </row>
    <row r="548" spans="1:14">
      <c r="A548" s="3" t="s">
        <v>2152</v>
      </c>
      <c r="B548">
        <f>IFERROR(VLOOKUP(A548,管理亚马逊库存!A:K,11,0),"")</f>
        <v>1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2157</v>
      </c>
      <c r="B549">
        <f>IFERROR(VLOOKUP(A549,管理亚马逊库存!A:K,11,0),"")</f>
        <v>6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5</v>
      </c>
      <c r="M549">
        <f>IFERROR(VLOOKUP(A549,库龄!B:N,12,0),0)</f>
        <v>0</v>
      </c>
      <c r="N549">
        <f t="shared" si="18"/>
        <v>5</v>
      </c>
    </row>
    <row r="550" spans="1:14">
      <c r="A550" s="3" t="s">
        <v>2161</v>
      </c>
      <c r="B550">
        <f>IFERROR(VLOOKUP(A550,管理亚马逊库存!A:K,11,0),"")</f>
        <v>10</v>
      </c>
      <c r="C550">
        <f>IFERROR(VLOOKUP(A550,管理亚马逊库存!A:L,12,0),"")</f>
        <v>2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2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2</v>
      </c>
    </row>
    <row r="551" spans="1:14">
      <c r="A551" s="3" t="s">
        <v>2165</v>
      </c>
      <c r="B551">
        <f>IFERROR(VLOOKUP(A551,管理亚马逊库存!A:K,11,0),"")</f>
        <v>1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2168</v>
      </c>
      <c r="B552">
        <f>IFERROR(VLOOKUP(A552,管理亚马逊库存!A:K,11,0),"")</f>
        <v>1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1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1</v>
      </c>
    </row>
    <row r="553" spans="1:14">
      <c r="A553" s="3" t="s">
        <v>2171</v>
      </c>
      <c r="B553">
        <f>IFERROR(VLOOKUP(A553,管理亚马逊库存!A:K,11,0),"")</f>
        <v>4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1</v>
      </c>
      <c r="L553">
        <f>IFERROR(VLOOKUP(A553,库龄!B:M,11,0),0)</f>
        <v>0</v>
      </c>
      <c r="M553">
        <f>IFERROR(VLOOKUP(A553,库龄!B:N,12,0),0)</f>
        <v>1</v>
      </c>
      <c r="N553">
        <f t="shared" si="18"/>
        <v>2</v>
      </c>
    </row>
    <row r="554" spans="1:14">
      <c r="A554" s="3" t="s">
        <v>2174</v>
      </c>
      <c r="B554">
        <f>IFERROR(VLOOKUP(A554,管理亚马逊库存!A:K,11,0),"")</f>
        <v>3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3</v>
      </c>
      <c r="N554">
        <f t="shared" si="18"/>
        <v>3</v>
      </c>
    </row>
    <row r="555" spans="1:14">
      <c r="A555" s="3" t="s">
        <v>2178</v>
      </c>
      <c r="B555">
        <f>IFERROR(VLOOKUP(A555,管理亚马逊库存!A:K,11,0),"")</f>
        <v>1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1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1</v>
      </c>
    </row>
    <row r="556" spans="1:14">
      <c r="A556" s="3" t="s">
        <v>2183</v>
      </c>
      <c r="B556">
        <f>IFERROR(VLOOKUP(A556,管理亚马逊库存!A:K,11,0),"")</f>
        <v>8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3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3</v>
      </c>
    </row>
    <row r="557" spans="1:14">
      <c r="A557" s="3" t="s">
        <v>2188</v>
      </c>
      <c r="B557">
        <f>IFERROR(VLOOKUP(A557,管理亚马逊库存!A:K,11,0),"")</f>
        <v>2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4</v>
      </c>
      <c r="F557">
        <f t="shared" si="17"/>
        <v>4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2191</v>
      </c>
      <c r="B558">
        <f>IFERROR(VLOOKUP(A558,管理亚马逊库存!A:K,11,0),"")</f>
        <v>2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2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2</v>
      </c>
    </row>
    <row r="559" spans="1:14">
      <c r="A559" s="3" t="s">
        <v>2195</v>
      </c>
      <c r="B559">
        <f>IFERROR(VLOOKUP(A559,管理亚马逊库存!A:K,11,0),"")</f>
        <v>1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2199</v>
      </c>
      <c r="B560">
        <f>IFERROR(VLOOKUP(A560,管理亚马逊库存!A:K,11,0),"")</f>
        <v>2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2</v>
      </c>
      <c r="M560">
        <f>IFERROR(VLOOKUP(A560,库龄!B:N,12,0),0)</f>
        <v>0</v>
      </c>
      <c r="N560">
        <f t="shared" si="18"/>
        <v>2</v>
      </c>
    </row>
    <row r="561" spans="1:14">
      <c r="A561" s="3" t="s">
        <v>2203</v>
      </c>
      <c r="B561">
        <f>IFERROR(VLOOKUP(A561,管理亚马逊库存!A:K,11,0),"")</f>
        <v>3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3</v>
      </c>
      <c r="N561">
        <f t="shared" si="18"/>
        <v>3</v>
      </c>
    </row>
    <row r="562" spans="1:14">
      <c r="A562" s="3" t="s">
        <v>2206</v>
      </c>
      <c r="B562">
        <f>IFERROR(VLOOKUP(A562,管理亚马逊库存!A:K,11,0),"")</f>
        <v>2</v>
      </c>
      <c r="C562">
        <f>IFERROR(VLOOKUP(A562,管理亚马逊库存!A:L,12,0),"")</f>
        <v>1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2209</v>
      </c>
      <c r="B563">
        <f>IFERROR(VLOOKUP(A563,管理亚马逊库存!A:K,11,0),"")</f>
        <v>5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4</v>
      </c>
      <c r="M563">
        <f>IFERROR(VLOOKUP(A563,库龄!B:N,12,0),0)</f>
        <v>0</v>
      </c>
      <c r="N563">
        <f t="shared" si="18"/>
        <v>4</v>
      </c>
    </row>
    <row r="564" spans="1:14">
      <c r="A564" s="3" t="s">
        <v>2214</v>
      </c>
      <c r="B564">
        <f>IFERROR(VLOOKUP(A564,管理亚马逊库存!A:K,11,0),"")</f>
        <v>7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2</v>
      </c>
      <c r="L564">
        <f>IFERROR(VLOOKUP(A564,库龄!B:M,11,0),0)</f>
        <v>5</v>
      </c>
      <c r="M564">
        <f>IFERROR(VLOOKUP(A564,库龄!B:N,12,0),0)</f>
        <v>0</v>
      </c>
      <c r="N564">
        <f t="shared" si="18"/>
        <v>7</v>
      </c>
    </row>
    <row r="565" spans="1:14">
      <c r="A565" s="3" t="s">
        <v>2217</v>
      </c>
      <c r="B565">
        <f>IFERROR(VLOOKUP(A565,管理亚马逊库存!A:K,11,0),"")</f>
        <v>1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1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1</v>
      </c>
    </row>
    <row r="566" spans="1:14">
      <c r="A566" s="3" t="s">
        <v>2220</v>
      </c>
      <c r="B566">
        <f>IFERROR(VLOOKUP(A566,管理亚马逊库存!A:K,11,0),"")</f>
        <v>4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4</v>
      </c>
      <c r="M566">
        <f>IFERROR(VLOOKUP(A566,库龄!B:N,12,0),0)</f>
        <v>0</v>
      </c>
      <c r="N566">
        <f t="shared" si="18"/>
        <v>4</v>
      </c>
    </row>
    <row r="567" spans="1:14">
      <c r="A567" s="3" t="s">
        <v>2224</v>
      </c>
      <c r="B567">
        <f>IFERROR(VLOOKUP(A567,管理亚马逊库存!A:K,11,0),"")</f>
        <v>10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5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5</v>
      </c>
    </row>
    <row r="568" spans="1:14">
      <c r="A568" s="3" t="s">
        <v>2227</v>
      </c>
      <c r="B568">
        <f>IFERROR(VLOOKUP(A568,管理亚马逊库存!A:K,11,0),"")</f>
        <v>8</v>
      </c>
      <c r="C568">
        <f>IFERROR(VLOOKUP(A568,管理亚马逊库存!A:L,12,0),"")</f>
        <v>1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7</v>
      </c>
      <c r="M568">
        <f>IFERROR(VLOOKUP(A568,库龄!B:N,12,0),0)</f>
        <v>0</v>
      </c>
      <c r="N568">
        <f t="shared" si="18"/>
        <v>7</v>
      </c>
    </row>
    <row r="569" spans="1:14">
      <c r="A569" s="3" t="s">
        <v>2230</v>
      </c>
      <c r="B569">
        <f>IFERROR(VLOOKUP(A569,管理亚马逊库存!A:K,11,0),"")</f>
        <v>4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4</v>
      </c>
      <c r="L569">
        <f>IFERROR(VLOOKUP(A569,库龄!B:M,11,0),0)</f>
        <v>0</v>
      </c>
      <c r="M569" t="str">
        <f>IFERROR(VLOOKUP(A569,库龄!B:N,12,0),0)</f>
        <v>USD</v>
      </c>
      <c r="N569">
        <f t="shared" si="18"/>
        <v>4</v>
      </c>
    </row>
    <row r="570" spans="1:14">
      <c r="A570" s="3" t="s">
        <v>2235</v>
      </c>
      <c r="B570">
        <f>IFERROR(VLOOKUP(A570,管理亚马逊库存!A:K,11,0),"")</f>
        <v>3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3</v>
      </c>
      <c r="M570">
        <f>IFERROR(VLOOKUP(A570,库龄!B:N,12,0),0)</f>
        <v>0</v>
      </c>
      <c r="N570">
        <f t="shared" si="18"/>
        <v>3</v>
      </c>
    </row>
    <row r="571" spans="1:14">
      <c r="A571" s="3" t="s">
        <v>2239</v>
      </c>
      <c r="B571">
        <f>IFERROR(VLOOKUP(A571,管理亚马逊库存!A:K,11,0),"")</f>
        <v>6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6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6</v>
      </c>
    </row>
    <row r="572" spans="1:14">
      <c r="A572" s="3" t="s">
        <v>2243</v>
      </c>
      <c r="B572">
        <f>IFERROR(VLOOKUP(A572,管理亚马逊库存!A:K,11,0),"")</f>
        <v>11</v>
      </c>
      <c r="C572">
        <f>IFERROR(VLOOKUP(A572,管理亚马逊库存!A:L,12,0),"")</f>
        <v>1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2246</v>
      </c>
      <c r="B573">
        <f>IFERROR(VLOOKUP(A573,管理亚马逊库存!A:K,11,0),"")</f>
        <v>1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1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1</v>
      </c>
    </row>
    <row r="574" spans="1:14">
      <c r="A574" s="3" t="s">
        <v>2250</v>
      </c>
      <c r="B574">
        <f>IFERROR(VLOOKUP(A574,管理亚马逊库存!A:K,11,0),"")</f>
        <v>5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5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5</v>
      </c>
    </row>
    <row r="575" spans="1:14">
      <c r="A575" s="3" t="s">
        <v>2255</v>
      </c>
      <c r="B575">
        <f>IFERROR(VLOOKUP(A575,管理亚马逊库存!A:K,11,0),"")</f>
        <v>1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1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1</v>
      </c>
    </row>
    <row r="576" spans="1:14">
      <c r="A576" s="3" t="s">
        <v>2259</v>
      </c>
      <c r="B576">
        <f>IFERROR(VLOOKUP(A576,管理亚马逊库存!A:K,11,0),"")</f>
        <v>1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1</v>
      </c>
      <c r="M576">
        <f>IFERROR(VLOOKUP(A576,库龄!B:N,12,0),0)</f>
        <v>0</v>
      </c>
      <c r="N576">
        <f t="shared" si="18"/>
        <v>1</v>
      </c>
    </row>
    <row r="577" spans="1:14">
      <c r="A577" s="3" t="s">
        <v>2264</v>
      </c>
      <c r="B577">
        <f>IFERROR(VLOOKUP(A577,管理亚马逊库存!A:K,11,0),"")</f>
        <v>3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3</v>
      </c>
      <c r="N577">
        <f t="shared" si="18"/>
        <v>3</v>
      </c>
    </row>
    <row r="578" spans="1:14">
      <c r="A578" s="3" t="s">
        <v>2267</v>
      </c>
      <c r="B578">
        <f>IFERROR(VLOOKUP(A578,管理亚马逊库存!A:K,11,0),"")</f>
        <v>2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1</v>
      </c>
      <c r="L578">
        <f>IFERROR(VLOOKUP(A578,库龄!B:M,11,0),0)</f>
        <v>0</v>
      </c>
      <c r="M578">
        <f>IFERROR(VLOOKUP(A578,库龄!B:N,12,0),0)</f>
        <v>1</v>
      </c>
      <c r="N578">
        <f t="shared" si="18"/>
        <v>2</v>
      </c>
    </row>
    <row r="579" spans="1:14">
      <c r="A579" s="3" t="s">
        <v>2271</v>
      </c>
      <c r="B579">
        <f>IFERROR(VLOOKUP(A579,管理亚马逊库存!A:K,11,0),"")</f>
        <v>4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3</v>
      </c>
      <c r="K579">
        <f>IFERROR(VLOOKUP(A579,库龄!B:L,10,0),0)</f>
        <v>1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4</v>
      </c>
    </row>
    <row r="580" spans="1:14">
      <c r="A580" s="3" t="s">
        <v>2274</v>
      </c>
      <c r="B580">
        <f>IFERROR(VLOOKUP(A580,管理亚马逊库存!A:K,11,0),"")</f>
        <v>9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8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8</v>
      </c>
    </row>
    <row r="581" spans="1:14">
      <c r="A581" s="3" t="s">
        <v>2279</v>
      </c>
      <c r="B581">
        <f>IFERROR(VLOOKUP(A581,管理亚马逊库存!A:K,11,0),"")</f>
        <v>1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1</v>
      </c>
      <c r="N581">
        <f t="shared" si="20"/>
        <v>1</v>
      </c>
    </row>
    <row r="582" spans="1:14">
      <c r="A582" s="3" t="s">
        <v>2283</v>
      </c>
      <c r="B582">
        <f>IFERROR(VLOOKUP(A582,管理亚马逊库存!A:K,11,0),"")</f>
        <v>2</v>
      </c>
      <c r="C582">
        <f>IFERROR(VLOOKUP(A582,管理亚马逊库存!A:L,12,0),"")</f>
        <v>1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2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2</v>
      </c>
    </row>
    <row r="583" spans="1:14">
      <c r="A583" s="3" t="s">
        <v>2287</v>
      </c>
      <c r="B583">
        <f>IFERROR(VLOOKUP(A583,管理亚马逊库存!A:K,11,0),"")</f>
        <v>5</v>
      </c>
      <c r="C583">
        <f>IFERROR(VLOOKUP(A583,管理亚马逊库存!A:L,12,0),"")</f>
        <v>6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2290</v>
      </c>
      <c r="B584">
        <f>IFERROR(VLOOKUP(A584,管理亚马逊库存!A:K,11,0),"")</f>
        <v>1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1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1</v>
      </c>
    </row>
    <row r="585" spans="1:14">
      <c r="A585" s="3" t="s">
        <v>2293</v>
      </c>
      <c r="B585">
        <f>IFERROR(VLOOKUP(A585,管理亚马逊库存!A:K,11,0),"")</f>
        <v>3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4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4</v>
      </c>
    </row>
    <row r="586" spans="1:14">
      <c r="A586" s="3" t="s">
        <v>2297</v>
      </c>
      <c r="B586">
        <f>IFERROR(VLOOKUP(A586,管理亚马逊库存!A:K,11,0),"")</f>
        <v>2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1</v>
      </c>
      <c r="K586">
        <f>IFERROR(VLOOKUP(A586,库龄!B:L,10,0),0)</f>
        <v>0</v>
      </c>
      <c r="L586">
        <f>IFERROR(VLOOKUP(A586,库龄!B:M,11,0),0)</f>
        <v>1</v>
      </c>
      <c r="M586">
        <f>IFERROR(VLOOKUP(A586,库龄!B:N,12,0),0)</f>
        <v>0</v>
      </c>
      <c r="N586">
        <f t="shared" si="20"/>
        <v>2</v>
      </c>
    </row>
    <row r="587" spans="1:14">
      <c r="A587" s="3" t="s">
        <v>2302</v>
      </c>
      <c r="B587">
        <f>IFERROR(VLOOKUP(A587,管理亚马逊库存!A:K,11,0),"")</f>
        <v>1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1</v>
      </c>
      <c r="M587">
        <f>IFERROR(VLOOKUP(A587,库龄!B:N,12,0),0)</f>
        <v>0</v>
      </c>
      <c r="N587">
        <f t="shared" si="20"/>
        <v>1</v>
      </c>
    </row>
    <row r="588" spans="1:14">
      <c r="A588" s="3" t="s">
        <v>2306</v>
      </c>
      <c r="B588">
        <f>IFERROR(VLOOKUP(A588,管理亚马逊库存!A:K,11,0),"")</f>
        <v>3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1</v>
      </c>
      <c r="L588">
        <f>IFERROR(VLOOKUP(A588,库龄!B:M,11,0),0)</f>
        <v>0</v>
      </c>
      <c r="M588">
        <f>IFERROR(VLOOKUP(A588,库龄!B:N,12,0),0)</f>
        <v>2</v>
      </c>
      <c r="N588">
        <f t="shared" si="20"/>
        <v>3</v>
      </c>
    </row>
    <row r="589" spans="1:14">
      <c r="A589" s="3" t="s">
        <v>2309</v>
      </c>
      <c r="B589">
        <f>IFERROR(VLOOKUP(A589,管理亚马逊库存!A:K,11,0),"")</f>
        <v>4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1</v>
      </c>
      <c r="M589">
        <f>IFERROR(VLOOKUP(A589,库龄!B:N,12,0),0)</f>
        <v>3</v>
      </c>
      <c r="N589">
        <f t="shared" si="20"/>
        <v>4</v>
      </c>
    </row>
    <row r="590" spans="1:14">
      <c r="A590" s="3" t="s">
        <v>2312</v>
      </c>
      <c r="B590">
        <f>IFERROR(VLOOKUP(A590,管理亚马逊库存!A:K,11,0),"")</f>
        <v>1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2315</v>
      </c>
      <c r="B591">
        <f>IFERROR(VLOOKUP(A591,管理亚马逊库存!A:K,11,0),"")</f>
        <v>5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5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5</v>
      </c>
    </row>
    <row r="592" spans="1:14">
      <c r="A592" s="3" t="s">
        <v>2319</v>
      </c>
      <c r="B592">
        <f>IFERROR(VLOOKUP(A592,管理亚马逊库存!A:K,11,0),"")</f>
        <v>6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2322</v>
      </c>
      <c r="B593">
        <f>IFERROR(VLOOKUP(A593,管理亚马逊库存!A:K,11,0),"")</f>
        <v>2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1</v>
      </c>
      <c r="K593">
        <f>IFERROR(VLOOKUP(A593,库龄!B:L,10,0),0)</f>
        <v>1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2</v>
      </c>
    </row>
    <row r="594" spans="1:14">
      <c r="A594" s="3" t="s">
        <v>2325</v>
      </c>
      <c r="B594">
        <f>IFERROR(VLOOKUP(A594,管理亚马逊库存!A:K,11,0),"")</f>
        <v>10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10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10</v>
      </c>
    </row>
    <row r="595" spans="1:14">
      <c r="A595" s="3" t="s">
        <v>2328</v>
      </c>
      <c r="B595">
        <f>IFERROR(VLOOKUP(A595,管理亚马逊库存!A:K,11,0),"")</f>
        <v>3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3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3</v>
      </c>
    </row>
    <row r="596" spans="1:14">
      <c r="A596" s="3" t="s">
        <v>2331</v>
      </c>
      <c r="B596">
        <f>IFERROR(VLOOKUP(A596,管理亚马逊库存!A:K,11,0),"")</f>
        <v>4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3</v>
      </c>
      <c r="N596">
        <f t="shared" si="20"/>
        <v>3</v>
      </c>
    </row>
    <row r="597" spans="1:14">
      <c r="A597" s="3" t="s">
        <v>2335</v>
      </c>
      <c r="B597">
        <f>IFERROR(VLOOKUP(A597,管理亚马逊库存!A:K,11,0),"")</f>
        <v>5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5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5</v>
      </c>
    </row>
    <row r="598" spans="1:14">
      <c r="A598" s="3" t="s">
        <v>2339</v>
      </c>
      <c r="B598">
        <f>IFERROR(VLOOKUP(A598,管理亚马逊库存!A:K,11,0),"")</f>
        <v>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2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2</v>
      </c>
    </row>
    <row r="599" spans="1:14">
      <c r="A599" s="3" t="s">
        <v>2342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2</v>
      </c>
      <c r="M599">
        <f>IFERROR(VLOOKUP(A599,库龄!B:N,12,0),0)</f>
        <v>0</v>
      </c>
      <c r="N599">
        <f t="shared" si="20"/>
        <v>2</v>
      </c>
    </row>
    <row r="600" spans="1:14">
      <c r="A600" s="3" t="s">
        <v>2346</v>
      </c>
      <c r="B600">
        <f>IFERROR(VLOOKUP(A600,管理亚马逊库存!A:K,11,0),"")</f>
        <v>12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1</v>
      </c>
      <c r="K600">
        <f>IFERROR(VLOOKUP(A600,库龄!B:L,10,0),0)</f>
        <v>0</v>
      </c>
      <c r="L600">
        <f>IFERROR(VLOOKUP(A600,库龄!B:M,11,0),0)</f>
        <v>11</v>
      </c>
      <c r="M600">
        <f>IFERROR(VLOOKUP(A600,库龄!B:N,12,0),0)</f>
        <v>0</v>
      </c>
      <c r="N600">
        <f t="shared" si="20"/>
        <v>12</v>
      </c>
    </row>
    <row r="601" spans="1:14">
      <c r="A601" s="3" t="s">
        <v>2350</v>
      </c>
      <c r="B601">
        <f>IFERROR(VLOOKUP(A601,管理亚马逊库存!A:K,11,0),"")</f>
        <v>2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2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2</v>
      </c>
    </row>
    <row r="602" spans="1:14">
      <c r="A602" s="3" t="s">
        <v>2354</v>
      </c>
      <c r="B602">
        <f>IFERROR(VLOOKUP(A602,管理亚马逊库存!A:K,11,0),"")</f>
        <v>3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1</v>
      </c>
      <c r="K602">
        <f>IFERROR(VLOOKUP(A602,库龄!B:L,10,0),0)</f>
        <v>2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3</v>
      </c>
    </row>
    <row r="603" spans="1:14">
      <c r="A603" s="3" t="s">
        <v>2359</v>
      </c>
      <c r="B603">
        <f>IFERROR(VLOOKUP(A603,管理亚马逊库存!A:K,11,0),"")</f>
        <v>5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5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5</v>
      </c>
    </row>
    <row r="604" spans="1:14">
      <c r="A604" s="3" t="s">
        <v>2362</v>
      </c>
      <c r="B604">
        <f>IFERROR(VLOOKUP(A604,管理亚马逊库存!A:K,11,0),"")</f>
        <v>1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2366</v>
      </c>
      <c r="B605">
        <f>IFERROR(VLOOKUP(A605,管理亚马逊库存!A:K,11,0),"")</f>
        <v>7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3</v>
      </c>
      <c r="K605">
        <f>IFERROR(VLOOKUP(A605,库龄!B:L,10,0),0)</f>
        <v>1</v>
      </c>
      <c r="L605">
        <f>IFERROR(VLOOKUP(A605,库龄!B:M,11,0),0)</f>
        <v>2</v>
      </c>
      <c r="M605">
        <f>IFERROR(VLOOKUP(A605,库龄!B:N,12,0),0)</f>
        <v>0</v>
      </c>
      <c r="N605">
        <f t="shared" si="20"/>
        <v>6</v>
      </c>
    </row>
    <row r="606" spans="1:14">
      <c r="A606" s="3" t="s">
        <v>2371</v>
      </c>
      <c r="B606">
        <f>IFERROR(VLOOKUP(A606,管理亚马逊库存!A:K,11,0),"")</f>
        <v>5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5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5</v>
      </c>
    </row>
    <row r="607" spans="1:14">
      <c r="A607" s="3" t="s">
        <v>2374</v>
      </c>
      <c r="B607">
        <f>IFERROR(VLOOKUP(A607,管理亚马逊库存!A:K,11,0),"")</f>
        <v>10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9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9</v>
      </c>
    </row>
    <row r="608" spans="1:14">
      <c r="A608" s="3" t="s">
        <v>2378</v>
      </c>
      <c r="B608">
        <f>IFERROR(VLOOKUP(A608,管理亚马逊库存!A:K,11,0),"")</f>
        <v>2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2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2</v>
      </c>
    </row>
    <row r="609" spans="1:14">
      <c r="A609" s="3" t="s">
        <v>2382</v>
      </c>
      <c r="B609">
        <f>IFERROR(VLOOKUP(A609,管理亚马逊库存!A:K,11,0),"")</f>
        <v>1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1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1</v>
      </c>
    </row>
    <row r="610" spans="1:14">
      <c r="A610" s="3" t="s">
        <v>2385</v>
      </c>
      <c r="B610">
        <f>IFERROR(VLOOKUP(A610,管理亚马逊库存!A:K,11,0),"")</f>
        <v>1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1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1</v>
      </c>
    </row>
    <row r="611" spans="1:14">
      <c r="A611" s="3" t="s">
        <v>2388</v>
      </c>
      <c r="B611">
        <f>IFERROR(VLOOKUP(A611,管理亚马逊库存!A:K,11,0),"")</f>
        <v>14</v>
      </c>
      <c r="C611">
        <f>IFERROR(VLOOKUP(A611,管理亚马逊库存!A:L,12,0),"")</f>
        <v>1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1</v>
      </c>
      <c r="K611">
        <f>IFERROR(VLOOKUP(A611,库龄!B:L,10,0),0)</f>
        <v>3</v>
      </c>
      <c r="L611">
        <f>IFERROR(VLOOKUP(A611,库龄!B:M,11,0),0)</f>
        <v>10</v>
      </c>
      <c r="M611">
        <f>IFERROR(VLOOKUP(A611,库龄!B:N,12,0),0)</f>
        <v>0</v>
      </c>
      <c r="N611">
        <f t="shared" si="20"/>
        <v>14</v>
      </c>
    </row>
    <row r="612" spans="1:14">
      <c r="A612" s="3" t="s">
        <v>2392</v>
      </c>
      <c r="B612">
        <f>IFERROR(VLOOKUP(A612,管理亚马逊库存!A:K,11,0),"")</f>
        <v>3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1</v>
      </c>
      <c r="L612">
        <f>IFERROR(VLOOKUP(A612,库龄!B:M,11,0),0)</f>
        <v>2</v>
      </c>
      <c r="M612">
        <f>IFERROR(VLOOKUP(A612,库龄!B:N,12,0),0)</f>
        <v>0</v>
      </c>
      <c r="N612">
        <f t="shared" si="20"/>
        <v>3</v>
      </c>
    </row>
    <row r="613" spans="1:14">
      <c r="A613" s="3" t="s">
        <v>2396</v>
      </c>
      <c r="B613">
        <f>IFERROR(VLOOKUP(A613,管理亚马逊库存!A:K,11,0),"")</f>
        <v>9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8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8</v>
      </c>
    </row>
    <row r="614" spans="1:14">
      <c r="A614" s="3" t="s">
        <v>2400</v>
      </c>
      <c r="B614">
        <f>IFERROR(VLOOKUP(A614,管理亚马逊库存!A:K,11,0),"")</f>
        <v>1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1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1</v>
      </c>
    </row>
    <row r="615" spans="1:14">
      <c r="A615" s="3" t="s">
        <v>2405</v>
      </c>
      <c r="B615">
        <f>IFERROR(VLOOKUP(A615,管理亚马逊库存!A:K,11,0),"")</f>
        <v>1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1</v>
      </c>
      <c r="M615">
        <f>IFERROR(VLOOKUP(A615,库龄!B:N,12,0),0)</f>
        <v>0</v>
      </c>
      <c r="N615">
        <f t="shared" si="20"/>
        <v>1</v>
      </c>
    </row>
    <row r="616" spans="1:14">
      <c r="A616" s="3" t="s">
        <v>2408</v>
      </c>
      <c r="B616">
        <f>IFERROR(VLOOKUP(A616,管理亚马逊库存!A:K,11,0),"")</f>
        <v>1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2412</v>
      </c>
      <c r="B617">
        <f>IFERROR(VLOOKUP(A617,管理亚马逊库存!A:K,11,0),"")</f>
        <v>5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1</v>
      </c>
      <c r="K617">
        <f>IFERROR(VLOOKUP(A617,库龄!B:L,10,0),0)</f>
        <v>1</v>
      </c>
      <c r="L617">
        <f>IFERROR(VLOOKUP(A617,库龄!B:M,11,0),0)</f>
        <v>3</v>
      </c>
      <c r="M617">
        <f>IFERROR(VLOOKUP(A617,库龄!B:N,12,0),0)</f>
        <v>0</v>
      </c>
      <c r="N617">
        <f t="shared" si="20"/>
        <v>5</v>
      </c>
    </row>
    <row r="618" spans="1:14">
      <c r="A618" s="3" t="s">
        <v>2415</v>
      </c>
      <c r="B618">
        <f>IFERROR(VLOOKUP(A618,管理亚马逊库存!A:K,11,0),"")</f>
        <v>4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3</v>
      </c>
      <c r="L618">
        <f>IFERROR(VLOOKUP(A618,库龄!B:M,11,0),0)</f>
        <v>1</v>
      </c>
      <c r="M618">
        <f>IFERROR(VLOOKUP(A618,库龄!B:N,12,0),0)</f>
        <v>0</v>
      </c>
      <c r="N618">
        <f t="shared" si="20"/>
        <v>4</v>
      </c>
    </row>
    <row r="619" spans="1:14">
      <c r="A619" s="3" t="s">
        <v>2418</v>
      </c>
      <c r="B619">
        <f>IFERROR(VLOOKUP(A619,管理亚马逊库存!A:K,11,0),"")</f>
        <v>5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1</v>
      </c>
      <c r="K619">
        <f>IFERROR(VLOOKUP(A619,库龄!B:L,10,0),0)</f>
        <v>1</v>
      </c>
      <c r="L619">
        <f>IFERROR(VLOOKUP(A619,库龄!B:M,11,0),0)</f>
        <v>2</v>
      </c>
      <c r="M619">
        <f>IFERROR(VLOOKUP(A619,库龄!B:N,12,0),0)</f>
        <v>0</v>
      </c>
      <c r="N619">
        <f t="shared" si="20"/>
        <v>4</v>
      </c>
    </row>
    <row r="620" spans="1:14">
      <c r="A620" s="3" t="s">
        <v>2421</v>
      </c>
      <c r="B620">
        <f>IFERROR(VLOOKUP(A620,管理亚马逊库存!A:K,11,0),"")</f>
        <v>5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5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5</v>
      </c>
    </row>
    <row r="621" spans="1:14">
      <c r="A621" s="3" t="s">
        <v>2426</v>
      </c>
      <c r="B621">
        <f>IFERROR(VLOOKUP(A621,管理亚马逊库存!A:K,11,0),"")</f>
        <v>3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2</v>
      </c>
      <c r="L621">
        <f>IFERROR(VLOOKUP(A621,库龄!B:M,11,0),0)</f>
        <v>1</v>
      </c>
      <c r="M621">
        <f>IFERROR(VLOOKUP(A621,库龄!B:N,12,0),0)</f>
        <v>0</v>
      </c>
      <c r="N621">
        <f t="shared" si="20"/>
        <v>3</v>
      </c>
    </row>
    <row r="622" spans="1:14">
      <c r="A622" s="3" t="s">
        <v>2429</v>
      </c>
      <c r="B622">
        <f>IFERROR(VLOOKUP(A622,管理亚马逊库存!A:K,11,0),"")</f>
        <v>10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10</v>
      </c>
      <c r="N622">
        <f t="shared" si="20"/>
        <v>10</v>
      </c>
    </row>
    <row r="623" spans="1:14">
      <c r="A623" s="3" t="s">
        <v>2433</v>
      </c>
      <c r="B623">
        <f>IFERROR(VLOOKUP(A623,管理亚马逊库存!A:K,11,0),"")</f>
        <v>3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2437</v>
      </c>
      <c r="B624">
        <f>IFERROR(VLOOKUP(A624,管理亚马逊库存!A:K,11,0),"")</f>
        <v>4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2440</v>
      </c>
      <c r="B625">
        <f>IFERROR(VLOOKUP(A625,管理亚马逊库存!A:K,11,0),"")</f>
        <v>2</v>
      </c>
      <c r="C625">
        <f>IFERROR(VLOOKUP(A625,管理亚马逊库存!A:L,12,0),"")</f>
        <v>0</v>
      </c>
      <c r="D625">
        <f>IFERROR(VLOOKUP(A625,管理亚马逊库存!A:Q,17,0),"")</f>
        <v>5</v>
      </c>
      <c r="E625">
        <f>IFERROR(VLOOKUP(A625,管理亚马逊库存!A:R,18,0),"")</f>
        <v>0</v>
      </c>
      <c r="F625">
        <f t="shared" si="19"/>
        <v>5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2444</v>
      </c>
      <c r="B626">
        <f>IFERROR(VLOOKUP(A626,管理亚马逊库存!A:K,11,0),"")</f>
        <v>4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1</v>
      </c>
      <c r="K626">
        <f>IFERROR(VLOOKUP(A626,库龄!B:L,10,0),0)</f>
        <v>3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4</v>
      </c>
    </row>
    <row r="627" spans="1:14">
      <c r="A627" s="3" t="s">
        <v>2448</v>
      </c>
      <c r="B627">
        <f>IFERROR(VLOOKUP(A627,管理亚马逊库存!A:K,11,0),"")</f>
        <v>14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2</v>
      </c>
      <c r="M627">
        <f>IFERROR(VLOOKUP(A627,库龄!B:N,12,0),0)</f>
        <v>12</v>
      </c>
      <c r="N627">
        <f t="shared" si="20"/>
        <v>14</v>
      </c>
    </row>
    <row r="628" spans="1:14">
      <c r="A628" s="3" t="s">
        <v>2451</v>
      </c>
      <c r="B628">
        <f>IFERROR(VLOOKUP(A628,管理亚马逊库存!A:K,11,0),"")</f>
        <v>0</v>
      </c>
      <c r="C628">
        <f>IFERROR(VLOOKUP(A628,管理亚马逊库存!A:L,12,0),"")</f>
        <v>1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2454</v>
      </c>
      <c r="B629">
        <f>IFERROR(VLOOKUP(A629,管理亚马逊库存!A:K,11,0),"")</f>
        <v>0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1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1</v>
      </c>
    </row>
    <row r="630" spans="1:14">
      <c r="A630" s="3" t="s">
        <v>2459</v>
      </c>
      <c r="B630">
        <f>IFERROR(VLOOKUP(A630,管理亚马逊库存!A:K,11,0),"")</f>
        <v>10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10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10</v>
      </c>
    </row>
    <row r="631" spans="1:14">
      <c r="A631" s="3" t="s">
        <v>2462</v>
      </c>
      <c r="B631">
        <f>IFERROR(VLOOKUP(A631,管理亚马逊库存!A:K,11,0),"")</f>
        <v>2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2</v>
      </c>
      <c r="M631">
        <f>IFERROR(VLOOKUP(A631,库龄!B:N,12,0),0)</f>
        <v>0</v>
      </c>
      <c r="N631">
        <f t="shared" si="20"/>
        <v>2</v>
      </c>
    </row>
    <row r="632" spans="1:14">
      <c r="A632" s="3" t="s">
        <v>2466</v>
      </c>
      <c r="B632">
        <f>IFERROR(VLOOKUP(A632,管理亚马逊库存!A:K,11,0),"")</f>
        <v>5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1</v>
      </c>
      <c r="K632">
        <f>IFERROR(VLOOKUP(A632,库龄!B:L,10,0),0)</f>
        <v>0</v>
      </c>
      <c r="L632">
        <f>IFERROR(VLOOKUP(A632,库龄!B:M,11,0),0)</f>
        <v>2</v>
      </c>
      <c r="M632">
        <f>IFERROR(VLOOKUP(A632,库龄!B:N,12,0),0)</f>
        <v>0</v>
      </c>
      <c r="N632">
        <f t="shared" si="20"/>
        <v>3</v>
      </c>
    </row>
    <row r="633" spans="1:14">
      <c r="A633" s="3" t="s">
        <v>2469</v>
      </c>
      <c r="B633">
        <f>IFERROR(VLOOKUP(A633,管理亚马逊库存!A:K,11,0),"")</f>
        <v>1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1</v>
      </c>
      <c r="N633">
        <f t="shared" si="20"/>
        <v>1</v>
      </c>
    </row>
    <row r="634" spans="1:14">
      <c r="A634" s="3" t="s">
        <v>2474</v>
      </c>
      <c r="B634">
        <f>IFERROR(VLOOKUP(A634,管理亚马逊库存!A:K,11,0),"")</f>
        <v>1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2477</v>
      </c>
      <c r="B635">
        <f>IFERROR(VLOOKUP(A635,管理亚马逊库存!A:K,11,0),"")</f>
        <v>2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2</v>
      </c>
      <c r="N635">
        <f t="shared" si="20"/>
        <v>2</v>
      </c>
    </row>
    <row r="636" spans="1:14">
      <c r="A636" s="3" t="s">
        <v>2480</v>
      </c>
      <c r="B636">
        <f>IFERROR(VLOOKUP(A636,管理亚马逊库存!A:K,11,0),"")</f>
        <v>6</v>
      </c>
      <c r="C636">
        <f>IFERROR(VLOOKUP(A636,管理亚马逊库存!A:L,12,0),"")</f>
        <v>1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3</v>
      </c>
      <c r="K636">
        <f>IFERROR(VLOOKUP(A636,库龄!B:L,10,0),0)</f>
        <v>2</v>
      </c>
      <c r="L636">
        <f>IFERROR(VLOOKUP(A636,库龄!B:M,11,0),0)</f>
        <v>1</v>
      </c>
      <c r="M636">
        <f>IFERROR(VLOOKUP(A636,库龄!B:N,12,0),0)</f>
        <v>0</v>
      </c>
      <c r="N636">
        <f t="shared" si="20"/>
        <v>6</v>
      </c>
    </row>
    <row r="637" spans="1:14">
      <c r="A637" s="3" t="s">
        <v>2483</v>
      </c>
      <c r="B637">
        <f>IFERROR(VLOOKUP(A637,管理亚马逊库存!A:K,11,0),"")</f>
        <v>3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3</v>
      </c>
      <c r="M637">
        <f>IFERROR(VLOOKUP(A637,库龄!B:N,12,0),0)</f>
        <v>0</v>
      </c>
      <c r="N637">
        <f t="shared" si="20"/>
        <v>3</v>
      </c>
    </row>
    <row r="638" spans="1:14">
      <c r="A638" s="3" t="s">
        <v>2487</v>
      </c>
      <c r="B638">
        <f>IFERROR(VLOOKUP(A638,管理亚马逊库存!A:K,11,0),"")</f>
        <v>3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3</v>
      </c>
      <c r="N638">
        <f t="shared" si="20"/>
        <v>3</v>
      </c>
    </row>
    <row r="639" spans="1:14">
      <c r="A639" s="3" t="s">
        <v>2491</v>
      </c>
      <c r="B639">
        <f>IFERROR(VLOOKUP(A639,管理亚马逊库存!A:K,11,0),"")</f>
        <v>1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1</v>
      </c>
      <c r="N639">
        <f t="shared" si="20"/>
        <v>1</v>
      </c>
    </row>
    <row r="640" spans="1:14">
      <c r="A640" s="3" t="s">
        <v>2495</v>
      </c>
      <c r="B640">
        <f>IFERROR(VLOOKUP(A640,管理亚马逊库存!A:K,11,0),"")</f>
        <v>12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1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1</v>
      </c>
    </row>
    <row r="641" spans="1:14">
      <c r="A641" s="3" t="s">
        <v>2498</v>
      </c>
      <c r="B641">
        <f>IFERROR(VLOOKUP(A641,管理亚马逊库存!A:K,11,0),"")</f>
        <v>4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3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3</v>
      </c>
    </row>
    <row r="642" spans="1:14">
      <c r="A642" s="3" t="s">
        <v>2501</v>
      </c>
      <c r="B642">
        <f>IFERROR(VLOOKUP(A642,管理亚马逊库存!A:K,11,0),"")</f>
        <v>7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3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3</v>
      </c>
    </row>
    <row r="643" spans="1:14">
      <c r="A643" s="3" t="s">
        <v>2504</v>
      </c>
      <c r="B643">
        <f>IFERROR(VLOOKUP(A643,管理亚马逊库存!A:K,11,0),"")</f>
        <v>6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1</v>
      </c>
      <c r="K643">
        <f>IFERROR(VLOOKUP(A643,库龄!B:L,10,0),0)</f>
        <v>0</v>
      </c>
      <c r="L643">
        <f>IFERROR(VLOOKUP(A643,库龄!B:M,11,0),0)</f>
        <v>5</v>
      </c>
      <c r="M643">
        <f>IFERROR(VLOOKUP(A643,库龄!B:N,12,0),0)</f>
        <v>0</v>
      </c>
      <c r="N643">
        <f t="shared" ref="N643:N706" si="22">SUM(J643:M643)</f>
        <v>6</v>
      </c>
    </row>
    <row r="644" spans="1:14">
      <c r="A644" s="3" t="s">
        <v>2508</v>
      </c>
      <c r="B644">
        <f>IFERROR(VLOOKUP(A644,管理亚马逊库存!A:K,11,0),"")</f>
        <v>4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2511</v>
      </c>
      <c r="B645">
        <f>IFERROR(VLOOKUP(A645,管理亚马逊库存!A:K,11,0),"")</f>
        <v>4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4</v>
      </c>
      <c r="N645">
        <f t="shared" si="22"/>
        <v>4</v>
      </c>
    </row>
    <row r="646" spans="1:14">
      <c r="A646" s="3" t="s">
        <v>2515</v>
      </c>
      <c r="B646">
        <f>IFERROR(VLOOKUP(A646,管理亚马逊库存!A:K,11,0),"")</f>
        <v>1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1</v>
      </c>
      <c r="M646">
        <f>IFERROR(VLOOKUP(A646,库龄!B:N,12,0),0)</f>
        <v>0</v>
      </c>
      <c r="N646">
        <f t="shared" si="22"/>
        <v>1</v>
      </c>
    </row>
    <row r="647" spans="1:14">
      <c r="A647" s="3" t="s">
        <v>2519</v>
      </c>
      <c r="B647">
        <f>IFERROR(VLOOKUP(A647,管理亚马逊库存!A:K,11,0),"")</f>
        <v>9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2</v>
      </c>
      <c r="K647">
        <f>IFERROR(VLOOKUP(A647,库龄!B:L,10,0),0)</f>
        <v>0</v>
      </c>
      <c r="L647">
        <f>IFERROR(VLOOKUP(A647,库龄!B:M,11,0),0)</f>
        <v>7</v>
      </c>
      <c r="M647">
        <f>IFERROR(VLOOKUP(A647,库龄!B:N,12,0),0)</f>
        <v>0</v>
      </c>
      <c r="N647">
        <f t="shared" si="22"/>
        <v>9</v>
      </c>
    </row>
    <row r="648" spans="1:14">
      <c r="A648" s="3" t="s">
        <v>2522</v>
      </c>
      <c r="B648">
        <f>IFERROR(VLOOKUP(A648,管理亚马逊库存!A:K,11,0),"")</f>
        <v>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1</v>
      </c>
      <c r="N648">
        <f t="shared" si="22"/>
        <v>1</v>
      </c>
    </row>
    <row r="649" spans="1:14">
      <c r="A649" s="3" t="s">
        <v>2526</v>
      </c>
      <c r="B649">
        <f>IFERROR(VLOOKUP(A649,管理亚马逊库存!A:K,11,0),"")</f>
        <v>1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2531</v>
      </c>
      <c r="B650">
        <f>IFERROR(VLOOKUP(A650,管理亚马逊库存!A:K,11,0),"")</f>
        <v>3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1</v>
      </c>
      <c r="L650">
        <f>IFERROR(VLOOKUP(A650,库龄!B:M,11,0),0)</f>
        <v>1</v>
      </c>
      <c r="M650">
        <f>IFERROR(VLOOKUP(A650,库龄!B:N,12,0),0)</f>
        <v>0</v>
      </c>
      <c r="N650">
        <f t="shared" si="22"/>
        <v>2</v>
      </c>
    </row>
    <row r="651" spans="1:14">
      <c r="A651" s="3" t="s">
        <v>2535</v>
      </c>
      <c r="B651">
        <f>IFERROR(VLOOKUP(A651,管理亚马逊库存!A:K,11,0),"")</f>
        <v>13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8</v>
      </c>
      <c r="K651">
        <f>IFERROR(VLOOKUP(A651,库龄!B:L,10,0),0)</f>
        <v>2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10</v>
      </c>
    </row>
    <row r="652" spans="1:14">
      <c r="A652" s="3" t="s">
        <v>2539</v>
      </c>
      <c r="B652">
        <f>IFERROR(VLOOKUP(A652,管理亚马逊库存!A:K,11,0),"")</f>
        <v>10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10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10</v>
      </c>
    </row>
    <row r="653" spans="1:14">
      <c r="A653" s="3" t="s">
        <v>2544</v>
      </c>
      <c r="B653">
        <f>IFERROR(VLOOKUP(A653,管理亚马逊库存!A:K,11,0),"")</f>
        <v>2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1</v>
      </c>
      <c r="M653">
        <f>IFERROR(VLOOKUP(A653,库龄!B:N,12,0),0)</f>
        <v>1</v>
      </c>
      <c r="N653">
        <f t="shared" si="22"/>
        <v>2</v>
      </c>
    </row>
    <row r="654" spans="1:14">
      <c r="A654" s="3" t="s">
        <v>2548</v>
      </c>
      <c r="B654">
        <f>IFERROR(VLOOKUP(A654,管理亚马逊库存!A:K,11,0),"")</f>
        <v>1</v>
      </c>
      <c r="C654">
        <f>IFERROR(VLOOKUP(A654,管理亚马逊库存!A:L,12,0),"")</f>
        <v>1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2551</v>
      </c>
      <c r="B655">
        <f>IFERROR(VLOOKUP(A655,管理亚马逊库存!A:K,11,0),"")</f>
        <v>1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1</v>
      </c>
      <c r="M655">
        <f>IFERROR(VLOOKUP(A655,库龄!B:N,12,0),0)</f>
        <v>0</v>
      </c>
      <c r="N655">
        <f t="shared" si="22"/>
        <v>1</v>
      </c>
    </row>
    <row r="656" spans="1:14">
      <c r="A656" s="3" t="s">
        <v>2554</v>
      </c>
      <c r="B656">
        <f>IFERROR(VLOOKUP(A656,管理亚马逊库存!A:K,11,0),"")</f>
        <v>1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1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1</v>
      </c>
    </row>
    <row r="657" spans="1:14">
      <c r="A657" s="3" t="s">
        <v>2557</v>
      </c>
      <c r="B657">
        <f>IFERROR(VLOOKUP(A657,管理亚马逊库存!A:K,11,0),"")</f>
        <v>3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3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3</v>
      </c>
    </row>
    <row r="658" spans="1:14">
      <c r="A658" s="3" t="s">
        <v>2574</v>
      </c>
      <c r="B658">
        <f>IFERROR(VLOOKUP(A658,管理亚马逊库存!A:K,11,0),"")</f>
        <v>0</v>
      </c>
      <c r="C658">
        <f>IFERROR(VLOOKUP(A658,管理亚马逊库存!A:L,12,0),"")</f>
        <v>1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2578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2582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2586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2590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2594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2598</v>
      </c>
      <c r="B664">
        <f>IFERROR(VLOOKUP(A664,管理亚马逊库存!A:K,11,0),"")</f>
        <v>0</v>
      </c>
      <c r="C664">
        <f>IFERROR(VLOOKUP(A664,管理亚马逊库存!A:L,12,0),"")</f>
        <v>2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2602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2605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2608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2612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2615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2618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2621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2624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2628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2631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2634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2637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2640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2644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2648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2652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2656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2660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2664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2668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2672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2676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2679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2682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2686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2690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2694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2698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2702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2706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2710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2713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2717</v>
      </c>
      <c r="B697">
        <f>IFERROR(VLOOKUP(A697,管理亚马逊库存!A:K,11,0),"")</f>
        <v>0</v>
      </c>
      <c r="C697">
        <f>IFERROR(VLOOKUP(A697,管理亚马逊库存!A:L,12,0),"")</f>
        <v>1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2721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2724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2727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2730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2733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2736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2739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2742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2745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2749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2753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2757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2760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2763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2766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2770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2774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2777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2780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2783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2786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2790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2793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2796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2799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2803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2807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2811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2814</v>
      </c>
      <c r="B726">
        <f>IFERROR(VLOOKUP(A726,管理亚马逊库存!A:K,11,0),"")</f>
        <v>0</v>
      </c>
      <c r="C726">
        <f>IFERROR(VLOOKUP(A726,管理亚马逊库存!A:L,12,0),"")</f>
        <v>4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2817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2820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2824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2827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2831</v>
      </c>
      <c r="B731">
        <f>IFERROR(VLOOKUP(A731,管理亚马逊库存!A:K,11,0),"")</f>
        <v>0</v>
      </c>
      <c r="C731">
        <f>IFERROR(VLOOKUP(A731,管理亚马逊库存!A:L,12,0),"")</f>
        <v>1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2835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2839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2843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2847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2850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2853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2856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2859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2862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2865</v>
      </c>
      <c r="B741">
        <f>IFERROR(VLOOKUP(A741,管理亚马逊库存!A:K,11,0),"")</f>
        <v>0</v>
      </c>
      <c r="C741">
        <f>IFERROR(VLOOKUP(A741,管理亚马逊库存!A:L,12,0),"")</f>
        <v>1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2868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2871</v>
      </c>
      <c r="B743">
        <f>IFERROR(VLOOKUP(A743,管理亚马逊库存!A:K,11,0),"")</f>
        <v>0</v>
      </c>
      <c r="C743">
        <f>IFERROR(VLOOKUP(A743,管理亚马逊库存!A:L,12,0),"")</f>
        <v>1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2874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2877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2880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2884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2887</v>
      </c>
      <c r="B748">
        <f>IFERROR(VLOOKUP(A748,管理亚马逊库存!A:K,11,0),"")</f>
        <v>0</v>
      </c>
      <c r="C748">
        <f>IFERROR(VLOOKUP(A748,管理亚马逊库存!A:L,12,0),"")</f>
        <v>1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2891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2895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2898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2901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2904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2907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2910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2914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2917</v>
      </c>
      <c r="B757">
        <f>IFERROR(VLOOKUP(A757,管理亚马逊库存!A:K,11,0),"")</f>
        <v>0</v>
      </c>
      <c r="C757">
        <f>IFERROR(VLOOKUP(A757,管理亚马逊库存!A:L,12,0),"")</f>
        <v>1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2920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2923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2927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2930</v>
      </c>
      <c r="B761">
        <f>IFERROR(VLOOKUP(A761,管理亚马逊库存!A:K,11,0),"")</f>
        <v>0</v>
      </c>
      <c r="C761">
        <f>IFERROR(VLOOKUP(A761,管理亚马逊库存!A:L,12,0),"")</f>
        <v>1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2933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2936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2939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2942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2945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2949</v>
      </c>
      <c r="B767">
        <f>IFERROR(VLOOKUP(A767,管理亚马逊库存!A:K,11,0),"")</f>
        <v>0</v>
      </c>
      <c r="C767">
        <f>IFERROR(VLOOKUP(A767,管理亚马逊库存!A:L,12,0),"")</f>
        <v>1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2952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2956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2960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2963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2966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2970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2973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2976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2979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2982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2985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2988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2992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2996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2999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3002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3006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3009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3012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3015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3018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3021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3024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3027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3031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3034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3037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3041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3044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3047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3050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3053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3056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3059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3062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3065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3068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3071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3074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3078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3081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3084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3087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3090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3094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3097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3100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3103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3106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3109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3112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3115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3118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3122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3125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3128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3131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3135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3138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3141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3144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3148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3151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3154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3157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3160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3163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3166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3169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3172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3175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3178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3181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3184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3187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3190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3193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3196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3199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3202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3205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3208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3211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3214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3217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3220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3223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3226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3229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3232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3235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3238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3241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3244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3247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3250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3253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3256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3259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3262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3265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3268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3271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3274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3277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3280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3283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3286</v>
      </c>
      <c r="B875">
        <f>IFERROR(VLOOKUP(A875,管理亚马逊库存!A:K,11,0),"")</f>
        <v>0</v>
      </c>
      <c r="C875">
        <f>IFERROR(VLOOKUP(A875,管理亚马逊库存!A:L,12,0),"")</f>
        <v>7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3289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3293</v>
      </c>
      <c r="B877">
        <f>IFERROR(VLOOKUP(A877,管理亚马逊库存!A:K,11,0),"")</f>
        <v>0</v>
      </c>
      <c r="C877">
        <f>IFERROR(VLOOKUP(A877,管理亚马逊库存!A:L,12,0),"")</f>
        <v>2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3296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3299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3302</v>
      </c>
      <c r="B880">
        <f>IFERROR(VLOOKUP(A880,管理亚马逊库存!A:K,11,0),"")</f>
        <v>0</v>
      </c>
      <c r="C880">
        <f>IFERROR(VLOOKUP(A880,管理亚马逊库存!A:L,12,0),"")</f>
        <v>2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3305</v>
      </c>
      <c r="B881">
        <f>IFERROR(VLOOKUP(A881,管理亚马逊库存!A:K,11,0),"")</f>
        <v>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3308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3311</v>
      </c>
      <c r="B883">
        <f>IFERROR(VLOOKUP(A883,管理亚马逊库存!A:K,11,0),"")</f>
        <v>0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3314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3317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3320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3323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3326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3329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3332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3335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3338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3341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3344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3347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3350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3353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3356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3359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3362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0</v>
      </c>
    </row>
    <row r="901" spans="1:14">
      <c r="A901" s="3" t="s">
        <v>3365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3368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3371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3374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3377</v>
      </c>
      <c r="B905">
        <f>IFERROR(VLOOKUP(A905,管理亚马逊库存!A:K,11,0),"")</f>
        <v>0</v>
      </c>
      <c r="C905">
        <f>IFERROR(VLOOKUP(A905,管理亚马逊库存!A:L,12,0),"")</f>
        <v>1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3380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3383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3386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3389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3392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3395</v>
      </c>
      <c r="B911">
        <f>IFERROR(VLOOKUP(A911,管理亚马逊库存!A:K,11,0),"")</f>
        <v>0</v>
      </c>
      <c r="C911">
        <f>IFERROR(VLOOKUP(A911,管理亚马逊库存!A:L,12,0),"")</f>
        <v>3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3398</v>
      </c>
      <c r="B912">
        <f>IFERROR(VLOOKUP(A912,管理亚马逊库存!A:K,11,0),"")</f>
        <v>0</v>
      </c>
      <c r="C912">
        <f>IFERROR(VLOOKUP(A912,管理亚马逊库存!A:L,12,0),"")</f>
        <v>2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3401</v>
      </c>
      <c r="B913">
        <f>IFERROR(VLOOKUP(A913,管理亚马逊库存!A:K,11,0),"")</f>
        <v>0</v>
      </c>
      <c r="C913">
        <f>IFERROR(VLOOKUP(A913,管理亚马逊库存!A:L,12,0),"")</f>
        <v>1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3404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3407</v>
      </c>
      <c r="B915">
        <f>IFERROR(VLOOKUP(A915,管理亚马逊库存!A:K,11,0),"")</f>
        <v>0</v>
      </c>
      <c r="C915">
        <f>IFERROR(VLOOKUP(A915,管理亚马逊库存!A:L,12,0),"")</f>
        <v>1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3410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3413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3417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3420</v>
      </c>
      <c r="B919">
        <f>IFERROR(VLOOKUP(A919,管理亚马逊库存!A:K,11,0),"")</f>
        <v>0</v>
      </c>
      <c r="C919">
        <f>IFERROR(VLOOKUP(A919,管理亚马逊库存!A:L,12,0),"")</f>
        <v>1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3424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0</v>
      </c>
    </row>
    <row r="921" spans="1:14">
      <c r="A921" s="3" t="s">
        <v>3427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3430</v>
      </c>
      <c r="B922">
        <f>IFERROR(VLOOKUP(A922,管理亚马逊库存!A:K,11,0),"")</f>
        <v>0</v>
      </c>
      <c r="C922">
        <f>IFERROR(VLOOKUP(A922,管理亚马逊库存!A:L,12,0),"")</f>
        <v>3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3434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3437</v>
      </c>
      <c r="B924">
        <f>IFERROR(VLOOKUP(A924,管理亚马逊库存!A:K,11,0),"")</f>
        <v>0</v>
      </c>
      <c r="C924">
        <f>IFERROR(VLOOKUP(A924,管理亚马逊库存!A:L,12,0),"")</f>
        <v>1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3441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3444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3448</v>
      </c>
      <c r="B927">
        <f>IFERROR(VLOOKUP(A927,管理亚马逊库存!A:K,11,0),"")</f>
        <v>0</v>
      </c>
      <c r="C927">
        <f>IFERROR(VLOOKUP(A927,管理亚马逊库存!A:L,12,0),"")</f>
        <v>1</v>
      </c>
      <c r="D927">
        <f>IFERROR(VLOOKUP(A927,管理亚马逊库存!A:Q,17,0),"")</f>
        <v>10</v>
      </c>
      <c r="E927">
        <f>IFERROR(VLOOKUP(A927,管理亚马逊库存!A:R,18,0),"")</f>
        <v>0</v>
      </c>
      <c r="F927">
        <f t="shared" si="29"/>
        <v>10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3451</v>
      </c>
      <c r="B928">
        <f>IFERROR(VLOOKUP(A928,管理亚马逊库存!A:K,11,0),"")</f>
        <v>0</v>
      </c>
      <c r="C928">
        <f>IFERROR(VLOOKUP(A928,管理亚马逊库存!A:L,12,0),"")</f>
        <v>1</v>
      </c>
      <c r="D928">
        <f>IFERROR(VLOOKUP(A928,管理亚马逊库存!A:Q,17,0),"")</f>
        <v>15</v>
      </c>
      <c r="E928">
        <f>IFERROR(VLOOKUP(A928,管理亚马逊库存!A:R,18,0),"")</f>
        <v>0</v>
      </c>
      <c r="F928">
        <f t="shared" si="29"/>
        <v>15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3454</v>
      </c>
      <c r="B929">
        <f>IFERROR(VLOOKUP(A929,管理亚马逊库存!A:K,11,0),"")</f>
        <v>0</v>
      </c>
      <c r="C929">
        <f>IFERROR(VLOOKUP(A929,管理亚马逊库存!A:L,12,0),"")</f>
        <v>3</v>
      </c>
      <c r="D929">
        <f>IFERROR(VLOOKUP(A929,管理亚马逊库存!A:Q,17,0),"")</f>
        <v>3</v>
      </c>
      <c r="E929">
        <f>IFERROR(VLOOKUP(A929,管理亚马逊库存!A:R,18,0),"")</f>
        <v>0</v>
      </c>
      <c r="F929">
        <f t="shared" si="29"/>
        <v>3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3457</v>
      </c>
      <c r="B930">
        <f>IFERROR(VLOOKUP(A930,管理亚马逊库存!A:K,11,0),"")</f>
        <v>0</v>
      </c>
      <c r="C930">
        <f>IFERROR(VLOOKUP(A930,管理亚马逊库存!A:L,12,0),"")</f>
        <v>2</v>
      </c>
      <c r="D930">
        <f>IFERROR(VLOOKUP(A930,管理亚马逊库存!A:Q,17,0),"")</f>
        <v>5</v>
      </c>
      <c r="E930">
        <f>IFERROR(VLOOKUP(A930,管理亚马逊库存!A:R,18,0),"")</f>
        <v>0</v>
      </c>
      <c r="F930">
        <f t="shared" si="29"/>
        <v>5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3461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6</v>
      </c>
      <c r="E931">
        <f>IFERROR(VLOOKUP(A931,管理亚马逊库存!A:R,18,0),"")</f>
        <v>0</v>
      </c>
      <c r="F931">
        <f t="shared" si="29"/>
        <v>6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3464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3467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3470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0</v>
      </c>
    </row>
    <row r="935" spans="1:14">
      <c r="A935" s="3" t="s">
        <v>3473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3476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3479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3482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3485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3488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3491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3494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3497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3500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3504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3507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3510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0</v>
      </c>
    </row>
    <row r="948" spans="1:14">
      <c r="A948" s="3" t="s">
        <v>3513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3516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3519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3522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3525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3528</v>
      </c>
      <c r="B953">
        <f>IFERROR(VLOOKUP(A953,管理亚马逊库存!A:K,11,0),"")</f>
        <v>0</v>
      </c>
      <c r="C953">
        <f>IFERROR(VLOOKUP(A953,管理亚马逊库存!A:L,12,0),"")</f>
        <v>2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3531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3535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3538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3541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3544</v>
      </c>
      <c r="B958">
        <f>IFERROR(VLOOKUP(A958,管理亚马逊库存!A:K,11,0),"")</f>
        <v>0</v>
      </c>
      <c r="C958">
        <f>IFERROR(VLOOKUP(A958,管理亚马逊库存!A:L,12,0),"")</f>
        <v>1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3547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3550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3553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3557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3561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3565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3569</v>
      </c>
      <c r="B965">
        <f>IFERROR(VLOOKUP(A965,管理亚马逊库存!A:K,11,0),"")</f>
        <v>0</v>
      </c>
      <c r="C965">
        <f>IFERROR(VLOOKUP(A965,管理亚马逊库存!A:L,12,0),"")</f>
        <v>1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3573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3577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3581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3585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3589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3593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3597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3601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3605</v>
      </c>
      <c r="B974">
        <f>IFERROR(VLOOKUP(A974,管理亚马逊库存!A:K,11,0),"")</f>
        <v>0</v>
      </c>
      <c r="C974">
        <f>IFERROR(VLOOKUP(A974,管理亚马逊库存!A:L,12,0),"")</f>
        <v>1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3609</v>
      </c>
      <c r="B975">
        <f>IFERROR(VLOOKUP(A975,管理亚马逊库存!A:K,11,0),"")</f>
        <v>0</v>
      </c>
      <c r="C975">
        <f>IFERROR(VLOOKUP(A975,管理亚马逊库存!A:L,12,0),"")</f>
        <v>1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3612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3616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3619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3622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3625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3628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3631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3634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3637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3640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3643</v>
      </c>
      <c r="B986">
        <f>IFERROR(VLOOKUP(A986,管理亚马逊库存!A:K,11,0),"")</f>
        <v>0</v>
      </c>
      <c r="C986">
        <f>IFERROR(VLOOKUP(A986,管理亚马逊库存!A:L,12,0),"")</f>
        <v>1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3646</v>
      </c>
      <c r="B987">
        <f>IFERROR(VLOOKUP(A987,管理亚马逊库存!A:K,11,0),"")</f>
        <v>0</v>
      </c>
      <c r="C987">
        <f>IFERROR(VLOOKUP(A987,管理亚马逊库存!A:L,12,0),"")</f>
        <v>1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3649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3652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3655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3658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3661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3664</v>
      </c>
      <c r="B993">
        <f>IFERROR(VLOOKUP(A993,管理亚马逊库存!A:K,11,0),"")</f>
        <v>0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3667</v>
      </c>
      <c r="B994">
        <f>IFERROR(VLOOKUP(A994,管理亚马逊库存!A:K,11,0),"")</f>
        <v>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3670</v>
      </c>
      <c r="B995">
        <f>IFERROR(VLOOKUP(A995,管理亚马逊库存!A:K,11,0),"")</f>
        <v>0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3673</v>
      </c>
      <c r="B996">
        <f>IFERROR(VLOOKUP(A996,管理亚马逊库存!A:K,11,0),"")</f>
        <v>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3677</v>
      </c>
      <c r="B997">
        <f>IFERROR(VLOOKUP(A997,管理亚马逊库存!A:K,11,0),"")</f>
        <v>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3680</v>
      </c>
      <c r="B998">
        <f>IFERROR(VLOOKUP(A998,管理亚马逊库存!A:K,11,0),"")</f>
        <v>0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3683</v>
      </c>
      <c r="B999">
        <f>IFERROR(VLOOKUP(A999,管理亚马逊库存!A:K,11,0),"")</f>
        <v>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3686</v>
      </c>
      <c r="B1000">
        <f>IFERROR(VLOOKUP(A1000,管理亚马逊库存!A:K,11,0),"")</f>
        <v>0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3690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3694</v>
      </c>
      <c r="B1002">
        <f>IFERROR(VLOOKUP(A1002,管理亚马逊库存!A:K,11,0),"")</f>
        <v>0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3697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3700</v>
      </c>
      <c r="B1004">
        <f>IFERROR(VLOOKUP(A1004,管理亚马逊库存!A:K,11,0),"")</f>
        <v>0</v>
      </c>
      <c r="C1004">
        <f>IFERROR(VLOOKUP(A1004,管理亚马逊库存!A:L,12,0),"")</f>
        <v>1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3704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3708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3711</v>
      </c>
      <c r="B1007">
        <f>IFERROR(VLOOKUP(A1007,管理亚马逊库存!A:K,11,0),"")</f>
        <v>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3714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3718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3722</v>
      </c>
      <c r="B1010">
        <f>IFERROR(VLOOKUP(A1010,管理亚马逊库存!A:K,11,0),"")</f>
        <v>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3726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3730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3734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3738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3742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3746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3749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3753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3757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3760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3763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3766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3769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3772</v>
      </c>
      <c r="B1024">
        <f>IFERROR(VLOOKUP(A1024,管理亚马逊库存!A:K,11,0),"")</f>
        <v>0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3776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3780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3783</v>
      </c>
      <c r="B1027">
        <f>IFERROR(VLOOKUP(A1027,管理亚马逊库存!A:K,11,0),"")</f>
        <v>0</v>
      </c>
      <c r="C1027">
        <f>IFERROR(VLOOKUP(A1027,管理亚马逊库存!A:L,12,0),"")</f>
        <v>1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8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80" si="34">SUM(J1027:M1027)</f>
        <v>0</v>
      </c>
    </row>
    <row r="1028" spans="1:14">
      <c r="A1028" s="3" t="s">
        <v>3787</v>
      </c>
      <c r="B1028">
        <f>IFERROR(VLOOKUP(A1028,管理亚马逊库存!A:K,11,0),"")</f>
        <v>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3790</v>
      </c>
      <c r="B1029">
        <f>IFERROR(VLOOKUP(A1029,管理亚马逊库存!A:K,11,0),"")</f>
        <v>0</v>
      </c>
      <c r="C1029">
        <f>IFERROR(VLOOKUP(A1029,管理亚马逊库存!A:L,12,0),"")</f>
        <v>3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3793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3796</v>
      </c>
      <c r="B1031">
        <f>IFERROR(VLOOKUP(A1031,管理亚马逊库存!A:K,11,0),"")</f>
        <v>0</v>
      </c>
      <c r="C1031">
        <f>IFERROR(VLOOKUP(A1031,管理亚马逊库存!A:L,12,0),"")</f>
        <v>2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3799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3802</v>
      </c>
      <c r="B1033">
        <f>IFERROR(VLOOKUP(A1033,管理亚马逊库存!A:K,11,0),"")</f>
        <v>0</v>
      </c>
      <c r="C1033">
        <f>IFERROR(VLOOKUP(A1033,管理亚马逊库存!A:L,12,0),"")</f>
        <v>1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3805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10</v>
      </c>
      <c r="E1034">
        <f>IFERROR(VLOOKUP(A1034,管理亚马逊库存!A:R,18,0),"")</f>
        <v>0</v>
      </c>
      <c r="F1034">
        <f t="shared" si="33"/>
        <v>10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3808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3</v>
      </c>
      <c r="E1035">
        <f>IFERROR(VLOOKUP(A1035,管理亚马逊库存!A:R,18,0),"")</f>
        <v>0</v>
      </c>
      <c r="F1035">
        <f t="shared" si="33"/>
        <v>3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3811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3814</v>
      </c>
      <c r="B1037">
        <f>IFERROR(VLOOKUP(A1037,管理亚马逊库存!A:K,11,0),"")</f>
        <v>0</v>
      </c>
      <c r="C1037">
        <f>IFERROR(VLOOKUP(A1037,管理亚马逊库存!A:L,12,0),"")</f>
        <v>1</v>
      </c>
      <c r="D1037">
        <f>IFERROR(VLOOKUP(A1037,管理亚马逊库存!A:Q,17,0),"")</f>
        <v>10</v>
      </c>
      <c r="E1037">
        <f>IFERROR(VLOOKUP(A1037,管理亚马逊库存!A:R,18,0),"")</f>
        <v>0</v>
      </c>
      <c r="F1037">
        <f t="shared" si="33"/>
        <v>10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3817</v>
      </c>
      <c r="B1038">
        <f>IFERROR(VLOOKUP(A1038,管理亚马逊库存!A:K,11,0),"")</f>
        <v>0</v>
      </c>
      <c r="C1038">
        <f>IFERROR(VLOOKUP(A1038,管理亚马逊库存!A:L,12,0),"")</f>
        <v>1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3820</v>
      </c>
      <c r="B1039">
        <f>IFERROR(VLOOKUP(A1039,管理亚马逊库存!A:K,11,0),"")</f>
        <v>0</v>
      </c>
      <c r="C1039">
        <f>IFERROR(VLOOKUP(A1039,管理亚马逊库存!A:L,12,0),"")</f>
        <v>2</v>
      </c>
      <c r="D1039">
        <f>IFERROR(VLOOKUP(A1039,管理亚马逊库存!A:Q,17,0),"")</f>
        <v>5</v>
      </c>
      <c r="E1039">
        <f>IFERROR(VLOOKUP(A1039,管理亚马逊库存!A:R,18,0),"")</f>
        <v>0</v>
      </c>
      <c r="F1039">
        <f t="shared" si="33"/>
        <v>5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3823</v>
      </c>
      <c r="B1040">
        <f>IFERROR(VLOOKUP(A1040,管理亚马逊库存!A:K,11,0),"")</f>
        <v>0</v>
      </c>
      <c r="C1040">
        <f>IFERROR(VLOOKUP(A1040,管理亚马逊库存!A:L,12,0),"")</f>
        <v>4</v>
      </c>
      <c r="D1040">
        <f>IFERROR(VLOOKUP(A1040,管理亚马逊库存!A:Q,17,0),"")</f>
        <v>10</v>
      </c>
      <c r="E1040">
        <f>IFERROR(VLOOKUP(A1040,管理亚马逊库存!A:R,18,0),"")</f>
        <v>0</v>
      </c>
      <c r="F1040">
        <f t="shared" si="33"/>
        <v>10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3826</v>
      </c>
      <c r="B1041">
        <f>IFERROR(VLOOKUP(A1041,管理亚马逊库存!A:K,11,0),"")</f>
        <v>0</v>
      </c>
      <c r="C1041">
        <f>IFERROR(VLOOKUP(A1041,管理亚马逊库存!A:L,12,0),"")</f>
        <v>3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3829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3832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3835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3838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3841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3844</v>
      </c>
      <c r="B1047">
        <f>IFERROR(VLOOKUP(A1047,管理亚马逊库存!A:K,11,0),"")</f>
        <v>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3847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3850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3853</v>
      </c>
      <c r="B1050">
        <f>IFERROR(VLOOKUP(A1050,管理亚马逊库存!A:K,11,0),"")</f>
        <v>0</v>
      </c>
      <c r="C1050">
        <f>IFERROR(VLOOKUP(A1050,管理亚马逊库存!A:L,12,0),"")</f>
        <v>1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3856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3859</v>
      </c>
      <c r="B1052">
        <f>IFERROR(VLOOKUP(A1052,管理亚马逊库存!A:K,11,0),"")</f>
        <v>0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3862</v>
      </c>
      <c r="B1053">
        <f>IFERROR(VLOOKUP(A1053,管理亚马逊库存!A:K,11,0),"")</f>
        <v>0</v>
      </c>
      <c r="C1053">
        <f>IFERROR(VLOOKUP(A1053,管理亚马逊库存!A:L,12,0),"")</f>
        <v>1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3865</v>
      </c>
      <c r="B1054">
        <f>IFERROR(VLOOKUP(A1054,管理亚马逊库存!A:K,11,0),"")</f>
        <v>0</v>
      </c>
      <c r="C1054">
        <f>IFERROR(VLOOKUP(A1054,管理亚马逊库存!A:L,12,0),"")</f>
        <v>1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3868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3871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3874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3878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3881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3884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3887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3890</v>
      </c>
      <c r="B1062">
        <f>IFERROR(VLOOKUP(A1062,管理亚马逊库存!A:K,11,0),"")</f>
        <v>0</v>
      </c>
      <c r="C1062">
        <f>IFERROR(VLOOKUP(A1062,管理亚马逊库存!A:L,12,0),"")</f>
        <v>2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3893</v>
      </c>
      <c r="B1063">
        <f>IFERROR(VLOOKUP(A1063,管理亚马逊库存!A:K,11,0),"")</f>
        <v>0</v>
      </c>
      <c r="C1063">
        <f>IFERROR(VLOOKUP(A1063,管理亚马逊库存!A:L,12,0),"")</f>
        <v>2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3896</v>
      </c>
      <c r="B1064">
        <f>IFERROR(VLOOKUP(A1064,管理亚马逊库存!A:K,11,0),"")</f>
        <v>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3899</v>
      </c>
      <c r="B1065">
        <f>IFERROR(VLOOKUP(A1065,管理亚马逊库存!A:K,11,0),"")</f>
        <v>0</v>
      </c>
      <c r="C1065">
        <f>IFERROR(VLOOKUP(A1065,管理亚马逊库存!A:L,12,0),"")</f>
        <v>2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3902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3905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3908</v>
      </c>
      <c r="B1068">
        <f>IFERROR(VLOOKUP(A1068,管理亚马逊库存!A:K,11,0),"")</f>
        <v>0</v>
      </c>
      <c r="C1068">
        <f>IFERROR(VLOOKUP(A1068,管理亚马逊库存!A:L,12,0),"")</f>
        <v>1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3911</v>
      </c>
      <c r="B1069">
        <f>IFERROR(VLOOKUP(A1069,管理亚马逊库存!A:K,11,0),"")</f>
        <v>0</v>
      </c>
      <c r="C1069">
        <f>IFERROR(VLOOKUP(A1069,管理亚马逊库存!A:L,12,0),"")</f>
        <v>3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3914</v>
      </c>
      <c r="B1070">
        <f>IFERROR(VLOOKUP(A1070,管理亚马逊库存!A:K,11,0),"")</f>
        <v>0</v>
      </c>
      <c r="C1070">
        <f>IFERROR(VLOOKUP(A1070,管理亚马逊库存!A:L,12,0),"")</f>
        <v>3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3917</v>
      </c>
      <c r="B1071">
        <f>IFERROR(VLOOKUP(A1071,管理亚马逊库存!A:K,11,0),"")</f>
        <v>0</v>
      </c>
      <c r="C1071">
        <f>IFERROR(VLOOKUP(A1071,管理亚马逊库存!A:L,12,0),"")</f>
        <v>4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3920</v>
      </c>
      <c r="B1072">
        <f>IFERROR(VLOOKUP(A1072,管理亚马逊库存!A:K,11,0),"")</f>
        <v>0</v>
      </c>
      <c r="C1072">
        <f>IFERROR(VLOOKUP(A1072,管理亚马逊库存!A:L,12,0),"")</f>
        <v>2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3923</v>
      </c>
      <c r="B1073">
        <f>IFERROR(VLOOKUP(A1073,管理亚马逊库存!A:K,11,0),"")</f>
        <v>0</v>
      </c>
      <c r="C1073">
        <f>IFERROR(VLOOKUP(A1073,管理亚马逊库存!A:L,12,0),"")</f>
        <v>2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3926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3930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3934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3937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3940</v>
      </c>
      <c r="B1078">
        <f>IFERROR(VLOOKUP(A1078,管理亚马逊库存!A:K,11,0),"")</f>
        <v>0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3943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3946</v>
      </c>
      <c r="B1080">
        <f>IFERROR(VLOOKUP(A1080,管理亚马逊库存!A:K,11,0),"")</f>
        <v>0</v>
      </c>
      <c r="C1080">
        <f>IFERROR(VLOOKUP(A1080,管理亚马逊库存!A:L,12,0),"")</f>
        <v>1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2:14">
      <c r="B1081" t="str">
        <f>IFERROR(VLOOKUP(A1081,管理亚马逊库存!A:K,11,0),"")</f>
        <v/>
      </c>
      <c r="C1081" t="str">
        <f>IFERROR(VLOOKUP(A1081,管理亚马逊库存!A:L,12,0),"")</f>
        <v/>
      </c>
      <c r="D1081" t="str">
        <f>IFERROR(VLOOKUP(A1081,管理亚马逊库存!A:Q,17,0),"")</f>
        <v/>
      </c>
      <c r="E1081" t="str">
        <f>IFERROR(VLOOKUP(A1081,管理亚马逊库存!A:R,18,0),"")</f>
        <v/>
      </c>
      <c r="F1081">
        <f>SUM(D1081:E1081)</f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>SUM(J1081:M1081)</f>
        <v>0</v>
      </c>
    </row>
    <row r="1082" spans="2:14">
      <c r="B1082" t="str">
        <f>IFERROR(VLOOKUP(A1082,管理亚马逊库存!A:K,11,0),"")</f>
        <v/>
      </c>
      <c r="C1082" t="str">
        <f>IFERROR(VLOOKUP(A1082,管理亚马逊库存!A:L,12,0),"")</f>
        <v/>
      </c>
      <c r="D1082" t="str">
        <f>IFERROR(VLOOKUP(A1082,管理亚马逊库存!A:Q,17,0),"")</f>
        <v/>
      </c>
      <c r="E1082" t="str">
        <f>IFERROR(VLOOKUP(A1082,管理亚马逊库存!A:R,18,0),"")</f>
        <v/>
      </c>
      <c r="F1082">
        <f>SUM(D1082:E1082)</f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>SUM(J1082:M1082)</f>
        <v>0</v>
      </c>
    </row>
    <row r="1083" spans="2:14">
      <c r="B1083" t="str">
        <f>IFERROR(VLOOKUP(A1083,管理亚马逊库存!A:K,11,0),"")</f>
        <v/>
      </c>
      <c r="C1083" t="str">
        <f>IFERROR(VLOOKUP(A1083,管理亚马逊库存!A:L,12,0),"")</f>
        <v/>
      </c>
      <c r="D1083" t="str">
        <f>IFERROR(VLOOKUP(A1083,管理亚马逊库存!A:Q,17,0),"")</f>
        <v/>
      </c>
      <c r="E1083" t="str">
        <f>IFERROR(VLOOKUP(A1083,管理亚马逊库存!A:R,18,0),"")</f>
        <v/>
      </c>
      <c r="F1083">
        <f>SUM(D1083:E1083)</f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>SUM(J1083:M1083)</f>
        <v>0</v>
      </c>
    </row>
    <row r="1084" spans="2:14">
      <c r="B1084" t="str">
        <f>IFERROR(VLOOKUP(A1084,管理亚马逊库存!A:K,11,0),"")</f>
        <v/>
      </c>
      <c r="C1084" t="str">
        <f>IFERROR(VLOOKUP(A1084,管理亚马逊库存!A:L,12,0),"")</f>
        <v/>
      </c>
      <c r="D1084" t="str">
        <f>IFERROR(VLOOKUP(A1084,管理亚马逊库存!A:Q,17,0),"")</f>
        <v/>
      </c>
      <c r="E1084" t="str">
        <f>IFERROR(VLOOKUP(A1084,管理亚马逊库存!A:R,18,0),"")</f>
        <v/>
      </c>
      <c r="F1084">
        <f>SUM(D1084:E1084)</f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>SUM(J1084:M1084)</f>
        <v>0</v>
      </c>
    </row>
    <row r="1085" spans="2:14">
      <c r="B1085" t="str">
        <f>IFERROR(VLOOKUP(A1085,管理亚马逊库存!A:K,11,0),"")</f>
        <v/>
      </c>
      <c r="C1085" t="str">
        <f>IFERROR(VLOOKUP(A1085,管理亚马逊库存!A:L,12,0),"")</f>
        <v/>
      </c>
      <c r="D1085" t="str">
        <f>IFERROR(VLOOKUP(A1085,管理亚马逊库存!A:Q,17,0),"")</f>
        <v/>
      </c>
      <c r="E1085" t="str">
        <f>IFERROR(VLOOKUP(A1085,管理亚马逊库存!A:R,18,0),"")</f>
        <v/>
      </c>
      <c r="F1085">
        <f>SUM(D1085:E1085)</f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>SUM(J1085:M1085)</f>
        <v>0</v>
      </c>
    </row>
    <row r="1086" spans="2:14">
      <c r="B1086" t="str">
        <f>IFERROR(VLOOKUP(A1086,管理亚马逊库存!A:K,11,0),"")</f>
        <v/>
      </c>
      <c r="C1086" t="str">
        <f>IFERROR(VLOOKUP(A1086,管理亚马逊库存!A:L,12,0),"")</f>
        <v/>
      </c>
      <c r="D1086" t="str">
        <f>IFERROR(VLOOKUP(A1086,管理亚马逊库存!A:Q,17,0),"")</f>
        <v/>
      </c>
      <c r="E1086" t="str">
        <f>IFERROR(VLOOKUP(A1086,管理亚马逊库存!A:R,18,0),"")</f>
        <v/>
      </c>
      <c r="F1086">
        <f>SUM(D1086:E1086)</f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>SUM(J1086:M1086)</f>
        <v>0</v>
      </c>
    </row>
    <row r="1087" spans="2:14">
      <c r="B1087" t="str">
        <f>IFERROR(VLOOKUP(A1087,管理亚马逊库存!A:K,11,0),"")</f>
        <v/>
      </c>
      <c r="C1087" t="str">
        <f>IFERROR(VLOOKUP(A1087,管理亚马逊库存!A:L,12,0),"")</f>
        <v/>
      </c>
      <c r="D1087" t="str">
        <f>IFERROR(VLOOKUP(A1087,管理亚马逊库存!A:Q,17,0),"")</f>
        <v/>
      </c>
      <c r="E1087" t="str">
        <f>IFERROR(VLOOKUP(A1087,管理亚马逊库存!A:R,18,0),"")</f>
        <v/>
      </c>
      <c r="F1087">
        <f>SUM(D1087:E1087)</f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>SUM(J1087:M1087)</f>
        <v>0</v>
      </c>
    </row>
    <row r="1088" spans="2:14">
      <c r="B1088" t="str">
        <f>IFERROR(VLOOKUP(A1088,管理亚马逊库存!A:K,11,0),"")</f>
        <v/>
      </c>
      <c r="C1088" t="str">
        <f>IFERROR(VLOOKUP(A1088,管理亚马逊库存!A:L,12,0),"")</f>
        <v/>
      </c>
      <c r="D1088" t="str">
        <f>IFERROR(VLOOKUP(A1088,管理亚马逊库存!A:Q,17,0),"")</f>
        <v/>
      </c>
      <c r="E1088" t="str">
        <f>IFERROR(VLOOKUP(A1088,管理亚马逊库存!A:R,18,0),"")</f>
        <v/>
      </c>
      <c r="F1088">
        <f>SUM(D1088:E1088)</f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>SUM(J1088:M1088)</f>
        <v>0</v>
      </c>
    </row>
    <row r="1089" spans="2:14">
      <c r="B1089" t="str">
        <f>IFERROR(VLOOKUP(A1089,管理亚马逊库存!A:K,11,0),"")</f>
        <v/>
      </c>
      <c r="C1089" t="str">
        <f>IFERROR(VLOOKUP(A1089,管理亚马逊库存!A:L,12,0),"")</f>
        <v/>
      </c>
      <c r="D1089" t="str">
        <f>IFERROR(VLOOKUP(A1089,管理亚马逊库存!A:Q,17,0),"")</f>
        <v/>
      </c>
      <c r="E1089" t="str">
        <f>IFERROR(VLOOKUP(A1089,管理亚马逊库存!A:R,18,0),"")</f>
        <v/>
      </c>
      <c r="F1089">
        <f>SUM(D1089:E1089)</f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>SUM(J1089:M1089)</f>
        <v>0</v>
      </c>
    </row>
    <row r="1090" spans="2:14">
      <c r="B1090" t="str">
        <f>IFERROR(VLOOKUP(A1090,管理亚马逊库存!A:K,11,0),"")</f>
        <v/>
      </c>
      <c r="C1090" t="str">
        <f>IFERROR(VLOOKUP(A1090,管理亚马逊库存!A:L,12,0),"")</f>
        <v/>
      </c>
      <c r="D1090" t="str">
        <f>IFERROR(VLOOKUP(A1090,管理亚马逊库存!A:Q,17,0),"")</f>
        <v/>
      </c>
      <c r="E1090" t="str">
        <f>IFERROR(VLOOKUP(A1090,管理亚马逊库存!A:R,18,0),"")</f>
        <v/>
      </c>
      <c r="F1090">
        <f>SUM(D1090:E1090)</f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>SUM(J1090:M1090)</f>
        <v>0</v>
      </c>
    </row>
    <row r="1091" spans="2:14">
      <c r="B1091" t="str">
        <f>IFERROR(VLOOKUP(A1091,管理亚马逊库存!A:K,11,0),"")</f>
        <v/>
      </c>
      <c r="C1091" t="str">
        <f>IFERROR(VLOOKUP(A1091,管理亚马逊库存!A:L,12,0),"")</f>
        <v/>
      </c>
      <c r="D1091" t="str">
        <f>IFERROR(VLOOKUP(A1091,管理亚马逊库存!A:Q,17,0),"")</f>
        <v/>
      </c>
      <c r="E1091" t="str">
        <f>IFERROR(VLOOKUP(A1091,管理亚马逊库存!A:R,18,0),"")</f>
        <v/>
      </c>
      <c r="F1091">
        <f t="shared" ref="F1091:F1123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22" si="36">SUM(J1091:M1091)</f>
        <v>0</v>
      </c>
    </row>
    <row r="1092" spans="2:14">
      <c r="B1092" t="str">
        <f>IFERROR(VLOOKUP(A1092,管理亚马逊库存!A:K,11,0),"")</f>
        <v/>
      </c>
      <c r="C1092" t="str">
        <f>IFERROR(VLOOKUP(A1092,管理亚马逊库存!A:L,12,0),"")</f>
        <v/>
      </c>
      <c r="D1092" t="str">
        <f>IFERROR(VLOOKUP(A1092,管理亚马逊库存!A:Q,17,0),"")</f>
        <v/>
      </c>
      <c r="E1092" t="str">
        <f>IFERROR(VLOOKUP(A1092,管理亚马逊库存!A:R,18,0),"")</f>
        <v/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2:14">
      <c r="B1093" t="str">
        <f>IFERROR(VLOOKUP(A1093,管理亚马逊库存!A:K,11,0),"")</f>
        <v/>
      </c>
      <c r="C1093" t="str">
        <f>IFERROR(VLOOKUP(A1093,管理亚马逊库存!A:L,12,0),"")</f>
        <v/>
      </c>
      <c r="D1093" t="str">
        <f>IFERROR(VLOOKUP(A1093,管理亚马逊库存!A:Q,17,0),"")</f>
        <v/>
      </c>
      <c r="E1093" t="str">
        <f>IFERROR(VLOOKUP(A1093,管理亚马逊库存!A:R,18,0),"")</f>
        <v/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2:14">
      <c r="B1094" t="str">
        <f>IFERROR(VLOOKUP(A1094,管理亚马逊库存!A:K,11,0),"")</f>
        <v/>
      </c>
      <c r="C1094" t="str">
        <f>IFERROR(VLOOKUP(A1094,管理亚马逊库存!A:L,12,0),"")</f>
        <v/>
      </c>
      <c r="D1094" t="str">
        <f>IFERROR(VLOOKUP(A1094,管理亚马逊库存!A:Q,17,0),"")</f>
        <v/>
      </c>
      <c r="E1094" t="str">
        <f>IFERROR(VLOOKUP(A1094,管理亚马逊库存!A:R,18,0),"")</f>
        <v/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2:14">
      <c r="B1095" t="str">
        <f>IFERROR(VLOOKUP(A1095,管理亚马逊库存!A:K,11,0),"")</f>
        <v/>
      </c>
      <c r="C1095" t="str">
        <f>IFERROR(VLOOKUP(A1095,管理亚马逊库存!A:L,12,0),"")</f>
        <v/>
      </c>
      <c r="D1095" t="str">
        <f>IFERROR(VLOOKUP(A1095,管理亚马逊库存!A:Q,17,0),"")</f>
        <v/>
      </c>
      <c r="E1095" t="str">
        <f>IFERROR(VLOOKUP(A1095,管理亚马逊库存!A:R,18,0),"")</f>
        <v/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2:14">
      <c r="B1096" t="str">
        <f>IFERROR(VLOOKUP(A1096,管理亚马逊库存!A:K,11,0),"")</f>
        <v/>
      </c>
      <c r="C1096" t="str">
        <f>IFERROR(VLOOKUP(A1096,管理亚马逊库存!A:L,12,0),"")</f>
        <v/>
      </c>
      <c r="D1096" t="str">
        <f>IFERROR(VLOOKUP(A1096,管理亚马逊库存!A:Q,17,0),"")</f>
        <v/>
      </c>
      <c r="E1096" t="str">
        <f>IFERROR(VLOOKUP(A1096,管理亚马逊库存!A:R,18,0),"")</f>
        <v/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2:14">
      <c r="B1097" t="str">
        <f>IFERROR(VLOOKUP(A1097,管理亚马逊库存!A:K,11,0),"")</f>
        <v/>
      </c>
      <c r="C1097" t="str">
        <f>IFERROR(VLOOKUP(A1097,管理亚马逊库存!A:L,12,0),"")</f>
        <v/>
      </c>
      <c r="D1097" t="str">
        <f>IFERROR(VLOOKUP(A1097,管理亚马逊库存!A:Q,17,0),"")</f>
        <v/>
      </c>
      <c r="E1097" t="str">
        <f>IFERROR(VLOOKUP(A1097,管理亚马逊库存!A:R,18,0),"")</f>
        <v/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2:14">
      <c r="B1098" t="str">
        <f>IFERROR(VLOOKUP(A1098,管理亚马逊库存!A:K,11,0),"")</f>
        <v/>
      </c>
      <c r="C1098" t="str">
        <f>IFERROR(VLOOKUP(A1098,管理亚马逊库存!A:L,12,0),"")</f>
        <v/>
      </c>
      <c r="D1098" t="str">
        <f>IFERROR(VLOOKUP(A1098,管理亚马逊库存!A:Q,17,0),"")</f>
        <v/>
      </c>
      <c r="E1098" t="str">
        <f>IFERROR(VLOOKUP(A1098,管理亚马逊库存!A:R,18,0),"")</f>
        <v/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2:14">
      <c r="B1099" t="str">
        <f>IFERROR(VLOOKUP(A1099,管理亚马逊库存!A:K,11,0),"")</f>
        <v/>
      </c>
      <c r="C1099" t="str">
        <f>IFERROR(VLOOKUP(A1099,管理亚马逊库存!A:L,12,0),"")</f>
        <v/>
      </c>
      <c r="D1099" t="str">
        <f>IFERROR(VLOOKUP(A1099,管理亚马逊库存!A:Q,17,0),"")</f>
        <v/>
      </c>
      <c r="E1099" t="str">
        <f>IFERROR(VLOOKUP(A1099,管理亚马逊库存!A:R,18,0),"")</f>
        <v/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2:14">
      <c r="B1100" t="str">
        <f>IFERROR(VLOOKUP(A1100,管理亚马逊库存!A:K,11,0),"")</f>
        <v/>
      </c>
      <c r="C1100" t="str">
        <f>IFERROR(VLOOKUP(A1100,管理亚马逊库存!A:L,12,0),"")</f>
        <v/>
      </c>
      <c r="D1100" t="str">
        <f>IFERROR(VLOOKUP(A1100,管理亚马逊库存!A:Q,17,0),"")</f>
        <v/>
      </c>
      <c r="E1100" t="str">
        <f>IFERROR(VLOOKUP(A1100,管理亚马逊库存!A:R,18,0),"")</f>
        <v/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2:14">
      <c r="B1101" t="str">
        <f>IFERROR(VLOOKUP(A1101,管理亚马逊库存!A:K,11,0),"")</f>
        <v/>
      </c>
      <c r="C1101" t="str">
        <f>IFERROR(VLOOKUP(A1101,管理亚马逊库存!A:L,12,0),"")</f>
        <v/>
      </c>
      <c r="D1101" t="str">
        <f>IFERROR(VLOOKUP(A1101,管理亚马逊库存!A:Q,17,0),"")</f>
        <v/>
      </c>
      <c r="E1101" t="str">
        <f>IFERROR(VLOOKUP(A1101,管理亚马逊库存!A:R,18,0),"")</f>
        <v/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2:14">
      <c r="B1102" t="str">
        <f>IFERROR(VLOOKUP(A1102,管理亚马逊库存!A:K,11,0),"")</f>
        <v/>
      </c>
      <c r="C1102" t="str">
        <f>IFERROR(VLOOKUP(A1102,管理亚马逊库存!A:L,12,0),"")</f>
        <v/>
      </c>
      <c r="D1102" t="str">
        <f>IFERROR(VLOOKUP(A1102,管理亚马逊库存!A:Q,17,0),"")</f>
        <v/>
      </c>
      <c r="E1102" t="str">
        <f>IFERROR(VLOOKUP(A1102,管理亚马逊库存!A:R,18,0),"")</f>
        <v/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2:14">
      <c r="B1103" t="str">
        <f>IFERROR(VLOOKUP(A1103,管理亚马逊库存!A:K,11,0),"")</f>
        <v/>
      </c>
      <c r="C1103" t="str">
        <f>IFERROR(VLOOKUP(A1103,管理亚马逊库存!A:L,12,0),"")</f>
        <v/>
      </c>
      <c r="D1103" t="str">
        <f>IFERROR(VLOOKUP(A1103,管理亚马逊库存!A:Q,17,0),"")</f>
        <v/>
      </c>
      <c r="E1103" t="str">
        <f>IFERROR(VLOOKUP(A1103,管理亚马逊库存!A:R,18,0),"")</f>
        <v/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2:14">
      <c r="B1104" t="str">
        <f>IFERROR(VLOOKUP(A1104,管理亚马逊库存!A:K,11,0),"")</f>
        <v/>
      </c>
      <c r="C1104" t="str">
        <f>IFERROR(VLOOKUP(A1104,管理亚马逊库存!A:L,12,0),"")</f>
        <v/>
      </c>
      <c r="D1104" t="str">
        <f>IFERROR(VLOOKUP(A1104,管理亚马逊库存!A:Q,17,0),"")</f>
        <v/>
      </c>
      <c r="E1104" t="str">
        <f>IFERROR(VLOOKUP(A1104,管理亚马逊库存!A:R,18,0),"")</f>
        <v/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2:14">
      <c r="B1105" t="str">
        <f>IFERROR(VLOOKUP(A1105,管理亚马逊库存!A:K,11,0),"")</f>
        <v/>
      </c>
      <c r="C1105" t="str">
        <f>IFERROR(VLOOKUP(A1105,管理亚马逊库存!A:L,12,0),"")</f>
        <v/>
      </c>
      <c r="D1105" t="str">
        <f>IFERROR(VLOOKUP(A1105,管理亚马逊库存!A:Q,17,0),"")</f>
        <v/>
      </c>
      <c r="E1105" t="str">
        <f>IFERROR(VLOOKUP(A1105,管理亚马逊库存!A:R,18,0),"")</f>
        <v/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2:14">
      <c r="B1106" t="str">
        <f>IFERROR(VLOOKUP(A1106,管理亚马逊库存!A:K,11,0),"")</f>
        <v/>
      </c>
      <c r="C1106" t="str">
        <f>IFERROR(VLOOKUP(A1106,管理亚马逊库存!A:L,12,0),"")</f>
        <v/>
      </c>
      <c r="D1106" t="str">
        <f>IFERROR(VLOOKUP(A1106,管理亚马逊库存!A:Q,17,0),"")</f>
        <v/>
      </c>
      <c r="E1106" t="str">
        <f>IFERROR(VLOOKUP(A1106,管理亚马逊库存!A:R,18,0),"")</f>
        <v/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2:14">
      <c r="B1107" t="str">
        <f>IFERROR(VLOOKUP(A1107,管理亚马逊库存!A:K,11,0),"")</f>
        <v/>
      </c>
      <c r="C1107" t="str">
        <f>IFERROR(VLOOKUP(A1107,管理亚马逊库存!A:L,12,0),"")</f>
        <v/>
      </c>
      <c r="D1107" t="str">
        <f>IFERROR(VLOOKUP(A1107,管理亚马逊库存!A:Q,17,0),"")</f>
        <v/>
      </c>
      <c r="E1107" t="str">
        <f>IFERROR(VLOOKUP(A1107,管理亚马逊库存!A:R,18,0),"")</f>
        <v/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2:14">
      <c r="B1108" t="str">
        <f>IFERROR(VLOOKUP(A1108,管理亚马逊库存!A:K,11,0),"")</f>
        <v/>
      </c>
      <c r="C1108" t="str">
        <f>IFERROR(VLOOKUP(A1108,管理亚马逊库存!A:L,12,0),"")</f>
        <v/>
      </c>
      <c r="D1108" t="str">
        <f>IFERROR(VLOOKUP(A1108,管理亚马逊库存!A:Q,17,0),"")</f>
        <v/>
      </c>
      <c r="E1108" t="str">
        <f>IFERROR(VLOOKUP(A1108,管理亚马逊库存!A:R,18,0),"")</f>
        <v/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2:14">
      <c r="B1109" t="str">
        <f>IFERROR(VLOOKUP(A1109,管理亚马逊库存!A:K,11,0),"")</f>
        <v/>
      </c>
      <c r="C1109" t="str">
        <f>IFERROR(VLOOKUP(A1109,管理亚马逊库存!A:L,12,0),"")</f>
        <v/>
      </c>
      <c r="D1109" t="str">
        <f>IFERROR(VLOOKUP(A1109,管理亚马逊库存!A:Q,17,0),"")</f>
        <v/>
      </c>
      <c r="E1109" t="str">
        <f>IFERROR(VLOOKUP(A1109,管理亚马逊库存!A:R,18,0),"")</f>
        <v/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2:14">
      <c r="B1110" t="str">
        <f>IFERROR(VLOOKUP(A1110,管理亚马逊库存!A:K,11,0),"")</f>
        <v/>
      </c>
      <c r="C1110" t="str">
        <f>IFERROR(VLOOKUP(A1110,管理亚马逊库存!A:L,12,0),"")</f>
        <v/>
      </c>
      <c r="D1110" t="str">
        <f>IFERROR(VLOOKUP(A1110,管理亚马逊库存!A:Q,17,0),"")</f>
        <v/>
      </c>
      <c r="E1110" t="str">
        <f>IFERROR(VLOOKUP(A1110,管理亚马逊库存!A:R,18,0),"")</f>
        <v/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2:14">
      <c r="B1111" t="str">
        <f>IFERROR(VLOOKUP(A1111,管理亚马逊库存!A:K,11,0),"")</f>
        <v/>
      </c>
      <c r="C1111" t="str">
        <f>IFERROR(VLOOKUP(A1111,管理亚马逊库存!A:L,12,0),"")</f>
        <v/>
      </c>
      <c r="D1111" t="str">
        <f>IFERROR(VLOOKUP(A1111,管理亚马逊库存!A:Q,17,0),"")</f>
        <v/>
      </c>
      <c r="E1111" t="str">
        <f>IFERROR(VLOOKUP(A1111,管理亚马逊库存!A:R,18,0),"")</f>
        <v/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2:14">
      <c r="B1112" t="str">
        <f>IFERROR(VLOOKUP(A1112,管理亚马逊库存!A:K,11,0),"")</f>
        <v/>
      </c>
      <c r="C1112" t="str">
        <f>IFERROR(VLOOKUP(A1112,管理亚马逊库存!A:L,12,0),"")</f>
        <v/>
      </c>
      <c r="D1112" t="str">
        <f>IFERROR(VLOOKUP(A1112,管理亚马逊库存!A:Q,17,0),"")</f>
        <v/>
      </c>
      <c r="E1112" t="str">
        <f>IFERROR(VLOOKUP(A1112,管理亚马逊库存!A:R,18,0),"")</f>
        <v/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2:14">
      <c r="B1113" t="str">
        <f>IFERROR(VLOOKUP(A1113,管理亚马逊库存!A:K,11,0),"")</f>
        <v/>
      </c>
      <c r="C1113" t="str">
        <f>IFERROR(VLOOKUP(A1113,管理亚马逊库存!A:L,12,0),"")</f>
        <v/>
      </c>
      <c r="D1113" t="str">
        <f>IFERROR(VLOOKUP(A1113,管理亚马逊库存!A:Q,17,0),"")</f>
        <v/>
      </c>
      <c r="E1113" t="str">
        <f>IFERROR(VLOOKUP(A1113,管理亚马逊库存!A:R,18,0),"")</f>
        <v/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2:14">
      <c r="B1114" t="str">
        <f>IFERROR(VLOOKUP(A1114,管理亚马逊库存!A:K,11,0),"")</f>
        <v/>
      </c>
      <c r="C1114" t="str">
        <f>IFERROR(VLOOKUP(A1114,管理亚马逊库存!A:L,12,0),"")</f>
        <v/>
      </c>
      <c r="D1114" t="str">
        <f>IFERROR(VLOOKUP(A1114,管理亚马逊库存!A:Q,17,0),"")</f>
        <v/>
      </c>
      <c r="E1114" t="str">
        <f>IFERROR(VLOOKUP(A1114,管理亚马逊库存!A:R,18,0),"")</f>
        <v/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2:14">
      <c r="B1115" t="str">
        <f>IFERROR(VLOOKUP(A1115,管理亚马逊库存!A:K,11,0),"")</f>
        <v/>
      </c>
      <c r="C1115" t="str">
        <f>IFERROR(VLOOKUP(A1115,管理亚马逊库存!A:L,12,0),"")</f>
        <v/>
      </c>
      <c r="D1115" t="str">
        <f>IFERROR(VLOOKUP(A1115,管理亚马逊库存!A:Q,17,0),"")</f>
        <v/>
      </c>
      <c r="E1115" t="str">
        <f>IFERROR(VLOOKUP(A1115,管理亚马逊库存!A:R,18,0),"")</f>
        <v/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2:14">
      <c r="B1116" t="str">
        <f>IFERROR(VLOOKUP(A1116,管理亚马逊库存!A:K,11,0),"")</f>
        <v/>
      </c>
      <c r="C1116" t="str">
        <f>IFERROR(VLOOKUP(A1116,管理亚马逊库存!A:L,12,0),"")</f>
        <v/>
      </c>
      <c r="D1116" t="str">
        <f>IFERROR(VLOOKUP(A1116,管理亚马逊库存!A:Q,17,0),"")</f>
        <v/>
      </c>
      <c r="E1116" t="str">
        <f>IFERROR(VLOOKUP(A1116,管理亚马逊库存!A:R,18,0),"")</f>
        <v/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2:14">
      <c r="B1117" t="str">
        <f>IFERROR(VLOOKUP(A1117,管理亚马逊库存!A:K,11,0),"")</f>
        <v/>
      </c>
      <c r="C1117" t="str">
        <f>IFERROR(VLOOKUP(A1117,管理亚马逊库存!A:L,12,0),"")</f>
        <v/>
      </c>
      <c r="D1117" t="str">
        <f>IFERROR(VLOOKUP(A1117,管理亚马逊库存!A:Q,17,0),"")</f>
        <v/>
      </c>
      <c r="E1117" t="str">
        <f>IFERROR(VLOOKUP(A1117,管理亚马逊库存!A:R,18,0),"")</f>
        <v/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0</v>
      </c>
    </row>
    <row r="1118" spans="2:14">
      <c r="B1118" t="str">
        <f>IFERROR(VLOOKUP(A1118,管理亚马逊库存!A:K,11,0),"")</f>
        <v/>
      </c>
      <c r="C1118" t="str">
        <f>IFERROR(VLOOKUP(A1118,管理亚马逊库存!A:L,12,0),"")</f>
        <v/>
      </c>
      <c r="D1118" t="str">
        <f>IFERROR(VLOOKUP(A1118,管理亚马逊库存!A:Q,17,0),"")</f>
        <v/>
      </c>
      <c r="E1118" t="str">
        <f>IFERROR(VLOOKUP(A1118,管理亚马逊库存!A:R,18,0),"")</f>
        <v/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2:14">
      <c r="B1119" t="str">
        <f>IFERROR(VLOOKUP(A1119,管理亚马逊库存!A:K,11,0),"")</f>
        <v/>
      </c>
      <c r="C1119" t="str">
        <f>IFERROR(VLOOKUP(A1119,管理亚马逊库存!A:L,12,0),"")</f>
        <v/>
      </c>
      <c r="D1119" t="str">
        <f>IFERROR(VLOOKUP(A1119,管理亚马逊库存!A:Q,17,0),"")</f>
        <v/>
      </c>
      <c r="E1119" t="str">
        <f>IFERROR(VLOOKUP(A1119,管理亚马逊库存!A:R,18,0),"")</f>
        <v/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2:14">
      <c r="B1120" t="str">
        <f>IFERROR(VLOOKUP(A1120,管理亚马逊库存!A:K,11,0),"")</f>
        <v/>
      </c>
      <c r="C1120" t="str">
        <f>IFERROR(VLOOKUP(A1120,管理亚马逊库存!A:L,12,0),"")</f>
        <v/>
      </c>
      <c r="D1120" t="str">
        <f>IFERROR(VLOOKUP(A1120,管理亚马逊库存!A:Q,17,0),"")</f>
        <v/>
      </c>
      <c r="E1120" t="str">
        <f>IFERROR(VLOOKUP(A1120,管理亚马逊库存!A:R,18,0),"")</f>
        <v/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2:14">
      <c r="B1121" t="str">
        <f>IFERROR(VLOOKUP(A1121,管理亚马逊库存!A:K,11,0),"")</f>
        <v/>
      </c>
      <c r="C1121" t="str">
        <f>IFERROR(VLOOKUP(A1121,管理亚马逊库存!A:L,12,0),"")</f>
        <v/>
      </c>
      <c r="D1121" t="str">
        <f>IFERROR(VLOOKUP(A1121,管理亚马逊库存!A:Q,17,0),"")</f>
        <v/>
      </c>
      <c r="E1121" t="str">
        <f>IFERROR(VLOOKUP(A1121,管理亚马逊库存!A:R,18,0),"")</f>
        <v/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2:14">
      <c r="B1122" t="str">
        <f>IFERROR(VLOOKUP(A1122,管理亚马逊库存!A:K,11,0),"")</f>
        <v/>
      </c>
      <c r="C1122" t="str">
        <f>IFERROR(VLOOKUP(A1122,管理亚马逊库存!A:L,12,0),"")</f>
        <v/>
      </c>
      <c r="D1122" t="str">
        <f>IFERROR(VLOOKUP(A1122,管理亚马逊库存!A:Q,17,0),"")</f>
        <v/>
      </c>
      <c r="E1122" t="str">
        <f>IFERROR(VLOOKUP(A1122,管理亚马逊库存!A:R,18,0),"")</f>
        <v/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2:12">
      <c r="B1123" t="str">
        <f>IFERROR(VLOOKUP(A1123,管理亚马逊库存!A:K,11,0),"")</f>
        <v/>
      </c>
      <c r="C1123" t="str">
        <f>IFERROR(VLOOKUP(A1123,管理亚马逊库存!A:L,12,0),"")</f>
        <v/>
      </c>
      <c r="D1123" t="str">
        <f>IFERROR(VLOOKUP(A1123,管理亚马逊库存!A:Q,17,0),"")</f>
        <v/>
      </c>
      <c r="E1123" t="str">
        <f>IFERROR(VLOOKUP(A1123,管理亚马逊库存!A:R,18,0),"")</f>
        <v/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</row>
    <row r="1124" spans="2:12">
      <c r="B1124" t="str">
        <f>IFERROR(VLOOKUP(A1124,管理亚马逊库存!A:K,11,0),"")</f>
        <v/>
      </c>
      <c r="C1124" t="str">
        <f>IFERROR(VLOOKUP(A1124,管理亚马逊库存!A:L,12,0),"")</f>
        <v/>
      </c>
      <c r="D1124" t="str">
        <f>IFERROR(VLOOKUP(A1124,管理亚马逊库存!A:Q,17,0),"")</f>
        <v/>
      </c>
      <c r="E1124" t="str">
        <f>IFERROR(VLOOKUP(A1124,管理亚马逊库存!A:R,18,0),"")</f>
        <v/>
      </c>
      <c r="F1124">
        <f t="shared" ref="F1124:F1187" si="37">SUM(D1124:E1124)</f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</row>
    <row r="1125" spans="2:12">
      <c r="B1125" t="str">
        <f>IFERROR(VLOOKUP(A1125,管理亚马逊库存!A:K,11,0),"")</f>
        <v/>
      </c>
      <c r="C1125" t="str">
        <f>IFERROR(VLOOKUP(A1125,管理亚马逊库存!A:L,12,0),"")</f>
        <v/>
      </c>
      <c r="D1125" t="str">
        <f>IFERROR(VLOOKUP(A1125,管理亚马逊库存!A:Q,17,0),"")</f>
        <v/>
      </c>
      <c r="E1125" t="str">
        <f>IFERROR(VLOOKUP(A1125,管理亚马逊库存!A:R,18,0),"")</f>
        <v/>
      </c>
      <c r="F1125">
        <f t="shared" si="37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</row>
    <row r="1126" spans="2:12">
      <c r="B1126" t="str">
        <f>IFERROR(VLOOKUP(A1126,管理亚马逊库存!A:K,11,0),"")</f>
        <v/>
      </c>
      <c r="C1126" t="str">
        <f>IFERROR(VLOOKUP(A1126,管理亚马逊库存!A:L,12,0),"")</f>
        <v/>
      </c>
      <c r="D1126" t="str">
        <f>IFERROR(VLOOKUP(A1126,管理亚马逊库存!A:Q,17,0),"")</f>
        <v/>
      </c>
      <c r="E1126" t="str">
        <f>IFERROR(VLOOKUP(A1126,管理亚马逊库存!A:R,18,0),"")</f>
        <v/>
      </c>
      <c r="F1126">
        <f t="shared" si="37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</row>
    <row r="1127" spans="2:12">
      <c r="B1127" t="str">
        <f>IFERROR(VLOOKUP(A1127,管理亚马逊库存!A:K,11,0),"")</f>
        <v/>
      </c>
      <c r="C1127" t="str">
        <f>IFERROR(VLOOKUP(A1127,管理亚马逊库存!A:L,12,0),"")</f>
        <v/>
      </c>
      <c r="D1127" t="str">
        <f>IFERROR(VLOOKUP(A1127,管理亚马逊库存!A:Q,17,0),"")</f>
        <v/>
      </c>
      <c r="E1127" t="str">
        <f>IFERROR(VLOOKUP(A1127,管理亚马逊库存!A:R,18,0),"")</f>
        <v/>
      </c>
      <c r="F1127">
        <f t="shared" si="37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</row>
    <row r="1128" spans="2:12">
      <c r="B1128" t="str">
        <f>IFERROR(VLOOKUP(A1128,管理亚马逊库存!A:K,11,0),"")</f>
        <v/>
      </c>
      <c r="C1128" t="str">
        <f>IFERROR(VLOOKUP(A1128,管理亚马逊库存!A:L,12,0),"")</f>
        <v/>
      </c>
      <c r="D1128" t="str">
        <f>IFERROR(VLOOKUP(A1128,管理亚马逊库存!A:Q,17,0),"")</f>
        <v/>
      </c>
      <c r="E1128" t="str">
        <f>IFERROR(VLOOKUP(A1128,管理亚马逊库存!A:R,18,0),"")</f>
        <v/>
      </c>
      <c r="F1128">
        <f t="shared" si="37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</row>
    <row r="1129" spans="2:12">
      <c r="B1129" t="str">
        <f>IFERROR(VLOOKUP(A1129,管理亚马逊库存!A:K,11,0),"")</f>
        <v/>
      </c>
      <c r="C1129" t="str">
        <f>IFERROR(VLOOKUP(A1129,管理亚马逊库存!A:L,12,0),"")</f>
        <v/>
      </c>
      <c r="D1129" t="str">
        <f>IFERROR(VLOOKUP(A1129,管理亚马逊库存!A:Q,17,0),"")</f>
        <v/>
      </c>
      <c r="E1129" t="str">
        <f>IFERROR(VLOOKUP(A1129,管理亚马逊库存!A:R,18,0),"")</f>
        <v/>
      </c>
      <c r="F1129">
        <f t="shared" si="37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</row>
    <row r="1130" spans="2:12">
      <c r="B1130" t="str">
        <f>IFERROR(VLOOKUP(A1130,管理亚马逊库存!A:K,11,0),"")</f>
        <v/>
      </c>
      <c r="C1130" t="str">
        <f>IFERROR(VLOOKUP(A1130,管理亚马逊库存!A:L,12,0),"")</f>
        <v/>
      </c>
      <c r="D1130" t="str">
        <f>IFERROR(VLOOKUP(A1130,管理亚马逊库存!A:Q,17,0),"")</f>
        <v/>
      </c>
      <c r="E1130" t="str">
        <f>IFERROR(VLOOKUP(A1130,管理亚马逊库存!A:R,18,0),"")</f>
        <v/>
      </c>
      <c r="F1130">
        <f t="shared" si="37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</row>
    <row r="1131" spans="2:12">
      <c r="B1131" t="str">
        <f>IFERROR(VLOOKUP(A1131,管理亚马逊库存!A:K,11,0),"")</f>
        <v/>
      </c>
      <c r="C1131" t="str">
        <f>IFERROR(VLOOKUP(A1131,管理亚马逊库存!A:L,12,0),"")</f>
        <v/>
      </c>
      <c r="D1131" t="str">
        <f>IFERROR(VLOOKUP(A1131,管理亚马逊库存!A:Q,17,0),"")</f>
        <v/>
      </c>
      <c r="E1131" t="str">
        <f>IFERROR(VLOOKUP(A1131,管理亚马逊库存!A:R,18,0),"")</f>
        <v/>
      </c>
      <c r="F1131">
        <f t="shared" si="37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</row>
    <row r="1132" spans="2:12">
      <c r="B1132" t="str">
        <f>IFERROR(VLOOKUP(A1132,管理亚马逊库存!A:K,11,0),"")</f>
        <v/>
      </c>
      <c r="C1132" t="str">
        <f>IFERROR(VLOOKUP(A1132,管理亚马逊库存!A:L,12,0),"")</f>
        <v/>
      </c>
      <c r="D1132" t="str">
        <f>IFERROR(VLOOKUP(A1132,管理亚马逊库存!A:Q,17,0),"")</f>
        <v/>
      </c>
      <c r="E1132" t="str">
        <f>IFERROR(VLOOKUP(A1132,管理亚马逊库存!A:R,18,0),"")</f>
        <v/>
      </c>
      <c r="F1132">
        <f t="shared" si="37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</row>
    <row r="1133" spans="2:12">
      <c r="B1133" t="str">
        <f>IFERROR(VLOOKUP(A1133,管理亚马逊库存!A:K,11,0),"")</f>
        <v/>
      </c>
      <c r="C1133" t="str">
        <f>IFERROR(VLOOKUP(A1133,管理亚马逊库存!A:L,12,0),"")</f>
        <v/>
      </c>
      <c r="D1133" t="str">
        <f>IFERROR(VLOOKUP(A1133,管理亚马逊库存!A:Q,17,0),"")</f>
        <v/>
      </c>
      <c r="E1133" t="str">
        <f>IFERROR(VLOOKUP(A1133,管理亚马逊库存!A:R,18,0),"")</f>
        <v/>
      </c>
      <c r="F1133">
        <f t="shared" si="37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</row>
    <row r="1134" spans="2:12">
      <c r="B1134" t="str">
        <f>IFERROR(VLOOKUP(A1134,管理亚马逊库存!A:K,11,0),"")</f>
        <v/>
      </c>
      <c r="C1134" t="str">
        <f>IFERROR(VLOOKUP(A1134,管理亚马逊库存!A:L,12,0),"")</f>
        <v/>
      </c>
      <c r="D1134" t="str">
        <f>IFERROR(VLOOKUP(A1134,管理亚马逊库存!A:Q,17,0),"")</f>
        <v/>
      </c>
      <c r="E1134" t="str">
        <f>IFERROR(VLOOKUP(A1134,管理亚马逊库存!A:R,18,0),"")</f>
        <v/>
      </c>
      <c r="F1134">
        <f t="shared" si="37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</row>
    <row r="1135" spans="2:12">
      <c r="B1135" t="str">
        <f>IFERROR(VLOOKUP(A1135,管理亚马逊库存!A:K,11,0),"")</f>
        <v/>
      </c>
      <c r="C1135" t="str">
        <f>IFERROR(VLOOKUP(A1135,管理亚马逊库存!A:L,12,0),"")</f>
        <v/>
      </c>
      <c r="D1135" t="str">
        <f>IFERROR(VLOOKUP(A1135,管理亚马逊库存!A:Q,17,0),"")</f>
        <v/>
      </c>
      <c r="E1135" t="str">
        <f>IFERROR(VLOOKUP(A1135,管理亚马逊库存!A:R,18,0),"")</f>
        <v/>
      </c>
      <c r="F1135">
        <f t="shared" si="37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</row>
    <row r="1136" spans="2:12">
      <c r="B1136" t="str">
        <f>IFERROR(VLOOKUP(A1136,管理亚马逊库存!A:K,11,0),"")</f>
        <v/>
      </c>
      <c r="C1136" t="str">
        <f>IFERROR(VLOOKUP(A1136,管理亚马逊库存!A:L,12,0),"")</f>
        <v/>
      </c>
      <c r="D1136" t="str">
        <f>IFERROR(VLOOKUP(A1136,管理亚马逊库存!A:Q,17,0),"")</f>
        <v/>
      </c>
      <c r="E1136" t="str">
        <f>IFERROR(VLOOKUP(A1136,管理亚马逊库存!A:R,18,0),"")</f>
        <v/>
      </c>
      <c r="F1136">
        <f t="shared" si="37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</row>
    <row r="1137" spans="2:12">
      <c r="B1137" t="str">
        <f>IFERROR(VLOOKUP(A1137,管理亚马逊库存!A:K,11,0),"")</f>
        <v/>
      </c>
      <c r="C1137" t="str">
        <f>IFERROR(VLOOKUP(A1137,管理亚马逊库存!A:L,12,0),"")</f>
        <v/>
      </c>
      <c r="D1137" t="str">
        <f>IFERROR(VLOOKUP(A1137,管理亚马逊库存!A:Q,17,0),"")</f>
        <v/>
      </c>
      <c r="E1137" t="str">
        <f>IFERROR(VLOOKUP(A1137,管理亚马逊库存!A:R,18,0),"")</f>
        <v/>
      </c>
      <c r="F1137">
        <f t="shared" si="37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</row>
    <row r="1138" spans="2:12">
      <c r="B1138" t="str">
        <f>IFERROR(VLOOKUP(A1138,管理亚马逊库存!A:K,11,0),"")</f>
        <v/>
      </c>
      <c r="C1138" t="str">
        <f>IFERROR(VLOOKUP(A1138,管理亚马逊库存!A:L,12,0),"")</f>
        <v/>
      </c>
      <c r="D1138" t="str">
        <f>IFERROR(VLOOKUP(A1138,管理亚马逊库存!A:Q,17,0),"")</f>
        <v/>
      </c>
      <c r="E1138" t="str">
        <f>IFERROR(VLOOKUP(A1138,管理亚马逊库存!A:R,18,0),"")</f>
        <v/>
      </c>
      <c r="F1138">
        <f t="shared" si="37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</row>
    <row r="1139" spans="2:12">
      <c r="B1139" t="str">
        <f>IFERROR(VLOOKUP(A1139,管理亚马逊库存!A:K,11,0),"")</f>
        <v/>
      </c>
      <c r="C1139" t="str">
        <f>IFERROR(VLOOKUP(A1139,管理亚马逊库存!A:L,12,0),"")</f>
        <v/>
      </c>
      <c r="D1139" t="str">
        <f>IFERROR(VLOOKUP(A1139,管理亚马逊库存!A:Q,17,0),"")</f>
        <v/>
      </c>
      <c r="E1139" t="str">
        <f>IFERROR(VLOOKUP(A1139,管理亚马逊库存!A:R,18,0),"")</f>
        <v/>
      </c>
      <c r="F1139">
        <f t="shared" si="37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</row>
    <row r="1140" spans="2:12">
      <c r="B1140" t="str">
        <f>IFERROR(VLOOKUP(A1140,管理亚马逊库存!A:K,11,0),"")</f>
        <v/>
      </c>
      <c r="C1140" t="str">
        <f>IFERROR(VLOOKUP(A1140,管理亚马逊库存!A:L,12,0),"")</f>
        <v/>
      </c>
      <c r="D1140" t="str">
        <f>IFERROR(VLOOKUP(A1140,管理亚马逊库存!A:Q,17,0),"")</f>
        <v/>
      </c>
      <c r="E1140" t="str">
        <f>IFERROR(VLOOKUP(A1140,管理亚马逊库存!A:R,18,0),"")</f>
        <v/>
      </c>
      <c r="F1140">
        <f t="shared" si="37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</row>
    <row r="1141" spans="2:12">
      <c r="B1141" t="str">
        <f>IFERROR(VLOOKUP(A1141,管理亚马逊库存!A:K,11,0),"")</f>
        <v/>
      </c>
      <c r="C1141" t="str">
        <f>IFERROR(VLOOKUP(A1141,管理亚马逊库存!A:L,12,0),"")</f>
        <v/>
      </c>
      <c r="D1141" t="str">
        <f>IFERROR(VLOOKUP(A1141,管理亚马逊库存!A:Q,17,0),"")</f>
        <v/>
      </c>
      <c r="E1141" t="str">
        <f>IFERROR(VLOOKUP(A1141,管理亚马逊库存!A:R,18,0),"")</f>
        <v/>
      </c>
      <c r="F1141">
        <f t="shared" si="37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</row>
    <row r="1142" spans="2:12">
      <c r="B1142" t="str">
        <f>IFERROR(VLOOKUP(A1142,管理亚马逊库存!A:K,11,0),"")</f>
        <v/>
      </c>
      <c r="C1142" t="str">
        <f>IFERROR(VLOOKUP(A1142,管理亚马逊库存!A:L,12,0),"")</f>
        <v/>
      </c>
      <c r="D1142" t="str">
        <f>IFERROR(VLOOKUP(A1142,管理亚马逊库存!A:Q,17,0),"")</f>
        <v/>
      </c>
      <c r="E1142" t="str">
        <f>IFERROR(VLOOKUP(A1142,管理亚马逊库存!A:R,18,0),"")</f>
        <v/>
      </c>
      <c r="F1142">
        <f t="shared" si="37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</row>
    <row r="1143" spans="2:12">
      <c r="B1143" t="str">
        <f>IFERROR(VLOOKUP(A1143,管理亚马逊库存!A:K,11,0),"")</f>
        <v/>
      </c>
      <c r="C1143" t="str">
        <f>IFERROR(VLOOKUP(A1143,管理亚马逊库存!A:L,12,0),"")</f>
        <v/>
      </c>
      <c r="D1143" t="str">
        <f>IFERROR(VLOOKUP(A1143,管理亚马逊库存!A:Q,17,0),"")</f>
        <v/>
      </c>
      <c r="E1143" t="str">
        <f>IFERROR(VLOOKUP(A1143,管理亚马逊库存!A:R,18,0),"")</f>
        <v/>
      </c>
      <c r="F1143">
        <f t="shared" si="37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</row>
    <row r="1144" spans="2:12">
      <c r="B1144" t="str">
        <f>IFERROR(VLOOKUP(A1144,管理亚马逊库存!A:K,11,0),"")</f>
        <v/>
      </c>
      <c r="C1144" t="str">
        <f>IFERROR(VLOOKUP(A1144,管理亚马逊库存!A:L,12,0),"")</f>
        <v/>
      </c>
      <c r="D1144" t="str">
        <f>IFERROR(VLOOKUP(A1144,管理亚马逊库存!A:Q,17,0),"")</f>
        <v/>
      </c>
      <c r="E1144" t="str">
        <f>IFERROR(VLOOKUP(A1144,管理亚马逊库存!A:R,18,0),"")</f>
        <v/>
      </c>
      <c r="F1144">
        <f t="shared" si="37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</row>
    <row r="1145" spans="2:12">
      <c r="B1145" t="str">
        <f>IFERROR(VLOOKUP(A1145,管理亚马逊库存!A:K,11,0),"")</f>
        <v/>
      </c>
      <c r="C1145" t="str">
        <f>IFERROR(VLOOKUP(A1145,管理亚马逊库存!A:L,12,0),"")</f>
        <v/>
      </c>
      <c r="D1145" t="str">
        <f>IFERROR(VLOOKUP(A1145,管理亚马逊库存!A:Q,17,0),"")</f>
        <v/>
      </c>
      <c r="E1145" t="str">
        <f>IFERROR(VLOOKUP(A1145,管理亚马逊库存!A:R,18,0),"")</f>
        <v/>
      </c>
      <c r="F1145">
        <f t="shared" si="37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</row>
    <row r="1146" spans="2:12">
      <c r="B1146" t="str">
        <f>IFERROR(VLOOKUP(A1146,管理亚马逊库存!A:K,11,0),"")</f>
        <v/>
      </c>
      <c r="C1146" t="str">
        <f>IFERROR(VLOOKUP(A1146,管理亚马逊库存!A:L,12,0),"")</f>
        <v/>
      </c>
      <c r="D1146" t="str">
        <f>IFERROR(VLOOKUP(A1146,管理亚马逊库存!A:Q,17,0),"")</f>
        <v/>
      </c>
      <c r="E1146" t="str">
        <f>IFERROR(VLOOKUP(A1146,管理亚马逊库存!A:R,18,0),"")</f>
        <v/>
      </c>
      <c r="F1146">
        <f t="shared" si="37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</row>
    <row r="1147" spans="2:12">
      <c r="B1147" t="str">
        <f>IFERROR(VLOOKUP(A1147,管理亚马逊库存!A:K,11,0),"")</f>
        <v/>
      </c>
      <c r="C1147" t="str">
        <f>IFERROR(VLOOKUP(A1147,管理亚马逊库存!A:L,12,0),"")</f>
        <v/>
      </c>
      <c r="D1147" t="str">
        <f>IFERROR(VLOOKUP(A1147,管理亚马逊库存!A:Q,17,0),"")</f>
        <v/>
      </c>
      <c r="E1147" t="str">
        <f>IFERROR(VLOOKUP(A1147,管理亚马逊库存!A:R,18,0),"")</f>
        <v/>
      </c>
      <c r="F1147">
        <f t="shared" si="37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</row>
    <row r="1148" spans="2:12">
      <c r="B1148" t="str">
        <f>IFERROR(VLOOKUP(A1148,管理亚马逊库存!A:K,11,0),"")</f>
        <v/>
      </c>
      <c r="C1148" t="str">
        <f>IFERROR(VLOOKUP(A1148,管理亚马逊库存!A:L,12,0),"")</f>
        <v/>
      </c>
      <c r="D1148" t="str">
        <f>IFERROR(VLOOKUP(A1148,管理亚马逊库存!A:Q,17,0),"")</f>
        <v/>
      </c>
      <c r="E1148" t="str">
        <f>IFERROR(VLOOKUP(A1148,管理亚马逊库存!A:R,18,0),"")</f>
        <v/>
      </c>
      <c r="F1148">
        <f t="shared" si="37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</row>
    <row r="1149" spans="2:12">
      <c r="B1149" t="str">
        <f>IFERROR(VLOOKUP(A1149,管理亚马逊库存!A:K,11,0),"")</f>
        <v/>
      </c>
      <c r="C1149" t="str">
        <f>IFERROR(VLOOKUP(A1149,管理亚马逊库存!A:L,12,0),"")</f>
        <v/>
      </c>
      <c r="D1149" t="str">
        <f>IFERROR(VLOOKUP(A1149,管理亚马逊库存!A:Q,17,0),"")</f>
        <v/>
      </c>
      <c r="E1149" t="str">
        <f>IFERROR(VLOOKUP(A1149,管理亚马逊库存!A:R,18,0),"")</f>
        <v/>
      </c>
      <c r="F1149">
        <f t="shared" si="37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</row>
    <row r="1150" spans="2:12">
      <c r="B1150" t="str">
        <f>IFERROR(VLOOKUP(A1150,管理亚马逊库存!A:K,11,0),"")</f>
        <v/>
      </c>
      <c r="C1150" t="str">
        <f>IFERROR(VLOOKUP(A1150,管理亚马逊库存!A:L,12,0),"")</f>
        <v/>
      </c>
      <c r="D1150" t="str">
        <f>IFERROR(VLOOKUP(A1150,管理亚马逊库存!A:Q,17,0),"")</f>
        <v/>
      </c>
      <c r="E1150" t="str">
        <f>IFERROR(VLOOKUP(A1150,管理亚马逊库存!A:R,18,0),"")</f>
        <v/>
      </c>
      <c r="F1150">
        <f t="shared" si="37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</row>
    <row r="1151" spans="2:12">
      <c r="B1151" t="str">
        <f>IFERROR(VLOOKUP(A1151,管理亚马逊库存!A:K,11,0),"")</f>
        <v/>
      </c>
      <c r="C1151" t="str">
        <f>IFERROR(VLOOKUP(A1151,管理亚马逊库存!A:L,12,0),"")</f>
        <v/>
      </c>
      <c r="D1151" t="str">
        <f>IFERROR(VLOOKUP(A1151,管理亚马逊库存!A:Q,17,0),"")</f>
        <v/>
      </c>
      <c r="E1151" t="str">
        <f>IFERROR(VLOOKUP(A1151,管理亚马逊库存!A:R,18,0),"")</f>
        <v/>
      </c>
      <c r="F1151">
        <f t="shared" si="37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</row>
    <row r="1152" spans="2:12">
      <c r="B1152" t="str">
        <f>IFERROR(VLOOKUP(A1152,管理亚马逊库存!A:K,11,0),"")</f>
        <v/>
      </c>
      <c r="C1152" t="str">
        <f>IFERROR(VLOOKUP(A1152,管理亚马逊库存!A:L,12,0),"")</f>
        <v/>
      </c>
      <c r="D1152" t="str">
        <f>IFERROR(VLOOKUP(A1152,管理亚马逊库存!A:Q,17,0),"")</f>
        <v/>
      </c>
      <c r="E1152" t="str">
        <f>IFERROR(VLOOKUP(A1152,管理亚马逊库存!A:R,18,0),"")</f>
        <v/>
      </c>
      <c r="F1152">
        <f t="shared" si="37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</row>
    <row r="1153" spans="2:12">
      <c r="B1153" t="str">
        <f>IFERROR(VLOOKUP(A1153,管理亚马逊库存!A:K,11,0),"")</f>
        <v/>
      </c>
      <c r="C1153" t="str">
        <f>IFERROR(VLOOKUP(A1153,管理亚马逊库存!A:L,12,0),"")</f>
        <v/>
      </c>
      <c r="D1153" t="str">
        <f>IFERROR(VLOOKUP(A1153,管理亚马逊库存!A:Q,17,0),"")</f>
        <v/>
      </c>
      <c r="E1153" t="str">
        <f>IFERROR(VLOOKUP(A1153,管理亚马逊库存!A:R,18,0),"")</f>
        <v/>
      </c>
      <c r="F1153">
        <f t="shared" si="37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</row>
    <row r="1154" spans="2:12">
      <c r="B1154" t="str">
        <f>IFERROR(VLOOKUP(A1154,管理亚马逊库存!A:K,11,0),"")</f>
        <v/>
      </c>
      <c r="C1154" t="str">
        <f>IFERROR(VLOOKUP(A1154,管理亚马逊库存!A:L,12,0),"")</f>
        <v/>
      </c>
      <c r="D1154" t="str">
        <f>IFERROR(VLOOKUP(A1154,管理亚马逊库存!A:Q,17,0),"")</f>
        <v/>
      </c>
      <c r="E1154" t="str">
        <f>IFERROR(VLOOKUP(A1154,管理亚马逊库存!A:R,18,0),"")</f>
        <v/>
      </c>
      <c r="F1154">
        <f t="shared" si="37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</row>
    <row r="1155" spans="2:12">
      <c r="B1155" t="str">
        <f>IFERROR(VLOOKUP(A1155,管理亚马逊库存!A:K,11,0),"")</f>
        <v/>
      </c>
      <c r="C1155" t="str">
        <f>IFERROR(VLOOKUP(A1155,管理亚马逊库存!A:L,12,0),"")</f>
        <v/>
      </c>
      <c r="D1155" t="str">
        <f>IFERROR(VLOOKUP(A1155,管理亚马逊库存!A:Q,17,0),"")</f>
        <v/>
      </c>
      <c r="E1155" t="str">
        <f>IFERROR(VLOOKUP(A1155,管理亚马逊库存!A:R,18,0),"")</f>
        <v/>
      </c>
      <c r="F1155">
        <f t="shared" si="37"/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</row>
    <row r="1156" spans="2:12">
      <c r="B1156" t="str">
        <f>IFERROR(VLOOKUP(A1156,管理亚马逊库存!A:K,11,0),"")</f>
        <v/>
      </c>
      <c r="C1156" t="str">
        <f>IFERROR(VLOOKUP(A1156,管理亚马逊库存!A:L,12,0),"")</f>
        <v/>
      </c>
      <c r="D1156" t="str">
        <f>IFERROR(VLOOKUP(A1156,管理亚马逊库存!A:Q,17,0),"")</f>
        <v/>
      </c>
      <c r="E1156" t="str">
        <f>IFERROR(VLOOKUP(A1156,管理亚马逊库存!A:R,18,0),"")</f>
        <v/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</row>
    <row r="1157" spans="2:12">
      <c r="B1157" t="str">
        <f>IFERROR(VLOOKUP(A1157,管理亚马逊库存!A:K,11,0),"")</f>
        <v/>
      </c>
      <c r="C1157" t="str">
        <f>IFERROR(VLOOKUP(A1157,管理亚马逊库存!A:L,12,0),"")</f>
        <v/>
      </c>
      <c r="D1157" t="str">
        <f>IFERROR(VLOOKUP(A1157,管理亚马逊库存!A:Q,17,0),"")</f>
        <v/>
      </c>
      <c r="E1157" t="str">
        <f>IFERROR(VLOOKUP(A1157,管理亚马逊库存!A:R,18,0),"")</f>
        <v/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</row>
    <row r="1158" spans="2:12">
      <c r="B1158" t="str">
        <f>IFERROR(VLOOKUP(A1158,管理亚马逊库存!A:K,11,0),"")</f>
        <v/>
      </c>
      <c r="C1158" t="str">
        <f>IFERROR(VLOOKUP(A1158,管理亚马逊库存!A:L,12,0),"")</f>
        <v/>
      </c>
      <c r="D1158" t="str">
        <f>IFERROR(VLOOKUP(A1158,管理亚马逊库存!A:Q,17,0),"")</f>
        <v/>
      </c>
      <c r="E1158" t="str">
        <f>IFERROR(VLOOKUP(A1158,管理亚马逊库存!A:R,18,0),"")</f>
        <v/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</row>
    <row r="1159" spans="2:12">
      <c r="B1159" t="str">
        <f>IFERROR(VLOOKUP(A1159,管理亚马逊库存!A:K,11,0),"")</f>
        <v/>
      </c>
      <c r="C1159" t="str">
        <f>IFERROR(VLOOKUP(A1159,管理亚马逊库存!A:L,12,0),"")</f>
        <v/>
      </c>
      <c r="D1159" t="str">
        <f>IFERROR(VLOOKUP(A1159,管理亚马逊库存!A:Q,17,0),"")</f>
        <v/>
      </c>
      <c r="E1159" t="str">
        <f>IFERROR(VLOOKUP(A1159,管理亚马逊库存!A:R,18,0),"")</f>
        <v/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</row>
    <row r="1160" spans="2:12">
      <c r="B1160" t="str">
        <f>IFERROR(VLOOKUP(A1160,管理亚马逊库存!A:K,11,0),"")</f>
        <v/>
      </c>
      <c r="C1160" t="str">
        <f>IFERROR(VLOOKUP(A1160,管理亚马逊库存!A:L,12,0),"")</f>
        <v/>
      </c>
      <c r="D1160" t="str">
        <f>IFERROR(VLOOKUP(A1160,管理亚马逊库存!A:Q,17,0),"")</f>
        <v/>
      </c>
      <c r="E1160" t="str">
        <f>IFERROR(VLOOKUP(A1160,管理亚马逊库存!A:R,18,0),"")</f>
        <v/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</row>
    <row r="1161" spans="2:12">
      <c r="B1161" t="str">
        <f>IFERROR(VLOOKUP(A1161,管理亚马逊库存!A:K,11,0),"")</f>
        <v/>
      </c>
      <c r="C1161" t="str">
        <f>IFERROR(VLOOKUP(A1161,管理亚马逊库存!A:L,12,0),"")</f>
        <v/>
      </c>
      <c r="D1161" t="str">
        <f>IFERROR(VLOOKUP(A1161,管理亚马逊库存!A:Q,17,0),"")</f>
        <v/>
      </c>
      <c r="E1161" t="str">
        <f>IFERROR(VLOOKUP(A1161,管理亚马逊库存!A:R,18,0),"")</f>
        <v/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</row>
    <row r="1162" spans="2:12">
      <c r="B1162" t="str">
        <f>IFERROR(VLOOKUP(A1162,管理亚马逊库存!A:K,11,0),"")</f>
        <v/>
      </c>
      <c r="C1162" t="str">
        <f>IFERROR(VLOOKUP(A1162,管理亚马逊库存!A:L,12,0),"")</f>
        <v/>
      </c>
      <c r="D1162" t="str">
        <f>IFERROR(VLOOKUP(A1162,管理亚马逊库存!A:Q,17,0),"")</f>
        <v/>
      </c>
      <c r="E1162" t="str">
        <f>IFERROR(VLOOKUP(A1162,管理亚马逊库存!A:R,18,0),"")</f>
        <v/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</row>
    <row r="1163" spans="2:12">
      <c r="B1163" t="str">
        <f>IFERROR(VLOOKUP(A1163,管理亚马逊库存!A:K,11,0),"")</f>
        <v/>
      </c>
      <c r="C1163" t="str">
        <f>IFERROR(VLOOKUP(A1163,管理亚马逊库存!A:L,12,0),"")</f>
        <v/>
      </c>
      <c r="D1163" t="str">
        <f>IFERROR(VLOOKUP(A1163,管理亚马逊库存!A:Q,17,0),"")</f>
        <v/>
      </c>
      <c r="E1163" t="str">
        <f>IFERROR(VLOOKUP(A1163,管理亚马逊库存!A:R,18,0),"")</f>
        <v/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</row>
    <row r="1164" spans="2:12">
      <c r="B1164" t="str">
        <f>IFERROR(VLOOKUP(A1164,管理亚马逊库存!A:K,11,0),"")</f>
        <v/>
      </c>
      <c r="C1164" t="str">
        <f>IFERROR(VLOOKUP(A1164,管理亚马逊库存!A:L,12,0),"")</f>
        <v/>
      </c>
      <c r="D1164" t="str">
        <f>IFERROR(VLOOKUP(A1164,管理亚马逊库存!A:Q,17,0),"")</f>
        <v/>
      </c>
      <c r="E1164" t="str">
        <f>IFERROR(VLOOKUP(A1164,管理亚马逊库存!A:R,18,0),"")</f>
        <v/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</row>
    <row r="1165" spans="2:12">
      <c r="B1165" t="str">
        <f>IFERROR(VLOOKUP(A1165,管理亚马逊库存!A:K,11,0),"")</f>
        <v/>
      </c>
      <c r="C1165" t="str">
        <f>IFERROR(VLOOKUP(A1165,管理亚马逊库存!A:L,12,0),"")</f>
        <v/>
      </c>
      <c r="D1165" t="str">
        <f>IFERROR(VLOOKUP(A1165,管理亚马逊库存!A:Q,17,0),"")</f>
        <v/>
      </c>
      <c r="E1165" t="str">
        <f>IFERROR(VLOOKUP(A1165,管理亚马逊库存!A:R,18,0),"")</f>
        <v/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</row>
    <row r="1166" spans="2:12">
      <c r="B1166" t="str">
        <f>IFERROR(VLOOKUP(A1166,管理亚马逊库存!A:K,11,0),"")</f>
        <v/>
      </c>
      <c r="C1166" t="str">
        <f>IFERROR(VLOOKUP(A1166,管理亚马逊库存!A:L,12,0),"")</f>
        <v/>
      </c>
      <c r="D1166" t="str">
        <f>IFERROR(VLOOKUP(A1166,管理亚马逊库存!A:Q,17,0),"")</f>
        <v/>
      </c>
      <c r="E1166" t="str">
        <f>IFERROR(VLOOKUP(A1166,管理亚马逊库存!A:R,18,0),"")</f>
        <v/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</row>
    <row r="1167" spans="2:12">
      <c r="B1167" t="str">
        <f>IFERROR(VLOOKUP(A1167,管理亚马逊库存!A:K,11,0),"")</f>
        <v/>
      </c>
      <c r="C1167" t="str">
        <f>IFERROR(VLOOKUP(A1167,管理亚马逊库存!A:L,12,0),"")</f>
        <v/>
      </c>
      <c r="D1167" t="str">
        <f>IFERROR(VLOOKUP(A1167,管理亚马逊库存!A:Q,17,0),"")</f>
        <v/>
      </c>
      <c r="E1167" t="str">
        <f>IFERROR(VLOOKUP(A1167,管理亚马逊库存!A:R,18,0),"")</f>
        <v/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</row>
    <row r="1168" spans="2:12">
      <c r="B1168" t="str">
        <f>IFERROR(VLOOKUP(A1168,管理亚马逊库存!A:K,11,0),"")</f>
        <v/>
      </c>
      <c r="C1168" t="str">
        <f>IFERROR(VLOOKUP(A1168,管理亚马逊库存!A:L,12,0),"")</f>
        <v/>
      </c>
      <c r="D1168" t="str">
        <f>IFERROR(VLOOKUP(A1168,管理亚马逊库存!A:Q,17,0),"")</f>
        <v/>
      </c>
      <c r="E1168" t="str">
        <f>IFERROR(VLOOKUP(A1168,管理亚马逊库存!A:R,18,0),"")</f>
        <v/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</row>
    <row r="1169" spans="2:12">
      <c r="B1169" t="str">
        <f>IFERROR(VLOOKUP(A1169,管理亚马逊库存!A:K,11,0),"")</f>
        <v/>
      </c>
      <c r="C1169" t="str">
        <f>IFERROR(VLOOKUP(A1169,管理亚马逊库存!A:L,12,0),"")</f>
        <v/>
      </c>
      <c r="D1169" t="str">
        <f>IFERROR(VLOOKUP(A1169,管理亚马逊库存!A:Q,17,0),"")</f>
        <v/>
      </c>
      <c r="E1169" t="str">
        <f>IFERROR(VLOOKUP(A1169,管理亚马逊库存!A:R,18,0),"")</f>
        <v/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</row>
    <row r="1170" spans="2:12">
      <c r="B1170" t="str">
        <f>IFERROR(VLOOKUP(A1170,管理亚马逊库存!A:K,11,0),"")</f>
        <v/>
      </c>
      <c r="C1170" t="str">
        <f>IFERROR(VLOOKUP(A1170,管理亚马逊库存!A:L,12,0),"")</f>
        <v/>
      </c>
      <c r="D1170" t="str">
        <f>IFERROR(VLOOKUP(A1170,管理亚马逊库存!A:Q,17,0),"")</f>
        <v/>
      </c>
      <c r="E1170" t="str">
        <f>IFERROR(VLOOKUP(A1170,管理亚马逊库存!A:R,18,0),"")</f>
        <v/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9525</xdr:colOff>
                <xdr:row>1</xdr:row>
                <xdr:rowOff>0</xdr:rowOff>
              </from>
              <to>
                <xdr:col>17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2018-07-10T03:25:41Z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