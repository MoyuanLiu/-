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drawings/drawing1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180"/>
  </bookViews>
  <sheets>
    <sheet name="库存报告使用数据" sheetId="1" r:id="rId1"/>
    <sheet name="公式" sheetId="2" r:id="rId2"/>
  </sheets>
  <externalReferences>
    <externalReference r:id="rId3"/>
    <externalReference r:id="rId4"/>
    <externalReference r:id="rId5"/>
    <externalReference r:id="rId6"/>
    <externalReference r:id="rId7"/>
  </externalReferences>
  <calcPr calcId="144525"/>
</workbook>
</file>

<file path=xl/sharedStrings.xml><?xml version="1.0" encoding="utf-8"?>
<sst xmlns="http://schemas.openxmlformats.org/spreadsheetml/2006/main" count="895">
  <si>
    <t>第一周</t>
  </si>
  <si>
    <t>第二周</t>
  </si>
  <si>
    <t>第三周</t>
  </si>
  <si>
    <t>第四周</t>
  </si>
  <si>
    <t>子SKU</t>
  </si>
  <si>
    <t>曝光量</t>
  </si>
  <si>
    <t>点击量</t>
  </si>
  <si>
    <t>广告费</t>
  </si>
  <si>
    <t>合计</t>
  </si>
  <si>
    <t>YZ-BS-HE9007Se2L</t>
  </si>
  <si>
    <t>YZ-BS-5505DaS</t>
  </si>
  <si>
    <t>YZ-BS-BS5119ZLXL2XL</t>
  </si>
  <si>
    <t>YZ-BS-BS5119ZLXL3XL</t>
  </si>
  <si>
    <t>YZ-BS-BShyl5119-YH-2XL</t>
  </si>
  <si>
    <t>YZ-BS-BShyl5119-YH-3XL</t>
  </si>
  <si>
    <t>YZ-BS-BShyl5119-YT-2XL</t>
  </si>
  <si>
    <t>YZ-BS-BShyl5119-YT-5XL</t>
  </si>
  <si>
    <t>YZ-BS-BShyl5119K02XL</t>
  </si>
  <si>
    <t>YZ-BS-BShyl5119K03XL</t>
  </si>
  <si>
    <t>YZ-BS-BSLLHT3XL</t>
  </si>
  <si>
    <t>YZ-BS-BSLLIT3XL</t>
  </si>
  <si>
    <t>YZ-BS-JG2631HS1L</t>
  </si>
  <si>
    <t>YZ-BS-JG2631ZL1L</t>
  </si>
  <si>
    <t>YZ-BS-ZQ15827W04XL</t>
  </si>
  <si>
    <t>LYQ-BS-K1010-G0-XL</t>
  </si>
  <si>
    <t>LYQ-BS-K1010-G7-S</t>
  </si>
  <si>
    <t>LYQ-BS-K1010-K0-2X</t>
  </si>
  <si>
    <t>LYQ-BS-K1010-K0-L</t>
  </si>
  <si>
    <t>LYQ-BS-K1010-K0-XS</t>
  </si>
  <si>
    <t>LYQ-BS-K1010-KQ-XS</t>
  </si>
  <si>
    <t>YZ-BS-HE9007Se3L</t>
  </si>
  <si>
    <t>BS-PW2025-K0-2XL</t>
  </si>
  <si>
    <t>BS-PW2025-K0-XL</t>
  </si>
  <si>
    <t>BS-WH17015-C0-M</t>
  </si>
  <si>
    <t>LYQ-BS-ZQ2973-W1-L</t>
  </si>
  <si>
    <t>LYQ-BS-ZQ2973-G7-M</t>
  </si>
  <si>
    <t>LYQ-BS-ZQ2973-KQ-S</t>
  </si>
  <si>
    <t>LYQ-BS-K1010-K0-S</t>
  </si>
  <si>
    <t>LYQ-BS-K1010-G0-M</t>
  </si>
  <si>
    <t>LYQ-BS-K1010-G7-M</t>
  </si>
  <si>
    <t>LYQ-BS-ZQ2973-W1-S</t>
  </si>
  <si>
    <t>LYQ-BS-ZQ2973-E0-S</t>
  </si>
  <si>
    <t>LYQ-BS-K1010-B0-M</t>
  </si>
  <si>
    <t>LYQ-BS-K1010-Z0-XL</t>
  </si>
  <si>
    <t>LYQ-BS-K1010-R0-M</t>
  </si>
  <si>
    <t>LYQ-BS-YY05-K0-S</t>
  </si>
  <si>
    <t>BS-WHBH1704-K0-L</t>
  </si>
  <si>
    <t>BS-WH17017-B0-S</t>
  </si>
  <si>
    <t>BS-WH17017-G0-S</t>
  </si>
  <si>
    <t>BS-WH17017-K0-S</t>
  </si>
  <si>
    <t>BS-WH17015-B0-M</t>
  </si>
  <si>
    <t>BS-WH17015-K0-XL</t>
  </si>
  <si>
    <t>BS-WH17015-P0-M</t>
  </si>
  <si>
    <t>BS-WH17015-SZ-M</t>
  </si>
  <si>
    <t>BS-WH17015-ZL-M</t>
  </si>
  <si>
    <t>LYQ-BS-K1010-B0-XS</t>
  </si>
  <si>
    <t>LYQ-BS-K1010-KQ-S</t>
  </si>
  <si>
    <t>LYQ-BS-K1010-R0-S</t>
  </si>
  <si>
    <t>YZ-BS-5505JR0L</t>
  </si>
  <si>
    <t>YZ-BS-5505Lb0XS</t>
  </si>
  <si>
    <t>YZ-BS-5505K0-S</t>
  </si>
  <si>
    <t>YZ-BS-HE9008Sa8L</t>
  </si>
  <si>
    <t>YZ-BS-PW2037-K0-S</t>
  </si>
  <si>
    <t>CS-LY181-G912-M</t>
  </si>
  <si>
    <t>CS-LY181-PI908-XL</t>
  </si>
  <si>
    <t>CS-LY181-ZL918-XL</t>
  </si>
  <si>
    <t>BS-WHC19-K0-L</t>
  </si>
  <si>
    <t>BS-WHC19-K0-M</t>
  </si>
  <si>
    <t>BS-WHC19-K0-XL</t>
  </si>
  <si>
    <t>BS-WHC19-K0-XXL</t>
  </si>
  <si>
    <t>BS-WHC19-P0-M</t>
  </si>
  <si>
    <t>BS-WHC19-P0-S</t>
  </si>
  <si>
    <t>BS-WHC19-P0-XL</t>
  </si>
  <si>
    <t>BS-WHC19-P0-XXL</t>
  </si>
  <si>
    <t>BS-WHC19-R0-L</t>
  </si>
  <si>
    <t>BS-WHC19-R0-M</t>
  </si>
  <si>
    <t>BS-WHC19-R0-S</t>
  </si>
  <si>
    <t>BS-WHC19-R0-XL</t>
  </si>
  <si>
    <t>BS-WHC19-R0-XXL</t>
  </si>
  <si>
    <t>BS-WHC19-W0-L</t>
  </si>
  <si>
    <t>BS-WHC19-W0-M</t>
  </si>
  <si>
    <t>BS-WHC19-W0-S</t>
  </si>
  <si>
    <t>BS-WHC19-W0-XL</t>
  </si>
  <si>
    <t>BS-WHC19-W0-XXL</t>
  </si>
  <si>
    <t>CS-LY171-G912-S</t>
  </si>
  <si>
    <t>CS-LY171-LB916-S</t>
  </si>
  <si>
    <t>CS-LY171-LG907-S</t>
  </si>
  <si>
    <t>CS-LY171-PI908-S</t>
  </si>
  <si>
    <t>CS-LY171-Sa911-S</t>
  </si>
  <si>
    <t>CS-LY171-W902-S</t>
  </si>
  <si>
    <t>CS-LY170-G912-S</t>
  </si>
  <si>
    <t>CS-LY170-LB916-S</t>
  </si>
  <si>
    <t>CS-LY170-PI908-S</t>
  </si>
  <si>
    <t>CS-LY170-Sa911-S</t>
  </si>
  <si>
    <t>CS-LY170-W902-S</t>
  </si>
  <si>
    <t>CS-LY170-WR917-S</t>
  </si>
  <si>
    <t>CS-LY170-ZL918-S</t>
  </si>
  <si>
    <t>LYQ-BS-YH115-B0S</t>
  </si>
  <si>
    <t>LYQ-BS-YH115-B0XL</t>
  </si>
  <si>
    <t>LYQ-BS-YH115-G0L</t>
  </si>
  <si>
    <t>LYQ-BS-YH115-R0XL</t>
  </si>
  <si>
    <t>YZ-BS-PW2049-B0-L</t>
  </si>
  <si>
    <t>YZ-BS-PW2049-B0-M</t>
  </si>
  <si>
    <t>YZ-BS-PW2049-B0-S</t>
  </si>
  <si>
    <t>YZ-BS-PW2049-B0-XL</t>
  </si>
  <si>
    <t>YZ-BS-PW2049-GR-L</t>
  </si>
  <si>
    <t>YZ-BS-PW2049-GR-M</t>
  </si>
  <si>
    <t>YZ-BS-PW2049-GR-S</t>
  </si>
  <si>
    <t>YZ-BS-PW2049-GR-XL</t>
  </si>
  <si>
    <t>YZ-BS-PW2049-K0-L</t>
  </si>
  <si>
    <t>YZ-BS-PW2049-K0-M</t>
  </si>
  <si>
    <t>YZ-BS-PW2049-K0-S</t>
  </si>
  <si>
    <t>YZ-BS-PW2049-P0-L</t>
  </si>
  <si>
    <t>YZ-BS-PW2049-P0-M</t>
  </si>
  <si>
    <t>YZ-BS-PW2049-P0-S</t>
  </si>
  <si>
    <t>YZ-BS-PW2049-P0-XL</t>
  </si>
  <si>
    <t>YZ-BS-PW2049-W0-L</t>
  </si>
  <si>
    <t>YZ-BS-PW2049-W0-M</t>
  </si>
  <si>
    <t>YZ-BS-PW2049-W0-S</t>
  </si>
  <si>
    <t>YZ-BS-PW2049-W0-XL</t>
  </si>
  <si>
    <t>YZ-BS-1580-K0-2XL</t>
  </si>
  <si>
    <t>YZ-BS-1580-K0-3XL</t>
  </si>
  <si>
    <t>YZ-BS-1580-K0-L</t>
  </si>
  <si>
    <t>YZ-BS-1580-K0-M</t>
  </si>
  <si>
    <t>YZ-BS-1580-K0-XL</t>
  </si>
  <si>
    <t>YZ-BS-1580-NB-2XL</t>
  </si>
  <si>
    <t>YZ-BS-1580-NB-3XL</t>
  </si>
  <si>
    <t>YZ-BS-1580-NB-L</t>
  </si>
  <si>
    <t>YZ-BS-1580-NB-M</t>
  </si>
  <si>
    <t>YZ-BS-1580-NB-XL</t>
  </si>
  <si>
    <t>LYQ-BS-ZQ2973-BD-S</t>
  </si>
  <si>
    <t>LYQ-BS-ZQ2973-G7-S</t>
  </si>
  <si>
    <t>LYQ-BS-ZQ2973-ZL-S</t>
  </si>
  <si>
    <t>LYQ-BS-ZQ2973-K0-S</t>
  </si>
  <si>
    <t>YZ-BEYF181-B0-S</t>
  </si>
  <si>
    <t>YZ-BEYF181-G0-S</t>
  </si>
  <si>
    <t>YZ-BEYF181-PI-S</t>
  </si>
  <si>
    <t>CS-BESB032-BL-XL</t>
  </si>
  <si>
    <t>CS-BESB032-GN1-S</t>
  </si>
  <si>
    <t>CS-BESB032-GN2-S</t>
  </si>
  <si>
    <t>CS-BESB032-NB-L</t>
  </si>
  <si>
    <t>CS-BESB032-RD-L</t>
  </si>
  <si>
    <t>CS-BESB032-YL-S</t>
  </si>
  <si>
    <t>YZ-BEYF184-B0-XXL</t>
  </si>
  <si>
    <t>BS-WH1731-K0-S</t>
  </si>
  <si>
    <t>BS-WH1731-P0-M</t>
  </si>
  <si>
    <t>LYQ-BS4600-G0-M</t>
  </si>
  <si>
    <t>LYQ-BS4600-G1-S</t>
  </si>
  <si>
    <t>LYQ-BS4600-N0-M</t>
  </si>
  <si>
    <t>YZ-BS-TJ124500M</t>
  </si>
  <si>
    <t>YZ-BS-TJ1245G0M</t>
  </si>
  <si>
    <t>YZ-BS-TJ1245W0M</t>
  </si>
  <si>
    <t>RE-YZ-BECS186-YH-S</t>
  </si>
  <si>
    <t>RE-YZ-BELK185-B0-S</t>
  </si>
  <si>
    <t>RE-YZ-BELK185-K0-S</t>
  </si>
  <si>
    <t>RE-YZ-BELK185-Y9-S</t>
  </si>
  <si>
    <t>YZ-BEYF184-B0-S</t>
  </si>
  <si>
    <t>BS-WH17015-B0-XXL</t>
  </si>
  <si>
    <t>BS-WH17015-K0-XXXL</t>
  </si>
  <si>
    <t>BS-WH17015-P0-XXL</t>
  </si>
  <si>
    <t>BS-WH17015-SZ-XL</t>
  </si>
  <si>
    <t>BS-WH17015-ZL-XXXL</t>
  </si>
  <si>
    <t>YZ-BELS1458-FB-3X</t>
  </si>
  <si>
    <t>YZ-BELS1458-K0-3X</t>
  </si>
  <si>
    <t>YZ-BELS1458-PI-3X</t>
  </si>
  <si>
    <t>WQS-BN-1503-KO-S</t>
  </si>
  <si>
    <t>YZ-BETW32-KTW-S</t>
  </si>
  <si>
    <t>TX-55554-BO-2XL</t>
  </si>
  <si>
    <t>TX-55554-BO-3XL</t>
  </si>
  <si>
    <t>TX-55554-BO-4XL</t>
  </si>
  <si>
    <t>TX-55554-BO-5XL</t>
  </si>
  <si>
    <t>TX-55554-GO-2XL</t>
  </si>
  <si>
    <t>TX-55554-GO-3XL</t>
  </si>
  <si>
    <t>TX-55554-GO-4XL</t>
  </si>
  <si>
    <t>TX-55554-GO-5XL</t>
  </si>
  <si>
    <t>TX-55554-GR-2XL</t>
  </si>
  <si>
    <t>TX-55554-GR-4XL</t>
  </si>
  <si>
    <t>TX-55554-GR-5XL</t>
  </si>
  <si>
    <t>TX-55554-KO-2XL</t>
  </si>
  <si>
    <t>TX-55554-KO-3XL</t>
  </si>
  <si>
    <t>TX-55554-KO-4XL</t>
  </si>
  <si>
    <t>TX-55554-KO-5XL</t>
  </si>
  <si>
    <t>TX-55554-PI-2XL</t>
  </si>
  <si>
    <t>TX-55554-PI-3XL</t>
  </si>
  <si>
    <t>TX-55554-PI-4XL</t>
  </si>
  <si>
    <t>TX-55554-PI-5XL</t>
  </si>
  <si>
    <t>TX-55554-PO-2XL</t>
  </si>
  <si>
    <t>TX-55554-PO-3XL</t>
  </si>
  <si>
    <t>TX-55554-PO-4XL</t>
  </si>
  <si>
    <t>TX-55554-PO-5XL</t>
  </si>
  <si>
    <t>TX-55554-WO-5XL</t>
  </si>
  <si>
    <t>TX-55554-GR-3XL</t>
  </si>
  <si>
    <t>TX-55554-WO-2XL</t>
  </si>
  <si>
    <t>TX-55554-WO-3XL</t>
  </si>
  <si>
    <t>TX-55554-WO-4XL</t>
  </si>
  <si>
    <t>RE-YZ-BECS186-OR-XXL</t>
  </si>
  <si>
    <t>RE-YZ-BELK185-B0-XL</t>
  </si>
  <si>
    <t>RE-YZ-BELK185-K0-XL</t>
  </si>
  <si>
    <t>RE-YZ-BELK185-Y9-L</t>
  </si>
  <si>
    <t>RE-YZ-BELK185-Y9-M</t>
  </si>
  <si>
    <t>YZ-BS-PW2037-B0-L</t>
  </si>
  <si>
    <t>YZ-BS-PW2037-B0-M</t>
  </si>
  <si>
    <t>YZ-BS-PW2037-G0-L</t>
  </si>
  <si>
    <t>YZ-BS-PW2037-G0-M</t>
  </si>
  <si>
    <t>YZ-BS-PW2037-G0-S</t>
  </si>
  <si>
    <t>YZ-BS-PW2037-K0-L</t>
  </si>
  <si>
    <t>YZ-BS-PW2037-K0-M</t>
  </si>
  <si>
    <t>YZ-BS-PW2037-K0-XL</t>
  </si>
  <si>
    <t>YZ-BS-PW2037-R0-L</t>
  </si>
  <si>
    <t>YZ-BS-PW2037-R0-M</t>
  </si>
  <si>
    <t>YZ-BS-PW2037-R0-S</t>
  </si>
  <si>
    <t>YZ-BS-PW2037-R0-XL</t>
  </si>
  <si>
    <t>YZ-BS-5505Da0L</t>
  </si>
  <si>
    <t>YZ-BS-5505DaM</t>
  </si>
  <si>
    <t>YZ-BS-5505DaXL</t>
  </si>
  <si>
    <t>YZ-BS-5505DaXXL</t>
  </si>
  <si>
    <t>YZ-BS-5505JR0S</t>
  </si>
  <si>
    <t>YZ-BS-5505JRM</t>
  </si>
  <si>
    <t>YZ-BS-5505JRXL</t>
  </si>
  <si>
    <t>YZ-BS-5505JRXS</t>
  </si>
  <si>
    <t>YZ-BS-5505JRXXL</t>
  </si>
  <si>
    <t>YZ-BS-5505K0-2XL</t>
  </si>
  <si>
    <t>YZ-BS-5505K0-L</t>
  </si>
  <si>
    <t>YZ-BS-5505K0-M</t>
  </si>
  <si>
    <t>YZ-BS-5505K0-XS</t>
  </si>
  <si>
    <t>YZ-BS-5505LbL</t>
  </si>
  <si>
    <t>YZ-BS-5505LbS</t>
  </si>
  <si>
    <t>YZ-BS-5505LbXL</t>
  </si>
  <si>
    <t>YZ-BS-5505LbXXL</t>
  </si>
  <si>
    <t>WQS-BN-1503-BO-S</t>
  </si>
  <si>
    <t>WQS-BN-1503-BO-XL</t>
  </si>
  <si>
    <t>WQS-BN-1503-RO-XL</t>
  </si>
  <si>
    <t>WQS-BN-1503-WO-S</t>
  </si>
  <si>
    <t>YZ-BS-BS5119ZLXL4XL</t>
  </si>
  <si>
    <t>YZ-BS-BS5119ZLXL5XL</t>
  </si>
  <si>
    <t>YZ-BS-BS5119ZLXLXL</t>
  </si>
  <si>
    <t>YZ-BS-BShyl5119-YH-4XL</t>
  </si>
  <si>
    <t>YZ-BS-BShyl5119-YH-5XL</t>
  </si>
  <si>
    <t>YZ-BS-BShyl5119-YH-XL</t>
  </si>
  <si>
    <t>YZ-BS-BShyl5119-YT-4XL</t>
  </si>
  <si>
    <t>YZ-BS-BShyl5119-YT-XL</t>
  </si>
  <si>
    <t>YZ-BS-BShyl5119K0L</t>
  </si>
  <si>
    <t>YZ-BS-BShyl5119K0M</t>
  </si>
  <si>
    <t>YZ-BS-BShyl5119K0XL</t>
  </si>
  <si>
    <t>BS-WH1731-P0-S</t>
  </si>
  <si>
    <t>CS-BESB032-BL-S</t>
  </si>
  <si>
    <t>CS-BESB032-NB-S</t>
  </si>
  <si>
    <t>CS-BESB032-RD-S</t>
  </si>
  <si>
    <t>WQS-BN-1503-GR-2XL</t>
  </si>
  <si>
    <t>BS-WH1731-K0-L</t>
  </si>
  <si>
    <t>BS-WH1731-K0-M</t>
  </si>
  <si>
    <t>BS-WH1731-K0-XL</t>
  </si>
  <si>
    <t>BS-WH1731-K0-XXL</t>
  </si>
  <si>
    <t>BS-WH1731-P0-L</t>
  </si>
  <si>
    <t>BS-WH1731-P0-XL</t>
  </si>
  <si>
    <t>BS-WH1731-P0-XXL</t>
  </si>
  <si>
    <t>BS-WH1731-R0-L</t>
  </si>
  <si>
    <t>BS-WH1731-R0-M</t>
  </si>
  <si>
    <t>BS-WH1731-R0-XL</t>
  </si>
  <si>
    <t>BS-WH1731-R0-XXL</t>
  </si>
  <si>
    <t>BS-WH1731-R0-S</t>
  </si>
  <si>
    <t>YZ-BS-HE9007Sa5L</t>
  </si>
  <si>
    <t>YZ-BEYF183-TW-M</t>
  </si>
  <si>
    <t>RE-YZ-BELE001-W0-L</t>
  </si>
  <si>
    <t>RE-YZ-BELE001-W0-M</t>
  </si>
  <si>
    <t>RE-YZ-BELE001-W0-S</t>
  </si>
  <si>
    <t>RE-YZ-BELE001-W0-XL</t>
  </si>
  <si>
    <t>RE-YZ-BELE001-W0-XS</t>
  </si>
  <si>
    <t>YZ-BEYF183-TW-S</t>
  </si>
  <si>
    <t>BS-WH17015-B0-XXXL</t>
  </si>
  <si>
    <t>YZ-BETW32-PI-S</t>
  </si>
  <si>
    <t>YZ-BS-5505K0-XL</t>
  </si>
  <si>
    <t>YZ-BS-BShyl5119-YT-3XL</t>
  </si>
  <si>
    <t>RE-YZ-BETW001-K0-S</t>
  </si>
  <si>
    <t>RE-YZ-BETW001-K0-XS</t>
  </si>
  <si>
    <t>RE-YZ-BEBD001-R0-L</t>
  </si>
  <si>
    <t>RE-YZ-BEBD001-R0-M</t>
  </si>
  <si>
    <t>RE-YZ-BEBD001-R0-S</t>
  </si>
  <si>
    <t>RE-YZ-BEBD001-R0-XL</t>
  </si>
  <si>
    <t>RE-YZ-BEBD001-R0-XS</t>
  </si>
  <si>
    <t>CS-LY181-Sa911-M</t>
  </si>
  <si>
    <t>YZ-BEYF182-R0-S</t>
  </si>
  <si>
    <t>BS-WH17015-C0-XXL</t>
  </si>
  <si>
    <t>YZ-BETW32-BTW-S</t>
  </si>
  <si>
    <t>YZ-BS-PW2037-B0-S</t>
  </si>
  <si>
    <t>BS-WH17015-K0-M</t>
  </si>
  <si>
    <t>BS-WHBH1704-K0-2XL</t>
  </si>
  <si>
    <t>YZ-BS-PW2049-K0-XL</t>
  </si>
  <si>
    <t>BS-WH17015-B0-L</t>
  </si>
  <si>
    <t>BS-WH17015-P0-L</t>
  </si>
  <si>
    <t>YZ-BS-5505DaXS</t>
  </si>
  <si>
    <t>YZ-BS-5505LbM</t>
  </si>
  <si>
    <t>YZ-BE5129-G0-2XL</t>
  </si>
  <si>
    <t>YZ-BE5129-G0-3XL</t>
  </si>
  <si>
    <t>YZ-BE5129-G0-M</t>
  </si>
  <si>
    <t>YZ-BE5129-G0-XL</t>
  </si>
  <si>
    <t>YZ-BE5129-G0YH-2XL</t>
  </si>
  <si>
    <t>YZ-BE5129-G0YH-3XL</t>
  </si>
  <si>
    <t>YZ-BE5129-G0YH-L</t>
  </si>
  <si>
    <t>YZ-BE5129-G0YH-M</t>
  </si>
  <si>
    <t>YZ-BE5129-G0YH-XL</t>
  </si>
  <si>
    <t>YZ-BE5129-K0-3XL</t>
  </si>
  <si>
    <t>YZ-BE5129-K0-M</t>
  </si>
  <si>
    <t>YZ-BE5129-K0-XL</t>
  </si>
  <si>
    <t>YZ-BE5129-K0YH-2XL</t>
  </si>
  <si>
    <t>YZ-BE5129-K0YH-3XL</t>
  </si>
  <si>
    <t>YZ-BE5129-K0YH-L</t>
  </si>
  <si>
    <t>RE-YZ-BEWS32-BD-2XL</t>
  </si>
  <si>
    <t>RE-YZ-BEWS32-BD-L</t>
  </si>
  <si>
    <t>RE-YZ-BEWS32-BD-M</t>
  </si>
  <si>
    <t>RE-YZ-BEWS32-BD-S</t>
  </si>
  <si>
    <t>RE-YZ-BEWS32-BD-XL</t>
  </si>
  <si>
    <t>RE-YZ-BEWS32-K0-2XL</t>
  </si>
  <si>
    <t>RE-YZ-BEWS32-K0-L</t>
  </si>
  <si>
    <t>RE-YZ-BEWS32-K0-M</t>
  </si>
  <si>
    <t>RE-YZ-BEWS32-K0-S</t>
  </si>
  <si>
    <t>RE-YZ-BEWS32-K0-XL</t>
  </si>
  <si>
    <t>RE-YZ-BEWS32-ZL-2XL</t>
  </si>
  <si>
    <t>RE-YZ-BEWS32-ZL-L</t>
  </si>
  <si>
    <t>RE-YZ-BEWS32-ZL-M</t>
  </si>
  <si>
    <t>RE-YZ-BEWS32-ZL-S</t>
  </si>
  <si>
    <t>RE-YZ-BEWS32-ZL-XL</t>
  </si>
  <si>
    <t>YZ-BE5129-K0YH-M</t>
  </si>
  <si>
    <t>YZ-BE5129-K0YH-XL</t>
  </si>
  <si>
    <t>YZ-BE5129-ZLYH-2XL</t>
  </si>
  <si>
    <t>YZ-BE5129-ZLYH-3XL</t>
  </si>
  <si>
    <t>YZ-BE5129-ZLYH-M</t>
  </si>
  <si>
    <t>YZ-BE5129-ZLYH-XL</t>
  </si>
  <si>
    <t>YZ-BS-ZQ15827B0S</t>
  </si>
  <si>
    <t>YZ-BS-BSLLHTM</t>
  </si>
  <si>
    <t>YZ-BS-BSLLITM</t>
  </si>
  <si>
    <t>YZ-BS-BSLLK0M</t>
  </si>
  <si>
    <t>YZ-BS-JG2631ZLM</t>
  </si>
  <si>
    <t>BS-WH16032-B0-S</t>
  </si>
  <si>
    <t>BS-WH16032-ZL-S</t>
  </si>
  <si>
    <t>LYQ-BS-ZQ2973-KQ-M</t>
  </si>
  <si>
    <t>LYQ-BS-ZQ2973-W1-M</t>
  </si>
  <si>
    <t>LYQ-BS-K1010-B0-L</t>
  </si>
  <si>
    <t>LYQ-BS-K1010-G7-L</t>
  </si>
  <si>
    <t>LYQ-BS-K1010-KQ-L</t>
  </si>
  <si>
    <t>LYQ-BS-K1010-N0-M</t>
  </si>
  <si>
    <t>LYQ-BS4600-B0-XS</t>
  </si>
  <si>
    <t>LYQ-BS4600-G0-XS</t>
  </si>
  <si>
    <t>LYQ-CSM048-GR0-S</t>
  </si>
  <si>
    <t>LYQ-CSM048-ZL-S</t>
  </si>
  <si>
    <t>XZ-WH1509-W0-3536</t>
  </si>
  <si>
    <t>XZ-WH1509-Y0-3536</t>
  </si>
  <si>
    <t>XZ-WHMX006-G0-S</t>
  </si>
  <si>
    <t>XZ-WHMX006-R0-S</t>
  </si>
  <si>
    <t>XZ-BS-013GR2-S</t>
  </si>
  <si>
    <t>XZ-BS-013PI3-S</t>
  </si>
  <si>
    <t>XZ-BS-013WH1-S</t>
  </si>
  <si>
    <t>XZ-BS-013WH2-S</t>
  </si>
  <si>
    <t>XZ-BS-013WH3-S</t>
  </si>
  <si>
    <t>XZ-WH6606-BR-36</t>
  </si>
  <si>
    <t>XZ-WH6606-K0-36</t>
  </si>
  <si>
    <t>XZ-WH6606-P0-36</t>
  </si>
  <si>
    <t>XZ-WH6606-R0-36</t>
  </si>
  <si>
    <t>XZ-WH6606-ZL-36</t>
  </si>
  <si>
    <t>XZ-WHBH004-B0-3637</t>
  </si>
  <si>
    <t>XZ-WHBH004-P0-3637</t>
  </si>
  <si>
    <t>MY-LYRound020-DG-M</t>
  </si>
  <si>
    <t>MY-LYPoint021-K0-M</t>
  </si>
  <si>
    <t>CS-LY166-B28-3-L</t>
  </si>
  <si>
    <t>CS-LY166-B28-4-L</t>
  </si>
  <si>
    <t>CS-LY166-K73-2-XL</t>
  </si>
  <si>
    <t>XZ-BS-PW-2001-C0-41</t>
  </si>
  <si>
    <t>XZ-BS-PW-2001-N0-40</t>
  </si>
  <si>
    <t>XZ-BS-HM168-B0-38/39</t>
  </si>
  <si>
    <t>EUTK-J01H-GR-8</t>
  </si>
  <si>
    <t>EUTK-J01H-SH-14/16</t>
  </si>
  <si>
    <t>EUTK-J02H-GR-18/20</t>
  </si>
  <si>
    <t>CFY-M1798-AG-XXL</t>
  </si>
  <si>
    <t>CFY-M1798-BK-S</t>
  </si>
  <si>
    <t>LYQ-WH1109-B0-S</t>
  </si>
  <si>
    <t>LYQ-WH1109-DG-S</t>
  </si>
  <si>
    <t>BS-MY-1503-W0-XL</t>
  </si>
  <si>
    <t>BS-MY-1503-K0-L</t>
  </si>
  <si>
    <t>MY-WH7622-G0-S</t>
  </si>
  <si>
    <t>MY-WH7622-K0-S</t>
  </si>
  <si>
    <t>SCF-EUC01-003</t>
  </si>
  <si>
    <t>MY-WH7624-G0-L</t>
  </si>
  <si>
    <t>MY-WH7624-R0-S</t>
  </si>
  <si>
    <t>WY-SB017-BK-L</t>
  </si>
  <si>
    <t>MY-SB026-RD-S</t>
  </si>
  <si>
    <t>YZ-BEWH173-K0-XXL</t>
  </si>
  <si>
    <t>YZ-BEWH173-ZL-M</t>
  </si>
  <si>
    <t>MY-EU1925-E0-2XL</t>
  </si>
  <si>
    <t>MY-EU1925-E0-L</t>
  </si>
  <si>
    <t>MY-EU1925-E0-S</t>
  </si>
  <si>
    <t>MY-EU1925-E0-XL</t>
  </si>
  <si>
    <t>MY-EU1925-G7-2XL</t>
  </si>
  <si>
    <t>MY-EU1925-G7-L</t>
  </si>
  <si>
    <t>MY-EU1925-G7-XL</t>
  </si>
  <si>
    <t>MY-EU1925-R6-S</t>
  </si>
  <si>
    <t>MY-EU1925-W0-2XL</t>
  </si>
  <si>
    <t>MY-EU1925-W0-S</t>
  </si>
  <si>
    <t>LYQ-BS-HM1205-BR-M</t>
  </si>
  <si>
    <t>LYQ-BS-HM1205-BR-S</t>
  </si>
  <si>
    <t>LYQ-BS-HM1205-KH-S</t>
  </si>
  <si>
    <t>LYQ-BS-HM1205-KH-XL</t>
  </si>
  <si>
    <t>LYQ-BS-HM1205-OR-L</t>
  </si>
  <si>
    <t>LYQ-BS-HM1205-OR-M</t>
  </si>
  <si>
    <t>LYQ-BS-HM1205-OR-S</t>
  </si>
  <si>
    <t>LYQ-BS-HM1205-W0-L</t>
  </si>
  <si>
    <t>LYQ-BS-HM1205-W0-S</t>
  </si>
  <si>
    <t>LYQ-BS-HM1205-W0-XL</t>
  </si>
  <si>
    <t>BS-WHBH1704-K0-S</t>
  </si>
  <si>
    <t>CS-LY171-WR917-S</t>
  </si>
  <si>
    <t>CS-LY171-ZL918-S</t>
  </si>
  <si>
    <t>CS-LY181-G912-L</t>
  </si>
  <si>
    <t>CS-LY181-PI908-S</t>
  </si>
  <si>
    <t>CS-LY181-WR917-L</t>
  </si>
  <si>
    <t>CS-LY181-WR917-M</t>
  </si>
  <si>
    <t>CS-LY181-WR917-S</t>
  </si>
  <si>
    <t>CS-LY181-ZL918-M</t>
  </si>
  <si>
    <t>CS-LY170-G912-M</t>
  </si>
  <si>
    <t>CS-LY170-G912-XL</t>
  </si>
  <si>
    <t>CS-LY170-G912-XXL</t>
  </si>
  <si>
    <t>CS-LY170-LB916-L</t>
  </si>
  <si>
    <t>CS-LY170-LB916-M</t>
  </si>
  <si>
    <t>CS-LY170-LB916-XL</t>
  </si>
  <si>
    <t>CS-LY170-LB916-XXL</t>
  </si>
  <si>
    <t>CS-LY170-LG907-M</t>
  </si>
  <si>
    <t>CS-LY170-LG907-S</t>
  </si>
  <si>
    <t>CS-LY170-LG907-XL</t>
  </si>
  <si>
    <t>CS-LY170-PI908-L</t>
  </si>
  <si>
    <t>CS-LY170-PI908-XL</t>
  </si>
  <si>
    <t>CS-LY170-PI908-XXL</t>
  </si>
  <si>
    <t>CS-LY170-Sa911-M</t>
  </si>
  <si>
    <t>CS-LY170-Sa911-XXL</t>
  </si>
  <si>
    <t>CS-LY170-W902-L</t>
  </si>
  <si>
    <t>CS-LY170-W902-M</t>
  </si>
  <si>
    <t>CS-LY170-W902-XXL</t>
  </si>
  <si>
    <t>CS-LY170-WR917-L</t>
  </si>
  <si>
    <t>CS-LY170-WR917-XL</t>
  </si>
  <si>
    <t>CS-LY170-WR917-XXL</t>
  </si>
  <si>
    <t>CS-LY170-ZL918-XL</t>
  </si>
  <si>
    <t>CS-LY170-ZL918-XXL</t>
  </si>
  <si>
    <t>YZ-BS-ZQ15827R2S</t>
  </si>
  <si>
    <t>YZ-BS-ZQ15827W0S</t>
  </si>
  <si>
    <t>BS-WH17015-K0-XXL</t>
  </si>
  <si>
    <t>BS-WH17015-SZ-L</t>
  </si>
  <si>
    <t>BS-HB4032-BO-XL</t>
  </si>
  <si>
    <t>BS-HB4032-BO-XXL</t>
  </si>
  <si>
    <t>BS-HB4032-R1-L</t>
  </si>
  <si>
    <t>BS-PW331-M2-S</t>
  </si>
  <si>
    <t>YZ-BS1702-GO-L</t>
  </si>
  <si>
    <t>YZ-BS1702-GO-M</t>
  </si>
  <si>
    <t>YZ-BS1702-GO-S</t>
  </si>
  <si>
    <t>YZ-BS1702-GO-XL</t>
  </si>
  <si>
    <t>YZ-BS1702-GO-XS</t>
  </si>
  <si>
    <t>YZ-BS-BKN1703-R0-L</t>
  </si>
  <si>
    <t>YZ-BS-BKN1703-R0-M</t>
  </si>
  <si>
    <t>YZ-BS-BKN1703-R0-S</t>
  </si>
  <si>
    <t>YZ-BS-BKN1703-R0-XL</t>
  </si>
  <si>
    <t>YZ-BS-BKN1703-R0-XS</t>
  </si>
  <si>
    <t>BS-WH17017-B0-M</t>
  </si>
  <si>
    <t>BS-WH17017-B0-XL</t>
  </si>
  <si>
    <t>BS-WH17017-B0-XXL</t>
  </si>
  <si>
    <t>BS-WH17017-B0-XXXL</t>
  </si>
  <si>
    <t>BS-WH17017-G0-L</t>
  </si>
  <si>
    <t>BS-WH17017-G0-M</t>
  </si>
  <si>
    <t>BS-WH17017-G0-XL</t>
  </si>
  <si>
    <t>BS-WH17017-G0-XXL</t>
  </si>
  <si>
    <t>BS-WH17017-G0-XXXL</t>
  </si>
  <si>
    <t>BS-WH17017-K0-L</t>
  </si>
  <si>
    <t>BS-WH17017-K0-M</t>
  </si>
  <si>
    <t>BS-WH17017-K0-XL</t>
  </si>
  <si>
    <t>BS-WH17017-K0-XXL</t>
  </si>
  <si>
    <t>BS-WH17017-K0-XXXL</t>
  </si>
  <si>
    <t>YZ-BS-HM1727-Pi-3XL</t>
  </si>
  <si>
    <t>YZ-BS-HM1727-Pi-4XL</t>
  </si>
  <si>
    <t>YZ-BS-HE13037EZ1L</t>
  </si>
  <si>
    <t>YZ-BS-HE13037Or1L</t>
  </si>
  <si>
    <t>YZ-BS-HE13037Or2L</t>
  </si>
  <si>
    <t>YZ-BS-HE13037Or3L</t>
  </si>
  <si>
    <t>YZ-BS-HE13037Pu1L</t>
  </si>
  <si>
    <t>YZ-BS-HE13037Pu5L</t>
  </si>
  <si>
    <t>YZ-BS-HE13037Wi1L</t>
  </si>
  <si>
    <t>YZ-BS-HE13037Wi4L</t>
  </si>
  <si>
    <t>YZ-BS-HB8631-BO-L</t>
  </si>
  <si>
    <t>YZ-BS-HB8631-BO-M</t>
  </si>
  <si>
    <t>YZ-BS-HB8631-PI-L</t>
  </si>
  <si>
    <t>YZ-BS-HB8631-PI-S</t>
  </si>
  <si>
    <t>BS-1704-K0-XS</t>
  </si>
  <si>
    <t>YZ-BS-HB8995-PI-L</t>
  </si>
  <si>
    <t>YZ-BS-HB8995-PI-S</t>
  </si>
  <si>
    <t>CS-LY181-LB916-M</t>
  </si>
  <si>
    <t>CS-LY181-LG907-M</t>
  </si>
  <si>
    <t>CS-LY170-LG907-L</t>
  </si>
  <si>
    <t>CS-LY170-WR917-M</t>
  </si>
  <si>
    <t>BS-HB4032-R1-XL</t>
  </si>
  <si>
    <t>BS-HB4032-R1-XXL</t>
  </si>
  <si>
    <t>BS-WH17017-B0-L</t>
  </si>
  <si>
    <t>YZ-BS-HE13037Or4L</t>
  </si>
  <si>
    <t>BS-1704-K0-2XL</t>
  </si>
  <si>
    <t>YZ-BS-HB8995-PI-M</t>
  </si>
  <si>
    <t>MY-LYPoint021-GN-S</t>
  </si>
  <si>
    <t>CS-LY181-LB916-S</t>
  </si>
  <si>
    <t>CS-LY181-PI908-M</t>
  </si>
  <si>
    <t>CS-LY170-PI908-M</t>
  </si>
  <si>
    <t>CS-LY170-Sa911-L</t>
  </si>
  <si>
    <t>CS-LY170-Sa911-XL</t>
  </si>
  <si>
    <t>CS-LY170-W902-XL</t>
  </si>
  <si>
    <t>CS-LY170-ZL918-M</t>
  </si>
  <si>
    <t>BS-PW331-M1-S</t>
  </si>
  <si>
    <t>CS-LY181-LG907-S</t>
  </si>
  <si>
    <t>YZ-BS-HE13037Wi2L</t>
  </si>
  <si>
    <t>BS-WHC19-K0-S</t>
  </si>
  <si>
    <t>CS-LY084-H10-S</t>
  </si>
  <si>
    <t>CS-LY084-H12-S</t>
  </si>
  <si>
    <t>CS-LY084-H16-S</t>
  </si>
  <si>
    <t>CS-LY085-G912-S</t>
  </si>
  <si>
    <t>CS-LY085-ZL918-S</t>
  </si>
  <si>
    <t>XZ-BS-YG7223Da4243</t>
  </si>
  <si>
    <t>XZ-WHMX006-R0-M</t>
  </si>
  <si>
    <t>XZ-WH6606-BR-39</t>
  </si>
  <si>
    <t>LYQ-BS-K1010-P0-S</t>
  </si>
  <si>
    <t>XZ-BS-PW-2001-BG-36</t>
  </si>
  <si>
    <t>LYQ-CSM048-G0-M</t>
  </si>
  <si>
    <t>LYQ-CSM048-K0-L</t>
  </si>
  <si>
    <t>LYQ-CSM048-R0-L</t>
  </si>
  <si>
    <t>EUTK-J01H-SH-10/12</t>
  </si>
  <si>
    <t>EUTK-J02H-GR-14/16</t>
  </si>
  <si>
    <t>EUTK-J02H-K0-18/20</t>
  </si>
  <si>
    <t>EUTK-J02H-SH-10/12</t>
  </si>
  <si>
    <t>CFY-M1798-AG-M</t>
  </si>
  <si>
    <t>CS-LY166-B28-5-L</t>
  </si>
  <si>
    <t>LYQ-BS-K1010-G7-XL</t>
  </si>
  <si>
    <t>LYQ-BS-CS04-CO-XL</t>
  </si>
  <si>
    <t>LYQ-BS-CS04-G0-L</t>
  </si>
  <si>
    <t>LYQ-BS-CS04-GR-XL</t>
  </si>
  <si>
    <t>XZ-BS-013GR1-M</t>
  </si>
  <si>
    <t>XZ-BS-013GR3-S</t>
  </si>
  <si>
    <t>XZ-BS-HMMF360-BE-L</t>
  </si>
  <si>
    <t>XZ-BS-HMMF360-GR-L</t>
  </si>
  <si>
    <t>XZ-BS-013GR1-XL</t>
  </si>
  <si>
    <t>WQS-BN-1503-GR-XL</t>
  </si>
  <si>
    <t>WQS-BN-1503-BO-M</t>
  </si>
  <si>
    <t>WY-SB017-DG-S</t>
  </si>
  <si>
    <t>WY-SB017-LG-XL</t>
  </si>
  <si>
    <t>WY-SB017-NY-XXL</t>
  </si>
  <si>
    <t>MY-SB026-DG-S</t>
  </si>
  <si>
    <t>BS-PW331-M2-M</t>
  </si>
  <si>
    <t>XZ-BS-PW-2001-C0-36</t>
  </si>
  <si>
    <t>XZ-BS-PW-2001-C0-37</t>
  </si>
  <si>
    <t>XZ-BS-PW-2001-G0-36</t>
  </si>
  <si>
    <t>XZ-BS-PW-2001-G0-37</t>
  </si>
  <si>
    <t>XZ-BS-PW-2001-G0-40</t>
  </si>
  <si>
    <t>XZ-BS-PW-2001-K0-40</t>
  </si>
  <si>
    <t>XZ-BS-PW-2001-N0-36</t>
  </si>
  <si>
    <t>XZ-BS-PW-2001-R0-36</t>
  </si>
  <si>
    <t>BS-BN-1501-BO-2XL</t>
  </si>
  <si>
    <t>BS-BN-1501-BO-4XL</t>
  </si>
  <si>
    <t>BS-BN-1501-BO-L</t>
  </si>
  <si>
    <t>BS-BN-1501-BO-XL</t>
  </si>
  <si>
    <t>BS-BN-1501-GR-2XL</t>
  </si>
  <si>
    <t>BS-BN-1501-GR-3XL</t>
  </si>
  <si>
    <t>BS-BN-1501-GR-4XL</t>
  </si>
  <si>
    <t>BS-BN-1501-GR-L</t>
  </si>
  <si>
    <t>BS-BN-1501-GR-XL</t>
  </si>
  <si>
    <t>BS-BN-1501-KO-2XL</t>
  </si>
  <si>
    <t>BS-BN-1501-KO-3XL</t>
  </si>
  <si>
    <t>BS-BN-1501-KO-4XL</t>
  </si>
  <si>
    <t>BS-BN-1501-KO-L</t>
  </si>
  <si>
    <t>BS-BN-1501-KO-XL</t>
  </si>
  <si>
    <t>BS-BN-1501-RO-3XL</t>
  </si>
  <si>
    <t>BS-BN-1501-RO-4XL</t>
  </si>
  <si>
    <t>BS-BN-1501-RO-L</t>
  </si>
  <si>
    <t>BS-BN-1501-RO-XL</t>
  </si>
  <si>
    <t>BS-BN-1501-WO-2XL</t>
  </si>
  <si>
    <t>BS-BN-1501-WO-3XL</t>
  </si>
  <si>
    <t>BS-BN-1501-WO-4XL</t>
  </si>
  <si>
    <t>BS-BN-1501-WO-L</t>
  </si>
  <si>
    <t>BS-BN-1501-WO-XL</t>
  </si>
  <si>
    <t>CS-LY171-G912-L</t>
  </si>
  <si>
    <t>CS-LY171-G912-M</t>
  </si>
  <si>
    <t>CS-LY171-LB916-L</t>
  </si>
  <si>
    <t>CS-LY171-LB916-M</t>
  </si>
  <si>
    <t>CS-LY171-LB916-XL</t>
  </si>
  <si>
    <t>CS-LY171-LB916-XXL</t>
  </si>
  <si>
    <t>CS-LY171-LG907-L</t>
  </si>
  <si>
    <t>CS-LY171-PI908-L</t>
  </si>
  <si>
    <t>CS-LY171-PI908-M</t>
  </si>
  <si>
    <t>CS-LY171-PI908-XL</t>
  </si>
  <si>
    <t>CS-LY171-Sa911-L</t>
  </si>
  <si>
    <t>CS-LY171-Sa911-M</t>
  </si>
  <si>
    <t>CS-LY171-Sa911-XXL</t>
  </si>
  <si>
    <t>CS-LY171-W902-L</t>
  </si>
  <si>
    <t>CS-LY171-WR917-L</t>
  </si>
  <si>
    <t>CS-LY171-WR917-M</t>
  </si>
  <si>
    <t>CS-LY171-WR917-XL</t>
  </si>
  <si>
    <t>CS-LY171-ZL918-L</t>
  </si>
  <si>
    <t>CS-LY171-ZL918-M</t>
  </si>
  <si>
    <t>BS-BN-1501-BO-3XL</t>
  </si>
  <si>
    <t>BS-BN-1501-RO-2XL</t>
  </si>
  <si>
    <t>CS-LY181-LB916-L</t>
  </si>
  <si>
    <t>CS-LY181-PI908-XXL</t>
  </si>
  <si>
    <t>WQS-BN-1503-BO-2XL</t>
  </si>
  <si>
    <t>WQS-BN-1503-BO-L</t>
  </si>
  <si>
    <t>WQS-BN-1503-GR-L</t>
  </si>
  <si>
    <t>WQS-BN-1503-GR-M</t>
  </si>
  <si>
    <t>WQS-BN-1503-GR-S</t>
  </si>
  <si>
    <t>WQS-BN-1503-KO-L</t>
  </si>
  <si>
    <t>WQS-BN-1503-KO-M</t>
  </si>
  <si>
    <t>WQS-BN-1503-RO-2XL</t>
  </si>
  <si>
    <t>WQS-BN-1503-RO-L</t>
  </si>
  <si>
    <t>WQS-BN-1503-RO-S</t>
  </si>
  <si>
    <t>WQS-BN-1503-WO-2XL</t>
  </si>
  <si>
    <t>WQS-BN-1503-WO-L</t>
  </si>
  <si>
    <t>WQS-BN-1503-WO-M</t>
  </si>
  <si>
    <t>WQS-BN-1503-WO-XL</t>
  </si>
  <si>
    <t>YZ-BS-BSLLK03XL</t>
  </si>
  <si>
    <t>XZ-BS-PW-2001-C0-39</t>
  </si>
  <si>
    <t>CS-LY171-WR917-XXL</t>
  </si>
  <si>
    <t>CS-LY171-ZL918-XL</t>
  </si>
  <si>
    <t>CS-LY171-ZL918-XXL</t>
  </si>
  <si>
    <t>CS-LY181-G912-XL</t>
  </si>
  <si>
    <t>CS-LY181-Sa911-L</t>
  </si>
  <si>
    <t>WQS-BN-1503-RO-M</t>
  </si>
  <si>
    <t>CS-LY171-LG907-XL</t>
  </si>
  <si>
    <t>WQS-BN-1503-KO-XL</t>
  </si>
  <si>
    <t>CS-LY084-H10-L</t>
  </si>
  <si>
    <t>CS-LY084-H12-M</t>
  </si>
  <si>
    <t>CS-LY084-H16-L</t>
  </si>
  <si>
    <t>CS-LY084-H2-L</t>
  </si>
  <si>
    <t>CS-LY085-G912-L</t>
  </si>
  <si>
    <t>CS-LY085-LB916-L</t>
  </si>
  <si>
    <t>CS-LY085-W902-S</t>
  </si>
  <si>
    <t>LYQ-BS-K1010-G0-XS</t>
  </si>
  <si>
    <t>LYQ-BS-K1010-G7-XS</t>
  </si>
  <si>
    <t>LYQ-BS-K1010-P0-XS</t>
  </si>
  <si>
    <t>LYQ-BS-K1010-R0-XS</t>
  </si>
  <si>
    <t>LYQ-BS-K1010-W0-XS</t>
  </si>
  <si>
    <t>LYQ-BS-K1010-Z0-XS</t>
  </si>
  <si>
    <t>LYQ-BS4600-G1-XS</t>
  </si>
  <si>
    <t>LYQ-BS4600-N0-XS</t>
  </si>
  <si>
    <t>LYQ-BS4600-P0-S</t>
  </si>
  <si>
    <t>LYQ-CSM048-K0-S</t>
  </si>
  <si>
    <t>LYQ-CSM048-R0-S</t>
  </si>
  <si>
    <t>XZ-WH1509-B0-3536</t>
  </si>
  <si>
    <t>XZ-WH150903-G2-3536</t>
  </si>
  <si>
    <t>XZ-WH6606-BR-40</t>
  </si>
  <si>
    <t>XZ-WH6606-C0-35</t>
  </si>
  <si>
    <t>XZ-WH6606-K0-39</t>
  </si>
  <si>
    <t>XZ-WH6606-P0-40</t>
  </si>
  <si>
    <t>XZ-WH6606-R0-35</t>
  </si>
  <si>
    <t>XZ-WH6606-ZL-39</t>
  </si>
  <si>
    <t>XZ-WHBH004-B0-4041</t>
  </si>
  <si>
    <t>XZ-WHBH004-P0-4041</t>
  </si>
  <si>
    <t>CS-LY086-B0-L</t>
  </si>
  <si>
    <t>CS-LY086-B0-XXL</t>
  </si>
  <si>
    <t>CS-LY086-LB-L</t>
  </si>
  <si>
    <t>CS-LY086-N0-M</t>
  </si>
  <si>
    <t>CS-LY086-N0-S</t>
  </si>
  <si>
    <t>LYQ-BS-K1010-K0-XL</t>
  </si>
  <si>
    <t>LYQ-BS-K1010-KQ-XL</t>
  </si>
  <si>
    <t>XZ-BS-WHXY251864K03839</t>
  </si>
  <si>
    <t>XZ-BS-WHXY251864W03839</t>
  </si>
  <si>
    <t>CS-LY166-B28-1-L</t>
  </si>
  <si>
    <t>CS-LY166-K33-4-S</t>
  </si>
  <si>
    <t>CS-LY166-K73-2-L</t>
  </si>
  <si>
    <t>SCF-EUC01-017</t>
  </si>
  <si>
    <t>LYQ-BS-K1010-N0-2X</t>
  </si>
  <si>
    <t>LYQ-BS-K1010-N0-S</t>
  </si>
  <si>
    <t>XZ-BS-ZQCB3056-B0-24</t>
  </si>
  <si>
    <t>XZ-BS-ZQCB3056-kQ-24</t>
  </si>
  <si>
    <t>XZ-BS-2115Gr35</t>
  </si>
  <si>
    <t>BS-WH17008-G0-M</t>
  </si>
  <si>
    <t>YZ-BEWH173-K0-M</t>
  </si>
  <si>
    <t>YZ-BEWH173-WI-M</t>
  </si>
  <si>
    <t>WQS-BS-BN1504-BO/RO-M</t>
  </si>
  <si>
    <t>WQS-BS-BN1504-BO/RO-S</t>
  </si>
  <si>
    <t>WQS-BS-BN1504-GR-M</t>
  </si>
  <si>
    <t>WQS-BS-BN1504-GR-S</t>
  </si>
  <si>
    <t>WQS-BS-BN1504-KO-L</t>
  </si>
  <si>
    <t>WQS-BS-BN1504-KO-M</t>
  </si>
  <si>
    <t>WQS-BS-BN1504-KO-S</t>
  </si>
  <si>
    <t>WQS-BS-BN1504-RO-M</t>
  </si>
  <si>
    <t>WQS-BS-BN1504-RO-XL</t>
  </si>
  <si>
    <t>BS-PW2025-K0-5XL</t>
  </si>
  <si>
    <t>BS-PW2025-K0-M</t>
  </si>
  <si>
    <t>CS-LY085-WR917-M</t>
  </si>
  <si>
    <t>CS-LY085-ZL918-M</t>
  </si>
  <si>
    <t>YZ-BS-BSLLHT4XL</t>
  </si>
  <si>
    <t>YZ-BS-BSLLIT4XL</t>
  </si>
  <si>
    <t>YZ-BS-BSLLK04XL</t>
  </si>
  <si>
    <t>YZ-BS-HE9007Sa8L</t>
  </si>
  <si>
    <t>YZ-BS-TJ1245G01L</t>
  </si>
  <si>
    <t>XZ-BS-YG7223Co4243</t>
  </si>
  <si>
    <t>XZ-BS-YG7223RB3637</t>
  </si>
  <si>
    <t>CS-LY166-B28-4-M</t>
  </si>
  <si>
    <t>CS-LY166-K33-2-S</t>
  </si>
  <si>
    <t>CS-LY166-K73-2-XXL</t>
  </si>
  <si>
    <t>XZ-WH6606-ZL-40</t>
  </si>
  <si>
    <t>XZ-BS-2115Pi35</t>
  </si>
  <si>
    <t>YZ-BS-BSLLHTXL</t>
  </si>
  <si>
    <t>MY-SB019-BL-L</t>
  </si>
  <si>
    <t>MY-SB019-DG-XL</t>
  </si>
  <si>
    <t>MY-SB019-LG-M</t>
  </si>
  <si>
    <t>MY-SB019-RD-L</t>
  </si>
  <si>
    <t>MY-SB019-RD-XL</t>
  </si>
  <si>
    <t>YZ-BS-HE9007Se4L</t>
  </si>
  <si>
    <t>YZ-BS-HE9007Sa4L</t>
  </si>
  <si>
    <t>YZ-BS-HE9008Sa5L</t>
  </si>
  <si>
    <t>YZ-BS-HE9008Se3L</t>
  </si>
  <si>
    <t>WY-SB017-BK-M</t>
  </si>
  <si>
    <t>WY-SB017-BK-S</t>
  </si>
  <si>
    <t>WY-SB017-BK-XL</t>
  </si>
  <si>
    <t>WY-SB017-BK-XXL</t>
  </si>
  <si>
    <t>WY-SB017-DG-M</t>
  </si>
  <si>
    <t>WY-SB017-DG-XL</t>
  </si>
  <si>
    <t>WY-SB017-DG-XXL</t>
  </si>
  <si>
    <t>WY-SB017-LG-L</t>
  </si>
  <si>
    <t>WY-SB017-LG-S</t>
  </si>
  <si>
    <t>WY-SB017-LG-XXL</t>
  </si>
  <si>
    <t>WY-SB017-NY-S</t>
  </si>
  <si>
    <t>WY-SB017-NY-XL</t>
  </si>
  <si>
    <t>WY-SB017-PK-M</t>
  </si>
  <si>
    <t>WY-SB017-PK-XL</t>
  </si>
  <si>
    <t>WY-SB017-PK-XXL</t>
  </si>
  <si>
    <t>WY-SB017-RD-L</t>
  </si>
  <si>
    <t>WY-SB017-RD-M</t>
  </si>
  <si>
    <t>WY-SB017-RD-S</t>
  </si>
  <si>
    <t>WY-SB017-RD-XL</t>
  </si>
  <si>
    <t>WY-SB017-RD-XXL</t>
  </si>
  <si>
    <t>CFY-M1798-AG-L</t>
  </si>
  <si>
    <t>CFY-M1798-BL-XXL</t>
  </si>
  <si>
    <t>CFY-M1798-RD-M</t>
  </si>
  <si>
    <t>CFY-M1798-RD-S</t>
  </si>
  <si>
    <t>CFY-M1798-RD-XXL</t>
  </si>
  <si>
    <t>CFY-M1830-AG-S</t>
  </si>
  <si>
    <t>CFY-M1830-AG-XXL</t>
  </si>
  <si>
    <t>CFY-M1830-BL-L</t>
  </si>
  <si>
    <t>CFY-M1830-BL-S</t>
  </si>
  <si>
    <t>CFY-M1830-BL-XXL</t>
  </si>
  <si>
    <t>CFY-M1830-LB-L</t>
  </si>
  <si>
    <t>CFY-M1830-LB-M</t>
  </si>
  <si>
    <t>CFY-M1830-LB-S</t>
  </si>
  <si>
    <t>CFY-M1830-LB-XL</t>
  </si>
  <si>
    <t>CFY-M1830-LB-XXL</t>
  </si>
  <si>
    <t>CFY-M1830-RD-L</t>
  </si>
  <si>
    <t>CFY-M1830-RD-M</t>
  </si>
  <si>
    <t>CFY-M1830-RD-S</t>
  </si>
  <si>
    <t>CFY-M1830-RD-XXL</t>
  </si>
  <si>
    <t>XZ-BS-YG7223Pu3637</t>
  </si>
  <si>
    <t>MY-SB020-BK-M</t>
  </si>
  <si>
    <t>MY-SB020-BK-S</t>
  </si>
  <si>
    <t>MY-SB020-BL-S</t>
  </si>
  <si>
    <t>MY-SB020-DG-L</t>
  </si>
  <si>
    <t>MY-SB020-DG-M</t>
  </si>
  <si>
    <t>MY-SB020-DG-S</t>
  </si>
  <si>
    <t>MY-SB020-DG-XL</t>
  </si>
  <si>
    <t>CS-LY166-K33-1-S</t>
  </si>
  <si>
    <t>CS-LY085-G912-M</t>
  </si>
  <si>
    <t>CS-LY085-G912-XL</t>
  </si>
  <si>
    <t>CS-LY085-G912-XXL</t>
  </si>
  <si>
    <t>CS-LY085-LB916-M</t>
  </si>
  <si>
    <t>CS-LY085-LB916-S</t>
  </si>
  <si>
    <t>CS-LY085-LB916-XL</t>
  </si>
  <si>
    <t>CS-LY085-LB916-XXL</t>
  </si>
  <si>
    <t>CS-LY085-LG907-S</t>
  </si>
  <si>
    <t>CS-LY085-LG907-XL</t>
  </si>
  <si>
    <t>CS-LY085-PI908-M</t>
  </si>
  <si>
    <t>CS-LY085-PI908-S</t>
  </si>
  <si>
    <t>CS-LY085-PI908-XL</t>
  </si>
  <si>
    <t>CS-LY085-R901-L</t>
  </si>
  <si>
    <t>CS-LY085-R901-M</t>
  </si>
  <si>
    <t>CS-LY085-R901-S</t>
  </si>
  <si>
    <t>CS-LY085-R901-XL</t>
  </si>
  <si>
    <t>CS-LY085-R901-XXL</t>
  </si>
  <si>
    <t>CS-LY085-W902-M</t>
  </si>
  <si>
    <t>CS-LY085-W902-XXL</t>
  </si>
  <si>
    <t>CS-LY085-WR917-S</t>
  </si>
  <si>
    <t>CS-LY085-WR917-XXL</t>
  </si>
  <si>
    <t>CS-LY085-ZL918-XL</t>
  </si>
  <si>
    <t>CS-LY085-ZL918-XXL</t>
  </si>
  <si>
    <t>YZ-BS-1640-B0-L</t>
  </si>
  <si>
    <t>YZ-BS-1640-B0-S</t>
  </si>
  <si>
    <t>YZ-BS-1640-K0-S</t>
  </si>
  <si>
    <t>YZ-BS-1640-K0-XXL</t>
  </si>
  <si>
    <t>EUTK-J01H-GR-14/16</t>
  </si>
  <si>
    <t>EUTK-J01H-GR-18/20</t>
  </si>
  <si>
    <t>EUTK-J01H-GR-2T</t>
  </si>
  <si>
    <t>EUTK-J01H-GR-3T</t>
  </si>
  <si>
    <t>EUTK-J01H-GR-4</t>
  </si>
  <si>
    <t>EUTK-J01H-GR-4T</t>
  </si>
  <si>
    <t>EUTK-J01H-GR-5/6</t>
  </si>
  <si>
    <t>EUTK-J01H-GR-7</t>
  </si>
  <si>
    <t>EUTK-J01H-K0-14/16</t>
  </si>
  <si>
    <t>EUTK-J01H-K0-18/20</t>
  </si>
  <si>
    <t>EUTK-J01H-K0-4</t>
  </si>
  <si>
    <t>EUTK-J01H-K0-5/6</t>
  </si>
  <si>
    <t>EUTK-J01H-K0-7</t>
  </si>
  <si>
    <t>EUTK-J01H-SH-18/20</t>
  </si>
  <si>
    <t>EUTK-J01H-SH-2T</t>
  </si>
  <si>
    <t>EUTK-J01H-SH-3T</t>
  </si>
  <si>
    <t>EUTK-J01H-SH-4</t>
  </si>
  <si>
    <t>EUTK-J01H-SH-4T</t>
  </si>
  <si>
    <t>EUTK-J01H-SH-5/6</t>
  </si>
  <si>
    <t>EUTK-J01H-SH-7</t>
  </si>
  <si>
    <t>EUTK-J01H-SH-8</t>
  </si>
  <si>
    <t>EUTK-J02H-GR-10/12</t>
  </si>
  <si>
    <t>EUTK-J02H-GR-2T</t>
  </si>
  <si>
    <t>EUTK-J02H-GR-3T</t>
  </si>
  <si>
    <t>EUTK-J02H-GR-4</t>
  </si>
  <si>
    <t>EUTK-J02H-GR-4T</t>
  </si>
  <si>
    <t>EUTK-J02H-GR-5/6</t>
  </si>
  <si>
    <t>EUTK-J02H-GR-7</t>
  </si>
  <si>
    <t>EUTK-J02H-GR-8</t>
  </si>
  <si>
    <t>EUTK-J02H-K0-10/12</t>
  </si>
  <si>
    <t>EUTK-J02H-K0-14/16</t>
  </si>
  <si>
    <t>EUTK-J02H-K0-4</t>
  </si>
  <si>
    <t>EUTK-J02H-K0-4T</t>
  </si>
  <si>
    <t>EUTK-J02H-K0-7</t>
  </si>
  <si>
    <t>EUTK-J02H-K0-8</t>
  </si>
  <si>
    <t>EUTK-J02H-SH-2T</t>
  </si>
  <si>
    <t>EUTK-J02H-SH-4</t>
  </si>
  <si>
    <t>EUTK-J02H-SH-4T</t>
  </si>
  <si>
    <t>EUTK-J02H-SH-5/6</t>
  </si>
  <si>
    <t>EUTK-J02H-SH-7</t>
  </si>
  <si>
    <t>EUTK-J02H-SH-8</t>
  </si>
  <si>
    <t>XZ-BS-YG7223Co4445</t>
  </si>
  <si>
    <t>XZ-BS-YG7223Da4445</t>
  </si>
  <si>
    <t>XZ-BS-013GR3-XL</t>
  </si>
  <si>
    <t>XZ-BS-013WH3-L</t>
  </si>
  <si>
    <t>BS-HB3555-KO-L</t>
  </si>
  <si>
    <t>BS-HB3555-KO-M</t>
  </si>
  <si>
    <t>BS-HB3555-PI-L</t>
  </si>
  <si>
    <t>BS-HB3555-PI-S</t>
  </si>
  <si>
    <t>LYQ-WH1109-B0-M</t>
  </si>
  <si>
    <t>LYQ-WH1109-DG-L</t>
  </si>
  <si>
    <t>LYQ-WH1109-DG-M</t>
  </si>
  <si>
    <t>LYQ-WH1109-DG-XL</t>
  </si>
  <si>
    <t>LYQ-WH1109-DG-XXL</t>
  </si>
  <si>
    <t>LYQ-WH1109-G0-M</t>
  </si>
  <si>
    <t>LYQ-WH1109-G0-S</t>
  </si>
  <si>
    <t>LYQ-WH1109-G0-XL</t>
  </si>
  <si>
    <t>LYQ-WH1109-G0-XXL</t>
  </si>
  <si>
    <t>LYQ-WH1109-G7-L</t>
  </si>
  <si>
    <t>LYQ-WH1109-G7-M</t>
  </si>
  <si>
    <t>LYQ-WH1109-G7-S</t>
  </si>
  <si>
    <t>LYQ-WH1109-G7-XL</t>
  </si>
  <si>
    <t>LYQ-WH1109-G7-XXL</t>
  </si>
  <si>
    <t>LYQ-WH1109-LG-L</t>
  </si>
  <si>
    <t>LYQ-WH1109-LG-M</t>
  </si>
  <si>
    <t>LYQ-WH1109-LG-S</t>
  </si>
  <si>
    <t>LYQ-WH1109-LG-XL</t>
  </si>
  <si>
    <t>LYQ-WH1109-LG-XXL</t>
  </si>
  <si>
    <t>CFY-BESB1757-BK-L</t>
  </si>
  <si>
    <t>CFY-BESB1757-BK-M</t>
  </si>
  <si>
    <t>CFY-BESB1757-BK-S</t>
  </si>
  <si>
    <t>CFY-BESB1757-BK-XL</t>
  </si>
  <si>
    <t>CFY-BESB1757-BL-L</t>
  </si>
  <si>
    <t>CFY-BESB1757-BL-M</t>
  </si>
  <si>
    <t>CFY-BESB1757-BL-S</t>
  </si>
  <si>
    <t>CFY-BESB1757-BL-XL</t>
  </si>
  <si>
    <t>CFY-BESB1757-GN-L</t>
  </si>
  <si>
    <t>CFY-BESB1757-GN-M</t>
  </si>
  <si>
    <t>CFY-BESB1757-GN-S</t>
  </si>
  <si>
    <t>CFY-BESB1757-GN-XL</t>
  </si>
  <si>
    <t>CFY-BESB1757-GR-L</t>
  </si>
  <si>
    <t>CFY-BESB1757-GR-M</t>
  </si>
  <si>
    <t>CFY-BESB1757-GR-S</t>
  </si>
  <si>
    <t>CFY-BESB1757-GR-XL</t>
  </si>
  <si>
    <t>YZ-BS-TJ1245001L</t>
  </si>
  <si>
    <t>YZ-BS-TJ1245002L</t>
  </si>
  <si>
    <t>YZ-BS-TJ124500L</t>
  </si>
  <si>
    <t>YZ-BS-TJ1245G02L</t>
  </si>
  <si>
    <t>YZ-BS-TJ1245G03L</t>
  </si>
  <si>
    <t>YZ-BS-TJ1245G0L</t>
  </si>
  <si>
    <t>YZ-BS-TJ1245W01L</t>
  </si>
  <si>
    <t>YZ-BS-TJ1245W02L</t>
  </si>
  <si>
    <t>YZ-BS-TJ1245W03L</t>
  </si>
  <si>
    <t>YZ-BS-JG2631HSL</t>
  </si>
  <si>
    <t>YZ-BS-JG2631HSS</t>
  </si>
  <si>
    <t>YZ-BS-JG2631HSXS</t>
  </si>
  <si>
    <t>YZ-BS-JG2631R01L</t>
  </si>
  <si>
    <t>YZ-BS-JG2631R0L</t>
  </si>
  <si>
    <t>YZ-BS-JG2631R0S</t>
  </si>
  <si>
    <t>YZ-BS-JG2631R0XS</t>
  </si>
  <si>
    <t>YZ-BS-JG2631ZL2L</t>
  </si>
  <si>
    <t>YZ-BS-JG2631ZLL</t>
  </si>
  <si>
    <t>YZ-BS-TJ1245003L</t>
  </si>
  <si>
    <t>YZ-BS-HE9007Se8L</t>
  </si>
  <si>
    <t>EUTK-J01H-K0-3T</t>
  </si>
  <si>
    <t>EUTK-J01H-K0-4T</t>
  </si>
  <si>
    <t>EUTK-J02H-K0-3T</t>
  </si>
  <si>
    <t>EUTK-J02H-SH-3T</t>
  </si>
  <si>
    <t>YZ-BS-JG2631HSM</t>
  </si>
  <si>
    <t>YZ-BS-JG2631R0M</t>
  </si>
  <si>
    <t>YZ-BS-JG2631ZL3L</t>
  </si>
  <si>
    <t>YZ-BS-TJ1245W0L</t>
  </si>
  <si>
    <t>英镑换欧元汇率</t>
  </si>
</sst>
</file>

<file path=xl/styles.xml><?xml version="1.0" encoding="utf-8"?>
<styleSheet xmlns="http://schemas.openxmlformats.org/spreadsheetml/2006/main">
  <numFmts count="4">
    <numFmt numFmtId="44" formatCode="_ &quot;￥&quot;* #,##0.00_ ;_ &quot;￥&quot;* \-#,##0.00_ ;_ &quot;￥&quot;* &quot;-&quot;??_ ;_ @_ "/>
    <numFmt numFmtId="42" formatCode="_ &quot;￥&quot;* #,##0_ ;_ &quot;￥&quot;* \-#,##0_ ;_ &quot;￥&quot;* &quot;-&quot;_ ;_ @_ "/>
    <numFmt numFmtId="41" formatCode="_ * #,##0_ ;_ * \-#,##0_ ;_ * &quot;-&quot;_ ;_ @_ "/>
    <numFmt numFmtId="43" formatCode="_ * #,##0.00_ ;_ * \-#,##0.00_ ;_ * &quot;-&quot;??_ ;_ @_ "/>
  </numFmts>
  <fonts count="22">
    <font>
      <sz val="11"/>
      <color theme="1"/>
      <name val="宋体"/>
      <charset val="134"/>
      <scheme val="minor"/>
    </font>
    <font>
      <sz val="11"/>
      <color rgb="FFFF0000"/>
      <name val="宋体"/>
      <charset val="134"/>
      <scheme val="minor"/>
    </font>
    <font>
      <sz val="11"/>
      <color indexed="8"/>
      <name val="宋体"/>
      <charset val="134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3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sz val="11"/>
      <color rgb="FF9C0006"/>
      <name val="宋体"/>
      <charset val="0"/>
      <scheme val="minor"/>
    </font>
    <font>
      <b/>
      <sz val="15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b/>
      <sz val="18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rgb="FF3F3F3F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9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399975585192419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9" fillId="8" borderId="2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3" fillId="21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0" fillId="22" borderId="6" applyNumberFormat="0" applyFont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8" fillId="0" borderId="1" applyNumberFormat="0" applyFill="0" applyAlignment="0" applyProtection="0">
      <alignment vertical="center"/>
    </xf>
    <xf numFmtId="0" fontId="5" fillId="0" borderId="1" applyNumberFormat="0" applyFill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10" fillId="0" borderId="3" applyNumberFormat="0" applyFill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21" fillId="25" borderId="8" applyNumberFormat="0" applyAlignment="0" applyProtection="0">
      <alignment vertical="center"/>
    </xf>
    <xf numFmtId="0" fontId="19" fillId="25" borderId="2" applyNumberFormat="0" applyAlignment="0" applyProtection="0">
      <alignment vertical="center"/>
    </xf>
    <xf numFmtId="0" fontId="15" fillId="19" borderId="5" applyNumberFormat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20" fillId="0" borderId="7" applyNumberFormat="0" applyFill="0" applyAlignment="0" applyProtection="0">
      <alignment vertical="center"/>
    </xf>
    <xf numFmtId="0" fontId="13" fillId="0" borderId="4" applyNumberFormat="0" applyFill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2" fillId="15" borderId="0" applyNumberFormat="0" applyBorder="0" applyAlignment="0" applyProtection="0">
      <alignment vertical="center"/>
    </xf>
    <xf numFmtId="0" fontId="4" fillId="7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3" fillId="2" borderId="0" applyNumberFormat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0" fillId="0" borderId="0" xfId="0" applyFill="1" applyBorder="1" applyAlignment="1">
      <alignment vertical="center"/>
    </xf>
    <xf numFmtId="0" fontId="0" fillId="0" borderId="0" xfId="0" applyFont="1" applyFill="1" applyBorder="1" applyAlignment="1">
      <alignment vertical="center"/>
    </xf>
    <xf numFmtId="0" fontId="0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vertical="center"/>
    </xf>
    <xf numFmtId="0" fontId="2" fillId="0" borderId="0" xfId="0" applyFont="1" applyFill="1" applyBorder="1" applyAlignment="1"/>
    <xf numFmtId="0" fontId="2" fillId="0" borderId="0" xfId="0" applyFont="1" applyFill="1" applyBorder="1" applyAlignment="1"/>
    <xf numFmtId="0" fontId="2" fillId="0" borderId="0" xfId="0" applyFont="1" applyFill="1" applyAlignmen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tyles" Target="styles.xml"/><Relationship Id="rId8" Type="http://schemas.openxmlformats.org/officeDocument/2006/relationships/theme" Target="theme/theme1.xml"/><Relationship Id="rId7" Type="http://schemas.openxmlformats.org/officeDocument/2006/relationships/externalLink" Target="externalLinks/externalLink5.xml"/><Relationship Id="rId6" Type="http://schemas.openxmlformats.org/officeDocument/2006/relationships/externalLink" Target="externalLinks/externalLink4.xml"/><Relationship Id="rId5" Type="http://schemas.openxmlformats.org/officeDocument/2006/relationships/externalLink" Target="externalLinks/externalLink3.xml"/><Relationship Id="rId4" Type="http://schemas.openxmlformats.org/officeDocument/2006/relationships/externalLink" Target="externalLinks/externalLink2.xml"/><Relationship Id="rId3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0</xdr:row>
          <xdr:rowOff>635</xdr:rowOff>
        </xdr:from>
        <xdr:to>
          <xdr:col>15</xdr:col>
          <xdr:colOff>19050</xdr:colOff>
          <xdr:row>2</xdr:row>
          <xdr:rowOff>0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9305925" y="635"/>
              <a:ext cx="1381125" cy="34226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BiShang\ad\de\&#24503;&#22269;&#31449;&#24191;&#21578;&#21608;&#25253;&#21578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BiShang\ad\es\&#35199;&#29677;&#29273;&#31449;&#24191;&#21578;&#21608;&#25253;&#21578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BiShang\ad\fr\&#27861;&#22269;&#31449;&#24191;&#21578;&#21608;&#25253;&#21578;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BiShang\ad\it\&#24847;&#22823;&#21033;&#31449;&#24191;&#21578;&#21608;&#25253;&#21578;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BiShang\ad\uk\&#33521;&#22269;&#31449;&#24191;&#21578;&#21608;&#25253;&#21578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广告周报表"/>
      <sheetName val="库存使用数据"/>
      <sheetName val="time"/>
    </sheetNames>
    <sheetDataSet>
      <sheetData sheetId="0"/>
      <sheetData sheetId="1">
        <row r="1">
          <cell r="B1" t="str">
            <v>一周</v>
          </cell>
        </row>
        <row r="1">
          <cell r="E1" t="str">
            <v>二周</v>
          </cell>
        </row>
        <row r="1">
          <cell r="H1" t="str">
            <v>三周</v>
          </cell>
        </row>
        <row r="1">
          <cell r="K1" t="str">
            <v>四周</v>
          </cell>
        </row>
        <row r="2">
          <cell r="A2" t="str">
            <v>广告SKU</v>
          </cell>
          <cell r="B2" t="str">
            <v>曝光量</v>
          </cell>
          <cell r="C2" t="str">
            <v>点击量</v>
          </cell>
          <cell r="D2" t="str">
            <v>广告费</v>
          </cell>
          <cell r="E2" t="str">
            <v>曝光量</v>
          </cell>
          <cell r="F2" t="str">
            <v>点击量</v>
          </cell>
          <cell r="G2" t="str">
            <v>广告费</v>
          </cell>
          <cell r="H2" t="str">
            <v>曝光量</v>
          </cell>
          <cell r="I2" t="str">
            <v>点击量</v>
          </cell>
          <cell r="J2" t="str">
            <v>广告费</v>
          </cell>
          <cell r="K2" t="str">
            <v>曝光量</v>
          </cell>
          <cell r="L2" t="str">
            <v>点击量</v>
          </cell>
          <cell r="M2" t="str">
            <v>广告费</v>
          </cell>
        </row>
        <row r="3">
          <cell r="A3" t="str">
            <v>YZ-BS-HE9007Se2L</v>
          </cell>
          <cell r="B3">
            <v>0</v>
          </cell>
          <cell r="C3">
            <v>0</v>
          </cell>
          <cell r="D3">
            <v>0</v>
          </cell>
          <cell r="E3">
            <v>72928</v>
          </cell>
          <cell r="F3">
            <v>516</v>
          </cell>
          <cell r="G3">
            <v>88.32</v>
          </cell>
          <cell r="H3">
            <v>30477</v>
          </cell>
          <cell r="I3">
            <v>162</v>
          </cell>
          <cell r="J3">
            <v>28.15</v>
          </cell>
          <cell r="K3">
            <v>76527</v>
          </cell>
          <cell r="L3">
            <v>303</v>
          </cell>
          <cell r="M3">
            <v>52.24</v>
          </cell>
        </row>
        <row r="4">
          <cell r="A4" t="str">
            <v>YZ-BS-5505DaS</v>
          </cell>
          <cell r="B4">
            <v>0</v>
          </cell>
          <cell r="C4">
            <v>0</v>
          </cell>
          <cell r="D4">
            <v>0</v>
          </cell>
          <cell r="E4">
            <v>108628</v>
          </cell>
          <cell r="F4">
            <v>1076</v>
          </cell>
          <cell r="G4">
            <v>279.96</v>
          </cell>
          <cell r="H4">
            <v>53819</v>
          </cell>
          <cell r="I4">
            <v>790</v>
          </cell>
          <cell r="J4">
            <v>233.15</v>
          </cell>
          <cell r="K4">
            <v>0</v>
          </cell>
          <cell r="L4">
            <v>0</v>
          </cell>
          <cell r="M4">
            <v>0</v>
          </cell>
        </row>
        <row r="5">
          <cell r="A5" t="str">
            <v>YZ-BS-BS5119ZLXL2XL</v>
          </cell>
          <cell r="B5">
            <v>0</v>
          </cell>
          <cell r="C5">
            <v>0</v>
          </cell>
          <cell r="D5">
            <v>0</v>
          </cell>
          <cell r="E5">
            <v>17060</v>
          </cell>
          <cell r="F5">
            <v>132</v>
          </cell>
          <cell r="G5">
            <v>30.92</v>
          </cell>
          <cell r="H5">
            <v>1199</v>
          </cell>
          <cell r="I5">
            <v>17</v>
          </cell>
          <cell r="J5">
            <v>4.29</v>
          </cell>
          <cell r="K5">
            <v>0</v>
          </cell>
          <cell r="L5">
            <v>0</v>
          </cell>
          <cell r="M5">
            <v>0</v>
          </cell>
        </row>
        <row r="6">
          <cell r="A6" t="str">
            <v>YZ-BS-BS5119ZLXL3XL</v>
          </cell>
          <cell r="B6">
            <v>0</v>
          </cell>
          <cell r="C6">
            <v>0</v>
          </cell>
          <cell r="D6">
            <v>0</v>
          </cell>
          <cell r="E6">
            <v>17498</v>
          </cell>
          <cell r="F6">
            <v>38</v>
          </cell>
          <cell r="G6">
            <v>8.42</v>
          </cell>
          <cell r="H6">
            <v>6278</v>
          </cell>
          <cell r="I6">
            <v>17</v>
          </cell>
          <cell r="J6">
            <v>3.54</v>
          </cell>
          <cell r="K6">
            <v>4166</v>
          </cell>
          <cell r="L6">
            <v>25</v>
          </cell>
          <cell r="M6">
            <v>6.13</v>
          </cell>
        </row>
        <row r="7">
          <cell r="A7" t="str">
            <v>YZ-BS-BShyl5119-YH-2XL</v>
          </cell>
          <cell r="B7">
            <v>0</v>
          </cell>
          <cell r="C7">
            <v>0</v>
          </cell>
          <cell r="D7">
            <v>0</v>
          </cell>
          <cell r="E7">
            <v>16448</v>
          </cell>
          <cell r="F7">
            <v>62</v>
          </cell>
          <cell r="G7">
            <v>15.2</v>
          </cell>
          <cell r="H7">
            <v>2471</v>
          </cell>
          <cell r="I7">
            <v>20</v>
          </cell>
          <cell r="J7">
            <v>5.12</v>
          </cell>
          <cell r="K7">
            <v>2798</v>
          </cell>
          <cell r="L7">
            <v>13</v>
          </cell>
          <cell r="M7">
            <v>2.96</v>
          </cell>
        </row>
        <row r="8">
          <cell r="A8" t="str">
            <v>YZ-BS-BShyl5119-YH-3XL</v>
          </cell>
          <cell r="B8">
            <v>0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2891</v>
          </cell>
          <cell r="I8">
            <v>8</v>
          </cell>
          <cell r="J8">
            <v>1.65</v>
          </cell>
          <cell r="K8">
            <v>3063</v>
          </cell>
          <cell r="L8">
            <v>8</v>
          </cell>
          <cell r="M8">
            <v>1.44</v>
          </cell>
        </row>
        <row r="9">
          <cell r="A9" t="str">
            <v>YZ-BS-BShyl5119-YT-2XL</v>
          </cell>
          <cell r="B9">
            <v>0</v>
          </cell>
          <cell r="C9">
            <v>0</v>
          </cell>
          <cell r="D9">
            <v>0</v>
          </cell>
          <cell r="E9">
            <v>75198</v>
          </cell>
          <cell r="F9">
            <v>258</v>
          </cell>
          <cell r="G9">
            <v>61.94</v>
          </cell>
          <cell r="H9">
            <v>5953</v>
          </cell>
          <cell r="I9">
            <v>44</v>
          </cell>
          <cell r="J9">
            <v>8.83</v>
          </cell>
          <cell r="K9">
            <v>6371</v>
          </cell>
          <cell r="L9">
            <v>44</v>
          </cell>
          <cell r="M9">
            <v>9.72</v>
          </cell>
        </row>
        <row r="10">
          <cell r="A10" t="str">
            <v>YZ-BS-BShyl5119-YT-5XL</v>
          </cell>
          <cell r="B10">
            <v>0</v>
          </cell>
          <cell r="C10">
            <v>0</v>
          </cell>
          <cell r="D10">
            <v>0</v>
          </cell>
          <cell r="E10">
            <v>8226</v>
          </cell>
          <cell r="F10">
            <v>44</v>
          </cell>
          <cell r="G10">
            <v>9.04</v>
          </cell>
          <cell r="H10">
            <v>58869</v>
          </cell>
          <cell r="I10">
            <v>204</v>
          </cell>
          <cell r="J10">
            <v>47.98</v>
          </cell>
          <cell r="K10">
            <v>31292</v>
          </cell>
          <cell r="L10">
            <v>122</v>
          </cell>
          <cell r="M10">
            <v>29.37</v>
          </cell>
        </row>
        <row r="11">
          <cell r="A11" t="str">
            <v>YZ-BS-BShyl5119K02XL</v>
          </cell>
          <cell r="B11">
            <v>0</v>
          </cell>
          <cell r="C11">
            <v>0</v>
          </cell>
          <cell r="D11">
            <v>0</v>
          </cell>
          <cell r="E11">
            <v>10792</v>
          </cell>
          <cell r="F11">
            <v>54</v>
          </cell>
          <cell r="G11">
            <v>10.92</v>
          </cell>
          <cell r="H11">
            <v>18028</v>
          </cell>
          <cell r="I11">
            <v>57</v>
          </cell>
          <cell r="J11">
            <v>13.45</v>
          </cell>
          <cell r="K11">
            <v>41198</v>
          </cell>
          <cell r="L11">
            <v>83</v>
          </cell>
          <cell r="M11">
            <v>19.46</v>
          </cell>
        </row>
        <row r="12">
          <cell r="A12" t="str">
            <v>YZ-BS-BShyl5119K03XL</v>
          </cell>
          <cell r="B12">
            <v>0</v>
          </cell>
          <cell r="C12">
            <v>0</v>
          </cell>
          <cell r="D12">
            <v>0</v>
          </cell>
          <cell r="E12">
            <v>8370</v>
          </cell>
          <cell r="F12">
            <v>68</v>
          </cell>
          <cell r="G12">
            <v>15.08</v>
          </cell>
          <cell r="H12">
            <v>6010</v>
          </cell>
          <cell r="I12">
            <v>35</v>
          </cell>
          <cell r="J12">
            <v>6.64</v>
          </cell>
          <cell r="K12">
            <v>1132</v>
          </cell>
          <cell r="L12">
            <v>7</v>
          </cell>
          <cell r="M12">
            <v>1.68</v>
          </cell>
        </row>
        <row r="13">
          <cell r="A13" t="str">
            <v>YZ-BS-BSLLHT3XL</v>
          </cell>
          <cell r="B13">
            <v>0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1</v>
          </cell>
          <cell r="I13">
            <v>0</v>
          </cell>
          <cell r="J13">
            <v>0</v>
          </cell>
          <cell r="K13">
            <v>39</v>
          </cell>
          <cell r="L13">
            <v>0</v>
          </cell>
          <cell r="M13">
            <v>0</v>
          </cell>
        </row>
        <row r="14">
          <cell r="A14" t="str">
            <v>YZ-BS-BSLLIT3XL</v>
          </cell>
          <cell r="B14">
            <v>0</v>
          </cell>
          <cell r="C14">
            <v>0</v>
          </cell>
          <cell r="D14">
            <v>0</v>
          </cell>
          <cell r="E14">
            <v>10</v>
          </cell>
          <cell r="F14">
            <v>0</v>
          </cell>
          <cell r="G14">
            <v>0</v>
          </cell>
          <cell r="H14">
            <v>6</v>
          </cell>
          <cell r="I14">
            <v>0</v>
          </cell>
          <cell r="J14">
            <v>0</v>
          </cell>
          <cell r="K14">
            <v>4</v>
          </cell>
          <cell r="L14">
            <v>0</v>
          </cell>
          <cell r="M14">
            <v>0</v>
          </cell>
        </row>
        <row r="15">
          <cell r="A15" t="str">
            <v>YZ-BS-JG2631HS1L</v>
          </cell>
          <cell r="B15">
            <v>0</v>
          </cell>
          <cell r="C15">
            <v>0</v>
          </cell>
          <cell r="D15">
            <v>0</v>
          </cell>
          <cell r="E15">
            <v>1966</v>
          </cell>
          <cell r="F15">
            <v>14</v>
          </cell>
          <cell r="G15">
            <v>1.8</v>
          </cell>
          <cell r="H15">
            <v>1230</v>
          </cell>
          <cell r="I15">
            <v>11</v>
          </cell>
          <cell r="J15">
            <v>1.52</v>
          </cell>
          <cell r="K15">
            <v>0</v>
          </cell>
          <cell r="L15">
            <v>0</v>
          </cell>
          <cell r="M15">
            <v>0</v>
          </cell>
        </row>
        <row r="16">
          <cell r="A16" t="str">
            <v>YZ-BS-JG2631ZL1L</v>
          </cell>
          <cell r="B16">
            <v>0</v>
          </cell>
          <cell r="C16">
            <v>0</v>
          </cell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>
            <v>616</v>
          </cell>
          <cell r="I16">
            <v>3</v>
          </cell>
          <cell r="J16">
            <v>0.35</v>
          </cell>
          <cell r="K16">
            <v>382</v>
          </cell>
          <cell r="L16">
            <v>1</v>
          </cell>
          <cell r="M16">
            <v>0.17</v>
          </cell>
        </row>
        <row r="17">
          <cell r="A17" t="str">
            <v>YZ-BS-ZQ15827W04XL</v>
          </cell>
          <cell r="B17">
            <v>0</v>
          </cell>
          <cell r="C17">
            <v>0</v>
          </cell>
          <cell r="D17">
            <v>0</v>
          </cell>
          <cell r="E17">
            <v>9762</v>
          </cell>
          <cell r="F17">
            <v>4</v>
          </cell>
          <cell r="G17">
            <v>0.52</v>
          </cell>
          <cell r="H17">
            <v>4215</v>
          </cell>
          <cell r="I17">
            <v>12</v>
          </cell>
          <cell r="J17">
            <v>1.26</v>
          </cell>
          <cell r="K17">
            <v>4973</v>
          </cell>
          <cell r="L17">
            <v>27</v>
          </cell>
          <cell r="M17">
            <v>2.72</v>
          </cell>
        </row>
        <row r="18">
          <cell r="A18" t="str">
            <v>LYQ-BS-K1010-G0-XL</v>
          </cell>
          <cell r="B18">
            <v>0</v>
          </cell>
          <cell r="C18">
            <v>0</v>
          </cell>
          <cell r="D18">
            <v>0</v>
          </cell>
          <cell r="E18">
            <v>37942</v>
          </cell>
          <cell r="F18">
            <v>84</v>
          </cell>
          <cell r="G18">
            <v>9.08</v>
          </cell>
          <cell r="H18">
            <v>22764</v>
          </cell>
          <cell r="I18">
            <v>55</v>
          </cell>
          <cell r="J18">
            <v>7.66</v>
          </cell>
          <cell r="K18">
            <v>7691</v>
          </cell>
          <cell r="L18">
            <v>40</v>
          </cell>
          <cell r="M18">
            <v>6.07</v>
          </cell>
        </row>
        <row r="19">
          <cell r="A19" t="str">
            <v>LYQ-BS-K1010-G7-S</v>
          </cell>
          <cell r="B19">
            <v>0</v>
          </cell>
          <cell r="C19">
            <v>0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</row>
        <row r="20">
          <cell r="A20" t="str">
            <v>LYQ-BS-K1010-K0-2X</v>
          </cell>
          <cell r="B20">
            <v>0</v>
          </cell>
          <cell r="C20">
            <v>0</v>
          </cell>
          <cell r="D20">
            <v>0</v>
          </cell>
          <cell r="E20">
            <v>0</v>
          </cell>
          <cell r="F20">
            <v>0</v>
          </cell>
          <cell r="G20">
            <v>0</v>
          </cell>
          <cell r="H20">
            <v>0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</row>
        <row r="21">
          <cell r="A21" t="str">
            <v>LYQ-BS-K1010-K0-L</v>
          </cell>
          <cell r="B21">
            <v>0</v>
          </cell>
          <cell r="C21">
            <v>0</v>
          </cell>
          <cell r="D21">
            <v>0</v>
          </cell>
          <cell r="E21">
            <v>488</v>
          </cell>
          <cell r="F21">
            <v>2</v>
          </cell>
          <cell r="G21">
            <v>0.22</v>
          </cell>
          <cell r="H21">
            <v>185</v>
          </cell>
          <cell r="I21">
            <v>0</v>
          </cell>
          <cell r="J21">
            <v>0</v>
          </cell>
          <cell r="K21">
            <v>106</v>
          </cell>
          <cell r="L21">
            <v>1</v>
          </cell>
          <cell r="M21">
            <v>0.13</v>
          </cell>
        </row>
        <row r="22">
          <cell r="A22" t="str">
            <v>LYQ-BS-K1010-K0-XS</v>
          </cell>
          <cell r="B22">
            <v>0</v>
          </cell>
          <cell r="C22">
            <v>0</v>
          </cell>
          <cell r="D22">
            <v>0</v>
          </cell>
          <cell r="E22">
            <v>1132</v>
          </cell>
          <cell r="F22">
            <v>10</v>
          </cell>
          <cell r="G22">
            <v>1.02</v>
          </cell>
          <cell r="H22">
            <v>377</v>
          </cell>
          <cell r="I22">
            <v>1</v>
          </cell>
          <cell r="J22">
            <v>0.1</v>
          </cell>
          <cell r="K22">
            <v>132</v>
          </cell>
          <cell r="L22">
            <v>0</v>
          </cell>
          <cell r="M22">
            <v>0</v>
          </cell>
        </row>
        <row r="23">
          <cell r="A23" t="str">
            <v>LYQ-BS-K1010-KQ-XS</v>
          </cell>
          <cell r="B23">
            <v>0</v>
          </cell>
          <cell r="C23">
            <v>0</v>
          </cell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>
            <v>0</v>
          </cell>
          <cell r="I23">
            <v>0</v>
          </cell>
          <cell r="J23">
            <v>0</v>
          </cell>
          <cell r="K23">
            <v>119</v>
          </cell>
          <cell r="L23">
            <v>2</v>
          </cell>
          <cell r="M23">
            <v>0.24</v>
          </cell>
        </row>
        <row r="24">
          <cell r="A24" t="str">
            <v>YZ-BS-HE9007Se3L</v>
          </cell>
          <cell r="B24">
            <v>0</v>
          </cell>
          <cell r="C24">
            <v>0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0</v>
          </cell>
          <cell r="I24">
            <v>0</v>
          </cell>
          <cell r="J24">
            <v>0</v>
          </cell>
          <cell r="K24">
            <v>2888</v>
          </cell>
          <cell r="L24">
            <v>22</v>
          </cell>
          <cell r="M24">
            <v>3.01</v>
          </cell>
        </row>
        <row r="25">
          <cell r="A25" t="str">
            <v>BS-PW2025-K0-2XL</v>
          </cell>
          <cell r="B25">
            <v>0</v>
          </cell>
          <cell r="C25">
            <v>0</v>
          </cell>
          <cell r="D25">
            <v>0</v>
          </cell>
          <cell r="E25">
            <v>57906</v>
          </cell>
          <cell r="F25">
            <v>332</v>
          </cell>
          <cell r="G25">
            <v>63.5</v>
          </cell>
          <cell r="H25">
            <v>1296</v>
          </cell>
          <cell r="I25">
            <v>13</v>
          </cell>
          <cell r="J25">
            <v>1.42</v>
          </cell>
          <cell r="K25">
            <v>1309</v>
          </cell>
          <cell r="L25">
            <v>11</v>
          </cell>
          <cell r="M25">
            <v>1.08</v>
          </cell>
        </row>
        <row r="26">
          <cell r="A26" t="str">
            <v>BS-PW2025-K0-XL</v>
          </cell>
          <cell r="B26">
            <v>0</v>
          </cell>
          <cell r="C26">
            <v>0</v>
          </cell>
          <cell r="D26">
            <v>0</v>
          </cell>
          <cell r="E26">
            <v>590</v>
          </cell>
          <cell r="F26">
            <v>4</v>
          </cell>
          <cell r="G26">
            <v>0.62</v>
          </cell>
          <cell r="H26">
            <v>251</v>
          </cell>
          <cell r="I26">
            <v>4</v>
          </cell>
          <cell r="J26">
            <v>0.13</v>
          </cell>
          <cell r="K26">
            <v>220</v>
          </cell>
          <cell r="L26">
            <v>2</v>
          </cell>
          <cell r="M26">
            <v>0.2</v>
          </cell>
        </row>
        <row r="27">
          <cell r="A27" t="str">
            <v>BS-WH17015-C0-M</v>
          </cell>
          <cell r="B27">
            <v>0</v>
          </cell>
          <cell r="C27">
            <v>0</v>
          </cell>
          <cell r="D27">
            <v>0</v>
          </cell>
          <cell r="E27">
            <v>626</v>
          </cell>
          <cell r="F27">
            <v>2</v>
          </cell>
          <cell r="G27">
            <v>0.14</v>
          </cell>
          <cell r="H27">
            <v>12</v>
          </cell>
          <cell r="I27">
            <v>0</v>
          </cell>
          <cell r="J27">
            <v>0</v>
          </cell>
          <cell r="K27">
            <v>5</v>
          </cell>
          <cell r="L27">
            <v>0</v>
          </cell>
          <cell r="M27">
            <v>0</v>
          </cell>
        </row>
        <row r="28">
          <cell r="A28" t="str">
            <v>LYQ-BS-ZQ2973-W1-L</v>
          </cell>
          <cell r="B28">
            <v>0</v>
          </cell>
          <cell r="C28">
            <v>0</v>
          </cell>
          <cell r="D28">
            <v>0</v>
          </cell>
          <cell r="E28">
            <v>3624</v>
          </cell>
          <cell r="F28">
            <v>14</v>
          </cell>
          <cell r="G28">
            <v>1.74</v>
          </cell>
          <cell r="H28">
            <v>1840</v>
          </cell>
          <cell r="I28">
            <v>9</v>
          </cell>
          <cell r="J28">
            <v>1.34</v>
          </cell>
          <cell r="K28">
            <v>676</v>
          </cell>
          <cell r="L28">
            <v>3</v>
          </cell>
          <cell r="M28">
            <v>0.39</v>
          </cell>
        </row>
        <row r="29">
          <cell r="A29" t="str">
            <v>LYQ-BS-ZQ2973-G7-M</v>
          </cell>
          <cell r="B29">
            <v>0</v>
          </cell>
          <cell r="C29">
            <v>0</v>
          </cell>
          <cell r="D29">
            <v>0</v>
          </cell>
          <cell r="E29">
            <v>540</v>
          </cell>
          <cell r="F29">
            <v>0</v>
          </cell>
          <cell r="G29">
            <v>0</v>
          </cell>
          <cell r="H29">
            <v>240</v>
          </cell>
          <cell r="I29">
            <v>2</v>
          </cell>
          <cell r="J29">
            <v>0.29</v>
          </cell>
          <cell r="K29">
            <v>201</v>
          </cell>
          <cell r="L29">
            <v>0</v>
          </cell>
          <cell r="M29">
            <v>0</v>
          </cell>
        </row>
        <row r="30">
          <cell r="A30" t="str">
            <v>LYQ-BS-ZQ2973-KQ-S</v>
          </cell>
          <cell r="B30">
            <v>0</v>
          </cell>
          <cell r="C30">
            <v>0</v>
          </cell>
          <cell r="D30">
            <v>0</v>
          </cell>
          <cell r="E30">
            <v>6802</v>
          </cell>
          <cell r="F30">
            <v>18</v>
          </cell>
          <cell r="G30">
            <v>3.28</v>
          </cell>
          <cell r="H30">
            <v>2404</v>
          </cell>
          <cell r="I30">
            <v>12</v>
          </cell>
          <cell r="J30">
            <v>1.82</v>
          </cell>
          <cell r="K30">
            <v>1349</v>
          </cell>
          <cell r="L30">
            <v>21</v>
          </cell>
          <cell r="M30">
            <v>3.48</v>
          </cell>
        </row>
        <row r="31">
          <cell r="A31" t="str">
            <v>LYQ-BS-K1010-K0-S</v>
          </cell>
          <cell r="B31">
            <v>0</v>
          </cell>
          <cell r="C31">
            <v>0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0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</row>
        <row r="32">
          <cell r="A32" t="str">
            <v>LYQ-BS-K1010-G0-M</v>
          </cell>
          <cell r="B32">
            <v>0</v>
          </cell>
          <cell r="C32">
            <v>0</v>
          </cell>
          <cell r="D32">
            <v>0</v>
          </cell>
          <cell r="E32">
            <v>5000</v>
          </cell>
          <cell r="F32">
            <v>4</v>
          </cell>
          <cell r="G32">
            <v>0.68</v>
          </cell>
          <cell r="H32">
            <v>991</v>
          </cell>
          <cell r="I32">
            <v>7</v>
          </cell>
          <cell r="J32">
            <v>1.52</v>
          </cell>
          <cell r="K32">
            <v>1288</v>
          </cell>
          <cell r="L32">
            <v>7</v>
          </cell>
          <cell r="M32">
            <v>1.48</v>
          </cell>
        </row>
        <row r="33">
          <cell r="A33" t="str">
            <v>LYQ-BS-K1010-G7-M</v>
          </cell>
          <cell r="B33">
            <v>0</v>
          </cell>
          <cell r="C33">
            <v>0</v>
          </cell>
          <cell r="D33">
            <v>0</v>
          </cell>
          <cell r="E33">
            <v>834</v>
          </cell>
          <cell r="F33">
            <v>12</v>
          </cell>
          <cell r="G33">
            <v>1.94</v>
          </cell>
          <cell r="H33">
            <v>3864</v>
          </cell>
          <cell r="I33">
            <v>37</v>
          </cell>
          <cell r="J33">
            <v>6.55</v>
          </cell>
          <cell r="K33">
            <v>12275</v>
          </cell>
          <cell r="L33">
            <v>118</v>
          </cell>
          <cell r="M33">
            <v>23.06</v>
          </cell>
        </row>
        <row r="34">
          <cell r="A34" t="str">
            <v>LYQ-BS-ZQ2973-W1-S</v>
          </cell>
          <cell r="B34">
            <v>0</v>
          </cell>
          <cell r="C34">
            <v>0</v>
          </cell>
          <cell r="D34">
            <v>0</v>
          </cell>
          <cell r="E34">
            <v>2778</v>
          </cell>
          <cell r="F34">
            <v>82</v>
          </cell>
          <cell r="G34">
            <v>11.56</v>
          </cell>
          <cell r="H34">
            <v>1276</v>
          </cell>
          <cell r="I34">
            <v>37</v>
          </cell>
          <cell r="J34">
            <v>6.68</v>
          </cell>
          <cell r="K34">
            <v>1628</v>
          </cell>
          <cell r="L34">
            <v>42</v>
          </cell>
          <cell r="M34">
            <v>6.89</v>
          </cell>
        </row>
        <row r="35">
          <cell r="A35" t="str">
            <v>LYQ-BS-ZQ2973-E0-S</v>
          </cell>
          <cell r="B35">
            <v>0</v>
          </cell>
          <cell r="C35">
            <v>0</v>
          </cell>
          <cell r="D35">
            <v>0</v>
          </cell>
          <cell r="E35">
            <v>1006</v>
          </cell>
          <cell r="F35">
            <v>4</v>
          </cell>
          <cell r="G35">
            <v>0.8</v>
          </cell>
          <cell r="H35">
            <v>472</v>
          </cell>
          <cell r="I35">
            <v>1</v>
          </cell>
          <cell r="J35">
            <v>0.23</v>
          </cell>
          <cell r="K35">
            <v>331</v>
          </cell>
          <cell r="L35">
            <v>2</v>
          </cell>
          <cell r="M35">
            <v>0.52</v>
          </cell>
        </row>
        <row r="36">
          <cell r="A36" t="str">
            <v>LYQ-BS-K1010-B0-M</v>
          </cell>
          <cell r="B36">
            <v>0</v>
          </cell>
          <cell r="C36">
            <v>0</v>
          </cell>
          <cell r="D36">
            <v>0</v>
          </cell>
          <cell r="E36">
            <v>56</v>
          </cell>
          <cell r="F36">
            <v>2</v>
          </cell>
          <cell r="G36">
            <v>0.34</v>
          </cell>
          <cell r="H36">
            <v>746</v>
          </cell>
          <cell r="I36">
            <v>3</v>
          </cell>
          <cell r="J36">
            <v>0.48</v>
          </cell>
          <cell r="K36">
            <v>3020</v>
          </cell>
          <cell r="L36">
            <v>7</v>
          </cell>
          <cell r="M36">
            <v>1.04</v>
          </cell>
        </row>
        <row r="37">
          <cell r="A37" t="str">
            <v>LYQ-BS-K1010-Z0-XL</v>
          </cell>
          <cell r="B37">
            <v>0</v>
          </cell>
          <cell r="C37">
            <v>0</v>
          </cell>
          <cell r="D37">
            <v>0</v>
          </cell>
          <cell r="E37">
            <v>48</v>
          </cell>
          <cell r="F37">
            <v>0</v>
          </cell>
          <cell r="G37">
            <v>0</v>
          </cell>
          <cell r="H37">
            <v>116</v>
          </cell>
          <cell r="I37">
            <v>0</v>
          </cell>
          <cell r="J37">
            <v>0</v>
          </cell>
          <cell r="K37">
            <v>236</v>
          </cell>
          <cell r="L37">
            <v>0</v>
          </cell>
          <cell r="M37">
            <v>0</v>
          </cell>
        </row>
        <row r="38">
          <cell r="A38" t="str">
            <v>LYQ-BS-K1010-R0-M</v>
          </cell>
          <cell r="B38">
            <v>0</v>
          </cell>
          <cell r="C38">
            <v>0</v>
          </cell>
          <cell r="D38">
            <v>0</v>
          </cell>
          <cell r="E38">
            <v>108</v>
          </cell>
          <cell r="F38">
            <v>0</v>
          </cell>
          <cell r="G38">
            <v>0</v>
          </cell>
          <cell r="H38">
            <v>637</v>
          </cell>
          <cell r="I38">
            <v>3</v>
          </cell>
          <cell r="J38">
            <v>0.5</v>
          </cell>
          <cell r="K38">
            <v>972</v>
          </cell>
          <cell r="L38">
            <v>7</v>
          </cell>
          <cell r="M38">
            <v>1.37</v>
          </cell>
        </row>
        <row r="39">
          <cell r="A39" t="str">
            <v>LYQ-BS-YY05-K0-S</v>
          </cell>
          <cell r="B39">
            <v>0</v>
          </cell>
          <cell r="C39">
            <v>0</v>
          </cell>
          <cell r="D39">
            <v>0</v>
          </cell>
          <cell r="E39">
            <v>5052</v>
          </cell>
          <cell r="F39">
            <v>8</v>
          </cell>
          <cell r="G39">
            <v>0.6</v>
          </cell>
          <cell r="H39">
            <v>1666</v>
          </cell>
          <cell r="I39">
            <v>8</v>
          </cell>
          <cell r="J39">
            <v>0.99</v>
          </cell>
          <cell r="K39">
            <v>1074</v>
          </cell>
          <cell r="L39">
            <v>3</v>
          </cell>
          <cell r="M39">
            <v>0.33</v>
          </cell>
        </row>
        <row r="40">
          <cell r="A40" t="str">
            <v>BS-WHBH1704-K0-L</v>
          </cell>
          <cell r="B40">
            <v>0</v>
          </cell>
          <cell r="C40">
            <v>0</v>
          </cell>
          <cell r="D40">
            <v>0</v>
          </cell>
          <cell r="E40">
            <v>2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</row>
        <row r="41">
          <cell r="A41" t="str">
            <v>BS-WH17017-B0-S</v>
          </cell>
          <cell r="B41">
            <v>0</v>
          </cell>
          <cell r="C41">
            <v>0</v>
          </cell>
          <cell r="D41">
            <v>0</v>
          </cell>
          <cell r="E41">
            <v>46</v>
          </cell>
          <cell r="F41">
            <v>0</v>
          </cell>
          <cell r="G41">
            <v>0</v>
          </cell>
          <cell r="H41">
            <v>7</v>
          </cell>
          <cell r="I41">
            <v>0</v>
          </cell>
          <cell r="J41">
            <v>0</v>
          </cell>
          <cell r="K41">
            <v>16</v>
          </cell>
          <cell r="L41">
            <v>0</v>
          </cell>
          <cell r="M41">
            <v>0</v>
          </cell>
        </row>
        <row r="42">
          <cell r="A42" t="str">
            <v>BS-WH17017-G0-S</v>
          </cell>
          <cell r="B42">
            <v>0</v>
          </cell>
          <cell r="C42">
            <v>0</v>
          </cell>
          <cell r="D42">
            <v>0</v>
          </cell>
          <cell r="E42">
            <v>96</v>
          </cell>
          <cell r="F42">
            <v>0</v>
          </cell>
          <cell r="G42">
            <v>0</v>
          </cell>
          <cell r="H42">
            <v>8</v>
          </cell>
          <cell r="I42">
            <v>0</v>
          </cell>
          <cell r="J42">
            <v>0</v>
          </cell>
          <cell r="K42">
            <v>23</v>
          </cell>
          <cell r="L42">
            <v>1</v>
          </cell>
          <cell r="M42">
            <v>0.26</v>
          </cell>
        </row>
        <row r="43">
          <cell r="A43" t="str">
            <v>BS-WH17017-K0-S</v>
          </cell>
          <cell r="B43">
            <v>0</v>
          </cell>
          <cell r="C43">
            <v>0</v>
          </cell>
          <cell r="D43">
            <v>0</v>
          </cell>
          <cell r="E43">
            <v>66</v>
          </cell>
          <cell r="F43">
            <v>0</v>
          </cell>
          <cell r="G43">
            <v>0</v>
          </cell>
          <cell r="H43">
            <v>5</v>
          </cell>
          <cell r="I43">
            <v>0</v>
          </cell>
          <cell r="J43">
            <v>0</v>
          </cell>
          <cell r="K43">
            <v>18</v>
          </cell>
          <cell r="L43">
            <v>0</v>
          </cell>
          <cell r="M43">
            <v>0</v>
          </cell>
        </row>
        <row r="44">
          <cell r="A44" t="str">
            <v>BS-WH17015-B0-M</v>
          </cell>
          <cell r="B44">
            <v>0</v>
          </cell>
          <cell r="C44">
            <v>0</v>
          </cell>
          <cell r="D44">
            <v>0</v>
          </cell>
          <cell r="E44">
            <v>758</v>
          </cell>
          <cell r="F44">
            <v>2</v>
          </cell>
          <cell r="G44">
            <v>0.42</v>
          </cell>
          <cell r="H44">
            <v>134</v>
          </cell>
          <cell r="I44">
            <v>0</v>
          </cell>
          <cell r="J44">
            <v>0</v>
          </cell>
          <cell r="K44">
            <v>12</v>
          </cell>
          <cell r="L44">
            <v>0</v>
          </cell>
          <cell r="M44">
            <v>0</v>
          </cell>
        </row>
        <row r="45">
          <cell r="A45" t="str">
            <v>BS-WH17015-K0-XL</v>
          </cell>
          <cell r="B45">
            <v>0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10</v>
          </cell>
          <cell r="I45">
            <v>0</v>
          </cell>
          <cell r="J45">
            <v>0</v>
          </cell>
          <cell r="K45">
            <v>5</v>
          </cell>
          <cell r="L45">
            <v>0</v>
          </cell>
          <cell r="M45">
            <v>0</v>
          </cell>
        </row>
        <row r="46">
          <cell r="A46" t="str">
            <v>BS-WH17015-P0-M</v>
          </cell>
          <cell r="B46">
            <v>0</v>
          </cell>
          <cell r="C46">
            <v>0</v>
          </cell>
          <cell r="D46">
            <v>0</v>
          </cell>
          <cell r="E46">
            <v>2546</v>
          </cell>
          <cell r="F46">
            <v>4</v>
          </cell>
          <cell r="G46">
            <v>0.96</v>
          </cell>
          <cell r="H46">
            <v>148</v>
          </cell>
          <cell r="I46">
            <v>1</v>
          </cell>
          <cell r="J46">
            <v>0.32</v>
          </cell>
          <cell r="K46">
            <v>5</v>
          </cell>
          <cell r="L46">
            <v>0</v>
          </cell>
          <cell r="M46">
            <v>0</v>
          </cell>
        </row>
        <row r="47">
          <cell r="A47" t="str">
            <v>BS-WH17015-SZ-M</v>
          </cell>
          <cell r="B47">
            <v>0</v>
          </cell>
          <cell r="C47">
            <v>0</v>
          </cell>
          <cell r="D47">
            <v>0</v>
          </cell>
          <cell r="E47">
            <v>570</v>
          </cell>
          <cell r="F47">
            <v>0</v>
          </cell>
          <cell r="G47">
            <v>0</v>
          </cell>
          <cell r="H47">
            <v>148</v>
          </cell>
          <cell r="I47">
            <v>1</v>
          </cell>
          <cell r="J47">
            <v>0.21</v>
          </cell>
          <cell r="K47">
            <v>3</v>
          </cell>
          <cell r="L47">
            <v>0</v>
          </cell>
          <cell r="M47">
            <v>0</v>
          </cell>
        </row>
        <row r="48">
          <cell r="A48" t="str">
            <v>BS-WH17015-ZL-M</v>
          </cell>
          <cell r="B48">
            <v>0</v>
          </cell>
          <cell r="C48">
            <v>0</v>
          </cell>
          <cell r="D48">
            <v>0</v>
          </cell>
          <cell r="E48">
            <v>252</v>
          </cell>
          <cell r="F48">
            <v>0</v>
          </cell>
          <cell r="G48">
            <v>0</v>
          </cell>
          <cell r="H48">
            <v>10</v>
          </cell>
          <cell r="I48">
            <v>0</v>
          </cell>
          <cell r="J48">
            <v>0</v>
          </cell>
          <cell r="K48">
            <v>12</v>
          </cell>
          <cell r="L48">
            <v>0</v>
          </cell>
          <cell r="M48">
            <v>0</v>
          </cell>
        </row>
        <row r="49">
          <cell r="A49" t="str">
            <v>LYQ-BS-K1010-B0-XS</v>
          </cell>
          <cell r="B49">
            <v>0</v>
          </cell>
          <cell r="C49">
            <v>0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</row>
        <row r="50">
          <cell r="A50" t="str">
            <v>LYQ-BS-K1010-KQ-S</v>
          </cell>
          <cell r="B50">
            <v>0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</row>
        <row r="51">
          <cell r="A51" t="str">
            <v>LYQ-BS-K1010-R0-S</v>
          </cell>
          <cell r="B51">
            <v>0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</row>
        <row r="52">
          <cell r="A52" t="str">
            <v>YZ-BS-5505JR0L</v>
          </cell>
          <cell r="B52">
            <v>0</v>
          </cell>
          <cell r="C52">
            <v>0</v>
          </cell>
          <cell r="D52">
            <v>0</v>
          </cell>
          <cell r="E52">
            <v>45698</v>
          </cell>
          <cell r="F52">
            <v>174</v>
          </cell>
          <cell r="G52">
            <v>42.58</v>
          </cell>
          <cell r="H52">
            <v>0</v>
          </cell>
          <cell r="I52">
            <v>0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</row>
        <row r="53">
          <cell r="A53" t="str">
            <v>YZ-BS-5505Lb0XS</v>
          </cell>
          <cell r="B53">
            <v>0</v>
          </cell>
          <cell r="C53">
            <v>0</v>
          </cell>
          <cell r="D53">
            <v>0</v>
          </cell>
          <cell r="E53">
            <v>192168</v>
          </cell>
          <cell r="F53">
            <v>236</v>
          </cell>
          <cell r="G53">
            <v>54.76</v>
          </cell>
          <cell r="H53">
            <v>7759</v>
          </cell>
          <cell r="I53">
            <v>62</v>
          </cell>
          <cell r="J53">
            <v>17.04</v>
          </cell>
          <cell r="K53">
            <v>3866</v>
          </cell>
          <cell r="L53">
            <v>29</v>
          </cell>
          <cell r="M53">
            <v>6.76</v>
          </cell>
        </row>
        <row r="54">
          <cell r="A54" t="str">
            <v>YZ-BS-5505K0-S</v>
          </cell>
          <cell r="B54">
            <v>0</v>
          </cell>
          <cell r="C54">
            <v>0</v>
          </cell>
          <cell r="D54">
            <v>0</v>
          </cell>
          <cell r="E54">
            <v>18618</v>
          </cell>
          <cell r="F54">
            <v>232</v>
          </cell>
          <cell r="G54">
            <v>56.6</v>
          </cell>
          <cell r="H54">
            <v>5580</v>
          </cell>
          <cell r="I54">
            <v>40</v>
          </cell>
          <cell r="J54">
            <v>11.15</v>
          </cell>
          <cell r="K54">
            <v>42307</v>
          </cell>
          <cell r="L54">
            <v>249</v>
          </cell>
          <cell r="M54">
            <v>57.93</v>
          </cell>
        </row>
        <row r="55">
          <cell r="A55" t="str">
            <v>YZ-BS-HE9008Sa8L</v>
          </cell>
          <cell r="B55">
            <v>0</v>
          </cell>
          <cell r="C55">
            <v>0</v>
          </cell>
          <cell r="D55">
            <v>0</v>
          </cell>
          <cell r="E55">
            <v>40484</v>
          </cell>
          <cell r="F55">
            <v>104</v>
          </cell>
          <cell r="G55">
            <v>18.3</v>
          </cell>
          <cell r="H55">
            <v>17634</v>
          </cell>
          <cell r="I55">
            <v>49</v>
          </cell>
          <cell r="J55">
            <v>8.15</v>
          </cell>
          <cell r="K55">
            <v>0</v>
          </cell>
          <cell r="L55">
            <v>0</v>
          </cell>
          <cell r="M55">
            <v>0</v>
          </cell>
        </row>
        <row r="56">
          <cell r="A56" t="str">
            <v>YZ-BS-PW2037-K0-S</v>
          </cell>
          <cell r="B56">
            <v>0</v>
          </cell>
          <cell r="C56">
            <v>0</v>
          </cell>
          <cell r="D56">
            <v>0</v>
          </cell>
          <cell r="E56">
            <v>35872</v>
          </cell>
          <cell r="F56">
            <v>182</v>
          </cell>
          <cell r="G56">
            <v>28.02</v>
          </cell>
          <cell r="H56">
            <v>9206</v>
          </cell>
          <cell r="I56">
            <v>52</v>
          </cell>
          <cell r="J56">
            <v>8.85</v>
          </cell>
          <cell r="K56">
            <v>8979</v>
          </cell>
          <cell r="L56">
            <v>88</v>
          </cell>
          <cell r="M56">
            <v>13.53</v>
          </cell>
        </row>
        <row r="57">
          <cell r="A57" t="str">
            <v>CS-LY181-G912-M</v>
          </cell>
          <cell r="B57">
            <v>0</v>
          </cell>
          <cell r="C57">
            <v>0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>
            <v>105</v>
          </cell>
          <cell r="L57">
            <v>0</v>
          </cell>
          <cell r="M57">
            <v>0</v>
          </cell>
        </row>
        <row r="58">
          <cell r="A58" t="str">
            <v>CS-LY181-PI908-XL</v>
          </cell>
          <cell r="B58">
            <v>0</v>
          </cell>
          <cell r="C58">
            <v>0</v>
          </cell>
          <cell r="D58">
            <v>0</v>
          </cell>
          <cell r="E58">
            <v>3244</v>
          </cell>
          <cell r="F58">
            <v>4</v>
          </cell>
          <cell r="G58">
            <v>1.16</v>
          </cell>
          <cell r="H58">
            <v>201</v>
          </cell>
          <cell r="I58">
            <v>1</v>
          </cell>
          <cell r="J58">
            <v>0.3</v>
          </cell>
          <cell r="K58">
            <v>77</v>
          </cell>
          <cell r="L58">
            <v>0</v>
          </cell>
          <cell r="M58">
            <v>0</v>
          </cell>
        </row>
        <row r="59">
          <cell r="A59" t="str">
            <v>CS-LY181-ZL918-XL</v>
          </cell>
          <cell r="B59">
            <v>0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135</v>
          </cell>
          <cell r="I59">
            <v>2</v>
          </cell>
          <cell r="J59">
            <v>0.44</v>
          </cell>
          <cell r="K59">
            <v>54</v>
          </cell>
          <cell r="L59">
            <v>1</v>
          </cell>
          <cell r="M59">
            <v>0.27</v>
          </cell>
        </row>
        <row r="60">
          <cell r="A60" t="str">
            <v>BS-WHC19-K0-L</v>
          </cell>
          <cell r="B60">
            <v>0</v>
          </cell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</row>
        <row r="61">
          <cell r="A61" t="str">
            <v>BS-WHC19-K0-M</v>
          </cell>
          <cell r="B61">
            <v>0</v>
          </cell>
          <cell r="C61">
            <v>0</v>
          </cell>
          <cell r="D61">
            <v>0</v>
          </cell>
          <cell r="E61">
            <v>26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>
            <v>1</v>
          </cell>
          <cell r="L61">
            <v>0</v>
          </cell>
          <cell r="M61">
            <v>0</v>
          </cell>
        </row>
        <row r="62">
          <cell r="A62" t="str">
            <v>BS-WHC19-K0-XL</v>
          </cell>
          <cell r="B62">
            <v>0</v>
          </cell>
          <cell r="C62">
            <v>0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</row>
        <row r="63">
          <cell r="A63" t="str">
            <v>BS-WHC19-K0-XXL</v>
          </cell>
          <cell r="B63">
            <v>0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1</v>
          </cell>
          <cell r="L63">
            <v>0</v>
          </cell>
          <cell r="M63">
            <v>0</v>
          </cell>
        </row>
        <row r="64">
          <cell r="A64" t="str">
            <v>BS-WHC19-P0-M</v>
          </cell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1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</row>
        <row r="65">
          <cell r="A65" t="str">
            <v>BS-WHC19-P0-S</v>
          </cell>
          <cell r="B65">
            <v>0</v>
          </cell>
          <cell r="C65">
            <v>0</v>
          </cell>
          <cell r="D65">
            <v>0</v>
          </cell>
          <cell r="E65">
            <v>82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</row>
        <row r="66">
          <cell r="A66" t="str">
            <v>BS-WHC19-P0-XL</v>
          </cell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13</v>
          </cell>
          <cell r="L66">
            <v>0</v>
          </cell>
          <cell r="M66">
            <v>0</v>
          </cell>
        </row>
        <row r="67">
          <cell r="A67" t="str">
            <v>BS-WHC19-P0-XXL</v>
          </cell>
          <cell r="B67">
            <v>0</v>
          </cell>
          <cell r="C67">
            <v>0</v>
          </cell>
          <cell r="D67">
            <v>0</v>
          </cell>
          <cell r="E67">
            <v>32</v>
          </cell>
          <cell r="F67">
            <v>0</v>
          </cell>
          <cell r="G67">
            <v>0</v>
          </cell>
          <cell r="H67">
            <v>13</v>
          </cell>
          <cell r="I67">
            <v>1</v>
          </cell>
          <cell r="J67">
            <v>0.16</v>
          </cell>
          <cell r="K67">
            <v>18</v>
          </cell>
          <cell r="L67">
            <v>1</v>
          </cell>
          <cell r="M67">
            <v>0.04</v>
          </cell>
        </row>
        <row r="68">
          <cell r="A68" t="str">
            <v>BS-WHC19-R0-L</v>
          </cell>
          <cell r="B68">
            <v>0</v>
          </cell>
          <cell r="C68">
            <v>0</v>
          </cell>
          <cell r="D68">
            <v>0</v>
          </cell>
          <cell r="E68">
            <v>86</v>
          </cell>
          <cell r="F68">
            <v>0</v>
          </cell>
          <cell r="G68">
            <v>0</v>
          </cell>
          <cell r="H68">
            <v>81</v>
          </cell>
          <cell r="I68">
            <v>0</v>
          </cell>
          <cell r="J68">
            <v>0</v>
          </cell>
          <cell r="K68">
            <v>84</v>
          </cell>
          <cell r="L68">
            <v>0</v>
          </cell>
          <cell r="M68">
            <v>0</v>
          </cell>
        </row>
        <row r="69">
          <cell r="A69" t="str">
            <v>BS-WHC19-R0-M</v>
          </cell>
          <cell r="B69">
            <v>0</v>
          </cell>
          <cell r="C69">
            <v>0</v>
          </cell>
          <cell r="D69">
            <v>0</v>
          </cell>
          <cell r="E69">
            <v>320</v>
          </cell>
          <cell r="F69">
            <v>0</v>
          </cell>
          <cell r="G69">
            <v>0</v>
          </cell>
          <cell r="H69">
            <v>21</v>
          </cell>
          <cell r="I69">
            <v>0</v>
          </cell>
          <cell r="J69">
            <v>0</v>
          </cell>
          <cell r="K69">
            <v>22</v>
          </cell>
          <cell r="L69">
            <v>0</v>
          </cell>
          <cell r="M69">
            <v>0</v>
          </cell>
        </row>
        <row r="70">
          <cell r="A70" t="str">
            <v>BS-WHC19-R0-S</v>
          </cell>
          <cell r="B70">
            <v>0</v>
          </cell>
          <cell r="C70">
            <v>0</v>
          </cell>
          <cell r="D70">
            <v>0</v>
          </cell>
          <cell r="E70">
            <v>62</v>
          </cell>
          <cell r="F70">
            <v>0</v>
          </cell>
          <cell r="G70">
            <v>0</v>
          </cell>
          <cell r="H70">
            <v>2</v>
          </cell>
          <cell r="I70">
            <v>0</v>
          </cell>
          <cell r="J70">
            <v>0</v>
          </cell>
          <cell r="K70">
            <v>1</v>
          </cell>
          <cell r="L70">
            <v>0</v>
          </cell>
          <cell r="M70">
            <v>0</v>
          </cell>
        </row>
        <row r="71">
          <cell r="A71" t="str">
            <v>BS-WHC19-R0-XL</v>
          </cell>
          <cell r="B71">
            <v>0</v>
          </cell>
          <cell r="C71">
            <v>0</v>
          </cell>
          <cell r="D71">
            <v>0</v>
          </cell>
          <cell r="E71">
            <v>32</v>
          </cell>
          <cell r="F71">
            <v>0</v>
          </cell>
          <cell r="G71">
            <v>0</v>
          </cell>
          <cell r="H71">
            <v>9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</row>
        <row r="72">
          <cell r="A72" t="str">
            <v>BS-WHC19-R0-XXL</v>
          </cell>
          <cell r="B72">
            <v>0</v>
          </cell>
          <cell r="C72">
            <v>0</v>
          </cell>
          <cell r="D72">
            <v>0</v>
          </cell>
          <cell r="E72">
            <v>186</v>
          </cell>
          <cell r="F72">
            <v>0</v>
          </cell>
          <cell r="G72">
            <v>0</v>
          </cell>
          <cell r="H72">
            <v>12</v>
          </cell>
          <cell r="I72">
            <v>0</v>
          </cell>
          <cell r="J72">
            <v>0</v>
          </cell>
          <cell r="K72">
            <v>20</v>
          </cell>
          <cell r="L72">
            <v>0</v>
          </cell>
          <cell r="M72">
            <v>0</v>
          </cell>
        </row>
        <row r="73">
          <cell r="A73" t="str">
            <v>BS-WHC19-W0-L</v>
          </cell>
          <cell r="B73">
            <v>0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6</v>
          </cell>
          <cell r="I73">
            <v>0</v>
          </cell>
          <cell r="J73">
            <v>0</v>
          </cell>
          <cell r="K73">
            <v>5</v>
          </cell>
          <cell r="L73">
            <v>0</v>
          </cell>
          <cell r="M73">
            <v>0</v>
          </cell>
        </row>
        <row r="74">
          <cell r="A74" t="str">
            <v>BS-WHC19-W0-M</v>
          </cell>
          <cell r="B74">
            <v>0</v>
          </cell>
          <cell r="C74">
            <v>0</v>
          </cell>
          <cell r="D74">
            <v>0</v>
          </cell>
          <cell r="E74">
            <v>50</v>
          </cell>
          <cell r="F74">
            <v>2</v>
          </cell>
          <cell r="G74">
            <v>0.36</v>
          </cell>
          <cell r="H74">
            <v>247</v>
          </cell>
          <cell r="I74">
            <v>5</v>
          </cell>
          <cell r="J74">
            <v>0.83</v>
          </cell>
          <cell r="K74">
            <v>1</v>
          </cell>
          <cell r="L74">
            <v>0</v>
          </cell>
          <cell r="M74">
            <v>0</v>
          </cell>
        </row>
        <row r="75">
          <cell r="A75" t="str">
            <v>BS-WHC19-W0-S</v>
          </cell>
          <cell r="B75">
            <v>0</v>
          </cell>
          <cell r="C75">
            <v>0</v>
          </cell>
          <cell r="D75">
            <v>0</v>
          </cell>
          <cell r="E75">
            <v>76</v>
          </cell>
          <cell r="F75">
            <v>0</v>
          </cell>
          <cell r="G75">
            <v>0</v>
          </cell>
          <cell r="H75">
            <v>7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</row>
        <row r="76">
          <cell r="A76" t="str">
            <v>BS-WHC19-W0-XL</v>
          </cell>
          <cell r="B76">
            <v>0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</row>
        <row r="77">
          <cell r="A77" t="str">
            <v>BS-WHC19-W0-XXL</v>
          </cell>
          <cell r="B77">
            <v>0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</row>
        <row r="78">
          <cell r="A78" t="str">
            <v>CS-LY171-G912-S</v>
          </cell>
          <cell r="B78">
            <v>0</v>
          </cell>
          <cell r="C78">
            <v>0</v>
          </cell>
          <cell r="D78">
            <v>0</v>
          </cell>
          <cell r="E78">
            <v>302</v>
          </cell>
          <cell r="F78">
            <v>0</v>
          </cell>
          <cell r="G78">
            <v>0</v>
          </cell>
          <cell r="H78">
            <v>24</v>
          </cell>
          <cell r="I78">
            <v>0</v>
          </cell>
          <cell r="J78">
            <v>0</v>
          </cell>
          <cell r="K78">
            <v>61</v>
          </cell>
          <cell r="L78">
            <v>0</v>
          </cell>
          <cell r="M78">
            <v>0</v>
          </cell>
        </row>
        <row r="79">
          <cell r="A79" t="str">
            <v>CS-LY171-LB916-S</v>
          </cell>
          <cell r="B79">
            <v>0</v>
          </cell>
          <cell r="C79">
            <v>0</v>
          </cell>
          <cell r="D79">
            <v>0</v>
          </cell>
          <cell r="E79">
            <v>828</v>
          </cell>
          <cell r="F79">
            <v>6</v>
          </cell>
          <cell r="G79">
            <v>1.6</v>
          </cell>
          <cell r="H79">
            <v>193</v>
          </cell>
          <cell r="I79">
            <v>0</v>
          </cell>
          <cell r="J79">
            <v>0</v>
          </cell>
          <cell r="K79">
            <v>393</v>
          </cell>
          <cell r="L79">
            <v>1</v>
          </cell>
          <cell r="M79">
            <v>0.16</v>
          </cell>
        </row>
        <row r="80">
          <cell r="A80" t="str">
            <v>CS-LY171-LG907-S</v>
          </cell>
          <cell r="B80">
            <v>0</v>
          </cell>
          <cell r="C80">
            <v>0</v>
          </cell>
          <cell r="D80">
            <v>0</v>
          </cell>
          <cell r="E80">
            <v>202</v>
          </cell>
          <cell r="F80">
            <v>0</v>
          </cell>
          <cell r="G80">
            <v>0</v>
          </cell>
          <cell r="H80">
            <v>47</v>
          </cell>
          <cell r="I80">
            <v>1</v>
          </cell>
          <cell r="J80">
            <v>0.13</v>
          </cell>
          <cell r="K80">
            <v>16</v>
          </cell>
          <cell r="L80">
            <v>0</v>
          </cell>
          <cell r="M80">
            <v>0</v>
          </cell>
        </row>
        <row r="81">
          <cell r="A81" t="str">
            <v>CS-LY171-PI908-S</v>
          </cell>
          <cell r="B81">
            <v>0</v>
          </cell>
          <cell r="C81">
            <v>0</v>
          </cell>
          <cell r="D81">
            <v>0</v>
          </cell>
          <cell r="E81">
            <v>6800</v>
          </cell>
          <cell r="F81">
            <v>8</v>
          </cell>
          <cell r="G81">
            <v>1.72</v>
          </cell>
          <cell r="H81">
            <v>230</v>
          </cell>
          <cell r="I81">
            <v>3</v>
          </cell>
          <cell r="J81">
            <v>0.69</v>
          </cell>
          <cell r="K81">
            <v>41</v>
          </cell>
          <cell r="L81">
            <v>0</v>
          </cell>
          <cell r="M81">
            <v>0</v>
          </cell>
        </row>
        <row r="82">
          <cell r="A82" t="str">
            <v>CS-LY171-Sa911-S</v>
          </cell>
          <cell r="B82">
            <v>0</v>
          </cell>
          <cell r="C82">
            <v>0</v>
          </cell>
          <cell r="D82">
            <v>0</v>
          </cell>
          <cell r="E82">
            <v>1244</v>
          </cell>
          <cell r="F82">
            <v>8</v>
          </cell>
          <cell r="G82">
            <v>1.96</v>
          </cell>
          <cell r="H82">
            <v>1002</v>
          </cell>
          <cell r="I82">
            <v>5</v>
          </cell>
          <cell r="J82">
            <v>0.79</v>
          </cell>
          <cell r="K82">
            <v>163</v>
          </cell>
          <cell r="L82">
            <v>0</v>
          </cell>
          <cell r="M82">
            <v>0</v>
          </cell>
        </row>
        <row r="83">
          <cell r="A83" t="str">
            <v>CS-LY171-W902-S</v>
          </cell>
          <cell r="B83">
            <v>0</v>
          </cell>
          <cell r="C83">
            <v>0</v>
          </cell>
          <cell r="D83">
            <v>0</v>
          </cell>
          <cell r="E83">
            <v>286</v>
          </cell>
          <cell r="F83">
            <v>2</v>
          </cell>
          <cell r="G83">
            <v>0.56</v>
          </cell>
          <cell r="H83">
            <v>29</v>
          </cell>
          <cell r="I83">
            <v>2</v>
          </cell>
          <cell r="J83">
            <v>0.37</v>
          </cell>
          <cell r="K83">
            <v>46</v>
          </cell>
          <cell r="L83">
            <v>0</v>
          </cell>
          <cell r="M83">
            <v>0</v>
          </cell>
        </row>
        <row r="84">
          <cell r="A84" t="str">
            <v>CS-LY170-G912-S</v>
          </cell>
          <cell r="B84">
            <v>0</v>
          </cell>
          <cell r="C84">
            <v>0</v>
          </cell>
          <cell r="D84">
            <v>0</v>
          </cell>
          <cell r="E84">
            <v>144</v>
          </cell>
          <cell r="F84">
            <v>0</v>
          </cell>
          <cell r="G84">
            <v>0</v>
          </cell>
          <cell r="H84">
            <v>54</v>
          </cell>
          <cell r="I84">
            <v>0</v>
          </cell>
          <cell r="J84">
            <v>0</v>
          </cell>
          <cell r="K84">
            <v>108</v>
          </cell>
          <cell r="L84">
            <v>0</v>
          </cell>
          <cell r="M84">
            <v>0</v>
          </cell>
        </row>
        <row r="85">
          <cell r="A85" t="str">
            <v>CS-LY170-LB916-S</v>
          </cell>
          <cell r="B85">
            <v>0</v>
          </cell>
          <cell r="C85">
            <v>0</v>
          </cell>
          <cell r="D85">
            <v>0</v>
          </cell>
          <cell r="E85">
            <v>18</v>
          </cell>
          <cell r="F85">
            <v>0</v>
          </cell>
          <cell r="G85">
            <v>0</v>
          </cell>
          <cell r="H85">
            <v>27</v>
          </cell>
          <cell r="I85">
            <v>0</v>
          </cell>
          <cell r="J85">
            <v>0</v>
          </cell>
          <cell r="K85">
            <v>24</v>
          </cell>
          <cell r="L85">
            <v>0</v>
          </cell>
          <cell r="M85">
            <v>0</v>
          </cell>
        </row>
        <row r="86">
          <cell r="A86" t="str">
            <v>CS-LY170-PI908-S</v>
          </cell>
          <cell r="B86">
            <v>0</v>
          </cell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H86">
            <v>14</v>
          </cell>
          <cell r="I86">
            <v>0</v>
          </cell>
          <cell r="J86">
            <v>0</v>
          </cell>
          <cell r="K86">
            <v>28</v>
          </cell>
          <cell r="L86">
            <v>0</v>
          </cell>
          <cell r="M86">
            <v>0</v>
          </cell>
        </row>
        <row r="87">
          <cell r="A87" t="str">
            <v>CS-LY170-Sa911-S</v>
          </cell>
          <cell r="B87">
            <v>0</v>
          </cell>
          <cell r="C87">
            <v>0</v>
          </cell>
          <cell r="D87">
            <v>0</v>
          </cell>
          <cell r="E87">
            <v>16</v>
          </cell>
          <cell r="F87">
            <v>0</v>
          </cell>
          <cell r="G87">
            <v>0</v>
          </cell>
          <cell r="H87">
            <v>20</v>
          </cell>
          <cell r="I87">
            <v>0</v>
          </cell>
          <cell r="J87">
            <v>0</v>
          </cell>
          <cell r="K87">
            <v>39</v>
          </cell>
          <cell r="L87">
            <v>0</v>
          </cell>
          <cell r="M87">
            <v>0</v>
          </cell>
        </row>
        <row r="88">
          <cell r="A88" t="str">
            <v>CS-LY170-W902-S</v>
          </cell>
          <cell r="B88">
            <v>0</v>
          </cell>
          <cell r="C88">
            <v>0</v>
          </cell>
          <cell r="D88">
            <v>0</v>
          </cell>
          <cell r="E88">
            <v>80</v>
          </cell>
          <cell r="F88">
            <v>0</v>
          </cell>
          <cell r="G88">
            <v>0</v>
          </cell>
          <cell r="H88">
            <v>26</v>
          </cell>
          <cell r="I88">
            <v>0</v>
          </cell>
          <cell r="J88">
            <v>0</v>
          </cell>
          <cell r="K88">
            <v>17</v>
          </cell>
          <cell r="L88">
            <v>0</v>
          </cell>
          <cell r="M88">
            <v>0</v>
          </cell>
        </row>
        <row r="89">
          <cell r="A89" t="str">
            <v>CS-LY170-WR917-S</v>
          </cell>
          <cell r="B89">
            <v>0</v>
          </cell>
          <cell r="C89">
            <v>0</v>
          </cell>
          <cell r="D89">
            <v>0</v>
          </cell>
          <cell r="E89">
            <v>2</v>
          </cell>
          <cell r="F89">
            <v>0</v>
          </cell>
          <cell r="G89">
            <v>0</v>
          </cell>
          <cell r="H89">
            <v>13</v>
          </cell>
          <cell r="I89">
            <v>0</v>
          </cell>
          <cell r="J89">
            <v>0</v>
          </cell>
          <cell r="K89">
            <v>17</v>
          </cell>
          <cell r="L89">
            <v>0</v>
          </cell>
          <cell r="M89">
            <v>0</v>
          </cell>
        </row>
        <row r="90">
          <cell r="A90" t="str">
            <v>CS-LY170-ZL918-S</v>
          </cell>
          <cell r="B90">
            <v>0</v>
          </cell>
          <cell r="C90">
            <v>0</v>
          </cell>
          <cell r="D90">
            <v>0</v>
          </cell>
          <cell r="E90">
            <v>90</v>
          </cell>
          <cell r="F90">
            <v>2</v>
          </cell>
          <cell r="G90">
            <v>0.26</v>
          </cell>
          <cell r="H90">
            <v>73</v>
          </cell>
          <cell r="I90">
            <v>0</v>
          </cell>
          <cell r="J90">
            <v>0</v>
          </cell>
          <cell r="K90">
            <v>51</v>
          </cell>
          <cell r="L90">
            <v>0</v>
          </cell>
          <cell r="M90">
            <v>0</v>
          </cell>
        </row>
        <row r="91">
          <cell r="A91" t="str">
            <v>LYQ-BS-YH115-B0S</v>
          </cell>
          <cell r="B91">
            <v>0</v>
          </cell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>
            <v>4304</v>
          </cell>
          <cell r="L91">
            <v>25</v>
          </cell>
          <cell r="M91">
            <v>3.38</v>
          </cell>
        </row>
        <row r="92">
          <cell r="A92" t="str">
            <v>LYQ-BS-YH115-B0XL</v>
          </cell>
          <cell r="B92">
            <v>0</v>
          </cell>
          <cell r="C92">
            <v>0</v>
          </cell>
          <cell r="D92">
            <v>0</v>
          </cell>
          <cell r="E92">
            <v>7616</v>
          </cell>
          <cell r="F92">
            <v>66</v>
          </cell>
          <cell r="G92">
            <v>10.3</v>
          </cell>
          <cell r="H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</row>
        <row r="93">
          <cell r="A93" t="str">
            <v>LYQ-BS-YH115-G0L</v>
          </cell>
          <cell r="B93">
            <v>0</v>
          </cell>
          <cell r="C93">
            <v>0</v>
          </cell>
          <cell r="D93">
            <v>0</v>
          </cell>
          <cell r="E93">
            <v>4272</v>
          </cell>
          <cell r="F93">
            <v>44</v>
          </cell>
          <cell r="G93">
            <v>7.36</v>
          </cell>
          <cell r="H93">
            <v>0</v>
          </cell>
          <cell r="I93">
            <v>0</v>
          </cell>
          <cell r="J93">
            <v>0</v>
          </cell>
          <cell r="K93">
            <v>163</v>
          </cell>
          <cell r="L93">
            <v>3</v>
          </cell>
          <cell r="M93">
            <v>0.42</v>
          </cell>
        </row>
        <row r="94">
          <cell r="A94" t="str">
            <v>LYQ-BS-YH115-R0XL</v>
          </cell>
          <cell r="B94">
            <v>0</v>
          </cell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1232</v>
          </cell>
          <cell r="I94">
            <v>4</v>
          </cell>
          <cell r="J94">
            <v>0.54</v>
          </cell>
          <cell r="K94">
            <v>6441</v>
          </cell>
          <cell r="L94">
            <v>21</v>
          </cell>
          <cell r="M94">
            <v>2.53</v>
          </cell>
        </row>
        <row r="95">
          <cell r="A95" t="str">
            <v>YZ-BS-PW2049-B0-L</v>
          </cell>
          <cell r="B95">
            <v>0</v>
          </cell>
          <cell r="C95">
            <v>0</v>
          </cell>
          <cell r="D95">
            <v>0</v>
          </cell>
          <cell r="E95">
            <v>330</v>
          </cell>
          <cell r="F95">
            <v>2</v>
          </cell>
          <cell r="G95">
            <v>0.28</v>
          </cell>
          <cell r="H95">
            <v>37</v>
          </cell>
          <cell r="I95">
            <v>0</v>
          </cell>
          <cell r="J95">
            <v>0</v>
          </cell>
          <cell r="K95">
            <v>39</v>
          </cell>
          <cell r="L95">
            <v>0</v>
          </cell>
          <cell r="M95">
            <v>0</v>
          </cell>
        </row>
        <row r="96">
          <cell r="A96" t="str">
            <v>YZ-BS-PW2049-B0-M</v>
          </cell>
          <cell r="B96">
            <v>0</v>
          </cell>
          <cell r="C96">
            <v>0</v>
          </cell>
          <cell r="D96">
            <v>0</v>
          </cell>
          <cell r="E96">
            <v>23050</v>
          </cell>
          <cell r="F96">
            <v>46</v>
          </cell>
          <cell r="G96">
            <v>4.94</v>
          </cell>
          <cell r="H96">
            <v>87</v>
          </cell>
          <cell r="I96">
            <v>1</v>
          </cell>
          <cell r="J96">
            <v>0.08</v>
          </cell>
          <cell r="K96">
            <v>39</v>
          </cell>
          <cell r="L96">
            <v>1</v>
          </cell>
          <cell r="M96">
            <v>0.03</v>
          </cell>
        </row>
        <row r="97">
          <cell r="A97" t="str">
            <v>YZ-BS-PW2049-B0-S</v>
          </cell>
          <cell r="B97">
            <v>0</v>
          </cell>
          <cell r="C97">
            <v>0</v>
          </cell>
          <cell r="D97">
            <v>0</v>
          </cell>
          <cell r="E97">
            <v>260</v>
          </cell>
          <cell r="F97">
            <v>0</v>
          </cell>
          <cell r="G97">
            <v>0</v>
          </cell>
          <cell r="H97">
            <v>29</v>
          </cell>
          <cell r="I97">
            <v>0</v>
          </cell>
          <cell r="J97">
            <v>0</v>
          </cell>
          <cell r="K97">
            <v>6</v>
          </cell>
          <cell r="L97">
            <v>0</v>
          </cell>
          <cell r="M97">
            <v>0</v>
          </cell>
        </row>
        <row r="98">
          <cell r="A98" t="str">
            <v>YZ-BS-PW2049-B0-XL</v>
          </cell>
          <cell r="B98">
            <v>0</v>
          </cell>
          <cell r="C98">
            <v>0</v>
          </cell>
          <cell r="D98">
            <v>0</v>
          </cell>
          <cell r="E98">
            <v>6324</v>
          </cell>
          <cell r="F98">
            <v>38</v>
          </cell>
          <cell r="G98">
            <v>5.4</v>
          </cell>
          <cell r="H98">
            <v>114</v>
          </cell>
          <cell r="I98">
            <v>0</v>
          </cell>
          <cell r="J98">
            <v>0</v>
          </cell>
          <cell r="K98">
            <v>51</v>
          </cell>
          <cell r="L98">
            <v>1</v>
          </cell>
          <cell r="M98">
            <v>0.16</v>
          </cell>
        </row>
        <row r="99">
          <cell r="A99" t="str">
            <v>YZ-BS-PW2049-GR-L</v>
          </cell>
          <cell r="B99">
            <v>0</v>
          </cell>
          <cell r="C99">
            <v>0</v>
          </cell>
          <cell r="D99">
            <v>0</v>
          </cell>
          <cell r="E99">
            <v>6360</v>
          </cell>
          <cell r="F99">
            <v>18</v>
          </cell>
          <cell r="G99">
            <v>2.2</v>
          </cell>
          <cell r="H99">
            <v>43</v>
          </cell>
          <cell r="I99">
            <v>0</v>
          </cell>
          <cell r="J99">
            <v>0</v>
          </cell>
          <cell r="K99">
            <v>12</v>
          </cell>
          <cell r="L99">
            <v>0</v>
          </cell>
          <cell r="M99">
            <v>0</v>
          </cell>
        </row>
        <row r="100">
          <cell r="A100" t="str">
            <v>YZ-BS-PW2049-GR-M</v>
          </cell>
          <cell r="B100">
            <v>0</v>
          </cell>
          <cell r="C100">
            <v>0</v>
          </cell>
          <cell r="D100">
            <v>0</v>
          </cell>
          <cell r="E100">
            <v>5784</v>
          </cell>
          <cell r="F100">
            <v>28</v>
          </cell>
          <cell r="G100">
            <v>3.56</v>
          </cell>
          <cell r="H100">
            <v>68</v>
          </cell>
          <cell r="I100">
            <v>0</v>
          </cell>
          <cell r="J100">
            <v>0</v>
          </cell>
          <cell r="K100">
            <v>34</v>
          </cell>
          <cell r="L100">
            <v>1</v>
          </cell>
          <cell r="M100">
            <v>0.1</v>
          </cell>
        </row>
        <row r="101">
          <cell r="A101" t="str">
            <v>YZ-BS-PW2049-GR-S</v>
          </cell>
          <cell r="B101">
            <v>0</v>
          </cell>
          <cell r="C101">
            <v>0</v>
          </cell>
          <cell r="D101">
            <v>0</v>
          </cell>
          <cell r="E101">
            <v>1384</v>
          </cell>
          <cell r="F101">
            <v>8</v>
          </cell>
          <cell r="G101">
            <v>0.9</v>
          </cell>
          <cell r="H101">
            <v>45</v>
          </cell>
          <cell r="I101">
            <v>2</v>
          </cell>
          <cell r="J101">
            <v>0.09</v>
          </cell>
          <cell r="K101">
            <v>32</v>
          </cell>
          <cell r="L101">
            <v>0</v>
          </cell>
          <cell r="M101">
            <v>0</v>
          </cell>
        </row>
        <row r="102">
          <cell r="A102" t="str">
            <v>YZ-BS-PW2049-GR-XL</v>
          </cell>
          <cell r="B102">
            <v>0</v>
          </cell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>
            <v>0</v>
          </cell>
          <cell r="H102">
            <v>707</v>
          </cell>
          <cell r="I102">
            <v>5</v>
          </cell>
          <cell r="J102">
            <v>0.5</v>
          </cell>
          <cell r="K102">
            <v>4507</v>
          </cell>
          <cell r="L102">
            <v>30</v>
          </cell>
          <cell r="M102">
            <v>2.88</v>
          </cell>
        </row>
        <row r="103">
          <cell r="A103" t="str">
            <v>YZ-BS-PW2049-K0-L</v>
          </cell>
          <cell r="B103">
            <v>0</v>
          </cell>
          <cell r="C103">
            <v>0</v>
          </cell>
          <cell r="D103">
            <v>0</v>
          </cell>
          <cell r="E103">
            <v>20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</row>
        <row r="104">
          <cell r="A104" t="str">
            <v>YZ-BS-PW2049-K0-M</v>
          </cell>
          <cell r="B104">
            <v>0</v>
          </cell>
          <cell r="C104">
            <v>0</v>
          </cell>
          <cell r="D104">
            <v>0</v>
          </cell>
          <cell r="E104">
            <v>2</v>
          </cell>
          <cell r="F104">
            <v>0</v>
          </cell>
          <cell r="G104">
            <v>0</v>
          </cell>
          <cell r="H104">
            <v>8</v>
          </cell>
          <cell r="I104">
            <v>0</v>
          </cell>
          <cell r="J104">
            <v>0</v>
          </cell>
          <cell r="K104">
            <v>4</v>
          </cell>
          <cell r="L104">
            <v>0</v>
          </cell>
          <cell r="M104">
            <v>0</v>
          </cell>
        </row>
        <row r="105">
          <cell r="A105" t="str">
            <v>YZ-BS-PW2049-K0-S</v>
          </cell>
          <cell r="B105">
            <v>0</v>
          </cell>
          <cell r="C105">
            <v>0</v>
          </cell>
          <cell r="D105">
            <v>0</v>
          </cell>
          <cell r="E105">
            <v>0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</row>
        <row r="106">
          <cell r="A106" t="str">
            <v>YZ-BS-PW2049-P0-L</v>
          </cell>
          <cell r="B106">
            <v>0</v>
          </cell>
          <cell r="C106">
            <v>0</v>
          </cell>
          <cell r="D106">
            <v>0</v>
          </cell>
          <cell r="E106">
            <v>6234</v>
          </cell>
          <cell r="F106">
            <v>8</v>
          </cell>
          <cell r="G106">
            <v>1.04</v>
          </cell>
          <cell r="H106">
            <v>20</v>
          </cell>
          <cell r="I106">
            <v>0</v>
          </cell>
          <cell r="J106">
            <v>0</v>
          </cell>
          <cell r="K106">
            <v>24</v>
          </cell>
          <cell r="L106">
            <v>0</v>
          </cell>
          <cell r="M106">
            <v>0</v>
          </cell>
        </row>
        <row r="107">
          <cell r="A107" t="str">
            <v>YZ-BS-PW2049-P0-M</v>
          </cell>
          <cell r="B107">
            <v>0</v>
          </cell>
          <cell r="C107">
            <v>0</v>
          </cell>
          <cell r="D107">
            <v>0</v>
          </cell>
          <cell r="E107">
            <v>9246</v>
          </cell>
          <cell r="F107">
            <v>46</v>
          </cell>
          <cell r="G107">
            <v>5.46</v>
          </cell>
          <cell r="H107">
            <v>130</v>
          </cell>
          <cell r="I107">
            <v>2</v>
          </cell>
          <cell r="J107">
            <v>0.29</v>
          </cell>
          <cell r="K107">
            <v>221</v>
          </cell>
          <cell r="L107">
            <v>4</v>
          </cell>
          <cell r="M107">
            <v>0.57</v>
          </cell>
        </row>
        <row r="108">
          <cell r="A108" t="str">
            <v>YZ-BS-PW2049-P0-S</v>
          </cell>
          <cell r="B108">
            <v>0</v>
          </cell>
          <cell r="C108">
            <v>0</v>
          </cell>
          <cell r="D108">
            <v>0</v>
          </cell>
          <cell r="E108">
            <v>6328</v>
          </cell>
          <cell r="F108">
            <v>24</v>
          </cell>
          <cell r="G108">
            <v>2.88</v>
          </cell>
          <cell r="H108">
            <v>75</v>
          </cell>
          <cell r="I108">
            <v>0</v>
          </cell>
          <cell r="J108">
            <v>0</v>
          </cell>
          <cell r="K108">
            <v>70</v>
          </cell>
          <cell r="L108">
            <v>2</v>
          </cell>
          <cell r="M108">
            <v>0.1</v>
          </cell>
        </row>
        <row r="109">
          <cell r="A109" t="str">
            <v>YZ-BS-PW2049-P0-XL</v>
          </cell>
          <cell r="B109">
            <v>0</v>
          </cell>
          <cell r="C109">
            <v>0</v>
          </cell>
          <cell r="D109">
            <v>0</v>
          </cell>
          <cell r="E109">
            <v>8518</v>
          </cell>
          <cell r="F109">
            <v>98</v>
          </cell>
          <cell r="G109">
            <v>13.02</v>
          </cell>
          <cell r="H109">
            <v>316</v>
          </cell>
          <cell r="I109">
            <v>16</v>
          </cell>
          <cell r="J109">
            <v>1.78</v>
          </cell>
          <cell r="K109">
            <v>597</v>
          </cell>
          <cell r="L109">
            <v>22</v>
          </cell>
          <cell r="M109">
            <v>2.05</v>
          </cell>
        </row>
        <row r="110">
          <cell r="A110" t="str">
            <v>YZ-BS-PW2049-W0-L</v>
          </cell>
          <cell r="B110">
            <v>0</v>
          </cell>
          <cell r="C110">
            <v>0</v>
          </cell>
          <cell r="D110">
            <v>0</v>
          </cell>
          <cell r="E110">
            <v>2200</v>
          </cell>
          <cell r="F110">
            <v>4</v>
          </cell>
          <cell r="G110">
            <v>0.48</v>
          </cell>
          <cell r="H110">
            <v>39</v>
          </cell>
          <cell r="I110">
            <v>1</v>
          </cell>
          <cell r="J110">
            <v>0.08</v>
          </cell>
          <cell r="K110">
            <v>36</v>
          </cell>
          <cell r="L110">
            <v>0</v>
          </cell>
          <cell r="M110">
            <v>0</v>
          </cell>
        </row>
        <row r="111">
          <cell r="A111" t="str">
            <v>YZ-BS-PW2049-W0-M</v>
          </cell>
          <cell r="B111">
            <v>0</v>
          </cell>
          <cell r="C111">
            <v>0</v>
          </cell>
          <cell r="D111">
            <v>0</v>
          </cell>
          <cell r="E111">
            <v>2330</v>
          </cell>
          <cell r="F111">
            <v>8</v>
          </cell>
          <cell r="G111">
            <v>0.74</v>
          </cell>
          <cell r="H111">
            <v>46</v>
          </cell>
          <cell r="I111">
            <v>2</v>
          </cell>
          <cell r="J111">
            <v>0.17</v>
          </cell>
          <cell r="K111">
            <v>17</v>
          </cell>
          <cell r="L111">
            <v>0</v>
          </cell>
          <cell r="M111">
            <v>0</v>
          </cell>
        </row>
        <row r="112">
          <cell r="A112" t="str">
            <v>YZ-BS-PW2049-W0-S</v>
          </cell>
          <cell r="B112">
            <v>0</v>
          </cell>
          <cell r="C112">
            <v>0</v>
          </cell>
          <cell r="D112">
            <v>0</v>
          </cell>
          <cell r="E112">
            <v>252</v>
          </cell>
          <cell r="F112">
            <v>0</v>
          </cell>
          <cell r="G112">
            <v>0</v>
          </cell>
          <cell r="H112">
            <v>76</v>
          </cell>
          <cell r="I112">
            <v>1</v>
          </cell>
          <cell r="J112">
            <v>0.14</v>
          </cell>
          <cell r="K112">
            <v>85</v>
          </cell>
          <cell r="L112">
            <v>0</v>
          </cell>
          <cell r="M112">
            <v>0</v>
          </cell>
        </row>
        <row r="113">
          <cell r="A113" t="str">
            <v>YZ-BS-PW2049-W0-XL</v>
          </cell>
          <cell r="B113">
            <v>0</v>
          </cell>
          <cell r="C113">
            <v>0</v>
          </cell>
          <cell r="D113">
            <v>0</v>
          </cell>
          <cell r="E113">
            <v>488</v>
          </cell>
          <cell r="F113">
            <v>2</v>
          </cell>
          <cell r="G113">
            <v>0.28</v>
          </cell>
          <cell r="H113">
            <v>19</v>
          </cell>
          <cell r="I113">
            <v>0</v>
          </cell>
          <cell r="J113">
            <v>0</v>
          </cell>
          <cell r="K113">
            <v>57</v>
          </cell>
          <cell r="L113">
            <v>0</v>
          </cell>
          <cell r="M113">
            <v>0</v>
          </cell>
        </row>
        <row r="114">
          <cell r="A114" t="str">
            <v>YZ-BS-1580-K0-2XL</v>
          </cell>
          <cell r="B114">
            <v>0</v>
          </cell>
          <cell r="C114">
            <v>0</v>
          </cell>
          <cell r="D114">
            <v>0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>
            <v>361</v>
          </cell>
          <cell r="L114">
            <v>1</v>
          </cell>
          <cell r="M114">
            <v>0.15</v>
          </cell>
        </row>
        <row r="115">
          <cell r="A115" t="str">
            <v>YZ-BS-1580-K0-3XL</v>
          </cell>
          <cell r="B115">
            <v>0</v>
          </cell>
          <cell r="C115">
            <v>0</v>
          </cell>
          <cell r="D115">
            <v>0</v>
          </cell>
          <cell r="E115">
            <v>2656</v>
          </cell>
          <cell r="F115">
            <v>46</v>
          </cell>
          <cell r="G115">
            <v>4.96</v>
          </cell>
          <cell r="H115">
            <v>1970</v>
          </cell>
          <cell r="I115">
            <v>29</v>
          </cell>
          <cell r="J115">
            <v>3.88</v>
          </cell>
          <cell r="K115">
            <v>0</v>
          </cell>
          <cell r="L115">
            <v>0</v>
          </cell>
          <cell r="M115">
            <v>0</v>
          </cell>
        </row>
        <row r="116">
          <cell r="A116" t="str">
            <v>YZ-BS-1580-K0-L</v>
          </cell>
          <cell r="B116">
            <v>0</v>
          </cell>
          <cell r="C116">
            <v>0</v>
          </cell>
          <cell r="D116">
            <v>0</v>
          </cell>
          <cell r="E116">
            <v>0</v>
          </cell>
          <cell r="F116">
            <v>0</v>
          </cell>
          <cell r="G116">
            <v>0</v>
          </cell>
          <cell r="H116">
            <v>623</v>
          </cell>
          <cell r="I116">
            <v>8</v>
          </cell>
          <cell r="J116">
            <v>1.23</v>
          </cell>
          <cell r="K116">
            <v>1469</v>
          </cell>
          <cell r="L116">
            <v>29</v>
          </cell>
          <cell r="M116">
            <v>3.88</v>
          </cell>
        </row>
        <row r="117">
          <cell r="A117" t="str">
            <v>YZ-BS-1580-K0-M</v>
          </cell>
          <cell r="B117">
            <v>0</v>
          </cell>
          <cell r="C117">
            <v>0</v>
          </cell>
          <cell r="D117">
            <v>0</v>
          </cell>
          <cell r="E117">
            <v>0</v>
          </cell>
          <cell r="F117">
            <v>0</v>
          </cell>
          <cell r="G117">
            <v>0</v>
          </cell>
          <cell r="H117">
            <v>64</v>
          </cell>
          <cell r="I117">
            <v>1</v>
          </cell>
          <cell r="J117">
            <v>0.15</v>
          </cell>
          <cell r="K117">
            <v>331</v>
          </cell>
          <cell r="L117">
            <v>5</v>
          </cell>
          <cell r="M117">
            <v>0.74</v>
          </cell>
        </row>
        <row r="118">
          <cell r="A118" t="str">
            <v>YZ-BS-1580-K0-XL</v>
          </cell>
          <cell r="B118">
            <v>0</v>
          </cell>
          <cell r="C118">
            <v>0</v>
          </cell>
          <cell r="D118">
            <v>0</v>
          </cell>
          <cell r="E118">
            <v>4</v>
          </cell>
          <cell r="F118">
            <v>0</v>
          </cell>
          <cell r="G118">
            <v>0</v>
          </cell>
          <cell r="H118">
            <v>15</v>
          </cell>
          <cell r="I118">
            <v>0</v>
          </cell>
          <cell r="J118">
            <v>0</v>
          </cell>
          <cell r="K118">
            <v>0</v>
          </cell>
          <cell r="L118">
            <v>0</v>
          </cell>
          <cell r="M118">
            <v>0</v>
          </cell>
        </row>
        <row r="119">
          <cell r="A119" t="str">
            <v>YZ-BS-1580-NB-2XL</v>
          </cell>
          <cell r="B119">
            <v>0</v>
          </cell>
          <cell r="C119">
            <v>0</v>
          </cell>
          <cell r="D119">
            <v>0</v>
          </cell>
          <cell r="E119">
            <v>876</v>
          </cell>
          <cell r="F119">
            <v>2</v>
          </cell>
          <cell r="G119">
            <v>0.32</v>
          </cell>
          <cell r="H119">
            <v>40</v>
          </cell>
          <cell r="I119">
            <v>0</v>
          </cell>
          <cell r="J119">
            <v>0</v>
          </cell>
          <cell r="K119">
            <v>24</v>
          </cell>
          <cell r="L119">
            <v>0</v>
          </cell>
          <cell r="M119">
            <v>0</v>
          </cell>
        </row>
        <row r="120">
          <cell r="A120" t="str">
            <v>YZ-BS-1580-NB-3XL</v>
          </cell>
          <cell r="B120">
            <v>0</v>
          </cell>
          <cell r="C120">
            <v>0</v>
          </cell>
          <cell r="D120">
            <v>0</v>
          </cell>
          <cell r="E120">
            <v>1296</v>
          </cell>
          <cell r="F120">
            <v>6</v>
          </cell>
          <cell r="G120">
            <v>0.98</v>
          </cell>
          <cell r="H120">
            <v>51</v>
          </cell>
          <cell r="I120">
            <v>0</v>
          </cell>
          <cell r="J120">
            <v>0</v>
          </cell>
          <cell r="K120">
            <v>33</v>
          </cell>
          <cell r="L120">
            <v>1</v>
          </cell>
          <cell r="M120">
            <v>0.13</v>
          </cell>
        </row>
        <row r="121">
          <cell r="A121" t="str">
            <v>YZ-BS-1580-NB-L</v>
          </cell>
          <cell r="B121">
            <v>0</v>
          </cell>
          <cell r="C121">
            <v>0</v>
          </cell>
          <cell r="D121">
            <v>0</v>
          </cell>
          <cell r="E121">
            <v>686</v>
          </cell>
          <cell r="F121">
            <v>0</v>
          </cell>
          <cell r="G121">
            <v>0</v>
          </cell>
          <cell r="H121">
            <v>62</v>
          </cell>
          <cell r="I121">
            <v>0</v>
          </cell>
          <cell r="J121">
            <v>0</v>
          </cell>
          <cell r="K121">
            <v>94</v>
          </cell>
          <cell r="L121">
            <v>0</v>
          </cell>
          <cell r="M121">
            <v>0</v>
          </cell>
        </row>
        <row r="122">
          <cell r="A122" t="str">
            <v>YZ-BS-1580-NB-M</v>
          </cell>
          <cell r="B122">
            <v>0</v>
          </cell>
          <cell r="C122">
            <v>0</v>
          </cell>
          <cell r="D122">
            <v>0</v>
          </cell>
          <cell r="E122">
            <v>974</v>
          </cell>
          <cell r="F122">
            <v>6</v>
          </cell>
          <cell r="G122">
            <v>1.1</v>
          </cell>
          <cell r="H122">
            <v>128</v>
          </cell>
          <cell r="I122">
            <v>1</v>
          </cell>
          <cell r="J122">
            <v>0.18</v>
          </cell>
          <cell r="K122">
            <v>428</v>
          </cell>
          <cell r="L122">
            <v>4</v>
          </cell>
          <cell r="M122">
            <v>0.27</v>
          </cell>
        </row>
        <row r="123">
          <cell r="A123" t="str">
            <v>YZ-BS-1580-NB-XL</v>
          </cell>
          <cell r="B123">
            <v>0</v>
          </cell>
          <cell r="C123">
            <v>0</v>
          </cell>
          <cell r="D123">
            <v>0</v>
          </cell>
          <cell r="E123">
            <v>8738</v>
          </cell>
          <cell r="F123">
            <v>30</v>
          </cell>
          <cell r="G123">
            <v>4.28</v>
          </cell>
          <cell r="H123">
            <v>1239</v>
          </cell>
          <cell r="I123">
            <v>5</v>
          </cell>
          <cell r="J123">
            <v>0.55</v>
          </cell>
          <cell r="K123">
            <v>1102</v>
          </cell>
          <cell r="L123">
            <v>4</v>
          </cell>
          <cell r="M123">
            <v>0.53</v>
          </cell>
        </row>
        <row r="124">
          <cell r="A124" t="str">
            <v>LYQ-BS-ZQ2973-BD-S</v>
          </cell>
          <cell r="B124">
            <v>0</v>
          </cell>
          <cell r="C124">
            <v>0</v>
          </cell>
          <cell r="D124">
            <v>0</v>
          </cell>
          <cell r="E124">
            <v>1118</v>
          </cell>
          <cell r="F124">
            <v>22</v>
          </cell>
          <cell r="G124">
            <v>2.8</v>
          </cell>
          <cell r="H124">
            <v>650</v>
          </cell>
          <cell r="I124">
            <v>3</v>
          </cell>
          <cell r="J124">
            <v>0.68</v>
          </cell>
          <cell r="K124">
            <v>936</v>
          </cell>
          <cell r="L124">
            <v>6</v>
          </cell>
          <cell r="M124">
            <v>0.94</v>
          </cell>
        </row>
        <row r="125">
          <cell r="A125" t="str">
            <v>LYQ-BS-ZQ2973-G7-S</v>
          </cell>
          <cell r="B125">
            <v>0</v>
          </cell>
          <cell r="C125">
            <v>0</v>
          </cell>
          <cell r="D125">
            <v>0</v>
          </cell>
          <cell r="E125">
            <v>1026</v>
          </cell>
          <cell r="F125">
            <v>6</v>
          </cell>
          <cell r="G125">
            <v>1.18</v>
          </cell>
          <cell r="H125">
            <v>703</v>
          </cell>
          <cell r="I125">
            <v>5</v>
          </cell>
          <cell r="J125">
            <v>0.95</v>
          </cell>
          <cell r="K125">
            <v>501</v>
          </cell>
          <cell r="L125">
            <v>6</v>
          </cell>
          <cell r="M125">
            <v>0.87</v>
          </cell>
        </row>
        <row r="126">
          <cell r="A126" t="str">
            <v>LYQ-BS-ZQ2973-ZL-S</v>
          </cell>
          <cell r="B126">
            <v>0</v>
          </cell>
          <cell r="C126">
            <v>0</v>
          </cell>
          <cell r="D126">
            <v>0</v>
          </cell>
          <cell r="E126">
            <v>0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>
            <v>152</v>
          </cell>
          <cell r="L126">
            <v>3</v>
          </cell>
          <cell r="M126">
            <v>0.5</v>
          </cell>
        </row>
        <row r="127">
          <cell r="A127" t="str">
            <v>LYQ-BS-ZQ2973-K0-S</v>
          </cell>
          <cell r="B127">
            <v>0</v>
          </cell>
          <cell r="C127">
            <v>0</v>
          </cell>
          <cell r="D127">
            <v>0</v>
          </cell>
          <cell r="E127">
            <v>848</v>
          </cell>
          <cell r="F127">
            <v>8</v>
          </cell>
          <cell r="G127">
            <v>1.88</v>
          </cell>
          <cell r="H127">
            <v>551</v>
          </cell>
          <cell r="I127">
            <v>3</v>
          </cell>
          <cell r="J127">
            <v>0.49</v>
          </cell>
          <cell r="K127">
            <v>379</v>
          </cell>
          <cell r="L127">
            <v>4</v>
          </cell>
          <cell r="M127">
            <v>0.86</v>
          </cell>
        </row>
        <row r="128">
          <cell r="A128" t="str">
            <v>YZ-BEYF181-B0-S</v>
          </cell>
          <cell r="B128">
            <v>0</v>
          </cell>
          <cell r="C128">
            <v>0</v>
          </cell>
          <cell r="D128">
            <v>0</v>
          </cell>
          <cell r="E128">
            <v>4</v>
          </cell>
          <cell r="F128">
            <v>0</v>
          </cell>
          <cell r="G128">
            <v>0</v>
          </cell>
          <cell r="H128">
            <v>790</v>
          </cell>
          <cell r="I128">
            <v>6</v>
          </cell>
          <cell r="J128">
            <v>1.38</v>
          </cell>
          <cell r="K128">
            <v>1346</v>
          </cell>
          <cell r="L128">
            <v>25</v>
          </cell>
          <cell r="M128">
            <v>5.49</v>
          </cell>
        </row>
        <row r="129">
          <cell r="A129" t="str">
            <v>YZ-BEYF181-G0-S</v>
          </cell>
          <cell r="B129">
            <v>0</v>
          </cell>
          <cell r="C129">
            <v>0</v>
          </cell>
          <cell r="D129">
            <v>0</v>
          </cell>
          <cell r="E129">
            <v>6114</v>
          </cell>
          <cell r="F129">
            <v>106</v>
          </cell>
          <cell r="G129">
            <v>23.94</v>
          </cell>
          <cell r="H129">
            <v>1805</v>
          </cell>
          <cell r="I129">
            <v>27</v>
          </cell>
          <cell r="J129">
            <v>5.41</v>
          </cell>
          <cell r="K129">
            <v>1314</v>
          </cell>
          <cell r="L129">
            <v>13</v>
          </cell>
          <cell r="M129">
            <v>2.73</v>
          </cell>
        </row>
        <row r="130">
          <cell r="A130" t="str">
            <v>YZ-BEYF181-PI-S</v>
          </cell>
          <cell r="B130">
            <v>0</v>
          </cell>
          <cell r="C130">
            <v>0</v>
          </cell>
          <cell r="D130">
            <v>0</v>
          </cell>
          <cell r="E130">
            <v>0</v>
          </cell>
          <cell r="F130">
            <v>0</v>
          </cell>
          <cell r="G130">
            <v>0</v>
          </cell>
          <cell r="H130">
            <v>962</v>
          </cell>
          <cell r="I130">
            <v>7</v>
          </cell>
          <cell r="J130">
            <v>1.44</v>
          </cell>
          <cell r="K130">
            <v>789</v>
          </cell>
          <cell r="L130">
            <v>21</v>
          </cell>
          <cell r="M130">
            <v>4.25</v>
          </cell>
        </row>
        <row r="131">
          <cell r="A131" t="str">
            <v>CS-BESB032-BL-XL</v>
          </cell>
          <cell r="B131">
            <v>0</v>
          </cell>
          <cell r="C131">
            <v>0</v>
          </cell>
          <cell r="D131">
            <v>0</v>
          </cell>
          <cell r="E131">
            <v>4446</v>
          </cell>
          <cell r="F131">
            <v>10</v>
          </cell>
          <cell r="G131">
            <v>1.14</v>
          </cell>
          <cell r="H131">
            <v>124</v>
          </cell>
          <cell r="I131">
            <v>1</v>
          </cell>
          <cell r="J131">
            <v>0.26</v>
          </cell>
          <cell r="K131">
            <v>121</v>
          </cell>
          <cell r="L131">
            <v>1</v>
          </cell>
          <cell r="M131">
            <v>0.28</v>
          </cell>
        </row>
        <row r="132">
          <cell r="A132" t="str">
            <v>CS-BESB032-GN1-S</v>
          </cell>
          <cell r="B132">
            <v>0</v>
          </cell>
          <cell r="C132">
            <v>0</v>
          </cell>
          <cell r="D132">
            <v>0</v>
          </cell>
          <cell r="E132">
            <v>1142</v>
          </cell>
          <cell r="F132">
            <v>0</v>
          </cell>
          <cell r="G132">
            <v>0</v>
          </cell>
          <cell r="H132">
            <v>73</v>
          </cell>
          <cell r="I132">
            <v>1</v>
          </cell>
          <cell r="J132">
            <v>0.26</v>
          </cell>
          <cell r="K132">
            <v>26</v>
          </cell>
          <cell r="L132">
            <v>0</v>
          </cell>
          <cell r="M132">
            <v>0</v>
          </cell>
        </row>
        <row r="133">
          <cell r="A133" t="str">
            <v>CS-BESB032-GN2-S</v>
          </cell>
          <cell r="B133">
            <v>0</v>
          </cell>
          <cell r="C133">
            <v>0</v>
          </cell>
          <cell r="D133">
            <v>0</v>
          </cell>
          <cell r="E133">
            <v>470</v>
          </cell>
          <cell r="F133">
            <v>0</v>
          </cell>
          <cell r="G133">
            <v>0</v>
          </cell>
          <cell r="H133">
            <v>65</v>
          </cell>
          <cell r="I133">
            <v>0</v>
          </cell>
          <cell r="J133">
            <v>0</v>
          </cell>
          <cell r="K133">
            <v>15</v>
          </cell>
          <cell r="L133">
            <v>0</v>
          </cell>
          <cell r="M133">
            <v>0</v>
          </cell>
        </row>
        <row r="134">
          <cell r="A134" t="str">
            <v>CS-BESB032-NB-L</v>
          </cell>
          <cell r="B134">
            <v>0</v>
          </cell>
          <cell r="C134">
            <v>0</v>
          </cell>
          <cell r="D134">
            <v>0</v>
          </cell>
          <cell r="E134">
            <v>2860</v>
          </cell>
          <cell r="F134">
            <v>16</v>
          </cell>
          <cell r="G134">
            <v>3.74</v>
          </cell>
          <cell r="H134">
            <v>4064</v>
          </cell>
          <cell r="I134">
            <v>11</v>
          </cell>
          <cell r="J134">
            <v>2.7</v>
          </cell>
          <cell r="K134">
            <v>483</v>
          </cell>
          <cell r="L134">
            <v>1</v>
          </cell>
          <cell r="M134">
            <v>0.3</v>
          </cell>
        </row>
        <row r="135">
          <cell r="A135" t="str">
            <v>CS-BESB032-RD-L</v>
          </cell>
          <cell r="B135">
            <v>0</v>
          </cell>
          <cell r="C135">
            <v>0</v>
          </cell>
          <cell r="D135">
            <v>0</v>
          </cell>
          <cell r="E135">
            <v>366</v>
          </cell>
          <cell r="F135">
            <v>0</v>
          </cell>
          <cell r="G135">
            <v>0</v>
          </cell>
          <cell r="H135">
            <v>5168</v>
          </cell>
          <cell r="I135">
            <v>1</v>
          </cell>
          <cell r="J135">
            <v>0.28</v>
          </cell>
          <cell r="K135">
            <v>1281</v>
          </cell>
          <cell r="L135">
            <v>1</v>
          </cell>
          <cell r="M135">
            <v>0.14</v>
          </cell>
        </row>
        <row r="136">
          <cell r="A136" t="str">
            <v>CS-BESB032-YL-S</v>
          </cell>
          <cell r="B136">
            <v>0</v>
          </cell>
          <cell r="C136">
            <v>0</v>
          </cell>
          <cell r="D136">
            <v>0</v>
          </cell>
          <cell r="E136">
            <v>584</v>
          </cell>
          <cell r="F136">
            <v>2</v>
          </cell>
          <cell r="G136">
            <v>0.4</v>
          </cell>
          <cell r="H136">
            <v>119</v>
          </cell>
          <cell r="I136">
            <v>1</v>
          </cell>
          <cell r="J136">
            <v>0.26</v>
          </cell>
          <cell r="K136">
            <v>53</v>
          </cell>
          <cell r="L136">
            <v>0</v>
          </cell>
          <cell r="M136">
            <v>0</v>
          </cell>
        </row>
        <row r="137">
          <cell r="A137" t="str">
            <v>YZ-BEYF184-B0-XXL</v>
          </cell>
          <cell r="B137">
            <v>0</v>
          </cell>
          <cell r="C137">
            <v>0</v>
          </cell>
          <cell r="D137">
            <v>0</v>
          </cell>
          <cell r="E137">
            <v>550</v>
          </cell>
          <cell r="F137">
            <v>12</v>
          </cell>
          <cell r="G137">
            <v>2</v>
          </cell>
          <cell r="H137">
            <v>533</v>
          </cell>
          <cell r="I137">
            <v>5</v>
          </cell>
          <cell r="J137">
            <v>0.63</v>
          </cell>
          <cell r="K137">
            <v>1131</v>
          </cell>
          <cell r="L137">
            <v>5</v>
          </cell>
          <cell r="M137">
            <v>0.61</v>
          </cell>
        </row>
        <row r="138">
          <cell r="A138" t="str">
            <v>BS-WH1731-K0-S</v>
          </cell>
          <cell r="B138">
            <v>0</v>
          </cell>
          <cell r="C138">
            <v>0</v>
          </cell>
          <cell r="D138">
            <v>0</v>
          </cell>
          <cell r="E138">
            <v>97338</v>
          </cell>
          <cell r="F138">
            <v>612</v>
          </cell>
          <cell r="G138">
            <v>87.14</v>
          </cell>
          <cell r="H138">
            <v>12382</v>
          </cell>
          <cell r="I138">
            <v>129</v>
          </cell>
          <cell r="J138">
            <v>16.44</v>
          </cell>
          <cell r="K138">
            <v>7894</v>
          </cell>
          <cell r="L138">
            <v>40</v>
          </cell>
          <cell r="M138">
            <v>6.44</v>
          </cell>
        </row>
        <row r="139">
          <cell r="A139" t="str">
            <v>BS-WH1731-P0-M</v>
          </cell>
          <cell r="B139">
            <v>0</v>
          </cell>
          <cell r="C139">
            <v>0</v>
          </cell>
          <cell r="D139">
            <v>0</v>
          </cell>
          <cell r="E139">
            <v>2876</v>
          </cell>
          <cell r="F139">
            <v>10</v>
          </cell>
          <cell r="G139">
            <v>1.16</v>
          </cell>
          <cell r="H139">
            <v>184</v>
          </cell>
          <cell r="I139">
            <v>4</v>
          </cell>
          <cell r="J139">
            <v>0.68</v>
          </cell>
          <cell r="K139">
            <v>0</v>
          </cell>
          <cell r="L139">
            <v>0</v>
          </cell>
          <cell r="M139">
            <v>0</v>
          </cell>
        </row>
        <row r="140">
          <cell r="A140" t="str">
            <v>LYQ-BS4600-G0-M</v>
          </cell>
          <cell r="B140">
            <v>0</v>
          </cell>
          <cell r="C140">
            <v>0</v>
          </cell>
          <cell r="D140">
            <v>0</v>
          </cell>
          <cell r="E140">
            <v>0</v>
          </cell>
          <cell r="F140">
            <v>0</v>
          </cell>
          <cell r="G140">
            <v>0</v>
          </cell>
          <cell r="H140">
            <v>3970</v>
          </cell>
          <cell r="I140">
            <v>61</v>
          </cell>
          <cell r="J140">
            <v>14.15</v>
          </cell>
          <cell r="K140">
            <v>2853</v>
          </cell>
          <cell r="L140">
            <v>44</v>
          </cell>
          <cell r="M140">
            <v>9.26</v>
          </cell>
        </row>
        <row r="141">
          <cell r="A141" t="str">
            <v>LYQ-BS4600-G1-S</v>
          </cell>
          <cell r="B141">
            <v>0</v>
          </cell>
          <cell r="C141">
            <v>0</v>
          </cell>
          <cell r="D141">
            <v>0</v>
          </cell>
          <cell r="E141">
            <v>3014</v>
          </cell>
          <cell r="F141">
            <v>2</v>
          </cell>
          <cell r="G141">
            <v>0.16</v>
          </cell>
          <cell r="H141">
            <v>349</v>
          </cell>
          <cell r="I141">
            <v>3</v>
          </cell>
          <cell r="J141">
            <v>0.8</v>
          </cell>
          <cell r="K141">
            <v>1069</v>
          </cell>
          <cell r="L141">
            <v>1</v>
          </cell>
          <cell r="M141">
            <v>0.3</v>
          </cell>
        </row>
        <row r="142">
          <cell r="A142" t="str">
            <v>LYQ-BS4600-N0-M</v>
          </cell>
          <cell r="B142">
            <v>0</v>
          </cell>
          <cell r="C142">
            <v>0</v>
          </cell>
          <cell r="D142">
            <v>0</v>
          </cell>
          <cell r="E142">
            <v>15552</v>
          </cell>
          <cell r="F142">
            <v>38</v>
          </cell>
          <cell r="G142">
            <v>8.58</v>
          </cell>
          <cell r="H142">
            <v>1535</v>
          </cell>
          <cell r="I142">
            <v>8</v>
          </cell>
          <cell r="J142">
            <v>2.11</v>
          </cell>
          <cell r="K142">
            <v>705</v>
          </cell>
          <cell r="L142">
            <v>2</v>
          </cell>
          <cell r="M142">
            <v>0.52</v>
          </cell>
        </row>
        <row r="143">
          <cell r="A143" t="str">
            <v>YZ-BS-TJ124500M</v>
          </cell>
          <cell r="B143">
            <v>0</v>
          </cell>
          <cell r="C143">
            <v>0</v>
          </cell>
          <cell r="D143">
            <v>0</v>
          </cell>
          <cell r="E143">
            <v>15092</v>
          </cell>
          <cell r="F143">
            <v>52</v>
          </cell>
          <cell r="G143">
            <v>9.66</v>
          </cell>
          <cell r="H143">
            <v>1490</v>
          </cell>
          <cell r="I143">
            <v>18</v>
          </cell>
          <cell r="J143">
            <v>3.47</v>
          </cell>
          <cell r="K143">
            <v>1090</v>
          </cell>
          <cell r="L143">
            <v>6</v>
          </cell>
          <cell r="M143">
            <v>0.82</v>
          </cell>
        </row>
        <row r="144">
          <cell r="A144" t="str">
            <v>YZ-BS-TJ1245G0M</v>
          </cell>
          <cell r="B144">
            <v>0</v>
          </cell>
          <cell r="C144">
            <v>0</v>
          </cell>
          <cell r="D144">
            <v>0</v>
          </cell>
          <cell r="E144">
            <v>81314</v>
          </cell>
          <cell r="F144">
            <v>564</v>
          </cell>
          <cell r="G144">
            <v>109.58</v>
          </cell>
          <cell r="H144">
            <v>9190</v>
          </cell>
          <cell r="I144">
            <v>143</v>
          </cell>
          <cell r="J144">
            <v>26.65</v>
          </cell>
          <cell r="K144">
            <v>161</v>
          </cell>
          <cell r="L144">
            <v>2</v>
          </cell>
          <cell r="M144">
            <v>0.3</v>
          </cell>
        </row>
        <row r="145">
          <cell r="A145" t="str">
            <v>YZ-BS-TJ1245W0M</v>
          </cell>
          <cell r="B145">
            <v>0</v>
          </cell>
          <cell r="C145">
            <v>0</v>
          </cell>
          <cell r="D145">
            <v>0</v>
          </cell>
          <cell r="E145">
            <v>29384</v>
          </cell>
          <cell r="F145">
            <v>188</v>
          </cell>
          <cell r="G145">
            <v>35.22</v>
          </cell>
          <cell r="H145">
            <v>10227</v>
          </cell>
          <cell r="I145">
            <v>173</v>
          </cell>
          <cell r="J145">
            <v>33.17</v>
          </cell>
          <cell r="K145">
            <v>29087</v>
          </cell>
          <cell r="L145">
            <v>132</v>
          </cell>
          <cell r="M145">
            <v>21.97</v>
          </cell>
        </row>
        <row r="146">
          <cell r="A146" t="str">
            <v>RE-YZ-BECS186-YH-S</v>
          </cell>
          <cell r="B146">
            <v>0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2843</v>
          </cell>
          <cell r="I146">
            <v>129</v>
          </cell>
          <cell r="J146">
            <v>32.65</v>
          </cell>
          <cell r="K146">
            <v>0</v>
          </cell>
          <cell r="L146">
            <v>0</v>
          </cell>
          <cell r="M146">
            <v>0</v>
          </cell>
        </row>
        <row r="147">
          <cell r="A147" t="str">
            <v>RE-YZ-BELK185-B0-S</v>
          </cell>
          <cell r="B147">
            <v>0</v>
          </cell>
          <cell r="C147">
            <v>0</v>
          </cell>
          <cell r="D147">
            <v>0</v>
          </cell>
          <cell r="E147">
            <v>548</v>
          </cell>
          <cell r="F147">
            <v>4</v>
          </cell>
          <cell r="G147">
            <v>0.68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</row>
        <row r="148">
          <cell r="A148" t="str">
            <v>RE-YZ-BELK185-K0-S</v>
          </cell>
          <cell r="B148">
            <v>0</v>
          </cell>
          <cell r="C148">
            <v>0</v>
          </cell>
          <cell r="D148">
            <v>0</v>
          </cell>
          <cell r="E148">
            <v>760</v>
          </cell>
          <cell r="F148">
            <v>6</v>
          </cell>
          <cell r="G148">
            <v>0.72</v>
          </cell>
          <cell r="H148">
            <v>2937</v>
          </cell>
          <cell r="I148">
            <v>7</v>
          </cell>
          <cell r="J148">
            <v>1.43</v>
          </cell>
          <cell r="K148">
            <v>17573</v>
          </cell>
          <cell r="L148">
            <v>69</v>
          </cell>
          <cell r="M148">
            <v>14.72</v>
          </cell>
        </row>
        <row r="149">
          <cell r="A149" t="str">
            <v>RE-YZ-BELK185-Y9-S</v>
          </cell>
          <cell r="B149">
            <v>0</v>
          </cell>
          <cell r="C149">
            <v>0</v>
          </cell>
          <cell r="D149">
            <v>0</v>
          </cell>
          <cell r="E149">
            <v>1676</v>
          </cell>
          <cell r="F149">
            <v>10</v>
          </cell>
          <cell r="G149">
            <v>1.02</v>
          </cell>
          <cell r="H149">
            <v>0</v>
          </cell>
          <cell r="I149">
            <v>0</v>
          </cell>
          <cell r="J149">
            <v>0</v>
          </cell>
          <cell r="K149">
            <v>0</v>
          </cell>
          <cell r="L149">
            <v>0</v>
          </cell>
          <cell r="M149">
            <v>0</v>
          </cell>
        </row>
        <row r="150">
          <cell r="A150" t="str">
            <v>YZ-BEYF184-B0-S</v>
          </cell>
          <cell r="B150">
            <v>0</v>
          </cell>
          <cell r="C150">
            <v>0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2811</v>
          </cell>
          <cell r="I150">
            <v>49</v>
          </cell>
          <cell r="J150">
            <v>7.66</v>
          </cell>
          <cell r="K150">
            <v>1234</v>
          </cell>
          <cell r="L150">
            <v>21</v>
          </cell>
          <cell r="M150">
            <v>4.59</v>
          </cell>
        </row>
        <row r="151">
          <cell r="A151" t="str">
            <v>BS-WH17015-B0-XXL</v>
          </cell>
          <cell r="B151">
            <v>0</v>
          </cell>
          <cell r="C151">
            <v>0</v>
          </cell>
          <cell r="D151">
            <v>0</v>
          </cell>
          <cell r="E151">
            <v>30</v>
          </cell>
          <cell r="F151">
            <v>0</v>
          </cell>
          <cell r="G151">
            <v>0</v>
          </cell>
          <cell r="H151">
            <v>8</v>
          </cell>
          <cell r="I151">
            <v>0</v>
          </cell>
          <cell r="J151">
            <v>0</v>
          </cell>
          <cell r="K151">
            <v>1</v>
          </cell>
          <cell r="L151">
            <v>0</v>
          </cell>
          <cell r="M151">
            <v>0</v>
          </cell>
        </row>
        <row r="152">
          <cell r="A152" t="str">
            <v>BS-WH17015-K0-XXXL</v>
          </cell>
          <cell r="B152">
            <v>0</v>
          </cell>
          <cell r="C152">
            <v>0</v>
          </cell>
          <cell r="D152">
            <v>0</v>
          </cell>
          <cell r="E152">
            <v>0</v>
          </cell>
          <cell r="F152">
            <v>0</v>
          </cell>
          <cell r="G152">
            <v>0</v>
          </cell>
          <cell r="H152">
            <v>15</v>
          </cell>
          <cell r="I152">
            <v>0</v>
          </cell>
          <cell r="J152">
            <v>0</v>
          </cell>
          <cell r="K152">
            <v>17</v>
          </cell>
          <cell r="L152">
            <v>0</v>
          </cell>
          <cell r="M152">
            <v>0</v>
          </cell>
        </row>
        <row r="153">
          <cell r="A153" t="str">
            <v>BS-WH17015-P0-XXL</v>
          </cell>
          <cell r="B153">
            <v>0</v>
          </cell>
          <cell r="C153">
            <v>0</v>
          </cell>
          <cell r="D153">
            <v>0</v>
          </cell>
          <cell r="E153">
            <v>6</v>
          </cell>
          <cell r="F153">
            <v>0</v>
          </cell>
          <cell r="G153">
            <v>0</v>
          </cell>
          <cell r="H153">
            <v>1</v>
          </cell>
          <cell r="I153">
            <v>0</v>
          </cell>
          <cell r="J153">
            <v>0</v>
          </cell>
          <cell r="K153">
            <v>12</v>
          </cell>
          <cell r="L153">
            <v>0</v>
          </cell>
          <cell r="M153">
            <v>0</v>
          </cell>
        </row>
        <row r="154">
          <cell r="A154" t="str">
            <v>BS-WH17015-SZ-XL</v>
          </cell>
          <cell r="B154">
            <v>0</v>
          </cell>
          <cell r="C154">
            <v>0</v>
          </cell>
          <cell r="D154">
            <v>0</v>
          </cell>
          <cell r="E154">
            <v>0</v>
          </cell>
          <cell r="F154">
            <v>0</v>
          </cell>
          <cell r="G154">
            <v>0</v>
          </cell>
          <cell r="H154">
            <v>3</v>
          </cell>
          <cell r="I154">
            <v>0</v>
          </cell>
          <cell r="J154">
            <v>0</v>
          </cell>
          <cell r="K154">
            <v>4</v>
          </cell>
          <cell r="L154">
            <v>0</v>
          </cell>
          <cell r="M154">
            <v>0</v>
          </cell>
        </row>
        <row r="155">
          <cell r="A155" t="str">
            <v>BS-WH17015-ZL-XXXL</v>
          </cell>
          <cell r="B155">
            <v>0</v>
          </cell>
          <cell r="C155">
            <v>0</v>
          </cell>
          <cell r="D155">
            <v>0</v>
          </cell>
          <cell r="E155">
            <v>36</v>
          </cell>
          <cell r="F155">
            <v>0</v>
          </cell>
          <cell r="G155">
            <v>0</v>
          </cell>
          <cell r="H155">
            <v>26</v>
          </cell>
          <cell r="I155">
            <v>0</v>
          </cell>
          <cell r="J155">
            <v>0</v>
          </cell>
          <cell r="K155">
            <v>16</v>
          </cell>
          <cell r="L155">
            <v>0</v>
          </cell>
          <cell r="M155">
            <v>0</v>
          </cell>
        </row>
        <row r="156">
          <cell r="A156" t="str">
            <v>YZ-BELS1458-FB-3X</v>
          </cell>
          <cell r="B156">
            <v>0</v>
          </cell>
          <cell r="C156">
            <v>0</v>
          </cell>
          <cell r="D156">
            <v>0</v>
          </cell>
          <cell r="E156">
            <v>130</v>
          </cell>
          <cell r="F156">
            <v>0</v>
          </cell>
          <cell r="G156">
            <v>0</v>
          </cell>
          <cell r="H156">
            <v>58</v>
          </cell>
          <cell r="I156">
            <v>0</v>
          </cell>
          <cell r="J156">
            <v>0</v>
          </cell>
          <cell r="K156">
            <v>35</v>
          </cell>
          <cell r="L156">
            <v>0</v>
          </cell>
          <cell r="M156">
            <v>0</v>
          </cell>
        </row>
        <row r="157">
          <cell r="A157" t="str">
            <v>YZ-BELS1458-K0-3X</v>
          </cell>
          <cell r="B157">
            <v>0</v>
          </cell>
          <cell r="C157">
            <v>0</v>
          </cell>
          <cell r="D157">
            <v>0</v>
          </cell>
          <cell r="E157">
            <v>1652</v>
          </cell>
          <cell r="F157">
            <v>32</v>
          </cell>
          <cell r="G157">
            <v>6.06</v>
          </cell>
          <cell r="H157">
            <v>1444</v>
          </cell>
          <cell r="I157">
            <v>14</v>
          </cell>
          <cell r="J157">
            <v>3.72</v>
          </cell>
          <cell r="K157">
            <v>709</v>
          </cell>
          <cell r="L157">
            <v>10</v>
          </cell>
          <cell r="M157">
            <v>2.22</v>
          </cell>
        </row>
        <row r="158">
          <cell r="A158" t="str">
            <v>YZ-BELS1458-PI-3X</v>
          </cell>
          <cell r="B158">
            <v>0</v>
          </cell>
          <cell r="C158">
            <v>0</v>
          </cell>
          <cell r="D158">
            <v>0</v>
          </cell>
          <cell r="E158">
            <v>360</v>
          </cell>
          <cell r="F158">
            <v>2</v>
          </cell>
          <cell r="G158">
            <v>0.48</v>
          </cell>
          <cell r="H158">
            <v>573</v>
          </cell>
          <cell r="I158">
            <v>2</v>
          </cell>
          <cell r="J158">
            <v>0.51</v>
          </cell>
          <cell r="K158">
            <v>515</v>
          </cell>
          <cell r="L158">
            <v>6</v>
          </cell>
          <cell r="M158">
            <v>1.37</v>
          </cell>
        </row>
        <row r="159">
          <cell r="A159" t="str">
            <v>WQS-BN-1503-KO-S</v>
          </cell>
          <cell r="B159">
            <v>0</v>
          </cell>
          <cell r="C159">
            <v>0</v>
          </cell>
          <cell r="D159">
            <v>0</v>
          </cell>
          <cell r="E159">
            <v>0</v>
          </cell>
          <cell r="F159">
            <v>0</v>
          </cell>
          <cell r="G159">
            <v>0</v>
          </cell>
          <cell r="H159">
            <v>2064</v>
          </cell>
          <cell r="I159">
            <v>42</v>
          </cell>
          <cell r="J159">
            <v>7.87</v>
          </cell>
          <cell r="K159">
            <v>950</v>
          </cell>
          <cell r="L159">
            <v>17</v>
          </cell>
          <cell r="M159">
            <v>3.67</v>
          </cell>
        </row>
        <row r="160">
          <cell r="A160" t="str">
            <v>YZ-BETW32-KTW-S</v>
          </cell>
          <cell r="B160">
            <v>0</v>
          </cell>
          <cell r="C160">
            <v>0</v>
          </cell>
          <cell r="D160">
            <v>0</v>
          </cell>
          <cell r="E160">
            <v>36144</v>
          </cell>
          <cell r="F160">
            <v>136</v>
          </cell>
          <cell r="G160">
            <v>17.02</v>
          </cell>
          <cell r="H160">
            <v>2766</v>
          </cell>
          <cell r="I160">
            <v>14</v>
          </cell>
          <cell r="J160">
            <v>1.73</v>
          </cell>
          <cell r="K160">
            <v>0</v>
          </cell>
          <cell r="L160">
            <v>0</v>
          </cell>
          <cell r="M160">
            <v>0</v>
          </cell>
        </row>
        <row r="161">
          <cell r="A161" t="str">
            <v>TX-55554-BO-2XL</v>
          </cell>
          <cell r="B161">
            <v>0</v>
          </cell>
          <cell r="C161">
            <v>0</v>
          </cell>
          <cell r="D161">
            <v>0</v>
          </cell>
          <cell r="E161">
            <v>8</v>
          </cell>
          <cell r="F161">
            <v>0</v>
          </cell>
          <cell r="G161">
            <v>0</v>
          </cell>
          <cell r="H161">
            <v>3</v>
          </cell>
          <cell r="I161">
            <v>0</v>
          </cell>
          <cell r="J161">
            <v>0</v>
          </cell>
          <cell r="K161">
            <v>0</v>
          </cell>
          <cell r="L161">
            <v>0</v>
          </cell>
          <cell r="M161">
            <v>0</v>
          </cell>
        </row>
        <row r="162">
          <cell r="A162" t="str">
            <v>TX-55554-BO-3XL</v>
          </cell>
          <cell r="B162">
            <v>0</v>
          </cell>
          <cell r="C162">
            <v>0</v>
          </cell>
          <cell r="D162">
            <v>0</v>
          </cell>
          <cell r="E162">
            <v>12</v>
          </cell>
          <cell r="F162">
            <v>0</v>
          </cell>
          <cell r="G162">
            <v>0</v>
          </cell>
          <cell r="H162">
            <v>9</v>
          </cell>
          <cell r="I162">
            <v>0</v>
          </cell>
          <cell r="J162">
            <v>0</v>
          </cell>
          <cell r="K162">
            <v>0</v>
          </cell>
          <cell r="L162">
            <v>0</v>
          </cell>
          <cell r="M162">
            <v>0</v>
          </cell>
        </row>
        <row r="163">
          <cell r="A163" t="str">
            <v>TX-55554-BO-4XL</v>
          </cell>
          <cell r="B163">
            <v>0</v>
          </cell>
          <cell r="C163">
            <v>0</v>
          </cell>
          <cell r="D163">
            <v>0</v>
          </cell>
          <cell r="E163">
            <v>12</v>
          </cell>
          <cell r="F163">
            <v>0</v>
          </cell>
          <cell r="G163">
            <v>0</v>
          </cell>
          <cell r="H163">
            <v>1</v>
          </cell>
          <cell r="I163">
            <v>0</v>
          </cell>
          <cell r="J163">
            <v>0</v>
          </cell>
          <cell r="K163">
            <v>36</v>
          </cell>
          <cell r="L163">
            <v>0</v>
          </cell>
          <cell r="M163">
            <v>0</v>
          </cell>
        </row>
        <row r="164">
          <cell r="A164" t="str">
            <v>TX-55554-BO-5XL</v>
          </cell>
          <cell r="B164">
            <v>0</v>
          </cell>
          <cell r="C164">
            <v>0</v>
          </cell>
          <cell r="D164">
            <v>0</v>
          </cell>
          <cell r="E164">
            <v>906</v>
          </cell>
          <cell r="F164">
            <v>0</v>
          </cell>
          <cell r="G164">
            <v>0</v>
          </cell>
          <cell r="H164">
            <v>246</v>
          </cell>
          <cell r="I164">
            <v>0</v>
          </cell>
          <cell r="J164">
            <v>0</v>
          </cell>
          <cell r="K164">
            <v>32</v>
          </cell>
          <cell r="L164">
            <v>0</v>
          </cell>
          <cell r="M164">
            <v>0</v>
          </cell>
        </row>
        <row r="165">
          <cell r="A165" t="str">
            <v>TX-55554-GO-2XL</v>
          </cell>
          <cell r="B165">
            <v>0</v>
          </cell>
          <cell r="C165">
            <v>0</v>
          </cell>
          <cell r="D165">
            <v>0</v>
          </cell>
          <cell r="E165">
            <v>1928</v>
          </cell>
          <cell r="F165">
            <v>0</v>
          </cell>
          <cell r="G165">
            <v>0</v>
          </cell>
          <cell r="H165">
            <v>693</v>
          </cell>
          <cell r="I165">
            <v>0</v>
          </cell>
          <cell r="J165">
            <v>0</v>
          </cell>
          <cell r="K165">
            <v>693</v>
          </cell>
          <cell r="L165">
            <v>0</v>
          </cell>
          <cell r="M165">
            <v>0</v>
          </cell>
        </row>
        <row r="166">
          <cell r="A166" t="str">
            <v>TX-55554-GO-3XL</v>
          </cell>
          <cell r="B166">
            <v>0</v>
          </cell>
          <cell r="C166">
            <v>0</v>
          </cell>
          <cell r="D166">
            <v>0</v>
          </cell>
          <cell r="E166">
            <v>16</v>
          </cell>
          <cell r="F166">
            <v>0</v>
          </cell>
          <cell r="G166">
            <v>0</v>
          </cell>
          <cell r="H166">
            <v>3</v>
          </cell>
          <cell r="I166">
            <v>0</v>
          </cell>
          <cell r="J166">
            <v>0</v>
          </cell>
          <cell r="K166">
            <v>1</v>
          </cell>
          <cell r="L166">
            <v>0</v>
          </cell>
          <cell r="M166">
            <v>0</v>
          </cell>
        </row>
        <row r="167">
          <cell r="A167" t="str">
            <v>TX-55554-GO-4XL</v>
          </cell>
          <cell r="B167">
            <v>0</v>
          </cell>
          <cell r="C167">
            <v>0</v>
          </cell>
          <cell r="D167">
            <v>0</v>
          </cell>
          <cell r="E167">
            <v>20</v>
          </cell>
          <cell r="F167">
            <v>0</v>
          </cell>
          <cell r="G167">
            <v>0</v>
          </cell>
          <cell r="H167">
            <v>1</v>
          </cell>
          <cell r="I167">
            <v>0</v>
          </cell>
          <cell r="J167">
            <v>0</v>
          </cell>
          <cell r="K167">
            <v>2</v>
          </cell>
          <cell r="L167">
            <v>0</v>
          </cell>
          <cell r="M167">
            <v>0</v>
          </cell>
        </row>
        <row r="168">
          <cell r="A168" t="str">
            <v>TX-55554-GO-5XL</v>
          </cell>
          <cell r="B168">
            <v>0</v>
          </cell>
          <cell r="C168">
            <v>0</v>
          </cell>
          <cell r="D168">
            <v>0</v>
          </cell>
          <cell r="E168">
            <v>20</v>
          </cell>
          <cell r="F168">
            <v>0</v>
          </cell>
          <cell r="G168">
            <v>0</v>
          </cell>
          <cell r="H168">
            <v>1</v>
          </cell>
          <cell r="I168">
            <v>0</v>
          </cell>
          <cell r="J168">
            <v>0</v>
          </cell>
          <cell r="K168">
            <v>3</v>
          </cell>
          <cell r="L168">
            <v>0</v>
          </cell>
          <cell r="M168">
            <v>0</v>
          </cell>
        </row>
        <row r="169">
          <cell r="A169" t="str">
            <v>TX-55554-GR-2XL</v>
          </cell>
          <cell r="B169">
            <v>0</v>
          </cell>
          <cell r="C169">
            <v>0</v>
          </cell>
          <cell r="D169">
            <v>0</v>
          </cell>
          <cell r="E169">
            <v>140</v>
          </cell>
          <cell r="F169">
            <v>0</v>
          </cell>
          <cell r="G169">
            <v>0</v>
          </cell>
          <cell r="H169">
            <v>18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</row>
        <row r="170">
          <cell r="A170" t="str">
            <v>TX-55554-GR-4XL</v>
          </cell>
          <cell r="B170">
            <v>0</v>
          </cell>
          <cell r="C170">
            <v>0</v>
          </cell>
          <cell r="D170">
            <v>0</v>
          </cell>
          <cell r="E170">
            <v>34</v>
          </cell>
          <cell r="F170">
            <v>0</v>
          </cell>
          <cell r="G170">
            <v>0</v>
          </cell>
          <cell r="H170">
            <v>2</v>
          </cell>
          <cell r="I170">
            <v>0</v>
          </cell>
          <cell r="J170">
            <v>0</v>
          </cell>
          <cell r="K170">
            <v>3</v>
          </cell>
          <cell r="L170">
            <v>0</v>
          </cell>
          <cell r="M170">
            <v>0</v>
          </cell>
        </row>
        <row r="171">
          <cell r="A171" t="str">
            <v>TX-55554-GR-5XL</v>
          </cell>
          <cell r="B171">
            <v>0</v>
          </cell>
          <cell r="C171">
            <v>0</v>
          </cell>
          <cell r="D171">
            <v>0</v>
          </cell>
          <cell r="E171">
            <v>16</v>
          </cell>
          <cell r="F171">
            <v>0</v>
          </cell>
          <cell r="G171">
            <v>0</v>
          </cell>
          <cell r="H171">
            <v>2</v>
          </cell>
          <cell r="I171">
            <v>0</v>
          </cell>
          <cell r="J171">
            <v>0</v>
          </cell>
          <cell r="K171">
            <v>7</v>
          </cell>
          <cell r="L171">
            <v>0</v>
          </cell>
          <cell r="M171">
            <v>0</v>
          </cell>
        </row>
        <row r="172">
          <cell r="A172" t="str">
            <v>TX-55554-KO-2XL</v>
          </cell>
          <cell r="B172">
            <v>0</v>
          </cell>
          <cell r="C172">
            <v>0</v>
          </cell>
          <cell r="D172">
            <v>0</v>
          </cell>
          <cell r="E172">
            <v>188</v>
          </cell>
          <cell r="F172">
            <v>0</v>
          </cell>
          <cell r="G172">
            <v>0</v>
          </cell>
          <cell r="H172">
            <v>1</v>
          </cell>
          <cell r="I172">
            <v>0</v>
          </cell>
          <cell r="J172">
            <v>0</v>
          </cell>
          <cell r="K172">
            <v>52</v>
          </cell>
          <cell r="L172">
            <v>0</v>
          </cell>
          <cell r="M172">
            <v>0</v>
          </cell>
        </row>
        <row r="173">
          <cell r="A173" t="str">
            <v>TX-55554-KO-3XL</v>
          </cell>
          <cell r="B173">
            <v>0</v>
          </cell>
          <cell r="C173">
            <v>0</v>
          </cell>
          <cell r="D173">
            <v>0</v>
          </cell>
          <cell r="E173">
            <v>600</v>
          </cell>
          <cell r="F173">
            <v>0</v>
          </cell>
          <cell r="G173">
            <v>0</v>
          </cell>
          <cell r="H173">
            <v>137</v>
          </cell>
          <cell r="I173">
            <v>0</v>
          </cell>
          <cell r="J173">
            <v>0</v>
          </cell>
          <cell r="K173">
            <v>318</v>
          </cell>
          <cell r="L173">
            <v>0</v>
          </cell>
          <cell r="M173">
            <v>0</v>
          </cell>
        </row>
        <row r="174">
          <cell r="A174" t="str">
            <v>TX-55554-KO-4XL</v>
          </cell>
          <cell r="B174">
            <v>0</v>
          </cell>
          <cell r="C174">
            <v>0</v>
          </cell>
          <cell r="D174">
            <v>0</v>
          </cell>
          <cell r="E174">
            <v>6592</v>
          </cell>
          <cell r="F174">
            <v>0</v>
          </cell>
          <cell r="G174">
            <v>0</v>
          </cell>
          <cell r="H174">
            <v>1</v>
          </cell>
          <cell r="I174">
            <v>0</v>
          </cell>
          <cell r="J174">
            <v>0</v>
          </cell>
          <cell r="K174">
            <v>4</v>
          </cell>
          <cell r="L174">
            <v>0</v>
          </cell>
          <cell r="M174">
            <v>0</v>
          </cell>
        </row>
        <row r="175">
          <cell r="A175" t="str">
            <v>TX-55554-KO-5XL</v>
          </cell>
          <cell r="B175">
            <v>0</v>
          </cell>
          <cell r="C175">
            <v>0</v>
          </cell>
          <cell r="D175">
            <v>0</v>
          </cell>
          <cell r="E175">
            <v>342</v>
          </cell>
          <cell r="F175">
            <v>0</v>
          </cell>
          <cell r="G175">
            <v>0</v>
          </cell>
          <cell r="H175">
            <v>271</v>
          </cell>
          <cell r="I175">
            <v>1</v>
          </cell>
          <cell r="J175">
            <v>0.16</v>
          </cell>
          <cell r="K175">
            <v>229</v>
          </cell>
          <cell r="L175">
            <v>0</v>
          </cell>
          <cell r="M175">
            <v>0</v>
          </cell>
        </row>
        <row r="176">
          <cell r="A176" t="str">
            <v>TX-55554-PI-2XL</v>
          </cell>
          <cell r="B176">
            <v>0</v>
          </cell>
          <cell r="C176">
            <v>0</v>
          </cell>
          <cell r="D176">
            <v>0</v>
          </cell>
          <cell r="E176">
            <v>90</v>
          </cell>
          <cell r="F176">
            <v>0</v>
          </cell>
          <cell r="G176">
            <v>0</v>
          </cell>
          <cell r="H176">
            <v>9</v>
          </cell>
          <cell r="I176">
            <v>0</v>
          </cell>
          <cell r="J176">
            <v>0</v>
          </cell>
          <cell r="K176">
            <v>9</v>
          </cell>
          <cell r="L176">
            <v>0</v>
          </cell>
          <cell r="M176">
            <v>0</v>
          </cell>
        </row>
        <row r="177">
          <cell r="A177" t="str">
            <v>TX-55554-PI-3XL</v>
          </cell>
          <cell r="B177">
            <v>0</v>
          </cell>
          <cell r="C177">
            <v>0</v>
          </cell>
          <cell r="D177">
            <v>0</v>
          </cell>
          <cell r="E177">
            <v>36</v>
          </cell>
          <cell r="F177">
            <v>0</v>
          </cell>
          <cell r="G177">
            <v>0</v>
          </cell>
          <cell r="H177">
            <v>9</v>
          </cell>
          <cell r="I177">
            <v>0</v>
          </cell>
          <cell r="J177">
            <v>0</v>
          </cell>
          <cell r="K177">
            <v>4</v>
          </cell>
          <cell r="L177">
            <v>0</v>
          </cell>
          <cell r="M177">
            <v>0</v>
          </cell>
        </row>
        <row r="178">
          <cell r="A178" t="str">
            <v>TX-55554-PI-4XL</v>
          </cell>
          <cell r="B178">
            <v>0</v>
          </cell>
          <cell r="C178">
            <v>0</v>
          </cell>
          <cell r="D178">
            <v>0</v>
          </cell>
          <cell r="E178">
            <v>1098</v>
          </cell>
          <cell r="F178">
            <v>0</v>
          </cell>
          <cell r="G178">
            <v>0</v>
          </cell>
          <cell r="H178">
            <v>123</v>
          </cell>
          <cell r="I178">
            <v>0</v>
          </cell>
          <cell r="J178">
            <v>0</v>
          </cell>
          <cell r="K178">
            <v>31</v>
          </cell>
          <cell r="L178">
            <v>0</v>
          </cell>
          <cell r="M178">
            <v>0</v>
          </cell>
        </row>
        <row r="179">
          <cell r="A179" t="str">
            <v>TX-55554-PI-5XL</v>
          </cell>
          <cell r="B179">
            <v>0</v>
          </cell>
          <cell r="C179">
            <v>0</v>
          </cell>
          <cell r="D179">
            <v>0</v>
          </cell>
          <cell r="E179">
            <v>506</v>
          </cell>
          <cell r="F179">
            <v>0</v>
          </cell>
          <cell r="G179">
            <v>0</v>
          </cell>
          <cell r="H179">
            <v>226</v>
          </cell>
          <cell r="I179">
            <v>0</v>
          </cell>
          <cell r="J179">
            <v>0</v>
          </cell>
          <cell r="K179">
            <v>88</v>
          </cell>
          <cell r="L179">
            <v>0</v>
          </cell>
          <cell r="M179">
            <v>0</v>
          </cell>
        </row>
        <row r="180">
          <cell r="A180" t="str">
            <v>TX-55554-PO-2XL</v>
          </cell>
          <cell r="B180">
            <v>0</v>
          </cell>
          <cell r="C180">
            <v>0</v>
          </cell>
          <cell r="D180">
            <v>0</v>
          </cell>
          <cell r="E180">
            <v>220</v>
          </cell>
          <cell r="F180">
            <v>0</v>
          </cell>
          <cell r="G180">
            <v>0</v>
          </cell>
          <cell r="H180">
            <v>408</v>
          </cell>
          <cell r="I180">
            <v>0</v>
          </cell>
          <cell r="J180">
            <v>0</v>
          </cell>
          <cell r="K180">
            <v>1080</v>
          </cell>
          <cell r="L180">
            <v>0</v>
          </cell>
          <cell r="M180">
            <v>0</v>
          </cell>
        </row>
        <row r="181">
          <cell r="A181" t="str">
            <v>TX-55554-PO-3XL</v>
          </cell>
          <cell r="B181">
            <v>0</v>
          </cell>
          <cell r="C181">
            <v>0</v>
          </cell>
          <cell r="D181">
            <v>0</v>
          </cell>
          <cell r="E181">
            <v>1174</v>
          </cell>
          <cell r="F181">
            <v>0</v>
          </cell>
          <cell r="G181">
            <v>0</v>
          </cell>
          <cell r="H181">
            <v>682</v>
          </cell>
          <cell r="I181">
            <v>0</v>
          </cell>
          <cell r="J181">
            <v>0</v>
          </cell>
          <cell r="K181">
            <v>53</v>
          </cell>
          <cell r="L181">
            <v>0</v>
          </cell>
          <cell r="M181">
            <v>0</v>
          </cell>
        </row>
        <row r="182">
          <cell r="A182" t="str">
            <v>TX-55554-PO-4XL</v>
          </cell>
          <cell r="B182">
            <v>0</v>
          </cell>
          <cell r="C182">
            <v>0</v>
          </cell>
          <cell r="D182">
            <v>0</v>
          </cell>
          <cell r="E182">
            <v>436</v>
          </cell>
          <cell r="F182">
            <v>0</v>
          </cell>
          <cell r="G182">
            <v>0</v>
          </cell>
          <cell r="H182">
            <v>11</v>
          </cell>
          <cell r="I182">
            <v>0</v>
          </cell>
          <cell r="J182">
            <v>0</v>
          </cell>
          <cell r="K182">
            <v>8</v>
          </cell>
          <cell r="L182">
            <v>0</v>
          </cell>
          <cell r="M182">
            <v>0</v>
          </cell>
        </row>
        <row r="183">
          <cell r="A183" t="str">
            <v>TX-55554-PO-5XL</v>
          </cell>
          <cell r="B183">
            <v>0</v>
          </cell>
          <cell r="C183">
            <v>0</v>
          </cell>
          <cell r="D183">
            <v>0</v>
          </cell>
          <cell r="E183">
            <v>898</v>
          </cell>
          <cell r="F183">
            <v>0</v>
          </cell>
          <cell r="G183">
            <v>0</v>
          </cell>
          <cell r="H183">
            <v>73</v>
          </cell>
          <cell r="I183">
            <v>0</v>
          </cell>
          <cell r="J183">
            <v>0</v>
          </cell>
          <cell r="K183">
            <v>18</v>
          </cell>
          <cell r="L183">
            <v>0</v>
          </cell>
          <cell r="M183">
            <v>0</v>
          </cell>
        </row>
        <row r="184">
          <cell r="A184" t="str">
            <v>TX-55554-WO-5XL</v>
          </cell>
          <cell r="B184">
            <v>0</v>
          </cell>
          <cell r="C184">
            <v>0</v>
          </cell>
          <cell r="D184">
            <v>0</v>
          </cell>
          <cell r="E184">
            <v>26</v>
          </cell>
          <cell r="F184">
            <v>0</v>
          </cell>
          <cell r="G184">
            <v>0</v>
          </cell>
          <cell r="H184">
            <v>128</v>
          </cell>
          <cell r="I184">
            <v>0</v>
          </cell>
          <cell r="J184">
            <v>0</v>
          </cell>
          <cell r="K184">
            <v>33</v>
          </cell>
          <cell r="L184">
            <v>0</v>
          </cell>
          <cell r="M184">
            <v>0</v>
          </cell>
        </row>
        <row r="185">
          <cell r="A185" t="str">
            <v>TX-55554-GR-3XL</v>
          </cell>
          <cell r="B185">
            <v>0</v>
          </cell>
          <cell r="C185">
            <v>0</v>
          </cell>
          <cell r="D185">
            <v>0</v>
          </cell>
          <cell r="E185">
            <v>4</v>
          </cell>
          <cell r="F185">
            <v>0</v>
          </cell>
          <cell r="G185">
            <v>0</v>
          </cell>
          <cell r="H185">
            <v>41</v>
          </cell>
          <cell r="I185">
            <v>0</v>
          </cell>
          <cell r="J185">
            <v>0</v>
          </cell>
          <cell r="K185">
            <v>2</v>
          </cell>
          <cell r="L185">
            <v>0</v>
          </cell>
          <cell r="M185">
            <v>0</v>
          </cell>
        </row>
        <row r="186">
          <cell r="A186" t="str">
            <v>TX-55554-WO-2XL</v>
          </cell>
          <cell r="B186">
            <v>0</v>
          </cell>
          <cell r="C186">
            <v>0</v>
          </cell>
          <cell r="D186">
            <v>0</v>
          </cell>
          <cell r="E186">
            <v>4</v>
          </cell>
          <cell r="F186">
            <v>0</v>
          </cell>
          <cell r="G186">
            <v>0</v>
          </cell>
          <cell r="H186">
            <v>1</v>
          </cell>
          <cell r="I186">
            <v>0</v>
          </cell>
          <cell r="J186">
            <v>0</v>
          </cell>
          <cell r="K186">
            <v>3</v>
          </cell>
          <cell r="L186">
            <v>0</v>
          </cell>
          <cell r="M186">
            <v>0</v>
          </cell>
        </row>
        <row r="187">
          <cell r="A187" t="str">
            <v>TX-55554-WO-3XL</v>
          </cell>
          <cell r="B187">
            <v>0</v>
          </cell>
          <cell r="C187">
            <v>0</v>
          </cell>
          <cell r="D187">
            <v>0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>
            <v>2</v>
          </cell>
          <cell r="L187">
            <v>0</v>
          </cell>
          <cell r="M187">
            <v>0</v>
          </cell>
        </row>
        <row r="188">
          <cell r="A188" t="str">
            <v>TX-55554-WO-4XL</v>
          </cell>
          <cell r="B188">
            <v>0</v>
          </cell>
          <cell r="C188">
            <v>0</v>
          </cell>
          <cell r="D188">
            <v>0</v>
          </cell>
          <cell r="E188">
            <v>6</v>
          </cell>
          <cell r="F188">
            <v>0</v>
          </cell>
          <cell r="G188">
            <v>0</v>
          </cell>
          <cell r="H188">
            <v>0</v>
          </cell>
          <cell r="I188">
            <v>0</v>
          </cell>
          <cell r="J188">
            <v>0</v>
          </cell>
          <cell r="K188">
            <v>0</v>
          </cell>
          <cell r="L188">
            <v>0</v>
          </cell>
          <cell r="M188">
            <v>0</v>
          </cell>
        </row>
        <row r="189">
          <cell r="A189" t="str">
            <v>RE-YZ-BECS186-OR-XXL</v>
          </cell>
          <cell r="B189">
            <v>0</v>
          </cell>
          <cell r="C189">
            <v>0</v>
          </cell>
          <cell r="D189">
            <v>0</v>
          </cell>
          <cell r="E189">
            <v>0</v>
          </cell>
          <cell r="F189">
            <v>0</v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>
            <v>0</v>
          </cell>
          <cell r="L189">
            <v>0</v>
          </cell>
          <cell r="M189">
            <v>0</v>
          </cell>
        </row>
        <row r="190">
          <cell r="A190" t="str">
            <v>RE-YZ-BELK185-B0-XL</v>
          </cell>
          <cell r="B190">
            <v>0</v>
          </cell>
          <cell r="C190">
            <v>0</v>
          </cell>
          <cell r="D190">
            <v>0</v>
          </cell>
          <cell r="E190">
            <v>0</v>
          </cell>
          <cell r="F190">
            <v>0</v>
          </cell>
          <cell r="G190">
            <v>0</v>
          </cell>
          <cell r="H190">
            <v>152</v>
          </cell>
          <cell r="I190">
            <v>1</v>
          </cell>
          <cell r="J190">
            <v>0.29</v>
          </cell>
          <cell r="K190">
            <v>946</v>
          </cell>
          <cell r="L190">
            <v>3</v>
          </cell>
          <cell r="M190">
            <v>0.78</v>
          </cell>
        </row>
        <row r="191">
          <cell r="A191" t="str">
            <v>RE-YZ-BELK185-K0-XL</v>
          </cell>
          <cell r="B191">
            <v>0</v>
          </cell>
          <cell r="C191">
            <v>0</v>
          </cell>
          <cell r="D191">
            <v>0</v>
          </cell>
          <cell r="E191">
            <v>0</v>
          </cell>
          <cell r="F191">
            <v>0</v>
          </cell>
          <cell r="G191">
            <v>0</v>
          </cell>
          <cell r="H191">
            <v>184</v>
          </cell>
          <cell r="I191">
            <v>0</v>
          </cell>
          <cell r="J191">
            <v>0</v>
          </cell>
          <cell r="K191">
            <v>1158</v>
          </cell>
          <cell r="L191">
            <v>4</v>
          </cell>
          <cell r="M191">
            <v>0.85</v>
          </cell>
        </row>
        <row r="192">
          <cell r="A192" t="str">
            <v>RE-YZ-BELK185-Y9-L</v>
          </cell>
          <cell r="B192">
            <v>0</v>
          </cell>
          <cell r="C192">
            <v>0</v>
          </cell>
          <cell r="D192">
            <v>0</v>
          </cell>
          <cell r="E192">
            <v>1774</v>
          </cell>
          <cell r="F192">
            <v>6</v>
          </cell>
          <cell r="G192">
            <v>0.46</v>
          </cell>
          <cell r="H192">
            <v>3370</v>
          </cell>
          <cell r="I192">
            <v>11</v>
          </cell>
          <cell r="J192">
            <v>2.28</v>
          </cell>
          <cell r="K192">
            <v>6197</v>
          </cell>
          <cell r="L192">
            <v>11</v>
          </cell>
          <cell r="M192">
            <v>2.23</v>
          </cell>
        </row>
        <row r="193">
          <cell r="A193" t="str">
            <v>RE-YZ-BELK185-Y9-M</v>
          </cell>
          <cell r="B193">
            <v>0</v>
          </cell>
          <cell r="C193">
            <v>0</v>
          </cell>
          <cell r="D193">
            <v>0</v>
          </cell>
          <cell r="E193">
            <v>7682</v>
          </cell>
          <cell r="F193">
            <v>22</v>
          </cell>
          <cell r="G193">
            <v>2.78</v>
          </cell>
          <cell r="H193">
            <v>1121</v>
          </cell>
          <cell r="I193">
            <v>9</v>
          </cell>
          <cell r="J193">
            <v>2.12</v>
          </cell>
          <cell r="K193">
            <v>473</v>
          </cell>
          <cell r="L193">
            <v>1</v>
          </cell>
          <cell r="M193">
            <v>0.26</v>
          </cell>
        </row>
        <row r="194">
          <cell r="A194" t="str">
            <v>YZ-BS-PW2037-B0-L</v>
          </cell>
          <cell r="B194">
            <v>0</v>
          </cell>
          <cell r="C194">
            <v>0</v>
          </cell>
          <cell r="D194">
            <v>0</v>
          </cell>
          <cell r="E194">
            <v>28038</v>
          </cell>
          <cell r="F194">
            <v>74</v>
          </cell>
          <cell r="G194">
            <v>10.92</v>
          </cell>
          <cell r="H194">
            <v>9476</v>
          </cell>
          <cell r="I194">
            <v>38</v>
          </cell>
          <cell r="J194">
            <v>6.24</v>
          </cell>
          <cell r="K194">
            <v>0</v>
          </cell>
          <cell r="L194">
            <v>0</v>
          </cell>
          <cell r="M194">
            <v>0</v>
          </cell>
        </row>
        <row r="195">
          <cell r="A195" t="str">
            <v>YZ-BS-PW2037-B0-M</v>
          </cell>
          <cell r="B195">
            <v>0</v>
          </cell>
          <cell r="C195">
            <v>0</v>
          </cell>
          <cell r="D195">
            <v>0</v>
          </cell>
          <cell r="E195">
            <v>9454</v>
          </cell>
          <cell r="F195">
            <v>46</v>
          </cell>
          <cell r="G195">
            <v>6.8</v>
          </cell>
          <cell r="H195">
            <v>4854</v>
          </cell>
          <cell r="I195">
            <v>30</v>
          </cell>
          <cell r="J195">
            <v>4.08</v>
          </cell>
          <cell r="K195">
            <v>768</v>
          </cell>
          <cell r="L195">
            <v>6</v>
          </cell>
          <cell r="M195">
            <v>1.15</v>
          </cell>
        </row>
        <row r="196">
          <cell r="A196" t="str">
            <v>YZ-BS-PW2037-G0-L</v>
          </cell>
          <cell r="B196">
            <v>0</v>
          </cell>
          <cell r="C196">
            <v>0</v>
          </cell>
          <cell r="D196">
            <v>0</v>
          </cell>
          <cell r="E196">
            <v>4732</v>
          </cell>
          <cell r="F196">
            <v>10</v>
          </cell>
          <cell r="G196">
            <v>1.78</v>
          </cell>
          <cell r="H196">
            <v>839</v>
          </cell>
          <cell r="I196">
            <v>6</v>
          </cell>
          <cell r="J196">
            <v>0.89</v>
          </cell>
          <cell r="K196">
            <v>0</v>
          </cell>
          <cell r="L196">
            <v>0</v>
          </cell>
          <cell r="M196">
            <v>0</v>
          </cell>
        </row>
        <row r="197">
          <cell r="A197" t="str">
            <v>YZ-BS-PW2037-G0-M</v>
          </cell>
          <cell r="B197">
            <v>0</v>
          </cell>
          <cell r="C197">
            <v>0</v>
          </cell>
          <cell r="D197">
            <v>0</v>
          </cell>
          <cell r="E197">
            <v>20234</v>
          </cell>
          <cell r="F197">
            <v>90</v>
          </cell>
          <cell r="G197">
            <v>11.44</v>
          </cell>
          <cell r="H197">
            <v>12936</v>
          </cell>
          <cell r="I197">
            <v>63</v>
          </cell>
          <cell r="J197">
            <v>8.17</v>
          </cell>
          <cell r="K197">
            <v>1740</v>
          </cell>
          <cell r="L197">
            <v>16</v>
          </cell>
          <cell r="M197">
            <v>2.29</v>
          </cell>
        </row>
        <row r="198">
          <cell r="A198" t="str">
            <v>YZ-BS-PW2037-G0-S</v>
          </cell>
          <cell r="B198">
            <v>0</v>
          </cell>
          <cell r="C198">
            <v>0</v>
          </cell>
          <cell r="D198">
            <v>0</v>
          </cell>
          <cell r="E198">
            <v>7528</v>
          </cell>
          <cell r="F198">
            <v>56</v>
          </cell>
          <cell r="G198">
            <v>8.84</v>
          </cell>
          <cell r="H198">
            <v>2433</v>
          </cell>
          <cell r="I198">
            <v>11</v>
          </cell>
          <cell r="J198">
            <v>1.25</v>
          </cell>
          <cell r="K198">
            <v>5559</v>
          </cell>
          <cell r="L198">
            <v>37</v>
          </cell>
          <cell r="M198">
            <v>4.27</v>
          </cell>
        </row>
        <row r="199">
          <cell r="A199" t="str">
            <v>YZ-BS-PW2037-K0-L</v>
          </cell>
          <cell r="B199">
            <v>0</v>
          </cell>
          <cell r="C199">
            <v>0</v>
          </cell>
          <cell r="D199">
            <v>0</v>
          </cell>
          <cell r="E199">
            <v>9286</v>
          </cell>
          <cell r="F199">
            <v>38</v>
          </cell>
          <cell r="G199">
            <v>6.32</v>
          </cell>
          <cell r="H199">
            <v>2586</v>
          </cell>
          <cell r="I199">
            <v>15</v>
          </cell>
          <cell r="J199">
            <v>2.63</v>
          </cell>
          <cell r="K199">
            <v>1105</v>
          </cell>
          <cell r="L199">
            <v>17</v>
          </cell>
          <cell r="M199">
            <v>2.53</v>
          </cell>
        </row>
        <row r="200">
          <cell r="A200" t="str">
            <v>YZ-BS-PW2037-K0-M</v>
          </cell>
          <cell r="B200">
            <v>0</v>
          </cell>
          <cell r="C200">
            <v>0</v>
          </cell>
          <cell r="D200">
            <v>0</v>
          </cell>
          <cell r="E200">
            <v>8034</v>
          </cell>
          <cell r="F200">
            <v>68</v>
          </cell>
          <cell r="G200">
            <v>9.84</v>
          </cell>
          <cell r="H200">
            <v>1988</v>
          </cell>
          <cell r="I200">
            <v>18</v>
          </cell>
          <cell r="J200">
            <v>2.36</v>
          </cell>
          <cell r="K200">
            <v>2855</v>
          </cell>
          <cell r="L200">
            <v>27</v>
          </cell>
          <cell r="M200">
            <v>3.54</v>
          </cell>
        </row>
        <row r="201">
          <cell r="A201" t="str">
            <v>YZ-BS-PW2037-K0-XL</v>
          </cell>
          <cell r="B201">
            <v>0</v>
          </cell>
          <cell r="C201">
            <v>0</v>
          </cell>
          <cell r="D201">
            <v>0</v>
          </cell>
          <cell r="E201">
            <v>34158</v>
          </cell>
          <cell r="F201">
            <v>76</v>
          </cell>
          <cell r="G201">
            <v>10.42</v>
          </cell>
          <cell r="H201">
            <v>5646</v>
          </cell>
          <cell r="I201">
            <v>20</v>
          </cell>
          <cell r="J201">
            <v>2.43</v>
          </cell>
          <cell r="K201">
            <v>3141</v>
          </cell>
          <cell r="L201">
            <v>14</v>
          </cell>
          <cell r="M201">
            <v>1.91</v>
          </cell>
        </row>
        <row r="202">
          <cell r="A202" t="str">
            <v>YZ-BS-PW2037-R0-L</v>
          </cell>
          <cell r="B202">
            <v>0</v>
          </cell>
          <cell r="C202">
            <v>0</v>
          </cell>
          <cell r="D202">
            <v>0</v>
          </cell>
          <cell r="E202">
            <v>852</v>
          </cell>
          <cell r="F202">
            <v>8</v>
          </cell>
          <cell r="G202">
            <v>1.3</v>
          </cell>
          <cell r="H202">
            <v>4310</v>
          </cell>
          <cell r="I202">
            <v>11</v>
          </cell>
          <cell r="J202">
            <v>1.48</v>
          </cell>
          <cell r="K202">
            <v>30322</v>
          </cell>
          <cell r="L202">
            <v>48</v>
          </cell>
          <cell r="M202">
            <v>5.94</v>
          </cell>
        </row>
        <row r="203">
          <cell r="A203" t="str">
            <v>YZ-BS-PW2037-R0-M</v>
          </cell>
          <cell r="B203">
            <v>0</v>
          </cell>
          <cell r="C203">
            <v>0</v>
          </cell>
          <cell r="D203">
            <v>0</v>
          </cell>
          <cell r="E203">
            <v>51136</v>
          </cell>
          <cell r="F203">
            <v>190</v>
          </cell>
          <cell r="G203">
            <v>28.54</v>
          </cell>
          <cell r="H203">
            <v>4197</v>
          </cell>
          <cell r="I203">
            <v>30</v>
          </cell>
          <cell r="J203">
            <v>4.77</v>
          </cell>
          <cell r="K203">
            <v>2134</v>
          </cell>
          <cell r="L203">
            <v>20</v>
          </cell>
          <cell r="M203">
            <v>2.96</v>
          </cell>
        </row>
        <row r="204">
          <cell r="A204" t="str">
            <v>YZ-BS-PW2037-R0-S</v>
          </cell>
          <cell r="B204">
            <v>0</v>
          </cell>
          <cell r="C204">
            <v>0</v>
          </cell>
          <cell r="D204">
            <v>0</v>
          </cell>
          <cell r="E204">
            <v>218</v>
          </cell>
          <cell r="F204">
            <v>2</v>
          </cell>
          <cell r="G204">
            <v>0.18</v>
          </cell>
          <cell r="H204">
            <v>13893</v>
          </cell>
          <cell r="I204">
            <v>95</v>
          </cell>
          <cell r="J204">
            <v>12.91</v>
          </cell>
          <cell r="K204">
            <v>8579</v>
          </cell>
          <cell r="L204">
            <v>88</v>
          </cell>
          <cell r="M204">
            <v>13.3</v>
          </cell>
        </row>
        <row r="205">
          <cell r="A205" t="str">
            <v>YZ-BS-PW2037-R0-XL</v>
          </cell>
          <cell r="B205">
            <v>0</v>
          </cell>
          <cell r="C205">
            <v>0</v>
          </cell>
          <cell r="D205">
            <v>0</v>
          </cell>
          <cell r="E205">
            <v>5440</v>
          </cell>
          <cell r="F205">
            <v>36</v>
          </cell>
          <cell r="G205">
            <v>6.04</v>
          </cell>
          <cell r="H205">
            <v>16786</v>
          </cell>
          <cell r="I205">
            <v>38</v>
          </cell>
          <cell r="J205">
            <v>5.09</v>
          </cell>
          <cell r="K205">
            <v>65917</v>
          </cell>
          <cell r="L205">
            <v>155</v>
          </cell>
          <cell r="M205">
            <v>22.06</v>
          </cell>
        </row>
        <row r="206">
          <cell r="A206" t="str">
            <v>YZ-BS-5505Da0L</v>
          </cell>
          <cell r="B206">
            <v>0</v>
          </cell>
          <cell r="C206">
            <v>0</v>
          </cell>
          <cell r="D206">
            <v>0</v>
          </cell>
          <cell r="E206">
            <v>54338</v>
          </cell>
          <cell r="F206">
            <v>322</v>
          </cell>
          <cell r="G206">
            <v>80.58</v>
          </cell>
          <cell r="H206">
            <v>0</v>
          </cell>
          <cell r="I206">
            <v>0</v>
          </cell>
          <cell r="J206">
            <v>0</v>
          </cell>
          <cell r="K206">
            <v>9734</v>
          </cell>
          <cell r="L206">
            <v>52</v>
          </cell>
          <cell r="M206">
            <v>12.17</v>
          </cell>
        </row>
        <row r="207">
          <cell r="A207" t="str">
            <v>YZ-BS-5505DaM</v>
          </cell>
          <cell r="B207">
            <v>0</v>
          </cell>
          <cell r="C207">
            <v>0</v>
          </cell>
          <cell r="D207">
            <v>0</v>
          </cell>
          <cell r="E207">
            <v>22580</v>
          </cell>
          <cell r="F207">
            <v>58</v>
          </cell>
          <cell r="G207">
            <v>11.86</v>
          </cell>
          <cell r="H207">
            <v>497</v>
          </cell>
          <cell r="I207">
            <v>9</v>
          </cell>
          <cell r="J207">
            <v>2.18</v>
          </cell>
          <cell r="K207">
            <v>5436</v>
          </cell>
          <cell r="L207">
            <v>131</v>
          </cell>
          <cell r="M207">
            <v>31.66</v>
          </cell>
        </row>
        <row r="208">
          <cell r="A208" t="str">
            <v>YZ-BS-5505DaXL</v>
          </cell>
          <cell r="B208">
            <v>0</v>
          </cell>
          <cell r="C208">
            <v>0</v>
          </cell>
          <cell r="D208">
            <v>0</v>
          </cell>
          <cell r="E208">
            <v>35282</v>
          </cell>
          <cell r="F208">
            <v>110</v>
          </cell>
          <cell r="G208">
            <v>22.92</v>
          </cell>
          <cell r="H208">
            <v>6063</v>
          </cell>
          <cell r="I208">
            <v>42</v>
          </cell>
          <cell r="J208">
            <v>8.63</v>
          </cell>
          <cell r="K208">
            <v>33916</v>
          </cell>
          <cell r="L208">
            <v>215</v>
          </cell>
          <cell r="M208">
            <v>43.67</v>
          </cell>
        </row>
        <row r="209">
          <cell r="A209" t="str">
            <v>YZ-BS-5505DaXXL</v>
          </cell>
          <cell r="B209">
            <v>0</v>
          </cell>
          <cell r="C209">
            <v>0</v>
          </cell>
          <cell r="D209">
            <v>0</v>
          </cell>
          <cell r="E209">
            <v>32212</v>
          </cell>
          <cell r="F209">
            <v>126</v>
          </cell>
          <cell r="G209">
            <v>31.52</v>
          </cell>
          <cell r="H209">
            <v>518</v>
          </cell>
          <cell r="I209">
            <v>5</v>
          </cell>
          <cell r="J209">
            <v>1.19</v>
          </cell>
          <cell r="K209">
            <v>1663</v>
          </cell>
          <cell r="L209">
            <v>12</v>
          </cell>
          <cell r="M209">
            <v>2.95</v>
          </cell>
        </row>
        <row r="210">
          <cell r="A210" t="str">
            <v>YZ-BS-5505JR0S</v>
          </cell>
          <cell r="B210">
            <v>0</v>
          </cell>
          <cell r="C210">
            <v>0</v>
          </cell>
          <cell r="D210">
            <v>0</v>
          </cell>
          <cell r="E210">
            <v>914</v>
          </cell>
          <cell r="F210">
            <v>2</v>
          </cell>
          <cell r="G210">
            <v>0.52</v>
          </cell>
          <cell r="H210">
            <v>384</v>
          </cell>
          <cell r="I210">
            <v>3</v>
          </cell>
          <cell r="J210">
            <v>0.86</v>
          </cell>
          <cell r="K210">
            <v>373</v>
          </cell>
          <cell r="L210">
            <v>2</v>
          </cell>
          <cell r="M210">
            <v>0.56</v>
          </cell>
        </row>
        <row r="211">
          <cell r="A211" t="str">
            <v>YZ-BS-5505JRM</v>
          </cell>
          <cell r="B211">
            <v>0</v>
          </cell>
          <cell r="C211">
            <v>0</v>
          </cell>
          <cell r="D211">
            <v>0</v>
          </cell>
          <cell r="E211">
            <v>970</v>
          </cell>
          <cell r="F211">
            <v>2</v>
          </cell>
          <cell r="G211">
            <v>0.6</v>
          </cell>
          <cell r="H211">
            <v>47</v>
          </cell>
          <cell r="I211">
            <v>1</v>
          </cell>
          <cell r="J211">
            <v>0.26</v>
          </cell>
          <cell r="K211">
            <v>113</v>
          </cell>
          <cell r="L211">
            <v>1</v>
          </cell>
          <cell r="M211">
            <v>0.07</v>
          </cell>
        </row>
        <row r="212">
          <cell r="A212" t="str">
            <v>YZ-BS-5505JRXL</v>
          </cell>
          <cell r="B212">
            <v>0</v>
          </cell>
          <cell r="C212">
            <v>0</v>
          </cell>
          <cell r="D212">
            <v>0</v>
          </cell>
          <cell r="E212">
            <v>544</v>
          </cell>
          <cell r="F212">
            <v>2</v>
          </cell>
          <cell r="G212">
            <v>0.6</v>
          </cell>
          <cell r="H212">
            <v>341</v>
          </cell>
          <cell r="I212">
            <v>1</v>
          </cell>
          <cell r="J212">
            <v>0.26</v>
          </cell>
          <cell r="K212">
            <v>357</v>
          </cell>
          <cell r="L212">
            <v>0</v>
          </cell>
          <cell r="M212">
            <v>0</v>
          </cell>
        </row>
        <row r="213">
          <cell r="A213" t="str">
            <v>YZ-BS-5505JRXS</v>
          </cell>
          <cell r="B213">
            <v>0</v>
          </cell>
          <cell r="C213">
            <v>0</v>
          </cell>
          <cell r="D213">
            <v>0</v>
          </cell>
          <cell r="E213">
            <v>1028</v>
          </cell>
          <cell r="F213">
            <v>8</v>
          </cell>
          <cell r="G213">
            <v>1.2</v>
          </cell>
          <cell r="H213">
            <v>565</v>
          </cell>
          <cell r="I213">
            <v>8</v>
          </cell>
          <cell r="J213">
            <v>1.91</v>
          </cell>
          <cell r="K213">
            <v>439</v>
          </cell>
          <cell r="L213">
            <v>4</v>
          </cell>
          <cell r="M213">
            <v>0.65</v>
          </cell>
        </row>
        <row r="214">
          <cell r="A214" t="str">
            <v>YZ-BS-5505JRXXL</v>
          </cell>
          <cell r="B214">
            <v>0</v>
          </cell>
          <cell r="C214">
            <v>0</v>
          </cell>
          <cell r="D214">
            <v>0</v>
          </cell>
          <cell r="E214">
            <v>1562</v>
          </cell>
          <cell r="F214">
            <v>0</v>
          </cell>
          <cell r="G214">
            <v>0</v>
          </cell>
          <cell r="H214">
            <v>527</v>
          </cell>
          <cell r="I214">
            <v>4</v>
          </cell>
          <cell r="J214">
            <v>0.81</v>
          </cell>
          <cell r="K214">
            <v>424</v>
          </cell>
          <cell r="L214">
            <v>0</v>
          </cell>
          <cell r="M214">
            <v>0</v>
          </cell>
        </row>
        <row r="215">
          <cell r="A215" t="str">
            <v>YZ-BS-5505K0-2XL</v>
          </cell>
          <cell r="B215">
            <v>0</v>
          </cell>
          <cell r="C215">
            <v>0</v>
          </cell>
          <cell r="D215">
            <v>0</v>
          </cell>
          <cell r="E215">
            <v>5102</v>
          </cell>
          <cell r="F215">
            <v>48</v>
          </cell>
          <cell r="G215">
            <v>9.64</v>
          </cell>
          <cell r="H215">
            <v>265</v>
          </cell>
          <cell r="I215">
            <v>0</v>
          </cell>
          <cell r="J215">
            <v>0</v>
          </cell>
          <cell r="K215">
            <v>1439</v>
          </cell>
          <cell r="L215">
            <v>22</v>
          </cell>
          <cell r="M215">
            <v>4.94</v>
          </cell>
        </row>
        <row r="216">
          <cell r="A216" t="str">
            <v>YZ-BS-5505K0-L</v>
          </cell>
          <cell r="B216">
            <v>0</v>
          </cell>
          <cell r="C216">
            <v>0</v>
          </cell>
          <cell r="D216">
            <v>0</v>
          </cell>
          <cell r="E216">
            <v>1708</v>
          </cell>
          <cell r="F216">
            <v>6</v>
          </cell>
          <cell r="G216">
            <v>1.64</v>
          </cell>
          <cell r="H216">
            <v>56</v>
          </cell>
          <cell r="I216">
            <v>0</v>
          </cell>
          <cell r="J216">
            <v>0</v>
          </cell>
          <cell r="K216">
            <v>63</v>
          </cell>
          <cell r="L216">
            <v>1</v>
          </cell>
          <cell r="M216">
            <v>0.14</v>
          </cell>
        </row>
        <row r="217">
          <cell r="A217" t="str">
            <v>YZ-BS-5505K0-M</v>
          </cell>
          <cell r="B217">
            <v>0</v>
          </cell>
          <cell r="C217">
            <v>0</v>
          </cell>
          <cell r="D217">
            <v>0</v>
          </cell>
          <cell r="E217">
            <v>11188</v>
          </cell>
          <cell r="F217">
            <v>40</v>
          </cell>
          <cell r="G217">
            <v>7.22</v>
          </cell>
          <cell r="H217">
            <v>521</v>
          </cell>
          <cell r="I217">
            <v>5</v>
          </cell>
          <cell r="J217">
            <v>1.31</v>
          </cell>
          <cell r="K217">
            <v>248</v>
          </cell>
          <cell r="L217">
            <v>2</v>
          </cell>
          <cell r="M217">
            <v>0.39</v>
          </cell>
        </row>
        <row r="218">
          <cell r="A218" t="str">
            <v>YZ-BS-5505K0-XS</v>
          </cell>
          <cell r="B218">
            <v>0</v>
          </cell>
          <cell r="C218">
            <v>0</v>
          </cell>
          <cell r="D218">
            <v>0</v>
          </cell>
          <cell r="E218">
            <v>10430</v>
          </cell>
          <cell r="F218">
            <v>52</v>
          </cell>
          <cell r="G218">
            <v>9.06</v>
          </cell>
          <cell r="H218">
            <v>8341</v>
          </cell>
          <cell r="I218">
            <v>59</v>
          </cell>
          <cell r="J218">
            <v>12.29</v>
          </cell>
          <cell r="K218">
            <v>722</v>
          </cell>
          <cell r="L218">
            <v>5</v>
          </cell>
          <cell r="M218">
            <v>1.09</v>
          </cell>
        </row>
        <row r="219">
          <cell r="A219" t="str">
            <v>YZ-BS-5505LbL</v>
          </cell>
          <cell r="B219">
            <v>0</v>
          </cell>
          <cell r="C219">
            <v>0</v>
          </cell>
          <cell r="D219">
            <v>0</v>
          </cell>
          <cell r="E219">
            <v>696</v>
          </cell>
          <cell r="F219">
            <v>0</v>
          </cell>
          <cell r="G219">
            <v>0</v>
          </cell>
          <cell r="H219">
            <v>144</v>
          </cell>
          <cell r="I219">
            <v>0</v>
          </cell>
          <cell r="J219">
            <v>0</v>
          </cell>
          <cell r="K219">
            <v>190</v>
          </cell>
          <cell r="L219">
            <v>1</v>
          </cell>
          <cell r="M219">
            <v>0.23</v>
          </cell>
        </row>
        <row r="220">
          <cell r="A220" t="str">
            <v>YZ-BS-5505LbS</v>
          </cell>
          <cell r="B220">
            <v>0</v>
          </cell>
          <cell r="C220">
            <v>0</v>
          </cell>
          <cell r="D220">
            <v>0</v>
          </cell>
          <cell r="E220">
            <v>936</v>
          </cell>
          <cell r="F220">
            <v>6</v>
          </cell>
          <cell r="G220">
            <v>0.84</v>
          </cell>
          <cell r="H220">
            <v>0</v>
          </cell>
          <cell r="I220">
            <v>0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</row>
        <row r="221">
          <cell r="A221" t="str">
            <v>YZ-BS-5505LbXL</v>
          </cell>
          <cell r="B221">
            <v>0</v>
          </cell>
          <cell r="C221">
            <v>0</v>
          </cell>
          <cell r="D221">
            <v>0</v>
          </cell>
          <cell r="E221">
            <v>978</v>
          </cell>
          <cell r="F221">
            <v>4</v>
          </cell>
          <cell r="G221">
            <v>0.16</v>
          </cell>
          <cell r="H221">
            <v>82</v>
          </cell>
          <cell r="I221">
            <v>0</v>
          </cell>
          <cell r="J221">
            <v>0</v>
          </cell>
          <cell r="K221">
            <v>583</v>
          </cell>
          <cell r="L221">
            <v>3</v>
          </cell>
          <cell r="M221">
            <v>0.81</v>
          </cell>
        </row>
        <row r="222">
          <cell r="A222" t="str">
            <v>YZ-BS-5505LbXXL</v>
          </cell>
          <cell r="B222">
            <v>0</v>
          </cell>
          <cell r="C222">
            <v>0</v>
          </cell>
          <cell r="D222">
            <v>0</v>
          </cell>
          <cell r="E222">
            <v>4700</v>
          </cell>
          <cell r="F222">
            <v>14</v>
          </cell>
          <cell r="G222">
            <v>2.7</v>
          </cell>
          <cell r="H222">
            <v>4990</v>
          </cell>
          <cell r="I222">
            <v>18</v>
          </cell>
          <cell r="J222">
            <v>3.45</v>
          </cell>
          <cell r="K222">
            <v>322</v>
          </cell>
          <cell r="L222">
            <v>2</v>
          </cell>
          <cell r="M222">
            <v>0.52</v>
          </cell>
        </row>
        <row r="223">
          <cell r="A223" t="str">
            <v>WQS-BN-1503-BO-S</v>
          </cell>
          <cell r="B223">
            <v>0</v>
          </cell>
          <cell r="C223">
            <v>0</v>
          </cell>
          <cell r="D223">
            <v>0</v>
          </cell>
          <cell r="E223">
            <v>39928</v>
          </cell>
          <cell r="F223">
            <v>138</v>
          </cell>
          <cell r="G223">
            <v>31.82</v>
          </cell>
          <cell r="H223">
            <v>5857</v>
          </cell>
          <cell r="I223">
            <v>21</v>
          </cell>
          <cell r="J223">
            <v>3.92</v>
          </cell>
          <cell r="K223">
            <v>1511</v>
          </cell>
          <cell r="L223">
            <v>6</v>
          </cell>
          <cell r="M223">
            <v>1.41</v>
          </cell>
        </row>
        <row r="224">
          <cell r="A224" t="str">
            <v>WQS-BN-1503-BO-XL</v>
          </cell>
          <cell r="B224">
            <v>0</v>
          </cell>
          <cell r="C224">
            <v>0</v>
          </cell>
          <cell r="D224">
            <v>0</v>
          </cell>
          <cell r="E224">
            <v>0</v>
          </cell>
          <cell r="F224">
            <v>0</v>
          </cell>
          <cell r="G224">
            <v>0</v>
          </cell>
          <cell r="H224">
            <v>0</v>
          </cell>
          <cell r="I224">
            <v>0</v>
          </cell>
          <cell r="J224">
            <v>0</v>
          </cell>
          <cell r="K224">
            <v>0</v>
          </cell>
          <cell r="L224">
            <v>0</v>
          </cell>
          <cell r="M224">
            <v>0</v>
          </cell>
        </row>
        <row r="225">
          <cell r="A225" t="str">
            <v>WQS-BN-1503-RO-XL</v>
          </cell>
          <cell r="B225">
            <v>0</v>
          </cell>
          <cell r="C225">
            <v>0</v>
          </cell>
          <cell r="D225">
            <v>0</v>
          </cell>
          <cell r="E225">
            <v>0</v>
          </cell>
          <cell r="F225">
            <v>0</v>
          </cell>
          <cell r="G225">
            <v>0</v>
          </cell>
          <cell r="H225">
            <v>912</v>
          </cell>
          <cell r="I225">
            <v>7</v>
          </cell>
          <cell r="J225">
            <v>1.77</v>
          </cell>
          <cell r="K225">
            <v>2153</v>
          </cell>
          <cell r="L225">
            <v>37</v>
          </cell>
          <cell r="M225">
            <v>8.04</v>
          </cell>
        </row>
        <row r="226">
          <cell r="A226" t="str">
            <v>WQS-BN-1503-WO-S</v>
          </cell>
          <cell r="B226">
            <v>0</v>
          </cell>
          <cell r="C226">
            <v>0</v>
          </cell>
          <cell r="D226">
            <v>0</v>
          </cell>
          <cell r="E226">
            <v>1808</v>
          </cell>
          <cell r="F226">
            <v>8</v>
          </cell>
          <cell r="G226">
            <v>1.92</v>
          </cell>
          <cell r="H226">
            <v>2751</v>
          </cell>
          <cell r="I226">
            <v>25</v>
          </cell>
          <cell r="J226">
            <v>5.32</v>
          </cell>
          <cell r="K226">
            <v>8576</v>
          </cell>
          <cell r="L226">
            <v>31</v>
          </cell>
          <cell r="M226">
            <v>6.38</v>
          </cell>
        </row>
        <row r="227">
          <cell r="A227" t="str">
            <v>YZ-BS-BS5119ZLXL4XL</v>
          </cell>
          <cell r="B227">
            <v>0</v>
          </cell>
          <cell r="C227">
            <v>0</v>
          </cell>
          <cell r="D227">
            <v>0</v>
          </cell>
          <cell r="E227">
            <v>1436</v>
          </cell>
          <cell r="F227">
            <v>4</v>
          </cell>
          <cell r="G227">
            <v>0.74</v>
          </cell>
          <cell r="H227">
            <v>307</v>
          </cell>
          <cell r="I227">
            <v>0</v>
          </cell>
          <cell r="J227">
            <v>0</v>
          </cell>
          <cell r="K227">
            <v>1326</v>
          </cell>
          <cell r="L227">
            <v>3</v>
          </cell>
          <cell r="M227">
            <v>0.6</v>
          </cell>
        </row>
        <row r="228">
          <cell r="A228" t="str">
            <v>YZ-BS-BS5119ZLXL5XL</v>
          </cell>
          <cell r="B228">
            <v>0</v>
          </cell>
          <cell r="C228">
            <v>0</v>
          </cell>
          <cell r="D228">
            <v>0</v>
          </cell>
          <cell r="E228">
            <v>2180</v>
          </cell>
          <cell r="F228">
            <v>12</v>
          </cell>
          <cell r="G228">
            <v>2.32</v>
          </cell>
          <cell r="H228">
            <v>648</v>
          </cell>
          <cell r="I228">
            <v>0</v>
          </cell>
          <cell r="J228">
            <v>0</v>
          </cell>
          <cell r="K228">
            <v>1240</v>
          </cell>
          <cell r="L228">
            <v>4</v>
          </cell>
          <cell r="M228">
            <v>1.05</v>
          </cell>
        </row>
        <row r="229">
          <cell r="A229" t="str">
            <v>YZ-BS-BS5119ZLXLXL</v>
          </cell>
          <cell r="B229">
            <v>0</v>
          </cell>
          <cell r="C229">
            <v>0</v>
          </cell>
          <cell r="D229">
            <v>0</v>
          </cell>
          <cell r="E229">
            <v>2244</v>
          </cell>
          <cell r="F229">
            <v>14</v>
          </cell>
          <cell r="G229">
            <v>3.36</v>
          </cell>
          <cell r="H229">
            <v>5124</v>
          </cell>
          <cell r="I229">
            <v>14</v>
          </cell>
          <cell r="J229">
            <v>2.91</v>
          </cell>
          <cell r="K229">
            <v>9275</v>
          </cell>
          <cell r="L229">
            <v>33</v>
          </cell>
          <cell r="M229">
            <v>6.85</v>
          </cell>
        </row>
        <row r="230">
          <cell r="A230" t="str">
            <v>YZ-BS-BShyl5119-YH-4XL</v>
          </cell>
          <cell r="B230">
            <v>0</v>
          </cell>
          <cell r="C230">
            <v>0</v>
          </cell>
          <cell r="D230">
            <v>0</v>
          </cell>
          <cell r="E230">
            <v>8686</v>
          </cell>
          <cell r="F230">
            <v>26</v>
          </cell>
          <cell r="G230">
            <v>4.58</v>
          </cell>
          <cell r="H230">
            <v>2735</v>
          </cell>
          <cell r="I230">
            <v>12</v>
          </cell>
          <cell r="J230">
            <v>2.68</v>
          </cell>
          <cell r="K230">
            <v>2311</v>
          </cell>
          <cell r="L230">
            <v>11</v>
          </cell>
          <cell r="M230">
            <v>2.38</v>
          </cell>
        </row>
        <row r="231">
          <cell r="A231" t="str">
            <v>YZ-BS-BShyl5119-YH-5XL</v>
          </cell>
          <cell r="B231">
            <v>0</v>
          </cell>
          <cell r="C231">
            <v>0</v>
          </cell>
          <cell r="D231">
            <v>0</v>
          </cell>
          <cell r="E231">
            <v>6442</v>
          </cell>
          <cell r="F231">
            <v>34</v>
          </cell>
          <cell r="G231">
            <v>6.82</v>
          </cell>
          <cell r="H231">
            <v>13900</v>
          </cell>
          <cell r="I231">
            <v>30</v>
          </cell>
          <cell r="J231">
            <v>6.1</v>
          </cell>
          <cell r="K231">
            <v>54672</v>
          </cell>
          <cell r="L231">
            <v>99</v>
          </cell>
          <cell r="M231">
            <v>20.71</v>
          </cell>
        </row>
        <row r="232">
          <cell r="A232" t="str">
            <v>YZ-BS-BShyl5119-YH-XL</v>
          </cell>
          <cell r="B232">
            <v>0</v>
          </cell>
          <cell r="C232">
            <v>0</v>
          </cell>
          <cell r="D232">
            <v>0</v>
          </cell>
          <cell r="E232">
            <v>3234</v>
          </cell>
          <cell r="F232">
            <v>12</v>
          </cell>
          <cell r="G232">
            <v>2.6</v>
          </cell>
          <cell r="H232">
            <v>1954</v>
          </cell>
          <cell r="I232">
            <v>15</v>
          </cell>
          <cell r="J232">
            <v>3.5</v>
          </cell>
          <cell r="K232">
            <v>155</v>
          </cell>
          <cell r="L232">
            <v>0</v>
          </cell>
          <cell r="M232">
            <v>0</v>
          </cell>
        </row>
        <row r="233">
          <cell r="A233" t="str">
            <v>YZ-BS-BShyl5119-YT-4XL</v>
          </cell>
          <cell r="B233">
            <v>0</v>
          </cell>
          <cell r="C233">
            <v>0</v>
          </cell>
          <cell r="D233">
            <v>0</v>
          </cell>
          <cell r="E233">
            <v>4536</v>
          </cell>
          <cell r="F233">
            <v>18</v>
          </cell>
          <cell r="G233">
            <v>3.88</v>
          </cell>
          <cell r="H233">
            <v>883</v>
          </cell>
          <cell r="I233">
            <v>6</v>
          </cell>
          <cell r="J233">
            <v>1.24</v>
          </cell>
          <cell r="K233">
            <v>0</v>
          </cell>
          <cell r="L233">
            <v>0</v>
          </cell>
          <cell r="M233">
            <v>0</v>
          </cell>
        </row>
        <row r="234">
          <cell r="A234" t="str">
            <v>YZ-BS-BShyl5119-YT-XL</v>
          </cell>
          <cell r="B234">
            <v>0</v>
          </cell>
          <cell r="C234">
            <v>0</v>
          </cell>
          <cell r="D234">
            <v>0</v>
          </cell>
          <cell r="E234">
            <v>16648</v>
          </cell>
          <cell r="F234">
            <v>68</v>
          </cell>
          <cell r="G234">
            <v>15.1</v>
          </cell>
          <cell r="H234">
            <v>3970</v>
          </cell>
          <cell r="I234">
            <v>19</v>
          </cell>
          <cell r="J234">
            <v>3.99</v>
          </cell>
          <cell r="K234">
            <v>709</v>
          </cell>
          <cell r="L234">
            <v>11</v>
          </cell>
          <cell r="M234">
            <v>2.8</v>
          </cell>
        </row>
        <row r="235">
          <cell r="A235" t="str">
            <v>YZ-BS-BShyl5119K0L</v>
          </cell>
          <cell r="B235">
            <v>0</v>
          </cell>
          <cell r="C235">
            <v>0</v>
          </cell>
          <cell r="D235">
            <v>0</v>
          </cell>
          <cell r="E235">
            <v>22774</v>
          </cell>
          <cell r="F235">
            <v>130</v>
          </cell>
          <cell r="G235">
            <v>30.88</v>
          </cell>
          <cell r="H235">
            <v>4743</v>
          </cell>
          <cell r="I235">
            <v>26</v>
          </cell>
          <cell r="J235">
            <v>6.36</v>
          </cell>
          <cell r="K235">
            <v>7369</v>
          </cell>
          <cell r="L235">
            <v>79</v>
          </cell>
          <cell r="M235">
            <v>18.38</v>
          </cell>
        </row>
        <row r="236">
          <cell r="A236" t="str">
            <v>YZ-BS-BShyl5119K0M</v>
          </cell>
          <cell r="B236">
            <v>0</v>
          </cell>
          <cell r="C236">
            <v>0</v>
          </cell>
          <cell r="D236">
            <v>0</v>
          </cell>
          <cell r="E236">
            <v>3824</v>
          </cell>
          <cell r="F236">
            <v>32</v>
          </cell>
          <cell r="G236">
            <v>7.02</v>
          </cell>
          <cell r="H236">
            <v>3383</v>
          </cell>
          <cell r="I236">
            <v>29</v>
          </cell>
          <cell r="J236">
            <v>5.96</v>
          </cell>
          <cell r="K236">
            <v>7135</v>
          </cell>
          <cell r="L236">
            <v>55</v>
          </cell>
          <cell r="M236">
            <v>12.25</v>
          </cell>
        </row>
        <row r="237">
          <cell r="A237" t="str">
            <v>YZ-BS-BShyl5119K0XL</v>
          </cell>
          <cell r="B237">
            <v>0</v>
          </cell>
          <cell r="C237">
            <v>0</v>
          </cell>
          <cell r="D237">
            <v>0</v>
          </cell>
          <cell r="E237">
            <v>13960</v>
          </cell>
          <cell r="F237">
            <v>138</v>
          </cell>
          <cell r="G237">
            <v>35.08</v>
          </cell>
          <cell r="H237">
            <v>6218</v>
          </cell>
          <cell r="I237">
            <v>57</v>
          </cell>
          <cell r="J237">
            <v>13.34</v>
          </cell>
          <cell r="K237">
            <v>10761</v>
          </cell>
          <cell r="L237">
            <v>118</v>
          </cell>
          <cell r="M237">
            <v>26.39</v>
          </cell>
        </row>
        <row r="238">
          <cell r="A238" t="str">
            <v>BS-WH1731-P0-S</v>
          </cell>
          <cell r="B238">
            <v>0</v>
          </cell>
          <cell r="C238">
            <v>0</v>
          </cell>
          <cell r="D238">
            <v>0</v>
          </cell>
          <cell r="E238">
            <v>0</v>
          </cell>
          <cell r="F238">
            <v>0</v>
          </cell>
          <cell r="G238">
            <v>0</v>
          </cell>
          <cell r="H238">
            <v>108</v>
          </cell>
          <cell r="I238">
            <v>0</v>
          </cell>
          <cell r="J238">
            <v>0</v>
          </cell>
          <cell r="K238">
            <v>1428</v>
          </cell>
          <cell r="L238">
            <v>10</v>
          </cell>
          <cell r="M238">
            <v>1.8</v>
          </cell>
        </row>
        <row r="239">
          <cell r="A239" t="str">
            <v>CS-BESB032-BL-S</v>
          </cell>
          <cell r="B239">
            <v>0</v>
          </cell>
          <cell r="C239">
            <v>0</v>
          </cell>
          <cell r="D239">
            <v>0</v>
          </cell>
          <cell r="E239">
            <v>2</v>
          </cell>
          <cell r="F239">
            <v>0</v>
          </cell>
          <cell r="G239">
            <v>0</v>
          </cell>
          <cell r="H239">
            <v>5</v>
          </cell>
          <cell r="I239">
            <v>0</v>
          </cell>
          <cell r="J239">
            <v>0</v>
          </cell>
          <cell r="K239">
            <v>0</v>
          </cell>
          <cell r="L239">
            <v>0</v>
          </cell>
          <cell r="M239">
            <v>0</v>
          </cell>
        </row>
        <row r="240">
          <cell r="A240" t="str">
            <v>CS-BESB032-NB-S</v>
          </cell>
          <cell r="B240">
            <v>0</v>
          </cell>
          <cell r="C240">
            <v>0</v>
          </cell>
          <cell r="D240">
            <v>0</v>
          </cell>
          <cell r="E240">
            <v>2</v>
          </cell>
          <cell r="F240">
            <v>0</v>
          </cell>
          <cell r="G240">
            <v>0</v>
          </cell>
          <cell r="H240">
            <v>0</v>
          </cell>
          <cell r="I240">
            <v>0</v>
          </cell>
          <cell r="J240">
            <v>0</v>
          </cell>
          <cell r="K240">
            <v>0</v>
          </cell>
          <cell r="L240">
            <v>0</v>
          </cell>
          <cell r="M240">
            <v>0</v>
          </cell>
        </row>
        <row r="241">
          <cell r="A241" t="str">
            <v>CS-BESB032-RD-S</v>
          </cell>
          <cell r="B241">
            <v>0</v>
          </cell>
          <cell r="C241">
            <v>0</v>
          </cell>
          <cell r="D241">
            <v>0</v>
          </cell>
          <cell r="E241">
            <v>2</v>
          </cell>
          <cell r="F241">
            <v>0</v>
          </cell>
          <cell r="G241">
            <v>0</v>
          </cell>
          <cell r="H241">
            <v>0</v>
          </cell>
          <cell r="I241">
            <v>0</v>
          </cell>
          <cell r="J241">
            <v>0</v>
          </cell>
          <cell r="K241">
            <v>0</v>
          </cell>
          <cell r="L241">
            <v>0</v>
          </cell>
          <cell r="M241">
            <v>0</v>
          </cell>
        </row>
        <row r="242">
          <cell r="A242" t="str">
            <v>WQS-BN-1503-GR-2XL</v>
          </cell>
          <cell r="B242">
            <v>0</v>
          </cell>
          <cell r="C242">
            <v>0</v>
          </cell>
          <cell r="D242">
            <v>0</v>
          </cell>
          <cell r="E242">
            <v>24028</v>
          </cell>
          <cell r="F242">
            <v>78</v>
          </cell>
          <cell r="G242">
            <v>18.86</v>
          </cell>
          <cell r="H242">
            <v>6481</v>
          </cell>
          <cell r="I242">
            <v>35</v>
          </cell>
          <cell r="J242">
            <v>8.56</v>
          </cell>
          <cell r="K242">
            <v>1061</v>
          </cell>
          <cell r="L242">
            <v>6</v>
          </cell>
          <cell r="M242">
            <v>0.9</v>
          </cell>
        </row>
        <row r="243">
          <cell r="A243" t="str">
            <v>BS-WH1731-K0-L</v>
          </cell>
          <cell r="B243">
            <v>0</v>
          </cell>
          <cell r="C243">
            <v>0</v>
          </cell>
          <cell r="D243">
            <v>0</v>
          </cell>
          <cell r="E243">
            <v>8310</v>
          </cell>
          <cell r="F243">
            <v>80</v>
          </cell>
          <cell r="G243">
            <v>12.24</v>
          </cell>
          <cell r="H243">
            <v>1732</v>
          </cell>
          <cell r="I243">
            <v>27</v>
          </cell>
          <cell r="J243">
            <v>4.05</v>
          </cell>
          <cell r="K243">
            <v>145</v>
          </cell>
          <cell r="L243">
            <v>1</v>
          </cell>
          <cell r="M243">
            <v>0.06</v>
          </cell>
        </row>
        <row r="244">
          <cell r="A244" t="str">
            <v>BS-WH1731-K0-M</v>
          </cell>
          <cell r="B244">
            <v>0</v>
          </cell>
          <cell r="C244">
            <v>0</v>
          </cell>
          <cell r="D244">
            <v>0</v>
          </cell>
          <cell r="E244">
            <v>0</v>
          </cell>
          <cell r="F244">
            <v>0</v>
          </cell>
          <cell r="G244">
            <v>0</v>
          </cell>
          <cell r="H244">
            <v>240</v>
          </cell>
          <cell r="I244">
            <v>0</v>
          </cell>
          <cell r="J244">
            <v>0</v>
          </cell>
          <cell r="K244">
            <v>1438</v>
          </cell>
          <cell r="L244">
            <v>9</v>
          </cell>
          <cell r="M244">
            <v>1.11</v>
          </cell>
        </row>
        <row r="245">
          <cell r="A245" t="str">
            <v>BS-WH1731-K0-XL</v>
          </cell>
          <cell r="B245">
            <v>0</v>
          </cell>
          <cell r="C245">
            <v>0</v>
          </cell>
          <cell r="D245">
            <v>0</v>
          </cell>
          <cell r="E245">
            <v>0</v>
          </cell>
          <cell r="F245">
            <v>0</v>
          </cell>
          <cell r="G245">
            <v>0</v>
          </cell>
          <cell r="H245">
            <v>0</v>
          </cell>
          <cell r="I245">
            <v>0</v>
          </cell>
          <cell r="J245">
            <v>0</v>
          </cell>
          <cell r="K245">
            <v>813</v>
          </cell>
          <cell r="L245">
            <v>10</v>
          </cell>
          <cell r="M245">
            <v>1.19</v>
          </cell>
        </row>
        <row r="246">
          <cell r="A246" t="str">
            <v>BS-WH1731-K0-XXL</v>
          </cell>
          <cell r="B246">
            <v>0</v>
          </cell>
          <cell r="C246">
            <v>0</v>
          </cell>
          <cell r="D246">
            <v>0</v>
          </cell>
          <cell r="E246">
            <v>0</v>
          </cell>
          <cell r="F246">
            <v>0</v>
          </cell>
          <cell r="G246">
            <v>0</v>
          </cell>
          <cell r="H246">
            <v>48</v>
          </cell>
          <cell r="I246">
            <v>0</v>
          </cell>
          <cell r="J246">
            <v>0</v>
          </cell>
          <cell r="K246">
            <v>313</v>
          </cell>
          <cell r="L246">
            <v>3</v>
          </cell>
          <cell r="M246">
            <v>0.43</v>
          </cell>
        </row>
        <row r="247">
          <cell r="A247" t="str">
            <v>BS-WH1731-P0-L</v>
          </cell>
          <cell r="B247">
            <v>0</v>
          </cell>
          <cell r="C247">
            <v>0</v>
          </cell>
          <cell r="D247">
            <v>0</v>
          </cell>
          <cell r="E247">
            <v>4520</v>
          </cell>
          <cell r="F247">
            <v>10</v>
          </cell>
          <cell r="G247">
            <v>1.62</v>
          </cell>
          <cell r="H247">
            <v>1941</v>
          </cell>
          <cell r="I247">
            <v>8</v>
          </cell>
          <cell r="J247">
            <v>0.96</v>
          </cell>
          <cell r="K247">
            <v>1463</v>
          </cell>
          <cell r="L247">
            <v>3</v>
          </cell>
          <cell r="M247">
            <v>0.5</v>
          </cell>
        </row>
        <row r="248">
          <cell r="A248" t="str">
            <v>BS-WH1731-P0-XL</v>
          </cell>
          <cell r="B248">
            <v>0</v>
          </cell>
          <cell r="C248">
            <v>0</v>
          </cell>
          <cell r="D248">
            <v>0</v>
          </cell>
          <cell r="E248">
            <v>0</v>
          </cell>
          <cell r="F248">
            <v>0</v>
          </cell>
          <cell r="G248">
            <v>0</v>
          </cell>
          <cell r="H248">
            <v>21</v>
          </cell>
          <cell r="I248">
            <v>0</v>
          </cell>
          <cell r="J248">
            <v>0</v>
          </cell>
          <cell r="K248">
            <v>34</v>
          </cell>
          <cell r="L248">
            <v>0</v>
          </cell>
          <cell r="M248">
            <v>0</v>
          </cell>
        </row>
        <row r="249">
          <cell r="A249" t="str">
            <v>BS-WH1731-P0-XXL</v>
          </cell>
          <cell r="B249">
            <v>0</v>
          </cell>
          <cell r="C249">
            <v>0</v>
          </cell>
          <cell r="D249">
            <v>0</v>
          </cell>
          <cell r="E249">
            <v>0</v>
          </cell>
          <cell r="F249">
            <v>0</v>
          </cell>
          <cell r="G249">
            <v>0</v>
          </cell>
          <cell r="H249">
            <v>82</v>
          </cell>
          <cell r="I249">
            <v>0</v>
          </cell>
          <cell r="J249">
            <v>0</v>
          </cell>
          <cell r="K249">
            <v>369</v>
          </cell>
          <cell r="L249">
            <v>1</v>
          </cell>
          <cell r="M249">
            <v>0.2</v>
          </cell>
        </row>
        <row r="250">
          <cell r="A250" t="str">
            <v>BS-WH1731-R0-L</v>
          </cell>
          <cell r="B250">
            <v>0</v>
          </cell>
          <cell r="C250">
            <v>0</v>
          </cell>
          <cell r="D250">
            <v>0</v>
          </cell>
          <cell r="E250">
            <v>0</v>
          </cell>
          <cell r="F250">
            <v>0</v>
          </cell>
          <cell r="G250">
            <v>0</v>
          </cell>
          <cell r="H250">
            <v>50</v>
          </cell>
          <cell r="I250">
            <v>0</v>
          </cell>
          <cell r="J250">
            <v>0</v>
          </cell>
          <cell r="K250">
            <v>781</v>
          </cell>
          <cell r="L250">
            <v>8</v>
          </cell>
          <cell r="M250">
            <v>0.81</v>
          </cell>
        </row>
        <row r="251">
          <cell r="A251" t="str">
            <v>BS-WH1731-R0-M</v>
          </cell>
          <cell r="B251">
            <v>0</v>
          </cell>
          <cell r="C251">
            <v>0</v>
          </cell>
          <cell r="D251">
            <v>0</v>
          </cell>
          <cell r="E251">
            <v>0</v>
          </cell>
          <cell r="F251">
            <v>0</v>
          </cell>
          <cell r="G251">
            <v>0</v>
          </cell>
          <cell r="H251">
            <v>99</v>
          </cell>
          <cell r="I251">
            <v>0</v>
          </cell>
          <cell r="J251">
            <v>0</v>
          </cell>
          <cell r="K251">
            <v>741</v>
          </cell>
          <cell r="L251">
            <v>1</v>
          </cell>
          <cell r="M251">
            <v>0.19</v>
          </cell>
        </row>
        <row r="252">
          <cell r="A252" t="str">
            <v>BS-WH1731-R0-XL</v>
          </cell>
          <cell r="B252">
            <v>0</v>
          </cell>
          <cell r="C252">
            <v>0</v>
          </cell>
          <cell r="D252">
            <v>0</v>
          </cell>
          <cell r="E252">
            <v>38862</v>
          </cell>
          <cell r="F252">
            <v>552</v>
          </cell>
          <cell r="G252">
            <v>83.48</v>
          </cell>
          <cell r="H252">
            <v>10204</v>
          </cell>
          <cell r="I252">
            <v>56</v>
          </cell>
          <cell r="J252">
            <v>6.7</v>
          </cell>
          <cell r="K252">
            <v>1753</v>
          </cell>
          <cell r="L252">
            <v>13</v>
          </cell>
          <cell r="M252">
            <v>0.93</v>
          </cell>
        </row>
        <row r="253">
          <cell r="A253" t="str">
            <v>BS-WH1731-R0-XXL</v>
          </cell>
          <cell r="B253">
            <v>0</v>
          </cell>
          <cell r="C253">
            <v>0</v>
          </cell>
          <cell r="D253">
            <v>0</v>
          </cell>
          <cell r="E253">
            <v>0</v>
          </cell>
          <cell r="F253">
            <v>0</v>
          </cell>
          <cell r="G253">
            <v>0</v>
          </cell>
          <cell r="H253">
            <v>1464</v>
          </cell>
          <cell r="I253">
            <v>18</v>
          </cell>
          <cell r="J253">
            <v>2.58</v>
          </cell>
          <cell r="K253">
            <v>361</v>
          </cell>
          <cell r="L253">
            <v>2</v>
          </cell>
          <cell r="M253">
            <v>0.31</v>
          </cell>
        </row>
        <row r="254">
          <cell r="A254" t="str">
            <v>BS-WH1731-R0-S</v>
          </cell>
          <cell r="B254">
            <v>0</v>
          </cell>
          <cell r="C254">
            <v>0</v>
          </cell>
          <cell r="D254">
            <v>0</v>
          </cell>
          <cell r="E254">
            <v>106946</v>
          </cell>
          <cell r="F254">
            <v>834</v>
          </cell>
          <cell r="G254">
            <v>129.26</v>
          </cell>
          <cell r="H254">
            <v>24731</v>
          </cell>
          <cell r="I254">
            <v>263</v>
          </cell>
          <cell r="J254">
            <v>43.23</v>
          </cell>
          <cell r="K254">
            <v>30104</v>
          </cell>
          <cell r="L254">
            <v>465</v>
          </cell>
          <cell r="M254">
            <v>67.88</v>
          </cell>
        </row>
        <row r="255">
          <cell r="A255" t="str">
            <v>YZ-BS-HE9007Sa5L</v>
          </cell>
          <cell r="B255">
            <v>0</v>
          </cell>
          <cell r="C255">
            <v>0</v>
          </cell>
          <cell r="D255">
            <v>0</v>
          </cell>
          <cell r="E255">
            <v>2722</v>
          </cell>
          <cell r="F255">
            <v>10</v>
          </cell>
          <cell r="G255">
            <v>1.82</v>
          </cell>
          <cell r="H255">
            <v>495</v>
          </cell>
          <cell r="I255">
            <v>2</v>
          </cell>
          <cell r="J255">
            <v>0.43</v>
          </cell>
          <cell r="K255">
            <v>210</v>
          </cell>
          <cell r="L255">
            <v>2</v>
          </cell>
          <cell r="M255">
            <v>0.25</v>
          </cell>
        </row>
        <row r="256">
          <cell r="A256" t="str">
            <v>YZ-BEYF183-TW-M</v>
          </cell>
          <cell r="B256">
            <v>0</v>
          </cell>
          <cell r="C256">
            <v>0</v>
          </cell>
          <cell r="D256">
            <v>0</v>
          </cell>
          <cell r="E256">
            <v>290</v>
          </cell>
          <cell r="F256">
            <v>0</v>
          </cell>
          <cell r="G256">
            <v>0</v>
          </cell>
          <cell r="H256">
            <v>235</v>
          </cell>
          <cell r="I256">
            <v>0</v>
          </cell>
          <cell r="J256">
            <v>0</v>
          </cell>
          <cell r="K256">
            <v>394</v>
          </cell>
          <cell r="L256">
            <v>0</v>
          </cell>
          <cell r="M256">
            <v>0</v>
          </cell>
        </row>
        <row r="257">
          <cell r="A257" t="str">
            <v>RE-YZ-BELE001-W0-L</v>
          </cell>
          <cell r="B257">
            <v>0</v>
          </cell>
          <cell r="C257">
            <v>0</v>
          </cell>
          <cell r="D257">
            <v>0</v>
          </cell>
          <cell r="E257">
            <v>106194</v>
          </cell>
          <cell r="F257">
            <v>464</v>
          </cell>
          <cell r="G257">
            <v>87.58</v>
          </cell>
          <cell r="H257">
            <v>2737</v>
          </cell>
          <cell r="I257">
            <v>53</v>
          </cell>
          <cell r="J257">
            <v>11.07</v>
          </cell>
          <cell r="K257">
            <v>9947</v>
          </cell>
          <cell r="L257">
            <v>98</v>
          </cell>
          <cell r="M257">
            <v>21.59</v>
          </cell>
        </row>
        <row r="258">
          <cell r="A258" t="str">
            <v>RE-YZ-BELE001-W0-M</v>
          </cell>
          <cell r="B258">
            <v>0</v>
          </cell>
          <cell r="C258">
            <v>0</v>
          </cell>
          <cell r="D258">
            <v>0</v>
          </cell>
          <cell r="E258">
            <v>86826</v>
          </cell>
          <cell r="F258">
            <v>288</v>
          </cell>
          <cell r="G258">
            <v>46.7</v>
          </cell>
          <cell r="H258">
            <v>555</v>
          </cell>
          <cell r="I258">
            <v>6</v>
          </cell>
          <cell r="J258">
            <v>0.89</v>
          </cell>
          <cell r="K258">
            <v>813</v>
          </cell>
          <cell r="L258">
            <v>5</v>
          </cell>
          <cell r="M258">
            <v>0.82</v>
          </cell>
        </row>
        <row r="259">
          <cell r="A259" t="str">
            <v>RE-YZ-BELE001-W0-S</v>
          </cell>
          <cell r="B259">
            <v>0</v>
          </cell>
          <cell r="C259">
            <v>0</v>
          </cell>
          <cell r="D259">
            <v>0</v>
          </cell>
          <cell r="E259">
            <v>68784</v>
          </cell>
          <cell r="F259">
            <v>364</v>
          </cell>
          <cell r="G259">
            <v>65</v>
          </cell>
          <cell r="H259">
            <v>4131</v>
          </cell>
          <cell r="I259">
            <v>24</v>
          </cell>
          <cell r="J259">
            <v>3.96</v>
          </cell>
          <cell r="K259">
            <v>9791</v>
          </cell>
          <cell r="L259">
            <v>51</v>
          </cell>
          <cell r="M259">
            <v>9.69</v>
          </cell>
        </row>
        <row r="260">
          <cell r="A260" t="str">
            <v>RE-YZ-BELE001-W0-XL</v>
          </cell>
          <cell r="B260">
            <v>0</v>
          </cell>
          <cell r="C260">
            <v>0</v>
          </cell>
          <cell r="D260">
            <v>0</v>
          </cell>
          <cell r="E260">
            <v>0</v>
          </cell>
          <cell r="F260">
            <v>0</v>
          </cell>
          <cell r="G260">
            <v>0</v>
          </cell>
          <cell r="H260">
            <v>4856</v>
          </cell>
          <cell r="I260">
            <v>30</v>
          </cell>
          <cell r="J260">
            <v>5.76</v>
          </cell>
          <cell r="K260">
            <v>6926</v>
          </cell>
          <cell r="L260">
            <v>42</v>
          </cell>
          <cell r="M260">
            <v>7.3</v>
          </cell>
        </row>
        <row r="261">
          <cell r="A261" t="str">
            <v>RE-YZ-BELE001-W0-XS</v>
          </cell>
          <cell r="B261">
            <v>0</v>
          </cell>
          <cell r="C261">
            <v>0</v>
          </cell>
          <cell r="D261">
            <v>0</v>
          </cell>
          <cell r="E261">
            <v>6814</v>
          </cell>
          <cell r="F261">
            <v>142</v>
          </cell>
          <cell r="G261">
            <v>22.04</v>
          </cell>
          <cell r="H261">
            <v>1064</v>
          </cell>
          <cell r="I261">
            <v>22</v>
          </cell>
          <cell r="J261">
            <v>2.28</v>
          </cell>
          <cell r="K261">
            <v>64878</v>
          </cell>
          <cell r="L261">
            <v>260</v>
          </cell>
          <cell r="M261">
            <v>43.92</v>
          </cell>
        </row>
        <row r="262">
          <cell r="A262" t="str">
            <v>YZ-BEYF183-TW-S</v>
          </cell>
          <cell r="B262">
            <v>0</v>
          </cell>
          <cell r="C262">
            <v>0</v>
          </cell>
          <cell r="D262">
            <v>0</v>
          </cell>
          <cell r="E262">
            <v>674</v>
          </cell>
          <cell r="F262">
            <v>16</v>
          </cell>
          <cell r="G262">
            <v>3</v>
          </cell>
          <cell r="H262">
            <v>789</v>
          </cell>
          <cell r="I262">
            <v>24</v>
          </cell>
          <cell r="J262">
            <v>4.21</v>
          </cell>
          <cell r="K262">
            <v>1249</v>
          </cell>
          <cell r="L262">
            <v>18</v>
          </cell>
          <cell r="M262">
            <v>3.16</v>
          </cell>
        </row>
        <row r="263">
          <cell r="A263" t="str">
            <v>BS-WH17015-B0-XXXL</v>
          </cell>
          <cell r="B263">
            <v>0</v>
          </cell>
          <cell r="C263">
            <v>0</v>
          </cell>
          <cell r="D263">
            <v>0</v>
          </cell>
          <cell r="E263">
            <v>0</v>
          </cell>
          <cell r="F263">
            <v>0</v>
          </cell>
          <cell r="G263">
            <v>0</v>
          </cell>
          <cell r="H263">
            <v>0</v>
          </cell>
          <cell r="I263">
            <v>0</v>
          </cell>
          <cell r="J263">
            <v>0</v>
          </cell>
          <cell r="K263">
            <v>2</v>
          </cell>
          <cell r="L263">
            <v>0</v>
          </cell>
          <cell r="M263">
            <v>0</v>
          </cell>
        </row>
        <row r="264">
          <cell r="A264" t="str">
            <v>YZ-BETW32-PI-S</v>
          </cell>
          <cell r="B264">
            <v>0</v>
          </cell>
          <cell r="C264">
            <v>0</v>
          </cell>
          <cell r="D264">
            <v>0</v>
          </cell>
          <cell r="E264">
            <v>14148</v>
          </cell>
          <cell r="F264">
            <v>56</v>
          </cell>
          <cell r="G264">
            <v>7.48</v>
          </cell>
          <cell r="H264">
            <v>383</v>
          </cell>
          <cell r="I264">
            <v>10</v>
          </cell>
          <cell r="J264">
            <v>1.73</v>
          </cell>
          <cell r="K264">
            <v>193</v>
          </cell>
          <cell r="L264">
            <v>2</v>
          </cell>
          <cell r="M264">
            <v>0.28</v>
          </cell>
        </row>
        <row r="265">
          <cell r="A265" t="str">
            <v>YZ-BS-5505K0-XL</v>
          </cell>
          <cell r="B265">
            <v>0</v>
          </cell>
          <cell r="C265">
            <v>0</v>
          </cell>
          <cell r="D265">
            <v>0</v>
          </cell>
          <cell r="E265">
            <v>12080</v>
          </cell>
          <cell r="F265">
            <v>42</v>
          </cell>
          <cell r="G265">
            <v>9.28</v>
          </cell>
          <cell r="H265">
            <v>2265</v>
          </cell>
          <cell r="I265">
            <v>16</v>
          </cell>
          <cell r="J265">
            <v>3.52</v>
          </cell>
          <cell r="K265">
            <v>3671</v>
          </cell>
          <cell r="L265">
            <v>44</v>
          </cell>
          <cell r="M265">
            <v>9.7</v>
          </cell>
        </row>
        <row r="266">
          <cell r="A266" t="str">
            <v>YZ-BS-BShyl5119-YT-3XL</v>
          </cell>
          <cell r="B266">
            <v>0</v>
          </cell>
          <cell r="C266">
            <v>0</v>
          </cell>
          <cell r="D266">
            <v>0</v>
          </cell>
          <cell r="E266">
            <v>6610</v>
          </cell>
          <cell r="F266">
            <v>54</v>
          </cell>
          <cell r="G266">
            <v>13.4</v>
          </cell>
          <cell r="H266">
            <v>2766</v>
          </cell>
          <cell r="I266">
            <v>21</v>
          </cell>
          <cell r="J266">
            <v>4.76</v>
          </cell>
          <cell r="K266">
            <v>57</v>
          </cell>
          <cell r="L266">
            <v>0</v>
          </cell>
          <cell r="M266">
            <v>0</v>
          </cell>
        </row>
        <row r="267">
          <cell r="A267" t="str">
            <v>RE-YZ-BETW001-K0-S</v>
          </cell>
          <cell r="B267">
            <v>0</v>
          </cell>
          <cell r="C267">
            <v>0</v>
          </cell>
          <cell r="D267">
            <v>0</v>
          </cell>
          <cell r="E267">
            <v>0</v>
          </cell>
          <cell r="F267">
            <v>0</v>
          </cell>
          <cell r="G267">
            <v>0</v>
          </cell>
          <cell r="H267">
            <v>0</v>
          </cell>
          <cell r="I267">
            <v>0</v>
          </cell>
          <cell r="J267">
            <v>0</v>
          </cell>
          <cell r="K267">
            <v>2</v>
          </cell>
          <cell r="L267">
            <v>0</v>
          </cell>
          <cell r="M267">
            <v>0</v>
          </cell>
        </row>
        <row r="268">
          <cell r="A268" t="str">
            <v>RE-YZ-BETW001-K0-XS</v>
          </cell>
          <cell r="B268">
            <v>0</v>
          </cell>
          <cell r="C268">
            <v>0</v>
          </cell>
          <cell r="D268">
            <v>0</v>
          </cell>
          <cell r="E268">
            <v>19992</v>
          </cell>
          <cell r="F268">
            <v>110</v>
          </cell>
          <cell r="G268">
            <v>18.88</v>
          </cell>
          <cell r="H268">
            <v>572</v>
          </cell>
          <cell r="I268">
            <v>1</v>
          </cell>
          <cell r="J268">
            <v>0.3</v>
          </cell>
          <cell r="K268">
            <v>2874</v>
          </cell>
          <cell r="L268">
            <v>30</v>
          </cell>
          <cell r="M268">
            <v>5.39</v>
          </cell>
        </row>
        <row r="269">
          <cell r="A269" t="str">
            <v>RE-YZ-BEBD001-R0-L</v>
          </cell>
          <cell r="B269">
            <v>0</v>
          </cell>
          <cell r="C269">
            <v>0</v>
          </cell>
          <cell r="D269">
            <v>0</v>
          </cell>
          <cell r="E269">
            <v>33252</v>
          </cell>
          <cell r="F269">
            <v>122</v>
          </cell>
          <cell r="G269">
            <v>22.16</v>
          </cell>
          <cell r="H269">
            <v>2190</v>
          </cell>
          <cell r="I269">
            <v>12</v>
          </cell>
          <cell r="J269">
            <v>1.67</v>
          </cell>
          <cell r="K269">
            <v>3888</v>
          </cell>
          <cell r="L269">
            <v>20</v>
          </cell>
          <cell r="M269">
            <v>3.81</v>
          </cell>
        </row>
        <row r="270">
          <cell r="A270" t="str">
            <v>RE-YZ-BEBD001-R0-M</v>
          </cell>
          <cell r="B270">
            <v>0</v>
          </cell>
          <cell r="C270">
            <v>0</v>
          </cell>
          <cell r="D270">
            <v>0</v>
          </cell>
          <cell r="E270">
            <v>11594</v>
          </cell>
          <cell r="F270">
            <v>92</v>
          </cell>
          <cell r="G270">
            <v>20.16</v>
          </cell>
          <cell r="H270">
            <v>2023</v>
          </cell>
          <cell r="I270">
            <v>4</v>
          </cell>
          <cell r="J270">
            <v>0.54</v>
          </cell>
          <cell r="K270">
            <v>6259</v>
          </cell>
          <cell r="L270">
            <v>27</v>
          </cell>
          <cell r="M270">
            <v>5.2</v>
          </cell>
        </row>
        <row r="271">
          <cell r="A271" t="str">
            <v>RE-YZ-BEBD001-R0-S</v>
          </cell>
          <cell r="B271">
            <v>0</v>
          </cell>
          <cell r="C271">
            <v>0</v>
          </cell>
          <cell r="D271">
            <v>0</v>
          </cell>
          <cell r="E271">
            <v>3252</v>
          </cell>
          <cell r="F271">
            <v>6</v>
          </cell>
          <cell r="G271">
            <v>0.48</v>
          </cell>
          <cell r="H271">
            <v>1470</v>
          </cell>
          <cell r="I271">
            <v>6</v>
          </cell>
          <cell r="J271">
            <v>0.96</v>
          </cell>
          <cell r="K271">
            <v>3879</v>
          </cell>
          <cell r="L271">
            <v>12</v>
          </cell>
          <cell r="M271">
            <v>2.33</v>
          </cell>
        </row>
        <row r="272">
          <cell r="A272" t="str">
            <v>RE-YZ-BEBD001-R0-XL</v>
          </cell>
          <cell r="B272">
            <v>0</v>
          </cell>
          <cell r="C272">
            <v>0</v>
          </cell>
          <cell r="D272">
            <v>0</v>
          </cell>
          <cell r="E272">
            <v>0</v>
          </cell>
          <cell r="F272">
            <v>0</v>
          </cell>
          <cell r="G272">
            <v>0</v>
          </cell>
          <cell r="H272">
            <v>2509</v>
          </cell>
          <cell r="I272">
            <v>9</v>
          </cell>
          <cell r="J272">
            <v>1.79</v>
          </cell>
          <cell r="K272">
            <v>7583</v>
          </cell>
          <cell r="L272">
            <v>18</v>
          </cell>
          <cell r="M272">
            <v>3.62</v>
          </cell>
        </row>
        <row r="273">
          <cell r="A273" t="str">
            <v>RE-YZ-BEBD001-R0-XS</v>
          </cell>
          <cell r="B273">
            <v>0</v>
          </cell>
          <cell r="C273">
            <v>0</v>
          </cell>
          <cell r="D273">
            <v>0</v>
          </cell>
          <cell r="E273">
            <v>0</v>
          </cell>
          <cell r="F273">
            <v>0</v>
          </cell>
          <cell r="G273">
            <v>0</v>
          </cell>
          <cell r="H273">
            <v>828</v>
          </cell>
          <cell r="I273">
            <v>3</v>
          </cell>
          <cell r="J273">
            <v>0.51</v>
          </cell>
          <cell r="K273">
            <v>2657</v>
          </cell>
          <cell r="L273">
            <v>9</v>
          </cell>
          <cell r="M273">
            <v>1.7</v>
          </cell>
        </row>
        <row r="274">
          <cell r="A274" t="str">
            <v>CS-LY181-Sa911-M</v>
          </cell>
          <cell r="B274">
            <v>0</v>
          </cell>
          <cell r="C274">
            <v>0</v>
          </cell>
          <cell r="D274">
            <v>0</v>
          </cell>
          <cell r="E274">
            <v>922</v>
          </cell>
          <cell r="F274">
            <v>4</v>
          </cell>
          <cell r="G274">
            <v>1.12</v>
          </cell>
          <cell r="H274">
            <v>111</v>
          </cell>
          <cell r="I274">
            <v>0</v>
          </cell>
          <cell r="J274">
            <v>0</v>
          </cell>
          <cell r="K274">
            <v>0</v>
          </cell>
          <cell r="L274">
            <v>0</v>
          </cell>
          <cell r="M274">
            <v>0</v>
          </cell>
        </row>
        <row r="275">
          <cell r="A275" t="str">
            <v>YZ-BEYF182-R0-S</v>
          </cell>
          <cell r="B275">
            <v>0</v>
          </cell>
          <cell r="C275">
            <v>0</v>
          </cell>
          <cell r="D275">
            <v>0</v>
          </cell>
          <cell r="E275">
            <v>0</v>
          </cell>
          <cell r="F275">
            <v>0</v>
          </cell>
          <cell r="G275">
            <v>0</v>
          </cell>
          <cell r="H275">
            <v>3081</v>
          </cell>
          <cell r="I275">
            <v>69</v>
          </cell>
          <cell r="J275">
            <v>13.33</v>
          </cell>
          <cell r="K275">
            <v>0</v>
          </cell>
          <cell r="L275">
            <v>0</v>
          </cell>
          <cell r="M275">
            <v>0</v>
          </cell>
        </row>
        <row r="276">
          <cell r="A276" t="str">
            <v>BS-WH17015-C0-XXL</v>
          </cell>
          <cell r="B276">
            <v>0</v>
          </cell>
          <cell r="C276">
            <v>0</v>
          </cell>
          <cell r="D276">
            <v>0</v>
          </cell>
          <cell r="E276">
            <v>0</v>
          </cell>
          <cell r="F276">
            <v>0</v>
          </cell>
          <cell r="G276">
            <v>0</v>
          </cell>
          <cell r="H276">
            <v>4</v>
          </cell>
          <cell r="I276">
            <v>0</v>
          </cell>
          <cell r="J276">
            <v>0</v>
          </cell>
          <cell r="K276">
            <v>0</v>
          </cell>
          <cell r="L276">
            <v>0</v>
          </cell>
          <cell r="M276">
            <v>0</v>
          </cell>
        </row>
        <row r="277">
          <cell r="A277" t="str">
            <v>YZ-BETW32-BTW-S</v>
          </cell>
          <cell r="B277">
            <v>0</v>
          </cell>
          <cell r="C277">
            <v>0</v>
          </cell>
          <cell r="D277">
            <v>0</v>
          </cell>
          <cell r="E277">
            <v>17460</v>
          </cell>
          <cell r="F277">
            <v>90</v>
          </cell>
          <cell r="G277">
            <v>10.12</v>
          </cell>
          <cell r="H277">
            <v>29</v>
          </cell>
          <cell r="I277">
            <v>0</v>
          </cell>
          <cell r="J277">
            <v>0</v>
          </cell>
          <cell r="K277">
            <v>0</v>
          </cell>
          <cell r="L277">
            <v>0</v>
          </cell>
          <cell r="M277">
            <v>0</v>
          </cell>
        </row>
        <row r="278">
          <cell r="A278" t="str">
            <v>YZ-BS-PW2037-B0-S</v>
          </cell>
          <cell r="B278">
            <v>0</v>
          </cell>
          <cell r="C278">
            <v>0</v>
          </cell>
          <cell r="D278">
            <v>0</v>
          </cell>
          <cell r="E278">
            <v>6558</v>
          </cell>
          <cell r="F278">
            <v>46</v>
          </cell>
          <cell r="G278">
            <v>7.32</v>
          </cell>
          <cell r="H278">
            <v>605</v>
          </cell>
          <cell r="I278">
            <v>5</v>
          </cell>
          <cell r="J278">
            <v>0.78</v>
          </cell>
          <cell r="K278">
            <v>0</v>
          </cell>
          <cell r="L278">
            <v>0</v>
          </cell>
          <cell r="M278">
            <v>0</v>
          </cell>
        </row>
        <row r="279">
          <cell r="A279" t="str">
            <v>BS-WH17015-K0-M</v>
          </cell>
          <cell r="B279">
            <v>0</v>
          </cell>
          <cell r="C279">
            <v>0</v>
          </cell>
          <cell r="D279">
            <v>0</v>
          </cell>
          <cell r="E279">
            <v>6</v>
          </cell>
          <cell r="F279">
            <v>0</v>
          </cell>
          <cell r="G279">
            <v>0</v>
          </cell>
          <cell r="H279">
            <v>0</v>
          </cell>
          <cell r="I279">
            <v>0</v>
          </cell>
          <cell r="J279">
            <v>0</v>
          </cell>
          <cell r="K279">
            <v>0</v>
          </cell>
          <cell r="L279">
            <v>0</v>
          </cell>
          <cell r="M279">
            <v>0</v>
          </cell>
        </row>
        <row r="280">
          <cell r="A280" t="str">
            <v>BS-WHBH1704-K0-2XL</v>
          </cell>
          <cell r="B280">
            <v>0</v>
          </cell>
          <cell r="C280">
            <v>0</v>
          </cell>
          <cell r="D280">
            <v>0</v>
          </cell>
          <cell r="E280">
            <v>4</v>
          </cell>
          <cell r="F280">
            <v>2</v>
          </cell>
          <cell r="G280">
            <v>0.56</v>
          </cell>
          <cell r="H280">
            <v>0</v>
          </cell>
          <cell r="I280">
            <v>0</v>
          </cell>
          <cell r="J280">
            <v>0</v>
          </cell>
          <cell r="K280">
            <v>0</v>
          </cell>
          <cell r="L280">
            <v>0</v>
          </cell>
          <cell r="M280">
            <v>0</v>
          </cell>
        </row>
        <row r="281">
          <cell r="A281" t="str">
            <v>YZ-BS-PW2049-K0-XL</v>
          </cell>
          <cell r="B281">
            <v>0</v>
          </cell>
          <cell r="C281">
            <v>0</v>
          </cell>
          <cell r="D281">
            <v>0</v>
          </cell>
          <cell r="E281">
            <v>2</v>
          </cell>
          <cell r="F281">
            <v>0</v>
          </cell>
          <cell r="G281">
            <v>0</v>
          </cell>
          <cell r="H281">
            <v>0</v>
          </cell>
          <cell r="I281">
            <v>0</v>
          </cell>
          <cell r="J281">
            <v>0</v>
          </cell>
          <cell r="K281">
            <v>0</v>
          </cell>
          <cell r="L281">
            <v>0</v>
          </cell>
          <cell r="M281">
            <v>0</v>
          </cell>
        </row>
        <row r="282">
          <cell r="A282" t="str">
            <v>BS-WH17015-B0-L</v>
          </cell>
          <cell r="B282">
            <v>0</v>
          </cell>
          <cell r="C282">
            <v>0</v>
          </cell>
          <cell r="D282">
            <v>0</v>
          </cell>
          <cell r="E282">
            <v>4</v>
          </cell>
          <cell r="F282">
            <v>0</v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  <cell r="K282">
            <v>0</v>
          </cell>
          <cell r="L282">
            <v>0</v>
          </cell>
          <cell r="M282">
            <v>0</v>
          </cell>
        </row>
        <row r="283">
          <cell r="A283" t="str">
            <v>BS-WH17015-P0-L</v>
          </cell>
          <cell r="B283">
            <v>0</v>
          </cell>
          <cell r="C283">
            <v>0</v>
          </cell>
          <cell r="D283">
            <v>0</v>
          </cell>
          <cell r="E283">
            <v>10</v>
          </cell>
          <cell r="F283">
            <v>0</v>
          </cell>
          <cell r="G283">
            <v>0</v>
          </cell>
          <cell r="H283">
            <v>0</v>
          </cell>
          <cell r="I283">
            <v>0</v>
          </cell>
          <cell r="J283">
            <v>0</v>
          </cell>
          <cell r="K283">
            <v>0</v>
          </cell>
          <cell r="L283">
            <v>0</v>
          </cell>
          <cell r="M283">
            <v>0</v>
          </cell>
        </row>
        <row r="284">
          <cell r="A284" t="str">
            <v>YZ-BS-5505DaXS</v>
          </cell>
          <cell r="B284">
            <v>0</v>
          </cell>
          <cell r="C284">
            <v>0</v>
          </cell>
          <cell r="D284">
            <v>0</v>
          </cell>
          <cell r="E284">
            <v>2370</v>
          </cell>
          <cell r="F284">
            <v>34</v>
          </cell>
          <cell r="G284">
            <v>7.6</v>
          </cell>
          <cell r="H284">
            <v>0</v>
          </cell>
          <cell r="I284">
            <v>0</v>
          </cell>
          <cell r="J284">
            <v>0</v>
          </cell>
          <cell r="K284">
            <v>0</v>
          </cell>
          <cell r="L284">
            <v>0</v>
          </cell>
          <cell r="M284">
            <v>0</v>
          </cell>
        </row>
        <row r="285">
          <cell r="A285" t="str">
            <v>YZ-BS-5505LbM</v>
          </cell>
          <cell r="B285">
            <v>0</v>
          </cell>
          <cell r="C285">
            <v>0</v>
          </cell>
          <cell r="D285">
            <v>0</v>
          </cell>
          <cell r="E285">
            <v>1432</v>
          </cell>
          <cell r="F285">
            <v>4</v>
          </cell>
          <cell r="G285">
            <v>0.86</v>
          </cell>
          <cell r="H285">
            <v>0</v>
          </cell>
          <cell r="I285">
            <v>0</v>
          </cell>
          <cell r="J285">
            <v>0</v>
          </cell>
          <cell r="K285">
            <v>0</v>
          </cell>
          <cell r="L285">
            <v>0</v>
          </cell>
          <cell r="M285">
            <v>0</v>
          </cell>
        </row>
        <row r="286">
          <cell r="A286" t="str">
            <v>YZ-BE5129-G0-2XL</v>
          </cell>
          <cell r="B286">
            <v>0</v>
          </cell>
          <cell r="C286">
            <v>0</v>
          </cell>
          <cell r="D286">
            <v>0</v>
          </cell>
          <cell r="E286">
            <v>38</v>
          </cell>
          <cell r="F286">
            <v>0</v>
          </cell>
          <cell r="G286">
            <v>0</v>
          </cell>
          <cell r="H286">
            <v>0</v>
          </cell>
          <cell r="I286">
            <v>0</v>
          </cell>
          <cell r="J286">
            <v>0</v>
          </cell>
          <cell r="K286">
            <v>0</v>
          </cell>
          <cell r="L286">
            <v>0</v>
          </cell>
          <cell r="M286">
            <v>0</v>
          </cell>
        </row>
        <row r="287">
          <cell r="A287" t="str">
            <v>YZ-BE5129-G0-3XL</v>
          </cell>
          <cell r="B287">
            <v>0</v>
          </cell>
          <cell r="C287">
            <v>0</v>
          </cell>
          <cell r="D287">
            <v>0</v>
          </cell>
          <cell r="E287">
            <v>24</v>
          </cell>
          <cell r="F287">
            <v>0</v>
          </cell>
          <cell r="G287">
            <v>0</v>
          </cell>
          <cell r="H287">
            <v>0</v>
          </cell>
          <cell r="I287">
            <v>0</v>
          </cell>
          <cell r="J287">
            <v>0</v>
          </cell>
          <cell r="K287">
            <v>0</v>
          </cell>
          <cell r="L287">
            <v>0</v>
          </cell>
          <cell r="M287">
            <v>0</v>
          </cell>
        </row>
        <row r="288">
          <cell r="A288" t="str">
            <v>YZ-BE5129-G0-M</v>
          </cell>
          <cell r="B288">
            <v>0</v>
          </cell>
          <cell r="C288">
            <v>0</v>
          </cell>
          <cell r="D288">
            <v>0</v>
          </cell>
          <cell r="E288">
            <v>86</v>
          </cell>
          <cell r="F288">
            <v>0</v>
          </cell>
          <cell r="G288">
            <v>0</v>
          </cell>
          <cell r="H288">
            <v>0</v>
          </cell>
          <cell r="I288">
            <v>0</v>
          </cell>
          <cell r="J288">
            <v>0</v>
          </cell>
          <cell r="K288">
            <v>0</v>
          </cell>
          <cell r="L288">
            <v>0</v>
          </cell>
          <cell r="M288">
            <v>0</v>
          </cell>
        </row>
        <row r="289">
          <cell r="A289" t="str">
            <v>YZ-BE5129-G0-XL</v>
          </cell>
          <cell r="B289">
            <v>0</v>
          </cell>
          <cell r="C289">
            <v>0</v>
          </cell>
          <cell r="D289">
            <v>0</v>
          </cell>
          <cell r="E289">
            <v>72</v>
          </cell>
          <cell r="F289">
            <v>2</v>
          </cell>
          <cell r="G289">
            <v>0.34</v>
          </cell>
          <cell r="H289">
            <v>0</v>
          </cell>
          <cell r="I289">
            <v>0</v>
          </cell>
          <cell r="J289">
            <v>0</v>
          </cell>
          <cell r="K289">
            <v>0</v>
          </cell>
          <cell r="L289">
            <v>0</v>
          </cell>
          <cell r="M289">
            <v>0</v>
          </cell>
        </row>
        <row r="290">
          <cell r="A290" t="str">
            <v>YZ-BE5129-G0YH-2XL</v>
          </cell>
          <cell r="B290">
            <v>0</v>
          </cell>
          <cell r="C290">
            <v>0</v>
          </cell>
          <cell r="D290">
            <v>0</v>
          </cell>
          <cell r="E290">
            <v>50</v>
          </cell>
          <cell r="F290">
            <v>2</v>
          </cell>
          <cell r="G290">
            <v>0.18</v>
          </cell>
          <cell r="H290">
            <v>0</v>
          </cell>
          <cell r="I290">
            <v>0</v>
          </cell>
          <cell r="J290">
            <v>0</v>
          </cell>
          <cell r="K290">
            <v>0</v>
          </cell>
          <cell r="L290">
            <v>0</v>
          </cell>
          <cell r="M290">
            <v>0</v>
          </cell>
        </row>
        <row r="291">
          <cell r="A291" t="str">
            <v>YZ-BE5129-G0YH-3XL</v>
          </cell>
          <cell r="B291">
            <v>0</v>
          </cell>
          <cell r="C291">
            <v>0</v>
          </cell>
          <cell r="D291">
            <v>0</v>
          </cell>
          <cell r="E291">
            <v>36</v>
          </cell>
          <cell r="F291">
            <v>0</v>
          </cell>
          <cell r="G291">
            <v>0</v>
          </cell>
          <cell r="H291">
            <v>0</v>
          </cell>
          <cell r="I291">
            <v>0</v>
          </cell>
          <cell r="J291">
            <v>0</v>
          </cell>
          <cell r="K291">
            <v>0</v>
          </cell>
          <cell r="L291">
            <v>0</v>
          </cell>
          <cell r="M291">
            <v>0</v>
          </cell>
        </row>
        <row r="292">
          <cell r="A292" t="str">
            <v>YZ-BE5129-G0YH-L</v>
          </cell>
          <cell r="B292">
            <v>0</v>
          </cell>
          <cell r="C292">
            <v>0</v>
          </cell>
          <cell r="D292">
            <v>0</v>
          </cell>
          <cell r="E292">
            <v>96</v>
          </cell>
          <cell r="F292">
            <v>0</v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  <cell r="K292">
            <v>0</v>
          </cell>
          <cell r="L292">
            <v>0</v>
          </cell>
          <cell r="M292">
            <v>0</v>
          </cell>
        </row>
        <row r="293">
          <cell r="A293" t="str">
            <v>YZ-BE5129-G0YH-M</v>
          </cell>
          <cell r="B293">
            <v>0</v>
          </cell>
          <cell r="C293">
            <v>0</v>
          </cell>
          <cell r="D293">
            <v>0</v>
          </cell>
          <cell r="E293">
            <v>130</v>
          </cell>
          <cell r="F293">
            <v>0</v>
          </cell>
          <cell r="G293">
            <v>0</v>
          </cell>
          <cell r="H293">
            <v>0</v>
          </cell>
          <cell r="I293">
            <v>0</v>
          </cell>
          <cell r="J293">
            <v>0</v>
          </cell>
          <cell r="K293">
            <v>0</v>
          </cell>
          <cell r="L293">
            <v>0</v>
          </cell>
          <cell r="M293">
            <v>0</v>
          </cell>
        </row>
        <row r="294">
          <cell r="A294" t="str">
            <v>YZ-BE5129-G0YH-XL</v>
          </cell>
          <cell r="B294">
            <v>0</v>
          </cell>
          <cell r="C294">
            <v>0</v>
          </cell>
          <cell r="D294">
            <v>0</v>
          </cell>
          <cell r="E294">
            <v>58</v>
          </cell>
          <cell r="F294">
            <v>0</v>
          </cell>
          <cell r="G294">
            <v>0</v>
          </cell>
          <cell r="H294">
            <v>0</v>
          </cell>
          <cell r="I294">
            <v>0</v>
          </cell>
          <cell r="J294">
            <v>0</v>
          </cell>
          <cell r="K294">
            <v>0</v>
          </cell>
          <cell r="L294">
            <v>0</v>
          </cell>
          <cell r="M294">
            <v>0</v>
          </cell>
        </row>
        <row r="295">
          <cell r="A295" t="str">
            <v>YZ-BE5129-K0-3XL</v>
          </cell>
          <cell r="B295">
            <v>0</v>
          </cell>
          <cell r="C295">
            <v>0</v>
          </cell>
          <cell r="D295">
            <v>0</v>
          </cell>
          <cell r="E295">
            <v>38</v>
          </cell>
          <cell r="F295">
            <v>0</v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>
            <v>0</v>
          </cell>
          <cell r="L295">
            <v>0</v>
          </cell>
          <cell r="M295">
            <v>0</v>
          </cell>
        </row>
        <row r="296">
          <cell r="A296" t="str">
            <v>YZ-BE5129-K0-M</v>
          </cell>
          <cell r="B296">
            <v>0</v>
          </cell>
          <cell r="C296">
            <v>0</v>
          </cell>
          <cell r="D296">
            <v>0</v>
          </cell>
          <cell r="E296">
            <v>40</v>
          </cell>
          <cell r="F296">
            <v>0</v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  <cell r="K296">
            <v>0</v>
          </cell>
          <cell r="L296">
            <v>0</v>
          </cell>
          <cell r="M296">
            <v>0</v>
          </cell>
        </row>
        <row r="297">
          <cell r="A297" t="str">
            <v>YZ-BE5129-K0-XL</v>
          </cell>
          <cell r="B297">
            <v>0</v>
          </cell>
          <cell r="C297">
            <v>0</v>
          </cell>
          <cell r="D297">
            <v>0</v>
          </cell>
          <cell r="E297">
            <v>2</v>
          </cell>
          <cell r="F297">
            <v>0</v>
          </cell>
          <cell r="G297">
            <v>0</v>
          </cell>
          <cell r="H297">
            <v>0</v>
          </cell>
          <cell r="I297">
            <v>0</v>
          </cell>
          <cell r="J297">
            <v>0</v>
          </cell>
          <cell r="K297">
            <v>0</v>
          </cell>
          <cell r="L297">
            <v>0</v>
          </cell>
          <cell r="M297">
            <v>0</v>
          </cell>
        </row>
        <row r="298">
          <cell r="A298" t="str">
            <v>YZ-BE5129-K0YH-2XL</v>
          </cell>
          <cell r="B298">
            <v>0</v>
          </cell>
          <cell r="C298">
            <v>0</v>
          </cell>
          <cell r="D298">
            <v>0</v>
          </cell>
          <cell r="E298">
            <v>148</v>
          </cell>
          <cell r="F298">
            <v>0</v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  <cell r="K298">
            <v>0</v>
          </cell>
          <cell r="L298">
            <v>0</v>
          </cell>
          <cell r="M298">
            <v>0</v>
          </cell>
        </row>
        <row r="299">
          <cell r="A299" t="str">
            <v>YZ-BE5129-K0YH-3XL</v>
          </cell>
          <cell r="B299">
            <v>0</v>
          </cell>
          <cell r="C299">
            <v>0</v>
          </cell>
          <cell r="D299">
            <v>0</v>
          </cell>
          <cell r="E299">
            <v>28</v>
          </cell>
          <cell r="F299">
            <v>0</v>
          </cell>
          <cell r="G299">
            <v>0</v>
          </cell>
          <cell r="H299">
            <v>0</v>
          </cell>
          <cell r="I299">
            <v>0</v>
          </cell>
          <cell r="J299">
            <v>0</v>
          </cell>
          <cell r="K299">
            <v>0</v>
          </cell>
          <cell r="L299">
            <v>0</v>
          </cell>
          <cell r="M299">
            <v>0</v>
          </cell>
        </row>
        <row r="300">
          <cell r="A300" t="str">
            <v>YZ-BE5129-K0YH-L</v>
          </cell>
          <cell r="B300">
            <v>0</v>
          </cell>
          <cell r="C300">
            <v>0</v>
          </cell>
          <cell r="D300">
            <v>0</v>
          </cell>
          <cell r="E300">
            <v>100</v>
          </cell>
          <cell r="F300">
            <v>8</v>
          </cell>
          <cell r="G300">
            <v>0.92</v>
          </cell>
          <cell r="H300">
            <v>0</v>
          </cell>
          <cell r="I300">
            <v>0</v>
          </cell>
          <cell r="J300">
            <v>0</v>
          </cell>
          <cell r="K300">
            <v>0</v>
          </cell>
          <cell r="L300">
            <v>0</v>
          </cell>
          <cell r="M300">
            <v>0</v>
          </cell>
        </row>
        <row r="301">
          <cell r="A301" t="str">
            <v>RE-YZ-BEWS32-BD-2XL</v>
          </cell>
          <cell r="B301">
            <v>0</v>
          </cell>
          <cell r="C301">
            <v>0</v>
          </cell>
          <cell r="D301">
            <v>0</v>
          </cell>
          <cell r="E301">
            <v>32</v>
          </cell>
          <cell r="F301">
            <v>2</v>
          </cell>
          <cell r="G301">
            <v>0.26</v>
          </cell>
          <cell r="H301">
            <v>0</v>
          </cell>
          <cell r="I301">
            <v>0</v>
          </cell>
          <cell r="J301">
            <v>0</v>
          </cell>
          <cell r="K301">
            <v>0</v>
          </cell>
          <cell r="L301">
            <v>0</v>
          </cell>
          <cell r="M301">
            <v>0</v>
          </cell>
        </row>
        <row r="302">
          <cell r="A302" t="str">
            <v>RE-YZ-BEWS32-BD-L</v>
          </cell>
          <cell r="B302">
            <v>0</v>
          </cell>
          <cell r="C302">
            <v>0</v>
          </cell>
          <cell r="D302">
            <v>0</v>
          </cell>
          <cell r="E302">
            <v>16</v>
          </cell>
          <cell r="F302">
            <v>0</v>
          </cell>
          <cell r="G302">
            <v>0</v>
          </cell>
          <cell r="H302">
            <v>0</v>
          </cell>
          <cell r="I302">
            <v>0</v>
          </cell>
          <cell r="J302">
            <v>0</v>
          </cell>
          <cell r="K302">
            <v>0</v>
          </cell>
          <cell r="L302">
            <v>0</v>
          </cell>
          <cell r="M302">
            <v>0</v>
          </cell>
        </row>
        <row r="303">
          <cell r="A303" t="str">
            <v>RE-YZ-BEWS32-BD-M</v>
          </cell>
          <cell r="B303">
            <v>0</v>
          </cell>
          <cell r="C303">
            <v>0</v>
          </cell>
          <cell r="D303">
            <v>0</v>
          </cell>
          <cell r="E303">
            <v>152</v>
          </cell>
          <cell r="F303">
            <v>0</v>
          </cell>
          <cell r="G303">
            <v>0</v>
          </cell>
          <cell r="H303">
            <v>0</v>
          </cell>
          <cell r="I303">
            <v>0</v>
          </cell>
          <cell r="J303">
            <v>0</v>
          </cell>
          <cell r="K303">
            <v>0</v>
          </cell>
          <cell r="L303">
            <v>0</v>
          </cell>
          <cell r="M303">
            <v>0</v>
          </cell>
        </row>
        <row r="304">
          <cell r="A304" t="str">
            <v>RE-YZ-BEWS32-BD-S</v>
          </cell>
          <cell r="B304">
            <v>0</v>
          </cell>
          <cell r="C304">
            <v>0</v>
          </cell>
          <cell r="D304">
            <v>0</v>
          </cell>
          <cell r="E304">
            <v>26</v>
          </cell>
          <cell r="F304">
            <v>0</v>
          </cell>
          <cell r="G304">
            <v>0</v>
          </cell>
          <cell r="H304">
            <v>0</v>
          </cell>
          <cell r="I304">
            <v>0</v>
          </cell>
          <cell r="J304">
            <v>0</v>
          </cell>
          <cell r="K304">
            <v>0</v>
          </cell>
          <cell r="L304">
            <v>0</v>
          </cell>
          <cell r="M304">
            <v>0</v>
          </cell>
        </row>
        <row r="305">
          <cell r="A305" t="str">
            <v>RE-YZ-BEWS32-BD-XL</v>
          </cell>
          <cell r="B305">
            <v>0</v>
          </cell>
          <cell r="C305">
            <v>0</v>
          </cell>
          <cell r="D305">
            <v>0</v>
          </cell>
          <cell r="E305">
            <v>32</v>
          </cell>
          <cell r="F305">
            <v>0</v>
          </cell>
          <cell r="G305">
            <v>0</v>
          </cell>
          <cell r="H305">
            <v>0</v>
          </cell>
          <cell r="I305">
            <v>0</v>
          </cell>
          <cell r="J305">
            <v>0</v>
          </cell>
          <cell r="K305">
            <v>0</v>
          </cell>
          <cell r="L305">
            <v>0</v>
          </cell>
          <cell r="M305">
            <v>0</v>
          </cell>
        </row>
        <row r="306">
          <cell r="A306" t="str">
            <v>RE-YZ-BEWS32-K0-2XL</v>
          </cell>
          <cell r="B306">
            <v>0</v>
          </cell>
          <cell r="C306">
            <v>0</v>
          </cell>
          <cell r="D306">
            <v>0</v>
          </cell>
          <cell r="E306">
            <v>44</v>
          </cell>
          <cell r="F306">
            <v>2</v>
          </cell>
          <cell r="G306">
            <v>0.34</v>
          </cell>
          <cell r="H306">
            <v>0</v>
          </cell>
          <cell r="I306">
            <v>0</v>
          </cell>
          <cell r="J306">
            <v>0</v>
          </cell>
          <cell r="K306">
            <v>0</v>
          </cell>
          <cell r="L306">
            <v>0</v>
          </cell>
          <cell r="M306">
            <v>0</v>
          </cell>
        </row>
        <row r="307">
          <cell r="A307" t="str">
            <v>RE-YZ-BEWS32-K0-L</v>
          </cell>
          <cell r="B307">
            <v>0</v>
          </cell>
          <cell r="C307">
            <v>0</v>
          </cell>
          <cell r="D307">
            <v>0</v>
          </cell>
          <cell r="E307">
            <v>50</v>
          </cell>
          <cell r="F307">
            <v>2</v>
          </cell>
          <cell r="G307">
            <v>0.18</v>
          </cell>
          <cell r="H307">
            <v>0</v>
          </cell>
          <cell r="I307">
            <v>0</v>
          </cell>
          <cell r="J307">
            <v>0</v>
          </cell>
          <cell r="K307">
            <v>0</v>
          </cell>
          <cell r="L307">
            <v>0</v>
          </cell>
          <cell r="M307">
            <v>0</v>
          </cell>
        </row>
        <row r="308">
          <cell r="A308" t="str">
            <v>RE-YZ-BEWS32-K0-M</v>
          </cell>
          <cell r="B308">
            <v>0</v>
          </cell>
          <cell r="C308">
            <v>0</v>
          </cell>
          <cell r="D308">
            <v>0</v>
          </cell>
          <cell r="E308">
            <v>14</v>
          </cell>
          <cell r="F308">
            <v>0</v>
          </cell>
          <cell r="G308">
            <v>0</v>
          </cell>
          <cell r="H308">
            <v>0</v>
          </cell>
          <cell r="I308">
            <v>0</v>
          </cell>
          <cell r="J308">
            <v>0</v>
          </cell>
          <cell r="K308">
            <v>0</v>
          </cell>
          <cell r="L308">
            <v>0</v>
          </cell>
          <cell r="M308">
            <v>0</v>
          </cell>
        </row>
        <row r="309">
          <cell r="A309" t="str">
            <v>RE-YZ-BEWS32-K0-S</v>
          </cell>
          <cell r="B309">
            <v>0</v>
          </cell>
          <cell r="C309">
            <v>0</v>
          </cell>
          <cell r="D309">
            <v>0</v>
          </cell>
          <cell r="E309">
            <v>6</v>
          </cell>
          <cell r="F309">
            <v>0</v>
          </cell>
          <cell r="G309">
            <v>0</v>
          </cell>
          <cell r="H309">
            <v>0</v>
          </cell>
          <cell r="I309">
            <v>0</v>
          </cell>
          <cell r="J309">
            <v>0</v>
          </cell>
          <cell r="K309">
            <v>0</v>
          </cell>
          <cell r="L309">
            <v>0</v>
          </cell>
          <cell r="M309">
            <v>0</v>
          </cell>
        </row>
        <row r="310">
          <cell r="A310" t="str">
            <v>RE-YZ-BEWS32-K0-XL</v>
          </cell>
          <cell r="B310">
            <v>0</v>
          </cell>
          <cell r="C310">
            <v>0</v>
          </cell>
          <cell r="D310">
            <v>0</v>
          </cell>
          <cell r="E310">
            <v>36</v>
          </cell>
          <cell r="F310">
            <v>0</v>
          </cell>
          <cell r="G310">
            <v>0</v>
          </cell>
          <cell r="H310">
            <v>0</v>
          </cell>
          <cell r="I310">
            <v>0</v>
          </cell>
          <cell r="J310">
            <v>0</v>
          </cell>
          <cell r="K310">
            <v>0</v>
          </cell>
          <cell r="L310">
            <v>0</v>
          </cell>
          <cell r="M310">
            <v>0</v>
          </cell>
        </row>
        <row r="311">
          <cell r="A311" t="str">
            <v>RE-YZ-BEWS32-ZL-2XL</v>
          </cell>
          <cell r="B311">
            <v>0</v>
          </cell>
          <cell r="C311">
            <v>0</v>
          </cell>
          <cell r="D311">
            <v>0</v>
          </cell>
          <cell r="E311">
            <v>44</v>
          </cell>
          <cell r="F311">
            <v>0</v>
          </cell>
          <cell r="G311">
            <v>0</v>
          </cell>
          <cell r="H311">
            <v>0</v>
          </cell>
          <cell r="I311">
            <v>0</v>
          </cell>
          <cell r="J311">
            <v>0</v>
          </cell>
          <cell r="K311">
            <v>0</v>
          </cell>
          <cell r="L311">
            <v>0</v>
          </cell>
          <cell r="M311">
            <v>0</v>
          </cell>
        </row>
        <row r="312">
          <cell r="A312" t="str">
            <v>RE-YZ-BEWS32-ZL-L</v>
          </cell>
          <cell r="B312">
            <v>0</v>
          </cell>
          <cell r="C312">
            <v>0</v>
          </cell>
          <cell r="D312">
            <v>0</v>
          </cell>
          <cell r="E312">
            <v>8</v>
          </cell>
          <cell r="F312">
            <v>2</v>
          </cell>
          <cell r="G312">
            <v>0.26</v>
          </cell>
          <cell r="H312">
            <v>0</v>
          </cell>
          <cell r="I312">
            <v>0</v>
          </cell>
          <cell r="J312">
            <v>0</v>
          </cell>
          <cell r="K312">
            <v>0</v>
          </cell>
          <cell r="L312">
            <v>0</v>
          </cell>
          <cell r="M312">
            <v>0</v>
          </cell>
        </row>
        <row r="313">
          <cell r="A313" t="str">
            <v>RE-YZ-BEWS32-ZL-M</v>
          </cell>
          <cell r="B313">
            <v>0</v>
          </cell>
          <cell r="C313">
            <v>0</v>
          </cell>
          <cell r="D313">
            <v>0</v>
          </cell>
          <cell r="E313">
            <v>2</v>
          </cell>
          <cell r="F313">
            <v>0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>
            <v>0</v>
          </cell>
          <cell r="L313">
            <v>0</v>
          </cell>
          <cell r="M313">
            <v>0</v>
          </cell>
        </row>
        <row r="314">
          <cell r="A314" t="str">
            <v>RE-YZ-BEWS32-ZL-S</v>
          </cell>
          <cell r="B314">
            <v>0</v>
          </cell>
          <cell r="C314">
            <v>0</v>
          </cell>
          <cell r="D314">
            <v>0</v>
          </cell>
          <cell r="E314">
            <v>30</v>
          </cell>
          <cell r="F314">
            <v>0</v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  <cell r="K314">
            <v>0</v>
          </cell>
          <cell r="L314">
            <v>0</v>
          </cell>
          <cell r="M314">
            <v>0</v>
          </cell>
        </row>
        <row r="315">
          <cell r="A315" t="str">
            <v>RE-YZ-BEWS32-ZL-XL</v>
          </cell>
          <cell r="B315">
            <v>0</v>
          </cell>
          <cell r="C315">
            <v>0</v>
          </cell>
          <cell r="D315">
            <v>0</v>
          </cell>
          <cell r="E315">
            <v>14</v>
          </cell>
          <cell r="F315">
            <v>0</v>
          </cell>
          <cell r="G315">
            <v>0</v>
          </cell>
          <cell r="H315">
            <v>0</v>
          </cell>
          <cell r="I315">
            <v>0</v>
          </cell>
          <cell r="J315">
            <v>0</v>
          </cell>
          <cell r="K315">
            <v>0</v>
          </cell>
          <cell r="L315">
            <v>0</v>
          </cell>
          <cell r="M315">
            <v>0</v>
          </cell>
        </row>
        <row r="316">
          <cell r="A316" t="str">
            <v>YZ-BE5129-K0YH-M</v>
          </cell>
          <cell r="B316">
            <v>0</v>
          </cell>
          <cell r="C316">
            <v>0</v>
          </cell>
          <cell r="D316">
            <v>0</v>
          </cell>
          <cell r="E316">
            <v>96</v>
          </cell>
          <cell r="F316">
            <v>0</v>
          </cell>
          <cell r="G316">
            <v>0</v>
          </cell>
          <cell r="H316">
            <v>0</v>
          </cell>
          <cell r="I316">
            <v>0</v>
          </cell>
          <cell r="J316">
            <v>0</v>
          </cell>
          <cell r="K316">
            <v>0</v>
          </cell>
          <cell r="L316">
            <v>0</v>
          </cell>
          <cell r="M316">
            <v>0</v>
          </cell>
        </row>
        <row r="317">
          <cell r="A317" t="str">
            <v>YZ-BE5129-K0YH-XL</v>
          </cell>
          <cell r="B317">
            <v>0</v>
          </cell>
          <cell r="C317">
            <v>0</v>
          </cell>
          <cell r="D317">
            <v>0</v>
          </cell>
          <cell r="E317">
            <v>102</v>
          </cell>
          <cell r="F317">
            <v>0</v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>
            <v>0</v>
          </cell>
          <cell r="L317">
            <v>0</v>
          </cell>
          <cell r="M317">
            <v>0</v>
          </cell>
        </row>
        <row r="318">
          <cell r="A318" t="str">
            <v>YZ-BE5129-ZLYH-2XL</v>
          </cell>
          <cell r="B318">
            <v>0</v>
          </cell>
          <cell r="C318">
            <v>0</v>
          </cell>
          <cell r="D318">
            <v>0</v>
          </cell>
          <cell r="E318">
            <v>50</v>
          </cell>
          <cell r="F318">
            <v>6</v>
          </cell>
          <cell r="G318">
            <v>0.64</v>
          </cell>
          <cell r="H318">
            <v>0</v>
          </cell>
          <cell r="I318">
            <v>0</v>
          </cell>
          <cell r="J318">
            <v>0</v>
          </cell>
          <cell r="K318">
            <v>0</v>
          </cell>
          <cell r="L318">
            <v>0</v>
          </cell>
          <cell r="M318">
            <v>0</v>
          </cell>
        </row>
        <row r="319">
          <cell r="A319" t="str">
            <v>YZ-BE5129-ZLYH-3XL</v>
          </cell>
          <cell r="B319">
            <v>0</v>
          </cell>
          <cell r="C319">
            <v>0</v>
          </cell>
          <cell r="D319">
            <v>0</v>
          </cell>
          <cell r="E319">
            <v>116</v>
          </cell>
          <cell r="F319">
            <v>0</v>
          </cell>
          <cell r="G319">
            <v>0</v>
          </cell>
          <cell r="H319">
            <v>0</v>
          </cell>
          <cell r="I319">
            <v>0</v>
          </cell>
          <cell r="J319">
            <v>0</v>
          </cell>
          <cell r="K319">
            <v>0</v>
          </cell>
          <cell r="L319">
            <v>0</v>
          </cell>
          <cell r="M319">
            <v>0</v>
          </cell>
        </row>
        <row r="320">
          <cell r="A320" t="str">
            <v>YZ-BE5129-ZLYH-M</v>
          </cell>
          <cell r="B320">
            <v>0</v>
          </cell>
          <cell r="C320">
            <v>0</v>
          </cell>
          <cell r="D320">
            <v>0</v>
          </cell>
          <cell r="E320">
            <v>42</v>
          </cell>
          <cell r="F320">
            <v>0</v>
          </cell>
          <cell r="G320">
            <v>0</v>
          </cell>
          <cell r="H320">
            <v>0</v>
          </cell>
          <cell r="I320">
            <v>0</v>
          </cell>
          <cell r="J320">
            <v>0</v>
          </cell>
          <cell r="K320">
            <v>0</v>
          </cell>
          <cell r="L320">
            <v>0</v>
          </cell>
          <cell r="M320">
            <v>0</v>
          </cell>
        </row>
        <row r="321">
          <cell r="A321" t="str">
            <v>YZ-BE5129-ZLYH-XL</v>
          </cell>
          <cell r="B321">
            <v>0</v>
          </cell>
          <cell r="C321">
            <v>0</v>
          </cell>
          <cell r="D321">
            <v>0</v>
          </cell>
          <cell r="E321">
            <v>36</v>
          </cell>
          <cell r="F321">
            <v>0</v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>
            <v>0</v>
          </cell>
          <cell r="L321">
            <v>0</v>
          </cell>
          <cell r="M321">
            <v>0</v>
          </cell>
        </row>
      </sheetData>
      <sheetData sheetId="2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广告周报表"/>
      <sheetName val="库存使用数据"/>
      <sheetName val="time"/>
    </sheetNames>
    <sheetDataSet>
      <sheetData sheetId="0"/>
      <sheetData sheetId="1">
        <row r="1">
          <cell r="B1" t="str">
            <v>一周</v>
          </cell>
        </row>
        <row r="1">
          <cell r="E1" t="str">
            <v>二周</v>
          </cell>
        </row>
        <row r="1">
          <cell r="H1" t="str">
            <v>三周</v>
          </cell>
        </row>
        <row r="1">
          <cell r="K1" t="str">
            <v>四周</v>
          </cell>
        </row>
        <row r="2">
          <cell r="A2" t="str">
            <v>广告ASIN</v>
          </cell>
          <cell r="B2" t="str">
            <v>曝光量</v>
          </cell>
          <cell r="C2" t="str">
            <v>点击量</v>
          </cell>
          <cell r="D2" t="str">
            <v>广告费</v>
          </cell>
          <cell r="E2" t="str">
            <v>曝光量</v>
          </cell>
          <cell r="F2" t="str">
            <v>点击量</v>
          </cell>
          <cell r="G2" t="str">
            <v>广告费</v>
          </cell>
          <cell r="H2" t="str">
            <v>曝光量</v>
          </cell>
          <cell r="I2" t="str">
            <v>点击量</v>
          </cell>
          <cell r="J2" t="str">
            <v>广告费</v>
          </cell>
          <cell r="K2" t="str">
            <v>曝光量</v>
          </cell>
          <cell r="L2" t="str">
            <v>点击量</v>
          </cell>
          <cell r="M2" t="str">
            <v>广告费</v>
          </cell>
        </row>
        <row r="3">
          <cell r="A3" t="str">
            <v>LYQ-BS-ZQ2973-KQ-S</v>
          </cell>
          <cell r="B3">
            <v>0</v>
          </cell>
          <cell r="C3">
            <v>0</v>
          </cell>
          <cell r="D3">
            <v>0</v>
          </cell>
          <cell r="E3">
            <v>3147</v>
          </cell>
          <cell r="F3">
            <v>3</v>
          </cell>
          <cell r="G3">
            <v>0.19</v>
          </cell>
          <cell r="H3">
            <v>4306</v>
          </cell>
          <cell r="I3">
            <v>3</v>
          </cell>
          <cell r="J3">
            <v>0.13</v>
          </cell>
          <cell r="K3">
            <v>2969</v>
          </cell>
          <cell r="L3">
            <v>6</v>
          </cell>
          <cell r="M3">
            <v>0.26</v>
          </cell>
        </row>
        <row r="4">
          <cell r="A4" t="str">
            <v>LYQ-BS-ZQ2973-ZL-S</v>
          </cell>
          <cell r="B4">
            <v>0</v>
          </cell>
          <cell r="C4">
            <v>0</v>
          </cell>
          <cell r="D4">
            <v>0</v>
          </cell>
          <cell r="E4">
            <v>0</v>
          </cell>
          <cell r="F4">
            <v>0</v>
          </cell>
          <cell r="G4">
            <v>0</v>
          </cell>
          <cell r="H4">
            <v>0</v>
          </cell>
          <cell r="I4">
            <v>0</v>
          </cell>
          <cell r="J4">
            <v>0</v>
          </cell>
          <cell r="K4">
            <v>665</v>
          </cell>
          <cell r="L4">
            <v>1</v>
          </cell>
          <cell r="M4">
            <v>0.08</v>
          </cell>
        </row>
        <row r="5">
          <cell r="A5" t="str">
            <v>BS-WHC19-K0-S</v>
          </cell>
          <cell r="B5">
            <v>0</v>
          </cell>
          <cell r="C5">
            <v>0</v>
          </cell>
          <cell r="D5">
            <v>0</v>
          </cell>
          <cell r="E5">
            <v>0</v>
          </cell>
          <cell r="F5">
            <v>0</v>
          </cell>
          <cell r="G5">
            <v>0</v>
          </cell>
          <cell r="H5">
            <v>0</v>
          </cell>
          <cell r="I5">
            <v>0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</row>
        <row r="6">
          <cell r="A6" t="str">
            <v>BS-WHC19-P0-S</v>
          </cell>
          <cell r="B6">
            <v>0</v>
          </cell>
          <cell r="C6">
            <v>0</v>
          </cell>
          <cell r="D6">
            <v>0</v>
          </cell>
          <cell r="E6">
            <v>1127</v>
          </cell>
          <cell r="F6">
            <v>12</v>
          </cell>
          <cell r="G6">
            <v>1.01</v>
          </cell>
          <cell r="H6">
            <v>254</v>
          </cell>
          <cell r="I6">
            <v>5</v>
          </cell>
          <cell r="J6">
            <v>0.44</v>
          </cell>
          <cell r="K6">
            <v>247</v>
          </cell>
          <cell r="L6">
            <v>3</v>
          </cell>
          <cell r="M6">
            <v>0.11</v>
          </cell>
        </row>
        <row r="7">
          <cell r="A7" t="str">
            <v>BS-WHC19-R0-S</v>
          </cell>
          <cell r="B7">
            <v>0</v>
          </cell>
          <cell r="C7">
            <v>0</v>
          </cell>
          <cell r="D7">
            <v>0</v>
          </cell>
          <cell r="E7">
            <v>171</v>
          </cell>
          <cell r="F7">
            <v>0</v>
          </cell>
          <cell r="G7">
            <v>0</v>
          </cell>
          <cell r="H7">
            <v>162</v>
          </cell>
          <cell r="I7">
            <v>2</v>
          </cell>
          <cell r="J7">
            <v>0.22</v>
          </cell>
          <cell r="K7">
            <v>282</v>
          </cell>
          <cell r="L7">
            <v>1</v>
          </cell>
          <cell r="M7">
            <v>0.12</v>
          </cell>
        </row>
        <row r="8">
          <cell r="A8" t="str">
            <v>BS-WHC19-W0-S</v>
          </cell>
          <cell r="B8">
            <v>0</v>
          </cell>
          <cell r="C8">
            <v>0</v>
          </cell>
          <cell r="D8">
            <v>0</v>
          </cell>
          <cell r="E8">
            <v>481</v>
          </cell>
          <cell r="F8">
            <v>3</v>
          </cell>
          <cell r="G8">
            <v>0.21</v>
          </cell>
          <cell r="H8">
            <v>435</v>
          </cell>
          <cell r="I8">
            <v>9</v>
          </cell>
          <cell r="J8">
            <v>0.95</v>
          </cell>
          <cell r="K8">
            <v>246</v>
          </cell>
          <cell r="L8">
            <v>6</v>
          </cell>
          <cell r="M8">
            <v>0.48</v>
          </cell>
        </row>
        <row r="9">
          <cell r="A9" t="str">
            <v>BS-WH17015-C0-M</v>
          </cell>
          <cell r="B9">
            <v>0</v>
          </cell>
          <cell r="C9">
            <v>0</v>
          </cell>
          <cell r="D9">
            <v>0</v>
          </cell>
          <cell r="E9">
            <v>1507</v>
          </cell>
          <cell r="F9">
            <v>17</v>
          </cell>
          <cell r="G9">
            <v>2.23</v>
          </cell>
          <cell r="H9">
            <v>348</v>
          </cell>
          <cell r="I9">
            <v>3</v>
          </cell>
          <cell r="J9">
            <v>0.4</v>
          </cell>
          <cell r="K9">
            <v>412</v>
          </cell>
          <cell r="L9">
            <v>5</v>
          </cell>
          <cell r="M9">
            <v>0.73</v>
          </cell>
        </row>
        <row r="10">
          <cell r="A10" t="str">
            <v>BS-WH17015-K0-M</v>
          </cell>
          <cell r="B10">
            <v>0</v>
          </cell>
          <cell r="C10">
            <v>0</v>
          </cell>
          <cell r="D10">
            <v>0</v>
          </cell>
          <cell r="E10">
            <v>4428</v>
          </cell>
          <cell r="F10">
            <v>62</v>
          </cell>
          <cell r="G10">
            <v>7.14</v>
          </cell>
          <cell r="H10">
            <v>18130</v>
          </cell>
          <cell r="I10">
            <v>74</v>
          </cell>
          <cell r="J10">
            <v>9.49</v>
          </cell>
          <cell r="K10">
            <v>68065</v>
          </cell>
          <cell r="L10">
            <v>142</v>
          </cell>
          <cell r="M10">
            <v>15.93</v>
          </cell>
        </row>
        <row r="11">
          <cell r="A11" t="str">
            <v>BS-WH17015-P0-M</v>
          </cell>
          <cell r="B11">
            <v>0</v>
          </cell>
          <cell r="C11">
            <v>0</v>
          </cell>
          <cell r="D11">
            <v>0</v>
          </cell>
          <cell r="E11">
            <v>1158</v>
          </cell>
          <cell r="F11">
            <v>10</v>
          </cell>
          <cell r="G11">
            <v>1.47</v>
          </cell>
          <cell r="H11">
            <v>132</v>
          </cell>
          <cell r="I11">
            <v>2</v>
          </cell>
          <cell r="J11">
            <v>0.16</v>
          </cell>
          <cell r="K11">
            <v>79</v>
          </cell>
          <cell r="L11">
            <v>0</v>
          </cell>
          <cell r="M11">
            <v>0</v>
          </cell>
        </row>
        <row r="12">
          <cell r="A12" t="str">
            <v>BS-WH17015-ZL-M</v>
          </cell>
          <cell r="B12">
            <v>0</v>
          </cell>
          <cell r="C12">
            <v>0</v>
          </cell>
          <cell r="D12">
            <v>0</v>
          </cell>
          <cell r="E12">
            <v>25283</v>
          </cell>
          <cell r="F12">
            <v>127</v>
          </cell>
          <cell r="G12">
            <v>15.26</v>
          </cell>
          <cell r="H12">
            <v>24503</v>
          </cell>
          <cell r="I12">
            <v>125</v>
          </cell>
          <cell r="J12">
            <v>15.79</v>
          </cell>
          <cell r="K12">
            <v>4805</v>
          </cell>
          <cell r="L12">
            <v>79</v>
          </cell>
          <cell r="M12">
            <v>10.34</v>
          </cell>
        </row>
        <row r="13">
          <cell r="A13" t="str">
            <v>CS-LY084-H10-S</v>
          </cell>
          <cell r="B13">
            <v>0</v>
          </cell>
          <cell r="C13">
            <v>0</v>
          </cell>
          <cell r="D13">
            <v>0</v>
          </cell>
          <cell r="E13">
            <v>93</v>
          </cell>
          <cell r="F13">
            <v>0</v>
          </cell>
          <cell r="G13">
            <v>0</v>
          </cell>
          <cell r="H13">
            <v>54</v>
          </cell>
          <cell r="I13">
            <v>0</v>
          </cell>
          <cell r="J13">
            <v>0</v>
          </cell>
          <cell r="K13">
            <v>59</v>
          </cell>
          <cell r="L13">
            <v>1</v>
          </cell>
          <cell r="M13">
            <v>0.09</v>
          </cell>
        </row>
        <row r="14">
          <cell r="A14" t="str">
            <v>CS-LY084-H12-S</v>
          </cell>
          <cell r="B14">
            <v>0</v>
          </cell>
          <cell r="C14">
            <v>0</v>
          </cell>
          <cell r="D14">
            <v>0</v>
          </cell>
          <cell r="E14">
            <v>22</v>
          </cell>
          <cell r="F14">
            <v>0</v>
          </cell>
          <cell r="G14">
            <v>0</v>
          </cell>
          <cell r="H14">
            <v>50</v>
          </cell>
          <cell r="I14">
            <v>0</v>
          </cell>
          <cell r="J14">
            <v>0</v>
          </cell>
          <cell r="K14">
            <v>14</v>
          </cell>
          <cell r="L14">
            <v>0</v>
          </cell>
          <cell r="M14">
            <v>0</v>
          </cell>
        </row>
        <row r="15">
          <cell r="A15" t="str">
            <v>CS-LY084-H16-S</v>
          </cell>
          <cell r="B15">
            <v>0</v>
          </cell>
          <cell r="C15">
            <v>0</v>
          </cell>
          <cell r="D15">
            <v>0</v>
          </cell>
          <cell r="E15">
            <v>12</v>
          </cell>
          <cell r="F15">
            <v>0</v>
          </cell>
          <cell r="G15">
            <v>0</v>
          </cell>
          <cell r="H15">
            <v>7</v>
          </cell>
          <cell r="I15">
            <v>0</v>
          </cell>
          <cell r="J15">
            <v>0</v>
          </cell>
          <cell r="K15">
            <v>34</v>
          </cell>
          <cell r="L15">
            <v>0</v>
          </cell>
          <cell r="M15">
            <v>0</v>
          </cell>
        </row>
        <row r="16">
          <cell r="A16" t="str">
            <v>CS-LY181-WR917-S</v>
          </cell>
          <cell r="B16">
            <v>0</v>
          </cell>
          <cell r="C16">
            <v>0</v>
          </cell>
          <cell r="D16">
            <v>0</v>
          </cell>
          <cell r="E16">
            <v>1274</v>
          </cell>
          <cell r="F16">
            <v>3</v>
          </cell>
          <cell r="G16">
            <v>0.66</v>
          </cell>
          <cell r="H16">
            <v>960</v>
          </cell>
          <cell r="I16">
            <v>3</v>
          </cell>
          <cell r="J16">
            <v>0.59</v>
          </cell>
          <cell r="K16">
            <v>697</v>
          </cell>
          <cell r="L16">
            <v>6</v>
          </cell>
          <cell r="M16">
            <v>1.1</v>
          </cell>
        </row>
        <row r="17">
          <cell r="A17" t="str">
            <v>CS-LY170-G912-S</v>
          </cell>
          <cell r="B17">
            <v>0</v>
          </cell>
          <cell r="C17">
            <v>0</v>
          </cell>
          <cell r="D17">
            <v>0</v>
          </cell>
          <cell r="E17">
            <v>77</v>
          </cell>
          <cell r="F17">
            <v>1</v>
          </cell>
          <cell r="G17">
            <v>0.08</v>
          </cell>
          <cell r="H17">
            <v>46</v>
          </cell>
          <cell r="I17">
            <v>1</v>
          </cell>
          <cell r="J17">
            <v>0.1</v>
          </cell>
          <cell r="K17">
            <v>73</v>
          </cell>
          <cell r="L17">
            <v>0</v>
          </cell>
          <cell r="M17">
            <v>0</v>
          </cell>
        </row>
        <row r="18">
          <cell r="A18" t="str">
            <v>CS-LY170-PI908-S</v>
          </cell>
          <cell r="B18">
            <v>0</v>
          </cell>
          <cell r="C18">
            <v>0</v>
          </cell>
          <cell r="D18">
            <v>0</v>
          </cell>
          <cell r="E18">
            <v>143</v>
          </cell>
          <cell r="F18">
            <v>0</v>
          </cell>
          <cell r="G18">
            <v>0</v>
          </cell>
          <cell r="H18">
            <v>82</v>
          </cell>
          <cell r="I18">
            <v>1</v>
          </cell>
          <cell r="J18">
            <v>0.11</v>
          </cell>
          <cell r="K18">
            <v>197</v>
          </cell>
          <cell r="L18">
            <v>2</v>
          </cell>
          <cell r="M18">
            <v>0.15</v>
          </cell>
        </row>
        <row r="19">
          <cell r="A19" t="str">
            <v>CS-LY085-G912-S</v>
          </cell>
          <cell r="B19">
            <v>0</v>
          </cell>
          <cell r="C19">
            <v>0</v>
          </cell>
          <cell r="D19">
            <v>0</v>
          </cell>
          <cell r="E19">
            <v>263</v>
          </cell>
          <cell r="F19">
            <v>0</v>
          </cell>
          <cell r="G19">
            <v>0</v>
          </cell>
          <cell r="H19">
            <v>318</v>
          </cell>
          <cell r="I19">
            <v>1</v>
          </cell>
          <cell r="J19">
            <v>0.02</v>
          </cell>
          <cell r="K19">
            <v>1026</v>
          </cell>
          <cell r="L19">
            <v>1</v>
          </cell>
          <cell r="M19">
            <v>0.04</v>
          </cell>
        </row>
        <row r="20">
          <cell r="A20" t="str">
            <v>CS-LY085-ZL918-S</v>
          </cell>
          <cell r="B20">
            <v>0</v>
          </cell>
          <cell r="C20">
            <v>0</v>
          </cell>
          <cell r="D20">
            <v>0</v>
          </cell>
          <cell r="E20">
            <v>54</v>
          </cell>
          <cell r="F20">
            <v>0</v>
          </cell>
          <cell r="G20">
            <v>0</v>
          </cell>
          <cell r="H20">
            <v>40</v>
          </cell>
          <cell r="I20">
            <v>0</v>
          </cell>
          <cell r="J20">
            <v>0</v>
          </cell>
          <cell r="K20">
            <v>61</v>
          </cell>
          <cell r="L20">
            <v>0</v>
          </cell>
          <cell r="M20">
            <v>0</v>
          </cell>
        </row>
        <row r="21">
          <cell r="A21" t="str">
            <v>YZ-BS-1580-K0-M</v>
          </cell>
          <cell r="B21">
            <v>0</v>
          </cell>
          <cell r="C21">
            <v>0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37</v>
          </cell>
          <cell r="I21">
            <v>0</v>
          </cell>
          <cell r="J21">
            <v>0</v>
          </cell>
          <cell r="K21">
            <v>181</v>
          </cell>
          <cell r="L21">
            <v>0</v>
          </cell>
          <cell r="M21">
            <v>0</v>
          </cell>
        </row>
        <row r="22">
          <cell r="A22" t="str">
            <v>YZ-BS-1580-NB-2XL</v>
          </cell>
          <cell r="B22">
            <v>0</v>
          </cell>
          <cell r="C22">
            <v>0</v>
          </cell>
          <cell r="D22">
            <v>0</v>
          </cell>
          <cell r="E22">
            <v>2292</v>
          </cell>
          <cell r="F22">
            <v>12</v>
          </cell>
          <cell r="G22">
            <v>1.13</v>
          </cell>
          <cell r="H22">
            <v>539</v>
          </cell>
          <cell r="I22">
            <v>7</v>
          </cell>
          <cell r="J22">
            <v>0.7</v>
          </cell>
          <cell r="K22">
            <v>197</v>
          </cell>
          <cell r="L22">
            <v>3</v>
          </cell>
          <cell r="M22">
            <v>0.36</v>
          </cell>
        </row>
        <row r="23">
          <cell r="A23" t="str">
            <v>CS-LY171-LB916-S</v>
          </cell>
          <cell r="B23">
            <v>0</v>
          </cell>
          <cell r="C23">
            <v>0</v>
          </cell>
          <cell r="D23">
            <v>0</v>
          </cell>
          <cell r="E23">
            <v>7</v>
          </cell>
          <cell r="F23">
            <v>0</v>
          </cell>
          <cell r="G23">
            <v>0</v>
          </cell>
          <cell r="H23">
            <v>0</v>
          </cell>
          <cell r="I23">
            <v>0</v>
          </cell>
          <cell r="J23">
            <v>0</v>
          </cell>
          <cell r="K23">
            <v>1</v>
          </cell>
          <cell r="L23">
            <v>0</v>
          </cell>
          <cell r="M23">
            <v>0</v>
          </cell>
        </row>
        <row r="24">
          <cell r="A24" t="str">
            <v>CS-LY171-ZL918-S</v>
          </cell>
          <cell r="B24">
            <v>0</v>
          </cell>
          <cell r="C24">
            <v>0</v>
          </cell>
          <cell r="D24">
            <v>0</v>
          </cell>
          <cell r="E24">
            <v>8</v>
          </cell>
          <cell r="F24">
            <v>0</v>
          </cell>
          <cell r="G24">
            <v>0</v>
          </cell>
          <cell r="H24">
            <v>3</v>
          </cell>
          <cell r="I24">
            <v>0</v>
          </cell>
          <cell r="J24">
            <v>0</v>
          </cell>
          <cell r="K24">
            <v>4</v>
          </cell>
          <cell r="L24">
            <v>0</v>
          </cell>
          <cell r="M24">
            <v>0</v>
          </cell>
        </row>
        <row r="25">
          <cell r="A25" t="str">
            <v>XZ-BS-YG7223Da4243</v>
          </cell>
          <cell r="B25">
            <v>0</v>
          </cell>
          <cell r="C25">
            <v>0</v>
          </cell>
          <cell r="D25">
            <v>0</v>
          </cell>
          <cell r="E25">
            <v>1589</v>
          </cell>
          <cell r="F25">
            <v>3</v>
          </cell>
          <cell r="G25">
            <v>0.17</v>
          </cell>
          <cell r="H25">
            <v>1773</v>
          </cell>
          <cell r="I25">
            <v>4</v>
          </cell>
          <cell r="J25">
            <v>0.23</v>
          </cell>
          <cell r="K25">
            <v>1838</v>
          </cell>
          <cell r="L25">
            <v>13</v>
          </cell>
          <cell r="M25">
            <v>0.8</v>
          </cell>
        </row>
        <row r="26">
          <cell r="A26" t="str">
            <v>XZ-WHMX006-G0-S</v>
          </cell>
          <cell r="B26">
            <v>0</v>
          </cell>
          <cell r="C26">
            <v>0</v>
          </cell>
          <cell r="D26">
            <v>0</v>
          </cell>
          <cell r="E26">
            <v>1240</v>
          </cell>
          <cell r="F26">
            <v>3</v>
          </cell>
          <cell r="G26">
            <v>0.24</v>
          </cell>
          <cell r="H26">
            <v>3433</v>
          </cell>
          <cell r="I26">
            <v>4</v>
          </cell>
          <cell r="J26">
            <v>0.39</v>
          </cell>
          <cell r="K26">
            <v>350</v>
          </cell>
          <cell r="L26">
            <v>2</v>
          </cell>
          <cell r="M26">
            <v>0.18</v>
          </cell>
        </row>
        <row r="27">
          <cell r="A27" t="str">
            <v>XZ-WHMX006-R0-M</v>
          </cell>
          <cell r="B27">
            <v>0</v>
          </cell>
          <cell r="C27">
            <v>0</v>
          </cell>
          <cell r="D27">
            <v>0</v>
          </cell>
          <cell r="E27">
            <v>232</v>
          </cell>
          <cell r="F27">
            <v>1</v>
          </cell>
          <cell r="G27">
            <v>0.1</v>
          </cell>
          <cell r="H27">
            <v>341</v>
          </cell>
          <cell r="I27">
            <v>0</v>
          </cell>
          <cell r="J27">
            <v>0</v>
          </cell>
          <cell r="K27">
            <v>719</v>
          </cell>
          <cell r="L27">
            <v>1</v>
          </cell>
          <cell r="M27">
            <v>0.07</v>
          </cell>
        </row>
        <row r="28">
          <cell r="A28" t="str">
            <v>XZ-WH6606-BR-39</v>
          </cell>
          <cell r="B28">
            <v>0</v>
          </cell>
          <cell r="C28">
            <v>0</v>
          </cell>
          <cell r="D28">
            <v>0</v>
          </cell>
          <cell r="E28">
            <v>45</v>
          </cell>
          <cell r="F28">
            <v>1</v>
          </cell>
          <cell r="G28">
            <v>0.07</v>
          </cell>
          <cell r="H28">
            <v>59</v>
          </cell>
          <cell r="I28">
            <v>1</v>
          </cell>
          <cell r="J28">
            <v>0.06</v>
          </cell>
          <cell r="K28">
            <v>106</v>
          </cell>
          <cell r="L28">
            <v>0</v>
          </cell>
          <cell r="M28">
            <v>0</v>
          </cell>
        </row>
        <row r="29">
          <cell r="A29" t="str">
            <v>LYQ-BS-K1010-P0-S</v>
          </cell>
          <cell r="B29">
            <v>0</v>
          </cell>
          <cell r="C29">
            <v>0</v>
          </cell>
          <cell r="D29">
            <v>0</v>
          </cell>
          <cell r="E29">
            <v>400</v>
          </cell>
          <cell r="F29">
            <v>2</v>
          </cell>
          <cell r="G29">
            <v>0.19</v>
          </cell>
          <cell r="H29">
            <v>70</v>
          </cell>
          <cell r="I29">
            <v>0</v>
          </cell>
          <cell r="J29">
            <v>0</v>
          </cell>
          <cell r="K29">
            <v>90</v>
          </cell>
          <cell r="L29">
            <v>1</v>
          </cell>
          <cell r="M29">
            <v>0.04</v>
          </cell>
        </row>
        <row r="30">
          <cell r="A30" t="str">
            <v>LYQ-BS-K1010-R0-S</v>
          </cell>
          <cell r="B30">
            <v>0</v>
          </cell>
          <cell r="C30">
            <v>0</v>
          </cell>
          <cell r="D30">
            <v>0</v>
          </cell>
          <cell r="E30">
            <v>2057</v>
          </cell>
          <cell r="F30">
            <v>17</v>
          </cell>
          <cell r="G30">
            <v>1.33</v>
          </cell>
          <cell r="H30">
            <v>1944</v>
          </cell>
          <cell r="I30">
            <v>15</v>
          </cell>
          <cell r="J30">
            <v>1.43</v>
          </cell>
          <cell r="K30">
            <v>1922</v>
          </cell>
          <cell r="L30">
            <v>19</v>
          </cell>
          <cell r="M30">
            <v>1.76</v>
          </cell>
        </row>
        <row r="31">
          <cell r="A31" t="str">
            <v>XZ-BS-PW-2001-BG-36</v>
          </cell>
          <cell r="B31">
            <v>0</v>
          </cell>
          <cell r="C31">
            <v>0</v>
          </cell>
          <cell r="D31">
            <v>0</v>
          </cell>
          <cell r="E31">
            <v>3007</v>
          </cell>
          <cell r="F31">
            <v>14</v>
          </cell>
          <cell r="G31">
            <v>1.59</v>
          </cell>
          <cell r="H31">
            <v>9314</v>
          </cell>
          <cell r="I31">
            <v>13</v>
          </cell>
          <cell r="J31">
            <v>1.77</v>
          </cell>
          <cell r="K31">
            <v>2664</v>
          </cell>
          <cell r="L31">
            <v>10</v>
          </cell>
          <cell r="M31">
            <v>1.25</v>
          </cell>
        </row>
        <row r="32">
          <cell r="A32" t="str">
            <v>XZ-BS-PW-2001-N0-40</v>
          </cell>
          <cell r="B32">
            <v>0</v>
          </cell>
          <cell r="C32">
            <v>0</v>
          </cell>
          <cell r="D32">
            <v>0</v>
          </cell>
          <cell r="E32">
            <v>1402</v>
          </cell>
          <cell r="F32">
            <v>4</v>
          </cell>
          <cell r="G32">
            <v>0.51</v>
          </cell>
          <cell r="H32">
            <v>2458</v>
          </cell>
          <cell r="I32">
            <v>9</v>
          </cell>
          <cell r="J32">
            <v>1.37</v>
          </cell>
          <cell r="K32">
            <v>5120</v>
          </cell>
          <cell r="L32">
            <v>10</v>
          </cell>
          <cell r="M32">
            <v>1.5</v>
          </cell>
        </row>
        <row r="33">
          <cell r="A33" t="str">
            <v>LYQ-CSM048-G0-M</v>
          </cell>
          <cell r="B33">
            <v>0</v>
          </cell>
          <cell r="C33">
            <v>0</v>
          </cell>
          <cell r="D33">
            <v>0</v>
          </cell>
          <cell r="E33">
            <v>76</v>
          </cell>
          <cell r="F33">
            <v>0</v>
          </cell>
          <cell r="G33">
            <v>0</v>
          </cell>
          <cell r="H33">
            <v>94</v>
          </cell>
          <cell r="I33">
            <v>0</v>
          </cell>
          <cell r="J33">
            <v>0</v>
          </cell>
          <cell r="K33">
            <v>76</v>
          </cell>
          <cell r="L33">
            <v>0</v>
          </cell>
          <cell r="M33">
            <v>0</v>
          </cell>
        </row>
        <row r="34">
          <cell r="A34" t="str">
            <v>LYQ-CSM048-K0-L</v>
          </cell>
          <cell r="B34">
            <v>0</v>
          </cell>
          <cell r="C34">
            <v>0</v>
          </cell>
          <cell r="D34">
            <v>0</v>
          </cell>
          <cell r="E34">
            <v>282</v>
          </cell>
          <cell r="F34">
            <v>2</v>
          </cell>
          <cell r="G34">
            <v>0.17</v>
          </cell>
          <cell r="H34">
            <v>585</v>
          </cell>
          <cell r="I34">
            <v>2</v>
          </cell>
          <cell r="J34">
            <v>0.14</v>
          </cell>
          <cell r="K34">
            <v>143</v>
          </cell>
          <cell r="L34">
            <v>1</v>
          </cell>
          <cell r="M34">
            <v>0.02</v>
          </cell>
        </row>
        <row r="35">
          <cell r="A35" t="str">
            <v>LYQ-CSM048-R0-L</v>
          </cell>
          <cell r="B35">
            <v>0</v>
          </cell>
          <cell r="C35">
            <v>0</v>
          </cell>
          <cell r="D35">
            <v>0</v>
          </cell>
          <cell r="E35">
            <v>290</v>
          </cell>
          <cell r="F35">
            <v>0</v>
          </cell>
          <cell r="G35">
            <v>0</v>
          </cell>
          <cell r="H35">
            <v>325</v>
          </cell>
          <cell r="I35">
            <v>0</v>
          </cell>
          <cell r="J35">
            <v>0</v>
          </cell>
          <cell r="K35">
            <v>687</v>
          </cell>
          <cell r="L35">
            <v>2</v>
          </cell>
          <cell r="M35">
            <v>0.11</v>
          </cell>
        </row>
        <row r="36">
          <cell r="A36" t="str">
            <v>EUTK-J01H-SH-10/12</v>
          </cell>
          <cell r="B36">
            <v>0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</row>
        <row r="37">
          <cell r="A37" t="str">
            <v>EUTK-J02H-GR-14/16</v>
          </cell>
          <cell r="B37">
            <v>0</v>
          </cell>
          <cell r="C37">
            <v>0</v>
          </cell>
          <cell r="D37">
            <v>0</v>
          </cell>
          <cell r="E37">
            <v>561</v>
          </cell>
          <cell r="F37">
            <v>2</v>
          </cell>
          <cell r="G37">
            <v>0.1</v>
          </cell>
          <cell r="H37">
            <v>317</v>
          </cell>
          <cell r="I37">
            <v>0</v>
          </cell>
          <cell r="J37">
            <v>0</v>
          </cell>
          <cell r="K37">
            <v>299</v>
          </cell>
          <cell r="L37">
            <v>2</v>
          </cell>
          <cell r="M37">
            <v>0.04</v>
          </cell>
        </row>
        <row r="38">
          <cell r="A38" t="str">
            <v>EUTK-J02H-K0-18/20</v>
          </cell>
          <cell r="B38">
            <v>0</v>
          </cell>
          <cell r="C38">
            <v>0</v>
          </cell>
          <cell r="D38">
            <v>0</v>
          </cell>
          <cell r="E38">
            <v>1463</v>
          </cell>
          <cell r="F38">
            <v>7</v>
          </cell>
          <cell r="G38">
            <v>0.53</v>
          </cell>
          <cell r="H38">
            <v>858</v>
          </cell>
          <cell r="I38">
            <v>4</v>
          </cell>
          <cell r="J38">
            <v>0.44</v>
          </cell>
          <cell r="K38">
            <v>496</v>
          </cell>
          <cell r="L38">
            <v>5</v>
          </cell>
          <cell r="M38">
            <v>0.37</v>
          </cell>
        </row>
        <row r="39">
          <cell r="A39" t="str">
            <v>EUTK-J02H-SH-10/12</v>
          </cell>
          <cell r="B39">
            <v>0</v>
          </cell>
          <cell r="C39">
            <v>0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</row>
        <row r="40">
          <cell r="A40" t="str">
            <v>CFY-M1798-AG-M</v>
          </cell>
          <cell r="B40">
            <v>0</v>
          </cell>
          <cell r="C40">
            <v>0</v>
          </cell>
          <cell r="D40">
            <v>0</v>
          </cell>
          <cell r="E40">
            <v>166</v>
          </cell>
          <cell r="F40">
            <v>0</v>
          </cell>
          <cell r="G40">
            <v>0</v>
          </cell>
          <cell r="H40">
            <v>1648</v>
          </cell>
          <cell r="I40">
            <v>9</v>
          </cell>
          <cell r="J40">
            <v>1.33</v>
          </cell>
          <cell r="K40">
            <v>4163</v>
          </cell>
          <cell r="L40">
            <v>16</v>
          </cell>
          <cell r="M40">
            <v>2.28</v>
          </cell>
        </row>
        <row r="41">
          <cell r="A41" t="str">
            <v>CS-LY166-B28-5-L</v>
          </cell>
          <cell r="B41">
            <v>0</v>
          </cell>
          <cell r="C41">
            <v>0</v>
          </cell>
          <cell r="D41">
            <v>0</v>
          </cell>
          <cell r="E41">
            <v>384</v>
          </cell>
          <cell r="F41">
            <v>1</v>
          </cell>
          <cell r="G41">
            <v>0.05</v>
          </cell>
          <cell r="H41">
            <v>223</v>
          </cell>
          <cell r="I41">
            <v>1</v>
          </cell>
          <cell r="J41">
            <v>0.1</v>
          </cell>
          <cell r="K41">
            <v>200</v>
          </cell>
          <cell r="L41">
            <v>0</v>
          </cell>
          <cell r="M41">
            <v>0</v>
          </cell>
        </row>
        <row r="42">
          <cell r="A42" t="str">
            <v>CS-LY166-K73-2-XL</v>
          </cell>
          <cell r="B42">
            <v>0</v>
          </cell>
          <cell r="C42">
            <v>0</v>
          </cell>
          <cell r="D42">
            <v>0</v>
          </cell>
          <cell r="E42">
            <v>107</v>
          </cell>
          <cell r="F42">
            <v>0</v>
          </cell>
          <cell r="G42">
            <v>0</v>
          </cell>
          <cell r="H42">
            <v>210</v>
          </cell>
          <cell r="I42">
            <v>0</v>
          </cell>
          <cell r="J42">
            <v>0</v>
          </cell>
          <cell r="K42">
            <v>161</v>
          </cell>
          <cell r="L42">
            <v>0</v>
          </cell>
          <cell r="M42">
            <v>0</v>
          </cell>
        </row>
        <row r="43">
          <cell r="A43" t="str">
            <v>LYQ-BS-K1010-G7-XL</v>
          </cell>
          <cell r="B43">
            <v>0</v>
          </cell>
          <cell r="C43">
            <v>0</v>
          </cell>
          <cell r="D43">
            <v>0</v>
          </cell>
          <cell r="E43">
            <v>520</v>
          </cell>
          <cell r="F43">
            <v>5</v>
          </cell>
          <cell r="G43">
            <v>0.4</v>
          </cell>
          <cell r="H43">
            <v>369</v>
          </cell>
          <cell r="I43">
            <v>6</v>
          </cell>
          <cell r="J43">
            <v>0.41</v>
          </cell>
          <cell r="K43">
            <v>1062</v>
          </cell>
          <cell r="L43">
            <v>10</v>
          </cell>
          <cell r="M43">
            <v>0.68</v>
          </cell>
        </row>
        <row r="44">
          <cell r="A44" t="str">
            <v>LYQ-BS-K1010-G0-M</v>
          </cell>
          <cell r="B44">
            <v>0</v>
          </cell>
          <cell r="C44">
            <v>0</v>
          </cell>
          <cell r="D44">
            <v>0</v>
          </cell>
          <cell r="E44">
            <v>458</v>
          </cell>
          <cell r="F44">
            <v>4</v>
          </cell>
          <cell r="G44">
            <v>0.18</v>
          </cell>
          <cell r="H44">
            <v>2262</v>
          </cell>
          <cell r="I44">
            <v>10</v>
          </cell>
          <cell r="J44">
            <v>0.8</v>
          </cell>
          <cell r="K44">
            <v>7117</v>
          </cell>
          <cell r="L44">
            <v>36</v>
          </cell>
          <cell r="M44">
            <v>1.91</v>
          </cell>
        </row>
        <row r="45">
          <cell r="A45" t="str">
            <v>LYQ-BS-CS04-CO-XL</v>
          </cell>
          <cell r="B45">
            <v>0</v>
          </cell>
          <cell r="C45">
            <v>0</v>
          </cell>
          <cell r="D45">
            <v>0</v>
          </cell>
          <cell r="E45">
            <v>610</v>
          </cell>
          <cell r="F45">
            <v>0</v>
          </cell>
          <cell r="G45">
            <v>0</v>
          </cell>
          <cell r="H45">
            <v>460</v>
          </cell>
          <cell r="I45">
            <v>1</v>
          </cell>
          <cell r="J45">
            <v>0.2</v>
          </cell>
          <cell r="K45">
            <v>152</v>
          </cell>
          <cell r="L45">
            <v>1</v>
          </cell>
          <cell r="M45">
            <v>0.04</v>
          </cell>
        </row>
        <row r="46">
          <cell r="A46" t="str">
            <v>LYQ-BS-CS04-G0-L</v>
          </cell>
          <cell r="B46">
            <v>0</v>
          </cell>
          <cell r="C46">
            <v>0</v>
          </cell>
          <cell r="D46">
            <v>0</v>
          </cell>
          <cell r="E46">
            <v>782</v>
          </cell>
          <cell r="F46">
            <v>1</v>
          </cell>
          <cell r="G46">
            <v>0.2</v>
          </cell>
          <cell r="H46">
            <v>47116</v>
          </cell>
          <cell r="I46">
            <v>25</v>
          </cell>
          <cell r="J46">
            <v>3.29</v>
          </cell>
          <cell r="K46">
            <v>348</v>
          </cell>
          <cell r="L46">
            <v>2</v>
          </cell>
          <cell r="M46">
            <v>0.04</v>
          </cell>
        </row>
        <row r="47">
          <cell r="A47" t="str">
            <v>LYQ-BS-CS04-GR-XL</v>
          </cell>
          <cell r="B47">
            <v>0</v>
          </cell>
          <cell r="C47">
            <v>0</v>
          </cell>
          <cell r="D47">
            <v>0</v>
          </cell>
          <cell r="E47">
            <v>471</v>
          </cell>
          <cell r="F47">
            <v>0</v>
          </cell>
          <cell r="G47">
            <v>0</v>
          </cell>
          <cell r="H47">
            <v>16626</v>
          </cell>
          <cell r="I47">
            <v>9</v>
          </cell>
          <cell r="J47">
            <v>1.09</v>
          </cell>
          <cell r="K47">
            <v>65672</v>
          </cell>
          <cell r="L47">
            <v>16</v>
          </cell>
          <cell r="M47">
            <v>1.59</v>
          </cell>
        </row>
        <row r="48">
          <cell r="A48" t="str">
            <v>XZ-BS-013GR1-M</v>
          </cell>
          <cell r="B48">
            <v>0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</row>
        <row r="49">
          <cell r="A49" t="str">
            <v>XZ-BS-013GR3-S</v>
          </cell>
          <cell r="B49">
            <v>0</v>
          </cell>
          <cell r="C49">
            <v>0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</row>
        <row r="50">
          <cell r="A50" t="str">
            <v>YZ-BS-BShyl5119-YH-4XL</v>
          </cell>
          <cell r="B50">
            <v>0</v>
          </cell>
          <cell r="C50">
            <v>0</v>
          </cell>
          <cell r="D50">
            <v>0</v>
          </cell>
          <cell r="E50">
            <v>6956</v>
          </cell>
          <cell r="F50">
            <v>25</v>
          </cell>
          <cell r="G50">
            <v>2.19</v>
          </cell>
          <cell r="H50">
            <v>7184</v>
          </cell>
          <cell r="I50">
            <v>21</v>
          </cell>
          <cell r="J50">
            <v>1.48</v>
          </cell>
          <cell r="K50">
            <v>4599</v>
          </cell>
          <cell r="L50">
            <v>25</v>
          </cell>
          <cell r="M50">
            <v>2.26</v>
          </cell>
        </row>
        <row r="51">
          <cell r="A51" t="str">
            <v>YZ-BS-BShyl5119-YT-5XL</v>
          </cell>
          <cell r="B51">
            <v>0</v>
          </cell>
          <cell r="C51">
            <v>0</v>
          </cell>
          <cell r="D51">
            <v>0</v>
          </cell>
          <cell r="E51">
            <v>712</v>
          </cell>
          <cell r="F51">
            <v>4</v>
          </cell>
          <cell r="G51">
            <v>0.29</v>
          </cell>
          <cell r="H51">
            <v>16483</v>
          </cell>
          <cell r="I51">
            <v>26</v>
          </cell>
          <cell r="J51">
            <v>2.34</v>
          </cell>
          <cell r="K51">
            <v>6590</v>
          </cell>
          <cell r="L51">
            <v>26</v>
          </cell>
          <cell r="M51">
            <v>2.28</v>
          </cell>
        </row>
        <row r="52">
          <cell r="A52" t="str">
            <v>YZ-BS-BShyl5119K03XL</v>
          </cell>
          <cell r="B52">
            <v>0</v>
          </cell>
          <cell r="C52">
            <v>0</v>
          </cell>
          <cell r="D52">
            <v>0</v>
          </cell>
          <cell r="E52">
            <v>866</v>
          </cell>
          <cell r="F52">
            <v>4</v>
          </cell>
          <cell r="G52">
            <v>0.37</v>
          </cell>
          <cell r="H52">
            <v>1091</v>
          </cell>
          <cell r="I52">
            <v>6</v>
          </cell>
          <cell r="J52">
            <v>0.59</v>
          </cell>
          <cell r="K52">
            <v>94</v>
          </cell>
          <cell r="L52">
            <v>2</v>
          </cell>
          <cell r="M52">
            <v>0.19</v>
          </cell>
        </row>
        <row r="53">
          <cell r="A53" t="str">
            <v>BS-WH1731-R0-XXL</v>
          </cell>
          <cell r="B53">
            <v>0</v>
          </cell>
          <cell r="C53">
            <v>0</v>
          </cell>
          <cell r="D53">
            <v>0</v>
          </cell>
          <cell r="E53">
            <v>2852</v>
          </cell>
          <cell r="F53">
            <v>28</v>
          </cell>
          <cell r="G53">
            <v>2.39</v>
          </cell>
          <cell r="H53">
            <v>3675</v>
          </cell>
          <cell r="I53">
            <v>17</v>
          </cell>
          <cell r="J53">
            <v>1.2</v>
          </cell>
          <cell r="K53">
            <v>2568</v>
          </cell>
          <cell r="L53">
            <v>17</v>
          </cell>
          <cell r="M53">
            <v>1.21</v>
          </cell>
        </row>
        <row r="54">
          <cell r="A54" t="str">
            <v>YZ-BS-PW2049-K0-S</v>
          </cell>
          <cell r="B54">
            <v>0</v>
          </cell>
          <cell r="C54">
            <v>0</v>
          </cell>
          <cell r="D54">
            <v>0</v>
          </cell>
          <cell r="E54">
            <v>2340</v>
          </cell>
          <cell r="F54">
            <v>13</v>
          </cell>
          <cell r="G54">
            <v>0.82</v>
          </cell>
          <cell r="H54">
            <v>2394</v>
          </cell>
          <cell r="I54">
            <v>12</v>
          </cell>
          <cell r="J54">
            <v>0.84</v>
          </cell>
          <cell r="K54">
            <v>737</v>
          </cell>
          <cell r="L54">
            <v>0</v>
          </cell>
          <cell r="M54">
            <v>0</v>
          </cell>
        </row>
        <row r="55">
          <cell r="A55" t="str">
            <v>XZ-BS-HMMF360-BE-L</v>
          </cell>
          <cell r="B55">
            <v>0</v>
          </cell>
          <cell r="C55">
            <v>0</v>
          </cell>
          <cell r="D55">
            <v>0</v>
          </cell>
          <cell r="E55">
            <v>997</v>
          </cell>
          <cell r="F55">
            <v>3</v>
          </cell>
          <cell r="G55">
            <v>0.89</v>
          </cell>
          <cell r="H55">
            <v>2278</v>
          </cell>
          <cell r="I55">
            <v>2</v>
          </cell>
          <cell r="J55">
            <v>0.61</v>
          </cell>
          <cell r="K55">
            <v>103</v>
          </cell>
          <cell r="L55">
            <v>2</v>
          </cell>
          <cell r="M55">
            <v>0.55</v>
          </cell>
        </row>
        <row r="56">
          <cell r="A56" t="str">
            <v>XZ-BS-HMMF360-GR-L</v>
          </cell>
          <cell r="B56">
            <v>0</v>
          </cell>
          <cell r="C56">
            <v>0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547</v>
          </cell>
          <cell r="I56">
            <v>6</v>
          </cell>
          <cell r="J56">
            <v>0.97</v>
          </cell>
          <cell r="K56">
            <v>2800</v>
          </cell>
          <cell r="L56">
            <v>16</v>
          </cell>
          <cell r="M56">
            <v>2.8</v>
          </cell>
        </row>
        <row r="57">
          <cell r="A57" t="str">
            <v>XZ-BS-013GR1-XL</v>
          </cell>
          <cell r="B57">
            <v>0</v>
          </cell>
          <cell r="C57">
            <v>0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>
            <v>24</v>
          </cell>
          <cell r="L57">
            <v>0</v>
          </cell>
          <cell r="M57">
            <v>0</v>
          </cell>
        </row>
        <row r="58">
          <cell r="A58" t="str">
            <v>WQS-BN-1503-GR-XL</v>
          </cell>
          <cell r="B58">
            <v>0</v>
          </cell>
          <cell r="C58">
            <v>0</v>
          </cell>
          <cell r="D58">
            <v>0</v>
          </cell>
          <cell r="E58">
            <v>226</v>
          </cell>
          <cell r="F58">
            <v>4</v>
          </cell>
          <cell r="G58">
            <v>0.76</v>
          </cell>
          <cell r="H58">
            <v>165</v>
          </cell>
          <cell r="I58">
            <v>0</v>
          </cell>
          <cell r="J58">
            <v>0</v>
          </cell>
          <cell r="K58">
            <v>60</v>
          </cell>
          <cell r="L58">
            <v>0</v>
          </cell>
          <cell r="M58">
            <v>0</v>
          </cell>
        </row>
        <row r="59">
          <cell r="A59" t="str">
            <v>WQS-BN-1503-BO-M</v>
          </cell>
          <cell r="B59">
            <v>0</v>
          </cell>
          <cell r="C59">
            <v>0</v>
          </cell>
          <cell r="D59">
            <v>0</v>
          </cell>
          <cell r="E59">
            <v>336</v>
          </cell>
          <cell r="F59">
            <v>2</v>
          </cell>
          <cell r="G59">
            <v>0.25</v>
          </cell>
          <cell r="H59">
            <v>3</v>
          </cell>
          <cell r="I59">
            <v>0</v>
          </cell>
          <cell r="J59">
            <v>0</v>
          </cell>
          <cell r="K59">
            <v>137</v>
          </cell>
          <cell r="L59">
            <v>0</v>
          </cell>
          <cell r="M59">
            <v>0</v>
          </cell>
        </row>
        <row r="60">
          <cell r="A60" t="str">
            <v>WY-SB017-DG-S</v>
          </cell>
          <cell r="B60">
            <v>0</v>
          </cell>
          <cell r="C60">
            <v>0</v>
          </cell>
          <cell r="D60">
            <v>0</v>
          </cell>
          <cell r="E60">
            <v>1981</v>
          </cell>
          <cell r="F60">
            <v>1</v>
          </cell>
          <cell r="G60">
            <v>0.03</v>
          </cell>
          <cell r="H60">
            <v>743</v>
          </cell>
          <cell r="I60">
            <v>0</v>
          </cell>
          <cell r="J60">
            <v>0</v>
          </cell>
          <cell r="K60">
            <v>691</v>
          </cell>
          <cell r="L60">
            <v>1</v>
          </cell>
          <cell r="M60">
            <v>0.1</v>
          </cell>
        </row>
        <row r="61">
          <cell r="A61" t="str">
            <v>WY-SB017-LG-XL</v>
          </cell>
          <cell r="B61">
            <v>0</v>
          </cell>
          <cell r="C61">
            <v>0</v>
          </cell>
          <cell r="D61">
            <v>0</v>
          </cell>
          <cell r="E61">
            <v>463</v>
          </cell>
          <cell r="F61">
            <v>0</v>
          </cell>
          <cell r="G61">
            <v>0</v>
          </cell>
          <cell r="H61">
            <v>198</v>
          </cell>
          <cell r="I61">
            <v>0</v>
          </cell>
          <cell r="J61">
            <v>0</v>
          </cell>
          <cell r="K61">
            <v>395</v>
          </cell>
          <cell r="L61">
            <v>1</v>
          </cell>
          <cell r="M61">
            <v>0.29</v>
          </cell>
        </row>
        <row r="62">
          <cell r="A62" t="str">
            <v>WY-SB017-NY-XXL</v>
          </cell>
          <cell r="B62">
            <v>0</v>
          </cell>
          <cell r="C62">
            <v>0</v>
          </cell>
          <cell r="D62">
            <v>0</v>
          </cell>
          <cell r="E62">
            <v>859</v>
          </cell>
          <cell r="F62">
            <v>1</v>
          </cell>
          <cell r="G62">
            <v>0.22</v>
          </cell>
          <cell r="H62">
            <v>482</v>
          </cell>
          <cell r="I62">
            <v>1</v>
          </cell>
          <cell r="J62">
            <v>0.07</v>
          </cell>
          <cell r="K62">
            <v>844</v>
          </cell>
          <cell r="L62">
            <v>1</v>
          </cell>
          <cell r="M62">
            <v>0.35</v>
          </cell>
        </row>
        <row r="63">
          <cell r="A63" t="str">
            <v>MY-SB026-DG-S</v>
          </cell>
          <cell r="B63">
            <v>0</v>
          </cell>
          <cell r="C63">
            <v>0</v>
          </cell>
          <cell r="D63">
            <v>0</v>
          </cell>
          <cell r="E63">
            <v>466</v>
          </cell>
          <cell r="F63">
            <v>3</v>
          </cell>
          <cell r="G63">
            <v>0.54</v>
          </cell>
          <cell r="H63">
            <v>1364</v>
          </cell>
          <cell r="I63">
            <v>4</v>
          </cell>
          <cell r="J63">
            <v>0.45</v>
          </cell>
          <cell r="K63">
            <v>413</v>
          </cell>
          <cell r="L63">
            <v>3</v>
          </cell>
          <cell r="M63">
            <v>0.4</v>
          </cell>
        </row>
        <row r="64">
          <cell r="A64" t="str">
            <v>MY-SB026-RD-S</v>
          </cell>
          <cell r="B64">
            <v>0</v>
          </cell>
          <cell r="C64">
            <v>0</v>
          </cell>
          <cell r="D64">
            <v>0</v>
          </cell>
          <cell r="E64">
            <v>1091</v>
          </cell>
          <cell r="F64">
            <v>1</v>
          </cell>
          <cell r="G64">
            <v>0.16</v>
          </cell>
          <cell r="H64">
            <v>155</v>
          </cell>
          <cell r="I64">
            <v>1</v>
          </cell>
          <cell r="J64">
            <v>0.15</v>
          </cell>
          <cell r="K64">
            <v>136</v>
          </cell>
          <cell r="L64">
            <v>0</v>
          </cell>
          <cell r="M64">
            <v>0</v>
          </cell>
        </row>
        <row r="65">
          <cell r="A65" t="str">
            <v>YZ-BS-5505Da0L</v>
          </cell>
          <cell r="B65">
            <v>0</v>
          </cell>
          <cell r="C65">
            <v>0</v>
          </cell>
          <cell r="D65">
            <v>0</v>
          </cell>
          <cell r="E65">
            <v>889</v>
          </cell>
          <cell r="F65">
            <v>9</v>
          </cell>
          <cell r="G65">
            <v>0.43</v>
          </cell>
          <cell r="H65">
            <v>0</v>
          </cell>
          <cell r="I65">
            <v>0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</row>
        <row r="66">
          <cell r="A66" t="str">
            <v>YZ-BS-5505K0-M</v>
          </cell>
          <cell r="B66">
            <v>0</v>
          </cell>
          <cell r="C66">
            <v>0</v>
          </cell>
          <cell r="D66">
            <v>0</v>
          </cell>
          <cell r="E66">
            <v>416</v>
          </cell>
          <cell r="F66">
            <v>2</v>
          </cell>
          <cell r="G66">
            <v>0.06</v>
          </cell>
          <cell r="H66">
            <v>449</v>
          </cell>
          <cell r="I66">
            <v>4</v>
          </cell>
          <cell r="J66">
            <v>0.13</v>
          </cell>
          <cell r="K66">
            <v>652</v>
          </cell>
          <cell r="L66">
            <v>7</v>
          </cell>
          <cell r="M66">
            <v>0.21</v>
          </cell>
        </row>
        <row r="67">
          <cell r="A67" t="str">
            <v>BS-PW331-M2-M</v>
          </cell>
          <cell r="B67">
            <v>0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</row>
        <row r="68">
          <cell r="A68" t="str">
            <v>YZ-BS-BKN1703-R0-L</v>
          </cell>
          <cell r="B68">
            <v>0</v>
          </cell>
          <cell r="C68">
            <v>0</v>
          </cell>
          <cell r="D68">
            <v>0</v>
          </cell>
          <cell r="E68">
            <v>66</v>
          </cell>
          <cell r="F68">
            <v>0</v>
          </cell>
          <cell r="G68">
            <v>0</v>
          </cell>
          <cell r="H68">
            <v>39</v>
          </cell>
          <cell r="I68">
            <v>0</v>
          </cell>
          <cell r="J68">
            <v>0</v>
          </cell>
          <cell r="K68">
            <v>32</v>
          </cell>
          <cell r="L68">
            <v>0</v>
          </cell>
          <cell r="M68">
            <v>0</v>
          </cell>
        </row>
        <row r="69">
          <cell r="A69" t="str">
            <v>YZ-BS-BKN1703-R0-M</v>
          </cell>
          <cell r="B69">
            <v>0</v>
          </cell>
          <cell r="C69">
            <v>0</v>
          </cell>
          <cell r="D69">
            <v>0</v>
          </cell>
          <cell r="E69">
            <v>59</v>
          </cell>
          <cell r="F69">
            <v>0</v>
          </cell>
          <cell r="G69">
            <v>0</v>
          </cell>
          <cell r="H69">
            <v>37</v>
          </cell>
          <cell r="I69">
            <v>1</v>
          </cell>
          <cell r="J69">
            <v>0.02</v>
          </cell>
          <cell r="K69">
            <v>18</v>
          </cell>
          <cell r="L69">
            <v>0</v>
          </cell>
          <cell r="M69">
            <v>0</v>
          </cell>
        </row>
        <row r="70">
          <cell r="A70" t="str">
            <v>YZ-BS-BKN1703-R0-S</v>
          </cell>
          <cell r="B70">
            <v>0</v>
          </cell>
          <cell r="C70">
            <v>0</v>
          </cell>
          <cell r="D70">
            <v>0</v>
          </cell>
          <cell r="E70">
            <v>357</v>
          </cell>
          <cell r="F70">
            <v>6</v>
          </cell>
          <cell r="G70">
            <v>0.46</v>
          </cell>
          <cell r="H70">
            <v>124</v>
          </cell>
          <cell r="I70">
            <v>1</v>
          </cell>
          <cell r="J70">
            <v>0.06</v>
          </cell>
          <cell r="K70">
            <v>60</v>
          </cell>
          <cell r="L70">
            <v>0</v>
          </cell>
          <cell r="M70">
            <v>0</v>
          </cell>
        </row>
        <row r="71">
          <cell r="A71" t="str">
            <v>YZ-BS-BKN1703-R0-XL</v>
          </cell>
          <cell r="B71">
            <v>0</v>
          </cell>
          <cell r="C71">
            <v>0</v>
          </cell>
          <cell r="D71">
            <v>0</v>
          </cell>
          <cell r="E71">
            <v>18</v>
          </cell>
          <cell r="F71">
            <v>1</v>
          </cell>
          <cell r="G71">
            <v>0.02</v>
          </cell>
          <cell r="H71">
            <v>21</v>
          </cell>
          <cell r="I71">
            <v>1</v>
          </cell>
          <cell r="J71">
            <v>0.07</v>
          </cell>
          <cell r="K71">
            <v>55</v>
          </cell>
          <cell r="L71">
            <v>1</v>
          </cell>
          <cell r="M71">
            <v>0.07</v>
          </cell>
        </row>
        <row r="72">
          <cell r="A72" t="str">
            <v>YZ-BS-BKN1703-R0-XS</v>
          </cell>
          <cell r="B72">
            <v>0</v>
          </cell>
          <cell r="C72">
            <v>0</v>
          </cell>
          <cell r="D72">
            <v>0</v>
          </cell>
          <cell r="E72">
            <v>552</v>
          </cell>
          <cell r="F72">
            <v>1</v>
          </cell>
          <cell r="G72">
            <v>0.06</v>
          </cell>
          <cell r="H72">
            <v>150</v>
          </cell>
          <cell r="I72">
            <v>3</v>
          </cell>
          <cell r="J72">
            <v>0.19</v>
          </cell>
          <cell r="K72">
            <v>216</v>
          </cell>
          <cell r="L72">
            <v>1</v>
          </cell>
          <cell r="M72">
            <v>0.07</v>
          </cell>
        </row>
        <row r="73">
          <cell r="A73" t="str">
            <v>XZ-BS-PW-2001-C0-36</v>
          </cell>
          <cell r="B73">
            <v>0</v>
          </cell>
          <cell r="C73">
            <v>0</v>
          </cell>
          <cell r="D73">
            <v>0</v>
          </cell>
          <cell r="E73">
            <v>2960</v>
          </cell>
          <cell r="F73">
            <v>10</v>
          </cell>
          <cell r="G73">
            <v>1.09</v>
          </cell>
          <cell r="H73">
            <v>486</v>
          </cell>
          <cell r="I73">
            <v>1</v>
          </cell>
          <cell r="J73">
            <v>0.15</v>
          </cell>
          <cell r="K73">
            <v>348</v>
          </cell>
          <cell r="L73">
            <v>0</v>
          </cell>
          <cell r="M73">
            <v>0</v>
          </cell>
        </row>
        <row r="74">
          <cell r="A74" t="str">
            <v>XZ-BS-PW-2001-C0-37</v>
          </cell>
          <cell r="B74">
            <v>0</v>
          </cell>
          <cell r="C74">
            <v>0</v>
          </cell>
          <cell r="D74">
            <v>0</v>
          </cell>
          <cell r="E74">
            <v>1213</v>
          </cell>
          <cell r="F74">
            <v>4</v>
          </cell>
          <cell r="G74">
            <v>0.37</v>
          </cell>
          <cell r="H74">
            <v>581</v>
          </cell>
          <cell r="I74">
            <v>2</v>
          </cell>
          <cell r="J74">
            <v>0.19</v>
          </cell>
          <cell r="K74">
            <v>707</v>
          </cell>
          <cell r="L74">
            <v>4</v>
          </cell>
          <cell r="M74">
            <v>0.7</v>
          </cell>
        </row>
        <row r="75">
          <cell r="A75" t="str">
            <v>XZ-BS-PW-2001-C0-41</v>
          </cell>
          <cell r="B75">
            <v>0</v>
          </cell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6826</v>
          </cell>
          <cell r="L75">
            <v>7</v>
          </cell>
          <cell r="M75">
            <v>0.9</v>
          </cell>
        </row>
        <row r="76">
          <cell r="A76" t="str">
            <v>XZ-BS-PW-2001-G0-36</v>
          </cell>
          <cell r="B76">
            <v>0</v>
          </cell>
          <cell r="C76">
            <v>0</v>
          </cell>
          <cell r="D76">
            <v>0</v>
          </cell>
          <cell r="E76">
            <v>624</v>
          </cell>
          <cell r="F76">
            <v>6</v>
          </cell>
          <cell r="G76">
            <v>0.54</v>
          </cell>
          <cell r="H76">
            <v>893</v>
          </cell>
          <cell r="I76">
            <v>0</v>
          </cell>
          <cell r="J76">
            <v>0</v>
          </cell>
          <cell r="K76">
            <v>3637</v>
          </cell>
          <cell r="L76">
            <v>7</v>
          </cell>
          <cell r="M76">
            <v>0.44</v>
          </cell>
        </row>
        <row r="77">
          <cell r="A77" t="str">
            <v>XZ-BS-PW-2001-G0-37</v>
          </cell>
          <cell r="B77">
            <v>0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</row>
        <row r="78">
          <cell r="A78" t="str">
            <v>XZ-BS-PW-2001-G0-40</v>
          </cell>
          <cell r="B78">
            <v>0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</row>
        <row r="79">
          <cell r="A79" t="str">
            <v>XZ-BS-PW-2001-K0-40</v>
          </cell>
          <cell r="B79">
            <v>0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</row>
        <row r="80">
          <cell r="A80" t="str">
            <v>XZ-BS-PW-2001-N0-36</v>
          </cell>
          <cell r="B80">
            <v>0</v>
          </cell>
          <cell r="C80">
            <v>0</v>
          </cell>
          <cell r="D80">
            <v>0</v>
          </cell>
          <cell r="E80">
            <v>6276</v>
          </cell>
          <cell r="F80">
            <v>7</v>
          </cell>
          <cell r="G80">
            <v>0.98</v>
          </cell>
          <cell r="H80">
            <v>518</v>
          </cell>
          <cell r="I80">
            <v>2</v>
          </cell>
          <cell r="J80">
            <v>0.28</v>
          </cell>
          <cell r="K80">
            <v>701</v>
          </cell>
          <cell r="L80">
            <v>4</v>
          </cell>
          <cell r="M80">
            <v>0.53</v>
          </cell>
        </row>
        <row r="81">
          <cell r="A81" t="str">
            <v>XZ-BS-PW-2001-R0-36</v>
          </cell>
          <cell r="B81">
            <v>0</v>
          </cell>
          <cell r="C81">
            <v>0</v>
          </cell>
          <cell r="D81">
            <v>0</v>
          </cell>
          <cell r="E81">
            <v>2586</v>
          </cell>
          <cell r="F81">
            <v>14</v>
          </cell>
          <cell r="G81">
            <v>1.7</v>
          </cell>
          <cell r="H81">
            <v>889</v>
          </cell>
          <cell r="I81">
            <v>4</v>
          </cell>
          <cell r="J81">
            <v>0.44</v>
          </cell>
          <cell r="K81">
            <v>1734</v>
          </cell>
          <cell r="L81">
            <v>11</v>
          </cell>
          <cell r="M81">
            <v>1.77</v>
          </cell>
        </row>
        <row r="82">
          <cell r="A82" t="str">
            <v>BS-BN-1501-BO-2XL</v>
          </cell>
          <cell r="B82">
            <v>0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>
            <v>495</v>
          </cell>
          <cell r="I82">
            <v>4</v>
          </cell>
          <cell r="J82">
            <v>0.66</v>
          </cell>
          <cell r="K82">
            <v>3489</v>
          </cell>
          <cell r="L82">
            <v>8</v>
          </cell>
          <cell r="M82">
            <v>1.02</v>
          </cell>
        </row>
        <row r="83">
          <cell r="A83" t="str">
            <v>BS-BN-1501-BO-4XL</v>
          </cell>
          <cell r="B83">
            <v>0</v>
          </cell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H83">
            <v>312</v>
          </cell>
          <cell r="I83">
            <v>1</v>
          </cell>
          <cell r="J83">
            <v>0.13</v>
          </cell>
          <cell r="K83">
            <v>1123</v>
          </cell>
          <cell r="L83">
            <v>2</v>
          </cell>
          <cell r="M83">
            <v>0.34</v>
          </cell>
        </row>
        <row r="84">
          <cell r="A84" t="str">
            <v>BS-BN-1501-BO-L</v>
          </cell>
          <cell r="B84">
            <v>0</v>
          </cell>
          <cell r="C84">
            <v>0</v>
          </cell>
          <cell r="D84">
            <v>0</v>
          </cell>
          <cell r="E84">
            <v>760</v>
          </cell>
          <cell r="F84">
            <v>0</v>
          </cell>
          <cell r="G84">
            <v>0</v>
          </cell>
          <cell r="H84">
            <v>335</v>
          </cell>
          <cell r="I84">
            <v>0</v>
          </cell>
          <cell r="J84">
            <v>0</v>
          </cell>
          <cell r="K84">
            <v>1952</v>
          </cell>
          <cell r="L84">
            <v>0</v>
          </cell>
          <cell r="M84">
            <v>0</v>
          </cell>
        </row>
        <row r="85">
          <cell r="A85" t="str">
            <v>BS-BN-1501-BO-XL</v>
          </cell>
          <cell r="B85">
            <v>0</v>
          </cell>
          <cell r="C85">
            <v>0</v>
          </cell>
          <cell r="D85">
            <v>0</v>
          </cell>
          <cell r="E85">
            <v>1548</v>
          </cell>
          <cell r="F85">
            <v>1</v>
          </cell>
          <cell r="G85">
            <v>0.13</v>
          </cell>
          <cell r="H85">
            <v>56</v>
          </cell>
          <cell r="I85">
            <v>0</v>
          </cell>
          <cell r="J85">
            <v>0</v>
          </cell>
          <cell r="K85">
            <v>4</v>
          </cell>
          <cell r="L85">
            <v>0</v>
          </cell>
          <cell r="M85">
            <v>0</v>
          </cell>
        </row>
        <row r="86">
          <cell r="A86" t="str">
            <v>BS-BN-1501-GR-2XL</v>
          </cell>
          <cell r="B86">
            <v>0</v>
          </cell>
          <cell r="C86">
            <v>0</v>
          </cell>
          <cell r="D86">
            <v>0</v>
          </cell>
          <cell r="E86">
            <v>19837</v>
          </cell>
          <cell r="F86">
            <v>30</v>
          </cell>
          <cell r="G86">
            <v>3.98</v>
          </cell>
          <cell r="H86">
            <v>601</v>
          </cell>
          <cell r="I86">
            <v>3</v>
          </cell>
          <cell r="J86">
            <v>0.35</v>
          </cell>
          <cell r="K86">
            <v>9</v>
          </cell>
          <cell r="L86">
            <v>0</v>
          </cell>
          <cell r="M86">
            <v>0</v>
          </cell>
        </row>
        <row r="87">
          <cell r="A87" t="str">
            <v>BS-BN-1501-GR-3XL</v>
          </cell>
          <cell r="B87">
            <v>0</v>
          </cell>
          <cell r="C87">
            <v>0</v>
          </cell>
          <cell r="D87">
            <v>0</v>
          </cell>
          <cell r="E87">
            <v>5383</v>
          </cell>
          <cell r="F87">
            <v>10</v>
          </cell>
          <cell r="G87">
            <v>1.15</v>
          </cell>
          <cell r="H87">
            <v>4316</v>
          </cell>
          <cell r="I87">
            <v>9</v>
          </cell>
          <cell r="J87">
            <v>1.33</v>
          </cell>
          <cell r="K87">
            <v>16542</v>
          </cell>
          <cell r="L87">
            <v>34</v>
          </cell>
          <cell r="M87">
            <v>4.63</v>
          </cell>
        </row>
        <row r="88">
          <cell r="A88" t="str">
            <v>BS-BN-1501-GR-4XL</v>
          </cell>
          <cell r="B88">
            <v>0</v>
          </cell>
          <cell r="C88">
            <v>0</v>
          </cell>
          <cell r="D88">
            <v>0</v>
          </cell>
          <cell r="E88">
            <v>567</v>
          </cell>
          <cell r="F88">
            <v>2</v>
          </cell>
          <cell r="G88">
            <v>0.23</v>
          </cell>
          <cell r="H88">
            <v>45</v>
          </cell>
          <cell r="I88">
            <v>0</v>
          </cell>
          <cell r="J88">
            <v>0</v>
          </cell>
          <cell r="K88">
            <v>8</v>
          </cell>
          <cell r="L88">
            <v>0</v>
          </cell>
          <cell r="M88">
            <v>0</v>
          </cell>
        </row>
        <row r="89">
          <cell r="A89" t="str">
            <v>BS-BN-1501-GR-L</v>
          </cell>
          <cell r="B89">
            <v>0</v>
          </cell>
          <cell r="C89">
            <v>0</v>
          </cell>
          <cell r="D89">
            <v>0</v>
          </cell>
          <cell r="E89">
            <v>13552</v>
          </cell>
          <cell r="F89">
            <v>34</v>
          </cell>
          <cell r="G89">
            <v>5.33</v>
          </cell>
          <cell r="H89">
            <v>2220</v>
          </cell>
          <cell r="I89">
            <v>17</v>
          </cell>
          <cell r="J89">
            <v>2.08</v>
          </cell>
          <cell r="K89">
            <v>791</v>
          </cell>
          <cell r="L89">
            <v>3</v>
          </cell>
          <cell r="M89">
            <v>0.24</v>
          </cell>
        </row>
        <row r="90">
          <cell r="A90" t="str">
            <v>BS-BN-1501-GR-XL</v>
          </cell>
          <cell r="B90">
            <v>0</v>
          </cell>
          <cell r="C90">
            <v>0</v>
          </cell>
          <cell r="D90">
            <v>0</v>
          </cell>
          <cell r="E90">
            <v>22</v>
          </cell>
          <cell r="F90">
            <v>0</v>
          </cell>
          <cell r="G90">
            <v>0</v>
          </cell>
          <cell r="H90">
            <v>985</v>
          </cell>
          <cell r="I90">
            <v>3</v>
          </cell>
          <cell r="J90">
            <v>0.35</v>
          </cell>
          <cell r="K90">
            <v>129</v>
          </cell>
          <cell r="L90">
            <v>0</v>
          </cell>
          <cell r="M90">
            <v>0</v>
          </cell>
        </row>
        <row r="91">
          <cell r="A91" t="str">
            <v>BS-BN-1501-KO-2XL</v>
          </cell>
          <cell r="B91">
            <v>0</v>
          </cell>
          <cell r="C91">
            <v>0</v>
          </cell>
          <cell r="D91">
            <v>0</v>
          </cell>
          <cell r="E91">
            <v>4484</v>
          </cell>
          <cell r="F91">
            <v>7</v>
          </cell>
          <cell r="G91">
            <v>0.72</v>
          </cell>
          <cell r="H91">
            <v>892</v>
          </cell>
          <cell r="I91">
            <v>2</v>
          </cell>
          <cell r="J91">
            <v>0.33</v>
          </cell>
          <cell r="K91">
            <v>0</v>
          </cell>
          <cell r="L91">
            <v>0</v>
          </cell>
          <cell r="M91">
            <v>0</v>
          </cell>
        </row>
        <row r="92">
          <cell r="A92" t="str">
            <v>BS-BN-1501-KO-3XL</v>
          </cell>
          <cell r="B92">
            <v>0</v>
          </cell>
          <cell r="C92">
            <v>0</v>
          </cell>
          <cell r="D92">
            <v>0</v>
          </cell>
          <cell r="E92">
            <v>41</v>
          </cell>
          <cell r="F92">
            <v>0</v>
          </cell>
          <cell r="G92">
            <v>0</v>
          </cell>
          <cell r="H92">
            <v>1134</v>
          </cell>
          <cell r="I92">
            <v>1</v>
          </cell>
          <cell r="J92">
            <v>0.11</v>
          </cell>
          <cell r="K92">
            <v>4519</v>
          </cell>
          <cell r="L92">
            <v>5</v>
          </cell>
          <cell r="M92">
            <v>0.45</v>
          </cell>
        </row>
        <row r="93">
          <cell r="A93" t="str">
            <v>BS-BN-1501-KO-4XL</v>
          </cell>
          <cell r="B93">
            <v>0</v>
          </cell>
          <cell r="C93">
            <v>0</v>
          </cell>
          <cell r="D93">
            <v>0</v>
          </cell>
          <cell r="E93">
            <v>243</v>
          </cell>
          <cell r="F93">
            <v>3</v>
          </cell>
          <cell r="G93">
            <v>0.32</v>
          </cell>
          <cell r="H93">
            <v>4</v>
          </cell>
          <cell r="I93">
            <v>0</v>
          </cell>
          <cell r="J93">
            <v>0</v>
          </cell>
          <cell r="K93">
            <v>1</v>
          </cell>
          <cell r="L93">
            <v>0</v>
          </cell>
          <cell r="M93">
            <v>0</v>
          </cell>
        </row>
        <row r="94">
          <cell r="A94" t="str">
            <v>BS-BN-1501-KO-L</v>
          </cell>
          <cell r="B94">
            <v>0</v>
          </cell>
          <cell r="C94">
            <v>0</v>
          </cell>
          <cell r="D94">
            <v>0</v>
          </cell>
          <cell r="E94">
            <v>498</v>
          </cell>
          <cell r="F94">
            <v>0</v>
          </cell>
          <cell r="G94">
            <v>0</v>
          </cell>
          <cell r="H94">
            <v>9</v>
          </cell>
          <cell r="I94">
            <v>1</v>
          </cell>
          <cell r="J94">
            <v>0.02</v>
          </cell>
          <cell r="K94">
            <v>12</v>
          </cell>
          <cell r="L94">
            <v>0</v>
          </cell>
          <cell r="M94">
            <v>0</v>
          </cell>
        </row>
        <row r="95">
          <cell r="A95" t="str">
            <v>BS-BN-1501-KO-XL</v>
          </cell>
          <cell r="B95">
            <v>0</v>
          </cell>
          <cell r="C95">
            <v>0</v>
          </cell>
          <cell r="D95">
            <v>0</v>
          </cell>
          <cell r="E95">
            <v>1710</v>
          </cell>
          <cell r="F95">
            <v>2</v>
          </cell>
          <cell r="G95">
            <v>0.3</v>
          </cell>
          <cell r="H95">
            <v>4755</v>
          </cell>
          <cell r="I95">
            <v>6</v>
          </cell>
          <cell r="J95">
            <v>0.85</v>
          </cell>
          <cell r="K95">
            <v>22936</v>
          </cell>
          <cell r="L95">
            <v>30</v>
          </cell>
          <cell r="M95">
            <v>3.3</v>
          </cell>
        </row>
        <row r="96">
          <cell r="A96" t="str">
            <v>BS-BN-1501-RO-3XL</v>
          </cell>
          <cell r="B96">
            <v>0</v>
          </cell>
          <cell r="C96">
            <v>0</v>
          </cell>
          <cell r="D96">
            <v>0</v>
          </cell>
          <cell r="E96">
            <v>1002</v>
          </cell>
          <cell r="F96">
            <v>1</v>
          </cell>
          <cell r="G96">
            <v>0.11</v>
          </cell>
          <cell r="H96">
            <v>48</v>
          </cell>
          <cell r="I96">
            <v>0</v>
          </cell>
          <cell r="J96">
            <v>0</v>
          </cell>
          <cell r="K96">
            <v>10</v>
          </cell>
          <cell r="L96">
            <v>0</v>
          </cell>
          <cell r="M96">
            <v>0</v>
          </cell>
        </row>
        <row r="97">
          <cell r="A97" t="str">
            <v>BS-BN-1501-RO-4XL</v>
          </cell>
          <cell r="B97">
            <v>0</v>
          </cell>
          <cell r="C97">
            <v>0</v>
          </cell>
          <cell r="D97">
            <v>0</v>
          </cell>
          <cell r="E97">
            <v>1917</v>
          </cell>
          <cell r="F97">
            <v>4</v>
          </cell>
          <cell r="G97">
            <v>0.54</v>
          </cell>
          <cell r="H97">
            <v>63</v>
          </cell>
          <cell r="I97">
            <v>0</v>
          </cell>
          <cell r="J97">
            <v>0</v>
          </cell>
          <cell r="K97">
            <v>17</v>
          </cell>
          <cell r="L97">
            <v>0</v>
          </cell>
          <cell r="M97">
            <v>0</v>
          </cell>
        </row>
        <row r="98">
          <cell r="A98" t="str">
            <v>BS-BN-1501-RO-L</v>
          </cell>
          <cell r="B98">
            <v>0</v>
          </cell>
          <cell r="C98">
            <v>0</v>
          </cell>
          <cell r="D98">
            <v>0</v>
          </cell>
          <cell r="E98">
            <v>1164</v>
          </cell>
          <cell r="F98">
            <v>3</v>
          </cell>
          <cell r="G98">
            <v>0.23</v>
          </cell>
          <cell r="H98">
            <v>18</v>
          </cell>
          <cell r="I98">
            <v>0</v>
          </cell>
          <cell r="J98">
            <v>0</v>
          </cell>
          <cell r="K98">
            <v>4</v>
          </cell>
          <cell r="L98">
            <v>0</v>
          </cell>
          <cell r="M98">
            <v>0</v>
          </cell>
        </row>
        <row r="99">
          <cell r="A99" t="str">
            <v>BS-BN-1501-RO-XL</v>
          </cell>
          <cell r="B99">
            <v>0</v>
          </cell>
          <cell r="C99">
            <v>0</v>
          </cell>
          <cell r="D99">
            <v>0</v>
          </cell>
          <cell r="E99">
            <v>5666</v>
          </cell>
          <cell r="F99">
            <v>9</v>
          </cell>
          <cell r="G99">
            <v>1.28</v>
          </cell>
          <cell r="H99">
            <v>1739</v>
          </cell>
          <cell r="I99">
            <v>6</v>
          </cell>
          <cell r="J99">
            <v>0.82</v>
          </cell>
          <cell r="K99">
            <v>3990</v>
          </cell>
          <cell r="L99">
            <v>18</v>
          </cell>
          <cell r="M99">
            <v>2.99</v>
          </cell>
        </row>
        <row r="100">
          <cell r="A100" t="str">
            <v>BS-BN-1501-WO-2XL</v>
          </cell>
          <cell r="B100">
            <v>0</v>
          </cell>
          <cell r="C100">
            <v>0</v>
          </cell>
          <cell r="D100">
            <v>0</v>
          </cell>
          <cell r="E100">
            <v>147</v>
          </cell>
          <cell r="F100">
            <v>0</v>
          </cell>
          <cell r="G100">
            <v>0</v>
          </cell>
          <cell r="H100">
            <v>94</v>
          </cell>
          <cell r="I100">
            <v>1</v>
          </cell>
          <cell r="J100">
            <v>0.19</v>
          </cell>
          <cell r="K100">
            <v>32</v>
          </cell>
          <cell r="L100">
            <v>1</v>
          </cell>
          <cell r="M100">
            <v>0.2</v>
          </cell>
        </row>
        <row r="101">
          <cell r="A101" t="str">
            <v>BS-BN-1501-WO-3XL</v>
          </cell>
          <cell r="B101">
            <v>0</v>
          </cell>
          <cell r="C101">
            <v>0</v>
          </cell>
          <cell r="D101">
            <v>0</v>
          </cell>
          <cell r="E101">
            <v>6845</v>
          </cell>
          <cell r="F101">
            <v>16</v>
          </cell>
          <cell r="G101">
            <v>2.56</v>
          </cell>
          <cell r="H101">
            <v>32692</v>
          </cell>
          <cell r="I101">
            <v>46</v>
          </cell>
          <cell r="J101">
            <v>5.78</v>
          </cell>
          <cell r="K101">
            <v>5768</v>
          </cell>
          <cell r="L101">
            <v>13</v>
          </cell>
          <cell r="M101">
            <v>2.09</v>
          </cell>
        </row>
        <row r="102">
          <cell r="A102" t="str">
            <v>BS-BN-1501-WO-4XL</v>
          </cell>
          <cell r="B102">
            <v>0</v>
          </cell>
          <cell r="C102">
            <v>0</v>
          </cell>
          <cell r="D102">
            <v>0</v>
          </cell>
          <cell r="E102">
            <v>293</v>
          </cell>
          <cell r="F102">
            <v>0</v>
          </cell>
          <cell r="G102">
            <v>0</v>
          </cell>
          <cell r="H102">
            <v>84</v>
          </cell>
          <cell r="I102">
            <v>0</v>
          </cell>
          <cell r="J102">
            <v>0</v>
          </cell>
          <cell r="K102">
            <v>26</v>
          </cell>
          <cell r="L102">
            <v>0</v>
          </cell>
          <cell r="M102">
            <v>0</v>
          </cell>
        </row>
        <row r="103">
          <cell r="A103" t="str">
            <v>BS-BN-1501-WO-L</v>
          </cell>
          <cell r="B103">
            <v>0</v>
          </cell>
          <cell r="C103">
            <v>0</v>
          </cell>
          <cell r="D103">
            <v>0</v>
          </cell>
          <cell r="E103">
            <v>519</v>
          </cell>
          <cell r="F103">
            <v>2</v>
          </cell>
          <cell r="G103">
            <v>0.28</v>
          </cell>
          <cell r="H103">
            <v>11</v>
          </cell>
          <cell r="I103">
            <v>0</v>
          </cell>
          <cell r="J103">
            <v>0</v>
          </cell>
          <cell r="K103">
            <v>9</v>
          </cell>
          <cell r="L103">
            <v>0</v>
          </cell>
          <cell r="M103">
            <v>0</v>
          </cell>
        </row>
        <row r="104">
          <cell r="A104" t="str">
            <v>BS-BN-1501-WO-XL</v>
          </cell>
          <cell r="B104">
            <v>0</v>
          </cell>
          <cell r="C104">
            <v>0</v>
          </cell>
          <cell r="D104">
            <v>0</v>
          </cell>
          <cell r="E104">
            <v>2426</v>
          </cell>
          <cell r="F104">
            <v>0</v>
          </cell>
          <cell r="G104">
            <v>0</v>
          </cell>
          <cell r="H104">
            <v>102</v>
          </cell>
          <cell r="I104">
            <v>0</v>
          </cell>
          <cell r="J104">
            <v>0</v>
          </cell>
          <cell r="K104">
            <v>13</v>
          </cell>
          <cell r="L104">
            <v>0</v>
          </cell>
          <cell r="M104">
            <v>0</v>
          </cell>
        </row>
        <row r="105">
          <cell r="A105" t="str">
            <v>CS-LY171-G912-L</v>
          </cell>
          <cell r="B105">
            <v>0</v>
          </cell>
          <cell r="C105">
            <v>0</v>
          </cell>
          <cell r="D105">
            <v>0</v>
          </cell>
          <cell r="E105">
            <v>8</v>
          </cell>
          <cell r="F105">
            <v>0</v>
          </cell>
          <cell r="G105">
            <v>0</v>
          </cell>
          <cell r="H105">
            <v>4</v>
          </cell>
          <cell r="I105">
            <v>1</v>
          </cell>
          <cell r="J105">
            <v>0.09</v>
          </cell>
          <cell r="K105">
            <v>2</v>
          </cell>
          <cell r="L105">
            <v>0</v>
          </cell>
          <cell r="M105">
            <v>0</v>
          </cell>
        </row>
        <row r="106">
          <cell r="A106" t="str">
            <v>CS-LY171-G912-M</v>
          </cell>
          <cell r="B106">
            <v>0</v>
          </cell>
          <cell r="C106">
            <v>0</v>
          </cell>
          <cell r="D106">
            <v>0</v>
          </cell>
          <cell r="E106">
            <v>2</v>
          </cell>
          <cell r="F106">
            <v>0</v>
          </cell>
          <cell r="G106">
            <v>0</v>
          </cell>
          <cell r="H106">
            <v>1</v>
          </cell>
          <cell r="I106">
            <v>0</v>
          </cell>
          <cell r="J106">
            <v>0</v>
          </cell>
          <cell r="K106">
            <v>1</v>
          </cell>
          <cell r="L106">
            <v>0</v>
          </cell>
          <cell r="M106">
            <v>0</v>
          </cell>
        </row>
        <row r="107">
          <cell r="A107" t="str">
            <v>CS-LY171-G912-S</v>
          </cell>
          <cell r="B107">
            <v>0</v>
          </cell>
          <cell r="C107">
            <v>0</v>
          </cell>
          <cell r="D107">
            <v>0</v>
          </cell>
          <cell r="E107">
            <v>25</v>
          </cell>
          <cell r="F107">
            <v>0</v>
          </cell>
          <cell r="G107">
            <v>0</v>
          </cell>
          <cell r="H107">
            <v>7</v>
          </cell>
          <cell r="I107">
            <v>0</v>
          </cell>
          <cell r="J107">
            <v>0</v>
          </cell>
          <cell r="K107">
            <v>13</v>
          </cell>
          <cell r="L107">
            <v>0</v>
          </cell>
          <cell r="M107">
            <v>0</v>
          </cell>
        </row>
        <row r="108">
          <cell r="A108" t="str">
            <v>CS-LY171-LB916-L</v>
          </cell>
          <cell r="B108">
            <v>0</v>
          </cell>
          <cell r="C108">
            <v>0</v>
          </cell>
          <cell r="D108">
            <v>0</v>
          </cell>
          <cell r="E108">
            <v>346</v>
          </cell>
          <cell r="F108">
            <v>1</v>
          </cell>
          <cell r="G108">
            <v>0.02</v>
          </cell>
          <cell r="H108">
            <v>122</v>
          </cell>
          <cell r="I108">
            <v>0</v>
          </cell>
          <cell r="J108">
            <v>0</v>
          </cell>
          <cell r="K108">
            <v>153</v>
          </cell>
          <cell r="L108">
            <v>0</v>
          </cell>
          <cell r="M108">
            <v>0</v>
          </cell>
        </row>
        <row r="109">
          <cell r="A109" t="str">
            <v>CS-LY171-LB916-M</v>
          </cell>
          <cell r="B109">
            <v>0</v>
          </cell>
          <cell r="C109">
            <v>0</v>
          </cell>
          <cell r="D109">
            <v>0</v>
          </cell>
          <cell r="E109">
            <v>8</v>
          </cell>
          <cell r="F109">
            <v>0</v>
          </cell>
          <cell r="G109">
            <v>0</v>
          </cell>
          <cell r="H109">
            <v>1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</row>
        <row r="110">
          <cell r="A110" t="str">
            <v>CS-LY171-LB916-XL</v>
          </cell>
          <cell r="B110">
            <v>0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</row>
        <row r="111">
          <cell r="A111" t="str">
            <v>CS-LY171-LB916-XXL</v>
          </cell>
          <cell r="B111">
            <v>0</v>
          </cell>
          <cell r="C111">
            <v>0</v>
          </cell>
          <cell r="D111">
            <v>0</v>
          </cell>
          <cell r="E111">
            <v>38</v>
          </cell>
          <cell r="F111">
            <v>0</v>
          </cell>
          <cell r="G111">
            <v>0</v>
          </cell>
          <cell r="H111">
            <v>42</v>
          </cell>
          <cell r="I111">
            <v>0</v>
          </cell>
          <cell r="J111">
            <v>0</v>
          </cell>
          <cell r="K111">
            <v>12</v>
          </cell>
          <cell r="L111">
            <v>0</v>
          </cell>
          <cell r="M111">
            <v>0</v>
          </cell>
        </row>
        <row r="112">
          <cell r="A112" t="str">
            <v>CS-LY171-LG907-L</v>
          </cell>
          <cell r="B112">
            <v>0</v>
          </cell>
          <cell r="C112">
            <v>0</v>
          </cell>
          <cell r="D112">
            <v>0</v>
          </cell>
          <cell r="E112">
            <v>0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>
            <v>3</v>
          </cell>
          <cell r="L112">
            <v>0</v>
          </cell>
          <cell r="M112">
            <v>0</v>
          </cell>
        </row>
        <row r="113">
          <cell r="A113" t="str">
            <v>CS-LY171-LG907-S</v>
          </cell>
          <cell r="B113">
            <v>0</v>
          </cell>
          <cell r="C113">
            <v>0</v>
          </cell>
          <cell r="D113">
            <v>0</v>
          </cell>
          <cell r="E113">
            <v>126</v>
          </cell>
          <cell r="F113">
            <v>0</v>
          </cell>
          <cell r="G113">
            <v>0</v>
          </cell>
          <cell r="H113">
            <v>84</v>
          </cell>
          <cell r="I113">
            <v>0</v>
          </cell>
          <cell r="J113">
            <v>0</v>
          </cell>
          <cell r="K113">
            <v>199</v>
          </cell>
          <cell r="L113">
            <v>0</v>
          </cell>
          <cell r="M113">
            <v>0</v>
          </cell>
        </row>
        <row r="114">
          <cell r="A114" t="str">
            <v>CS-LY171-PI908-L</v>
          </cell>
          <cell r="B114">
            <v>0</v>
          </cell>
          <cell r="C114">
            <v>0</v>
          </cell>
          <cell r="D114">
            <v>0</v>
          </cell>
          <cell r="E114">
            <v>21</v>
          </cell>
          <cell r="F114">
            <v>0</v>
          </cell>
          <cell r="G114">
            <v>0</v>
          </cell>
          <cell r="H114">
            <v>35</v>
          </cell>
          <cell r="I114">
            <v>3</v>
          </cell>
          <cell r="J114">
            <v>0.63</v>
          </cell>
          <cell r="K114">
            <v>39</v>
          </cell>
          <cell r="L114">
            <v>0</v>
          </cell>
          <cell r="M114">
            <v>0</v>
          </cell>
        </row>
        <row r="115">
          <cell r="A115" t="str">
            <v>CS-LY171-PI908-M</v>
          </cell>
          <cell r="B115">
            <v>0</v>
          </cell>
          <cell r="C115">
            <v>0</v>
          </cell>
          <cell r="D115">
            <v>0</v>
          </cell>
          <cell r="E115">
            <v>3</v>
          </cell>
          <cell r="F115">
            <v>0</v>
          </cell>
          <cell r="G115">
            <v>0</v>
          </cell>
          <cell r="H115">
            <v>2</v>
          </cell>
          <cell r="I115">
            <v>0</v>
          </cell>
          <cell r="J115">
            <v>0</v>
          </cell>
          <cell r="K115">
            <v>3</v>
          </cell>
          <cell r="L115">
            <v>0</v>
          </cell>
          <cell r="M115">
            <v>0</v>
          </cell>
        </row>
        <row r="116">
          <cell r="A116" t="str">
            <v>CS-LY171-PI908-S</v>
          </cell>
          <cell r="B116">
            <v>0</v>
          </cell>
          <cell r="C116">
            <v>0</v>
          </cell>
          <cell r="D116">
            <v>0</v>
          </cell>
          <cell r="E116">
            <v>21</v>
          </cell>
          <cell r="F116">
            <v>0</v>
          </cell>
          <cell r="G116">
            <v>0</v>
          </cell>
          <cell r="H116">
            <v>15</v>
          </cell>
          <cell r="I116">
            <v>1</v>
          </cell>
          <cell r="J116">
            <v>0.15</v>
          </cell>
          <cell r="K116">
            <v>2</v>
          </cell>
          <cell r="L116">
            <v>0</v>
          </cell>
          <cell r="M116">
            <v>0</v>
          </cell>
        </row>
        <row r="117">
          <cell r="A117" t="str">
            <v>CS-LY171-PI908-XL</v>
          </cell>
          <cell r="B117">
            <v>0</v>
          </cell>
          <cell r="C117">
            <v>0</v>
          </cell>
          <cell r="D117">
            <v>0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>
            <v>1</v>
          </cell>
          <cell r="L117">
            <v>0</v>
          </cell>
          <cell r="M117">
            <v>0</v>
          </cell>
        </row>
        <row r="118">
          <cell r="A118" t="str">
            <v>CS-LY171-Sa911-L</v>
          </cell>
          <cell r="B118">
            <v>0</v>
          </cell>
          <cell r="C118">
            <v>0</v>
          </cell>
          <cell r="D118">
            <v>0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>
            <v>0</v>
          </cell>
          <cell r="L118">
            <v>0</v>
          </cell>
          <cell r="M118">
            <v>0</v>
          </cell>
        </row>
        <row r="119">
          <cell r="A119" t="str">
            <v>CS-LY171-Sa911-M</v>
          </cell>
          <cell r="B119">
            <v>0</v>
          </cell>
          <cell r="C119">
            <v>0</v>
          </cell>
          <cell r="D119">
            <v>0</v>
          </cell>
          <cell r="E119">
            <v>1</v>
          </cell>
          <cell r="F119">
            <v>0</v>
          </cell>
          <cell r="G119">
            <v>0</v>
          </cell>
          <cell r="H119">
            <v>2</v>
          </cell>
          <cell r="I119">
            <v>0</v>
          </cell>
          <cell r="J119">
            <v>0</v>
          </cell>
          <cell r="K119">
            <v>4</v>
          </cell>
          <cell r="L119">
            <v>0</v>
          </cell>
          <cell r="M119">
            <v>0</v>
          </cell>
        </row>
        <row r="120">
          <cell r="A120" t="str">
            <v>CS-LY171-Sa911-XXL</v>
          </cell>
          <cell r="B120">
            <v>0</v>
          </cell>
          <cell r="C120">
            <v>0</v>
          </cell>
          <cell r="D120">
            <v>0</v>
          </cell>
          <cell r="E120">
            <v>0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>
            <v>12</v>
          </cell>
          <cell r="L120">
            <v>0</v>
          </cell>
          <cell r="M120">
            <v>0</v>
          </cell>
        </row>
        <row r="121">
          <cell r="A121" t="str">
            <v>CS-LY171-W902-L</v>
          </cell>
          <cell r="B121">
            <v>0</v>
          </cell>
          <cell r="C121">
            <v>0</v>
          </cell>
          <cell r="D121">
            <v>0</v>
          </cell>
          <cell r="E121">
            <v>5</v>
          </cell>
          <cell r="F121">
            <v>0</v>
          </cell>
          <cell r="G121">
            <v>0</v>
          </cell>
          <cell r="H121">
            <v>2</v>
          </cell>
          <cell r="I121">
            <v>0</v>
          </cell>
          <cell r="J121">
            <v>0</v>
          </cell>
          <cell r="K121">
            <v>1</v>
          </cell>
          <cell r="L121">
            <v>0</v>
          </cell>
          <cell r="M121">
            <v>0</v>
          </cell>
        </row>
        <row r="122">
          <cell r="A122" t="str">
            <v>CS-LY171-WR917-L</v>
          </cell>
          <cell r="B122">
            <v>0</v>
          </cell>
          <cell r="C122">
            <v>0</v>
          </cell>
          <cell r="D122">
            <v>0</v>
          </cell>
          <cell r="E122">
            <v>33</v>
          </cell>
          <cell r="F122">
            <v>0</v>
          </cell>
          <cell r="G122">
            <v>0</v>
          </cell>
          <cell r="H122">
            <v>31</v>
          </cell>
          <cell r="I122">
            <v>1</v>
          </cell>
          <cell r="J122">
            <v>0.26</v>
          </cell>
          <cell r="K122">
            <v>149</v>
          </cell>
          <cell r="L122">
            <v>0</v>
          </cell>
          <cell r="M122">
            <v>0</v>
          </cell>
        </row>
        <row r="123">
          <cell r="A123" t="str">
            <v>CS-LY171-WR917-M</v>
          </cell>
          <cell r="B123">
            <v>0</v>
          </cell>
          <cell r="C123">
            <v>0</v>
          </cell>
          <cell r="D123">
            <v>0</v>
          </cell>
          <cell r="E123">
            <v>31</v>
          </cell>
          <cell r="F123">
            <v>0</v>
          </cell>
          <cell r="G123">
            <v>0</v>
          </cell>
          <cell r="H123">
            <v>16</v>
          </cell>
          <cell r="I123">
            <v>0</v>
          </cell>
          <cell r="J123">
            <v>0</v>
          </cell>
          <cell r="K123">
            <v>35</v>
          </cell>
          <cell r="L123">
            <v>0</v>
          </cell>
          <cell r="M123">
            <v>0</v>
          </cell>
        </row>
        <row r="124">
          <cell r="A124" t="str">
            <v>CS-LY171-WR917-S</v>
          </cell>
          <cell r="B124">
            <v>0</v>
          </cell>
          <cell r="C124">
            <v>0</v>
          </cell>
          <cell r="D124">
            <v>0</v>
          </cell>
          <cell r="E124">
            <v>6</v>
          </cell>
          <cell r="F124">
            <v>0</v>
          </cell>
          <cell r="G124">
            <v>0</v>
          </cell>
          <cell r="H124">
            <v>4</v>
          </cell>
          <cell r="I124">
            <v>0</v>
          </cell>
          <cell r="J124">
            <v>0</v>
          </cell>
          <cell r="K124">
            <v>5</v>
          </cell>
          <cell r="L124">
            <v>0</v>
          </cell>
          <cell r="M124">
            <v>0</v>
          </cell>
        </row>
        <row r="125">
          <cell r="A125" t="str">
            <v>CS-LY171-WR917-XL</v>
          </cell>
          <cell r="B125">
            <v>0</v>
          </cell>
          <cell r="C125">
            <v>0</v>
          </cell>
          <cell r="D125">
            <v>0</v>
          </cell>
          <cell r="E125">
            <v>36</v>
          </cell>
          <cell r="F125">
            <v>0</v>
          </cell>
          <cell r="G125">
            <v>0</v>
          </cell>
          <cell r="H125">
            <v>20</v>
          </cell>
          <cell r="I125">
            <v>0</v>
          </cell>
          <cell r="J125">
            <v>0</v>
          </cell>
          <cell r="K125">
            <v>144</v>
          </cell>
          <cell r="L125">
            <v>1</v>
          </cell>
          <cell r="M125">
            <v>0.26</v>
          </cell>
        </row>
        <row r="126">
          <cell r="A126" t="str">
            <v>CS-LY171-ZL918-L</v>
          </cell>
          <cell r="B126">
            <v>0</v>
          </cell>
          <cell r="C126">
            <v>0</v>
          </cell>
          <cell r="D126">
            <v>0</v>
          </cell>
          <cell r="E126">
            <v>47</v>
          </cell>
          <cell r="F126">
            <v>0</v>
          </cell>
          <cell r="G126">
            <v>0</v>
          </cell>
          <cell r="H126">
            <v>18</v>
          </cell>
          <cell r="I126">
            <v>0</v>
          </cell>
          <cell r="J126">
            <v>0</v>
          </cell>
          <cell r="K126">
            <v>15</v>
          </cell>
          <cell r="L126">
            <v>0</v>
          </cell>
          <cell r="M126">
            <v>0</v>
          </cell>
        </row>
        <row r="127">
          <cell r="A127" t="str">
            <v>CS-LY171-ZL918-M</v>
          </cell>
          <cell r="B127">
            <v>0</v>
          </cell>
          <cell r="C127">
            <v>0</v>
          </cell>
          <cell r="D127">
            <v>0</v>
          </cell>
          <cell r="E127">
            <v>59</v>
          </cell>
          <cell r="F127">
            <v>0</v>
          </cell>
          <cell r="G127">
            <v>0</v>
          </cell>
          <cell r="H127">
            <v>16</v>
          </cell>
          <cell r="I127">
            <v>0</v>
          </cell>
          <cell r="J127">
            <v>0</v>
          </cell>
          <cell r="K127">
            <v>1</v>
          </cell>
          <cell r="L127">
            <v>0</v>
          </cell>
          <cell r="M127">
            <v>0</v>
          </cell>
        </row>
        <row r="128">
          <cell r="A128" t="str">
            <v>BS-BN-1501-BO-3XL</v>
          </cell>
          <cell r="B128">
            <v>0</v>
          </cell>
          <cell r="C128">
            <v>0</v>
          </cell>
          <cell r="D128">
            <v>0</v>
          </cell>
          <cell r="E128">
            <v>22733</v>
          </cell>
          <cell r="F128">
            <v>59</v>
          </cell>
          <cell r="G128">
            <v>7.94</v>
          </cell>
          <cell r="H128">
            <v>25674</v>
          </cell>
          <cell r="I128">
            <v>36</v>
          </cell>
          <cell r="J128">
            <v>5.09</v>
          </cell>
          <cell r="K128">
            <v>0</v>
          </cell>
          <cell r="L128">
            <v>0</v>
          </cell>
          <cell r="M128">
            <v>0</v>
          </cell>
        </row>
        <row r="129">
          <cell r="A129" t="str">
            <v>BS-BN-1501-RO-2XL</v>
          </cell>
          <cell r="B129">
            <v>0</v>
          </cell>
          <cell r="C129">
            <v>0</v>
          </cell>
          <cell r="D129">
            <v>0</v>
          </cell>
          <cell r="E129">
            <v>20774</v>
          </cell>
          <cell r="F129">
            <v>0</v>
          </cell>
          <cell r="G129">
            <v>0</v>
          </cell>
          <cell r="H129">
            <v>55</v>
          </cell>
          <cell r="I129">
            <v>0</v>
          </cell>
          <cell r="J129">
            <v>0</v>
          </cell>
          <cell r="K129">
            <v>1375</v>
          </cell>
          <cell r="L129">
            <v>4</v>
          </cell>
          <cell r="M129">
            <v>0.63</v>
          </cell>
        </row>
        <row r="130">
          <cell r="A130" t="str">
            <v>CS-LY181-G912-L</v>
          </cell>
          <cell r="B130">
            <v>0</v>
          </cell>
          <cell r="C130">
            <v>0</v>
          </cell>
          <cell r="D130">
            <v>0</v>
          </cell>
          <cell r="E130">
            <v>639</v>
          </cell>
          <cell r="F130">
            <v>1</v>
          </cell>
          <cell r="G130">
            <v>0.23</v>
          </cell>
          <cell r="H130">
            <v>284</v>
          </cell>
          <cell r="I130">
            <v>0</v>
          </cell>
          <cell r="J130">
            <v>0</v>
          </cell>
          <cell r="K130">
            <v>344</v>
          </cell>
          <cell r="L130">
            <v>2</v>
          </cell>
          <cell r="M130">
            <v>0.23</v>
          </cell>
        </row>
        <row r="131">
          <cell r="A131" t="str">
            <v>CS-LY181-G912-M</v>
          </cell>
          <cell r="B131">
            <v>0</v>
          </cell>
          <cell r="C131">
            <v>0</v>
          </cell>
          <cell r="D131">
            <v>0</v>
          </cell>
          <cell r="E131">
            <v>0</v>
          </cell>
          <cell r="F131">
            <v>0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>
            <v>77</v>
          </cell>
          <cell r="L131">
            <v>0</v>
          </cell>
          <cell r="M131">
            <v>0</v>
          </cell>
        </row>
        <row r="132">
          <cell r="A132" t="str">
            <v>CS-LY181-LB916-L</v>
          </cell>
          <cell r="B132">
            <v>0</v>
          </cell>
          <cell r="C132">
            <v>0</v>
          </cell>
          <cell r="D132">
            <v>0</v>
          </cell>
          <cell r="E132">
            <v>1449</v>
          </cell>
          <cell r="F132">
            <v>2</v>
          </cell>
          <cell r="G132">
            <v>0.42</v>
          </cell>
          <cell r="H132">
            <v>671</v>
          </cell>
          <cell r="I132">
            <v>2</v>
          </cell>
          <cell r="J132">
            <v>0.37</v>
          </cell>
          <cell r="K132">
            <v>67</v>
          </cell>
          <cell r="L132">
            <v>0</v>
          </cell>
          <cell r="M132">
            <v>0</v>
          </cell>
        </row>
        <row r="133">
          <cell r="A133" t="str">
            <v>CS-LY181-PI908-M</v>
          </cell>
          <cell r="B133">
            <v>0</v>
          </cell>
          <cell r="C133">
            <v>0</v>
          </cell>
          <cell r="D133">
            <v>0</v>
          </cell>
          <cell r="E133">
            <v>308</v>
          </cell>
          <cell r="F133">
            <v>1</v>
          </cell>
          <cell r="G133">
            <v>0.1</v>
          </cell>
          <cell r="H133">
            <v>128</v>
          </cell>
          <cell r="I133">
            <v>0</v>
          </cell>
          <cell r="J133">
            <v>0</v>
          </cell>
          <cell r="K133">
            <v>381</v>
          </cell>
          <cell r="L133">
            <v>1</v>
          </cell>
          <cell r="M133">
            <v>0.2</v>
          </cell>
        </row>
        <row r="134">
          <cell r="A134" t="str">
            <v>CS-LY181-PI908-XL</v>
          </cell>
          <cell r="B134">
            <v>0</v>
          </cell>
          <cell r="C134">
            <v>0</v>
          </cell>
          <cell r="D134">
            <v>0</v>
          </cell>
          <cell r="E134">
            <v>1801</v>
          </cell>
          <cell r="F134">
            <v>10</v>
          </cell>
          <cell r="G134">
            <v>1.51</v>
          </cell>
          <cell r="H134">
            <v>737</v>
          </cell>
          <cell r="I134">
            <v>1</v>
          </cell>
          <cell r="J134">
            <v>0.02</v>
          </cell>
          <cell r="K134">
            <v>1283</v>
          </cell>
          <cell r="L134">
            <v>6</v>
          </cell>
          <cell r="M134">
            <v>1.28</v>
          </cell>
        </row>
        <row r="135">
          <cell r="A135" t="str">
            <v>CS-LY181-PI908-XXL</v>
          </cell>
          <cell r="B135">
            <v>0</v>
          </cell>
          <cell r="C135">
            <v>0</v>
          </cell>
          <cell r="D135">
            <v>0</v>
          </cell>
          <cell r="E135">
            <v>576</v>
          </cell>
          <cell r="F135">
            <v>1</v>
          </cell>
          <cell r="G135">
            <v>0.09</v>
          </cell>
          <cell r="H135">
            <v>2515</v>
          </cell>
          <cell r="I135">
            <v>5</v>
          </cell>
          <cell r="J135">
            <v>0.88</v>
          </cell>
          <cell r="K135">
            <v>379</v>
          </cell>
          <cell r="L135">
            <v>2</v>
          </cell>
          <cell r="M135">
            <v>0.36</v>
          </cell>
        </row>
        <row r="136">
          <cell r="A136" t="str">
            <v>CS-LY181-WR917-L</v>
          </cell>
          <cell r="B136">
            <v>0</v>
          </cell>
          <cell r="C136">
            <v>0</v>
          </cell>
          <cell r="D136">
            <v>0</v>
          </cell>
          <cell r="E136">
            <v>635</v>
          </cell>
          <cell r="F136">
            <v>1</v>
          </cell>
          <cell r="G136">
            <v>0.23</v>
          </cell>
          <cell r="H136">
            <v>540</v>
          </cell>
          <cell r="I136">
            <v>1</v>
          </cell>
          <cell r="J136">
            <v>0.21</v>
          </cell>
          <cell r="K136">
            <v>1556</v>
          </cell>
          <cell r="L136">
            <v>2</v>
          </cell>
          <cell r="M136">
            <v>0.19</v>
          </cell>
        </row>
        <row r="137">
          <cell r="A137" t="str">
            <v>CS-LY181-WR917-M</v>
          </cell>
          <cell r="B137">
            <v>0</v>
          </cell>
          <cell r="C137">
            <v>0</v>
          </cell>
          <cell r="D137">
            <v>0</v>
          </cell>
          <cell r="E137">
            <v>115</v>
          </cell>
          <cell r="F137">
            <v>0</v>
          </cell>
          <cell r="G137">
            <v>0</v>
          </cell>
          <cell r="H137">
            <v>353</v>
          </cell>
          <cell r="I137">
            <v>0</v>
          </cell>
          <cell r="J137">
            <v>0</v>
          </cell>
          <cell r="K137">
            <v>518</v>
          </cell>
          <cell r="L137">
            <v>2</v>
          </cell>
          <cell r="M137">
            <v>0.46</v>
          </cell>
        </row>
        <row r="138">
          <cell r="A138" t="str">
            <v>CS-LY181-ZL918-M</v>
          </cell>
          <cell r="B138">
            <v>0</v>
          </cell>
          <cell r="C138">
            <v>0</v>
          </cell>
          <cell r="D138">
            <v>0</v>
          </cell>
          <cell r="E138">
            <v>1178</v>
          </cell>
          <cell r="F138">
            <v>1</v>
          </cell>
          <cell r="G138">
            <v>0.22</v>
          </cell>
          <cell r="H138">
            <v>35</v>
          </cell>
          <cell r="I138">
            <v>0</v>
          </cell>
          <cell r="J138">
            <v>0</v>
          </cell>
          <cell r="K138">
            <v>71</v>
          </cell>
          <cell r="L138">
            <v>2</v>
          </cell>
          <cell r="M138">
            <v>0.26</v>
          </cell>
        </row>
        <row r="139">
          <cell r="A139" t="str">
            <v>CS-LY181-ZL918-XL</v>
          </cell>
          <cell r="B139">
            <v>0</v>
          </cell>
          <cell r="C139">
            <v>0</v>
          </cell>
          <cell r="D139">
            <v>0</v>
          </cell>
          <cell r="E139">
            <v>0</v>
          </cell>
          <cell r="F139">
            <v>0</v>
          </cell>
          <cell r="G139">
            <v>0</v>
          </cell>
          <cell r="H139">
            <v>51</v>
          </cell>
          <cell r="I139">
            <v>2</v>
          </cell>
          <cell r="J139">
            <v>0.39</v>
          </cell>
          <cell r="K139">
            <v>150</v>
          </cell>
          <cell r="L139">
            <v>1</v>
          </cell>
          <cell r="M139">
            <v>0.21</v>
          </cell>
        </row>
        <row r="140">
          <cell r="A140" t="str">
            <v>WQS-BN-1503-BO-2XL</v>
          </cell>
          <cell r="B140">
            <v>0</v>
          </cell>
          <cell r="C140">
            <v>0</v>
          </cell>
          <cell r="D140">
            <v>0</v>
          </cell>
          <cell r="E140">
            <v>186</v>
          </cell>
          <cell r="F140">
            <v>0</v>
          </cell>
          <cell r="G140">
            <v>0</v>
          </cell>
          <cell r="H140">
            <v>24</v>
          </cell>
          <cell r="I140">
            <v>0</v>
          </cell>
          <cell r="J140">
            <v>0</v>
          </cell>
          <cell r="K140">
            <v>16</v>
          </cell>
          <cell r="L140">
            <v>0</v>
          </cell>
          <cell r="M140">
            <v>0</v>
          </cell>
        </row>
        <row r="141">
          <cell r="A141" t="str">
            <v>WQS-BN-1503-BO-L</v>
          </cell>
          <cell r="B141">
            <v>0</v>
          </cell>
          <cell r="C141">
            <v>0</v>
          </cell>
          <cell r="D141">
            <v>0</v>
          </cell>
          <cell r="E141">
            <v>0</v>
          </cell>
          <cell r="F141">
            <v>0</v>
          </cell>
          <cell r="G141">
            <v>0</v>
          </cell>
          <cell r="H141">
            <v>169</v>
          </cell>
          <cell r="I141">
            <v>0</v>
          </cell>
          <cell r="J141">
            <v>0</v>
          </cell>
          <cell r="K141">
            <v>1098</v>
          </cell>
          <cell r="L141">
            <v>6</v>
          </cell>
          <cell r="M141">
            <v>0.77</v>
          </cell>
        </row>
        <row r="142">
          <cell r="A142" t="str">
            <v>WQS-BN-1503-BO-S</v>
          </cell>
          <cell r="B142">
            <v>0</v>
          </cell>
          <cell r="C142">
            <v>0</v>
          </cell>
          <cell r="D142">
            <v>0</v>
          </cell>
          <cell r="E142">
            <v>361</v>
          </cell>
          <cell r="F142">
            <v>1</v>
          </cell>
          <cell r="G142">
            <v>0.14</v>
          </cell>
          <cell r="H142">
            <v>181</v>
          </cell>
          <cell r="I142">
            <v>2</v>
          </cell>
          <cell r="J142">
            <v>0.29</v>
          </cell>
          <cell r="K142">
            <v>133</v>
          </cell>
          <cell r="L142">
            <v>1</v>
          </cell>
          <cell r="M142">
            <v>0.18</v>
          </cell>
        </row>
        <row r="143">
          <cell r="A143" t="str">
            <v>WQS-BN-1503-BO-XL</v>
          </cell>
          <cell r="B143">
            <v>0</v>
          </cell>
          <cell r="C143">
            <v>0</v>
          </cell>
          <cell r="D143">
            <v>0</v>
          </cell>
          <cell r="E143">
            <v>3218</v>
          </cell>
          <cell r="F143">
            <v>10</v>
          </cell>
          <cell r="G143">
            <v>1.29</v>
          </cell>
          <cell r="H143">
            <v>537</v>
          </cell>
          <cell r="I143">
            <v>6</v>
          </cell>
          <cell r="J143">
            <v>0.72</v>
          </cell>
          <cell r="K143">
            <v>445</v>
          </cell>
          <cell r="L143">
            <v>2</v>
          </cell>
          <cell r="M143">
            <v>0.2</v>
          </cell>
        </row>
        <row r="144">
          <cell r="A144" t="str">
            <v>WQS-BN-1503-GR-2XL</v>
          </cell>
          <cell r="B144">
            <v>0</v>
          </cell>
          <cell r="C144">
            <v>0</v>
          </cell>
          <cell r="D144">
            <v>0</v>
          </cell>
          <cell r="E144">
            <v>1239</v>
          </cell>
          <cell r="F144">
            <v>5</v>
          </cell>
          <cell r="G144">
            <v>0.85</v>
          </cell>
          <cell r="H144">
            <v>7229</v>
          </cell>
          <cell r="I144">
            <v>15</v>
          </cell>
          <cell r="J144">
            <v>1.92</v>
          </cell>
          <cell r="K144">
            <v>337</v>
          </cell>
          <cell r="L144">
            <v>1</v>
          </cell>
          <cell r="M144">
            <v>0.15</v>
          </cell>
        </row>
        <row r="145">
          <cell r="A145" t="str">
            <v>WQS-BN-1503-GR-L</v>
          </cell>
          <cell r="B145">
            <v>0</v>
          </cell>
          <cell r="C145">
            <v>0</v>
          </cell>
          <cell r="D145">
            <v>0</v>
          </cell>
          <cell r="E145">
            <v>2951</v>
          </cell>
          <cell r="F145">
            <v>4</v>
          </cell>
          <cell r="G145">
            <v>0.63</v>
          </cell>
          <cell r="H145">
            <v>689</v>
          </cell>
          <cell r="I145">
            <v>4</v>
          </cell>
          <cell r="J145">
            <v>0.61</v>
          </cell>
          <cell r="K145">
            <v>667</v>
          </cell>
          <cell r="L145">
            <v>3</v>
          </cell>
          <cell r="M145">
            <v>0.39</v>
          </cell>
        </row>
        <row r="146">
          <cell r="A146" t="str">
            <v>WQS-BN-1503-GR-M</v>
          </cell>
          <cell r="B146">
            <v>0</v>
          </cell>
          <cell r="C146">
            <v>0</v>
          </cell>
          <cell r="D146">
            <v>0</v>
          </cell>
          <cell r="E146">
            <v>1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17</v>
          </cell>
          <cell r="L146">
            <v>0</v>
          </cell>
          <cell r="M146">
            <v>0</v>
          </cell>
        </row>
        <row r="147">
          <cell r="A147" t="str">
            <v>WQS-BN-1503-GR-S</v>
          </cell>
          <cell r="B147">
            <v>0</v>
          </cell>
          <cell r="C147">
            <v>0</v>
          </cell>
          <cell r="D147">
            <v>0</v>
          </cell>
          <cell r="E147">
            <v>645</v>
          </cell>
          <cell r="F147">
            <v>2</v>
          </cell>
          <cell r="G147">
            <v>0.19</v>
          </cell>
          <cell r="H147">
            <v>127</v>
          </cell>
          <cell r="I147">
            <v>2</v>
          </cell>
          <cell r="J147">
            <v>0.32</v>
          </cell>
          <cell r="K147">
            <v>202</v>
          </cell>
          <cell r="L147">
            <v>1</v>
          </cell>
          <cell r="M147">
            <v>0.2</v>
          </cell>
        </row>
        <row r="148">
          <cell r="A148" t="str">
            <v>WQS-BN-1503-KO-L</v>
          </cell>
          <cell r="B148">
            <v>0</v>
          </cell>
          <cell r="C148">
            <v>0</v>
          </cell>
          <cell r="D148">
            <v>0</v>
          </cell>
          <cell r="E148">
            <v>1495</v>
          </cell>
          <cell r="F148">
            <v>15</v>
          </cell>
          <cell r="G148">
            <v>2.08</v>
          </cell>
          <cell r="H148">
            <v>86</v>
          </cell>
          <cell r="I148">
            <v>3</v>
          </cell>
          <cell r="J148">
            <v>0.26</v>
          </cell>
          <cell r="K148">
            <v>456</v>
          </cell>
          <cell r="L148">
            <v>13</v>
          </cell>
          <cell r="M148">
            <v>1.65</v>
          </cell>
        </row>
        <row r="149">
          <cell r="A149" t="str">
            <v>WQS-BN-1503-KO-M</v>
          </cell>
          <cell r="B149">
            <v>0</v>
          </cell>
          <cell r="C149">
            <v>0</v>
          </cell>
          <cell r="D149">
            <v>0</v>
          </cell>
          <cell r="E149">
            <v>0</v>
          </cell>
          <cell r="F149">
            <v>0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  <cell r="K149">
            <v>4661</v>
          </cell>
          <cell r="L149">
            <v>56</v>
          </cell>
          <cell r="M149">
            <v>8.91</v>
          </cell>
        </row>
        <row r="150">
          <cell r="A150" t="str">
            <v>WQS-BN-1503-KO-S</v>
          </cell>
          <cell r="B150">
            <v>0</v>
          </cell>
          <cell r="C150">
            <v>0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104</v>
          </cell>
          <cell r="I150">
            <v>0</v>
          </cell>
          <cell r="J150">
            <v>0</v>
          </cell>
          <cell r="K150">
            <v>233</v>
          </cell>
          <cell r="L150">
            <v>2</v>
          </cell>
          <cell r="M150">
            <v>0.19</v>
          </cell>
        </row>
        <row r="151">
          <cell r="A151" t="str">
            <v>WQS-BN-1503-RO-2XL</v>
          </cell>
          <cell r="B151">
            <v>0</v>
          </cell>
          <cell r="C151">
            <v>0</v>
          </cell>
          <cell r="D151">
            <v>0</v>
          </cell>
          <cell r="E151">
            <v>256</v>
          </cell>
          <cell r="F151">
            <v>0</v>
          </cell>
          <cell r="G151">
            <v>0</v>
          </cell>
          <cell r="H151">
            <v>137</v>
          </cell>
          <cell r="I151">
            <v>1</v>
          </cell>
          <cell r="J151">
            <v>0.11</v>
          </cell>
          <cell r="K151">
            <v>348</v>
          </cell>
          <cell r="L151">
            <v>1</v>
          </cell>
          <cell r="M151">
            <v>0.16</v>
          </cell>
        </row>
        <row r="152">
          <cell r="A152" t="str">
            <v>WQS-BN-1503-RO-L</v>
          </cell>
          <cell r="B152">
            <v>0</v>
          </cell>
          <cell r="C152">
            <v>0</v>
          </cell>
          <cell r="D152">
            <v>0</v>
          </cell>
          <cell r="E152">
            <v>0</v>
          </cell>
          <cell r="F152">
            <v>0</v>
          </cell>
          <cell r="G152">
            <v>0</v>
          </cell>
          <cell r="H152">
            <v>893</v>
          </cell>
          <cell r="I152">
            <v>6</v>
          </cell>
          <cell r="J152">
            <v>0.9</v>
          </cell>
          <cell r="K152">
            <v>3097</v>
          </cell>
          <cell r="L152">
            <v>13</v>
          </cell>
          <cell r="M152">
            <v>1.58</v>
          </cell>
        </row>
        <row r="153">
          <cell r="A153" t="str">
            <v>WQS-BN-1503-RO-S</v>
          </cell>
          <cell r="B153">
            <v>0</v>
          </cell>
          <cell r="C153">
            <v>0</v>
          </cell>
          <cell r="D153">
            <v>0</v>
          </cell>
          <cell r="E153">
            <v>623</v>
          </cell>
          <cell r="F153">
            <v>2</v>
          </cell>
          <cell r="G153">
            <v>0.31</v>
          </cell>
          <cell r="H153">
            <v>119</v>
          </cell>
          <cell r="I153">
            <v>0</v>
          </cell>
          <cell r="J153">
            <v>0</v>
          </cell>
          <cell r="K153">
            <v>140</v>
          </cell>
          <cell r="L153">
            <v>0</v>
          </cell>
          <cell r="M153">
            <v>0</v>
          </cell>
        </row>
        <row r="154">
          <cell r="A154" t="str">
            <v>WQS-BN-1503-RO-XL</v>
          </cell>
          <cell r="B154">
            <v>0</v>
          </cell>
          <cell r="C154">
            <v>0</v>
          </cell>
          <cell r="D154">
            <v>0</v>
          </cell>
          <cell r="E154">
            <v>0</v>
          </cell>
          <cell r="F154">
            <v>0</v>
          </cell>
          <cell r="G154">
            <v>0</v>
          </cell>
          <cell r="H154">
            <v>274</v>
          </cell>
          <cell r="I154">
            <v>1</v>
          </cell>
          <cell r="J154">
            <v>0.2</v>
          </cell>
          <cell r="K154">
            <v>1385</v>
          </cell>
          <cell r="L154">
            <v>13</v>
          </cell>
          <cell r="M154">
            <v>2.15</v>
          </cell>
        </row>
        <row r="155">
          <cell r="A155" t="str">
            <v>WQS-BN-1503-WO-2XL</v>
          </cell>
          <cell r="B155">
            <v>0</v>
          </cell>
          <cell r="C155">
            <v>0</v>
          </cell>
          <cell r="D155">
            <v>0</v>
          </cell>
          <cell r="E155">
            <v>601</v>
          </cell>
          <cell r="F155">
            <v>2</v>
          </cell>
          <cell r="G155">
            <v>0.23</v>
          </cell>
          <cell r="H155">
            <v>73</v>
          </cell>
          <cell r="I155">
            <v>0</v>
          </cell>
          <cell r="J155">
            <v>0</v>
          </cell>
          <cell r="K155">
            <v>152</v>
          </cell>
          <cell r="L155">
            <v>1</v>
          </cell>
          <cell r="M155">
            <v>0.05</v>
          </cell>
        </row>
        <row r="156">
          <cell r="A156" t="str">
            <v>WQS-BN-1503-WO-L</v>
          </cell>
          <cell r="B156">
            <v>0</v>
          </cell>
          <cell r="C156">
            <v>0</v>
          </cell>
          <cell r="D156">
            <v>0</v>
          </cell>
          <cell r="E156">
            <v>1671</v>
          </cell>
          <cell r="F156">
            <v>14</v>
          </cell>
          <cell r="G156">
            <v>1.76</v>
          </cell>
          <cell r="H156">
            <v>415</v>
          </cell>
          <cell r="I156">
            <v>3</v>
          </cell>
          <cell r="J156">
            <v>0.49</v>
          </cell>
          <cell r="K156">
            <v>268</v>
          </cell>
          <cell r="L156">
            <v>1</v>
          </cell>
          <cell r="M156">
            <v>0.19</v>
          </cell>
        </row>
        <row r="157">
          <cell r="A157" t="str">
            <v>WQS-BN-1503-WO-M</v>
          </cell>
          <cell r="B157">
            <v>0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121</v>
          </cell>
          <cell r="I157">
            <v>0</v>
          </cell>
          <cell r="J157">
            <v>0</v>
          </cell>
          <cell r="K157">
            <v>486</v>
          </cell>
          <cell r="L157">
            <v>3</v>
          </cell>
          <cell r="M157">
            <v>0.46</v>
          </cell>
        </row>
        <row r="158">
          <cell r="A158" t="str">
            <v>WQS-BN-1503-WO-S</v>
          </cell>
          <cell r="B158">
            <v>0</v>
          </cell>
          <cell r="C158">
            <v>0</v>
          </cell>
          <cell r="D158">
            <v>0</v>
          </cell>
          <cell r="E158">
            <v>130</v>
          </cell>
          <cell r="F158">
            <v>0</v>
          </cell>
          <cell r="G158">
            <v>0</v>
          </cell>
          <cell r="H158">
            <v>185</v>
          </cell>
          <cell r="I158">
            <v>0</v>
          </cell>
          <cell r="J158">
            <v>0</v>
          </cell>
          <cell r="K158">
            <v>628</v>
          </cell>
          <cell r="L158">
            <v>2</v>
          </cell>
          <cell r="M158">
            <v>0.31</v>
          </cell>
        </row>
        <row r="159">
          <cell r="A159" t="str">
            <v>WQS-BN-1503-WO-XL</v>
          </cell>
          <cell r="B159">
            <v>0</v>
          </cell>
          <cell r="C159">
            <v>0</v>
          </cell>
          <cell r="D159">
            <v>0</v>
          </cell>
          <cell r="E159">
            <v>2608</v>
          </cell>
          <cell r="F159">
            <v>5</v>
          </cell>
          <cell r="G159">
            <v>0.86</v>
          </cell>
          <cell r="H159">
            <v>3138</v>
          </cell>
          <cell r="I159">
            <v>11</v>
          </cell>
          <cell r="J159">
            <v>1.39</v>
          </cell>
          <cell r="K159">
            <v>768</v>
          </cell>
          <cell r="L159">
            <v>4</v>
          </cell>
          <cell r="M159">
            <v>0.57</v>
          </cell>
        </row>
        <row r="160">
          <cell r="A160" t="str">
            <v>CS-LY171-Sa911-S</v>
          </cell>
          <cell r="B160">
            <v>0</v>
          </cell>
          <cell r="C160">
            <v>0</v>
          </cell>
          <cell r="D160">
            <v>0</v>
          </cell>
          <cell r="E160">
            <v>5</v>
          </cell>
          <cell r="F160">
            <v>0</v>
          </cell>
          <cell r="G160">
            <v>0</v>
          </cell>
          <cell r="H160">
            <v>1</v>
          </cell>
          <cell r="I160">
            <v>0</v>
          </cell>
          <cell r="J160">
            <v>0</v>
          </cell>
          <cell r="K160">
            <v>1</v>
          </cell>
          <cell r="L160">
            <v>0</v>
          </cell>
          <cell r="M160">
            <v>0</v>
          </cell>
        </row>
        <row r="161">
          <cell r="A161" t="str">
            <v>YZ-BS-BSLLK03XL</v>
          </cell>
          <cell r="B161">
            <v>0</v>
          </cell>
          <cell r="C161">
            <v>0</v>
          </cell>
          <cell r="D161">
            <v>0</v>
          </cell>
          <cell r="E161">
            <v>473</v>
          </cell>
          <cell r="F161">
            <v>2</v>
          </cell>
          <cell r="G161">
            <v>0.36</v>
          </cell>
          <cell r="H161">
            <v>2552</v>
          </cell>
          <cell r="I161">
            <v>6</v>
          </cell>
          <cell r="J161">
            <v>0.6</v>
          </cell>
          <cell r="K161">
            <v>7750</v>
          </cell>
          <cell r="L161">
            <v>21</v>
          </cell>
          <cell r="M161">
            <v>2.18</v>
          </cell>
        </row>
        <row r="162">
          <cell r="A162" t="str">
            <v>XZ-BS-PW-2001-C0-39</v>
          </cell>
          <cell r="B162">
            <v>0</v>
          </cell>
          <cell r="C162">
            <v>0</v>
          </cell>
          <cell r="D162">
            <v>0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>
            <v>528</v>
          </cell>
          <cell r="L162">
            <v>1</v>
          </cell>
          <cell r="M162">
            <v>0.16</v>
          </cell>
        </row>
        <row r="163">
          <cell r="A163" t="str">
            <v>CS-LY171-WR917-XXL</v>
          </cell>
          <cell r="B163">
            <v>0</v>
          </cell>
          <cell r="C163">
            <v>0</v>
          </cell>
          <cell r="D163">
            <v>0</v>
          </cell>
          <cell r="E163">
            <v>8</v>
          </cell>
          <cell r="F163">
            <v>0</v>
          </cell>
          <cell r="G163">
            <v>0</v>
          </cell>
          <cell r="H163">
            <v>1</v>
          </cell>
          <cell r="I163">
            <v>0</v>
          </cell>
          <cell r="J163">
            <v>0</v>
          </cell>
          <cell r="K163">
            <v>1</v>
          </cell>
          <cell r="L163">
            <v>0</v>
          </cell>
          <cell r="M163">
            <v>0</v>
          </cell>
        </row>
        <row r="164">
          <cell r="A164" t="str">
            <v>CS-LY171-ZL918-XL</v>
          </cell>
          <cell r="B164">
            <v>0</v>
          </cell>
          <cell r="C164">
            <v>0</v>
          </cell>
          <cell r="D164">
            <v>0</v>
          </cell>
          <cell r="E164">
            <v>7</v>
          </cell>
          <cell r="F164">
            <v>0</v>
          </cell>
          <cell r="G164">
            <v>0</v>
          </cell>
          <cell r="H164">
            <v>2</v>
          </cell>
          <cell r="I164">
            <v>0</v>
          </cell>
          <cell r="J164">
            <v>0</v>
          </cell>
          <cell r="K164">
            <v>1</v>
          </cell>
          <cell r="L164">
            <v>0</v>
          </cell>
          <cell r="M164">
            <v>0</v>
          </cell>
        </row>
        <row r="165">
          <cell r="A165" t="str">
            <v>CS-LY171-ZL918-XXL</v>
          </cell>
          <cell r="B165">
            <v>0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1</v>
          </cell>
          <cell r="L165">
            <v>0</v>
          </cell>
          <cell r="M165">
            <v>0</v>
          </cell>
        </row>
        <row r="166">
          <cell r="A166" t="str">
            <v>CS-LY181-G912-XL</v>
          </cell>
          <cell r="B166">
            <v>0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51</v>
          </cell>
          <cell r="L166">
            <v>0</v>
          </cell>
          <cell r="M166">
            <v>0</v>
          </cell>
        </row>
        <row r="167">
          <cell r="A167" t="str">
            <v>CS-LY181-Sa911-L</v>
          </cell>
          <cell r="B167">
            <v>0</v>
          </cell>
          <cell r="C167">
            <v>0</v>
          </cell>
          <cell r="D167">
            <v>0</v>
          </cell>
          <cell r="E167">
            <v>0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>
            <v>141</v>
          </cell>
          <cell r="L167">
            <v>2</v>
          </cell>
          <cell r="M167">
            <v>0.5</v>
          </cell>
        </row>
        <row r="168">
          <cell r="A168" t="str">
            <v>WQS-BN-1503-RO-M</v>
          </cell>
          <cell r="B168">
            <v>0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86</v>
          </cell>
          <cell r="I168">
            <v>0</v>
          </cell>
          <cell r="J168">
            <v>0</v>
          </cell>
          <cell r="K168">
            <v>42</v>
          </cell>
          <cell r="L168">
            <v>1</v>
          </cell>
          <cell r="M168">
            <v>0.08</v>
          </cell>
        </row>
        <row r="169">
          <cell r="A169" t="str">
            <v>CS-LY171-LG907-XL</v>
          </cell>
          <cell r="B169">
            <v>0</v>
          </cell>
          <cell r="C169">
            <v>0</v>
          </cell>
          <cell r="D169">
            <v>0</v>
          </cell>
          <cell r="E169">
            <v>13</v>
          </cell>
          <cell r="F169">
            <v>0</v>
          </cell>
          <cell r="G169">
            <v>0</v>
          </cell>
          <cell r="H169">
            <v>18</v>
          </cell>
          <cell r="I169">
            <v>1</v>
          </cell>
          <cell r="J169">
            <v>0.26</v>
          </cell>
          <cell r="K169">
            <v>0</v>
          </cell>
          <cell r="L169">
            <v>0</v>
          </cell>
          <cell r="M169">
            <v>0</v>
          </cell>
        </row>
        <row r="170">
          <cell r="A170" t="str">
            <v>CS-LY181-LB916-M</v>
          </cell>
          <cell r="B170">
            <v>0</v>
          </cell>
          <cell r="C170">
            <v>0</v>
          </cell>
          <cell r="D170">
            <v>0</v>
          </cell>
          <cell r="E170">
            <v>259</v>
          </cell>
          <cell r="F170">
            <v>2</v>
          </cell>
          <cell r="G170">
            <v>0.42</v>
          </cell>
          <cell r="H170">
            <v>49</v>
          </cell>
          <cell r="I170">
            <v>0</v>
          </cell>
          <cell r="J170">
            <v>0</v>
          </cell>
          <cell r="K170">
            <v>0</v>
          </cell>
          <cell r="L170">
            <v>0</v>
          </cell>
          <cell r="M170">
            <v>0</v>
          </cell>
        </row>
        <row r="171">
          <cell r="A171" t="str">
            <v>CS-LY181-LG907-M</v>
          </cell>
          <cell r="B171">
            <v>0</v>
          </cell>
          <cell r="C171">
            <v>0</v>
          </cell>
          <cell r="D171">
            <v>0</v>
          </cell>
          <cell r="E171">
            <v>181</v>
          </cell>
          <cell r="F171">
            <v>2</v>
          </cell>
          <cell r="G171">
            <v>0.33</v>
          </cell>
          <cell r="H171">
            <v>71</v>
          </cell>
          <cell r="I171">
            <v>2</v>
          </cell>
          <cell r="J171">
            <v>0.43</v>
          </cell>
          <cell r="K171">
            <v>0</v>
          </cell>
          <cell r="L171">
            <v>0</v>
          </cell>
          <cell r="M171">
            <v>0</v>
          </cell>
        </row>
        <row r="172">
          <cell r="A172" t="str">
            <v>CS-LY181-Sa911-M</v>
          </cell>
          <cell r="B172">
            <v>0</v>
          </cell>
          <cell r="C172">
            <v>0</v>
          </cell>
          <cell r="D172">
            <v>0</v>
          </cell>
          <cell r="E172">
            <v>227</v>
          </cell>
          <cell r="F172">
            <v>8</v>
          </cell>
          <cell r="G172">
            <v>1.67</v>
          </cell>
          <cell r="H172">
            <v>100</v>
          </cell>
          <cell r="I172">
            <v>2</v>
          </cell>
          <cell r="J172">
            <v>0.36</v>
          </cell>
          <cell r="K172">
            <v>0</v>
          </cell>
          <cell r="L172">
            <v>0</v>
          </cell>
          <cell r="M172">
            <v>0</v>
          </cell>
        </row>
        <row r="173">
          <cell r="A173" t="str">
            <v>WQS-BN-1503-KO-XL</v>
          </cell>
          <cell r="B173">
            <v>0</v>
          </cell>
          <cell r="C173">
            <v>0</v>
          </cell>
          <cell r="D173">
            <v>0</v>
          </cell>
          <cell r="E173">
            <v>0</v>
          </cell>
          <cell r="F173">
            <v>0</v>
          </cell>
          <cell r="G173">
            <v>0</v>
          </cell>
          <cell r="H173">
            <v>202</v>
          </cell>
          <cell r="I173">
            <v>3</v>
          </cell>
          <cell r="J173">
            <v>0.38</v>
          </cell>
          <cell r="K173">
            <v>0</v>
          </cell>
          <cell r="L173">
            <v>0</v>
          </cell>
          <cell r="M173">
            <v>0</v>
          </cell>
        </row>
      </sheetData>
      <sheetData sheetId="2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广告周报表"/>
      <sheetName val="库存使用数据"/>
      <sheetName val="time"/>
    </sheetNames>
    <sheetDataSet>
      <sheetData sheetId="0"/>
      <sheetData sheetId="1">
        <row r="1">
          <cell r="B1" t="str">
            <v>一周</v>
          </cell>
        </row>
        <row r="1">
          <cell r="E1" t="str">
            <v>二周</v>
          </cell>
        </row>
        <row r="1">
          <cell r="H1" t="str">
            <v>三周</v>
          </cell>
        </row>
        <row r="1">
          <cell r="K1" t="str">
            <v>四周</v>
          </cell>
        </row>
        <row r="2">
          <cell r="A2" t="str">
            <v>广告ASIN</v>
          </cell>
          <cell r="B2" t="str">
            <v>曝光量</v>
          </cell>
          <cell r="C2" t="str">
            <v>点击量</v>
          </cell>
          <cell r="D2" t="str">
            <v>广告费</v>
          </cell>
          <cell r="E2" t="str">
            <v>曝光量</v>
          </cell>
          <cell r="F2" t="str">
            <v>点击量</v>
          </cell>
          <cell r="G2" t="str">
            <v>广告费</v>
          </cell>
          <cell r="H2" t="str">
            <v>曝光量</v>
          </cell>
          <cell r="I2" t="str">
            <v>点击量</v>
          </cell>
          <cell r="J2" t="str">
            <v>广告费</v>
          </cell>
          <cell r="K2" t="str">
            <v>曝光量</v>
          </cell>
          <cell r="L2" t="str">
            <v>点击量</v>
          </cell>
          <cell r="M2" t="str">
            <v>广告费</v>
          </cell>
        </row>
        <row r="3">
          <cell r="A3" t="str">
            <v>YZ-BS-ZQ15827B0S</v>
          </cell>
          <cell r="B3">
            <v>17458</v>
          </cell>
          <cell r="C3">
            <v>148</v>
          </cell>
          <cell r="D3">
            <v>19.43</v>
          </cell>
          <cell r="E3">
            <v>11652</v>
          </cell>
          <cell r="F3">
            <v>65</v>
          </cell>
          <cell r="G3">
            <v>8.07</v>
          </cell>
          <cell r="H3">
            <v>5349</v>
          </cell>
          <cell r="I3">
            <v>52</v>
          </cell>
          <cell r="J3">
            <v>6.82</v>
          </cell>
          <cell r="K3">
            <v>7923</v>
          </cell>
          <cell r="L3">
            <v>40</v>
          </cell>
          <cell r="M3">
            <v>5.77</v>
          </cell>
        </row>
        <row r="4">
          <cell r="A4" t="str">
            <v>YZ-BS-BSLLHTM</v>
          </cell>
          <cell r="B4">
            <v>628</v>
          </cell>
          <cell r="C4">
            <v>2</v>
          </cell>
          <cell r="D4">
            <v>0.22</v>
          </cell>
          <cell r="E4">
            <v>27015</v>
          </cell>
          <cell r="F4">
            <v>94</v>
          </cell>
          <cell r="G4">
            <v>12</v>
          </cell>
          <cell r="H4">
            <v>3634</v>
          </cell>
          <cell r="I4">
            <v>40</v>
          </cell>
          <cell r="J4">
            <v>4.31</v>
          </cell>
          <cell r="K4">
            <v>2615</v>
          </cell>
          <cell r="L4">
            <v>27</v>
          </cell>
          <cell r="M4">
            <v>3.35</v>
          </cell>
        </row>
        <row r="5">
          <cell r="A5" t="str">
            <v>YZ-BS-BSLLITM</v>
          </cell>
          <cell r="B5">
            <v>8996</v>
          </cell>
          <cell r="C5">
            <v>61</v>
          </cell>
          <cell r="D5">
            <v>8.3</v>
          </cell>
          <cell r="E5">
            <v>15906</v>
          </cell>
          <cell r="F5">
            <v>170</v>
          </cell>
          <cell r="G5">
            <v>23.38</v>
          </cell>
          <cell r="H5">
            <v>9568</v>
          </cell>
          <cell r="I5">
            <v>107</v>
          </cell>
          <cell r="J5">
            <v>13.92</v>
          </cell>
          <cell r="K5">
            <v>20337</v>
          </cell>
          <cell r="L5">
            <v>90</v>
          </cell>
          <cell r="M5">
            <v>11.38</v>
          </cell>
        </row>
        <row r="6">
          <cell r="A6" t="str">
            <v>YZ-BS-BSLLK0M</v>
          </cell>
          <cell r="B6">
            <v>33046</v>
          </cell>
          <cell r="C6">
            <v>222</v>
          </cell>
          <cell r="D6">
            <v>27.51</v>
          </cell>
          <cell r="E6">
            <v>16678</v>
          </cell>
          <cell r="F6">
            <v>113</v>
          </cell>
          <cell r="G6">
            <v>15.7</v>
          </cell>
          <cell r="H6">
            <v>20388</v>
          </cell>
          <cell r="I6">
            <v>88</v>
          </cell>
          <cell r="J6">
            <v>11.48</v>
          </cell>
          <cell r="K6">
            <v>4696</v>
          </cell>
          <cell r="L6">
            <v>38</v>
          </cell>
          <cell r="M6">
            <v>5.31</v>
          </cell>
        </row>
        <row r="7">
          <cell r="A7" t="str">
            <v>YZ-BS-JG2631ZLM</v>
          </cell>
          <cell r="B7">
            <v>0</v>
          </cell>
          <cell r="C7">
            <v>0</v>
          </cell>
          <cell r="D7">
            <v>0</v>
          </cell>
          <cell r="E7">
            <v>14134</v>
          </cell>
          <cell r="F7">
            <v>72</v>
          </cell>
          <cell r="G7">
            <v>7.56</v>
          </cell>
          <cell r="H7">
            <v>6608</v>
          </cell>
          <cell r="I7">
            <v>68</v>
          </cell>
          <cell r="J7">
            <v>7.85</v>
          </cell>
          <cell r="K7">
            <v>9632</v>
          </cell>
          <cell r="L7">
            <v>34</v>
          </cell>
          <cell r="M7">
            <v>3.86</v>
          </cell>
        </row>
        <row r="8">
          <cell r="A8" t="str">
            <v>BS-WH16032-B0-S</v>
          </cell>
          <cell r="B8">
            <v>4778</v>
          </cell>
          <cell r="C8">
            <v>13</v>
          </cell>
          <cell r="D8">
            <v>1.38</v>
          </cell>
          <cell r="E8">
            <v>4242</v>
          </cell>
          <cell r="F8">
            <v>11</v>
          </cell>
          <cell r="G8">
            <v>1.44</v>
          </cell>
          <cell r="H8">
            <v>1621</v>
          </cell>
          <cell r="I8">
            <v>10</v>
          </cell>
          <cell r="J8">
            <v>1.12</v>
          </cell>
          <cell r="K8">
            <v>1411</v>
          </cell>
          <cell r="L8">
            <v>6</v>
          </cell>
          <cell r="M8">
            <v>0.76</v>
          </cell>
        </row>
        <row r="9">
          <cell r="A9" t="str">
            <v>BS-WH16032-ZL-S</v>
          </cell>
          <cell r="B9">
            <v>21514</v>
          </cell>
          <cell r="C9">
            <v>156</v>
          </cell>
          <cell r="D9">
            <v>23.13</v>
          </cell>
          <cell r="E9">
            <v>21386</v>
          </cell>
          <cell r="F9">
            <v>103</v>
          </cell>
          <cell r="G9">
            <v>13.29</v>
          </cell>
          <cell r="H9">
            <v>10264</v>
          </cell>
          <cell r="I9">
            <v>47</v>
          </cell>
          <cell r="J9">
            <v>6.16</v>
          </cell>
          <cell r="K9">
            <v>13532</v>
          </cell>
          <cell r="L9">
            <v>52</v>
          </cell>
          <cell r="M9">
            <v>5.96</v>
          </cell>
        </row>
        <row r="10">
          <cell r="A10" t="str">
            <v>YZ-BS-1580-K0-M</v>
          </cell>
          <cell r="B10">
            <v>62081</v>
          </cell>
          <cell r="C10">
            <v>63</v>
          </cell>
          <cell r="D10">
            <v>11.29</v>
          </cell>
          <cell r="E10">
            <v>0</v>
          </cell>
          <cell r="F10">
            <v>0</v>
          </cell>
          <cell r="G10">
            <v>0</v>
          </cell>
          <cell r="H10">
            <v>452</v>
          </cell>
          <cell r="I10">
            <v>2</v>
          </cell>
          <cell r="J10">
            <v>0.09</v>
          </cell>
          <cell r="K10">
            <v>2308</v>
          </cell>
          <cell r="L10">
            <v>8</v>
          </cell>
          <cell r="M10">
            <v>0.93</v>
          </cell>
        </row>
        <row r="11">
          <cell r="A11" t="str">
            <v>LYQ-BS-ZQ2973-KQ-M</v>
          </cell>
          <cell r="B11">
            <v>0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222</v>
          </cell>
          <cell r="I11">
            <v>0</v>
          </cell>
          <cell r="J11">
            <v>0</v>
          </cell>
          <cell r="K11">
            <v>358</v>
          </cell>
          <cell r="L11">
            <v>0</v>
          </cell>
          <cell r="M11">
            <v>0</v>
          </cell>
        </row>
        <row r="12">
          <cell r="A12" t="str">
            <v>LYQ-BS-ZQ2973-W1-M</v>
          </cell>
          <cell r="B12">
            <v>855</v>
          </cell>
          <cell r="C12">
            <v>1</v>
          </cell>
          <cell r="D12">
            <v>0.06</v>
          </cell>
          <cell r="E12">
            <v>586</v>
          </cell>
          <cell r="F12">
            <v>4</v>
          </cell>
          <cell r="G12">
            <v>0.17</v>
          </cell>
          <cell r="H12">
            <v>224</v>
          </cell>
          <cell r="I12">
            <v>1</v>
          </cell>
          <cell r="J12">
            <v>0.04</v>
          </cell>
          <cell r="K12">
            <v>152</v>
          </cell>
          <cell r="L12">
            <v>0</v>
          </cell>
          <cell r="M12">
            <v>0</v>
          </cell>
        </row>
        <row r="13">
          <cell r="A13" t="str">
            <v>LYQ-BS-K1010-B0-L</v>
          </cell>
          <cell r="B13">
            <v>0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659</v>
          </cell>
          <cell r="I13">
            <v>1</v>
          </cell>
          <cell r="J13">
            <v>0.08</v>
          </cell>
          <cell r="K13">
            <v>211</v>
          </cell>
          <cell r="L13">
            <v>3</v>
          </cell>
          <cell r="M13">
            <v>0.15</v>
          </cell>
        </row>
        <row r="14">
          <cell r="A14" t="str">
            <v>LYQ-BS-K1010-G7-L</v>
          </cell>
          <cell r="B14">
            <v>48</v>
          </cell>
          <cell r="C14">
            <v>0</v>
          </cell>
          <cell r="D14">
            <v>0</v>
          </cell>
          <cell r="E14">
            <v>240</v>
          </cell>
          <cell r="F14">
            <v>0</v>
          </cell>
          <cell r="G14">
            <v>0</v>
          </cell>
          <cell r="H14">
            <v>77</v>
          </cell>
          <cell r="I14">
            <v>1</v>
          </cell>
          <cell r="J14">
            <v>0.11</v>
          </cell>
          <cell r="K14">
            <v>69</v>
          </cell>
          <cell r="L14">
            <v>1</v>
          </cell>
          <cell r="M14">
            <v>0.03</v>
          </cell>
        </row>
        <row r="15">
          <cell r="A15" t="str">
            <v>LYQ-BS-K1010-K0-2X</v>
          </cell>
          <cell r="B15">
            <v>428</v>
          </cell>
          <cell r="C15">
            <v>3</v>
          </cell>
          <cell r="D15">
            <v>0.15</v>
          </cell>
          <cell r="E15">
            <v>1329</v>
          </cell>
          <cell r="F15">
            <v>2</v>
          </cell>
          <cell r="G15">
            <v>0.07</v>
          </cell>
          <cell r="H15">
            <v>680</v>
          </cell>
          <cell r="I15">
            <v>1</v>
          </cell>
          <cell r="J15">
            <v>0.07</v>
          </cell>
          <cell r="K15">
            <v>347</v>
          </cell>
          <cell r="L15">
            <v>3</v>
          </cell>
          <cell r="M15">
            <v>0.11</v>
          </cell>
        </row>
        <row r="16">
          <cell r="A16" t="str">
            <v>LYQ-BS-K1010-KQ-L</v>
          </cell>
          <cell r="B16">
            <v>824</v>
          </cell>
          <cell r="C16">
            <v>1</v>
          </cell>
          <cell r="D16">
            <v>0.11</v>
          </cell>
          <cell r="E16">
            <v>1233</v>
          </cell>
          <cell r="F16">
            <v>1</v>
          </cell>
          <cell r="G16">
            <v>0.03</v>
          </cell>
          <cell r="H16">
            <v>2125</v>
          </cell>
          <cell r="I16">
            <v>8</v>
          </cell>
          <cell r="J16">
            <v>0.54</v>
          </cell>
          <cell r="K16">
            <v>711</v>
          </cell>
          <cell r="L16">
            <v>2</v>
          </cell>
          <cell r="M16">
            <v>0.12</v>
          </cell>
        </row>
        <row r="17">
          <cell r="A17" t="str">
            <v>LYQ-BS-K1010-N0-M</v>
          </cell>
          <cell r="B17">
            <v>832</v>
          </cell>
          <cell r="C17">
            <v>0</v>
          </cell>
          <cell r="D17">
            <v>0</v>
          </cell>
          <cell r="E17">
            <v>859</v>
          </cell>
          <cell r="F17">
            <v>5</v>
          </cell>
          <cell r="G17">
            <v>0.24</v>
          </cell>
          <cell r="H17">
            <v>1070</v>
          </cell>
          <cell r="I17">
            <v>3</v>
          </cell>
          <cell r="J17">
            <v>0.27</v>
          </cell>
          <cell r="K17">
            <v>3565</v>
          </cell>
          <cell r="L17">
            <v>5</v>
          </cell>
          <cell r="M17">
            <v>0.37</v>
          </cell>
        </row>
        <row r="18">
          <cell r="A18" t="str">
            <v>LYQ-BS4600-B0-XS</v>
          </cell>
          <cell r="B18">
            <v>408</v>
          </cell>
          <cell r="C18">
            <v>2</v>
          </cell>
          <cell r="D18">
            <v>0.29</v>
          </cell>
          <cell r="E18">
            <v>803</v>
          </cell>
          <cell r="F18">
            <v>0</v>
          </cell>
          <cell r="G18">
            <v>0</v>
          </cell>
          <cell r="H18">
            <v>431</v>
          </cell>
          <cell r="I18">
            <v>3</v>
          </cell>
          <cell r="J18">
            <v>0.28</v>
          </cell>
          <cell r="K18">
            <v>1398</v>
          </cell>
          <cell r="L18">
            <v>5</v>
          </cell>
          <cell r="M18">
            <v>0.76</v>
          </cell>
        </row>
        <row r="19">
          <cell r="A19" t="str">
            <v>LYQ-BS4600-G0-XS</v>
          </cell>
          <cell r="B19">
            <v>1947</v>
          </cell>
          <cell r="C19">
            <v>18</v>
          </cell>
          <cell r="D19">
            <v>3.07</v>
          </cell>
          <cell r="E19">
            <v>3202</v>
          </cell>
          <cell r="F19">
            <v>26</v>
          </cell>
          <cell r="G19">
            <v>4.38</v>
          </cell>
          <cell r="H19">
            <v>1169</v>
          </cell>
          <cell r="I19">
            <v>15</v>
          </cell>
          <cell r="J19">
            <v>1.91</v>
          </cell>
          <cell r="K19">
            <v>1130</v>
          </cell>
          <cell r="L19">
            <v>10</v>
          </cell>
          <cell r="M19">
            <v>1.62</v>
          </cell>
        </row>
        <row r="20">
          <cell r="A20" t="str">
            <v>LYQ-CSM048-GR0-S</v>
          </cell>
          <cell r="B20">
            <v>332</v>
          </cell>
          <cell r="C20">
            <v>0</v>
          </cell>
          <cell r="D20">
            <v>0</v>
          </cell>
          <cell r="E20">
            <v>375</v>
          </cell>
          <cell r="F20">
            <v>0</v>
          </cell>
          <cell r="G20">
            <v>0</v>
          </cell>
          <cell r="H20">
            <v>224</v>
          </cell>
          <cell r="I20">
            <v>5</v>
          </cell>
          <cell r="J20">
            <v>1.03</v>
          </cell>
          <cell r="K20">
            <v>362</v>
          </cell>
          <cell r="L20">
            <v>1</v>
          </cell>
          <cell r="M20">
            <v>0.08</v>
          </cell>
        </row>
        <row r="21">
          <cell r="A21" t="str">
            <v>LYQ-CSM048-ZL-S</v>
          </cell>
          <cell r="B21">
            <v>434</v>
          </cell>
          <cell r="C21">
            <v>3</v>
          </cell>
          <cell r="D21">
            <v>0.35</v>
          </cell>
          <cell r="E21">
            <v>419</v>
          </cell>
          <cell r="F21">
            <v>1</v>
          </cell>
          <cell r="G21">
            <v>0.2</v>
          </cell>
          <cell r="H21">
            <v>768</v>
          </cell>
          <cell r="I21">
            <v>4</v>
          </cell>
          <cell r="J21">
            <v>0.73</v>
          </cell>
          <cell r="K21">
            <v>715</v>
          </cell>
          <cell r="L21">
            <v>5</v>
          </cell>
          <cell r="M21">
            <v>0.9</v>
          </cell>
        </row>
        <row r="22">
          <cell r="A22" t="str">
            <v>LYQ-BS-ZQ2973-E0-S</v>
          </cell>
          <cell r="B22">
            <v>74</v>
          </cell>
          <cell r="C22">
            <v>1</v>
          </cell>
          <cell r="D22">
            <v>0.04</v>
          </cell>
          <cell r="E22">
            <v>52</v>
          </cell>
          <cell r="F22">
            <v>0</v>
          </cell>
          <cell r="G22">
            <v>0</v>
          </cell>
          <cell r="H22">
            <v>42</v>
          </cell>
          <cell r="I22">
            <v>0</v>
          </cell>
          <cell r="J22">
            <v>0</v>
          </cell>
          <cell r="K22">
            <v>50</v>
          </cell>
          <cell r="L22">
            <v>0</v>
          </cell>
          <cell r="M22">
            <v>0</v>
          </cell>
        </row>
        <row r="23">
          <cell r="A23" t="str">
            <v>LYQ-BS-ZQ2973-KQ-S</v>
          </cell>
          <cell r="B23">
            <v>35</v>
          </cell>
          <cell r="C23">
            <v>0</v>
          </cell>
          <cell r="D23">
            <v>0</v>
          </cell>
          <cell r="E23">
            <v>34</v>
          </cell>
          <cell r="F23">
            <v>0</v>
          </cell>
          <cell r="G23">
            <v>0</v>
          </cell>
          <cell r="H23">
            <v>19</v>
          </cell>
          <cell r="I23">
            <v>0</v>
          </cell>
          <cell r="J23">
            <v>0</v>
          </cell>
          <cell r="K23">
            <v>17</v>
          </cell>
          <cell r="L23">
            <v>0</v>
          </cell>
          <cell r="M23">
            <v>0</v>
          </cell>
        </row>
        <row r="24">
          <cell r="A24" t="str">
            <v>LYQ-BS-ZQ2973-W1-S</v>
          </cell>
          <cell r="B24">
            <v>46</v>
          </cell>
          <cell r="C24">
            <v>0</v>
          </cell>
          <cell r="D24">
            <v>0</v>
          </cell>
          <cell r="E24">
            <v>54</v>
          </cell>
          <cell r="F24">
            <v>1</v>
          </cell>
          <cell r="G24">
            <v>0.15</v>
          </cell>
          <cell r="H24">
            <v>46</v>
          </cell>
          <cell r="I24">
            <v>1</v>
          </cell>
          <cell r="J24">
            <v>0.08</v>
          </cell>
          <cell r="K24">
            <v>43</v>
          </cell>
          <cell r="L24">
            <v>0</v>
          </cell>
          <cell r="M24">
            <v>0</v>
          </cell>
        </row>
        <row r="25">
          <cell r="A25" t="str">
            <v>XZ-WH1509-W0-3536</v>
          </cell>
          <cell r="B25">
            <v>943</v>
          </cell>
          <cell r="C25">
            <v>1</v>
          </cell>
          <cell r="D25">
            <v>0.13</v>
          </cell>
          <cell r="E25">
            <v>998</v>
          </cell>
          <cell r="F25">
            <v>4</v>
          </cell>
          <cell r="G25">
            <v>0.38</v>
          </cell>
          <cell r="H25">
            <v>415</v>
          </cell>
          <cell r="I25">
            <v>4</v>
          </cell>
          <cell r="J25">
            <v>0.43</v>
          </cell>
          <cell r="K25">
            <v>481</v>
          </cell>
          <cell r="L25">
            <v>0</v>
          </cell>
          <cell r="M25">
            <v>0</v>
          </cell>
        </row>
        <row r="26">
          <cell r="A26" t="str">
            <v>XZ-WH1509-Y0-3536</v>
          </cell>
          <cell r="B26">
            <v>936</v>
          </cell>
          <cell r="C26">
            <v>0</v>
          </cell>
          <cell r="D26">
            <v>0</v>
          </cell>
          <cell r="E26">
            <v>671</v>
          </cell>
          <cell r="F26">
            <v>3</v>
          </cell>
          <cell r="G26">
            <v>0.21</v>
          </cell>
          <cell r="H26">
            <v>341</v>
          </cell>
          <cell r="I26">
            <v>0</v>
          </cell>
          <cell r="J26">
            <v>0</v>
          </cell>
          <cell r="K26">
            <v>346</v>
          </cell>
          <cell r="L26">
            <v>0</v>
          </cell>
          <cell r="M26">
            <v>0</v>
          </cell>
        </row>
        <row r="27">
          <cell r="A27" t="str">
            <v>XZ-WHMX006-G0-S</v>
          </cell>
          <cell r="B27">
            <v>133</v>
          </cell>
          <cell r="C27">
            <v>0</v>
          </cell>
          <cell r="D27">
            <v>0</v>
          </cell>
          <cell r="E27">
            <v>84</v>
          </cell>
          <cell r="F27">
            <v>1</v>
          </cell>
          <cell r="G27">
            <v>0.13</v>
          </cell>
          <cell r="H27">
            <v>59</v>
          </cell>
          <cell r="I27">
            <v>0</v>
          </cell>
          <cell r="J27">
            <v>0</v>
          </cell>
          <cell r="K27">
            <v>52</v>
          </cell>
          <cell r="L27">
            <v>0</v>
          </cell>
          <cell r="M27">
            <v>0</v>
          </cell>
        </row>
        <row r="28">
          <cell r="A28" t="str">
            <v>XZ-WHMX006-R0-S</v>
          </cell>
          <cell r="B28">
            <v>17</v>
          </cell>
          <cell r="C28">
            <v>0</v>
          </cell>
          <cell r="D28">
            <v>0</v>
          </cell>
          <cell r="E28">
            <v>47</v>
          </cell>
          <cell r="F28">
            <v>0</v>
          </cell>
          <cell r="G28">
            <v>0</v>
          </cell>
          <cell r="H28">
            <v>46</v>
          </cell>
          <cell r="I28">
            <v>1</v>
          </cell>
          <cell r="J28">
            <v>0.03</v>
          </cell>
          <cell r="K28">
            <v>63</v>
          </cell>
          <cell r="L28">
            <v>0</v>
          </cell>
          <cell r="M28">
            <v>0</v>
          </cell>
        </row>
        <row r="29">
          <cell r="A29" t="str">
            <v>XZ-BS-013GR2-S</v>
          </cell>
          <cell r="B29">
            <v>2709</v>
          </cell>
          <cell r="C29">
            <v>6</v>
          </cell>
          <cell r="D29">
            <v>0.61</v>
          </cell>
          <cell r="E29">
            <v>4865</v>
          </cell>
          <cell r="F29">
            <v>7</v>
          </cell>
          <cell r="G29">
            <v>0.83</v>
          </cell>
          <cell r="H29">
            <v>5502</v>
          </cell>
          <cell r="I29">
            <v>13</v>
          </cell>
          <cell r="J29">
            <v>1.6</v>
          </cell>
          <cell r="K29">
            <v>1078</v>
          </cell>
          <cell r="L29">
            <v>5</v>
          </cell>
          <cell r="M29">
            <v>0.57</v>
          </cell>
        </row>
        <row r="30">
          <cell r="A30" t="str">
            <v>XZ-BS-013PI3-S</v>
          </cell>
          <cell r="B30">
            <v>556</v>
          </cell>
          <cell r="C30">
            <v>0</v>
          </cell>
          <cell r="D30">
            <v>0</v>
          </cell>
          <cell r="E30">
            <v>456</v>
          </cell>
          <cell r="F30">
            <v>3</v>
          </cell>
          <cell r="G30">
            <v>0.45</v>
          </cell>
          <cell r="H30">
            <v>2004</v>
          </cell>
          <cell r="I30">
            <v>1</v>
          </cell>
          <cell r="J30">
            <v>0.04</v>
          </cell>
          <cell r="K30">
            <v>7870</v>
          </cell>
          <cell r="L30">
            <v>15</v>
          </cell>
          <cell r="M30">
            <v>2.05</v>
          </cell>
        </row>
        <row r="31">
          <cell r="A31" t="str">
            <v>XZ-BS-013WH1-S</v>
          </cell>
          <cell r="B31">
            <v>1420</v>
          </cell>
          <cell r="C31">
            <v>7</v>
          </cell>
          <cell r="D31">
            <v>0.6</v>
          </cell>
          <cell r="E31">
            <v>2005</v>
          </cell>
          <cell r="F31">
            <v>6</v>
          </cell>
          <cell r="G31">
            <v>0.81</v>
          </cell>
          <cell r="H31">
            <v>777</v>
          </cell>
          <cell r="I31">
            <v>3</v>
          </cell>
          <cell r="J31">
            <v>0.5</v>
          </cell>
          <cell r="K31">
            <v>1037</v>
          </cell>
          <cell r="L31">
            <v>7</v>
          </cell>
          <cell r="M31">
            <v>0.76</v>
          </cell>
        </row>
        <row r="32">
          <cell r="A32" t="str">
            <v>XZ-BS-013WH2-S</v>
          </cell>
          <cell r="B32">
            <v>336</v>
          </cell>
          <cell r="C32">
            <v>1</v>
          </cell>
          <cell r="D32">
            <v>0.07</v>
          </cell>
          <cell r="E32">
            <v>360</v>
          </cell>
          <cell r="F32">
            <v>1</v>
          </cell>
          <cell r="G32">
            <v>0.14</v>
          </cell>
          <cell r="H32">
            <v>2977</v>
          </cell>
          <cell r="I32">
            <v>2</v>
          </cell>
          <cell r="J32">
            <v>0.27</v>
          </cell>
          <cell r="K32">
            <v>535</v>
          </cell>
          <cell r="L32">
            <v>3</v>
          </cell>
          <cell r="M32">
            <v>0.2</v>
          </cell>
        </row>
        <row r="33">
          <cell r="A33" t="str">
            <v>XZ-BS-013WH3-S</v>
          </cell>
          <cell r="B33">
            <v>1062</v>
          </cell>
          <cell r="C33">
            <v>2</v>
          </cell>
          <cell r="D33">
            <v>0.24</v>
          </cell>
          <cell r="E33">
            <v>1057</v>
          </cell>
          <cell r="F33">
            <v>2</v>
          </cell>
          <cell r="G33">
            <v>0.21</v>
          </cell>
          <cell r="H33">
            <v>536</v>
          </cell>
          <cell r="I33">
            <v>2</v>
          </cell>
          <cell r="J33">
            <v>0.31</v>
          </cell>
          <cell r="K33">
            <v>623</v>
          </cell>
          <cell r="L33">
            <v>2</v>
          </cell>
          <cell r="M33">
            <v>0.32</v>
          </cell>
        </row>
        <row r="34">
          <cell r="A34" t="str">
            <v>XZ-WH6606-BR-36</v>
          </cell>
          <cell r="B34">
            <v>168</v>
          </cell>
          <cell r="C34">
            <v>1</v>
          </cell>
          <cell r="D34">
            <v>0.04</v>
          </cell>
          <cell r="E34">
            <v>95</v>
          </cell>
          <cell r="F34">
            <v>0</v>
          </cell>
          <cell r="G34">
            <v>0</v>
          </cell>
          <cell r="H34">
            <v>66</v>
          </cell>
          <cell r="I34">
            <v>0</v>
          </cell>
          <cell r="J34">
            <v>0</v>
          </cell>
          <cell r="K34">
            <v>146</v>
          </cell>
          <cell r="L34">
            <v>0</v>
          </cell>
          <cell r="M34">
            <v>0</v>
          </cell>
        </row>
        <row r="35">
          <cell r="A35" t="str">
            <v>XZ-WH6606-K0-36</v>
          </cell>
          <cell r="B35">
            <v>288</v>
          </cell>
          <cell r="C35">
            <v>4</v>
          </cell>
          <cell r="D35">
            <v>0.61</v>
          </cell>
          <cell r="E35">
            <v>320</v>
          </cell>
          <cell r="F35">
            <v>3</v>
          </cell>
          <cell r="G35">
            <v>0.51</v>
          </cell>
          <cell r="H35">
            <v>921</v>
          </cell>
          <cell r="I35">
            <v>1</v>
          </cell>
          <cell r="J35">
            <v>0.15</v>
          </cell>
          <cell r="K35">
            <v>5203</v>
          </cell>
          <cell r="L35">
            <v>4</v>
          </cell>
          <cell r="M35">
            <v>0.45</v>
          </cell>
        </row>
        <row r="36">
          <cell r="A36" t="str">
            <v>XZ-WH6606-P0-36</v>
          </cell>
          <cell r="B36">
            <v>283</v>
          </cell>
          <cell r="C36">
            <v>0</v>
          </cell>
          <cell r="D36">
            <v>0</v>
          </cell>
          <cell r="E36">
            <v>366</v>
          </cell>
          <cell r="F36">
            <v>0</v>
          </cell>
          <cell r="G36">
            <v>0</v>
          </cell>
          <cell r="H36">
            <v>241</v>
          </cell>
          <cell r="I36">
            <v>0</v>
          </cell>
          <cell r="J36">
            <v>0</v>
          </cell>
          <cell r="K36">
            <v>209</v>
          </cell>
          <cell r="L36">
            <v>0</v>
          </cell>
          <cell r="M36">
            <v>0</v>
          </cell>
        </row>
        <row r="37">
          <cell r="A37" t="str">
            <v>XZ-WH6606-R0-36</v>
          </cell>
          <cell r="B37">
            <v>197</v>
          </cell>
          <cell r="C37">
            <v>0</v>
          </cell>
          <cell r="D37">
            <v>0</v>
          </cell>
          <cell r="E37">
            <v>229</v>
          </cell>
          <cell r="F37">
            <v>0</v>
          </cell>
          <cell r="G37">
            <v>0</v>
          </cell>
          <cell r="H37">
            <v>3629</v>
          </cell>
          <cell r="I37">
            <v>2</v>
          </cell>
          <cell r="J37">
            <v>0.34</v>
          </cell>
          <cell r="K37">
            <v>2485</v>
          </cell>
          <cell r="L37">
            <v>3</v>
          </cell>
          <cell r="M37">
            <v>0.63</v>
          </cell>
        </row>
        <row r="38">
          <cell r="A38" t="str">
            <v>XZ-WH6606-ZL-36</v>
          </cell>
          <cell r="B38">
            <v>147</v>
          </cell>
          <cell r="C38">
            <v>1</v>
          </cell>
          <cell r="D38">
            <v>0.22</v>
          </cell>
          <cell r="E38">
            <v>172</v>
          </cell>
          <cell r="F38">
            <v>1</v>
          </cell>
          <cell r="G38">
            <v>0.16</v>
          </cell>
          <cell r="H38">
            <v>84</v>
          </cell>
          <cell r="I38">
            <v>0</v>
          </cell>
          <cell r="J38">
            <v>0</v>
          </cell>
          <cell r="K38">
            <v>81</v>
          </cell>
          <cell r="L38">
            <v>0</v>
          </cell>
          <cell r="M38">
            <v>0</v>
          </cell>
        </row>
        <row r="39">
          <cell r="A39" t="str">
            <v>XZ-WHBH004-B0-3637</v>
          </cell>
          <cell r="B39">
            <v>0</v>
          </cell>
          <cell r="C39">
            <v>0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>
            <v>689</v>
          </cell>
          <cell r="L39">
            <v>3</v>
          </cell>
          <cell r="M39">
            <v>0.47</v>
          </cell>
        </row>
        <row r="40">
          <cell r="A40" t="str">
            <v>XZ-WHBH004-P0-3637</v>
          </cell>
          <cell r="B40">
            <v>0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586</v>
          </cell>
          <cell r="I40">
            <v>5</v>
          </cell>
          <cell r="J40">
            <v>1.04</v>
          </cell>
          <cell r="K40">
            <v>472</v>
          </cell>
          <cell r="L40">
            <v>0</v>
          </cell>
          <cell r="M40">
            <v>0</v>
          </cell>
        </row>
        <row r="41">
          <cell r="A41" t="str">
            <v>MY-LYRound020-DG-M</v>
          </cell>
          <cell r="B41">
            <v>791</v>
          </cell>
          <cell r="C41">
            <v>1</v>
          </cell>
          <cell r="D41">
            <v>0.19</v>
          </cell>
          <cell r="E41">
            <v>828</v>
          </cell>
          <cell r="F41">
            <v>1</v>
          </cell>
          <cell r="G41">
            <v>0.18</v>
          </cell>
          <cell r="H41">
            <v>648</v>
          </cell>
          <cell r="I41">
            <v>0</v>
          </cell>
          <cell r="J41">
            <v>0</v>
          </cell>
          <cell r="K41">
            <v>690</v>
          </cell>
          <cell r="L41">
            <v>2</v>
          </cell>
          <cell r="M41">
            <v>0.32</v>
          </cell>
        </row>
        <row r="42">
          <cell r="A42" t="str">
            <v>MY-LYPoint021-K0-M</v>
          </cell>
          <cell r="B42">
            <v>0</v>
          </cell>
          <cell r="C42">
            <v>0</v>
          </cell>
          <cell r="D42">
            <v>0</v>
          </cell>
          <cell r="E42">
            <v>2809</v>
          </cell>
          <cell r="F42">
            <v>7</v>
          </cell>
          <cell r="G42">
            <v>1.66</v>
          </cell>
          <cell r="H42">
            <v>3520</v>
          </cell>
          <cell r="I42">
            <v>12</v>
          </cell>
          <cell r="J42">
            <v>2.73</v>
          </cell>
          <cell r="K42">
            <v>4296</v>
          </cell>
          <cell r="L42">
            <v>15</v>
          </cell>
          <cell r="M42">
            <v>3.7</v>
          </cell>
        </row>
        <row r="43">
          <cell r="A43" t="str">
            <v>CS-LY166-B28-3-L</v>
          </cell>
          <cell r="B43">
            <v>1002</v>
          </cell>
          <cell r="C43">
            <v>1</v>
          </cell>
          <cell r="D43">
            <v>0.45</v>
          </cell>
          <cell r="E43">
            <v>1008</v>
          </cell>
          <cell r="F43">
            <v>3</v>
          </cell>
          <cell r="G43">
            <v>1.19</v>
          </cell>
          <cell r="H43">
            <v>483</v>
          </cell>
          <cell r="I43">
            <v>2</v>
          </cell>
          <cell r="J43">
            <v>0.5</v>
          </cell>
          <cell r="K43">
            <v>469</v>
          </cell>
          <cell r="L43">
            <v>1</v>
          </cell>
          <cell r="M43">
            <v>0.5</v>
          </cell>
        </row>
        <row r="44">
          <cell r="A44" t="str">
            <v>CS-LY166-B28-4-L</v>
          </cell>
          <cell r="B44">
            <v>3896</v>
          </cell>
          <cell r="C44">
            <v>9</v>
          </cell>
          <cell r="D44">
            <v>2.93</v>
          </cell>
          <cell r="E44">
            <v>4152</v>
          </cell>
          <cell r="F44">
            <v>10</v>
          </cell>
          <cell r="G44">
            <v>3.14</v>
          </cell>
          <cell r="H44">
            <v>10130</v>
          </cell>
          <cell r="I44">
            <v>19</v>
          </cell>
          <cell r="J44">
            <v>6.24</v>
          </cell>
          <cell r="K44">
            <v>1075</v>
          </cell>
          <cell r="L44">
            <v>1</v>
          </cell>
          <cell r="M44">
            <v>0.12</v>
          </cell>
        </row>
        <row r="45">
          <cell r="A45" t="str">
            <v>CS-LY166-K73-2-XL</v>
          </cell>
          <cell r="B45">
            <v>1153</v>
          </cell>
          <cell r="C45">
            <v>4</v>
          </cell>
          <cell r="D45">
            <v>1.13</v>
          </cell>
          <cell r="E45">
            <v>1120</v>
          </cell>
          <cell r="F45">
            <v>7</v>
          </cell>
          <cell r="G45">
            <v>2.97</v>
          </cell>
          <cell r="H45">
            <v>1994</v>
          </cell>
          <cell r="I45">
            <v>4</v>
          </cell>
          <cell r="J45">
            <v>1.3</v>
          </cell>
          <cell r="K45">
            <v>5737</v>
          </cell>
          <cell r="L45">
            <v>19</v>
          </cell>
          <cell r="M45">
            <v>5.55</v>
          </cell>
        </row>
        <row r="46">
          <cell r="A46" t="str">
            <v>LYQ-BS-K1010-R0-S</v>
          </cell>
          <cell r="B46">
            <v>415</v>
          </cell>
          <cell r="C46">
            <v>3</v>
          </cell>
          <cell r="D46">
            <v>0.42</v>
          </cell>
          <cell r="E46">
            <v>725</v>
          </cell>
          <cell r="F46">
            <v>4</v>
          </cell>
          <cell r="G46">
            <v>0.64</v>
          </cell>
          <cell r="H46">
            <v>192</v>
          </cell>
          <cell r="I46">
            <v>0</v>
          </cell>
          <cell r="J46">
            <v>0</v>
          </cell>
          <cell r="K46">
            <v>272</v>
          </cell>
          <cell r="L46">
            <v>0</v>
          </cell>
          <cell r="M46">
            <v>0</v>
          </cell>
        </row>
        <row r="47">
          <cell r="A47" t="str">
            <v>XZ-BS-PW-2001-C0-41</v>
          </cell>
          <cell r="B47">
            <v>0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1880</v>
          </cell>
          <cell r="L47">
            <v>8</v>
          </cell>
          <cell r="M47">
            <v>1.46</v>
          </cell>
        </row>
        <row r="48">
          <cell r="A48" t="str">
            <v>XZ-BS-PW-2001-N0-40</v>
          </cell>
          <cell r="B48">
            <v>3578</v>
          </cell>
          <cell r="C48">
            <v>12</v>
          </cell>
          <cell r="D48">
            <v>1.66</v>
          </cell>
          <cell r="E48">
            <v>3313</v>
          </cell>
          <cell r="F48">
            <v>11</v>
          </cell>
          <cell r="G48">
            <v>1.57</v>
          </cell>
          <cell r="H48">
            <v>2457</v>
          </cell>
          <cell r="I48">
            <v>3</v>
          </cell>
          <cell r="J48">
            <v>0.53</v>
          </cell>
          <cell r="K48">
            <v>1575</v>
          </cell>
          <cell r="L48">
            <v>6</v>
          </cell>
          <cell r="M48">
            <v>0.89</v>
          </cell>
        </row>
        <row r="49">
          <cell r="A49" t="str">
            <v>XZ-BS-HM168-B0-38/39</v>
          </cell>
          <cell r="B49">
            <v>2253</v>
          </cell>
          <cell r="C49">
            <v>8</v>
          </cell>
          <cell r="D49">
            <v>1.82</v>
          </cell>
          <cell r="E49">
            <v>3850</v>
          </cell>
          <cell r="F49">
            <v>6</v>
          </cell>
          <cell r="G49">
            <v>1.44</v>
          </cell>
          <cell r="H49">
            <v>3264</v>
          </cell>
          <cell r="I49">
            <v>12</v>
          </cell>
          <cell r="J49">
            <v>2.26</v>
          </cell>
          <cell r="K49">
            <v>7365</v>
          </cell>
          <cell r="L49">
            <v>12</v>
          </cell>
          <cell r="M49">
            <v>2.46</v>
          </cell>
        </row>
        <row r="50">
          <cell r="A50" t="str">
            <v>EUTK-J01H-GR-8</v>
          </cell>
          <cell r="B50">
            <v>2694</v>
          </cell>
          <cell r="C50">
            <v>7</v>
          </cell>
          <cell r="D50">
            <v>0.77</v>
          </cell>
          <cell r="E50">
            <v>2179</v>
          </cell>
          <cell r="F50">
            <v>7</v>
          </cell>
          <cell r="G50">
            <v>0.79</v>
          </cell>
          <cell r="H50">
            <v>812</v>
          </cell>
          <cell r="I50">
            <v>1</v>
          </cell>
          <cell r="J50">
            <v>0.13</v>
          </cell>
          <cell r="K50">
            <v>294</v>
          </cell>
          <cell r="L50">
            <v>4</v>
          </cell>
          <cell r="M50">
            <v>0.52</v>
          </cell>
        </row>
        <row r="51">
          <cell r="A51" t="str">
            <v>EUTK-J01H-SH-14/16</v>
          </cell>
          <cell r="B51">
            <v>0</v>
          </cell>
          <cell r="C51">
            <v>0</v>
          </cell>
          <cell r="D51">
            <v>0</v>
          </cell>
          <cell r="E51">
            <v>1962</v>
          </cell>
          <cell r="F51">
            <v>9</v>
          </cell>
          <cell r="G51">
            <v>1.22</v>
          </cell>
          <cell r="H51">
            <v>1412</v>
          </cell>
          <cell r="I51">
            <v>2</v>
          </cell>
          <cell r="J51">
            <v>0.18</v>
          </cell>
          <cell r="K51">
            <v>1930</v>
          </cell>
          <cell r="L51">
            <v>7</v>
          </cell>
          <cell r="M51">
            <v>1.22</v>
          </cell>
        </row>
        <row r="52">
          <cell r="A52" t="str">
            <v>EUTK-J02H-GR-18/20</v>
          </cell>
          <cell r="B52">
            <v>1488</v>
          </cell>
          <cell r="C52">
            <v>4</v>
          </cell>
          <cell r="D52">
            <v>0.45</v>
          </cell>
          <cell r="E52">
            <v>964</v>
          </cell>
          <cell r="F52">
            <v>1</v>
          </cell>
          <cell r="G52">
            <v>0.06</v>
          </cell>
          <cell r="H52">
            <v>702</v>
          </cell>
          <cell r="I52">
            <v>0</v>
          </cell>
          <cell r="J52">
            <v>0</v>
          </cell>
          <cell r="K52">
            <v>1013</v>
          </cell>
          <cell r="L52">
            <v>5</v>
          </cell>
          <cell r="M52">
            <v>0.5</v>
          </cell>
        </row>
        <row r="53">
          <cell r="A53" t="str">
            <v>CFY-M1798-AG-XXL</v>
          </cell>
          <cell r="B53">
            <v>959</v>
          </cell>
          <cell r="C53">
            <v>3</v>
          </cell>
          <cell r="D53">
            <v>0.48</v>
          </cell>
          <cell r="E53">
            <v>761</v>
          </cell>
          <cell r="F53">
            <v>5</v>
          </cell>
          <cell r="G53">
            <v>0.58</v>
          </cell>
          <cell r="H53">
            <v>480</v>
          </cell>
          <cell r="I53">
            <v>2</v>
          </cell>
          <cell r="J53">
            <v>0.32</v>
          </cell>
          <cell r="K53">
            <v>662</v>
          </cell>
          <cell r="L53">
            <v>2</v>
          </cell>
          <cell r="M53">
            <v>0.33</v>
          </cell>
        </row>
        <row r="54">
          <cell r="A54" t="str">
            <v>CFY-M1798-BK-S</v>
          </cell>
          <cell r="B54">
            <v>2273</v>
          </cell>
          <cell r="C54">
            <v>10</v>
          </cell>
          <cell r="D54">
            <v>1.98</v>
          </cell>
          <cell r="E54">
            <v>2568</v>
          </cell>
          <cell r="F54">
            <v>12</v>
          </cell>
          <cell r="G54">
            <v>2.17</v>
          </cell>
          <cell r="H54">
            <v>2071</v>
          </cell>
          <cell r="I54">
            <v>6</v>
          </cell>
          <cell r="J54">
            <v>1.35</v>
          </cell>
          <cell r="K54">
            <v>2175</v>
          </cell>
          <cell r="L54">
            <v>17</v>
          </cell>
          <cell r="M54">
            <v>3.52</v>
          </cell>
        </row>
        <row r="55">
          <cell r="A55" t="str">
            <v>LYQ-WH1109-B0-S</v>
          </cell>
          <cell r="B55">
            <v>2471</v>
          </cell>
          <cell r="C55">
            <v>2</v>
          </cell>
          <cell r="D55">
            <v>0.2</v>
          </cell>
          <cell r="E55">
            <v>310</v>
          </cell>
          <cell r="F55">
            <v>2</v>
          </cell>
          <cell r="G55">
            <v>0.22</v>
          </cell>
          <cell r="H55">
            <v>117</v>
          </cell>
          <cell r="I55">
            <v>1</v>
          </cell>
          <cell r="J55">
            <v>0.16</v>
          </cell>
          <cell r="K55">
            <v>114</v>
          </cell>
          <cell r="L55">
            <v>1</v>
          </cell>
          <cell r="M55">
            <v>0.18</v>
          </cell>
        </row>
        <row r="56">
          <cell r="A56" t="str">
            <v>LYQ-WH1109-DG-S</v>
          </cell>
          <cell r="B56">
            <v>1163</v>
          </cell>
          <cell r="C56">
            <v>10</v>
          </cell>
          <cell r="D56">
            <v>1.25</v>
          </cell>
          <cell r="E56">
            <v>1246</v>
          </cell>
          <cell r="F56">
            <v>14</v>
          </cell>
          <cell r="G56">
            <v>1.67</v>
          </cell>
          <cell r="H56">
            <v>1616</v>
          </cell>
          <cell r="I56">
            <v>4</v>
          </cell>
          <cell r="J56">
            <v>0.53</v>
          </cell>
          <cell r="K56">
            <v>2020</v>
          </cell>
          <cell r="L56">
            <v>14</v>
          </cell>
          <cell r="M56">
            <v>2.14</v>
          </cell>
        </row>
        <row r="57">
          <cell r="A57" t="str">
            <v>BS-MY-1503-W0-XL</v>
          </cell>
          <cell r="B57">
            <v>9449</v>
          </cell>
          <cell r="C57">
            <v>39</v>
          </cell>
          <cell r="D57">
            <v>5.19</v>
          </cell>
          <cell r="E57">
            <v>8175</v>
          </cell>
          <cell r="F57">
            <v>43</v>
          </cell>
          <cell r="G57">
            <v>7.26</v>
          </cell>
          <cell r="H57">
            <v>8613</v>
          </cell>
          <cell r="I57">
            <v>38</v>
          </cell>
          <cell r="J57">
            <v>6.15</v>
          </cell>
          <cell r="K57">
            <v>7256</v>
          </cell>
          <cell r="L57">
            <v>30</v>
          </cell>
          <cell r="M57">
            <v>4.16</v>
          </cell>
        </row>
        <row r="58">
          <cell r="A58" t="str">
            <v>BS-MY-1503-K0-L</v>
          </cell>
          <cell r="B58">
            <v>26869</v>
          </cell>
          <cell r="C58">
            <v>177</v>
          </cell>
          <cell r="D58">
            <v>23.3</v>
          </cell>
          <cell r="E58">
            <v>29719</v>
          </cell>
          <cell r="F58">
            <v>175</v>
          </cell>
          <cell r="G58">
            <v>20.42</v>
          </cell>
          <cell r="H58">
            <v>15332</v>
          </cell>
          <cell r="I58">
            <v>86</v>
          </cell>
          <cell r="J58">
            <v>9.71</v>
          </cell>
          <cell r="K58">
            <v>14576</v>
          </cell>
          <cell r="L58">
            <v>56</v>
          </cell>
          <cell r="M58">
            <v>6.39</v>
          </cell>
        </row>
        <row r="59">
          <cell r="A59" t="str">
            <v>MY-WH7622-G0-S</v>
          </cell>
          <cell r="B59">
            <v>822</v>
          </cell>
          <cell r="C59">
            <v>2</v>
          </cell>
          <cell r="D59">
            <v>0.34</v>
          </cell>
          <cell r="E59">
            <v>2186</v>
          </cell>
          <cell r="F59">
            <v>3</v>
          </cell>
          <cell r="G59">
            <v>0.53</v>
          </cell>
          <cell r="H59">
            <v>2118</v>
          </cell>
          <cell r="I59">
            <v>2</v>
          </cell>
          <cell r="J59">
            <v>0.68</v>
          </cell>
          <cell r="K59">
            <v>2403</v>
          </cell>
          <cell r="L59">
            <v>6</v>
          </cell>
          <cell r="M59">
            <v>1.59</v>
          </cell>
        </row>
        <row r="60">
          <cell r="A60" t="str">
            <v>MY-WH7622-K0-S</v>
          </cell>
          <cell r="B60">
            <v>1124</v>
          </cell>
          <cell r="C60">
            <v>0</v>
          </cell>
          <cell r="D60">
            <v>0</v>
          </cell>
          <cell r="E60">
            <v>1183</v>
          </cell>
          <cell r="F60">
            <v>0</v>
          </cell>
          <cell r="G60">
            <v>0</v>
          </cell>
          <cell r="H60">
            <v>994</v>
          </cell>
          <cell r="I60">
            <v>0</v>
          </cell>
          <cell r="J60">
            <v>0</v>
          </cell>
          <cell r="K60">
            <v>687</v>
          </cell>
          <cell r="L60">
            <v>3</v>
          </cell>
          <cell r="M60">
            <v>0.67</v>
          </cell>
        </row>
        <row r="61">
          <cell r="A61" t="str">
            <v>SCF-EUC01-003</v>
          </cell>
          <cell r="B61">
            <v>0</v>
          </cell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>
            <v>362</v>
          </cell>
          <cell r="L61">
            <v>1</v>
          </cell>
          <cell r="M61">
            <v>0.3</v>
          </cell>
        </row>
        <row r="62">
          <cell r="A62" t="str">
            <v>MY-WH7624-G0-L</v>
          </cell>
          <cell r="B62">
            <v>1272</v>
          </cell>
          <cell r="C62">
            <v>4</v>
          </cell>
          <cell r="D62">
            <v>0.81</v>
          </cell>
          <cell r="E62">
            <v>1607</v>
          </cell>
          <cell r="F62">
            <v>15</v>
          </cell>
          <cell r="G62">
            <v>3.81</v>
          </cell>
          <cell r="H62">
            <v>1481</v>
          </cell>
          <cell r="I62">
            <v>10</v>
          </cell>
          <cell r="J62">
            <v>2.68</v>
          </cell>
          <cell r="K62">
            <v>1145</v>
          </cell>
          <cell r="L62">
            <v>8</v>
          </cell>
          <cell r="M62">
            <v>2.21</v>
          </cell>
        </row>
        <row r="63">
          <cell r="A63" t="str">
            <v>MY-WH7624-R0-S</v>
          </cell>
          <cell r="B63">
            <v>2040</v>
          </cell>
          <cell r="C63">
            <v>10</v>
          </cell>
          <cell r="D63">
            <v>2.38</v>
          </cell>
          <cell r="E63">
            <v>1887</v>
          </cell>
          <cell r="F63">
            <v>4</v>
          </cell>
          <cell r="G63">
            <v>0.71</v>
          </cell>
          <cell r="H63">
            <v>417</v>
          </cell>
          <cell r="I63">
            <v>3</v>
          </cell>
          <cell r="J63">
            <v>0.98</v>
          </cell>
          <cell r="K63">
            <v>299</v>
          </cell>
          <cell r="L63">
            <v>2</v>
          </cell>
          <cell r="M63">
            <v>0.59</v>
          </cell>
        </row>
        <row r="64">
          <cell r="A64" t="str">
            <v>TX-55554-BO-3XL</v>
          </cell>
          <cell r="B64">
            <v>3</v>
          </cell>
          <cell r="C64">
            <v>0</v>
          </cell>
          <cell r="D64">
            <v>0</v>
          </cell>
          <cell r="E64">
            <v>10</v>
          </cell>
          <cell r="F64">
            <v>0</v>
          </cell>
          <cell r="G64">
            <v>0</v>
          </cell>
          <cell r="H64">
            <v>22</v>
          </cell>
          <cell r="I64">
            <v>0</v>
          </cell>
          <cell r="J64">
            <v>0</v>
          </cell>
          <cell r="K64">
            <v>6</v>
          </cell>
          <cell r="L64">
            <v>0</v>
          </cell>
          <cell r="M64">
            <v>0</v>
          </cell>
        </row>
        <row r="65">
          <cell r="A65" t="str">
            <v>TX-55554-BO-4XL</v>
          </cell>
          <cell r="B65">
            <v>4</v>
          </cell>
          <cell r="C65">
            <v>0</v>
          </cell>
          <cell r="D65">
            <v>0</v>
          </cell>
          <cell r="E65">
            <v>1</v>
          </cell>
          <cell r="F65">
            <v>0</v>
          </cell>
          <cell r="G65">
            <v>0</v>
          </cell>
          <cell r="H65">
            <v>2</v>
          </cell>
          <cell r="I65">
            <v>0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</row>
        <row r="66">
          <cell r="A66" t="str">
            <v>TX-55554-BO-5XL</v>
          </cell>
          <cell r="B66">
            <v>6</v>
          </cell>
          <cell r="C66">
            <v>1</v>
          </cell>
          <cell r="D66">
            <v>0.19</v>
          </cell>
          <cell r="E66">
            <v>4</v>
          </cell>
          <cell r="F66">
            <v>0</v>
          </cell>
          <cell r="G66">
            <v>0</v>
          </cell>
          <cell r="H66">
            <v>8</v>
          </cell>
          <cell r="I66">
            <v>0</v>
          </cell>
          <cell r="J66">
            <v>0</v>
          </cell>
          <cell r="K66">
            <v>2</v>
          </cell>
          <cell r="L66">
            <v>0</v>
          </cell>
          <cell r="M66">
            <v>0</v>
          </cell>
        </row>
        <row r="67">
          <cell r="A67" t="str">
            <v>TX-55554-GO-2XL</v>
          </cell>
          <cell r="B67">
            <v>27</v>
          </cell>
          <cell r="C67">
            <v>0</v>
          </cell>
          <cell r="D67">
            <v>0</v>
          </cell>
          <cell r="E67">
            <v>10</v>
          </cell>
          <cell r="F67">
            <v>0</v>
          </cell>
          <cell r="G67">
            <v>0</v>
          </cell>
          <cell r="H67">
            <v>5</v>
          </cell>
          <cell r="I67">
            <v>0</v>
          </cell>
          <cell r="J67">
            <v>0</v>
          </cell>
          <cell r="K67">
            <v>18</v>
          </cell>
          <cell r="L67">
            <v>0</v>
          </cell>
          <cell r="M67">
            <v>0</v>
          </cell>
        </row>
        <row r="68">
          <cell r="A68" t="str">
            <v>TX-55554-GO-3XL</v>
          </cell>
          <cell r="B68">
            <v>18</v>
          </cell>
          <cell r="C68">
            <v>0</v>
          </cell>
          <cell r="D68">
            <v>0</v>
          </cell>
          <cell r="E68">
            <v>1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</row>
        <row r="69">
          <cell r="A69" t="str">
            <v>TX-55554-GO-4XL</v>
          </cell>
          <cell r="B69">
            <v>12</v>
          </cell>
          <cell r="C69">
            <v>0</v>
          </cell>
          <cell r="D69">
            <v>0</v>
          </cell>
          <cell r="E69">
            <v>3</v>
          </cell>
          <cell r="F69">
            <v>0</v>
          </cell>
          <cell r="G69">
            <v>0</v>
          </cell>
          <cell r="H69">
            <v>1</v>
          </cell>
          <cell r="I69">
            <v>0</v>
          </cell>
          <cell r="J69">
            <v>0</v>
          </cell>
          <cell r="K69">
            <v>1</v>
          </cell>
          <cell r="L69">
            <v>0</v>
          </cell>
          <cell r="M69">
            <v>0</v>
          </cell>
        </row>
        <row r="70">
          <cell r="A70" t="str">
            <v>TX-55554-GO-5XL</v>
          </cell>
          <cell r="B70">
            <v>9</v>
          </cell>
          <cell r="C70">
            <v>0</v>
          </cell>
          <cell r="D70">
            <v>0</v>
          </cell>
          <cell r="E70">
            <v>4</v>
          </cell>
          <cell r="F70">
            <v>0</v>
          </cell>
          <cell r="G70">
            <v>0</v>
          </cell>
          <cell r="H70">
            <v>15</v>
          </cell>
          <cell r="I70">
            <v>0</v>
          </cell>
          <cell r="J70">
            <v>0</v>
          </cell>
          <cell r="K70">
            <v>26</v>
          </cell>
          <cell r="L70">
            <v>0</v>
          </cell>
          <cell r="M70">
            <v>0</v>
          </cell>
        </row>
        <row r="71">
          <cell r="A71" t="str">
            <v>TX-55554-GR-2XL</v>
          </cell>
          <cell r="B71">
            <v>5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1</v>
          </cell>
          <cell r="I71">
            <v>0</v>
          </cell>
          <cell r="J71">
            <v>0</v>
          </cell>
          <cell r="K71">
            <v>1</v>
          </cell>
          <cell r="L71">
            <v>0</v>
          </cell>
          <cell r="M71">
            <v>0</v>
          </cell>
        </row>
        <row r="72">
          <cell r="A72" t="str">
            <v>TX-55554-GR-3XL</v>
          </cell>
          <cell r="B72">
            <v>26</v>
          </cell>
          <cell r="C72">
            <v>0</v>
          </cell>
          <cell r="D72">
            <v>0</v>
          </cell>
          <cell r="E72">
            <v>16</v>
          </cell>
          <cell r="F72">
            <v>0</v>
          </cell>
          <cell r="G72">
            <v>0</v>
          </cell>
          <cell r="H72">
            <v>1</v>
          </cell>
          <cell r="I72">
            <v>0</v>
          </cell>
          <cell r="J72">
            <v>0</v>
          </cell>
          <cell r="K72">
            <v>1</v>
          </cell>
          <cell r="L72">
            <v>0</v>
          </cell>
          <cell r="M72">
            <v>0</v>
          </cell>
        </row>
        <row r="73">
          <cell r="A73" t="str">
            <v>TX-55554-GR-4XL</v>
          </cell>
          <cell r="B73">
            <v>1</v>
          </cell>
          <cell r="C73">
            <v>0</v>
          </cell>
          <cell r="D73">
            <v>0</v>
          </cell>
          <cell r="E73">
            <v>16</v>
          </cell>
          <cell r="F73">
            <v>0</v>
          </cell>
          <cell r="G73">
            <v>0</v>
          </cell>
          <cell r="H73">
            <v>4</v>
          </cell>
          <cell r="I73">
            <v>0</v>
          </cell>
          <cell r="J73">
            <v>0</v>
          </cell>
          <cell r="K73">
            <v>1</v>
          </cell>
          <cell r="L73">
            <v>0</v>
          </cell>
          <cell r="M73">
            <v>0</v>
          </cell>
        </row>
        <row r="74">
          <cell r="A74" t="str">
            <v>TX-55554-GR-5XL</v>
          </cell>
          <cell r="B74">
            <v>1</v>
          </cell>
          <cell r="C74">
            <v>0</v>
          </cell>
          <cell r="D74">
            <v>0</v>
          </cell>
          <cell r="E74">
            <v>24</v>
          </cell>
          <cell r="F74">
            <v>0</v>
          </cell>
          <cell r="G74">
            <v>0</v>
          </cell>
          <cell r="H74">
            <v>72</v>
          </cell>
          <cell r="I74">
            <v>0</v>
          </cell>
          <cell r="J74">
            <v>0</v>
          </cell>
          <cell r="K74">
            <v>185</v>
          </cell>
          <cell r="L74">
            <v>0</v>
          </cell>
          <cell r="M74">
            <v>0</v>
          </cell>
        </row>
        <row r="75">
          <cell r="A75" t="str">
            <v>TX-55554-KO-2XL</v>
          </cell>
          <cell r="B75">
            <v>30</v>
          </cell>
          <cell r="C75">
            <v>0</v>
          </cell>
          <cell r="D75">
            <v>0</v>
          </cell>
          <cell r="E75">
            <v>26</v>
          </cell>
          <cell r="F75">
            <v>0</v>
          </cell>
          <cell r="G75">
            <v>0</v>
          </cell>
          <cell r="H75">
            <v>1</v>
          </cell>
          <cell r="I75">
            <v>0</v>
          </cell>
          <cell r="J75">
            <v>0</v>
          </cell>
          <cell r="K75">
            <v>1</v>
          </cell>
          <cell r="L75">
            <v>0</v>
          </cell>
          <cell r="M75">
            <v>0</v>
          </cell>
        </row>
        <row r="76">
          <cell r="A76" t="str">
            <v>TX-55554-KO-3XL</v>
          </cell>
          <cell r="B76">
            <v>8</v>
          </cell>
          <cell r="C76">
            <v>0</v>
          </cell>
          <cell r="D76">
            <v>0</v>
          </cell>
          <cell r="E76">
            <v>49</v>
          </cell>
          <cell r="F76">
            <v>0</v>
          </cell>
          <cell r="G76">
            <v>0</v>
          </cell>
          <cell r="H76">
            <v>103</v>
          </cell>
          <cell r="I76">
            <v>1</v>
          </cell>
          <cell r="J76">
            <v>0.25</v>
          </cell>
          <cell r="K76">
            <v>167</v>
          </cell>
          <cell r="L76">
            <v>0</v>
          </cell>
          <cell r="M76">
            <v>0</v>
          </cell>
        </row>
        <row r="77">
          <cell r="A77" t="str">
            <v>TX-55554-KO-4XL</v>
          </cell>
          <cell r="B77">
            <v>0</v>
          </cell>
          <cell r="C77">
            <v>0</v>
          </cell>
          <cell r="D77">
            <v>0</v>
          </cell>
          <cell r="E77">
            <v>3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1</v>
          </cell>
          <cell r="L77">
            <v>0</v>
          </cell>
          <cell r="M77">
            <v>0</v>
          </cell>
        </row>
        <row r="78">
          <cell r="A78" t="str">
            <v>TX-55554-KO-5XL</v>
          </cell>
          <cell r="B78">
            <v>13</v>
          </cell>
          <cell r="C78">
            <v>0</v>
          </cell>
          <cell r="D78">
            <v>0</v>
          </cell>
          <cell r="E78">
            <v>2</v>
          </cell>
          <cell r="F78">
            <v>0</v>
          </cell>
          <cell r="G78">
            <v>0</v>
          </cell>
          <cell r="H78">
            <v>2</v>
          </cell>
          <cell r="I78">
            <v>0</v>
          </cell>
          <cell r="J78">
            <v>0</v>
          </cell>
          <cell r="K78">
            <v>7</v>
          </cell>
          <cell r="L78">
            <v>0</v>
          </cell>
          <cell r="M78">
            <v>0</v>
          </cell>
        </row>
        <row r="79">
          <cell r="A79" t="str">
            <v>WY-SB017-BK-L</v>
          </cell>
          <cell r="B79">
            <v>2218</v>
          </cell>
          <cell r="C79">
            <v>4</v>
          </cell>
          <cell r="D79">
            <v>1.17</v>
          </cell>
          <cell r="E79">
            <v>4937</v>
          </cell>
          <cell r="F79">
            <v>5</v>
          </cell>
          <cell r="G79">
            <v>2.14</v>
          </cell>
          <cell r="H79">
            <v>5782</v>
          </cell>
          <cell r="I79">
            <v>8</v>
          </cell>
          <cell r="J79">
            <v>3.06</v>
          </cell>
          <cell r="K79">
            <v>15665</v>
          </cell>
          <cell r="L79">
            <v>20</v>
          </cell>
          <cell r="M79">
            <v>7.67</v>
          </cell>
        </row>
        <row r="80">
          <cell r="A80" t="str">
            <v>TX-55554-PI-2XL</v>
          </cell>
          <cell r="B80">
            <v>671</v>
          </cell>
          <cell r="C80">
            <v>0</v>
          </cell>
          <cell r="D80">
            <v>0</v>
          </cell>
          <cell r="E80">
            <v>146</v>
          </cell>
          <cell r="F80">
            <v>0</v>
          </cell>
          <cell r="G80">
            <v>0</v>
          </cell>
          <cell r="H80">
            <v>2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</row>
        <row r="81">
          <cell r="A81" t="str">
            <v>TX-55554-PI-3XL</v>
          </cell>
          <cell r="B81">
            <v>269</v>
          </cell>
          <cell r="C81">
            <v>0</v>
          </cell>
          <cell r="D81">
            <v>0</v>
          </cell>
          <cell r="E81">
            <v>113</v>
          </cell>
          <cell r="F81">
            <v>0</v>
          </cell>
          <cell r="G81">
            <v>0</v>
          </cell>
          <cell r="H81">
            <v>234</v>
          </cell>
          <cell r="I81">
            <v>1</v>
          </cell>
          <cell r="J81">
            <v>0.13</v>
          </cell>
          <cell r="K81">
            <v>1117</v>
          </cell>
          <cell r="L81">
            <v>1</v>
          </cell>
          <cell r="M81">
            <v>0.04</v>
          </cell>
        </row>
        <row r="82">
          <cell r="A82" t="str">
            <v>TX-55554-PI-4XL</v>
          </cell>
          <cell r="B82">
            <v>13</v>
          </cell>
          <cell r="C82">
            <v>0</v>
          </cell>
          <cell r="D82">
            <v>0</v>
          </cell>
          <cell r="E82">
            <v>41</v>
          </cell>
          <cell r="F82">
            <v>1</v>
          </cell>
          <cell r="G82">
            <v>0.25</v>
          </cell>
          <cell r="H82">
            <v>145</v>
          </cell>
          <cell r="I82">
            <v>1</v>
          </cell>
          <cell r="J82">
            <v>0.24</v>
          </cell>
          <cell r="K82">
            <v>672</v>
          </cell>
          <cell r="L82">
            <v>2</v>
          </cell>
          <cell r="M82">
            <v>0.34</v>
          </cell>
        </row>
        <row r="83">
          <cell r="A83" t="str">
            <v>TX-55554-PI-5XL</v>
          </cell>
          <cell r="B83">
            <v>17</v>
          </cell>
          <cell r="C83">
            <v>0</v>
          </cell>
          <cell r="D83">
            <v>0</v>
          </cell>
          <cell r="E83">
            <v>14</v>
          </cell>
          <cell r="F83">
            <v>0</v>
          </cell>
          <cell r="G83">
            <v>0</v>
          </cell>
          <cell r="H83">
            <v>2</v>
          </cell>
          <cell r="I83">
            <v>0</v>
          </cell>
          <cell r="J83">
            <v>0</v>
          </cell>
          <cell r="K83">
            <v>1</v>
          </cell>
          <cell r="L83">
            <v>0</v>
          </cell>
          <cell r="M83">
            <v>0</v>
          </cell>
        </row>
        <row r="84">
          <cell r="A84" t="str">
            <v>TX-55554-PO-2XL</v>
          </cell>
          <cell r="B84">
            <v>21</v>
          </cell>
          <cell r="C84">
            <v>0</v>
          </cell>
          <cell r="D84">
            <v>0</v>
          </cell>
          <cell r="E84">
            <v>15</v>
          </cell>
          <cell r="F84">
            <v>0</v>
          </cell>
          <cell r="G84">
            <v>0</v>
          </cell>
          <cell r="H84">
            <v>52</v>
          </cell>
          <cell r="I84">
            <v>0</v>
          </cell>
          <cell r="J84">
            <v>0</v>
          </cell>
          <cell r="K84">
            <v>33</v>
          </cell>
          <cell r="L84">
            <v>0</v>
          </cell>
          <cell r="M84">
            <v>0</v>
          </cell>
        </row>
        <row r="85">
          <cell r="A85" t="str">
            <v>TX-55554-PO-3XL</v>
          </cell>
          <cell r="B85">
            <v>27</v>
          </cell>
          <cell r="C85">
            <v>0</v>
          </cell>
          <cell r="D85">
            <v>0</v>
          </cell>
          <cell r="E85">
            <v>17</v>
          </cell>
          <cell r="F85">
            <v>0</v>
          </cell>
          <cell r="G85">
            <v>0</v>
          </cell>
          <cell r="H85">
            <v>1</v>
          </cell>
          <cell r="I85">
            <v>0</v>
          </cell>
          <cell r="J85">
            <v>0</v>
          </cell>
          <cell r="K85">
            <v>2</v>
          </cell>
          <cell r="L85">
            <v>0</v>
          </cell>
          <cell r="M85">
            <v>0</v>
          </cell>
        </row>
        <row r="86">
          <cell r="A86" t="str">
            <v>TX-55554-PO-4XL</v>
          </cell>
          <cell r="B86">
            <v>30</v>
          </cell>
          <cell r="C86">
            <v>0</v>
          </cell>
          <cell r="D86">
            <v>0</v>
          </cell>
          <cell r="E86">
            <v>38</v>
          </cell>
          <cell r="F86">
            <v>0</v>
          </cell>
          <cell r="G86">
            <v>0</v>
          </cell>
          <cell r="H86">
            <v>18</v>
          </cell>
          <cell r="I86">
            <v>0</v>
          </cell>
          <cell r="J86">
            <v>0</v>
          </cell>
          <cell r="K86">
            <v>19</v>
          </cell>
          <cell r="L86">
            <v>0</v>
          </cell>
          <cell r="M86">
            <v>0</v>
          </cell>
        </row>
        <row r="87">
          <cell r="A87" t="str">
            <v>TX-55554-PO-5XL</v>
          </cell>
          <cell r="B87">
            <v>15</v>
          </cell>
          <cell r="C87">
            <v>0</v>
          </cell>
          <cell r="D87">
            <v>0</v>
          </cell>
          <cell r="E87">
            <v>8</v>
          </cell>
          <cell r="F87">
            <v>0</v>
          </cell>
          <cell r="G87">
            <v>0</v>
          </cell>
          <cell r="H87">
            <v>13</v>
          </cell>
          <cell r="I87">
            <v>0</v>
          </cell>
          <cell r="J87">
            <v>0</v>
          </cell>
          <cell r="K87">
            <v>16</v>
          </cell>
          <cell r="L87">
            <v>0</v>
          </cell>
          <cell r="M87">
            <v>0</v>
          </cell>
        </row>
        <row r="88">
          <cell r="A88" t="str">
            <v>TX-55554-WO-2XL</v>
          </cell>
          <cell r="B88">
            <v>37</v>
          </cell>
          <cell r="C88">
            <v>0</v>
          </cell>
          <cell r="D88">
            <v>0</v>
          </cell>
          <cell r="E88">
            <v>11</v>
          </cell>
          <cell r="F88">
            <v>0</v>
          </cell>
          <cell r="G88">
            <v>0</v>
          </cell>
          <cell r="H88">
            <v>2</v>
          </cell>
          <cell r="I88">
            <v>0</v>
          </cell>
          <cell r="J88">
            <v>0</v>
          </cell>
          <cell r="K88">
            <v>3</v>
          </cell>
          <cell r="L88">
            <v>0</v>
          </cell>
          <cell r="M88">
            <v>0</v>
          </cell>
        </row>
        <row r="89">
          <cell r="A89" t="str">
            <v>TX-55554-WO-3XL</v>
          </cell>
          <cell r="B89">
            <v>16</v>
          </cell>
          <cell r="C89">
            <v>0</v>
          </cell>
          <cell r="D89">
            <v>0</v>
          </cell>
          <cell r="E89">
            <v>19</v>
          </cell>
          <cell r="F89">
            <v>0</v>
          </cell>
          <cell r="G89">
            <v>0</v>
          </cell>
          <cell r="H89">
            <v>10</v>
          </cell>
          <cell r="I89">
            <v>0</v>
          </cell>
          <cell r="J89">
            <v>0</v>
          </cell>
          <cell r="K89">
            <v>53</v>
          </cell>
          <cell r="L89">
            <v>0</v>
          </cell>
          <cell r="M89">
            <v>0</v>
          </cell>
        </row>
        <row r="90">
          <cell r="A90" t="str">
            <v>TX-55554-WO-4XL</v>
          </cell>
          <cell r="B90">
            <v>190</v>
          </cell>
          <cell r="C90">
            <v>0</v>
          </cell>
          <cell r="D90">
            <v>0</v>
          </cell>
          <cell r="E90">
            <v>25</v>
          </cell>
          <cell r="F90">
            <v>0</v>
          </cell>
          <cell r="G90">
            <v>0</v>
          </cell>
          <cell r="H90">
            <v>2</v>
          </cell>
          <cell r="I90">
            <v>0</v>
          </cell>
          <cell r="J90">
            <v>0</v>
          </cell>
          <cell r="K90">
            <v>2</v>
          </cell>
          <cell r="L90">
            <v>0</v>
          </cell>
          <cell r="M90">
            <v>0</v>
          </cell>
        </row>
        <row r="91">
          <cell r="A91" t="str">
            <v>TX-55554-WO-5XL</v>
          </cell>
          <cell r="B91">
            <v>5</v>
          </cell>
          <cell r="C91">
            <v>1</v>
          </cell>
          <cell r="D91">
            <v>0.22</v>
          </cell>
          <cell r="E91">
            <v>6027</v>
          </cell>
          <cell r="F91">
            <v>1</v>
          </cell>
          <cell r="G91">
            <v>0.23</v>
          </cell>
          <cell r="H91">
            <v>2034</v>
          </cell>
          <cell r="I91">
            <v>2</v>
          </cell>
          <cell r="J91">
            <v>0.43</v>
          </cell>
          <cell r="K91">
            <v>914</v>
          </cell>
          <cell r="L91">
            <v>0</v>
          </cell>
          <cell r="M91">
            <v>0</v>
          </cell>
        </row>
        <row r="92">
          <cell r="A92" t="str">
            <v>MY-SB026-RD-S</v>
          </cell>
          <cell r="B92">
            <v>1684</v>
          </cell>
          <cell r="C92">
            <v>7</v>
          </cell>
          <cell r="D92">
            <v>0.91</v>
          </cell>
          <cell r="E92">
            <v>2069</v>
          </cell>
          <cell r="F92">
            <v>7</v>
          </cell>
          <cell r="G92">
            <v>1.17</v>
          </cell>
          <cell r="H92">
            <v>1259</v>
          </cell>
          <cell r="I92">
            <v>3</v>
          </cell>
          <cell r="J92">
            <v>0.32</v>
          </cell>
          <cell r="K92">
            <v>1467</v>
          </cell>
          <cell r="L92">
            <v>7</v>
          </cell>
          <cell r="M92">
            <v>1.18</v>
          </cell>
        </row>
        <row r="93">
          <cell r="A93" t="str">
            <v>YZ-BEWH173-K0-XXL</v>
          </cell>
          <cell r="B93">
            <v>0</v>
          </cell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116</v>
          </cell>
          <cell r="I93">
            <v>1</v>
          </cell>
          <cell r="J93">
            <v>0.12</v>
          </cell>
          <cell r="K93">
            <v>3229</v>
          </cell>
          <cell r="L93">
            <v>34</v>
          </cell>
          <cell r="M93">
            <v>4.41</v>
          </cell>
        </row>
        <row r="94">
          <cell r="A94" t="str">
            <v>YZ-BEWH173-ZL-M</v>
          </cell>
          <cell r="B94">
            <v>0</v>
          </cell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11063</v>
          </cell>
          <cell r="I94">
            <v>135</v>
          </cell>
          <cell r="J94">
            <v>17.67</v>
          </cell>
          <cell r="K94">
            <v>3763</v>
          </cell>
          <cell r="L94">
            <v>78</v>
          </cell>
          <cell r="M94">
            <v>11.51</v>
          </cell>
        </row>
        <row r="95">
          <cell r="A95" t="str">
            <v>MY-EU1925-E0-2XL</v>
          </cell>
          <cell r="B95">
            <v>70</v>
          </cell>
          <cell r="C95">
            <v>0</v>
          </cell>
          <cell r="D95">
            <v>0</v>
          </cell>
          <cell r="E95">
            <v>95</v>
          </cell>
          <cell r="F95">
            <v>0</v>
          </cell>
          <cell r="G95">
            <v>0</v>
          </cell>
          <cell r="H95">
            <v>84</v>
          </cell>
          <cell r="I95">
            <v>0</v>
          </cell>
          <cell r="J95">
            <v>0</v>
          </cell>
          <cell r="K95">
            <v>107</v>
          </cell>
          <cell r="L95">
            <v>0</v>
          </cell>
          <cell r="M95">
            <v>0</v>
          </cell>
        </row>
        <row r="96">
          <cell r="A96" t="str">
            <v>MY-EU1925-E0-L</v>
          </cell>
          <cell r="B96">
            <v>177</v>
          </cell>
          <cell r="C96">
            <v>0</v>
          </cell>
          <cell r="D96">
            <v>0</v>
          </cell>
          <cell r="E96">
            <v>132</v>
          </cell>
          <cell r="F96">
            <v>2</v>
          </cell>
          <cell r="G96">
            <v>0.43</v>
          </cell>
          <cell r="H96">
            <v>77</v>
          </cell>
          <cell r="I96">
            <v>1</v>
          </cell>
          <cell r="J96">
            <v>0.2</v>
          </cell>
          <cell r="K96">
            <v>74</v>
          </cell>
          <cell r="L96">
            <v>0</v>
          </cell>
          <cell r="M96">
            <v>0</v>
          </cell>
        </row>
        <row r="97">
          <cell r="A97" t="str">
            <v>MY-EU1925-E0-S</v>
          </cell>
          <cell r="B97">
            <v>237</v>
          </cell>
          <cell r="C97">
            <v>2</v>
          </cell>
          <cell r="D97">
            <v>0.37</v>
          </cell>
          <cell r="E97">
            <v>134</v>
          </cell>
          <cell r="F97">
            <v>1</v>
          </cell>
          <cell r="G97">
            <v>0.23</v>
          </cell>
          <cell r="H97">
            <v>32</v>
          </cell>
          <cell r="I97">
            <v>0</v>
          </cell>
          <cell r="J97">
            <v>0</v>
          </cell>
          <cell r="K97">
            <v>33</v>
          </cell>
          <cell r="L97">
            <v>1</v>
          </cell>
          <cell r="M97">
            <v>0.14</v>
          </cell>
        </row>
        <row r="98">
          <cell r="A98" t="str">
            <v>MY-EU1925-E0-XL</v>
          </cell>
          <cell r="B98">
            <v>147</v>
          </cell>
          <cell r="C98">
            <v>1</v>
          </cell>
          <cell r="D98">
            <v>0.17</v>
          </cell>
          <cell r="E98">
            <v>79</v>
          </cell>
          <cell r="F98">
            <v>2</v>
          </cell>
          <cell r="G98">
            <v>0.41</v>
          </cell>
          <cell r="H98">
            <v>26</v>
          </cell>
          <cell r="I98">
            <v>0</v>
          </cell>
          <cell r="J98">
            <v>0</v>
          </cell>
          <cell r="K98">
            <v>18</v>
          </cell>
          <cell r="L98">
            <v>0</v>
          </cell>
          <cell r="M98">
            <v>0</v>
          </cell>
        </row>
        <row r="99">
          <cell r="A99" t="str">
            <v>MY-EU1925-G7-2XL</v>
          </cell>
          <cell r="B99">
            <v>219</v>
          </cell>
          <cell r="C99">
            <v>1</v>
          </cell>
          <cell r="D99">
            <v>0.09</v>
          </cell>
          <cell r="E99">
            <v>175</v>
          </cell>
          <cell r="F99">
            <v>1</v>
          </cell>
          <cell r="G99">
            <v>0.17</v>
          </cell>
          <cell r="H99">
            <v>51</v>
          </cell>
          <cell r="I99">
            <v>1</v>
          </cell>
          <cell r="J99">
            <v>0.2</v>
          </cell>
          <cell r="K99">
            <v>40</v>
          </cell>
          <cell r="L99">
            <v>0</v>
          </cell>
          <cell r="M99">
            <v>0</v>
          </cell>
        </row>
        <row r="100">
          <cell r="A100" t="str">
            <v>MY-EU1925-G7-L</v>
          </cell>
          <cell r="B100">
            <v>182</v>
          </cell>
          <cell r="C100">
            <v>0</v>
          </cell>
          <cell r="D100">
            <v>0</v>
          </cell>
          <cell r="E100">
            <v>136</v>
          </cell>
          <cell r="F100">
            <v>0</v>
          </cell>
          <cell r="G100">
            <v>0</v>
          </cell>
          <cell r="H100">
            <v>85</v>
          </cell>
          <cell r="I100">
            <v>1</v>
          </cell>
          <cell r="J100">
            <v>0.05</v>
          </cell>
          <cell r="K100">
            <v>105</v>
          </cell>
          <cell r="L100">
            <v>0</v>
          </cell>
          <cell r="M100">
            <v>0</v>
          </cell>
        </row>
        <row r="101">
          <cell r="A101" t="str">
            <v>MY-EU1925-G7-XL</v>
          </cell>
          <cell r="B101">
            <v>160</v>
          </cell>
          <cell r="C101">
            <v>0</v>
          </cell>
          <cell r="D101">
            <v>0</v>
          </cell>
          <cell r="E101">
            <v>242</v>
          </cell>
          <cell r="F101">
            <v>2</v>
          </cell>
          <cell r="G101">
            <v>0.36</v>
          </cell>
          <cell r="H101">
            <v>145</v>
          </cell>
          <cell r="I101">
            <v>1</v>
          </cell>
          <cell r="J101">
            <v>0.2</v>
          </cell>
          <cell r="K101">
            <v>122</v>
          </cell>
          <cell r="L101">
            <v>1</v>
          </cell>
          <cell r="M101">
            <v>0.12</v>
          </cell>
        </row>
        <row r="102">
          <cell r="A102" t="str">
            <v>MY-EU1925-R6-S</v>
          </cell>
          <cell r="B102">
            <v>88</v>
          </cell>
          <cell r="C102">
            <v>1</v>
          </cell>
          <cell r="D102">
            <v>0.19</v>
          </cell>
          <cell r="E102">
            <v>59</v>
          </cell>
          <cell r="F102">
            <v>0</v>
          </cell>
          <cell r="G102">
            <v>0</v>
          </cell>
          <cell r="H102">
            <v>24</v>
          </cell>
          <cell r="I102">
            <v>0</v>
          </cell>
          <cell r="J102">
            <v>0</v>
          </cell>
          <cell r="K102">
            <v>22</v>
          </cell>
          <cell r="L102">
            <v>0</v>
          </cell>
          <cell r="M102">
            <v>0</v>
          </cell>
        </row>
        <row r="103">
          <cell r="A103" t="str">
            <v>MY-EU1925-W0-2XL</v>
          </cell>
          <cell r="B103">
            <v>1002</v>
          </cell>
          <cell r="C103">
            <v>5</v>
          </cell>
          <cell r="D103">
            <v>0.94</v>
          </cell>
          <cell r="E103">
            <v>390</v>
          </cell>
          <cell r="F103">
            <v>2</v>
          </cell>
          <cell r="G103">
            <v>0.27</v>
          </cell>
          <cell r="H103">
            <v>248</v>
          </cell>
          <cell r="I103">
            <v>3</v>
          </cell>
          <cell r="J103">
            <v>0.37</v>
          </cell>
          <cell r="K103">
            <v>165</v>
          </cell>
          <cell r="L103">
            <v>0</v>
          </cell>
          <cell r="M103">
            <v>0</v>
          </cell>
        </row>
        <row r="104">
          <cell r="A104" t="str">
            <v>MY-EU1925-W0-S</v>
          </cell>
          <cell r="B104">
            <v>89</v>
          </cell>
          <cell r="C104">
            <v>0</v>
          </cell>
          <cell r="D104">
            <v>0</v>
          </cell>
          <cell r="E104">
            <v>64</v>
          </cell>
          <cell r="F104">
            <v>0</v>
          </cell>
          <cell r="G104">
            <v>0</v>
          </cell>
          <cell r="H104">
            <v>25</v>
          </cell>
          <cell r="I104">
            <v>0</v>
          </cell>
          <cell r="J104">
            <v>0</v>
          </cell>
          <cell r="K104">
            <v>26</v>
          </cell>
          <cell r="L104">
            <v>0</v>
          </cell>
          <cell r="M104">
            <v>0</v>
          </cell>
        </row>
        <row r="105">
          <cell r="A105" t="str">
            <v>LYQ-BS-HM1205-BR-M</v>
          </cell>
          <cell r="B105">
            <v>3579</v>
          </cell>
          <cell r="C105">
            <v>2</v>
          </cell>
          <cell r="D105">
            <v>0.39</v>
          </cell>
          <cell r="E105">
            <v>2625</v>
          </cell>
          <cell r="F105">
            <v>1</v>
          </cell>
          <cell r="G105">
            <v>0.21</v>
          </cell>
          <cell r="H105">
            <v>190</v>
          </cell>
          <cell r="I105">
            <v>0</v>
          </cell>
          <cell r="J105">
            <v>0</v>
          </cell>
          <cell r="K105">
            <v>240</v>
          </cell>
          <cell r="L105">
            <v>0</v>
          </cell>
          <cell r="M105">
            <v>0</v>
          </cell>
        </row>
        <row r="106">
          <cell r="A106" t="str">
            <v>LYQ-BS-HM1205-BR-S</v>
          </cell>
          <cell r="B106">
            <v>1113</v>
          </cell>
          <cell r="C106">
            <v>1</v>
          </cell>
          <cell r="D106">
            <v>0.23</v>
          </cell>
          <cell r="E106">
            <v>1041</v>
          </cell>
          <cell r="F106">
            <v>0</v>
          </cell>
          <cell r="G106">
            <v>0</v>
          </cell>
          <cell r="H106">
            <v>61</v>
          </cell>
          <cell r="I106">
            <v>0</v>
          </cell>
          <cell r="J106">
            <v>0</v>
          </cell>
          <cell r="K106">
            <v>39</v>
          </cell>
          <cell r="L106">
            <v>0</v>
          </cell>
          <cell r="M106">
            <v>0</v>
          </cell>
        </row>
        <row r="107">
          <cell r="A107" t="str">
            <v>LYQ-BS-HM1205-KH-S</v>
          </cell>
          <cell r="B107">
            <v>704</v>
          </cell>
          <cell r="C107">
            <v>0</v>
          </cell>
          <cell r="D107">
            <v>0</v>
          </cell>
          <cell r="E107">
            <v>444</v>
          </cell>
          <cell r="F107">
            <v>1</v>
          </cell>
          <cell r="G107">
            <v>0.05</v>
          </cell>
          <cell r="H107">
            <v>220</v>
          </cell>
          <cell r="I107">
            <v>0</v>
          </cell>
          <cell r="J107">
            <v>0</v>
          </cell>
          <cell r="K107">
            <v>363</v>
          </cell>
          <cell r="L107">
            <v>0</v>
          </cell>
          <cell r="M107">
            <v>0</v>
          </cell>
        </row>
        <row r="108">
          <cell r="A108" t="str">
            <v>LYQ-BS-HM1205-KH-XL</v>
          </cell>
          <cell r="B108">
            <v>104</v>
          </cell>
          <cell r="C108">
            <v>1</v>
          </cell>
          <cell r="D108">
            <v>0.17</v>
          </cell>
          <cell r="E108">
            <v>448</v>
          </cell>
          <cell r="F108">
            <v>0</v>
          </cell>
          <cell r="G108">
            <v>0</v>
          </cell>
          <cell r="H108">
            <v>2568</v>
          </cell>
          <cell r="I108">
            <v>1</v>
          </cell>
          <cell r="J108">
            <v>0.12</v>
          </cell>
          <cell r="K108">
            <v>401</v>
          </cell>
          <cell r="L108">
            <v>1</v>
          </cell>
          <cell r="M108">
            <v>0.21</v>
          </cell>
        </row>
        <row r="109">
          <cell r="A109" t="str">
            <v>LYQ-BS-HM1205-OR-L</v>
          </cell>
          <cell r="B109">
            <v>290</v>
          </cell>
          <cell r="C109">
            <v>1</v>
          </cell>
          <cell r="D109">
            <v>0.17</v>
          </cell>
          <cell r="E109">
            <v>1575</v>
          </cell>
          <cell r="F109">
            <v>3</v>
          </cell>
          <cell r="G109">
            <v>0.57</v>
          </cell>
          <cell r="H109">
            <v>668</v>
          </cell>
          <cell r="I109">
            <v>1</v>
          </cell>
          <cell r="J109">
            <v>0.18</v>
          </cell>
          <cell r="K109">
            <v>480</v>
          </cell>
          <cell r="L109">
            <v>8</v>
          </cell>
          <cell r="M109">
            <v>0.99</v>
          </cell>
        </row>
        <row r="110">
          <cell r="A110" t="str">
            <v>LYQ-BS-HM1205-OR-M</v>
          </cell>
          <cell r="B110">
            <v>957</v>
          </cell>
          <cell r="C110">
            <v>2</v>
          </cell>
          <cell r="D110">
            <v>0.28</v>
          </cell>
          <cell r="E110">
            <v>974</v>
          </cell>
          <cell r="F110">
            <v>1</v>
          </cell>
          <cell r="G110">
            <v>0.11</v>
          </cell>
          <cell r="H110">
            <v>895</v>
          </cell>
          <cell r="I110">
            <v>1</v>
          </cell>
          <cell r="J110">
            <v>0.1</v>
          </cell>
          <cell r="K110">
            <v>2467</v>
          </cell>
          <cell r="L110">
            <v>2</v>
          </cell>
          <cell r="M110">
            <v>0.4</v>
          </cell>
        </row>
        <row r="111">
          <cell r="A111" t="str">
            <v>LYQ-BS-HM1205-OR-S</v>
          </cell>
          <cell r="B111">
            <v>1119</v>
          </cell>
          <cell r="C111">
            <v>0</v>
          </cell>
          <cell r="D111">
            <v>0</v>
          </cell>
          <cell r="E111">
            <v>650</v>
          </cell>
          <cell r="F111">
            <v>0</v>
          </cell>
          <cell r="G111">
            <v>0</v>
          </cell>
          <cell r="H111">
            <v>139</v>
          </cell>
          <cell r="I111">
            <v>0</v>
          </cell>
          <cell r="J111">
            <v>0</v>
          </cell>
          <cell r="K111">
            <v>102</v>
          </cell>
          <cell r="L111">
            <v>1</v>
          </cell>
          <cell r="M111">
            <v>0.23</v>
          </cell>
        </row>
        <row r="112">
          <cell r="A112" t="str">
            <v>LYQ-BS-HM1205-W0-L</v>
          </cell>
          <cell r="B112">
            <v>1494</v>
          </cell>
          <cell r="C112">
            <v>6</v>
          </cell>
          <cell r="D112">
            <v>0.91</v>
          </cell>
          <cell r="E112">
            <v>1259</v>
          </cell>
          <cell r="F112">
            <v>3</v>
          </cell>
          <cell r="G112">
            <v>0.58</v>
          </cell>
          <cell r="H112">
            <v>600</v>
          </cell>
          <cell r="I112">
            <v>5</v>
          </cell>
          <cell r="J112">
            <v>0.68</v>
          </cell>
          <cell r="K112">
            <v>1830</v>
          </cell>
          <cell r="L112">
            <v>6</v>
          </cell>
          <cell r="M112">
            <v>1.03</v>
          </cell>
        </row>
        <row r="113">
          <cell r="A113" t="str">
            <v>LYQ-BS-HM1205-W0-S</v>
          </cell>
          <cell r="B113">
            <v>1901</v>
          </cell>
          <cell r="C113">
            <v>4</v>
          </cell>
          <cell r="D113">
            <v>0.6</v>
          </cell>
          <cell r="E113">
            <v>2185</v>
          </cell>
          <cell r="F113">
            <v>8</v>
          </cell>
          <cell r="G113">
            <v>1.49</v>
          </cell>
          <cell r="H113">
            <v>376</v>
          </cell>
          <cell r="I113">
            <v>3</v>
          </cell>
          <cell r="J113">
            <v>0.63</v>
          </cell>
          <cell r="K113">
            <v>416</v>
          </cell>
          <cell r="L113">
            <v>5</v>
          </cell>
          <cell r="M113">
            <v>1.09</v>
          </cell>
        </row>
        <row r="114">
          <cell r="A114" t="str">
            <v>LYQ-BS-HM1205-W0-XL</v>
          </cell>
          <cell r="B114">
            <v>0</v>
          </cell>
          <cell r="C114">
            <v>0</v>
          </cell>
          <cell r="D114">
            <v>0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>
            <v>275</v>
          </cell>
          <cell r="L114">
            <v>0</v>
          </cell>
          <cell r="M114">
            <v>0</v>
          </cell>
        </row>
        <row r="115">
          <cell r="A115" t="str">
            <v>BS-WHBH1704-K0-S</v>
          </cell>
          <cell r="B115">
            <v>6278</v>
          </cell>
          <cell r="C115">
            <v>56</v>
          </cell>
          <cell r="D115">
            <v>6.87</v>
          </cell>
          <cell r="E115">
            <v>13985</v>
          </cell>
          <cell r="F115">
            <v>91</v>
          </cell>
          <cell r="G115">
            <v>10.62</v>
          </cell>
          <cell r="H115">
            <v>9957</v>
          </cell>
          <cell r="I115">
            <v>41</v>
          </cell>
          <cell r="J115">
            <v>4.53</v>
          </cell>
          <cell r="K115">
            <v>6860</v>
          </cell>
          <cell r="L115">
            <v>28</v>
          </cell>
          <cell r="M115">
            <v>3.39</v>
          </cell>
        </row>
        <row r="116">
          <cell r="A116" t="str">
            <v>CS-LY171-G912-S</v>
          </cell>
          <cell r="B116">
            <v>463</v>
          </cell>
          <cell r="C116">
            <v>0</v>
          </cell>
          <cell r="D116">
            <v>0</v>
          </cell>
          <cell r="E116">
            <v>279</v>
          </cell>
          <cell r="F116">
            <v>1</v>
          </cell>
          <cell r="G116">
            <v>0.23</v>
          </cell>
          <cell r="H116">
            <v>63</v>
          </cell>
          <cell r="I116">
            <v>0</v>
          </cell>
          <cell r="J116">
            <v>0</v>
          </cell>
          <cell r="K116">
            <v>107</v>
          </cell>
          <cell r="L116">
            <v>0</v>
          </cell>
          <cell r="M116">
            <v>0</v>
          </cell>
        </row>
        <row r="117">
          <cell r="A117" t="str">
            <v>CS-LY171-LB916-S</v>
          </cell>
          <cell r="B117">
            <v>9</v>
          </cell>
          <cell r="C117">
            <v>0</v>
          </cell>
          <cell r="D117">
            <v>0</v>
          </cell>
          <cell r="E117">
            <v>33</v>
          </cell>
          <cell r="F117">
            <v>0</v>
          </cell>
          <cell r="G117">
            <v>0</v>
          </cell>
          <cell r="H117">
            <v>8</v>
          </cell>
          <cell r="I117">
            <v>0</v>
          </cell>
          <cell r="J117">
            <v>0</v>
          </cell>
          <cell r="K117">
            <v>40</v>
          </cell>
          <cell r="L117">
            <v>1</v>
          </cell>
          <cell r="M117">
            <v>0.06</v>
          </cell>
        </row>
        <row r="118">
          <cell r="A118" t="str">
            <v>CS-LY171-LG907-S</v>
          </cell>
          <cell r="B118">
            <v>45</v>
          </cell>
          <cell r="C118">
            <v>0</v>
          </cell>
          <cell r="D118">
            <v>0</v>
          </cell>
          <cell r="E118">
            <v>186</v>
          </cell>
          <cell r="F118">
            <v>0</v>
          </cell>
          <cell r="G118">
            <v>0</v>
          </cell>
          <cell r="H118">
            <v>56</v>
          </cell>
          <cell r="I118">
            <v>0</v>
          </cell>
          <cell r="J118">
            <v>0</v>
          </cell>
          <cell r="K118">
            <v>330</v>
          </cell>
          <cell r="L118">
            <v>1</v>
          </cell>
          <cell r="M118">
            <v>0.28</v>
          </cell>
        </row>
        <row r="119">
          <cell r="A119" t="str">
            <v>CS-LY171-PI908-S</v>
          </cell>
          <cell r="B119">
            <v>457</v>
          </cell>
          <cell r="C119">
            <v>0</v>
          </cell>
          <cell r="D119">
            <v>0</v>
          </cell>
          <cell r="E119">
            <v>264</v>
          </cell>
          <cell r="F119">
            <v>1</v>
          </cell>
          <cell r="G119">
            <v>0.14</v>
          </cell>
          <cell r="H119">
            <v>284</v>
          </cell>
          <cell r="I119">
            <v>0</v>
          </cell>
          <cell r="J119">
            <v>0</v>
          </cell>
          <cell r="K119">
            <v>142</v>
          </cell>
          <cell r="L119">
            <v>2</v>
          </cell>
          <cell r="M119">
            <v>0.32</v>
          </cell>
        </row>
        <row r="120">
          <cell r="A120" t="str">
            <v>CS-LY171-Sa911-S</v>
          </cell>
          <cell r="B120">
            <v>1149</v>
          </cell>
          <cell r="C120">
            <v>1</v>
          </cell>
          <cell r="D120">
            <v>0.07</v>
          </cell>
          <cell r="E120">
            <v>630</v>
          </cell>
          <cell r="F120">
            <v>3</v>
          </cell>
          <cell r="G120">
            <v>0.68</v>
          </cell>
          <cell r="H120">
            <v>609</v>
          </cell>
          <cell r="I120">
            <v>0</v>
          </cell>
          <cell r="J120">
            <v>0</v>
          </cell>
          <cell r="K120">
            <v>136</v>
          </cell>
          <cell r="L120">
            <v>3</v>
          </cell>
          <cell r="M120">
            <v>0.55</v>
          </cell>
        </row>
        <row r="121">
          <cell r="A121" t="str">
            <v>CS-LY171-W902-S</v>
          </cell>
          <cell r="B121">
            <v>19</v>
          </cell>
          <cell r="C121">
            <v>2</v>
          </cell>
          <cell r="D121">
            <v>0.3</v>
          </cell>
          <cell r="E121">
            <v>24</v>
          </cell>
          <cell r="F121">
            <v>2</v>
          </cell>
          <cell r="G121">
            <v>0.38</v>
          </cell>
          <cell r="H121">
            <v>20</v>
          </cell>
          <cell r="I121">
            <v>0</v>
          </cell>
          <cell r="J121">
            <v>0</v>
          </cell>
          <cell r="K121">
            <v>21</v>
          </cell>
          <cell r="L121">
            <v>0</v>
          </cell>
          <cell r="M121">
            <v>0</v>
          </cell>
        </row>
        <row r="122">
          <cell r="A122" t="str">
            <v>CS-LY171-WR917-S</v>
          </cell>
          <cell r="B122">
            <v>1222</v>
          </cell>
          <cell r="C122">
            <v>1</v>
          </cell>
          <cell r="D122">
            <v>0.19</v>
          </cell>
          <cell r="E122">
            <v>1160</v>
          </cell>
          <cell r="F122">
            <v>4</v>
          </cell>
          <cell r="G122">
            <v>0.73</v>
          </cell>
          <cell r="H122">
            <v>940</v>
          </cell>
          <cell r="I122">
            <v>5</v>
          </cell>
          <cell r="J122">
            <v>1.07</v>
          </cell>
          <cell r="K122">
            <v>238</v>
          </cell>
          <cell r="L122">
            <v>2</v>
          </cell>
          <cell r="M122">
            <v>0.34</v>
          </cell>
        </row>
        <row r="123">
          <cell r="A123" t="str">
            <v>CS-LY171-ZL918-S</v>
          </cell>
          <cell r="B123">
            <v>166</v>
          </cell>
          <cell r="C123">
            <v>1</v>
          </cell>
          <cell r="D123">
            <v>0.21</v>
          </cell>
          <cell r="E123">
            <v>150</v>
          </cell>
          <cell r="F123">
            <v>1</v>
          </cell>
          <cell r="G123">
            <v>0.28</v>
          </cell>
          <cell r="H123">
            <v>32</v>
          </cell>
          <cell r="I123">
            <v>0</v>
          </cell>
          <cell r="J123">
            <v>0</v>
          </cell>
          <cell r="K123">
            <v>91</v>
          </cell>
          <cell r="L123">
            <v>1</v>
          </cell>
          <cell r="M123">
            <v>0.25</v>
          </cell>
        </row>
        <row r="124">
          <cell r="A124" t="str">
            <v>CS-LY181-G912-L</v>
          </cell>
          <cell r="B124">
            <v>514</v>
          </cell>
          <cell r="C124">
            <v>2</v>
          </cell>
          <cell r="D124">
            <v>0.11</v>
          </cell>
          <cell r="E124">
            <v>569</v>
          </cell>
          <cell r="F124">
            <v>3</v>
          </cell>
          <cell r="G124">
            <v>0.17</v>
          </cell>
          <cell r="H124">
            <v>420</v>
          </cell>
          <cell r="I124">
            <v>0</v>
          </cell>
          <cell r="J124">
            <v>0</v>
          </cell>
          <cell r="K124">
            <v>229</v>
          </cell>
          <cell r="L124">
            <v>0</v>
          </cell>
          <cell r="M124">
            <v>0</v>
          </cell>
        </row>
        <row r="125">
          <cell r="A125" t="str">
            <v>CS-LY181-G912-M</v>
          </cell>
          <cell r="B125">
            <v>0</v>
          </cell>
          <cell r="C125">
            <v>0</v>
          </cell>
          <cell r="D125">
            <v>0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>
            <v>146</v>
          </cell>
          <cell r="L125">
            <v>1</v>
          </cell>
          <cell r="M125">
            <v>0.07</v>
          </cell>
        </row>
        <row r="126">
          <cell r="A126" t="str">
            <v>CS-LY181-PI908-S</v>
          </cell>
          <cell r="B126">
            <v>0</v>
          </cell>
          <cell r="C126">
            <v>0</v>
          </cell>
          <cell r="D126">
            <v>0</v>
          </cell>
          <cell r="E126">
            <v>105</v>
          </cell>
          <cell r="F126">
            <v>0</v>
          </cell>
          <cell r="G126">
            <v>0</v>
          </cell>
          <cell r="H126">
            <v>100</v>
          </cell>
          <cell r="I126">
            <v>0</v>
          </cell>
          <cell r="J126">
            <v>0</v>
          </cell>
          <cell r="K126">
            <v>288</v>
          </cell>
          <cell r="L126">
            <v>0</v>
          </cell>
          <cell r="M126">
            <v>0</v>
          </cell>
        </row>
        <row r="127">
          <cell r="A127" t="str">
            <v>CS-LY181-PI908-XL</v>
          </cell>
          <cell r="B127">
            <v>83</v>
          </cell>
          <cell r="C127">
            <v>0</v>
          </cell>
          <cell r="D127">
            <v>0</v>
          </cell>
          <cell r="E127">
            <v>7</v>
          </cell>
          <cell r="F127">
            <v>0</v>
          </cell>
          <cell r="G127">
            <v>0</v>
          </cell>
          <cell r="H127">
            <v>7</v>
          </cell>
          <cell r="I127">
            <v>0</v>
          </cell>
          <cell r="J127">
            <v>0</v>
          </cell>
          <cell r="K127">
            <v>97</v>
          </cell>
          <cell r="L127">
            <v>1</v>
          </cell>
          <cell r="M127">
            <v>0.11</v>
          </cell>
        </row>
        <row r="128">
          <cell r="A128" t="str">
            <v>CS-LY181-WR917-L</v>
          </cell>
          <cell r="B128">
            <v>164</v>
          </cell>
          <cell r="C128">
            <v>1</v>
          </cell>
          <cell r="D128">
            <v>0.13</v>
          </cell>
          <cell r="E128">
            <v>4</v>
          </cell>
          <cell r="F128">
            <v>0</v>
          </cell>
          <cell r="G128">
            <v>0</v>
          </cell>
          <cell r="H128">
            <v>41</v>
          </cell>
          <cell r="I128">
            <v>0</v>
          </cell>
          <cell r="J128">
            <v>0</v>
          </cell>
          <cell r="K128">
            <v>27</v>
          </cell>
          <cell r="L128">
            <v>0</v>
          </cell>
          <cell r="M128">
            <v>0</v>
          </cell>
        </row>
        <row r="129">
          <cell r="A129" t="str">
            <v>CS-LY181-WR917-M</v>
          </cell>
          <cell r="B129">
            <v>785</v>
          </cell>
          <cell r="C129">
            <v>0</v>
          </cell>
          <cell r="D129">
            <v>0</v>
          </cell>
          <cell r="E129">
            <v>1408</v>
          </cell>
          <cell r="F129">
            <v>4</v>
          </cell>
          <cell r="G129">
            <v>0.35</v>
          </cell>
          <cell r="H129">
            <v>805</v>
          </cell>
          <cell r="I129">
            <v>2</v>
          </cell>
          <cell r="J129">
            <v>0.22</v>
          </cell>
          <cell r="K129">
            <v>368</v>
          </cell>
          <cell r="L129">
            <v>2</v>
          </cell>
          <cell r="M129">
            <v>0.14</v>
          </cell>
        </row>
        <row r="130">
          <cell r="A130" t="str">
            <v>CS-LY181-WR917-S</v>
          </cell>
          <cell r="B130">
            <v>1</v>
          </cell>
          <cell r="C130">
            <v>1</v>
          </cell>
          <cell r="D130">
            <v>0.11</v>
          </cell>
          <cell r="E130">
            <v>0</v>
          </cell>
          <cell r="F130">
            <v>0</v>
          </cell>
          <cell r="G130">
            <v>0</v>
          </cell>
          <cell r="H130">
            <v>0</v>
          </cell>
          <cell r="I130">
            <v>0</v>
          </cell>
          <cell r="J130">
            <v>0</v>
          </cell>
          <cell r="K130">
            <v>212</v>
          </cell>
          <cell r="L130">
            <v>0</v>
          </cell>
          <cell r="M130">
            <v>0</v>
          </cell>
        </row>
        <row r="131">
          <cell r="A131" t="str">
            <v>CS-LY181-ZL918-M</v>
          </cell>
          <cell r="B131">
            <v>46</v>
          </cell>
          <cell r="C131">
            <v>0</v>
          </cell>
          <cell r="D131">
            <v>0</v>
          </cell>
          <cell r="E131">
            <v>419</v>
          </cell>
          <cell r="F131">
            <v>0</v>
          </cell>
          <cell r="G131">
            <v>0</v>
          </cell>
          <cell r="H131">
            <v>86</v>
          </cell>
          <cell r="I131">
            <v>1</v>
          </cell>
          <cell r="J131">
            <v>0.15</v>
          </cell>
          <cell r="K131">
            <v>263</v>
          </cell>
          <cell r="L131">
            <v>4</v>
          </cell>
          <cell r="M131">
            <v>0.14</v>
          </cell>
        </row>
        <row r="132">
          <cell r="A132" t="str">
            <v>CS-LY170-G912-M</v>
          </cell>
          <cell r="B132">
            <v>6</v>
          </cell>
          <cell r="C132">
            <v>1</v>
          </cell>
          <cell r="D132">
            <v>0.16</v>
          </cell>
          <cell r="E132">
            <v>15</v>
          </cell>
          <cell r="F132">
            <v>0</v>
          </cell>
          <cell r="G132">
            <v>0</v>
          </cell>
          <cell r="H132">
            <v>7</v>
          </cell>
          <cell r="I132">
            <v>0</v>
          </cell>
          <cell r="J132">
            <v>0</v>
          </cell>
          <cell r="K132">
            <v>4</v>
          </cell>
          <cell r="L132">
            <v>0</v>
          </cell>
          <cell r="M132">
            <v>0</v>
          </cell>
        </row>
        <row r="133">
          <cell r="A133" t="str">
            <v>CS-LY170-G912-S</v>
          </cell>
          <cell r="B133">
            <v>1246</v>
          </cell>
          <cell r="C133">
            <v>6</v>
          </cell>
          <cell r="D133">
            <v>0.51</v>
          </cell>
          <cell r="E133">
            <v>865</v>
          </cell>
          <cell r="F133">
            <v>2</v>
          </cell>
          <cell r="G133">
            <v>0.15</v>
          </cell>
          <cell r="H133">
            <v>285</v>
          </cell>
          <cell r="I133">
            <v>0</v>
          </cell>
          <cell r="J133">
            <v>0</v>
          </cell>
          <cell r="K133">
            <v>75</v>
          </cell>
          <cell r="L133">
            <v>0</v>
          </cell>
          <cell r="M133">
            <v>0</v>
          </cell>
        </row>
        <row r="134">
          <cell r="A134" t="str">
            <v>CS-LY170-G912-XL</v>
          </cell>
          <cell r="B134">
            <v>11</v>
          </cell>
          <cell r="C134">
            <v>0</v>
          </cell>
          <cell r="D134">
            <v>0</v>
          </cell>
          <cell r="E134">
            <v>139</v>
          </cell>
          <cell r="F134">
            <v>0</v>
          </cell>
          <cell r="G134">
            <v>0</v>
          </cell>
          <cell r="H134">
            <v>198</v>
          </cell>
          <cell r="I134">
            <v>0</v>
          </cell>
          <cell r="J134">
            <v>0</v>
          </cell>
          <cell r="K134">
            <v>25</v>
          </cell>
          <cell r="L134">
            <v>0</v>
          </cell>
          <cell r="M134">
            <v>0</v>
          </cell>
        </row>
        <row r="135">
          <cell r="A135" t="str">
            <v>CS-LY170-G912-XXL</v>
          </cell>
          <cell r="B135">
            <v>132</v>
          </cell>
          <cell r="C135">
            <v>0</v>
          </cell>
          <cell r="D135">
            <v>0</v>
          </cell>
          <cell r="E135">
            <v>197</v>
          </cell>
          <cell r="F135">
            <v>0</v>
          </cell>
          <cell r="G135">
            <v>0</v>
          </cell>
          <cell r="H135">
            <v>202</v>
          </cell>
          <cell r="I135">
            <v>1</v>
          </cell>
          <cell r="J135">
            <v>0.15</v>
          </cell>
          <cell r="K135">
            <v>278</v>
          </cell>
          <cell r="L135">
            <v>2</v>
          </cell>
          <cell r="M135">
            <v>0.27</v>
          </cell>
        </row>
        <row r="136">
          <cell r="A136" t="str">
            <v>CS-LY170-LB916-L</v>
          </cell>
          <cell r="B136">
            <v>0</v>
          </cell>
          <cell r="C136">
            <v>0</v>
          </cell>
          <cell r="D136">
            <v>0</v>
          </cell>
          <cell r="E136">
            <v>0</v>
          </cell>
          <cell r="F136">
            <v>0</v>
          </cell>
          <cell r="G136">
            <v>0</v>
          </cell>
          <cell r="H136">
            <v>0</v>
          </cell>
          <cell r="I136">
            <v>0</v>
          </cell>
          <cell r="J136">
            <v>0</v>
          </cell>
          <cell r="K136">
            <v>3</v>
          </cell>
          <cell r="L136">
            <v>0</v>
          </cell>
          <cell r="M136">
            <v>0</v>
          </cell>
        </row>
        <row r="137">
          <cell r="A137" t="str">
            <v>CS-LY170-LB916-M</v>
          </cell>
          <cell r="B137">
            <v>5910</v>
          </cell>
          <cell r="C137">
            <v>29</v>
          </cell>
          <cell r="D137">
            <v>2.03</v>
          </cell>
          <cell r="E137">
            <v>5754</v>
          </cell>
          <cell r="F137">
            <v>28</v>
          </cell>
          <cell r="G137">
            <v>2.22</v>
          </cell>
          <cell r="H137">
            <v>2550</v>
          </cell>
          <cell r="I137">
            <v>13</v>
          </cell>
          <cell r="J137">
            <v>1.22</v>
          </cell>
          <cell r="K137">
            <v>2526</v>
          </cell>
          <cell r="L137">
            <v>7</v>
          </cell>
          <cell r="M137">
            <v>0.36</v>
          </cell>
        </row>
        <row r="138">
          <cell r="A138" t="str">
            <v>CS-LY170-LB916-S</v>
          </cell>
          <cell r="B138">
            <v>21</v>
          </cell>
          <cell r="C138">
            <v>0</v>
          </cell>
          <cell r="D138">
            <v>0</v>
          </cell>
          <cell r="E138">
            <v>7</v>
          </cell>
          <cell r="F138">
            <v>0</v>
          </cell>
          <cell r="G138">
            <v>0</v>
          </cell>
          <cell r="H138">
            <v>3</v>
          </cell>
          <cell r="I138">
            <v>0</v>
          </cell>
          <cell r="J138">
            <v>0</v>
          </cell>
          <cell r="K138">
            <v>1</v>
          </cell>
          <cell r="L138">
            <v>0</v>
          </cell>
          <cell r="M138">
            <v>0</v>
          </cell>
        </row>
        <row r="139">
          <cell r="A139" t="str">
            <v>CS-LY170-LB916-XL</v>
          </cell>
          <cell r="B139">
            <v>0</v>
          </cell>
          <cell r="C139">
            <v>0</v>
          </cell>
          <cell r="D139">
            <v>0</v>
          </cell>
          <cell r="E139">
            <v>0</v>
          </cell>
          <cell r="F139">
            <v>0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  <cell r="K139">
            <v>4</v>
          </cell>
          <cell r="L139">
            <v>0</v>
          </cell>
          <cell r="M139">
            <v>0</v>
          </cell>
        </row>
        <row r="140">
          <cell r="A140" t="str">
            <v>CS-LY170-LB916-XXL</v>
          </cell>
          <cell r="B140">
            <v>1</v>
          </cell>
          <cell r="C140">
            <v>0</v>
          </cell>
          <cell r="D140">
            <v>0</v>
          </cell>
          <cell r="E140">
            <v>0</v>
          </cell>
          <cell r="F140">
            <v>0</v>
          </cell>
          <cell r="G140">
            <v>0</v>
          </cell>
          <cell r="H140">
            <v>0</v>
          </cell>
          <cell r="I140">
            <v>0</v>
          </cell>
          <cell r="J140">
            <v>0</v>
          </cell>
          <cell r="K140">
            <v>0</v>
          </cell>
          <cell r="L140">
            <v>0</v>
          </cell>
          <cell r="M140">
            <v>0</v>
          </cell>
        </row>
        <row r="141">
          <cell r="A141" t="str">
            <v>CS-LY170-LG907-M</v>
          </cell>
          <cell r="B141">
            <v>9</v>
          </cell>
          <cell r="C141">
            <v>0</v>
          </cell>
          <cell r="D141">
            <v>0</v>
          </cell>
          <cell r="E141">
            <v>358</v>
          </cell>
          <cell r="F141">
            <v>1</v>
          </cell>
          <cell r="G141">
            <v>0.04</v>
          </cell>
          <cell r="H141">
            <v>1</v>
          </cell>
          <cell r="I141">
            <v>0</v>
          </cell>
          <cell r="J141">
            <v>0</v>
          </cell>
          <cell r="K141">
            <v>2</v>
          </cell>
          <cell r="L141">
            <v>0</v>
          </cell>
          <cell r="M141">
            <v>0</v>
          </cell>
        </row>
        <row r="142">
          <cell r="A142" t="str">
            <v>CS-LY170-LG907-S</v>
          </cell>
          <cell r="B142">
            <v>521</v>
          </cell>
          <cell r="C142">
            <v>0</v>
          </cell>
          <cell r="D142">
            <v>0</v>
          </cell>
          <cell r="E142">
            <v>1379</v>
          </cell>
          <cell r="F142">
            <v>12</v>
          </cell>
          <cell r="G142">
            <v>0.72</v>
          </cell>
          <cell r="H142">
            <v>1021</v>
          </cell>
          <cell r="I142">
            <v>6</v>
          </cell>
          <cell r="J142">
            <v>0.3</v>
          </cell>
          <cell r="K142">
            <v>546</v>
          </cell>
          <cell r="L142">
            <v>1</v>
          </cell>
          <cell r="M142">
            <v>0.02</v>
          </cell>
        </row>
        <row r="143">
          <cell r="A143" t="str">
            <v>CS-LY170-LG907-XL</v>
          </cell>
          <cell r="B143">
            <v>1</v>
          </cell>
          <cell r="C143">
            <v>0</v>
          </cell>
          <cell r="D143">
            <v>0</v>
          </cell>
          <cell r="E143">
            <v>151</v>
          </cell>
          <cell r="F143">
            <v>1</v>
          </cell>
          <cell r="G143">
            <v>0.12</v>
          </cell>
          <cell r="H143">
            <v>62</v>
          </cell>
          <cell r="I143">
            <v>0</v>
          </cell>
          <cell r="J143">
            <v>0</v>
          </cell>
          <cell r="K143">
            <v>104</v>
          </cell>
          <cell r="L143">
            <v>1</v>
          </cell>
          <cell r="M143">
            <v>0.13</v>
          </cell>
        </row>
        <row r="144">
          <cell r="A144" t="str">
            <v>CS-LY170-PI908-L</v>
          </cell>
          <cell r="B144">
            <v>2968</v>
          </cell>
          <cell r="C144">
            <v>12</v>
          </cell>
          <cell r="D144">
            <v>0.88</v>
          </cell>
          <cell r="E144">
            <v>1976</v>
          </cell>
          <cell r="F144">
            <v>11</v>
          </cell>
          <cell r="G144">
            <v>0.75</v>
          </cell>
          <cell r="H144">
            <v>1073</v>
          </cell>
          <cell r="I144">
            <v>2</v>
          </cell>
          <cell r="J144">
            <v>0.1</v>
          </cell>
          <cell r="K144">
            <v>553</v>
          </cell>
          <cell r="L144">
            <v>3</v>
          </cell>
          <cell r="M144">
            <v>0.06</v>
          </cell>
        </row>
        <row r="145">
          <cell r="A145" t="str">
            <v>CS-LY170-PI908-XL</v>
          </cell>
          <cell r="B145">
            <v>0</v>
          </cell>
          <cell r="C145">
            <v>0</v>
          </cell>
          <cell r="D145">
            <v>0</v>
          </cell>
          <cell r="E145">
            <v>0</v>
          </cell>
          <cell r="F145">
            <v>0</v>
          </cell>
          <cell r="G145">
            <v>0</v>
          </cell>
          <cell r="H145">
            <v>49</v>
          </cell>
          <cell r="I145">
            <v>1</v>
          </cell>
          <cell r="J145">
            <v>0.13</v>
          </cell>
          <cell r="K145">
            <v>426</v>
          </cell>
          <cell r="L145">
            <v>1</v>
          </cell>
          <cell r="M145">
            <v>0.11</v>
          </cell>
        </row>
        <row r="146">
          <cell r="A146" t="str">
            <v>CS-LY170-PI908-XXL</v>
          </cell>
          <cell r="B146">
            <v>196</v>
          </cell>
          <cell r="C146">
            <v>1</v>
          </cell>
          <cell r="D146">
            <v>0.08</v>
          </cell>
          <cell r="E146">
            <v>12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1</v>
          </cell>
          <cell r="L146">
            <v>0</v>
          </cell>
          <cell r="M146">
            <v>0</v>
          </cell>
        </row>
        <row r="147">
          <cell r="A147" t="str">
            <v>CS-LY170-Sa911-M</v>
          </cell>
          <cell r="B147">
            <v>168</v>
          </cell>
          <cell r="C147">
            <v>0</v>
          </cell>
          <cell r="D147">
            <v>0</v>
          </cell>
          <cell r="E147">
            <v>197</v>
          </cell>
          <cell r="F147">
            <v>0</v>
          </cell>
          <cell r="G147">
            <v>0</v>
          </cell>
          <cell r="H147">
            <v>100</v>
          </cell>
          <cell r="I147">
            <v>0</v>
          </cell>
          <cell r="J147">
            <v>0</v>
          </cell>
          <cell r="K147">
            <v>118</v>
          </cell>
          <cell r="L147">
            <v>0</v>
          </cell>
          <cell r="M147">
            <v>0</v>
          </cell>
        </row>
        <row r="148">
          <cell r="A148" t="str">
            <v>CS-LY170-Sa911-S</v>
          </cell>
          <cell r="B148">
            <v>62</v>
          </cell>
          <cell r="C148">
            <v>1</v>
          </cell>
          <cell r="D148">
            <v>0.13</v>
          </cell>
          <cell r="E148">
            <v>416</v>
          </cell>
          <cell r="F148">
            <v>0</v>
          </cell>
          <cell r="G148">
            <v>0</v>
          </cell>
          <cell r="H148">
            <v>330</v>
          </cell>
          <cell r="I148">
            <v>0</v>
          </cell>
          <cell r="J148">
            <v>0</v>
          </cell>
          <cell r="K148">
            <v>223</v>
          </cell>
          <cell r="L148">
            <v>1</v>
          </cell>
          <cell r="M148">
            <v>0.15</v>
          </cell>
        </row>
        <row r="149">
          <cell r="A149" t="str">
            <v>CS-LY170-Sa911-XXL</v>
          </cell>
          <cell r="B149">
            <v>0</v>
          </cell>
          <cell r="C149">
            <v>0</v>
          </cell>
          <cell r="D149">
            <v>0</v>
          </cell>
          <cell r="E149">
            <v>35</v>
          </cell>
          <cell r="F149">
            <v>0</v>
          </cell>
          <cell r="G149">
            <v>0</v>
          </cell>
          <cell r="H149">
            <v>8</v>
          </cell>
          <cell r="I149">
            <v>0</v>
          </cell>
          <cell r="J149">
            <v>0</v>
          </cell>
          <cell r="K149">
            <v>3</v>
          </cell>
          <cell r="L149">
            <v>0</v>
          </cell>
          <cell r="M149">
            <v>0</v>
          </cell>
        </row>
        <row r="150">
          <cell r="A150" t="str">
            <v>CS-LY170-W902-L</v>
          </cell>
          <cell r="B150">
            <v>28</v>
          </cell>
          <cell r="C150">
            <v>0</v>
          </cell>
          <cell r="D150">
            <v>0</v>
          </cell>
          <cell r="E150">
            <v>20</v>
          </cell>
          <cell r="F150">
            <v>0</v>
          </cell>
          <cell r="G150">
            <v>0</v>
          </cell>
          <cell r="H150">
            <v>11</v>
          </cell>
          <cell r="I150">
            <v>0</v>
          </cell>
          <cell r="J150">
            <v>0</v>
          </cell>
          <cell r="K150">
            <v>10</v>
          </cell>
          <cell r="L150">
            <v>0</v>
          </cell>
          <cell r="M150">
            <v>0</v>
          </cell>
        </row>
        <row r="151">
          <cell r="A151" t="str">
            <v>CS-LY170-W902-M</v>
          </cell>
          <cell r="B151">
            <v>44</v>
          </cell>
          <cell r="C151">
            <v>1</v>
          </cell>
          <cell r="D151">
            <v>0.04</v>
          </cell>
          <cell r="E151">
            <v>44</v>
          </cell>
          <cell r="F151">
            <v>0</v>
          </cell>
          <cell r="G151">
            <v>0</v>
          </cell>
          <cell r="H151">
            <v>11</v>
          </cell>
          <cell r="I151">
            <v>0</v>
          </cell>
          <cell r="J151">
            <v>0</v>
          </cell>
          <cell r="K151">
            <v>18</v>
          </cell>
          <cell r="L151">
            <v>0</v>
          </cell>
          <cell r="M151">
            <v>0</v>
          </cell>
        </row>
        <row r="152">
          <cell r="A152" t="str">
            <v>CS-LY170-W902-S</v>
          </cell>
          <cell r="B152">
            <v>476</v>
          </cell>
          <cell r="C152">
            <v>2</v>
          </cell>
          <cell r="D152">
            <v>0.05</v>
          </cell>
          <cell r="E152">
            <v>1179</v>
          </cell>
          <cell r="F152">
            <v>3</v>
          </cell>
          <cell r="G152">
            <v>0.24</v>
          </cell>
          <cell r="H152">
            <v>245</v>
          </cell>
          <cell r="I152">
            <v>1</v>
          </cell>
          <cell r="J152">
            <v>0.11</v>
          </cell>
          <cell r="K152">
            <v>31</v>
          </cell>
          <cell r="L152">
            <v>0</v>
          </cell>
          <cell r="M152">
            <v>0</v>
          </cell>
        </row>
        <row r="153">
          <cell r="A153" t="str">
            <v>CS-LY170-W902-XXL</v>
          </cell>
          <cell r="B153">
            <v>1</v>
          </cell>
          <cell r="C153">
            <v>0</v>
          </cell>
          <cell r="D153">
            <v>0</v>
          </cell>
          <cell r="E153">
            <v>2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>
            <v>1</v>
          </cell>
          <cell r="L153">
            <v>1</v>
          </cell>
          <cell r="M153">
            <v>0.13</v>
          </cell>
        </row>
        <row r="154">
          <cell r="A154" t="str">
            <v>CS-LY170-WR917-L</v>
          </cell>
          <cell r="B154">
            <v>17</v>
          </cell>
          <cell r="C154">
            <v>0</v>
          </cell>
          <cell r="D154">
            <v>0</v>
          </cell>
          <cell r="E154">
            <v>267</v>
          </cell>
          <cell r="F154">
            <v>0</v>
          </cell>
          <cell r="G154">
            <v>0</v>
          </cell>
          <cell r="H154">
            <v>5</v>
          </cell>
          <cell r="I154">
            <v>0</v>
          </cell>
          <cell r="J154">
            <v>0</v>
          </cell>
          <cell r="K154">
            <v>251</v>
          </cell>
          <cell r="L154">
            <v>1</v>
          </cell>
          <cell r="M154">
            <v>0.04</v>
          </cell>
        </row>
        <row r="155">
          <cell r="A155" t="str">
            <v>CS-LY170-WR917-XL</v>
          </cell>
          <cell r="B155">
            <v>114</v>
          </cell>
          <cell r="C155">
            <v>2</v>
          </cell>
          <cell r="D155">
            <v>0.14</v>
          </cell>
          <cell r="E155">
            <v>83</v>
          </cell>
          <cell r="F155">
            <v>4</v>
          </cell>
          <cell r="G155">
            <v>0.32</v>
          </cell>
          <cell r="H155">
            <v>72</v>
          </cell>
          <cell r="I155">
            <v>3</v>
          </cell>
          <cell r="J155">
            <v>0.1</v>
          </cell>
          <cell r="K155">
            <v>78</v>
          </cell>
          <cell r="L155">
            <v>1</v>
          </cell>
          <cell r="M155">
            <v>0.09</v>
          </cell>
        </row>
        <row r="156">
          <cell r="A156" t="str">
            <v>CS-LY170-WR917-XXL</v>
          </cell>
          <cell r="B156">
            <v>4</v>
          </cell>
          <cell r="C156">
            <v>1</v>
          </cell>
          <cell r="D156">
            <v>0.13</v>
          </cell>
          <cell r="E156">
            <v>4</v>
          </cell>
          <cell r="F156">
            <v>0</v>
          </cell>
          <cell r="G156">
            <v>0</v>
          </cell>
          <cell r="H156">
            <v>2</v>
          </cell>
          <cell r="I156">
            <v>1</v>
          </cell>
          <cell r="J156">
            <v>0.12</v>
          </cell>
          <cell r="K156">
            <v>0</v>
          </cell>
          <cell r="L156">
            <v>0</v>
          </cell>
          <cell r="M156">
            <v>0</v>
          </cell>
        </row>
        <row r="157">
          <cell r="A157" t="str">
            <v>CS-LY170-ZL918-S</v>
          </cell>
          <cell r="B157">
            <v>2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1</v>
          </cell>
          <cell r="I157">
            <v>1</v>
          </cell>
          <cell r="J157">
            <v>0.13</v>
          </cell>
          <cell r="K157">
            <v>1</v>
          </cell>
          <cell r="L157">
            <v>0</v>
          </cell>
          <cell r="M157">
            <v>0</v>
          </cell>
        </row>
        <row r="158">
          <cell r="A158" t="str">
            <v>CS-LY170-ZL918-XL</v>
          </cell>
          <cell r="B158">
            <v>0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2</v>
          </cell>
          <cell r="L158">
            <v>0</v>
          </cell>
          <cell r="M158">
            <v>0</v>
          </cell>
        </row>
        <row r="159">
          <cell r="A159" t="str">
            <v>CS-LY170-ZL918-XXL</v>
          </cell>
          <cell r="B159">
            <v>0</v>
          </cell>
          <cell r="C159">
            <v>0</v>
          </cell>
          <cell r="D159">
            <v>0</v>
          </cell>
          <cell r="E159">
            <v>0</v>
          </cell>
          <cell r="F159">
            <v>0</v>
          </cell>
          <cell r="G159">
            <v>0</v>
          </cell>
          <cell r="H159">
            <v>0</v>
          </cell>
          <cell r="I159">
            <v>0</v>
          </cell>
          <cell r="J159">
            <v>0</v>
          </cell>
          <cell r="K159">
            <v>2</v>
          </cell>
          <cell r="L159">
            <v>0</v>
          </cell>
          <cell r="M159">
            <v>0</v>
          </cell>
        </row>
        <row r="160">
          <cell r="A160" t="str">
            <v>BS-WH17015-B0-XXL</v>
          </cell>
          <cell r="B160">
            <v>2068</v>
          </cell>
          <cell r="C160">
            <v>3</v>
          </cell>
          <cell r="D160">
            <v>0.42</v>
          </cell>
          <cell r="E160">
            <v>1972</v>
          </cell>
          <cell r="F160">
            <v>5</v>
          </cell>
          <cell r="G160">
            <v>0.56</v>
          </cell>
          <cell r="H160">
            <v>1683</v>
          </cell>
          <cell r="I160">
            <v>6</v>
          </cell>
          <cell r="J160">
            <v>0.6</v>
          </cell>
          <cell r="K160">
            <v>1731</v>
          </cell>
          <cell r="L160">
            <v>3</v>
          </cell>
          <cell r="M160">
            <v>0.43</v>
          </cell>
        </row>
        <row r="161">
          <cell r="A161" t="str">
            <v>BS-WH17015-C0-XXL</v>
          </cell>
          <cell r="B161">
            <v>6986</v>
          </cell>
          <cell r="C161">
            <v>18</v>
          </cell>
          <cell r="D161">
            <v>2.24</v>
          </cell>
          <cell r="E161">
            <v>3601</v>
          </cell>
          <cell r="F161">
            <v>15</v>
          </cell>
          <cell r="G161">
            <v>1.39</v>
          </cell>
          <cell r="H161">
            <v>2875</v>
          </cell>
          <cell r="I161">
            <v>19</v>
          </cell>
          <cell r="J161">
            <v>2.44</v>
          </cell>
          <cell r="K161">
            <v>1879</v>
          </cell>
          <cell r="L161">
            <v>12</v>
          </cell>
          <cell r="M161">
            <v>1.29</v>
          </cell>
        </row>
        <row r="162">
          <cell r="A162" t="str">
            <v>YZ-BS-5505JRXS</v>
          </cell>
          <cell r="B162">
            <v>4628</v>
          </cell>
          <cell r="C162">
            <v>10</v>
          </cell>
          <cell r="D162">
            <v>1.38</v>
          </cell>
          <cell r="E162">
            <v>2957</v>
          </cell>
          <cell r="F162">
            <v>9</v>
          </cell>
          <cell r="G162">
            <v>0.99</v>
          </cell>
          <cell r="H162">
            <v>3565</v>
          </cell>
          <cell r="I162">
            <v>6</v>
          </cell>
          <cell r="J162">
            <v>0.72</v>
          </cell>
          <cell r="K162">
            <v>11540</v>
          </cell>
          <cell r="L162">
            <v>24</v>
          </cell>
          <cell r="M162">
            <v>2.56</v>
          </cell>
        </row>
        <row r="163">
          <cell r="A163" t="str">
            <v>YZ-BS-5505K0-XS</v>
          </cell>
          <cell r="B163">
            <v>950</v>
          </cell>
          <cell r="C163">
            <v>4</v>
          </cell>
          <cell r="D163">
            <v>0.27</v>
          </cell>
          <cell r="E163">
            <v>9937</v>
          </cell>
          <cell r="F163">
            <v>22</v>
          </cell>
          <cell r="G163">
            <v>2.23</v>
          </cell>
          <cell r="H163">
            <v>10366</v>
          </cell>
          <cell r="I163">
            <v>29</v>
          </cell>
          <cell r="J163">
            <v>3.2</v>
          </cell>
          <cell r="K163">
            <v>250</v>
          </cell>
          <cell r="L163">
            <v>6</v>
          </cell>
          <cell r="M163">
            <v>0.48</v>
          </cell>
        </row>
        <row r="164">
          <cell r="A164" t="str">
            <v>YZ-BS-5505Lb0XS</v>
          </cell>
          <cell r="B164">
            <v>13173</v>
          </cell>
          <cell r="C164">
            <v>26</v>
          </cell>
          <cell r="D164">
            <v>3.43</v>
          </cell>
          <cell r="E164">
            <v>11231</v>
          </cell>
          <cell r="F164">
            <v>13</v>
          </cell>
          <cell r="G164">
            <v>1.29</v>
          </cell>
          <cell r="H164">
            <v>3251</v>
          </cell>
          <cell r="I164">
            <v>22</v>
          </cell>
          <cell r="J164">
            <v>2.47</v>
          </cell>
          <cell r="K164">
            <v>4792</v>
          </cell>
          <cell r="L164">
            <v>22</v>
          </cell>
          <cell r="M164">
            <v>2.39</v>
          </cell>
        </row>
        <row r="165">
          <cell r="A165" t="str">
            <v>BS-WH1731-K0-S</v>
          </cell>
          <cell r="B165">
            <v>4008</v>
          </cell>
          <cell r="C165">
            <v>24</v>
          </cell>
          <cell r="D165">
            <v>2.58</v>
          </cell>
          <cell r="E165">
            <v>3175</v>
          </cell>
          <cell r="F165">
            <v>21</v>
          </cell>
          <cell r="G165">
            <v>2.35</v>
          </cell>
          <cell r="H165">
            <v>2255</v>
          </cell>
          <cell r="I165">
            <v>13</v>
          </cell>
          <cell r="J165">
            <v>1.4</v>
          </cell>
          <cell r="K165">
            <v>1273</v>
          </cell>
          <cell r="L165">
            <v>8</v>
          </cell>
          <cell r="M165">
            <v>0.9</v>
          </cell>
        </row>
        <row r="166">
          <cell r="A166" t="str">
            <v>BS-WH1731-P0-S</v>
          </cell>
          <cell r="B166">
            <v>781</v>
          </cell>
          <cell r="C166">
            <v>3</v>
          </cell>
          <cell r="D166">
            <v>0.33</v>
          </cell>
          <cell r="E166">
            <v>764</v>
          </cell>
          <cell r="F166">
            <v>0</v>
          </cell>
          <cell r="G166">
            <v>0</v>
          </cell>
          <cell r="H166">
            <v>300</v>
          </cell>
          <cell r="I166">
            <v>2</v>
          </cell>
          <cell r="J166">
            <v>0.28</v>
          </cell>
          <cell r="K166">
            <v>350</v>
          </cell>
          <cell r="L166">
            <v>1</v>
          </cell>
          <cell r="M166">
            <v>0.16</v>
          </cell>
        </row>
        <row r="167">
          <cell r="A167" t="str">
            <v>BS-WH1731-R0-S</v>
          </cell>
          <cell r="B167">
            <v>2579</v>
          </cell>
          <cell r="C167">
            <v>11</v>
          </cell>
          <cell r="D167">
            <v>0.83</v>
          </cell>
          <cell r="E167">
            <v>7320</v>
          </cell>
          <cell r="F167">
            <v>30</v>
          </cell>
          <cell r="G167">
            <v>3.29</v>
          </cell>
          <cell r="H167">
            <v>9378</v>
          </cell>
          <cell r="I167">
            <v>39</v>
          </cell>
          <cell r="J167">
            <v>3.9</v>
          </cell>
          <cell r="K167">
            <v>1931</v>
          </cell>
          <cell r="L167">
            <v>18</v>
          </cell>
          <cell r="M167">
            <v>1.83</v>
          </cell>
        </row>
        <row r="168">
          <cell r="A168" t="str">
            <v>YZ-BS-ZQ15827R2S</v>
          </cell>
          <cell r="B168">
            <v>12423</v>
          </cell>
          <cell r="C168">
            <v>80</v>
          </cell>
          <cell r="D168">
            <v>7.68</v>
          </cell>
          <cell r="E168">
            <v>10871</v>
          </cell>
          <cell r="F168">
            <v>58</v>
          </cell>
          <cell r="G168">
            <v>5.87</v>
          </cell>
          <cell r="H168">
            <v>7586</v>
          </cell>
          <cell r="I168">
            <v>43</v>
          </cell>
          <cell r="J168">
            <v>4.81</v>
          </cell>
          <cell r="K168">
            <v>1219</v>
          </cell>
          <cell r="L168">
            <v>8</v>
          </cell>
          <cell r="M168">
            <v>0.87</v>
          </cell>
        </row>
        <row r="169">
          <cell r="A169" t="str">
            <v>YZ-BS-ZQ15827W0S</v>
          </cell>
          <cell r="B169">
            <v>6460</v>
          </cell>
          <cell r="C169">
            <v>31</v>
          </cell>
          <cell r="D169">
            <v>3.35</v>
          </cell>
          <cell r="E169">
            <v>7305</v>
          </cell>
          <cell r="F169">
            <v>51</v>
          </cell>
          <cell r="G169">
            <v>6.2</v>
          </cell>
          <cell r="H169">
            <v>6396</v>
          </cell>
          <cell r="I169">
            <v>42</v>
          </cell>
          <cell r="J169">
            <v>5.17</v>
          </cell>
          <cell r="K169">
            <v>2782</v>
          </cell>
          <cell r="L169">
            <v>23</v>
          </cell>
          <cell r="M169">
            <v>2.9</v>
          </cell>
        </row>
        <row r="170">
          <cell r="A170" t="str">
            <v>YZ-BS-BS5119ZLXLXL</v>
          </cell>
          <cell r="B170">
            <v>5862</v>
          </cell>
          <cell r="C170">
            <v>21</v>
          </cell>
          <cell r="D170">
            <v>2.6</v>
          </cell>
          <cell r="E170">
            <v>3964</v>
          </cell>
          <cell r="F170">
            <v>11</v>
          </cell>
          <cell r="G170">
            <v>1.36</v>
          </cell>
          <cell r="H170">
            <v>13986</v>
          </cell>
          <cell r="I170">
            <v>24</v>
          </cell>
          <cell r="J170">
            <v>2.85</v>
          </cell>
          <cell r="K170">
            <v>629</v>
          </cell>
          <cell r="L170">
            <v>4</v>
          </cell>
          <cell r="M170">
            <v>0.49</v>
          </cell>
        </row>
        <row r="171">
          <cell r="A171" t="str">
            <v>YZ-BS-BShyl5119-YH-5XL</v>
          </cell>
          <cell r="B171">
            <v>7405</v>
          </cell>
          <cell r="C171">
            <v>45</v>
          </cell>
          <cell r="D171">
            <v>4.78</v>
          </cell>
          <cell r="E171">
            <v>15294</v>
          </cell>
          <cell r="F171">
            <v>100</v>
          </cell>
          <cell r="G171">
            <v>12.11</v>
          </cell>
          <cell r="H171">
            <v>3165</v>
          </cell>
          <cell r="I171">
            <v>26</v>
          </cell>
          <cell r="J171">
            <v>2.67</v>
          </cell>
          <cell r="K171">
            <v>623</v>
          </cell>
          <cell r="L171">
            <v>4</v>
          </cell>
          <cell r="M171">
            <v>0.41</v>
          </cell>
        </row>
        <row r="172">
          <cell r="A172" t="str">
            <v>YZ-BS-BShyl5119-YT-5XL</v>
          </cell>
          <cell r="B172">
            <v>183</v>
          </cell>
          <cell r="C172">
            <v>0</v>
          </cell>
          <cell r="D172">
            <v>0</v>
          </cell>
          <cell r="E172">
            <v>2317</v>
          </cell>
          <cell r="F172">
            <v>10</v>
          </cell>
          <cell r="G172">
            <v>1.65</v>
          </cell>
          <cell r="H172">
            <v>466</v>
          </cell>
          <cell r="I172">
            <v>3</v>
          </cell>
          <cell r="J172">
            <v>0.48</v>
          </cell>
          <cell r="K172">
            <v>97</v>
          </cell>
          <cell r="L172">
            <v>1</v>
          </cell>
          <cell r="M172">
            <v>0.2</v>
          </cell>
        </row>
        <row r="173">
          <cell r="A173" t="str">
            <v>YZ-BS-BShyl5119K0M</v>
          </cell>
          <cell r="B173">
            <v>3623</v>
          </cell>
          <cell r="C173">
            <v>12</v>
          </cell>
          <cell r="D173">
            <v>1.69</v>
          </cell>
          <cell r="E173">
            <v>1720</v>
          </cell>
          <cell r="F173">
            <v>12</v>
          </cell>
          <cell r="G173">
            <v>1.54</v>
          </cell>
          <cell r="H173">
            <v>6833</v>
          </cell>
          <cell r="I173">
            <v>13</v>
          </cell>
          <cell r="J173">
            <v>1.84</v>
          </cell>
          <cell r="K173">
            <v>28216</v>
          </cell>
          <cell r="L173">
            <v>39</v>
          </cell>
          <cell r="M173">
            <v>5.18</v>
          </cell>
        </row>
        <row r="174">
          <cell r="A174" t="str">
            <v>BS-WH17015-K0-XXL</v>
          </cell>
          <cell r="B174">
            <v>4561</v>
          </cell>
          <cell r="C174">
            <v>40</v>
          </cell>
          <cell r="D174">
            <v>6.09</v>
          </cell>
          <cell r="E174">
            <v>7612</v>
          </cell>
          <cell r="F174">
            <v>46</v>
          </cell>
          <cell r="G174">
            <v>6.51</v>
          </cell>
          <cell r="H174">
            <v>1188</v>
          </cell>
          <cell r="I174">
            <v>21</v>
          </cell>
          <cell r="J174">
            <v>2.89</v>
          </cell>
          <cell r="K174">
            <v>1373</v>
          </cell>
          <cell r="L174">
            <v>8</v>
          </cell>
          <cell r="M174">
            <v>1.15</v>
          </cell>
        </row>
        <row r="175">
          <cell r="A175" t="str">
            <v>BS-WH17015-P0-L</v>
          </cell>
          <cell r="B175">
            <v>1512</v>
          </cell>
          <cell r="C175">
            <v>4</v>
          </cell>
          <cell r="D175">
            <v>0.47</v>
          </cell>
          <cell r="E175">
            <v>741</v>
          </cell>
          <cell r="F175">
            <v>2</v>
          </cell>
          <cell r="G175">
            <v>0.24</v>
          </cell>
          <cell r="H175">
            <v>283</v>
          </cell>
          <cell r="I175">
            <v>0</v>
          </cell>
          <cell r="J175">
            <v>0</v>
          </cell>
          <cell r="K175">
            <v>125</v>
          </cell>
          <cell r="L175">
            <v>0</v>
          </cell>
          <cell r="M175">
            <v>0</v>
          </cell>
        </row>
        <row r="176">
          <cell r="A176" t="str">
            <v>BS-WH17015-SZ-L</v>
          </cell>
          <cell r="B176">
            <v>2902</v>
          </cell>
          <cell r="C176">
            <v>13</v>
          </cell>
          <cell r="D176">
            <v>1.92</v>
          </cell>
          <cell r="E176">
            <v>9195</v>
          </cell>
          <cell r="F176">
            <v>28</v>
          </cell>
          <cell r="G176">
            <v>3.95</v>
          </cell>
          <cell r="H176">
            <v>5309</v>
          </cell>
          <cell r="I176">
            <v>22</v>
          </cell>
          <cell r="J176">
            <v>3.22</v>
          </cell>
          <cell r="K176">
            <v>116</v>
          </cell>
          <cell r="L176">
            <v>2</v>
          </cell>
          <cell r="M176">
            <v>0.22</v>
          </cell>
        </row>
        <row r="177">
          <cell r="A177" t="str">
            <v>BS-WH17015-SZ-M</v>
          </cell>
          <cell r="B177">
            <v>8909</v>
          </cell>
          <cell r="C177">
            <v>13</v>
          </cell>
          <cell r="D177">
            <v>2.32</v>
          </cell>
          <cell r="E177">
            <v>8707</v>
          </cell>
          <cell r="F177">
            <v>13</v>
          </cell>
          <cell r="G177">
            <v>1.98</v>
          </cell>
          <cell r="H177">
            <v>32538</v>
          </cell>
          <cell r="I177">
            <v>36</v>
          </cell>
          <cell r="J177">
            <v>5.79</v>
          </cell>
          <cell r="K177">
            <v>156643</v>
          </cell>
          <cell r="L177">
            <v>108</v>
          </cell>
          <cell r="M177">
            <v>15.59</v>
          </cell>
        </row>
        <row r="178">
          <cell r="A178" t="str">
            <v>YZ-BEYF181-B0-S</v>
          </cell>
          <cell r="B178">
            <v>42</v>
          </cell>
          <cell r="C178">
            <v>1</v>
          </cell>
          <cell r="D178">
            <v>0.14</v>
          </cell>
          <cell r="E178">
            <v>26</v>
          </cell>
          <cell r="F178">
            <v>0</v>
          </cell>
          <cell r="G178">
            <v>0</v>
          </cell>
          <cell r="H178">
            <v>185</v>
          </cell>
          <cell r="I178">
            <v>1</v>
          </cell>
          <cell r="J178">
            <v>0.14</v>
          </cell>
          <cell r="K178">
            <v>1263</v>
          </cell>
          <cell r="L178">
            <v>9</v>
          </cell>
          <cell r="M178">
            <v>1.7</v>
          </cell>
        </row>
        <row r="179">
          <cell r="A179" t="str">
            <v>YZ-BEYF181-G0-S</v>
          </cell>
          <cell r="B179">
            <v>202</v>
          </cell>
          <cell r="C179">
            <v>1</v>
          </cell>
          <cell r="D179">
            <v>0.15</v>
          </cell>
          <cell r="E179">
            <v>1487</v>
          </cell>
          <cell r="F179">
            <v>1</v>
          </cell>
          <cell r="G179">
            <v>0.14</v>
          </cell>
          <cell r="H179">
            <v>693</v>
          </cell>
          <cell r="I179">
            <v>2</v>
          </cell>
          <cell r="J179">
            <v>0.21</v>
          </cell>
          <cell r="K179">
            <v>588</v>
          </cell>
          <cell r="L179">
            <v>8</v>
          </cell>
          <cell r="M179">
            <v>1.38</v>
          </cell>
        </row>
        <row r="180">
          <cell r="A180" t="str">
            <v>YZ-BEYF181-PI-S</v>
          </cell>
          <cell r="B180">
            <v>821</v>
          </cell>
          <cell r="C180">
            <v>1</v>
          </cell>
          <cell r="D180">
            <v>0.14</v>
          </cell>
          <cell r="E180">
            <v>215</v>
          </cell>
          <cell r="F180">
            <v>1</v>
          </cell>
          <cell r="G180">
            <v>0.28</v>
          </cell>
          <cell r="H180">
            <v>153</v>
          </cell>
          <cell r="I180">
            <v>0</v>
          </cell>
          <cell r="J180">
            <v>0</v>
          </cell>
          <cell r="K180">
            <v>613</v>
          </cell>
          <cell r="L180">
            <v>5</v>
          </cell>
          <cell r="M180">
            <v>0.94</v>
          </cell>
        </row>
        <row r="181">
          <cell r="A181" t="str">
            <v>YZ-BEYF184-B0-S</v>
          </cell>
          <cell r="B181">
            <v>0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98</v>
          </cell>
          <cell r="I181">
            <v>1</v>
          </cell>
          <cell r="J181">
            <v>0.1</v>
          </cell>
          <cell r="K181">
            <v>813</v>
          </cell>
          <cell r="L181">
            <v>12</v>
          </cell>
          <cell r="M181">
            <v>1.36</v>
          </cell>
        </row>
        <row r="182">
          <cell r="A182" t="str">
            <v>YZ-BEYF183-TW-S</v>
          </cell>
          <cell r="B182">
            <v>0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1357</v>
          </cell>
          <cell r="L182">
            <v>7</v>
          </cell>
          <cell r="M182">
            <v>1.4</v>
          </cell>
        </row>
        <row r="183">
          <cell r="A183" t="str">
            <v>BS-HB4032-BO-XL</v>
          </cell>
          <cell r="B183">
            <v>0</v>
          </cell>
          <cell r="C183">
            <v>0</v>
          </cell>
          <cell r="D183">
            <v>0</v>
          </cell>
          <cell r="E183">
            <v>0</v>
          </cell>
          <cell r="F183">
            <v>0</v>
          </cell>
          <cell r="G183">
            <v>0</v>
          </cell>
          <cell r="H183">
            <v>0</v>
          </cell>
          <cell r="I183">
            <v>0</v>
          </cell>
          <cell r="J183">
            <v>0</v>
          </cell>
          <cell r="K183">
            <v>46</v>
          </cell>
          <cell r="L183">
            <v>2</v>
          </cell>
          <cell r="M183">
            <v>0.58</v>
          </cell>
        </row>
        <row r="184">
          <cell r="A184" t="str">
            <v>BS-HB4032-BO-XXL</v>
          </cell>
          <cell r="B184">
            <v>0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4571</v>
          </cell>
          <cell r="I184">
            <v>31</v>
          </cell>
          <cell r="J184">
            <v>7.18</v>
          </cell>
          <cell r="K184">
            <v>217</v>
          </cell>
          <cell r="L184">
            <v>6</v>
          </cell>
          <cell r="M184">
            <v>1.22</v>
          </cell>
        </row>
        <row r="185">
          <cell r="A185" t="str">
            <v>BS-HB4032-R1-L</v>
          </cell>
          <cell r="B185">
            <v>0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223</v>
          </cell>
          <cell r="I185">
            <v>1</v>
          </cell>
          <cell r="J185">
            <v>0.24</v>
          </cell>
          <cell r="K185">
            <v>587</v>
          </cell>
          <cell r="L185">
            <v>6</v>
          </cell>
          <cell r="M185">
            <v>1.51</v>
          </cell>
        </row>
        <row r="186">
          <cell r="A186" t="str">
            <v>YZ-BS-5505K0-S</v>
          </cell>
          <cell r="B186">
            <v>23973</v>
          </cell>
          <cell r="C186">
            <v>81</v>
          </cell>
          <cell r="D186">
            <v>18.48</v>
          </cell>
          <cell r="E186">
            <v>27279</v>
          </cell>
          <cell r="F186">
            <v>64</v>
          </cell>
          <cell r="G186">
            <v>13.36</v>
          </cell>
          <cell r="H186">
            <v>7148</v>
          </cell>
          <cell r="I186">
            <v>21</v>
          </cell>
          <cell r="J186">
            <v>3.36</v>
          </cell>
          <cell r="K186">
            <v>6909</v>
          </cell>
          <cell r="L186">
            <v>25</v>
          </cell>
          <cell r="M186">
            <v>4.77</v>
          </cell>
        </row>
        <row r="187">
          <cell r="A187" t="str">
            <v>BS-PW331-M2-S</v>
          </cell>
          <cell r="B187">
            <v>0</v>
          </cell>
          <cell r="C187">
            <v>0</v>
          </cell>
          <cell r="D187">
            <v>0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>
            <v>1</v>
          </cell>
          <cell r="L187">
            <v>0</v>
          </cell>
          <cell r="M187">
            <v>0</v>
          </cell>
        </row>
        <row r="188">
          <cell r="A188" t="str">
            <v>BS-WH1731-K0-L</v>
          </cell>
          <cell r="B188">
            <v>808</v>
          </cell>
          <cell r="C188">
            <v>3</v>
          </cell>
          <cell r="D188">
            <v>0.3</v>
          </cell>
          <cell r="E188">
            <v>591</v>
          </cell>
          <cell r="F188">
            <v>5</v>
          </cell>
          <cell r="G188">
            <v>0.3</v>
          </cell>
          <cell r="H188">
            <v>1085</v>
          </cell>
          <cell r="I188">
            <v>3</v>
          </cell>
          <cell r="J188">
            <v>0.34</v>
          </cell>
          <cell r="K188">
            <v>675</v>
          </cell>
          <cell r="L188">
            <v>1</v>
          </cell>
          <cell r="M188">
            <v>0.04</v>
          </cell>
        </row>
        <row r="189">
          <cell r="A189" t="str">
            <v>BS-WH1731-K0-M</v>
          </cell>
          <cell r="B189">
            <v>591</v>
          </cell>
          <cell r="C189">
            <v>4</v>
          </cell>
          <cell r="D189">
            <v>0.77</v>
          </cell>
          <cell r="E189">
            <v>8748</v>
          </cell>
          <cell r="F189">
            <v>19</v>
          </cell>
          <cell r="G189">
            <v>1.83</v>
          </cell>
          <cell r="H189">
            <v>545</v>
          </cell>
          <cell r="I189">
            <v>3</v>
          </cell>
          <cell r="J189">
            <v>0.54</v>
          </cell>
          <cell r="K189">
            <v>698</v>
          </cell>
          <cell r="L189">
            <v>7</v>
          </cell>
          <cell r="M189">
            <v>0.62</v>
          </cell>
        </row>
        <row r="190">
          <cell r="A190" t="str">
            <v>BS-WH1731-K0-XL</v>
          </cell>
          <cell r="B190">
            <v>677</v>
          </cell>
          <cell r="C190">
            <v>5</v>
          </cell>
          <cell r="D190">
            <v>0.58</v>
          </cell>
          <cell r="E190">
            <v>486</v>
          </cell>
          <cell r="F190">
            <v>3</v>
          </cell>
          <cell r="G190">
            <v>0.38</v>
          </cell>
          <cell r="H190">
            <v>142</v>
          </cell>
          <cell r="I190">
            <v>1</v>
          </cell>
          <cell r="J190">
            <v>0.14</v>
          </cell>
          <cell r="K190">
            <v>21760</v>
          </cell>
          <cell r="L190">
            <v>65</v>
          </cell>
          <cell r="M190">
            <v>6.15</v>
          </cell>
        </row>
        <row r="191">
          <cell r="A191" t="str">
            <v>BS-WH1731-K0-XXL</v>
          </cell>
          <cell r="B191">
            <v>302</v>
          </cell>
          <cell r="C191">
            <v>2</v>
          </cell>
          <cell r="D191">
            <v>0.28</v>
          </cell>
          <cell r="E191">
            <v>288</v>
          </cell>
          <cell r="F191">
            <v>2</v>
          </cell>
          <cell r="G191">
            <v>0.18</v>
          </cell>
          <cell r="H191">
            <v>132</v>
          </cell>
          <cell r="I191">
            <v>0</v>
          </cell>
          <cell r="J191">
            <v>0</v>
          </cell>
          <cell r="K191">
            <v>189</v>
          </cell>
          <cell r="L191">
            <v>1</v>
          </cell>
          <cell r="M191">
            <v>0.13</v>
          </cell>
        </row>
        <row r="192">
          <cell r="A192" t="str">
            <v>BS-WH1731-P0-L</v>
          </cell>
          <cell r="B192">
            <v>454</v>
          </cell>
          <cell r="C192">
            <v>0</v>
          </cell>
          <cell r="D192">
            <v>0</v>
          </cell>
          <cell r="E192">
            <v>367</v>
          </cell>
          <cell r="F192">
            <v>0</v>
          </cell>
          <cell r="G192">
            <v>0</v>
          </cell>
          <cell r="H192">
            <v>201</v>
          </cell>
          <cell r="I192">
            <v>0</v>
          </cell>
          <cell r="J192">
            <v>0</v>
          </cell>
          <cell r="K192">
            <v>295</v>
          </cell>
          <cell r="L192">
            <v>0</v>
          </cell>
          <cell r="M192">
            <v>0</v>
          </cell>
        </row>
        <row r="193">
          <cell r="A193" t="str">
            <v>BS-WH1731-P0-XL</v>
          </cell>
          <cell r="B193">
            <v>2370</v>
          </cell>
          <cell r="C193">
            <v>5</v>
          </cell>
          <cell r="D193">
            <v>0.47</v>
          </cell>
          <cell r="E193">
            <v>2781</v>
          </cell>
          <cell r="F193">
            <v>5</v>
          </cell>
          <cell r="G193">
            <v>0.58</v>
          </cell>
          <cell r="H193">
            <v>587</v>
          </cell>
          <cell r="I193">
            <v>1</v>
          </cell>
          <cell r="J193">
            <v>0.07</v>
          </cell>
          <cell r="K193">
            <v>15</v>
          </cell>
          <cell r="L193">
            <v>0</v>
          </cell>
          <cell r="M193">
            <v>0</v>
          </cell>
        </row>
        <row r="194">
          <cell r="A194" t="str">
            <v>BS-WH1731-P0-XXL</v>
          </cell>
          <cell r="B194">
            <v>188</v>
          </cell>
          <cell r="C194">
            <v>1</v>
          </cell>
          <cell r="D194">
            <v>0.29</v>
          </cell>
          <cell r="E194">
            <v>451</v>
          </cell>
          <cell r="F194">
            <v>2</v>
          </cell>
          <cell r="G194">
            <v>0.28</v>
          </cell>
          <cell r="H194">
            <v>324</v>
          </cell>
          <cell r="I194">
            <v>0</v>
          </cell>
          <cell r="J194">
            <v>0</v>
          </cell>
          <cell r="K194">
            <v>80</v>
          </cell>
          <cell r="L194">
            <v>0</v>
          </cell>
          <cell r="M194">
            <v>0</v>
          </cell>
        </row>
        <row r="195">
          <cell r="A195" t="str">
            <v>BS-WH1731-R0-L</v>
          </cell>
          <cell r="B195">
            <v>1763</v>
          </cell>
          <cell r="C195">
            <v>7</v>
          </cell>
          <cell r="D195">
            <v>0.9</v>
          </cell>
          <cell r="E195">
            <v>1723</v>
          </cell>
          <cell r="F195">
            <v>6</v>
          </cell>
          <cell r="G195">
            <v>0.86</v>
          </cell>
          <cell r="H195">
            <v>507</v>
          </cell>
          <cell r="I195">
            <v>4</v>
          </cell>
          <cell r="J195">
            <v>0.94</v>
          </cell>
          <cell r="K195">
            <v>933</v>
          </cell>
          <cell r="L195">
            <v>3</v>
          </cell>
          <cell r="M195">
            <v>0.43</v>
          </cell>
        </row>
        <row r="196">
          <cell r="A196" t="str">
            <v>BS-WH1731-R0-M</v>
          </cell>
          <cell r="B196">
            <v>1682</v>
          </cell>
          <cell r="C196">
            <v>8</v>
          </cell>
          <cell r="D196">
            <v>0.82</v>
          </cell>
          <cell r="E196">
            <v>3084</v>
          </cell>
          <cell r="F196">
            <v>15</v>
          </cell>
          <cell r="G196">
            <v>1.77</v>
          </cell>
          <cell r="H196">
            <v>4792</v>
          </cell>
          <cell r="I196">
            <v>24</v>
          </cell>
          <cell r="J196">
            <v>2.96</v>
          </cell>
          <cell r="K196">
            <v>14390</v>
          </cell>
          <cell r="L196">
            <v>49</v>
          </cell>
          <cell r="M196">
            <v>4.84</v>
          </cell>
        </row>
        <row r="197">
          <cell r="A197" t="str">
            <v>BS-WH1731-R0-XL</v>
          </cell>
          <cell r="B197">
            <v>5850</v>
          </cell>
          <cell r="C197">
            <v>22</v>
          </cell>
          <cell r="D197">
            <v>2.57</v>
          </cell>
          <cell r="E197">
            <v>1640</v>
          </cell>
          <cell r="F197">
            <v>10</v>
          </cell>
          <cell r="G197">
            <v>1.18</v>
          </cell>
          <cell r="H197">
            <v>3599</v>
          </cell>
          <cell r="I197">
            <v>13</v>
          </cell>
          <cell r="J197">
            <v>1.46</v>
          </cell>
          <cell r="K197">
            <v>915</v>
          </cell>
          <cell r="L197">
            <v>7</v>
          </cell>
          <cell r="M197">
            <v>0.7</v>
          </cell>
        </row>
        <row r="198">
          <cell r="A198" t="str">
            <v>BS-WH1731-R0-XXL</v>
          </cell>
          <cell r="B198">
            <v>1572</v>
          </cell>
          <cell r="C198">
            <v>26</v>
          </cell>
          <cell r="D198">
            <v>4.02</v>
          </cell>
          <cell r="E198">
            <v>1204</v>
          </cell>
          <cell r="F198">
            <v>17</v>
          </cell>
          <cell r="G198">
            <v>2.76</v>
          </cell>
          <cell r="H198">
            <v>1113</v>
          </cell>
          <cell r="I198">
            <v>22</v>
          </cell>
          <cell r="J198">
            <v>3.87</v>
          </cell>
          <cell r="K198">
            <v>1038</v>
          </cell>
          <cell r="L198">
            <v>8</v>
          </cell>
          <cell r="M198">
            <v>1.09</v>
          </cell>
        </row>
        <row r="199">
          <cell r="A199" t="str">
            <v>YZ-BS1702-GO-L</v>
          </cell>
          <cell r="B199">
            <v>16650</v>
          </cell>
          <cell r="C199">
            <v>30</v>
          </cell>
          <cell r="D199">
            <v>7.86</v>
          </cell>
          <cell r="E199">
            <v>13826</v>
          </cell>
          <cell r="F199">
            <v>74</v>
          </cell>
          <cell r="G199">
            <v>18.68</v>
          </cell>
          <cell r="H199">
            <v>2731</v>
          </cell>
          <cell r="I199">
            <v>28</v>
          </cell>
          <cell r="J199">
            <v>7.62</v>
          </cell>
          <cell r="K199">
            <v>1042</v>
          </cell>
          <cell r="L199">
            <v>8</v>
          </cell>
          <cell r="M199">
            <v>2.08</v>
          </cell>
        </row>
        <row r="200">
          <cell r="A200" t="str">
            <v>YZ-BS1702-GO-M</v>
          </cell>
          <cell r="B200">
            <v>42236</v>
          </cell>
          <cell r="C200">
            <v>95</v>
          </cell>
          <cell r="D200">
            <v>23.08</v>
          </cell>
          <cell r="E200">
            <v>44996</v>
          </cell>
          <cell r="F200">
            <v>84</v>
          </cell>
          <cell r="G200">
            <v>20.72</v>
          </cell>
          <cell r="H200">
            <v>12369</v>
          </cell>
          <cell r="I200">
            <v>26</v>
          </cell>
          <cell r="J200">
            <v>5.84</v>
          </cell>
          <cell r="K200">
            <v>2006</v>
          </cell>
          <cell r="L200">
            <v>21</v>
          </cell>
          <cell r="M200">
            <v>5.22</v>
          </cell>
        </row>
        <row r="201">
          <cell r="A201" t="str">
            <v>YZ-BS1702-GO-S</v>
          </cell>
          <cell r="B201">
            <v>2193</v>
          </cell>
          <cell r="C201">
            <v>16</v>
          </cell>
          <cell r="D201">
            <v>3.94</v>
          </cell>
          <cell r="E201">
            <v>2469</v>
          </cell>
          <cell r="F201">
            <v>14</v>
          </cell>
          <cell r="G201">
            <v>3.39</v>
          </cell>
          <cell r="H201">
            <v>785</v>
          </cell>
          <cell r="I201">
            <v>1</v>
          </cell>
          <cell r="J201">
            <v>0.3</v>
          </cell>
          <cell r="K201">
            <v>90</v>
          </cell>
          <cell r="L201">
            <v>1</v>
          </cell>
          <cell r="M201">
            <v>0.08</v>
          </cell>
        </row>
        <row r="202">
          <cell r="A202" t="str">
            <v>YZ-BS1702-GO-XL</v>
          </cell>
          <cell r="B202">
            <v>367</v>
          </cell>
          <cell r="C202">
            <v>0</v>
          </cell>
          <cell r="D202">
            <v>0</v>
          </cell>
          <cell r="E202">
            <v>1869</v>
          </cell>
          <cell r="F202">
            <v>10</v>
          </cell>
          <cell r="G202">
            <v>2.52</v>
          </cell>
          <cell r="H202">
            <v>971</v>
          </cell>
          <cell r="I202">
            <v>2</v>
          </cell>
          <cell r="J202">
            <v>0.37</v>
          </cell>
          <cell r="K202">
            <v>665</v>
          </cell>
          <cell r="L202">
            <v>2</v>
          </cell>
          <cell r="M202">
            <v>0.52</v>
          </cell>
        </row>
        <row r="203">
          <cell r="A203" t="str">
            <v>YZ-BS1702-GO-XS</v>
          </cell>
          <cell r="B203">
            <v>2746</v>
          </cell>
          <cell r="C203">
            <v>20</v>
          </cell>
          <cell r="D203">
            <v>4.74</v>
          </cell>
          <cell r="E203">
            <v>1224</v>
          </cell>
          <cell r="F203">
            <v>7</v>
          </cell>
          <cell r="G203">
            <v>1.68</v>
          </cell>
          <cell r="H203">
            <v>112</v>
          </cell>
          <cell r="I203">
            <v>0</v>
          </cell>
          <cell r="J203">
            <v>0</v>
          </cell>
          <cell r="K203">
            <v>278</v>
          </cell>
          <cell r="L203">
            <v>2</v>
          </cell>
          <cell r="M203">
            <v>0.5</v>
          </cell>
        </row>
        <row r="204">
          <cell r="A204" t="str">
            <v>BS-WH17015-B0-M</v>
          </cell>
          <cell r="B204">
            <v>13003</v>
          </cell>
          <cell r="C204">
            <v>18</v>
          </cell>
          <cell r="D204">
            <v>3.9</v>
          </cell>
          <cell r="E204">
            <v>19578</v>
          </cell>
          <cell r="F204">
            <v>35</v>
          </cell>
          <cell r="G204">
            <v>8.4</v>
          </cell>
          <cell r="H204">
            <v>12986</v>
          </cell>
          <cell r="I204">
            <v>47</v>
          </cell>
          <cell r="J204">
            <v>8.46</v>
          </cell>
          <cell r="K204">
            <v>26373</v>
          </cell>
          <cell r="L204">
            <v>59</v>
          </cell>
          <cell r="M204">
            <v>11.27</v>
          </cell>
        </row>
        <row r="205">
          <cell r="A205" t="str">
            <v>BS-WH17015-C0-M</v>
          </cell>
          <cell r="B205">
            <v>59247</v>
          </cell>
          <cell r="C205">
            <v>90</v>
          </cell>
          <cell r="D205">
            <v>17.73</v>
          </cell>
          <cell r="E205">
            <v>22798</v>
          </cell>
          <cell r="F205">
            <v>128</v>
          </cell>
          <cell r="G205">
            <v>27.99</v>
          </cell>
          <cell r="H205">
            <v>8605</v>
          </cell>
          <cell r="I205">
            <v>90</v>
          </cell>
          <cell r="J205">
            <v>19.02</v>
          </cell>
          <cell r="K205">
            <v>18209</v>
          </cell>
          <cell r="L205">
            <v>86</v>
          </cell>
          <cell r="M205">
            <v>16.41</v>
          </cell>
        </row>
        <row r="206">
          <cell r="A206" t="str">
            <v>BS-WH17015-K0-M</v>
          </cell>
          <cell r="B206">
            <v>8171</v>
          </cell>
          <cell r="C206">
            <v>7</v>
          </cell>
          <cell r="D206">
            <v>1.64</v>
          </cell>
          <cell r="E206">
            <v>10694</v>
          </cell>
          <cell r="F206">
            <v>21</v>
          </cell>
          <cell r="G206">
            <v>4.9</v>
          </cell>
          <cell r="H206">
            <v>17575</v>
          </cell>
          <cell r="I206">
            <v>24</v>
          </cell>
          <cell r="J206">
            <v>3.58</v>
          </cell>
          <cell r="K206">
            <v>28108</v>
          </cell>
          <cell r="L206">
            <v>57</v>
          </cell>
          <cell r="M206">
            <v>9.15</v>
          </cell>
        </row>
        <row r="207">
          <cell r="A207" t="str">
            <v>BS-WH17015-P0-M</v>
          </cell>
          <cell r="B207">
            <v>6269</v>
          </cell>
          <cell r="C207">
            <v>4</v>
          </cell>
          <cell r="D207">
            <v>0.86</v>
          </cell>
          <cell r="E207">
            <v>9334</v>
          </cell>
          <cell r="F207">
            <v>22</v>
          </cell>
          <cell r="G207">
            <v>4.52</v>
          </cell>
          <cell r="H207">
            <v>8207</v>
          </cell>
          <cell r="I207">
            <v>18</v>
          </cell>
          <cell r="J207">
            <v>3.38</v>
          </cell>
          <cell r="K207">
            <v>3078</v>
          </cell>
          <cell r="L207">
            <v>14</v>
          </cell>
          <cell r="M207">
            <v>3.28</v>
          </cell>
        </row>
        <row r="208">
          <cell r="A208" t="str">
            <v>BS-WH17015-ZL-M</v>
          </cell>
          <cell r="B208">
            <v>13862</v>
          </cell>
          <cell r="C208">
            <v>35</v>
          </cell>
          <cell r="D208">
            <v>6.68</v>
          </cell>
          <cell r="E208">
            <v>22728</v>
          </cell>
          <cell r="F208">
            <v>67</v>
          </cell>
          <cell r="G208">
            <v>16.16</v>
          </cell>
          <cell r="H208">
            <v>9914</v>
          </cell>
          <cell r="I208">
            <v>48</v>
          </cell>
          <cell r="J208">
            <v>8.32</v>
          </cell>
          <cell r="K208">
            <v>12712</v>
          </cell>
          <cell r="L208">
            <v>58</v>
          </cell>
          <cell r="M208">
            <v>11.06</v>
          </cell>
        </row>
        <row r="209">
          <cell r="A209" t="str">
            <v>YZ-BS-BKN1703-R0-L</v>
          </cell>
          <cell r="B209">
            <v>2153</v>
          </cell>
          <cell r="C209">
            <v>5</v>
          </cell>
          <cell r="D209">
            <v>0.93</v>
          </cell>
          <cell r="E209">
            <v>11393</v>
          </cell>
          <cell r="F209">
            <v>97</v>
          </cell>
          <cell r="G209">
            <v>19.81</v>
          </cell>
          <cell r="H209">
            <v>12755</v>
          </cell>
          <cell r="I209">
            <v>128</v>
          </cell>
          <cell r="J209">
            <v>28.11</v>
          </cell>
          <cell r="K209">
            <v>9092</v>
          </cell>
          <cell r="L209">
            <v>109</v>
          </cell>
          <cell r="M209">
            <v>24.8</v>
          </cell>
        </row>
        <row r="210">
          <cell r="A210" t="str">
            <v>YZ-BS-BKN1703-R0-M</v>
          </cell>
          <cell r="B210">
            <v>840</v>
          </cell>
          <cell r="C210">
            <v>4</v>
          </cell>
          <cell r="D210">
            <v>1</v>
          </cell>
          <cell r="E210">
            <v>2997</v>
          </cell>
          <cell r="F210">
            <v>12</v>
          </cell>
          <cell r="G210">
            <v>2.66</v>
          </cell>
          <cell r="H210">
            <v>4644</v>
          </cell>
          <cell r="I210">
            <v>24</v>
          </cell>
          <cell r="J210">
            <v>3.81</v>
          </cell>
          <cell r="K210">
            <v>3402</v>
          </cell>
          <cell r="L210">
            <v>30</v>
          </cell>
          <cell r="M210">
            <v>6.3</v>
          </cell>
        </row>
        <row r="211">
          <cell r="A211" t="str">
            <v>YZ-BS-BKN1703-R0-S</v>
          </cell>
          <cell r="B211">
            <v>4675</v>
          </cell>
          <cell r="C211">
            <v>18</v>
          </cell>
          <cell r="D211">
            <v>3.11</v>
          </cell>
          <cell r="E211">
            <v>48937</v>
          </cell>
          <cell r="F211">
            <v>90</v>
          </cell>
          <cell r="G211">
            <v>18.3</v>
          </cell>
          <cell r="H211">
            <v>12003</v>
          </cell>
          <cell r="I211">
            <v>39</v>
          </cell>
          <cell r="J211">
            <v>8.3</v>
          </cell>
          <cell r="K211">
            <v>25162</v>
          </cell>
          <cell r="L211">
            <v>61</v>
          </cell>
          <cell r="M211">
            <v>11.37</v>
          </cell>
        </row>
        <row r="212">
          <cell r="A212" t="str">
            <v>YZ-BS-BKN1703-R0-XL</v>
          </cell>
          <cell r="B212">
            <v>3006</v>
          </cell>
          <cell r="C212">
            <v>29</v>
          </cell>
          <cell r="D212">
            <v>5.59</v>
          </cell>
          <cell r="E212">
            <v>3275</v>
          </cell>
          <cell r="F212">
            <v>21</v>
          </cell>
          <cell r="G212">
            <v>3.72</v>
          </cell>
          <cell r="H212">
            <v>1650</v>
          </cell>
          <cell r="I212">
            <v>8</v>
          </cell>
          <cell r="J212">
            <v>1.54</v>
          </cell>
          <cell r="K212">
            <v>3772</v>
          </cell>
          <cell r="L212">
            <v>30</v>
          </cell>
          <cell r="M212">
            <v>5.71</v>
          </cell>
        </row>
        <row r="213">
          <cell r="A213" t="str">
            <v>YZ-BS-BKN1703-R0-XS</v>
          </cell>
          <cell r="B213">
            <v>26480</v>
          </cell>
          <cell r="C213">
            <v>104</v>
          </cell>
          <cell r="D213">
            <v>21.92</v>
          </cell>
          <cell r="E213">
            <v>28816</v>
          </cell>
          <cell r="F213">
            <v>106</v>
          </cell>
          <cell r="G213">
            <v>22.43</v>
          </cell>
          <cell r="H213">
            <v>3652</v>
          </cell>
          <cell r="I213">
            <v>24</v>
          </cell>
          <cell r="J213">
            <v>5.85</v>
          </cell>
          <cell r="K213">
            <v>1706</v>
          </cell>
          <cell r="L213">
            <v>18</v>
          </cell>
          <cell r="M213">
            <v>4.42</v>
          </cell>
        </row>
        <row r="214">
          <cell r="A214" t="str">
            <v>YZ-BS-BS5119ZLXL3XL</v>
          </cell>
          <cell r="B214">
            <v>194</v>
          </cell>
          <cell r="C214">
            <v>0</v>
          </cell>
          <cell r="D214">
            <v>0</v>
          </cell>
          <cell r="E214">
            <v>139</v>
          </cell>
          <cell r="F214">
            <v>1</v>
          </cell>
          <cell r="G214">
            <v>0.23</v>
          </cell>
          <cell r="H214">
            <v>1714</v>
          </cell>
          <cell r="I214">
            <v>4</v>
          </cell>
          <cell r="J214">
            <v>0.5</v>
          </cell>
          <cell r="K214">
            <v>626</v>
          </cell>
          <cell r="L214">
            <v>2</v>
          </cell>
          <cell r="M214">
            <v>0.26</v>
          </cell>
        </row>
        <row r="215">
          <cell r="A215" t="str">
            <v>YZ-BS-BS5119ZLXL4XL</v>
          </cell>
          <cell r="B215">
            <v>202</v>
          </cell>
          <cell r="C215">
            <v>1</v>
          </cell>
          <cell r="D215">
            <v>0.22</v>
          </cell>
          <cell r="E215">
            <v>315</v>
          </cell>
          <cell r="F215">
            <v>2</v>
          </cell>
          <cell r="G215">
            <v>0.17</v>
          </cell>
          <cell r="H215">
            <v>140</v>
          </cell>
          <cell r="I215">
            <v>0</v>
          </cell>
          <cell r="J215">
            <v>0</v>
          </cell>
          <cell r="K215">
            <v>202</v>
          </cell>
          <cell r="L215">
            <v>0</v>
          </cell>
          <cell r="M215">
            <v>0</v>
          </cell>
        </row>
        <row r="216">
          <cell r="A216" t="str">
            <v>YZ-BS-BS5119ZLXL5XL</v>
          </cell>
          <cell r="B216">
            <v>1986</v>
          </cell>
          <cell r="C216">
            <v>5</v>
          </cell>
          <cell r="D216">
            <v>0.78</v>
          </cell>
          <cell r="E216">
            <v>1434</v>
          </cell>
          <cell r="F216">
            <v>5</v>
          </cell>
          <cell r="G216">
            <v>0.74</v>
          </cell>
          <cell r="H216">
            <v>114</v>
          </cell>
          <cell r="I216">
            <v>0</v>
          </cell>
          <cell r="J216">
            <v>0</v>
          </cell>
          <cell r="K216">
            <v>130</v>
          </cell>
          <cell r="L216">
            <v>0</v>
          </cell>
          <cell r="M216">
            <v>0</v>
          </cell>
        </row>
        <row r="217">
          <cell r="A217" t="str">
            <v>YZ-BS-BShyl5119-YH-2XL</v>
          </cell>
          <cell r="B217">
            <v>44</v>
          </cell>
          <cell r="C217">
            <v>0</v>
          </cell>
          <cell r="D217">
            <v>0</v>
          </cell>
          <cell r="E217">
            <v>15</v>
          </cell>
          <cell r="F217">
            <v>0</v>
          </cell>
          <cell r="G217">
            <v>0</v>
          </cell>
          <cell r="H217">
            <v>2</v>
          </cell>
          <cell r="I217">
            <v>0</v>
          </cell>
          <cell r="J217">
            <v>0</v>
          </cell>
          <cell r="K217">
            <v>9</v>
          </cell>
          <cell r="L217">
            <v>0</v>
          </cell>
          <cell r="M217">
            <v>0</v>
          </cell>
        </row>
        <row r="218">
          <cell r="A218" t="str">
            <v>YZ-BS-BShyl5119-YH-3XL</v>
          </cell>
          <cell r="B218">
            <v>1</v>
          </cell>
          <cell r="C218">
            <v>0</v>
          </cell>
          <cell r="D218">
            <v>0</v>
          </cell>
          <cell r="E218">
            <v>0</v>
          </cell>
          <cell r="F218">
            <v>0</v>
          </cell>
          <cell r="G218">
            <v>0</v>
          </cell>
          <cell r="H218">
            <v>1</v>
          </cell>
          <cell r="I218">
            <v>0</v>
          </cell>
          <cell r="J218">
            <v>0</v>
          </cell>
          <cell r="K218">
            <v>2</v>
          </cell>
          <cell r="L218">
            <v>0</v>
          </cell>
          <cell r="M218">
            <v>0</v>
          </cell>
        </row>
        <row r="219">
          <cell r="A219" t="str">
            <v>YZ-BS-BShyl5119-YH-4XL</v>
          </cell>
          <cell r="B219">
            <v>40</v>
          </cell>
          <cell r="C219">
            <v>0</v>
          </cell>
          <cell r="D219">
            <v>0</v>
          </cell>
          <cell r="E219">
            <v>3</v>
          </cell>
          <cell r="F219">
            <v>0</v>
          </cell>
          <cell r="G219">
            <v>0</v>
          </cell>
          <cell r="H219">
            <v>3</v>
          </cell>
          <cell r="I219">
            <v>0</v>
          </cell>
          <cell r="J219">
            <v>0</v>
          </cell>
          <cell r="K219">
            <v>19</v>
          </cell>
          <cell r="L219">
            <v>0</v>
          </cell>
          <cell r="M219">
            <v>0</v>
          </cell>
        </row>
        <row r="220">
          <cell r="A220" t="str">
            <v>YZ-BS-BShyl5119-YH-XL</v>
          </cell>
          <cell r="B220">
            <v>0</v>
          </cell>
          <cell r="C220">
            <v>0</v>
          </cell>
          <cell r="D220">
            <v>0</v>
          </cell>
          <cell r="E220">
            <v>43</v>
          </cell>
          <cell r="F220">
            <v>0</v>
          </cell>
          <cell r="G220">
            <v>0</v>
          </cell>
          <cell r="H220">
            <v>5</v>
          </cell>
          <cell r="I220">
            <v>0</v>
          </cell>
          <cell r="J220">
            <v>0</v>
          </cell>
          <cell r="K220">
            <v>3</v>
          </cell>
          <cell r="L220">
            <v>0</v>
          </cell>
          <cell r="M220">
            <v>0</v>
          </cell>
        </row>
        <row r="221">
          <cell r="A221" t="str">
            <v>YZ-BS-BShyl5119-YT-2XL</v>
          </cell>
          <cell r="B221">
            <v>323</v>
          </cell>
          <cell r="C221">
            <v>1</v>
          </cell>
          <cell r="D221">
            <v>0.23</v>
          </cell>
          <cell r="E221">
            <v>173</v>
          </cell>
          <cell r="F221">
            <v>1</v>
          </cell>
          <cell r="G221">
            <v>0.15</v>
          </cell>
          <cell r="H221">
            <v>780</v>
          </cell>
          <cell r="I221">
            <v>3</v>
          </cell>
          <cell r="J221">
            <v>0.2</v>
          </cell>
          <cell r="K221">
            <v>2204</v>
          </cell>
          <cell r="L221">
            <v>2</v>
          </cell>
          <cell r="M221">
            <v>0.14</v>
          </cell>
        </row>
        <row r="222">
          <cell r="A222" t="str">
            <v>BS-WH17017-B0-M</v>
          </cell>
          <cell r="B222">
            <v>618</v>
          </cell>
          <cell r="C222">
            <v>2</v>
          </cell>
          <cell r="D222">
            <v>0.28</v>
          </cell>
          <cell r="E222">
            <v>299</v>
          </cell>
          <cell r="F222">
            <v>2</v>
          </cell>
          <cell r="G222">
            <v>0.16</v>
          </cell>
          <cell r="H222">
            <v>1523</v>
          </cell>
          <cell r="I222">
            <v>4</v>
          </cell>
          <cell r="J222">
            <v>0.24</v>
          </cell>
          <cell r="K222">
            <v>786</v>
          </cell>
          <cell r="L222">
            <v>5</v>
          </cell>
          <cell r="M222">
            <v>0.53</v>
          </cell>
        </row>
        <row r="223">
          <cell r="A223" t="str">
            <v>BS-WH17017-B0-S</v>
          </cell>
          <cell r="B223">
            <v>1014</v>
          </cell>
          <cell r="C223">
            <v>21</v>
          </cell>
          <cell r="D223">
            <v>2.86</v>
          </cell>
          <cell r="E223">
            <v>1193</v>
          </cell>
          <cell r="F223">
            <v>30</v>
          </cell>
          <cell r="G223">
            <v>4.12</v>
          </cell>
          <cell r="H223">
            <v>773</v>
          </cell>
          <cell r="I223">
            <v>17</v>
          </cell>
          <cell r="J223">
            <v>2</v>
          </cell>
          <cell r="K223">
            <v>578</v>
          </cell>
          <cell r="L223">
            <v>4</v>
          </cell>
          <cell r="M223">
            <v>0.44</v>
          </cell>
        </row>
        <row r="224">
          <cell r="A224" t="str">
            <v>BS-WH17017-B0-XL</v>
          </cell>
          <cell r="B224">
            <v>47</v>
          </cell>
          <cell r="C224">
            <v>2</v>
          </cell>
          <cell r="D224">
            <v>0.19</v>
          </cell>
          <cell r="E224">
            <v>51</v>
          </cell>
          <cell r="F224">
            <v>2</v>
          </cell>
          <cell r="G224">
            <v>0.07</v>
          </cell>
          <cell r="H224">
            <v>49</v>
          </cell>
          <cell r="I224">
            <v>1</v>
          </cell>
          <cell r="J224">
            <v>0.05</v>
          </cell>
          <cell r="K224">
            <v>99</v>
          </cell>
          <cell r="L224">
            <v>1</v>
          </cell>
          <cell r="M224">
            <v>0.15</v>
          </cell>
        </row>
        <row r="225">
          <cell r="A225" t="str">
            <v>BS-WH17017-B0-XXL</v>
          </cell>
          <cell r="B225">
            <v>214</v>
          </cell>
          <cell r="C225">
            <v>1</v>
          </cell>
          <cell r="D225">
            <v>0.17</v>
          </cell>
          <cell r="E225">
            <v>209</v>
          </cell>
          <cell r="F225">
            <v>1</v>
          </cell>
          <cell r="G225">
            <v>0.05</v>
          </cell>
          <cell r="H225">
            <v>1255</v>
          </cell>
          <cell r="I225">
            <v>5</v>
          </cell>
          <cell r="J225">
            <v>0.39</v>
          </cell>
          <cell r="K225">
            <v>1146</v>
          </cell>
          <cell r="L225">
            <v>8</v>
          </cell>
          <cell r="M225">
            <v>0.76</v>
          </cell>
        </row>
        <row r="226">
          <cell r="A226" t="str">
            <v>BS-WH17017-B0-XXXL</v>
          </cell>
          <cell r="B226">
            <v>18605</v>
          </cell>
          <cell r="C226">
            <v>80</v>
          </cell>
          <cell r="D226">
            <v>11.12</v>
          </cell>
          <cell r="E226">
            <v>18448</v>
          </cell>
          <cell r="F226">
            <v>69</v>
          </cell>
          <cell r="G226">
            <v>9.12</v>
          </cell>
          <cell r="H226">
            <v>1553</v>
          </cell>
          <cell r="I226">
            <v>21</v>
          </cell>
          <cell r="J226">
            <v>2.78</v>
          </cell>
          <cell r="K226">
            <v>2067</v>
          </cell>
          <cell r="L226">
            <v>13</v>
          </cell>
          <cell r="M226">
            <v>1.38</v>
          </cell>
        </row>
        <row r="227">
          <cell r="A227" t="str">
            <v>BS-WH17017-G0-L</v>
          </cell>
          <cell r="B227">
            <v>144</v>
          </cell>
          <cell r="C227">
            <v>3</v>
          </cell>
          <cell r="D227">
            <v>0.31</v>
          </cell>
          <cell r="E227">
            <v>235</v>
          </cell>
          <cell r="F227">
            <v>4</v>
          </cell>
          <cell r="G227">
            <v>0.41</v>
          </cell>
          <cell r="H227">
            <v>5750</v>
          </cell>
          <cell r="I227">
            <v>26</v>
          </cell>
          <cell r="J227">
            <v>2.06</v>
          </cell>
          <cell r="K227">
            <v>1699</v>
          </cell>
          <cell r="L227">
            <v>8</v>
          </cell>
          <cell r="M227">
            <v>0.49</v>
          </cell>
        </row>
        <row r="228">
          <cell r="A228" t="str">
            <v>BS-WH17017-G0-M</v>
          </cell>
          <cell r="B228">
            <v>424</v>
          </cell>
          <cell r="C228">
            <v>3</v>
          </cell>
          <cell r="D228">
            <v>0.38</v>
          </cell>
          <cell r="E228">
            <v>407</v>
          </cell>
          <cell r="F228">
            <v>1</v>
          </cell>
          <cell r="G228">
            <v>0.02</v>
          </cell>
          <cell r="H228">
            <v>769</v>
          </cell>
          <cell r="I228">
            <v>6</v>
          </cell>
          <cell r="J228">
            <v>0.56</v>
          </cell>
          <cell r="K228">
            <v>1276</v>
          </cell>
          <cell r="L228">
            <v>3</v>
          </cell>
          <cell r="M228">
            <v>0.31</v>
          </cell>
        </row>
        <row r="229">
          <cell r="A229" t="str">
            <v>BS-WH17017-G0-S</v>
          </cell>
          <cell r="B229">
            <v>58</v>
          </cell>
          <cell r="C229">
            <v>0</v>
          </cell>
          <cell r="D229">
            <v>0</v>
          </cell>
          <cell r="E229">
            <v>53</v>
          </cell>
          <cell r="F229">
            <v>0</v>
          </cell>
          <cell r="G229">
            <v>0</v>
          </cell>
          <cell r="H229">
            <v>546</v>
          </cell>
          <cell r="I229">
            <v>1</v>
          </cell>
          <cell r="J229">
            <v>0.06</v>
          </cell>
          <cell r="K229">
            <v>181</v>
          </cell>
          <cell r="L229">
            <v>1</v>
          </cell>
          <cell r="M229">
            <v>0.15</v>
          </cell>
        </row>
        <row r="230">
          <cell r="A230" t="str">
            <v>BS-WH17017-G0-XL</v>
          </cell>
          <cell r="B230">
            <v>72</v>
          </cell>
          <cell r="C230">
            <v>1</v>
          </cell>
          <cell r="D230">
            <v>0.13</v>
          </cell>
          <cell r="E230">
            <v>93</v>
          </cell>
          <cell r="F230">
            <v>1</v>
          </cell>
          <cell r="G230">
            <v>0.1</v>
          </cell>
          <cell r="H230">
            <v>3</v>
          </cell>
          <cell r="I230">
            <v>0</v>
          </cell>
          <cell r="J230">
            <v>0</v>
          </cell>
          <cell r="K230">
            <v>1808</v>
          </cell>
          <cell r="L230">
            <v>7</v>
          </cell>
          <cell r="M230">
            <v>0.4</v>
          </cell>
        </row>
        <row r="231">
          <cell r="A231" t="str">
            <v>BS-WH17017-G0-XXL</v>
          </cell>
          <cell r="B231">
            <v>17</v>
          </cell>
          <cell r="C231">
            <v>0</v>
          </cell>
          <cell r="D231">
            <v>0</v>
          </cell>
          <cell r="E231">
            <v>30</v>
          </cell>
          <cell r="F231">
            <v>0</v>
          </cell>
          <cell r="G231">
            <v>0</v>
          </cell>
          <cell r="H231">
            <v>14</v>
          </cell>
          <cell r="I231">
            <v>0</v>
          </cell>
          <cell r="J231">
            <v>0</v>
          </cell>
          <cell r="K231">
            <v>35</v>
          </cell>
          <cell r="L231">
            <v>0</v>
          </cell>
          <cell r="M231">
            <v>0</v>
          </cell>
        </row>
        <row r="232">
          <cell r="A232" t="str">
            <v>BS-WH17017-G0-XXXL</v>
          </cell>
          <cell r="B232">
            <v>144</v>
          </cell>
          <cell r="C232">
            <v>1</v>
          </cell>
          <cell r="D232">
            <v>0.15</v>
          </cell>
          <cell r="E232">
            <v>244</v>
          </cell>
          <cell r="F232">
            <v>3</v>
          </cell>
          <cell r="G232">
            <v>0.28</v>
          </cell>
          <cell r="H232">
            <v>571</v>
          </cell>
          <cell r="I232">
            <v>3</v>
          </cell>
          <cell r="J232">
            <v>0.36</v>
          </cell>
          <cell r="K232">
            <v>449</v>
          </cell>
          <cell r="L232">
            <v>0</v>
          </cell>
          <cell r="M232">
            <v>0</v>
          </cell>
        </row>
        <row r="233">
          <cell r="A233" t="str">
            <v>BS-WH17017-K0-L</v>
          </cell>
          <cell r="B233">
            <v>25</v>
          </cell>
          <cell r="C233">
            <v>0</v>
          </cell>
          <cell r="D233">
            <v>0</v>
          </cell>
          <cell r="E233">
            <v>30</v>
          </cell>
          <cell r="F233">
            <v>0</v>
          </cell>
          <cell r="G233">
            <v>0</v>
          </cell>
          <cell r="H233">
            <v>13</v>
          </cell>
          <cell r="I233">
            <v>0</v>
          </cell>
          <cell r="J233">
            <v>0</v>
          </cell>
          <cell r="K233">
            <v>949</v>
          </cell>
          <cell r="L233">
            <v>2</v>
          </cell>
          <cell r="M233">
            <v>0.28</v>
          </cell>
        </row>
        <row r="234">
          <cell r="A234" t="str">
            <v>BS-WH17017-K0-M</v>
          </cell>
          <cell r="B234">
            <v>403</v>
          </cell>
          <cell r="C234">
            <v>5</v>
          </cell>
          <cell r="D234">
            <v>0.67</v>
          </cell>
          <cell r="E234">
            <v>298</v>
          </cell>
          <cell r="F234">
            <v>6</v>
          </cell>
          <cell r="G234">
            <v>0.75</v>
          </cell>
          <cell r="H234">
            <v>667</v>
          </cell>
          <cell r="I234">
            <v>3</v>
          </cell>
          <cell r="J234">
            <v>0.36</v>
          </cell>
          <cell r="K234">
            <v>5125</v>
          </cell>
          <cell r="L234">
            <v>16</v>
          </cell>
          <cell r="M234">
            <v>1.59</v>
          </cell>
        </row>
        <row r="235">
          <cell r="A235" t="str">
            <v>BS-WH17017-K0-S</v>
          </cell>
          <cell r="B235">
            <v>88</v>
          </cell>
          <cell r="C235">
            <v>0</v>
          </cell>
          <cell r="D235">
            <v>0</v>
          </cell>
          <cell r="E235">
            <v>134</v>
          </cell>
          <cell r="F235">
            <v>1</v>
          </cell>
          <cell r="G235">
            <v>0.17</v>
          </cell>
          <cell r="H235">
            <v>165</v>
          </cell>
          <cell r="I235">
            <v>3</v>
          </cell>
          <cell r="J235">
            <v>0.35</v>
          </cell>
          <cell r="K235">
            <v>124</v>
          </cell>
          <cell r="L235">
            <v>1</v>
          </cell>
          <cell r="M235">
            <v>0.07</v>
          </cell>
        </row>
        <row r="236">
          <cell r="A236" t="str">
            <v>BS-WH17017-K0-XL</v>
          </cell>
          <cell r="B236">
            <v>0</v>
          </cell>
          <cell r="C236">
            <v>0</v>
          </cell>
          <cell r="D236">
            <v>0</v>
          </cell>
          <cell r="E236">
            <v>82</v>
          </cell>
          <cell r="F236">
            <v>0</v>
          </cell>
          <cell r="G236">
            <v>0</v>
          </cell>
          <cell r="H236">
            <v>48</v>
          </cell>
          <cell r="I236">
            <v>3</v>
          </cell>
          <cell r="J236">
            <v>0.15</v>
          </cell>
          <cell r="K236">
            <v>4</v>
          </cell>
          <cell r="L236">
            <v>0</v>
          </cell>
          <cell r="M236">
            <v>0</v>
          </cell>
        </row>
        <row r="237">
          <cell r="A237" t="str">
            <v>BS-WH17017-K0-XXL</v>
          </cell>
          <cell r="B237">
            <v>6365</v>
          </cell>
          <cell r="C237">
            <v>33</v>
          </cell>
          <cell r="D237">
            <v>4.23</v>
          </cell>
          <cell r="E237">
            <v>811</v>
          </cell>
          <cell r="F237">
            <v>12</v>
          </cell>
          <cell r="G237">
            <v>1.44</v>
          </cell>
          <cell r="H237">
            <v>720</v>
          </cell>
          <cell r="I237">
            <v>7</v>
          </cell>
          <cell r="J237">
            <v>0.83</v>
          </cell>
          <cell r="K237">
            <v>119</v>
          </cell>
          <cell r="L237">
            <v>0</v>
          </cell>
          <cell r="M237">
            <v>0</v>
          </cell>
        </row>
        <row r="238">
          <cell r="A238" t="str">
            <v>BS-WH17017-K0-XXXL</v>
          </cell>
          <cell r="B238">
            <v>0</v>
          </cell>
          <cell r="C238">
            <v>0</v>
          </cell>
          <cell r="D238">
            <v>0</v>
          </cell>
          <cell r="E238">
            <v>677</v>
          </cell>
          <cell r="F238">
            <v>7</v>
          </cell>
          <cell r="G238">
            <v>0.95</v>
          </cell>
          <cell r="H238">
            <v>3572</v>
          </cell>
          <cell r="I238">
            <v>20</v>
          </cell>
          <cell r="J238">
            <v>1.64</v>
          </cell>
          <cell r="K238">
            <v>1577</v>
          </cell>
          <cell r="L238">
            <v>6</v>
          </cell>
          <cell r="M238">
            <v>0.35</v>
          </cell>
        </row>
        <row r="239">
          <cell r="A239" t="str">
            <v>YZ-BS-HM1727-Pi-3XL</v>
          </cell>
          <cell r="B239">
            <v>18627</v>
          </cell>
          <cell r="C239">
            <v>226</v>
          </cell>
          <cell r="D239">
            <v>50.26</v>
          </cell>
          <cell r="E239">
            <v>0</v>
          </cell>
          <cell r="F239">
            <v>0</v>
          </cell>
          <cell r="G239">
            <v>0</v>
          </cell>
          <cell r="H239">
            <v>8825</v>
          </cell>
          <cell r="I239">
            <v>16</v>
          </cell>
          <cell r="J239">
            <v>2.99</v>
          </cell>
          <cell r="K239">
            <v>1978</v>
          </cell>
          <cell r="L239">
            <v>6</v>
          </cell>
          <cell r="M239">
            <v>1.29</v>
          </cell>
        </row>
        <row r="240">
          <cell r="A240" t="str">
            <v>YZ-BS-HM1727-Pi-4XL</v>
          </cell>
          <cell r="B240">
            <v>0</v>
          </cell>
          <cell r="C240">
            <v>0</v>
          </cell>
          <cell r="D240">
            <v>0</v>
          </cell>
          <cell r="E240">
            <v>0</v>
          </cell>
          <cell r="F240">
            <v>0</v>
          </cell>
          <cell r="G240">
            <v>0</v>
          </cell>
          <cell r="H240">
            <v>675</v>
          </cell>
          <cell r="I240">
            <v>13</v>
          </cell>
          <cell r="J240">
            <v>2.61</v>
          </cell>
          <cell r="K240">
            <v>217</v>
          </cell>
          <cell r="L240">
            <v>5</v>
          </cell>
          <cell r="M240">
            <v>1.36</v>
          </cell>
        </row>
        <row r="241">
          <cell r="A241" t="str">
            <v>YZ-BS-HE13037EZ1L</v>
          </cell>
          <cell r="B241">
            <v>0</v>
          </cell>
          <cell r="C241">
            <v>0</v>
          </cell>
          <cell r="D241">
            <v>0</v>
          </cell>
          <cell r="E241">
            <v>0</v>
          </cell>
          <cell r="F241">
            <v>0</v>
          </cell>
          <cell r="G241">
            <v>0</v>
          </cell>
          <cell r="H241">
            <v>46888</v>
          </cell>
          <cell r="I241">
            <v>195</v>
          </cell>
          <cell r="J241">
            <v>40.9</v>
          </cell>
          <cell r="K241">
            <v>3362</v>
          </cell>
          <cell r="L241">
            <v>60</v>
          </cell>
          <cell r="M241">
            <v>14.05</v>
          </cell>
        </row>
        <row r="242">
          <cell r="A242" t="str">
            <v>YZ-BS-HE13037Or1L</v>
          </cell>
          <cell r="B242">
            <v>0</v>
          </cell>
          <cell r="C242">
            <v>0</v>
          </cell>
          <cell r="D242">
            <v>0</v>
          </cell>
          <cell r="E242">
            <v>13337</v>
          </cell>
          <cell r="F242">
            <v>31</v>
          </cell>
          <cell r="G242">
            <v>6.68</v>
          </cell>
          <cell r="H242">
            <v>26104</v>
          </cell>
          <cell r="I242">
            <v>128</v>
          </cell>
          <cell r="J242">
            <v>24.97</v>
          </cell>
          <cell r="K242">
            <v>2469</v>
          </cell>
          <cell r="L242">
            <v>26</v>
          </cell>
          <cell r="M242">
            <v>6.24</v>
          </cell>
        </row>
        <row r="243">
          <cell r="A243" t="str">
            <v>YZ-BS-HE13037Or2L</v>
          </cell>
          <cell r="B243">
            <v>0</v>
          </cell>
          <cell r="C243">
            <v>0</v>
          </cell>
          <cell r="D243">
            <v>0</v>
          </cell>
          <cell r="E243">
            <v>0</v>
          </cell>
          <cell r="F243">
            <v>0</v>
          </cell>
          <cell r="G243">
            <v>0</v>
          </cell>
          <cell r="H243">
            <v>0</v>
          </cell>
          <cell r="I243">
            <v>0</v>
          </cell>
          <cell r="J243">
            <v>0</v>
          </cell>
          <cell r="K243">
            <v>119</v>
          </cell>
          <cell r="L243">
            <v>1</v>
          </cell>
          <cell r="M243">
            <v>0.28</v>
          </cell>
        </row>
        <row r="244">
          <cell r="A244" t="str">
            <v>YZ-BS-HE13037Or3L</v>
          </cell>
          <cell r="B244">
            <v>0</v>
          </cell>
          <cell r="C244">
            <v>0</v>
          </cell>
          <cell r="D244">
            <v>0</v>
          </cell>
          <cell r="E244">
            <v>0</v>
          </cell>
          <cell r="F244">
            <v>0</v>
          </cell>
          <cell r="G244">
            <v>0</v>
          </cell>
          <cell r="H244">
            <v>0</v>
          </cell>
          <cell r="I244">
            <v>0</v>
          </cell>
          <cell r="J244">
            <v>0</v>
          </cell>
          <cell r="K244">
            <v>110</v>
          </cell>
          <cell r="L244">
            <v>2</v>
          </cell>
          <cell r="M244">
            <v>0.5</v>
          </cell>
        </row>
        <row r="245">
          <cell r="A245" t="str">
            <v>YZ-BS-HE13037Pu1L</v>
          </cell>
          <cell r="B245">
            <v>0</v>
          </cell>
          <cell r="C245">
            <v>0</v>
          </cell>
          <cell r="D245">
            <v>0</v>
          </cell>
          <cell r="E245">
            <v>6962</v>
          </cell>
          <cell r="F245">
            <v>70</v>
          </cell>
          <cell r="G245">
            <v>12.83</v>
          </cell>
          <cell r="H245">
            <v>16909</v>
          </cell>
          <cell r="I245">
            <v>42</v>
          </cell>
          <cell r="J245">
            <v>8.21</v>
          </cell>
          <cell r="K245">
            <v>83742</v>
          </cell>
          <cell r="L245">
            <v>153</v>
          </cell>
          <cell r="M245">
            <v>31.01</v>
          </cell>
        </row>
        <row r="246">
          <cell r="A246" t="str">
            <v>YZ-BS-HE13037Pu5L</v>
          </cell>
          <cell r="B246">
            <v>0</v>
          </cell>
          <cell r="C246">
            <v>0</v>
          </cell>
          <cell r="D246">
            <v>0</v>
          </cell>
          <cell r="E246">
            <v>0</v>
          </cell>
          <cell r="F246">
            <v>0</v>
          </cell>
          <cell r="G246">
            <v>0</v>
          </cell>
          <cell r="H246">
            <v>0</v>
          </cell>
          <cell r="I246">
            <v>0</v>
          </cell>
          <cell r="J246">
            <v>0</v>
          </cell>
          <cell r="K246">
            <v>24</v>
          </cell>
          <cell r="L246">
            <v>0</v>
          </cell>
          <cell r="M246">
            <v>0</v>
          </cell>
        </row>
        <row r="247">
          <cell r="A247" t="str">
            <v>YZ-BS-HE13037Wi1L</v>
          </cell>
          <cell r="B247">
            <v>0</v>
          </cell>
          <cell r="C247">
            <v>0</v>
          </cell>
          <cell r="D247">
            <v>0</v>
          </cell>
          <cell r="E247">
            <v>0</v>
          </cell>
          <cell r="F247">
            <v>0</v>
          </cell>
          <cell r="G247">
            <v>0</v>
          </cell>
          <cell r="H247">
            <v>119</v>
          </cell>
          <cell r="I247">
            <v>3</v>
          </cell>
          <cell r="J247">
            <v>0.68</v>
          </cell>
          <cell r="K247">
            <v>466</v>
          </cell>
          <cell r="L247">
            <v>4</v>
          </cell>
          <cell r="M247">
            <v>0.95</v>
          </cell>
        </row>
        <row r="248">
          <cell r="A248" t="str">
            <v>YZ-BS-HE13037Wi4L</v>
          </cell>
          <cell r="B248">
            <v>1817</v>
          </cell>
          <cell r="C248">
            <v>35</v>
          </cell>
          <cell r="D248">
            <v>7.99</v>
          </cell>
          <cell r="E248">
            <v>0</v>
          </cell>
          <cell r="F248">
            <v>0</v>
          </cell>
          <cell r="G248">
            <v>0</v>
          </cell>
          <cell r="H248">
            <v>150</v>
          </cell>
          <cell r="I248">
            <v>1</v>
          </cell>
          <cell r="J248">
            <v>0.24</v>
          </cell>
          <cell r="K248">
            <v>664</v>
          </cell>
          <cell r="L248">
            <v>15</v>
          </cell>
          <cell r="M248">
            <v>2.96</v>
          </cell>
        </row>
        <row r="249">
          <cell r="A249" t="str">
            <v>YZ-BS-HB8631-BO-L</v>
          </cell>
          <cell r="B249">
            <v>0</v>
          </cell>
          <cell r="C249">
            <v>0</v>
          </cell>
          <cell r="D249">
            <v>0</v>
          </cell>
          <cell r="E249">
            <v>0</v>
          </cell>
          <cell r="F249">
            <v>0</v>
          </cell>
          <cell r="G249">
            <v>0</v>
          </cell>
          <cell r="H249">
            <v>6</v>
          </cell>
          <cell r="I249">
            <v>0</v>
          </cell>
          <cell r="J249">
            <v>0</v>
          </cell>
          <cell r="K249">
            <v>37</v>
          </cell>
          <cell r="L249">
            <v>0</v>
          </cell>
          <cell r="M249">
            <v>0</v>
          </cell>
        </row>
        <row r="250">
          <cell r="A250" t="str">
            <v>YZ-BS-HB8631-BO-M</v>
          </cell>
          <cell r="B250">
            <v>0</v>
          </cell>
          <cell r="C250">
            <v>0</v>
          </cell>
          <cell r="D250">
            <v>0</v>
          </cell>
          <cell r="E250">
            <v>0</v>
          </cell>
          <cell r="F250">
            <v>0</v>
          </cell>
          <cell r="G250">
            <v>0</v>
          </cell>
          <cell r="H250">
            <v>0</v>
          </cell>
          <cell r="I250">
            <v>0</v>
          </cell>
          <cell r="J250">
            <v>0</v>
          </cell>
          <cell r="K250">
            <v>39</v>
          </cell>
          <cell r="L250">
            <v>0</v>
          </cell>
          <cell r="M250">
            <v>0</v>
          </cell>
        </row>
        <row r="251">
          <cell r="A251" t="str">
            <v>YZ-BS-HB8631-PI-L</v>
          </cell>
          <cell r="B251">
            <v>2054</v>
          </cell>
          <cell r="C251">
            <v>13</v>
          </cell>
          <cell r="D251">
            <v>1.68</v>
          </cell>
          <cell r="E251">
            <v>0</v>
          </cell>
          <cell r="F251">
            <v>0</v>
          </cell>
          <cell r="G251">
            <v>0</v>
          </cell>
          <cell r="H251">
            <v>43</v>
          </cell>
          <cell r="I251">
            <v>0</v>
          </cell>
          <cell r="J251">
            <v>0</v>
          </cell>
          <cell r="K251">
            <v>122</v>
          </cell>
          <cell r="L251">
            <v>3</v>
          </cell>
          <cell r="M251">
            <v>0.21</v>
          </cell>
        </row>
        <row r="252">
          <cell r="A252" t="str">
            <v>YZ-BS-HB8631-PI-S</v>
          </cell>
          <cell r="B252">
            <v>0</v>
          </cell>
          <cell r="C252">
            <v>0</v>
          </cell>
          <cell r="D252">
            <v>0</v>
          </cell>
          <cell r="E252">
            <v>0</v>
          </cell>
          <cell r="F252">
            <v>0</v>
          </cell>
          <cell r="G252">
            <v>0</v>
          </cell>
          <cell r="H252">
            <v>37</v>
          </cell>
          <cell r="I252">
            <v>1</v>
          </cell>
          <cell r="J252">
            <v>0.13</v>
          </cell>
          <cell r="K252">
            <v>105</v>
          </cell>
          <cell r="L252">
            <v>2</v>
          </cell>
          <cell r="M252">
            <v>0.09</v>
          </cell>
        </row>
        <row r="253">
          <cell r="A253" t="str">
            <v>BS-1704-K0-XS</v>
          </cell>
          <cell r="B253">
            <v>0</v>
          </cell>
          <cell r="C253">
            <v>0</v>
          </cell>
          <cell r="D253">
            <v>0</v>
          </cell>
          <cell r="E253">
            <v>0</v>
          </cell>
          <cell r="F253">
            <v>0</v>
          </cell>
          <cell r="G253">
            <v>0</v>
          </cell>
          <cell r="H253">
            <v>0</v>
          </cell>
          <cell r="I253">
            <v>0</v>
          </cell>
          <cell r="J253">
            <v>0</v>
          </cell>
          <cell r="K253">
            <v>123</v>
          </cell>
          <cell r="L253">
            <v>1</v>
          </cell>
          <cell r="M253">
            <v>0.13</v>
          </cell>
        </row>
        <row r="254">
          <cell r="A254" t="str">
            <v>YZ-BS-HB8995-PI-L</v>
          </cell>
          <cell r="B254">
            <v>0</v>
          </cell>
          <cell r="C254">
            <v>0</v>
          </cell>
          <cell r="D254">
            <v>0</v>
          </cell>
          <cell r="E254">
            <v>0</v>
          </cell>
          <cell r="F254">
            <v>0</v>
          </cell>
          <cell r="G254">
            <v>0</v>
          </cell>
          <cell r="H254">
            <v>0</v>
          </cell>
          <cell r="I254">
            <v>0</v>
          </cell>
          <cell r="J254">
            <v>0</v>
          </cell>
          <cell r="K254">
            <v>73</v>
          </cell>
          <cell r="L254">
            <v>0</v>
          </cell>
          <cell r="M254">
            <v>0</v>
          </cell>
        </row>
        <row r="255">
          <cell r="A255" t="str">
            <v>YZ-BS-HB8995-PI-S</v>
          </cell>
          <cell r="B255">
            <v>503</v>
          </cell>
          <cell r="C255">
            <v>1</v>
          </cell>
          <cell r="D255">
            <v>0.23</v>
          </cell>
          <cell r="E255">
            <v>696</v>
          </cell>
          <cell r="F255">
            <v>2</v>
          </cell>
          <cell r="G255">
            <v>0.34</v>
          </cell>
          <cell r="H255">
            <v>0</v>
          </cell>
          <cell r="I255">
            <v>0</v>
          </cell>
          <cell r="J255">
            <v>0</v>
          </cell>
          <cell r="K255">
            <v>17</v>
          </cell>
          <cell r="L255">
            <v>1</v>
          </cell>
          <cell r="M255">
            <v>0.08</v>
          </cell>
        </row>
        <row r="256">
          <cell r="A256" t="str">
            <v>YZ-BS-BShyl5119-YT-3XL</v>
          </cell>
          <cell r="B256">
            <v>657</v>
          </cell>
          <cell r="C256">
            <v>0</v>
          </cell>
          <cell r="D256">
            <v>0</v>
          </cell>
          <cell r="E256">
            <v>1797</v>
          </cell>
          <cell r="F256">
            <v>7</v>
          </cell>
          <cell r="G256">
            <v>0.87</v>
          </cell>
          <cell r="H256">
            <v>227</v>
          </cell>
          <cell r="I256">
            <v>2</v>
          </cell>
          <cell r="J256">
            <v>0.26</v>
          </cell>
          <cell r="K256">
            <v>27</v>
          </cell>
          <cell r="L256">
            <v>0</v>
          </cell>
          <cell r="M256">
            <v>0</v>
          </cell>
        </row>
        <row r="257">
          <cell r="A257" t="str">
            <v>YZ-BS-BShyl5119K02XL</v>
          </cell>
          <cell r="B257">
            <v>6526</v>
          </cell>
          <cell r="C257">
            <v>33</v>
          </cell>
          <cell r="D257">
            <v>4.64</v>
          </cell>
          <cell r="E257">
            <v>8686</v>
          </cell>
          <cell r="F257">
            <v>23</v>
          </cell>
          <cell r="G257">
            <v>3.39</v>
          </cell>
          <cell r="H257">
            <v>9131</v>
          </cell>
          <cell r="I257">
            <v>29</v>
          </cell>
          <cell r="J257">
            <v>3.22</v>
          </cell>
          <cell r="K257">
            <v>3159</v>
          </cell>
          <cell r="L257">
            <v>6</v>
          </cell>
          <cell r="M257">
            <v>0.9</v>
          </cell>
        </row>
        <row r="258">
          <cell r="A258" t="str">
            <v>YZ-BS-BShyl5119K03XL</v>
          </cell>
          <cell r="B258">
            <v>5284</v>
          </cell>
          <cell r="C258">
            <v>11</v>
          </cell>
          <cell r="D258">
            <v>1.75</v>
          </cell>
          <cell r="E258">
            <v>425</v>
          </cell>
          <cell r="F258">
            <v>5</v>
          </cell>
          <cell r="G258">
            <v>0.94</v>
          </cell>
          <cell r="H258">
            <v>268</v>
          </cell>
          <cell r="I258">
            <v>1</v>
          </cell>
          <cell r="J258">
            <v>0.05</v>
          </cell>
          <cell r="K258">
            <v>55</v>
          </cell>
          <cell r="L258">
            <v>0</v>
          </cell>
          <cell r="M258">
            <v>0</v>
          </cell>
        </row>
        <row r="259">
          <cell r="A259" t="str">
            <v>YZ-BS-BShyl5119K0L</v>
          </cell>
          <cell r="B259">
            <v>2739</v>
          </cell>
          <cell r="C259">
            <v>16</v>
          </cell>
          <cell r="D259">
            <v>2.86</v>
          </cell>
          <cell r="E259">
            <v>4725</v>
          </cell>
          <cell r="F259">
            <v>18</v>
          </cell>
          <cell r="G259">
            <v>2.67</v>
          </cell>
          <cell r="H259">
            <v>1073</v>
          </cell>
          <cell r="I259">
            <v>6</v>
          </cell>
          <cell r="J259">
            <v>0.85</v>
          </cell>
          <cell r="K259">
            <v>982</v>
          </cell>
          <cell r="L259">
            <v>5</v>
          </cell>
          <cell r="M259">
            <v>0.84</v>
          </cell>
        </row>
        <row r="260">
          <cell r="A260" t="str">
            <v>YZ-BS-BShyl5119K0XL</v>
          </cell>
          <cell r="B260">
            <v>504</v>
          </cell>
          <cell r="C260">
            <v>0</v>
          </cell>
          <cell r="D260">
            <v>0</v>
          </cell>
          <cell r="E260">
            <v>965</v>
          </cell>
          <cell r="F260">
            <v>2</v>
          </cell>
          <cell r="G260">
            <v>0.42</v>
          </cell>
          <cell r="H260">
            <v>1013</v>
          </cell>
          <cell r="I260">
            <v>2</v>
          </cell>
          <cell r="J260">
            <v>0.44</v>
          </cell>
          <cell r="K260">
            <v>1958</v>
          </cell>
          <cell r="L260">
            <v>4</v>
          </cell>
          <cell r="M260">
            <v>0.58</v>
          </cell>
        </row>
        <row r="261">
          <cell r="A261" t="str">
            <v>YZ-BETW32-PI-S</v>
          </cell>
          <cell r="B261">
            <v>683</v>
          </cell>
          <cell r="C261">
            <v>2</v>
          </cell>
          <cell r="D261">
            <v>0.18</v>
          </cell>
          <cell r="E261">
            <v>518</v>
          </cell>
          <cell r="F261">
            <v>5</v>
          </cell>
          <cell r="G261">
            <v>0.52</v>
          </cell>
          <cell r="H261">
            <v>471</v>
          </cell>
          <cell r="I261">
            <v>1</v>
          </cell>
          <cell r="J261">
            <v>0.15</v>
          </cell>
          <cell r="K261">
            <v>128</v>
          </cell>
          <cell r="L261">
            <v>0</v>
          </cell>
          <cell r="M261">
            <v>0</v>
          </cell>
        </row>
        <row r="262">
          <cell r="A262" t="str">
            <v>CS-LY181-LB916-M</v>
          </cell>
          <cell r="B262">
            <v>368</v>
          </cell>
          <cell r="C262">
            <v>1</v>
          </cell>
          <cell r="D262">
            <v>0.08</v>
          </cell>
          <cell r="E262">
            <v>94</v>
          </cell>
          <cell r="F262">
            <v>1</v>
          </cell>
          <cell r="G262">
            <v>0.1</v>
          </cell>
          <cell r="H262">
            <v>82</v>
          </cell>
          <cell r="I262">
            <v>0</v>
          </cell>
          <cell r="J262">
            <v>0</v>
          </cell>
          <cell r="K262">
            <v>0</v>
          </cell>
          <cell r="L262">
            <v>0</v>
          </cell>
          <cell r="M262">
            <v>0</v>
          </cell>
        </row>
        <row r="263">
          <cell r="A263" t="str">
            <v>CS-LY181-LG907-M</v>
          </cell>
          <cell r="B263">
            <v>16</v>
          </cell>
          <cell r="C263">
            <v>1</v>
          </cell>
          <cell r="D263">
            <v>0.05</v>
          </cell>
          <cell r="E263">
            <v>12</v>
          </cell>
          <cell r="F263">
            <v>0</v>
          </cell>
          <cell r="G263">
            <v>0</v>
          </cell>
          <cell r="H263">
            <v>5</v>
          </cell>
          <cell r="I263">
            <v>0</v>
          </cell>
          <cell r="J263">
            <v>0</v>
          </cell>
          <cell r="K263">
            <v>0</v>
          </cell>
          <cell r="L263">
            <v>0</v>
          </cell>
          <cell r="M263">
            <v>0</v>
          </cell>
        </row>
        <row r="264">
          <cell r="A264" t="str">
            <v>CS-LY181-Sa911-M</v>
          </cell>
          <cell r="B264">
            <v>737</v>
          </cell>
          <cell r="C264">
            <v>2</v>
          </cell>
          <cell r="D264">
            <v>0.18</v>
          </cell>
          <cell r="E264">
            <v>438</v>
          </cell>
          <cell r="F264">
            <v>3</v>
          </cell>
          <cell r="G264">
            <v>0.3</v>
          </cell>
          <cell r="H264">
            <v>104</v>
          </cell>
          <cell r="I264">
            <v>0</v>
          </cell>
          <cell r="J264">
            <v>0</v>
          </cell>
          <cell r="K264">
            <v>0</v>
          </cell>
          <cell r="L264">
            <v>0</v>
          </cell>
          <cell r="M264">
            <v>0</v>
          </cell>
        </row>
        <row r="265">
          <cell r="A265" t="str">
            <v>CS-LY170-LG907-L</v>
          </cell>
          <cell r="B265">
            <v>9</v>
          </cell>
          <cell r="C265">
            <v>0</v>
          </cell>
          <cell r="D265">
            <v>0</v>
          </cell>
          <cell r="E265">
            <v>0</v>
          </cell>
          <cell r="F265">
            <v>0</v>
          </cell>
          <cell r="G265">
            <v>0</v>
          </cell>
          <cell r="H265">
            <v>1</v>
          </cell>
          <cell r="I265">
            <v>0</v>
          </cell>
          <cell r="J265">
            <v>0</v>
          </cell>
          <cell r="K265">
            <v>0</v>
          </cell>
          <cell r="L265">
            <v>0</v>
          </cell>
          <cell r="M265">
            <v>0</v>
          </cell>
        </row>
        <row r="266">
          <cell r="A266" t="str">
            <v>CS-LY170-WR917-M</v>
          </cell>
          <cell r="B266">
            <v>13</v>
          </cell>
          <cell r="C266">
            <v>0</v>
          </cell>
          <cell r="D266">
            <v>0</v>
          </cell>
          <cell r="E266">
            <v>82</v>
          </cell>
          <cell r="F266">
            <v>1</v>
          </cell>
          <cell r="G266">
            <v>0.1</v>
          </cell>
          <cell r="H266">
            <v>278</v>
          </cell>
          <cell r="I266">
            <v>3</v>
          </cell>
          <cell r="J266">
            <v>0.06</v>
          </cell>
          <cell r="K266">
            <v>0</v>
          </cell>
          <cell r="L266">
            <v>0</v>
          </cell>
          <cell r="M266">
            <v>0</v>
          </cell>
        </row>
        <row r="267">
          <cell r="A267" t="str">
            <v>YZ-BEYF182-R0-S</v>
          </cell>
          <cell r="B267">
            <v>35612</v>
          </cell>
          <cell r="C267">
            <v>315</v>
          </cell>
          <cell r="D267">
            <v>58.59</v>
          </cell>
          <cell r="E267">
            <v>13370</v>
          </cell>
          <cell r="F267">
            <v>93</v>
          </cell>
          <cell r="G267">
            <v>17.71</v>
          </cell>
          <cell r="H267">
            <v>3500</v>
          </cell>
          <cell r="I267">
            <v>76</v>
          </cell>
          <cell r="J267">
            <v>15</v>
          </cell>
          <cell r="K267">
            <v>0</v>
          </cell>
          <cell r="L267">
            <v>0</v>
          </cell>
          <cell r="M267">
            <v>0</v>
          </cell>
        </row>
        <row r="268">
          <cell r="A268" t="str">
            <v>BS-HB4032-R1-XL</v>
          </cell>
          <cell r="B268">
            <v>0</v>
          </cell>
          <cell r="C268">
            <v>0</v>
          </cell>
          <cell r="D268">
            <v>0</v>
          </cell>
          <cell r="E268">
            <v>0</v>
          </cell>
          <cell r="F268">
            <v>0</v>
          </cell>
          <cell r="G268">
            <v>0</v>
          </cell>
          <cell r="H268">
            <v>0</v>
          </cell>
          <cell r="I268">
            <v>0</v>
          </cell>
          <cell r="J268">
            <v>0</v>
          </cell>
          <cell r="K268">
            <v>0</v>
          </cell>
          <cell r="L268">
            <v>0</v>
          </cell>
          <cell r="M268">
            <v>0</v>
          </cell>
        </row>
        <row r="269">
          <cell r="A269" t="str">
            <v>BS-HB4032-R1-XXL</v>
          </cell>
          <cell r="B269">
            <v>0</v>
          </cell>
          <cell r="C269">
            <v>0</v>
          </cell>
          <cell r="D269">
            <v>0</v>
          </cell>
          <cell r="E269">
            <v>0</v>
          </cell>
          <cell r="F269">
            <v>0</v>
          </cell>
          <cell r="G269">
            <v>0</v>
          </cell>
          <cell r="H269">
            <v>595</v>
          </cell>
          <cell r="I269">
            <v>2</v>
          </cell>
          <cell r="J269">
            <v>0.4</v>
          </cell>
          <cell r="K269">
            <v>0</v>
          </cell>
          <cell r="L269">
            <v>0</v>
          </cell>
          <cell r="M269">
            <v>0</v>
          </cell>
        </row>
        <row r="270">
          <cell r="A270" t="str">
            <v>YZ-BS-5505DaS</v>
          </cell>
          <cell r="B270">
            <v>112830</v>
          </cell>
          <cell r="C270">
            <v>245</v>
          </cell>
          <cell r="D270">
            <v>55.39</v>
          </cell>
          <cell r="E270">
            <v>95434</v>
          </cell>
          <cell r="F270">
            <v>217</v>
          </cell>
          <cell r="G270">
            <v>46.75</v>
          </cell>
          <cell r="H270">
            <v>19915</v>
          </cell>
          <cell r="I270">
            <v>100</v>
          </cell>
          <cell r="J270">
            <v>20.99</v>
          </cell>
          <cell r="K270">
            <v>0</v>
          </cell>
          <cell r="L270">
            <v>0</v>
          </cell>
          <cell r="M270">
            <v>0</v>
          </cell>
        </row>
        <row r="271">
          <cell r="A271" t="str">
            <v>BS-WH1731-P0-M</v>
          </cell>
          <cell r="B271">
            <v>2724</v>
          </cell>
          <cell r="C271">
            <v>4</v>
          </cell>
          <cell r="D271">
            <v>0.4</v>
          </cell>
          <cell r="E271">
            <v>995</v>
          </cell>
          <cell r="F271">
            <v>3</v>
          </cell>
          <cell r="G271">
            <v>0.55</v>
          </cell>
          <cell r="H271">
            <v>94</v>
          </cell>
          <cell r="I271">
            <v>0</v>
          </cell>
          <cell r="J271">
            <v>0</v>
          </cell>
          <cell r="K271">
            <v>0</v>
          </cell>
          <cell r="L271">
            <v>0</v>
          </cell>
          <cell r="M271">
            <v>0</v>
          </cell>
        </row>
        <row r="272">
          <cell r="A272" t="str">
            <v>YZ-BS-BS5119ZLXL2XL</v>
          </cell>
          <cell r="B272">
            <v>10051</v>
          </cell>
          <cell r="C272">
            <v>31</v>
          </cell>
          <cell r="D272">
            <v>5.21</v>
          </cell>
          <cell r="E272">
            <v>10297</v>
          </cell>
          <cell r="F272">
            <v>21</v>
          </cell>
          <cell r="G272">
            <v>3.59</v>
          </cell>
          <cell r="H272">
            <v>593</v>
          </cell>
          <cell r="I272">
            <v>3</v>
          </cell>
          <cell r="J272">
            <v>0.67</v>
          </cell>
          <cell r="K272">
            <v>0</v>
          </cell>
          <cell r="L272">
            <v>0</v>
          </cell>
          <cell r="M272">
            <v>0</v>
          </cell>
        </row>
        <row r="273">
          <cell r="A273" t="str">
            <v>BS-WH17017-B0-L</v>
          </cell>
          <cell r="B273">
            <v>1245</v>
          </cell>
          <cell r="C273">
            <v>29</v>
          </cell>
          <cell r="D273">
            <v>3.35</v>
          </cell>
          <cell r="E273">
            <v>558</v>
          </cell>
          <cell r="F273">
            <v>16</v>
          </cell>
          <cell r="G273">
            <v>2.18</v>
          </cell>
          <cell r="H273">
            <v>1674</v>
          </cell>
          <cell r="I273">
            <v>19</v>
          </cell>
          <cell r="J273">
            <v>2.13</v>
          </cell>
          <cell r="K273">
            <v>0</v>
          </cell>
          <cell r="L273">
            <v>0</v>
          </cell>
          <cell r="M273">
            <v>0</v>
          </cell>
        </row>
        <row r="274">
          <cell r="A274" t="str">
            <v>YZ-BS-HE13037Or4L</v>
          </cell>
          <cell r="B274">
            <v>0</v>
          </cell>
          <cell r="C274">
            <v>0</v>
          </cell>
          <cell r="D274">
            <v>0</v>
          </cell>
          <cell r="E274">
            <v>0</v>
          </cell>
          <cell r="F274">
            <v>0</v>
          </cell>
          <cell r="G274">
            <v>0</v>
          </cell>
          <cell r="H274">
            <v>1</v>
          </cell>
          <cell r="I274">
            <v>0</v>
          </cell>
          <cell r="J274">
            <v>0</v>
          </cell>
          <cell r="K274">
            <v>0</v>
          </cell>
          <cell r="L274">
            <v>0</v>
          </cell>
          <cell r="M274">
            <v>0</v>
          </cell>
        </row>
        <row r="275">
          <cell r="A275" t="str">
            <v>BS-1704-K0-2XL</v>
          </cell>
          <cell r="B275">
            <v>0</v>
          </cell>
          <cell r="C275">
            <v>0</v>
          </cell>
          <cell r="D275">
            <v>0</v>
          </cell>
          <cell r="E275">
            <v>0</v>
          </cell>
          <cell r="F275">
            <v>0</v>
          </cell>
          <cell r="G275">
            <v>0</v>
          </cell>
          <cell r="H275">
            <v>392</v>
          </cell>
          <cell r="I275">
            <v>0</v>
          </cell>
          <cell r="J275">
            <v>0</v>
          </cell>
          <cell r="K275">
            <v>0</v>
          </cell>
          <cell r="L275">
            <v>0</v>
          </cell>
          <cell r="M275">
            <v>0</v>
          </cell>
        </row>
        <row r="276">
          <cell r="A276" t="str">
            <v>YZ-BS-HB8995-PI-M</v>
          </cell>
          <cell r="B276">
            <v>0</v>
          </cell>
          <cell r="C276">
            <v>0</v>
          </cell>
          <cell r="D276">
            <v>0</v>
          </cell>
          <cell r="E276">
            <v>62</v>
          </cell>
          <cell r="F276">
            <v>2</v>
          </cell>
          <cell r="G276">
            <v>0.58</v>
          </cell>
          <cell r="H276">
            <v>107</v>
          </cell>
          <cell r="I276">
            <v>1</v>
          </cell>
          <cell r="J276">
            <v>0.3</v>
          </cell>
          <cell r="K276">
            <v>0</v>
          </cell>
          <cell r="L276">
            <v>0</v>
          </cell>
          <cell r="M276">
            <v>0</v>
          </cell>
        </row>
        <row r="277">
          <cell r="A277" t="str">
            <v>YZ-BS-BShyl5119-YT-4XL</v>
          </cell>
          <cell r="B277">
            <v>437</v>
          </cell>
          <cell r="C277">
            <v>2</v>
          </cell>
          <cell r="D277">
            <v>0.34</v>
          </cell>
          <cell r="E277">
            <v>2067</v>
          </cell>
          <cell r="F277">
            <v>3</v>
          </cell>
          <cell r="G277">
            <v>0.54</v>
          </cell>
          <cell r="H277">
            <v>86</v>
          </cell>
          <cell r="I277">
            <v>1</v>
          </cell>
          <cell r="J277">
            <v>0.05</v>
          </cell>
          <cell r="K277">
            <v>0</v>
          </cell>
          <cell r="L277">
            <v>0</v>
          </cell>
          <cell r="M277">
            <v>0</v>
          </cell>
        </row>
        <row r="278">
          <cell r="A278" t="str">
            <v>YZ-BS-BShyl5119-YT-XL</v>
          </cell>
          <cell r="B278">
            <v>4984</v>
          </cell>
          <cell r="C278">
            <v>17</v>
          </cell>
          <cell r="D278">
            <v>2.76</v>
          </cell>
          <cell r="E278">
            <v>3671</v>
          </cell>
          <cell r="F278">
            <v>15</v>
          </cell>
          <cell r="G278">
            <v>1.84</v>
          </cell>
          <cell r="H278">
            <v>2043</v>
          </cell>
          <cell r="I278">
            <v>5</v>
          </cell>
          <cell r="J278">
            <v>0.51</v>
          </cell>
          <cell r="K278">
            <v>0</v>
          </cell>
          <cell r="L278">
            <v>0</v>
          </cell>
          <cell r="M278">
            <v>0</v>
          </cell>
        </row>
        <row r="279">
          <cell r="A279" t="str">
            <v>YZ-BETW32-BTW-S</v>
          </cell>
          <cell r="B279">
            <v>2290</v>
          </cell>
          <cell r="C279">
            <v>5</v>
          </cell>
          <cell r="D279">
            <v>0.57</v>
          </cell>
          <cell r="E279">
            <v>306</v>
          </cell>
          <cell r="F279">
            <v>5</v>
          </cell>
          <cell r="G279">
            <v>0.49</v>
          </cell>
          <cell r="H279">
            <v>29</v>
          </cell>
          <cell r="I279">
            <v>0</v>
          </cell>
          <cell r="J279">
            <v>0</v>
          </cell>
          <cell r="K279">
            <v>0</v>
          </cell>
          <cell r="L279">
            <v>0</v>
          </cell>
          <cell r="M279">
            <v>0</v>
          </cell>
        </row>
        <row r="280">
          <cell r="A280" t="str">
            <v>YZ-BETW32-KTW-S</v>
          </cell>
          <cell r="B280">
            <v>2063</v>
          </cell>
          <cell r="C280">
            <v>7</v>
          </cell>
          <cell r="D280">
            <v>1.42</v>
          </cell>
          <cell r="E280">
            <v>953</v>
          </cell>
          <cell r="F280">
            <v>3</v>
          </cell>
          <cell r="G280">
            <v>0.42</v>
          </cell>
          <cell r="H280">
            <v>214</v>
          </cell>
          <cell r="I280">
            <v>2</v>
          </cell>
          <cell r="J280">
            <v>0.33</v>
          </cell>
          <cell r="K280">
            <v>0</v>
          </cell>
          <cell r="L280">
            <v>0</v>
          </cell>
          <cell r="M280">
            <v>0</v>
          </cell>
        </row>
        <row r="281">
          <cell r="A281" t="str">
            <v>MY-LYPoint021-GN-S</v>
          </cell>
          <cell r="B281">
            <v>0</v>
          </cell>
          <cell r="C281">
            <v>0</v>
          </cell>
          <cell r="D281">
            <v>0</v>
          </cell>
          <cell r="E281">
            <v>0</v>
          </cell>
          <cell r="F281">
            <v>0</v>
          </cell>
          <cell r="G281">
            <v>0</v>
          </cell>
          <cell r="H281">
            <v>0</v>
          </cell>
          <cell r="I281">
            <v>0</v>
          </cell>
          <cell r="J281">
            <v>0</v>
          </cell>
          <cell r="K281">
            <v>0</v>
          </cell>
          <cell r="L281">
            <v>0</v>
          </cell>
          <cell r="M281">
            <v>0</v>
          </cell>
        </row>
        <row r="282">
          <cell r="A282" t="str">
            <v>TX-55554-BO-2XL</v>
          </cell>
          <cell r="B282">
            <v>17</v>
          </cell>
          <cell r="C282">
            <v>0</v>
          </cell>
          <cell r="D282">
            <v>0</v>
          </cell>
          <cell r="E282">
            <v>0</v>
          </cell>
          <cell r="F282">
            <v>0</v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  <cell r="K282">
            <v>0</v>
          </cell>
          <cell r="L282">
            <v>0</v>
          </cell>
          <cell r="M282">
            <v>0</v>
          </cell>
        </row>
        <row r="283">
          <cell r="A283" t="str">
            <v>CS-LY181-LB916-S</v>
          </cell>
          <cell r="B283">
            <v>6</v>
          </cell>
          <cell r="C283">
            <v>0</v>
          </cell>
          <cell r="D283">
            <v>0</v>
          </cell>
          <cell r="E283">
            <v>20</v>
          </cell>
          <cell r="F283">
            <v>0</v>
          </cell>
          <cell r="G283">
            <v>0</v>
          </cell>
          <cell r="H283">
            <v>0</v>
          </cell>
          <cell r="I283">
            <v>0</v>
          </cell>
          <cell r="J283">
            <v>0</v>
          </cell>
          <cell r="K283">
            <v>0</v>
          </cell>
          <cell r="L283">
            <v>0</v>
          </cell>
          <cell r="M283">
            <v>0</v>
          </cell>
        </row>
        <row r="284">
          <cell r="A284" t="str">
            <v>CS-LY181-PI908-M</v>
          </cell>
          <cell r="B284">
            <v>0</v>
          </cell>
          <cell r="C284">
            <v>0</v>
          </cell>
          <cell r="D284">
            <v>0</v>
          </cell>
          <cell r="E284">
            <v>8</v>
          </cell>
          <cell r="F284">
            <v>0</v>
          </cell>
          <cell r="G284">
            <v>0</v>
          </cell>
          <cell r="H284">
            <v>0</v>
          </cell>
          <cell r="I284">
            <v>0</v>
          </cell>
          <cell r="J284">
            <v>0</v>
          </cell>
          <cell r="K284">
            <v>0</v>
          </cell>
          <cell r="L284">
            <v>0</v>
          </cell>
          <cell r="M284">
            <v>0</v>
          </cell>
        </row>
        <row r="285">
          <cell r="A285" t="str">
            <v>CS-LY170-PI908-M</v>
          </cell>
          <cell r="B285">
            <v>32</v>
          </cell>
          <cell r="C285">
            <v>0</v>
          </cell>
          <cell r="D285">
            <v>0</v>
          </cell>
          <cell r="E285">
            <v>18</v>
          </cell>
          <cell r="F285">
            <v>0</v>
          </cell>
          <cell r="G285">
            <v>0</v>
          </cell>
          <cell r="H285">
            <v>0</v>
          </cell>
          <cell r="I285">
            <v>0</v>
          </cell>
          <cell r="J285">
            <v>0</v>
          </cell>
          <cell r="K285">
            <v>0</v>
          </cell>
          <cell r="L285">
            <v>0</v>
          </cell>
          <cell r="M285">
            <v>0</v>
          </cell>
        </row>
        <row r="286">
          <cell r="A286" t="str">
            <v>CS-LY170-PI908-S</v>
          </cell>
          <cell r="B286">
            <v>21</v>
          </cell>
          <cell r="C286">
            <v>0</v>
          </cell>
          <cell r="D286">
            <v>0</v>
          </cell>
          <cell r="E286">
            <v>15</v>
          </cell>
          <cell r="F286">
            <v>0</v>
          </cell>
          <cell r="G286">
            <v>0</v>
          </cell>
          <cell r="H286">
            <v>0</v>
          </cell>
          <cell r="I286">
            <v>0</v>
          </cell>
          <cell r="J286">
            <v>0</v>
          </cell>
          <cell r="K286">
            <v>0</v>
          </cell>
          <cell r="L286">
            <v>0</v>
          </cell>
          <cell r="M286">
            <v>0</v>
          </cell>
        </row>
        <row r="287">
          <cell r="A287" t="str">
            <v>CS-LY170-Sa911-L</v>
          </cell>
          <cell r="B287">
            <v>1</v>
          </cell>
          <cell r="C287">
            <v>0</v>
          </cell>
          <cell r="D287">
            <v>0</v>
          </cell>
          <cell r="E287">
            <v>1</v>
          </cell>
          <cell r="F287">
            <v>0</v>
          </cell>
          <cell r="G287">
            <v>0</v>
          </cell>
          <cell r="H287">
            <v>0</v>
          </cell>
          <cell r="I287">
            <v>0</v>
          </cell>
          <cell r="J287">
            <v>0</v>
          </cell>
          <cell r="K287">
            <v>0</v>
          </cell>
          <cell r="L287">
            <v>0</v>
          </cell>
          <cell r="M287">
            <v>0</v>
          </cell>
        </row>
        <row r="288">
          <cell r="A288" t="str">
            <v>CS-LY170-Sa911-XL</v>
          </cell>
          <cell r="B288">
            <v>8</v>
          </cell>
          <cell r="C288">
            <v>0</v>
          </cell>
          <cell r="D288">
            <v>0</v>
          </cell>
          <cell r="E288">
            <v>19</v>
          </cell>
          <cell r="F288">
            <v>0</v>
          </cell>
          <cell r="G288">
            <v>0</v>
          </cell>
          <cell r="H288">
            <v>0</v>
          </cell>
          <cell r="I288">
            <v>0</v>
          </cell>
          <cell r="J288">
            <v>0</v>
          </cell>
          <cell r="K288">
            <v>0</v>
          </cell>
          <cell r="L288">
            <v>0</v>
          </cell>
          <cell r="M288">
            <v>0</v>
          </cell>
        </row>
        <row r="289">
          <cell r="A289" t="str">
            <v>CS-LY170-W902-XL</v>
          </cell>
          <cell r="B289">
            <v>9</v>
          </cell>
          <cell r="C289">
            <v>1</v>
          </cell>
          <cell r="D289">
            <v>0.11</v>
          </cell>
          <cell r="E289">
            <v>1</v>
          </cell>
          <cell r="F289">
            <v>0</v>
          </cell>
          <cell r="G289">
            <v>0</v>
          </cell>
          <cell r="H289">
            <v>0</v>
          </cell>
          <cell r="I289">
            <v>0</v>
          </cell>
          <cell r="J289">
            <v>0</v>
          </cell>
          <cell r="K289">
            <v>0</v>
          </cell>
          <cell r="L289">
            <v>0</v>
          </cell>
          <cell r="M289">
            <v>0</v>
          </cell>
        </row>
        <row r="290">
          <cell r="A290" t="str">
            <v>CS-LY170-WR917-S</v>
          </cell>
          <cell r="B290">
            <v>18</v>
          </cell>
          <cell r="C290">
            <v>1</v>
          </cell>
          <cell r="D290">
            <v>0.04</v>
          </cell>
          <cell r="E290">
            <v>25</v>
          </cell>
          <cell r="F290">
            <v>1</v>
          </cell>
          <cell r="G290">
            <v>0.06</v>
          </cell>
          <cell r="H290">
            <v>0</v>
          </cell>
          <cell r="I290">
            <v>0</v>
          </cell>
          <cell r="J290">
            <v>0</v>
          </cell>
          <cell r="K290">
            <v>0</v>
          </cell>
          <cell r="L290">
            <v>0</v>
          </cell>
          <cell r="M290">
            <v>0</v>
          </cell>
        </row>
        <row r="291">
          <cell r="A291" t="str">
            <v>CS-LY170-ZL918-M</v>
          </cell>
          <cell r="B291">
            <v>1</v>
          </cell>
          <cell r="C291">
            <v>0</v>
          </cell>
          <cell r="D291">
            <v>0</v>
          </cell>
          <cell r="E291">
            <v>4</v>
          </cell>
          <cell r="F291">
            <v>0</v>
          </cell>
          <cell r="G291">
            <v>0</v>
          </cell>
          <cell r="H291">
            <v>0</v>
          </cell>
          <cell r="I291">
            <v>0</v>
          </cell>
          <cell r="J291">
            <v>0</v>
          </cell>
          <cell r="K291">
            <v>0</v>
          </cell>
          <cell r="L291">
            <v>0</v>
          </cell>
          <cell r="M291">
            <v>0</v>
          </cell>
        </row>
        <row r="292">
          <cell r="A292" t="str">
            <v>YZ-BS-5505DaXS</v>
          </cell>
          <cell r="B292">
            <v>6085</v>
          </cell>
          <cell r="C292">
            <v>23</v>
          </cell>
          <cell r="D292">
            <v>2.23</v>
          </cell>
          <cell r="E292">
            <v>902</v>
          </cell>
          <cell r="F292">
            <v>5</v>
          </cell>
          <cell r="G292">
            <v>0.43</v>
          </cell>
          <cell r="H292">
            <v>0</v>
          </cell>
          <cell r="I292">
            <v>0</v>
          </cell>
          <cell r="J292">
            <v>0</v>
          </cell>
          <cell r="K292">
            <v>0</v>
          </cell>
          <cell r="L292">
            <v>0</v>
          </cell>
          <cell r="M292">
            <v>0</v>
          </cell>
        </row>
        <row r="293">
          <cell r="A293" t="str">
            <v>YZ-BS-5505LbS</v>
          </cell>
          <cell r="B293">
            <v>2786</v>
          </cell>
          <cell r="C293">
            <v>13</v>
          </cell>
          <cell r="D293">
            <v>2.7</v>
          </cell>
          <cell r="E293">
            <v>2011</v>
          </cell>
          <cell r="F293">
            <v>3</v>
          </cell>
          <cell r="G293">
            <v>0.38</v>
          </cell>
          <cell r="H293">
            <v>0</v>
          </cell>
          <cell r="I293">
            <v>0</v>
          </cell>
          <cell r="J293">
            <v>0</v>
          </cell>
          <cell r="K293">
            <v>0</v>
          </cell>
          <cell r="L293">
            <v>0</v>
          </cell>
          <cell r="M293">
            <v>0</v>
          </cell>
        </row>
        <row r="294">
          <cell r="A294" t="str">
            <v>BS-PW331-M1-S</v>
          </cell>
          <cell r="B294">
            <v>0</v>
          </cell>
          <cell r="C294">
            <v>0</v>
          </cell>
          <cell r="D294">
            <v>0</v>
          </cell>
          <cell r="E294">
            <v>31</v>
          </cell>
          <cell r="F294">
            <v>0</v>
          </cell>
          <cell r="G294">
            <v>0</v>
          </cell>
          <cell r="H294">
            <v>0</v>
          </cell>
          <cell r="I294">
            <v>0</v>
          </cell>
          <cell r="J294">
            <v>0</v>
          </cell>
          <cell r="K294">
            <v>0</v>
          </cell>
          <cell r="L294">
            <v>0</v>
          </cell>
          <cell r="M294">
            <v>0</v>
          </cell>
        </row>
        <row r="295">
          <cell r="A295" t="str">
            <v>CS-LY181-LG907-S</v>
          </cell>
          <cell r="B295">
            <v>62</v>
          </cell>
          <cell r="C295">
            <v>0</v>
          </cell>
          <cell r="D295">
            <v>0</v>
          </cell>
          <cell r="E295">
            <v>0</v>
          </cell>
          <cell r="F295">
            <v>0</v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>
            <v>0</v>
          </cell>
          <cell r="L295">
            <v>0</v>
          </cell>
          <cell r="M295">
            <v>0</v>
          </cell>
        </row>
        <row r="296">
          <cell r="A296" t="str">
            <v>YZ-BS-HE13037Wi2L</v>
          </cell>
          <cell r="B296">
            <v>1791</v>
          </cell>
          <cell r="C296">
            <v>20</v>
          </cell>
          <cell r="D296">
            <v>4.68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  <cell r="K296">
            <v>0</v>
          </cell>
          <cell r="L296">
            <v>0</v>
          </cell>
          <cell r="M296">
            <v>0</v>
          </cell>
        </row>
      </sheetData>
      <sheetData sheetId="2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广告周报表"/>
      <sheetName val="库存使用数据"/>
      <sheetName val="time"/>
    </sheetNames>
    <sheetDataSet>
      <sheetData sheetId="0"/>
      <sheetData sheetId="1">
        <row r="1">
          <cell r="B1" t="str">
            <v>一周</v>
          </cell>
        </row>
        <row r="1">
          <cell r="E1" t="str">
            <v>二周</v>
          </cell>
        </row>
        <row r="1">
          <cell r="H1" t="str">
            <v>三周</v>
          </cell>
        </row>
        <row r="1">
          <cell r="K1" t="str">
            <v>四周</v>
          </cell>
        </row>
        <row r="2">
          <cell r="A2" t="str">
            <v>广告ASIN</v>
          </cell>
          <cell r="B2" t="str">
            <v>曝光量</v>
          </cell>
          <cell r="C2" t="str">
            <v>点击量</v>
          </cell>
          <cell r="D2" t="str">
            <v>广告费</v>
          </cell>
          <cell r="E2" t="str">
            <v>曝光量</v>
          </cell>
          <cell r="F2" t="str">
            <v>点击量</v>
          </cell>
          <cell r="G2" t="str">
            <v>广告费</v>
          </cell>
          <cell r="H2" t="str">
            <v>曝光量</v>
          </cell>
          <cell r="I2" t="str">
            <v>点击量</v>
          </cell>
          <cell r="J2" t="str">
            <v>广告费</v>
          </cell>
          <cell r="K2" t="str">
            <v>曝光量</v>
          </cell>
          <cell r="L2" t="str">
            <v>点击量</v>
          </cell>
          <cell r="M2" t="str">
            <v>广告费</v>
          </cell>
        </row>
        <row r="3">
          <cell r="A3" t="str">
            <v>CS-LY171-G912-L</v>
          </cell>
          <cell r="B3">
            <v>316</v>
          </cell>
          <cell r="C3">
            <v>0</v>
          </cell>
          <cell r="D3">
            <v>0</v>
          </cell>
          <cell r="E3">
            <v>563</v>
          </cell>
          <cell r="F3">
            <v>1</v>
          </cell>
          <cell r="G3">
            <v>0.02</v>
          </cell>
          <cell r="H3">
            <v>310</v>
          </cell>
          <cell r="I3">
            <v>0</v>
          </cell>
          <cell r="J3">
            <v>0</v>
          </cell>
          <cell r="K3">
            <v>342</v>
          </cell>
          <cell r="L3">
            <v>0</v>
          </cell>
          <cell r="M3">
            <v>0</v>
          </cell>
        </row>
        <row r="4">
          <cell r="A4" t="str">
            <v>CS-LY171-LB916-L</v>
          </cell>
          <cell r="B4">
            <v>27</v>
          </cell>
          <cell r="C4">
            <v>0</v>
          </cell>
          <cell r="D4">
            <v>0</v>
          </cell>
          <cell r="E4">
            <v>15</v>
          </cell>
          <cell r="F4">
            <v>0</v>
          </cell>
          <cell r="G4">
            <v>0</v>
          </cell>
          <cell r="H4">
            <v>79</v>
          </cell>
          <cell r="I4">
            <v>0</v>
          </cell>
          <cell r="J4">
            <v>0</v>
          </cell>
          <cell r="K4">
            <v>2</v>
          </cell>
          <cell r="L4">
            <v>0</v>
          </cell>
          <cell r="M4">
            <v>0</v>
          </cell>
        </row>
        <row r="5">
          <cell r="A5" t="str">
            <v>CS-LY171-LG907-L</v>
          </cell>
          <cell r="B5">
            <v>0</v>
          </cell>
          <cell r="C5">
            <v>0</v>
          </cell>
          <cell r="D5">
            <v>0</v>
          </cell>
          <cell r="E5">
            <v>0</v>
          </cell>
          <cell r="F5">
            <v>0</v>
          </cell>
          <cell r="G5">
            <v>0</v>
          </cell>
          <cell r="H5">
            <v>0</v>
          </cell>
          <cell r="I5">
            <v>0</v>
          </cell>
          <cell r="J5">
            <v>0</v>
          </cell>
          <cell r="K5">
            <v>169</v>
          </cell>
          <cell r="L5">
            <v>0</v>
          </cell>
          <cell r="M5">
            <v>0</v>
          </cell>
        </row>
        <row r="6">
          <cell r="A6" t="str">
            <v>CS-LY171-PI908-L</v>
          </cell>
          <cell r="B6">
            <v>1390</v>
          </cell>
          <cell r="C6">
            <v>1</v>
          </cell>
          <cell r="D6">
            <v>0.07</v>
          </cell>
          <cell r="E6">
            <v>1116</v>
          </cell>
          <cell r="F6">
            <v>3</v>
          </cell>
          <cell r="G6">
            <v>0.16</v>
          </cell>
          <cell r="H6">
            <v>657</v>
          </cell>
          <cell r="I6">
            <v>1</v>
          </cell>
          <cell r="J6">
            <v>0.02</v>
          </cell>
          <cell r="K6">
            <v>1117</v>
          </cell>
          <cell r="L6">
            <v>2</v>
          </cell>
          <cell r="M6">
            <v>0.13</v>
          </cell>
        </row>
        <row r="7">
          <cell r="A7" t="str">
            <v>CS-LY171-Sa911-L</v>
          </cell>
          <cell r="B7">
            <v>0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  <cell r="H7">
            <v>0</v>
          </cell>
          <cell r="I7">
            <v>0</v>
          </cell>
          <cell r="J7">
            <v>0</v>
          </cell>
          <cell r="K7">
            <v>24</v>
          </cell>
          <cell r="L7">
            <v>0</v>
          </cell>
          <cell r="M7">
            <v>0</v>
          </cell>
        </row>
        <row r="8">
          <cell r="A8" t="str">
            <v>CS-LY171-W902-L</v>
          </cell>
          <cell r="B8">
            <v>19</v>
          </cell>
          <cell r="C8">
            <v>1</v>
          </cell>
          <cell r="D8">
            <v>0.09</v>
          </cell>
          <cell r="E8">
            <v>16</v>
          </cell>
          <cell r="F8">
            <v>1</v>
          </cell>
          <cell r="G8">
            <v>0.02</v>
          </cell>
          <cell r="H8">
            <v>260</v>
          </cell>
          <cell r="I8">
            <v>0</v>
          </cell>
          <cell r="J8">
            <v>0</v>
          </cell>
          <cell r="K8">
            <v>87</v>
          </cell>
          <cell r="L8">
            <v>1</v>
          </cell>
          <cell r="M8">
            <v>0.1</v>
          </cell>
        </row>
        <row r="9">
          <cell r="A9" t="str">
            <v>CS-LY171-WR917-XL</v>
          </cell>
          <cell r="B9">
            <v>314</v>
          </cell>
          <cell r="C9">
            <v>2</v>
          </cell>
          <cell r="D9">
            <v>0.1</v>
          </cell>
          <cell r="E9">
            <v>575</v>
          </cell>
          <cell r="F9">
            <v>1</v>
          </cell>
          <cell r="G9">
            <v>0.09</v>
          </cell>
          <cell r="H9">
            <v>303</v>
          </cell>
          <cell r="I9">
            <v>1</v>
          </cell>
          <cell r="J9">
            <v>0.05</v>
          </cell>
          <cell r="K9">
            <v>57</v>
          </cell>
          <cell r="L9">
            <v>0</v>
          </cell>
          <cell r="M9">
            <v>0</v>
          </cell>
        </row>
        <row r="10">
          <cell r="A10" t="str">
            <v>CS-LY171-ZL918-S</v>
          </cell>
          <cell r="B10">
            <v>244</v>
          </cell>
          <cell r="C10">
            <v>1</v>
          </cell>
          <cell r="D10">
            <v>0.06</v>
          </cell>
          <cell r="E10">
            <v>29</v>
          </cell>
          <cell r="F10">
            <v>0</v>
          </cell>
          <cell r="G10">
            <v>0</v>
          </cell>
          <cell r="H10">
            <v>54</v>
          </cell>
          <cell r="I10">
            <v>0</v>
          </cell>
          <cell r="J10">
            <v>0</v>
          </cell>
          <cell r="K10">
            <v>26</v>
          </cell>
          <cell r="L10">
            <v>1</v>
          </cell>
          <cell r="M10">
            <v>0.1</v>
          </cell>
        </row>
        <row r="11">
          <cell r="A11" t="str">
            <v>CS-LY181-G912-L</v>
          </cell>
          <cell r="B11">
            <v>1037</v>
          </cell>
          <cell r="C11">
            <v>6</v>
          </cell>
          <cell r="D11">
            <v>0.32</v>
          </cell>
          <cell r="E11">
            <v>1431</v>
          </cell>
          <cell r="F11">
            <v>1</v>
          </cell>
          <cell r="G11">
            <v>0.09</v>
          </cell>
          <cell r="H11">
            <v>1066</v>
          </cell>
          <cell r="I11">
            <v>4</v>
          </cell>
          <cell r="J11">
            <v>0.29</v>
          </cell>
          <cell r="K11">
            <v>512</v>
          </cell>
          <cell r="L11">
            <v>2</v>
          </cell>
          <cell r="M11">
            <v>0.05</v>
          </cell>
        </row>
        <row r="12">
          <cell r="A12" t="str">
            <v>CS-LY181-LB916-L</v>
          </cell>
          <cell r="B12">
            <v>592</v>
          </cell>
          <cell r="C12">
            <v>2</v>
          </cell>
          <cell r="D12">
            <v>0.1</v>
          </cell>
          <cell r="E12">
            <v>648</v>
          </cell>
          <cell r="F12">
            <v>3</v>
          </cell>
          <cell r="G12">
            <v>0.14</v>
          </cell>
          <cell r="H12">
            <v>243</v>
          </cell>
          <cell r="I12">
            <v>1</v>
          </cell>
          <cell r="J12">
            <v>0.02</v>
          </cell>
          <cell r="K12">
            <v>340</v>
          </cell>
          <cell r="L12">
            <v>2</v>
          </cell>
          <cell r="M12">
            <v>0.04</v>
          </cell>
        </row>
        <row r="13">
          <cell r="A13" t="str">
            <v>CS-LY181-PI908-M</v>
          </cell>
          <cell r="B13">
            <v>196</v>
          </cell>
          <cell r="C13">
            <v>0</v>
          </cell>
          <cell r="D13">
            <v>0</v>
          </cell>
          <cell r="E13">
            <v>142</v>
          </cell>
          <cell r="F13">
            <v>0</v>
          </cell>
          <cell r="G13">
            <v>0</v>
          </cell>
          <cell r="H13">
            <v>108</v>
          </cell>
          <cell r="I13">
            <v>1</v>
          </cell>
          <cell r="J13">
            <v>0.04</v>
          </cell>
          <cell r="K13">
            <v>96</v>
          </cell>
          <cell r="L13">
            <v>1</v>
          </cell>
          <cell r="M13">
            <v>0.03</v>
          </cell>
        </row>
        <row r="14">
          <cell r="A14" t="str">
            <v>CS-LY181-Sa911-L</v>
          </cell>
          <cell r="B14">
            <v>0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184</v>
          </cell>
          <cell r="L14">
            <v>0</v>
          </cell>
          <cell r="M14">
            <v>0</v>
          </cell>
        </row>
        <row r="15">
          <cell r="A15" t="str">
            <v>CS-LY181-WR917-L</v>
          </cell>
          <cell r="B15">
            <v>319</v>
          </cell>
          <cell r="C15">
            <v>3</v>
          </cell>
          <cell r="D15">
            <v>0.18</v>
          </cell>
          <cell r="E15">
            <v>232</v>
          </cell>
          <cell r="F15">
            <v>1</v>
          </cell>
          <cell r="G15">
            <v>0.08</v>
          </cell>
          <cell r="H15">
            <v>114</v>
          </cell>
          <cell r="I15">
            <v>0</v>
          </cell>
          <cell r="J15">
            <v>0</v>
          </cell>
          <cell r="K15">
            <v>547</v>
          </cell>
          <cell r="L15">
            <v>2</v>
          </cell>
          <cell r="M15">
            <v>0.12</v>
          </cell>
        </row>
        <row r="16">
          <cell r="A16" t="str">
            <v>CS-LY084-H10-L</v>
          </cell>
          <cell r="B16">
            <v>39</v>
          </cell>
          <cell r="C16">
            <v>0</v>
          </cell>
          <cell r="D16">
            <v>0</v>
          </cell>
          <cell r="E16">
            <v>107</v>
          </cell>
          <cell r="F16">
            <v>0</v>
          </cell>
          <cell r="G16">
            <v>0</v>
          </cell>
          <cell r="H16">
            <v>23</v>
          </cell>
          <cell r="I16">
            <v>0</v>
          </cell>
          <cell r="J16">
            <v>0</v>
          </cell>
          <cell r="K16">
            <v>224</v>
          </cell>
          <cell r="L16">
            <v>1</v>
          </cell>
          <cell r="M16">
            <v>0.05</v>
          </cell>
        </row>
        <row r="17">
          <cell r="A17" t="str">
            <v>CS-LY084-H12-M</v>
          </cell>
          <cell r="B17">
            <v>172</v>
          </cell>
          <cell r="C17">
            <v>3</v>
          </cell>
          <cell r="D17">
            <v>0.23</v>
          </cell>
          <cell r="E17">
            <v>662</v>
          </cell>
          <cell r="F17">
            <v>2</v>
          </cell>
          <cell r="G17">
            <v>0.2</v>
          </cell>
          <cell r="H17">
            <v>647</v>
          </cell>
          <cell r="I17">
            <v>3</v>
          </cell>
          <cell r="J17">
            <v>0.29</v>
          </cell>
          <cell r="K17">
            <v>378</v>
          </cell>
          <cell r="L17">
            <v>3</v>
          </cell>
          <cell r="M17">
            <v>0.19</v>
          </cell>
        </row>
        <row r="18">
          <cell r="A18" t="str">
            <v>CS-LY084-H16-L</v>
          </cell>
          <cell r="B18">
            <v>72</v>
          </cell>
          <cell r="C18">
            <v>0</v>
          </cell>
          <cell r="D18">
            <v>0</v>
          </cell>
          <cell r="E18">
            <v>437</v>
          </cell>
          <cell r="F18">
            <v>0</v>
          </cell>
          <cell r="G18">
            <v>0</v>
          </cell>
          <cell r="H18">
            <v>164</v>
          </cell>
          <cell r="I18">
            <v>0</v>
          </cell>
          <cell r="J18">
            <v>0</v>
          </cell>
          <cell r="K18">
            <v>264</v>
          </cell>
          <cell r="L18">
            <v>0</v>
          </cell>
          <cell r="M18">
            <v>0</v>
          </cell>
        </row>
        <row r="19">
          <cell r="A19" t="str">
            <v>CS-LY084-H2-L</v>
          </cell>
          <cell r="B19">
            <v>4</v>
          </cell>
          <cell r="C19">
            <v>0</v>
          </cell>
          <cell r="D19">
            <v>0</v>
          </cell>
          <cell r="E19">
            <v>203</v>
          </cell>
          <cell r="F19">
            <v>3</v>
          </cell>
          <cell r="G19">
            <v>0.27</v>
          </cell>
          <cell r="H19">
            <v>307</v>
          </cell>
          <cell r="I19">
            <v>1</v>
          </cell>
          <cell r="J19">
            <v>0.08</v>
          </cell>
          <cell r="K19">
            <v>224</v>
          </cell>
          <cell r="L19">
            <v>1</v>
          </cell>
          <cell r="M19">
            <v>0.14</v>
          </cell>
        </row>
        <row r="20">
          <cell r="A20" t="str">
            <v>CS-LY085-G912-L</v>
          </cell>
          <cell r="B20">
            <v>791</v>
          </cell>
          <cell r="C20">
            <v>0</v>
          </cell>
          <cell r="D20">
            <v>0</v>
          </cell>
          <cell r="E20">
            <v>869</v>
          </cell>
          <cell r="F20">
            <v>1</v>
          </cell>
          <cell r="G20">
            <v>0.03</v>
          </cell>
          <cell r="H20">
            <v>437</v>
          </cell>
          <cell r="I20">
            <v>3</v>
          </cell>
          <cell r="J20">
            <v>0.16</v>
          </cell>
          <cell r="K20">
            <v>481</v>
          </cell>
          <cell r="L20">
            <v>0</v>
          </cell>
          <cell r="M20">
            <v>0</v>
          </cell>
        </row>
        <row r="21">
          <cell r="A21" t="str">
            <v>CS-LY085-LB916-L</v>
          </cell>
          <cell r="B21">
            <v>0</v>
          </cell>
          <cell r="C21">
            <v>0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  <cell r="I21">
            <v>0</v>
          </cell>
          <cell r="J21">
            <v>0</v>
          </cell>
          <cell r="K21">
            <v>528</v>
          </cell>
          <cell r="L21">
            <v>2</v>
          </cell>
          <cell r="M21">
            <v>0.04</v>
          </cell>
        </row>
        <row r="22">
          <cell r="A22" t="str">
            <v>CS-LY085-W902-S</v>
          </cell>
          <cell r="B22">
            <v>405</v>
          </cell>
          <cell r="C22">
            <v>1</v>
          </cell>
          <cell r="D22">
            <v>0.06</v>
          </cell>
          <cell r="E22">
            <v>216</v>
          </cell>
          <cell r="F22">
            <v>0</v>
          </cell>
          <cell r="G22">
            <v>0</v>
          </cell>
          <cell r="H22">
            <v>352</v>
          </cell>
          <cell r="I22">
            <v>0</v>
          </cell>
          <cell r="J22">
            <v>0</v>
          </cell>
          <cell r="K22">
            <v>336</v>
          </cell>
          <cell r="L22">
            <v>1</v>
          </cell>
          <cell r="M22">
            <v>0.1</v>
          </cell>
        </row>
        <row r="23">
          <cell r="A23" t="str">
            <v>CS-LY085-ZL918-S</v>
          </cell>
          <cell r="B23">
            <v>1807</v>
          </cell>
          <cell r="C23">
            <v>6</v>
          </cell>
          <cell r="D23">
            <v>0.22</v>
          </cell>
          <cell r="E23">
            <v>1274</v>
          </cell>
          <cell r="F23">
            <v>3</v>
          </cell>
          <cell r="G23">
            <v>0.06</v>
          </cell>
          <cell r="H23">
            <v>1152</v>
          </cell>
          <cell r="I23">
            <v>1</v>
          </cell>
          <cell r="J23">
            <v>0.02</v>
          </cell>
          <cell r="K23">
            <v>371</v>
          </cell>
          <cell r="L23">
            <v>1</v>
          </cell>
          <cell r="M23">
            <v>0.06</v>
          </cell>
        </row>
        <row r="24">
          <cell r="A24" t="str">
            <v>YZ-BS-ZQ15827W0S</v>
          </cell>
          <cell r="B24">
            <v>5306</v>
          </cell>
          <cell r="C24">
            <v>27</v>
          </cell>
          <cell r="D24">
            <v>1.66</v>
          </cell>
          <cell r="E24">
            <v>3254</v>
          </cell>
          <cell r="F24">
            <v>9</v>
          </cell>
          <cell r="G24">
            <v>0.55</v>
          </cell>
          <cell r="H24">
            <v>1089</v>
          </cell>
          <cell r="I24">
            <v>17</v>
          </cell>
          <cell r="J24">
            <v>0.97</v>
          </cell>
          <cell r="K24">
            <v>1272</v>
          </cell>
          <cell r="L24">
            <v>19</v>
          </cell>
          <cell r="M24">
            <v>0.93</v>
          </cell>
        </row>
        <row r="25">
          <cell r="A25" t="str">
            <v>YZ-BS-BS5119ZLXLXL</v>
          </cell>
          <cell r="B25">
            <v>4323</v>
          </cell>
          <cell r="C25">
            <v>40</v>
          </cell>
          <cell r="D25">
            <v>8.15</v>
          </cell>
          <cell r="E25">
            <v>7223</v>
          </cell>
          <cell r="F25">
            <v>17</v>
          </cell>
          <cell r="G25">
            <v>2.59</v>
          </cell>
          <cell r="H25">
            <v>2953</v>
          </cell>
          <cell r="I25">
            <v>11</v>
          </cell>
          <cell r="J25">
            <v>2.07</v>
          </cell>
          <cell r="K25">
            <v>1237</v>
          </cell>
          <cell r="L25">
            <v>2</v>
          </cell>
          <cell r="M25">
            <v>0.56</v>
          </cell>
        </row>
        <row r="26">
          <cell r="A26" t="str">
            <v>YZ-BS-BShyl5119K0M</v>
          </cell>
          <cell r="B26">
            <v>1581</v>
          </cell>
          <cell r="C26">
            <v>9</v>
          </cell>
          <cell r="D26">
            <v>1.59</v>
          </cell>
          <cell r="E26">
            <v>0</v>
          </cell>
          <cell r="F26">
            <v>0</v>
          </cell>
          <cell r="G26">
            <v>0</v>
          </cell>
          <cell r="H26">
            <v>2200</v>
          </cell>
          <cell r="I26">
            <v>7</v>
          </cell>
          <cell r="J26">
            <v>1.48</v>
          </cell>
          <cell r="K26">
            <v>8872</v>
          </cell>
          <cell r="L26">
            <v>24</v>
          </cell>
          <cell r="M26">
            <v>3.14</v>
          </cell>
        </row>
        <row r="27">
          <cell r="A27" t="str">
            <v>YZ-BS-BSLLHTM</v>
          </cell>
          <cell r="B27">
            <v>0</v>
          </cell>
          <cell r="C27">
            <v>0</v>
          </cell>
          <cell r="D27">
            <v>0</v>
          </cell>
          <cell r="E27">
            <v>16917</v>
          </cell>
          <cell r="F27">
            <v>48</v>
          </cell>
          <cell r="G27">
            <v>8.41</v>
          </cell>
          <cell r="H27">
            <v>12506</v>
          </cell>
          <cell r="I27">
            <v>37</v>
          </cell>
          <cell r="J27">
            <v>6.89</v>
          </cell>
          <cell r="K27">
            <v>484</v>
          </cell>
          <cell r="L27">
            <v>5</v>
          </cell>
          <cell r="M27">
            <v>1.38</v>
          </cell>
        </row>
        <row r="28">
          <cell r="A28" t="str">
            <v>YZ-BS-BSLLK0M</v>
          </cell>
          <cell r="B28">
            <v>9523</v>
          </cell>
          <cell r="C28">
            <v>16</v>
          </cell>
          <cell r="D28">
            <v>3.13</v>
          </cell>
          <cell r="E28">
            <v>5064</v>
          </cell>
          <cell r="F28">
            <v>16</v>
          </cell>
          <cell r="G28">
            <v>2.73</v>
          </cell>
          <cell r="H28">
            <v>6241</v>
          </cell>
          <cell r="I28">
            <v>15</v>
          </cell>
          <cell r="J28">
            <v>3.08</v>
          </cell>
          <cell r="K28">
            <v>5587</v>
          </cell>
          <cell r="L28">
            <v>26</v>
          </cell>
          <cell r="M28">
            <v>5.19</v>
          </cell>
        </row>
        <row r="29">
          <cell r="A29" t="str">
            <v>YZ-BS-PW2037-B0-S</v>
          </cell>
          <cell r="B29">
            <v>19189</v>
          </cell>
          <cell r="C29">
            <v>175</v>
          </cell>
          <cell r="D29">
            <v>29.85</v>
          </cell>
          <cell r="E29">
            <v>8005</v>
          </cell>
          <cell r="F29">
            <v>59</v>
          </cell>
          <cell r="G29">
            <v>10.5</v>
          </cell>
          <cell r="H29">
            <v>2848</v>
          </cell>
          <cell r="I29">
            <v>28</v>
          </cell>
          <cell r="J29">
            <v>4.68</v>
          </cell>
          <cell r="K29">
            <v>13304</v>
          </cell>
          <cell r="L29">
            <v>85</v>
          </cell>
          <cell r="M29">
            <v>14.36</v>
          </cell>
        </row>
        <row r="30">
          <cell r="A30" t="str">
            <v>YZ-BS-PW2037-G0-S</v>
          </cell>
          <cell r="B30">
            <v>14662</v>
          </cell>
          <cell r="C30">
            <v>77</v>
          </cell>
          <cell r="D30">
            <v>12.71</v>
          </cell>
          <cell r="E30">
            <v>8160</v>
          </cell>
          <cell r="F30">
            <v>49</v>
          </cell>
          <cell r="G30">
            <v>7.79</v>
          </cell>
          <cell r="H30">
            <v>10834</v>
          </cell>
          <cell r="I30">
            <v>53</v>
          </cell>
          <cell r="J30">
            <v>8.39</v>
          </cell>
          <cell r="K30">
            <v>10470</v>
          </cell>
          <cell r="L30">
            <v>89</v>
          </cell>
          <cell r="M30">
            <v>13.99</v>
          </cell>
        </row>
        <row r="31">
          <cell r="A31" t="str">
            <v>YZ-BS-PW2037-R0-S</v>
          </cell>
          <cell r="B31">
            <v>4</v>
          </cell>
          <cell r="C31">
            <v>0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3761</v>
          </cell>
          <cell r="I31">
            <v>47</v>
          </cell>
          <cell r="J31">
            <v>8.15</v>
          </cell>
          <cell r="K31">
            <v>9595</v>
          </cell>
          <cell r="L31">
            <v>97</v>
          </cell>
          <cell r="M31">
            <v>17.05</v>
          </cell>
        </row>
        <row r="32">
          <cell r="A32" t="str">
            <v>YZ-BS-1580-K0-M</v>
          </cell>
          <cell r="B32">
            <v>31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3</v>
          </cell>
          <cell r="I32">
            <v>0</v>
          </cell>
          <cell r="J32">
            <v>0</v>
          </cell>
          <cell r="K32">
            <v>45</v>
          </cell>
          <cell r="L32">
            <v>1</v>
          </cell>
          <cell r="M32">
            <v>0.02</v>
          </cell>
        </row>
        <row r="33">
          <cell r="A33" t="str">
            <v>YZ-BS-1580-NB-M</v>
          </cell>
          <cell r="B33">
            <v>59</v>
          </cell>
          <cell r="C33">
            <v>1</v>
          </cell>
          <cell r="D33">
            <v>0.08</v>
          </cell>
          <cell r="E33">
            <v>68</v>
          </cell>
          <cell r="F33">
            <v>0</v>
          </cell>
          <cell r="G33">
            <v>0</v>
          </cell>
          <cell r="H33">
            <v>34</v>
          </cell>
          <cell r="I33">
            <v>0</v>
          </cell>
          <cell r="J33">
            <v>0</v>
          </cell>
          <cell r="K33">
            <v>39</v>
          </cell>
          <cell r="L33">
            <v>2</v>
          </cell>
          <cell r="M33">
            <v>0.05</v>
          </cell>
        </row>
        <row r="34">
          <cell r="A34" t="str">
            <v>LYQ-BS-K1010-G0-XS</v>
          </cell>
          <cell r="B34">
            <v>54</v>
          </cell>
          <cell r="C34">
            <v>0</v>
          </cell>
          <cell r="D34">
            <v>0</v>
          </cell>
          <cell r="E34">
            <v>49</v>
          </cell>
          <cell r="F34">
            <v>0</v>
          </cell>
          <cell r="G34">
            <v>0</v>
          </cell>
          <cell r="H34">
            <v>76</v>
          </cell>
          <cell r="I34">
            <v>0</v>
          </cell>
          <cell r="J34">
            <v>0</v>
          </cell>
          <cell r="K34">
            <v>107</v>
          </cell>
          <cell r="L34">
            <v>2</v>
          </cell>
          <cell r="M34">
            <v>0.04</v>
          </cell>
        </row>
        <row r="35">
          <cell r="A35" t="str">
            <v>LYQ-BS-K1010-G7-XS</v>
          </cell>
          <cell r="B35">
            <v>196</v>
          </cell>
          <cell r="C35">
            <v>1</v>
          </cell>
          <cell r="D35">
            <v>0.02</v>
          </cell>
          <cell r="E35">
            <v>337</v>
          </cell>
          <cell r="F35">
            <v>0</v>
          </cell>
          <cell r="G35">
            <v>0</v>
          </cell>
          <cell r="H35">
            <v>455</v>
          </cell>
          <cell r="I35">
            <v>3</v>
          </cell>
          <cell r="J35">
            <v>0.06</v>
          </cell>
          <cell r="K35">
            <v>277</v>
          </cell>
          <cell r="L35">
            <v>2</v>
          </cell>
          <cell r="M35">
            <v>0.04</v>
          </cell>
        </row>
        <row r="36">
          <cell r="A36" t="str">
            <v>LYQ-BS-K1010-K0-XS</v>
          </cell>
          <cell r="B36">
            <v>134</v>
          </cell>
          <cell r="C36">
            <v>4</v>
          </cell>
          <cell r="D36">
            <v>0.08</v>
          </cell>
          <cell r="E36">
            <v>183</v>
          </cell>
          <cell r="F36">
            <v>1</v>
          </cell>
          <cell r="G36">
            <v>0.02</v>
          </cell>
          <cell r="H36">
            <v>149</v>
          </cell>
          <cell r="I36">
            <v>3</v>
          </cell>
          <cell r="J36">
            <v>0.06</v>
          </cell>
          <cell r="K36">
            <v>156</v>
          </cell>
          <cell r="L36">
            <v>3</v>
          </cell>
          <cell r="M36">
            <v>0.06</v>
          </cell>
        </row>
        <row r="37">
          <cell r="A37" t="str">
            <v>LYQ-BS-K1010-KQ-XS</v>
          </cell>
          <cell r="B37">
            <v>0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10</v>
          </cell>
          <cell r="L37">
            <v>0</v>
          </cell>
          <cell r="M37">
            <v>0</v>
          </cell>
        </row>
        <row r="38">
          <cell r="A38" t="str">
            <v>LYQ-BS-K1010-P0-XS</v>
          </cell>
          <cell r="B38">
            <v>58</v>
          </cell>
          <cell r="C38">
            <v>0</v>
          </cell>
          <cell r="D38">
            <v>0</v>
          </cell>
          <cell r="E38">
            <v>65</v>
          </cell>
          <cell r="F38">
            <v>0</v>
          </cell>
          <cell r="G38">
            <v>0</v>
          </cell>
          <cell r="H38">
            <v>165</v>
          </cell>
          <cell r="I38">
            <v>0</v>
          </cell>
          <cell r="J38">
            <v>0</v>
          </cell>
          <cell r="K38">
            <v>235</v>
          </cell>
          <cell r="L38">
            <v>0</v>
          </cell>
          <cell r="M38">
            <v>0</v>
          </cell>
        </row>
        <row r="39">
          <cell r="A39" t="str">
            <v>LYQ-BS-K1010-R0-XS</v>
          </cell>
          <cell r="B39">
            <v>95</v>
          </cell>
          <cell r="C39">
            <v>0</v>
          </cell>
          <cell r="D39">
            <v>0</v>
          </cell>
          <cell r="E39">
            <v>118</v>
          </cell>
          <cell r="F39">
            <v>1</v>
          </cell>
          <cell r="G39">
            <v>0.02</v>
          </cell>
          <cell r="H39">
            <v>156</v>
          </cell>
          <cell r="I39">
            <v>1</v>
          </cell>
          <cell r="J39">
            <v>0.02</v>
          </cell>
          <cell r="K39">
            <v>343</v>
          </cell>
          <cell r="L39">
            <v>1</v>
          </cell>
          <cell r="M39">
            <v>0.02</v>
          </cell>
        </row>
        <row r="40">
          <cell r="A40" t="str">
            <v>LYQ-BS-K1010-W0-XS</v>
          </cell>
          <cell r="B40">
            <v>128</v>
          </cell>
          <cell r="C40">
            <v>4</v>
          </cell>
          <cell r="D40">
            <v>0.08</v>
          </cell>
          <cell r="E40">
            <v>250</v>
          </cell>
          <cell r="F40">
            <v>4</v>
          </cell>
          <cell r="G40">
            <v>0.08</v>
          </cell>
          <cell r="H40">
            <v>166</v>
          </cell>
          <cell r="I40">
            <v>2</v>
          </cell>
          <cell r="J40">
            <v>0.04</v>
          </cell>
          <cell r="K40">
            <v>138</v>
          </cell>
          <cell r="L40">
            <v>3</v>
          </cell>
          <cell r="M40">
            <v>0.06</v>
          </cell>
        </row>
        <row r="41">
          <cell r="A41" t="str">
            <v>LYQ-BS-K1010-Z0-XS</v>
          </cell>
          <cell r="B41">
            <v>24</v>
          </cell>
          <cell r="C41">
            <v>0</v>
          </cell>
          <cell r="D41">
            <v>0</v>
          </cell>
          <cell r="E41">
            <v>25</v>
          </cell>
          <cell r="F41">
            <v>0</v>
          </cell>
          <cell r="G41">
            <v>0</v>
          </cell>
          <cell r="H41">
            <v>48</v>
          </cell>
          <cell r="I41">
            <v>0</v>
          </cell>
          <cell r="J41">
            <v>0</v>
          </cell>
          <cell r="K41">
            <v>58</v>
          </cell>
          <cell r="L41">
            <v>0</v>
          </cell>
          <cell r="M41">
            <v>0</v>
          </cell>
        </row>
        <row r="42">
          <cell r="A42" t="str">
            <v>LYQ-BS-ZQ2973-E0-S</v>
          </cell>
          <cell r="B42">
            <v>391</v>
          </cell>
          <cell r="C42">
            <v>0</v>
          </cell>
          <cell r="D42">
            <v>0</v>
          </cell>
          <cell r="E42">
            <v>179</v>
          </cell>
          <cell r="F42">
            <v>0</v>
          </cell>
          <cell r="G42">
            <v>0</v>
          </cell>
          <cell r="H42">
            <v>264</v>
          </cell>
          <cell r="I42">
            <v>3</v>
          </cell>
          <cell r="J42">
            <v>0.48</v>
          </cell>
          <cell r="K42">
            <v>662</v>
          </cell>
          <cell r="L42">
            <v>2</v>
          </cell>
          <cell r="M42">
            <v>0.26</v>
          </cell>
        </row>
        <row r="43">
          <cell r="A43" t="str">
            <v>LYQ-BS-ZQ2973-K0-S</v>
          </cell>
          <cell r="B43">
            <v>217</v>
          </cell>
          <cell r="C43">
            <v>0</v>
          </cell>
          <cell r="D43">
            <v>0</v>
          </cell>
          <cell r="E43">
            <v>711</v>
          </cell>
          <cell r="F43">
            <v>3</v>
          </cell>
          <cell r="G43">
            <v>0.49</v>
          </cell>
          <cell r="H43">
            <v>334</v>
          </cell>
          <cell r="I43">
            <v>3</v>
          </cell>
          <cell r="J43">
            <v>0.21</v>
          </cell>
          <cell r="K43">
            <v>450</v>
          </cell>
          <cell r="L43">
            <v>4</v>
          </cell>
          <cell r="M43">
            <v>0.28</v>
          </cell>
        </row>
        <row r="44">
          <cell r="A44" t="str">
            <v>LYQ-BS-ZQ2973-KQ-S</v>
          </cell>
          <cell r="B44">
            <v>149</v>
          </cell>
          <cell r="C44">
            <v>0</v>
          </cell>
          <cell r="D44">
            <v>0</v>
          </cell>
          <cell r="E44">
            <v>62</v>
          </cell>
          <cell r="F44">
            <v>0</v>
          </cell>
          <cell r="G44">
            <v>0</v>
          </cell>
          <cell r="H44">
            <v>314</v>
          </cell>
          <cell r="I44">
            <v>1</v>
          </cell>
          <cell r="J44">
            <v>0.12</v>
          </cell>
          <cell r="K44">
            <v>75</v>
          </cell>
          <cell r="L44">
            <v>0</v>
          </cell>
          <cell r="M44">
            <v>0</v>
          </cell>
        </row>
        <row r="45">
          <cell r="A45" t="str">
            <v>LYQ-BS-ZQ2973-ZL-S</v>
          </cell>
          <cell r="B45">
            <v>0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>
            <v>226</v>
          </cell>
          <cell r="L45">
            <v>0</v>
          </cell>
          <cell r="M45">
            <v>0</v>
          </cell>
        </row>
        <row r="46">
          <cell r="A46" t="str">
            <v>LYQ-BS4600-B0-XS</v>
          </cell>
          <cell r="B46">
            <v>12</v>
          </cell>
          <cell r="C46">
            <v>0</v>
          </cell>
          <cell r="D46">
            <v>0</v>
          </cell>
          <cell r="E46">
            <v>8</v>
          </cell>
          <cell r="F46">
            <v>0</v>
          </cell>
          <cell r="G46">
            <v>0</v>
          </cell>
          <cell r="H46">
            <v>10</v>
          </cell>
          <cell r="I46">
            <v>0</v>
          </cell>
          <cell r="J46">
            <v>0</v>
          </cell>
          <cell r="K46">
            <v>14</v>
          </cell>
          <cell r="L46">
            <v>0</v>
          </cell>
          <cell r="M46">
            <v>0</v>
          </cell>
        </row>
        <row r="47">
          <cell r="A47" t="str">
            <v>LYQ-BS4600-G0-XS</v>
          </cell>
          <cell r="B47">
            <v>21</v>
          </cell>
          <cell r="C47">
            <v>0</v>
          </cell>
          <cell r="D47">
            <v>0</v>
          </cell>
          <cell r="E47">
            <v>18</v>
          </cell>
          <cell r="F47">
            <v>0</v>
          </cell>
          <cell r="G47">
            <v>0</v>
          </cell>
          <cell r="H47">
            <v>17</v>
          </cell>
          <cell r="I47">
            <v>0</v>
          </cell>
          <cell r="J47">
            <v>0</v>
          </cell>
          <cell r="K47">
            <v>23</v>
          </cell>
          <cell r="L47">
            <v>1</v>
          </cell>
          <cell r="M47">
            <v>0.07</v>
          </cell>
        </row>
        <row r="48">
          <cell r="A48" t="str">
            <v>LYQ-BS4600-G1-XS</v>
          </cell>
          <cell r="B48">
            <v>14</v>
          </cell>
          <cell r="C48">
            <v>0</v>
          </cell>
          <cell r="D48">
            <v>0</v>
          </cell>
          <cell r="E48">
            <v>13</v>
          </cell>
          <cell r="F48">
            <v>0</v>
          </cell>
          <cell r="G48">
            <v>0</v>
          </cell>
          <cell r="H48">
            <v>24</v>
          </cell>
          <cell r="I48">
            <v>0</v>
          </cell>
          <cell r="J48">
            <v>0</v>
          </cell>
          <cell r="K48">
            <v>23</v>
          </cell>
          <cell r="L48">
            <v>0</v>
          </cell>
          <cell r="M48">
            <v>0</v>
          </cell>
        </row>
        <row r="49">
          <cell r="A49" t="str">
            <v>LYQ-BS4600-N0-XS</v>
          </cell>
          <cell r="B49">
            <v>19</v>
          </cell>
          <cell r="C49">
            <v>0</v>
          </cell>
          <cell r="D49">
            <v>0</v>
          </cell>
          <cell r="E49">
            <v>23</v>
          </cell>
          <cell r="F49">
            <v>1</v>
          </cell>
          <cell r="G49">
            <v>0.02</v>
          </cell>
          <cell r="H49">
            <v>13</v>
          </cell>
          <cell r="I49">
            <v>0</v>
          </cell>
          <cell r="J49">
            <v>0</v>
          </cell>
          <cell r="K49">
            <v>8</v>
          </cell>
          <cell r="L49">
            <v>0</v>
          </cell>
          <cell r="M49">
            <v>0</v>
          </cell>
        </row>
        <row r="50">
          <cell r="A50" t="str">
            <v>LYQ-BS4600-P0-S</v>
          </cell>
          <cell r="B50">
            <v>12</v>
          </cell>
          <cell r="C50">
            <v>0</v>
          </cell>
          <cell r="D50">
            <v>0</v>
          </cell>
          <cell r="E50">
            <v>12</v>
          </cell>
          <cell r="F50">
            <v>0</v>
          </cell>
          <cell r="G50">
            <v>0</v>
          </cell>
          <cell r="H50">
            <v>15</v>
          </cell>
          <cell r="I50">
            <v>0</v>
          </cell>
          <cell r="J50">
            <v>0</v>
          </cell>
          <cell r="K50">
            <v>11</v>
          </cell>
          <cell r="L50">
            <v>0</v>
          </cell>
          <cell r="M50">
            <v>0</v>
          </cell>
        </row>
        <row r="51">
          <cell r="A51" t="str">
            <v>LYQ-BS-ZQ2973-BD-S</v>
          </cell>
          <cell r="B51">
            <v>29</v>
          </cell>
          <cell r="C51">
            <v>0</v>
          </cell>
          <cell r="D51">
            <v>0</v>
          </cell>
          <cell r="E51">
            <v>24</v>
          </cell>
          <cell r="F51">
            <v>0</v>
          </cell>
          <cell r="G51">
            <v>0</v>
          </cell>
          <cell r="H51">
            <v>14</v>
          </cell>
          <cell r="I51">
            <v>0</v>
          </cell>
          <cell r="J51">
            <v>0</v>
          </cell>
          <cell r="K51">
            <v>22</v>
          </cell>
          <cell r="L51">
            <v>0</v>
          </cell>
          <cell r="M51">
            <v>0</v>
          </cell>
        </row>
        <row r="52">
          <cell r="A52" t="str">
            <v>LYQ-BS-ZQ2973-G7-S</v>
          </cell>
          <cell r="B52">
            <v>25</v>
          </cell>
          <cell r="C52">
            <v>0</v>
          </cell>
          <cell r="D52">
            <v>0</v>
          </cell>
          <cell r="E52">
            <v>25</v>
          </cell>
          <cell r="F52">
            <v>0</v>
          </cell>
          <cell r="G52">
            <v>0</v>
          </cell>
          <cell r="H52">
            <v>15</v>
          </cell>
          <cell r="I52">
            <v>0</v>
          </cell>
          <cell r="J52">
            <v>0</v>
          </cell>
          <cell r="K52">
            <v>22</v>
          </cell>
          <cell r="L52">
            <v>0</v>
          </cell>
          <cell r="M52">
            <v>0</v>
          </cell>
        </row>
        <row r="53">
          <cell r="A53" t="str">
            <v>LYQ-BS-ZQ2973-W1-S</v>
          </cell>
          <cell r="B53">
            <v>27</v>
          </cell>
          <cell r="C53">
            <v>1</v>
          </cell>
          <cell r="D53">
            <v>0.03</v>
          </cell>
          <cell r="E53">
            <v>34</v>
          </cell>
          <cell r="F53">
            <v>0</v>
          </cell>
          <cell r="G53">
            <v>0</v>
          </cell>
          <cell r="H53">
            <v>37</v>
          </cell>
          <cell r="I53">
            <v>0</v>
          </cell>
          <cell r="J53">
            <v>0</v>
          </cell>
          <cell r="K53">
            <v>55</v>
          </cell>
          <cell r="L53">
            <v>0</v>
          </cell>
          <cell r="M53">
            <v>0</v>
          </cell>
        </row>
        <row r="54">
          <cell r="A54" t="str">
            <v>LYQ-CSM048-K0-S</v>
          </cell>
          <cell r="B54">
            <v>160</v>
          </cell>
          <cell r="C54">
            <v>0</v>
          </cell>
          <cell r="D54">
            <v>0</v>
          </cell>
          <cell r="E54">
            <v>56</v>
          </cell>
          <cell r="F54">
            <v>1</v>
          </cell>
          <cell r="G54">
            <v>0.05</v>
          </cell>
          <cell r="H54">
            <v>34</v>
          </cell>
          <cell r="I54">
            <v>0</v>
          </cell>
          <cell r="J54">
            <v>0</v>
          </cell>
          <cell r="K54">
            <v>22</v>
          </cell>
          <cell r="L54">
            <v>1</v>
          </cell>
          <cell r="M54">
            <v>0.05</v>
          </cell>
        </row>
        <row r="55">
          <cell r="A55" t="str">
            <v>LYQ-CSM048-R0-S</v>
          </cell>
          <cell r="B55">
            <v>121</v>
          </cell>
          <cell r="C55">
            <v>0</v>
          </cell>
          <cell r="D55">
            <v>0</v>
          </cell>
          <cell r="E55">
            <v>38</v>
          </cell>
          <cell r="F55">
            <v>0</v>
          </cell>
          <cell r="G55">
            <v>0</v>
          </cell>
          <cell r="H55">
            <v>16</v>
          </cell>
          <cell r="I55">
            <v>0</v>
          </cell>
          <cell r="J55">
            <v>0</v>
          </cell>
          <cell r="K55">
            <v>28</v>
          </cell>
          <cell r="L55">
            <v>2</v>
          </cell>
          <cell r="M55">
            <v>0.07</v>
          </cell>
        </row>
        <row r="56">
          <cell r="A56" t="str">
            <v>LYQ-CSM048-ZL-S</v>
          </cell>
          <cell r="B56">
            <v>125</v>
          </cell>
          <cell r="C56">
            <v>1</v>
          </cell>
          <cell r="D56">
            <v>0.05</v>
          </cell>
          <cell r="E56">
            <v>116</v>
          </cell>
          <cell r="F56">
            <v>0</v>
          </cell>
          <cell r="G56">
            <v>0</v>
          </cell>
          <cell r="H56">
            <v>104</v>
          </cell>
          <cell r="I56">
            <v>1</v>
          </cell>
          <cell r="J56">
            <v>0.06</v>
          </cell>
          <cell r="K56">
            <v>121</v>
          </cell>
          <cell r="L56">
            <v>1</v>
          </cell>
          <cell r="M56">
            <v>0.05</v>
          </cell>
        </row>
        <row r="57">
          <cell r="A57" t="str">
            <v>XZ-WHMX006-R0-M</v>
          </cell>
          <cell r="B57">
            <v>407</v>
          </cell>
          <cell r="C57">
            <v>0</v>
          </cell>
          <cell r="D57">
            <v>0</v>
          </cell>
          <cell r="E57">
            <v>3128</v>
          </cell>
          <cell r="F57">
            <v>1</v>
          </cell>
          <cell r="G57">
            <v>0.08</v>
          </cell>
          <cell r="H57">
            <v>3471</v>
          </cell>
          <cell r="I57">
            <v>1</v>
          </cell>
          <cell r="J57">
            <v>0.05</v>
          </cell>
          <cell r="K57">
            <v>448</v>
          </cell>
          <cell r="L57">
            <v>1</v>
          </cell>
          <cell r="M57">
            <v>0.15</v>
          </cell>
        </row>
        <row r="58">
          <cell r="A58" t="str">
            <v>XZ-WH1509-B0-3536</v>
          </cell>
          <cell r="B58">
            <v>4916</v>
          </cell>
          <cell r="C58">
            <v>15</v>
          </cell>
          <cell r="D58">
            <v>3.95</v>
          </cell>
          <cell r="E58">
            <v>7671</v>
          </cell>
          <cell r="F58">
            <v>11</v>
          </cell>
          <cell r="G58">
            <v>2.72</v>
          </cell>
          <cell r="H58">
            <v>9277</v>
          </cell>
          <cell r="I58">
            <v>12</v>
          </cell>
          <cell r="J58">
            <v>3.08</v>
          </cell>
          <cell r="K58">
            <v>4498</v>
          </cell>
          <cell r="L58">
            <v>10</v>
          </cell>
          <cell r="M58">
            <v>2.68</v>
          </cell>
        </row>
        <row r="59">
          <cell r="A59" t="str">
            <v>XZ-WH1509-W0-3536</v>
          </cell>
          <cell r="B59">
            <v>11462</v>
          </cell>
          <cell r="C59">
            <v>32</v>
          </cell>
          <cell r="D59">
            <v>8.67</v>
          </cell>
          <cell r="E59">
            <v>10885</v>
          </cell>
          <cell r="F59">
            <v>17</v>
          </cell>
          <cell r="G59">
            <v>4.59</v>
          </cell>
          <cell r="H59">
            <v>14735</v>
          </cell>
          <cell r="I59">
            <v>24</v>
          </cell>
          <cell r="J59">
            <v>5.98</v>
          </cell>
          <cell r="K59">
            <v>10327</v>
          </cell>
          <cell r="L59">
            <v>21</v>
          </cell>
          <cell r="M59">
            <v>5.16</v>
          </cell>
        </row>
        <row r="60">
          <cell r="A60" t="str">
            <v>XZ-WH1509-Y0-3536</v>
          </cell>
          <cell r="B60">
            <v>3244</v>
          </cell>
          <cell r="C60">
            <v>7</v>
          </cell>
          <cell r="D60">
            <v>1.49</v>
          </cell>
          <cell r="E60">
            <v>4395</v>
          </cell>
          <cell r="F60">
            <v>6</v>
          </cell>
          <cell r="G60">
            <v>1.23</v>
          </cell>
          <cell r="H60">
            <v>2247</v>
          </cell>
          <cell r="I60">
            <v>9</v>
          </cell>
          <cell r="J60">
            <v>2.68</v>
          </cell>
          <cell r="K60">
            <v>2249</v>
          </cell>
          <cell r="L60">
            <v>3</v>
          </cell>
          <cell r="M60">
            <v>0.84</v>
          </cell>
        </row>
        <row r="61">
          <cell r="A61" t="str">
            <v>XZ-WH150903-G2-3536</v>
          </cell>
          <cell r="B61">
            <v>7580</v>
          </cell>
          <cell r="C61">
            <v>6</v>
          </cell>
          <cell r="D61">
            <v>1.9</v>
          </cell>
          <cell r="E61">
            <v>10075</v>
          </cell>
          <cell r="F61">
            <v>12</v>
          </cell>
          <cell r="G61">
            <v>3.7</v>
          </cell>
          <cell r="H61">
            <v>5417</v>
          </cell>
          <cell r="I61">
            <v>9</v>
          </cell>
          <cell r="J61">
            <v>2.93</v>
          </cell>
          <cell r="K61">
            <v>7823</v>
          </cell>
          <cell r="L61">
            <v>3</v>
          </cell>
          <cell r="M61">
            <v>1.04</v>
          </cell>
        </row>
        <row r="62">
          <cell r="A62" t="str">
            <v>XZ-WH6606-BR-40</v>
          </cell>
          <cell r="B62">
            <v>448</v>
          </cell>
          <cell r="C62">
            <v>0</v>
          </cell>
          <cell r="D62">
            <v>0</v>
          </cell>
          <cell r="E62">
            <v>266</v>
          </cell>
          <cell r="F62">
            <v>1</v>
          </cell>
          <cell r="G62">
            <v>0.2</v>
          </cell>
          <cell r="H62">
            <v>314</v>
          </cell>
          <cell r="I62">
            <v>2</v>
          </cell>
          <cell r="J62">
            <v>0.45</v>
          </cell>
          <cell r="K62">
            <v>821</v>
          </cell>
          <cell r="L62">
            <v>5</v>
          </cell>
          <cell r="M62">
            <v>0.91</v>
          </cell>
        </row>
        <row r="63">
          <cell r="A63" t="str">
            <v>XZ-WH6606-C0-35</v>
          </cell>
          <cell r="B63">
            <v>131</v>
          </cell>
          <cell r="C63">
            <v>0</v>
          </cell>
          <cell r="D63">
            <v>0</v>
          </cell>
          <cell r="E63">
            <v>102</v>
          </cell>
          <cell r="F63">
            <v>0</v>
          </cell>
          <cell r="G63">
            <v>0</v>
          </cell>
          <cell r="H63">
            <v>7586</v>
          </cell>
          <cell r="I63">
            <v>7</v>
          </cell>
          <cell r="J63">
            <v>1.02</v>
          </cell>
          <cell r="K63">
            <v>198</v>
          </cell>
          <cell r="L63">
            <v>1</v>
          </cell>
          <cell r="M63">
            <v>0.15</v>
          </cell>
        </row>
        <row r="64">
          <cell r="A64" t="str">
            <v>XZ-WH6606-K0-39</v>
          </cell>
          <cell r="B64">
            <v>44</v>
          </cell>
          <cell r="C64">
            <v>0</v>
          </cell>
          <cell r="D64">
            <v>0</v>
          </cell>
          <cell r="E64">
            <v>44</v>
          </cell>
          <cell r="F64">
            <v>0</v>
          </cell>
          <cell r="G64">
            <v>0</v>
          </cell>
          <cell r="H64">
            <v>1230</v>
          </cell>
          <cell r="I64">
            <v>1</v>
          </cell>
          <cell r="J64">
            <v>0.22</v>
          </cell>
          <cell r="K64">
            <v>7010</v>
          </cell>
          <cell r="L64">
            <v>2</v>
          </cell>
          <cell r="M64">
            <v>0.13</v>
          </cell>
        </row>
        <row r="65">
          <cell r="A65" t="str">
            <v>XZ-WH6606-P0-40</v>
          </cell>
          <cell r="B65">
            <v>721</v>
          </cell>
          <cell r="C65">
            <v>1</v>
          </cell>
          <cell r="D65">
            <v>0.13</v>
          </cell>
          <cell r="E65">
            <v>93</v>
          </cell>
          <cell r="F65">
            <v>0</v>
          </cell>
          <cell r="G65">
            <v>0</v>
          </cell>
          <cell r="H65">
            <v>36</v>
          </cell>
          <cell r="I65">
            <v>1</v>
          </cell>
          <cell r="J65">
            <v>0.26</v>
          </cell>
          <cell r="K65">
            <v>105</v>
          </cell>
          <cell r="L65">
            <v>0</v>
          </cell>
          <cell r="M65">
            <v>0</v>
          </cell>
        </row>
        <row r="66">
          <cell r="A66" t="str">
            <v>XZ-WH6606-R0-35</v>
          </cell>
          <cell r="B66">
            <v>69</v>
          </cell>
          <cell r="C66">
            <v>0</v>
          </cell>
          <cell r="D66">
            <v>0</v>
          </cell>
          <cell r="E66">
            <v>304</v>
          </cell>
          <cell r="F66">
            <v>0</v>
          </cell>
          <cell r="G66">
            <v>0</v>
          </cell>
          <cell r="H66">
            <v>839</v>
          </cell>
          <cell r="I66">
            <v>0</v>
          </cell>
          <cell r="J66">
            <v>0</v>
          </cell>
          <cell r="K66">
            <v>309</v>
          </cell>
          <cell r="L66">
            <v>1</v>
          </cell>
          <cell r="M66">
            <v>0.09</v>
          </cell>
        </row>
        <row r="67">
          <cell r="A67" t="str">
            <v>XZ-WH6606-ZL-39</v>
          </cell>
          <cell r="B67">
            <v>273</v>
          </cell>
          <cell r="C67">
            <v>0</v>
          </cell>
          <cell r="D67">
            <v>0</v>
          </cell>
          <cell r="E67">
            <v>599</v>
          </cell>
          <cell r="F67">
            <v>1</v>
          </cell>
          <cell r="G67">
            <v>0.26</v>
          </cell>
          <cell r="H67">
            <v>1046</v>
          </cell>
          <cell r="I67">
            <v>3</v>
          </cell>
          <cell r="J67">
            <v>0.43</v>
          </cell>
          <cell r="K67">
            <v>466</v>
          </cell>
          <cell r="L67">
            <v>1</v>
          </cell>
          <cell r="M67">
            <v>0.2</v>
          </cell>
        </row>
        <row r="68">
          <cell r="A68" t="str">
            <v>XZ-WHBH004-B0-4041</v>
          </cell>
          <cell r="B68">
            <v>10761</v>
          </cell>
          <cell r="C68">
            <v>15</v>
          </cell>
          <cell r="D68">
            <v>1.63</v>
          </cell>
          <cell r="E68">
            <v>4569</v>
          </cell>
          <cell r="F68">
            <v>11</v>
          </cell>
          <cell r="G68">
            <v>1.65</v>
          </cell>
          <cell r="H68">
            <v>1909</v>
          </cell>
          <cell r="I68">
            <v>8</v>
          </cell>
          <cell r="J68">
            <v>1.44</v>
          </cell>
          <cell r="K68">
            <v>2896</v>
          </cell>
          <cell r="L68">
            <v>3</v>
          </cell>
          <cell r="M68">
            <v>0.43</v>
          </cell>
        </row>
        <row r="69">
          <cell r="A69" t="str">
            <v>XZ-WHBH004-P0-4041</v>
          </cell>
          <cell r="B69">
            <v>1008</v>
          </cell>
          <cell r="C69">
            <v>1</v>
          </cell>
          <cell r="D69">
            <v>0.18</v>
          </cell>
          <cell r="E69">
            <v>901</v>
          </cell>
          <cell r="F69">
            <v>1</v>
          </cell>
          <cell r="G69">
            <v>0.2</v>
          </cell>
          <cell r="H69">
            <v>426</v>
          </cell>
          <cell r="I69">
            <v>2</v>
          </cell>
          <cell r="J69">
            <v>0.3</v>
          </cell>
          <cell r="K69">
            <v>609</v>
          </cell>
          <cell r="L69">
            <v>0</v>
          </cell>
          <cell r="M69">
            <v>0</v>
          </cell>
        </row>
        <row r="70">
          <cell r="A70" t="str">
            <v>CS-LY086-B0-L</v>
          </cell>
          <cell r="B70">
            <v>2428</v>
          </cell>
          <cell r="C70">
            <v>7</v>
          </cell>
          <cell r="D70">
            <v>0.57</v>
          </cell>
          <cell r="E70">
            <v>465</v>
          </cell>
          <cell r="F70">
            <v>5</v>
          </cell>
          <cell r="G70">
            <v>0.59</v>
          </cell>
          <cell r="H70">
            <v>273</v>
          </cell>
          <cell r="I70">
            <v>2</v>
          </cell>
          <cell r="J70">
            <v>0.11</v>
          </cell>
          <cell r="K70">
            <v>251</v>
          </cell>
          <cell r="L70">
            <v>0</v>
          </cell>
          <cell r="M70">
            <v>0</v>
          </cell>
        </row>
        <row r="71">
          <cell r="A71" t="str">
            <v>CS-LY086-B0-XXL</v>
          </cell>
          <cell r="B71">
            <v>770</v>
          </cell>
          <cell r="C71">
            <v>4</v>
          </cell>
          <cell r="D71">
            <v>0.29</v>
          </cell>
          <cell r="E71">
            <v>473</v>
          </cell>
          <cell r="F71">
            <v>4</v>
          </cell>
          <cell r="G71">
            <v>0.48</v>
          </cell>
          <cell r="H71">
            <v>2014</v>
          </cell>
          <cell r="I71">
            <v>3</v>
          </cell>
          <cell r="J71">
            <v>0.46</v>
          </cell>
          <cell r="K71">
            <v>9413</v>
          </cell>
          <cell r="L71">
            <v>24</v>
          </cell>
          <cell r="M71">
            <v>3.07</v>
          </cell>
        </row>
        <row r="72">
          <cell r="A72" t="str">
            <v>CS-LY086-LB-L</v>
          </cell>
          <cell r="B72">
            <v>390</v>
          </cell>
          <cell r="C72">
            <v>1</v>
          </cell>
          <cell r="D72">
            <v>0.18</v>
          </cell>
          <cell r="E72">
            <v>634</v>
          </cell>
          <cell r="F72">
            <v>6</v>
          </cell>
          <cell r="G72">
            <v>0.98</v>
          </cell>
          <cell r="H72">
            <v>910</v>
          </cell>
          <cell r="I72">
            <v>2</v>
          </cell>
          <cell r="J72">
            <v>0.25</v>
          </cell>
          <cell r="K72">
            <v>108</v>
          </cell>
          <cell r="L72">
            <v>1</v>
          </cell>
          <cell r="M72">
            <v>0.13</v>
          </cell>
        </row>
        <row r="73">
          <cell r="A73" t="str">
            <v>CS-LY086-N0-M</v>
          </cell>
          <cell r="B73">
            <v>343</v>
          </cell>
          <cell r="C73">
            <v>1</v>
          </cell>
          <cell r="D73">
            <v>0.19</v>
          </cell>
          <cell r="E73">
            <v>209</v>
          </cell>
          <cell r="F73">
            <v>0</v>
          </cell>
          <cell r="G73">
            <v>0</v>
          </cell>
          <cell r="H73">
            <v>42</v>
          </cell>
          <cell r="I73">
            <v>0</v>
          </cell>
          <cell r="J73">
            <v>0</v>
          </cell>
          <cell r="K73">
            <v>40</v>
          </cell>
          <cell r="L73">
            <v>0</v>
          </cell>
          <cell r="M73">
            <v>0</v>
          </cell>
        </row>
        <row r="74">
          <cell r="A74" t="str">
            <v>CS-LY086-N0-S</v>
          </cell>
          <cell r="B74">
            <v>814</v>
          </cell>
          <cell r="C74">
            <v>3</v>
          </cell>
          <cell r="D74">
            <v>0.29</v>
          </cell>
          <cell r="E74">
            <v>1566</v>
          </cell>
          <cell r="F74">
            <v>6</v>
          </cell>
          <cell r="G74">
            <v>0.81</v>
          </cell>
          <cell r="H74">
            <v>120</v>
          </cell>
          <cell r="I74">
            <v>2</v>
          </cell>
          <cell r="J74">
            <v>0.17</v>
          </cell>
          <cell r="K74">
            <v>138</v>
          </cell>
          <cell r="L74">
            <v>0</v>
          </cell>
          <cell r="M74">
            <v>0</v>
          </cell>
        </row>
        <row r="75">
          <cell r="A75" t="str">
            <v>LYQ-BS-K1010-K0-XL</v>
          </cell>
          <cell r="B75">
            <v>5174</v>
          </cell>
          <cell r="C75">
            <v>17</v>
          </cell>
          <cell r="D75">
            <v>1.65</v>
          </cell>
          <cell r="E75">
            <v>2733</v>
          </cell>
          <cell r="F75">
            <v>15</v>
          </cell>
          <cell r="G75">
            <v>2.11</v>
          </cell>
          <cell r="H75">
            <v>478</v>
          </cell>
          <cell r="I75">
            <v>5</v>
          </cell>
          <cell r="J75">
            <v>0.63</v>
          </cell>
          <cell r="K75">
            <v>812</v>
          </cell>
          <cell r="L75">
            <v>5</v>
          </cell>
          <cell r="M75">
            <v>0.78</v>
          </cell>
        </row>
        <row r="76">
          <cell r="A76" t="str">
            <v>LYQ-BS-K1010-B0-M</v>
          </cell>
          <cell r="B76">
            <v>63003</v>
          </cell>
          <cell r="C76">
            <v>162</v>
          </cell>
          <cell r="D76">
            <v>25.67</v>
          </cell>
          <cell r="E76">
            <v>32269</v>
          </cell>
          <cell r="F76">
            <v>115</v>
          </cell>
          <cell r="G76">
            <v>17.18</v>
          </cell>
          <cell r="H76">
            <v>25090</v>
          </cell>
          <cell r="I76">
            <v>103</v>
          </cell>
          <cell r="J76">
            <v>18.5</v>
          </cell>
          <cell r="K76">
            <v>86970</v>
          </cell>
          <cell r="L76">
            <v>206</v>
          </cell>
          <cell r="M76">
            <v>35.88</v>
          </cell>
        </row>
        <row r="77">
          <cell r="A77" t="str">
            <v>LYQ-BS-K1010-KQ-XL</v>
          </cell>
          <cell r="B77">
            <v>0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20305</v>
          </cell>
          <cell r="I77">
            <v>66</v>
          </cell>
          <cell r="J77">
            <v>10.78</v>
          </cell>
          <cell r="K77">
            <v>23957</v>
          </cell>
          <cell r="L77">
            <v>122</v>
          </cell>
          <cell r="M77">
            <v>21.02</v>
          </cell>
        </row>
        <row r="78">
          <cell r="A78" t="str">
            <v>LYQ-BS-K1010-P0-S</v>
          </cell>
          <cell r="B78">
            <v>7556</v>
          </cell>
          <cell r="C78">
            <v>15</v>
          </cell>
          <cell r="D78">
            <v>3.01</v>
          </cell>
          <cell r="E78">
            <v>154318</v>
          </cell>
          <cell r="F78">
            <v>109</v>
          </cell>
          <cell r="G78">
            <v>16.02</v>
          </cell>
          <cell r="H78">
            <v>11178</v>
          </cell>
          <cell r="I78">
            <v>26</v>
          </cell>
          <cell r="J78">
            <v>4.58</v>
          </cell>
          <cell r="K78">
            <v>4326</v>
          </cell>
          <cell r="L78">
            <v>7</v>
          </cell>
          <cell r="M78">
            <v>1.73</v>
          </cell>
        </row>
        <row r="79">
          <cell r="A79" t="str">
            <v>XZ-BS-PW-2001-BG-36</v>
          </cell>
          <cell r="B79">
            <v>4182</v>
          </cell>
          <cell r="C79">
            <v>13</v>
          </cell>
          <cell r="D79">
            <v>1.63</v>
          </cell>
          <cell r="E79">
            <v>3427</v>
          </cell>
          <cell r="F79">
            <v>13</v>
          </cell>
          <cell r="G79">
            <v>1.41</v>
          </cell>
          <cell r="H79">
            <v>1423</v>
          </cell>
          <cell r="I79">
            <v>19</v>
          </cell>
          <cell r="J79">
            <v>2.23</v>
          </cell>
          <cell r="K79">
            <v>1496</v>
          </cell>
          <cell r="L79">
            <v>5</v>
          </cell>
          <cell r="M79">
            <v>0.55</v>
          </cell>
        </row>
        <row r="80">
          <cell r="A80" t="str">
            <v>XZ-BS-WHXY251864K03839</v>
          </cell>
          <cell r="B80">
            <v>226</v>
          </cell>
          <cell r="C80">
            <v>0</v>
          </cell>
          <cell r="D80">
            <v>0</v>
          </cell>
          <cell r="E80">
            <v>156</v>
          </cell>
          <cell r="F80">
            <v>1</v>
          </cell>
          <cell r="G80">
            <v>0.2</v>
          </cell>
          <cell r="H80">
            <v>42</v>
          </cell>
          <cell r="I80">
            <v>0</v>
          </cell>
          <cell r="J80">
            <v>0</v>
          </cell>
          <cell r="K80">
            <v>203</v>
          </cell>
          <cell r="L80">
            <v>1</v>
          </cell>
          <cell r="M80">
            <v>0.15</v>
          </cell>
        </row>
        <row r="81">
          <cell r="A81" t="str">
            <v>XZ-BS-WHXY251864W03839</v>
          </cell>
          <cell r="B81">
            <v>122</v>
          </cell>
          <cell r="C81">
            <v>0</v>
          </cell>
          <cell r="D81">
            <v>0</v>
          </cell>
          <cell r="E81">
            <v>279</v>
          </cell>
          <cell r="F81">
            <v>0</v>
          </cell>
          <cell r="G81">
            <v>0</v>
          </cell>
          <cell r="H81">
            <v>157</v>
          </cell>
          <cell r="I81">
            <v>0</v>
          </cell>
          <cell r="J81">
            <v>0</v>
          </cell>
          <cell r="K81">
            <v>27</v>
          </cell>
          <cell r="L81">
            <v>0</v>
          </cell>
          <cell r="M81">
            <v>0</v>
          </cell>
        </row>
        <row r="82">
          <cell r="A82" t="str">
            <v>CS-LY166-B28-1-L</v>
          </cell>
          <cell r="B82">
            <v>0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>
            <v>30</v>
          </cell>
          <cell r="I82">
            <v>1</v>
          </cell>
          <cell r="J82">
            <v>0.09</v>
          </cell>
          <cell r="K82">
            <v>60</v>
          </cell>
          <cell r="L82">
            <v>0</v>
          </cell>
          <cell r="M82">
            <v>0</v>
          </cell>
        </row>
        <row r="83">
          <cell r="A83" t="str">
            <v>CS-LY166-B28-3-L</v>
          </cell>
          <cell r="B83">
            <v>102</v>
          </cell>
          <cell r="C83">
            <v>0</v>
          </cell>
          <cell r="D83">
            <v>0</v>
          </cell>
          <cell r="E83">
            <v>222</v>
          </cell>
          <cell r="F83">
            <v>0</v>
          </cell>
          <cell r="G83">
            <v>0</v>
          </cell>
          <cell r="H83">
            <v>374</v>
          </cell>
          <cell r="I83">
            <v>0</v>
          </cell>
          <cell r="J83">
            <v>0</v>
          </cell>
          <cell r="K83">
            <v>1393</v>
          </cell>
          <cell r="L83">
            <v>1</v>
          </cell>
          <cell r="M83">
            <v>0.05</v>
          </cell>
        </row>
        <row r="84">
          <cell r="A84" t="str">
            <v>CS-LY166-B28-4-L</v>
          </cell>
          <cell r="B84">
            <v>428</v>
          </cell>
          <cell r="C84">
            <v>2</v>
          </cell>
          <cell r="D84">
            <v>0.11</v>
          </cell>
          <cell r="E84">
            <v>183</v>
          </cell>
          <cell r="F84">
            <v>0</v>
          </cell>
          <cell r="G84">
            <v>0</v>
          </cell>
          <cell r="H84">
            <v>103</v>
          </cell>
          <cell r="I84">
            <v>1</v>
          </cell>
          <cell r="J84">
            <v>0.11</v>
          </cell>
          <cell r="K84">
            <v>239</v>
          </cell>
          <cell r="L84">
            <v>0</v>
          </cell>
          <cell r="M84">
            <v>0</v>
          </cell>
        </row>
        <row r="85">
          <cell r="A85" t="str">
            <v>CS-LY166-B28-5-L</v>
          </cell>
          <cell r="B85">
            <v>190</v>
          </cell>
          <cell r="C85">
            <v>0</v>
          </cell>
          <cell r="D85">
            <v>0</v>
          </cell>
          <cell r="E85">
            <v>316</v>
          </cell>
          <cell r="F85">
            <v>0</v>
          </cell>
          <cell r="G85">
            <v>0</v>
          </cell>
          <cell r="H85">
            <v>246</v>
          </cell>
          <cell r="I85">
            <v>1</v>
          </cell>
          <cell r="J85">
            <v>0.02</v>
          </cell>
          <cell r="K85">
            <v>287</v>
          </cell>
          <cell r="L85">
            <v>1</v>
          </cell>
          <cell r="M85">
            <v>0.11</v>
          </cell>
        </row>
        <row r="86">
          <cell r="A86" t="str">
            <v>CS-LY166-K33-4-S</v>
          </cell>
          <cell r="B86">
            <v>134</v>
          </cell>
          <cell r="C86">
            <v>2</v>
          </cell>
          <cell r="D86">
            <v>0.14</v>
          </cell>
          <cell r="E86">
            <v>186</v>
          </cell>
          <cell r="F86">
            <v>1</v>
          </cell>
          <cell r="G86">
            <v>0.11</v>
          </cell>
          <cell r="H86">
            <v>137</v>
          </cell>
          <cell r="I86">
            <v>0</v>
          </cell>
          <cell r="J86">
            <v>0</v>
          </cell>
          <cell r="K86">
            <v>102</v>
          </cell>
          <cell r="L86">
            <v>1</v>
          </cell>
          <cell r="M86">
            <v>0.1</v>
          </cell>
        </row>
        <row r="87">
          <cell r="A87" t="str">
            <v>CS-LY166-K73-2-L</v>
          </cell>
          <cell r="B87">
            <v>649</v>
          </cell>
          <cell r="C87">
            <v>3</v>
          </cell>
          <cell r="D87">
            <v>0.19</v>
          </cell>
          <cell r="E87">
            <v>292</v>
          </cell>
          <cell r="F87">
            <v>2</v>
          </cell>
          <cell r="G87">
            <v>0.3</v>
          </cell>
          <cell r="H87">
            <v>205</v>
          </cell>
          <cell r="I87">
            <v>1</v>
          </cell>
          <cell r="J87">
            <v>0.12</v>
          </cell>
          <cell r="K87">
            <v>233</v>
          </cell>
          <cell r="L87">
            <v>3</v>
          </cell>
          <cell r="M87">
            <v>0.26</v>
          </cell>
        </row>
        <row r="88">
          <cell r="A88" t="str">
            <v>SCF-EUC01-003</v>
          </cell>
          <cell r="B88">
            <v>0</v>
          </cell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>
            <v>86</v>
          </cell>
          <cell r="L88">
            <v>2</v>
          </cell>
          <cell r="M88">
            <v>0.39</v>
          </cell>
        </row>
        <row r="89">
          <cell r="A89" t="str">
            <v>SCF-EUC01-017</v>
          </cell>
          <cell r="B89">
            <v>0</v>
          </cell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43</v>
          </cell>
          <cell r="L89">
            <v>0</v>
          </cell>
          <cell r="M89">
            <v>0</v>
          </cell>
        </row>
        <row r="90">
          <cell r="A90" t="str">
            <v>LYQ-BS-K1010-N0-2X</v>
          </cell>
          <cell r="B90">
            <v>7083</v>
          </cell>
          <cell r="C90">
            <v>16</v>
          </cell>
          <cell r="D90">
            <v>3.12</v>
          </cell>
          <cell r="E90">
            <v>14774</v>
          </cell>
          <cell r="F90">
            <v>43</v>
          </cell>
          <cell r="G90">
            <v>7</v>
          </cell>
          <cell r="H90">
            <v>89289</v>
          </cell>
          <cell r="I90">
            <v>157</v>
          </cell>
          <cell r="J90">
            <v>26.12</v>
          </cell>
          <cell r="K90">
            <v>3007</v>
          </cell>
          <cell r="L90">
            <v>5</v>
          </cell>
          <cell r="M90">
            <v>1.29</v>
          </cell>
        </row>
        <row r="91">
          <cell r="A91" t="str">
            <v>LYQ-BS-K1010-N0-S</v>
          </cell>
          <cell r="B91">
            <v>82262</v>
          </cell>
          <cell r="C91">
            <v>108</v>
          </cell>
          <cell r="D91">
            <v>15.55</v>
          </cell>
          <cell r="E91">
            <v>60244</v>
          </cell>
          <cell r="F91">
            <v>109</v>
          </cell>
          <cell r="G91">
            <v>17.49</v>
          </cell>
          <cell r="H91">
            <v>12976</v>
          </cell>
          <cell r="I91">
            <v>54</v>
          </cell>
          <cell r="J91">
            <v>9.51</v>
          </cell>
          <cell r="K91">
            <v>16248</v>
          </cell>
          <cell r="L91">
            <v>66</v>
          </cell>
          <cell r="M91">
            <v>10.9</v>
          </cell>
        </row>
        <row r="92">
          <cell r="A92" t="str">
            <v>LYQ-BS-CS04-GR-XL</v>
          </cell>
          <cell r="B92">
            <v>301</v>
          </cell>
          <cell r="C92">
            <v>1</v>
          </cell>
          <cell r="D92">
            <v>0.11</v>
          </cell>
          <cell r="E92">
            <v>376</v>
          </cell>
          <cell r="F92">
            <v>1</v>
          </cell>
          <cell r="G92">
            <v>0.11</v>
          </cell>
          <cell r="H92">
            <v>1164</v>
          </cell>
          <cell r="I92">
            <v>2</v>
          </cell>
          <cell r="J92">
            <v>0.33</v>
          </cell>
          <cell r="K92">
            <v>435</v>
          </cell>
          <cell r="L92">
            <v>1</v>
          </cell>
          <cell r="M92">
            <v>0.15</v>
          </cell>
        </row>
        <row r="93">
          <cell r="A93" t="str">
            <v>BS-WH1731-K0-L</v>
          </cell>
          <cell r="B93">
            <v>4707</v>
          </cell>
          <cell r="C93">
            <v>25</v>
          </cell>
          <cell r="D93">
            <v>7.64</v>
          </cell>
          <cell r="E93">
            <v>50249</v>
          </cell>
          <cell r="F93">
            <v>182</v>
          </cell>
          <cell r="G93">
            <v>51.18</v>
          </cell>
          <cell r="H93">
            <v>41918</v>
          </cell>
          <cell r="I93">
            <v>190</v>
          </cell>
          <cell r="J93">
            <v>56.72</v>
          </cell>
          <cell r="K93">
            <v>5348</v>
          </cell>
          <cell r="L93">
            <v>59</v>
          </cell>
          <cell r="M93">
            <v>18.12</v>
          </cell>
        </row>
        <row r="94">
          <cell r="A94" t="str">
            <v>BS-WH1731-R0-L</v>
          </cell>
          <cell r="B94">
            <v>48383</v>
          </cell>
          <cell r="C94">
            <v>116</v>
          </cell>
          <cell r="D94">
            <v>32.49</v>
          </cell>
          <cell r="E94">
            <v>15815</v>
          </cell>
          <cell r="F94">
            <v>59</v>
          </cell>
          <cell r="G94">
            <v>16.2</v>
          </cell>
          <cell r="H94">
            <v>4376</v>
          </cell>
          <cell r="I94">
            <v>28</v>
          </cell>
          <cell r="J94">
            <v>8.78</v>
          </cell>
          <cell r="K94">
            <v>7980</v>
          </cell>
          <cell r="L94">
            <v>96</v>
          </cell>
          <cell r="M94">
            <v>31.56</v>
          </cell>
        </row>
        <row r="95">
          <cell r="A95" t="str">
            <v>XZ-BS-ZQCB3056-B0-24</v>
          </cell>
          <cell r="B95">
            <v>1666</v>
          </cell>
          <cell r="C95">
            <v>7</v>
          </cell>
          <cell r="D95">
            <v>1.72</v>
          </cell>
          <cell r="E95">
            <v>1538</v>
          </cell>
          <cell r="F95">
            <v>5</v>
          </cell>
          <cell r="G95">
            <v>0.99</v>
          </cell>
          <cell r="H95">
            <v>1357</v>
          </cell>
          <cell r="I95">
            <v>5</v>
          </cell>
          <cell r="J95">
            <v>1.13</v>
          </cell>
          <cell r="K95">
            <v>1505</v>
          </cell>
          <cell r="L95">
            <v>1</v>
          </cell>
          <cell r="M95">
            <v>0.21</v>
          </cell>
        </row>
        <row r="96">
          <cell r="A96" t="str">
            <v>XZ-BS-ZQCB3056-kQ-24</v>
          </cell>
          <cell r="B96">
            <v>1161</v>
          </cell>
          <cell r="C96">
            <v>2</v>
          </cell>
          <cell r="D96">
            <v>0.63</v>
          </cell>
          <cell r="E96">
            <v>1565</v>
          </cell>
          <cell r="F96">
            <v>4</v>
          </cell>
          <cell r="G96">
            <v>1.02</v>
          </cell>
          <cell r="H96">
            <v>810</v>
          </cell>
          <cell r="I96">
            <v>1</v>
          </cell>
          <cell r="J96">
            <v>0.27</v>
          </cell>
          <cell r="K96">
            <v>1453</v>
          </cell>
          <cell r="L96">
            <v>2</v>
          </cell>
          <cell r="M96">
            <v>0.64</v>
          </cell>
        </row>
        <row r="97">
          <cell r="A97" t="str">
            <v>XZ-BS-2115Gr35</v>
          </cell>
          <cell r="B97">
            <v>5250</v>
          </cell>
          <cell r="C97">
            <v>10</v>
          </cell>
          <cell r="D97">
            <v>2.36</v>
          </cell>
          <cell r="E97">
            <v>8959</v>
          </cell>
          <cell r="F97">
            <v>10</v>
          </cell>
          <cell r="G97">
            <v>2.54</v>
          </cell>
          <cell r="H97">
            <v>8856</v>
          </cell>
          <cell r="I97">
            <v>16</v>
          </cell>
          <cell r="J97">
            <v>4.4</v>
          </cell>
          <cell r="K97">
            <v>3320</v>
          </cell>
          <cell r="L97">
            <v>7</v>
          </cell>
          <cell r="M97">
            <v>1.5</v>
          </cell>
        </row>
        <row r="98">
          <cell r="A98" t="str">
            <v>BS-WH17008-G0-M</v>
          </cell>
          <cell r="B98">
            <v>0</v>
          </cell>
          <cell r="C98">
            <v>0</v>
          </cell>
          <cell r="D98">
            <v>0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</row>
        <row r="99">
          <cell r="A99" t="str">
            <v>YZ-BEWH173-K0-M</v>
          </cell>
          <cell r="B99">
            <v>0</v>
          </cell>
          <cell r="C99">
            <v>0</v>
          </cell>
          <cell r="D99">
            <v>0</v>
          </cell>
          <cell r="E99">
            <v>0</v>
          </cell>
          <cell r="F99">
            <v>0</v>
          </cell>
          <cell r="G99">
            <v>0</v>
          </cell>
          <cell r="H99">
            <v>12</v>
          </cell>
          <cell r="I99">
            <v>0</v>
          </cell>
          <cell r="J99">
            <v>0</v>
          </cell>
          <cell r="K99">
            <v>25</v>
          </cell>
          <cell r="L99">
            <v>0</v>
          </cell>
          <cell r="M99">
            <v>0</v>
          </cell>
        </row>
        <row r="100">
          <cell r="A100" t="str">
            <v>YZ-BEWH173-WI-M</v>
          </cell>
          <cell r="B100">
            <v>26</v>
          </cell>
          <cell r="C100">
            <v>0</v>
          </cell>
          <cell r="D100">
            <v>0</v>
          </cell>
          <cell r="E100">
            <v>21</v>
          </cell>
          <cell r="F100">
            <v>0</v>
          </cell>
          <cell r="G100">
            <v>0</v>
          </cell>
          <cell r="H100">
            <v>14</v>
          </cell>
          <cell r="I100">
            <v>0</v>
          </cell>
          <cell r="J100">
            <v>0</v>
          </cell>
          <cell r="K100">
            <v>15</v>
          </cell>
          <cell r="L100">
            <v>0</v>
          </cell>
          <cell r="M100">
            <v>0</v>
          </cell>
        </row>
        <row r="101">
          <cell r="A101" t="str">
            <v>WQS-BS-BN1504-BO/RO-M</v>
          </cell>
          <cell r="B101">
            <v>0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509</v>
          </cell>
          <cell r="L101">
            <v>0</v>
          </cell>
          <cell r="M101">
            <v>0</v>
          </cell>
        </row>
        <row r="102">
          <cell r="A102" t="str">
            <v>WQS-BS-BN1504-BO/RO-S</v>
          </cell>
          <cell r="B102">
            <v>0</v>
          </cell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>
            <v>0</v>
          </cell>
          <cell r="H102">
            <v>1274</v>
          </cell>
          <cell r="I102">
            <v>2</v>
          </cell>
          <cell r="J102">
            <v>0.43</v>
          </cell>
          <cell r="K102">
            <v>435</v>
          </cell>
          <cell r="L102">
            <v>1</v>
          </cell>
          <cell r="M102">
            <v>0.2</v>
          </cell>
        </row>
        <row r="103">
          <cell r="A103" t="str">
            <v>WQS-BS-BN1504-GR-M</v>
          </cell>
          <cell r="B103">
            <v>35</v>
          </cell>
          <cell r="C103">
            <v>0</v>
          </cell>
          <cell r="D103">
            <v>0</v>
          </cell>
          <cell r="E103">
            <v>274</v>
          </cell>
          <cell r="F103">
            <v>1</v>
          </cell>
          <cell r="G103">
            <v>0.21</v>
          </cell>
          <cell r="H103">
            <v>51</v>
          </cell>
          <cell r="I103">
            <v>0</v>
          </cell>
          <cell r="J103">
            <v>0</v>
          </cell>
          <cell r="K103">
            <v>595</v>
          </cell>
          <cell r="L103">
            <v>0</v>
          </cell>
          <cell r="M103">
            <v>0</v>
          </cell>
        </row>
        <row r="104">
          <cell r="A104" t="str">
            <v>WQS-BS-BN1504-GR-S</v>
          </cell>
          <cell r="B104">
            <v>549</v>
          </cell>
          <cell r="C104">
            <v>1</v>
          </cell>
          <cell r="D104">
            <v>0.24</v>
          </cell>
          <cell r="E104">
            <v>3868</v>
          </cell>
          <cell r="F104">
            <v>2</v>
          </cell>
          <cell r="G104">
            <v>0.22</v>
          </cell>
          <cell r="H104">
            <v>341</v>
          </cell>
          <cell r="I104">
            <v>3</v>
          </cell>
          <cell r="J104">
            <v>0.27</v>
          </cell>
          <cell r="K104">
            <v>431</v>
          </cell>
          <cell r="L104">
            <v>1</v>
          </cell>
          <cell r="M104">
            <v>0.22</v>
          </cell>
        </row>
        <row r="105">
          <cell r="A105" t="str">
            <v>WQS-BS-BN1504-KO-L</v>
          </cell>
          <cell r="B105">
            <v>391</v>
          </cell>
          <cell r="C105">
            <v>0</v>
          </cell>
          <cell r="D105">
            <v>0</v>
          </cell>
          <cell r="E105">
            <v>0</v>
          </cell>
          <cell r="F105">
            <v>0</v>
          </cell>
          <cell r="G105">
            <v>0</v>
          </cell>
          <cell r="H105">
            <v>9</v>
          </cell>
          <cell r="I105">
            <v>0</v>
          </cell>
          <cell r="J105">
            <v>0</v>
          </cell>
          <cell r="K105">
            <v>18</v>
          </cell>
          <cell r="L105">
            <v>0</v>
          </cell>
          <cell r="M105">
            <v>0</v>
          </cell>
        </row>
        <row r="106">
          <cell r="A106" t="str">
            <v>WQS-BS-BN1504-KO-M</v>
          </cell>
          <cell r="B106">
            <v>228</v>
          </cell>
          <cell r="C106">
            <v>0</v>
          </cell>
          <cell r="D106">
            <v>0</v>
          </cell>
          <cell r="E106">
            <v>356</v>
          </cell>
          <cell r="F106">
            <v>1</v>
          </cell>
          <cell r="G106">
            <v>0.3</v>
          </cell>
          <cell r="H106">
            <v>129</v>
          </cell>
          <cell r="I106">
            <v>0</v>
          </cell>
          <cell r="J106">
            <v>0</v>
          </cell>
          <cell r="K106">
            <v>405</v>
          </cell>
          <cell r="L106">
            <v>1</v>
          </cell>
          <cell r="M106">
            <v>0.26</v>
          </cell>
        </row>
        <row r="107">
          <cell r="A107" t="str">
            <v>WQS-BS-BN1504-KO-S</v>
          </cell>
          <cell r="B107">
            <v>1373</v>
          </cell>
          <cell r="C107">
            <v>0</v>
          </cell>
          <cell r="D107">
            <v>0</v>
          </cell>
          <cell r="E107">
            <v>246</v>
          </cell>
          <cell r="F107">
            <v>0</v>
          </cell>
          <cell r="G107">
            <v>0</v>
          </cell>
          <cell r="H107">
            <v>199</v>
          </cell>
          <cell r="I107">
            <v>0</v>
          </cell>
          <cell r="J107">
            <v>0</v>
          </cell>
          <cell r="K107">
            <v>414</v>
          </cell>
          <cell r="L107">
            <v>0</v>
          </cell>
          <cell r="M107">
            <v>0</v>
          </cell>
        </row>
        <row r="108">
          <cell r="A108" t="str">
            <v>WQS-BS-BN1504-RO-M</v>
          </cell>
          <cell r="B108">
            <v>263</v>
          </cell>
          <cell r="C108">
            <v>0</v>
          </cell>
          <cell r="D108">
            <v>0</v>
          </cell>
          <cell r="E108">
            <v>204</v>
          </cell>
          <cell r="F108">
            <v>1</v>
          </cell>
          <cell r="G108">
            <v>0.17</v>
          </cell>
          <cell r="H108">
            <v>1030</v>
          </cell>
          <cell r="I108">
            <v>1</v>
          </cell>
          <cell r="J108">
            <v>0.3</v>
          </cell>
          <cell r="K108">
            <v>290</v>
          </cell>
          <cell r="L108">
            <v>0</v>
          </cell>
          <cell r="M108">
            <v>0</v>
          </cell>
        </row>
        <row r="109">
          <cell r="A109" t="str">
            <v>WQS-BS-BN1504-RO-XL</v>
          </cell>
          <cell r="B109">
            <v>0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476</v>
          </cell>
          <cell r="I109">
            <v>0</v>
          </cell>
          <cell r="J109">
            <v>0</v>
          </cell>
          <cell r="K109">
            <v>884</v>
          </cell>
          <cell r="L109">
            <v>0</v>
          </cell>
          <cell r="M109">
            <v>0</v>
          </cell>
        </row>
        <row r="110">
          <cell r="A110" t="str">
            <v>YZ-BS-PW2049-B0-L</v>
          </cell>
          <cell r="B110">
            <v>0</v>
          </cell>
          <cell r="C110">
            <v>0</v>
          </cell>
          <cell r="D110">
            <v>0</v>
          </cell>
          <cell r="E110">
            <v>12376</v>
          </cell>
          <cell r="F110">
            <v>40</v>
          </cell>
          <cell r="G110">
            <v>6.94</v>
          </cell>
          <cell r="H110">
            <v>2500</v>
          </cell>
          <cell r="I110">
            <v>21</v>
          </cell>
          <cell r="J110">
            <v>3.81</v>
          </cell>
          <cell r="K110">
            <v>1458</v>
          </cell>
          <cell r="L110">
            <v>12</v>
          </cell>
          <cell r="M110">
            <v>1.86</v>
          </cell>
        </row>
        <row r="111">
          <cell r="A111" t="str">
            <v>YZ-BS-PW2049-B0-M</v>
          </cell>
          <cell r="B111">
            <v>0</v>
          </cell>
          <cell r="C111">
            <v>0</v>
          </cell>
          <cell r="D111">
            <v>0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0</v>
          </cell>
          <cell r="K111">
            <v>6363</v>
          </cell>
          <cell r="L111">
            <v>63</v>
          </cell>
          <cell r="M111">
            <v>11</v>
          </cell>
        </row>
        <row r="112">
          <cell r="A112" t="str">
            <v>YZ-BS-PW2049-B0-S</v>
          </cell>
          <cell r="B112">
            <v>1500</v>
          </cell>
          <cell r="C112">
            <v>11</v>
          </cell>
          <cell r="D112">
            <v>1.73</v>
          </cell>
          <cell r="E112">
            <v>11145</v>
          </cell>
          <cell r="F112">
            <v>50</v>
          </cell>
          <cell r="G112">
            <v>8.58</v>
          </cell>
          <cell r="H112">
            <v>8926</v>
          </cell>
          <cell r="I112">
            <v>67</v>
          </cell>
          <cell r="J112">
            <v>10.02</v>
          </cell>
          <cell r="K112">
            <v>5780</v>
          </cell>
          <cell r="L112">
            <v>41</v>
          </cell>
          <cell r="M112">
            <v>6.12</v>
          </cell>
        </row>
        <row r="113">
          <cell r="A113" t="str">
            <v>YZ-BS-PW2049-B0-XL</v>
          </cell>
          <cell r="B113">
            <v>8420</v>
          </cell>
          <cell r="C113">
            <v>69</v>
          </cell>
          <cell r="D113">
            <v>9.63</v>
          </cell>
          <cell r="E113">
            <v>2613</v>
          </cell>
          <cell r="F113">
            <v>22</v>
          </cell>
          <cell r="G113">
            <v>3.66</v>
          </cell>
          <cell r="H113">
            <v>4372</v>
          </cell>
          <cell r="I113">
            <v>51</v>
          </cell>
          <cell r="J113">
            <v>7.58</v>
          </cell>
          <cell r="K113">
            <v>11124</v>
          </cell>
          <cell r="L113">
            <v>111</v>
          </cell>
          <cell r="M113">
            <v>18.35</v>
          </cell>
        </row>
        <row r="114">
          <cell r="A114" t="str">
            <v>YZ-BS-PW2049-GR-L</v>
          </cell>
          <cell r="B114">
            <v>16723</v>
          </cell>
          <cell r="C114">
            <v>66</v>
          </cell>
          <cell r="D114">
            <v>10.65</v>
          </cell>
          <cell r="E114">
            <v>2241</v>
          </cell>
          <cell r="F114">
            <v>12</v>
          </cell>
          <cell r="G114">
            <v>1.32</v>
          </cell>
          <cell r="H114">
            <v>1216</v>
          </cell>
          <cell r="I114">
            <v>7</v>
          </cell>
          <cell r="J114">
            <v>1.41</v>
          </cell>
          <cell r="K114">
            <v>2749</v>
          </cell>
          <cell r="L114">
            <v>14</v>
          </cell>
          <cell r="M114">
            <v>2.39</v>
          </cell>
        </row>
        <row r="115">
          <cell r="A115" t="str">
            <v>YZ-BS-PW2049-GR-M</v>
          </cell>
          <cell r="B115">
            <v>8037</v>
          </cell>
          <cell r="C115">
            <v>51</v>
          </cell>
          <cell r="D115">
            <v>7.58</v>
          </cell>
          <cell r="E115">
            <v>3616</v>
          </cell>
          <cell r="F115">
            <v>21</v>
          </cell>
          <cell r="G115">
            <v>2.84</v>
          </cell>
          <cell r="H115">
            <v>206</v>
          </cell>
          <cell r="I115">
            <v>0</v>
          </cell>
          <cell r="J115">
            <v>0</v>
          </cell>
          <cell r="K115">
            <v>1498</v>
          </cell>
          <cell r="L115">
            <v>13</v>
          </cell>
          <cell r="M115">
            <v>2.17</v>
          </cell>
        </row>
        <row r="116">
          <cell r="A116" t="str">
            <v>YZ-BS-PW2049-GR-S</v>
          </cell>
          <cell r="B116">
            <v>0</v>
          </cell>
          <cell r="C116">
            <v>0</v>
          </cell>
          <cell r="D116">
            <v>0</v>
          </cell>
          <cell r="E116">
            <v>3723</v>
          </cell>
          <cell r="F116">
            <v>15</v>
          </cell>
          <cell r="G116">
            <v>2.52</v>
          </cell>
          <cell r="H116">
            <v>8108</v>
          </cell>
          <cell r="I116">
            <v>40</v>
          </cell>
          <cell r="J116">
            <v>6.96</v>
          </cell>
          <cell r="K116">
            <v>19711</v>
          </cell>
          <cell r="L116">
            <v>120</v>
          </cell>
          <cell r="M116">
            <v>18.36</v>
          </cell>
        </row>
        <row r="117">
          <cell r="A117" t="str">
            <v>YZ-BS-PW2049-GR-XL</v>
          </cell>
          <cell r="B117">
            <v>3190</v>
          </cell>
          <cell r="C117">
            <v>40</v>
          </cell>
          <cell r="D117">
            <v>6.56</v>
          </cell>
          <cell r="E117">
            <v>0</v>
          </cell>
          <cell r="F117">
            <v>0</v>
          </cell>
          <cell r="G117">
            <v>0</v>
          </cell>
          <cell r="H117">
            <v>928</v>
          </cell>
          <cell r="I117">
            <v>3</v>
          </cell>
          <cell r="J117">
            <v>0.45</v>
          </cell>
          <cell r="K117">
            <v>3427</v>
          </cell>
          <cell r="L117">
            <v>23</v>
          </cell>
          <cell r="M117">
            <v>3.75</v>
          </cell>
        </row>
        <row r="118">
          <cell r="A118" t="str">
            <v>YZ-BS-PW2049-K0-M</v>
          </cell>
          <cell r="B118">
            <v>0</v>
          </cell>
          <cell r="C118">
            <v>0</v>
          </cell>
          <cell r="D118">
            <v>0</v>
          </cell>
          <cell r="E118">
            <v>10917</v>
          </cell>
          <cell r="F118">
            <v>36</v>
          </cell>
          <cell r="G118">
            <v>5.64</v>
          </cell>
          <cell r="H118">
            <v>14048</v>
          </cell>
          <cell r="I118">
            <v>101</v>
          </cell>
          <cell r="J118">
            <v>16.95</v>
          </cell>
          <cell r="K118">
            <v>19315</v>
          </cell>
          <cell r="L118">
            <v>103</v>
          </cell>
          <cell r="M118">
            <v>14.14</v>
          </cell>
        </row>
        <row r="119">
          <cell r="A119" t="str">
            <v>YZ-BS-PW2049-K0-S</v>
          </cell>
          <cell r="B119">
            <v>15096</v>
          </cell>
          <cell r="C119">
            <v>137</v>
          </cell>
          <cell r="D119">
            <v>23.26</v>
          </cell>
          <cell r="E119">
            <v>16631</v>
          </cell>
          <cell r="F119">
            <v>144</v>
          </cell>
          <cell r="G119">
            <v>24.72</v>
          </cell>
          <cell r="H119">
            <v>4002</v>
          </cell>
          <cell r="I119">
            <v>84</v>
          </cell>
          <cell r="J119">
            <v>16.08</v>
          </cell>
          <cell r="K119">
            <v>493</v>
          </cell>
          <cell r="L119">
            <v>8</v>
          </cell>
          <cell r="M119">
            <v>1.41</v>
          </cell>
        </row>
        <row r="120">
          <cell r="A120" t="str">
            <v>YZ-BS-PW2049-K0-XL</v>
          </cell>
          <cell r="B120">
            <v>768</v>
          </cell>
          <cell r="C120">
            <v>3</v>
          </cell>
          <cell r="D120">
            <v>0.53</v>
          </cell>
          <cell r="E120">
            <v>1932</v>
          </cell>
          <cell r="F120">
            <v>14</v>
          </cell>
          <cell r="G120">
            <v>2.43</v>
          </cell>
          <cell r="H120">
            <v>1920</v>
          </cell>
          <cell r="I120">
            <v>13</v>
          </cell>
          <cell r="J120">
            <v>2.55</v>
          </cell>
          <cell r="K120">
            <v>1434</v>
          </cell>
          <cell r="L120">
            <v>19</v>
          </cell>
          <cell r="M120">
            <v>3.12</v>
          </cell>
        </row>
        <row r="121">
          <cell r="A121" t="str">
            <v>YZ-BS-PW2049-P0-L</v>
          </cell>
          <cell r="B121">
            <v>496</v>
          </cell>
          <cell r="C121">
            <v>1</v>
          </cell>
          <cell r="D121">
            <v>0.18</v>
          </cell>
          <cell r="E121">
            <v>4752</v>
          </cell>
          <cell r="F121">
            <v>36</v>
          </cell>
          <cell r="G121">
            <v>6.6</v>
          </cell>
          <cell r="H121">
            <v>83370</v>
          </cell>
          <cell r="I121">
            <v>179</v>
          </cell>
          <cell r="J121">
            <v>25.43</v>
          </cell>
          <cell r="K121">
            <v>2928</v>
          </cell>
          <cell r="L121">
            <v>18</v>
          </cell>
          <cell r="M121">
            <v>3.07</v>
          </cell>
        </row>
        <row r="122">
          <cell r="A122" t="str">
            <v>YZ-BS-PW2049-P0-M</v>
          </cell>
          <cell r="B122">
            <v>6577</v>
          </cell>
          <cell r="C122">
            <v>69</v>
          </cell>
          <cell r="D122">
            <v>11.03</v>
          </cell>
          <cell r="E122">
            <v>19032</v>
          </cell>
          <cell r="F122">
            <v>72</v>
          </cell>
          <cell r="G122">
            <v>11.41</v>
          </cell>
          <cell r="H122">
            <v>3708</v>
          </cell>
          <cell r="I122">
            <v>31</v>
          </cell>
          <cell r="J122">
            <v>5.53</v>
          </cell>
          <cell r="K122">
            <v>7385</v>
          </cell>
          <cell r="L122">
            <v>90</v>
          </cell>
          <cell r="M122">
            <v>15.87</v>
          </cell>
        </row>
        <row r="123">
          <cell r="A123" t="str">
            <v>YZ-BS-PW2049-P0-S</v>
          </cell>
          <cell r="B123">
            <v>14503</v>
          </cell>
          <cell r="C123">
            <v>107</v>
          </cell>
          <cell r="D123">
            <v>15.95</v>
          </cell>
          <cell r="E123">
            <v>18878</v>
          </cell>
          <cell r="F123">
            <v>158</v>
          </cell>
          <cell r="G123">
            <v>26.1</v>
          </cell>
          <cell r="H123">
            <v>11389</v>
          </cell>
          <cell r="I123">
            <v>64</v>
          </cell>
          <cell r="J123">
            <v>8.82</v>
          </cell>
          <cell r="K123">
            <v>22037</v>
          </cell>
          <cell r="L123">
            <v>113</v>
          </cell>
          <cell r="M123">
            <v>16.14</v>
          </cell>
        </row>
        <row r="124">
          <cell r="A124" t="str">
            <v>YZ-BS-PW2049-P0-XL</v>
          </cell>
          <cell r="B124">
            <v>11254</v>
          </cell>
          <cell r="C124">
            <v>82</v>
          </cell>
          <cell r="D124">
            <v>11.64</v>
          </cell>
          <cell r="E124">
            <v>34639</v>
          </cell>
          <cell r="F124">
            <v>91</v>
          </cell>
          <cell r="G124">
            <v>15.16</v>
          </cell>
          <cell r="H124">
            <v>46886</v>
          </cell>
          <cell r="I124">
            <v>93</v>
          </cell>
          <cell r="J124">
            <v>14.37</v>
          </cell>
          <cell r="K124">
            <v>2793</v>
          </cell>
          <cell r="L124">
            <v>8</v>
          </cell>
          <cell r="M124">
            <v>1.55</v>
          </cell>
        </row>
        <row r="125">
          <cell r="A125" t="str">
            <v>YZ-BS-PW2049-W0-L</v>
          </cell>
          <cell r="B125">
            <v>7013</v>
          </cell>
          <cell r="C125">
            <v>28</v>
          </cell>
          <cell r="D125">
            <v>4.6</v>
          </cell>
          <cell r="E125">
            <v>3554</v>
          </cell>
          <cell r="F125">
            <v>21</v>
          </cell>
          <cell r="G125">
            <v>2.69</v>
          </cell>
          <cell r="H125">
            <v>21016</v>
          </cell>
          <cell r="I125">
            <v>74</v>
          </cell>
          <cell r="J125">
            <v>12</v>
          </cell>
          <cell r="K125">
            <v>2472</v>
          </cell>
          <cell r="L125">
            <v>6</v>
          </cell>
          <cell r="M125">
            <v>1</v>
          </cell>
        </row>
        <row r="126">
          <cell r="A126" t="str">
            <v>YZ-BS-PW2049-W0-M</v>
          </cell>
          <cell r="B126">
            <v>655</v>
          </cell>
          <cell r="C126">
            <v>1</v>
          </cell>
          <cell r="D126">
            <v>0.08</v>
          </cell>
          <cell r="E126">
            <v>1117</v>
          </cell>
          <cell r="F126">
            <v>3</v>
          </cell>
          <cell r="G126">
            <v>0.31</v>
          </cell>
          <cell r="H126">
            <v>565</v>
          </cell>
          <cell r="I126">
            <v>1</v>
          </cell>
          <cell r="J126">
            <v>0.09</v>
          </cell>
          <cell r="K126">
            <v>2060</v>
          </cell>
          <cell r="L126">
            <v>6</v>
          </cell>
          <cell r="M126">
            <v>0.89</v>
          </cell>
        </row>
        <row r="127">
          <cell r="A127" t="str">
            <v>YZ-BS-PW2049-W0-S</v>
          </cell>
          <cell r="B127">
            <v>3569</v>
          </cell>
          <cell r="C127">
            <v>44</v>
          </cell>
          <cell r="D127">
            <v>6.67</v>
          </cell>
          <cell r="E127">
            <v>918</v>
          </cell>
          <cell r="F127">
            <v>4</v>
          </cell>
          <cell r="G127">
            <v>0.67</v>
          </cell>
          <cell r="H127">
            <v>4054</v>
          </cell>
          <cell r="I127">
            <v>15</v>
          </cell>
          <cell r="J127">
            <v>2.36</v>
          </cell>
          <cell r="K127">
            <v>13446</v>
          </cell>
          <cell r="L127">
            <v>102</v>
          </cell>
          <cell r="M127">
            <v>16.37</v>
          </cell>
        </row>
        <row r="128">
          <cell r="A128" t="str">
            <v>YZ-BS-PW2049-W0-XL</v>
          </cell>
          <cell r="B128">
            <v>24</v>
          </cell>
          <cell r="C128">
            <v>0</v>
          </cell>
          <cell r="D128">
            <v>0</v>
          </cell>
          <cell r="E128">
            <v>15816</v>
          </cell>
          <cell r="F128">
            <v>27</v>
          </cell>
          <cell r="G128">
            <v>3.66</v>
          </cell>
          <cell r="H128">
            <v>1194</v>
          </cell>
          <cell r="I128">
            <v>7</v>
          </cell>
          <cell r="J128">
            <v>1.1</v>
          </cell>
          <cell r="K128">
            <v>2802</v>
          </cell>
          <cell r="L128">
            <v>13</v>
          </cell>
          <cell r="M128">
            <v>2.32</v>
          </cell>
        </row>
        <row r="129">
          <cell r="A129" t="str">
            <v>YZ-BS-BShyl5119-YT-XL</v>
          </cell>
          <cell r="B129">
            <v>8364</v>
          </cell>
          <cell r="C129">
            <v>48</v>
          </cell>
          <cell r="D129">
            <v>9.09</v>
          </cell>
          <cell r="E129">
            <v>1953</v>
          </cell>
          <cell r="F129">
            <v>15</v>
          </cell>
          <cell r="G129">
            <v>2.61</v>
          </cell>
          <cell r="H129">
            <v>9952</v>
          </cell>
          <cell r="I129">
            <v>23</v>
          </cell>
          <cell r="J129">
            <v>3.52</v>
          </cell>
          <cell r="K129">
            <v>0</v>
          </cell>
          <cell r="L129">
            <v>0</v>
          </cell>
          <cell r="M129">
            <v>0</v>
          </cell>
        </row>
        <row r="130">
          <cell r="A130" t="str">
            <v>YZ-BS-PW2049-K0-L</v>
          </cell>
          <cell r="B130">
            <v>27072</v>
          </cell>
          <cell r="C130">
            <v>212</v>
          </cell>
          <cell r="D130">
            <v>31.07</v>
          </cell>
          <cell r="E130">
            <v>9429</v>
          </cell>
          <cell r="F130">
            <v>82</v>
          </cell>
          <cell r="G130">
            <v>12.39</v>
          </cell>
          <cell r="H130">
            <v>2407</v>
          </cell>
          <cell r="I130">
            <v>15</v>
          </cell>
          <cell r="J130">
            <v>2.43</v>
          </cell>
          <cell r="K130">
            <v>0</v>
          </cell>
          <cell r="L130">
            <v>0</v>
          </cell>
          <cell r="M130">
            <v>0</v>
          </cell>
        </row>
      </sheetData>
      <sheetData sheetId="2"/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广告周报表"/>
      <sheetName val="库存使用数据"/>
      <sheetName val="time"/>
    </sheetNames>
    <sheetDataSet>
      <sheetData sheetId="0"/>
      <sheetData sheetId="1">
        <row r="1">
          <cell r="B1" t="str">
            <v>一周</v>
          </cell>
        </row>
        <row r="1">
          <cell r="E1" t="str">
            <v>二周</v>
          </cell>
        </row>
        <row r="1">
          <cell r="H1" t="str">
            <v>三周</v>
          </cell>
        </row>
        <row r="1">
          <cell r="K1" t="str">
            <v>四周</v>
          </cell>
        </row>
        <row r="2">
          <cell r="A2" t="str">
            <v>广告ASIN</v>
          </cell>
          <cell r="B2" t="str">
            <v>曝光量</v>
          </cell>
          <cell r="C2" t="str">
            <v>点击量</v>
          </cell>
          <cell r="D2" t="str">
            <v>广告费</v>
          </cell>
          <cell r="E2" t="str">
            <v>曝光量</v>
          </cell>
          <cell r="F2" t="str">
            <v>点击量</v>
          </cell>
          <cell r="G2" t="str">
            <v>广告费</v>
          </cell>
          <cell r="H2" t="str">
            <v>曝光量</v>
          </cell>
          <cell r="I2" t="str">
            <v>点击量</v>
          </cell>
          <cell r="J2" t="str">
            <v>广告费</v>
          </cell>
          <cell r="K2" t="str">
            <v>曝光量</v>
          </cell>
          <cell r="L2" t="str">
            <v>点击量</v>
          </cell>
          <cell r="M2" t="str">
            <v>广告费</v>
          </cell>
        </row>
        <row r="3">
          <cell r="A3" t="str">
            <v>BS-PW2025-K0-5XL</v>
          </cell>
          <cell r="B3">
            <v>0</v>
          </cell>
          <cell r="C3">
            <v>0</v>
          </cell>
          <cell r="D3">
            <v>0</v>
          </cell>
          <cell r="E3">
            <v>51</v>
          </cell>
          <cell r="F3">
            <v>0</v>
          </cell>
          <cell r="G3">
            <v>0</v>
          </cell>
          <cell r="H3">
            <v>32</v>
          </cell>
          <cell r="I3">
            <v>0</v>
          </cell>
          <cell r="J3">
            <v>0</v>
          </cell>
          <cell r="K3">
            <v>30</v>
          </cell>
          <cell r="L3">
            <v>1</v>
          </cell>
          <cell r="M3">
            <v>0.27</v>
          </cell>
        </row>
        <row r="4">
          <cell r="A4" t="str">
            <v>BS-PW2025-K0-M</v>
          </cell>
          <cell r="B4">
            <v>0</v>
          </cell>
          <cell r="C4">
            <v>0</v>
          </cell>
          <cell r="D4">
            <v>0</v>
          </cell>
          <cell r="E4">
            <v>84</v>
          </cell>
          <cell r="F4">
            <v>1</v>
          </cell>
          <cell r="G4">
            <v>0.26</v>
          </cell>
          <cell r="H4">
            <v>10</v>
          </cell>
          <cell r="I4">
            <v>0</v>
          </cell>
          <cell r="J4">
            <v>0</v>
          </cell>
          <cell r="K4">
            <v>41</v>
          </cell>
          <cell r="L4">
            <v>1</v>
          </cell>
          <cell r="M4">
            <v>0.27</v>
          </cell>
        </row>
        <row r="5">
          <cell r="A5" t="str">
            <v>CS-LY170-PI908-S</v>
          </cell>
          <cell r="B5">
            <v>8163</v>
          </cell>
          <cell r="C5">
            <v>25</v>
          </cell>
          <cell r="D5">
            <v>5.93</v>
          </cell>
          <cell r="E5">
            <v>6459</v>
          </cell>
          <cell r="F5">
            <v>33</v>
          </cell>
          <cell r="G5">
            <v>7.04</v>
          </cell>
          <cell r="H5">
            <v>1898</v>
          </cell>
          <cell r="I5">
            <v>6</v>
          </cell>
          <cell r="J5">
            <v>1.26</v>
          </cell>
          <cell r="K5">
            <v>3790</v>
          </cell>
          <cell r="L5">
            <v>17</v>
          </cell>
          <cell r="M5">
            <v>2.65</v>
          </cell>
        </row>
        <row r="6">
          <cell r="A6" t="str">
            <v>CS-LY170-Sa911-S</v>
          </cell>
          <cell r="B6">
            <v>12352</v>
          </cell>
          <cell r="C6">
            <v>40</v>
          </cell>
          <cell r="D6">
            <v>8.56</v>
          </cell>
          <cell r="E6">
            <v>13858</v>
          </cell>
          <cell r="F6">
            <v>69</v>
          </cell>
          <cell r="G6">
            <v>15.47</v>
          </cell>
          <cell r="H6">
            <v>1530</v>
          </cell>
          <cell r="I6">
            <v>14</v>
          </cell>
          <cell r="J6">
            <v>2.62</v>
          </cell>
          <cell r="K6">
            <v>2675</v>
          </cell>
          <cell r="L6">
            <v>11</v>
          </cell>
          <cell r="M6">
            <v>1.29</v>
          </cell>
        </row>
        <row r="7">
          <cell r="A7" t="str">
            <v>CS-LY170-ZL918-S</v>
          </cell>
          <cell r="B7">
            <v>23672</v>
          </cell>
          <cell r="C7">
            <v>63</v>
          </cell>
          <cell r="D7">
            <v>11.98</v>
          </cell>
          <cell r="E7">
            <v>44484</v>
          </cell>
          <cell r="F7">
            <v>168</v>
          </cell>
          <cell r="G7">
            <v>31.2</v>
          </cell>
          <cell r="H7">
            <v>20154</v>
          </cell>
          <cell r="I7">
            <v>82</v>
          </cell>
          <cell r="J7">
            <v>15.36</v>
          </cell>
          <cell r="K7">
            <v>55660</v>
          </cell>
          <cell r="L7">
            <v>216</v>
          </cell>
          <cell r="M7">
            <v>42.98</v>
          </cell>
        </row>
        <row r="8">
          <cell r="A8" t="str">
            <v>CS-LY171-G912-S</v>
          </cell>
          <cell r="B8">
            <v>317</v>
          </cell>
          <cell r="C8">
            <v>0</v>
          </cell>
          <cell r="D8">
            <v>0</v>
          </cell>
          <cell r="E8">
            <v>3255</v>
          </cell>
          <cell r="F8">
            <v>11</v>
          </cell>
          <cell r="G8">
            <v>2</v>
          </cell>
          <cell r="H8">
            <v>2798</v>
          </cell>
          <cell r="I8">
            <v>9</v>
          </cell>
          <cell r="J8">
            <v>1.68</v>
          </cell>
          <cell r="K8">
            <v>1201</v>
          </cell>
          <cell r="L8">
            <v>5</v>
          </cell>
          <cell r="M8">
            <v>0.79</v>
          </cell>
        </row>
        <row r="9">
          <cell r="A9" t="str">
            <v>CS-LY171-LB916-S</v>
          </cell>
          <cell r="B9">
            <v>75</v>
          </cell>
          <cell r="C9">
            <v>0</v>
          </cell>
          <cell r="D9">
            <v>0</v>
          </cell>
          <cell r="E9">
            <v>409</v>
          </cell>
          <cell r="F9">
            <v>1</v>
          </cell>
          <cell r="G9">
            <v>0.19</v>
          </cell>
          <cell r="H9">
            <v>389</v>
          </cell>
          <cell r="I9">
            <v>1</v>
          </cell>
          <cell r="J9">
            <v>0.19</v>
          </cell>
          <cell r="K9">
            <v>1470</v>
          </cell>
          <cell r="L9">
            <v>4</v>
          </cell>
          <cell r="M9">
            <v>1.05</v>
          </cell>
        </row>
        <row r="10">
          <cell r="A10" t="str">
            <v>CS-LY171-LG907-S</v>
          </cell>
          <cell r="B10">
            <v>302</v>
          </cell>
          <cell r="C10">
            <v>2</v>
          </cell>
          <cell r="D10">
            <v>0.55</v>
          </cell>
          <cell r="E10">
            <v>1946</v>
          </cell>
          <cell r="F10">
            <v>4</v>
          </cell>
          <cell r="G10">
            <v>0.83</v>
          </cell>
          <cell r="H10">
            <v>1793</v>
          </cell>
          <cell r="I10">
            <v>3</v>
          </cell>
          <cell r="J10">
            <v>0.73</v>
          </cell>
          <cell r="K10">
            <v>11642</v>
          </cell>
          <cell r="L10">
            <v>18</v>
          </cell>
          <cell r="M10">
            <v>4.15</v>
          </cell>
        </row>
        <row r="11">
          <cell r="A11" t="str">
            <v>CS-LY171-PI908-S</v>
          </cell>
          <cell r="B11">
            <v>1528</v>
          </cell>
          <cell r="C11">
            <v>10</v>
          </cell>
          <cell r="D11">
            <v>1.46</v>
          </cell>
          <cell r="E11">
            <v>3076</v>
          </cell>
          <cell r="F11">
            <v>17</v>
          </cell>
          <cell r="G11">
            <v>2.8</v>
          </cell>
          <cell r="H11">
            <v>1556</v>
          </cell>
          <cell r="I11">
            <v>7</v>
          </cell>
          <cell r="J11">
            <v>1.4</v>
          </cell>
          <cell r="K11">
            <v>3656</v>
          </cell>
          <cell r="L11">
            <v>16</v>
          </cell>
          <cell r="M11">
            <v>2.89</v>
          </cell>
        </row>
        <row r="12">
          <cell r="A12" t="str">
            <v>CS-LY171-Sa911-S</v>
          </cell>
          <cell r="B12">
            <v>1563</v>
          </cell>
          <cell r="C12">
            <v>4</v>
          </cell>
          <cell r="D12">
            <v>0.7</v>
          </cell>
          <cell r="E12">
            <v>4228</v>
          </cell>
          <cell r="F12">
            <v>16</v>
          </cell>
          <cell r="G12">
            <v>2.61</v>
          </cell>
          <cell r="H12">
            <v>2159</v>
          </cell>
          <cell r="I12">
            <v>6</v>
          </cell>
          <cell r="J12">
            <v>1.46</v>
          </cell>
          <cell r="K12">
            <v>7068</v>
          </cell>
          <cell r="L12">
            <v>17</v>
          </cell>
          <cell r="M12">
            <v>3.69</v>
          </cell>
        </row>
        <row r="13">
          <cell r="A13" t="str">
            <v>CS-LY171-W902-S</v>
          </cell>
          <cell r="B13">
            <v>25</v>
          </cell>
          <cell r="C13">
            <v>2</v>
          </cell>
          <cell r="D13">
            <v>0.6</v>
          </cell>
          <cell r="E13">
            <v>928</v>
          </cell>
          <cell r="F13">
            <v>2</v>
          </cell>
          <cell r="G13">
            <v>0.34</v>
          </cell>
          <cell r="H13">
            <v>829</v>
          </cell>
          <cell r="I13">
            <v>1</v>
          </cell>
          <cell r="J13">
            <v>0.19</v>
          </cell>
          <cell r="K13">
            <v>2446</v>
          </cell>
          <cell r="L13">
            <v>7</v>
          </cell>
          <cell r="M13">
            <v>1.86</v>
          </cell>
        </row>
        <row r="14">
          <cell r="A14" t="str">
            <v>CS-LY171-WR917-S</v>
          </cell>
          <cell r="B14">
            <v>2610</v>
          </cell>
          <cell r="C14">
            <v>12</v>
          </cell>
          <cell r="D14">
            <v>1.93</v>
          </cell>
          <cell r="E14">
            <v>6809</v>
          </cell>
          <cell r="F14">
            <v>38</v>
          </cell>
          <cell r="G14">
            <v>6.69</v>
          </cell>
          <cell r="H14">
            <v>4188</v>
          </cell>
          <cell r="I14">
            <v>25</v>
          </cell>
          <cell r="J14">
            <v>4.85</v>
          </cell>
          <cell r="K14">
            <v>6434</v>
          </cell>
          <cell r="L14">
            <v>33</v>
          </cell>
          <cell r="M14">
            <v>7.59</v>
          </cell>
        </row>
        <row r="15">
          <cell r="A15" t="str">
            <v>CS-LY181-LB916-S</v>
          </cell>
          <cell r="B15">
            <v>14</v>
          </cell>
          <cell r="C15">
            <v>1</v>
          </cell>
          <cell r="D15">
            <v>0.21</v>
          </cell>
          <cell r="E15">
            <v>450</v>
          </cell>
          <cell r="F15">
            <v>2</v>
          </cell>
          <cell r="G15">
            <v>0.24</v>
          </cell>
          <cell r="H15">
            <v>430</v>
          </cell>
          <cell r="I15">
            <v>2</v>
          </cell>
          <cell r="J15">
            <v>0.24</v>
          </cell>
          <cell r="K15">
            <v>453</v>
          </cell>
          <cell r="L15">
            <v>4</v>
          </cell>
          <cell r="M15">
            <v>1.08</v>
          </cell>
        </row>
        <row r="16">
          <cell r="A16" t="str">
            <v>CS-LY181-LG907-S</v>
          </cell>
          <cell r="B16">
            <v>44</v>
          </cell>
          <cell r="C16">
            <v>0</v>
          </cell>
          <cell r="D16">
            <v>0</v>
          </cell>
          <cell r="E16">
            <v>1419</v>
          </cell>
          <cell r="F16">
            <v>5</v>
          </cell>
          <cell r="G16">
            <v>1.32</v>
          </cell>
          <cell r="H16">
            <v>1362</v>
          </cell>
          <cell r="I16">
            <v>4</v>
          </cell>
          <cell r="J16">
            <v>1.05</v>
          </cell>
          <cell r="K16">
            <v>2253</v>
          </cell>
          <cell r="L16">
            <v>8</v>
          </cell>
          <cell r="M16">
            <v>1.66</v>
          </cell>
        </row>
        <row r="17">
          <cell r="A17" t="str">
            <v>CS-LY181-WR917-S</v>
          </cell>
          <cell r="B17">
            <v>24</v>
          </cell>
          <cell r="C17">
            <v>0</v>
          </cell>
          <cell r="D17">
            <v>0</v>
          </cell>
          <cell r="E17">
            <v>1774</v>
          </cell>
          <cell r="F17">
            <v>8</v>
          </cell>
          <cell r="G17">
            <v>1.55</v>
          </cell>
          <cell r="H17">
            <v>1701</v>
          </cell>
          <cell r="I17">
            <v>8</v>
          </cell>
          <cell r="J17">
            <v>1.55</v>
          </cell>
          <cell r="K17">
            <v>3102</v>
          </cell>
          <cell r="L17">
            <v>9</v>
          </cell>
          <cell r="M17">
            <v>2.11</v>
          </cell>
        </row>
        <row r="18">
          <cell r="A18" t="str">
            <v>CS-LY084-H10-S</v>
          </cell>
          <cell r="B18">
            <v>154</v>
          </cell>
          <cell r="C18">
            <v>0</v>
          </cell>
          <cell r="D18">
            <v>0</v>
          </cell>
          <cell r="E18">
            <v>271</v>
          </cell>
          <cell r="F18">
            <v>1</v>
          </cell>
          <cell r="G18">
            <v>0.16</v>
          </cell>
          <cell r="H18">
            <v>158</v>
          </cell>
          <cell r="I18">
            <v>1</v>
          </cell>
          <cell r="J18">
            <v>0.16</v>
          </cell>
          <cell r="K18">
            <v>67</v>
          </cell>
          <cell r="L18">
            <v>1</v>
          </cell>
          <cell r="M18">
            <v>0.08</v>
          </cell>
        </row>
        <row r="19">
          <cell r="A19" t="str">
            <v>CS-LY084-H12-M</v>
          </cell>
          <cell r="B19">
            <v>20</v>
          </cell>
          <cell r="C19">
            <v>1</v>
          </cell>
          <cell r="D19">
            <v>0.18</v>
          </cell>
          <cell r="E19">
            <v>56</v>
          </cell>
          <cell r="F19">
            <v>0</v>
          </cell>
          <cell r="G19">
            <v>0</v>
          </cell>
          <cell r="H19">
            <v>38</v>
          </cell>
          <cell r="I19">
            <v>0</v>
          </cell>
          <cell r="J19">
            <v>0</v>
          </cell>
          <cell r="K19">
            <v>40</v>
          </cell>
          <cell r="L19">
            <v>0</v>
          </cell>
          <cell r="M19">
            <v>0</v>
          </cell>
        </row>
        <row r="20">
          <cell r="A20" t="str">
            <v>CS-LY084-H16-L</v>
          </cell>
          <cell r="B20">
            <v>62</v>
          </cell>
          <cell r="C20">
            <v>0</v>
          </cell>
          <cell r="D20">
            <v>0</v>
          </cell>
          <cell r="E20">
            <v>34</v>
          </cell>
          <cell r="F20">
            <v>1</v>
          </cell>
          <cell r="G20">
            <v>0.23</v>
          </cell>
          <cell r="H20">
            <v>14</v>
          </cell>
          <cell r="I20">
            <v>0</v>
          </cell>
          <cell r="J20">
            <v>0</v>
          </cell>
          <cell r="K20">
            <v>27</v>
          </cell>
          <cell r="L20">
            <v>0</v>
          </cell>
          <cell r="M20">
            <v>0</v>
          </cell>
        </row>
        <row r="21">
          <cell r="A21" t="str">
            <v>CS-LY084-H2-L</v>
          </cell>
          <cell r="B21">
            <v>246</v>
          </cell>
          <cell r="C21">
            <v>1</v>
          </cell>
          <cell r="D21">
            <v>0.14</v>
          </cell>
          <cell r="E21">
            <v>714</v>
          </cell>
          <cell r="F21">
            <v>1</v>
          </cell>
          <cell r="G21">
            <v>0.19</v>
          </cell>
          <cell r="H21">
            <v>429</v>
          </cell>
          <cell r="I21">
            <v>0</v>
          </cell>
          <cell r="J21">
            <v>0</v>
          </cell>
          <cell r="K21">
            <v>1186</v>
          </cell>
          <cell r="L21">
            <v>7</v>
          </cell>
          <cell r="M21">
            <v>0.95</v>
          </cell>
        </row>
        <row r="22">
          <cell r="A22" t="str">
            <v>CS-LY085-G912-L</v>
          </cell>
          <cell r="B22">
            <v>231</v>
          </cell>
          <cell r="C22">
            <v>0</v>
          </cell>
          <cell r="D22">
            <v>0</v>
          </cell>
          <cell r="E22">
            <v>590</v>
          </cell>
          <cell r="F22">
            <v>1</v>
          </cell>
          <cell r="G22">
            <v>0.11</v>
          </cell>
          <cell r="H22">
            <v>240</v>
          </cell>
          <cell r="I22">
            <v>1</v>
          </cell>
          <cell r="J22">
            <v>0.11</v>
          </cell>
          <cell r="K22">
            <v>166</v>
          </cell>
          <cell r="L22">
            <v>1</v>
          </cell>
          <cell r="M22">
            <v>0.14</v>
          </cell>
        </row>
        <row r="23">
          <cell r="A23" t="str">
            <v>CS-LY085-LB916-L</v>
          </cell>
          <cell r="B23">
            <v>0</v>
          </cell>
          <cell r="C23">
            <v>0</v>
          </cell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>
            <v>0</v>
          </cell>
          <cell r="I23">
            <v>0</v>
          </cell>
          <cell r="J23">
            <v>0</v>
          </cell>
          <cell r="K23">
            <v>16</v>
          </cell>
          <cell r="L23">
            <v>0</v>
          </cell>
          <cell r="M23">
            <v>0</v>
          </cell>
        </row>
        <row r="24">
          <cell r="A24" t="str">
            <v>CS-LY085-WR917-M</v>
          </cell>
          <cell r="B24">
            <v>1923</v>
          </cell>
          <cell r="C24">
            <v>6</v>
          </cell>
          <cell r="D24">
            <v>1.1</v>
          </cell>
          <cell r="E24">
            <v>3814</v>
          </cell>
          <cell r="F24">
            <v>9</v>
          </cell>
          <cell r="G24">
            <v>1.08</v>
          </cell>
          <cell r="H24">
            <v>1286</v>
          </cell>
          <cell r="I24">
            <v>1</v>
          </cell>
          <cell r="J24">
            <v>0.13</v>
          </cell>
          <cell r="K24">
            <v>1353</v>
          </cell>
          <cell r="L24">
            <v>4</v>
          </cell>
          <cell r="M24">
            <v>0.66</v>
          </cell>
        </row>
        <row r="25">
          <cell r="A25" t="str">
            <v>CS-LY085-ZL918-M</v>
          </cell>
          <cell r="B25">
            <v>1443</v>
          </cell>
          <cell r="C25">
            <v>2</v>
          </cell>
          <cell r="D25">
            <v>0.18</v>
          </cell>
          <cell r="E25">
            <v>1904</v>
          </cell>
          <cell r="F25">
            <v>6</v>
          </cell>
          <cell r="G25">
            <v>0.89</v>
          </cell>
          <cell r="H25">
            <v>200</v>
          </cell>
          <cell r="I25">
            <v>2</v>
          </cell>
          <cell r="J25">
            <v>0.21</v>
          </cell>
          <cell r="K25">
            <v>302</v>
          </cell>
          <cell r="L25">
            <v>0</v>
          </cell>
          <cell r="M25">
            <v>0</v>
          </cell>
        </row>
        <row r="26">
          <cell r="A26" t="str">
            <v>BS-WH17017-B0-S</v>
          </cell>
          <cell r="B26">
            <v>3593</v>
          </cell>
          <cell r="C26">
            <v>25</v>
          </cell>
          <cell r="D26">
            <v>4.45</v>
          </cell>
          <cell r="E26">
            <v>10315</v>
          </cell>
          <cell r="F26">
            <v>87</v>
          </cell>
          <cell r="G26">
            <v>14.92</v>
          </cell>
          <cell r="H26">
            <v>5291</v>
          </cell>
          <cell r="I26">
            <v>41</v>
          </cell>
          <cell r="J26">
            <v>7.39</v>
          </cell>
          <cell r="K26">
            <v>14181</v>
          </cell>
          <cell r="L26">
            <v>79</v>
          </cell>
          <cell r="M26">
            <v>13.03</v>
          </cell>
        </row>
        <row r="27">
          <cell r="A27" t="str">
            <v>BS-WH17017-G0-S</v>
          </cell>
          <cell r="B27">
            <v>5903</v>
          </cell>
          <cell r="C27">
            <v>45</v>
          </cell>
          <cell r="D27">
            <v>5.86</v>
          </cell>
          <cell r="E27">
            <v>16552</v>
          </cell>
          <cell r="F27">
            <v>67</v>
          </cell>
          <cell r="G27">
            <v>9.1</v>
          </cell>
          <cell r="H27">
            <v>6823</v>
          </cell>
          <cell r="I27">
            <v>28</v>
          </cell>
          <cell r="J27">
            <v>4.13</v>
          </cell>
          <cell r="K27">
            <v>3831</v>
          </cell>
          <cell r="L27">
            <v>26</v>
          </cell>
          <cell r="M27">
            <v>3.38</v>
          </cell>
        </row>
        <row r="28">
          <cell r="A28" t="str">
            <v>BS-WH17017-K0-S</v>
          </cell>
          <cell r="B28">
            <v>7517</v>
          </cell>
          <cell r="C28">
            <v>52</v>
          </cell>
          <cell r="D28">
            <v>6.95</v>
          </cell>
          <cell r="E28">
            <v>12841</v>
          </cell>
          <cell r="F28">
            <v>79</v>
          </cell>
          <cell r="G28">
            <v>12.46</v>
          </cell>
          <cell r="H28">
            <v>2846</v>
          </cell>
          <cell r="I28">
            <v>31</v>
          </cell>
          <cell r="J28">
            <v>4.8</v>
          </cell>
          <cell r="K28">
            <v>1850</v>
          </cell>
          <cell r="L28">
            <v>20</v>
          </cell>
          <cell r="M28">
            <v>3.38</v>
          </cell>
        </row>
        <row r="29">
          <cell r="A29" t="str">
            <v>YZ-BS-BShyl5119-YH-2XL</v>
          </cell>
          <cell r="B29">
            <v>18252</v>
          </cell>
          <cell r="C29">
            <v>128</v>
          </cell>
          <cell r="D29">
            <v>23.4</v>
          </cell>
          <cell r="E29">
            <v>16343</v>
          </cell>
          <cell r="F29">
            <v>118</v>
          </cell>
          <cell r="G29">
            <v>22.75</v>
          </cell>
          <cell r="H29">
            <v>6831</v>
          </cell>
          <cell r="I29">
            <v>48</v>
          </cell>
          <cell r="J29">
            <v>9.23</v>
          </cell>
          <cell r="K29">
            <v>14996</v>
          </cell>
          <cell r="L29">
            <v>78</v>
          </cell>
          <cell r="M29">
            <v>14.94</v>
          </cell>
        </row>
        <row r="30">
          <cell r="A30" t="str">
            <v>YZ-BS-BShyl5119-YT-2XL</v>
          </cell>
          <cell r="B30">
            <v>0</v>
          </cell>
          <cell r="C30">
            <v>0</v>
          </cell>
          <cell r="D30">
            <v>0</v>
          </cell>
          <cell r="E30">
            <v>11491</v>
          </cell>
          <cell r="F30">
            <v>98</v>
          </cell>
          <cell r="G30">
            <v>18.7</v>
          </cell>
          <cell r="H30">
            <v>5966</v>
          </cell>
          <cell r="I30">
            <v>51</v>
          </cell>
          <cell r="J30">
            <v>10.12</v>
          </cell>
          <cell r="K30">
            <v>5425</v>
          </cell>
          <cell r="L30">
            <v>50</v>
          </cell>
          <cell r="M30">
            <v>8.64</v>
          </cell>
        </row>
        <row r="31">
          <cell r="A31" t="str">
            <v>YZ-BS-BShyl5119K03XL</v>
          </cell>
          <cell r="B31">
            <v>4367</v>
          </cell>
          <cell r="C31">
            <v>57</v>
          </cell>
          <cell r="D31">
            <v>10.4</v>
          </cell>
          <cell r="E31">
            <v>2937</v>
          </cell>
          <cell r="F31">
            <v>58</v>
          </cell>
          <cell r="G31">
            <v>12.45</v>
          </cell>
          <cell r="H31">
            <v>1686</v>
          </cell>
          <cell r="I31">
            <v>36</v>
          </cell>
          <cell r="J31">
            <v>7.81</v>
          </cell>
          <cell r="K31">
            <v>311</v>
          </cell>
          <cell r="L31">
            <v>4</v>
          </cell>
          <cell r="M31">
            <v>0.74</v>
          </cell>
        </row>
        <row r="32">
          <cell r="A32" t="str">
            <v>YZ-BS-BSLLHT4XL</v>
          </cell>
          <cell r="B32">
            <v>0</v>
          </cell>
          <cell r="C32">
            <v>0</v>
          </cell>
          <cell r="D32">
            <v>0</v>
          </cell>
          <cell r="E32">
            <v>5734</v>
          </cell>
          <cell r="F32">
            <v>16</v>
          </cell>
          <cell r="G32">
            <v>4.63</v>
          </cell>
          <cell r="H32">
            <v>2835</v>
          </cell>
          <cell r="I32">
            <v>8</v>
          </cell>
          <cell r="J32">
            <v>2.42</v>
          </cell>
          <cell r="K32">
            <v>816</v>
          </cell>
          <cell r="L32">
            <v>3</v>
          </cell>
          <cell r="M32">
            <v>1.2</v>
          </cell>
        </row>
        <row r="33">
          <cell r="A33" t="str">
            <v>YZ-BS-BSLLIT4XL</v>
          </cell>
          <cell r="B33">
            <v>0</v>
          </cell>
          <cell r="C33">
            <v>0</v>
          </cell>
          <cell r="D33">
            <v>0</v>
          </cell>
          <cell r="E33">
            <v>821</v>
          </cell>
          <cell r="F33">
            <v>6</v>
          </cell>
          <cell r="G33">
            <v>2.26</v>
          </cell>
          <cell r="H33">
            <v>783</v>
          </cell>
          <cell r="I33">
            <v>6</v>
          </cell>
          <cell r="J33">
            <v>2.26</v>
          </cell>
          <cell r="K33">
            <v>2249</v>
          </cell>
          <cell r="L33">
            <v>21</v>
          </cell>
          <cell r="M33">
            <v>7.5</v>
          </cell>
        </row>
        <row r="34">
          <cell r="A34" t="str">
            <v>YZ-BS-BSLLK04XL</v>
          </cell>
          <cell r="B34">
            <v>497</v>
          </cell>
          <cell r="C34">
            <v>1</v>
          </cell>
          <cell r="D34">
            <v>0.33</v>
          </cell>
          <cell r="E34">
            <v>21201</v>
          </cell>
          <cell r="F34">
            <v>90</v>
          </cell>
          <cell r="G34">
            <v>21.67</v>
          </cell>
          <cell r="H34">
            <v>7354</v>
          </cell>
          <cell r="I34">
            <v>33</v>
          </cell>
          <cell r="J34">
            <v>7.68</v>
          </cell>
          <cell r="K34">
            <v>8554</v>
          </cell>
          <cell r="L34">
            <v>32</v>
          </cell>
          <cell r="M34">
            <v>6.61</v>
          </cell>
        </row>
        <row r="35">
          <cell r="A35" t="str">
            <v>YZ-BS-HE9007Sa8L</v>
          </cell>
          <cell r="B35">
            <v>4</v>
          </cell>
          <cell r="C35">
            <v>0</v>
          </cell>
          <cell r="D35">
            <v>0</v>
          </cell>
          <cell r="E35">
            <v>9</v>
          </cell>
          <cell r="F35">
            <v>1</v>
          </cell>
          <cell r="G35">
            <v>0.24</v>
          </cell>
          <cell r="H35">
            <v>6</v>
          </cell>
          <cell r="I35">
            <v>1</v>
          </cell>
          <cell r="J35">
            <v>0.24</v>
          </cell>
          <cell r="K35">
            <v>5</v>
          </cell>
          <cell r="L35">
            <v>0</v>
          </cell>
          <cell r="M35">
            <v>0</v>
          </cell>
        </row>
        <row r="36">
          <cell r="A36" t="str">
            <v>YZ-BS-TJ1245G01L</v>
          </cell>
          <cell r="B36">
            <v>0</v>
          </cell>
          <cell r="C36">
            <v>0</v>
          </cell>
          <cell r="D36">
            <v>0</v>
          </cell>
          <cell r="E36">
            <v>13362</v>
          </cell>
          <cell r="F36">
            <v>71</v>
          </cell>
          <cell r="G36">
            <v>17.4</v>
          </cell>
          <cell r="H36">
            <v>7423</v>
          </cell>
          <cell r="I36">
            <v>51</v>
          </cell>
          <cell r="J36">
            <v>12.24</v>
          </cell>
          <cell r="K36">
            <v>11024</v>
          </cell>
          <cell r="L36">
            <v>77</v>
          </cell>
          <cell r="M36">
            <v>19.28</v>
          </cell>
        </row>
        <row r="37">
          <cell r="A37" t="str">
            <v>YZ-BS-TJ1245W0M</v>
          </cell>
          <cell r="B37">
            <v>30573</v>
          </cell>
          <cell r="C37">
            <v>251</v>
          </cell>
          <cell r="D37">
            <v>45.33</v>
          </cell>
          <cell r="E37">
            <v>22078</v>
          </cell>
          <cell r="F37">
            <v>195</v>
          </cell>
          <cell r="G37">
            <v>40.43</v>
          </cell>
          <cell r="H37">
            <v>8468</v>
          </cell>
          <cell r="I37">
            <v>68</v>
          </cell>
          <cell r="J37">
            <v>16.21</v>
          </cell>
          <cell r="K37">
            <v>5064</v>
          </cell>
          <cell r="L37">
            <v>91</v>
          </cell>
          <cell r="M37">
            <v>20.89</v>
          </cell>
        </row>
        <row r="38">
          <cell r="A38" t="str">
            <v>XZ-BS-YG7223Co4243</v>
          </cell>
          <cell r="B38">
            <v>68</v>
          </cell>
          <cell r="C38">
            <v>1</v>
          </cell>
          <cell r="D38">
            <v>0.31</v>
          </cell>
          <cell r="E38">
            <v>127</v>
          </cell>
          <cell r="F38">
            <v>2</v>
          </cell>
          <cell r="G38">
            <v>0.63</v>
          </cell>
          <cell r="H38">
            <v>65</v>
          </cell>
          <cell r="I38">
            <v>1</v>
          </cell>
          <cell r="J38">
            <v>0.31</v>
          </cell>
          <cell r="K38">
            <v>77</v>
          </cell>
          <cell r="L38">
            <v>3</v>
          </cell>
          <cell r="M38">
            <v>0.66</v>
          </cell>
        </row>
        <row r="39">
          <cell r="A39" t="str">
            <v>XZ-BS-YG7223RB3637</v>
          </cell>
          <cell r="B39">
            <v>51</v>
          </cell>
          <cell r="C39">
            <v>0</v>
          </cell>
          <cell r="D39">
            <v>0</v>
          </cell>
          <cell r="E39">
            <v>198</v>
          </cell>
          <cell r="F39">
            <v>2</v>
          </cell>
          <cell r="G39">
            <v>0.52</v>
          </cell>
          <cell r="H39">
            <v>108</v>
          </cell>
          <cell r="I39">
            <v>1</v>
          </cell>
          <cell r="J39">
            <v>0.21</v>
          </cell>
          <cell r="K39">
            <v>64</v>
          </cell>
          <cell r="L39">
            <v>0</v>
          </cell>
          <cell r="M39">
            <v>0</v>
          </cell>
        </row>
        <row r="40">
          <cell r="A40" t="str">
            <v>CS-LY166-B28-4-M</v>
          </cell>
          <cell r="B40">
            <v>1</v>
          </cell>
          <cell r="C40">
            <v>0</v>
          </cell>
          <cell r="D40">
            <v>0</v>
          </cell>
          <cell r="E40">
            <v>56</v>
          </cell>
          <cell r="F40">
            <v>2</v>
          </cell>
          <cell r="G40">
            <v>0.82</v>
          </cell>
          <cell r="H40">
            <v>55</v>
          </cell>
          <cell r="I40">
            <v>2</v>
          </cell>
          <cell r="J40">
            <v>0.82</v>
          </cell>
          <cell r="K40">
            <v>132</v>
          </cell>
          <cell r="L40">
            <v>0</v>
          </cell>
          <cell r="M40">
            <v>0</v>
          </cell>
        </row>
        <row r="41">
          <cell r="A41" t="str">
            <v>CS-LY166-K33-2-S</v>
          </cell>
          <cell r="B41">
            <v>3</v>
          </cell>
          <cell r="C41">
            <v>0</v>
          </cell>
          <cell r="D41">
            <v>0</v>
          </cell>
          <cell r="E41">
            <v>739</v>
          </cell>
          <cell r="F41">
            <v>3</v>
          </cell>
          <cell r="G41">
            <v>0.88</v>
          </cell>
          <cell r="H41">
            <v>725</v>
          </cell>
          <cell r="I41">
            <v>3</v>
          </cell>
          <cell r="J41">
            <v>0.88</v>
          </cell>
          <cell r="K41">
            <v>505</v>
          </cell>
          <cell r="L41">
            <v>8</v>
          </cell>
          <cell r="M41">
            <v>2.62</v>
          </cell>
        </row>
        <row r="42">
          <cell r="A42" t="str">
            <v>CS-LY166-K73-2-XXL</v>
          </cell>
          <cell r="B42">
            <v>5</v>
          </cell>
          <cell r="C42">
            <v>0</v>
          </cell>
          <cell r="D42">
            <v>0</v>
          </cell>
          <cell r="E42">
            <v>687</v>
          </cell>
          <cell r="F42">
            <v>1</v>
          </cell>
          <cell r="G42">
            <v>0.25</v>
          </cell>
          <cell r="H42">
            <v>682</v>
          </cell>
          <cell r="I42">
            <v>1</v>
          </cell>
          <cell r="J42">
            <v>0.25</v>
          </cell>
          <cell r="K42">
            <v>154</v>
          </cell>
          <cell r="L42">
            <v>1</v>
          </cell>
          <cell r="M42">
            <v>0.29</v>
          </cell>
        </row>
        <row r="43">
          <cell r="A43" t="str">
            <v>YZ-BS-5505DaXXL</v>
          </cell>
          <cell r="B43">
            <v>8201</v>
          </cell>
          <cell r="C43">
            <v>35</v>
          </cell>
          <cell r="D43">
            <v>6.51</v>
          </cell>
          <cell r="E43">
            <v>11178</v>
          </cell>
          <cell r="F43">
            <v>42</v>
          </cell>
          <cell r="G43">
            <v>6.75</v>
          </cell>
          <cell r="H43">
            <v>1622</v>
          </cell>
          <cell r="I43">
            <v>10</v>
          </cell>
          <cell r="J43">
            <v>1.8</v>
          </cell>
          <cell r="K43">
            <v>3968</v>
          </cell>
          <cell r="L43">
            <v>26</v>
          </cell>
          <cell r="M43">
            <v>4.04</v>
          </cell>
        </row>
        <row r="44">
          <cell r="A44" t="str">
            <v>YZ-BS-5505K0-M</v>
          </cell>
          <cell r="B44">
            <v>505</v>
          </cell>
          <cell r="C44">
            <v>20</v>
          </cell>
          <cell r="D44">
            <v>4.29</v>
          </cell>
          <cell r="E44">
            <v>269</v>
          </cell>
          <cell r="F44">
            <v>11</v>
          </cell>
          <cell r="G44">
            <v>2.29</v>
          </cell>
          <cell r="H44">
            <v>51</v>
          </cell>
          <cell r="I44">
            <v>3</v>
          </cell>
          <cell r="J44">
            <v>0.5</v>
          </cell>
          <cell r="K44">
            <v>115</v>
          </cell>
          <cell r="L44">
            <v>3</v>
          </cell>
          <cell r="M44">
            <v>0.64</v>
          </cell>
        </row>
        <row r="45">
          <cell r="A45" t="str">
            <v>YZ-BS-BS5119ZLXL4XL</v>
          </cell>
          <cell r="B45">
            <v>8025</v>
          </cell>
          <cell r="C45">
            <v>43</v>
          </cell>
          <cell r="D45">
            <v>8.97</v>
          </cell>
          <cell r="E45">
            <v>8157</v>
          </cell>
          <cell r="F45">
            <v>62</v>
          </cell>
          <cell r="G45">
            <v>11.74</v>
          </cell>
          <cell r="H45">
            <v>2389</v>
          </cell>
          <cell r="I45">
            <v>21</v>
          </cell>
          <cell r="J45">
            <v>4.41</v>
          </cell>
          <cell r="K45">
            <v>3032</v>
          </cell>
          <cell r="L45">
            <v>16</v>
          </cell>
          <cell r="M45">
            <v>3.08</v>
          </cell>
        </row>
        <row r="46">
          <cell r="A46" t="str">
            <v>XZ-WH6606-ZL-40</v>
          </cell>
          <cell r="B46">
            <v>0</v>
          </cell>
          <cell r="C46">
            <v>0</v>
          </cell>
          <cell r="D46">
            <v>0</v>
          </cell>
          <cell r="E46">
            <v>91</v>
          </cell>
          <cell r="F46">
            <v>1</v>
          </cell>
          <cell r="G46">
            <v>0.11</v>
          </cell>
          <cell r="H46">
            <v>91</v>
          </cell>
          <cell r="I46">
            <v>1</v>
          </cell>
          <cell r="J46">
            <v>0.11</v>
          </cell>
          <cell r="K46">
            <v>563</v>
          </cell>
          <cell r="L46">
            <v>3</v>
          </cell>
          <cell r="M46">
            <v>0.31</v>
          </cell>
        </row>
        <row r="47">
          <cell r="A47" t="str">
            <v>XZ-BS-2115Gr35</v>
          </cell>
          <cell r="B47">
            <v>681</v>
          </cell>
          <cell r="C47">
            <v>4</v>
          </cell>
          <cell r="D47">
            <v>0.88</v>
          </cell>
          <cell r="E47">
            <v>1795</v>
          </cell>
          <cell r="F47">
            <v>7</v>
          </cell>
          <cell r="G47">
            <v>1.41</v>
          </cell>
          <cell r="H47">
            <v>876</v>
          </cell>
          <cell r="I47">
            <v>5</v>
          </cell>
          <cell r="J47">
            <v>1.04</v>
          </cell>
          <cell r="K47">
            <v>2249</v>
          </cell>
          <cell r="L47">
            <v>7</v>
          </cell>
          <cell r="M47">
            <v>1.83</v>
          </cell>
        </row>
        <row r="48">
          <cell r="A48" t="str">
            <v>XZ-BS-PW-2001-C0-37</v>
          </cell>
          <cell r="B48">
            <v>1982</v>
          </cell>
          <cell r="C48">
            <v>4</v>
          </cell>
          <cell r="D48">
            <v>0.47</v>
          </cell>
          <cell r="E48">
            <v>1901</v>
          </cell>
          <cell r="F48">
            <v>1</v>
          </cell>
          <cell r="G48">
            <v>0.12</v>
          </cell>
          <cell r="H48">
            <v>219</v>
          </cell>
          <cell r="I48">
            <v>1</v>
          </cell>
          <cell r="J48">
            <v>0.12</v>
          </cell>
          <cell r="K48">
            <v>925</v>
          </cell>
          <cell r="L48">
            <v>7</v>
          </cell>
          <cell r="M48">
            <v>0.87</v>
          </cell>
        </row>
        <row r="49">
          <cell r="A49" t="str">
            <v>XZ-BS-2115Pi35</v>
          </cell>
          <cell r="B49">
            <v>735</v>
          </cell>
          <cell r="C49">
            <v>3</v>
          </cell>
          <cell r="D49">
            <v>0.41</v>
          </cell>
          <cell r="E49">
            <v>50036</v>
          </cell>
          <cell r="F49">
            <v>32</v>
          </cell>
          <cell r="G49">
            <v>5.68</v>
          </cell>
          <cell r="H49">
            <v>45512</v>
          </cell>
          <cell r="I49">
            <v>25</v>
          </cell>
          <cell r="J49">
            <v>4.63</v>
          </cell>
          <cell r="K49">
            <v>2216</v>
          </cell>
          <cell r="L49">
            <v>9</v>
          </cell>
          <cell r="M49">
            <v>1.4</v>
          </cell>
        </row>
        <row r="50">
          <cell r="A50" t="str">
            <v>YZ-BS-5505K0-L</v>
          </cell>
          <cell r="B50">
            <v>41</v>
          </cell>
          <cell r="C50">
            <v>1</v>
          </cell>
          <cell r="D50">
            <v>0.18</v>
          </cell>
          <cell r="E50">
            <v>180</v>
          </cell>
          <cell r="F50">
            <v>4</v>
          </cell>
          <cell r="G50">
            <v>0.81</v>
          </cell>
          <cell r="H50">
            <v>8</v>
          </cell>
          <cell r="I50">
            <v>0</v>
          </cell>
          <cell r="J50">
            <v>0</v>
          </cell>
          <cell r="K50">
            <v>9</v>
          </cell>
          <cell r="L50">
            <v>0</v>
          </cell>
          <cell r="M50">
            <v>0</v>
          </cell>
        </row>
        <row r="51">
          <cell r="A51" t="str">
            <v>WQS-BN-1503-BO-M</v>
          </cell>
          <cell r="B51">
            <v>64</v>
          </cell>
          <cell r="C51">
            <v>1</v>
          </cell>
          <cell r="D51">
            <v>0.13</v>
          </cell>
          <cell r="E51">
            <v>1240</v>
          </cell>
          <cell r="F51">
            <v>7</v>
          </cell>
          <cell r="G51">
            <v>1.01</v>
          </cell>
          <cell r="H51">
            <v>582</v>
          </cell>
          <cell r="I51">
            <v>2</v>
          </cell>
          <cell r="J51">
            <v>0.56</v>
          </cell>
          <cell r="K51">
            <v>9656</v>
          </cell>
          <cell r="L51">
            <v>39</v>
          </cell>
          <cell r="M51">
            <v>9.83</v>
          </cell>
        </row>
        <row r="52">
          <cell r="A52" t="str">
            <v>WQS-BN-1503-RO-XL</v>
          </cell>
          <cell r="B52">
            <v>0</v>
          </cell>
          <cell r="C52">
            <v>0</v>
          </cell>
          <cell r="D52">
            <v>0</v>
          </cell>
          <cell r="E52">
            <v>1215</v>
          </cell>
          <cell r="F52">
            <v>11</v>
          </cell>
          <cell r="G52">
            <v>3.74</v>
          </cell>
          <cell r="H52">
            <v>1215</v>
          </cell>
          <cell r="I52">
            <v>11</v>
          </cell>
          <cell r="J52">
            <v>3.74</v>
          </cell>
          <cell r="K52">
            <v>1885</v>
          </cell>
          <cell r="L52">
            <v>34</v>
          </cell>
          <cell r="M52">
            <v>10.19</v>
          </cell>
        </row>
        <row r="53">
          <cell r="A53" t="str">
            <v>WQS-BN-1503-WO-XL</v>
          </cell>
          <cell r="B53">
            <v>8</v>
          </cell>
          <cell r="C53">
            <v>0</v>
          </cell>
          <cell r="D53">
            <v>0</v>
          </cell>
          <cell r="E53">
            <v>277</v>
          </cell>
          <cell r="F53">
            <v>4</v>
          </cell>
          <cell r="G53">
            <v>1.16</v>
          </cell>
          <cell r="H53">
            <v>271</v>
          </cell>
          <cell r="I53">
            <v>4</v>
          </cell>
          <cell r="J53">
            <v>1.16</v>
          </cell>
          <cell r="K53">
            <v>447</v>
          </cell>
          <cell r="L53">
            <v>8</v>
          </cell>
          <cell r="M53">
            <v>2.47</v>
          </cell>
        </row>
        <row r="54">
          <cell r="A54" t="str">
            <v>WQS-BN-1503-BO-XL</v>
          </cell>
          <cell r="B54">
            <v>0</v>
          </cell>
          <cell r="C54">
            <v>0</v>
          </cell>
          <cell r="D54">
            <v>0</v>
          </cell>
          <cell r="E54">
            <v>3421</v>
          </cell>
          <cell r="F54">
            <v>25</v>
          </cell>
          <cell r="G54">
            <v>2.89</v>
          </cell>
          <cell r="H54">
            <v>2303</v>
          </cell>
          <cell r="I54">
            <v>9</v>
          </cell>
          <cell r="J54">
            <v>1.22</v>
          </cell>
          <cell r="K54">
            <v>8055</v>
          </cell>
          <cell r="L54">
            <v>17</v>
          </cell>
          <cell r="M54">
            <v>2.02</v>
          </cell>
        </row>
        <row r="55">
          <cell r="A55" t="str">
            <v>WQS-BN-1503-GR-XL</v>
          </cell>
          <cell r="B55">
            <v>3</v>
          </cell>
          <cell r="C55">
            <v>0</v>
          </cell>
          <cell r="D55">
            <v>0</v>
          </cell>
          <cell r="E55">
            <v>2547</v>
          </cell>
          <cell r="F55">
            <v>5</v>
          </cell>
          <cell r="G55">
            <v>0.5</v>
          </cell>
          <cell r="H55">
            <v>1562</v>
          </cell>
          <cell r="I55">
            <v>4</v>
          </cell>
          <cell r="J55">
            <v>0.39</v>
          </cell>
          <cell r="K55">
            <v>872</v>
          </cell>
          <cell r="L55">
            <v>5</v>
          </cell>
          <cell r="M55">
            <v>0.63</v>
          </cell>
        </row>
        <row r="56">
          <cell r="A56" t="str">
            <v>WQS-BN-1503-KO-L</v>
          </cell>
          <cell r="B56">
            <v>22</v>
          </cell>
          <cell r="C56">
            <v>0</v>
          </cell>
          <cell r="D56">
            <v>0</v>
          </cell>
          <cell r="E56">
            <v>1009</v>
          </cell>
          <cell r="F56">
            <v>15</v>
          </cell>
          <cell r="G56">
            <v>1.69</v>
          </cell>
          <cell r="H56">
            <v>325</v>
          </cell>
          <cell r="I56">
            <v>7</v>
          </cell>
          <cell r="J56">
            <v>0.91</v>
          </cell>
          <cell r="K56">
            <v>642</v>
          </cell>
          <cell r="L56">
            <v>3</v>
          </cell>
          <cell r="M56">
            <v>0.35</v>
          </cell>
        </row>
        <row r="57">
          <cell r="A57" t="str">
            <v>WQS-BN-1503-RO-M</v>
          </cell>
          <cell r="B57">
            <v>0</v>
          </cell>
          <cell r="C57">
            <v>0</v>
          </cell>
          <cell r="D57">
            <v>0</v>
          </cell>
          <cell r="E57">
            <v>5777</v>
          </cell>
          <cell r="F57">
            <v>10</v>
          </cell>
          <cell r="G57">
            <v>1.04</v>
          </cell>
          <cell r="H57">
            <v>5777</v>
          </cell>
          <cell r="I57">
            <v>10</v>
          </cell>
          <cell r="J57">
            <v>1.04</v>
          </cell>
          <cell r="K57">
            <v>10853</v>
          </cell>
          <cell r="L57">
            <v>28</v>
          </cell>
          <cell r="M57">
            <v>3.23</v>
          </cell>
        </row>
        <row r="58">
          <cell r="A58" t="str">
            <v>YZ-BS-BSLLHTXL</v>
          </cell>
          <cell r="B58">
            <v>2105</v>
          </cell>
          <cell r="C58">
            <v>6</v>
          </cell>
          <cell r="D58">
            <v>0.79</v>
          </cell>
          <cell r="E58">
            <v>14153</v>
          </cell>
          <cell r="F58">
            <v>64</v>
          </cell>
          <cell r="G58">
            <v>8.1</v>
          </cell>
          <cell r="H58">
            <v>2966</v>
          </cell>
          <cell r="I58">
            <v>14</v>
          </cell>
          <cell r="J58">
            <v>1.77</v>
          </cell>
          <cell r="K58">
            <v>1002</v>
          </cell>
          <cell r="L58">
            <v>4</v>
          </cell>
          <cell r="M58">
            <v>0.41</v>
          </cell>
        </row>
        <row r="59">
          <cell r="A59" t="str">
            <v>YZ-BS-BSLLIT3XL</v>
          </cell>
          <cell r="B59">
            <v>0</v>
          </cell>
          <cell r="C59">
            <v>0</v>
          </cell>
          <cell r="D59">
            <v>0</v>
          </cell>
          <cell r="E59">
            <v>747</v>
          </cell>
          <cell r="F59">
            <v>4</v>
          </cell>
          <cell r="G59">
            <v>0.54</v>
          </cell>
          <cell r="H59">
            <v>401</v>
          </cell>
          <cell r="I59">
            <v>3</v>
          </cell>
          <cell r="J59">
            <v>0.4</v>
          </cell>
          <cell r="K59">
            <v>564</v>
          </cell>
          <cell r="L59">
            <v>3</v>
          </cell>
          <cell r="M59">
            <v>0.49</v>
          </cell>
        </row>
        <row r="60">
          <cell r="A60" t="str">
            <v>MY-SB019-BL-L</v>
          </cell>
          <cell r="B60">
            <v>0</v>
          </cell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>
            <v>82</v>
          </cell>
          <cell r="L60">
            <v>2</v>
          </cell>
          <cell r="M60">
            <v>0.61</v>
          </cell>
        </row>
        <row r="61">
          <cell r="A61" t="str">
            <v>MY-SB019-DG-XL</v>
          </cell>
          <cell r="B61">
            <v>512</v>
          </cell>
          <cell r="C61">
            <v>0</v>
          </cell>
          <cell r="D61">
            <v>0</v>
          </cell>
          <cell r="E61">
            <v>743</v>
          </cell>
          <cell r="F61">
            <v>2</v>
          </cell>
          <cell r="G61">
            <v>0.59</v>
          </cell>
          <cell r="H61">
            <v>284</v>
          </cell>
          <cell r="I61">
            <v>1</v>
          </cell>
          <cell r="J61">
            <v>0.43</v>
          </cell>
          <cell r="K61">
            <v>68</v>
          </cell>
          <cell r="L61">
            <v>0</v>
          </cell>
          <cell r="M61">
            <v>0</v>
          </cell>
        </row>
        <row r="62">
          <cell r="A62" t="str">
            <v>MY-SB019-LG-M</v>
          </cell>
          <cell r="B62">
            <v>888</v>
          </cell>
          <cell r="C62">
            <v>4</v>
          </cell>
          <cell r="D62">
            <v>1.01</v>
          </cell>
          <cell r="E62">
            <v>2520</v>
          </cell>
          <cell r="F62">
            <v>9</v>
          </cell>
          <cell r="G62">
            <v>1.8</v>
          </cell>
          <cell r="H62">
            <v>899</v>
          </cell>
          <cell r="I62">
            <v>6</v>
          </cell>
          <cell r="J62">
            <v>1.26</v>
          </cell>
          <cell r="K62">
            <v>560</v>
          </cell>
          <cell r="L62">
            <v>2</v>
          </cell>
          <cell r="M62">
            <v>0.36</v>
          </cell>
        </row>
        <row r="63">
          <cell r="A63" t="str">
            <v>MY-SB019-RD-L</v>
          </cell>
          <cell r="B63">
            <v>0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1972</v>
          </cell>
          <cell r="L63">
            <v>1</v>
          </cell>
          <cell r="M63">
            <v>0.25</v>
          </cell>
        </row>
        <row r="64">
          <cell r="A64" t="str">
            <v>MY-SB019-RD-XL</v>
          </cell>
          <cell r="B64">
            <v>1025</v>
          </cell>
          <cell r="C64">
            <v>0</v>
          </cell>
          <cell r="D64">
            <v>0</v>
          </cell>
          <cell r="E64">
            <v>1377</v>
          </cell>
          <cell r="F64">
            <v>4</v>
          </cell>
          <cell r="G64">
            <v>0.85</v>
          </cell>
          <cell r="H64">
            <v>756</v>
          </cell>
          <cell r="I64">
            <v>1</v>
          </cell>
          <cell r="J64">
            <v>0.29</v>
          </cell>
          <cell r="K64">
            <v>1554</v>
          </cell>
          <cell r="L64">
            <v>4</v>
          </cell>
          <cell r="M64">
            <v>0.42</v>
          </cell>
        </row>
        <row r="65">
          <cell r="A65" t="str">
            <v>BS-WH1731-R0-XL</v>
          </cell>
          <cell r="B65">
            <v>2723</v>
          </cell>
          <cell r="C65">
            <v>15</v>
          </cell>
          <cell r="D65">
            <v>2</v>
          </cell>
          <cell r="E65">
            <v>5940</v>
          </cell>
          <cell r="F65">
            <v>28</v>
          </cell>
          <cell r="G65">
            <v>4.11</v>
          </cell>
          <cell r="H65">
            <v>2477</v>
          </cell>
          <cell r="I65">
            <v>16</v>
          </cell>
          <cell r="J65">
            <v>2.48</v>
          </cell>
          <cell r="K65">
            <v>1322</v>
          </cell>
          <cell r="L65">
            <v>9</v>
          </cell>
          <cell r="M65">
            <v>1.35</v>
          </cell>
        </row>
        <row r="66">
          <cell r="A66" t="str">
            <v>YZ-BS-5505Da0L</v>
          </cell>
          <cell r="B66">
            <v>20396</v>
          </cell>
          <cell r="C66">
            <v>126</v>
          </cell>
          <cell r="D66">
            <v>19.55</v>
          </cell>
          <cell r="E66">
            <v>11304</v>
          </cell>
          <cell r="F66">
            <v>73</v>
          </cell>
          <cell r="G66">
            <v>11.26</v>
          </cell>
          <cell r="H66">
            <v>0</v>
          </cell>
          <cell r="I66">
            <v>0</v>
          </cell>
          <cell r="J66">
            <v>0</v>
          </cell>
          <cell r="K66">
            <v>484</v>
          </cell>
          <cell r="L66">
            <v>3</v>
          </cell>
          <cell r="M66">
            <v>0.6</v>
          </cell>
        </row>
        <row r="67">
          <cell r="A67" t="str">
            <v>YZ-BS-5505JRM</v>
          </cell>
          <cell r="B67">
            <v>7909</v>
          </cell>
          <cell r="C67">
            <v>45</v>
          </cell>
          <cell r="D67">
            <v>7.66</v>
          </cell>
          <cell r="E67">
            <v>5830</v>
          </cell>
          <cell r="F67">
            <v>34</v>
          </cell>
          <cell r="G67">
            <v>5.7</v>
          </cell>
          <cell r="H67">
            <v>428</v>
          </cell>
          <cell r="I67">
            <v>3</v>
          </cell>
          <cell r="J67">
            <v>0.58</v>
          </cell>
          <cell r="K67">
            <v>423</v>
          </cell>
          <cell r="L67">
            <v>6</v>
          </cell>
          <cell r="M67">
            <v>1.24</v>
          </cell>
        </row>
        <row r="68">
          <cell r="A68" t="str">
            <v>YZ-BS-5505Lb0XS</v>
          </cell>
          <cell r="B68">
            <v>2740</v>
          </cell>
          <cell r="C68">
            <v>10</v>
          </cell>
          <cell r="D68">
            <v>1.72</v>
          </cell>
          <cell r="E68">
            <v>6193</v>
          </cell>
          <cell r="F68">
            <v>20</v>
          </cell>
          <cell r="G68">
            <v>2.93</v>
          </cell>
          <cell r="H68">
            <v>3695</v>
          </cell>
          <cell r="I68">
            <v>14</v>
          </cell>
          <cell r="J68">
            <v>1.83</v>
          </cell>
          <cell r="K68">
            <v>1201</v>
          </cell>
          <cell r="L68">
            <v>9</v>
          </cell>
          <cell r="M68">
            <v>1.36</v>
          </cell>
        </row>
        <row r="69">
          <cell r="A69" t="str">
            <v>YZ-BS-BS5119ZLXLXL</v>
          </cell>
          <cell r="B69">
            <v>6647</v>
          </cell>
          <cell r="C69">
            <v>25</v>
          </cell>
          <cell r="D69">
            <v>2.8</v>
          </cell>
          <cell r="E69">
            <v>6329</v>
          </cell>
          <cell r="F69">
            <v>22</v>
          </cell>
          <cell r="G69">
            <v>2.65</v>
          </cell>
          <cell r="H69">
            <v>2781</v>
          </cell>
          <cell r="I69">
            <v>8</v>
          </cell>
          <cell r="J69">
            <v>1.04</v>
          </cell>
          <cell r="K69">
            <v>9981</v>
          </cell>
          <cell r="L69">
            <v>28</v>
          </cell>
          <cell r="M69">
            <v>3.86</v>
          </cell>
        </row>
        <row r="70">
          <cell r="A70" t="str">
            <v>YZ-BS-BShyl5119-YH-XL</v>
          </cell>
          <cell r="B70">
            <v>0</v>
          </cell>
          <cell r="C70">
            <v>0</v>
          </cell>
          <cell r="D70">
            <v>0</v>
          </cell>
          <cell r="E70">
            <v>13385</v>
          </cell>
          <cell r="F70">
            <v>65</v>
          </cell>
          <cell r="G70">
            <v>8.25</v>
          </cell>
          <cell r="H70">
            <v>5689</v>
          </cell>
          <cell r="I70">
            <v>34</v>
          </cell>
          <cell r="J70">
            <v>4.51</v>
          </cell>
          <cell r="K70">
            <v>119</v>
          </cell>
          <cell r="L70">
            <v>0</v>
          </cell>
          <cell r="M70">
            <v>0</v>
          </cell>
        </row>
        <row r="71">
          <cell r="A71" t="str">
            <v>YZ-BS-BShyl5119-YT-XL</v>
          </cell>
          <cell r="B71">
            <v>2050</v>
          </cell>
          <cell r="C71">
            <v>22</v>
          </cell>
          <cell r="D71">
            <v>2.92</v>
          </cell>
          <cell r="E71">
            <v>10022</v>
          </cell>
          <cell r="F71">
            <v>62</v>
          </cell>
          <cell r="G71">
            <v>7.52</v>
          </cell>
          <cell r="H71">
            <v>4282</v>
          </cell>
          <cell r="I71">
            <v>25</v>
          </cell>
          <cell r="J71">
            <v>2.97</v>
          </cell>
          <cell r="K71">
            <v>252</v>
          </cell>
          <cell r="L71">
            <v>2</v>
          </cell>
          <cell r="M71">
            <v>0.29</v>
          </cell>
        </row>
        <row r="72">
          <cell r="A72" t="str">
            <v>YZ-BS-BShyl5119K0M</v>
          </cell>
          <cell r="B72">
            <v>12369</v>
          </cell>
          <cell r="C72">
            <v>58</v>
          </cell>
          <cell r="D72">
            <v>7.14</v>
          </cell>
          <cell r="E72">
            <v>11197</v>
          </cell>
          <cell r="F72">
            <v>46</v>
          </cell>
          <cell r="G72">
            <v>4.56</v>
          </cell>
          <cell r="H72">
            <v>5717</v>
          </cell>
          <cell r="I72">
            <v>21</v>
          </cell>
          <cell r="J72">
            <v>2.03</v>
          </cell>
          <cell r="K72">
            <v>3571</v>
          </cell>
          <cell r="L72">
            <v>17</v>
          </cell>
          <cell r="M72">
            <v>1.76</v>
          </cell>
        </row>
        <row r="73">
          <cell r="A73" t="str">
            <v>YZ-BS-HE9007Se4L</v>
          </cell>
          <cell r="B73">
            <v>5</v>
          </cell>
          <cell r="C73">
            <v>0</v>
          </cell>
          <cell r="D73">
            <v>0</v>
          </cell>
          <cell r="E73">
            <v>8</v>
          </cell>
          <cell r="F73">
            <v>0</v>
          </cell>
          <cell r="G73">
            <v>0</v>
          </cell>
          <cell r="H73">
            <v>7</v>
          </cell>
          <cell r="I73">
            <v>0</v>
          </cell>
          <cell r="J73">
            <v>0</v>
          </cell>
          <cell r="K73">
            <v>3</v>
          </cell>
          <cell r="L73">
            <v>0</v>
          </cell>
          <cell r="M73">
            <v>0</v>
          </cell>
        </row>
        <row r="74">
          <cell r="A74" t="str">
            <v>YZ-BS-HE9007Sa4L</v>
          </cell>
          <cell r="B74">
            <v>2574</v>
          </cell>
          <cell r="C74">
            <v>17</v>
          </cell>
          <cell r="D74">
            <v>3.43</v>
          </cell>
          <cell r="E74">
            <v>6229</v>
          </cell>
          <cell r="F74">
            <v>19</v>
          </cell>
          <cell r="G74">
            <v>4</v>
          </cell>
          <cell r="H74">
            <v>5613</v>
          </cell>
          <cell r="I74">
            <v>17</v>
          </cell>
          <cell r="J74">
            <v>3.52</v>
          </cell>
          <cell r="K74">
            <v>4263</v>
          </cell>
          <cell r="L74">
            <v>27</v>
          </cell>
          <cell r="M74">
            <v>5.95</v>
          </cell>
        </row>
        <row r="75">
          <cell r="A75" t="str">
            <v>YZ-BS-HE9007Se2L</v>
          </cell>
          <cell r="B75">
            <v>16220</v>
          </cell>
          <cell r="C75">
            <v>65</v>
          </cell>
          <cell r="D75">
            <v>15.07</v>
          </cell>
          <cell r="E75">
            <v>19150</v>
          </cell>
          <cell r="F75">
            <v>85</v>
          </cell>
          <cell r="G75">
            <v>19.11</v>
          </cell>
          <cell r="H75">
            <v>5721</v>
          </cell>
          <cell r="I75">
            <v>25</v>
          </cell>
          <cell r="J75">
            <v>5.67</v>
          </cell>
          <cell r="K75">
            <v>4214</v>
          </cell>
          <cell r="L75">
            <v>41</v>
          </cell>
          <cell r="M75">
            <v>9.52</v>
          </cell>
        </row>
        <row r="76">
          <cell r="A76" t="str">
            <v>YZ-BS-HE9008Sa5L</v>
          </cell>
          <cell r="B76">
            <v>3171</v>
          </cell>
          <cell r="C76">
            <v>15</v>
          </cell>
          <cell r="D76">
            <v>2.99</v>
          </cell>
          <cell r="E76">
            <v>8167</v>
          </cell>
          <cell r="F76">
            <v>30</v>
          </cell>
          <cell r="G76">
            <v>5.94</v>
          </cell>
          <cell r="H76">
            <v>2070</v>
          </cell>
          <cell r="I76">
            <v>6</v>
          </cell>
          <cell r="J76">
            <v>1.28</v>
          </cell>
          <cell r="K76">
            <v>594</v>
          </cell>
          <cell r="L76">
            <v>2</v>
          </cell>
          <cell r="M76">
            <v>0.57</v>
          </cell>
        </row>
        <row r="77">
          <cell r="A77" t="str">
            <v>YZ-BS-HE9008Se3L</v>
          </cell>
          <cell r="B77">
            <v>4906</v>
          </cell>
          <cell r="C77">
            <v>33</v>
          </cell>
          <cell r="D77">
            <v>6.59</v>
          </cell>
          <cell r="E77">
            <v>11426</v>
          </cell>
          <cell r="F77">
            <v>67</v>
          </cell>
          <cell r="G77">
            <v>12.54</v>
          </cell>
          <cell r="H77">
            <v>5468</v>
          </cell>
          <cell r="I77">
            <v>39</v>
          </cell>
          <cell r="J77">
            <v>7.33</v>
          </cell>
          <cell r="K77">
            <v>12934</v>
          </cell>
          <cell r="L77">
            <v>53</v>
          </cell>
          <cell r="M77">
            <v>9.77</v>
          </cell>
        </row>
        <row r="78">
          <cell r="A78" t="str">
            <v>BS-WH1731-K0-M</v>
          </cell>
          <cell r="B78">
            <v>2129</v>
          </cell>
          <cell r="C78">
            <v>9</v>
          </cell>
          <cell r="D78">
            <v>1.09</v>
          </cell>
          <cell r="E78">
            <v>2175</v>
          </cell>
          <cell r="F78">
            <v>6</v>
          </cell>
          <cell r="G78">
            <v>0.59</v>
          </cell>
          <cell r="H78">
            <v>733</v>
          </cell>
          <cell r="I78">
            <v>1</v>
          </cell>
          <cell r="J78">
            <v>0.05</v>
          </cell>
          <cell r="K78">
            <v>4268</v>
          </cell>
          <cell r="L78">
            <v>8</v>
          </cell>
          <cell r="M78">
            <v>1.19</v>
          </cell>
        </row>
        <row r="79">
          <cell r="A79" t="str">
            <v>XZ-WH1509-W0-3536</v>
          </cell>
          <cell r="B79">
            <v>1131</v>
          </cell>
          <cell r="C79">
            <v>1</v>
          </cell>
          <cell r="D79">
            <v>0.06</v>
          </cell>
          <cell r="E79">
            <v>1926</v>
          </cell>
          <cell r="F79">
            <v>3</v>
          </cell>
          <cell r="G79">
            <v>0.51</v>
          </cell>
          <cell r="H79">
            <v>904</v>
          </cell>
          <cell r="I79">
            <v>1</v>
          </cell>
          <cell r="J79">
            <v>0.15</v>
          </cell>
          <cell r="K79">
            <v>669</v>
          </cell>
          <cell r="L79">
            <v>0</v>
          </cell>
          <cell r="M79">
            <v>0</v>
          </cell>
        </row>
        <row r="80">
          <cell r="A80" t="str">
            <v>WY-SB017-BK-L</v>
          </cell>
          <cell r="B80">
            <v>194</v>
          </cell>
          <cell r="C80">
            <v>0</v>
          </cell>
          <cell r="D80">
            <v>0</v>
          </cell>
          <cell r="E80">
            <v>64</v>
          </cell>
          <cell r="F80">
            <v>0</v>
          </cell>
          <cell r="G80">
            <v>0</v>
          </cell>
          <cell r="H80">
            <v>10</v>
          </cell>
          <cell r="I80">
            <v>0</v>
          </cell>
          <cell r="J80">
            <v>0</v>
          </cell>
          <cell r="K80">
            <v>24</v>
          </cell>
          <cell r="L80">
            <v>2</v>
          </cell>
          <cell r="M80">
            <v>0.3</v>
          </cell>
        </row>
        <row r="81">
          <cell r="A81" t="str">
            <v>WY-SB017-BK-M</v>
          </cell>
          <cell r="B81">
            <v>7</v>
          </cell>
          <cell r="C81">
            <v>0</v>
          </cell>
          <cell r="D81">
            <v>0</v>
          </cell>
          <cell r="E81">
            <v>21</v>
          </cell>
          <cell r="F81">
            <v>0</v>
          </cell>
          <cell r="G81">
            <v>0</v>
          </cell>
          <cell r="H81">
            <v>9</v>
          </cell>
          <cell r="I81">
            <v>0</v>
          </cell>
          <cell r="J81">
            <v>0</v>
          </cell>
          <cell r="K81">
            <v>14</v>
          </cell>
          <cell r="L81">
            <v>0</v>
          </cell>
          <cell r="M81">
            <v>0</v>
          </cell>
        </row>
        <row r="82">
          <cell r="A82" t="str">
            <v>WY-SB017-BK-S</v>
          </cell>
          <cell r="B82">
            <v>19</v>
          </cell>
          <cell r="C82">
            <v>0</v>
          </cell>
          <cell r="D82">
            <v>0</v>
          </cell>
          <cell r="E82">
            <v>152</v>
          </cell>
          <cell r="F82">
            <v>0</v>
          </cell>
          <cell r="G82">
            <v>0</v>
          </cell>
          <cell r="H82">
            <v>62</v>
          </cell>
          <cell r="I82">
            <v>0</v>
          </cell>
          <cell r="J82">
            <v>0</v>
          </cell>
          <cell r="K82">
            <v>34</v>
          </cell>
          <cell r="L82">
            <v>0</v>
          </cell>
          <cell r="M82">
            <v>0</v>
          </cell>
        </row>
        <row r="83">
          <cell r="A83" t="str">
            <v>WY-SB017-BK-XL</v>
          </cell>
          <cell r="B83">
            <v>9</v>
          </cell>
          <cell r="C83">
            <v>0</v>
          </cell>
          <cell r="D83">
            <v>0</v>
          </cell>
          <cell r="E83">
            <v>15</v>
          </cell>
          <cell r="F83">
            <v>0</v>
          </cell>
          <cell r="G83">
            <v>0</v>
          </cell>
          <cell r="H83">
            <v>6</v>
          </cell>
          <cell r="I83">
            <v>0</v>
          </cell>
          <cell r="J83">
            <v>0</v>
          </cell>
          <cell r="K83">
            <v>14</v>
          </cell>
          <cell r="L83">
            <v>0</v>
          </cell>
          <cell r="M83">
            <v>0</v>
          </cell>
        </row>
        <row r="84">
          <cell r="A84" t="str">
            <v>WY-SB017-BK-XXL</v>
          </cell>
          <cell r="B84">
            <v>33</v>
          </cell>
          <cell r="C84">
            <v>1</v>
          </cell>
          <cell r="D84">
            <v>0.21</v>
          </cell>
          <cell r="E84">
            <v>62</v>
          </cell>
          <cell r="F84">
            <v>0</v>
          </cell>
          <cell r="G84">
            <v>0</v>
          </cell>
          <cell r="H84">
            <v>35</v>
          </cell>
          <cell r="I84">
            <v>0</v>
          </cell>
          <cell r="J84">
            <v>0</v>
          </cell>
          <cell r="K84">
            <v>50</v>
          </cell>
          <cell r="L84">
            <v>0</v>
          </cell>
          <cell r="M84">
            <v>0</v>
          </cell>
        </row>
        <row r="85">
          <cell r="A85" t="str">
            <v>WY-SB017-DG-M</v>
          </cell>
          <cell r="B85">
            <v>7</v>
          </cell>
          <cell r="C85">
            <v>0</v>
          </cell>
          <cell r="D85">
            <v>0</v>
          </cell>
          <cell r="E85">
            <v>35</v>
          </cell>
          <cell r="F85">
            <v>0</v>
          </cell>
          <cell r="G85">
            <v>0</v>
          </cell>
          <cell r="H85">
            <v>12</v>
          </cell>
          <cell r="I85">
            <v>0</v>
          </cell>
          <cell r="J85">
            <v>0</v>
          </cell>
          <cell r="K85">
            <v>31</v>
          </cell>
          <cell r="L85">
            <v>0</v>
          </cell>
          <cell r="M85">
            <v>0</v>
          </cell>
        </row>
        <row r="86">
          <cell r="A86" t="str">
            <v>WY-SB017-DG-S</v>
          </cell>
          <cell r="B86">
            <v>1</v>
          </cell>
          <cell r="C86">
            <v>0</v>
          </cell>
          <cell r="D86">
            <v>0</v>
          </cell>
          <cell r="E86">
            <v>85</v>
          </cell>
          <cell r="F86">
            <v>0</v>
          </cell>
          <cell r="G86">
            <v>0</v>
          </cell>
          <cell r="H86">
            <v>51</v>
          </cell>
          <cell r="I86">
            <v>0</v>
          </cell>
          <cell r="J86">
            <v>0</v>
          </cell>
          <cell r="K86">
            <v>106</v>
          </cell>
          <cell r="L86">
            <v>0</v>
          </cell>
          <cell r="M86">
            <v>0</v>
          </cell>
        </row>
        <row r="87">
          <cell r="A87" t="str">
            <v>WY-SB017-DG-XL</v>
          </cell>
          <cell r="B87">
            <v>10</v>
          </cell>
          <cell r="C87">
            <v>0</v>
          </cell>
          <cell r="D87">
            <v>0</v>
          </cell>
          <cell r="E87">
            <v>71</v>
          </cell>
          <cell r="F87">
            <v>0</v>
          </cell>
          <cell r="G87">
            <v>0</v>
          </cell>
          <cell r="H87">
            <v>67</v>
          </cell>
          <cell r="I87">
            <v>0</v>
          </cell>
          <cell r="J87">
            <v>0</v>
          </cell>
          <cell r="K87">
            <v>22</v>
          </cell>
          <cell r="L87">
            <v>0</v>
          </cell>
          <cell r="M87">
            <v>0</v>
          </cell>
        </row>
        <row r="88">
          <cell r="A88" t="str">
            <v>WY-SB017-DG-XXL</v>
          </cell>
          <cell r="B88">
            <v>5</v>
          </cell>
          <cell r="C88">
            <v>0</v>
          </cell>
          <cell r="D88">
            <v>0</v>
          </cell>
          <cell r="E88">
            <v>12</v>
          </cell>
          <cell r="F88">
            <v>0</v>
          </cell>
          <cell r="G88">
            <v>0</v>
          </cell>
          <cell r="H88">
            <v>7</v>
          </cell>
          <cell r="I88">
            <v>0</v>
          </cell>
          <cell r="J88">
            <v>0</v>
          </cell>
          <cell r="K88">
            <v>22</v>
          </cell>
          <cell r="L88">
            <v>0</v>
          </cell>
          <cell r="M88">
            <v>0</v>
          </cell>
        </row>
        <row r="89">
          <cell r="A89" t="str">
            <v>WY-SB017-LG-L</v>
          </cell>
          <cell r="B89">
            <v>0</v>
          </cell>
          <cell r="C89">
            <v>0</v>
          </cell>
          <cell r="D89">
            <v>0</v>
          </cell>
          <cell r="E89">
            <v>51</v>
          </cell>
          <cell r="F89">
            <v>0</v>
          </cell>
          <cell r="G89">
            <v>0</v>
          </cell>
          <cell r="H89">
            <v>17</v>
          </cell>
          <cell r="I89">
            <v>0</v>
          </cell>
          <cell r="J89">
            <v>0</v>
          </cell>
          <cell r="K89">
            <v>141</v>
          </cell>
          <cell r="L89">
            <v>1</v>
          </cell>
          <cell r="M89">
            <v>0.19</v>
          </cell>
        </row>
        <row r="90">
          <cell r="A90" t="str">
            <v>WY-SB017-LG-S</v>
          </cell>
          <cell r="B90">
            <v>143</v>
          </cell>
          <cell r="C90">
            <v>0</v>
          </cell>
          <cell r="D90">
            <v>0</v>
          </cell>
          <cell r="E90">
            <v>639</v>
          </cell>
          <cell r="F90">
            <v>0</v>
          </cell>
          <cell r="G90">
            <v>0</v>
          </cell>
          <cell r="H90">
            <v>380</v>
          </cell>
          <cell r="I90">
            <v>0</v>
          </cell>
          <cell r="J90">
            <v>0</v>
          </cell>
          <cell r="K90">
            <v>303</v>
          </cell>
          <cell r="L90">
            <v>0</v>
          </cell>
          <cell r="M90">
            <v>0</v>
          </cell>
        </row>
        <row r="91">
          <cell r="A91" t="str">
            <v>WY-SB017-LG-XL</v>
          </cell>
          <cell r="B91">
            <v>21</v>
          </cell>
          <cell r="C91">
            <v>0</v>
          </cell>
          <cell r="D91">
            <v>0</v>
          </cell>
          <cell r="E91">
            <v>70</v>
          </cell>
          <cell r="F91">
            <v>0</v>
          </cell>
          <cell r="G91">
            <v>0</v>
          </cell>
          <cell r="H91">
            <v>47</v>
          </cell>
          <cell r="I91">
            <v>0</v>
          </cell>
          <cell r="J91">
            <v>0</v>
          </cell>
          <cell r="K91">
            <v>38</v>
          </cell>
          <cell r="L91">
            <v>0</v>
          </cell>
          <cell r="M91">
            <v>0</v>
          </cell>
        </row>
        <row r="92">
          <cell r="A92" t="str">
            <v>WY-SB017-LG-XXL</v>
          </cell>
          <cell r="B92">
            <v>65</v>
          </cell>
          <cell r="C92">
            <v>0</v>
          </cell>
          <cell r="D92">
            <v>0</v>
          </cell>
          <cell r="E92">
            <v>90</v>
          </cell>
          <cell r="F92">
            <v>0</v>
          </cell>
          <cell r="G92">
            <v>0</v>
          </cell>
          <cell r="H92">
            <v>55</v>
          </cell>
          <cell r="I92">
            <v>0</v>
          </cell>
          <cell r="J92">
            <v>0</v>
          </cell>
          <cell r="K92">
            <v>87</v>
          </cell>
          <cell r="L92">
            <v>0</v>
          </cell>
          <cell r="M92">
            <v>0</v>
          </cell>
        </row>
        <row r="93">
          <cell r="A93" t="str">
            <v>WY-SB017-NY-S</v>
          </cell>
          <cell r="B93">
            <v>6</v>
          </cell>
          <cell r="C93">
            <v>0</v>
          </cell>
          <cell r="D93">
            <v>0</v>
          </cell>
          <cell r="E93">
            <v>61</v>
          </cell>
          <cell r="F93">
            <v>0</v>
          </cell>
          <cell r="G93">
            <v>0</v>
          </cell>
          <cell r="H93">
            <v>42</v>
          </cell>
          <cell r="I93">
            <v>0</v>
          </cell>
          <cell r="J93">
            <v>0</v>
          </cell>
          <cell r="K93">
            <v>26</v>
          </cell>
          <cell r="L93">
            <v>0</v>
          </cell>
          <cell r="M93">
            <v>0</v>
          </cell>
        </row>
        <row r="94">
          <cell r="A94" t="str">
            <v>WY-SB017-NY-XL</v>
          </cell>
          <cell r="B94">
            <v>146</v>
          </cell>
          <cell r="C94">
            <v>0</v>
          </cell>
          <cell r="D94">
            <v>0</v>
          </cell>
          <cell r="E94">
            <v>57</v>
          </cell>
          <cell r="F94">
            <v>0</v>
          </cell>
          <cell r="G94">
            <v>0</v>
          </cell>
          <cell r="H94">
            <v>37</v>
          </cell>
          <cell r="I94">
            <v>0</v>
          </cell>
          <cell r="J94">
            <v>0</v>
          </cell>
          <cell r="K94">
            <v>42</v>
          </cell>
          <cell r="L94">
            <v>0</v>
          </cell>
          <cell r="M94">
            <v>0</v>
          </cell>
        </row>
        <row r="95">
          <cell r="A95" t="str">
            <v>WY-SB017-NY-XXL</v>
          </cell>
          <cell r="B95">
            <v>453</v>
          </cell>
          <cell r="C95">
            <v>1</v>
          </cell>
          <cell r="D95">
            <v>0.25</v>
          </cell>
          <cell r="E95">
            <v>165</v>
          </cell>
          <cell r="F95">
            <v>0</v>
          </cell>
          <cell r="G95">
            <v>0</v>
          </cell>
          <cell r="H95">
            <v>46</v>
          </cell>
          <cell r="I95">
            <v>0</v>
          </cell>
          <cell r="J95">
            <v>0</v>
          </cell>
          <cell r="K95">
            <v>44</v>
          </cell>
          <cell r="L95">
            <v>0</v>
          </cell>
          <cell r="M95">
            <v>0</v>
          </cell>
        </row>
        <row r="96">
          <cell r="A96" t="str">
            <v>WY-SB017-PK-M</v>
          </cell>
          <cell r="B96">
            <v>102</v>
          </cell>
          <cell r="C96">
            <v>1</v>
          </cell>
          <cell r="D96">
            <v>0.22</v>
          </cell>
          <cell r="E96">
            <v>386</v>
          </cell>
          <cell r="F96">
            <v>1</v>
          </cell>
          <cell r="G96">
            <v>0.28</v>
          </cell>
          <cell r="H96">
            <v>222</v>
          </cell>
          <cell r="I96">
            <v>0</v>
          </cell>
          <cell r="J96">
            <v>0</v>
          </cell>
          <cell r="K96">
            <v>1753</v>
          </cell>
          <cell r="L96">
            <v>0</v>
          </cell>
          <cell r="M96">
            <v>0</v>
          </cell>
        </row>
        <row r="97">
          <cell r="A97" t="str">
            <v>WY-SB017-PK-XL</v>
          </cell>
          <cell r="B97">
            <v>171</v>
          </cell>
          <cell r="C97">
            <v>0</v>
          </cell>
          <cell r="D97">
            <v>0</v>
          </cell>
          <cell r="E97">
            <v>627</v>
          </cell>
          <cell r="F97">
            <v>1</v>
          </cell>
          <cell r="G97">
            <v>0.17</v>
          </cell>
          <cell r="H97">
            <v>147</v>
          </cell>
          <cell r="I97">
            <v>0</v>
          </cell>
          <cell r="J97">
            <v>0</v>
          </cell>
          <cell r="K97">
            <v>22</v>
          </cell>
          <cell r="L97">
            <v>0</v>
          </cell>
          <cell r="M97">
            <v>0</v>
          </cell>
        </row>
        <row r="98">
          <cell r="A98" t="str">
            <v>WY-SB017-PK-XXL</v>
          </cell>
          <cell r="B98">
            <v>63</v>
          </cell>
          <cell r="C98">
            <v>0</v>
          </cell>
          <cell r="D98">
            <v>0</v>
          </cell>
          <cell r="E98">
            <v>246</v>
          </cell>
          <cell r="F98">
            <v>0</v>
          </cell>
          <cell r="G98">
            <v>0</v>
          </cell>
          <cell r="H98">
            <v>189</v>
          </cell>
          <cell r="I98">
            <v>0</v>
          </cell>
          <cell r="J98">
            <v>0</v>
          </cell>
          <cell r="K98">
            <v>36</v>
          </cell>
          <cell r="L98">
            <v>0</v>
          </cell>
          <cell r="M98">
            <v>0</v>
          </cell>
        </row>
        <row r="99">
          <cell r="A99" t="str">
            <v>WY-SB017-RD-L</v>
          </cell>
          <cell r="B99">
            <v>55</v>
          </cell>
          <cell r="C99">
            <v>0</v>
          </cell>
          <cell r="D99">
            <v>0</v>
          </cell>
          <cell r="E99">
            <v>254</v>
          </cell>
          <cell r="F99">
            <v>0</v>
          </cell>
          <cell r="G99">
            <v>0</v>
          </cell>
          <cell r="H99">
            <v>94</v>
          </cell>
          <cell r="I99">
            <v>0</v>
          </cell>
          <cell r="J99">
            <v>0</v>
          </cell>
          <cell r="K99">
            <v>125</v>
          </cell>
          <cell r="L99">
            <v>0</v>
          </cell>
          <cell r="M99">
            <v>0</v>
          </cell>
        </row>
        <row r="100">
          <cell r="A100" t="str">
            <v>WY-SB017-RD-M</v>
          </cell>
          <cell r="B100">
            <v>4</v>
          </cell>
          <cell r="C100">
            <v>0</v>
          </cell>
          <cell r="D100">
            <v>0</v>
          </cell>
          <cell r="E100">
            <v>28</v>
          </cell>
          <cell r="F100">
            <v>0</v>
          </cell>
          <cell r="G100">
            <v>0</v>
          </cell>
          <cell r="H100">
            <v>19</v>
          </cell>
          <cell r="I100">
            <v>0</v>
          </cell>
          <cell r="J100">
            <v>0</v>
          </cell>
          <cell r="K100">
            <v>14</v>
          </cell>
          <cell r="L100">
            <v>0</v>
          </cell>
          <cell r="M100">
            <v>0</v>
          </cell>
        </row>
        <row r="101">
          <cell r="A101" t="str">
            <v>WY-SB017-RD-S</v>
          </cell>
          <cell r="B101">
            <v>3</v>
          </cell>
          <cell r="C101">
            <v>0</v>
          </cell>
          <cell r="D101">
            <v>0</v>
          </cell>
          <cell r="E101">
            <v>124</v>
          </cell>
          <cell r="F101">
            <v>0</v>
          </cell>
          <cell r="G101">
            <v>0</v>
          </cell>
          <cell r="H101">
            <v>114</v>
          </cell>
          <cell r="I101">
            <v>0</v>
          </cell>
          <cell r="J101">
            <v>0</v>
          </cell>
          <cell r="K101">
            <v>25</v>
          </cell>
          <cell r="L101">
            <v>0</v>
          </cell>
          <cell r="M101">
            <v>0</v>
          </cell>
        </row>
        <row r="102">
          <cell r="A102" t="str">
            <v>WY-SB017-RD-XL</v>
          </cell>
          <cell r="B102">
            <v>75</v>
          </cell>
          <cell r="C102">
            <v>1</v>
          </cell>
          <cell r="D102">
            <v>0.07</v>
          </cell>
          <cell r="E102">
            <v>27</v>
          </cell>
          <cell r="F102">
            <v>0</v>
          </cell>
          <cell r="G102">
            <v>0</v>
          </cell>
          <cell r="H102">
            <v>15</v>
          </cell>
          <cell r="I102">
            <v>0</v>
          </cell>
          <cell r="J102">
            <v>0</v>
          </cell>
          <cell r="K102">
            <v>17</v>
          </cell>
          <cell r="L102">
            <v>0</v>
          </cell>
          <cell r="M102">
            <v>0</v>
          </cell>
        </row>
        <row r="103">
          <cell r="A103" t="str">
            <v>WY-SB017-RD-XXL</v>
          </cell>
          <cell r="B103">
            <v>33</v>
          </cell>
          <cell r="C103">
            <v>0</v>
          </cell>
          <cell r="D103">
            <v>0</v>
          </cell>
          <cell r="E103">
            <v>36</v>
          </cell>
          <cell r="F103">
            <v>1</v>
          </cell>
          <cell r="G103">
            <v>0.13</v>
          </cell>
          <cell r="H103">
            <v>6</v>
          </cell>
          <cell r="I103">
            <v>0</v>
          </cell>
          <cell r="J103">
            <v>0</v>
          </cell>
          <cell r="K103">
            <v>551</v>
          </cell>
          <cell r="L103">
            <v>0</v>
          </cell>
          <cell r="M103">
            <v>0</v>
          </cell>
        </row>
        <row r="104">
          <cell r="A104" t="str">
            <v>CFY-M1798-AG-L</v>
          </cell>
          <cell r="B104">
            <v>0</v>
          </cell>
          <cell r="C104">
            <v>0</v>
          </cell>
          <cell r="D104">
            <v>0</v>
          </cell>
          <cell r="E104">
            <v>741</v>
          </cell>
          <cell r="F104">
            <v>0</v>
          </cell>
          <cell r="G104">
            <v>0</v>
          </cell>
          <cell r="H104">
            <v>741</v>
          </cell>
          <cell r="I104">
            <v>0</v>
          </cell>
          <cell r="J104">
            <v>0</v>
          </cell>
          <cell r="K104">
            <v>1592</v>
          </cell>
          <cell r="L104">
            <v>0</v>
          </cell>
          <cell r="M104">
            <v>0</v>
          </cell>
        </row>
        <row r="105">
          <cell r="A105" t="str">
            <v>CFY-M1798-AG-M</v>
          </cell>
          <cell r="B105">
            <v>0</v>
          </cell>
          <cell r="C105">
            <v>0</v>
          </cell>
          <cell r="D105">
            <v>0</v>
          </cell>
          <cell r="E105">
            <v>55</v>
          </cell>
          <cell r="F105">
            <v>0</v>
          </cell>
          <cell r="G105">
            <v>0</v>
          </cell>
          <cell r="H105">
            <v>52</v>
          </cell>
          <cell r="I105">
            <v>0</v>
          </cell>
          <cell r="J105">
            <v>0</v>
          </cell>
          <cell r="K105">
            <v>262</v>
          </cell>
          <cell r="L105">
            <v>1</v>
          </cell>
          <cell r="M105">
            <v>0.21</v>
          </cell>
        </row>
        <row r="106">
          <cell r="A106" t="str">
            <v>CFY-M1798-AG-XXL</v>
          </cell>
          <cell r="B106">
            <v>383</v>
          </cell>
          <cell r="C106">
            <v>0</v>
          </cell>
          <cell r="D106">
            <v>0</v>
          </cell>
          <cell r="E106">
            <v>276</v>
          </cell>
          <cell r="F106">
            <v>3</v>
          </cell>
          <cell r="G106">
            <v>0.69</v>
          </cell>
          <cell r="H106">
            <v>131</v>
          </cell>
          <cell r="I106">
            <v>2</v>
          </cell>
          <cell r="J106">
            <v>0.4</v>
          </cell>
          <cell r="K106">
            <v>61</v>
          </cell>
          <cell r="L106">
            <v>0</v>
          </cell>
          <cell r="M106">
            <v>0</v>
          </cell>
        </row>
        <row r="107">
          <cell r="A107" t="str">
            <v>CFY-M1798-BK-S</v>
          </cell>
          <cell r="B107">
            <v>291</v>
          </cell>
          <cell r="C107">
            <v>1</v>
          </cell>
          <cell r="D107">
            <v>0.2</v>
          </cell>
          <cell r="E107">
            <v>875</v>
          </cell>
          <cell r="F107">
            <v>2</v>
          </cell>
          <cell r="G107">
            <v>0.43</v>
          </cell>
          <cell r="H107">
            <v>360</v>
          </cell>
          <cell r="I107">
            <v>1</v>
          </cell>
          <cell r="J107">
            <v>0.23</v>
          </cell>
          <cell r="K107">
            <v>313</v>
          </cell>
          <cell r="L107">
            <v>2</v>
          </cell>
          <cell r="M107">
            <v>0.46</v>
          </cell>
        </row>
        <row r="108">
          <cell r="A108" t="str">
            <v>CFY-M1798-BL-XXL</v>
          </cell>
          <cell r="B108">
            <v>54</v>
          </cell>
          <cell r="C108">
            <v>0</v>
          </cell>
          <cell r="D108">
            <v>0</v>
          </cell>
          <cell r="E108">
            <v>181</v>
          </cell>
          <cell r="F108">
            <v>0</v>
          </cell>
          <cell r="G108">
            <v>0</v>
          </cell>
          <cell r="H108">
            <v>94</v>
          </cell>
          <cell r="I108">
            <v>0</v>
          </cell>
          <cell r="J108">
            <v>0</v>
          </cell>
          <cell r="K108">
            <v>81</v>
          </cell>
          <cell r="L108">
            <v>0</v>
          </cell>
          <cell r="M108">
            <v>0</v>
          </cell>
        </row>
        <row r="109">
          <cell r="A109" t="str">
            <v>CFY-M1798-RD-M</v>
          </cell>
          <cell r="B109">
            <v>96</v>
          </cell>
          <cell r="C109">
            <v>0</v>
          </cell>
          <cell r="D109">
            <v>0</v>
          </cell>
          <cell r="E109">
            <v>58</v>
          </cell>
          <cell r="F109">
            <v>0</v>
          </cell>
          <cell r="G109">
            <v>0</v>
          </cell>
          <cell r="H109">
            <v>34</v>
          </cell>
          <cell r="I109">
            <v>0</v>
          </cell>
          <cell r="J109">
            <v>0</v>
          </cell>
          <cell r="K109">
            <v>252</v>
          </cell>
          <cell r="L109">
            <v>0</v>
          </cell>
          <cell r="M109">
            <v>0</v>
          </cell>
        </row>
        <row r="110">
          <cell r="A110" t="str">
            <v>CFY-M1798-RD-S</v>
          </cell>
          <cell r="B110">
            <v>183</v>
          </cell>
          <cell r="C110">
            <v>0</v>
          </cell>
          <cell r="D110">
            <v>0</v>
          </cell>
          <cell r="E110">
            <v>304</v>
          </cell>
          <cell r="F110">
            <v>1</v>
          </cell>
          <cell r="G110">
            <v>0.3</v>
          </cell>
          <cell r="H110">
            <v>132</v>
          </cell>
          <cell r="I110">
            <v>1</v>
          </cell>
          <cell r="J110">
            <v>0.3</v>
          </cell>
          <cell r="K110">
            <v>19</v>
          </cell>
          <cell r="L110">
            <v>0</v>
          </cell>
          <cell r="M110">
            <v>0</v>
          </cell>
        </row>
        <row r="111">
          <cell r="A111" t="str">
            <v>CFY-M1798-RD-XXL</v>
          </cell>
          <cell r="B111">
            <v>26</v>
          </cell>
          <cell r="C111">
            <v>0</v>
          </cell>
          <cell r="D111">
            <v>0</v>
          </cell>
          <cell r="E111">
            <v>208</v>
          </cell>
          <cell r="F111">
            <v>0</v>
          </cell>
          <cell r="G111">
            <v>0</v>
          </cell>
          <cell r="H111">
            <v>149</v>
          </cell>
          <cell r="I111">
            <v>0</v>
          </cell>
          <cell r="J111">
            <v>0</v>
          </cell>
          <cell r="K111">
            <v>77</v>
          </cell>
          <cell r="L111">
            <v>0</v>
          </cell>
          <cell r="M111">
            <v>0</v>
          </cell>
        </row>
        <row r="112">
          <cell r="A112" t="str">
            <v>CFY-M1830-AG-S</v>
          </cell>
          <cell r="B112">
            <v>0</v>
          </cell>
          <cell r="C112">
            <v>0</v>
          </cell>
          <cell r="D112">
            <v>0</v>
          </cell>
          <cell r="E112">
            <v>127</v>
          </cell>
          <cell r="F112">
            <v>0</v>
          </cell>
          <cell r="G112">
            <v>0</v>
          </cell>
          <cell r="H112">
            <v>122</v>
          </cell>
          <cell r="I112">
            <v>0</v>
          </cell>
          <cell r="J112">
            <v>0</v>
          </cell>
          <cell r="K112">
            <v>157</v>
          </cell>
          <cell r="L112">
            <v>1</v>
          </cell>
          <cell r="M112">
            <v>0.14</v>
          </cell>
        </row>
        <row r="113">
          <cell r="A113" t="str">
            <v>CFY-M1830-AG-XXL</v>
          </cell>
          <cell r="B113">
            <v>383</v>
          </cell>
          <cell r="C113">
            <v>0</v>
          </cell>
          <cell r="D113">
            <v>0</v>
          </cell>
          <cell r="E113">
            <v>990</v>
          </cell>
          <cell r="F113">
            <v>1</v>
          </cell>
          <cell r="G113">
            <v>0.14</v>
          </cell>
          <cell r="H113">
            <v>522</v>
          </cell>
          <cell r="I113">
            <v>0</v>
          </cell>
          <cell r="J113">
            <v>0</v>
          </cell>
          <cell r="K113">
            <v>135</v>
          </cell>
          <cell r="L113">
            <v>0</v>
          </cell>
          <cell r="M113">
            <v>0</v>
          </cell>
        </row>
        <row r="114">
          <cell r="A114" t="str">
            <v>CFY-M1830-BL-L</v>
          </cell>
          <cell r="B114">
            <v>36</v>
          </cell>
          <cell r="C114">
            <v>0</v>
          </cell>
          <cell r="D114">
            <v>0</v>
          </cell>
          <cell r="E114">
            <v>190</v>
          </cell>
          <cell r="F114">
            <v>1</v>
          </cell>
          <cell r="G114">
            <v>0.17</v>
          </cell>
          <cell r="H114">
            <v>107</v>
          </cell>
          <cell r="I114">
            <v>1</v>
          </cell>
          <cell r="J114">
            <v>0.17</v>
          </cell>
          <cell r="K114">
            <v>54</v>
          </cell>
          <cell r="L114">
            <v>0</v>
          </cell>
          <cell r="M114">
            <v>0</v>
          </cell>
        </row>
        <row r="115">
          <cell r="A115" t="str">
            <v>CFY-M1830-BL-S</v>
          </cell>
          <cell r="B115">
            <v>25</v>
          </cell>
          <cell r="C115">
            <v>0</v>
          </cell>
          <cell r="D115">
            <v>0</v>
          </cell>
          <cell r="E115">
            <v>101</v>
          </cell>
          <cell r="F115">
            <v>0</v>
          </cell>
          <cell r="G115">
            <v>0</v>
          </cell>
          <cell r="H115">
            <v>32</v>
          </cell>
          <cell r="I115">
            <v>0</v>
          </cell>
          <cell r="J115">
            <v>0</v>
          </cell>
          <cell r="K115">
            <v>4</v>
          </cell>
          <cell r="L115">
            <v>0</v>
          </cell>
          <cell r="M115">
            <v>0</v>
          </cell>
        </row>
        <row r="116">
          <cell r="A116" t="str">
            <v>CFY-M1830-BL-XXL</v>
          </cell>
          <cell r="B116">
            <v>26</v>
          </cell>
          <cell r="C116">
            <v>0</v>
          </cell>
          <cell r="D116">
            <v>0</v>
          </cell>
          <cell r="E116">
            <v>341</v>
          </cell>
          <cell r="F116">
            <v>0</v>
          </cell>
          <cell r="G116">
            <v>0</v>
          </cell>
          <cell r="H116">
            <v>83</v>
          </cell>
          <cell r="I116">
            <v>0</v>
          </cell>
          <cell r="J116">
            <v>0</v>
          </cell>
          <cell r="K116">
            <v>76</v>
          </cell>
          <cell r="L116">
            <v>1</v>
          </cell>
          <cell r="M116">
            <v>0.07</v>
          </cell>
        </row>
        <row r="117">
          <cell r="A117" t="str">
            <v>CFY-M1830-LB-L</v>
          </cell>
          <cell r="B117">
            <v>0</v>
          </cell>
          <cell r="C117">
            <v>0</v>
          </cell>
          <cell r="D117">
            <v>0</v>
          </cell>
          <cell r="E117">
            <v>112</v>
          </cell>
          <cell r="F117">
            <v>2</v>
          </cell>
          <cell r="G117">
            <v>0.49</v>
          </cell>
          <cell r="H117">
            <v>112</v>
          </cell>
          <cell r="I117">
            <v>2</v>
          </cell>
          <cell r="J117">
            <v>0.49</v>
          </cell>
          <cell r="K117">
            <v>139</v>
          </cell>
          <cell r="L117">
            <v>0</v>
          </cell>
          <cell r="M117">
            <v>0</v>
          </cell>
        </row>
        <row r="118">
          <cell r="A118" t="str">
            <v>CFY-M1830-LB-M</v>
          </cell>
          <cell r="B118">
            <v>0</v>
          </cell>
          <cell r="C118">
            <v>0</v>
          </cell>
          <cell r="D118">
            <v>0</v>
          </cell>
          <cell r="E118">
            <v>83</v>
          </cell>
          <cell r="F118">
            <v>1</v>
          </cell>
          <cell r="G118">
            <v>0.18</v>
          </cell>
          <cell r="H118">
            <v>70</v>
          </cell>
          <cell r="I118">
            <v>1</v>
          </cell>
          <cell r="J118">
            <v>0.18</v>
          </cell>
          <cell r="K118">
            <v>65</v>
          </cell>
          <cell r="L118">
            <v>0</v>
          </cell>
          <cell r="M118">
            <v>0</v>
          </cell>
        </row>
        <row r="119">
          <cell r="A119" t="str">
            <v>CFY-M1830-LB-S</v>
          </cell>
          <cell r="B119">
            <v>54</v>
          </cell>
          <cell r="C119">
            <v>0</v>
          </cell>
          <cell r="D119">
            <v>0</v>
          </cell>
          <cell r="E119">
            <v>108</v>
          </cell>
          <cell r="F119">
            <v>0</v>
          </cell>
          <cell r="G119">
            <v>0</v>
          </cell>
          <cell r="H119">
            <v>57</v>
          </cell>
          <cell r="I119">
            <v>0</v>
          </cell>
          <cell r="J119">
            <v>0</v>
          </cell>
          <cell r="K119">
            <v>85</v>
          </cell>
          <cell r="L119">
            <v>0</v>
          </cell>
          <cell r="M119">
            <v>0</v>
          </cell>
        </row>
        <row r="120">
          <cell r="A120" t="str">
            <v>CFY-M1830-LB-XL</v>
          </cell>
          <cell r="B120">
            <v>36</v>
          </cell>
          <cell r="C120">
            <v>0</v>
          </cell>
          <cell r="D120">
            <v>0</v>
          </cell>
          <cell r="E120">
            <v>73</v>
          </cell>
          <cell r="F120">
            <v>0</v>
          </cell>
          <cell r="G120">
            <v>0</v>
          </cell>
          <cell r="H120">
            <v>43</v>
          </cell>
          <cell r="I120">
            <v>0</v>
          </cell>
          <cell r="J120">
            <v>0</v>
          </cell>
          <cell r="K120">
            <v>98</v>
          </cell>
          <cell r="L120">
            <v>0</v>
          </cell>
          <cell r="M120">
            <v>0</v>
          </cell>
        </row>
        <row r="121">
          <cell r="A121" t="str">
            <v>CFY-M1830-LB-XXL</v>
          </cell>
          <cell r="B121">
            <v>54</v>
          </cell>
          <cell r="C121">
            <v>0</v>
          </cell>
          <cell r="D121">
            <v>0</v>
          </cell>
          <cell r="E121">
            <v>141</v>
          </cell>
          <cell r="F121">
            <v>0</v>
          </cell>
          <cell r="G121">
            <v>0</v>
          </cell>
          <cell r="H121">
            <v>73</v>
          </cell>
          <cell r="I121">
            <v>0</v>
          </cell>
          <cell r="J121">
            <v>0</v>
          </cell>
          <cell r="K121">
            <v>82</v>
          </cell>
          <cell r="L121">
            <v>0</v>
          </cell>
          <cell r="M121">
            <v>0</v>
          </cell>
        </row>
        <row r="122">
          <cell r="A122" t="str">
            <v>CFY-M1830-RD-L</v>
          </cell>
          <cell r="B122">
            <v>9</v>
          </cell>
          <cell r="C122">
            <v>0</v>
          </cell>
          <cell r="D122">
            <v>0</v>
          </cell>
          <cell r="E122">
            <v>68</v>
          </cell>
          <cell r="F122">
            <v>0</v>
          </cell>
          <cell r="G122">
            <v>0</v>
          </cell>
          <cell r="H122">
            <v>21</v>
          </cell>
          <cell r="I122">
            <v>0</v>
          </cell>
          <cell r="J122">
            <v>0</v>
          </cell>
          <cell r="K122">
            <v>89</v>
          </cell>
          <cell r="L122">
            <v>0</v>
          </cell>
          <cell r="M122">
            <v>0</v>
          </cell>
        </row>
        <row r="123">
          <cell r="A123" t="str">
            <v>CFY-M1830-RD-M</v>
          </cell>
          <cell r="B123">
            <v>34</v>
          </cell>
          <cell r="C123">
            <v>0</v>
          </cell>
          <cell r="D123">
            <v>0</v>
          </cell>
          <cell r="E123">
            <v>85</v>
          </cell>
          <cell r="F123">
            <v>0</v>
          </cell>
          <cell r="G123">
            <v>0</v>
          </cell>
          <cell r="H123">
            <v>42</v>
          </cell>
          <cell r="I123">
            <v>0</v>
          </cell>
          <cell r="J123">
            <v>0</v>
          </cell>
          <cell r="K123">
            <v>167</v>
          </cell>
          <cell r="L123">
            <v>0</v>
          </cell>
          <cell r="M123">
            <v>0</v>
          </cell>
        </row>
        <row r="124">
          <cell r="A124" t="str">
            <v>CFY-M1830-RD-S</v>
          </cell>
          <cell r="B124">
            <v>101</v>
          </cell>
          <cell r="C124">
            <v>0</v>
          </cell>
          <cell r="D124">
            <v>0</v>
          </cell>
          <cell r="E124">
            <v>215</v>
          </cell>
          <cell r="F124">
            <v>0</v>
          </cell>
          <cell r="G124">
            <v>0</v>
          </cell>
          <cell r="H124">
            <v>76</v>
          </cell>
          <cell r="I124">
            <v>0</v>
          </cell>
          <cell r="J124">
            <v>0</v>
          </cell>
          <cell r="K124">
            <v>82</v>
          </cell>
          <cell r="L124">
            <v>0</v>
          </cell>
          <cell r="M124">
            <v>0</v>
          </cell>
        </row>
        <row r="125">
          <cell r="A125" t="str">
            <v>CFY-M1830-RD-XXL</v>
          </cell>
          <cell r="B125">
            <v>130</v>
          </cell>
          <cell r="C125">
            <v>0</v>
          </cell>
          <cell r="D125">
            <v>0</v>
          </cell>
          <cell r="E125">
            <v>76</v>
          </cell>
          <cell r="F125">
            <v>0</v>
          </cell>
          <cell r="G125">
            <v>0</v>
          </cell>
          <cell r="H125">
            <v>46</v>
          </cell>
          <cell r="I125">
            <v>0</v>
          </cell>
          <cell r="J125">
            <v>0</v>
          </cell>
          <cell r="K125">
            <v>112</v>
          </cell>
          <cell r="L125">
            <v>0</v>
          </cell>
          <cell r="M125">
            <v>0</v>
          </cell>
        </row>
        <row r="126">
          <cell r="A126" t="str">
            <v>BS-WHC19-K0-XXL</v>
          </cell>
          <cell r="B126">
            <v>0</v>
          </cell>
          <cell r="C126">
            <v>0</v>
          </cell>
          <cell r="D126">
            <v>0</v>
          </cell>
          <cell r="E126">
            <v>0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>
            <v>300</v>
          </cell>
          <cell r="L126">
            <v>2</v>
          </cell>
          <cell r="M126">
            <v>0.47</v>
          </cell>
        </row>
        <row r="127">
          <cell r="A127" t="str">
            <v>BS-WHC19-P0-XXL</v>
          </cell>
          <cell r="B127">
            <v>0</v>
          </cell>
          <cell r="C127">
            <v>0</v>
          </cell>
          <cell r="D127">
            <v>0</v>
          </cell>
          <cell r="E127">
            <v>7457</v>
          </cell>
          <cell r="F127">
            <v>42</v>
          </cell>
          <cell r="G127">
            <v>8.98</v>
          </cell>
          <cell r="H127">
            <v>6144</v>
          </cell>
          <cell r="I127">
            <v>33</v>
          </cell>
          <cell r="J127">
            <v>7.11</v>
          </cell>
          <cell r="K127">
            <v>3436</v>
          </cell>
          <cell r="L127">
            <v>33</v>
          </cell>
          <cell r="M127">
            <v>6.47</v>
          </cell>
        </row>
        <row r="128">
          <cell r="A128" t="str">
            <v>BS-WHC19-R0-XXL</v>
          </cell>
          <cell r="B128">
            <v>3237</v>
          </cell>
          <cell r="C128">
            <v>14</v>
          </cell>
          <cell r="D128">
            <v>3.32</v>
          </cell>
          <cell r="E128">
            <v>4278</v>
          </cell>
          <cell r="F128">
            <v>17</v>
          </cell>
          <cell r="G128">
            <v>4.22</v>
          </cell>
          <cell r="H128">
            <v>876</v>
          </cell>
          <cell r="I128">
            <v>4</v>
          </cell>
          <cell r="J128">
            <v>1.17</v>
          </cell>
          <cell r="K128">
            <v>658</v>
          </cell>
          <cell r="L128">
            <v>2</v>
          </cell>
          <cell r="M128">
            <v>0.48</v>
          </cell>
        </row>
        <row r="129">
          <cell r="A129" t="str">
            <v>BS-WHC19-W0-L</v>
          </cell>
          <cell r="B129">
            <v>0</v>
          </cell>
          <cell r="C129">
            <v>0</v>
          </cell>
          <cell r="D129">
            <v>0</v>
          </cell>
          <cell r="E129">
            <v>5724</v>
          </cell>
          <cell r="F129">
            <v>16</v>
          </cell>
          <cell r="G129">
            <v>3.86</v>
          </cell>
          <cell r="H129">
            <v>5696</v>
          </cell>
          <cell r="I129">
            <v>15</v>
          </cell>
          <cell r="J129">
            <v>3.62</v>
          </cell>
          <cell r="K129">
            <v>25590</v>
          </cell>
          <cell r="L129">
            <v>51</v>
          </cell>
          <cell r="M129">
            <v>10.86</v>
          </cell>
        </row>
        <row r="130">
          <cell r="A130" t="str">
            <v>XZ-BS-YG7223Pu3637</v>
          </cell>
          <cell r="B130">
            <v>95</v>
          </cell>
          <cell r="C130">
            <v>0</v>
          </cell>
          <cell r="D130">
            <v>0</v>
          </cell>
          <cell r="E130">
            <v>239</v>
          </cell>
          <cell r="F130">
            <v>0</v>
          </cell>
          <cell r="G130">
            <v>0</v>
          </cell>
          <cell r="H130">
            <v>43</v>
          </cell>
          <cell r="I130">
            <v>0</v>
          </cell>
          <cell r="J130">
            <v>0</v>
          </cell>
          <cell r="K130">
            <v>48</v>
          </cell>
          <cell r="L130">
            <v>1</v>
          </cell>
          <cell r="M130">
            <v>0.22</v>
          </cell>
        </row>
        <row r="131">
          <cell r="A131" t="str">
            <v>MY-SB020-BK-M</v>
          </cell>
          <cell r="B131">
            <v>0</v>
          </cell>
          <cell r="C131">
            <v>0</v>
          </cell>
          <cell r="D131">
            <v>0</v>
          </cell>
          <cell r="E131">
            <v>0</v>
          </cell>
          <cell r="F131">
            <v>0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>
            <v>3</v>
          </cell>
          <cell r="L131">
            <v>0</v>
          </cell>
          <cell r="M131">
            <v>0</v>
          </cell>
        </row>
        <row r="132">
          <cell r="A132" t="str">
            <v>MY-SB020-BK-S</v>
          </cell>
          <cell r="B132">
            <v>14</v>
          </cell>
          <cell r="C132">
            <v>0</v>
          </cell>
          <cell r="D132">
            <v>0</v>
          </cell>
          <cell r="E132">
            <v>30</v>
          </cell>
          <cell r="F132">
            <v>0</v>
          </cell>
          <cell r="G132">
            <v>0</v>
          </cell>
          <cell r="H132">
            <v>18</v>
          </cell>
          <cell r="I132">
            <v>0</v>
          </cell>
          <cell r="J132">
            <v>0</v>
          </cell>
          <cell r="K132">
            <v>19</v>
          </cell>
          <cell r="L132">
            <v>0</v>
          </cell>
          <cell r="M132">
            <v>0</v>
          </cell>
        </row>
        <row r="133">
          <cell r="A133" t="str">
            <v>MY-SB020-BL-S</v>
          </cell>
          <cell r="B133">
            <v>26</v>
          </cell>
          <cell r="C133">
            <v>0</v>
          </cell>
          <cell r="D133">
            <v>0</v>
          </cell>
          <cell r="E133">
            <v>44</v>
          </cell>
          <cell r="F133">
            <v>1</v>
          </cell>
          <cell r="G133">
            <v>0.11</v>
          </cell>
          <cell r="H133">
            <v>21</v>
          </cell>
          <cell r="I133">
            <v>0</v>
          </cell>
          <cell r="J133">
            <v>0</v>
          </cell>
          <cell r="K133">
            <v>42</v>
          </cell>
          <cell r="L133">
            <v>1</v>
          </cell>
          <cell r="M133">
            <v>0.15</v>
          </cell>
        </row>
        <row r="134">
          <cell r="A134" t="str">
            <v>MY-SB020-DG-L</v>
          </cell>
          <cell r="B134">
            <v>0</v>
          </cell>
          <cell r="C134">
            <v>0</v>
          </cell>
          <cell r="D134">
            <v>0</v>
          </cell>
          <cell r="E134">
            <v>49</v>
          </cell>
          <cell r="F134">
            <v>0</v>
          </cell>
          <cell r="G134">
            <v>0</v>
          </cell>
          <cell r="H134">
            <v>33</v>
          </cell>
          <cell r="I134">
            <v>0</v>
          </cell>
          <cell r="J134">
            <v>0</v>
          </cell>
          <cell r="K134">
            <v>24</v>
          </cell>
          <cell r="L134">
            <v>0</v>
          </cell>
          <cell r="M134">
            <v>0</v>
          </cell>
        </row>
        <row r="135">
          <cell r="A135" t="str">
            <v>MY-SB020-DG-M</v>
          </cell>
          <cell r="B135">
            <v>11</v>
          </cell>
          <cell r="C135">
            <v>0</v>
          </cell>
          <cell r="D135">
            <v>0</v>
          </cell>
          <cell r="E135">
            <v>8</v>
          </cell>
          <cell r="F135">
            <v>0</v>
          </cell>
          <cell r="G135">
            <v>0</v>
          </cell>
          <cell r="H135">
            <v>4</v>
          </cell>
          <cell r="I135">
            <v>0</v>
          </cell>
          <cell r="J135">
            <v>0</v>
          </cell>
          <cell r="K135">
            <v>33</v>
          </cell>
          <cell r="L135">
            <v>0</v>
          </cell>
          <cell r="M135">
            <v>0</v>
          </cell>
        </row>
        <row r="136">
          <cell r="A136" t="str">
            <v>MY-SB020-DG-S</v>
          </cell>
          <cell r="B136">
            <v>77</v>
          </cell>
          <cell r="C136">
            <v>0</v>
          </cell>
          <cell r="D136">
            <v>0</v>
          </cell>
          <cell r="E136">
            <v>143</v>
          </cell>
          <cell r="F136">
            <v>0</v>
          </cell>
          <cell r="G136">
            <v>0</v>
          </cell>
          <cell r="H136">
            <v>53</v>
          </cell>
          <cell r="I136">
            <v>0</v>
          </cell>
          <cell r="J136">
            <v>0</v>
          </cell>
          <cell r="K136">
            <v>70</v>
          </cell>
          <cell r="L136">
            <v>0</v>
          </cell>
          <cell r="M136">
            <v>0</v>
          </cell>
        </row>
        <row r="137">
          <cell r="A137" t="str">
            <v>MY-SB020-DG-XL</v>
          </cell>
          <cell r="B137">
            <v>0</v>
          </cell>
          <cell r="C137">
            <v>0</v>
          </cell>
          <cell r="D137">
            <v>0</v>
          </cell>
          <cell r="E137">
            <v>22</v>
          </cell>
          <cell r="F137">
            <v>0</v>
          </cell>
          <cell r="G137">
            <v>0</v>
          </cell>
          <cell r="H137">
            <v>22</v>
          </cell>
          <cell r="I137">
            <v>0</v>
          </cell>
          <cell r="J137">
            <v>0</v>
          </cell>
          <cell r="K137">
            <v>34</v>
          </cell>
          <cell r="L137">
            <v>0</v>
          </cell>
          <cell r="M137">
            <v>0</v>
          </cell>
        </row>
        <row r="138">
          <cell r="A138" t="str">
            <v>BS-WHC19-K0-L</v>
          </cell>
          <cell r="B138">
            <v>0</v>
          </cell>
          <cell r="C138">
            <v>0</v>
          </cell>
          <cell r="D138">
            <v>0</v>
          </cell>
          <cell r="E138">
            <v>0</v>
          </cell>
          <cell r="F138">
            <v>0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>
            <v>6</v>
          </cell>
          <cell r="L138">
            <v>0</v>
          </cell>
          <cell r="M138">
            <v>0</v>
          </cell>
        </row>
        <row r="139">
          <cell r="A139" t="str">
            <v>BS-WHC19-K0-M</v>
          </cell>
          <cell r="B139">
            <v>2570</v>
          </cell>
          <cell r="C139">
            <v>7</v>
          </cell>
          <cell r="D139">
            <v>1.49</v>
          </cell>
          <cell r="E139">
            <v>7223</v>
          </cell>
          <cell r="F139">
            <v>17</v>
          </cell>
          <cell r="G139">
            <v>3.15</v>
          </cell>
          <cell r="H139">
            <v>1823</v>
          </cell>
          <cell r="I139">
            <v>4</v>
          </cell>
          <cell r="J139">
            <v>1.05</v>
          </cell>
          <cell r="K139">
            <v>672</v>
          </cell>
          <cell r="L139">
            <v>3</v>
          </cell>
          <cell r="M139">
            <v>0.48</v>
          </cell>
        </row>
        <row r="140">
          <cell r="A140" t="str">
            <v>CS-LY166-K33-1-S</v>
          </cell>
          <cell r="B140">
            <v>719</v>
          </cell>
          <cell r="C140">
            <v>2</v>
          </cell>
          <cell r="D140">
            <v>0.58</v>
          </cell>
          <cell r="E140">
            <v>2687</v>
          </cell>
          <cell r="F140">
            <v>10</v>
          </cell>
          <cell r="G140">
            <v>3.68</v>
          </cell>
          <cell r="H140">
            <v>1908</v>
          </cell>
          <cell r="I140">
            <v>6</v>
          </cell>
          <cell r="J140">
            <v>2.16</v>
          </cell>
          <cell r="K140">
            <v>9264</v>
          </cell>
          <cell r="L140">
            <v>11</v>
          </cell>
          <cell r="M140">
            <v>2.95</v>
          </cell>
        </row>
        <row r="141">
          <cell r="A141" t="str">
            <v>CS-LY181-G912-L</v>
          </cell>
          <cell r="B141">
            <v>0</v>
          </cell>
          <cell r="C141">
            <v>0</v>
          </cell>
          <cell r="D141">
            <v>0</v>
          </cell>
          <cell r="E141">
            <v>146</v>
          </cell>
          <cell r="F141">
            <v>2</v>
          </cell>
          <cell r="G141">
            <v>0.39</v>
          </cell>
          <cell r="H141">
            <v>146</v>
          </cell>
          <cell r="I141">
            <v>2</v>
          </cell>
          <cell r="J141">
            <v>0.39</v>
          </cell>
          <cell r="K141">
            <v>175</v>
          </cell>
          <cell r="L141">
            <v>0</v>
          </cell>
          <cell r="M141">
            <v>0</v>
          </cell>
        </row>
        <row r="142">
          <cell r="A142" t="str">
            <v>CS-LY181-G912-M</v>
          </cell>
          <cell r="B142">
            <v>0</v>
          </cell>
          <cell r="C142">
            <v>0</v>
          </cell>
          <cell r="D142">
            <v>0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>
            <v>69</v>
          </cell>
          <cell r="L142">
            <v>1</v>
          </cell>
          <cell r="M142">
            <v>0.21</v>
          </cell>
        </row>
        <row r="143">
          <cell r="A143" t="str">
            <v>CS-LY181-G912-XL</v>
          </cell>
          <cell r="B143">
            <v>0</v>
          </cell>
          <cell r="C143">
            <v>0</v>
          </cell>
          <cell r="D143">
            <v>0</v>
          </cell>
          <cell r="E143">
            <v>0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  <cell r="J143">
            <v>0</v>
          </cell>
          <cell r="K143">
            <v>59</v>
          </cell>
          <cell r="L143">
            <v>1</v>
          </cell>
          <cell r="M143">
            <v>0.22</v>
          </cell>
        </row>
        <row r="144">
          <cell r="A144" t="str">
            <v>CS-LY181-LB916-L</v>
          </cell>
          <cell r="B144">
            <v>0</v>
          </cell>
          <cell r="C144">
            <v>0</v>
          </cell>
          <cell r="D144">
            <v>0</v>
          </cell>
          <cell r="E144">
            <v>42</v>
          </cell>
          <cell r="F144">
            <v>1</v>
          </cell>
          <cell r="G144">
            <v>0.22</v>
          </cell>
          <cell r="H144">
            <v>42</v>
          </cell>
          <cell r="I144">
            <v>1</v>
          </cell>
          <cell r="J144">
            <v>0.22</v>
          </cell>
          <cell r="K144">
            <v>154</v>
          </cell>
          <cell r="L144">
            <v>0</v>
          </cell>
          <cell r="M144">
            <v>0</v>
          </cell>
        </row>
        <row r="145">
          <cell r="A145" t="str">
            <v>CS-LY181-PI908-M</v>
          </cell>
          <cell r="B145">
            <v>0</v>
          </cell>
          <cell r="C145">
            <v>0</v>
          </cell>
          <cell r="D145">
            <v>0</v>
          </cell>
          <cell r="E145">
            <v>1</v>
          </cell>
          <cell r="F145">
            <v>0</v>
          </cell>
          <cell r="G145">
            <v>0</v>
          </cell>
          <cell r="H145">
            <v>1</v>
          </cell>
          <cell r="I145">
            <v>0</v>
          </cell>
          <cell r="J145">
            <v>0</v>
          </cell>
          <cell r="K145">
            <v>1</v>
          </cell>
          <cell r="L145">
            <v>0</v>
          </cell>
          <cell r="M145">
            <v>0</v>
          </cell>
        </row>
        <row r="146">
          <cell r="A146" t="str">
            <v>CS-LY181-PI908-S</v>
          </cell>
          <cell r="B146">
            <v>0</v>
          </cell>
          <cell r="C146">
            <v>0</v>
          </cell>
          <cell r="D146">
            <v>0</v>
          </cell>
          <cell r="E146">
            <v>14</v>
          </cell>
          <cell r="F146">
            <v>0</v>
          </cell>
          <cell r="G146">
            <v>0</v>
          </cell>
          <cell r="H146">
            <v>14</v>
          </cell>
          <cell r="I146">
            <v>0</v>
          </cell>
          <cell r="J146">
            <v>0</v>
          </cell>
          <cell r="K146">
            <v>18</v>
          </cell>
          <cell r="L146">
            <v>0</v>
          </cell>
          <cell r="M146">
            <v>0</v>
          </cell>
        </row>
        <row r="147">
          <cell r="A147" t="str">
            <v>CS-LY181-PI908-XL</v>
          </cell>
          <cell r="B147">
            <v>0</v>
          </cell>
          <cell r="C147">
            <v>0</v>
          </cell>
          <cell r="D147">
            <v>0</v>
          </cell>
          <cell r="E147">
            <v>3106</v>
          </cell>
          <cell r="F147">
            <v>10</v>
          </cell>
          <cell r="G147">
            <v>2.23</v>
          </cell>
          <cell r="H147">
            <v>3105</v>
          </cell>
          <cell r="I147">
            <v>10</v>
          </cell>
          <cell r="J147">
            <v>2.23</v>
          </cell>
          <cell r="K147">
            <v>687</v>
          </cell>
          <cell r="L147">
            <v>8</v>
          </cell>
          <cell r="M147">
            <v>2.19</v>
          </cell>
        </row>
        <row r="148">
          <cell r="A148" t="str">
            <v>CS-LY181-PI908-XXL</v>
          </cell>
          <cell r="B148">
            <v>0</v>
          </cell>
          <cell r="C148">
            <v>0</v>
          </cell>
          <cell r="D148">
            <v>0</v>
          </cell>
          <cell r="E148">
            <v>5</v>
          </cell>
          <cell r="F148">
            <v>1</v>
          </cell>
          <cell r="G148">
            <v>0.2</v>
          </cell>
          <cell r="H148">
            <v>5</v>
          </cell>
          <cell r="I148">
            <v>1</v>
          </cell>
          <cell r="J148">
            <v>0.2</v>
          </cell>
          <cell r="K148">
            <v>4</v>
          </cell>
          <cell r="L148">
            <v>0</v>
          </cell>
          <cell r="M148">
            <v>0</v>
          </cell>
        </row>
        <row r="149">
          <cell r="A149" t="str">
            <v>CS-LY181-Sa911-L</v>
          </cell>
          <cell r="B149">
            <v>0</v>
          </cell>
          <cell r="C149">
            <v>0</v>
          </cell>
          <cell r="D149">
            <v>0</v>
          </cell>
          <cell r="E149">
            <v>0</v>
          </cell>
          <cell r="F149">
            <v>0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  <cell r="K149">
            <v>25</v>
          </cell>
          <cell r="L149">
            <v>0</v>
          </cell>
          <cell r="M149">
            <v>0</v>
          </cell>
        </row>
        <row r="150">
          <cell r="A150" t="str">
            <v>CS-LY181-WR917-M</v>
          </cell>
          <cell r="B150">
            <v>4</v>
          </cell>
          <cell r="C150">
            <v>0</v>
          </cell>
          <cell r="D150">
            <v>0</v>
          </cell>
          <cell r="E150">
            <v>3</v>
          </cell>
          <cell r="F150">
            <v>0</v>
          </cell>
          <cell r="G150">
            <v>0</v>
          </cell>
          <cell r="H150">
            <v>3</v>
          </cell>
          <cell r="I150">
            <v>0</v>
          </cell>
          <cell r="J150">
            <v>0</v>
          </cell>
          <cell r="K150">
            <v>2</v>
          </cell>
          <cell r="L150">
            <v>0</v>
          </cell>
          <cell r="M150">
            <v>0</v>
          </cell>
        </row>
        <row r="151">
          <cell r="A151" t="str">
            <v>CS-LY181-ZL918-M</v>
          </cell>
          <cell r="B151">
            <v>1</v>
          </cell>
          <cell r="C151">
            <v>0</v>
          </cell>
          <cell r="D151">
            <v>0</v>
          </cell>
          <cell r="E151">
            <v>6</v>
          </cell>
          <cell r="F151">
            <v>0</v>
          </cell>
          <cell r="G151">
            <v>0</v>
          </cell>
          <cell r="H151">
            <v>6</v>
          </cell>
          <cell r="I151">
            <v>0</v>
          </cell>
          <cell r="J151">
            <v>0</v>
          </cell>
          <cell r="K151">
            <v>12</v>
          </cell>
          <cell r="L151">
            <v>0</v>
          </cell>
          <cell r="M151">
            <v>0</v>
          </cell>
        </row>
        <row r="152">
          <cell r="A152" t="str">
            <v>CS-LY181-ZL918-XL</v>
          </cell>
          <cell r="B152">
            <v>0</v>
          </cell>
          <cell r="C152">
            <v>0</v>
          </cell>
          <cell r="D152">
            <v>0</v>
          </cell>
          <cell r="E152">
            <v>80</v>
          </cell>
          <cell r="F152">
            <v>1</v>
          </cell>
          <cell r="G152">
            <v>0.24</v>
          </cell>
          <cell r="H152">
            <v>80</v>
          </cell>
          <cell r="I152">
            <v>1</v>
          </cell>
          <cell r="J152">
            <v>0.24</v>
          </cell>
          <cell r="K152">
            <v>421</v>
          </cell>
          <cell r="L152">
            <v>4</v>
          </cell>
          <cell r="M152">
            <v>1</v>
          </cell>
        </row>
        <row r="153">
          <cell r="A153" t="str">
            <v>CS-LY171-ZL918-S</v>
          </cell>
          <cell r="B153">
            <v>2</v>
          </cell>
          <cell r="C153">
            <v>0</v>
          </cell>
          <cell r="D153">
            <v>0</v>
          </cell>
          <cell r="E153">
            <v>7738</v>
          </cell>
          <cell r="F153">
            <v>6</v>
          </cell>
          <cell r="G153">
            <v>1.17</v>
          </cell>
          <cell r="H153">
            <v>7715</v>
          </cell>
          <cell r="I153">
            <v>6</v>
          </cell>
          <cell r="J153">
            <v>1.17</v>
          </cell>
          <cell r="K153">
            <v>492</v>
          </cell>
          <cell r="L153">
            <v>4</v>
          </cell>
          <cell r="M153">
            <v>0.97</v>
          </cell>
        </row>
        <row r="154">
          <cell r="A154" t="str">
            <v>CS-LY085-G912-M</v>
          </cell>
          <cell r="B154">
            <v>58</v>
          </cell>
          <cell r="C154">
            <v>0</v>
          </cell>
          <cell r="D154">
            <v>0</v>
          </cell>
          <cell r="E154">
            <v>99</v>
          </cell>
          <cell r="F154">
            <v>0</v>
          </cell>
          <cell r="G154">
            <v>0</v>
          </cell>
          <cell r="H154">
            <v>12</v>
          </cell>
          <cell r="I154">
            <v>0</v>
          </cell>
          <cell r="J154">
            <v>0</v>
          </cell>
          <cell r="K154">
            <v>12</v>
          </cell>
          <cell r="L154">
            <v>0</v>
          </cell>
          <cell r="M154">
            <v>0</v>
          </cell>
        </row>
        <row r="155">
          <cell r="A155" t="str">
            <v>CS-LY085-G912-S</v>
          </cell>
          <cell r="B155">
            <v>50</v>
          </cell>
          <cell r="C155">
            <v>0</v>
          </cell>
          <cell r="D155">
            <v>0</v>
          </cell>
          <cell r="E155">
            <v>83</v>
          </cell>
          <cell r="F155">
            <v>0</v>
          </cell>
          <cell r="G155">
            <v>0</v>
          </cell>
          <cell r="H155">
            <v>17</v>
          </cell>
          <cell r="I155">
            <v>0</v>
          </cell>
          <cell r="J155">
            <v>0</v>
          </cell>
          <cell r="K155">
            <v>15</v>
          </cell>
          <cell r="L155">
            <v>0</v>
          </cell>
          <cell r="M155">
            <v>0</v>
          </cell>
        </row>
        <row r="156">
          <cell r="A156" t="str">
            <v>CS-LY085-G912-XL</v>
          </cell>
          <cell r="B156">
            <v>45</v>
          </cell>
          <cell r="C156">
            <v>0</v>
          </cell>
          <cell r="D156">
            <v>0</v>
          </cell>
          <cell r="E156">
            <v>82</v>
          </cell>
          <cell r="F156">
            <v>0</v>
          </cell>
          <cell r="G156">
            <v>0</v>
          </cell>
          <cell r="H156">
            <v>13</v>
          </cell>
          <cell r="I156">
            <v>0</v>
          </cell>
          <cell r="J156">
            <v>0</v>
          </cell>
          <cell r="K156">
            <v>15</v>
          </cell>
          <cell r="L156">
            <v>0</v>
          </cell>
          <cell r="M156">
            <v>0</v>
          </cell>
        </row>
        <row r="157">
          <cell r="A157" t="str">
            <v>CS-LY085-G912-XXL</v>
          </cell>
          <cell r="B157">
            <v>65</v>
          </cell>
          <cell r="C157">
            <v>0</v>
          </cell>
          <cell r="D157">
            <v>0</v>
          </cell>
          <cell r="E157">
            <v>84</v>
          </cell>
          <cell r="F157">
            <v>0</v>
          </cell>
          <cell r="G157">
            <v>0</v>
          </cell>
          <cell r="H157">
            <v>9</v>
          </cell>
          <cell r="I157">
            <v>0</v>
          </cell>
          <cell r="J157">
            <v>0</v>
          </cell>
          <cell r="K157">
            <v>13</v>
          </cell>
          <cell r="L157">
            <v>0</v>
          </cell>
          <cell r="M157">
            <v>0</v>
          </cell>
        </row>
        <row r="158">
          <cell r="A158" t="str">
            <v>CS-LY085-LB916-M</v>
          </cell>
          <cell r="B158">
            <v>181</v>
          </cell>
          <cell r="C158">
            <v>0</v>
          </cell>
          <cell r="D158">
            <v>0</v>
          </cell>
          <cell r="E158">
            <v>199</v>
          </cell>
          <cell r="F158">
            <v>0</v>
          </cell>
          <cell r="G158">
            <v>0</v>
          </cell>
          <cell r="H158">
            <v>11</v>
          </cell>
          <cell r="I158">
            <v>0</v>
          </cell>
          <cell r="J158">
            <v>0</v>
          </cell>
          <cell r="K158">
            <v>12</v>
          </cell>
          <cell r="L158">
            <v>0</v>
          </cell>
          <cell r="M158">
            <v>0</v>
          </cell>
        </row>
        <row r="159">
          <cell r="A159" t="str">
            <v>CS-LY085-LB916-S</v>
          </cell>
          <cell r="B159">
            <v>46</v>
          </cell>
          <cell r="C159">
            <v>1</v>
          </cell>
          <cell r="D159">
            <v>0.31</v>
          </cell>
          <cell r="E159">
            <v>85</v>
          </cell>
          <cell r="F159">
            <v>1</v>
          </cell>
          <cell r="G159">
            <v>0.2</v>
          </cell>
          <cell r="H159">
            <v>14</v>
          </cell>
          <cell r="I159">
            <v>1</v>
          </cell>
          <cell r="J159">
            <v>0.2</v>
          </cell>
          <cell r="K159">
            <v>7</v>
          </cell>
          <cell r="L159">
            <v>0</v>
          </cell>
          <cell r="M159">
            <v>0</v>
          </cell>
        </row>
        <row r="160">
          <cell r="A160" t="str">
            <v>CS-LY085-LB916-XL</v>
          </cell>
          <cell r="B160">
            <v>142</v>
          </cell>
          <cell r="C160">
            <v>0</v>
          </cell>
          <cell r="D160">
            <v>0</v>
          </cell>
          <cell r="E160">
            <v>160</v>
          </cell>
          <cell r="F160">
            <v>0</v>
          </cell>
          <cell r="G160">
            <v>0</v>
          </cell>
          <cell r="H160">
            <v>26</v>
          </cell>
          <cell r="I160">
            <v>0</v>
          </cell>
          <cell r="J160">
            <v>0</v>
          </cell>
          <cell r="K160">
            <v>7</v>
          </cell>
          <cell r="L160">
            <v>0</v>
          </cell>
          <cell r="M160">
            <v>0</v>
          </cell>
        </row>
        <row r="161">
          <cell r="A161" t="str">
            <v>CS-LY085-LB916-XXL</v>
          </cell>
          <cell r="B161">
            <v>43</v>
          </cell>
          <cell r="C161">
            <v>0</v>
          </cell>
          <cell r="D161">
            <v>0</v>
          </cell>
          <cell r="E161">
            <v>71</v>
          </cell>
          <cell r="F161">
            <v>0</v>
          </cell>
          <cell r="G161">
            <v>0</v>
          </cell>
          <cell r="H161">
            <v>17</v>
          </cell>
          <cell r="I161">
            <v>0</v>
          </cell>
          <cell r="J161">
            <v>0</v>
          </cell>
          <cell r="K161">
            <v>9</v>
          </cell>
          <cell r="L161">
            <v>0</v>
          </cell>
          <cell r="M161">
            <v>0</v>
          </cell>
        </row>
        <row r="162">
          <cell r="A162" t="str">
            <v>CS-LY085-LG907-S</v>
          </cell>
          <cell r="B162">
            <v>55</v>
          </cell>
          <cell r="C162">
            <v>0</v>
          </cell>
          <cell r="D162">
            <v>0</v>
          </cell>
          <cell r="E162">
            <v>70</v>
          </cell>
          <cell r="F162">
            <v>0</v>
          </cell>
          <cell r="G162">
            <v>0</v>
          </cell>
          <cell r="H162">
            <v>13</v>
          </cell>
          <cell r="I162">
            <v>0</v>
          </cell>
          <cell r="J162">
            <v>0</v>
          </cell>
          <cell r="K162">
            <v>11</v>
          </cell>
          <cell r="L162">
            <v>0</v>
          </cell>
          <cell r="M162">
            <v>0</v>
          </cell>
        </row>
        <row r="163">
          <cell r="A163" t="str">
            <v>CS-LY085-LG907-XL</v>
          </cell>
          <cell r="B163">
            <v>35</v>
          </cell>
          <cell r="C163">
            <v>0</v>
          </cell>
          <cell r="D163">
            <v>0</v>
          </cell>
          <cell r="E163">
            <v>527</v>
          </cell>
          <cell r="F163">
            <v>2</v>
          </cell>
          <cell r="G163">
            <v>0.52</v>
          </cell>
          <cell r="H163">
            <v>56</v>
          </cell>
          <cell r="I163">
            <v>0</v>
          </cell>
          <cell r="J163">
            <v>0</v>
          </cell>
          <cell r="K163">
            <v>28</v>
          </cell>
          <cell r="L163">
            <v>0</v>
          </cell>
          <cell r="M163">
            <v>0</v>
          </cell>
        </row>
        <row r="164">
          <cell r="A164" t="str">
            <v>CS-LY085-PI908-M</v>
          </cell>
          <cell r="B164">
            <v>54</v>
          </cell>
          <cell r="C164">
            <v>0</v>
          </cell>
          <cell r="D164">
            <v>0</v>
          </cell>
          <cell r="E164">
            <v>86</v>
          </cell>
          <cell r="F164">
            <v>0</v>
          </cell>
          <cell r="G164">
            <v>0</v>
          </cell>
          <cell r="H164">
            <v>8</v>
          </cell>
          <cell r="I164">
            <v>0</v>
          </cell>
          <cell r="J164">
            <v>0</v>
          </cell>
          <cell r="K164">
            <v>8</v>
          </cell>
          <cell r="L164">
            <v>0</v>
          </cell>
          <cell r="M164">
            <v>0</v>
          </cell>
        </row>
        <row r="165">
          <cell r="A165" t="str">
            <v>CS-LY085-PI908-S</v>
          </cell>
          <cell r="B165">
            <v>29</v>
          </cell>
          <cell r="C165">
            <v>0</v>
          </cell>
          <cell r="D165">
            <v>0</v>
          </cell>
          <cell r="E165">
            <v>64</v>
          </cell>
          <cell r="F165">
            <v>0</v>
          </cell>
          <cell r="G165">
            <v>0</v>
          </cell>
          <cell r="H165">
            <v>5</v>
          </cell>
          <cell r="I165">
            <v>0</v>
          </cell>
          <cell r="J165">
            <v>0</v>
          </cell>
          <cell r="K165">
            <v>5</v>
          </cell>
          <cell r="L165">
            <v>0</v>
          </cell>
          <cell r="M165">
            <v>0</v>
          </cell>
        </row>
        <row r="166">
          <cell r="A166" t="str">
            <v>CS-LY085-PI908-XL</v>
          </cell>
          <cell r="B166">
            <v>319</v>
          </cell>
          <cell r="C166">
            <v>0</v>
          </cell>
          <cell r="D166">
            <v>0</v>
          </cell>
          <cell r="E166">
            <v>667</v>
          </cell>
          <cell r="F166">
            <v>3</v>
          </cell>
          <cell r="G166">
            <v>0.68</v>
          </cell>
          <cell r="H166">
            <v>49</v>
          </cell>
          <cell r="I166">
            <v>0</v>
          </cell>
          <cell r="J166">
            <v>0</v>
          </cell>
          <cell r="K166">
            <v>24</v>
          </cell>
          <cell r="L166">
            <v>0</v>
          </cell>
          <cell r="M166">
            <v>0</v>
          </cell>
        </row>
        <row r="167">
          <cell r="A167" t="str">
            <v>CS-LY085-R901-L</v>
          </cell>
          <cell r="B167">
            <v>54</v>
          </cell>
          <cell r="C167">
            <v>0</v>
          </cell>
          <cell r="D167">
            <v>0</v>
          </cell>
          <cell r="E167">
            <v>81</v>
          </cell>
          <cell r="F167">
            <v>0</v>
          </cell>
          <cell r="G167">
            <v>0</v>
          </cell>
          <cell r="H167">
            <v>19</v>
          </cell>
          <cell r="I167">
            <v>0</v>
          </cell>
          <cell r="J167">
            <v>0</v>
          </cell>
          <cell r="K167">
            <v>11</v>
          </cell>
          <cell r="L167">
            <v>0</v>
          </cell>
          <cell r="M167">
            <v>0</v>
          </cell>
        </row>
        <row r="168">
          <cell r="A168" t="str">
            <v>CS-LY085-R901-M</v>
          </cell>
          <cell r="B168">
            <v>42</v>
          </cell>
          <cell r="C168">
            <v>0</v>
          </cell>
          <cell r="D168">
            <v>0</v>
          </cell>
          <cell r="E168">
            <v>93</v>
          </cell>
          <cell r="F168">
            <v>0</v>
          </cell>
          <cell r="G168">
            <v>0</v>
          </cell>
          <cell r="H168">
            <v>13</v>
          </cell>
          <cell r="I168">
            <v>0</v>
          </cell>
          <cell r="J168">
            <v>0</v>
          </cell>
          <cell r="K168">
            <v>7</v>
          </cell>
          <cell r="L168">
            <v>0</v>
          </cell>
          <cell r="M168">
            <v>0</v>
          </cell>
        </row>
        <row r="169">
          <cell r="A169" t="str">
            <v>CS-LY085-R901-S</v>
          </cell>
          <cell r="B169">
            <v>40</v>
          </cell>
          <cell r="C169">
            <v>0</v>
          </cell>
          <cell r="D169">
            <v>0</v>
          </cell>
          <cell r="E169">
            <v>87</v>
          </cell>
          <cell r="F169">
            <v>1</v>
          </cell>
          <cell r="G169">
            <v>0.33</v>
          </cell>
          <cell r="H169">
            <v>10</v>
          </cell>
          <cell r="I169">
            <v>0</v>
          </cell>
          <cell r="J169">
            <v>0</v>
          </cell>
          <cell r="K169">
            <v>9</v>
          </cell>
          <cell r="L169">
            <v>0</v>
          </cell>
          <cell r="M169">
            <v>0</v>
          </cell>
        </row>
        <row r="170">
          <cell r="A170" t="str">
            <v>CS-LY085-R901-XL</v>
          </cell>
          <cell r="B170">
            <v>45</v>
          </cell>
          <cell r="C170">
            <v>0</v>
          </cell>
          <cell r="D170">
            <v>0</v>
          </cell>
          <cell r="E170">
            <v>85</v>
          </cell>
          <cell r="F170">
            <v>0</v>
          </cell>
          <cell r="G170">
            <v>0</v>
          </cell>
          <cell r="H170">
            <v>15</v>
          </cell>
          <cell r="I170">
            <v>0</v>
          </cell>
          <cell r="J170">
            <v>0</v>
          </cell>
          <cell r="K170">
            <v>11</v>
          </cell>
          <cell r="L170">
            <v>0</v>
          </cell>
          <cell r="M170">
            <v>0</v>
          </cell>
        </row>
        <row r="171">
          <cell r="A171" t="str">
            <v>CS-LY085-R901-XXL</v>
          </cell>
          <cell r="B171">
            <v>37</v>
          </cell>
          <cell r="C171">
            <v>0</v>
          </cell>
          <cell r="D171">
            <v>0</v>
          </cell>
          <cell r="E171">
            <v>81</v>
          </cell>
          <cell r="F171">
            <v>0</v>
          </cell>
          <cell r="G171">
            <v>0</v>
          </cell>
          <cell r="H171">
            <v>15</v>
          </cell>
          <cell r="I171">
            <v>0</v>
          </cell>
          <cell r="J171">
            <v>0</v>
          </cell>
          <cell r="K171">
            <v>7</v>
          </cell>
          <cell r="L171">
            <v>1</v>
          </cell>
          <cell r="M171">
            <v>0.33</v>
          </cell>
        </row>
        <row r="172">
          <cell r="A172" t="str">
            <v>CS-LY085-W902-M</v>
          </cell>
          <cell r="B172">
            <v>65</v>
          </cell>
          <cell r="C172">
            <v>0</v>
          </cell>
          <cell r="D172">
            <v>0</v>
          </cell>
          <cell r="E172">
            <v>70</v>
          </cell>
          <cell r="F172">
            <v>0</v>
          </cell>
          <cell r="G172">
            <v>0</v>
          </cell>
          <cell r="H172">
            <v>8</v>
          </cell>
          <cell r="I172">
            <v>0</v>
          </cell>
          <cell r="J172">
            <v>0</v>
          </cell>
          <cell r="K172">
            <v>9</v>
          </cell>
          <cell r="L172">
            <v>0</v>
          </cell>
          <cell r="M172">
            <v>0</v>
          </cell>
        </row>
        <row r="173">
          <cell r="A173" t="str">
            <v>CS-LY085-W902-S</v>
          </cell>
          <cell r="B173">
            <v>41</v>
          </cell>
          <cell r="C173">
            <v>0</v>
          </cell>
          <cell r="D173">
            <v>0</v>
          </cell>
          <cell r="E173">
            <v>72</v>
          </cell>
          <cell r="F173">
            <v>0</v>
          </cell>
          <cell r="G173">
            <v>0</v>
          </cell>
          <cell r="H173">
            <v>8</v>
          </cell>
          <cell r="I173">
            <v>0</v>
          </cell>
          <cell r="J173">
            <v>0</v>
          </cell>
          <cell r="K173">
            <v>8</v>
          </cell>
          <cell r="L173">
            <v>0</v>
          </cell>
          <cell r="M173">
            <v>0</v>
          </cell>
        </row>
        <row r="174">
          <cell r="A174" t="str">
            <v>CS-LY085-W902-XXL</v>
          </cell>
          <cell r="B174">
            <v>53</v>
          </cell>
          <cell r="C174">
            <v>0</v>
          </cell>
          <cell r="D174">
            <v>0</v>
          </cell>
          <cell r="E174">
            <v>93</v>
          </cell>
          <cell r="F174">
            <v>0</v>
          </cell>
          <cell r="G174">
            <v>0</v>
          </cell>
          <cell r="H174">
            <v>16</v>
          </cell>
          <cell r="I174">
            <v>0</v>
          </cell>
          <cell r="J174">
            <v>0</v>
          </cell>
          <cell r="K174">
            <v>16</v>
          </cell>
          <cell r="L174">
            <v>0</v>
          </cell>
          <cell r="M174">
            <v>0</v>
          </cell>
        </row>
        <row r="175">
          <cell r="A175" t="str">
            <v>CS-LY085-WR917-S</v>
          </cell>
          <cell r="B175">
            <v>51</v>
          </cell>
          <cell r="C175">
            <v>0</v>
          </cell>
          <cell r="D175">
            <v>0</v>
          </cell>
          <cell r="E175">
            <v>102</v>
          </cell>
          <cell r="F175">
            <v>0</v>
          </cell>
          <cell r="G175">
            <v>0</v>
          </cell>
          <cell r="H175">
            <v>22</v>
          </cell>
          <cell r="I175">
            <v>0</v>
          </cell>
          <cell r="J175">
            <v>0</v>
          </cell>
          <cell r="K175">
            <v>9</v>
          </cell>
          <cell r="L175">
            <v>0</v>
          </cell>
          <cell r="M175">
            <v>0</v>
          </cell>
        </row>
        <row r="176">
          <cell r="A176" t="str">
            <v>CS-LY085-WR917-XXL</v>
          </cell>
          <cell r="B176">
            <v>43</v>
          </cell>
          <cell r="C176">
            <v>0</v>
          </cell>
          <cell r="D176">
            <v>0</v>
          </cell>
          <cell r="E176">
            <v>88</v>
          </cell>
          <cell r="F176">
            <v>0</v>
          </cell>
          <cell r="G176">
            <v>0</v>
          </cell>
          <cell r="H176">
            <v>20</v>
          </cell>
          <cell r="I176">
            <v>0</v>
          </cell>
          <cell r="J176">
            <v>0</v>
          </cell>
          <cell r="K176">
            <v>10</v>
          </cell>
          <cell r="L176">
            <v>0</v>
          </cell>
          <cell r="M176">
            <v>0</v>
          </cell>
        </row>
        <row r="177">
          <cell r="A177" t="str">
            <v>CS-LY170-G912-S</v>
          </cell>
          <cell r="B177">
            <v>3993</v>
          </cell>
          <cell r="C177">
            <v>9</v>
          </cell>
          <cell r="D177">
            <v>1.95</v>
          </cell>
          <cell r="E177">
            <v>5640</v>
          </cell>
          <cell r="F177">
            <v>19</v>
          </cell>
          <cell r="G177">
            <v>4.45</v>
          </cell>
          <cell r="H177">
            <v>1690</v>
          </cell>
          <cell r="I177">
            <v>5</v>
          </cell>
          <cell r="J177">
            <v>0.95</v>
          </cell>
          <cell r="K177">
            <v>1296</v>
          </cell>
          <cell r="L177">
            <v>5</v>
          </cell>
          <cell r="M177">
            <v>0.97</v>
          </cell>
        </row>
        <row r="178">
          <cell r="A178" t="str">
            <v>CS-LY170-LB916-S</v>
          </cell>
          <cell r="B178">
            <v>7913</v>
          </cell>
          <cell r="C178">
            <v>27</v>
          </cell>
          <cell r="D178">
            <v>5.91</v>
          </cell>
          <cell r="E178">
            <v>44218</v>
          </cell>
          <cell r="F178">
            <v>68</v>
          </cell>
          <cell r="G178">
            <v>14.21</v>
          </cell>
          <cell r="H178">
            <v>14776</v>
          </cell>
          <cell r="I178">
            <v>36</v>
          </cell>
          <cell r="J178">
            <v>7.32</v>
          </cell>
          <cell r="K178">
            <v>8804</v>
          </cell>
          <cell r="L178">
            <v>52</v>
          </cell>
          <cell r="M178">
            <v>12.48</v>
          </cell>
        </row>
        <row r="179">
          <cell r="A179" t="str">
            <v>CS-LY170-LG907-S</v>
          </cell>
          <cell r="B179">
            <v>3057</v>
          </cell>
          <cell r="C179">
            <v>7</v>
          </cell>
          <cell r="D179">
            <v>1.34</v>
          </cell>
          <cell r="E179">
            <v>6705</v>
          </cell>
          <cell r="F179">
            <v>11</v>
          </cell>
          <cell r="G179">
            <v>2.39</v>
          </cell>
          <cell r="H179">
            <v>884</v>
          </cell>
          <cell r="I179">
            <v>3</v>
          </cell>
          <cell r="J179">
            <v>0.75</v>
          </cell>
          <cell r="K179">
            <v>825</v>
          </cell>
          <cell r="L179">
            <v>0</v>
          </cell>
          <cell r="M179">
            <v>0</v>
          </cell>
        </row>
        <row r="180">
          <cell r="A180" t="str">
            <v>CS-LY170-W902-S</v>
          </cell>
          <cell r="B180">
            <v>2594</v>
          </cell>
          <cell r="C180">
            <v>10</v>
          </cell>
          <cell r="D180">
            <v>2</v>
          </cell>
          <cell r="E180">
            <v>5302</v>
          </cell>
          <cell r="F180">
            <v>20</v>
          </cell>
          <cell r="G180">
            <v>4.11</v>
          </cell>
          <cell r="H180">
            <v>2683</v>
          </cell>
          <cell r="I180">
            <v>8</v>
          </cell>
          <cell r="J180">
            <v>1.74</v>
          </cell>
          <cell r="K180">
            <v>1516</v>
          </cell>
          <cell r="L180">
            <v>2</v>
          </cell>
          <cell r="M180">
            <v>0.44</v>
          </cell>
        </row>
        <row r="181">
          <cell r="A181" t="str">
            <v>CS-LY170-WR917-S</v>
          </cell>
          <cell r="B181">
            <v>5833</v>
          </cell>
          <cell r="C181">
            <v>29</v>
          </cell>
          <cell r="D181">
            <v>6.17</v>
          </cell>
          <cell r="E181">
            <v>20570</v>
          </cell>
          <cell r="F181">
            <v>84</v>
          </cell>
          <cell r="G181">
            <v>16.28</v>
          </cell>
          <cell r="H181">
            <v>14009</v>
          </cell>
          <cell r="I181">
            <v>47</v>
          </cell>
          <cell r="J181">
            <v>8.97</v>
          </cell>
          <cell r="K181">
            <v>7554</v>
          </cell>
          <cell r="L181">
            <v>62</v>
          </cell>
          <cell r="M181">
            <v>13.22</v>
          </cell>
        </row>
        <row r="182">
          <cell r="A182" t="str">
            <v>CS-LY085-ZL918-S</v>
          </cell>
          <cell r="B182">
            <v>50</v>
          </cell>
          <cell r="C182">
            <v>0</v>
          </cell>
          <cell r="D182">
            <v>0</v>
          </cell>
          <cell r="E182">
            <v>84</v>
          </cell>
          <cell r="F182">
            <v>0</v>
          </cell>
          <cell r="G182">
            <v>0</v>
          </cell>
          <cell r="H182">
            <v>12</v>
          </cell>
          <cell r="I182">
            <v>0</v>
          </cell>
          <cell r="J182">
            <v>0</v>
          </cell>
          <cell r="K182">
            <v>4</v>
          </cell>
          <cell r="L182">
            <v>0</v>
          </cell>
          <cell r="M182">
            <v>0</v>
          </cell>
        </row>
        <row r="183">
          <cell r="A183" t="str">
            <v>CS-LY085-ZL918-XL</v>
          </cell>
          <cell r="B183">
            <v>40</v>
          </cell>
          <cell r="C183">
            <v>0</v>
          </cell>
          <cell r="D183">
            <v>0</v>
          </cell>
          <cell r="E183">
            <v>78</v>
          </cell>
          <cell r="F183">
            <v>0</v>
          </cell>
          <cell r="G183">
            <v>0</v>
          </cell>
          <cell r="H183">
            <v>15</v>
          </cell>
          <cell r="I183">
            <v>0</v>
          </cell>
          <cell r="J183">
            <v>0</v>
          </cell>
          <cell r="K183">
            <v>7</v>
          </cell>
          <cell r="L183">
            <v>0</v>
          </cell>
          <cell r="M183">
            <v>0</v>
          </cell>
        </row>
        <row r="184">
          <cell r="A184" t="str">
            <v>CS-LY085-ZL918-XXL</v>
          </cell>
          <cell r="B184">
            <v>1067</v>
          </cell>
          <cell r="C184">
            <v>3</v>
          </cell>
          <cell r="D184">
            <v>0.83</v>
          </cell>
          <cell r="E184">
            <v>1591</v>
          </cell>
          <cell r="F184">
            <v>2</v>
          </cell>
          <cell r="G184">
            <v>0.33</v>
          </cell>
          <cell r="H184">
            <v>15</v>
          </cell>
          <cell r="I184">
            <v>0</v>
          </cell>
          <cell r="J184">
            <v>0</v>
          </cell>
          <cell r="K184">
            <v>13</v>
          </cell>
          <cell r="L184">
            <v>0</v>
          </cell>
          <cell r="M184">
            <v>0</v>
          </cell>
        </row>
        <row r="185">
          <cell r="A185" t="str">
            <v>BS-1704-K0-XS</v>
          </cell>
          <cell r="B185">
            <v>0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1639</v>
          </cell>
          <cell r="L185">
            <v>17</v>
          </cell>
          <cell r="M185">
            <v>2.86</v>
          </cell>
        </row>
        <row r="186">
          <cell r="A186" t="str">
            <v>YZ-BS-1640-B0-L</v>
          </cell>
          <cell r="B186">
            <v>2</v>
          </cell>
          <cell r="C186">
            <v>0</v>
          </cell>
          <cell r="D186">
            <v>0</v>
          </cell>
          <cell r="E186">
            <v>39</v>
          </cell>
          <cell r="F186">
            <v>1</v>
          </cell>
          <cell r="G186">
            <v>0.12</v>
          </cell>
          <cell r="H186">
            <v>39</v>
          </cell>
          <cell r="I186">
            <v>1</v>
          </cell>
          <cell r="J186">
            <v>0.12</v>
          </cell>
          <cell r="K186">
            <v>67</v>
          </cell>
          <cell r="L186">
            <v>0</v>
          </cell>
          <cell r="M186">
            <v>0</v>
          </cell>
        </row>
        <row r="187">
          <cell r="A187" t="str">
            <v>YZ-BS-1640-B0-S</v>
          </cell>
          <cell r="B187">
            <v>0</v>
          </cell>
          <cell r="C187">
            <v>0</v>
          </cell>
          <cell r="D187">
            <v>0</v>
          </cell>
          <cell r="E187">
            <v>178</v>
          </cell>
          <cell r="F187">
            <v>0</v>
          </cell>
          <cell r="G187">
            <v>0</v>
          </cell>
          <cell r="H187">
            <v>66</v>
          </cell>
          <cell r="I187">
            <v>0</v>
          </cell>
          <cell r="J187">
            <v>0</v>
          </cell>
          <cell r="K187">
            <v>42</v>
          </cell>
          <cell r="L187">
            <v>0</v>
          </cell>
          <cell r="M187">
            <v>0</v>
          </cell>
        </row>
        <row r="188">
          <cell r="A188" t="str">
            <v>YZ-BS-1640-K0-S</v>
          </cell>
          <cell r="B188">
            <v>211</v>
          </cell>
          <cell r="C188">
            <v>0</v>
          </cell>
          <cell r="D188">
            <v>0</v>
          </cell>
          <cell r="E188">
            <v>0</v>
          </cell>
          <cell r="F188">
            <v>0</v>
          </cell>
          <cell r="G188">
            <v>0</v>
          </cell>
          <cell r="H188">
            <v>0</v>
          </cell>
          <cell r="I188">
            <v>0</v>
          </cell>
          <cell r="J188">
            <v>0</v>
          </cell>
          <cell r="K188">
            <v>48</v>
          </cell>
          <cell r="L188">
            <v>0</v>
          </cell>
          <cell r="M188">
            <v>0</v>
          </cell>
        </row>
        <row r="189">
          <cell r="A189" t="str">
            <v>YZ-BS-1640-K0-XXL</v>
          </cell>
          <cell r="B189">
            <v>58</v>
          </cell>
          <cell r="C189">
            <v>1</v>
          </cell>
          <cell r="D189">
            <v>0.05</v>
          </cell>
          <cell r="E189">
            <v>187</v>
          </cell>
          <cell r="F189">
            <v>2</v>
          </cell>
          <cell r="G189">
            <v>0.34</v>
          </cell>
          <cell r="H189">
            <v>63</v>
          </cell>
          <cell r="I189">
            <v>2</v>
          </cell>
          <cell r="J189">
            <v>0.34</v>
          </cell>
          <cell r="K189">
            <v>80</v>
          </cell>
          <cell r="L189">
            <v>0</v>
          </cell>
          <cell r="M189">
            <v>0</v>
          </cell>
        </row>
        <row r="190">
          <cell r="A190" t="str">
            <v>EUTK-J01H-GR-14/16</v>
          </cell>
          <cell r="B190">
            <v>2</v>
          </cell>
          <cell r="C190">
            <v>0</v>
          </cell>
          <cell r="D190">
            <v>0</v>
          </cell>
          <cell r="E190">
            <v>5</v>
          </cell>
          <cell r="F190">
            <v>0</v>
          </cell>
          <cell r="G190">
            <v>0</v>
          </cell>
          <cell r="H190">
            <v>4</v>
          </cell>
          <cell r="I190">
            <v>0</v>
          </cell>
          <cell r="J190">
            <v>0</v>
          </cell>
          <cell r="K190">
            <v>2</v>
          </cell>
          <cell r="L190">
            <v>0</v>
          </cell>
          <cell r="M190">
            <v>0</v>
          </cell>
        </row>
        <row r="191">
          <cell r="A191" t="str">
            <v>EUTK-J01H-GR-18/20</v>
          </cell>
          <cell r="B191">
            <v>2</v>
          </cell>
          <cell r="C191">
            <v>0</v>
          </cell>
          <cell r="D191">
            <v>0</v>
          </cell>
          <cell r="E191">
            <v>1</v>
          </cell>
          <cell r="F191">
            <v>0</v>
          </cell>
          <cell r="G191">
            <v>0</v>
          </cell>
          <cell r="H191">
            <v>0</v>
          </cell>
          <cell r="I191">
            <v>0</v>
          </cell>
          <cell r="J191">
            <v>0</v>
          </cell>
          <cell r="K191">
            <v>2</v>
          </cell>
          <cell r="L191">
            <v>0</v>
          </cell>
          <cell r="M191">
            <v>0</v>
          </cell>
        </row>
        <row r="192">
          <cell r="A192" t="str">
            <v>EUTK-J01H-GR-2T</v>
          </cell>
          <cell r="B192">
            <v>4</v>
          </cell>
          <cell r="C192">
            <v>0</v>
          </cell>
          <cell r="D192">
            <v>0</v>
          </cell>
          <cell r="E192">
            <v>0</v>
          </cell>
          <cell r="F192">
            <v>0</v>
          </cell>
          <cell r="G192">
            <v>0</v>
          </cell>
          <cell r="H192">
            <v>0</v>
          </cell>
          <cell r="I192">
            <v>0</v>
          </cell>
          <cell r="J192">
            <v>0</v>
          </cell>
          <cell r="K192">
            <v>4</v>
          </cell>
          <cell r="L192">
            <v>0</v>
          </cell>
          <cell r="M192">
            <v>0</v>
          </cell>
        </row>
        <row r="193">
          <cell r="A193" t="str">
            <v>EUTK-J01H-GR-3T</v>
          </cell>
          <cell r="B193">
            <v>1</v>
          </cell>
          <cell r="C193">
            <v>0</v>
          </cell>
          <cell r="D193">
            <v>0</v>
          </cell>
          <cell r="E193">
            <v>0</v>
          </cell>
          <cell r="F193">
            <v>0</v>
          </cell>
          <cell r="G193">
            <v>0</v>
          </cell>
          <cell r="H193">
            <v>0</v>
          </cell>
          <cell r="I193">
            <v>0</v>
          </cell>
          <cell r="J193">
            <v>0</v>
          </cell>
          <cell r="K193">
            <v>0</v>
          </cell>
          <cell r="L193">
            <v>0</v>
          </cell>
          <cell r="M193">
            <v>0</v>
          </cell>
        </row>
        <row r="194">
          <cell r="A194" t="str">
            <v>EUTK-J01H-GR-4</v>
          </cell>
          <cell r="B194">
            <v>0</v>
          </cell>
          <cell r="C194">
            <v>0</v>
          </cell>
          <cell r="D194">
            <v>0</v>
          </cell>
          <cell r="E194">
            <v>4</v>
          </cell>
          <cell r="F194">
            <v>0</v>
          </cell>
          <cell r="G194">
            <v>0</v>
          </cell>
          <cell r="H194">
            <v>3</v>
          </cell>
          <cell r="I194">
            <v>0</v>
          </cell>
          <cell r="J194">
            <v>0</v>
          </cell>
          <cell r="K194">
            <v>8</v>
          </cell>
          <cell r="L194">
            <v>0</v>
          </cell>
          <cell r="M194">
            <v>0</v>
          </cell>
        </row>
        <row r="195">
          <cell r="A195" t="str">
            <v>EUTK-J01H-GR-4T</v>
          </cell>
          <cell r="B195">
            <v>0</v>
          </cell>
          <cell r="C195">
            <v>0</v>
          </cell>
          <cell r="D195">
            <v>0</v>
          </cell>
          <cell r="E195">
            <v>2</v>
          </cell>
          <cell r="F195">
            <v>0</v>
          </cell>
          <cell r="G195">
            <v>0</v>
          </cell>
          <cell r="H195">
            <v>1</v>
          </cell>
          <cell r="I195">
            <v>0</v>
          </cell>
          <cell r="J195">
            <v>0</v>
          </cell>
          <cell r="K195">
            <v>2</v>
          </cell>
          <cell r="L195">
            <v>0</v>
          </cell>
          <cell r="M195">
            <v>0</v>
          </cell>
        </row>
        <row r="196">
          <cell r="A196" t="str">
            <v>EUTK-J01H-GR-5/6</v>
          </cell>
          <cell r="B196">
            <v>1</v>
          </cell>
          <cell r="C196">
            <v>0</v>
          </cell>
          <cell r="D196">
            <v>0</v>
          </cell>
          <cell r="E196">
            <v>6</v>
          </cell>
          <cell r="F196">
            <v>0</v>
          </cell>
          <cell r="G196">
            <v>0</v>
          </cell>
          <cell r="H196">
            <v>2</v>
          </cell>
          <cell r="I196">
            <v>0</v>
          </cell>
          <cell r="J196">
            <v>0</v>
          </cell>
          <cell r="K196">
            <v>2</v>
          </cell>
          <cell r="L196">
            <v>0</v>
          </cell>
          <cell r="M196">
            <v>0</v>
          </cell>
        </row>
        <row r="197">
          <cell r="A197" t="str">
            <v>EUTK-J01H-GR-7</v>
          </cell>
          <cell r="B197">
            <v>0</v>
          </cell>
          <cell r="C197">
            <v>0</v>
          </cell>
          <cell r="D197">
            <v>0</v>
          </cell>
          <cell r="E197">
            <v>1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0</v>
          </cell>
          <cell r="K197">
            <v>2</v>
          </cell>
          <cell r="L197">
            <v>0</v>
          </cell>
          <cell r="M197">
            <v>0</v>
          </cell>
        </row>
        <row r="198">
          <cell r="A198" t="str">
            <v>EUTK-J01H-GR-8</v>
          </cell>
          <cell r="B198">
            <v>15</v>
          </cell>
          <cell r="C198">
            <v>0</v>
          </cell>
          <cell r="D198">
            <v>0</v>
          </cell>
          <cell r="E198">
            <v>15</v>
          </cell>
          <cell r="F198">
            <v>1</v>
          </cell>
          <cell r="G198">
            <v>0.21</v>
          </cell>
          <cell r="H198">
            <v>10</v>
          </cell>
          <cell r="I198">
            <v>1</v>
          </cell>
          <cell r="J198">
            <v>0.21</v>
          </cell>
          <cell r="K198">
            <v>5</v>
          </cell>
          <cell r="L198">
            <v>0</v>
          </cell>
          <cell r="M198">
            <v>0</v>
          </cell>
        </row>
        <row r="199">
          <cell r="A199" t="str">
            <v>EUTK-J01H-K0-14/16</v>
          </cell>
          <cell r="B199">
            <v>25</v>
          </cell>
          <cell r="C199">
            <v>0</v>
          </cell>
          <cell r="D199">
            <v>0</v>
          </cell>
          <cell r="E199">
            <v>23</v>
          </cell>
          <cell r="F199">
            <v>0</v>
          </cell>
          <cell r="G199">
            <v>0</v>
          </cell>
          <cell r="H199">
            <v>4</v>
          </cell>
          <cell r="I199">
            <v>0</v>
          </cell>
          <cell r="J199">
            <v>0</v>
          </cell>
          <cell r="K199">
            <v>3</v>
          </cell>
          <cell r="L199">
            <v>0</v>
          </cell>
          <cell r="M199">
            <v>0</v>
          </cell>
        </row>
        <row r="200">
          <cell r="A200" t="str">
            <v>EUTK-J01H-K0-18/20</v>
          </cell>
          <cell r="B200">
            <v>8</v>
          </cell>
          <cell r="C200">
            <v>0</v>
          </cell>
          <cell r="D200">
            <v>0</v>
          </cell>
          <cell r="E200">
            <v>5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3</v>
          </cell>
          <cell r="L200">
            <v>0</v>
          </cell>
          <cell r="M200">
            <v>0</v>
          </cell>
        </row>
        <row r="201">
          <cell r="A201" t="str">
            <v>EUTK-J01H-K0-4</v>
          </cell>
          <cell r="B201">
            <v>3</v>
          </cell>
          <cell r="C201">
            <v>0</v>
          </cell>
          <cell r="D201">
            <v>0</v>
          </cell>
          <cell r="E201">
            <v>3</v>
          </cell>
          <cell r="F201">
            <v>0</v>
          </cell>
          <cell r="G201">
            <v>0</v>
          </cell>
          <cell r="H201">
            <v>2</v>
          </cell>
          <cell r="I201">
            <v>0</v>
          </cell>
          <cell r="J201">
            <v>0</v>
          </cell>
          <cell r="K201">
            <v>17</v>
          </cell>
          <cell r="L201">
            <v>0</v>
          </cell>
          <cell r="M201">
            <v>0</v>
          </cell>
        </row>
        <row r="202">
          <cell r="A202" t="str">
            <v>EUTK-J01H-K0-5/6</v>
          </cell>
          <cell r="B202">
            <v>0</v>
          </cell>
          <cell r="C202">
            <v>0</v>
          </cell>
          <cell r="D202">
            <v>0</v>
          </cell>
          <cell r="E202">
            <v>1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  <cell r="K202">
            <v>1</v>
          </cell>
          <cell r="L202">
            <v>0</v>
          </cell>
          <cell r="M202">
            <v>0</v>
          </cell>
        </row>
        <row r="203">
          <cell r="A203" t="str">
            <v>EUTK-J01H-K0-7</v>
          </cell>
          <cell r="B203">
            <v>3</v>
          </cell>
          <cell r="C203">
            <v>0</v>
          </cell>
          <cell r="D203">
            <v>0</v>
          </cell>
          <cell r="E203">
            <v>33</v>
          </cell>
          <cell r="F203">
            <v>0</v>
          </cell>
          <cell r="G203">
            <v>0</v>
          </cell>
          <cell r="H203">
            <v>27</v>
          </cell>
          <cell r="I203">
            <v>0</v>
          </cell>
          <cell r="J203">
            <v>0</v>
          </cell>
          <cell r="K203">
            <v>26</v>
          </cell>
          <cell r="L203">
            <v>0</v>
          </cell>
          <cell r="M203">
            <v>0</v>
          </cell>
        </row>
        <row r="204">
          <cell r="A204" t="str">
            <v>EUTK-J01H-SH-14/16</v>
          </cell>
          <cell r="B204">
            <v>0</v>
          </cell>
          <cell r="C204">
            <v>0</v>
          </cell>
          <cell r="D204">
            <v>0</v>
          </cell>
          <cell r="E204">
            <v>19</v>
          </cell>
          <cell r="F204">
            <v>1</v>
          </cell>
          <cell r="G204">
            <v>0.09</v>
          </cell>
          <cell r="H204">
            <v>4</v>
          </cell>
          <cell r="I204">
            <v>1</v>
          </cell>
          <cell r="J204">
            <v>0.09</v>
          </cell>
          <cell r="K204">
            <v>1</v>
          </cell>
          <cell r="L204">
            <v>0</v>
          </cell>
          <cell r="M204">
            <v>0</v>
          </cell>
        </row>
        <row r="205">
          <cell r="A205" t="str">
            <v>EUTK-J01H-SH-18/20</v>
          </cell>
          <cell r="B205">
            <v>6</v>
          </cell>
          <cell r="C205">
            <v>0</v>
          </cell>
          <cell r="D205">
            <v>0</v>
          </cell>
          <cell r="E205">
            <v>43</v>
          </cell>
          <cell r="F205">
            <v>0</v>
          </cell>
          <cell r="G205">
            <v>0</v>
          </cell>
          <cell r="H205">
            <v>2</v>
          </cell>
          <cell r="I205">
            <v>0</v>
          </cell>
          <cell r="J205">
            <v>0</v>
          </cell>
          <cell r="K205">
            <v>4</v>
          </cell>
          <cell r="L205">
            <v>0</v>
          </cell>
          <cell r="M205">
            <v>0</v>
          </cell>
        </row>
        <row r="206">
          <cell r="A206" t="str">
            <v>EUTK-J01H-SH-2T</v>
          </cell>
          <cell r="B206">
            <v>9</v>
          </cell>
          <cell r="C206">
            <v>0</v>
          </cell>
          <cell r="D206">
            <v>0</v>
          </cell>
          <cell r="E206">
            <v>7</v>
          </cell>
          <cell r="F206">
            <v>0</v>
          </cell>
          <cell r="G206">
            <v>0</v>
          </cell>
          <cell r="H206">
            <v>2</v>
          </cell>
          <cell r="I206">
            <v>0</v>
          </cell>
          <cell r="J206">
            <v>0</v>
          </cell>
          <cell r="K206">
            <v>5</v>
          </cell>
          <cell r="L206">
            <v>0</v>
          </cell>
          <cell r="M206">
            <v>0</v>
          </cell>
        </row>
        <row r="207">
          <cell r="A207" t="str">
            <v>EUTK-J01H-SH-3T</v>
          </cell>
          <cell r="B207">
            <v>0</v>
          </cell>
          <cell r="C207">
            <v>0</v>
          </cell>
          <cell r="D207">
            <v>0</v>
          </cell>
          <cell r="E207">
            <v>3</v>
          </cell>
          <cell r="F207">
            <v>0</v>
          </cell>
          <cell r="G207">
            <v>0</v>
          </cell>
          <cell r="H207">
            <v>1</v>
          </cell>
          <cell r="I207">
            <v>0</v>
          </cell>
          <cell r="J207">
            <v>0</v>
          </cell>
          <cell r="K207">
            <v>1</v>
          </cell>
          <cell r="L207">
            <v>0</v>
          </cell>
          <cell r="M207">
            <v>0</v>
          </cell>
        </row>
        <row r="208">
          <cell r="A208" t="str">
            <v>EUTK-J01H-SH-4</v>
          </cell>
          <cell r="B208">
            <v>7</v>
          </cell>
          <cell r="C208">
            <v>0</v>
          </cell>
          <cell r="D208">
            <v>0</v>
          </cell>
          <cell r="E208">
            <v>3</v>
          </cell>
          <cell r="F208">
            <v>0</v>
          </cell>
          <cell r="G208">
            <v>0</v>
          </cell>
          <cell r="H208">
            <v>2</v>
          </cell>
          <cell r="I208">
            <v>0</v>
          </cell>
          <cell r="J208">
            <v>0</v>
          </cell>
          <cell r="K208">
            <v>10</v>
          </cell>
          <cell r="L208">
            <v>0</v>
          </cell>
          <cell r="M208">
            <v>0</v>
          </cell>
        </row>
        <row r="209">
          <cell r="A209" t="str">
            <v>EUTK-J01H-SH-4T</v>
          </cell>
          <cell r="B209">
            <v>0</v>
          </cell>
          <cell r="C209">
            <v>0</v>
          </cell>
          <cell r="D209">
            <v>0</v>
          </cell>
          <cell r="E209">
            <v>2</v>
          </cell>
          <cell r="F209">
            <v>0</v>
          </cell>
          <cell r="G209">
            <v>0</v>
          </cell>
          <cell r="H209">
            <v>1</v>
          </cell>
          <cell r="I209">
            <v>0</v>
          </cell>
          <cell r="J209">
            <v>0</v>
          </cell>
          <cell r="K209">
            <v>1</v>
          </cell>
          <cell r="L209">
            <v>0</v>
          </cell>
          <cell r="M209">
            <v>0</v>
          </cell>
        </row>
        <row r="210">
          <cell r="A210" t="str">
            <v>EUTK-J01H-SH-5/6</v>
          </cell>
          <cell r="B210">
            <v>3</v>
          </cell>
          <cell r="C210">
            <v>0</v>
          </cell>
          <cell r="D210">
            <v>0</v>
          </cell>
          <cell r="E210">
            <v>2</v>
          </cell>
          <cell r="F210">
            <v>0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1</v>
          </cell>
          <cell r="L210">
            <v>0</v>
          </cell>
          <cell r="M210">
            <v>0</v>
          </cell>
        </row>
        <row r="211">
          <cell r="A211" t="str">
            <v>EUTK-J01H-SH-7</v>
          </cell>
          <cell r="B211">
            <v>1</v>
          </cell>
          <cell r="C211">
            <v>0</v>
          </cell>
          <cell r="D211">
            <v>0</v>
          </cell>
          <cell r="E211">
            <v>3</v>
          </cell>
          <cell r="F211">
            <v>0</v>
          </cell>
          <cell r="G211">
            <v>0</v>
          </cell>
          <cell r="H211">
            <v>1</v>
          </cell>
          <cell r="I211">
            <v>0</v>
          </cell>
          <cell r="J211">
            <v>0</v>
          </cell>
          <cell r="K211">
            <v>4</v>
          </cell>
          <cell r="L211">
            <v>0</v>
          </cell>
          <cell r="M211">
            <v>0</v>
          </cell>
        </row>
        <row r="212">
          <cell r="A212" t="str">
            <v>EUTK-J01H-SH-8</v>
          </cell>
          <cell r="B212">
            <v>4</v>
          </cell>
          <cell r="C212">
            <v>0</v>
          </cell>
          <cell r="D212">
            <v>0</v>
          </cell>
          <cell r="E212">
            <v>6</v>
          </cell>
          <cell r="F212">
            <v>0</v>
          </cell>
          <cell r="G212">
            <v>0</v>
          </cell>
          <cell r="H212">
            <v>1</v>
          </cell>
          <cell r="I212">
            <v>0</v>
          </cell>
          <cell r="J212">
            <v>0</v>
          </cell>
          <cell r="K212">
            <v>3</v>
          </cell>
          <cell r="L212">
            <v>0</v>
          </cell>
          <cell r="M212">
            <v>0</v>
          </cell>
        </row>
        <row r="213">
          <cell r="A213" t="str">
            <v>EUTK-J02H-GR-10/12</v>
          </cell>
          <cell r="B213">
            <v>13</v>
          </cell>
          <cell r="C213">
            <v>0</v>
          </cell>
          <cell r="D213">
            <v>0</v>
          </cell>
          <cell r="E213">
            <v>18</v>
          </cell>
          <cell r="F213">
            <v>0</v>
          </cell>
          <cell r="G213">
            <v>0</v>
          </cell>
          <cell r="H213">
            <v>2</v>
          </cell>
          <cell r="I213">
            <v>0</v>
          </cell>
          <cell r="J213">
            <v>0</v>
          </cell>
          <cell r="K213">
            <v>7</v>
          </cell>
          <cell r="L213">
            <v>0</v>
          </cell>
          <cell r="M213">
            <v>0</v>
          </cell>
        </row>
        <row r="214">
          <cell r="A214" t="str">
            <v>EUTK-J02H-GR-14/16</v>
          </cell>
          <cell r="B214">
            <v>19</v>
          </cell>
          <cell r="C214">
            <v>0</v>
          </cell>
          <cell r="D214">
            <v>0</v>
          </cell>
          <cell r="E214">
            <v>24</v>
          </cell>
          <cell r="F214">
            <v>0</v>
          </cell>
          <cell r="G214">
            <v>0</v>
          </cell>
          <cell r="H214">
            <v>15</v>
          </cell>
          <cell r="I214">
            <v>0</v>
          </cell>
          <cell r="J214">
            <v>0</v>
          </cell>
          <cell r="K214">
            <v>10</v>
          </cell>
          <cell r="L214">
            <v>0</v>
          </cell>
          <cell r="M214">
            <v>0</v>
          </cell>
        </row>
        <row r="215">
          <cell r="A215" t="str">
            <v>EUTK-J02H-GR-18/20</v>
          </cell>
          <cell r="B215">
            <v>1</v>
          </cell>
          <cell r="C215">
            <v>0</v>
          </cell>
          <cell r="D215">
            <v>0</v>
          </cell>
          <cell r="E215">
            <v>2</v>
          </cell>
          <cell r="F215">
            <v>0</v>
          </cell>
          <cell r="G215">
            <v>0</v>
          </cell>
          <cell r="H215">
            <v>2</v>
          </cell>
          <cell r="I215">
            <v>0</v>
          </cell>
          <cell r="J215">
            <v>0</v>
          </cell>
          <cell r="K215">
            <v>1</v>
          </cell>
          <cell r="L215">
            <v>0</v>
          </cell>
          <cell r="M215">
            <v>0</v>
          </cell>
        </row>
        <row r="216">
          <cell r="A216" t="str">
            <v>EUTK-J02H-GR-2T</v>
          </cell>
          <cell r="B216">
            <v>40</v>
          </cell>
          <cell r="C216">
            <v>2</v>
          </cell>
          <cell r="D216">
            <v>0.08</v>
          </cell>
          <cell r="E216">
            <v>24</v>
          </cell>
          <cell r="F216">
            <v>0</v>
          </cell>
          <cell r="G216">
            <v>0</v>
          </cell>
          <cell r="H216">
            <v>2</v>
          </cell>
          <cell r="I216">
            <v>0</v>
          </cell>
          <cell r="J216">
            <v>0</v>
          </cell>
          <cell r="K216">
            <v>1</v>
          </cell>
          <cell r="L216">
            <v>0</v>
          </cell>
          <cell r="M216">
            <v>0</v>
          </cell>
        </row>
        <row r="217">
          <cell r="A217" t="str">
            <v>EUTK-J02H-GR-3T</v>
          </cell>
          <cell r="B217">
            <v>0</v>
          </cell>
          <cell r="C217">
            <v>0</v>
          </cell>
          <cell r="D217">
            <v>0</v>
          </cell>
          <cell r="E217">
            <v>3</v>
          </cell>
          <cell r="F217">
            <v>0</v>
          </cell>
          <cell r="G217">
            <v>0</v>
          </cell>
          <cell r="H217">
            <v>3</v>
          </cell>
          <cell r="I217">
            <v>0</v>
          </cell>
          <cell r="J217">
            <v>0</v>
          </cell>
          <cell r="K217">
            <v>4</v>
          </cell>
          <cell r="L217">
            <v>0</v>
          </cell>
          <cell r="M217">
            <v>0</v>
          </cell>
        </row>
        <row r="218">
          <cell r="A218" t="str">
            <v>EUTK-J02H-GR-4</v>
          </cell>
          <cell r="B218">
            <v>3</v>
          </cell>
          <cell r="C218">
            <v>0</v>
          </cell>
          <cell r="D218">
            <v>0</v>
          </cell>
          <cell r="E218">
            <v>4</v>
          </cell>
          <cell r="F218">
            <v>0</v>
          </cell>
          <cell r="G218">
            <v>0</v>
          </cell>
          <cell r="H218">
            <v>3</v>
          </cell>
          <cell r="I218">
            <v>0</v>
          </cell>
          <cell r="J218">
            <v>0</v>
          </cell>
          <cell r="K218">
            <v>8</v>
          </cell>
          <cell r="L218">
            <v>0</v>
          </cell>
          <cell r="M218">
            <v>0</v>
          </cell>
        </row>
        <row r="219">
          <cell r="A219" t="str">
            <v>EUTK-J02H-GR-4T</v>
          </cell>
          <cell r="B219">
            <v>2</v>
          </cell>
          <cell r="C219">
            <v>0</v>
          </cell>
          <cell r="D219">
            <v>0</v>
          </cell>
          <cell r="E219">
            <v>3</v>
          </cell>
          <cell r="F219">
            <v>0</v>
          </cell>
          <cell r="G219">
            <v>0</v>
          </cell>
          <cell r="H219">
            <v>2</v>
          </cell>
          <cell r="I219">
            <v>0</v>
          </cell>
          <cell r="J219">
            <v>0</v>
          </cell>
          <cell r="K219">
            <v>6</v>
          </cell>
          <cell r="L219">
            <v>0</v>
          </cell>
          <cell r="M219">
            <v>0</v>
          </cell>
        </row>
        <row r="220">
          <cell r="A220" t="str">
            <v>EUTK-J02H-GR-5/6</v>
          </cell>
          <cell r="B220">
            <v>0</v>
          </cell>
          <cell r="C220">
            <v>0</v>
          </cell>
          <cell r="D220">
            <v>0</v>
          </cell>
          <cell r="E220">
            <v>2</v>
          </cell>
          <cell r="F220">
            <v>0</v>
          </cell>
          <cell r="G220">
            <v>0</v>
          </cell>
          <cell r="H220">
            <v>0</v>
          </cell>
          <cell r="I220">
            <v>0</v>
          </cell>
          <cell r="J220">
            <v>0</v>
          </cell>
          <cell r="K220">
            <v>1</v>
          </cell>
          <cell r="L220">
            <v>0</v>
          </cell>
          <cell r="M220">
            <v>0</v>
          </cell>
        </row>
        <row r="221">
          <cell r="A221" t="str">
            <v>EUTK-J02H-GR-7</v>
          </cell>
          <cell r="B221">
            <v>1</v>
          </cell>
          <cell r="C221">
            <v>0</v>
          </cell>
          <cell r="D221">
            <v>0</v>
          </cell>
          <cell r="E221">
            <v>4</v>
          </cell>
          <cell r="F221">
            <v>0</v>
          </cell>
          <cell r="G221">
            <v>0</v>
          </cell>
          <cell r="H221">
            <v>0</v>
          </cell>
          <cell r="I221">
            <v>0</v>
          </cell>
          <cell r="J221">
            <v>0</v>
          </cell>
          <cell r="K221">
            <v>1</v>
          </cell>
          <cell r="L221">
            <v>0</v>
          </cell>
          <cell r="M221">
            <v>0</v>
          </cell>
        </row>
        <row r="222">
          <cell r="A222" t="str">
            <v>EUTK-J02H-GR-8</v>
          </cell>
          <cell r="B222">
            <v>8</v>
          </cell>
          <cell r="C222">
            <v>0</v>
          </cell>
          <cell r="D222">
            <v>0</v>
          </cell>
          <cell r="E222">
            <v>15</v>
          </cell>
          <cell r="F222">
            <v>0</v>
          </cell>
          <cell r="G222">
            <v>0</v>
          </cell>
          <cell r="H222">
            <v>12</v>
          </cell>
          <cell r="I222">
            <v>0</v>
          </cell>
          <cell r="J222">
            <v>0</v>
          </cell>
          <cell r="K222">
            <v>7</v>
          </cell>
          <cell r="L222">
            <v>0</v>
          </cell>
          <cell r="M222">
            <v>0</v>
          </cell>
        </row>
        <row r="223">
          <cell r="A223" t="str">
            <v>EUTK-J02H-K0-10/12</v>
          </cell>
          <cell r="B223">
            <v>0</v>
          </cell>
          <cell r="C223">
            <v>0</v>
          </cell>
          <cell r="D223">
            <v>0</v>
          </cell>
          <cell r="E223">
            <v>6</v>
          </cell>
          <cell r="F223">
            <v>0</v>
          </cell>
          <cell r="G223">
            <v>0</v>
          </cell>
          <cell r="H223">
            <v>6</v>
          </cell>
          <cell r="I223">
            <v>0</v>
          </cell>
          <cell r="J223">
            <v>0</v>
          </cell>
          <cell r="K223">
            <v>8</v>
          </cell>
          <cell r="L223">
            <v>1</v>
          </cell>
          <cell r="M223">
            <v>0.29</v>
          </cell>
        </row>
        <row r="224">
          <cell r="A224" t="str">
            <v>EUTK-J02H-K0-14/16</v>
          </cell>
          <cell r="B224">
            <v>5</v>
          </cell>
          <cell r="C224">
            <v>0</v>
          </cell>
          <cell r="D224">
            <v>0</v>
          </cell>
          <cell r="E224">
            <v>8</v>
          </cell>
          <cell r="F224">
            <v>1</v>
          </cell>
          <cell r="G224">
            <v>0.23</v>
          </cell>
          <cell r="H224">
            <v>3</v>
          </cell>
          <cell r="I224">
            <v>1</v>
          </cell>
          <cell r="J224">
            <v>0.23</v>
          </cell>
          <cell r="K224">
            <v>1</v>
          </cell>
          <cell r="L224">
            <v>0</v>
          </cell>
          <cell r="M224">
            <v>0</v>
          </cell>
        </row>
        <row r="225">
          <cell r="A225" t="str">
            <v>EUTK-J02H-K0-4</v>
          </cell>
          <cell r="B225">
            <v>115</v>
          </cell>
          <cell r="C225">
            <v>0</v>
          </cell>
          <cell r="D225">
            <v>0</v>
          </cell>
          <cell r="E225">
            <v>29</v>
          </cell>
          <cell r="F225">
            <v>0</v>
          </cell>
          <cell r="G225">
            <v>0</v>
          </cell>
          <cell r="H225">
            <v>5</v>
          </cell>
          <cell r="I225">
            <v>0</v>
          </cell>
          <cell r="J225">
            <v>0</v>
          </cell>
          <cell r="K225">
            <v>23</v>
          </cell>
          <cell r="L225">
            <v>0</v>
          </cell>
          <cell r="M225">
            <v>0</v>
          </cell>
        </row>
        <row r="226">
          <cell r="A226" t="str">
            <v>EUTK-J02H-K0-4T</v>
          </cell>
          <cell r="B226">
            <v>4</v>
          </cell>
          <cell r="C226">
            <v>0</v>
          </cell>
          <cell r="D226">
            <v>0</v>
          </cell>
          <cell r="E226">
            <v>8</v>
          </cell>
          <cell r="F226">
            <v>0</v>
          </cell>
          <cell r="G226">
            <v>0</v>
          </cell>
          <cell r="H226">
            <v>3</v>
          </cell>
          <cell r="I226">
            <v>0</v>
          </cell>
          <cell r="J226">
            <v>0</v>
          </cell>
          <cell r="K226">
            <v>6</v>
          </cell>
          <cell r="L226">
            <v>0</v>
          </cell>
          <cell r="M226">
            <v>0</v>
          </cell>
        </row>
        <row r="227">
          <cell r="A227" t="str">
            <v>EUTK-J02H-K0-7</v>
          </cell>
          <cell r="B227">
            <v>18</v>
          </cell>
          <cell r="C227">
            <v>0</v>
          </cell>
          <cell r="D227">
            <v>0</v>
          </cell>
          <cell r="E227">
            <v>10</v>
          </cell>
          <cell r="F227">
            <v>0</v>
          </cell>
          <cell r="G227">
            <v>0</v>
          </cell>
          <cell r="H227">
            <v>1</v>
          </cell>
          <cell r="I227">
            <v>0</v>
          </cell>
          <cell r="J227">
            <v>0</v>
          </cell>
          <cell r="K227">
            <v>3</v>
          </cell>
          <cell r="L227">
            <v>0</v>
          </cell>
          <cell r="M227">
            <v>0</v>
          </cell>
        </row>
        <row r="228">
          <cell r="A228" t="str">
            <v>EUTK-J02H-K0-8</v>
          </cell>
          <cell r="B228">
            <v>0</v>
          </cell>
          <cell r="C228">
            <v>0</v>
          </cell>
          <cell r="D228">
            <v>0</v>
          </cell>
          <cell r="E228">
            <v>0</v>
          </cell>
          <cell r="F228">
            <v>0</v>
          </cell>
          <cell r="G228">
            <v>0</v>
          </cell>
          <cell r="H228">
            <v>0</v>
          </cell>
          <cell r="I228">
            <v>0</v>
          </cell>
          <cell r="J228">
            <v>0</v>
          </cell>
          <cell r="K228">
            <v>2</v>
          </cell>
          <cell r="L228">
            <v>0</v>
          </cell>
          <cell r="M228">
            <v>0</v>
          </cell>
        </row>
        <row r="229">
          <cell r="A229" t="str">
            <v>EUTK-J02H-SH-2T</v>
          </cell>
          <cell r="B229">
            <v>3</v>
          </cell>
          <cell r="C229">
            <v>0</v>
          </cell>
          <cell r="D229">
            <v>0</v>
          </cell>
          <cell r="E229">
            <v>4</v>
          </cell>
          <cell r="F229">
            <v>0</v>
          </cell>
          <cell r="G229">
            <v>0</v>
          </cell>
          <cell r="H229">
            <v>3</v>
          </cell>
          <cell r="I229">
            <v>0</v>
          </cell>
          <cell r="J229">
            <v>0</v>
          </cell>
          <cell r="K229">
            <v>2</v>
          </cell>
          <cell r="L229">
            <v>0</v>
          </cell>
          <cell r="M229">
            <v>0</v>
          </cell>
        </row>
        <row r="230">
          <cell r="A230" t="str">
            <v>EUTK-J02H-SH-4</v>
          </cell>
          <cell r="B230">
            <v>0</v>
          </cell>
          <cell r="C230">
            <v>0</v>
          </cell>
          <cell r="D230">
            <v>0</v>
          </cell>
          <cell r="E230">
            <v>8</v>
          </cell>
          <cell r="F230">
            <v>0</v>
          </cell>
          <cell r="G230">
            <v>0</v>
          </cell>
          <cell r="H230">
            <v>1</v>
          </cell>
          <cell r="I230">
            <v>0</v>
          </cell>
          <cell r="J230">
            <v>0</v>
          </cell>
          <cell r="K230">
            <v>14</v>
          </cell>
          <cell r="L230">
            <v>0</v>
          </cell>
          <cell r="M230">
            <v>0</v>
          </cell>
        </row>
        <row r="231">
          <cell r="A231" t="str">
            <v>EUTK-J02H-SH-4T</v>
          </cell>
          <cell r="B231">
            <v>0</v>
          </cell>
          <cell r="C231">
            <v>0</v>
          </cell>
          <cell r="D231">
            <v>0</v>
          </cell>
          <cell r="E231">
            <v>2</v>
          </cell>
          <cell r="F231">
            <v>0</v>
          </cell>
          <cell r="G231">
            <v>0</v>
          </cell>
          <cell r="H231">
            <v>1</v>
          </cell>
          <cell r="I231">
            <v>0</v>
          </cell>
          <cell r="J231">
            <v>0</v>
          </cell>
          <cell r="K231">
            <v>0</v>
          </cell>
          <cell r="L231">
            <v>0</v>
          </cell>
          <cell r="M231">
            <v>0</v>
          </cell>
        </row>
        <row r="232">
          <cell r="A232" t="str">
            <v>EUTK-J02H-SH-5/6</v>
          </cell>
          <cell r="B232">
            <v>2</v>
          </cell>
          <cell r="C232">
            <v>0</v>
          </cell>
          <cell r="D232">
            <v>0</v>
          </cell>
          <cell r="E232">
            <v>2</v>
          </cell>
          <cell r="F232">
            <v>0</v>
          </cell>
          <cell r="G232">
            <v>0</v>
          </cell>
          <cell r="H232">
            <v>0</v>
          </cell>
          <cell r="I232">
            <v>0</v>
          </cell>
          <cell r="J232">
            <v>0</v>
          </cell>
          <cell r="K232">
            <v>4</v>
          </cell>
          <cell r="L232">
            <v>1</v>
          </cell>
          <cell r="M232">
            <v>0.21</v>
          </cell>
        </row>
        <row r="233">
          <cell r="A233" t="str">
            <v>EUTK-J02H-SH-7</v>
          </cell>
          <cell r="B233">
            <v>1</v>
          </cell>
          <cell r="C233">
            <v>0</v>
          </cell>
          <cell r="D233">
            <v>0</v>
          </cell>
          <cell r="E233">
            <v>7</v>
          </cell>
          <cell r="F233">
            <v>0</v>
          </cell>
          <cell r="G233">
            <v>0</v>
          </cell>
          <cell r="H233">
            <v>0</v>
          </cell>
          <cell r="I233">
            <v>0</v>
          </cell>
          <cell r="J233">
            <v>0</v>
          </cell>
          <cell r="K233">
            <v>1</v>
          </cell>
          <cell r="L233">
            <v>0</v>
          </cell>
          <cell r="M233">
            <v>0</v>
          </cell>
        </row>
        <row r="234">
          <cell r="A234" t="str">
            <v>EUTK-J02H-SH-8</v>
          </cell>
          <cell r="B234">
            <v>12</v>
          </cell>
          <cell r="C234">
            <v>1</v>
          </cell>
          <cell r="D234">
            <v>0.07</v>
          </cell>
          <cell r="E234">
            <v>14</v>
          </cell>
          <cell r="F234">
            <v>0</v>
          </cell>
          <cell r="G234">
            <v>0</v>
          </cell>
          <cell r="H234">
            <v>4</v>
          </cell>
          <cell r="I234">
            <v>0</v>
          </cell>
          <cell r="J234">
            <v>0</v>
          </cell>
          <cell r="K234">
            <v>4</v>
          </cell>
          <cell r="L234">
            <v>0</v>
          </cell>
          <cell r="M234">
            <v>0</v>
          </cell>
        </row>
        <row r="235">
          <cell r="A235" t="str">
            <v>YZ-BS-HB8995-PI-L</v>
          </cell>
          <cell r="B235">
            <v>0</v>
          </cell>
          <cell r="C235">
            <v>0</v>
          </cell>
          <cell r="D235">
            <v>0</v>
          </cell>
          <cell r="E235">
            <v>1</v>
          </cell>
          <cell r="F235">
            <v>0</v>
          </cell>
          <cell r="G235">
            <v>0</v>
          </cell>
          <cell r="H235">
            <v>1</v>
          </cell>
          <cell r="I235">
            <v>0</v>
          </cell>
          <cell r="J235">
            <v>0</v>
          </cell>
          <cell r="K235">
            <v>1</v>
          </cell>
          <cell r="L235">
            <v>0</v>
          </cell>
          <cell r="M235">
            <v>0</v>
          </cell>
        </row>
        <row r="236">
          <cell r="A236" t="str">
            <v>YZ-BS-HB8995-PI-S</v>
          </cell>
          <cell r="B236">
            <v>4</v>
          </cell>
          <cell r="C236">
            <v>0</v>
          </cell>
          <cell r="D236">
            <v>0</v>
          </cell>
          <cell r="E236">
            <v>17</v>
          </cell>
          <cell r="F236">
            <v>0</v>
          </cell>
          <cell r="G236">
            <v>0</v>
          </cell>
          <cell r="H236">
            <v>0</v>
          </cell>
          <cell r="I236">
            <v>0</v>
          </cell>
          <cell r="J236">
            <v>0</v>
          </cell>
          <cell r="K236">
            <v>5</v>
          </cell>
          <cell r="L236">
            <v>0</v>
          </cell>
          <cell r="M236">
            <v>0</v>
          </cell>
        </row>
        <row r="237">
          <cell r="A237" t="str">
            <v>WQS-BS-BN1504-BO/RO-M</v>
          </cell>
          <cell r="B237">
            <v>0</v>
          </cell>
          <cell r="C237">
            <v>0</v>
          </cell>
          <cell r="D237">
            <v>0</v>
          </cell>
          <cell r="E237">
            <v>0</v>
          </cell>
          <cell r="F237">
            <v>0</v>
          </cell>
          <cell r="G237">
            <v>0</v>
          </cell>
          <cell r="H237">
            <v>0</v>
          </cell>
          <cell r="I237">
            <v>0</v>
          </cell>
          <cell r="J237">
            <v>0</v>
          </cell>
          <cell r="K237">
            <v>58</v>
          </cell>
          <cell r="L237">
            <v>0</v>
          </cell>
          <cell r="M237">
            <v>0</v>
          </cell>
        </row>
        <row r="238">
          <cell r="A238" t="str">
            <v>WQS-BS-BN1504-BO/RO-S</v>
          </cell>
          <cell r="B238">
            <v>0</v>
          </cell>
          <cell r="C238">
            <v>0</v>
          </cell>
          <cell r="D238">
            <v>0</v>
          </cell>
          <cell r="E238">
            <v>30</v>
          </cell>
          <cell r="F238">
            <v>2</v>
          </cell>
          <cell r="G238">
            <v>0.29</v>
          </cell>
          <cell r="H238">
            <v>30</v>
          </cell>
          <cell r="I238">
            <v>2</v>
          </cell>
          <cell r="J238">
            <v>0.29</v>
          </cell>
          <cell r="K238">
            <v>72</v>
          </cell>
          <cell r="L238">
            <v>1</v>
          </cell>
          <cell r="M238">
            <v>0.24</v>
          </cell>
        </row>
        <row r="239">
          <cell r="A239" t="str">
            <v>WQS-BS-BN1504-GR-M</v>
          </cell>
          <cell r="B239">
            <v>17</v>
          </cell>
          <cell r="C239">
            <v>0</v>
          </cell>
          <cell r="D239">
            <v>0</v>
          </cell>
          <cell r="E239">
            <v>5427</v>
          </cell>
          <cell r="F239">
            <v>8</v>
          </cell>
          <cell r="G239">
            <v>1.4</v>
          </cell>
          <cell r="H239">
            <v>3249</v>
          </cell>
          <cell r="I239">
            <v>4</v>
          </cell>
          <cell r="J239">
            <v>0.59</v>
          </cell>
          <cell r="K239">
            <v>116</v>
          </cell>
          <cell r="L239">
            <v>2</v>
          </cell>
          <cell r="M239">
            <v>0.34</v>
          </cell>
        </row>
        <row r="240">
          <cell r="A240" t="str">
            <v>WQS-BS-BN1504-GR-S</v>
          </cell>
          <cell r="B240">
            <v>12530</v>
          </cell>
          <cell r="C240">
            <v>16</v>
          </cell>
          <cell r="D240">
            <v>2.58</v>
          </cell>
          <cell r="E240">
            <v>19951</v>
          </cell>
          <cell r="F240">
            <v>27</v>
          </cell>
          <cell r="G240">
            <v>4.61</v>
          </cell>
          <cell r="H240">
            <v>4215</v>
          </cell>
          <cell r="I240">
            <v>5</v>
          </cell>
          <cell r="J240">
            <v>0.69</v>
          </cell>
          <cell r="K240">
            <v>246</v>
          </cell>
          <cell r="L240">
            <v>2</v>
          </cell>
          <cell r="M240">
            <v>0.36</v>
          </cell>
        </row>
        <row r="241">
          <cell r="A241" t="str">
            <v>WQS-BS-BN1504-KO-L</v>
          </cell>
          <cell r="B241">
            <v>28</v>
          </cell>
          <cell r="C241">
            <v>0</v>
          </cell>
          <cell r="D241">
            <v>0</v>
          </cell>
          <cell r="E241">
            <v>29</v>
          </cell>
          <cell r="F241">
            <v>0</v>
          </cell>
          <cell r="G241">
            <v>0</v>
          </cell>
          <cell r="H241">
            <v>29</v>
          </cell>
          <cell r="I241">
            <v>0</v>
          </cell>
          <cell r="J241">
            <v>0</v>
          </cell>
          <cell r="K241">
            <v>20</v>
          </cell>
          <cell r="L241">
            <v>0</v>
          </cell>
          <cell r="M241">
            <v>0</v>
          </cell>
        </row>
        <row r="242">
          <cell r="A242" t="str">
            <v>WQS-BS-BN1504-KO-M</v>
          </cell>
          <cell r="B242">
            <v>398</v>
          </cell>
          <cell r="C242">
            <v>1</v>
          </cell>
          <cell r="D242">
            <v>0.22</v>
          </cell>
          <cell r="E242">
            <v>332</v>
          </cell>
          <cell r="F242">
            <v>3</v>
          </cell>
          <cell r="G242">
            <v>0.47</v>
          </cell>
          <cell r="H242">
            <v>32</v>
          </cell>
          <cell r="I242">
            <v>0</v>
          </cell>
          <cell r="J242">
            <v>0</v>
          </cell>
          <cell r="K242">
            <v>117</v>
          </cell>
          <cell r="L242">
            <v>0</v>
          </cell>
          <cell r="M242">
            <v>0</v>
          </cell>
        </row>
        <row r="243">
          <cell r="A243" t="str">
            <v>WQS-BS-BN1504-KO-S</v>
          </cell>
          <cell r="B243">
            <v>2041</v>
          </cell>
          <cell r="C243">
            <v>2</v>
          </cell>
          <cell r="D243">
            <v>0.3</v>
          </cell>
          <cell r="E243">
            <v>1449</v>
          </cell>
          <cell r="F243">
            <v>0</v>
          </cell>
          <cell r="G243">
            <v>0</v>
          </cell>
          <cell r="H243">
            <v>37</v>
          </cell>
          <cell r="I243">
            <v>0</v>
          </cell>
          <cell r="J243">
            <v>0</v>
          </cell>
          <cell r="K243">
            <v>77</v>
          </cell>
          <cell r="L243">
            <v>3</v>
          </cell>
          <cell r="M243">
            <v>0.45</v>
          </cell>
        </row>
        <row r="244">
          <cell r="A244" t="str">
            <v>WQS-BS-BN1504-RO-M</v>
          </cell>
          <cell r="B244">
            <v>2550</v>
          </cell>
          <cell r="C244">
            <v>5</v>
          </cell>
          <cell r="D244">
            <v>0.77</v>
          </cell>
          <cell r="E244">
            <v>535</v>
          </cell>
          <cell r="F244">
            <v>5</v>
          </cell>
          <cell r="G244">
            <v>0.72</v>
          </cell>
          <cell r="H244">
            <v>36</v>
          </cell>
          <cell r="I244">
            <v>1</v>
          </cell>
          <cell r="J244">
            <v>0.08</v>
          </cell>
          <cell r="K244">
            <v>66</v>
          </cell>
          <cell r="L244">
            <v>1</v>
          </cell>
          <cell r="M244">
            <v>0.15</v>
          </cell>
        </row>
        <row r="245">
          <cell r="A245" t="str">
            <v>WQS-BS-BN1504-RO-XL</v>
          </cell>
          <cell r="B245">
            <v>0</v>
          </cell>
          <cell r="C245">
            <v>0</v>
          </cell>
          <cell r="D245">
            <v>0</v>
          </cell>
          <cell r="E245">
            <v>82</v>
          </cell>
          <cell r="F245">
            <v>1</v>
          </cell>
          <cell r="G245">
            <v>0.13</v>
          </cell>
          <cell r="H245">
            <v>68</v>
          </cell>
          <cell r="I245">
            <v>1</v>
          </cell>
          <cell r="J245">
            <v>0.13</v>
          </cell>
          <cell r="K245">
            <v>119</v>
          </cell>
          <cell r="L245">
            <v>0</v>
          </cell>
          <cell r="M245">
            <v>0</v>
          </cell>
        </row>
        <row r="246">
          <cell r="A246" t="str">
            <v>XZ-BS-YG7223Co4445</v>
          </cell>
          <cell r="B246">
            <v>738</v>
          </cell>
          <cell r="C246">
            <v>2</v>
          </cell>
          <cell r="D246">
            <v>0.32</v>
          </cell>
          <cell r="E246">
            <v>2928</v>
          </cell>
          <cell r="F246">
            <v>13</v>
          </cell>
          <cell r="G246">
            <v>2.64</v>
          </cell>
          <cell r="H246">
            <v>1544</v>
          </cell>
          <cell r="I246">
            <v>6</v>
          </cell>
          <cell r="J246">
            <v>1.29</v>
          </cell>
          <cell r="K246">
            <v>136</v>
          </cell>
          <cell r="L246">
            <v>4</v>
          </cell>
          <cell r="M246">
            <v>0.64</v>
          </cell>
        </row>
        <row r="247">
          <cell r="A247" t="str">
            <v>XZ-BS-YG7223Da4243</v>
          </cell>
          <cell r="B247">
            <v>128</v>
          </cell>
          <cell r="C247">
            <v>1</v>
          </cell>
          <cell r="D247">
            <v>0.33</v>
          </cell>
          <cell r="E247">
            <v>643</v>
          </cell>
          <cell r="F247">
            <v>3</v>
          </cell>
          <cell r="G247">
            <v>0.7</v>
          </cell>
          <cell r="H247">
            <v>577</v>
          </cell>
          <cell r="I247">
            <v>2</v>
          </cell>
          <cell r="J247">
            <v>0.41</v>
          </cell>
          <cell r="K247">
            <v>2599</v>
          </cell>
          <cell r="L247">
            <v>9</v>
          </cell>
          <cell r="M247">
            <v>1.55</v>
          </cell>
        </row>
        <row r="248">
          <cell r="A248" t="str">
            <v>XZ-BS-YG7223Da4445</v>
          </cell>
          <cell r="B248">
            <v>49</v>
          </cell>
          <cell r="C248">
            <v>0</v>
          </cell>
          <cell r="D248">
            <v>0</v>
          </cell>
          <cell r="E248">
            <v>108</v>
          </cell>
          <cell r="F248">
            <v>3</v>
          </cell>
          <cell r="G248">
            <v>0.5</v>
          </cell>
          <cell r="H248">
            <v>56</v>
          </cell>
          <cell r="I248">
            <v>0</v>
          </cell>
          <cell r="J248">
            <v>0</v>
          </cell>
          <cell r="K248">
            <v>104</v>
          </cell>
          <cell r="L248">
            <v>3</v>
          </cell>
          <cell r="M248">
            <v>0.49</v>
          </cell>
        </row>
        <row r="249">
          <cell r="A249" t="str">
            <v>XZ-BS-013GR1-XL</v>
          </cell>
          <cell r="B249">
            <v>0</v>
          </cell>
          <cell r="C249">
            <v>0</v>
          </cell>
          <cell r="D249">
            <v>0</v>
          </cell>
          <cell r="E249">
            <v>0</v>
          </cell>
          <cell r="F249">
            <v>0</v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  <cell r="K249">
            <v>55</v>
          </cell>
          <cell r="L249">
            <v>0</v>
          </cell>
          <cell r="M249">
            <v>0</v>
          </cell>
        </row>
        <row r="250">
          <cell r="A250" t="str">
            <v>XZ-BS-013GR2-S</v>
          </cell>
          <cell r="B250">
            <v>660</v>
          </cell>
          <cell r="C250">
            <v>7</v>
          </cell>
          <cell r="D250">
            <v>1.64</v>
          </cell>
          <cell r="E250">
            <v>21471</v>
          </cell>
          <cell r="F250">
            <v>28</v>
          </cell>
          <cell r="G250">
            <v>5.36</v>
          </cell>
          <cell r="H250">
            <v>20770</v>
          </cell>
          <cell r="I250">
            <v>18</v>
          </cell>
          <cell r="J250">
            <v>3.39</v>
          </cell>
          <cell r="K250">
            <v>142710</v>
          </cell>
          <cell r="L250">
            <v>77</v>
          </cell>
          <cell r="M250">
            <v>14.29</v>
          </cell>
        </row>
        <row r="251">
          <cell r="A251" t="str">
            <v>XZ-BS-013GR3-XL</v>
          </cell>
          <cell r="B251">
            <v>76</v>
          </cell>
          <cell r="C251">
            <v>2</v>
          </cell>
          <cell r="D251">
            <v>0.32</v>
          </cell>
          <cell r="E251">
            <v>8364</v>
          </cell>
          <cell r="F251">
            <v>11</v>
          </cell>
          <cell r="G251">
            <v>1.94</v>
          </cell>
          <cell r="H251">
            <v>3933</v>
          </cell>
          <cell r="I251">
            <v>5</v>
          </cell>
          <cell r="J251">
            <v>0.88</v>
          </cell>
          <cell r="K251">
            <v>1297</v>
          </cell>
          <cell r="L251">
            <v>2</v>
          </cell>
          <cell r="M251">
            <v>0.53</v>
          </cell>
        </row>
        <row r="252">
          <cell r="A252" t="str">
            <v>XZ-BS-013PI3-S</v>
          </cell>
          <cell r="B252">
            <v>318</v>
          </cell>
          <cell r="C252">
            <v>1</v>
          </cell>
          <cell r="D252">
            <v>0.19</v>
          </cell>
          <cell r="E252">
            <v>27051</v>
          </cell>
          <cell r="F252">
            <v>14</v>
          </cell>
          <cell r="G252">
            <v>2.64</v>
          </cell>
          <cell r="H252">
            <v>26702</v>
          </cell>
          <cell r="I252">
            <v>14</v>
          </cell>
          <cell r="J252">
            <v>2.64</v>
          </cell>
          <cell r="K252">
            <v>1634</v>
          </cell>
          <cell r="L252">
            <v>10</v>
          </cell>
          <cell r="M252">
            <v>2.2</v>
          </cell>
        </row>
        <row r="253">
          <cell r="A253" t="str">
            <v>XZ-BS-013WH1-S</v>
          </cell>
          <cell r="B253">
            <v>1980</v>
          </cell>
          <cell r="C253">
            <v>4</v>
          </cell>
          <cell r="D253">
            <v>0.65</v>
          </cell>
          <cell r="E253">
            <v>11906</v>
          </cell>
          <cell r="F253">
            <v>7</v>
          </cell>
          <cell r="G253">
            <v>0.96</v>
          </cell>
          <cell r="H253">
            <v>691</v>
          </cell>
          <cell r="I253">
            <v>3</v>
          </cell>
          <cell r="J253">
            <v>0.27</v>
          </cell>
          <cell r="K253">
            <v>412</v>
          </cell>
          <cell r="L253">
            <v>2</v>
          </cell>
          <cell r="M253">
            <v>0.25</v>
          </cell>
        </row>
        <row r="254">
          <cell r="A254" t="str">
            <v>XZ-BS-013WH2-S</v>
          </cell>
          <cell r="B254">
            <v>12256</v>
          </cell>
          <cell r="C254">
            <v>7</v>
          </cell>
          <cell r="D254">
            <v>1.05</v>
          </cell>
          <cell r="E254">
            <v>10603</v>
          </cell>
          <cell r="F254">
            <v>18</v>
          </cell>
          <cell r="G254">
            <v>3.06</v>
          </cell>
          <cell r="H254">
            <v>6929</v>
          </cell>
          <cell r="I254">
            <v>14</v>
          </cell>
          <cell r="J254">
            <v>2.3</v>
          </cell>
          <cell r="K254">
            <v>2788</v>
          </cell>
          <cell r="L254">
            <v>14</v>
          </cell>
          <cell r="M254">
            <v>2.35</v>
          </cell>
        </row>
        <row r="255">
          <cell r="A255" t="str">
            <v>XZ-BS-013WH3-L</v>
          </cell>
          <cell r="B255">
            <v>0</v>
          </cell>
          <cell r="C255">
            <v>0</v>
          </cell>
          <cell r="D255">
            <v>0</v>
          </cell>
          <cell r="E255">
            <v>0</v>
          </cell>
          <cell r="F255">
            <v>0</v>
          </cell>
          <cell r="G255">
            <v>0</v>
          </cell>
          <cell r="H255">
            <v>0</v>
          </cell>
          <cell r="I255">
            <v>0</v>
          </cell>
          <cell r="J255">
            <v>0</v>
          </cell>
          <cell r="K255">
            <v>32</v>
          </cell>
          <cell r="L255">
            <v>0</v>
          </cell>
          <cell r="M255">
            <v>0</v>
          </cell>
        </row>
        <row r="256">
          <cell r="A256" t="str">
            <v>XZ-BS-013WH3-S</v>
          </cell>
          <cell r="B256">
            <v>92</v>
          </cell>
          <cell r="C256">
            <v>0</v>
          </cell>
          <cell r="D256">
            <v>0</v>
          </cell>
          <cell r="E256">
            <v>6080</v>
          </cell>
          <cell r="F256">
            <v>4</v>
          </cell>
          <cell r="G256">
            <v>0.63</v>
          </cell>
          <cell r="H256">
            <v>899</v>
          </cell>
          <cell r="I256">
            <v>3</v>
          </cell>
          <cell r="J256">
            <v>0.47</v>
          </cell>
          <cell r="K256">
            <v>596</v>
          </cell>
          <cell r="L256">
            <v>2</v>
          </cell>
          <cell r="M256">
            <v>0.5</v>
          </cell>
        </row>
        <row r="257">
          <cell r="A257" t="str">
            <v>BS-HB3555-KO-L</v>
          </cell>
          <cell r="B257">
            <v>5</v>
          </cell>
          <cell r="C257">
            <v>0</v>
          </cell>
          <cell r="D257">
            <v>0</v>
          </cell>
          <cell r="E257">
            <v>47</v>
          </cell>
          <cell r="F257">
            <v>0</v>
          </cell>
          <cell r="G257">
            <v>0</v>
          </cell>
          <cell r="H257">
            <v>26</v>
          </cell>
          <cell r="I257">
            <v>0</v>
          </cell>
          <cell r="J257">
            <v>0</v>
          </cell>
          <cell r="K257">
            <v>20</v>
          </cell>
          <cell r="L257">
            <v>0</v>
          </cell>
          <cell r="M257">
            <v>0</v>
          </cell>
        </row>
        <row r="258">
          <cell r="A258" t="str">
            <v>BS-HB3555-KO-M</v>
          </cell>
          <cell r="B258">
            <v>0</v>
          </cell>
          <cell r="C258">
            <v>0</v>
          </cell>
          <cell r="D258">
            <v>0</v>
          </cell>
          <cell r="E258">
            <v>0</v>
          </cell>
          <cell r="F258">
            <v>0</v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1</v>
          </cell>
          <cell r="L258">
            <v>0</v>
          </cell>
          <cell r="M258">
            <v>0</v>
          </cell>
        </row>
        <row r="259">
          <cell r="A259" t="str">
            <v>BS-HB3555-PI-L</v>
          </cell>
          <cell r="B259">
            <v>32</v>
          </cell>
          <cell r="C259">
            <v>0</v>
          </cell>
          <cell r="D259">
            <v>0</v>
          </cell>
          <cell r="E259">
            <v>169</v>
          </cell>
          <cell r="F259">
            <v>1</v>
          </cell>
          <cell r="G259">
            <v>0.09</v>
          </cell>
          <cell r="H259">
            <v>86</v>
          </cell>
          <cell r="I259">
            <v>0</v>
          </cell>
          <cell r="J259">
            <v>0</v>
          </cell>
          <cell r="K259">
            <v>103</v>
          </cell>
          <cell r="L259">
            <v>1</v>
          </cell>
          <cell r="M259">
            <v>0.2</v>
          </cell>
        </row>
        <row r="260">
          <cell r="A260" t="str">
            <v>BS-HB3555-PI-S</v>
          </cell>
          <cell r="B260">
            <v>152</v>
          </cell>
          <cell r="C260">
            <v>4</v>
          </cell>
          <cell r="D260">
            <v>0.57</v>
          </cell>
          <cell r="E260">
            <v>140</v>
          </cell>
          <cell r="F260">
            <v>1</v>
          </cell>
          <cell r="G260">
            <v>0.15</v>
          </cell>
          <cell r="H260">
            <v>20</v>
          </cell>
          <cell r="I260">
            <v>0</v>
          </cell>
          <cell r="J260">
            <v>0</v>
          </cell>
          <cell r="K260">
            <v>19</v>
          </cell>
          <cell r="L260">
            <v>0</v>
          </cell>
          <cell r="M260">
            <v>0</v>
          </cell>
        </row>
        <row r="261">
          <cell r="A261" t="str">
            <v>LYQ-WH1109-B0-M</v>
          </cell>
          <cell r="B261">
            <v>15</v>
          </cell>
          <cell r="C261">
            <v>0</v>
          </cell>
          <cell r="D261">
            <v>0</v>
          </cell>
          <cell r="E261">
            <v>200</v>
          </cell>
          <cell r="F261">
            <v>1</v>
          </cell>
          <cell r="G261">
            <v>0.18</v>
          </cell>
          <cell r="H261">
            <v>52</v>
          </cell>
          <cell r="I261">
            <v>1</v>
          </cell>
          <cell r="J261">
            <v>0.18</v>
          </cell>
          <cell r="K261">
            <v>46</v>
          </cell>
          <cell r="L261">
            <v>0</v>
          </cell>
          <cell r="M261">
            <v>0</v>
          </cell>
        </row>
        <row r="262">
          <cell r="A262" t="str">
            <v>LYQ-WH1109-B0-S</v>
          </cell>
          <cell r="B262">
            <v>585</v>
          </cell>
          <cell r="C262">
            <v>1</v>
          </cell>
          <cell r="D262">
            <v>0.14</v>
          </cell>
          <cell r="E262">
            <v>326</v>
          </cell>
          <cell r="F262">
            <v>0</v>
          </cell>
          <cell r="G262">
            <v>0</v>
          </cell>
          <cell r="H262">
            <v>35</v>
          </cell>
          <cell r="I262">
            <v>0</v>
          </cell>
          <cell r="J262">
            <v>0</v>
          </cell>
          <cell r="K262">
            <v>29</v>
          </cell>
          <cell r="L262">
            <v>0</v>
          </cell>
          <cell r="M262">
            <v>0</v>
          </cell>
        </row>
        <row r="263">
          <cell r="A263" t="str">
            <v>LYQ-WH1109-DG-L</v>
          </cell>
          <cell r="B263">
            <v>1091</v>
          </cell>
          <cell r="C263">
            <v>2</v>
          </cell>
          <cell r="D263">
            <v>0.08</v>
          </cell>
          <cell r="E263">
            <v>23318</v>
          </cell>
          <cell r="F263">
            <v>17</v>
          </cell>
          <cell r="G263">
            <v>3.01</v>
          </cell>
          <cell r="H263">
            <v>17740</v>
          </cell>
          <cell r="I263">
            <v>16</v>
          </cell>
          <cell r="J263">
            <v>2.78</v>
          </cell>
          <cell r="K263">
            <v>486</v>
          </cell>
          <cell r="L263">
            <v>3</v>
          </cell>
          <cell r="M263">
            <v>0.38</v>
          </cell>
        </row>
        <row r="264">
          <cell r="A264" t="str">
            <v>LYQ-WH1109-DG-M</v>
          </cell>
          <cell r="B264">
            <v>1956</v>
          </cell>
          <cell r="C264">
            <v>5</v>
          </cell>
          <cell r="D264">
            <v>0.87</v>
          </cell>
          <cell r="E264">
            <v>757</v>
          </cell>
          <cell r="F264">
            <v>1</v>
          </cell>
          <cell r="G264">
            <v>0.03</v>
          </cell>
          <cell r="H264">
            <v>69</v>
          </cell>
          <cell r="I264">
            <v>0</v>
          </cell>
          <cell r="J264">
            <v>0</v>
          </cell>
          <cell r="K264">
            <v>20</v>
          </cell>
          <cell r="L264">
            <v>0</v>
          </cell>
          <cell r="M264">
            <v>0</v>
          </cell>
        </row>
        <row r="265">
          <cell r="A265" t="str">
            <v>LYQ-WH1109-DG-S</v>
          </cell>
          <cell r="B265">
            <v>1197</v>
          </cell>
          <cell r="C265">
            <v>1</v>
          </cell>
          <cell r="D265">
            <v>0.22</v>
          </cell>
          <cell r="E265">
            <v>438</v>
          </cell>
          <cell r="F265">
            <v>0</v>
          </cell>
          <cell r="G265">
            <v>0</v>
          </cell>
          <cell r="H265">
            <v>99</v>
          </cell>
          <cell r="I265">
            <v>0</v>
          </cell>
          <cell r="J265">
            <v>0</v>
          </cell>
          <cell r="K265">
            <v>49</v>
          </cell>
          <cell r="L265">
            <v>0</v>
          </cell>
          <cell r="M265">
            <v>0</v>
          </cell>
        </row>
        <row r="266">
          <cell r="A266" t="str">
            <v>LYQ-WH1109-DG-XL</v>
          </cell>
          <cell r="B266">
            <v>1343</v>
          </cell>
          <cell r="C266">
            <v>6</v>
          </cell>
          <cell r="D266">
            <v>1.13</v>
          </cell>
          <cell r="E266">
            <v>1831</v>
          </cell>
          <cell r="F266">
            <v>5</v>
          </cell>
          <cell r="G266">
            <v>1.22</v>
          </cell>
          <cell r="H266">
            <v>301</v>
          </cell>
          <cell r="I266">
            <v>1</v>
          </cell>
          <cell r="J266">
            <v>0.24</v>
          </cell>
          <cell r="K266">
            <v>129</v>
          </cell>
          <cell r="L266">
            <v>0</v>
          </cell>
          <cell r="M266">
            <v>0</v>
          </cell>
        </row>
        <row r="267">
          <cell r="A267" t="str">
            <v>LYQ-WH1109-DG-XXL</v>
          </cell>
          <cell r="B267">
            <v>89</v>
          </cell>
          <cell r="C267">
            <v>0</v>
          </cell>
          <cell r="D267">
            <v>0</v>
          </cell>
          <cell r="E267">
            <v>1952</v>
          </cell>
          <cell r="F267">
            <v>1</v>
          </cell>
          <cell r="G267">
            <v>0.19</v>
          </cell>
          <cell r="H267">
            <v>1044</v>
          </cell>
          <cell r="I267">
            <v>1</v>
          </cell>
          <cell r="J267">
            <v>0.19</v>
          </cell>
          <cell r="K267">
            <v>144</v>
          </cell>
          <cell r="L267">
            <v>1</v>
          </cell>
          <cell r="M267">
            <v>0.13</v>
          </cell>
        </row>
        <row r="268">
          <cell r="A268" t="str">
            <v>LYQ-WH1109-G0-M</v>
          </cell>
          <cell r="B268">
            <v>7</v>
          </cell>
          <cell r="C268">
            <v>0</v>
          </cell>
          <cell r="D268">
            <v>0</v>
          </cell>
          <cell r="E268">
            <v>24888</v>
          </cell>
          <cell r="F268">
            <v>13</v>
          </cell>
          <cell r="G268">
            <v>2.45</v>
          </cell>
          <cell r="H268">
            <v>6065</v>
          </cell>
          <cell r="I268">
            <v>5</v>
          </cell>
          <cell r="J268">
            <v>1</v>
          </cell>
          <cell r="K268">
            <v>123</v>
          </cell>
          <cell r="L268">
            <v>0</v>
          </cell>
          <cell r="M268">
            <v>0</v>
          </cell>
        </row>
        <row r="269">
          <cell r="A269" t="str">
            <v>LYQ-WH1109-G0-S</v>
          </cell>
          <cell r="B269">
            <v>1232</v>
          </cell>
          <cell r="C269">
            <v>4</v>
          </cell>
          <cell r="D269">
            <v>0.63</v>
          </cell>
          <cell r="E269">
            <v>3343</v>
          </cell>
          <cell r="F269">
            <v>8</v>
          </cell>
          <cell r="G269">
            <v>1.21</v>
          </cell>
          <cell r="H269">
            <v>1297</v>
          </cell>
          <cell r="I269">
            <v>5</v>
          </cell>
          <cell r="J269">
            <v>0.8</v>
          </cell>
          <cell r="K269">
            <v>1327</v>
          </cell>
          <cell r="L269">
            <v>4</v>
          </cell>
          <cell r="M269">
            <v>0.81</v>
          </cell>
        </row>
        <row r="270">
          <cell r="A270" t="str">
            <v>LYQ-WH1109-G0-XL</v>
          </cell>
          <cell r="B270">
            <v>483</v>
          </cell>
          <cell r="C270">
            <v>1</v>
          </cell>
          <cell r="D270">
            <v>0.23</v>
          </cell>
          <cell r="E270">
            <v>305</v>
          </cell>
          <cell r="F270">
            <v>1</v>
          </cell>
          <cell r="G270">
            <v>0.27</v>
          </cell>
          <cell r="H270">
            <v>72</v>
          </cell>
          <cell r="I270">
            <v>1</v>
          </cell>
          <cell r="J270">
            <v>0.27</v>
          </cell>
          <cell r="K270">
            <v>35</v>
          </cell>
          <cell r="L270">
            <v>0</v>
          </cell>
          <cell r="M270">
            <v>0</v>
          </cell>
        </row>
        <row r="271">
          <cell r="A271" t="str">
            <v>LYQ-WH1109-G0-XXL</v>
          </cell>
          <cell r="B271">
            <v>208</v>
          </cell>
          <cell r="C271">
            <v>0</v>
          </cell>
          <cell r="D271">
            <v>0</v>
          </cell>
          <cell r="E271">
            <v>1378</v>
          </cell>
          <cell r="F271">
            <v>0</v>
          </cell>
          <cell r="G271">
            <v>0</v>
          </cell>
          <cell r="H271">
            <v>416</v>
          </cell>
          <cell r="I271">
            <v>0</v>
          </cell>
          <cell r="J271">
            <v>0</v>
          </cell>
          <cell r="K271">
            <v>276</v>
          </cell>
          <cell r="L271">
            <v>0</v>
          </cell>
          <cell r="M271">
            <v>0</v>
          </cell>
        </row>
        <row r="272">
          <cell r="A272" t="str">
            <v>LYQ-WH1109-G7-L</v>
          </cell>
          <cell r="B272">
            <v>509</v>
          </cell>
          <cell r="C272">
            <v>0</v>
          </cell>
          <cell r="D272">
            <v>0</v>
          </cell>
          <cell r="E272">
            <v>6679</v>
          </cell>
          <cell r="F272">
            <v>14</v>
          </cell>
          <cell r="G272">
            <v>2.64</v>
          </cell>
          <cell r="H272">
            <v>4141</v>
          </cell>
          <cell r="I272">
            <v>10</v>
          </cell>
          <cell r="J272">
            <v>2.06</v>
          </cell>
          <cell r="K272">
            <v>301</v>
          </cell>
          <cell r="L272">
            <v>1</v>
          </cell>
          <cell r="M272">
            <v>0.29</v>
          </cell>
        </row>
        <row r="273">
          <cell r="A273" t="str">
            <v>LYQ-WH1109-G7-M</v>
          </cell>
          <cell r="B273">
            <v>2</v>
          </cell>
          <cell r="C273">
            <v>0</v>
          </cell>
          <cell r="D273">
            <v>0</v>
          </cell>
          <cell r="E273">
            <v>738</v>
          </cell>
          <cell r="F273">
            <v>0</v>
          </cell>
          <cell r="G273">
            <v>0</v>
          </cell>
          <cell r="H273">
            <v>213</v>
          </cell>
          <cell r="I273">
            <v>0</v>
          </cell>
          <cell r="J273">
            <v>0</v>
          </cell>
          <cell r="K273">
            <v>259</v>
          </cell>
          <cell r="L273">
            <v>0</v>
          </cell>
          <cell r="M273">
            <v>0</v>
          </cell>
        </row>
        <row r="274">
          <cell r="A274" t="str">
            <v>LYQ-WH1109-G7-S</v>
          </cell>
          <cell r="B274">
            <v>191</v>
          </cell>
          <cell r="C274">
            <v>0</v>
          </cell>
          <cell r="D274">
            <v>0</v>
          </cell>
          <cell r="E274">
            <v>1033</v>
          </cell>
          <cell r="F274">
            <v>1</v>
          </cell>
          <cell r="G274">
            <v>0.3</v>
          </cell>
          <cell r="H274">
            <v>535</v>
          </cell>
          <cell r="I274">
            <v>1</v>
          </cell>
          <cell r="J274">
            <v>0.3</v>
          </cell>
          <cell r="K274">
            <v>80</v>
          </cell>
          <cell r="L274">
            <v>0</v>
          </cell>
          <cell r="M274">
            <v>0</v>
          </cell>
        </row>
        <row r="275">
          <cell r="A275" t="str">
            <v>LYQ-WH1109-G7-XL</v>
          </cell>
          <cell r="B275">
            <v>199</v>
          </cell>
          <cell r="C275">
            <v>2</v>
          </cell>
          <cell r="D275">
            <v>0.42</v>
          </cell>
          <cell r="E275">
            <v>5285</v>
          </cell>
          <cell r="F275">
            <v>7</v>
          </cell>
          <cell r="G275">
            <v>1.19</v>
          </cell>
          <cell r="H275">
            <v>3412</v>
          </cell>
          <cell r="I275">
            <v>6</v>
          </cell>
          <cell r="J275">
            <v>1.04</v>
          </cell>
          <cell r="K275">
            <v>444</v>
          </cell>
          <cell r="L275">
            <v>1</v>
          </cell>
          <cell r="M275">
            <v>0.11</v>
          </cell>
        </row>
        <row r="276">
          <cell r="A276" t="str">
            <v>LYQ-WH1109-G7-XXL</v>
          </cell>
          <cell r="B276">
            <v>25</v>
          </cell>
          <cell r="C276">
            <v>0</v>
          </cell>
          <cell r="D276">
            <v>0</v>
          </cell>
          <cell r="E276">
            <v>127</v>
          </cell>
          <cell r="F276">
            <v>0</v>
          </cell>
          <cell r="G276">
            <v>0</v>
          </cell>
          <cell r="H276">
            <v>44</v>
          </cell>
          <cell r="I276">
            <v>0</v>
          </cell>
          <cell r="J276">
            <v>0</v>
          </cell>
          <cell r="K276">
            <v>23</v>
          </cell>
          <cell r="L276">
            <v>0</v>
          </cell>
          <cell r="M276">
            <v>0</v>
          </cell>
        </row>
        <row r="277">
          <cell r="A277" t="str">
            <v>LYQ-WH1109-LG-L</v>
          </cell>
          <cell r="B277">
            <v>340</v>
          </cell>
          <cell r="C277">
            <v>1</v>
          </cell>
          <cell r="D277">
            <v>0.17</v>
          </cell>
          <cell r="E277">
            <v>1292</v>
          </cell>
          <cell r="F277">
            <v>4</v>
          </cell>
          <cell r="G277">
            <v>0.57</v>
          </cell>
          <cell r="H277">
            <v>213</v>
          </cell>
          <cell r="I277">
            <v>0</v>
          </cell>
          <cell r="J277">
            <v>0</v>
          </cell>
          <cell r="K277">
            <v>135</v>
          </cell>
          <cell r="L277">
            <v>0</v>
          </cell>
          <cell r="M277">
            <v>0</v>
          </cell>
        </row>
        <row r="278">
          <cell r="A278" t="str">
            <v>LYQ-WH1109-LG-M</v>
          </cell>
          <cell r="B278">
            <v>586</v>
          </cell>
          <cell r="C278">
            <v>2</v>
          </cell>
          <cell r="D278">
            <v>0.35</v>
          </cell>
          <cell r="E278">
            <v>1214</v>
          </cell>
          <cell r="F278">
            <v>2</v>
          </cell>
          <cell r="G278">
            <v>0.4</v>
          </cell>
          <cell r="H278">
            <v>244</v>
          </cell>
          <cell r="I278">
            <v>2</v>
          </cell>
          <cell r="J278">
            <v>0.4</v>
          </cell>
          <cell r="K278">
            <v>167</v>
          </cell>
          <cell r="L278">
            <v>1</v>
          </cell>
          <cell r="M278">
            <v>0.24</v>
          </cell>
        </row>
        <row r="279">
          <cell r="A279" t="str">
            <v>LYQ-WH1109-LG-S</v>
          </cell>
          <cell r="B279">
            <v>1053</v>
          </cell>
          <cell r="C279">
            <v>4</v>
          </cell>
          <cell r="D279">
            <v>0.94</v>
          </cell>
          <cell r="E279">
            <v>3460</v>
          </cell>
          <cell r="F279">
            <v>10</v>
          </cell>
          <cell r="G279">
            <v>1.81</v>
          </cell>
          <cell r="H279">
            <v>1419</v>
          </cell>
          <cell r="I279">
            <v>4</v>
          </cell>
          <cell r="J279">
            <v>0.7</v>
          </cell>
          <cell r="K279">
            <v>216</v>
          </cell>
          <cell r="L279">
            <v>1</v>
          </cell>
          <cell r="M279">
            <v>0.3</v>
          </cell>
        </row>
        <row r="280">
          <cell r="A280" t="str">
            <v>LYQ-WH1109-LG-XL</v>
          </cell>
          <cell r="B280">
            <v>4001</v>
          </cell>
          <cell r="C280">
            <v>4</v>
          </cell>
          <cell r="D280">
            <v>0.74</v>
          </cell>
          <cell r="E280">
            <v>470</v>
          </cell>
          <cell r="F280">
            <v>1</v>
          </cell>
          <cell r="G280">
            <v>0.08</v>
          </cell>
          <cell r="H280">
            <v>38</v>
          </cell>
          <cell r="I280">
            <v>0</v>
          </cell>
          <cell r="J280">
            <v>0</v>
          </cell>
          <cell r="K280">
            <v>31</v>
          </cell>
          <cell r="L280">
            <v>0</v>
          </cell>
          <cell r="M280">
            <v>0</v>
          </cell>
        </row>
        <row r="281">
          <cell r="A281" t="str">
            <v>LYQ-WH1109-LG-XXL</v>
          </cell>
          <cell r="B281">
            <v>12</v>
          </cell>
          <cell r="C281">
            <v>0</v>
          </cell>
          <cell r="D281">
            <v>0</v>
          </cell>
          <cell r="E281">
            <v>600</v>
          </cell>
          <cell r="F281">
            <v>2</v>
          </cell>
          <cell r="G281">
            <v>0.5</v>
          </cell>
          <cell r="H281">
            <v>196</v>
          </cell>
          <cell r="I281">
            <v>0</v>
          </cell>
          <cell r="J281">
            <v>0</v>
          </cell>
          <cell r="K281">
            <v>82</v>
          </cell>
          <cell r="L281">
            <v>0</v>
          </cell>
          <cell r="M281">
            <v>0</v>
          </cell>
        </row>
        <row r="282">
          <cell r="A282" t="str">
            <v>RE-YZ-BEBD001-R0-XS</v>
          </cell>
          <cell r="B282">
            <v>55</v>
          </cell>
          <cell r="C282">
            <v>0</v>
          </cell>
          <cell r="D282">
            <v>0</v>
          </cell>
          <cell r="E282">
            <v>77</v>
          </cell>
          <cell r="F282">
            <v>0</v>
          </cell>
          <cell r="G282">
            <v>0</v>
          </cell>
          <cell r="H282">
            <v>30</v>
          </cell>
          <cell r="I282">
            <v>0</v>
          </cell>
          <cell r="J282">
            <v>0</v>
          </cell>
          <cell r="K282">
            <v>38</v>
          </cell>
          <cell r="L282">
            <v>0</v>
          </cell>
          <cell r="M282">
            <v>0</v>
          </cell>
        </row>
        <row r="283">
          <cell r="A283" t="str">
            <v>RE-YZ-BELE001-W0-XS</v>
          </cell>
          <cell r="B283">
            <v>8</v>
          </cell>
          <cell r="C283">
            <v>0</v>
          </cell>
          <cell r="D283">
            <v>0</v>
          </cell>
          <cell r="E283">
            <v>24</v>
          </cell>
          <cell r="F283">
            <v>0</v>
          </cell>
          <cell r="G283">
            <v>0</v>
          </cell>
          <cell r="H283">
            <v>4</v>
          </cell>
          <cell r="I283">
            <v>0</v>
          </cell>
          <cell r="J283">
            <v>0</v>
          </cell>
          <cell r="K283">
            <v>348</v>
          </cell>
          <cell r="L283">
            <v>2</v>
          </cell>
          <cell r="M283">
            <v>0.08</v>
          </cell>
        </row>
        <row r="284">
          <cell r="A284" t="str">
            <v>YZ-BELS1458-FB-3X</v>
          </cell>
          <cell r="B284">
            <v>2033</v>
          </cell>
          <cell r="C284">
            <v>7</v>
          </cell>
          <cell r="D284">
            <v>1.25</v>
          </cell>
          <cell r="E284">
            <v>1184</v>
          </cell>
          <cell r="F284">
            <v>7</v>
          </cell>
          <cell r="G284">
            <v>1.38</v>
          </cell>
          <cell r="H284">
            <v>662</v>
          </cell>
          <cell r="I284">
            <v>2</v>
          </cell>
          <cell r="J284">
            <v>0.27</v>
          </cell>
          <cell r="K284">
            <v>81</v>
          </cell>
          <cell r="L284">
            <v>1</v>
          </cell>
          <cell r="M284">
            <v>0.2</v>
          </cell>
        </row>
        <row r="285">
          <cell r="A285" t="str">
            <v>YZ-BELS1458-K0-3X</v>
          </cell>
          <cell r="B285">
            <v>2845</v>
          </cell>
          <cell r="C285">
            <v>10</v>
          </cell>
          <cell r="D285">
            <v>1.46</v>
          </cell>
          <cell r="E285">
            <v>644</v>
          </cell>
          <cell r="F285">
            <v>4</v>
          </cell>
          <cell r="G285">
            <v>0.84</v>
          </cell>
          <cell r="H285">
            <v>117</v>
          </cell>
          <cell r="I285">
            <v>0</v>
          </cell>
          <cell r="J285">
            <v>0</v>
          </cell>
          <cell r="K285">
            <v>134</v>
          </cell>
          <cell r="L285">
            <v>0</v>
          </cell>
          <cell r="M285">
            <v>0</v>
          </cell>
        </row>
        <row r="286">
          <cell r="A286" t="str">
            <v>YZ-BELS1458-PI-3X</v>
          </cell>
          <cell r="B286">
            <v>853</v>
          </cell>
          <cell r="C286">
            <v>0</v>
          </cell>
          <cell r="D286">
            <v>0</v>
          </cell>
          <cell r="E286">
            <v>572</v>
          </cell>
          <cell r="F286">
            <v>5</v>
          </cell>
          <cell r="G286">
            <v>0.8</v>
          </cell>
          <cell r="H286">
            <v>103</v>
          </cell>
          <cell r="I286">
            <v>2</v>
          </cell>
          <cell r="J286">
            <v>0.4</v>
          </cell>
          <cell r="K286">
            <v>201</v>
          </cell>
          <cell r="L286">
            <v>2</v>
          </cell>
          <cell r="M286">
            <v>0.21</v>
          </cell>
        </row>
        <row r="287">
          <cell r="A287" t="str">
            <v>CS-BESB032-BL-S</v>
          </cell>
          <cell r="B287">
            <v>671</v>
          </cell>
          <cell r="C287">
            <v>3</v>
          </cell>
          <cell r="D287">
            <v>0.34</v>
          </cell>
          <cell r="E287">
            <v>309</v>
          </cell>
          <cell r="F287">
            <v>0</v>
          </cell>
          <cell r="G287">
            <v>0</v>
          </cell>
          <cell r="H287">
            <v>22</v>
          </cell>
          <cell r="I287">
            <v>0</v>
          </cell>
          <cell r="J287">
            <v>0</v>
          </cell>
          <cell r="K287">
            <v>39</v>
          </cell>
          <cell r="L287">
            <v>0</v>
          </cell>
          <cell r="M287">
            <v>0</v>
          </cell>
        </row>
        <row r="288">
          <cell r="A288" t="str">
            <v>CS-BESB032-GN1-S</v>
          </cell>
          <cell r="B288">
            <v>26</v>
          </cell>
          <cell r="C288">
            <v>0</v>
          </cell>
          <cell r="D288">
            <v>0</v>
          </cell>
          <cell r="E288">
            <v>43</v>
          </cell>
          <cell r="F288">
            <v>0</v>
          </cell>
          <cell r="G288">
            <v>0</v>
          </cell>
          <cell r="H288">
            <v>15</v>
          </cell>
          <cell r="I288">
            <v>0</v>
          </cell>
          <cell r="J288">
            <v>0</v>
          </cell>
          <cell r="K288">
            <v>22</v>
          </cell>
          <cell r="L288">
            <v>0</v>
          </cell>
          <cell r="M288">
            <v>0</v>
          </cell>
        </row>
        <row r="289">
          <cell r="A289" t="str">
            <v>CS-BESB032-GN2-S</v>
          </cell>
          <cell r="B289">
            <v>82</v>
          </cell>
          <cell r="C289">
            <v>0</v>
          </cell>
          <cell r="D289">
            <v>0</v>
          </cell>
          <cell r="E289">
            <v>79</v>
          </cell>
          <cell r="F289">
            <v>1</v>
          </cell>
          <cell r="G289">
            <v>0.17</v>
          </cell>
          <cell r="H289">
            <v>12</v>
          </cell>
          <cell r="I289">
            <v>0</v>
          </cell>
          <cell r="J289">
            <v>0</v>
          </cell>
          <cell r="K289">
            <v>14</v>
          </cell>
          <cell r="L289">
            <v>0</v>
          </cell>
          <cell r="M289">
            <v>0</v>
          </cell>
        </row>
        <row r="290">
          <cell r="A290" t="str">
            <v>CS-BESB032-NB-S</v>
          </cell>
          <cell r="B290">
            <v>26</v>
          </cell>
          <cell r="C290">
            <v>0</v>
          </cell>
          <cell r="D290">
            <v>0</v>
          </cell>
          <cell r="E290">
            <v>45</v>
          </cell>
          <cell r="F290">
            <v>0</v>
          </cell>
          <cell r="G290">
            <v>0</v>
          </cell>
          <cell r="H290">
            <v>17</v>
          </cell>
          <cell r="I290">
            <v>0</v>
          </cell>
          <cell r="J290">
            <v>0</v>
          </cell>
          <cell r="K290">
            <v>16</v>
          </cell>
          <cell r="L290">
            <v>0</v>
          </cell>
          <cell r="M290">
            <v>0</v>
          </cell>
        </row>
        <row r="291">
          <cell r="A291" t="str">
            <v>CS-BESB032-RD-S</v>
          </cell>
          <cell r="B291">
            <v>39</v>
          </cell>
          <cell r="C291">
            <v>0</v>
          </cell>
          <cell r="D291">
            <v>0</v>
          </cell>
          <cell r="E291">
            <v>95</v>
          </cell>
          <cell r="F291">
            <v>0</v>
          </cell>
          <cell r="G291">
            <v>0</v>
          </cell>
          <cell r="H291">
            <v>29</v>
          </cell>
          <cell r="I291">
            <v>0</v>
          </cell>
          <cell r="J291">
            <v>0</v>
          </cell>
          <cell r="K291">
            <v>31</v>
          </cell>
          <cell r="L291">
            <v>0</v>
          </cell>
          <cell r="M291">
            <v>0</v>
          </cell>
        </row>
        <row r="292">
          <cell r="A292" t="str">
            <v>CS-BESB032-YL-S</v>
          </cell>
          <cell r="B292">
            <v>63</v>
          </cell>
          <cell r="C292">
            <v>0</v>
          </cell>
          <cell r="D292">
            <v>0</v>
          </cell>
          <cell r="E292">
            <v>141</v>
          </cell>
          <cell r="F292">
            <v>0</v>
          </cell>
          <cell r="G292">
            <v>0</v>
          </cell>
          <cell r="H292">
            <v>61</v>
          </cell>
          <cell r="I292">
            <v>0</v>
          </cell>
          <cell r="J292">
            <v>0</v>
          </cell>
          <cell r="K292">
            <v>61</v>
          </cell>
          <cell r="L292">
            <v>0</v>
          </cell>
          <cell r="M292">
            <v>0</v>
          </cell>
        </row>
        <row r="293">
          <cell r="A293" t="str">
            <v>CFY-BESB1757-BK-L</v>
          </cell>
          <cell r="B293">
            <v>126</v>
          </cell>
          <cell r="C293">
            <v>0</v>
          </cell>
          <cell r="D293">
            <v>0</v>
          </cell>
          <cell r="E293">
            <v>152</v>
          </cell>
          <cell r="F293">
            <v>1</v>
          </cell>
          <cell r="G293">
            <v>0.2</v>
          </cell>
          <cell r="H293">
            <v>65</v>
          </cell>
          <cell r="I293">
            <v>0</v>
          </cell>
          <cell r="J293">
            <v>0</v>
          </cell>
          <cell r="K293">
            <v>52</v>
          </cell>
          <cell r="L293">
            <v>0</v>
          </cell>
          <cell r="M293">
            <v>0</v>
          </cell>
        </row>
        <row r="294">
          <cell r="A294" t="str">
            <v>CFY-BESB1757-BK-M</v>
          </cell>
          <cell r="B294">
            <v>233</v>
          </cell>
          <cell r="C294">
            <v>0</v>
          </cell>
          <cell r="D294">
            <v>0</v>
          </cell>
          <cell r="E294">
            <v>115</v>
          </cell>
          <cell r="F294">
            <v>1</v>
          </cell>
          <cell r="G294">
            <v>0.27</v>
          </cell>
          <cell r="H294">
            <v>38</v>
          </cell>
          <cell r="I294">
            <v>1</v>
          </cell>
          <cell r="J294">
            <v>0.27</v>
          </cell>
          <cell r="K294">
            <v>44</v>
          </cell>
          <cell r="L294">
            <v>0</v>
          </cell>
          <cell r="M294">
            <v>0</v>
          </cell>
        </row>
        <row r="295">
          <cell r="A295" t="str">
            <v>CFY-BESB1757-BK-S</v>
          </cell>
          <cell r="B295">
            <v>10</v>
          </cell>
          <cell r="C295">
            <v>0</v>
          </cell>
          <cell r="D295">
            <v>0</v>
          </cell>
          <cell r="E295">
            <v>224</v>
          </cell>
          <cell r="F295">
            <v>1</v>
          </cell>
          <cell r="G295">
            <v>0.15</v>
          </cell>
          <cell r="H295">
            <v>185</v>
          </cell>
          <cell r="I295">
            <v>1</v>
          </cell>
          <cell r="J295">
            <v>0.15</v>
          </cell>
          <cell r="K295">
            <v>64</v>
          </cell>
          <cell r="L295">
            <v>0</v>
          </cell>
          <cell r="M295">
            <v>0</v>
          </cell>
        </row>
        <row r="296">
          <cell r="A296" t="str">
            <v>CFY-BESB1757-BK-XL</v>
          </cell>
          <cell r="B296">
            <v>4</v>
          </cell>
          <cell r="C296">
            <v>0</v>
          </cell>
          <cell r="D296">
            <v>0</v>
          </cell>
          <cell r="E296">
            <v>40</v>
          </cell>
          <cell r="F296">
            <v>0</v>
          </cell>
          <cell r="G296">
            <v>0</v>
          </cell>
          <cell r="H296">
            <v>33</v>
          </cell>
          <cell r="I296">
            <v>0</v>
          </cell>
          <cell r="J296">
            <v>0</v>
          </cell>
          <cell r="K296">
            <v>89</v>
          </cell>
          <cell r="L296">
            <v>0</v>
          </cell>
          <cell r="M296">
            <v>0</v>
          </cell>
        </row>
        <row r="297">
          <cell r="A297" t="str">
            <v>CFY-BESB1757-BL-L</v>
          </cell>
          <cell r="B297">
            <v>13</v>
          </cell>
          <cell r="C297">
            <v>0</v>
          </cell>
          <cell r="D297">
            <v>0</v>
          </cell>
          <cell r="E297">
            <v>63</v>
          </cell>
          <cell r="F297">
            <v>0</v>
          </cell>
          <cell r="G297">
            <v>0</v>
          </cell>
          <cell r="H297">
            <v>23</v>
          </cell>
          <cell r="I297">
            <v>0</v>
          </cell>
          <cell r="J297">
            <v>0</v>
          </cell>
          <cell r="K297">
            <v>31</v>
          </cell>
          <cell r="L297">
            <v>0</v>
          </cell>
          <cell r="M297">
            <v>0</v>
          </cell>
        </row>
        <row r="298">
          <cell r="A298" t="str">
            <v>CFY-BESB1757-BL-M</v>
          </cell>
          <cell r="B298">
            <v>2</v>
          </cell>
          <cell r="C298">
            <v>0</v>
          </cell>
          <cell r="D298">
            <v>0</v>
          </cell>
          <cell r="E298">
            <v>34</v>
          </cell>
          <cell r="F298">
            <v>0</v>
          </cell>
          <cell r="G298">
            <v>0</v>
          </cell>
          <cell r="H298">
            <v>22</v>
          </cell>
          <cell r="I298">
            <v>0</v>
          </cell>
          <cell r="J298">
            <v>0</v>
          </cell>
          <cell r="K298">
            <v>30</v>
          </cell>
          <cell r="L298">
            <v>0</v>
          </cell>
          <cell r="M298">
            <v>0</v>
          </cell>
        </row>
        <row r="299">
          <cell r="A299" t="str">
            <v>CFY-BESB1757-BL-S</v>
          </cell>
          <cell r="B299">
            <v>8</v>
          </cell>
          <cell r="C299">
            <v>0</v>
          </cell>
          <cell r="D299">
            <v>0</v>
          </cell>
          <cell r="E299">
            <v>45</v>
          </cell>
          <cell r="F299">
            <v>0</v>
          </cell>
          <cell r="G299">
            <v>0</v>
          </cell>
          <cell r="H299">
            <v>24</v>
          </cell>
          <cell r="I299">
            <v>0</v>
          </cell>
          <cell r="J299">
            <v>0</v>
          </cell>
          <cell r="K299">
            <v>49</v>
          </cell>
          <cell r="L299">
            <v>0</v>
          </cell>
          <cell r="M299">
            <v>0</v>
          </cell>
        </row>
        <row r="300">
          <cell r="A300" t="str">
            <v>CFY-BESB1757-BL-XL</v>
          </cell>
          <cell r="B300">
            <v>7</v>
          </cell>
          <cell r="C300">
            <v>0</v>
          </cell>
          <cell r="D300">
            <v>0</v>
          </cell>
          <cell r="E300">
            <v>44</v>
          </cell>
          <cell r="F300">
            <v>1</v>
          </cell>
          <cell r="G300">
            <v>0.06</v>
          </cell>
          <cell r="H300">
            <v>22</v>
          </cell>
          <cell r="I300">
            <v>0</v>
          </cell>
          <cell r="J300">
            <v>0</v>
          </cell>
          <cell r="K300">
            <v>43</v>
          </cell>
          <cell r="L300">
            <v>0</v>
          </cell>
          <cell r="M300">
            <v>0</v>
          </cell>
        </row>
        <row r="301">
          <cell r="A301" t="str">
            <v>CFY-BESB1757-GN-L</v>
          </cell>
          <cell r="B301">
            <v>3</v>
          </cell>
          <cell r="C301">
            <v>0</v>
          </cell>
          <cell r="D301">
            <v>0</v>
          </cell>
          <cell r="E301">
            <v>30</v>
          </cell>
          <cell r="F301">
            <v>0</v>
          </cell>
          <cell r="G301">
            <v>0</v>
          </cell>
          <cell r="H301">
            <v>20</v>
          </cell>
          <cell r="I301">
            <v>0</v>
          </cell>
          <cell r="J301">
            <v>0</v>
          </cell>
          <cell r="K301">
            <v>48</v>
          </cell>
          <cell r="L301">
            <v>0</v>
          </cell>
          <cell r="M301">
            <v>0</v>
          </cell>
        </row>
        <row r="302">
          <cell r="A302" t="str">
            <v>CFY-BESB1757-GN-M</v>
          </cell>
          <cell r="B302">
            <v>2</v>
          </cell>
          <cell r="C302">
            <v>0</v>
          </cell>
          <cell r="D302">
            <v>0</v>
          </cell>
          <cell r="E302">
            <v>35</v>
          </cell>
          <cell r="F302">
            <v>0</v>
          </cell>
          <cell r="G302">
            <v>0</v>
          </cell>
          <cell r="H302">
            <v>22</v>
          </cell>
          <cell r="I302">
            <v>0</v>
          </cell>
          <cell r="J302">
            <v>0</v>
          </cell>
          <cell r="K302">
            <v>43</v>
          </cell>
          <cell r="L302">
            <v>0</v>
          </cell>
          <cell r="M302">
            <v>0</v>
          </cell>
        </row>
        <row r="303">
          <cell r="A303" t="str">
            <v>CFY-BESB1757-GN-S</v>
          </cell>
          <cell r="B303">
            <v>1</v>
          </cell>
          <cell r="C303">
            <v>0</v>
          </cell>
          <cell r="D303">
            <v>0</v>
          </cell>
          <cell r="E303">
            <v>33</v>
          </cell>
          <cell r="F303">
            <v>0</v>
          </cell>
          <cell r="G303">
            <v>0</v>
          </cell>
          <cell r="H303">
            <v>24</v>
          </cell>
          <cell r="I303">
            <v>0</v>
          </cell>
          <cell r="J303">
            <v>0</v>
          </cell>
          <cell r="K303">
            <v>39</v>
          </cell>
          <cell r="L303">
            <v>0</v>
          </cell>
          <cell r="M303">
            <v>0</v>
          </cell>
        </row>
        <row r="304">
          <cell r="A304" t="str">
            <v>CFY-BESB1757-GN-XL</v>
          </cell>
          <cell r="B304">
            <v>3</v>
          </cell>
          <cell r="C304">
            <v>0</v>
          </cell>
          <cell r="D304">
            <v>0</v>
          </cell>
          <cell r="E304">
            <v>44</v>
          </cell>
          <cell r="F304">
            <v>0</v>
          </cell>
          <cell r="G304">
            <v>0</v>
          </cell>
          <cell r="H304">
            <v>30</v>
          </cell>
          <cell r="I304">
            <v>0</v>
          </cell>
          <cell r="J304">
            <v>0</v>
          </cell>
          <cell r="K304">
            <v>46</v>
          </cell>
          <cell r="L304">
            <v>0</v>
          </cell>
          <cell r="M304">
            <v>0</v>
          </cell>
        </row>
        <row r="305">
          <cell r="A305" t="str">
            <v>CFY-BESB1757-GR-L</v>
          </cell>
          <cell r="B305">
            <v>4</v>
          </cell>
          <cell r="C305">
            <v>0</v>
          </cell>
          <cell r="D305">
            <v>0</v>
          </cell>
          <cell r="E305">
            <v>28</v>
          </cell>
          <cell r="F305">
            <v>0</v>
          </cell>
          <cell r="G305">
            <v>0</v>
          </cell>
          <cell r="H305">
            <v>19</v>
          </cell>
          <cell r="I305">
            <v>0</v>
          </cell>
          <cell r="J305">
            <v>0</v>
          </cell>
          <cell r="K305">
            <v>30</v>
          </cell>
          <cell r="L305">
            <v>0</v>
          </cell>
          <cell r="M305">
            <v>0</v>
          </cell>
        </row>
        <row r="306">
          <cell r="A306" t="str">
            <v>CFY-BESB1757-GR-M</v>
          </cell>
          <cell r="B306">
            <v>6</v>
          </cell>
          <cell r="C306">
            <v>0</v>
          </cell>
          <cell r="D306">
            <v>0</v>
          </cell>
          <cell r="E306">
            <v>30</v>
          </cell>
          <cell r="F306">
            <v>2</v>
          </cell>
          <cell r="G306">
            <v>0.32</v>
          </cell>
          <cell r="H306">
            <v>21</v>
          </cell>
          <cell r="I306">
            <v>2</v>
          </cell>
          <cell r="J306">
            <v>0.32</v>
          </cell>
          <cell r="K306">
            <v>44</v>
          </cell>
          <cell r="L306">
            <v>0</v>
          </cell>
          <cell r="M306">
            <v>0</v>
          </cell>
        </row>
        <row r="307">
          <cell r="A307" t="str">
            <v>CFY-BESB1757-GR-S</v>
          </cell>
          <cell r="B307">
            <v>3</v>
          </cell>
          <cell r="C307">
            <v>0</v>
          </cell>
          <cell r="D307">
            <v>0</v>
          </cell>
          <cell r="E307">
            <v>69</v>
          </cell>
          <cell r="F307">
            <v>0</v>
          </cell>
          <cell r="G307">
            <v>0</v>
          </cell>
          <cell r="H307">
            <v>41</v>
          </cell>
          <cell r="I307">
            <v>0</v>
          </cell>
          <cell r="J307">
            <v>0</v>
          </cell>
          <cell r="K307">
            <v>227</v>
          </cell>
          <cell r="L307">
            <v>0</v>
          </cell>
          <cell r="M307">
            <v>0</v>
          </cell>
        </row>
        <row r="308">
          <cell r="A308" t="str">
            <v>CFY-BESB1757-GR-XL</v>
          </cell>
          <cell r="B308">
            <v>2</v>
          </cell>
          <cell r="C308">
            <v>0</v>
          </cell>
          <cell r="D308">
            <v>0</v>
          </cell>
          <cell r="E308">
            <v>28</v>
          </cell>
          <cell r="F308">
            <v>0</v>
          </cell>
          <cell r="G308">
            <v>0</v>
          </cell>
          <cell r="H308">
            <v>18</v>
          </cell>
          <cell r="I308">
            <v>0</v>
          </cell>
          <cell r="J308">
            <v>0</v>
          </cell>
          <cell r="K308">
            <v>28</v>
          </cell>
          <cell r="L308">
            <v>0</v>
          </cell>
          <cell r="M308">
            <v>0</v>
          </cell>
        </row>
        <row r="309">
          <cell r="A309" t="str">
            <v>RE-YZ-BELK185-B0-S</v>
          </cell>
          <cell r="B309">
            <v>87</v>
          </cell>
          <cell r="C309">
            <v>0</v>
          </cell>
          <cell r="D309">
            <v>0</v>
          </cell>
          <cell r="E309">
            <v>70</v>
          </cell>
          <cell r="F309">
            <v>0</v>
          </cell>
          <cell r="G309">
            <v>0</v>
          </cell>
          <cell r="H309">
            <v>15</v>
          </cell>
          <cell r="I309">
            <v>0</v>
          </cell>
          <cell r="J309">
            <v>0</v>
          </cell>
          <cell r="K309">
            <v>23</v>
          </cell>
          <cell r="L309">
            <v>0</v>
          </cell>
          <cell r="M309">
            <v>0</v>
          </cell>
        </row>
        <row r="310">
          <cell r="A310" t="str">
            <v>RE-YZ-BELK185-K0-S</v>
          </cell>
          <cell r="B310">
            <v>79</v>
          </cell>
          <cell r="C310">
            <v>0</v>
          </cell>
          <cell r="D310">
            <v>0</v>
          </cell>
          <cell r="E310">
            <v>78</v>
          </cell>
          <cell r="F310">
            <v>0</v>
          </cell>
          <cell r="G310">
            <v>0</v>
          </cell>
          <cell r="H310">
            <v>25</v>
          </cell>
          <cell r="I310">
            <v>0</v>
          </cell>
          <cell r="J310">
            <v>0</v>
          </cell>
          <cell r="K310">
            <v>35</v>
          </cell>
          <cell r="L310">
            <v>0</v>
          </cell>
          <cell r="M310">
            <v>0</v>
          </cell>
        </row>
        <row r="311">
          <cell r="A311" t="str">
            <v>RE-YZ-BELK185-Y9-S</v>
          </cell>
          <cell r="B311">
            <v>134</v>
          </cell>
          <cell r="C311">
            <v>1</v>
          </cell>
          <cell r="D311">
            <v>0.17</v>
          </cell>
          <cell r="E311">
            <v>115</v>
          </cell>
          <cell r="F311">
            <v>1</v>
          </cell>
          <cell r="G311">
            <v>0.26</v>
          </cell>
          <cell r="H311">
            <v>39</v>
          </cell>
          <cell r="I311">
            <v>1</v>
          </cell>
          <cell r="J311">
            <v>0.26</v>
          </cell>
          <cell r="K311">
            <v>55</v>
          </cell>
          <cell r="L311">
            <v>0</v>
          </cell>
          <cell r="M311">
            <v>0</v>
          </cell>
        </row>
        <row r="312">
          <cell r="A312" t="str">
            <v>YZ-BS-TJ1245001L</v>
          </cell>
          <cell r="B312">
            <v>0</v>
          </cell>
          <cell r="C312">
            <v>0</v>
          </cell>
          <cell r="D312">
            <v>0</v>
          </cell>
          <cell r="E312">
            <v>539</v>
          </cell>
          <cell r="F312">
            <v>4</v>
          </cell>
          <cell r="G312">
            <v>0.45</v>
          </cell>
          <cell r="H312">
            <v>529</v>
          </cell>
          <cell r="I312">
            <v>4</v>
          </cell>
          <cell r="J312">
            <v>0.45</v>
          </cell>
          <cell r="K312">
            <v>162</v>
          </cell>
          <cell r="L312">
            <v>0</v>
          </cell>
          <cell r="M312">
            <v>0</v>
          </cell>
        </row>
        <row r="313">
          <cell r="A313" t="str">
            <v>YZ-BS-TJ1245002L</v>
          </cell>
          <cell r="B313">
            <v>206</v>
          </cell>
          <cell r="C313">
            <v>0</v>
          </cell>
          <cell r="D313">
            <v>0</v>
          </cell>
          <cell r="E313">
            <v>1560</v>
          </cell>
          <cell r="F313">
            <v>6</v>
          </cell>
          <cell r="G313">
            <v>1.41</v>
          </cell>
          <cell r="H313">
            <v>131</v>
          </cell>
          <cell r="I313">
            <v>0</v>
          </cell>
          <cell r="J313">
            <v>0</v>
          </cell>
          <cell r="K313">
            <v>217</v>
          </cell>
          <cell r="L313">
            <v>1</v>
          </cell>
          <cell r="M313">
            <v>0.28</v>
          </cell>
        </row>
        <row r="314">
          <cell r="A314" t="str">
            <v>YZ-BS-TJ124500L</v>
          </cell>
          <cell r="B314">
            <v>4390</v>
          </cell>
          <cell r="C314">
            <v>13</v>
          </cell>
          <cell r="D314">
            <v>2.98</v>
          </cell>
          <cell r="E314">
            <v>1384</v>
          </cell>
          <cell r="F314">
            <v>5</v>
          </cell>
          <cell r="G314">
            <v>1.06</v>
          </cell>
          <cell r="H314">
            <v>342</v>
          </cell>
          <cell r="I314">
            <v>1</v>
          </cell>
          <cell r="J314">
            <v>0.07</v>
          </cell>
          <cell r="K314">
            <v>278</v>
          </cell>
          <cell r="L314">
            <v>1</v>
          </cell>
          <cell r="M314">
            <v>0.23</v>
          </cell>
        </row>
        <row r="315">
          <cell r="A315" t="str">
            <v>YZ-BS-TJ124500M</v>
          </cell>
          <cell r="B315">
            <v>2069</v>
          </cell>
          <cell r="C315">
            <v>5</v>
          </cell>
          <cell r="D315">
            <v>1.07</v>
          </cell>
          <cell r="E315">
            <v>4596</v>
          </cell>
          <cell r="F315">
            <v>15</v>
          </cell>
          <cell r="G315">
            <v>2.99</v>
          </cell>
          <cell r="H315">
            <v>2419</v>
          </cell>
          <cell r="I315">
            <v>8</v>
          </cell>
          <cell r="J315">
            <v>1.61</v>
          </cell>
          <cell r="K315">
            <v>7482</v>
          </cell>
          <cell r="L315">
            <v>23</v>
          </cell>
          <cell r="M315">
            <v>5.73</v>
          </cell>
        </row>
        <row r="316">
          <cell r="A316" t="str">
            <v>YZ-BS-TJ1245G02L</v>
          </cell>
          <cell r="B316">
            <v>0</v>
          </cell>
          <cell r="C316">
            <v>0</v>
          </cell>
          <cell r="D316">
            <v>0</v>
          </cell>
          <cell r="E316">
            <v>74</v>
          </cell>
          <cell r="F316">
            <v>0</v>
          </cell>
          <cell r="G316">
            <v>0</v>
          </cell>
          <cell r="H316">
            <v>74</v>
          </cell>
          <cell r="I316">
            <v>0</v>
          </cell>
          <cell r="J316">
            <v>0</v>
          </cell>
          <cell r="K316">
            <v>295</v>
          </cell>
          <cell r="L316">
            <v>4</v>
          </cell>
          <cell r="M316">
            <v>1.07</v>
          </cell>
        </row>
        <row r="317">
          <cell r="A317" t="str">
            <v>YZ-BS-TJ1245G03L</v>
          </cell>
          <cell r="B317">
            <v>0</v>
          </cell>
          <cell r="C317">
            <v>0</v>
          </cell>
          <cell r="D317">
            <v>0</v>
          </cell>
          <cell r="E317">
            <v>250</v>
          </cell>
          <cell r="F317">
            <v>0</v>
          </cell>
          <cell r="G317">
            <v>0</v>
          </cell>
          <cell r="H317">
            <v>213</v>
          </cell>
          <cell r="I317">
            <v>0</v>
          </cell>
          <cell r="J317">
            <v>0</v>
          </cell>
          <cell r="K317">
            <v>183</v>
          </cell>
          <cell r="L317">
            <v>2</v>
          </cell>
          <cell r="M317">
            <v>0.36</v>
          </cell>
        </row>
        <row r="318">
          <cell r="A318" t="str">
            <v>YZ-BS-TJ1245G0L</v>
          </cell>
          <cell r="B318">
            <v>4490</v>
          </cell>
          <cell r="C318">
            <v>10</v>
          </cell>
          <cell r="D318">
            <v>2.13</v>
          </cell>
          <cell r="E318">
            <v>475</v>
          </cell>
          <cell r="F318">
            <v>5</v>
          </cell>
          <cell r="G318">
            <v>0.94</v>
          </cell>
          <cell r="H318">
            <v>53</v>
          </cell>
          <cell r="I318">
            <v>1</v>
          </cell>
          <cell r="J318">
            <v>0.11</v>
          </cell>
          <cell r="K318">
            <v>96</v>
          </cell>
          <cell r="L318">
            <v>0</v>
          </cell>
          <cell r="M318">
            <v>0</v>
          </cell>
        </row>
        <row r="319">
          <cell r="A319" t="str">
            <v>YZ-BS-TJ1245G0M</v>
          </cell>
          <cell r="B319">
            <v>1636</v>
          </cell>
          <cell r="C319">
            <v>5</v>
          </cell>
          <cell r="D319">
            <v>1.17</v>
          </cell>
          <cell r="E319">
            <v>962</v>
          </cell>
          <cell r="F319">
            <v>9</v>
          </cell>
          <cell r="G319">
            <v>2.35</v>
          </cell>
          <cell r="H319">
            <v>284</v>
          </cell>
          <cell r="I319">
            <v>2</v>
          </cell>
          <cell r="J319">
            <v>0.57</v>
          </cell>
          <cell r="K319">
            <v>389</v>
          </cell>
          <cell r="L319">
            <v>4</v>
          </cell>
          <cell r="M319">
            <v>0.55</v>
          </cell>
        </row>
        <row r="320">
          <cell r="A320" t="str">
            <v>YZ-BS-TJ1245W01L</v>
          </cell>
          <cell r="B320">
            <v>0</v>
          </cell>
          <cell r="C320">
            <v>0</v>
          </cell>
          <cell r="D320">
            <v>0</v>
          </cell>
          <cell r="E320">
            <v>4501</v>
          </cell>
          <cell r="F320">
            <v>34</v>
          </cell>
          <cell r="G320">
            <v>9.88</v>
          </cell>
          <cell r="H320">
            <v>679</v>
          </cell>
          <cell r="I320">
            <v>7</v>
          </cell>
          <cell r="J320">
            <v>2.19</v>
          </cell>
          <cell r="K320">
            <v>160</v>
          </cell>
          <cell r="L320">
            <v>2</v>
          </cell>
          <cell r="M320">
            <v>0.7</v>
          </cell>
        </row>
        <row r="321">
          <cell r="A321" t="str">
            <v>YZ-BS-TJ1245W02L</v>
          </cell>
          <cell r="B321">
            <v>126</v>
          </cell>
          <cell r="C321">
            <v>1</v>
          </cell>
          <cell r="D321">
            <v>0.25</v>
          </cell>
          <cell r="E321">
            <v>223</v>
          </cell>
          <cell r="F321">
            <v>5</v>
          </cell>
          <cell r="G321">
            <v>1.22</v>
          </cell>
          <cell r="H321">
            <v>115</v>
          </cell>
          <cell r="I321">
            <v>2</v>
          </cell>
          <cell r="J321">
            <v>0.48</v>
          </cell>
          <cell r="K321">
            <v>246</v>
          </cell>
          <cell r="L321">
            <v>0</v>
          </cell>
          <cell r="M321">
            <v>0</v>
          </cell>
        </row>
        <row r="322">
          <cell r="A322" t="str">
            <v>YZ-BS-TJ1245W03L</v>
          </cell>
          <cell r="B322">
            <v>0</v>
          </cell>
          <cell r="C322">
            <v>0</v>
          </cell>
          <cell r="D322">
            <v>0</v>
          </cell>
          <cell r="E322">
            <v>406</v>
          </cell>
          <cell r="F322">
            <v>4</v>
          </cell>
          <cell r="G322">
            <v>0.88</v>
          </cell>
          <cell r="H322">
            <v>268</v>
          </cell>
          <cell r="I322">
            <v>3</v>
          </cell>
          <cell r="J322">
            <v>0.77</v>
          </cell>
          <cell r="K322">
            <v>912</v>
          </cell>
          <cell r="L322">
            <v>5</v>
          </cell>
          <cell r="M322">
            <v>1.28</v>
          </cell>
        </row>
        <row r="323">
          <cell r="A323" t="str">
            <v>BS-WHC19-P0-M</v>
          </cell>
          <cell r="B323">
            <v>0</v>
          </cell>
          <cell r="C323">
            <v>0</v>
          </cell>
          <cell r="D323">
            <v>0</v>
          </cell>
          <cell r="E323">
            <v>102</v>
          </cell>
          <cell r="F323">
            <v>2</v>
          </cell>
          <cell r="G323">
            <v>0.46</v>
          </cell>
          <cell r="H323">
            <v>102</v>
          </cell>
          <cell r="I323">
            <v>2</v>
          </cell>
          <cell r="J323">
            <v>0.46</v>
          </cell>
          <cell r="K323">
            <v>289</v>
          </cell>
          <cell r="L323">
            <v>0</v>
          </cell>
          <cell r="M323">
            <v>0</v>
          </cell>
        </row>
        <row r="324">
          <cell r="A324" t="str">
            <v>BS-WHC19-P0-S</v>
          </cell>
          <cell r="B324">
            <v>1415</v>
          </cell>
          <cell r="C324">
            <v>24</v>
          </cell>
          <cell r="D324">
            <v>4.1</v>
          </cell>
          <cell r="E324">
            <v>4021</v>
          </cell>
          <cell r="F324">
            <v>41</v>
          </cell>
          <cell r="G324">
            <v>7.85</v>
          </cell>
          <cell r="H324">
            <v>1888</v>
          </cell>
          <cell r="I324">
            <v>17</v>
          </cell>
          <cell r="J324">
            <v>3.27</v>
          </cell>
          <cell r="K324">
            <v>1697</v>
          </cell>
          <cell r="L324">
            <v>16</v>
          </cell>
          <cell r="M324">
            <v>3.24</v>
          </cell>
        </row>
        <row r="325">
          <cell r="A325" t="str">
            <v>BS-WHC19-P0-XL</v>
          </cell>
          <cell r="B325">
            <v>0</v>
          </cell>
          <cell r="C325">
            <v>0</v>
          </cell>
          <cell r="D325">
            <v>0</v>
          </cell>
          <cell r="E325">
            <v>152</v>
          </cell>
          <cell r="F325">
            <v>0</v>
          </cell>
          <cell r="G325">
            <v>0</v>
          </cell>
          <cell r="H325">
            <v>152</v>
          </cell>
          <cell r="I325">
            <v>0</v>
          </cell>
          <cell r="J325">
            <v>0</v>
          </cell>
          <cell r="K325">
            <v>302</v>
          </cell>
          <cell r="L325">
            <v>0</v>
          </cell>
          <cell r="M325">
            <v>0</v>
          </cell>
        </row>
        <row r="326">
          <cell r="A326" t="str">
            <v>BS-WHC19-R0-L</v>
          </cell>
          <cell r="B326">
            <v>553</v>
          </cell>
          <cell r="C326">
            <v>3</v>
          </cell>
          <cell r="D326">
            <v>0.06</v>
          </cell>
          <cell r="E326">
            <v>3410</v>
          </cell>
          <cell r="F326">
            <v>8</v>
          </cell>
          <cell r="G326">
            <v>0.97</v>
          </cell>
          <cell r="H326">
            <v>2047</v>
          </cell>
          <cell r="I326">
            <v>4</v>
          </cell>
          <cell r="J326">
            <v>0.46</v>
          </cell>
          <cell r="K326">
            <v>1242</v>
          </cell>
          <cell r="L326">
            <v>2</v>
          </cell>
          <cell r="M326">
            <v>0.38</v>
          </cell>
        </row>
        <row r="327">
          <cell r="A327" t="str">
            <v>BS-WHC19-R0-M</v>
          </cell>
          <cell r="B327">
            <v>3066</v>
          </cell>
          <cell r="C327">
            <v>7</v>
          </cell>
          <cell r="D327">
            <v>0.83</v>
          </cell>
          <cell r="E327">
            <v>1739</v>
          </cell>
          <cell r="F327">
            <v>6</v>
          </cell>
          <cell r="G327">
            <v>0.54</v>
          </cell>
          <cell r="H327">
            <v>362</v>
          </cell>
          <cell r="I327">
            <v>1</v>
          </cell>
          <cell r="J327">
            <v>0.02</v>
          </cell>
          <cell r="K327">
            <v>813</v>
          </cell>
          <cell r="L327">
            <v>1</v>
          </cell>
          <cell r="M327">
            <v>0.02</v>
          </cell>
        </row>
        <row r="328">
          <cell r="A328" t="str">
            <v>BS-WHC19-R0-S</v>
          </cell>
          <cell r="B328">
            <v>1153</v>
          </cell>
          <cell r="C328">
            <v>6</v>
          </cell>
          <cell r="D328">
            <v>0.57</v>
          </cell>
          <cell r="E328">
            <v>1104</v>
          </cell>
          <cell r="F328">
            <v>4</v>
          </cell>
          <cell r="G328">
            <v>0.75</v>
          </cell>
          <cell r="H328">
            <v>622</v>
          </cell>
          <cell r="I328">
            <v>2</v>
          </cell>
          <cell r="J328">
            <v>0.42</v>
          </cell>
          <cell r="K328">
            <v>123</v>
          </cell>
          <cell r="L328">
            <v>2</v>
          </cell>
          <cell r="M328">
            <v>0.45</v>
          </cell>
        </row>
        <row r="329">
          <cell r="A329" t="str">
            <v>BS-WHC19-R0-XL</v>
          </cell>
          <cell r="B329">
            <v>579</v>
          </cell>
          <cell r="C329">
            <v>2</v>
          </cell>
          <cell r="D329">
            <v>0.15</v>
          </cell>
          <cell r="E329">
            <v>702</v>
          </cell>
          <cell r="F329">
            <v>3</v>
          </cell>
          <cell r="G329">
            <v>0.54</v>
          </cell>
          <cell r="H329">
            <v>234</v>
          </cell>
          <cell r="I329">
            <v>1</v>
          </cell>
          <cell r="J329">
            <v>0.21</v>
          </cell>
          <cell r="K329">
            <v>281</v>
          </cell>
          <cell r="L329">
            <v>2</v>
          </cell>
          <cell r="M329">
            <v>0.22</v>
          </cell>
        </row>
        <row r="330">
          <cell r="A330" t="str">
            <v>BS-WHC19-W0-M</v>
          </cell>
          <cell r="B330">
            <v>0</v>
          </cell>
          <cell r="C330">
            <v>0</v>
          </cell>
          <cell r="D330">
            <v>0</v>
          </cell>
          <cell r="E330">
            <v>373</v>
          </cell>
          <cell r="F330">
            <v>8</v>
          </cell>
          <cell r="G330">
            <v>1.76</v>
          </cell>
          <cell r="H330">
            <v>295</v>
          </cell>
          <cell r="I330">
            <v>5</v>
          </cell>
          <cell r="J330">
            <v>1.11</v>
          </cell>
          <cell r="K330">
            <v>209</v>
          </cell>
          <cell r="L330">
            <v>1</v>
          </cell>
          <cell r="M330">
            <v>0.05</v>
          </cell>
        </row>
        <row r="331">
          <cell r="A331" t="str">
            <v>BS-WHC19-W0-S</v>
          </cell>
          <cell r="B331">
            <v>0</v>
          </cell>
          <cell r="C331">
            <v>0</v>
          </cell>
          <cell r="D331">
            <v>0</v>
          </cell>
          <cell r="E331">
            <v>2291</v>
          </cell>
          <cell r="F331">
            <v>19</v>
          </cell>
          <cell r="G331">
            <v>3.39</v>
          </cell>
          <cell r="H331">
            <v>1026</v>
          </cell>
          <cell r="I331">
            <v>5</v>
          </cell>
          <cell r="J331">
            <v>0.89</v>
          </cell>
          <cell r="K331">
            <v>1208</v>
          </cell>
          <cell r="L331">
            <v>5</v>
          </cell>
          <cell r="M331">
            <v>0.88</v>
          </cell>
        </row>
        <row r="332">
          <cell r="A332" t="str">
            <v>BS-WHC19-W0-XL</v>
          </cell>
          <cell r="B332">
            <v>0</v>
          </cell>
          <cell r="C332">
            <v>0</v>
          </cell>
          <cell r="D332">
            <v>0</v>
          </cell>
          <cell r="E332">
            <v>165</v>
          </cell>
          <cell r="F332">
            <v>3</v>
          </cell>
          <cell r="G332">
            <v>0.67</v>
          </cell>
          <cell r="H332">
            <v>165</v>
          </cell>
          <cell r="I332">
            <v>3</v>
          </cell>
          <cell r="J332">
            <v>0.67</v>
          </cell>
          <cell r="K332">
            <v>55</v>
          </cell>
          <cell r="L332">
            <v>0</v>
          </cell>
          <cell r="M332">
            <v>0</v>
          </cell>
        </row>
        <row r="333">
          <cell r="A333" t="str">
            <v>YZ-BS-HE13037EZ1L</v>
          </cell>
          <cell r="B333">
            <v>0</v>
          </cell>
          <cell r="C333">
            <v>0</v>
          </cell>
          <cell r="D333">
            <v>0</v>
          </cell>
          <cell r="E333">
            <v>414</v>
          </cell>
          <cell r="F333">
            <v>5</v>
          </cell>
          <cell r="G333">
            <v>0.54</v>
          </cell>
          <cell r="H333">
            <v>414</v>
          </cell>
          <cell r="I333">
            <v>5</v>
          </cell>
          <cell r="J333">
            <v>0.54</v>
          </cell>
          <cell r="K333">
            <v>135</v>
          </cell>
          <cell r="L333">
            <v>2</v>
          </cell>
          <cell r="M333">
            <v>0.28</v>
          </cell>
        </row>
        <row r="334">
          <cell r="A334" t="str">
            <v>YZ-BS-HE13037Or1L</v>
          </cell>
          <cell r="B334">
            <v>0</v>
          </cell>
          <cell r="C334">
            <v>0</v>
          </cell>
          <cell r="D334">
            <v>0</v>
          </cell>
          <cell r="E334">
            <v>1463</v>
          </cell>
          <cell r="F334">
            <v>14</v>
          </cell>
          <cell r="G334">
            <v>1.77</v>
          </cell>
          <cell r="H334">
            <v>1162</v>
          </cell>
          <cell r="I334">
            <v>12</v>
          </cell>
          <cell r="J334">
            <v>1.37</v>
          </cell>
          <cell r="K334">
            <v>279</v>
          </cell>
          <cell r="L334">
            <v>1</v>
          </cell>
          <cell r="M334">
            <v>0.19</v>
          </cell>
        </row>
        <row r="335">
          <cell r="A335" t="str">
            <v>YZ-BS-HE13037Or2L</v>
          </cell>
          <cell r="B335">
            <v>0</v>
          </cell>
          <cell r="C335">
            <v>0</v>
          </cell>
          <cell r="D335">
            <v>0</v>
          </cell>
          <cell r="E335">
            <v>0</v>
          </cell>
          <cell r="F335">
            <v>0</v>
          </cell>
          <cell r="G335">
            <v>0</v>
          </cell>
          <cell r="H335">
            <v>0</v>
          </cell>
          <cell r="I335">
            <v>0</v>
          </cell>
          <cell r="J335">
            <v>0</v>
          </cell>
          <cell r="K335">
            <v>12</v>
          </cell>
          <cell r="L335">
            <v>0</v>
          </cell>
          <cell r="M335">
            <v>0</v>
          </cell>
        </row>
        <row r="336">
          <cell r="A336" t="str">
            <v>YZ-BS-HE13037Or3L</v>
          </cell>
          <cell r="B336">
            <v>0</v>
          </cell>
          <cell r="C336">
            <v>0</v>
          </cell>
          <cell r="D336">
            <v>0</v>
          </cell>
          <cell r="E336">
            <v>0</v>
          </cell>
          <cell r="F336">
            <v>0</v>
          </cell>
          <cell r="G336">
            <v>0</v>
          </cell>
          <cell r="H336">
            <v>0</v>
          </cell>
          <cell r="I336">
            <v>0</v>
          </cell>
          <cell r="J336">
            <v>0</v>
          </cell>
          <cell r="K336">
            <v>33</v>
          </cell>
          <cell r="L336">
            <v>0</v>
          </cell>
          <cell r="M336">
            <v>0</v>
          </cell>
        </row>
        <row r="337">
          <cell r="A337" t="str">
            <v>YZ-BS-HE13037Pu1L</v>
          </cell>
          <cell r="B337">
            <v>0</v>
          </cell>
          <cell r="C337">
            <v>0</v>
          </cell>
          <cell r="D337">
            <v>0</v>
          </cell>
          <cell r="E337">
            <v>4857</v>
          </cell>
          <cell r="F337">
            <v>33</v>
          </cell>
          <cell r="G337">
            <v>5.05</v>
          </cell>
          <cell r="H337">
            <v>1248</v>
          </cell>
          <cell r="I337">
            <v>8</v>
          </cell>
          <cell r="J337">
            <v>1.28</v>
          </cell>
          <cell r="K337">
            <v>273</v>
          </cell>
          <cell r="L337">
            <v>9</v>
          </cell>
          <cell r="M337">
            <v>1.58</v>
          </cell>
        </row>
        <row r="338">
          <cell r="A338" t="str">
            <v>YZ-BS-JG2631HSL</v>
          </cell>
          <cell r="B338">
            <v>0</v>
          </cell>
          <cell r="C338">
            <v>0</v>
          </cell>
          <cell r="D338">
            <v>0</v>
          </cell>
          <cell r="E338">
            <v>287</v>
          </cell>
          <cell r="F338">
            <v>3</v>
          </cell>
          <cell r="G338">
            <v>0.45</v>
          </cell>
          <cell r="H338">
            <v>268</v>
          </cell>
          <cell r="I338">
            <v>3</v>
          </cell>
          <cell r="J338">
            <v>0.45</v>
          </cell>
          <cell r="K338">
            <v>79</v>
          </cell>
          <cell r="L338">
            <v>2</v>
          </cell>
          <cell r="M338">
            <v>0.18</v>
          </cell>
        </row>
        <row r="339">
          <cell r="A339" t="str">
            <v>YZ-BS-JG2631HSS</v>
          </cell>
          <cell r="B339">
            <v>762</v>
          </cell>
          <cell r="C339">
            <v>9</v>
          </cell>
          <cell r="D339">
            <v>1.01</v>
          </cell>
          <cell r="E339">
            <v>1088</v>
          </cell>
          <cell r="F339">
            <v>11</v>
          </cell>
          <cell r="G339">
            <v>1.19</v>
          </cell>
          <cell r="H339">
            <v>495</v>
          </cell>
          <cell r="I339">
            <v>6</v>
          </cell>
          <cell r="J339">
            <v>0.66</v>
          </cell>
          <cell r="K339">
            <v>65</v>
          </cell>
          <cell r="L339">
            <v>3</v>
          </cell>
          <cell r="M339">
            <v>0.31</v>
          </cell>
        </row>
        <row r="340">
          <cell r="A340" t="str">
            <v>YZ-BS-JG2631HSXS</v>
          </cell>
          <cell r="B340">
            <v>187</v>
          </cell>
          <cell r="C340">
            <v>1</v>
          </cell>
          <cell r="D340">
            <v>0.06</v>
          </cell>
          <cell r="E340">
            <v>8</v>
          </cell>
          <cell r="F340">
            <v>0</v>
          </cell>
          <cell r="G340">
            <v>0</v>
          </cell>
          <cell r="H340">
            <v>4</v>
          </cell>
          <cell r="I340">
            <v>0</v>
          </cell>
          <cell r="J340">
            <v>0</v>
          </cell>
          <cell r="K340">
            <v>8</v>
          </cell>
          <cell r="L340">
            <v>0</v>
          </cell>
          <cell r="M340">
            <v>0</v>
          </cell>
        </row>
        <row r="341">
          <cell r="A341" t="str">
            <v>YZ-BS-JG2631R01L</v>
          </cell>
          <cell r="B341">
            <v>27</v>
          </cell>
          <cell r="C341">
            <v>1</v>
          </cell>
          <cell r="D341">
            <v>0.1</v>
          </cell>
          <cell r="E341">
            <v>229</v>
          </cell>
          <cell r="F341">
            <v>0</v>
          </cell>
          <cell r="G341">
            <v>0</v>
          </cell>
          <cell r="H341">
            <v>0</v>
          </cell>
          <cell r="I341">
            <v>0</v>
          </cell>
          <cell r="J341">
            <v>0</v>
          </cell>
          <cell r="K341">
            <v>6</v>
          </cell>
          <cell r="L341">
            <v>0</v>
          </cell>
          <cell r="M341">
            <v>0</v>
          </cell>
        </row>
        <row r="342">
          <cell r="A342" t="str">
            <v>YZ-BS-JG2631R0L</v>
          </cell>
          <cell r="B342">
            <v>111</v>
          </cell>
          <cell r="C342">
            <v>0</v>
          </cell>
          <cell r="D342">
            <v>0</v>
          </cell>
          <cell r="E342">
            <v>101</v>
          </cell>
          <cell r="F342">
            <v>3</v>
          </cell>
          <cell r="G342">
            <v>0.38</v>
          </cell>
          <cell r="H342">
            <v>27</v>
          </cell>
          <cell r="I342">
            <v>1</v>
          </cell>
          <cell r="J342">
            <v>0.15</v>
          </cell>
          <cell r="K342">
            <v>48</v>
          </cell>
          <cell r="L342">
            <v>1</v>
          </cell>
          <cell r="M342">
            <v>0.02</v>
          </cell>
        </row>
        <row r="343">
          <cell r="A343" t="str">
            <v>YZ-BS-JG2631R0S</v>
          </cell>
          <cell r="B343">
            <v>493</v>
          </cell>
          <cell r="C343">
            <v>2</v>
          </cell>
          <cell r="D343">
            <v>0.25</v>
          </cell>
          <cell r="E343">
            <v>53</v>
          </cell>
          <cell r="F343">
            <v>0</v>
          </cell>
          <cell r="G343">
            <v>0</v>
          </cell>
          <cell r="H343">
            <v>3</v>
          </cell>
          <cell r="I343">
            <v>0</v>
          </cell>
          <cell r="J343">
            <v>0</v>
          </cell>
          <cell r="K343">
            <v>12</v>
          </cell>
          <cell r="L343">
            <v>0</v>
          </cell>
          <cell r="M343">
            <v>0</v>
          </cell>
        </row>
        <row r="344">
          <cell r="A344" t="str">
            <v>YZ-BS-JG2631R0XS</v>
          </cell>
          <cell r="B344">
            <v>218</v>
          </cell>
          <cell r="C344">
            <v>3</v>
          </cell>
          <cell r="D344">
            <v>0.3</v>
          </cell>
          <cell r="E344">
            <v>40</v>
          </cell>
          <cell r="F344">
            <v>2</v>
          </cell>
          <cell r="G344">
            <v>0.19</v>
          </cell>
          <cell r="H344">
            <v>10</v>
          </cell>
          <cell r="I344">
            <v>2</v>
          </cell>
          <cell r="J344">
            <v>0.19</v>
          </cell>
          <cell r="K344">
            <v>6</v>
          </cell>
          <cell r="L344">
            <v>0</v>
          </cell>
          <cell r="M344">
            <v>0</v>
          </cell>
        </row>
        <row r="345">
          <cell r="A345" t="str">
            <v>YZ-BS-JG2631ZL2L</v>
          </cell>
          <cell r="B345">
            <v>929</v>
          </cell>
          <cell r="C345">
            <v>0</v>
          </cell>
          <cell r="D345">
            <v>0</v>
          </cell>
          <cell r="E345">
            <v>958</v>
          </cell>
          <cell r="F345">
            <v>3</v>
          </cell>
          <cell r="G345">
            <v>0.29</v>
          </cell>
          <cell r="H345">
            <v>88</v>
          </cell>
          <cell r="I345">
            <v>0</v>
          </cell>
          <cell r="J345">
            <v>0</v>
          </cell>
          <cell r="K345">
            <v>107</v>
          </cell>
          <cell r="L345">
            <v>3</v>
          </cell>
          <cell r="M345">
            <v>0.35</v>
          </cell>
        </row>
        <row r="346">
          <cell r="A346" t="str">
            <v>YZ-BS-JG2631ZLL</v>
          </cell>
          <cell r="B346">
            <v>535</v>
          </cell>
          <cell r="C346">
            <v>5</v>
          </cell>
          <cell r="D346">
            <v>0.5</v>
          </cell>
          <cell r="E346">
            <v>175</v>
          </cell>
          <cell r="F346">
            <v>0</v>
          </cell>
          <cell r="G346">
            <v>0</v>
          </cell>
          <cell r="H346">
            <v>30</v>
          </cell>
          <cell r="I346">
            <v>0</v>
          </cell>
          <cell r="J346">
            <v>0</v>
          </cell>
          <cell r="K346">
            <v>38</v>
          </cell>
          <cell r="L346">
            <v>0</v>
          </cell>
          <cell r="M346">
            <v>0</v>
          </cell>
        </row>
        <row r="347">
          <cell r="A347" t="str">
            <v>YZ-BS-JG2631ZLM</v>
          </cell>
          <cell r="B347">
            <v>0</v>
          </cell>
          <cell r="C347">
            <v>0</v>
          </cell>
          <cell r="D347">
            <v>0</v>
          </cell>
          <cell r="E347">
            <v>458</v>
          </cell>
          <cell r="F347">
            <v>4</v>
          </cell>
          <cell r="G347">
            <v>0.29</v>
          </cell>
          <cell r="H347">
            <v>11</v>
          </cell>
          <cell r="I347">
            <v>0</v>
          </cell>
          <cell r="J347">
            <v>0</v>
          </cell>
          <cell r="K347">
            <v>23</v>
          </cell>
          <cell r="L347">
            <v>0</v>
          </cell>
          <cell r="M347">
            <v>0</v>
          </cell>
        </row>
        <row r="348">
          <cell r="A348" t="str">
            <v>YZ-BS-HE13037Pu5L</v>
          </cell>
          <cell r="B348">
            <v>0</v>
          </cell>
          <cell r="C348">
            <v>0</v>
          </cell>
          <cell r="D348">
            <v>0</v>
          </cell>
          <cell r="E348">
            <v>0</v>
          </cell>
          <cell r="F348">
            <v>0</v>
          </cell>
          <cell r="G348">
            <v>0</v>
          </cell>
          <cell r="H348">
            <v>0</v>
          </cell>
          <cell r="I348">
            <v>0</v>
          </cell>
          <cell r="J348">
            <v>0</v>
          </cell>
          <cell r="K348">
            <v>6</v>
          </cell>
          <cell r="L348">
            <v>0</v>
          </cell>
          <cell r="M348">
            <v>0</v>
          </cell>
        </row>
        <row r="349">
          <cell r="A349" t="str">
            <v>YZ-BS-HE13037Wi4L</v>
          </cell>
          <cell r="B349">
            <v>11</v>
          </cell>
          <cell r="C349">
            <v>0</v>
          </cell>
          <cell r="D349">
            <v>0</v>
          </cell>
          <cell r="E349">
            <v>2</v>
          </cell>
          <cell r="F349">
            <v>0</v>
          </cell>
          <cell r="G349">
            <v>0</v>
          </cell>
          <cell r="H349">
            <v>2</v>
          </cell>
          <cell r="I349">
            <v>0</v>
          </cell>
          <cell r="J349">
            <v>0</v>
          </cell>
          <cell r="K349">
            <v>45</v>
          </cell>
          <cell r="L349">
            <v>0</v>
          </cell>
          <cell r="M349">
            <v>0</v>
          </cell>
        </row>
        <row r="350">
          <cell r="A350" t="str">
            <v>YZ-BS-TJ1245003L</v>
          </cell>
          <cell r="B350">
            <v>0</v>
          </cell>
          <cell r="C350">
            <v>0</v>
          </cell>
          <cell r="D350">
            <v>0</v>
          </cell>
          <cell r="E350">
            <v>4989</v>
          </cell>
          <cell r="F350">
            <v>82</v>
          </cell>
          <cell r="G350">
            <v>21.77</v>
          </cell>
          <cell r="H350">
            <v>4128</v>
          </cell>
          <cell r="I350">
            <v>69</v>
          </cell>
          <cell r="J350">
            <v>18.46</v>
          </cell>
          <cell r="K350">
            <v>0</v>
          </cell>
          <cell r="L350">
            <v>0</v>
          </cell>
          <cell r="M350">
            <v>0</v>
          </cell>
        </row>
        <row r="351">
          <cell r="A351" t="str">
            <v>WQS-BN-1503-KO-XL</v>
          </cell>
          <cell r="B351">
            <v>0</v>
          </cell>
          <cell r="C351">
            <v>0</v>
          </cell>
          <cell r="D351">
            <v>0</v>
          </cell>
          <cell r="E351">
            <v>2381</v>
          </cell>
          <cell r="F351">
            <v>6</v>
          </cell>
          <cell r="G351">
            <v>1.53</v>
          </cell>
          <cell r="H351">
            <v>2381</v>
          </cell>
          <cell r="I351">
            <v>6</v>
          </cell>
          <cell r="J351">
            <v>1.53</v>
          </cell>
          <cell r="K351">
            <v>0</v>
          </cell>
          <cell r="L351">
            <v>0</v>
          </cell>
          <cell r="M351">
            <v>0</v>
          </cell>
        </row>
        <row r="352">
          <cell r="A352" t="str">
            <v>BS-WH1731-P0-M</v>
          </cell>
          <cell r="B352">
            <v>1927</v>
          </cell>
          <cell r="C352">
            <v>8</v>
          </cell>
          <cell r="D352">
            <v>0.73</v>
          </cell>
          <cell r="E352">
            <v>4621</v>
          </cell>
          <cell r="F352">
            <v>14</v>
          </cell>
          <cell r="G352">
            <v>1.64</v>
          </cell>
          <cell r="H352">
            <v>1970</v>
          </cell>
          <cell r="I352">
            <v>5</v>
          </cell>
          <cell r="J352">
            <v>0.31</v>
          </cell>
          <cell r="K352">
            <v>0</v>
          </cell>
          <cell r="L352">
            <v>0</v>
          </cell>
          <cell r="M352">
            <v>0</v>
          </cell>
        </row>
        <row r="353">
          <cell r="A353" t="str">
            <v>YZ-BS-HE9007Se8L</v>
          </cell>
          <cell r="B353">
            <v>1</v>
          </cell>
          <cell r="C353">
            <v>0</v>
          </cell>
          <cell r="D353">
            <v>0</v>
          </cell>
          <cell r="E353">
            <v>7</v>
          </cell>
          <cell r="F353">
            <v>1</v>
          </cell>
          <cell r="G353">
            <v>0.32</v>
          </cell>
          <cell r="H353">
            <v>6</v>
          </cell>
          <cell r="I353">
            <v>0</v>
          </cell>
          <cell r="J353">
            <v>0</v>
          </cell>
          <cell r="K353">
            <v>0</v>
          </cell>
          <cell r="L353">
            <v>0</v>
          </cell>
          <cell r="M353">
            <v>0</v>
          </cell>
        </row>
        <row r="354">
          <cell r="A354" t="str">
            <v>CS-LY181-LB916-M</v>
          </cell>
          <cell r="B354">
            <v>0</v>
          </cell>
          <cell r="C354">
            <v>0</v>
          </cell>
          <cell r="D354">
            <v>0</v>
          </cell>
          <cell r="E354">
            <v>42</v>
          </cell>
          <cell r="F354">
            <v>0</v>
          </cell>
          <cell r="G354">
            <v>0</v>
          </cell>
          <cell r="H354">
            <v>42</v>
          </cell>
          <cell r="I354">
            <v>0</v>
          </cell>
          <cell r="J354">
            <v>0</v>
          </cell>
          <cell r="K354">
            <v>0</v>
          </cell>
          <cell r="L354">
            <v>0</v>
          </cell>
          <cell r="M354">
            <v>0</v>
          </cell>
        </row>
        <row r="355">
          <cell r="A355" t="str">
            <v>CS-LY181-LG907-M</v>
          </cell>
          <cell r="B355">
            <v>0</v>
          </cell>
          <cell r="C355">
            <v>0</v>
          </cell>
          <cell r="D355">
            <v>0</v>
          </cell>
          <cell r="E355">
            <v>60</v>
          </cell>
          <cell r="F355">
            <v>2</v>
          </cell>
          <cell r="G355">
            <v>0.37</v>
          </cell>
          <cell r="H355">
            <v>60</v>
          </cell>
          <cell r="I355">
            <v>2</v>
          </cell>
          <cell r="J355">
            <v>0.37</v>
          </cell>
          <cell r="K355">
            <v>0</v>
          </cell>
          <cell r="L355">
            <v>0</v>
          </cell>
          <cell r="M355">
            <v>0</v>
          </cell>
        </row>
        <row r="356">
          <cell r="A356" t="str">
            <v>CS-LY181-Sa911-M</v>
          </cell>
          <cell r="B356">
            <v>0</v>
          </cell>
          <cell r="C356">
            <v>0</v>
          </cell>
          <cell r="D356">
            <v>0</v>
          </cell>
          <cell r="E356">
            <v>17</v>
          </cell>
          <cell r="F356">
            <v>0</v>
          </cell>
          <cell r="G356">
            <v>0</v>
          </cell>
          <cell r="H356">
            <v>17</v>
          </cell>
          <cell r="I356">
            <v>0</v>
          </cell>
          <cell r="J356">
            <v>0</v>
          </cell>
          <cell r="K356">
            <v>0</v>
          </cell>
          <cell r="L356">
            <v>0</v>
          </cell>
          <cell r="M356">
            <v>0</v>
          </cell>
        </row>
        <row r="357">
          <cell r="A357" t="str">
            <v>CS-LY181-WR917-L</v>
          </cell>
          <cell r="B357">
            <v>0</v>
          </cell>
          <cell r="C357">
            <v>0</v>
          </cell>
          <cell r="D357">
            <v>0</v>
          </cell>
          <cell r="E357">
            <v>38</v>
          </cell>
          <cell r="F357">
            <v>0</v>
          </cell>
          <cell r="G357">
            <v>0</v>
          </cell>
          <cell r="H357">
            <v>38</v>
          </cell>
          <cell r="I357">
            <v>0</v>
          </cell>
          <cell r="J357">
            <v>0</v>
          </cell>
          <cell r="K357">
            <v>0</v>
          </cell>
          <cell r="L357">
            <v>0</v>
          </cell>
          <cell r="M357">
            <v>0</v>
          </cell>
        </row>
        <row r="358">
          <cell r="A358" t="str">
            <v>EUTK-J01H-K0-3T</v>
          </cell>
          <cell r="B358">
            <v>0</v>
          </cell>
          <cell r="C358">
            <v>0</v>
          </cell>
          <cell r="D358">
            <v>0</v>
          </cell>
          <cell r="E358">
            <v>2</v>
          </cell>
          <cell r="F358">
            <v>0</v>
          </cell>
          <cell r="G358">
            <v>0</v>
          </cell>
          <cell r="H358">
            <v>1</v>
          </cell>
          <cell r="I358">
            <v>0</v>
          </cell>
          <cell r="J358">
            <v>0</v>
          </cell>
          <cell r="K358">
            <v>0</v>
          </cell>
          <cell r="L358">
            <v>0</v>
          </cell>
          <cell r="M358">
            <v>0</v>
          </cell>
        </row>
        <row r="359">
          <cell r="A359" t="str">
            <v>EUTK-J01H-K0-4T</v>
          </cell>
          <cell r="B359">
            <v>0</v>
          </cell>
          <cell r="C359">
            <v>0</v>
          </cell>
          <cell r="D359">
            <v>0</v>
          </cell>
          <cell r="E359">
            <v>2</v>
          </cell>
          <cell r="F359">
            <v>0</v>
          </cell>
          <cell r="G359">
            <v>0</v>
          </cell>
          <cell r="H359">
            <v>2</v>
          </cell>
          <cell r="I359">
            <v>0</v>
          </cell>
          <cell r="J359">
            <v>0</v>
          </cell>
          <cell r="K359">
            <v>0</v>
          </cell>
          <cell r="L359">
            <v>0</v>
          </cell>
          <cell r="M359">
            <v>0</v>
          </cell>
        </row>
        <row r="360">
          <cell r="A360" t="str">
            <v>EUTK-J02H-K0-3T</v>
          </cell>
          <cell r="B360">
            <v>1</v>
          </cell>
          <cell r="C360">
            <v>0</v>
          </cell>
          <cell r="D360">
            <v>0</v>
          </cell>
          <cell r="E360">
            <v>1</v>
          </cell>
          <cell r="F360">
            <v>0</v>
          </cell>
          <cell r="G360">
            <v>0</v>
          </cell>
          <cell r="H360">
            <v>0</v>
          </cell>
          <cell r="I360">
            <v>0</v>
          </cell>
          <cell r="J360">
            <v>0</v>
          </cell>
          <cell r="K360">
            <v>0</v>
          </cell>
          <cell r="L360">
            <v>0</v>
          </cell>
          <cell r="M360">
            <v>0</v>
          </cell>
        </row>
        <row r="361">
          <cell r="A361" t="str">
            <v>EUTK-J02H-SH-3T</v>
          </cell>
          <cell r="B361">
            <v>0</v>
          </cell>
          <cell r="C361">
            <v>0</v>
          </cell>
          <cell r="D361">
            <v>0</v>
          </cell>
          <cell r="E361">
            <v>2</v>
          </cell>
          <cell r="F361">
            <v>0</v>
          </cell>
          <cell r="G361">
            <v>0</v>
          </cell>
          <cell r="H361">
            <v>1</v>
          </cell>
          <cell r="I361">
            <v>0</v>
          </cell>
          <cell r="J361">
            <v>0</v>
          </cell>
          <cell r="K361">
            <v>0</v>
          </cell>
          <cell r="L361">
            <v>0</v>
          </cell>
          <cell r="M361">
            <v>0</v>
          </cell>
        </row>
        <row r="362">
          <cell r="A362" t="str">
            <v>YZ-BS-HB8995-PI-M</v>
          </cell>
          <cell r="B362">
            <v>0</v>
          </cell>
          <cell r="C362">
            <v>0</v>
          </cell>
          <cell r="D362">
            <v>0</v>
          </cell>
          <cell r="E362">
            <v>4</v>
          </cell>
          <cell r="F362">
            <v>0</v>
          </cell>
          <cell r="G362">
            <v>0</v>
          </cell>
          <cell r="H362">
            <v>4</v>
          </cell>
          <cell r="I362">
            <v>0</v>
          </cell>
          <cell r="J362">
            <v>0</v>
          </cell>
          <cell r="K362">
            <v>0</v>
          </cell>
          <cell r="L362">
            <v>0</v>
          </cell>
          <cell r="M362">
            <v>0</v>
          </cell>
        </row>
        <row r="363">
          <cell r="A363" t="str">
            <v>YZ-BETW32-KTW-S</v>
          </cell>
          <cell r="B363">
            <v>105</v>
          </cell>
          <cell r="C363">
            <v>0</v>
          </cell>
          <cell r="D363">
            <v>0</v>
          </cell>
          <cell r="E363">
            <v>62</v>
          </cell>
          <cell r="F363">
            <v>1</v>
          </cell>
          <cell r="G363">
            <v>0.07</v>
          </cell>
          <cell r="H363">
            <v>24</v>
          </cell>
          <cell r="I363">
            <v>0</v>
          </cell>
          <cell r="J363">
            <v>0</v>
          </cell>
          <cell r="K363">
            <v>0</v>
          </cell>
          <cell r="L363">
            <v>0</v>
          </cell>
          <cell r="M363">
            <v>0</v>
          </cell>
        </row>
        <row r="364">
          <cell r="A364" t="str">
            <v>YZ-BETW32-PI-S</v>
          </cell>
          <cell r="B364">
            <v>95</v>
          </cell>
          <cell r="C364">
            <v>0</v>
          </cell>
          <cell r="D364">
            <v>0</v>
          </cell>
          <cell r="E364">
            <v>79</v>
          </cell>
          <cell r="F364">
            <v>0</v>
          </cell>
          <cell r="G364">
            <v>0</v>
          </cell>
          <cell r="H364">
            <v>17</v>
          </cell>
          <cell r="I364">
            <v>0</v>
          </cell>
          <cell r="J364">
            <v>0</v>
          </cell>
          <cell r="K364">
            <v>0</v>
          </cell>
          <cell r="L364">
            <v>0</v>
          </cell>
          <cell r="M364">
            <v>0</v>
          </cell>
        </row>
        <row r="365">
          <cell r="A365" t="str">
            <v>YZ-BS-JG2631HS1L</v>
          </cell>
          <cell r="B365">
            <v>0</v>
          </cell>
          <cell r="C365">
            <v>0</v>
          </cell>
          <cell r="D365">
            <v>0</v>
          </cell>
          <cell r="E365">
            <v>54</v>
          </cell>
          <cell r="F365">
            <v>0</v>
          </cell>
          <cell r="G365">
            <v>0</v>
          </cell>
          <cell r="H365">
            <v>6</v>
          </cell>
          <cell r="I365">
            <v>0</v>
          </cell>
          <cell r="J365">
            <v>0</v>
          </cell>
          <cell r="K365">
            <v>0</v>
          </cell>
          <cell r="L365">
            <v>0</v>
          </cell>
          <cell r="M365">
            <v>0</v>
          </cell>
        </row>
        <row r="366">
          <cell r="A366" t="str">
            <v>YZ-BS-JG2631HSM</v>
          </cell>
          <cell r="B366">
            <v>0</v>
          </cell>
          <cell r="C366">
            <v>0</v>
          </cell>
          <cell r="D366">
            <v>0</v>
          </cell>
          <cell r="E366">
            <v>198</v>
          </cell>
          <cell r="F366">
            <v>0</v>
          </cell>
          <cell r="G366">
            <v>0</v>
          </cell>
          <cell r="H366">
            <v>6</v>
          </cell>
          <cell r="I366">
            <v>0</v>
          </cell>
          <cell r="J366">
            <v>0</v>
          </cell>
          <cell r="K366">
            <v>0</v>
          </cell>
          <cell r="L366">
            <v>0</v>
          </cell>
          <cell r="M366">
            <v>0</v>
          </cell>
        </row>
        <row r="367">
          <cell r="A367" t="str">
            <v>YZ-BS-JG2631R0M</v>
          </cell>
          <cell r="B367">
            <v>244</v>
          </cell>
          <cell r="C367">
            <v>3</v>
          </cell>
          <cell r="D367">
            <v>0.28</v>
          </cell>
          <cell r="E367">
            <v>603</v>
          </cell>
          <cell r="F367">
            <v>5</v>
          </cell>
          <cell r="G367">
            <v>0.43</v>
          </cell>
          <cell r="H367">
            <v>103</v>
          </cell>
          <cell r="I367">
            <v>3</v>
          </cell>
          <cell r="J367">
            <v>0.31</v>
          </cell>
          <cell r="K367">
            <v>0</v>
          </cell>
          <cell r="L367">
            <v>0</v>
          </cell>
          <cell r="M367">
            <v>0</v>
          </cell>
        </row>
        <row r="368">
          <cell r="A368" t="str">
            <v>YZ-BS-JG2631ZL1L</v>
          </cell>
          <cell r="B368">
            <v>0</v>
          </cell>
          <cell r="C368">
            <v>0</v>
          </cell>
          <cell r="D368">
            <v>0</v>
          </cell>
          <cell r="E368">
            <v>0</v>
          </cell>
          <cell r="F368">
            <v>0</v>
          </cell>
          <cell r="G368">
            <v>0</v>
          </cell>
          <cell r="H368">
            <v>0</v>
          </cell>
          <cell r="I368">
            <v>0</v>
          </cell>
          <cell r="J368">
            <v>0</v>
          </cell>
          <cell r="K368">
            <v>0</v>
          </cell>
          <cell r="L368">
            <v>0</v>
          </cell>
          <cell r="M368">
            <v>0</v>
          </cell>
        </row>
        <row r="369">
          <cell r="A369" t="str">
            <v>YZ-BS-JG2631ZL3L</v>
          </cell>
          <cell r="B369">
            <v>360</v>
          </cell>
          <cell r="C369">
            <v>3</v>
          </cell>
          <cell r="D369">
            <v>0.32</v>
          </cell>
          <cell r="E369">
            <v>154</v>
          </cell>
          <cell r="F369">
            <v>1</v>
          </cell>
          <cell r="G369">
            <v>0.13</v>
          </cell>
          <cell r="H369">
            <v>2</v>
          </cell>
          <cell r="I369">
            <v>0</v>
          </cell>
          <cell r="J369">
            <v>0</v>
          </cell>
          <cell r="K369">
            <v>0</v>
          </cell>
          <cell r="L369">
            <v>0</v>
          </cell>
          <cell r="M369">
            <v>0</v>
          </cell>
        </row>
        <row r="370">
          <cell r="A370" t="str">
            <v>EUTK-J02H-K0-18/20</v>
          </cell>
          <cell r="B370">
            <v>0</v>
          </cell>
          <cell r="C370">
            <v>0</v>
          </cell>
          <cell r="D370">
            <v>0</v>
          </cell>
          <cell r="E370">
            <v>1</v>
          </cell>
          <cell r="F370">
            <v>0</v>
          </cell>
          <cell r="G370">
            <v>0</v>
          </cell>
          <cell r="H370">
            <v>0</v>
          </cell>
          <cell r="I370">
            <v>0</v>
          </cell>
          <cell r="J370">
            <v>0</v>
          </cell>
          <cell r="K370">
            <v>0</v>
          </cell>
          <cell r="L370">
            <v>0</v>
          </cell>
          <cell r="M370">
            <v>0</v>
          </cell>
        </row>
        <row r="371">
          <cell r="A371" t="str">
            <v>YZ-BETW32-BTW-S</v>
          </cell>
          <cell r="B371">
            <v>5</v>
          </cell>
          <cell r="C371">
            <v>0</v>
          </cell>
          <cell r="D371">
            <v>0</v>
          </cell>
          <cell r="E371">
            <v>28</v>
          </cell>
          <cell r="F371">
            <v>0</v>
          </cell>
          <cell r="G371">
            <v>0</v>
          </cell>
          <cell r="H371">
            <v>0</v>
          </cell>
          <cell r="I371">
            <v>0</v>
          </cell>
          <cell r="J371">
            <v>0</v>
          </cell>
          <cell r="K371">
            <v>0</v>
          </cell>
          <cell r="L371">
            <v>0</v>
          </cell>
          <cell r="M371">
            <v>0</v>
          </cell>
        </row>
        <row r="372">
          <cell r="A372" t="str">
            <v>RE-YZ-BECS186-YH-S</v>
          </cell>
          <cell r="B372">
            <v>6</v>
          </cell>
          <cell r="C372">
            <v>0</v>
          </cell>
          <cell r="D372">
            <v>0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>
            <v>0</v>
          </cell>
          <cell r="L372">
            <v>0</v>
          </cell>
          <cell r="M372">
            <v>0</v>
          </cell>
        </row>
        <row r="373">
          <cell r="A373" t="str">
            <v>YZ-BS-TJ1245W0L</v>
          </cell>
          <cell r="B373">
            <v>56</v>
          </cell>
          <cell r="C373">
            <v>0</v>
          </cell>
          <cell r="D373">
            <v>0</v>
          </cell>
          <cell r="E373">
            <v>0</v>
          </cell>
          <cell r="F373">
            <v>0</v>
          </cell>
          <cell r="G373">
            <v>0</v>
          </cell>
          <cell r="H373">
            <v>0</v>
          </cell>
          <cell r="I373">
            <v>0</v>
          </cell>
          <cell r="J373">
            <v>0</v>
          </cell>
          <cell r="K373">
            <v>0</v>
          </cell>
          <cell r="L373">
            <v>0</v>
          </cell>
          <cell r="M373">
            <v>0</v>
          </cell>
        </row>
        <row r="374">
          <cell r="A374" t="str">
            <v>YZ-BS-HE13037Wi2L</v>
          </cell>
          <cell r="B374">
            <v>650</v>
          </cell>
          <cell r="C374">
            <v>11</v>
          </cell>
          <cell r="D374">
            <v>1.3</v>
          </cell>
          <cell r="E374">
            <v>0</v>
          </cell>
          <cell r="F374">
            <v>0</v>
          </cell>
          <cell r="G374">
            <v>0</v>
          </cell>
          <cell r="H374">
            <v>0</v>
          </cell>
          <cell r="I374">
            <v>0</v>
          </cell>
          <cell r="J374">
            <v>0</v>
          </cell>
          <cell r="K374">
            <v>0</v>
          </cell>
          <cell r="L374">
            <v>0</v>
          </cell>
          <cell r="M374">
            <v>0</v>
          </cell>
        </row>
      </sheetData>
      <sheetData sheetId="2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M919"/>
  <sheetViews>
    <sheetView tabSelected="1" topLeftCell="A4" workbookViewId="0">
      <selection activeCell="B4" sqref="B4:M888"/>
    </sheetView>
  </sheetViews>
  <sheetFormatPr defaultColWidth="9" defaultRowHeight="13.5"/>
  <cols>
    <col min="4" max="4" width="11.5"/>
    <col min="13" max="13" width="11.5"/>
  </cols>
  <sheetData>
    <row r="1" spans="1:13">
      <c r="A1" s="2"/>
      <c r="B1" s="3" t="s">
        <v>0</v>
      </c>
      <c r="C1" s="3"/>
      <c r="D1" s="3"/>
      <c r="E1" s="3" t="s">
        <v>1</v>
      </c>
      <c r="F1" s="3"/>
      <c r="G1" s="3"/>
      <c r="H1" s="3" t="s">
        <v>2</v>
      </c>
      <c r="I1" s="3"/>
      <c r="J1" s="3"/>
      <c r="K1" s="3" t="s">
        <v>3</v>
      </c>
      <c r="L1" s="3"/>
      <c r="M1" s="3"/>
    </row>
    <row r="2" spans="1:13">
      <c r="A2" s="2" t="s">
        <v>4</v>
      </c>
      <c r="B2" s="2" t="s">
        <v>5</v>
      </c>
      <c r="C2" s="2" t="s">
        <v>6</v>
      </c>
      <c r="D2" s="2" t="s">
        <v>7</v>
      </c>
      <c r="E2" s="2" t="s">
        <v>5</v>
      </c>
      <c r="F2" s="2" t="s">
        <v>6</v>
      </c>
      <c r="G2" s="2" t="s">
        <v>7</v>
      </c>
      <c r="H2" s="2" t="s">
        <v>5</v>
      </c>
      <c r="I2" s="2" t="s">
        <v>6</v>
      </c>
      <c r="J2" s="2" t="s">
        <v>7</v>
      </c>
      <c r="K2" s="2" t="s">
        <v>5</v>
      </c>
      <c r="L2" s="2" t="s">
        <v>6</v>
      </c>
      <c r="M2" s="2" t="s">
        <v>7</v>
      </c>
    </row>
    <row r="3" spans="1:13">
      <c r="A3" s="4" t="s">
        <v>8</v>
      </c>
      <c r="B3" s="4"/>
      <c r="C3" s="4"/>
      <c r="D3" s="4">
        <f ca="1">SUM(D4:D19997)</f>
        <v>1251.6875</v>
      </c>
      <c r="E3" s="4"/>
      <c r="F3" s="4"/>
      <c r="G3" s="4">
        <f ca="1">SUM(G4:G19997)</f>
        <v>3249.73</v>
      </c>
      <c r="H3" s="4"/>
      <c r="I3" s="4"/>
      <c r="J3" s="4">
        <f ca="1">SUM(J4:J19997)</f>
        <v>1597.62</v>
      </c>
      <c r="K3" s="4"/>
      <c r="L3" s="4"/>
      <c r="M3" s="4">
        <f ca="1">SUM(M4:M19997)</f>
        <v>1623.83</v>
      </c>
    </row>
    <row r="4" spans="1:13">
      <c r="A4" s="5" t="s">
        <v>9</v>
      </c>
      <c r="B4" s="2">
        <f ca="1">IFERROR(VLOOKUP(A4,[1]库存使用数据!$A:$B,2,0),0)+IFERROR(VLOOKUP(A4,[2]库存使用数据!$A:$B,2,0),0)+IFERROR(VLOOKUP(,[3]库存使用数据!$A:$B,2,0),0)+IFERROR(VLOOKUP(A4,[4]库存使用数据!$A:$B,2,0),0)+IFERROR(VLOOKUP(A4,[5]库存使用数据!$A:$B,2,0),0)</f>
        <v>16220</v>
      </c>
      <c r="C4" s="1">
        <f ca="1">IFERROR(VLOOKUP($A4,[1]库存使用数据!$A:$C,3,0),0)+IFERROR(VLOOKUP($A4,[2]库存使用数据!$A:$C,3,0),0)+IFERROR(VLOOKUP($A4,[3]库存使用数据!$A:$C,3,0),0)+IFERROR(VLOOKUP($A4,[4]库存使用数据!$A:$C,3,0),0)+IFERROR(VLOOKUP($A4,[5]库存使用数据!$A:$C,3,0),0)</f>
        <v>65</v>
      </c>
      <c r="D4" s="1">
        <f ca="1">IFERROR(VLOOKUP($A4,[1]库存使用数据!$A:$D,4,0),0)+IFERROR(VLOOKUP($A4,[2]库存使用数据!$A:$D,4,0),0)+公式!$B$1*IFERROR(VLOOKUP($A4,[3]库存使用数据!$A:$D,4,0),0)+IFERROR(VLOOKUP($A4,[4]库存使用数据!$A:$D,4,0),0)+IFERROR(VLOOKUP($A4,[5]库存使用数据!$A:$D,4,0),0)</f>
        <v>15.07</v>
      </c>
      <c r="E4" s="1">
        <f ca="1">IFERROR(VLOOKUP($A4,[1]库存使用数据!$A:$E,5,0),0)+IFERROR(VLOOKUP($A4,[2]库存使用数据!$A:$E,5,0),0)+IFERROR(VLOOKUP($A4,[3]库存使用数据!$A:$E,5,0),0)+IFERROR(VLOOKUP($A4,[4]库存使用数据!$A:$E,5,0),0)+IFERROR(VLOOKUP($A4,[5]库存使用数据!$A:$E,5,0),0)</f>
        <v>92078</v>
      </c>
      <c r="F4" s="1">
        <f ca="1">IFERROR(VLOOKUP($A4,[1]库存使用数据!$A:$F,6,0),0)+IFERROR(VLOOKUP($A4,[2]库存使用数据!$A:$F,6,0),0)+IFERROR(VLOOKUP($A4,[4]库存使用数据!$A:$F,6,0),0)+IFERROR(VLOOKUP($A4,[3]库存使用数据!$A:$F,6,0),0)+IFERROR(VLOOKUP($A4,[5]库存使用数据!$A:$F,6,0),0)</f>
        <v>601</v>
      </c>
      <c r="G4" s="1">
        <f ca="1">IFERROR(VLOOKUP($A4,[1]库存使用数据!$A:$G,7,0),0)+IFERROR(VLOOKUP($A4,[2]库存使用数据!$A:$G,7,0),0)+公式!$B$14*IFERROR(VLOOKUP($A4,[3]库存使用数据!$A:$G,7,0),0)+IFERROR(VLOOKUP($A4,[4]库存使用数据!$A:$G,7,0),0)+IFERROR(VLOOKUP($A4,[5]库存使用数据!$A:$G,7,0),0)</f>
        <v>107.43</v>
      </c>
      <c r="H4" s="1">
        <f ca="1">IFERROR(VLOOKUP($A4,[1]库存使用数据!$A:$H,8,0),0)+IFERROR(VLOOKUP($A4,[2]库存使用数据!$A:$H,8,0),0)+IFERROR(VLOOKUP($A4,[3]库存使用数据!$A:$H,8,0),0)+IFERROR(VLOOKUP($A4,[4]库存使用数据!$A:$H,8,0),0)+IFERROR(VLOOKUP($A4,[5]库存使用数据!$A:$H,8,0),0)</f>
        <v>36198</v>
      </c>
      <c r="I4" s="1">
        <f ca="1">IFERROR(VLOOKUP($A4,[1]库存使用数据!$A:$I,9,0),0)+IFERROR(VLOOKUP($A4,[2]库存使用数据!$A:$I,9,0),0)+IFERROR(VLOOKUP($A4,[3]库存使用数据!$A:$I,9,0),0)+IFERROR(VLOOKUP($A4,[4]库存使用数据!$A:$I,9,0),0)+IFERROR(VLOOKUP($A4,[5]库存使用数据!$A:$I,9,0),0)</f>
        <v>187</v>
      </c>
      <c r="J4" s="1">
        <f ca="1">IFERROR(VLOOKUP($A4,[1]库存使用数据!$A:$J,10,0),0)+IFERROR(VLOOKUP($A4,[2]库存使用数据!$A:$J,10,0),0)+公式!$B$14*IFERROR(VLOOKUP($A4,[3]库存使用数据!$A:$J,10,0),0)+IFERROR(VLOOKUP($A4,[4]库存使用数据!$A:$J,10,0),0)+IFERROR(VLOOKUP($A4,[5]库存使用数据!$A:$J,10,0),0)</f>
        <v>33.82</v>
      </c>
      <c r="K4" s="1">
        <f ca="1">IFERROR(VLOOKUP($A4,[1]库存使用数据!$A:$K,11,0),0)+IFERROR(VLOOKUP($A4,[2]库存使用数据!$A:$K,11,0),0)+IFERROR(VLOOKUP($A4,[3]库存使用数据!$A:$K,11,0),0)+IFERROR(VLOOKUP($A4,[4]库存使用数据!$A:$K,11,0),0)+IFERROR(VLOOKUP($A4,[5]库存使用数据!$A:$K,11,0),0)</f>
        <v>80741</v>
      </c>
      <c r="L4" s="1">
        <f ca="1">IFERROR(VLOOKUP($A4,[1]库存使用数据!$A:$L,12,0),0)+IFERROR(VLOOKUP($A4,[2]库存使用数据!$A:$L,12,0),0)+IFERROR(VLOOKUP($A4,[3]库存使用数据!$A:$L,12,0),0)+IFERROR(VLOOKUP($A4,[4]库存使用数据!$A:$L,12,0),0)+IFERROR(VLOOKUP($A4,[5]库存使用数据!$A:$L,12,0),0)</f>
        <v>344</v>
      </c>
      <c r="M4" s="1">
        <f ca="1">IFERROR(VLOOKUP($A4,[1]库存使用数据!$A:$M,13,0),0)+IFERROR(VLOOKUP($A4,[2]库存使用数据!$A:$M,13,0),0)+公式!$B$14*IFERROR(VLOOKUP($A4,[3]库存使用数据!$A:$M,13,0),0)+IFERROR(VLOOKUP($A4,[4]库存使用数据!$A:$M,13,0),0)+IFERROR(VLOOKUP($A4,[5]库存使用数据!$A:$M,13,0),0)</f>
        <v>61.76</v>
      </c>
    </row>
    <row r="5" spans="1:13">
      <c r="A5" s="5" t="s">
        <v>10</v>
      </c>
      <c r="B5" s="2">
        <f ca="1">IFERROR(VLOOKUP(A5,[1]库存使用数据!$A:$B,2,0),0)+IFERROR(VLOOKUP(A5,[2]库存使用数据!$A:$B,2,0),0)+IFERROR(VLOOKUP(,[3]库存使用数据!$A:$B,2,0),0)+IFERROR(VLOOKUP(A5,[4]库存使用数据!$A:$B,2,0),0)+IFERROR(VLOOKUP(A5,[5]库存使用数据!$A:$B,2,0),0)</f>
        <v>0</v>
      </c>
      <c r="C5" s="1">
        <f ca="1">IFERROR(VLOOKUP($A5,[1]库存使用数据!$A:$C,3,0),0)+IFERROR(VLOOKUP($A5,[2]库存使用数据!$A:$C,3,0),0)+IFERROR(VLOOKUP($A5,[3]库存使用数据!$A:$C,3,0),0)+IFERROR(VLOOKUP($A5,[4]库存使用数据!$A:$C,3,0),0)+IFERROR(VLOOKUP($A5,[5]库存使用数据!$A:$C,3,0),0)</f>
        <v>245</v>
      </c>
      <c r="D5" s="1">
        <f ca="1">IFERROR(VLOOKUP($A5,[1]库存使用数据!$A:$D,4,0),0)+IFERROR(VLOOKUP($A5,[2]库存使用数据!$A:$D,4,0),0)+公式!$B$1*IFERROR(VLOOKUP($A5,[3]库存使用数据!$A:$D,4,0),0)+IFERROR(VLOOKUP($A5,[4]库存使用数据!$A:$D,4,0),0)+IFERROR(VLOOKUP($A5,[5]库存使用数据!$A:$D,4,0),0)</f>
        <v>62.31375</v>
      </c>
      <c r="E5" s="1">
        <f ca="1">IFERROR(VLOOKUP($A5,[1]库存使用数据!$A:$E,5,0),0)+IFERROR(VLOOKUP($A5,[2]库存使用数据!$A:$E,5,0),0)+IFERROR(VLOOKUP($A5,[3]库存使用数据!$A:$E,5,0),0)+IFERROR(VLOOKUP($A5,[4]库存使用数据!$A:$E,5,0),0)+IFERROR(VLOOKUP($A5,[5]库存使用数据!$A:$E,5,0),0)</f>
        <v>204062</v>
      </c>
      <c r="F5" s="1">
        <f ca="1">IFERROR(VLOOKUP($A5,[1]库存使用数据!$A:$F,6,0),0)+IFERROR(VLOOKUP($A5,[2]库存使用数据!$A:$F,6,0),0)+IFERROR(VLOOKUP($A5,[4]库存使用数据!$A:$F,6,0),0)+IFERROR(VLOOKUP($A5,[3]库存使用数据!$A:$F,6,0),0)+IFERROR(VLOOKUP($A5,[5]库存使用数据!$A:$F,6,0),0)</f>
        <v>1293</v>
      </c>
      <c r="G5" s="1">
        <f ca="1">IFERROR(VLOOKUP($A5,[1]库存使用数据!$A:$G,7,0),0)+IFERROR(VLOOKUP($A5,[2]库存使用数据!$A:$G,7,0),0)+公式!$B$14*IFERROR(VLOOKUP($A5,[3]库存使用数据!$A:$G,7,0),0)+IFERROR(VLOOKUP($A5,[4]库存使用数据!$A:$G,7,0),0)+IFERROR(VLOOKUP($A5,[5]库存使用数据!$A:$G,7,0),0)</f>
        <v>279.96</v>
      </c>
      <c r="H5" s="1">
        <f ca="1">IFERROR(VLOOKUP($A5,[1]库存使用数据!$A:$H,8,0),0)+IFERROR(VLOOKUP($A5,[2]库存使用数据!$A:$H,8,0),0)+IFERROR(VLOOKUP($A5,[3]库存使用数据!$A:$H,8,0),0)+IFERROR(VLOOKUP($A5,[4]库存使用数据!$A:$H,8,0),0)+IFERROR(VLOOKUP($A5,[5]库存使用数据!$A:$H,8,0),0)</f>
        <v>73734</v>
      </c>
      <c r="I5" s="1">
        <f ca="1">IFERROR(VLOOKUP($A5,[1]库存使用数据!$A:$I,9,0),0)+IFERROR(VLOOKUP($A5,[2]库存使用数据!$A:$I,9,0),0)+IFERROR(VLOOKUP($A5,[3]库存使用数据!$A:$I,9,0),0)+IFERROR(VLOOKUP($A5,[4]库存使用数据!$A:$I,9,0),0)+IFERROR(VLOOKUP($A5,[5]库存使用数据!$A:$I,9,0),0)</f>
        <v>890</v>
      </c>
      <c r="J5" s="1">
        <f ca="1">IFERROR(VLOOKUP($A5,[1]库存使用数据!$A:$J,10,0),0)+IFERROR(VLOOKUP($A5,[2]库存使用数据!$A:$J,10,0),0)+公式!$B$14*IFERROR(VLOOKUP($A5,[3]库存使用数据!$A:$J,10,0),0)+IFERROR(VLOOKUP($A5,[4]库存使用数据!$A:$J,10,0),0)+IFERROR(VLOOKUP($A5,[5]库存使用数据!$A:$J,10,0),0)</f>
        <v>233.15</v>
      </c>
      <c r="K5" s="1">
        <f ca="1">IFERROR(VLOOKUP($A5,[1]库存使用数据!$A:$K,11,0),0)+IFERROR(VLOOKUP($A5,[2]库存使用数据!$A:$K,11,0),0)+IFERROR(VLOOKUP($A5,[3]库存使用数据!$A:$K,11,0),0)+IFERROR(VLOOKUP($A5,[4]库存使用数据!$A:$K,11,0),0)+IFERROR(VLOOKUP($A5,[5]库存使用数据!$A:$K,11,0),0)</f>
        <v>0</v>
      </c>
      <c r="L5" s="1">
        <f ca="1">IFERROR(VLOOKUP($A5,[1]库存使用数据!$A:$L,12,0),0)+IFERROR(VLOOKUP($A5,[2]库存使用数据!$A:$L,12,0),0)+IFERROR(VLOOKUP($A5,[3]库存使用数据!$A:$L,12,0),0)+IFERROR(VLOOKUP($A5,[4]库存使用数据!$A:$L,12,0),0)+IFERROR(VLOOKUP($A5,[5]库存使用数据!$A:$L,12,0),0)</f>
        <v>0</v>
      </c>
      <c r="M5" s="1">
        <f ca="1">IFERROR(VLOOKUP($A5,[1]库存使用数据!$A:$M,13,0),0)+IFERROR(VLOOKUP($A5,[2]库存使用数据!$A:$M,13,0),0)+公式!$B$14*IFERROR(VLOOKUP($A5,[3]库存使用数据!$A:$M,13,0),0)+IFERROR(VLOOKUP($A5,[4]库存使用数据!$A:$M,13,0),0)+IFERROR(VLOOKUP($A5,[5]库存使用数据!$A:$M,13,0),0)</f>
        <v>0</v>
      </c>
    </row>
    <row r="6" spans="1:13">
      <c r="A6" s="5" t="s">
        <v>11</v>
      </c>
      <c r="B6" s="2">
        <f ca="1">IFERROR(VLOOKUP(A6,[1]库存使用数据!$A:$B,2,0),0)+IFERROR(VLOOKUP(A6,[2]库存使用数据!$A:$B,2,0),0)+IFERROR(VLOOKUP(,[3]库存使用数据!$A:$B,2,0),0)+IFERROR(VLOOKUP(A6,[4]库存使用数据!$A:$B,2,0),0)+IFERROR(VLOOKUP(A6,[5]库存使用数据!$A:$B,2,0),0)</f>
        <v>0</v>
      </c>
      <c r="C6" s="1">
        <f ca="1">IFERROR(VLOOKUP($A6,[1]库存使用数据!$A:$C,3,0),0)+IFERROR(VLOOKUP($A6,[2]库存使用数据!$A:$C,3,0),0)+IFERROR(VLOOKUP($A6,[3]库存使用数据!$A:$C,3,0),0)+IFERROR(VLOOKUP($A6,[4]库存使用数据!$A:$C,3,0),0)+IFERROR(VLOOKUP($A6,[5]库存使用数据!$A:$C,3,0),0)</f>
        <v>31</v>
      </c>
      <c r="D6" s="1">
        <f ca="1">IFERROR(VLOOKUP($A6,[1]库存使用数据!$A:$D,4,0),0)+IFERROR(VLOOKUP($A6,[2]库存使用数据!$A:$D,4,0),0)+公式!$B$1*IFERROR(VLOOKUP($A6,[3]库存使用数据!$A:$D,4,0),0)+IFERROR(VLOOKUP($A6,[4]库存使用数据!$A:$D,4,0),0)+IFERROR(VLOOKUP($A6,[5]库存使用数据!$A:$D,4,0),0)</f>
        <v>5.86125</v>
      </c>
      <c r="E6" s="1">
        <f ca="1">IFERROR(VLOOKUP($A6,[1]库存使用数据!$A:$E,5,0),0)+IFERROR(VLOOKUP($A6,[2]库存使用数据!$A:$E,5,0),0)+IFERROR(VLOOKUP($A6,[3]库存使用数据!$A:$E,5,0),0)+IFERROR(VLOOKUP($A6,[4]库存使用数据!$A:$E,5,0),0)+IFERROR(VLOOKUP($A6,[5]库存使用数据!$A:$E,5,0),0)</f>
        <v>27357</v>
      </c>
      <c r="F6" s="1">
        <f ca="1">IFERROR(VLOOKUP($A6,[1]库存使用数据!$A:$F,6,0),0)+IFERROR(VLOOKUP($A6,[2]库存使用数据!$A:$F,6,0),0)+IFERROR(VLOOKUP($A6,[4]库存使用数据!$A:$F,6,0),0)+IFERROR(VLOOKUP($A6,[3]库存使用数据!$A:$F,6,0),0)+IFERROR(VLOOKUP($A6,[5]库存使用数据!$A:$F,6,0),0)</f>
        <v>153</v>
      </c>
      <c r="G6" s="1">
        <f ca="1">IFERROR(VLOOKUP($A6,[1]库存使用数据!$A:$G,7,0),0)+IFERROR(VLOOKUP($A6,[2]库存使用数据!$A:$G,7,0),0)+公式!$B$14*IFERROR(VLOOKUP($A6,[3]库存使用数据!$A:$G,7,0),0)+IFERROR(VLOOKUP($A6,[4]库存使用数据!$A:$G,7,0),0)+IFERROR(VLOOKUP($A6,[5]库存使用数据!$A:$G,7,0),0)</f>
        <v>30.92</v>
      </c>
      <c r="H6" s="1">
        <f ca="1">IFERROR(VLOOKUP($A6,[1]库存使用数据!$A:$H,8,0),0)+IFERROR(VLOOKUP($A6,[2]库存使用数据!$A:$H,8,0),0)+IFERROR(VLOOKUP($A6,[3]库存使用数据!$A:$H,8,0),0)+IFERROR(VLOOKUP($A6,[4]库存使用数据!$A:$H,8,0),0)+IFERROR(VLOOKUP($A6,[5]库存使用数据!$A:$H,8,0),0)</f>
        <v>1792</v>
      </c>
      <c r="I6" s="1">
        <f ca="1">IFERROR(VLOOKUP($A6,[1]库存使用数据!$A:$I,9,0),0)+IFERROR(VLOOKUP($A6,[2]库存使用数据!$A:$I,9,0),0)+IFERROR(VLOOKUP($A6,[3]库存使用数据!$A:$I,9,0),0)+IFERROR(VLOOKUP($A6,[4]库存使用数据!$A:$I,9,0),0)+IFERROR(VLOOKUP($A6,[5]库存使用数据!$A:$I,9,0),0)</f>
        <v>20</v>
      </c>
      <c r="J6" s="1">
        <f ca="1">IFERROR(VLOOKUP($A6,[1]库存使用数据!$A:$J,10,0),0)+IFERROR(VLOOKUP($A6,[2]库存使用数据!$A:$J,10,0),0)+公式!$B$14*IFERROR(VLOOKUP($A6,[3]库存使用数据!$A:$J,10,0),0)+IFERROR(VLOOKUP($A6,[4]库存使用数据!$A:$J,10,0),0)+IFERROR(VLOOKUP($A6,[5]库存使用数据!$A:$J,10,0),0)</f>
        <v>4.29</v>
      </c>
      <c r="K6" s="1">
        <f ca="1">IFERROR(VLOOKUP($A6,[1]库存使用数据!$A:$K,11,0),0)+IFERROR(VLOOKUP($A6,[2]库存使用数据!$A:$K,11,0),0)+IFERROR(VLOOKUP($A6,[3]库存使用数据!$A:$K,11,0),0)+IFERROR(VLOOKUP($A6,[4]库存使用数据!$A:$K,11,0),0)+IFERROR(VLOOKUP($A6,[5]库存使用数据!$A:$K,11,0),0)</f>
        <v>0</v>
      </c>
      <c r="L6" s="1">
        <f ca="1">IFERROR(VLOOKUP($A6,[1]库存使用数据!$A:$L,12,0),0)+IFERROR(VLOOKUP($A6,[2]库存使用数据!$A:$L,12,0),0)+IFERROR(VLOOKUP($A6,[3]库存使用数据!$A:$L,12,0),0)+IFERROR(VLOOKUP($A6,[4]库存使用数据!$A:$L,12,0),0)+IFERROR(VLOOKUP($A6,[5]库存使用数据!$A:$L,12,0),0)</f>
        <v>0</v>
      </c>
      <c r="M6" s="1">
        <f ca="1">IFERROR(VLOOKUP($A6,[1]库存使用数据!$A:$M,13,0),0)+IFERROR(VLOOKUP($A6,[2]库存使用数据!$A:$M,13,0),0)+公式!$B$14*IFERROR(VLOOKUP($A6,[3]库存使用数据!$A:$M,13,0),0)+IFERROR(VLOOKUP($A6,[4]库存使用数据!$A:$M,13,0),0)+IFERROR(VLOOKUP($A6,[5]库存使用数据!$A:$M,13,0),0)</f>
        <v>0</v>
      </c>
    </row>
    <row r="7" spans="1:13">
      <c r="A7" s="5" t="s">
        <v>12</v>
      </c>
      <c r="B7" s="2">
        <f ca="1">IFERROR(VLOOKUP(A7,[1]库存使用数据!$A:$B,2,0),0)+IFERROR(VLOOKUP(A7,[2]库存使用数据!$A:$B,2,0),0)+IFERROR(VLOOKUP(,[3]库存使用数据!$A:$B,2,0),0)+IFERROR(VLOOKUP(A7,[4]库存使用数据!$A:$B,2,0),0)+IFERROR(VLOOKUP(A7,[5]库存使用数据!$A:$B,2,0),0)</f>
        <v>0</v>
      </c>
      <c r="C7" s="1">
        <f ca="1">IFERROR(VLOOKUP($A7,[1]库存使用数据!$A:$C,3,0),0)+IFERROR(VLOOKUP($A7,[2]库存使用数据!$A:$C,3,0),0)+IFERROR(VLOOKUP($A7,[3]库存使用数据!$A:$C,3,0),0)+IFERROR(VLOOKUP($A7,[4]库存使用数据!$A:$C,3,0),0)+IFERROR(VLOOKUP($A7,[5]库存使用数据!$A:$C,3,0),0)</f>
        <v>0</v>
      </c>
      <c r="D7" s="1">
        <f ca="1">IFERROR(VLOOKUP($A7,[1]库存使用数据!$A:$D,4,0),0)+IFERROR(VLOOKUP($A7,[2]库存使用数据!$A:$D,4,0),0)+公式!$B$1*IFERROR(VLOOKUP($A7,[3]库存使用数据!$A:$D,4,0),0)+IFERROR(VLOOKUP($A7,[4]库存使用数据!$A:$D,4,0),0)+IFERROR(VLOOKUP($A7,[5]库存使用数据!$A:$D,4,0),0)</f>
        <v>0</v>
      </c>
      <c r="E7" s="1">
        <f ca="1">IFERROR(VLOOKUP($A7,[1]库存使用数据!$A:$E,5,0),0)+IFERROR(VLOOKUP($A7,[2]库存使用数据!$A:$E,5,0),0)+IFERROR(VLOOKUP($A7,[3]库存使用数据!$A:$E,5,0),0)+IFERROR(VLOOKUP($A7,[4]库存使用数据!$A:$E,5,0),0)+IFERROR(VLOOKUP($A7,[5]库存使用数据!$A:$E,5,0),0)</f>
        <v>17637</v>
      </c>
      <c r="F7" s="1">
        <f ca="1">IFERROR(VLOOKUP($A7,[1]库存使用数据!$A:$F,6,0),0)+IFERROR(VLOOKUP($A7,[2]库存使用数据!$A:$F,6,0),0)+IFERROR(VLOOKUP($A7,[4]库存使用数据!$A:$F,6,0),0)+IFERROR(VLOOKUP($A7,[3]库存使用数据!$A:$F,6,0),0)+IFERROR(VLOOKUP($A7,[5]库存使用数据!$A:$F,6,0),0)</f>
        <v>39</v>
      </c>
      <c r="G7" s="1">
        <f ca="1">IFERROR(VLOOKUP($A7,[1]库存使用数据!$A:$G,7,0),0)+IFERROR(VLOOKUP($A7,[2]库存使用数据!$A:$G,7,0),0)+公式!$B$14*IFERROR(VLOOKUP($A7,[3]库存使用数据!$A:$G,7,0),0)+IFERROR(VLOOKUP($A7,[4]库存使用数据!$A:$G,7,0),0)+IFERROR(VLOOKUP($A7,[5]库存使用数据!$A:$G,7,0),0)</f>
        <v>8.42</v>
      </c>
      <c r="H7" s="1">
        <f ca="1">IFERROR(VLOOKUP($A7,[1]库存使用数据!$A:$H,8,0),0)+IFERROR(VLOOKUP($A7,[2]库存使用数据!$A:$H,8,0),0)+IFERROR(VLOOKUP($A7,[3]库存使用数据!$A:$H,8,0),0)+IFERROR(VLOOKUP($A7,[4]库存使用数据!$A:$H,8,0),0)+IFERROR(VLOOKUP($A7,[5]库存使用数据!$A:$H,8,0),0)</f>
        <v>7992</v>
      </c>
      <c r="I7" s="1">
        <f ca="1">IFERROR(VLOOKUP($A7,[1]库存使用数据!$A:$I,9,0),0)+IFERROR(VLOOKUP($A7,[2]库存使用数据!$A:$I,9,0),0)+IFERROR(VLOOKUP($A7,[3]库存使用数据!$A:$I,9,0),0)+IFERROR(VLOOKUP($A7,[4]库存使用数据!$A:$I,9,0),0)+IFERROR(VLOOKUP($A7,[5]库存使用数据!$A:$I,9,0),0)</f>
        <v>21</v>
      </c>
      <c r="J7" s="1">
        <f ca="1">IFERROR(VLOOKUP($A7,[1]库存使用数据!$A:$J,10,0),0)+IFERROR(VLOOKUP($A7,[2]库存使用数据!$A:$J,10,0),0)+公式!$B$14*IFERROR(VLOOKUP($A7,[3]库存使用数据!$A:$J,10,0),0)+IFERROR(VLOOKUP($A7,[4]库存使用数据!$A:$J,10,0),0)+IFERROR(VLOOKUP($A7,[5]库存使用数据!$A:$J,10,0),0)</f>
        <v>3.54</v>
      </c>
      <c r="K7" s="1">
        <f ca="1">IFERROR(VLOOKUP($A7,[1]库存使用数据!$A:$K,11,0),0)+IFERROR(VLOOKUP($A7,[2]库存使用数据!$A:$K,11,0),0)+IFERROR(VLOOKUP($A7,[3]库存使用数据!$A:$K,11,0),0)+IFERROR(VLOOKUP($A7,[4]库存使用数据!$A:$K,11,0),0)+IFERROR(VLOOKUP($A7,[5]库存使用数据!$A:$K,11,0),0)</f>
        <v>4792</v>
      </c>
      <c r="L7" s="1">
        <f ca="1">IFERROR(VLOOKUP($A7,[1]库存使用数据!$A:$L,12,0),0)+IFERROR(VLOOKUP($A7,[2]库存使用数据!$A:$L,12,0),0)+IFERROR(VLOOKUP($A7,[3]库存使用数据!$A:$L,12,0),0)+IFERROR(VLOOKUP($A7,[4]库存使用数据!$A:$L,12,0),0)+IFERROR(VLOOKUP($A7,[5]库存使用数据!$A:$L,12,0),0)</f>
        <v>27</v>
      </c>
      <c r="M7" s="1">
        <f ca="1">IFERROR(VLOOKUP($A7,[1]库存使用数据!$A:$M,13,0),0)+IFERROR(VLOOKUP($A7,[2]库存使用数据!$A:$M,13,0),0)+公式!$B$14*IFERROR(VLOOKUP($A7,[3]库存使用数据!$A:$M,13,0),0)+IFERROR(VLOOKUP($A7,[4]库存使用数据!$A:$M,13,0),0)+IFERROR(VLOOKUP($A7,[5]库存使用数据!$A:$M,13,0),0)</f>
        <v>6.13</v>
      </c>
    </row>
    <row r="8" spans="1:13">
      <c r="A8" s="5" t="s">
        <v>13</v>
      </c>
      <c r="B8" s="2">
        <f ca="1">IFERROR(VLOOKUP(A8,[1]库存使用数据!$A:$B,2,0),0)+IFERROR(VLOOKUP(A8,[2]库存使用数据!$A:$B,2,0),0)+IFERROR(VLOOKUP(,[3]库存使用数据!$A:$B,2,0),0)+IFERROR(VLOOKUP(A8,[4]库存使用数据!$A:$B,2,0),0)+IFERROR(VLOOKUP(A8,[5]库存使用数据!$A:$B,2,0),0)</f>
        <v>18252</v>
      </c>
      <c r="C8" s="1">
        <f ca="1">IFERROR(VLOOKUP($A8,[1]库存使用数据!$A:$C,3,0),0)+IFERROR(VLOOKUP($A8,[2]库存使用数据!$A:$C,3,0),0)+IFERROR(VLOOKUP($A8,[3]库存使用数据!$A:$C,3,0),0)+IFERROR(VLOOKUP($A8,[4]库存使用数据!$A:$C,3,0),0)+IFERROR(VLOOKUP($A8,[5]库存使用数据!$A:$C,3,0),0)</f>
        <v>128</v>
      </c>
      <c r="D8" s="1">
        <f ca="1">IFERROR(VLOOKUP($A8,[1]库存使用数据!$A:$D,4,0),0)+IFERROR(VLOOKUP($A8,[2]库存使用数据!$A:$D,4,0),0)+公式!$B$1*IFERROR(VLOOKUP($A8,[3]库存使用数据!$A:$D,4,0),0)+IFERROR(VLOOKUP($A8,[4]库存使用数据!$A:$D,4,0),0)+IFERROR(VLOOKUP($A8,[5]库存使用数据!$A:$D,4,0),0)</f>
        <v>23.4</v>
      </c>
      <c r="E8" s="1">
        <f ca="1">IFERROR(VLOOKUP($A8,[1]库存使用数据!$A:$E,5,0),0)+IFERROR(VLOOKUP($A8,[2]库存使用数据!$A:$E,5,0),0)+IFERROR(VLOOKUP($A8,[3]库存使用数据!$A:$E,5,0),0)+IFERROR(VLOOKUP($A8,[4]库存使用数据!$A:$E,5,0),0)+IFERROR(VLOOKUP($A8,[5]库存使用数据!$A:$E,5,0),0)</f>
        <v>32806</v>
      </c>
      <c r="F8" s="1">
        <f ca="1">IFERROR(VLOOKUP($A8,[1]库存使用数据!$A:$F,6,0),0)+IFERROR(VLOOKUP($A8,[2]库存使用数据!$A:$F,6,0),0)+IFERROR(VLOOKUP($A8,[4]库存使用数据!$A:$F,6,0),0)+IFERROR(VLOOKUP($A8,[3]库存使用数据!$A:$F,6,0),0)+IFERROR(VLOOKUP($A8,[5]库存使用数据!$A:$F,6,0),0)</f>
        <v>180</v>
      </c>
      <c r="G8" s="1">
        <f ca="1">IFERROR(VLOOKUP($A8,[1]库存使用数据!$A:$G,7,0),0)+IFERROR(VLOOKUP($A8,[2]库存使用数据!$A:$G,7,0),0)+公式!$B$14*IFERROR(VLOOKUP($A8,[3]库存使用数据!$A:$G,7,0),0)+IFERROR(VLOOKUP($A8,[4]库存使用数据!$A:$G,7,0),0)+IFERROR(VLOOKUP($A8,[5]库存使用数据!$A:$G,7,0),0)</f>
        <v>37.95</v>
      </c>
      <c r="H8" s="1">
        <f ca="1">IFERROR(VLOOKUP($A8,[1]库存使用数据!$A:$H,8,0),0)+IFERROR(VLOOKUP($A8,[2]库存使用数据!$A:$H,8,0),0)+IFERROR(VLOOKUP($A8,[3]库存使用数据!$A:$H,8,0),0)+IFERROR(VLOOKUP($A8,[4]库存使用数据!$A:$H,8,0),0)+IFERROR(VLOOKUP($A8,[5]库存使用数据!$A:$H,8,0),0)</f>
        <v>9304</v>
      </c>
      <c r="I8" s="1">
        <f ca="1">IFERROR(VLOOKUP($A8,[1]库存使用数据!$A:$I,9,0),0)+IFERROR(VLOOKUP($A8,[2]库存使用数据!$A:$I,9,0),0)+IFERROR(VLOOKUP($A8,[3]库存使用数据!$A:$I,9,0),0)+IFERROR(VLOOKUP($A8,[4]库存使用数据!$A:$I,9,0),0)+IFERROR(VLOOKUP($A8,[5]库存使用数据!$A:$I,9,0),0)</f>
        <v>68</v>
      </c>
      <c r="J8" s="1">
        <f ca="1">IFERROR(VLOOKUP($A8,[1]库存使用数据!$A:$J,10,0),0)+IFERROR(VLOOKUP($A8,[2]库存使用数据!$A:$J,10,0),0)+公式!$B$14*IFERROR(VLOOKUP($A8,[3]库存使用数据!$A:$J,10,0),0)+IFERROR(VLOOKUP($A8,[4]库存使用数据!$A:$J,10,0),0)+IFERROR(VLOOKUP($A8,[5]库存使用数据!$A:$J,10,0),0)</f>
        <v>14.35</v>
      </c>
      <c r="K8" s="1">
        <f ca="1">IFERROR(VLOOKUP($A8,[1]库存使用数据!$A:$K,11,0),0)+IFERROR(VLOOKUP($A8,[2]库存使用数据!$A:$K,11,0),0)+IFERROR(VLOOKUP($A8,[3]库存使用数据!$A:$K,11,0),0)+IFERROR(VLOOKUP($A8,[4]库存使用数据!$A:$K,11,0),0)+IFERROR(VLOOKUP($A8,[5]库存使用数据!$A:$K,11,0),0)</f>
        <v>17803</v>
      </c>
      <c r="L8" s="1">
        <f ca="1">IFERROR(VLOOKUP($A8,[1]库存使用数据!$A:$L,12,0),0)+IFERROR(VLOOKUP($A8,[2]库存使用数据!$A:$L,12,0),0)+IFERROR(VLOOKUP($A8,[3]库存使用数据!$A:$L,12,0),0)+IFERROR(VLOOKUP($A8,[4]库存使用数据!$A:$L,12,0),0)+IFERROR(VLOOKUP($A8,[5]库存使用数据!$A:$L,12,0),0)</f>
        <v>91</v>
      </c>
      <c r="M8" s="1">
        <f ca="1">IFERROR(VLOOKUP($A8,[1]库存使用数据!$A:$M,13,0),0)+IFERROR(VLOOKUP($A8,[2]库存使用数据!$A:$M,13,0),0)+公式!$B$14*IFERROR(VLOOKUP($A8,[3]库存使用数据!$A:$M,13,0),0)+IFERROR(VLOOKUP($A8,[4]库存使用数据!$A:$M,13,0),0)+IFERROR(VLOOKUP($A8,[5]库存使用数据!$A:$M,13,0),0)</f>
        <v>17.9</v>
      </c>
    </row>
    <row r="9" spans="1:13">
      <c r="A9" s="5" t="s">
        <v>14</v>
      </c>
      <c r="B9" s="2">
        <f ca="1">IFERROR(VLOOKUP(A9,[1]库存使用数据!$A:$B,2,0),0)+IFERROR(VLOOKUP(A9,[2]库存使用数据!$A:$B,2,0),0)+IFERROR(VLOOKUP(,[3]库存使用数据!$A:$B,2,0),0)+IFERROR(VLOOKUP(A9,[4]库存使用数据!$A:$B,2,0),0)+IFERROR(VLOOKUP(A9,[5]库存使用数据!$A:$B,2,0),0)</f>
        <v>0</v>
      </c>
      <c r="C9" s="1">
        <f ca="1">IFERROR(VLOOKUP($A9,[1]库存使用数据!$A:$C,3,0),0)+IFERROR(VLOOKUP($A9,[2]库存使用数据!$A:$C,3,0),0)+IFERROR(VLOOKUP($A9,[3]库存使用数据!$A:$C,3,0),0)+IFERROR(VLOOKUP($A9,[4]库存使用数据!$A:$C,3,0),0)+IFERROR(VLOOKUP($A9,[5]库存使用数据!$A:$C,3,0),0)</f>
        <v>0</v>
      </c>
      <c r="D9" s="1">
        <f ca="1">IFERROR(VLOOKUP($A9,[1]库存使用数据!$A:$D,4,0),0)+IFERROR(VLOOKUP($A9,[2]库存使用数据!$A:$D,4,0),0)+公式!$B$1*IFERROR(VLOOKUP($A9,[3]库存使用数据!$A:$D,4,0),0)+IFERROR(VLOOKUP($A9,[4]库存使用数据!$A:$D,4,0),0)+IFERROR(VLOOKUP($A9,[5]库存使用数据!$A:$D,4,0),0)</f>
        <v>0</v>
      </c>
      <c r="E9" s="1">
        <f ca="1">IFERROR(VLOOKUP($A9,[1]库存使用数据!$A:$E,5,0),0)+IFERROR(VLOOKUP($A9,[2]库存使用数据!$A:$E,5,0),0)+IFERROR(VLOOKUP($A9,[3]库存使用数据!$A:$E,5,0),0)+IFERROR(VLOOKUP($A9,[4]库存使用数据!$A:$E,5,0),0)+IFERROR(VLOOKUP($A9,[5]库存使用数据!$A:$E,5,0),0)</f>
        <v>0</v>
      </c>
      <c r="F9" s="1">
        <f ca="1">IFERROR(VLOOKUP($A9,[1]库存使用数据!$A:$F,6,0),0)+IFERROR(VLOOKUP($A9,[2]库存使用数据!$A:$F,6,0),0)+IFERROR(VLOOKUP($A9,[4]库存使用数据!$A:$F,6,0),0)+IFERROR(VLOOKUP($A9,[3]库存使用数据!$A:$F,6,0),0)+IFERROR(VLOOKUP($A9,[5]库存使用数据!$A:$F,6,0),0)</f>
        <v>0</v>
      </c>
      <c r="G9" s="1">
        <f ca="1">IFERROR(VLOOKUP($A9,[1]库存使用数据!$A:$G,7,0),0)+IFERROR(VLOOKUP($A9,[2]库存使用数据!$A:$G,7,0),0)+公式!$B$14*IFERROR(VLOOKUP($A9,[3]库存使用数据!$A:$G,7,0),0)+IFERROR(VLOOKUP($A9,[4]库存使用数据!$A:$G,7,0),0)+IFERROR(VLOOKUP($A9,[5]库存使用数据!$A:$G,7,0),0)</f>
        <v>0</v>
      </c>
      <c r="H9" s="1">
        <f ca="1">IFERROR(VLOOKUP($A9,[1]库存使用数据!$A:$H,8,0),0)+IFERROR(VLOOKUP($A9,[2]库存使用数据!$A:$H,8,0),0)+IFERROR(VLOOKUP($A9,[3]库存使用数据!$A:$H,8,0),0)+IFERROR(VLOOKUP($A9,[4]库存使用数据!$A:$H,8,0),0)+IFERROR(VLOOKUP($A9,[5]库存使用数据!$A:$H,8,0),0)</f>
        <v>2892</v>
      </c>
      <c r="I9" s="1">
        <f ca="1">IFERROR(VLOOKUP($A9,[1]库存使用数据!$A:$I,9,0),0)+IFERROR(VLOOKUP($A9,[2]库存使用数据!$A:$I,9,0),0)+IFERROR(VLOOKUP($A9,[3]库存使用数据!$A:$I,9,0),0)+IFERROR(VLOOKUP($A9,[4]库存使用数据!$A:$I,9,0),0)+IFERROR(VLOOKUP($A9,[5]库存使用数据!$A:$I,9,0),0)</f>
        <v>8</v>
      </c>
      <c r="J9" s="1">
        <f ca="1">IFERROR(VLOOKUP($A9,[1]库存使用数据!$A:$J,10,0),0)+IFERROR(VLOOKUP($A9,[2]库存使用数据!$A:$J,10,0),0)+公式!$B$14*IFERROR(VLOOKUP($A9,[3]库存使用数据!$A:$J,10,0),0)+IFERROR(VLOOKUP($A9,[4]库存使用数据!$A:$J,10,0),0)+IFERROR(VLOOKUP($A9,[5]库存使用数据!$A:$J,10,0),0)</f>
        <v>1.65</v>
      </c>
      <c r="K9" s="1">
        <f ca="1">IFERROR(VLOOKUP($A9,[1]库存使用数据!$A:$K,11,0),0)+IFERROR(VLOOKUP($A9,[2]库存使用数据!$A:$K,11,0),0)+IFERROR(VLOOKUP($A9,[3]库存使用数据!$A:$K,11,0),0)+IFERROR(VLOOKUP($A9,[4]库存使用数据!$A:$K,11,0),0)+IFERROR(VLOOKUP($A9,[5]库存使用数据!$A:$K,11,0),0)</f>
        <v>3065</v>
      </c>
      <c r="L9" s="1">
        <f ca="1">IFERROR(VLOOKUP($A9,[1]库存使用数据!$A:$L,12,0),0)+IFERROR(VLOOKUP($A9,[2]库存使用数据!$A:$L,12,0),0)+IFERROR(VLOOKUP($A9,[3]库存使用数据!$A:$L,12,0),0)+IFERROR(VLOOKUP($A9,[4]库存使用数据!$A:$L,12,0),0)+IFERROR(VLOOKUP($A9,[5]库存使用数据!$A:$L,12,0),0)</f>
        <v>8</v>
      </c>
      <c r="M9" s="1">
        <f ca="1">IFERROR(VLOOKUP($A9,[1]库存使用数据!$A:$M,13,0),0)+IFERROR(VLOOKUP($A9,[2]库存使用数据!$A:$M,13,0),0)+公式!$B$14*IFERROR(VLOOKUP($A9,[3]库存使用数据!$A:$M,13,0),0)+IFERROR(VLOOKUP($A9,[4]库存使用数据!$A:$M,13,0),0)+IFERROR(VLOOKUP($A9,[5]库存使用数据!$A:$M,13,0),0)</f>
        <v>1.44</v>
      </c>
    </row>
    <row r="10" spans="1:13">
      <c r="A10" s="5" t="s">
        <v>15</v>
      </c>
      <c r="B10" s="2">
        <f ca="1">IFERROR(VLOOKUP(A10,[1]库存使用数据!$A:$B,2,0),0)+IFERROR(VLOOKUP(A10,[2]库存使用数据!$A:$B,2,0),0)+IFERROR(VLOOKUP(,[3]库存使用数据!$A:$B,2,0),0)+IFERROR(VLOOKUP(A10,[4]库存使用数据!$A:$B,2,0),0)+IFERROR(VLOOKUP(A10,[5]库存使用数据!$A:$B,2,0),0)</f>
        <v>0</v>
      </c>
      <c r="C10" s="1">
        <f ca="1">IFERROR(VLOOKUP($A10,[1]库存使用数据!$A:$C,3,0),0)+IFERROR(VLOOKUP($A10,[2]库存使用数据!$A:$C,3,0),0)+IFERROR(VLOOKUP($A10,[3]库存使用数据!$A:$C,3,0),0)+IFERROR(VLOOKUP($A10,[4]库存使用数据!$A:$C,3,0),0)+IFERROR(VLOOKUP($A10,[5]库存使用数据!$A:$C,3,0),0)</f>
        <v>1</v>
      </c>
      <c r="D10" s="1">
        <f ca="1">IFERROR(VLOOKUP($A10,[1]库存使用数据!$A:$D,4,0),0)+IFERROR(VLOOKUP($A10,[2]库存使用数据!$A:$D,4,0),0)+公式!$B$1*IFERROR(VLOOKUP($A10,[3]库存使用数据!$A:$D,4,0),0)+IFERROR(VLOOKUP($A10,[4]库存使用数据!$A:$D,4,0),0)+IFERROR(VLOOKUP($A10,[5]库存使用数据!$A:$D,4,0),0)</f>
        <v>0.25875</v>
      </c>
      <c r="E10" s="1">
        <f ca="1">IFERROR(VLOOKUP($A10,[1]库存使用数据!$A:$E,5,0),0)+IFERROR(VLOOKUP($A10,[2]库存使用数据!$A:$E,5,0),0)+IFERROR(VLOOKUP($A10,[3]库存使用数据!$A:$E,5,0),0)+IFERROR(VLOOKUP($A10,[4]库存使用数据!$A:$E,5,0),0)+IFERROR(VLOOKUP($A10,[5]库存使用数据!$A:$E,5,0),0)</f>
        <v>86862</v>
      </c>
      <c r="F10" s="1">
        <f ca="1">IFERROR(VLOOKUP($A10,[1]库存使用数据!$A:$F,6,0),0)+IFERROR(VLOOKUP($A10,[2]库存使用数据!$A:$F,6,0),0)+IFERROR(VLOOKUP($A10,[4]库存使用数据!$A:$F,6,0),0)+IFERROR(VLOOKUP($A10,[3]库存使用数据!$A:$F,6,0),0)+IFERROR(VLOOKUP($A10,[5]库存使用数据!$A:$F,6,0),0)</f>
        <v>357</v>
      </c>
      <c r="G10" s="1">
        <f ca="1">IFERROR(VLOOKUP($A10,[1]库存使用数据!$A:$G,7,0),0)+IFERROR(VLOOKUP($A10,[2]库存使用数据!$A:$G,7,0),0)+公式!$B$14*IFERROR(VLOOKUP($A10,[3]库存使用数据!$A:$G,7,0),0)+IFERROR(VLOOKUP($A10,[4]库存使用数据!$A:$G,7,0),0)+IFERROR(VLOOKUP($A10,[5]库存使用数据!$A:$G,7,0),0)</f>
        <v>80.64</v>
      </c>
      <c r="H10" s="1">
        <f ca="1">IFERROR(VLOOKUP($A10,[1]库存使用数据!$A:$H,8,0),0)+IFERROR(VLOOKUP($A10,[2]库存使用数据!$A:$H,8,0),0)+IFERROR(VLOOKUP($A10,[3]库存使用数据!$A:$H,8,0),0)+IFERROR(VLOOKUP($A10,[4]库存使用数据!$A:$H,8,0),0)+IFERROR(VLOOKUP($A10,[5]库存使用数据!$A:$H,8,0),0)</f>
        <v>12699</v>
      </c>
      <c r="I10" s="1">
        <f ca="1">IFERROR(VLOOKUP($A10,[1]库存使用数据!$A:$I,9,0),0)+IFERROR(VLOOKUP($A10,[2]库存使用数据!$A:$I,9,0),0)+IFERROR(VLOOKUP($A10,[3]库存使用数据!$A:$I,9,0),0)+IFERROR(VLOOKUP($A10,[4]库存使用数据!$A:$I,9,0),0)+IFERROR(VLOOKUP($A10,[5]库存使用数据!$A:$I,9,0),0)</f>
        <v>98</v>
      </c>
      <c r="J10" s="1">
        <f ca="1">IFERROR(VLOOKUP($A10,[1]库存使用数据!$A:$J,10,0),0)+IFERROR(VLOOKUP($A10,[2]库存使用数据!$A:$J,10,0),0)+公式!$B$14*IFERROR(VLOOKUP($A10,[3]库存使用数据!$A:$J,10,0),0)+IFERROR(VLOOKUP($A10,[4]库存使用数据!$A:$J,10,0),0)+IFERROR(VLOOKUP($A10,[5]库存使用数据!$A:$J,10,0),0)</f>
        <v>18.95</v>
      </c>
      <c r="K10" s="1">
        <f ca="1">IFERROR(VLOOKUP($A10,[1]库存使用数据!$A:$K,11,0),0)+IFERROR(VLOOKUP($A10,[2]库存使用数据!$A:$K,11,0),0)+IFERROR(VLOOKUP($A10,[3]库存使用数据!$A:$K,11,0),0)+IFERROR(VLOOKUP($A10,[4]库存使用数据!$A:$K,11,0),0)+IFERROR(VLOOKUP($A10,[5]库存使用数据!$A:$K,11,0),0)</f>
        <v>14000</v>
      </c>
      <c r="L10" s="1">
        <f ca="1">IFERROR(VLOOKUP($A10,[1]库存使用数据!$A:$L,12,0),0)+IFERROR(VLOOKUP($A10,[2]库存使用数据!$A:$L,12,0),0)+IFERROR(VLOOKUP($A10,[3]库存使用数据!$A:$L,12,0),0)+IFERROR(VLOOKUP($A10,[4]库存使用数据!$A:$L,12,0),0)+IFERROR(VLOOKUP($A10,[5]库存使用数据!$A:$L,12,0),0)</f>
        <v>96</v>
      </c>
      <c r="M10" s="1">
        <f ca="1">IFERROR(VLOOKUP($A10,[1]库存使用数据!$A:$M,13,0),0)+IFERROR(VLOOKUP($A10,[2]库存使用数据!$A:$M,13,0),0)+公式!$B$14*IFERROR(VLOOKUP($A10,[3]库存使用数据!$A:$M,13,0),0)+IFERROR(VLOOKUP($A10,[4]库存使用数据!$A:$M,13,0),0)+IFERROR(VLOOKUP($A10,[5]库存使用数据!$A:$M,13,0),0)</f>
        <v>18.36</v>
      </c>
    </row>
    <row r="11" spans="1:13">
      <c r="A11" s="5" t="s">
        <v>16</v>
      </c>
      <c r="B11" s="2">
        <f ca="1">IFERROR(VLOOKUP(A11,[1]库存使用数据!$A:$B,2,0),0)+IFERROR(VLOOKUP(A11,[2]库存使用数据!$A:$B,2,0),0)+IFERROR(VLOOKUP(,[3]库存使用数据!$A:$B,2,0),0)+IFERROR(VLOOKUP(A11,[4]库存使用数据!$A:$B,2,0),0)+IFERROR(VLOOKUP(A11,[5]库存使用数据!$A:$B,2,0),0)</f>
        <v>0</v>
      </c>
      <c r="C11" s="1">
        <f ca="1">IFERROR(VLOOKUP($A11,[1]库存使用数据!$A:$C,3,0),0)+IFERROR(VLOOKUP($A11,[2]库存使用数据!$A:$C,3,0),0)+IFERROR(VLOOKUP($A11,[3]库存使用数据!$A:$C,3,0),0)+IFERROR(VLOOKUP($A11,[4]库存使用数据!$A:$C,3,0),0)+IFERROR(VLOOKUP($A11,[5]库存使用数据!$A:$C,3,0),0)</f>
        <v>0</v>
      </c>
      <c r="D11" s="1">
        <f ca="1">IFERROR(VLOOKUP($A11,[1]库存使用数据!$A:$D,4,0),0)+IFERROR(VLOOKUP($A11,[2]库存使用数据!$A:$D,4,0),0)+公式!$B$1*IFERROR(VLOOKUP($A11,[3]库存使用数据!$A:$D,4,0),0)+IFERROR(VLOOKUP($A11,[4]库存使用数据!$A:$D,4,0),0)+IFERROR(VLOOKUP($A11,[5]库存使用数据!$A:$D,4,0),0)</f>
        <v>0</v>
      </c>
      <c r="E11" s="1">
        <f ca="1">IFERROR(VLOOKUP($A11,[1]库存使用数据!$A:$E,5,0),0)+IFERROR(VLOOKUP($A11,[2]库存使用数据!$A:$E,5,0),0)+IFERROR(VLOOKUP($A11,[3]库存使用数据!$A:$E,5,0),0)+IFERROR(VLOOKUP($A11,[4]库存使用数据!$A:$E,5,0),0)+IFERROR(VLOOKUP($A11,[5]库存使用数据!$A:$E,5,0),0)</f>
        <v>11255</v>
      </c>
      <c r="F11" s="1">
        <f ca="1">IFERROR(VLOOKUP($A11,[1]库存使用数据!$A:$F,6,0),0)+IFERROR(VLOOKUP($A11,[2]库存使用数据!$A:$F,6,0),0)+IFERROR(VLOOKUP($A11,[4]库存使用数据!$A:$F,6,0),0)+IFERROR(VLOOKUP($A11,[3]库存使用数据!$A:$F,6,0),0)+IFERROR(VLOOKUP($A11,[5]库存使用数据!$A:$F,6,0),0)</f>
        <v>58</v>
      </c>
      <c r="G11" s="1">
        <f ca="1">IFERROR(VLOOKUP($A11,[1]库存使用数据!$A:$G,7,0),0)+IFERROR(VLOOKUP($A11,[2]库存使用数据!$A:$G,7,0),0)+公式!$B$14*IFERROR(VLOOKUP($A11,[3]库存使用数据!$A:$G,7,0),0)+IFERROR(VLOOKUP($A11,[4]库存使用数据!$A:$G,7,0),0)+IFERROR(VLOOKUP($A11,[5]库存使用数据!$A:$G,7,0),0)</f>
        <v>9.33</v>
      </c>
      <c r="H11" s="1">
        <f ca="1">IFERROR(VLOOKUP($A11,[1]库存使用数据!$A:$H,8,0),0)+IFERROR(VLOOKUP($A11,[2]库存使用数据!$A:$H,8,0),0)+IFERROR(VLOOKUP($A11,[3]库存使用数据!$A:$H,8,0),0)+IFERROR(VLOOKUP($A11,[4]库存使用数据!$A:$H,8,0),0)+IFERROR(VLOOKUP($A11,[5]库存使用数据!$A:$H,8,0),0)</f>
        <v>75818</v>
      </c>
      <c r="I11" s="1">
        <f ca="1">IFERROR(VLOOKUP($A11,[1]库存使用数据!$A:$I,9,0),0)+IFERROR(VLOOKUP($A11,[2]库存使用数据!$A:$I,9,0),0)+IFERROR(VLOOKUP($A11,[3]库存使用数据!$A:$I,9,0),0)+IFERROR(VLOOKUP($A11,[4]库存使用数据!$A:$I,9,0),0)+IFERROR(VLOOKUP($A11,[5]库存使用数据!$A:$I,9,0),0)</f>
        <v>233</v>
      </c>
      <c r="J11" s="1">
        <f ca="1">IFERROR(VLOOKUP($A11,[1]库存使用数据!$A:$J,10,0),0)+IFERROR(VLOOKUP($A11,[2]库存使用数据!$A:$J,10,0),0)+公式!$B$14*IFERROR(VLOOKUP($A11,[3]库存使用数据!$A:$J,10,0),0)+IFERROR(VLOOKUP($A11,[4]库存使用数据!$A:$J,10,0),0)+IFERROR(VLOOKUP($A11,[5]库存使用数据!$A:$J,10,0),0)</f>
        <v>50.32</v>
      </c>
      <c r="K11" s="1">
        <f ca="1">IFERROR(VLOOKUP($A11,[1]库存使用数据!$A:$K,11,0),0)+IFERROR(VLOOKUP($A11,[2]库存使用数据!$A:$K,11,0),0)+IFERROR(VLOOKUP($A11,[3]库存使用数据!$A:$K,11,0),0)+IFERROR(VLOOKUP($A11,[4]库存使用数据!$A:$K,11,0),0)+IFERROR(VLOOKUP($A11,[5]库存使用数据!$A:$K,11,0),0)</f>
        <v>37979</v>
      </c>
      <c r="L11" s="1">
        <f ca="1">IFERROR(VLOOKUP($A11,[1]库存使用数据!$A:$L,12,0),0)+IFERROR(VLOOKUP($A11,[2]库存使用数据!$A:$L,12,0),0)+IFERROR(VLOOKUP($A11,[3]库存使用数据!$A:$L,12,0),0)+IFERROR(VLOOKUP($A11,[4]库存使用数据!$A:$L,12,0),0)+IFERROR(VLOOKUP($A11,[5]库存使用数据!$A:$L,12,0),0)</f>
        <v>149</v>
      </c>
      <c r="M11" s="1">
        <f ca="1">IFERROR(VLOOKUP($A11,[1]库存使用数据!$A:$M,13,0),0)+IFERROR(VLOOKUP($A11,[2]库存使用数据!$A:$M,13,0),0)+公式!$B$14*IFERROR(VLOOKUP($A11,[3]库存使用数据!$A:$M,13,0),0)+IFERROR(VLOOKUP($A11,[4]库存使用数据!$A:$M,13,0),0)+IFERROR(VLOOKUP($A11,[5]库存使用数据!$A:$M,13,0),0)</f>
        <v>31.65</v>
      </c>
    </row>
    <row r="12" spans="1:13">
      <c r="A12" s="5" t="s">
        <v>17</v>
      </c>
      <c r="B12" s="2">
        <f ca="1">IFERROR(VLOOKUP(A12,[1]库存使用数据!$A:$B,2,0),0)+IFERROR(VLOOKUP(A12,[2]库存使用数据!$A:$B,2,0),0)+IFERROR(VLOOKUP(,[3]库存使用数据!$A:$B,2,0),0)+IFERROR(VLOOKUP(A12,[4]库存使用数据!$A:$B,2,0),0)+IFERROR(VLOOKUP(A12,[5]库存使用数据!$A:$B,2,0),0)</f>
        <v>0</v>
      </c>
      <c r="C12" s="1">
        <f ca="1">IFERROR(VLOOKUP($A12,[1]库存使用数据!$A:$C,3,0),0)+IFERROR(VLOOKUP($A12,[2]库存使用数据!$A:$C,3,0),0)+IFERROR(VLOOKUP($A12,[3]库存使用数据!$A:$C,3,0),0)+IFERROR(VLOOKUP($A12,[4]库存使用数据!$A:$C,3,0),0)+IFERROR(VLOOKUP($A12,[5]库存使用数据!$A:$C,3,0),0)</f>
        <v>33</v>
      </c>
      <c r="D12" s="1">
        <f ca="1">IFERROR(VLOOKUP($A12,[1]库存使用数据!$A:$D,4,0),0)+IFERROR(VLOOKUP($A12,[2]库存使用数据!$A:$D,4,0),0)+公式!$B$1*IFERROR(VLOOKUP($A12,[3]库存使用数据!$A:$D,4,0),0)+IFERROR(VLOOKUP($A12,[4]库存使用数据!$A:$D,4,0),0)+IFERROR(VLOOKUP($A12,[5]库存使用数据!$A:$D,4,0),0)</f>
        <v>5.22</v>
      </c>
      <c r="E12" s="1">
        <f ca="1">IFERROR(VLOOKUP($A12,[1]库存使用数据!$A:$E,5,0),0)+IFERROR(VLOOKUP($A12,[2]库存使用数据!$A:$E,5,0),0)+IFERROR(VLOOKUP($A12,[3]库存使用数据!$A:$E,5,0),0)+IFERROR(VLOOKUP($A12,[4]库存使用数据!$A:$E,5,0),0)+IFERROR(VLOOKUP($A12,[5]库存使用数据!$A:$E,5,0),0)</f>
        <v>19478</v>
      </c>
      <c r="F12" s="1">
        <f ca="1">IFERROR(VLOOKUP($A12,[1]库存使用数据!$A:$F,6,0),0)+IFERROR(VLOOKUP($A12,[2]库存使用数据!$A:$F,6,0),0)+IFERROR(VLOOKUP($A12,[4]库存使用数据!$A:$F,6,0),0)+IFERROR(VLOOKUP($A12,[3]库存使用数据!$A:$F,6,0),0)+IFERROR(VLOOKUP($A12,[5]库存使用数据!$A:$F,6,0),0)</f>
        <v>77</v>
      </c>
      <c r="G12" s="1">
        <f ca="1">IFERROR(VLOOKUP($A12,[1]库存使用数据!$A:$G,7,0),0)+IFERROR(VLOOKUP($A12,[2]库存使用数据!$A:$G,7,0),0)+公式!$B$14*IFERROR(VLOOKUP($A12,[3]库存使用数据!$A:$G,7,0),0)+IFERROR(VLOOKUP($A12,[4]库存使用数据!$A:$G,7,0),0)+IFERROR(VLOOKUP($A12,[5]库存使用数据!$A:$G,7,0),0)</f>
        <v>10.92</v>
      </c>
      <c r="H12" s="1">
        <f ca="1">IFERROR(VLOOKUP($A12,[1]库存使用数据!$A:$H,8,0),0)+IFERROR(VLOOKUP($A12,[2]库存使用数据!$A:$H,8,0),0)+IFERROR(VLOOKUP($A12,[3]库存使用数据!$A:$H,8,0),0)+IFERROR(VLOOKUP($A12,[4]库存使用数据!$A:$H,8,0),0)+IFERROR(VLOOKUP($A12,[5]库存使用数据!$A:$H,8,0),0)</f>
        <v>27159</v>
      </c>
      <c r="I12" s="1">
        <f ca="1">IFERROR(VLOOKUP($A12,[1]库存使用数据!$A:$I,9,0),0)+IFERROR(VLOOKUP($A12,[2]库存使用数据!$A:$I,9,0),0)+IFERROR(VLOOKUP($A12,[3]库存使用数据!$A:$I,9,0),0)+IFERROR(VLOOKUP($A12,[4]库存使用数据!$A:$I,9,0),0)+IFERROR(VLOOKUP($A12,[5]库存使用数据!$A:$I,9,0),0)</f>
        <v>86</v>
      </c>
      <c r="J12" s="1">
        <f ca="1">IFERROR(VLOOKUP($A12,[1]库存使用数据!$A:$J,10,0),0)+IFERROR(VLOOKUP($A12,[2]库存使用数据!$A:$J,10,0),0)+公式!$B$14*IFERROR(VLOOKUP($A12,[3]库存使用数据!$A:$J,10,0),0)+IFERROR(VLOOKUP($A12,[4]库存使用数据!$A:$J,10,0),0)+IFERROR(VLOOKUP($A12,[5]库存使用数据!$A:$J,10,0),0)</f>
        <v>13.45</v>
      </c>
      <c r="K12" s="1">
        <f ca="1">IFERROR(VLOOKUP($A12,[1]库存使用数据!$A:$K,11,0),0)+IFERROR(VLOOKUP($A12,[2]库存使用数据!$A:$K,11,0),0)+IFERROR(VLOOKUP($A12,[3]库存使用数据!$A:$K,11,0),0)+IFERROR(VLOOKUP($A12,[4]库存使用数据!$A:$K,11,0),0)+IFERROR(VLOOKUP($A12,[5]库存使用数据!$A:$K,11,0),0)</f>
        <v>44357</v>
      </c>
      <c r="L12" s="1">
        <f ca="1">IFERROR(VLOOKUP($A12,[1]库存使用数据!$A:$L,12,0),0)+IFERROR(VLOOKUP($A12,[2]库存使用数据!$A:$L,12,0),0)+IFERROR(VLOOKUP($A12,[3]库存使用数据!$A:$L,12,0),0)+IFERROR(VLOOKUP($A12,[4]库存使用数据!$A:$L,12,0),0)+IFERROR(VLOOKUP($A12,[5]库存使用数据!$A:$L,12,0),0)</f>
        <v>89</v>
      </c>
      <c r="M12" s="1">
        <f ca="1">IFERROR(VLOOKUP($A12,[1]库存使用数据!$A:$M,13,0),0)+IFERROR(VLOOKUP($A12,[2]库存使用数据!$A:$M,13,0),0)+公式!$B$14*IFERROR(VLOOKUP($A12,[3]库存使用数据!$A:$M,13,0),0)+IFERROR(VLOOKUP($A12,[4]库存使用数据!$A:$M,13,0),0)+IFERROR(VLOOKUP($A12,[5]库存使用数据!$A:$M,13,0),0)</f>
        <v>19.46</v>
      </c>
    </row>
    <row r="13" spans="1:13">
      <c r="A13" s="5" t="s">
        <v>18</v>
      </c>
      <c r="B13" s="2">
        <f ca="1">IFERROR(VLOOKUP(A13,[1]库存使用数据!$A:$B,2,0),0)+IFERROR(VLOOKUP(A13,[2]库存使用数据!$A:$B,2,0),0)+IFERROR(VLOOKUP(,[3]库存使用数据!$A:$B,2,0),0)+IFERROR(VLOOKUP(A13,[4]库存使用数据!$A:$B,2,0),0)+IFERROR(VLOOKUP(A13,[5]库存使用数据!$A:$B,2,0),0)</f>
        <v>4367</v>
      </c>
      <c r="C13" s="1">
        <f ca="1">IFERROR(VLOOKUP($A13,[1]库存使用数据!$A:$C,3,0),0)+IFERROR(VLOOKUP($A13,[2]库存使用数据!$A:$C,3,0),0)+IFERROR(VLOOKUP($A13,[3]库存使用数据!$A:$C,3,0),0)+IFERROR(VLOOKUP($A13,[4]库存使用数据!$A:$C,3,0),0)+IFERROR(VLOOKUP($A13,[5]库存使用数据!$A:$C,3,0),0)</f>
        <v>68</v>
      </c>
      <c r="D13" s="1">
        <f ca="1">IFERROR(VLOOKUP($A13,[1]库存使用数据!$A:$D,4,0),0)+IFERROR(VLOOKUP($A13,[2]库存使用数据!$A:$D,4,0),0)+公式!$B$1*IFERROR(VLOOKUP($A13,[3]库存使用数据!$A:$D,4,0),0)+IFERROR(VLOOKUP($A13,[4]库存使用数据!$A:$D,4,0),0)+IFERROR(VLOOKUP($A13,[5]库存使用数据!$A:$D,4,0),0)</f>
        <v>12.36875</v>
      </c>
      <c r="E13" s="1">
        <f ca="1">IFERROR(VLOOKUP($A13,[1]库存使用数据!$A:$E,5,0),0)+IFERROR(VLOOKUP($A13,[2]库存使用数据!$A:$E,5,0),0)+IFERROR(VLOOKUP($A13,[3]库存使用数据!$A:$E,5,0),0)+IFERROR(VLOOKUP($A13,[4]库存使用数据!$A:$E,5,0),0)+IFERROR(VLOOKUP($A13,[5]库存使用数据!$A:$E,5,0),0)</f>
        <v>12598</v>
      </c>
      <c r="F13" s="1">
        <f ca="1">IFERROR(VLOOKUP($A13,[1]库存使用数据!$A:$F,6,0),0)+IFERROR(VLOOKUP($A13,[2]库存使用数据!$A:$F,6,0),0)+IFERROR(VLOOKUP($A13,[4]库存使用数据!$A:$F,6,0),0)+IFERROR(VLOOKUP($A13,[3]库存使用数据!$A:$F,6,0),0)+IFERROR(VLOOKUP($A13,[5]库存使用数据!$A:$F,6,0),0)</f>
        <v>135</v>
      </c>
      <c r="G13" s="1">
        <f ca="1">IFERROR(VLOOKUP($A13,[1]库存使用数据!$A:$G,7,0),0)+IFERROR(VLOOKUP($A13,[2]库存使用数据!$A:$G,7,0),0)+公式!$B$14*IFERROR(VLOOKUP($A13,[3]库存使用数据!$A:$G,7,0),0)+IFERROR(VLOOKUP($A13,[4]库存使用数据!$A:$G,7,0),0)+IFERROR(VLOOKUP($A13,[5]库存使用数据!$A:$G,7,0),0)</f>
        <v>27.9</v>
      </c>
      <c r="H13" s="1">
        <f ca="1">IFERROR(VLOOKUP($A13,[1]库存使用数据!$A:$H,8,0),0)+IFERROR(VLOOKUP($A13,[2]库存使用数据!$A:$H,8,0),0)+IFERROR(VLOOKUP($A13,[3]库存使用数据!$A:$H,8,0),0)+IFERROR(VLOOKUP($A13,[4]库存使用数据!$A:$H,8,0),0)+IFERROR(VLOOKUP($A13,[5]库存使用数据!$A:$H,8,0),0)</f>
        <v>9055</v>
      </c>
      <c r="I13" s="1">
        <f ca="1">IFERROR(VLOOKUP($A13,[1]库存使用数据!$A:$I,9,0),0)+IFERROR(VLOOKUP($A13,[2]库存使用数据!$A:$I,9,0),0)+IFERROR(VLOOKUP($A13,[3]库存使用数据!$A:$I,9,0),0)+IFERROR(VLOOKUP($A13,[4]库存使用数据!$A:$I,9,0),0)+IFERROR(VLOOKUP($A13,[5]库存使用数据!$A:$I,9,0),0)</f>
        <v>78</v>
      </c>
      <c r="J13" s="1">
        <f ca="1">IFERROR(VLOOKUP($A13,[1]库存使用数据!$A:$J,10,0),0)+IFERROR(VLOOKUP($A13,[2]库存使用数据!$A:$J,10,0),0)+公式!$B$14*IFERROR(VLOOKUP($A13,[3]库存使用数据!$A:$J,10,0),0)+IFERROR(VLOOKUP($A13,[4]库存使用数据!$A:$J,10,0),0)+IFERROR(VLOOKUP($A13,[5]库存使用数据!$A:$J,10,0),0)</f>
        <v>15.04</v>
      </c>
      <c r="K13" s="1">
        <f ca="1">IFERROR(VLOOKUP($A13,[1]库存使用数据!$A:$K,11,0),0)+IFERROR(VLOOKUP($A13,[2]库存使用数据!$A:$K,11,0),0)+IFERROR(VLOOKUP($A13,[3]库存使用数据!$A:$K,11,0),0)+IFERROR(VLOOKUP($A13,[4]库存使用数据!$A:$K,11,0),0)+IFERROR(VLOOKUP($A13,[5]库存使用数据!$A:$K,11,0),0)</f>
        <v>1592</v>
      </c>
      <c r="L13" s="1">
        <f ca="1">IFERROR(VLOOKUP($A13,[1]库存使用数据!$A:$L,12,0),0)+IFERROR(VLOOKUP($A13,[2]库存使用数据!$A:$L,12,0),0)+IFERROR(VLOOKUP($A13,[3]库存使用数据!$A:$L,12,0),0)+IFERROR(VLOOKUP($A13,[4]库存使用数据!$A:$L,12,0),0)+IFERROR(VLOOKUP($A13,[5]库存使用数据!$A:$L,12,0),0)</f>
        <v>13</v>
      </c>
      <c r="M13" s="1">
        <f ca="1">IFERROR(VLOOKUP($A13,[1]库存使用数据!$A:$M,13,0),0)+IFERROR(VLOOKUP($A13,[2]库存使用数据!$A:$M,13,0),0)+公式!$B$14*IFERROR(VLOOKUP($A13,[3]库存使用数据!$A:$M,13,0),0)+IFERROR(VLOOKUP($A13,[4]库存使用数据!$A:$M,13,0),0)+IFERROR(VLOOKUP($A13,[5]库存使用数据!$A:$M,13,0),0)</f>
        <v>2.61</v>
      </c>
    </row>
    <row r="14" spans="1:13">
      <c r="A14" s="5" t="s">
        <v>19</v>
      </c>
      <c r="B14" s="2">
        <f ca="1">IFERROR(VLOOKUP(A14,[1]库存使用数据!$A:$B,2,0),0)+IFERROR(VLOOKUP(A14,[2]库存使用数据!$A:$B,2,0),0)+IFERROR(VLOOKUP(,[3]库存使用数据!$A:$B,2,0),0)+IFERROR(VLOOKUP(A14,[4]库存使用数据!$A:$B,2,0),0)+IFERROR(VLOOKUP(A14,[5]库存使用数据!$A:$B,2,0),0)</f>
        <v>0</v>
      </c>
      <c r="C14" s="1">
        <f ca="1">IFERROR(VLOOKUP($A14,[1]库存使用数据!$A:$C,3,0),0)+IFERROR(VLOOKUP($A14,[2]库存使用数据!$A:$C,3,0),0)+IFERROR(VLOOKUP($A14,[3]库存使用数据!$A:$C,3,0),0)+IFERROR(VLOOKUP($A14,[4]库存使用数据!$A:$C,3,0),0)+IFERROR(VLOOKUP($A14,[5]库存使用数据!$A:$C,3,0),0)</f>
        <v>0</v>
      </c>
      <c r="D14" s="1">
        <f ca="1">IFERROR(VLOOKUP($A14,[1]库存使用数据!$A:$D,4,0),0)+IFERROR(VLOOKUP($A14,[2]库存使用数据!$A:$D,4,0),0)+公式!$B$1*IFERROR(VLOOKUP($A14,[3]库存使用数据!$A:$D,4,0),0)+IFERROR(VLOOKUP($A14,[4]库存使用数据!$A:$D,4,0),0)+IFERROR(VLOOKUP($A14,[5]库存使用数据!$A:$D,4,0),0)</f>
        <v>0</v>
      </c>
      <c r="E14" s="1">
        <f ca="1">IFERROR(VLOOKUP($A14,[1]库存使用数据!$A:$E,5,0),0)+IFERROR(VLOOKUP($A14,[2]库存使用数据!$A:$E,5,0),0)+IFERROR(VLOOKUP($A14,[3]库存使用数据!$A:$E,5,0),0)+IFERROR(VLOOKUP($A14,[4]库存使用数据!$A:$E,5,0),0)+IFERROR(VLOOKUP($A14,[5]库存使用数据!$A:$E,5,0),0)</f>
        <v>0</v>
      </c>
      <c r="F14" s="1">
        <f ca="1">IFERROR(VLOOKUP($A14,[1]库存使用数据!$A:$F,6,0),0)+IFERROR(VLOOKUP($A14,[2]库存使用数据!$A:$F,6,0),0)+IFERROR(VLOOKUP($A14,[4]库存使用数据!$A:$F,6,0),0)+IFERROR(VLOOKUP($A14,[3]库存使用数据!$A:$F,6,0),0)+IFERROR(VLOOKUP($A14,[5]库存使用数据!$A:$F,6,0),0)</f>
        <v>0</v>
      </c>
      <c r="G14" s="1">
        <f ca="1">IFERROR(VLOOKUP($A14,[1]库存使用数据!$A:$G,7,0),0)+IFERROR(VLOOKUP($A14,[2]库存使用数据!$A:$G,7,0),0)+公式!$B$14*IFERROR(VLOOKUP($A14,[3]库存使用数据!$A:$G,7,0),0)+IFERROR(VLOOKUP($A14,[4]库存使用数据!$A:$G,7,0),0)+IFERROR(VLOOKUP($A14,[5]库存使用数据!$A:$G,7,0),0)</f>
        <v>0</v>
      </c>
      <c r="H14" s="1">
        <f ca="1">IFERROR(VLOOKUP($A14,[1]库存使用数据!$A:$H,8,0),0)+IFERROR(VLOOKUP($A14,[2]库存使用数据!$A:$H,8,0),0)+IFERROR(VLOOKUP($A14,[3]库存使用数据!$A:$H,8,0),0)+IFERROR(VLOOKUP($A14,[4]库存使用数据!$A:$H,8,0),0)+IFERROR(VLOOKUP($A14,[5]库存使用数据!$A:$H,8,0),0)</f>
        <v>1</v>
      </c>
      <c r="I14" s="1">
        <f ca="1">IFERROR(VLOOKUP($A14,[1]库存使用数据!$A:$I,9,0),0)+IFERROR(VLOOKUP($A14,[2]库存使用数据!$A:$I,9,0),0)+IFERROR(VLOOKUP($A14,[3]库存使用数据!$A:$I,9,0),0)+IFERROR(VLOOKUP($A14,[4]库存使用数据!$A:$I,9,0),0)+IFERROR(VLOOKUP($A14,[5]库存使用数据!$A:$I,9,0),0)</f>
        <v>0</v>
      </c>
      <c r="J14" s="1">
        <f ca="1">IFERROR(VLOOKUP($A14,[1]库存使用数据!$A:$J,10,0),0)+IFERROR(VLOOKUP($A14,[2]库存使用数据!$A:$J,10,0),0)+公式!$B$14*IFERROR(VLOOKUP($A14,[3]库存使用数据!$A:$J,10,0),0)+IFERROR(VLOOKUP($A14,[4]库存使用数据!$A:$J,10,0),0)+IFERROR(VLOOKUP($A14,[5]库存使用数据!$A:$J,10,0),0)</f>
        <v>0</v>
      </c>
      <c r="K14" s="1">
        <f ca="1">IFERROR(VLOOKUP($A14,[1]库存使用数据!$A:$K,11,0),0)+IFERROR(VLOOKUP($A14,[2]库存使用数据!$A:$K,11,0),0)+IFERROR(VLOOKUP($A14,[3]库存使用数据!$A:$K,11,0),0)+IFERROR(VLOOKUP($A14,[4]库存使用数据!$A:$K,11,0),0)+IFERROR(VLOOKUP($A14,[5]库存使用数据!$A:$K,11,0),0)</f>
        <v>39</v>
      </c>
      <c r="L14" s="1">
        <f ca="1">IFERROR(VLOOKUP($A14,[1]库存使用数据!$A:$L,12,0),0)+IFERROR(VLOOKUP($A14,[2]库存使用数据!$A:$L,12,0),0)+IFERROR(VLOOKUP($A14,[3]库存使用数据!$A:$L,12,0),0)+IFERROR(VLOOKUP($A14,[4]库存使用数据!$A:$L,12,0),0)+IFERROR(VLOOKUP($A14,[5]库存使用数据!$A:$L,12,0),0)</f>
        <v>0</v>
      </c>
      <c r="M14" s="1">
        <f ca="1">IFERROR(VLOOKUP($A14,[1]库存使用数据!$A:$M,13,0),0)+IFERROR(VLOOKUP($A14,[2]库存使用数据!$A:$M,13,0),0)+公式!$B$14*IFERROR(VLOOKUP($A14,[3]库存使用数据!$A:$M,13,0),0)+IFERROR(VLOOKUP($A14,[4]库存使用数据!$A:$M,13,0),0)+IFERROR(VLOOKUP($A14,[5]库存使用数据!$A:$M,13,0),0)</f>
        <v>0</v>
      </c>
    </row>
    <row r="15" spans="1:13">
      <c r="A15" s="5" t="s">
        <v>20</v>
      </c>
      <c r="B15" s="2">
        <f ca="1">IFERROR(VLOOKUP(A15,[1]库存使用数据!$A:$B,2,0),0)+IFERROR(VLOOKUP(A15,[2]库存使用数据!$A:$B,2,0),0)+IFERROR(VLOOKUP(,[3]库存使用数据!$A:$B,2,0),0)+IFERROR(VLOOKUP(A15,[4]库存使用数据!$A:$B,2,0),0)+IFERROR(VLOOKUP(A15,[5]库存使用数据!$A:$B,2,0),0)</f>
        <v>0</v>
      </c>
      <c r="C15" s="1">
        <f ca="1">IFERROR(VLOOKUP($A15,[1]库存使用数据!$A:$C,3,0),0)+IFERROR(VLOOKUP($A15,[2]库存使用数据!$A:$C,3,0),0)+IFERROR(VLOOKUP($A15,[3]库存使用数据!$A:$C,3,0),0)+IFERROR(VLOOKUP($A15,[4]库存使用数据!$A:$C,3,0),0)+IFERROR(VLOOKUP($A15,[5]库存使用数据!$A:$C,3,0),0)</f>
        <v>0</v>
      </c>
      <c r="D15" s="1">
        <f ca="1">IFERROR(VLOOKUP($A15,[1]库存使用数据!$A:$D,4,0),0)+IFERROR(VLOOKUP($A15,[2]库存使用数据!$A:$D,4,0),0)+公式!$B$1*IFERROR(VLOOKUP($A15,[3]库存使用数据!$A:$D,4,0),0)+IFERROR(VLOOKUP($A15,[4]库存使用数据!$A:$D,4,0),0)+IFERROR(VLOOKUP($A15,[5]库存使用数据!$A:$D,4,0),0)</f>
        <v>0</v>
      </c>
      <c r="E15" s="1">
        <f ca="1">IFERROR(VLOOKUP($A15,[1]库存使用数据!$A:$E,5,0),0)+IFERROR(VLOOKUP($A15,[2]库存使用数据!$A:$E,5,0),0)+IFERROR(VLOOKUP($A15,[3]库存使用数据!$A:$E,5,0),0)+IFERROR(VLOOKUP($A15,[4]库存使用数据!$A:$E,5,0),0)+IFERROR(VLOOKUP($A15,[5]库存使用数据!$A:$E,5,0),0)</f>
        <v>757</v>
      </c>
      <c r="F15" s="1">
        <f ca="1">IFERROR(VLOOKUP($A15,[1]库存使用数据!$A:$F,6,0),0)+IFERROR(VLOOKUP($A15,[2]库存使用数据!$A:$F,6,0),0)+IFERROR(VLOOKUP($A15,[4]库存使用数据!$A:$F,6,0),0)+IFERROR(VLOOKUP($A15,[3]库存使用数据!$A:$F,6,0),0)+IFERROR(VLOOKUP($A15,[5]库存使用数据!$A:$F,6,0),0)</f>
        <v>4</v>
      </c>
      <c r="G15" s="1">
        <f ca="1">IFERROR(VLOOKUP($A15,[1]库存使用数据!$A:$G,7,0),0)+IFERROR(VLOOKUP($A15,[2]库存使用数据!$A:$G,7,0),0)+公式!$B$14*IFERROR(VLOOKUP($A15,[3]库存使用数据!$A:$G,7,0),0)+IFERROR(VLOOKUP($A15,[4]库存使用数据!$A:$G,7,0),0)+IFERROR(VLOOKUP($A15,[5]库存使用数据!$A:$G,7,0),0)</f>
        <v>0.54</v>
      </c>
      <c r="H15" s="1">
        <f ca="1">IFERROR(VLOOKUP($A15,[1]库存使用数据!$A:$H,8,0),0)+IFERROR(VLOOKUP($A15,[2]库存使用数据!$A:$H,8,0),0)+IFERROR(VLOOKUP($A15,[3]库存使用数据!$A:$H,8,0),0)+IFERROR(VLOOKUP($A15,[4]库存使用数据!$A:$H,8,0),0)+IFERROR(VLOOKUP($A15,[5]库存使用数据!$A:$H,8,0),0)</f>
        <v>407</v>
      </c>
      <c r="I15" s="1">
        <f ca="1">IFERROR(VLOOKUP($A15,[1]库存使用数据!$A:$I,9,0),0)+IFERROR(VLOOKUP($A15,[2]库存使用数据!$A:$I,9,0),0)+IFERROR(VLOOKUP($A15,[3]库存使用数据!$A:$I,9,0),0)+IFERROR(VLOOKUP($A15,[4]库存使用数据!$A:$I,9,0),0)+IFERROR(VLOOKUP($A15,[5]库存使用数据!$A:$I,9,0),0)</f>
        <v>3</v>
      </c>
      <c r="J15" s="1">
        <f ca="1">IFERROR(VLOOKUP($A15,[1]库存使用数据!$A:$J,10,0),0)+IFERROR(VLOOKUP($A15,[2]库存使用数据!$A:$J,10,0),0)+公式!$B$14*IFERROR(VLOOKUP($A15,[3]库存使用数据!$A:$J,10,0),0)+IFERROR(VLOOKUP($A15,[4]库存使用数据!$A:$J,10,0),0)+IFERROR(VLOOKUP($A15,[5]库存使用数据!$A:$J,10,0),0)</f>
        <v>0.4</v>
      </c>
      <c r="K15" s="1">
        <f ca="1">IFERROR(VLOOKUP($A15,[1]库存使用数据!$A:$K,11,0),0)+IFERROR(VLOOKUP($A15,[2]库存使用数据!$A:$K,11,0),0)+IFERROR(VLOOKUP($A15,[3]库存使用数据!$A:$K,11,0),0)+IFERROR(VLOOKUP($A15,[4]库存使用数据!$A:$K,11,0),0)+IFERROR(VLOOKUP($A15,[5]库存使用数据!$A:$K,11,0),0)</f>
        <v>568</v>
      </c>
      <c r="L15" s="1">
        <f ca="1">IFERROR(VLOOKUP($A15,[1]库存使用数据!$A:$L,12,0),0)+IFERROR(VLOOKUP($A15,[2]库存使用数据!$A:$L,12,0),0)+IFERROR(VLOOKUP($A15,[3]库存使用数据!$A:$L,12,0),0)+IFERROR(VLOOKUP($A15,[4]库存使用数据!$A:$L,12,0),0)+IFERROR(VLOOKUP($A15,[5]库存使用数据!$A:$L,12,0),0)</f>
        <v>3</v>
      </c>
      <c r="M15" s="1">
        <f ca="1">IFERROR(VLOOKUP($A15,[1]库存使用数据!$A:$M,13,0),0)+IFERROR(VLOOKUP($A15,[2]库存使用数据!$A:$M,13,0),0)+公式!$B$14*IFERROR(VLOOKUP($A15,[3]库存使用数据!$A:$M,13,0),0)+IFERROR(VLOOKUP($A15,[4]库存使用数据!$A:$M,13,0),0)+IFERROR(VLOOKUP($A15,[5]库存使用数据!$A:$M,13,0),0)</f>
        <v>0.49</v>
      </c>
    </row>
    <row r="16" spans="1:13">
      <c r="A16" s="5" t="s">
        <v>21</v>
      </c>
      <c r="B16" s="2">
        <f ca="1">IFERROR(VLOOKUP(A16,[1]库存使用数据!$A:$B,2,0),0)+IFERROR(VLOOKUP(A16,[2]库存使用数据!$A:$B,2,0),0)+IFERROR(VLOOKUP(,[3]库存使用数据!$A:$B,2,0),0)+IFERROR(VLOOKUP(A16,[4]库存使用数据!$A:$B,2,0),0)+IFERROR(VLOOKUP(A16,[5]库存使用数据!$A:$B,2,0),0)</f>
        <v>0</v>
      </c>
      <c r="C16" s="1">
        <f ca="1">IFERROR(VLOOKUP($A16,[1]库存使用数据!$A:$C,3,0),0)+IFERROR(VLOOKUP($A16,[2]库存使用数据!$A:$C,3,0),0)+IFERROR(VLOOKUP($A16,[3]库存使用数据!$A:$C,3,0),0)+IFERROR(VLOOKUP($A16,[4]库存使用数据!$A:$C,3,0),0)+IFERROR(VLOOKUP($A16,[5]库存使用数据!$A:$C,3,0),0)</f>
        <v>0</v>
      </c>
      <c r="D16" s="1">
        <f ca="1">IFERROR(VLOOKUP($A16,[1]库存使用数据!$A:$D,4,0),0)+IFERROR(VLOOKUP($A16,[2]库存使用数据!$A:$D,4,0),0)+公式!$B$1*IFERROR(VLOOKUP($A16,[3]库存使用数据!$A:$D,4,0),0)+IFERROR(VLOOKUP($A16,[4]库存使用数据!$A:$D,4,0),0)+IFERROR(VLOOKUP($A16,[5]库存使用数据!$A:$D,4,0),0)</f>
        <v>0</v>
      </c>
      <c r="E16" s="1">
        <f ca="1">IFERROR(VLOOKUP($A16,[1]库存使用数据!$A:$E,5,0),0)+IFERROR(VLOOKUP($A16,[2]库存使用数据!$A:$E,5,0),0)+IFERROR(VLOOKUP($A16,[3]库存使用数据!$A:$E,5,0),0)+IFERROR(VLOOKUP($A16,[4]库存使用数据!$A:$E,5,0),0)+IFERROR(VLOOKUP($A16,[5]库存使用数据!$A:$E,5,0),0)</f>
        <v>2020</v>
      </c>
      <c r="F16" s="1">
        <f ca="1">IFERROR(VLOOKUP($A16,[1]库存使用数据!$A:$F,6,0),0)+IFERROR(VLOOKUP($A16,[2]库存使用数据!$A:$F,6,0),0)+IFERROR(VLOOKUP($A16,[4]库存使用数据!$A:$F,6,0),0)+IFERROR(VLOOKUP($A16,[3]库存使用数据!$A:$F,6,0),0)+IFERROR(VLOOKUP($A16,[5]库存使用数据!$A:$F,6,0),0)</f>
        <v>14</v>
      </c>
      <c r="G16" s="1">
        <f ca="1">IFERROR(VLOOKUP($A16,[1]库存使用数据!$A:$G,7,0),0)+IFERROR(VLOOKUP($A16,[2]库存使用数据!$A:$G,7,0),0)+公式!$B$14*IFERROR(VLOOKUP($A16,[3]库存使用数据!$A:$G,7,0),0)+IFERROR(VLOOKUP($A16,[4]库存使用数据!$A:$G,7,0),0)+IFERROR(VLOOKUP($A16,[5]库存使用数据!$A:$G,7,0),0)</f>
        <v>1.8</v>
      </c>
      <c r="H16" s="1">
        <f ca="1">IFERROR(VLOOKUP($A16,[1]库存使用数据!$A:$H,8,0),0)+IFERROR(VLOOKUP($A16,[2]库存使用数据!$A:$H,8,0),0)+IFERROR(VLOOKUP($A16,[3]库存使用数据!$A:$H,8,0),0)+IFERROR(VLOOKUP($A16,[4]库存使用数据!$A:$H,8,0),0)+IFERROR(VLOOKUP($A16,[5]库存使用数据!$A:$H,8,0),0)</f>
        <v>1236</v>
      </c>
      <c r="I16" s="1">
        <f ca="1">IFERROR(VLOOKUP($A16,[1]库存使用数据!$A:$I,9,0),0)+IFERROR(VLOOKUP($A16,[2]库存使用数据!$A:$I,9,0),0)+IFERROR(VLOOKUP($A16,[3]库存使用数据!$A:$I,9,0),0)+IFERROR(VLOOKUP($A16,[4]库存使用数据!$A:$I,9,0),0)+IFERROR(VLOOKUP($A16,[5]库存使用数据!$A:$I,9,0),0)</f>
        <v>11</v>
      </c>
      <c r="J16" s="1">
        <f ca="1">IFERROR(VLOOKUP($A16,[1]库存使用数据!$A:$J,10,0),0)+IFERROR(VLOOKUP($A16,[2]库存使用数据!$A:$J,10,0),0)+公式!$B$14*IFERROR(VLOOKUP($A16,[3]库存使用数据!$A:$J,10,0),0)+IFERROR(VLOOKUP($A16,[4]库存使用数据!$A:$J,10,0),0)+IFERROR(VLOOKUP($A16,[5]库存使用数据!$A:$J,10,0),0)</f>
        <v>1.52</v>
      </c>
      <c r="K16" s="1">
        <f ca="1">IFERROR(VLOOKUP($A16,[1]库存使用数据!$A:$K,11,0),0)+IFERROR(VLOOKUP($A16,[2]库存使用数据!$A:$K,11,0),0)+IFERROR(VLOOKUP($A16,[3]库存使用数据!$A:$K,11,0),0)+IFERROR(VLOOKUP($A16,[4]库存使用数据!$A:$K,11,0),0)+IFERROR(VLOOKUP($A16,[5]库存使用数据!$A:$K,11,0),0)</f>
        <v>0</v>
      </c>
      <c r="L16" s="1">
        <f ca="1">IFERROR(VLOOKUP($A16,[1]库存使用数据!$A:$L,12,0),0)+IFERROR(VLOOKUP($A16,[2]库存使用数据!$A:$L,12,0),0)+IFERROR(VLOOKUP($A16,[3]库存使用数据!$A:$L,12,0),0)+IFERROR(VLOOKUP($A16,[4]库存使用数据!$A:$L,12,0),0)+IFERROR(VLOOKUP($A16,[5]库存使用数据!$A:$L,12,0),0)</f>
        <v>0</v>
      </c>
      <c r="M16" s="1">
        <f ca="1">IFERROR(VLOOKUP($A16,[1]库存使用数据!$A:$M,13,0),0)+IFERROR(VLOOKUP($A16,[2]库存使用数据!$A:$M,13,0),0)+公式!$B$14*IFERROR(VLOOKUP($A16,[3]库存使用数据!$A:$M,13,0),0)+IFERROR(VLOOKUP($A16,[4]库存使用数据!$A:$M,13,0),0)+IFERROR(VLOOKUP($A16,[5]库存使用数据!$A:$M,13,0),0)</f>
        <v>0</v>
      </c>
    </row>
    <row r="17" spans="1:13">
      <c r="A17" s="5" t="s">
        <v>22</v>
      </c>
      <c r="B17" s="2">
        <f ca="1">IFERROR(VLOOKUP(A17,[1]库存使用数据!$A:$B,2,0),0)+IFERROR(VLOOKUP(A17,[2]库存使用数据!$A:$B,2,0),0)+IFERROR(VLOOKUP(,[3]库存使用数据!$A:$B,2,0),0)+IFERROR(VLOOKUP(A17,[4]库存使用数据!$A:$B,2,0),0)+IFERROR(VLOOKUP(A17,[5]库存使用数据!$A:$B,2,0),0)</f>
        <v>0</v>
      </c>
      <c r="C17" s="1">
        <f ca="1">IFERROR(VLOOKUP($A17,[1]库存使用数据!$A:$C,3,0),0)+IFERROR(VLOOKUP($A17,[2]库存使用数据!$A:$C,3,0),0)+IFERROR(VLOOKUP($A17,[3]库存使用数据!$A:$C,3,0),0)+IFERROR(VLOOKUP($A17,[4]库存使用数据!$A:$C,3,0),0)+IFERROR(VLOOKUP($A17,[5]库存使用数据!$A:$C,3,0),0)</f>
        <v>0</v>
      </c>
      <c r="D17" s="1">
        <f ca="1">IFERROR(VLOOKUP($A17,[1]库存使用数据!$A:$D,4,0),0)+IFERROR(VLOOKUP($A17,[2]库存使用数据!$A:$D,4,0),0)+公式!$B$1*IFERROR(VLOOKUP($A17,[3]库存使用数据!$A:$D,4,0),0)+IFERROR(VLOOKUP($A17,[4]库存使用数据!$A:$D,4,0),0)+IFERROR(VLOOKUP($A17,[5]库存使用数据!$A:$D,4,0),0)</f>
        <v>0</v>
      </c>
      <c r="E17" s="1">
        <f ca="1">IFERROR(VLOOKUP($A17,[1]库存使用数据!$A:$E,5,0),0)+IFERROR(VLOOKUP($A17,[2]库存使用数据!$A:$E,5,0),0)+IFERROR(VLOOKUP($A17,[3]库存使用数据!$A:$E,5,0),0)+IFERROR(VLOOKUP($A17,[4]库存使用数据!$A:$E,5,0),0)+IFERROR(VLOOKUP($A17,[5]库存使用数据!$A:$E,5,0),0)</f>
        <v>0</v>
      </c>
      <c r="F17" s="1">
        <f ca="1">IFERROR(VLOOKUP($A17,[1]库存使用数据!$A:$F,6,0),0)+IFERROR(VLOOKUP($A17,[2]库存使用数据!$A:$F,6,0),0)+IFERROR(VLOOKUP($A17,[4]库存使用数据!$A:$F,6,0),0)+IFERROR(VLOOKUP($A17,[3]库存使用数据!$A:$F,6,0),0)+IFERROR(VLOOKUP($A17,[5]库存使用数据!$A:$F,6,0),0)</f>
        <v>0</v>
      </c>
      <c r="G17" s="1">
        <f ca="1">IFERROR(VLOOKUP($A17,[1]库存使用数据!$A:$G,7,0),0)+IFERROR(VLOOKUP($A17,[2]库存使用数据!$A:$G,7,0),0)+公式!$B$14*IFERROR(VLOOKUP($A17,[3]库存使用数据!$A:$G,7,0),0)+IFERROR(VLOOKUP($A17,[4]库存使用数据!$A:$G,7,0),0)+IFERROR(VLOOKUP($A17,[5]库存使用数据!$A:$G,7,0),0)</f>
        <v>0</v>
      </c>
      <c r="H17" s="1">
        <f ca="1">IFERROR(VLOOKUP($A17,[1]库存使用数据!$A:$H,8,0),0)+IFERROR(VLOOKUP($A17,[2]库存使用数据!$A:$H,8,0),0)+IFERROR(VLOOKUP($A17,[3]库存使用数据!$A:$H,8,0),0)+IFERROR(VLOOKUP($A17,[4]库存使用数据!$A:$H,8,0),0)+IFERROR(VLOOKUP($A17,[5]库存使用数据!$A:$H,8,0),0)</f>
        <v>616</v>
      </c>
      <c r="I17" s="1">
        <f ca="1">IFERROR(VLOOKUP($A17,[1]库存使用数据!$A:$I,9,0),0)+IFERROR(VLOOKUP($A17,[2]库存使用数据!$A:$I,9,0),0)+IFERROR(VLOOKUP($A17,[3]库存使用数据!$A:$I,9,0),0)+IFERROR(VLOOKUP($A17,[4]库存使用数据!$A:$I,9,0),0)+IFERROR(VLOOKUP($A17,[5]库存使用数据!$A:$I,9,0),0)</f>
        <v>3</v>
      </c>
      <c r="J17" s="1">
        <f ca="1">IFERROR(VLOOKUP($A17,[1]库存使用数据!$A:$J,10,0),0)+IFERROR(VLOOKUP($A17,[2]库存使用数据!$A:$J,10,0),0)+公式!$B$14*IFERROR(VLOOKUP($A17,[3]库存使用数据!$A:$J,10,0),0)+IFERROR(VLOOKUP($A17,[4]库存使用数据!$A:$J,10,0),0)+IFERROR(VLOOKUP($A17,[5]库存使用数据!$A:$J,10,0),0)</f>
        <v>0.35</v>
      </c>
      <c r="K17" s="1">
        <f ca="1">IFERROR(VLOOKUP($A17,[1]库存使用数据!$A:$K,11,0),0)+IFERROR(VLOOKUP($A17,[2]库存使用数据!$A:$K,11,0),0)+IFERROR(VLOOKUP($A17,[3]库存使用数据!$A:$K,11,0),0)+IFERROR(VLOOKUP($A17,[4]库存使用数据!$A:$K,11,0),0)+IFERROR(VLOOKUP($A17,[5]库存使用数据!$A:$K,11,0),0)</f>
        <v>382</v>
      </c>
      <c r="L17" s="1">
        <f ca="1">IFERROR(VLOOKUP($A17,[1]库存使用数据!$A:$L,12,0),0)+IFERROR(VLOOKUP($A17,[2]库存使用数据!$A:$L,12,0),0)+IFERROR(VLOOKUP($A17,[3]库存使用数据!$A:$L,12,0),0)+IFERROR(VLOOKUP($A17,[4]库存使用数据!$A:$L,12,0),0)+IFERROR(VLOOKUP($A17,[5]库存使用数据!$A:$L,12,0),0)</f>
        <v>1</v>
      </c>
      <c r="M17" s="1">
        <f ca="1">IFERROR(VLOOKUP($A17,[1]库存使用数据!$A:$M,13,0),0)+IFERROR(VLOOKUP($A17,[2]库存使用数据!$A:$M,13,0),0)+公式!$B$14*IFERROR(VLOOKUP($A17,[3]库存使用数据!$A:$M,13,0),0)+IFERROR(VLOOKUP($A17,[4]库存使用数据!$A:$M,13,0),0)+IFERROR(VLOOKUP($A17,[5]库存使用数据!$A:$M,13,0),0)</f>
        <v>0.17</v>
      </c>
    </row>
    <row r="18" spans="1:13">
      <c r="A18" s="5" t="s">
        <v>23</v>
      </c>
      <c r="B18" s="2">
        <f ca="1">IFERROR(VLOOKUP(A18,[1]库存使用数据!$A:$B,2,0),0)+IFERROR(VLOOKUP(A18,[2]库存使用数据!$A:$B,2,0),0)+IFERROR(VLOOKUP(,[3]库存使用数据!$A:$B,2,0),0)+IFERROR(VLOOKUP(A18,[4]库存使用数据!$A:$B,2,0),0)+IFERROR(VLOOKUP(A18,[5]库存使用数据!$A:$B,2,0),0)</f>
        <v>0</v>
      </c>
      <c r="C18" s="1">
        <f ca="1">IFERROR(VLOOKUP($A18,[1]库存使用数据!$A:$C,3,0),0)+IFERROR(VLOOKUP($A18,[2]库存使用数据!$A:$C,3,0),0)+IFERROR(VLOOKUP($A18,[3]库存使用数据!$A:$C,3,0),0)+IFERROR(VLOOKUP($A18,[4]库存使用数据!$A:$C,3,0),0)+IFERROR(VLOOKUP($A18,[5]库存使用数据!$A:$C,3,0),0)</f>
        <v>0</v>
      </c>
      <c r="D18" s="1">
        <f ca="1">IFERROR(VLOOKUP($A18,[1]库存使用数据!$A:$D,4,0),0)+IFERROR(VLOOKUP($A18,[2]库存使用数据!$A:$D,4,0),0)+公式!$B$1*IFERROR(VLOOKUP($A18,[3]库存使用数据!$A:$D,4,0),0)+IFERROR(VLOOKUP($A18,[4]库存使用数据!$A:$D,4,0),0)+IFERROR(VLOOKUP($A18,[5]库存使用数据!$A:$D,4,0),0)</f>
        <v>0</v>
      </c>
      <c r="E18" s="1">
        <f ca="1">IFERROR(VLOOKUP($A18,[1]库存使用数据!$A:$E,5,0),0)+IFERROR(VLOOKUP($A18,[2]库存使用数据!$A:$E,5,0),0)+IFERROR(VLOOKUP($A18,[3]库存使用数据!$A:$E,5,0),0)+IFERROR(VLOOKUP($A18,[4]库存使用数据!$A:$E,5,0),0)+IFERROR(VLOOKUP($A18,[5]库存使用数据!$A:$E,5,0),0)</f>
        <v>9762</v>
      </c>
      <c r="F18" s="1">
        <f ca="1">IFERROR(VLOOKUP($A18,[1]库存使用数据!$A:$F,6,0),0)+IFERROR(VLOOKUP($A18,[2]库存使用数据!$A:$F,6,0),0)+IFERROR(VLOOKUP($A18,[4]库存使用数据!$A:$F,6,0),0)+IFERROR(VLOOKUP($A18,[3]库存使用数据!$A:$F,6,0),0)+IFERROR(VLOOKUP($A18,[5]库存使用数据!$A:$F,6,0),0)</f>
        <v>4</v>
      </c>
      <c r="G18" s="1">
        <f ca="1">IFERROR(VLOOKUP($A18,[1]库存使用数据!$A:$G,7,0),0)+IFERROR(VLOOKUP($A18,[2]库存使用数据!$A:$G,7,0),0)+公式!$B$14*IFERROR(VLOOKUP($A18,[3]库存使用数据!$A:$G,7,0),0)+IFERROR(VLOOKUP($A18,[4]库存使用数据!$A:$G,7,0),0)+IFERROR(VLOOKUP($A18,[5]库存使用数据!$A:$G,7,0),0)</f>
        <v>0.52</v>
      </c>
      <c r="H18" s="1">
        <f ca="1">IFERROR(VLOOKUP($A18,[1]库存使用数据!$A:$H,8,0),0)+IFERROR(VLOOKUP($A18,[2]库存使用数据!$A:$H,8,0),0)+IFERROR(VLOOKUP($A18,[3]库存使用数据!$A:$H,8,0),0)+IFERROR(VLOOKUP($A18,[4]库存使用数据!$A:$H,8,0),0)+IFERROR(VLOOKUP($A18,[5]库存使用数据!$A:$H,8,0),0)</f>
        <v>4215</v>
      </c>
      <c r="I18" s="1">
        <f ca="1">IFERROR(VLOOKUP($A18,[1]库存使用数据!$A:$I,9,0),0)+IFERROR(VLOOKUP($A18,[2]库存使用数据!$A:$I,9,0),0)+IFERROR(VLOOKUP($A18,[3]库存使用数据!$A:$I,9,0),0)+IFERROR(VLOOKUP($A18,[4]库存使用数据!$A:$I,9,0),0)+IFERROR(VLOOKUP($A18,[5]库存使用数据!$A:$I,9,0),0)</f>
        <v>12</v>
      </c>
      <c r="J18" s="1">
        <f ca="1">IFERROR(VLOOKUP($A18,[1]库存使用数据!$A:$J,10,0),0)+IFERROR(VLOOKUP($A18,[2]库存使用数据!$A:$J,10,0),0)+公式!$B$14*IFERROR(VLOOKUP($A18,[3]库存使用数据!$A:$J,10,0),0)+IFERROR(VLOOKUP($A18,[4]库存使用数据!$A:$J,10,0),0)+IFERROR(VLOOKUP($A18,[5]库存使用数据!$A:$J,10,0),0)</f>
        <v>1.26</v>
      </c>
      <c r="K18" s="1">
        <f ca="1">IFERROR(VLOOKUP($A18,[1]库存使用数据!$A:$K,11,0),0)+IFERROR(VLOOKUP($A18,[2]库存使用数据!$A:$K,11,0),0)+IFERROR(VLOOKUP($A18,[3]库存使用数据!$A:$K,11,0),0)+IFERROR(VLOOKUP($A18,[4]库存使用数据!$A:$K,11,0),0)+IFERROR(VLOOKUP($A18,[5]库存使用数据!$A:$K,11,0),0)</f>
        <v>4973</v>
      </c>
      <c r="L18" s="1">
        <f ca="1">IFERROR(VLOOKUP($A18,[1]库存使用数据!$A:$L,12,0),0)+IFERROR(VLOOKUP($A18,[2]库存使用数据!$A:$L,12,0),0)+IFERROR(VLOOKUP($A18,[3]库存使用数据!$A:$L,12,0),0)+IFERROR(VLOOKUP($A18,[4]库存使用数据!$A:$L,12,0),0)+IFERROR(VLOOKUP($A18,[5]库存使用数据!$A:$L,12,0),0)</f>
        <v>27</v>
      </c>
      <c r="M18" s="1">
        <f ca="1">IFERROR(VLOOKUP($A18,[1]库存使用数据!$A:$M,13,0),0)+IFERROR(VLOOKUP($A18,[2]库存使用数据!$A:$M,13,0),0)+公式!$B$14*IFERROR(VLOOKUP($A18,[3]库存使用数据!$A:$M,13,0),0)+IFERROR(VLOOKUP($A18,[4]库存使用数据!$A:$M,13,0),0)+IFERROR(VLOOKUP($A18,[5]库存使用数据!$A:$M,13,0),0)</f>
        <v>2.72</v>
      </c>
    </row>
    <row r="19" spans="1:13">
      <c r="A19" s="5" t="s">
        <v>24</v>
      </c>
      <c r="B19" s="2">
        <f ca="1">IFERROR(VLOOKUP(A19,[1]库存使用数据!$A:$B,2,0),0)+IFERROR(VLOOKUP(A19,[2]库存使用数据!$A:$B,2,0),0)+IFERROR(VLOOKUP(,[3]库存使用数据!$A:$B,2,0),0)+IFERROR(VLOOKUP(A19,[4]库存使用数据!$A:$B,2,0),0)+IFERROR(VLOOKUP(A19,[5]库存使用数据!$A:$B,2,0),0)</f>
        <v>0</v>
      </c>
      <c r="C19" s="1">
        <f ca="1">IFERROR(VLOOKUP($A19,[1]库存使用数据!$A:$C,3,0),0)+IFERROR(VLOOKUP($A19,[2]库存使用数据!$A:$C,3,0),0)+IFERROR(VLOOKUP($A19,[3]库存使用数据!$A:$C,3,0),0)+IFERROR(VLOOKUP($A19,[4]库存使用数据!$A:$C,3,0),0)+IFERROR(VLOOKUP($A19,[5]库存使用数据!$A:$C,3,0),0)</f>
        <v>0</v>
      </c>
      <c r="D19" s="1">
        <f ca="1">IFERROR(VLOOKUP($A19,[1]库存使用数据!$A:$D,4,0),0)+IFERROR(VLOOKUP($A19,[2]库存使用数据!$A:$D,4,0),0)+公式!$B$1*IFERROR(VLOOKUP($A19,[3]库存使用数据!$A:$D,4,0),0)+IFERROR(VLOOKUP($A19,[4]库存使用数据!$A:$D,4,0),0)+IFERROR(VLOOKUP($A19,[5]库存使用数据!$A:$D,4,0),0)</f>
        <v>0</v>
      </c>
      <c r="E19" s="1">
        <f ca="1">IFERROR(VLOOKUP($A19,[1]库存使用数据!$A:$E,5,0),0)+IFERROR(VLOOKUP($A19,[2]库存使用数据!$A:$E,5,0),0)+IFERROR(VLOOKUP($A19,[3]库存使用数据!$A:$E,5,0),0)+IFERROR(VLOOKUP($A19,[4]库存使用数据!$A:$E,5,0),0)+IFERROR(VLOOKUP($A19,[5]库存使用数据!$A:$E,5,0),0)</f>
        <v>37942</v>
      </c>
      <c r="F19" s="1">
        <f ca="1">IFERROR(VLOOKUP($A19,[1]库存使用数据!$A:$F,6,0),0)+IFERROR(VLOOKUP($A19,[2]库存使用数据!$A:$F,6,0),0)+IFERROR(VLOOKUP($A19,[4]库存使用数据!$A:$F,6,0),0)+IFERROR(VLOOKUP($A19,[3]库存使用数据!$A:$F,6,0),0)+IFERROR(VLOOKUP($A19,[5]库存使用数据!$A:$F,6,0),0)</f>
        <v>84</v>
      </c>
      <c r="G19" s="1">
        <f ca="1">IFERROR(VLOOKUP($A19,[1]库存使用数据!$A:$G,7,0),0)+IFERROR(VLOOKUP($A19,[2]库存使用数据!$A:$G,7,0),0)+公式!$B$14*IFERROR(VLOOKUP($A19,[3]库存使用数据!$A:$G,7,0),0)+IFERROR(VLOOKUP($A19,[4]库存使用数据!$A:$G,7,0),0)+IFERROR(VLOOKUP($A19,[5]库存使用数据!$A:$G,7,0),0)</f>
        <v>9.08</v>
      </c>
      <c r="H19" s="1">
        <f ca="1">IFERROR(VLOOKUP($A19,[1]库存使用数据!$A:$H,8,0),0)+IFERROR(VLOOKUP($A19,[2]库存使用数据!$A:$H,8,0),0)+IFERROR(VLOOKUP($A19,[3]库存使用数据!$A:$H,8,0),0)+IFERROR(VLOOKUP($A19,[4]库存使用数据!$A:$H,8,0),0)+IFERROR(VLOOKUP($A19,[5]库存使用数据!$A:$H,8,0),0)</f>
        <v>22764</v>
      </c>
      <c r="I19" s="1">
        <f ca="1">IFERROR(VLOOKUP($A19,[1]库存使用数据!$A:$I,9,0),0)+IFERROR(VLOOKUP($A19,[2]库存使用数据!$A:$I,9,0),0)+IFERROR(VLOOKUP($A19,[3]库存使用数据!$A:$I,9,0),0)+IFERROR(VLOOKUP($A19,[4]库存使用数据!$A:$I,9,0),0)+IFERROR(VLOOKUP($A19,[5]库存使用数据!$A:$I,9,0),0)</f>
        <v>55</v>
      </c>
      <c r="J19" s="1">
        <f ca="1">IFERROR(VLOOKUP($A19,[1]库存使用数据!$A:$J,10,0),0)+IFERROR(VLOOKUP($A19,[2]库存使用数据!$A:$J,10,0),0)+公式!$B$14*IFERROR(VLOOKUP($A19,[3]库存使用数据!$A:$J,10,0),0)+IFERROR(VLOOKUP($A19,[4]库存使用数据!$A:$J,10,0),0)+IFERROR(VLOOKUP($A19,[5]库存使用数据!$A:$J,10,0),0)</f>
        <v>7.66</v>
      </c>
      <c r="K19" s="1">
        <f ca="1">IFERROR(VLOOKUP($A19,[1]库存使用数据!$A:$K,11,0),0)+IFERROR(VLOOKUP($A19,[2]库存使用数据!$A:$K,11,0),0)+IFERROR(VLOOKUP($A19,[3]库存使用数据!$A:$K,11,0),0)+IFERROR(VLOOKUP($A19,[4]库存使用数据!$A:$K,11,0),0)+IFERROR(VLOOKUP($A19,[5]库存使用数据!$A:$K,11,0),0)</f>
        <v>7691</v>
      </c>
      <c r="L19" s="1">
        <f ca="1">IFERROR(VLOOKUP($A19,[1]库存使用数据!$A:$L,12,0),0)+IFERROR(VLOOKUP($A19,[2]库存使用数据!$A:$L,12,0),0)+IFERROR(VLOOKUP($A19,[3]库存使用数据!$A:$L,12,0),0)+IFERROR(VLOOKUP($A19,[4]库存使用数据!$A:$L,12,0),0)+IFERROR(VLOOKUP($A19,[5]库存使用数据!$A:$L,12,0),0)</f>
        <v>40</v>
      </c>
      <c r="M19" s="1">
        <f ca="1">IFERROR(VLOOKUP($A19,[1]库存使用数据!$A:$M,13,0),0)+IFERROR(VLOOKUP($A19,[2]库存使用数据!$A:$M,13,0),0)+公式!$B$14*IFERROR(VLOOKUP($A19,[3]库存使用数据!$A:$M,13,0),0)+IFERROR(VLOOKUP($A19,[4]库存使用数据!$A:$M,13,0),0)+IFERROR(VLOOKUP($A19,[5]库存使用数据!$A:$M,13,0),0)</f>
        <v>6.07</v>
      </c>
    </row>
    <row r="20" spans="1:13">
      <c r="A20" s="5" t="s">
        <v>25</v>
      </c>
      <c r="B20" s="2">
        <f ca="1">IFERROR(VLOOKUP(A20,[1]库存使用数据!$A:$B,2,0),0)+IFERROR(VLOOKUP(A20,[2]库存使用数据!$A:$B,2,0),0)+IFERROR(VLOOKUP(,[3]库存使用数据!$A:$B,2,0),0)+IFERROR(VLOOKUP(A20,[4]库存使用数据!$A:$B,2,0),0)+IFERROR(VLOOKUP(A20,[5]库存使用数据!$A:$B,2,0),0)</f>
        <v>0</v>
      </c>
      <c r="C20" s="1">
        <f ca="1">IFERROR(VLOOKUP($A20,[1]库存使用数据!$A:$C,3,0),0)+IFERROR(VLOOKUP($A20,[2]库存使用数据!$A:$C,3,0),0)+IFERROR(VLOOKUP($A20,[3]库存使用数据!$A:$C,3,0),0)+IFERROR(VLOOKUP($A20,[4]库存使用数据!$A:$C,3,0),0)+IFERROR(VLOOKUP($A20,[5]库存使用数据!$A:$C,3,0),0)</f>
        <v>0</v>
      </c>
      <c r="D20" s="1">
        <f ca="1">IFERROR(VLOOKUP($A20,[1]库存使用数据!$A:$D,4,0),0)+IFERROR(VLOOKUP($A20,[2]库存使用数据!$A:$D,4,0),0)+公式!$B$1*IFERROR(VLOOKUP($A20,[3]库存使用数据!$A:$D,4,0),0)+IFERROR(VLOOKUP($A20,[4]库存使用数据!$A:$D,4,0),0)+IFERROR(VLOOKUP($A20,[5]库存使用数据!$A:$D,4,0),0)</f>
        <v>0</v>
      </c>
      <c r="E20" s="1">
        <f ca="1">IFERROR(VLOOKUP($A20,[1]库存使用数据!$A:$E,5,0),0)+IFERROR(VLOOKUP($A20,[2]库存使用数据!$A:$E,5,0),0)+IFERROR(VLOOKUP($A20,[3]库存使用数据!$A:$E,5,0),0)+IFERROR(VLOOKUP($A20,[4]库存使用数据!$A:$E,5,0),0)+IFERROR(VLOOKUP($A20,[5]库存使用数据!$A:$E,5,0),0)</f>
        <v>0</v>
      </c>
      <c r="F20" s="1">
        <f ca="1">IFERROR(VLOOKUP($A20,[1]库存使用数据!$A:$F,6,0),0)+IFERROR(VLOOKUP($A20,[2]库存使用数据!$A:$F,6,0),0)+IFERROR(VLOOKUP($A20,[4]库存使用数据!$A:$F,6,0),0)+IFERROR(VLOOKUP($A20,[3]库存使用数据!$A:$F,6,0),0)+IFERROR(VLOOKUP($A20,[5]库存使用数据!$A:$F,6,0),0)</f>
        <v>0</v>
      </c>
      <c r="G20" s="1">
        <f ca="1">IFERROR(VLOOKUP($A20,[1]库存使用数据!$A:$G,7,0),0)+IFERROR(VLOOKUP($A20,[2]库存使用数据!$A:$G,7,0),0)+公式!$B$14*IFERROR(VLOOKUP($A20,[3]库存使用数据!$A:$G,7,0),0)+IFERROR(VLOOKUP($A20,[4]库存使用数据!$A:$G,7,0),0)+IFERROR(VLOOKUP($A20,[5]库存使用数据!$A:$G,7,0),0)</f>
        <v>0</v>
      </c>
      <c r="H20" s="1">
        <f ca="1">IFERROR(VLOOKUP($A20,[1]库存使用数据!$A:$H,8,0),0)+IFERROR(VLOOKUP($A20,[2]库存使用数据!$A:$H,8,0),0)+IFERROR(VLOOKUP($A20,[3]库存使用数据!$A:$H,8,0),0)+IFERROR(VLOOKUP($A20,[4]库存使用数据!$A:$H,8,0),0)+IFERROR(VLOOKUP($A20,[5]库存使用数据!$A:$H,8,0),0)</f>
        <v>0</v>
      </c>
      <c r="I20" s="1">
        <f ca="1">IFERROR(VLOOKUP($A20,[1]库存使用数据!$A:$I,9,0),0)+IFERROR(VLOOKUP($A20,[2]库存使用数据!$A:$I,9,0),0)+IFERROR(VLOOKUP($A20,[3]库存使用数据!$A:$I,9,0),0)+IFERROR(VLOOKUP($A20,[4]库存使用数据!$A:$I,9,0),0)+IFERROR(VLOOKUP($A20,[5]库存使用数据!$A:$I,9,0),0)</f>
        <v>0</v>
      </c>
      <c r="J20" s="1">
        <f ca="1">IFERROR(VLOOKUP($A20,[1]库存使用数据!$A:$J,10,0),0)+IFERROR(VLOOKUP($A20,[2]库存使用数据!$A:$J,10,0),0)+公式!$B$14*IFERROR(VLOOKUP($A20,[3]库存使用数据!$A:$J,10,0),0)+IFERROR(VLOOKUP($A20,[4]库存使用数据!$A:$J,10,0),0)+IFERROR(VLOOKUP($A20,[5]库存使用数据!$A:$J,10,0),0)</f>
        <v>0</v>
      </c>
      <c r="K20" s="1">
        <f ca="1">IFERROR(VLOOKUP($A20,[1]库存使用数据!$A:$K,11,0),0)+IFERROR(VLOOKUP($A20,[2]库存使用数据!$A:$K,11,0),0)+IFERROR(VLOOKUP($A20,[3]库存使用数据!$A:$K,11,0),0)+IFERROR(VLOOKUP($A20,[4]库存使用数据!$A:$K,11,0),0)+IFERROR(VLOOKUP($A20,[5]库存使用数据!$A:$K,11,0),0)</f>
        <v>0</v>
      </c>
      <c r="L20" s="1">
        <f ca="1">IFERROR(VLOOKUP($A20,[1]库存使用数据!$A:$L,12,0),0)+IFERROR(VLOOKUP($A20,[2]库存使用数据!$A:$L,12,0),0)+IFERROR(VLOOKUP($A20,[3]库存使用数据!$A:$L,12,0),0)+IFERROR(VLOOKUP($A20,[4]库存使用数据!$A:$L,12,0),0)+IFERROR(VLOOKUP($A20,[5]库存使用数据!$A:$L,12,0),0)</f>
        <v>0</v>
      </c>
      <c r="M20" s="1">
        <f ca="1">IFERROR(VLOOKUP($A20,[1]库存使用数据!$A:$M,13,0),0)+IFERROR(VLOOKUP($A20,[2]库存使用数据!$A:$M,13,0),0)+公式!$B$14*IFERROR(VLOOKUP($A20,[3]库存使用数据!$A:$M,13,0),0)+IFERROR(VLOOKUP($A20,[4]库存使用数据!$A:$M,13,0),0)+IFERROR(VLOOKUP($A20,[5]库存使用数据!$A:$M,13,0),0)</f>
        <v>0</v>
      </c>
    </row>
    <row r="21" spans="1:13">
      <c r="A21" s="5" t="s">
        <v>26</v>
      </c>
      <c r="B21" s="2">
        <f ca="1">IFERROR(VLOOKUP(A21,[1]库存使用数据!$A:$B,2,0),0)+IFERROR(VLOOKUP(A21,[2]库存使用数据!$A:$B,2,0),0)+IFERROR(VLOOKUP(,[3]库存使用数据!$A:$B,2,0),0)+IFERROR(VLOOKUP(A21,[4]库存使用数据!$A:$B,2,0),0)+IFERROR(VLOOKUP(A21,[5]库存使用数据!$A:$B,2,0),0)</f>
        <v>0</v>
      </c>
      <c r="C21" s="1">
        <f ca="1">IFERROR(VLOOKUP($A21,[1]库存使用数据!$A:$C,3,0),0)+IFERROR(VLOOKUP($A21,[2]库存使用数据!$A:$C,3,0),0)+IFERROR(VLOOKUP($A21,[3]库存使用数据!$A:$C,3,0),0)+IFERROR(VLOOKUP($A21,[4]库存使用数据!$A:$C,3,0),0)+IFERROR(VLOOKUP($A21,[5]库存使用数据!$A:$C,3,0),0)</f>
        <v>3</v>
      </c>
      <c r="D21" s="1">
        <f ca="1">IFERROR(VLOOKUP($A21,[1]库存使用数据!$A:$D,4,0),0)+IFERROR(VLOOKUP($A21,[2]库存使用数据!$A:$D,4,0),0)+公式!$B$1*IFERROR(VLOOKUP($A21,[3]库存使用数据!$A:$D,4,0),0)+IFERROR(VLOOKUP($A21,[4]库存使用数据!$A:$D,4,0),0)+IFERROR(VLOOKUP($A21,[5]库存使用数据!$A:$D,4,0),0)</f>
        <v>0.16875</v>
      </c>
      <c r="E21" s="1">
        <f ca="1">IFERROR(VLOOKUP($A21,[1]库存使用数据!$A:$E,5,0),0)+IFERROR(VLOOKUP($A21,[2]库存使用数据!$A:$E,5,0),0)+IFERROR(VLOOKUP($A21,[3]库存使用数据!$A:$E,5,0),0)+IFERROR(VLOOKUP($A21,[4]库存使用数据!$A:$E,5,0),0)+IFERROR(VLOOKUP($A21,[5]库存使用数据!$A:$E,5,0),0)</f>
        <v>1329</v>
      </c>
      <c r="F21" s="1">
        <f ca="1">IFERROR(VLOOKUP($A21,[1]库存使用数据!$A:$F,6,0),0)+IFERROR(VLOOKUP($A21,[2]库存使用数据!$A:$F,6,0),0)+IFERROR(VLOOKUP($A21,[4]库存使用数据!$A:$F,6,0),0)+IFERROR(VLOOKUP($A21,[3]库存使用数据!$A:$F,6,0),0)+IFERROR(VLOOKUP($A21,[5]库存使用数据!$A:$F,6,0),0)</f>
        <v>2</v>
      </c>
      <c r="G21" s="1">
        <f ca="1">IFERROR(VLOOKUP($A21,[1]库存使用数据!$A:$G,7,0),0)+IFERROR(VLOOKUP($A21,[2]库存使用数据!$A:$G,7,0),0)+公式!$B$14*IFERROR(VLOOKUP($A21,[3]库存使用数据!$A:$G,7,0),0)+IFERROR(VLOOKUP($A21,[4]库存使用数据!$A:$G,7,0),0)+IFERROR(VLOOKUP($A21,[5]库存使用数据!$A:$G,7,0),0)</f>
        <v>0</v>
      </c>
      <c r="H21" s="1">
        <f ca="1">IFERROR(VLOOKUP($A21,[1]库存使用数据!$A:$H,8,0),0)+IFERROR(VLOOKUP($A21,[2]库存使用数据!$A:$H,8,0),0)+IFERROR(VLOOKUP($A21,[3]库存使用数据!$A:$H,8,0),0)+IFERROR(VLOOKUP($A21,[4]库存使用数据!$A:$H,8,0),0)+IFERROR(VLOOKUP($A21,[5]库存使用数据!$A:$H,8,0),0)</f>
        <v>680</v>
      </c>
      <c r="I21" s="1">
        <f ca="1">IFERROR(VLOOKUP($A21,[1]库存使用数据!$A:$I,9,0),0)+IFERROR(VLOOKUP($A21,[2]库存使用数据!$A:$I,9,0),0)+IFERROR(VLOOKUP($A21,[3]库存使用数据!$A:$I,9,0),0)+IFERROR(VLOOKUP($A21,[4]库存使用数据!$A:$I,9,0),0)+IFERROR(VLOOKUP($A21,[5]库存使用数据!$A:$I,9,0),0)</f>
        <v>1</v>
      </c>
      <c r="J21" s="1">
        <f ca="1">IFERROR(VLOOKUP($A21,[1]库存使用数据!$A:$J,10,0),0)+IFERROR(VLOOKUP($A21,[2]库存使用数据!$A:$J,10,0),0)+公式!$B$14*IFERROR(VLOOKUP($A21,[3]库存使用数据!$A:$J,10,0),0)+IFERROR(VLOOKUP($A21,[4]库存使用数据!$A:$J,10,0),0)+IFERROR(VLOOKUP($A21,[5]库存使用数据!$A:$J,10,0),0)</f>
        <v>0</v>
      </c>
      <c r="K21" s="1">
        <f ca="1">IFERROR(VLOOKUP($A21,[1]库存使用数据!$A:$K,11,0),0)+IFERROR(VLOOKUP($A21,[2]库存使用数据!$A:$K,11,0),0)+IFERROR(VLOOKUP($A21,[3]库存使用数据!$A:$K,11,0),0)+IFERROR(VLOOKUP($A21,[4]库存使用数据!$A:$K,11,0),0)+IFERROR(VLOOKUP($A21,[5]库存使用数据!$A:$K,11,0),0)</f>
        <v>347</v>
      </c>
      <c r="L21" s="1">
        <f ca="1">IFERROR(VLOOKUP($A21,[1]库存使用数据!$A:$L,12,0),0)+IFERROR(VLOOKUP($A21,[2]库存使用数据!$A:$L,12,0),0)+IFERROR(VLOOKUP($A21,[3]库存使用数据!$A:$L,12,0),0)+IFERROR(VLOOKUP($A21,[4]库存使用数据!$A:$L,12,0),0)+IFERROR(VLOOKUP($A21,[5]库存使用数据!$A:$L,12,0),0)</f>
        <v>3</v>
      </c>
      <c r="M21" s="1">
        <f ca="1">IFERROR(VLOOKUP($A21,[1]库存使用数据!$A:$M,13,0),0)+IFERROR(VLOOKUP($A21,[2]库存使用数据!$A:$M,13,0),0)+公式!$B$14*IFERROR(VLOOKUP($A21,[3]库存使用数据!$A:$M,13,0),0)+IFERROR(VLOOKUP($A21,[4]库存使用数据!$A:$M,13,0),0)+IFERROR(VLOOKUP($A21,[5]库存使用数据!$A:$M,13,0),0)</f>
        <v>0</v>
      </c>
    </row>
    <row r="22" spans="1:13">
      <c r="A22" s="5" t="s">
        <v>27</v>
      </c>
      <c r="B22" s="2">
        <f ca="1">IFERROR(VLOOKUP(A22,[1]库存使用数据!$A:$B,2,0),0)+IFERROR(VLOOKUP(A22,[2]库存使用数据!$A:$B,2,0),0)+IFERROR(VLOOKUP(,[3]库存使用数据!$A:$B,2,0),0)+IFERROR(VLOOKUP(A22,[4]库存使用数据!$A:$B,2,0),0)+IFERROR(VLOOKUP(A22,[5]库存使用数据!$A:$B,2,0),0)</f>
        <v>0</v>
      </c>
      <c r="C22" s="1">
        <f ca="1">IFERROR(VLOOKUP($A22,[1]库存使用数据!$A:$C,3,0),0)+IFERROR(VLOOKUP($A22,[2]库存使用数据!$A:$C,3,0),0)+IFERROR(VLOOKUP($A22,[3]库存使用数据!$A:$C,3,0),0)+IFERROR(VLOOKUP($A22,[4]库存使用数据!$A:$C,3,0),0)+IFERROR(VLOOKUP($A22,[5]库存使用数据!$A:$C,3,0),0)</f>
        <v>0</v>
      </c>
      <c r="D22" s="1">
        <f ca="1">IFERROR(VLOOKUP($A22,[1]库存使用数据!$A:$D,4,0),0)+IFERROR(VLOOKUP($A22,[2]库存使用数据!$A:$D,4,0),0)+公式!$B$1*IFERROR(VLOOKUP($A22,[3]库存使用数据!$A:$D,4,0),0)+IFERROR(VLOOKUP($A22,[4]库存使用数据!$A:$D,4,0),0)+IFERROR(VLOOKUP($A22,[5]库存使用数据!$A:$D,4,0),0)</f>
        <v>0</v>
      </c>
      <c r="E22" s="1">
        <f ca="1">IFERROR(VLOOKUP($A22,[1]库存使用数据!$A:$E,5,0),0)+IFERROR(VLOOKUP($A22,[2]库存使用数据!$A:$E,5,0),0)+IFERROR(VLOOKUP($A22,[3]库存使用数据!$A:$E,5,0),0)+IFERROR(VLOOKUP($A22,[4]库存使用数据!$A:$E,5,0),0)+IFERROR(VLOOKUP($A22,[5]库存使用数据!$A:$E,5,0),0)</f>
        <v>488</v>
      </c>
      <c r="F22" s="1">
        <f ca="1">IFERROR(VLOOKUP($A22,[1]库存使用数据!$A:$F,6,0),0)+IFERROR(VLOOKUP($A22,[2]库存使用数据!$A:$F,6,0),0)+IFERROR(VLOOKUP($A22,[4]库存使用数据!$A:$F,6,0),0)+IFERROR(VLOOKUP($A22,[3]库存使用数据!$A:$F,6,0),0)+IFERROR(VLOOKUP($A22,[5]库存使用数据!$A:$F,6,0),0)</f>
        <v>2</v>
      </c>
      <c r="G22" s="1">
        <f ca="1">IFERROR(VLOOKUP($A22,[1]库存使用数据!$A:$G,7,0),0)+IFERROR(VLOOKUP($A22,[2]库存使用数据!$A:$G,7,0),0)+公式!$B$14*IFERROR(VLOOKUP($A22,[3]库存使用数据!$A:$G,7,0),0)+IFERROR(VLOOKUP($A22,[4]库存使用数据!$A:$G,7,0),0)+IFERROR(VLOOKUP($A22,[5]库存使用数据!$A:$G,7,0),0)</f>
        <v>0.22</v>
      </c>
      <c r="H22" s="1">
        <f ca="1">IFERROR(VLOOKUP($A22,[1]库存使用数据!$A:$H,8,0),0)+IFERROR(VLOOKUP($A22,[2]库存使用数据!$A:$H,8,0),0)+IFERROR(VLOOKUP($A22,[3]库存使用数据!$A:$H,8,0),0)+IFERROR(VLOOKUP($A22,[4]库存使用数据!$A:$H,8,0),0)+IFERROR(VLOOKUP($A22,[5]库存使用数据!$A:$H,8,0),0)</f>
        <v>185</v>
      </c>
      <c r="I22" s="1">
        <f ca="1">IFERROR(VLOOKUP($A22,[1]库存使用数据!$A:$I,9,0),0)+IFERROR(VLOOKUP($A22,[2]库存使用数据!$A:$I,9,0),0)+IFERROR(VLOOKUP($A22,[3]库存使用数据!$A:$I,9,0),0)+IFERROR(VLOOKUP($A22,[4]库存使用数据!$A:$I,9,0),0)+IFERROR(VLOOKUP($A22,[5]库存使用数据!$A:$I,9,0),0)</f>
        <v>0</v>
      </c>
      <c r="J22" s="1">
        <f ca="1">IFERROR(VLOOKUP($A22,[1]库存使用数据!$A:$J,10,0),0)+IFERROR(VLOOKUP($A22,[2]库存使用数据!$A:$J,10,0),0)+公式!$B$14*IFERROR(VLOOKUP($A22,[3]库存使用数据!$A:$J,10,0),0)+IFERROR(VLOOKUP($A22,[4]库存使用数据!$A:$J,10,0),0)+IFERROR(VLOOKUP($A22,[5]库存使用数据!$A:$J,10,0),0)</f>
        <v>0</v>
      </c>
      <c r="K22" s="1">
        <f ca="1">IFERROR(VLOOKUP($A22,[1]库存使用数据!$A:$K,11,0),0)+IFERROR(VLOOKUP($A22,[2]库存使用数据!$A:$K,11,0),0)+IFERROR(VLOOKUP($A22,[3]库存使用数据!$A:$K,11,0),0)+IFERROR(VLOOKUP($A22,[4]库存使用数据!$A:$K,11,0),0)+IFERROR(VLOOKUP($A22,[5]库存使用数据!$A:$K,11,0),0)</f>
        <v>106</v>
      </c>
      <c r="L22" s="1">
        <f ca="1">IFERROR(VLOOKUP($A22,[1]库存使用数据!$A:$L,12,0),0)+IFERROR(VLOOKUP($A22,[2]库存使用数据!$A:$L,12,0),0)+IFERROR(VLOOKUP($A22,[3]库存使用数据!$A:$L,12,0),0)+IFERROR(VLOOKUP($A22,[4]库存使用数据!$A:$L,12,0),0)+IFERROR(VLOOKUP($A22,[5]库存使用数据!$A:$L,12,0),0)</f>
        <v>1</v>
      </c>
      <c r="M22" s="1">
        <f ca="1">IFERROR(VLOOKUP($A22,[1]库存使用数据!$A:$M,13,0),0)+IFERROR(VLOOKUP($A22,[2]库存使用数据!$A:$M,13,0),0)+公式!$B$14*IFERROR(VLOOKUP($A22,[3]库存使用数据!$A:$M,13,0),0)+IFERROR(VLOOKUP($A22,[4]库存使用数据!$A:$M,13,0),0)+IFERROR(VLOOKUP($A22,[5]库存使用数据!$A:$M,13,0),0)</f>
        <v>0.13</v>
      </c>
    </row>
    <row r="23" spans="1:13">
      <c r="A23" s="5" t="s">
        <v>28</v>
      </c>
      <c r="B23" s="2">
        <f ca="1">IFERROR(VLOOKUP(A23,[1]库存使用数据!$A:$B,2,0),0)+IFERROR(VLOOKUP(A23,[2]库存使用数据!$A:$B,2,0),0)+IFERROR(VLOOKUP(,[3]库存使用数据!$A:$B,2,0),0)+IFERROR(VLOOKUP(A23,[4]库存使用数据!$A:$B,2,0),0)+IFERROR(VLOOKUP(A23,[5]库存使用数据!$A:$B,2,0),0)</f>
        <v>134</v>
      </c>
      <c r="C23" s="1">
        <f ca="1">IFERROR(VLOOKUP($A23,[1]库存使用数据!$A:$C,3,0),0)+IFERROR(VLOOKUP($A23,[2]库存使用数据!$A:$C,3,0),0)+IFERROR(VLOOKUP($A23,[3]库存使用数据!$A:$C,3,0),0)+IFERROR(VLOOKUP($A23,[4]库存使用数据!$A:$C,3,0),0)+IFERROR(VLOOKUP($A23,[5]库存使用数据!$A:$C,3,0),0)</f>
        <v>4</v>
      </c>
      <c r="D23" s="1">
        <f ca="1">IFERROR(VLOOKUP($A23,[1]库存使用数据!$A:$D,4,0),0)+IFERROR(VLOOKUP($A23,[2]库存使用数据!$A:$D,4,0),0)+公式!$B$1*IFERROR(VLOOKUP($A23,[3]库存使用数据!$A:$D,4,0),0)+IFERROR(VLOOKUP($A23,[4]库存使用数据!$A:$D,4,0),0)+IFERROR(VLOOKUP($A23,[5]库存使用数据!$A:$D,4,0),0)</f>
        <v>0.08</v>
      </c>
      <c r="E23" s="1">
        <f ca="1">IFERROR(VLOOKUP($A23,[1]库存使用数据!$A:$E,5,0),0)+IFERROR(VLOOKUP($A23,[2]库存使用数据!$A:$E,5,0),0)+IFERROR(VLOOKUP($A23,[3]库存使用数据!$A:$E,5,0),0)+IFERROR(VLOOKUP($A23,[4]库存使用数据!$A:$E,5,0),0)+IFERROR(VLOOKUP($A23,[5]库存使用数据!$A:$E,5,0),0)</f>
        <v>1315</v>
      </c>
      <c r="F23" s="1">
        <f ca="1">IFERROR(VLOOKUP($A23,[1]库存使用数据!$A:$F,6,0),0)+IFERROR(VLOOKUP($A23,[2]库存使用数据!$A:$F,6,0),0)+IFERROR(VLOOKUP($A23,[4]库存使用数据!$A:$F,6,0),0)+IFERROR(VLOOKUP($A23,[3]库存使用数据!$A:$F,6,0),0)+IFERROR(VLOOKUP($A23,[5]库存使用数据!$A:$F,6,0),0)</f>
        <v>11</v>
      </c>
      <c r="G23" s="1">
        <f ca="1">IFERROR(VLOOKUP($A23,[1]库存使用数据!$A:$G,7,0),0)+IFERROR(VLOOKUP($A23,[2]库存使用数据!$A:$G,7,0),0)+公式!$B$14*IFERROR(VLOOKUP($A23,[3]库存使用数据!$A:$G,7,0),0)+IFERROR(VLOOKUP($A23,[4]库存使用数据!$A:$G,7,0),0)+IFERROR(VLOOKUP($A23,[5]库存使用数据!$A:$G,7,0),0)</f>
        <v>1.04</v>
      </c>
      <c r="H23" s="1">
        <f ca="1">IFERROR(VLOOKUP($A23,[1]库存使用数据!$A:$H,8,0),0)+IFERROR(VLOOKUP($A23,[2]库存使用数据!$A:$H,8,0),0)+IFERROR(VLOOKUP($A23,[3]库存使用数据!$A:$H,8,0),0)+IFERROR(VLOOKUP($A23,[4]库存使用数据!$A:$H,8,0),0)+IFERROR(VLOOKUP($A23,[5]库存使用数据!$A:$H,8,0),0)</f>
        <v>526</v>
      </c>
      <c r="I23" s="1">
        <f ca="1">IFERROR(VLOOKUP($A23,[1]库存使用数据!$A:$I,9,0),0)+IFERROR(VLOOKUP($A23,[2]库存使用数据!$A:$I,9,0),0)+IFERROR(VLOOKUP($A23,[3]库存使用数据!$A:$I,9,0),0)+IFERROR(VLOOKUP($A23,[4]库存使用数据!$A:$I,9,0),0)+IFERROR(VLOOKUP($A23,[5]库存使用数据!$A:$I,9,0),0)</f>
        <v>4</v>
      </c>
      <c r="J23" s="1">
        <f ca="1">IFERROR(VLOOKUP($A23,[1]库存使用数据!$A:$J,10,0),0)+IFERROR(VLOOKUP($A23,[2]库存使用数据!$A:$J,10,0),0)+公式!$B$14*IFERROR(VLOOKUP($A23,[3]库存使用数据!$A:$J,10,0),0)+IFERROR(VLOOKUP($A23,[4]库存使用数据!$A:$J,10,0),0)+IFERROR(VLOOKUP($A23,[5]库存使用数据!$A:$J,10,0),0)</f>
        <v>0.16</v>
      </c>
      <c r="K23" s="1">
        <f ca="1">IFERROR(VLOOKUP($A23,[1]库存使用数据!$A:$K,11,0),0)+IFERROR(VLOOKUP($A23,[2]库存使用数据!$A:$K,11,0),0)+IFERROR(VLOOKUP($A23,[3]库存使用数据!$A:$K,11,0),0)+IFERROR(VLOOKUP($A23,[4]库存使用数据!$A:$K,11,0),0)+IFERROR(VLOOKUP($A23,[5]库存使用数据!$A:$K,11,0),0)</f>
        <v>288</v>
      </c>
      <c r="L23" s="1">
        <f ca="1">IFERROR(VLOOKUP($A23,[1]库存使用数据!$A:$L,12,0),0)+IFERROR(VLOOKUP($A23,[2]库存使用数据!$A:$L,12,0),0)+IFERROR(VLOOKUP($A23,[3]库存使用数据!$A:$L,12,0),0)+IFERROR(VLOOKUP($A23,[4]库存使用数据!$A:$L,12,0),0)+IFERROR(VLOOKUP($A23,[5]库存使用数据!$A:$L,12,0),0)</f>
        <v>3</v>
      </c>
      <c r="M23" s="1">
        <f ca="1">IFERROR(VLOOKUP($A23,[1]库存使用数据!$A:$M,13,0),0)+IFERROR(VLOOKUP($A23,[2]库存使用数据!$A:$M,13,0),0)+公式!$B$14*IFERROR(VLOOKUP($A23,[3]库存使用数据!$A:$M,13,0),0)+IFERROR(VLOOKUP($A23,[4]库存使用数据!$A:$M,13,0),0)+IFERROR(VLOOKUP($A23,[5]库存使用数据!$A:$M,13,0),0)</f>
        <v>0.06</v>
      </c>
    </row>
    <row r="24" spans="1:13">
      <c r="A24" s="5" t="s">
        <v>29</v>
      </c>
      <c r="B24" s="2">
        <f ca="1">IFERROR(VLOOKUP(A24,[1]库存使用数据!$A:$B,2,0),0)+IFERROR(VLOOKUP(A24,[2]库存使用数据!$A:$B,2,0),0)+IFERROR(VLOOKUP(,[3]库存使用数据!$A:$B,2,0),0)+IFERROR(VLOOKUP(A24,[4]库存使用数据!$A:$B,2,0),0)+IFERROR(VLOOKUP(A24,[5]库存使用数据!$A:$B,2,0),0)</f>
        <v>0</v>
      </c>
      <c r="C24" s="1">
        <f ca="1">IFERROR(VLOOKUP($A24,[1]库存使用数据!$A:$C,3,0),0)+IFERROR(VLOOKUP($A24,[2]库存使用数据!$A:$C,3,0),0)+IFERROR(VLOOKUP($A24,[3]库存使用数据!$A:$C,3,0),0)+IFERROR(VLOOKUP($A24,[4]库存使用数据!$A:$C,3,0),0)+IFERROR(VLOOKUP($A24,[5]库存使用数据!$A:$C,3,0),0)</f>
        <v>0</v>
      </c>
      <c r="D24" s="1">
        <f ca="1">IFERROR(VLOOKUP($A24,[1]库存使用数据!$A:$D,4,0),0)+IFERROR(VLOOKUP($A24,[2]库存使用数据!$A:$D,4,0),0)+公式!$B$1*IFERROR(VLOOKUP($A24,[3]库存使用数据!$A:$D,4,0),0)+IFERROR(VLOOKUP($A24,[4]库存使用数据!$A:$D,4,0),0)+IFERROR(VLOOKUP($A24,[5]库存使用数据!$A:$D,4,0),0)</f>
        <v>0</v>
      </c>
      <c r="E24" s="1">
        <f ca="1">IFERROR(VLOOKUP($A24,[1]库存使用数据!$A:$E,5,0),0)+IFERROR(VLOOKUP($A24,[2]库存使用数据!$A:$E,5,0),0)+IFERROR(VLOOKUP($A24,[3]库存使用数据!$A:$E,5,0),0)+IFERROR(VLOOKUP($A24,[4]库存使用数据!$A:$E,5,0),0)+IFERROR(VLOOKUP($A24,[5]库存使用数据!$A:$E,5,0),0)</f>
        <v>0</v>
      </c>
      <c r="F24" s="1">
        <f ca="1">IFERROR(VLOOKUP($A24,[1]库存使用数据!$A:$F,6,0),0)+IFERROR(VLOOKUP($A24,[2]库存使用数据!$A:$F,6,0),0)+IFERROR(VLOOKUP($A24,[4]库存使用数据!$A:$F,6,0),0)+IFERROR(VLOOKUP($A24,[3]库存使用数据!$A:$F,6,0),0)+IFERROR(VLOOKUP($A24,[5]库存使用数据!$A:$F,6,0),0)</f>
        <v>0</v>
      </c>
      <c r="G24" s="1">
        <f ca="1">IFERROR(VLOOKUP($A24,[1]库存使用数据!$A:$G,7,0),0)+IFERROR(VLOOKUP($A24,[2]库存使用数据!$A:$G,7,0),0)+公式!$B$14*IFERROR(VLOOKUP($A24,[3]库存使用数据!$A:$G,7,0),0)+IFERROR(VLOOKUP($A24,[4]库存使用数据!$A:$G,7,0),0)+IFERROR(VLOOKUP($A24,[5]库存使用数据!$A:$G,7,0),0)</f>
        <v>0</v>
      </c>
      <c r="H24" s="1">
        <f ca="1">IFERROR(VLOOKUP($A24,[1]库存使用数据!$A:$H,8,0),0)+IFERROR(VLOOKUP($A24,[2]库存使用数据!$A:$H,8,0),0)+IFERROR(VLOOKUP($A24,[3]库存使用数据!$A:$H,8,0),0)+IFERROR(VLOOKUP($A24,[4]库存使用数据!$A:$H,8,0),0)+IFERROR(VLOOKUP($A24,[5]库存使用数据!$A:$H,8,0),0)</f>
        <v>0</v>
      </c>
      <c r="I24" s="1">
        <f ca="1">IFERROR(VLOOKUP($A24,[1]库存使用数据!$A:$I,9,0),0)+IFERROR(VLOOKUP($A24,[2]库存使用数据!$A:$I,9,0),0)+IFERROR(VLOOKUP($A24,[3]库存使用数据!$A:$I,9,0),0)+IFERROR(VLOOKUP($A24,[4]库存使用数据!$A:$I,9,0),0)+IFERROR(VLOOKUP($A24,[5]库存使用数据!$A:$I,9,0),0)</f>
        <v>0</v>
      </c>
      <c r="J24" s="1">
        <f ca="1">IFERROR(VLOOKUP($A24,[1]库存使用数据!$A:$J,10,0),0)+IFERROR(VLOOKUP($A24,[2]库存使用数据!$A:$J,10,0),0)+公式!$B$14*IFERROR(VLOOKUP($A24,[3]库存使用数据!$A:$J,10,0),0)+IFERROR(VLOOKUP($A24,[4]库存使用数据!$A:$J,10,0),0)+IFERROR(VLOOKUP($A24,[5]库存使用数据!$A:$J,10,0),0)</f>
        <v>0</v>
      </c>
      <c r="K24" s="1">
        <f ca="1">IFERROR(VLOOKUP($A24,[1]库存使用数据!$A:$K,11,0),0)+IFERROR(VLOOKUP($A24,[2]库存使用数据!$A:$K,11,0),0)+IFERROR(VLOOKUP($A24,[3]库存使用数据!$A:$K,11,0),0)+IFERROR(VLOOKUP($A24,[4]库存使用数据!$A:$K,11,0),0)+IFERROR(VLOOKUP($A24,[5]库存使用数据!$A:$K,11,0),0)</f>
        <v>129</v>
      </c>
      <c r="L24" s="1">
        <f ca="1">IFERROR(VLOOKUP($A24,[1]库存使用数据!$A:$L,12,0),0)+IFERROR(VLOOKUP($A24,[2]库存使用数据!$A:$L,12,0),0)+IFERROR(VLOOKUP($A24,[3]库存使用数据!$A:$L,12,0),0)+IFERROR(VLOOKUP($A24,[4]库存使用数据!$A:$L,12,0),0)+IFERROR(VLOOKUP($A24,[5]库存使用数据!$A:$L,12,0),0)</f>
        <v>2</v>
      </c>
      <c r="M24" s="1">
        <f ca="1">IFERROR(VLOOKUP($A24,[1]库存使用数据!$A:$M,13,0),0)+IFERROR(VLOOKUP($A24,[2]库存使用数据!$A:$M,13,0),0)+公式!$B$14*IFERROR(VLOOKUP($A24,[3]库存使用数据!$A:$M,13,0),0)+IFERROR(VLOOKUP($A24,[4]库存使用数据!$A:$M,13,0),0)+IFERROR(VLOOKUP($A24,[5]库存使用数据!$A:$M,13,0),0)</f>
        <v>0.24</v>
      </c>
    </row>
    <row r="25" spans="1:13">
      <c r="A25" s="5" t="s">
        <v>30</v>
      </c>
      <c r="B25" s="2">
        <f ca="1">IFERROR(VLOOKUP(A25,[1]库存使用数据!$A:$B,2,0),0)+IFERROR(VLOOKUP(A25,[2]库存使用数据!$A:$B,2,0),0)+IFERROR(VLOOKUP(,[3]库存使用数据!$A:$B,2,0),0)+IFERROR(VLOOKUP(A25,[4]库存使用数据!$A:$B,2,0),0)+IFERROR(VLOOKUP(A25,[5]库存使用数据!$A:$B,2,0),0)</f>
        <v>0</v>
      </c>
      <c r="C25" s="1">
        <f ca="1">IFERROR(VLOOKUP($A25,[1]库存使用数据!$A:$C,3,0),0)+IFERROR(VLOOKUP($A25,[2]库存使用数据!$A:$C,3,0),0)+IFERROR(VLOOKUP($A25,[3]库存使用数据!$A:$C,3,0),0)+IFERROR(VLOOKUP($A25,[4]库存使用数据!$A:$C,3,0),0)+IFERROR(VLOOKUP($A25,[5]库存使用数据!$A:$C,3,0),0)</f>
        <v>0</v>
      </c>
      <c r="D25" s="1">
        <f ca="1">IFERROR(VLOOKUP($A25,[1]库存使用数据!$A:$D,4,0),0)+IFERROR(VLOOKUP($A25,[2]库存使用数据!$A:$D,4,0),0)+公式!$B$1*IFERROR(VLOOKUP($A25,[3]库存使用数据!$A:$D,4,0),0)+IFERROR(VLOOKUP($A25,[4]库存使用数据!$A:$D,4,0),0)+IFERROR(VLOOKUP($A25,[5]库存使用数据!$A:$D,4,0),0)</f>
        <v>0</v>
      </c>
      <c r="E25" s="1">
        <f ca="1">IFERROR(VLOOKUP($A25,[1]库存使用数据!$A:$E,5,0),0)+IFERROR(VLOOKUP($A25,[2]库存使用数据!$A:$E,5,0),0)+IFERROR(VLOOKUP($A25,[3]库存使用数据!$A:$E,5,0),0)+IFERROR(VLOOKUP($A25,[4]库存使用数据!$A:$E,5,0),0)+IFERROR(VLOOKUP($A25,[5]库存使用数据!$A:$E,5,0),0)</f>
        <v>0</v>
      </c>
      <c r="F25" s="1">
        <f ca="1">IFERROR(VLOOKUP($A25,[1]库存使用数据!$A:$F,6,0),0)+IFERROR(VLOOKUP($A25,[2]库存使用数据!$A:$F,6,0),0)+IFERROR(VLOOKUP($A25,[4]库存使用数据!$A:$F,6,0),0)+IFERROR(VLOOKUP($A25,[3]库存使用数据!$A:$F,6,0),0)+IFERROR(VLOOKUP($A25,[5]库存使用数据!$A:$F,6,0),0)</f>
        <v>0</v>
      </c>
      <c r="G25" s="1">
        <f ca="1">IFERROR(VLOOKUP($A25,[1]库存使用数据!$A:$G,7,0),0)+IFERROR(VLOOKUP($A25,[2]库存使用数据!$A:$G,7,0),0)+公式!$B$14*IFERROR(VLOOKUP($A25,[3]库存使用数据!$A:$G,7,0),0)+IFERROR(VLOOKUP($A25,[4]库存使用数据!$A:$G,7,0),0)+IFERROR(VLOOKUP($A25,[5]库存使用数据!$A:$G,7,0),0)</f>
        <v>0</v>
      </c>
      <c r="H25" s="1">
        <f ca="1">IFERROR(VLOOKUP($A25,[1]库存使用数据!$A:$H,8,0),0)+IFERROR(VLOOKUP($A25,[2]库存使用数据!$A:$H,8,0),0)+IFERROR(VLOOKUP($A25,[3]库存使用数据!$A:$H,8,0),0)+IFERROR(VLOOKUP($A25,[4]库存使用数据!$A:$H,8,0),0)+IFERROR(VLOOKUP($A25,[5]库存使用数据!$A:$H,8,0),0)</f>
        <v>0</v>
      </c>
      <c r="I25" s="1">
        <f ca="1">IFERROR(VLOOKUP($A25,[1]库存使用数据!$A:$I,9,0),0)+IFERROR(VLOOKUP($A25,[2]库存使用数据!$A:$I,9,0),0)+IFERROR(VLOOKUP($A25,[3]库存使用数据!$A:$I,9,0),0)+IFERROR(VLOOKUP($A25,[4]库存使用数据!$A:$I,9,0),0)+IFERROR(VLOOKUP($A25,[5]库存使用数据!$A:$I,9,0),0)</f>
        <v>0</v>
      </c>
      <c r="J25" s="1">
        <f ca="1">IFERROR(VLOOKUP($A25,[1]库存使用数据!$A:$J,10,0),0)+IFERROR(VLOOKUP($A25,[2]库存使用数据!$A:$J,10,0),0)+公式!$B$14*IFERROR(VLOOKUP($A25,[3]库存使用数据!$A:$J,10,0),0)+IFERROR(VLOOKUP($A25,[4]库存使用数据!$A:$J,10,0),0)+IFERROR(VLOOKUP($A25,[5]库存使用数据!$A:$J,10,0),0)</f>
        <v>0</v>
      </c>
      <c r="K25" s="1">
        <f ca="1">IFERROR(VLOOKUP($A25,[1]库存使用数据!$A:$K,11,0),0)+IFERROR(VLOOKUP($A25,[2]库存使用数据!$A:$K,11,0),0)+IFERROR(VLOOKUP($A25,[3]库存使用数据!$A:$K,11,0),0)+IFERROR(VLOOKUP($A25,[4]库存使用数据!$A:$K,11,0),0)+IFERROR(VLOOKUP($A25,[5]库存使用数据!$A:$K,11,0),0)</f>
        <v>2888</v>
      </c>
      <c r="L25" s="1">
        <f ca="1">IFERROR(VLOOKUP($A25,[1]库存使用数据!$A:$L,12,0),0)+IFERROR(VLOOKUP($A25,[2]库存使用数据!$A:$L,12,0),0)+IFERROR(VLOOKUP($A25,[3]库存使用数据!$A:$L,12,0),0)+IFERROR(VLOOKUP($A25,[4]库存使用数据!$A:$L,12,0),0)+IFERROR(VLOOKUP($A25,[5]库存使用数据!$A:$L,12,0),0)</f>
        <v>22</v>
      </c>
      <c r="M25" s="1">
        <f ca="1">IFERROR(VLOOKUP($A25,[1]库存使用数据!$A:$M,13,0),0)+IFERROR(VLOOKUP($A25,[2]库存使用数据!$A:$M,13,0),0)+公式!$B$14*IFERROR(VLOOKUP($A25,[3]库存使用数据!$A:$M,13,0),0)+IFERROR(VLOOKUP($A25,[4]库存使用数据!$A:$M,13,0),0)+IFERROR(VLOOKUP($A25,[5]库存使用数据!$A:$M,13,0),0)</f>
        <v>3.01</v>
      </c>
    </row>
    <row r="26" spans="1:13">
      <c r="A26" s="5" t="s">
        <v>31</v>
      </c>
      <c r="B26" s="2">
        <f ca="1">IFERROR(VLOOKUP(A26,[1]库存使用数据!$A:$B,2,0),0)+IFERROR(VLOOKUP(A26,[2]库存使用数据!$A:$B,2,0),0)+IFERROR(VLOOKUP(,[3]库存使用数据!$A:$B,2,0),0)+IFERROR(VLOOKUP(A26,[4]库存使用数据!$A:$B,2,0),0)+IFERROR(VLOOKUP(A26,[5]库存使用数据!$A:$B,2,0),0)</f>
        <v>0</v>
      </c>
      <c r="C26" s="1">
        <f ca="1">IFERROR(VLOOKUP($A26,[1]库存使用数据!$A:$C,3,0),0)+IFERROR(VLOOKUP($A26,[2]库存使用数据!$A:$C,3,0),0)+IFERROR(VLOOKUP($A26,[3]库存使用数据!$A:$C,3,0),0)+IFERROR(VLOOKUP($A26,[4]库存使用数据!$A:$C,3,0),0)+IFERROR(VLOOKUP($A26,[5]库存使用数据!$A:$C,3,0),0)</f>
        <v>0</v>
      </c>
      <c r="D26" s="1">
        <f ca="1">IFERROR(VLOOKUP($A26,[1]库存使用数据!$A:$D,4,0),0)+IFERROR(VLOOKUP($A26,[2]库存使用数据!$A:$D,4,0),0)+公式!$B$1*IFERROR(VLOOKUP($A26,[3]库存使用数据!$A:$D,4,0),0)+IFERROR(VLOOKUP($A26,[4]库存使用数据!$A:$D,4,0),0)+IFERROR(VLOOKUP($A26,[5]库存使用数据!$A:$D,4,0),0)</f>
        <v>0</v>
      </c>
      <c r="E26" s="1">
        <f ca="1">IFERROR(VLOOKUP($A26,[1]库存使用数据!$A:$E,5,0),0)+IFERROR(VLOOKUP($A26,[2]库存使用数据!$A:$E,5,0),0)+IFERROR(VLOOKUP($A26,[3]库存使用数据!$A:$E,5,0),0)+IFERROR(VLOOKUP($A26,[4]库存使用数据!$A:$E,5,0),0)+IFERROR(VLOOKUP($A26,[5]库存使用数据!$A:$E,5,0),0)</f>
        <v>57906</v>
      </c>
      <c r="F26" s="1">
        <f ca="1">IFERROR(VLOOKUP($A26,[1]库存使用数据!$A:$F,6,0),0)+IFERROR(VLOOKUP($A26,[2]库存使用数据!$A:$F,6,0),0)+IFERROR(VLOOKUP($A26,[4]库存使用数据!$A:$F,6,0),0)+IFERROR(VLOOKUP($A26,[3]库存使用数据!$A:$F,6,0),0)+IFERROR(VLOOKUP($A26,[5]库存使用数据!$A:$F,6,0),0)</f>
        <v>332</v>
      </c>
      <c r="G26" s="1">
        <f ca="1">IFERROR(VLOOKUP($A26,[1]库存使用数据!$A:$G,7,0),0)+IFERROR(VLOOKUP($A26,[2]库存使用数据!$A:$G,7,0),0)+公式!$B$14*IFERROR(VLOOKUP($A26,[3]库存使用数据!$A:$G,7,0),0)+IFERROR(VLOOKUP($A26,[4]库存使用数据!$A:$G,7,0),0)+IFERROR(VLOOKUP($A26,[5]库存使用数据!$A:$G,7,0),0)</f>
        <v>63.5</v>
      </c>
      <c r="H26" s="1">
        <f ca="1">IFERROR(VLOOKUP($A26,[1]库存使用数据!$A:$H,8,0),0)+IFERROR(VLOOKUP($A26,[2]库存使用数据!$A:$H,8,0),0)+IFERROR(VLOOKUP($A26,[3]库存使用数据!$A:$H,8,0),0)+IFERROR(VLOOKUP($A26,[4]库存使用数据!$A:$H,8,0),0)+IFERROR(VLOOKUP($A26,[5]库存使用数据!$A:$H,8,0),0)</f>
        <v>1296</v>
      </c>
      <c r="I26" s="1">
        <f ca="1">IFERROR(VLOOKUP($A26,[1]库存使用数据!$A:$I,9,0),0)+IFERROR(VLOOKUP($A26,[2]库存使用数据!$A:$I,9,0),0)+IFERROR(VLOOKUP($A26,[3]库存使用数据!$A:$I,9,0),0)+IFERROR(VLOOKUP($A26,[4]库存使用数据!$A:$I,9,0),0)+IFERROR(VLOOKUP($A26,[5]库存使用数据!$A:$I,9,0),0)</f>
        <v>13</v>
      </c>
      <c r="J26" s="1">
        <f ca="1">IFERROR(VLOOKUP($A26,[1]库存使用数据!$A:$J,10,0),0)+IFERROR(VLOOKUP($A26,[2]库存使用数据!$A:$J,10,0),0)+公式!$B$14*IFERROR(VLOOKUP($A26,[3]库存使用数据!$A:$J,10,0),0)+IFERROR(VLOOKUP($A26,[4]库存使用数据!$A:$J,10,0),0)+IFERROR(VLOOKUP($A26,[5]库存使用数据!$A:$J,10,0),0)</f>
        <v>1.42</v>
      </c>
      <c r="K26" s="1">
        <f ca="1">IFERROR(VLOOKUP($A26,[1]库存使用数据!$A:$K,11,0),0)+IFERROR(VLOOKUP($A26,[2]库存使用数据!$A:$K,11,0),0)+IFERROR(VLOOKUP($A26,[3]库存使用数据!$A:$K,11,0),0)+IFERROR(VLOOKUP($A26,[4]库存使用数据!$A:$K,11,0),0)+IFERROR(VLOOKUP($A26,[5]库存使用数据!$A:$K,11,0),0)</f>
        <v>1309</v>
      </c>
      <c r="L26" s="1">
        <f ca="1">IFERROR(VLOOKUP($A26,[1]库存使用数据!$A:$L,12,0),0)+IFERROR(VLOOKUP($A26,[2]库存使用数据!$A:$L,12,0),0)+IFERROR(VLOOKUP($A26,[3]库存使用数据!$A:$L,12,0),0)+IFERROR(VLOOKUP($A26,[4]库存使用数据!$A:$L,12,0),0)+IFERROR(VLOOKUP($A26,[5]库存使用数据!$A:$L,12,0),0)</f>
        <v>11</v>
      </c>
      <c r="M26" s="1">
        <f ca="1">IFERROR(VLOOKUP($A26,[1]库存使用数据!$A:$M,13,0),0)+IFERROR(VLOOKUP($A26,[2]库存使用数据!$A:$M,13,0),0)+公式!$B$14*IFERROR(VLOOKUP($A26,[3]库存使用数据!$A:$M,13,0),0)+IFERROR(VLOOKUP($A26,[4]库存使用数据!$A:$M,13,0),0)+IFERROR(VLOOKUP($A26,[5]库存使用数据!$A:$M,13,0),0)</f>
        <v>1.08</v>
      </c>
    </row>
    <row r="27" spans="1:13">
      <c r="A27" s="5" t="s">
        <v>32</v>
      </c>
      <c r="B27" s="2">
        <f ca="1">IFERROR(VLOOKUP(A27,[1]库存使用数据!$A:$B,2,0),0)+IFERROR(VLOOKUP(A27,[2]库存使用数据!$A:$B,2,0),0)+IFERROR(VLOOKUP(,[3]库存使用数据!$A:$B,2,0),0)+IFERROR(VLOOKUP(A27,[4]库存使用数据!$A:$B,2,0),0)+IFERROR(VLOOKUP(A27,[5]库存使用数据!$A:$B,2,0),0)</f>
        <v>0</v>
      </c>
      <c r="C27" s="1">
        <f ca="1">IFERROR(VLOOKUP($A27,[1]库存使用数据!$A:$C,3,0),0)+IFERROR(VLOOKUP($A27,[2]库存使用数据!$A:$C,3,0),0)+IFERROR(VLOOKUP($A27,[3]库存使用数据!$A:$C,3,0),0)+IFERROR(VLOOKUP($A27,[4]库存使用数据!$A:$C,3,0),0)+IFERROR(VLOOKUP($A27,[5]库存使用数据!$A:$C,3,0),0)</f>
        <v>0</v>
      </c>
      <c r="D27" s="1">
        <f ca="1">IFERROR(VLOOKUP($A27,[1]库存使用数据!$A:$D,4,0),0)+IFERROR(VLOOKUP($A27,[2]库存使用数据!$A:$D,4,0),0)+公式!$B$1*IFERROR(VLOOKUP($A27,[3]库存使用数据!$A:$D,4,0),0)+IFERROR(VLOOKUP($A27,[4]库存使用数据!$A:$D,4,0),0)+IFERROR(VLOOKUP($A27,[5]库存使用数据!$A:$D,4,0),0)</f>
        <v>0</v>
      </c>
      <c r="E27" s="1">
        <f ca="1">IFERROR(VLOOKUP($A27,[1]库存使用数据!$A:$E,5,0),0)+IFERROR(VLOOKUP($A27,[2]库存使用数据!$A:$E,5,0),0)+IFERROR(VLOOKUP($A27,[3]库存使用数据!$A:$E,5,0),0)+IFERROR(VLOOKUP($A27,[4]库存使用数据!$A:$E,5,0),0)+IFERROR(VLOOKUP($A27,[5]库存使用数据!$A:$E,5,0),0)</f>
        <v>590</v>
      </c>
      <c r="F27" s="1">
        <f ca="1">IFERROR(VLOOKUP($A27,[1]库存使用数据!$A:$F,6,0),0)+IFERROR(VLOOKUP($A27,[2]库存使用数据!$A:$F,6,0),0)+IFERROR(VLOOKUP($A27,[4]库存使用数据!$A:$F,6,0),0)+IFERROR(VLOOKUP($A27,[3]库存使用数据!$A:$F,6,0),0)+IFERROR(VLOOKUP($A27,[5]库存使用数据!$A:$F,6,0),0)</f>
        <v>4</v>
      </c>
      <c r="G27" s="1">
        <f ca="1">IFERROR(VLOOKUP($A27,[1]库存使用数据!$A:$G,7,0),0)+IFERROR(VLOOKUP($A27,[2]库存使用数据!$A:$G,7,0),0)+公式!$B$14*IFERROR(VLOOKUP($A27,[3]库存使用数据!$A:$G,7,0),0)+IFERROR(VLOOKUP($A27,[4]库存使用数据!$A:$G,7,0),0)+IFERROR(VLOOKUP($A27,[5]库存使用数据!$A:$G,7,0),0)</f>
        <v>0.62</v>
      </c>
      <c r="H27" s="1">
        <f ca="1">IFERROR(VLOOKUP($A27,[1]库存使用数据!$A:$H,8,0),0)+IFERROR(VLOOKUP($A27,[2]库存使用数据!$A:$H,8,0),0)+IFERROR(VLOOKUP($A27,[3]库存使用数据!$A:$H,8,0),0)+IFERROR(VLOOKUP($A27,[4]库存使用数据!$A:$H,8,0),0)+IFERROR(VLOOKUP($A27,[5]库存使用数据!$A:$H,8,0),0)</f>
        <v>251</v>
      </c>
      <c r="I27" s="1">
        <f ca="1">IFERROR(VLOOKUP($A27,[1]库存使用数据!$A:$I,9,0),0)+IFERROR(VLOOKUP($A27,[2]库存使用数据!$A:$I,9,0),0)+IFERROR(VLOOKUP($A27,[3]库存使用数据!$A:$I,9,0),0)+IFERROR(VLOOKUP($A27,[4]库存使用数据!$A:$I,9,0),0)+IFERROR(VLOOKUP($A27,[5]库存使用数据!$A:$I,9,0),0)</f>
        <v>4</v>
      </c>
      <c r="J27" s="1">
        <f ca="1">IFERROR(VLOOKUP($A27,[1]库存使用数据!$A:$J,10,0),0)+IFERROR(VLOOKUP($A27,[2]库存使用数据!$A:$J,10,0),0)+公式!$B$14*IFERROR(VLOOKUP($A27,[3]库存使用数据!$A:$J,10,0),0)+IFERROR(VLOOKUP($A27,[4]库存使用数据!$A:$J,10,0),0)+IFERROR(VLOOKUP($A27,[5]库存使用数据!$A:$J,10,0),0)</f>
        <v>0.13</v>
      </c>
      <c r="K27" s="1">
        <f ca="1">IFERROR(VLOOKUP($A27,[1]库存使用数据!$A:$K,11,0),0)+IFERROR(VLOOKUP($A27,[2]库存使用数据!$A:$K,11,0),0)+IFERROR(VLOOKUP($A27,[3]库存使用数据!$A:$K,11,0),0)+IFERROR(VLOOKUP($A27,[4]库存使用数据!$A:$K,11,0),0)+IFERROR(VLOOKUP($A27,[5]库存使用数据!$A:$K,11,0),0)</f>
        <v>220</v>
      </c>
      <c r="L27" s="1">
        <f ca="1">IFERROR(VLOOKUP($A27,[1]库存使用数据!$A:$L,12,0),0)+IFERROR(VLOOKUP($A27,[2]库存使用数据!$A:$L,12,0),0)+IFERROR(VLOOKUP($A27,[3]库存使用数据!$A:$L,12,0),0)+IFERROR(VLOOKUP($A27,[4]库存使用数据!$A:$L,12,0),0)+IFERROR(VLOOKUP($A27,[5]库存使用数据!$A:$L,12,0),0)</f>
        <v>2</v>
      </c>
      <c r="M27" s="1">
        <f ca="1">IFERROR(VLOOKUP($A27,[1]库存使用数据!$A:$M,13,0),0)+IFERROR(VLOOKUP($A27,[2]库存使用数据!$A:$M,13,0),0)+公式!$B$14*IFERROR(VLOOKUP($A27,[3]库存使用数据!$A:$M,13,0),0)+IFERROR(VLOOKUP($A27,[4]库存使用数据!$A:$M,13,0),0)+IFERROR(VLOOKUP($A27,[5]库存使用数据!$A:$M,13,0),0)</f>
        <v>0.2</v>
      </c>
    </row>
    <row r="28" spans="1:13">
      <c r="A28" s="5" t="s">
        <v>33</v>
      </c>
      <c r="B28" s="2">
        <f ca="1">IFERROR(VLOOKUP(A28,[1]库存使用数据!$A:$B,2,0),0)+IFERROR(VLOOKUP(A28,[2]库存使用数据!$A:$B,2,0),0)+IFERROR(VLOOKUP(,[3]库存使用数据!$A:$B,2,0),0)+IFERROR(VLOOKUP(A28,[4]库存使用数据!$A:$B,2,0),0)+IFERROR(VLOOKUP(A28,[5]库存使用数据!$A:$B,2,0),0)</f>
        <v>0</v>
      </c>
      <c r="C28" s="1">
        <f ca="1">IFERROR(VLOOKUP($A28,[1]库存使用数据!$A:$C,3,0),0)+IFERROR(VLOOKUP($A28,[2]库存使用数据!$A:$C,3,0),0)+IFERROR(VLOOKUP($A28,[3]库存使用数据!$A:$C,3,0),0)+IFERROR(VLOOKUP($A28,[4]库存使用数据!$A:$C,3,0),0)+IFERROR(VLOOKUP($A28,[5]库存使用数据!$A:$C,3,0),0)</f>
        <v>90</v>
      </c>
      <c r="D28" s="1">
        <f ca="1">IFERROR(VLOOKUP($A28,[1]库存使用数据!$A:$D,4,0),0)+IFERROR(VLOOKUP($A28,[2]库存使用数据!$A:$D,4,0),0)+公式!$B$1*IFERROR(VLOOKUP($A28,[3]库存使用数据!$A:$D,4,0),0)+IFERROR(VLOOKUP($A28,[4]库存使用数据!$A:$D,4,0),0)+IFERROR(VLOOKUP($A28,[5]库存使用数据!$A:$D,4,0),0)</f>
        <v>19.94625</v>
      </c>
      <c r="E28" s="1">
        <f ca="1">IFERROR(VLOOKUP($A28,[1]库存使用数据!$A:$E,5,0),0)+IFERROR(VLOOKUP($A28,[2]库存使用数据!$A:$E,5,0),0)+IFERROR(VLOOKUP($A28,[3]库存使用数据!$A:$E,5,0),0)+IFERROR(VLOOKUP($A28,[4]库存使用数据!$A:$E,5,0),0)+IFERROR(VLOOKUP($A28,[5]库存使用数据!$A:$E,5,0),0)</f>
        <v>24931</v>
      </c>
      <c r="F28" s="1">
        <f ca="1">IFERROR(VLOOKUP($A28,[1]库存使用数据!$A:$F,6,0),0)+IFERROR(VLOOKUP($A28,[2]库存使用数据!$A:$F,6,0),0)+IFERROR(VLOOKUP($A28,[4]库存使用数据!$A:$F,6,0),0)+IFERROR(VLOOKUP($A28,[3]库存使用数据!$A:$F,6,0),0)+IFERROR(VLOOKUP($A28,[5]库存使用数据!$A:$F,6,0),0)</f>
        <v>147</v>
      </c>
      <c r="G28" s="1">
        <f ca="1">IFERROR(VLOOKUP($A28,[1]库存使用数据!$A:$G,7,0),0)+IFERROR(VLOOKUP($A28,[2]库存使用数据!$A:$G,7,0),0)+公式!$B$14*IFERROR(VLOOKUP($A28,[3]库存使用数据!$A:$G,7,0),0)+IFERROR(VLOOKUP($A28,[4]库存使用数据!$A:$G,7,0),0)+IFERROR(VLOOKUP($A28,[5]库存使用数据!$A:$G,7,0),0)</f>
        <v>2.37</v>
      </c>
      <c r="H28" s="1">
        <f ca="1">IFERROR(VLOOKUP($A28,[1]库存使用数据!$A:$H,8,0),0)+IFERROR(VLOOKUP($A28,[2]库存使用数据!$A:$H,8,0),0)+IFERROR(VLOOKUP($A28,[3]库存使用数据!$A:$H,8,0),0)+IFERROR(VLOOKUP($A28,[4]库存使用数据!$A:$H,8,0),0)+IFERROR(VLOOKUP($A28,[5]库存使用数据!$A:$H,8,0),0)</f>
        <v>8965</v>
      </c>
      <c r="I28" s="1">
        <f ca="1">IFERROR(VLOOKUP($A28,[1]库存使用数据!$A:$I,9,0),0)+IFERROR(VLOOKUP($A28,[2]库存使用数据!$A:$I,9,0),0)+IFERROR(VLOOKUP($A28,[3]库存使用数据!$A:$I,9,0),0)+IFERROR(VLOOKUP($A28,[4]库存使用数据!$A:$I,9,0),0)+IFERROR(VLOOKUP($A28,[5]库存使用数据!$A:$I,9,0),0)</f>
        <v>93</v>
      </c>
      <c r="J28" s="1">
        <f ca="1">IFERROR(VLOOKUP($A28,[1]库存使用数据!$A:$J,10,0),0)+IFERROR(VLOOKUP($A28,[2]库存使用数据!$A:$J,10,0),0)+公式!$B$14*IFERROR(VLOOKUP($A28,[3]库存使用数据!$A:$J,10,0),0)+IFERROR(VLOOKUP($A28,[4]库存使用数据!$A:$J,10,0),0)+IFERROR(VLOOKUP($A28,[5]库存使用数据!$A:$J,10,0),0)</f>
        <v>0.4</v>
      </c>
      <c r="K28" s="1">
        <f ca="1">IFERROR(VLOOKUP($A28,[1]库存使用数据!$A:$K,11,0),0)+IFERROR(VLOOKUP($A28,[2]库存使用数据!$A:$K,11,0),0)+IFERROR(VLOOKUP($A28,[3]库存使用数据!$A:$K,11,0),0)+IFERROR(VLOOKUP($A28,[4]库存使用数据!$A:$K,11,0),0)+IFERROR(VLOOKUP($A28,[5]库存使用数据!$A:$K,11,0),0)</f>
        <v>18626</v>
      </c>
      <c r="L28" s="1">
        <f ca="1">IFERROR(VLOOKUP($A28,[1]库存使用数据!$A:$L,12,0),0)+IFERROR(VLOOKUP($A28,[2]库存使用数据!$A:$L,12,0),0)+IFERROR(VLOOKUP($A28,[3]库存使用数据!$A:$L,12,0),0)+IFERROR(VLOOKUP($A28,[4]库存使用数据!$A:$L,12,0),0)+IFERROR(VLOOKUP($A28,[5]库存使用数据!$A:$L,12,0),0)</f>
        <v>91</v>
      </c>
      <c r="M28" s="1">
        <f ca="1">IFERROR(VLOOKUP($A28,[1]库存使用数据!$A:$M,13,0),0)+IFERROR(VLOOKUP($A28,[2]库存使用数据!$A:$M,13,0),0)+公式!$B$14*IFERROR(VLOOKUP($A28,[3]库存使用数据!$A:$M,13,0),0)+IFERROR(VLOOKUP($A28,[4]库存使用数据!$A:$M,13,0),0)+IFERROR(VLOOKUP($A28,[5]库存使用数据!$A:$M,13,0),0)</f>
        <v>0.73</v>
      </c>
    </row>
    <row r="29" spans="1:13">
      <c r="A29" s="5" t="s">
        <v>34</v>
      </c>
      <c r="B29" s="2">
        <f ca="1">IFERROR(VLOOKUP(A29,[1]库存使用数据!$A:$B,2,0),0)+IFERROR(VLOOKUP(A29,[2]库存使用数据!$A:$B,2,0),0)+IFERROR(VLOOKUP(,[3]库存使用数据!$A:$B,2,0),0)+IFERROR(VLOOKUP(A29,[4]库存使用数据!$A:$B,2,0),0)+IFERROR(VLOOKUP(A29,[5]库存使用数据!$A:$B,2,0),0)</f>
        <v>0</v>
      </c>
      <c r="C29" s="1">
        <f ca="1">IFERROR(VLOOKUP($A29,[1]库存使用数据!$A:$C,3,0),0)+IFERROR(VLOOKUP($A29,[2]库存使用数据!$A:$C,3,0),0)+IFERROR(VLOOKUP($A29,[3]库存使用数据!$A:$C,3,0),0)+IFERROR(VLOOKUP($A29,[4]库存使用数据!$A:$C,3,0),0)+IFERROR(VLOOKUP($A29,[5]库存使用数据!$A:$C,3,0),0)</f>
        <v>0</v>
      </c>
      <c r="D29" s="1">
        <f ca="1">IFERROR(VLOOKUP($A29,[1]库存使用数据!$A:$D,4,0),0)+IFERROR(VLOOKUP($A29,[2]库存使用数据!$A:$D,4,0),0)+公式!$B$1*IFERROR(VLOOKUP($A29,[3]库存使用数据!$A:$D,4,0),0)+IFERROR(VLOOKUP($A29,[4]库存使用数据!$A:$D,4,0),0)+IFERROR(VLOOKUP($A29,[5]库存使用数据!$A:$D,4,0),0)</f>
        <v>0</v>
      </c>
      <c r="E29" s="1">
        <f ca="1">IFERROR(VLOOKUP($A29,[1]库存使用数据!$A:$E,5,0),0)+IFERROR(VLOOKUP($A29,[2]库存使用数据!$A:$E,5,0),0)+IFERROR(VLOOKUP($A29,[3]库存使用数据!$A:$E,5,0),0)+IFERROR(VLOOKUP($A29,[4]库存使用数据!$A:$E,5,0),0)+IFERROR(VLOOKUP($A29,[5]库存使用数据!$A:$E,5,0),0)</f>
        <v>3624</v>
      </c>
      <c r="F29" s="1">
        <f ca="1">IFERROR(VLOOKUP($A29,[1]库存使用数据!$A:$F,6,0),0)+IFERROR(VLOOKUP($A29,[2]库存使用数据!$A:$F,6,0),0)+IFERROR(VLOOKUP($A29,[4]库存使用数据!$A:$F,6,0),0)+IFERROR(VLOOKUP($A29,[3]库存使用数据!$A:$F,6,0),0)+IFERROR(VLOOKUP($A29,[5]库存使用数据!$A:$F,6,0),0)</f>
        <v>14</v>
      </c>
      <c r="G29" s="1">
        <f ca="1">IFERROR(VLOOKUP($A29,[1]库存使用数据!$A:$G,7,0),0)+IFERROR(VLOOKUP($A29,[2]库存使用数据!$A:$G,7,0),0)+公式!$B$14*IFERROR(VLOOKUP($A29,[3]库存使用数据!$A:$G,7,0),0)+IFERROR(VLOOKUP($A29,[4]库存使用数据!$A:$G,7,0),0)+IFERROR(VLOOKUP($A29,[5]库存使用数据!$A:$G,7,0),0)</f>
        <v>1.74</v>
      </c>
      <c r="H29" s="1">
        <f ca="1">IFERROR(VLOOKUP($A29,[1]库存使用数据!$A:$H,8,0),0)+IFERROR(VLOOKUP($A29,[2]库存使用数据!$A:$H,8,0),0)+IFERROR(VLOOKUP($A29,[3]库存使用数据!$A:$H,8,0),0)+IFERROR(VLOOKUP($A29,[4]库存使用数据!$A:$H,8,0),0)+IFERROR(VLOOKUP($A29,[5]库存使用数据!$A:$H,8,0),0)</f>
        <v>1840</v>
      </c>
      <c r="I29" s="1">
        <f ca="1">IFERROR(VLOOKUP($A29,[1]库存使用数据!$A:$I,9,0),0)+IFERROR(VLOOKUP($A29,[2]库存使用数据!$A:$I,9,0),0)+IFERROR(VLOOKUP($A29,[3]库存使用数据!$A:$I,9,0),0)+IFERROR(VLOOKUP($A29,[4]库存使用数据!$A:$I,9,0),0)+IFERROR(VLOOKUP($A29,[5]库存使用数据!$A:$I,9,0),0)</f>
        <v>9</v>
      </c>
      <c r="J29" s="1">
        <f ca="1">IFERROR(VLOOKUP($A29,[1]库存使用数据!$A:$J,10,0),0)+IFERROR(VLOOKUP($A29,[2]库存使用数据!$A:$J,10,0),0)+公式!$B$14*IFERROR(VLOOKUP($A29,[3]库存使用数据!$A:$J,10,0),0)+IFERROR(VLOOKUP($A29,[4]库存使用数据!$A:$J,10,0),0)+IFERROR(VLOOKUP($A29,[5]库存使用数据!$A:$J,10,0),0)</f>
        <v>1.34</v>
      </c>
      <c r="K29" s="1">
        <f ca="1">IFERROR(VLOOKUP($A29,[1]库存使用数据!$A:$K,11,0),0)+IFERROR(VLOOKUP($A29,[2]库存使用数据!$A:$K,11,0),0)+IFERROR(VLOOKUP($A29,[3]库存使用数据!$A:$K,11,0),0)+IFERROR(VLOOKUP($A29,[4]库存使用数据!$A:$K,11,0),0)+IFERROR(VLOOKUP($A29,[5]库存使用数据!$A:$K,11,0),0)</f>
        <v>676</v>
      </c>
      <c r="L29" s="1">
        <f ca="1">IFERROR(VLOOKUP($A29,[1]库存使用数据!$A:$L,12,0),0)+IFERROR(VLOOKUP($A29,[2]库存使用数据!$A:$L,12,0),0)+IFERROR(VLOOKUP($A29,[3]库存使用数据!$A:$L,12,0),0)+IFERROR(VLOOKUP($A29,[4]库存使用数据!$A:$L,12,0),0)+IFERROR(VLOOKUP($A29,[5]库存使用数据!$A:$L,12,0),0)</f>
        <v>3</v>
      </c>
      <c r="M29" s="1">
        <f ca="1">IFERROR(VLOOKUP($A29,[1]库存使用数据!$A:$M,13,0),0)+IFERROR(VLOOKUP($A29,[2]库存使用数据!$A:$M,13,0),0)+公式!$B$14*IFERROR(VLOOKUP($A29,[3]库存使用数据!$A:$M,13,0),0)+IFERROR(VLOOKUP($A29,[4]库存使用数据!$A:$M,13,0),0)+IFERROR(VLOOKUP($A29,[5]库存使用数据!$A:$M,13,0),0)</f>
        <v>0.39</v>
      </c>
    </row>
    <row r="30" spans="1:13">
      <c r="A30" s="5" t="s">
        <v>35</v>
      </c>
      <c r="B30" s="2">
        <f ca="1">IFERROR(VLOOKUP(A30,[1]库存使用数据!$A:$B,2,0),0)+IFERROR(VLOOKUP(A30,[2]库存使用数据!$A:$B,2,0),0)+IFERROR(VLOOKUP(,[3]库存使用数据!$A:$B,2,0),0)+IFERROR(VLOOKUP(A30,[4]库存使用数据!$A:$B,2,0),0)+IFERROR(VLOOKUP(A30,[5]库存使用数据!$A:$B,2,0),0)</f>
        <v>0</v>
      </c>
      <c r="C30" s="1">
        <f ca="1">IFERROR(VLOOKUP($A30,[1]库存使用数据!$A:$C,3,0),0)+IFERROR(VLOOKUP($A30,[2]库存使用数据!$A:$C,3,0),0)+IFERROR(VLOOKUP($A30,[3]库存使用数据!$A:$C,3,0),0)+IFERROR(VLOOKUP($A30,[4]库存使用数据!$A:$C,3,0),0)+IFERROR(VLOOKUP($A30,[5]库存使用数据!$A:$C,3,0),0)</f>
        <v>0</v>
      </c>
      <c r="D30" s="1">
        <f ca="1">IFERROR(VLOOKUP($A30,[1]库存使用数据!$A:$D,4,0),0)+IFERROR(VLOOKUP($A30,[2]库存使用数据!$A:$D,4,0),0)+公式!$B$1*IFERROR(VLOOKUP($A30,[3]库存使用数据!$A:$D,4,0),0)+IFERROR(VLOOKUP($A30,[4]库存使用数据!$A:$D,4,0),0)+IFERROR(VLOOKUP($A30,[5]库存使用数据!$A:$D,4,0),0)</f>
        <v>0</v>
      </c>
      <c r="E30" s="1">
        <f ca="1">IFERROR(VLOOKUP($A30,[1]库存使用数据!$A:$E,5,0),0)+IFERROR(VLOOKUP($A30,[2]库存使用数据!$A:$E,5,0),0)+IFERROR(VLOOKUP($A30,[3]库存使用数据!$A:$E,5,0),0)+IFERROR(VLOOKUP($A30,[4]库存使用数据!$A:$E,5,0),0)+IFERROR(VLOOKUP($A30,[5]库存使用数据!$A:$E,5,0),0)</f>
        <v>540</v>
      </c>
      <c r="F30" s="1">
        <f ca="1">IFERROR(VLOOKUP($A30,[1]库存使用数据!$A:$F,6,0),0)+IFERROR(VLOOKUP($A30,[2]库存使用数据!$A:$F,6,0),0)+IFERROR(VLOOKUP($A30,[4]库存使用数据!$A:$F,6,0),0)+IFERROR(VLOOKUP($A30,[3]库存使用数据!$A:$F,6,0),0)+IFERROR(VLOOKUP($A30,[5]库存使用数据!$A:$F,6,0),0)</f>
        <v>0</v>
      </c>
      <c r="G30" s="1">
        <f ca="1">IFERROR(VLOOKUP($A30,[1]库存使用数据!$A:$G,7,0),0)+IFERROR(VLOOKUP($A30,[2]库存使用数据!$A:$G,7,0),0)+公式!$B$14*IFERROR(VLOOKUP($A30,[3]库存使用数据!$A:$G,7,0),0)+IFERROR(VLOOKUP($A30,[4]库存使用数据!$A:$G,7,0),0)+IFERROR(VLOOKUP($A30,[5]库存使用数据!$A:$G,7,0),0)</f>
        <v>0</v>
      </c>
      <c r="H30" s="1">
        <f ca="1">IFERROR(VLOOKUP($A30,[1]库存使用数据!$A:$H,8,0),0)+IFERROR(VLOOKUP($A30,[2]库存使用数据!$A:$H,8,0),0)+IFERROR(VLOOKUP($A30,[3]库存使用数据!$A:$H,8,0),0)+IFERROR(VLOOKUP($A30,[4]库存使用数据!$A:$H,8,0),0)+IFERROR(VLOOKUP($A30,[5]库存使用数据!$A:$H,8,0),0)</f>
        <v>240</v>
      </c>
      <c r="I30" s="1">
        <f ca="1">IFERROR(VLOOKUP($A30,[1]库存使用数据!$A:$I,9,0),0)+IFERROR(VLOOKUP($A30,[2]库存使用数据!$A:$I,9,0),0)+IFERROR(VLOOKUP($A30,[3]库存使用数据!$A:$I,9,0),0)+IFERROR(VLOOKUP($A30,[4]库存使用数据!$A:$I,9,0),0)+IFERROR(VLOOKUP($A30,[5]库存使用数据!$A:$I,9,0),0)</f>
        <v>2</v>
      </c>
      <c r="J30" s="1">
        <f ca="1">IFERROR(VLOOKUP($A30,[1]库存使用数据!$A:$J,10,0),0)+IFERROR(VLOOKUP($A30,[2]库存使用数据!$A:$J,10,0),0)+公式!$B$14*IFERROR(VLOOKUP($A30,[3]库存使用数据!$A:$J,10,0),0)+IFERROR(VLOOKUP($A30,[4]库存使用数据!$A:$J,10,0),0)+IFERROR(VLOOKUP($A30,[5]库存使用数据!$A:$J,10,0),0)</f>
        <v>0.29</v>
      </c>
      <c r="K30" s="1">
        <f ca="1">IFERROR(VLOOKUP($A30,[1]库存使用数据!$A:$K,11,0),0)+IFERROR(VLOOKUP($A30,[2]库存使用数据!$A:$K,11,0),0)+IFERROR(VLOOKUP($A30,[3]库存使用数据!$A:$K,11,0),0)+IFERROR(VLOOKUP($A30,[4]库存使用数据!$A:$K,11,0),0)+IFERROR(VLOOKUP($A30,[5]库存使用数据!$A:$K,11,0),0)</f>
        <v>201</v>
      </c>
      <c r="L30" s="1">
        <f ca="1">IFERROR(VLOOKUP($A30,[1]库存使用数据!$A:$L,12,0),0)+IFERROR(VLOOKUP($A30,[2]库存使用数据!$A:$L,12,0),0)+IFERROR(VLOOKUP($A30,[3]库存使用数据!$A:$L,12,0),0)+IFERROR(VLOOKUP($A30,[4]库存使用数据!$A:$L,12,0),0)+IFERROR(VLOOKUP($A30,[5]库存使用数据!$A:$L,12,0),0)</f>
        <v>0</v>
      </c>
      <c r="M30" s="1">
        <f ca="1">IFERROR(VLOOKUP($A30,[1]库存使用数据!$A:$M,13,0),0)+IFERROR(VLOOKUP($A30,[2]库存使用数据!$A:$M,13,0),0)+公式!$B$14*IFERROR(VLOOKUP($A30,[3]库存使用数据!$A:$M,13,0),0)+IFERROR(VLOOKUP($A30,[4]库存使用数据!$A:$M,13,0),0)+IFERROR(VLOOKUP($A30,[5]库存使用数据!$A:$M,13,0),0)</f>
        <v>0</v>
      </c>
    </row>
    <row r="31" spans="1:13">
      <c r="A31" s="5" t="s">
        <v>36</v>
      </c>
      <c r="B31" s="2">
        <f ca="1">IFERROR(VLOOKUP(A31,[1]库存使用数据!$A:$B,2,0),0)+IFERROR(VLOOKUP(A31,[2]库存使用数据!$A:$B,2,0),0)+IFERROR(VLOOKUP(,[3]库存使用数据!$A:$B,2,0),0)+IFERROR(VLOOKUP(A31,[4]库存使用数据!$A:$B,2,0),0)+IFERROR(VLOOKUP(A31,[5]库存使用数据!$A:$B,2,0),0)</f>
        <v>149</v>
      </c>
      <c r="C31" s="1">
        <f ca="1">IFERROR(VLOOKUP($A31,[1]库存使用数据!$A:$C,3,0),0)+IFERROR(VLOOKUP($A31,[2]库存使用数据!$A:$C,3,0),0)+IFERROR(VLOOKUP($A31,[3]库存使用数据!$A:$C,3,0),0)+IFERROR(VLOOKUP($A31,[4]库存使用数据!$A:$C,3,0),0)+IFERROR(VLOOKUP($A31,[5]库存使用数据!$A:$C,3,0),0)</f>
        <v>0</v>
      </c>
      <c r="D31" s="1">
        <f ca="1">IFERROR(VLOOKUP($A31,[1]库存使用数据!$A:$D,4,0),0)+IFERROR(VLOOKUP($A31,[2]库存使用数据!$A:$D,4,0),0)+公式!$B$1*IFERROR(VLOOKUP($A31,[3]库存使用数据!$A:$D,4,0),0)+IFERROR(VLOOKUP($A31,[4]库存使用数据!$A:$D,4,0),0)+IFERROR(VLOOKUP($A31,[5]库存使用数据!$A:$D,4,0),0)</f>
        <v>0</v>
      </c>
      <c r="E31" s="1">
        <f ca="1">IFERROR(VLOOKUP($A31,[1]库存使用数据!$A:$E,5,0),0)+IFERROR(VLOOKUP($A31,[2]库存使用数据!$A:$E,5,0),0)+IFERROR(VLOOKUP($A31,[3]库存使用数据!$A:$E,5,0),0)+IFERROR(VLOOKUP($A31,[4]库存使用数据!$A:$E,5,0),0)+IFERROR(VLOOKUP($A31,[5]库存使用数据!$A:$E,5,0),0)</f>
        <v>10045</v>
      </c>
      <c r="F31" s="1">
        <f ca="1">IFERROR(VLOOKUP($A31,[1]库存使用数据!$A:$F,6,0),0)+IFERROR(VLOOKUP($A31,[2]库存使用数据!$A:$F,6,0),0)+IFERROR(VLOOKUP($A31,[4]库存使用数据!$A:$F,6,0),0)+IFERROR(VLOOKUP($A31,[3]库存使用数据!$A:$F,6,0),0)+IFERROR(VLOOKUP($A31,[5]库存使用数据!$A:$F,6,0),0)</f>
        <v>21</v>
      </c>
      <c r="G31" s="1">
        <f ca="1">IFERROR(VLOOKUP($A31,[1]库存使用数据!$A:$G,7,0),0)+IFERROR(VLOOKUP($A31,[2]库存使用数据!$A:$G,7,0),0)+公式!$B$14*IFERROR(VLOOKUP($A31,[3]库存使用数据!$A:$G,7,0),0)+IFERROR(VLOOKUP($A31,[4]库存使用数据!$A:$G,7,0),0)+IFERROR(VLOOKUP($A31,[5]库存使用数据!$A:$G,7,0),0)</f>
        <v>3.47</v>
      </c>
      <c r="H31" s="1">
        <f ca="1">IFERROR(VLOOKUP($A31,[1]库存使用数据!$A:$H,8,0),0)+IFERROR(VLOOKUP($A31,[2]库存使用数据!$A:$H,8,0),0)+IFERROR(VLOOKUP($A31,[3]库存使用数据!$A:$H,8,0),0)+IFERROR(VLOOKUP($A31,[4]库存使用数据!$A:$H,8,0),0)+IFERROR(VLOOKUP($A31,[5]库存使用数据!$A:$H,8,0),0)</f>
        <v>7043</v>
      </c>
      <c r="I31" s="1">
        <f ca="1">IFERROR(VLOOKUP($A31,[1]库存使用数据!$A:$I,9,0),0)+IFERROR(VLOOKUP($A31,[2]库存使用数据!$A:$I,9,0),0)+IFERROR(VLOOKUP($A31,[3]库存使用数据!$A:$I,9,0),0)+IFERROR(VLOOKUP($A31,[4]库存使用数据!$A:$I,9,0),0)+IFERROR(VLOOKUP($A31,[5]库存使用数据!$A:$I,9,0),0)</f>
        <v>16</v>
      </c>
      <c r="J31" s="1">
        <f ca="1">IFERROR(VLOOKUP($A31,[1]库存使用数据!$A:$J,10,0),0)+IFERROR(VLOOKUP($A31,[2]库存使用数据!$A:$J,10,0),0)+公式!$B$14*IFERROR(VLOOKUP($A31,[3]库存使用数据!$A:$J,10,0),0)+IFERROR(VLOOKUP($A31,[4]库存使用数据!$A:$J,10,0),0)+IFERROR(VLOOKUP($A31,[5]库存使用数据!$A:$J,10,0),0)</f>
        <v>2.07</v>
      </c>
      <c r="K31" s="1">
        <f ca="1">IFERROR(VLOOKUP($A31,[1]库存使用数据!$A:$K,11,0),0)+IFERROR(VLOOKUP($A31,[2]库存使用数据!$A:$K,11,0),0)+IFERROR(VLOOKUP($A31,[3]库存使用数据!$A:$K,11,0),0)+IFERROR(VLOOKUP($A31,[4]库存使用数据!$A:$K,11,0),0)+IFERROR(VLOOKUP($A31,[5]库存使用数据!$A:$K,11,0),0)</f>
        <v>4410</v>
      </c>
      <c r="L31" s="1">
        <f ca="1">IFERROR(VLOOKUP($A31,[1]库存使用数据!$A:$L,12,0),0)+IFERROR(VLOOKUP($A31,[2]库存使用数据!$A:$L,12,0),0)+IFERROR(VLOOKUP($A31,[3]库存使用数据!$A:$L,12,0),0)+IFERROR(VLOOKUP($A31,[4]库存使用数据!$A:$L,12,0),0)+IFERROR(VLOOKUP($A31,[5]库存使用数据!$A:$L,12,0),0)</f>
        <v>27</v>
      </c>
      <c r="M31" s="1">
        <f ca="1">IFERROR(VLOOKUP($A31,[1]库存使用数据!$A:$M,13,0),0)+IFERROR(VLOOKUP($A31,[2]库存使用数据!$A:$M,13,0),0)+公式!$B$14*IFERROR(VLOOKUP($A31,[3]库存使用数据!$A:$M,13,0),0)+IFERROR(VLOOKUP($A31,[4]库存使用数据!$A:$M,13,0),0)+IFERROR(VLOOKUP($A31,[5]库存使用数据!$A:$M,13,0),0)</f>
        <v>3.74</v>
      </c>
    </row>
    <row r="32" spans="1:13">
      <c r="A32" s="5" t="s">
        <v>37</v>
      </c>
      <c r="B32" s="2">
        <f ca="1">IFERROR(VLOOKUP(A32,[1]库存使用数据!$A:$B,2,0),0)+IFERROR(VLOOKUP(A32,[2]库存使用数据!$A:$B,2,0),0)+IFERROR(VLOOKUP(,[3]库存使用数据!$A:$B,2,0),0)+IFERROR(VLOOKUP(A32,[4]库存使用数据!$A:$B,2,0),0)+IFERROR(VLOOKUP(A32,[5]库存使用数据!$A:$B,2,0),0)</f>
        <v>0</v>
      </c>
      <c r="C32" s="1">
        <f ca="1">IFERROR(VLOOKUP($A32,[1]库存使用数据!$A:$C,3,0),0)+IFERROR(VLOOKUP($A32,[2]库存使用数据!$A:$C,3,0),0)+IFERROR(VLOOKUP($A32,[3]库存使用数据!$A:$C,3,0),0)+IFERROR(VLOOKUP($A32,[4]库存使用数据!$A:$C,3,0),0)+IFERROR(VLOOKUP($A32,[5]库存使用数据!$A:$C,3,0),0)</f>
        <v>0</v>
      </c>
      <c r="D32" s="1">
        <f ca="1">IFERROR(VLOOKUP($A32,[1]库存使用数据!$A:$D,4,0),0)+IFERROR(VLOOKUP($A32,[2]库存使用数据!$A:$D,4,0),0)+公式!$B$1*IFERROR(VLOOKUP($A32,[3]库存使用数据!$A:$D,4,0),0)+IFERROR(VLOOKUP($A32,[4]库存使用数据!$A:$D,4,0),0)+IFERROR(VLOOKUP($A32,[5]库存使用数据!$A:$D,4,0),0)</f>
        <v>0</v>
      </c>
      <c r="E32" s="1">
        <f ca="1">IFERROR(VLOOKUP($A32,[1]库存使用数据!$A:$E,5,0),0)+IFERROR(VLOOKUP($A32,[2]库存使用数据!$A:$E,5,0),0)+IFERROR(VLOOKUP($A32,[3]库存使用数据!$A:$E,5,0),0)+IFERROR(VLOOKUP($A32,[4]库存使用数据!$A:$E,5,0),0)+IFERROR(VLOOKUP($A32,[5]库存使用数据!$A:$E,5,0),0)</f>
        <v>0</v>
      </c>
      <c r="F32" s="1">
        <f ca="1">IFERROR(VLOOKUP($A32,[1]库存使用数据!$A:$F,6,0),0)+IFERROR(VLOOKUP($A32,[2]库存使用数据!$A:$F,6,0),0)+IFERROR(VLOOKUP($A32,[4]库存使用数据!$A:$F,6,0),0)+IFERROR(VLOOKUP($A32,[3]库存使用数据!$A:$F,6,0),0)+IFERROR(VLOOKUP($A32,[5]库存使用数据!$A:$F,6,0),0)</f>
        <v>0</v>
      </c>
      <c r="G32" s="1">
        <f ca="1">IFERROR(VLOOKUP($A32,[1]库存使用数据!$A:$G,7,0),0)+IFERROR(VLOOKUP($A32,[2]库存使用数据!$A:$G,7,0),0)+公式!$B$14*IFERROR(VLOOKUP($A32,[3]库存使用数据!$A:$G,7,0),0)+IFERROR(VLOOKUP($A32,[4]库存使用数据!$A:$G,7,0),0)+IFERROR(VLOOKUP($A32,[5]库存使用数据!$A:$G,7,0),0)</f>
        <v>0</v>
      </c>
      <c r="H32" s="1">
        <f ca="1">IFERROR(VLOOKUP($A32,[1]库存使用数据!$A:$H,8,0),0)+IFERROR(VLOOKUP($A32,[2]库存使用数据!$A:$H,8,0),0)+IFERROR(VLOOKUP($A32,[3]库存使用数据!$A:$H,8,0),0)+IFERROR(VLOOKUP($A32,[4]库存使用数据!$A:$H,8,0),0)+IFERROR(VLOOKUP($A32,[5]库存使用数据!$A:$H,8,0),0)</f>
        <v>0</v>
      </c>
      <c r="I32" s="1">
        <f ca="1">IFERROR(VLOOKUP($A32,[1]库存使用数据!$A:$I,9,0),0)+IFERROR(VLOOKUP($A32,[2]库存使用数据!$A:$I,9,0),0)+IFERROR(VLOOKUP($A32,[3]库存使用数据!$A:$I,9,0),0)+IFERROR(VLOOKUP($A32,[4]库存使用数据!$A:$I,9,0),0)+IFERROR(VLOOKUP($A32,[5]库存使用数据!$A:$I,9,0),0)</f>
        <v>0</v>
      </c>
      <c r="J32" s="1">
        <f ca="1">IFERROR(VLOOKUP($A32,[1]库存使用数据!$A:$J,10,0),0)+IFERROR(VLOOKUP($A32,[2]库存使用数据!$A:$J,10,0),0)+公式!$B$14*IFERROR(VLOOKUP($A32,[3]库存使用数据!$A:$J,10,0),0)+IFERROR(VLOOKUP($A32,[4]库存使用数据!$A:$J,10,0),0)+IFERROR(VLOOKUP($A32,[5]库存使用数据!$A:$J,10,0),0)</f>
        <v>0</v>
      </c>
      <c r="K32" s="1">
        <f ca="1">IFERROR(VLOOKUP($A32,[1]库存使用数据!$A:$K,11,0),0)+IFERROR(VLOOKUP($A32,[2]库存使用数据!$A:$K,11,0),0)+IFERROR(VLOOKUP($A32,[3]库存使用数据!$A:$K,11,0),0)+IFERROR(VLOOKUP($A32,[4]库存使用数据!$A:$K,11,0),0)+IFERROR(VLOOKUP($A32,[5]库存使用数据!$A:$K,11,0),0)</f>
        <v>0</v>
      </c>
      <c r="L32" s="1">
        <f ca="1">IFERROR(VLOOKUP($A32,[1]库存使用数据!$A:$L,12,0),0)+IFERROR(VLOOKUP($A32,[2]库存使用数据!$A:$L,12,0),0)+IFERROR(VLOOKUP($A32,[3]库存使用数据!$A:$L,12,0),0)+IFERROR(VLOOKUP($A32,[4]库存使用数据!$A:$L,12,0),0)+IFERROR(VLOOKUP($A32,[5]库存使用数据!$A:$L,12,0),0)</f>
        <v>0</v>
      </c>
      <c r="M32" s="1">
        <f ca="1">IFERROR(VLOOKUP($A32,[1]库存使用数据!$A:$M,13,0),0)+IFERROR(VLOOKUP($A32,[2]库存使用数据!$A:$M,13,0),0)+公式!$B$14*IFERROR(VLOOKUP($A32,[3]库存使用数据!$A:$M,13,0),0)+IFERROR(VLOOKUP($A32,[4]库存使用数据!$A:$M,13,0),0)+IFERROR(VLOOKUP($A32,[5]库存使用数据!$A:$M,13,0),0)</f>
        <v>0</v>
      </c>
    </row>
    <row r="33" spans="1:13">
      <c r="A33" s="5" t="s">
        <v>38</v>
      </c>
      <c r="B33" s="2">
        <f ca="1">IFERROR(VLOOKUP(A33,[1]库存使用数据!$A:$B,2,0),0)+IFERROR(VLOOKUP(A33,[2]库存使用数据!$A:$B,2,0),0)+IFERROR(VLOOKUP(,[3]库存使用数据!$A:$B,2,0),0)+IFERROR(VLOOKUP(A33,[4]库存使用数据!$A:$B,2,0),0)+IFERROR(VLOOKUP(A33,[5]库存使用数据!$A:$B,2,0),0)</f>
        <v>0</v>
      </c>
      <c r="C33" s="1">
        <f ca="1">IFERROR(VLOOKUP($A33,[1]库存使用数据!$A:$C,3,0),0)+IFERROR(VLOOKUP($A33,[2]库存使用数据!$A:$C,3,0),0)+IFERROR(VLOOKUP($A33,[3]库存使用数据!$A:$C,3,0),0)+IFERROR(VLOOKUP($A33,[4]库存使用数据!$A:$C,3,0),0)+IFERROR(VLOOKUP($A33,[5]库存使用数据!$A:$C,3,0),0)</f>
        <v>0</v>
      </c>
      <c r="D33" s="1">
        <f ca="1">IFERROR(VLOOKUP($A33,[1]库存使用数据!$A:$D,4,0),0)+IFERROR(VLOOKUP($A33,[2]库存使用数据!$A:$D,4,0),0)+公式!$B$1*IFERROR(VLOOKUP($A33,[3]库存使用数据!$A:$D,4,0),0)+IFERROR(VLOOKUP($A33,[4]库存使用数据!$A:$D,4,0),0)+IFERROR(VLOOKUP($A33,[5]库存使用数据!$A:$D,4,0),0)</f>
        <v>0</v>
      </c>
      <c r="E33" s="1">
        <f ca="1">IFERROR(VLOOKUP($A33,[1]库存使用数据!$A:$E,5,0),0)+IFERROR(VLOOKUP($A33,[2]库存使用数据!$A:$E,5,0),0)+IFERROR(VLOOKUP($A33,[3]库存使用数据!$A:$E,5,0),0)+IFERROR(VLOOKUP($A33,[4]库存使用数据!$A:$E,5,0),0)+IFERROR(VLOOKUP($A33,[5]库存使用数据!$A:$E,5,0),0)</f>
        <v>5458</v>
      </c>
      <c r="F33" s="1">
        <f ca="1">IFERROR(VLOOKUP($A33,[1]库存使用数据!$A:$F,6,0),0)+IFERROR(VLOOKUP($A33,[2]库存使用数据!$A:$F,6,0),0)+IFERROR(VLOOKUP($A33,[4]库存使用数据!$A:$F,6,0),0)+IFERROR(VLOOKUP($A33,[3]库存使用数据!$A:$F,6,0),0)+IFERROR(VLOOKUP($A33,[5]库存使用数据!$A:$F,6,0),0)</f>
        <v>8</v>
      </c>
      <c r="G33" s="1">
        <f ca="1">IFERROR(VLOOKUP($A33,[1]库存使用数据!$A:$G,7,0),0)+IFERROR(VLOOKUP($A33,[2]库存使用数据!$A:$G,7,0),0)+公式!$B$14*IFERROR(VLOOKUP($A33,[3]库存使用数据!$A:$G,7,0),0)+IFERROR(VLOOKUP($A33,[4]库存使用数据!$A:$G,7,0),0)+IFERROR(VLOOKUP($A33,[5]库存使用数据!$A:$G,7,0),0)</f>
        <v>0.86</v>
      </c>
      <c r="H33" s="1">
        <f ca="1">IFERROR(VLOOKUP($A33,[1]库存使用数据!$A:$H,8,0),0)+IFERROR(VLOOKUP($A33,[2]库存使用数据!$A:$H,8,0),0)+IFERROR(VLOOKUP($A33,[3]库存使用数据!$A:$H,8,0),0)+IFERROR(VLOOKUP($A33,[4]库存使用数据!$A:$H,8,0),0)+IFERROR(VLOOKUP($A33,[5]库存使用数据!$A:$H,8,0),0)</f>
        <v>3253</v>
      </c>
      <c r="I33" s="1">
        <f ca="1">IFERROR(VLOOKUP($A33,[1]库存使用数据!$A:$I,9,0),0)+IFERROR(VLOOKUP($A33,[2]库存使用数据!$A:$I,9,0),0)+IFERROR(VLOOKUP($A33,[3]库存使用数据!$A:$I,9,0),0)+IFERROR(VLOOKUP($A33,[4]库存使用数据!$A:$I,9,0),0)+IFERROR(VLOOKUP($A33,[5]库存使用数据!$A:$I,9,0),0)</f>
        <v>17</v>
      </c>
      <c r="J33" s="1">
        <f ca="1">IFERROR(VLOOKUP($A33,[1]库存使用数据!$A:$J,10,0),0)+IFERROR(VLOOKUP($A33,[2]库存使用数据!$A:$J,10,0),0)+公式!$B$14*IFERROR(VLOOKUP($A33,[3]库存使用数据!$A:$J,10,0),0)+IFERROR(VLOOKUP($A33,[4]库存使用数据!$A:$J,10,0),0)+IFERROR(VLOOKUP($A33,[5]库存使用数据!$A:$J,10,0),0)</f>
        <v>2.32</v>
      </c>
      <c r="K33" s="1">
        <f ca="1">IFERROR(VLOOKUP($A33,[1]库存使用数据!$A:$K,11,0),0)+IFERROR(VLOOKUP($A33,[2]库存使用数据!$A:$K,11,0),0)+IFERROR(VLOOKUP($A33,[3]库存使用数据!$A:$K,11,0),0)+IFERROR(VLOOKUP($A33,[4]库存使用数据!$A:$K,11,0),0)+IFERROR(VLOOKUP($A33,[5]库存使用数据!$A:$K,11,0),0)</f>
        <v>8405</v>
      </c>
      <c r="L33" s="1">
        <f ca="1">IFERROR(VLOOKUP($A33,[1]库存使用数据!$A:$L,12,0),0)+IFERROR(VLOOKUP($A33,[2]库存使用数据!$A:$L,12,0),0)+IFERROR(VLOOKUP($A33,[3]库存使用数据!$A:$L,12,0),0)+IFERROR(VLOOKUP($A33,[4]库存使用数据!$A:$L,12,0),0)+IFERROR(VLOOKUP($A33,[5]库存使用数据!$A:$L,12,0),0)</f>
        <v>43</v>
      </c>
      <c r="M33" s="1">
        <f ca="1">IFERROR(VLOOKUP($A33,[1]库存使用数据!$A:$M,13,0),0)+IFERROR(VLOOKUP($A33,[2]库存使用数据!$A:$M,13,0),0)+公式!$B$14*IFERROR(VLOOKUP($A33,[3]库存使用数据!$A:$M,13,0),0)+IFERROR(VLOOKUP($A33,[4]库存使用数据!$A:$M,13,0),0)+IFERROR(VLOOKUP($A33,[5]库存使用数据!$A:$M,13,0),0)</f>
        <v>3.39</v>
      </c>
    </row>
    <row r="34" spans="1:13">
      <c r="A34" s="5" t="s">
        <v>39</v>
      </c>
      <c r="B34" s="2">
        <f ca="1">IFERROR(VLOOKUP(A34,[1]库存使用数据!$A:$B,2,0),0)+IFERROR(VLOOKUP(A34,[2]库存使用数据!$A:$B,2,0),0)+IFERROR(VLOOKUP(,[3]库存使用数据!$A:$B,2,0),0)+IFERROR(VLOOKUP(A34,[4]库存使用数据!$A:$B,2,0),0)+IFERROR(VLOOKUP(A34,[5]库存使用数据!$A:$B,2,0),0)</f>
        <v>0</v>
      </c>
      <c r="C34" s="1">
        <f ca="1">IFERROR(VLOOKUP($A34,[1]库存使用数据!$A:$C,3,0),0)+IFERROR(VLOOKUP($A34,[2]库存使用数据!$A:$C,3,0),0)+IFERROR(VLOOKUP($A34,[3]库存使用数据!$A:$C,3,0),0)+IFERROR(VLOOKUP($A34,[4]库存使用数据!$A:$C,3,0),0)+IFERROR(VLOOKUP($A34,[5]库存使用数据!$A:$C,3,0),0)</f>
        <v>0</v>
      </c>
      <c r="D34" s="1">
        <f ca="1">IFERROR(VLOOKUP($A34,[1]库存使用数据!$A:$D,4,0),0)+IFERROR(VLOOKUP($A34,[2]库存使用数据!$A:$D,4,0),0)+公式!$B$1*IFERROR(VLOOKUP($A34,[3]库存使用数据!$A:$D,4,0),0)+IFERROR(VLOOKUP($A34,[4]库存使用数据!$A:$D,4,0),0)+IFERROR(VLOOKUP($A34,[5]库存使用数据!$A:$D,4,0),0)</f>
        <v>0</v>
      </c>
      <c r="E34" s="1">
        <f ca="1">IFERROR(VLOOKUP($A34,[1]库存使用数据!$A:$E,5,0),0)+IFERROR(VLOOKUP($A34,[2]库存使用数据!$A:$E,5,0),0)+IFERROR(VLOOKUP($A34,[3]库存使用数据!$A:$E,5,0),0)+IFERROR(VLOOKUP($A34,[4]库存使用数据!$A:$E,5,0),0)+IFERROR(VLOOKUP($A34,[5]库存使用数据!$A:$E,5,0),0)</f>
        <v>834</v>
      </c>
      <c r="F34" s="1">
        <f ca="1">IFERROR(VLOOKUP($A34,[1]库存使用数据!$A:$F,6,0),0)+IFERROR(VLOOKUP($A34,[2]库存使用数据!$A:$F,6,0),0)+IFERROR(VLOOKUP($A34,[4]库存使用数据!$A:$F,6,0),0)+IFERROR(VLOOKUP($A34,[3]库存使用数据!$A:$F,6,0),0)+IFERROR(VLOOKUP($A34,[5]库存使用数据!$A:$F,6,0),0)</f>
        <v>12</v>
      </c>
      <c r="G34" s="1">
        <f ca="1">IFERROR(VLOOKUP($A34,[1]库存使用数据!$A:$G,7,0),0)+IFERROR(VLOOKUP($A34,[2]库存使用数据!$A:$G,7,0),0)+公式!$B$14*IFERROR(VLOOKUP($A34,[3]库存使用数据!$A:$G,7,0),0)+IFERROR(VLOOKUP($A34,[4]库存使用数据!$A:$G,7,0),0)+IFERROR(VLOOKUP($A34,[5]库存使用数据!$A:$G,7,0),0)</f>
        <v>1.94</v>
      </c>
      <c r="H34" s="1">
        <f ca="1">IFERROR(VLOOKUP($A34,[1]库存使用数据!$A:$H,8,0),0)+IFERROR(VLOOKUP($A34,[2]库存使用数据!$A:$H,8,0),0)+IFERROR(VLOOKUP($A34,[3]库存使用数据!$A:$H,8,0),0)+IFERROR(VLOOKUP($A34,[4]库存使用数据!$A:$H,8,0),0)+IFERROR(VLOOKUP($A34,[5]库存使用数据!$A:$H,8,0),0)</f>
        <v>3864</v>
      </c>
      <c r="I34" s="1">
        <f ca="1">IFERROR(VLOOKUP($A34,[1]库存使用数据!$A:$I,9,0),0)+IFERROR(VLOOKUP($A34,[2]库存使用数据!$A:$I,9,0),0)+IFERROR(VLOOKUP($A34,[3]库存使用数据!$A:$I,9,0),0)+IFERROR(VLOOKUP($A34,[4]库存使用数据!$A:$I,9,0),0)+IFERROR(VLOOKUP($A34,[5]库存使用数据!$A:$I,9,0),0)</f>
        <v>37</v>
      </c>
      <c r="J34" s="1">
        <f ca="1">IFERROR(VLOOKUP($A34,[1]库存使用数据!$A:$J,10,0),0)+IFERROR(VLOOKUP($A34,[2]库存使用数据!$A:$J,10,0),0)+公式!$B$14*IFERROR(VLOOKUP($A34,[3]库存使用数据!$A:$J,10,0),0)+IFERROR(VLOOKUP($A34,[4]库存使用数据!$A:$J,10,0),0)+IFERROR(VLOOKUP($A34,[5]库存使用数据!$A:$J,10,0),0)</f>
        <v>6.55</v>
      </c>
      <c r="K34" s="1">
        <f ca="1">IFERROR(VLOOKUP($A34,[1]库存使用数据!$A:$K,11,0),0)+IFERROR(VLOOKUP($A34,[2]库存使用数据!$A:$K,11,0),0)+IFERROR(VLOOKUP($A34,[3]库存使用数据!$A:$K,11,0),0)+IFERROR(VLOOKUP($A34,[4]库存使用数据!$A:$K,11,0),0)+IFERROR(VLOOKUP($A34,[5]库存使用数据!$A:$K,11,0),0)</f>
        <v>12275</v>
      </c>
      <c r="L34" s="1">
        <f ca="1">IFERROR(VLOOKUP($A34,[1]库存使用数据!$A:$L,12,0),0)+IFERROR(VLOOKUP($A34,[2]库存使用数据!$A:$L,12,0),0)+IFERROR(VLOOKUP($A34,[3]库存使用数据!$A:$L,12,0),0)+IFERROR(VLOOKUP($A34,[4]库存使用数据!$A:$L,12,0),0)+IFERROR(VLOOKUP($A34,[5]库存使用数据!$A:$L,12,0),0)</f>
        <v>118</v>
      </c>
      <c r="M34" s="1">
        <f ca="1">IFERROR(VLOOKUP($A34,[1]库存使用数据!$A:$M,13,0),0)+IFERROR(VLOOKUP($A34,[2]库存使用数据!$A:$M,13,0),0)+公式!$B$14*IFERROR(VLOOKUP($A34,[3]库存使用数据!$A:$M,13,0),0)+IFERROR(VLOOKUP($A34,[4]库存使用数据!$A:$M,13,0),0)+IFERROR(VLOOKUP($A34,[5]库存使用数据!$A:$M,13,0),0)</f>
        <v>23.06</v>
      </c>
    </row>
    <row r="35" spans="1:13">
      <c r="A35" s="5" t="s">
        <v>40</v>
      </c>
      <c r="B35" s="2">
        <f ca="1">IFERROR(VLOOKUP(A35,[1]库存使用数据!$A:$B,2,0),0)+IFERROR(VLOOKUP(A35,[2]库存使用数据!$A:$B,2,0),0)+IFERROR(VLOOKUP(,[3]库存使用数据!$A:$B,2,0),0)+IFERROR(VLOOKUP(A35,[4]库存使用数据!$A:$B,2,0),0)+IFERROR(VLOOKUP(A35,[5]库存使用数据!$A:$B,2,0),0)</f>
        <v>27</v>
      </c>
      <c r="C35" s="1">
        <f ca="1">IFERROR(VLOOKUP($A35,[1]库存使用数据!$A:$C,3,0),0)+IFERROR(VLOOKUP($A35,[2]库存使用数据!$A:$C,3,0),0)+IFERROR(VLOOKUP($A35,[3]库存使用数据!$A:$C,3,0),0)+IFERROR(VLOOKUP($A35,[4]库存使用数据!$A:$C,3,0),0)+IFERROR(VLOOKUP($A35,[5]库存使用数据!$A:$C,3,0),0)</f>
        <v>1</v>
      </c>
      <c r="D35" s="1">
        <f ca="1">IFERROR(VLOOKUP($A35,[1]库存使用数据!$A:$D,4,0),0)+IFERROR(VLOOKUP($A35,[2]库存使用数据!$A:$D,4,0),0)+公式!$B$1*IFERROR(VLOOKUP($A35,[3]库存使用数据!$A:$D,4,0),0)+IFERROR(VLOOKUP($A35,[4]库存使用数据!$A:$D,4,0),0)+IFERROR(VLOOKUP($A35,[5]库存使用数据!$A:$D,4,0),0)</f>
        <v>0.03</v>
      </c>
      <c r="E35" s="1">
        <f ca="1">IFERROR(VLOOKUP($A35,[1]库存使用数据!$A:$E,5,0),0)+IFERROR(VLOOKUP($A35,[2]库存使用数据!$A:$E,5,0),0)+IFERROR(VLOOKUP($A35,[3]库存使用数据!$A:$E,5,0),0)+IFERROR(VLOOKUP($A35,[4]库存使用数据!$A:$E,5,0),0)+IFERROR(VLOOKUP($A35,[5]库存使用数据!$A:$E,5,0),0)</f>
        <v>2866</v>
      </c>
      <c r="F35" s="1">
        <f ca="1">IFERROR(VLOOKUP($A35,[1]库存使用数据!$A:$F,6,0),0)+IFERROR(VLOOKUP($A35,[2]库存使用数据!$A:$F,6,0),0)+IFERROR(VLOOKUP($A35,[4]库存使用数据!$A:$F,6,0),0)+IFERROR(VLOOKUP($A35,[3]库存使用数据!$A:$F,6,0),0)+IFERROR(VLOOKUP($A35,[5]库存使用数据!$A:$F,6,0),0)</f>
        <v>83</v>
      </c>
      <c r="G35" s="1">
        <f ca="1">IFERROR(VLOOKUP($A35,[1]库存使用数据!$A:$G,7,0),0)+IFERROR(VLOOKUP($A35,[2]库存使用数据!$A:$G,7,0),0)+公式!$B$14*IFERROR(VLOOKUP($A35,[3]库存使用数据!$A:$G,7,0),0)+IFERROR(VLOOKUP($A35,[4]库存使用数据!$A:$G,7,0),0)+IFERROR(VLOOKUP($A35,[5]库存使用数据!$A:$G,7,0),0)</f>
        <v>11.56</v>
      </c>
      <c r="H35" s="1">
        <f ca="1">IFERROR(VLOOKUP($A35,[1]库存使用数据!$A:$H,8,0),0)+IFERROR(VLOOKUP($A35,[2]库存使用数据!$A:$H,8,0),0)+IFERROR(VLOOKUP($A35,[3]库存使用数据!$A:$H,8,0),0)+IFERROR(VLOOKUP($A35,[4]库存使用数据!$A:$H,8,0),0)+IFERROR(VLOOKUP($A35,[5]库存使用数据!$A:$H,8,0),0)</f>
        <v>1359</v>
      </c>
      <c r="I35" s="1">
        <f ca="1">IFERROR(VLOOKUP($A35,[1]库存使用数据!$A:$I,9,0),0)+IFERROR(VLOOKUP($A35,[2]库存使用数据!$A:$I,9,0),0)+IFERROR(VLOOKUP($A35,[3]库存使用数据!$A:$I,9,0),0)+IFERROR(VLOOKUP($A35,[4]库存使用数据!$A:$I,9,0),0)+IFERROR(VLOOKUP($A35,[5]库存使用数据!$A:$I,9,0),0)</f>
        <v>38</v>
      </c>
      <c r="J35" s="1">
        <f ca="1">IFERROR(VLOOKUP($A35,[1]库存使用数据!$A:$J,10,0),0)+IFERROR(VLOOKUP($A35,[2]库存使用数据!$A:$J,10,0),0)+公式!$B$14*IFERROR(VLOOKUP($A35,[3]库存使用数据!$A:$J,10,0),0)+IFERROR(VLOOKUP($A35,[4]库存使用数据!$A:$J,10,0),0)+IFERROR(VLOOKUP($A35,[5]库存使用数据!$A:$J,10,0),0)</f>
        <v>6.68</v>
      </c>
      <c r="K35" s="1">
        <f ca="1">IFERROR(VLOOKUP($A35,[1]库存使用数据!$A:$K,11,0),0)+IFERROR(VLOOKUP($A35,[2]库存使用数据!$A:$K,11,0),0)+IFERROR(VLOOKUP($A35,[3]库存使用数据!$A:$K,11,0),0)+IFERROR(VLOOKUP($A35,[4]库存使用数据!$A:$K,11,0),0)+IFERROR(VLOOKUP($A35,[5]库存使用数据!$A:$K,11,0),0)</f>
        <v>1726</v>
      </c>
      <c r="L35" s="1">
        <f ca="1">IFERROR(VLOOKUP($A35,[1]库存使用数据!$A:$L,12,0),0)+IFERROR(VLOOKUP($A35,[2]库存使用数据!$A:$L,12,0),0)+IFERROR(VLOOKUP($A35,[3]库存使用数据!$A:$L,12,0),0)+IFERROR(VLOOKUP($A35,[4]库存使用数据!$A:$L,12,0),0)+IFERROR(VLOOKUP($A35,[5]库存使用数据!$A:$L,12,0),0)</f>
        <v>42</v>
      </c>
      <c r="M35" s="1">
        <f ca="1">IFERROR(VLOOKUP($A35,[1]库存使用数据!$A:$M,13,0),0)+IFERROR(VLOOKUP($A35,[2]库存使用数据!$A:$M,13,0),0)+公式!$B$14*IFERROR(VLOOKUP($A35,[3]库存使用数据!$A:$M,13,0),0)+IFERROR(VLOOKUP($A35,[4]库存使用数据!$A:$M,13,0),0)+IFERROR(VLOOKUP($A35,[5]库存使用数据!$A:$M,13,0),0)</f>
        <v>6.89</v>
      </c>
    </row>
    <row r="36" spans="1:13">
      <c r="A36" s="5" t="s">
        <v>41</v>
      </c>
      <c r="B36" s="2">
        <f ca="1">IFERROR(VLOOKUP(A36,[1]库存使用数据!$A:$B,2,0),0)+IFERROR(VLOOKUP(A36,[2]库存使用数据!$A:$B,2,0),0)+IFERROR(VLOOKUP(,[3]库存使用数据!$A:$B,2,0),0)+IFERROR(VLOOKUP(A36,[4]库存使用数据!$A:$B,2,0),0)+IFERROR(VLOOKUP(A36,[5]库存使用数据!$A:$B,2,0),0)</f>
        <v>391</v>
      </c>
      <c r="C36" s="1">
        <f ca="1">IFERROR(VLOOKUP($A36,[1]库存使用数据!$A:$C,3,0),0)+IFERROR(VLOOKUP($A36,[2]库存使用数据!$A:$C,3,0),0)+IFERROR(VLOOKUP($A36,[3]库存使用数据!$A:$C,3,0),0)+IFERROR(VLOOKUP($A36,[4]库存使用数据!$A:$C,3,0),0)+IFERROR(VLOOKUP($A36,[5]库存使用数据!$A:$C,3,0),0)</f>
        <v>1</v>
      </c>
      <c r="D36" s="1">
        <f ca="1">IFERROR(VLOOKUP($A36,[1]库存使用数据!$A:$D,4,0),0)+IFERROR(VLOOKUP($A36,[2]库存使用数据!$A:$D,4,0),0)+公式!$B$1*IFERROR(VLOOKUP($A36,[3]库存使用数据!$A:$D,4,0),0)+IFERROR(VLOOKUP($A36,[4]库存使用数据!$A:$D,4,0),0)+IFERROR(VLOOKUP($A36,[5]库存使用数据!$A:$D,4,0),0)</f>
        <v>0.045</v>
      </c>
      <c r="E36" s="1">
        <f ca="1">IFERROR(VLOOKUP($A36,[1]库存使用数据!$A:$E,5,0),0)+IFERROR(VLOOKUP($A36,[2]库存使用数据!$A:$E,5,0),0)+IFERROR(VLOOKUP($A36,[3]库存使用数据!$A:$E,5,0),0)+IFERROR(VLOOKUP($A36,[4]库存使用数据!$A:$E,5,0),0)+IFERROR(VLOOKUP($A36,[5]库存使用数据!$A:$E,5,0),0)</f>
        <v>1237</v>
      </c>
      <c r="F36" s="1">
        <f ca="1">IFERROR(VLOOKUP($A36,[1]库存使用数据!$A:$F,6,0),0)+IFERROR(VLOOKUP($A36,[2]库存使用数据!$A:$F,6,0),0)+IFERROR(VLOOKUP($A36,[4]库存使用数据!$A:$F,6,0),0)+IFERROR(VLOOKUP($A36,[3]库存使用数据!$A:$F,6,0),0)+IFERROR(VLOOKUP($A36,[5]库存使用数据!$A:$F,6,0),0)</f>
        <v>4</v>
      </c>
      <c r="G36" s="1">
        <f ca="1">IFERROR(VLOOKUP($A36,[1]库存使用数据!$A:$G,7,0),0)+IFERROR(VLOOKUP($A36,[2]库存使用数据!$A:$G,7,0),0)+公式!$B$14*IFERROR(VLOOKUP($A36,[3]库存使用数据!$A:$G,7,0),0)+IFERROR(VLOOKUP($A36,[4]库存使用数据!$A:$G,7,0),0)+IFERROR(VLOOKUP($A36,[5]库存使用数据!$A:$G,7,0),0)</f>
        <v>0.8</v>
      </c>
      <c r="H36" s="1">
        <f ca="1">IFERROR(VLOOKUP($A36,[1]库存使用数据!$A:$H,8,0),0)+IFERROR(VLOOKUP($A36,[2]库存使用数据!$A:$H,8,0),0)+IFERROR(VLOOKUP($A36,[3]库存使用数据!$A:$H,8,0),0)+IFERROR(VLOOKUP($A36,[4]库存使用数据!$A:$H,8,0),0)+IFERROR(VLOOKUP($A36,[5]库存使用数据!$A:$H,8,0),0)</f>
        <v>778</v>
      </c>
      <c r="I36" s="1">
        <f ca="1">IFERROR(VLOOKUP($A36,[1]库存使用数据!$A:$I,9,0),0)+IFERROR(VLOOKUP($A36,[2]库存使用数据!$A:$I,9,0),0)+IFERROR(VLOOKUP($A36,[3]库存使用数据!$A:$I,9,0),0)+IFERROR(VLOOKUP($A36,[4]库存使用数据!$A:$I,9,0),0)+IFERROR(VLOOKUP($A36,[5]库存使用数据!$A:$I,9,0),0)</f>
        <v>4</v>
      </c>
      <c r="J36" s="1">
        <f ca="1">IFERROR(VLOOKUP($A36,[1]库存使用数据!$A:$J,10,0),0)+IFERROR(VLOOKUP($A36,[2]库存使用数据!$A:$J,10,0),0)+公式!$B$14*IFERROR(VLOOKUP($A36,[3]库存使用数据!$A:$J,10,0),0)+IFERROR(VLOOKUP($A36,[4]库存使用数据!$A:$J,10,0),0)+IFERROR(VLOOKUP($A36,[5]库存使用数据!$A:$J,10,0),0)</f>
        <v>0.71</v>
      </c>
      <c r="K36" s="1">
        <f ca="1">IFERROR(VLOOKUP($A36,[1]库存使用数据!$A:$K,11,0),0)+IFERROR(VLOOKUP($A36,[2]库存使用数据!$A:$K,11,0),0)+IFERROR(VLOOKUP($A36,[3]库存使用数据!$A:$K,11,0),0)+IFERROR(VLOOKUP($A36,[4]库存使用数据!$A:$K,11,0),0)+IFERROR(VLOOKUP($A36,[5]库存使用数据!$A:$K,11,0),0)</f>
        <v>1043</v>
      </c>
      <c r="L36" s="1">
        <f ca="1">IFERROR(VLOOKUP($A36,[1]库存使用数据!$A:$L,12,0),0)+IFERROR(VLOOKUP($A36,[2]库存使用数据!$A:$L,12,0),0)+IFERROR(VLOOKUP($A36,[3]库存使用数据!$A:$L,12,0),0)+IFERROR(VLOOKUP($A36,[4]库存使用数据!$A:$L,12,0),0)+IFERROR(VLOOKUP($A36,[5]库存使用数据!$A:$L,12,0),0)</f>
        <v>4</v>
      </c>
      <c r="M36" s="1">
        <f ca="1">IFERROR(VLOOKUP($A36,[1]库存使用数据!$A:$M,13,0),0)+IFERROR(VLOOKUP($A36,[2]库存使用数据!$A:$M,13,0),0)+公式!$B$14*IFERROR(VLOOKUP($A36,[3]库存使用数据!$A:$M,13,0),0)+IFERROR(VLOOKUP($A36,[4]库存使用数据!$A:$M,13,0),0)+IFERROR(VLOOKUP($A36,[5]库存使用数据!$A:$M,13,0),0)</f>
        <v>0.78</v>
      </c>
    </row>
    <row r="37" spans="1:13">
      <c r="A37" s="5" t="s">
        <v>42</v>
      </c>
      <c r="B37" s="2">
        <f ca="1">IFERROR(VLOOKUP(A37,[1]库存使用数据!$A:$B,2,0),0)+IFERROR(VLOOKUP(A37,[2]库存使用数据!$A:$B,2,0),0)+IFERROR(VLOOKUP(,[3]库存使用数据!$A:$B,2,0),0)+IFERROR(VLOOKUP(A37,[4]库存使用数据!$A:$B,2,0),0)+IFERROR(VLOOKUP(A37,[5]库存使用数据!$A:$B,2,0),0)</f>
        <v>63003</v>
      </c>
      <c r="C37" s="1">
        <f ca="1">IFERROR(VLOOKUP($A37,[1]库存使用数据!$A:$C,3,0),0)+IFERROR(VLOOKUP($A37,[2]库存使用数据!$A:$C,3,0),0)+IFERROR(VLOOKUP($A37,[3]库存使用数据!$A:$C,3,0),0)+IFERROR(VLOOKUP($A37,[4]库存使用数据!$A:$C,3,0),0)+IFERROR(VLOOKUP($A37,[5]库存使用数据!$A:$C,3,0),0)</f>
        <v>162</v>
      </c>
      <c r="D37" s="1">
        <f ca="1">IFERROR(VLOOKUP($A37,[1]库存使用数据!$A:$D,4,0),0)+IFERROR(VLOOKUP($A37,[2]库存使用数据!$A:$D,4,0),0)+公式!$B$1*IFERROR(VLOOKUP($A37,[3]库存使用数据!$A:$D,4,0),0)+IFERROR(VLOOKUP($A37,[4]库存使用数据!$A:$D,4,0),0)+IFERROR(VLOOKUP($A37,[5]库存使用数据!$A:$D,4,0),0)</f>
        <v>25.67</v>
      </c>
      <c r="E37" s="1">
        <f ca="1">IFERROR(VLOOKUP($A37,[1]库存使用数据!$A:$E,5,0),0)+IFERROR(VLOOKUP($A37,[2]库存使用数据!$A:$E,5,0),0)+IFERROR(VLOOKUP($A37,[3]库存使用数据!$A:$E,5,0),0)+IFERROR(VLOOKUP($A37,[4]库存使用数据!$A:$E,5,0),0)+IFERROR(VLOOKUP($A37,[5]库存使用数据!$A:$E,5,0),0)</f>
        <v>32325</v>
      </c>
      <c r="F37" s="1">
        <f ca="1">IFERROR(VLOOKUP($A37,[1]库存使用数据!$A:$F,6,0),0)+IFERROR(VLOOKUP($A37,[2]库存使用数据!$A:$F,6,0),0)+IFERROR(VLOOKUP($A37,[4]库存使用数据!$A:$F,6,0),0)+IFERROR(VLOOKUP($A37,[3]库存使用数据!$A:$F,6,0),0)+IFERROR(VLOOKUP($A37,[5]库存使用数据!$A:$F,6,0),0)</f>
        <v>117</v>
      </c>
      <c r="G37" s="1">
        <f ca="1">IFERROR(VLOOKUP($A37,[1]库存使用数据!$A:$G,7,0),0)+IFERROR(VLOOKUP($A37,[2]库存使用数据!$A:$G,7,0),0)+公式!$B$14*IFERROR(VLOOKUP($A37,[3]库存使用数据!$A:$G,7,0),0)+IFERROR(VLOOKUP($A37,[4]库存使用数据!$A:$G,7,0),0)+IFERROR(VLOOKUP($A37,[5]库存使用数据!$A:$G,7,0),0)</f>
        <v>17.52</v>
      </c>
      <c r="H37" s="1">
        <f ca="1">IFERROR(VLOOKUP($A37,[1]库存使用数据!$A:$H,8,0),0)+IFERROR(VLOOKUP($A37,[2]库存使用数据!$A:$H,8,0),0)+IFERROR(VLOOKUP($A37,[3]库存使用数据!$A:$H,8,0),0)+IFERROR(VLOOKUP($A37,[4]库存使用数据!$A:$H,8,0),0)+IFERROR(VLOOKUP($A37,[5]库存使用数据!$A:$H,8,0),0)</f>
        <v>25836</v>
      </c>
      <c r="I37" s="1">
        <f ca="1">IFERROR(VLOOKUP($A37,[1]库存使用数据!$A:$I,9,0),0)+IFERROR(VLOOKUP($A37,[2]库存使用数据!$A:$I,9,0),0)+IFERROR(VLOOKUP($A37,[3]库存使用数据!$A:$I,9,0),0)+IFERROR(VLOOKUP($A37,[4]库存使用数据!$A:$I,9,0),0)+IFERROR(VLOOKUP($A37,[5]库存使用数据!$A:$I,9,0),0)</f>
        <v>106</v>
      </c>
      <c r="J37" s="1">
        <f ca="1">IFERROR(VLOOKUP($A37,[1]库存使用数据!$A:$J,10,0),0)+IFERROR(VLOOKUP($A37,[2]库存使用数据!$A:$J,10,0),0)+公式!$B$14*IFERROR(VLOOKUP($A37,[3]库存使用数据!$A:$J,10,0),0)+IFERROR(VLOOKUP($A37,[4]库存使用数据!$A:$J,10,0),0)+IFERROR(VLOOKUP($A37,[5]库存使用数据!$A:$J,10,0),0)</f>
        <v>18.98</v>
      </c>
      <c r="K37" s="1">
        <f ca="1">IFERROR(VLOOKUP($A37,[1]库存使用数据!$A:$K,11,0),0)+IFERROR(VLOOKUP($A37,[2]库存使用数据!$A:$K,11,0),0)+IFERROR(VLOOKUP($A37,[3]库存使用数据!$A:$K,11,0),0)+IFERROR(VLOOKUP($A37,[4]库存使用数据!$A:$K,11,0),0)+IFERROR(VLOOKUP($A37,[5]库存使用数据!$A:$K,11,0),0)</f>
        <v>89990</v>
      </c>
      <c r="L37" s="1">
        <f ca="1">IFERROR(VLOOKUP($A37,[1]库存使用数据!$A:$L,12,0),0)+IFERROR(VLOOKUP($A37,[2]库存使用数据!$A:$L,12,0),0)+IFERROR(VLOOKUP($A37,[3]库存使用数据!$A:$L,12,0),0)+IFERROR(VLOOKUP($A37,[4]库存使用数据!$A:$L,12,0),0)+IFERROR(VLOOKUP($A37,[5]库存使用数据!$A:$L,12,0),0)</f>
        <v>213</v>
      </c>
      <c r="M37" s="1">
        <f ca="1">IFERROR(VLOOKUP($A37,[1]库存使用数据!$A:$M,13,0),0)+IFERROR(VLOOKUP($A37,[2]库存使用数据!$A:$M,13,0),0)+公式!$B$14*IFERROR(VLOOKUP($A37,[3]库存使用数据!$A:$M,13,0),0)+IFERROR(VLOOKUP($A37,[4]库存使用数据!$A:$M,13,0),0)+IFERROR(VLOOKUP($A37,[5]库存使用数据!$A:$M,13,0),0)</f>
        <v>36.92</v>
      </c>
    </row>
    <row r="38" spans="1:13">
      <c r="A38" s="5" t="s">
        <v>43</v>
      </c>
      <c r="B38" s="2">
        <f ca="1">IFERROR(VLOOKUP(A38,[1]库存使用数据!$A:$B,2,0),0)+IFERROR(VLOOKUP(A38,[2]库存使用数据!$A:$B,2,0),0)+IFERROR(VLOOKUP(,[3]库存使用数据!$A:$B,2,0),0)+IFERROR(VLOOKUP(A38,[4]库存使用数据!$A:$B,2,0),0)+IFERROR(VLOOKUP(A38,[5]库存使用数据!$A:$B,2,0),0)</f>
        <v>0</v>
      </c>
      <c r="C38" s="1">
        <f ca="1">IFERROR(VLOOKUP($A38,[1]库存使用数据!$A:$C,3,0),0)+IFERROR(VLOOKUP($A38,[2]库存使用数据!$A:$C,3,0),0)+IFERROR(VLOOKUP($A38,[3]库存使用数据!$A:$C,3,0),0)+IFERROR(VLOOKUP($A38,[4]库存使用数据!$A:$C,3,0),0)+IFERROR(VLOOKUP($A38,[5]库存使用数据!$A:$C,3,0),0)</f>
        <v>0</v>
      </c>
      <c r="D38" s="1">
        <f ca="1">IFERROR(VLOOKUP($A38,[1]库存使用数据!$A:$D,4,0),0)+IFERROR(VLOOKUP($A38,[2]库存使用数据!$A:$D,4,0),0)+公式!$B$1*IFERROR(VLOOKUP($A38,[3]库存使用数据!$A:$D,4,0),0)+IFERROR(VLOOKUP($A38,[4]库存使用数据!$A:$D,4,0),0)+IFERROR(VLOOKUP($A38,[5]库存使用数据!$A:$D,4,0),0)</f>
        <v>0</v>
      </c>
      <c r="E38" s="1">
        <f ca="1">IFERROR(VLOOKUP($A38,[1]库存使用数据!$A:$E,5,0),0)+IFERROR(VLOOKUP($A38,[2]库存使用数据!$A:$E,5,0),0)+IFERROR(VLOOKUP($A38,[3]库存使用数据!$A:$E,5,0),0)+IFERROR(VLOOKUP($A38,[4]库存使用数据!$A:$E,5,0),0)+IFERROR(VLOOKUP($A38,[5]库存使用数据!$A:$E,5,0),0)</f>
        <v>48</v>
      </c>
      <c r="F38" s="1">
        <f ca="1">IFERROR(VLOOKUP($A38,[1]库存使用数据!$A:$F,6,0),0)+IFERROR(VLOOKUP($A38,[2]库存使用数据!$A:$F,6,0),0)+IFERROR(VLOOKUP($A38,[4]库存使用数据!$A:$F,6,0),0)+IFERROR(VLOOKUP($A38,[3]库存使用数据!$A:$F,6,0),0)+IFERROR(VLOOKUP($A38,[5]库存使用数据!$A:$F,6,0),0)</f>
        <v>0</v>
      </c>
      <c r="G38" s="1">
        <f ca="1">IFERROR(VLOOKUP($A38,[1]库存使用数据!$A:$G,7,0),0)+IFERROR(VLOOKUP($A38,[2]库存使用数据!$A:$G,7,0),0)+公式!$B$14*IFERROR(VLOOKUP($A38,[3]库存使用数据!$A:$G,7,0),0)+IFERROR(VLOOKUP($A38,[4]库存使用数据!$A:$G,7,0),0)+IFERROR(VLOOKUP($A38,[5]库存使用数据!$A:$G,7,0),0)</f>
        <v>0</v>
      </c>
      <c r="H38" s="1">
        <f ca="1">IFERROR(VLOOKUP($A38,[1]库存使用数据!$A:$H,8,0),0)+IFERROR(VLOOKUP($A38,[2]库存使用数据!$A:$H,8,0),0)+IFERROR(VLOOKUP($A38,[3]库存使用数据!$A:$H,8,0),0)+IFERROR(VLOOKUP($A38,[4]库存使用数据!$A:$H,8,0),0)+IFERROR(VLOOKUP($A38,[5]库存使用数据!$A:$H,8,0),0)</f>
        <v>116</v>
      </c>
      <c r="I38" s="1">
        <f ca="1">IFERROR(VLOOKUP($A38,[1]库存使用数据!$A:$I,9,0),0)+IFERROR(VLOOKUP($A38,[2]库存使用数据!$A:$I,9,0),0)+IFERROR(VLOOKUP($A38,[3]库存使用数据!$A:$I,9,0),0)+IFERROR(VLOOKUP($A38,[4]库存使用数据!$A:$I,9,0),0)+IFERROR(VLOOKUP($A38,[5]库存使用数据!$A:$I,9,0),0)</f>
        <v>0</v>
      </c>
      <c r="J38" s="1">
        <f ca="1">IFERROR(VLOOKUP($A38,[1]库存使用数据!$A:$J,10,0),0)+IFERROR(VLOOKUP($A38,[2]库存使用数据!$A:$J,10,0),0)+公式!$B$14*IFERROR(VLOOKUP($A38,[3]库存使用数据!$A:$J,10,0),0)+IFERROR(VLOOKUP($A38,[4]库存使用数据!$A:$J,10,0),0)+IFERROR(VLOOKUP($A38,[5]库存使用数据!$A:$J,10,0),0)</f>
        <v>0</v>
      </c>
      <c r="K38" s="1">
        <f ca="1">IFERROR(VLOOKUP($A38,[1]库存使用数据!$A:$K,11,0),0)+IFERROR(VLOOKUP($A38,[2]库存使用数据!$A:$K,11,0),0)+IFERROR(VLOOKUP($A38,[3]库存使用数据!$A:$K,11,0),0)+IFERROR(VLOOKUP($A38,[4]库存使用数据!$A:$K,11,0),0)+IFERROR(VLOOKUP($A38,[5]库存使用数据!$A:$K,11,0),0)</f>
        <v>236</v>
      </c>
      <c r="L38" s="1">
        <f ca="1">IFERROR(VLOOKUP($A38,[1]库存使用数据!$A:$L,12,0),0)+IFERROR(VLOOKUP($A38,[2]库存使用数据!$A:$L,12,0),0)+IFERROR(VLOOKUP($A38,[3]库存使用数据!$A:$L,12,0),0)+IFERROR(VLOOKUP($A38,[4]库存使用数据!$A:$L,12,0),0)+IFERROR(VLOOKUP($A38,[5]库存使用数据!$A:$L,12,0),0)</f>
        <v>0</v>
      </c>
      <c r="M38" s="1">
        <f ca="1">IFERROR(VLOOKUP($A38,[1]库存使用数据!$A:$M,13,0),0)+IFERROR(VLOOKUP($A38,[2]库存使用数据!$A:$M,13,0),0)+公式!$B$14*IFERROR(VLOOKUP($A38,[3]库存使用数据!$A:$M,13,0),0)+IFERROR(VLOOKUP($A38,[4]库存使用数据!$A:$M,13,0),0)+IFERROR(VLOOKUP($A38,[5]库存使用数据!$A:$M,13,0),0)</f>
        <v>0</v>
      </c>
    </row>
    <row r="39" spans="1:13">
      <c r="A39" s="5" t="s">
        <v>44</v>
      </c>
      <c r="B39" s="2">
        <f ca="1">IFERROR(VLOOKUP(A39,[1]库存使用数据!$A:$B,2,0),0)+IFERROR(VLOOKUP(A39,[2]库存使用数据!$A:$B,2,0),0)+IFERROR(VLOOKUP(,[3]库存使用数据!$A:$B,2,0),0)+IFERROR(VLOOKUP(A39,[4]库存使用数据!$A:$B,2,0),0)+IFERROR(VLOOKUP(A39,[5]库存使用数据!$A:$B,2,0),0)</f>
        <v>0</v>
      </c>
      <c r="C39" s="1">
        <f ca="1">IFERROR(VLOOKUP($A39,[1]库存使用数据!$A:$C,3,0),0)+IFERROR(VLOOKUP($A39,[2]库存使用数据!$A:$C,3,0),0)+IFERROR(VLOOKUP($A39,[3]库存使用数据!$A:$C,3,0),0)+IFERROR(VLOOKUP($A39,[4]库存使用数据!$A:$C,3,0),0)+IFERROR(VLOOKUP($A39,[5]库存使用数据!$A:$C,3,0),0)</f>
        <v>0</v>
      </c>
      <c r="D39" s="1">
        <f ca="1">IFERROR(VLOOKUP($A39,[1]库存使用数据!$A:$D,4,0),0)+IFERROR(VLOOKUP($A39,[2]库存使用数据!$A:$D,4,0),0)+公式!$B$1*IFERROR(VLOOKUP($A39,[3]库存使用数据!$A:$D,4,0),0)+IFERROR(VLOOKUP($A39,[4]库存使用数据!$A:$D,4,0),0)+IFERROR(VLOOKUP($A39,[5]库存使用数据!$A:$D,4,0),0)</f>
        <v>0</v>
      </c>
      <c r="E39" s="1">
        <f ca="1">IFERROR(VLOOKUP($A39,[1]库存使用数据!$A:$E,5,0),0)+IFERROR(VLOOKUP($A39,[2]库存使用数据!$A:$E,5,0),0)+IFERROR(VLOOKUP($A39,[3]库存使用数据!$A:$E,5,0),0)+IFERROR(VLOOKUP($A39,[4]库存使用数据!$A:$E,5,0),0)+IFERROR(VLOOKUP($A39,[5]库存使用数据!$A:$E,5,0),0)</f>
        <v>108</v>
      </c>
      <c r="F39" s="1">
        <f ca="1">IFERROR(VLOOKUP($A39,[1]库存使用数据!$A:$F,6,0),0)+IFERROR(VLOOKUP($A39,[2]库存使用数据!$A:$F,6,0),0)+IFERROR(VLOOKUP($A39,[4]库存使用数据!$A:$F,6,0),0)+IFERROR(VLOOKUP($A39,[3]库存使用数据!$A:$F,6,0),0)+IFERROR(VLOOKUP($A39,[5]库存使用数据!$A:$F,6,0),0)</f>
        <v>0</v>
      </c>
      <c r="G39" s="1">
        <f ca="1">IFERROR(VLOOKUP($A39,[1]库存使用数据!$A:$G,7,0),0)+IFERROR(VLOOKUP($A39,[2]库存使用数据!$A:$G,7,0),0)+公式!$B$14*IFERROR(VLOOKUP($A39,[3]库存使用数据!$A:$G,7,0),0)+IFERROR(VLOOKUP($A39,[4]库存使用数据!$A:$G,7,0),0)+IFERROR(VLOOKUP($A39,[5]库存使用数据!$A:$G,7,0),0)</f>
        <v>0</v>
      </c>
      <c r="H39" s="1">
        <f ca="1">IFERROR(VLOOKUP($A39,[1]库存使用数据!$A:$H,8,0),0)+IFERROR(VLOOKUP($A39,[2]库存使用数据!$A:$H,8,0),0)+IFERROR(VLOOKUP($A39,[3]库存使用数据!$A:$H,8,0),0)+IFERROR(VLOOKUP($A39,[4]库存使用数据!$A:$H,8,0),0)+IFERROR(VLOOKUP($A39,[5]库存使用数据!$A:$H,8,0),0)</f>
        <v>637</v>
      </c>
      <c r="I39" s="1">
        <f ca="1">IFERROR(VLOOKUP($A39,[1]库存使用数据!$A:$I,9,0),0)+IFERROR(VLOOKUP($A39,[2]库存使用数据!$A:$I,9,0),0)+IFERROR(VLOOKUP($A39,[3]库存使用数据!$A:$I,9,0),0)+IFERROR(VLOOKUP($A39,[4]库存使用数据!$A:$I,9,0),0)+IFERROR(VLOOKUP($A39,[5]库存使用数据!$A:$I,9,0),0)</f>
        <v>3</v>
      </c>
      <c r="J39" s="1">
        <f ca="1">IFERROR(VLOOKUP($A39,[1]库存使用数据!$A:$J,10,0),0)+IFERROR(VLOOKUP($A39,[2]库存使用数据!$A:$J,10,0),0)+公式!$B$14*IFERROR(VLOOKUP($A39,[3]库存使用数据!$A:$J,10,0),0)+IFERROR(VLOOKUP($A39,[4]库存使用数据!$A:$J,10,0),0)+IFERROR(VLOOKUP($A39,[5]库存使用数据!$A:$J,10,0),0)</f>
        <v>0.5</v>
      </c>
      <c r="K39" s="1">
        <f ca="1">IFERROR(VLOOKUP($A39,[1]库存使用数据!$A:$K,11,0),0)+IFERROR(VLOOKUP($A39,[2]库存使用数据!$A:$K,11,0),0)+IFERROR(VLOOKUP($A39,[3]库存使用数据!$A:$K,11,0),0)+IFERROR(VLOOKUP($A39,[4]库存使用数据!$A:$K,11,0),0)+IFERROR(VLOOKUP($A39,[5]库存使用数据!$A:$K,11,0),0)</f>
        <v>972</v>
      </c>
      <c r="L39" s="1">
        <f ca="1">IFERROR(VLOOKUP($A39,[1]库存使用数据!$A:$L,12,0),0)+IFERROR(VLOOKUP($A39,[2]库存使用数据!$A:$L,12,0),0)+IFERROR(VLOOKUP($A39,[3]库存使用数据!$A:$L,12,0),0)+IFERROR(VLOOKUP($A39,[4]库存使用数据!$A:$L,12,0),0)+IFERROR(VLOOKUP($A39,[5]库存使用数据!$A:$L,12,0),0)</f>
        <v>7</v>
      </c>
      <c r="M39" s="1">
        <f ca="1">IFERROR(VLOOKUP($A39,[1]库存使用数据!$A:$M,13,0),0)+IFERROR(VLOOKUP($A39,[2]库存使用数据!$A:$M,13,0),0)+公式!$B$14*IFERROR(VLOOKUP($A39,[3]库存使用数据!$A:$M,13,0),0)+IFERROR(VLOOKUP($A39,[4]库存使用数据!$A:$M,13,0),0)+IFERROR(VLOOKUP($A39,[5]库存使用数据!$A:$M,13,0),0)</f>
        <v>1.37</v>
      </c>
    </row>
    <row r="40" spans="1:13">
      <c r="A40" s="5" t="s">
        <v>45</v>
      </c>
      <c r="B40" s="2">
        <f ca="1">IFERROR(VLOOKUP(A40,[1]库存使用数据!$A:$B,2,0),0)+IFERROR(VLOOKUP(A40,[2]库存使用数据!$A:$B,2,0),0)+IFERROR(VLOOKUP(,[3]库存使用数据!$A:$B,2,0),0)+IFERROR(VLOOKUP(A40,[4]库存使用数据!$A:$B,2,0),0)+IFERROR(VLOOKUP(A40,[5]库存使用数据!$A:$B,2,0),0)</f>
        <v>0</v>
      </c>
      <c r="C40" s="1">
        <f ca="1">IFERROR(VLOOKUP($A40,[1]库存使用数据!$A:$C,3,0),0)+IFERROR(VLOOKUP($A40,[2]库存使用数据!$A:$C,3,0),0)+IFERROR(VLOOKUP($A40,[3]库存使用数据!$A:$C,3,0),0)+IFERROR(VLOOKUP($A40,[4]库存使用数据!$A:$C,3,0),0)+IFERROR(VLOOKUP($A40,[5]库存使用数据!$A:$C,3,0),0)</f>
        <v>0</v>
      </c>
      <c r="D40" s="1">
        <f ca="1">IFERROR(VLOOKUP($A40,[1]库存使用数据!$A:$D,4,0),0)+IFERROR(VLOOKUP($A40,[2]库存使用数据!$A:$D,4,0),0)+公式!$B$1*IFERROR(VLOOKUP($A40,[3]库存使用数据!$A:$D,4,0),0)+IFERROR(VLOOKUP($A40,[4]库存使用数据!$A:$D,4,0),0)+IFERROR(VLOOKUP($A40,[5]库存使用数据!$A:$D,4,0),0)</f>
        <v>0</v>
      </c>
      <c r="E40" s="1">
        <f ca="1">IFERROR(VLOOKUP($A40,[1]库存使用数据!$A:$E,5,0),0)+IFERROR(VLOOKUP($A40,[2]库存使用数据!$A:$E,5,0),0)+IFERROR(VLOOKUP($A40,[3]库存使用数据!$A:$E,5,0),0)+IFERROR(VLOOKUP($A40,[4]库存使用数据!$A:$E,5,0),0)+IFERROR(VLOOKUP($A40,[5]库存使用数据!$A:$E,5,0),0)</f>
        <v>5052</v>
      </c>
      <c r="F40" s="1">
        <f ca="1">IFERROR(VLOOKUP($A40,[1]库存使用数据!$A:$F,6,0),0)+IFERROR(VLOOKUP($A40,[2]库存使用数据!$A:$F,6,0),0)+IFERROR(VLOOKUP($A40,[4]库存使用数据!$A:$F,6,0),0)+IFERROR(VLOOKUP($A40,[3]库存使用数据!$A:$F,6,0),0)+IFERROR(VLOOKUP($A40,[5]库存使用数据!$A:$F,6,0),0)</f>
        <v>8</v>
      </c>
      <c r="G40" s="1">
        <f ca="1">IFERROR(VLOOKUP($A40,[1]库存使用数据!$A:$G,7,0),0)+IFERROR(VLOOKUP($A40,[2]库存使用数据!$A:$G,7,0),0)+公式!$B$14*IFERROR(VLOOKUP($A40,[3]库存使用数据!$A:$G,7,0),0)+IFERROR(VLOOKUP($A40,[4]库存使用数据!$A:$G,7,0),0)+IFERROR(VLOOKUP($A40,[5]库存使用数据!$A:$G,7,0),0)</f>
        <v>0.6</v>
      </c>
      <c r="H40" s="1">
        <f ca="1">IFERROR(VLOOKUP($A40,[1]库存使用数据!$A:$H,8,0),0)+IFERROR(VLOOKUP($A40,[2]库存使用数据!$A:$H,8,0),0)+IFERROR(VLOOKUP($A40,[3]库存使用数据!$A:$H,8,0),0)+IFERROR(VLOOKUP($A40,[4]库存使用数据!$A:$H,8,0),0)+IFERROR(VLOOKUP($A40,[5]库存使用数据!$A:$H,8,0),0)</f>
        <v>1666</v>
      </c>
      <c r="I40" s="1">
        <f ca="1">IFERROR(VLOOKUP($A40,[1]库存使用数据!$A:$I,9,0),0)+IFERROR(VLOOKUP($A40,[2]库存使用数据!$A:$I,9,0),0)+IFERROR(VLOOKUP($A40,[3]库存使用数据!$A:$I,9,0),0)+IFERROR(VLOOKUP($A40,[4]库存使用数据!$A:$I,9,0),0)+IFERROR(VLOOKUP($A40,[5]库存使用数据!$A:$I,9,0),0)</f>
        <v>8</v>
      </c>
      <c r="J40" s="1">
        <f ca="1">IFERROR(VLOOKUP($A40,[1]库存使用数据!$A:$J,10,0),0)+IFERROR(VLOOKUP($A40,[2]库存使用数据!$A:$J,10,0),0)+公式!$B$14*IFERROR(VLOOKUP($A40,[3]库存使用数据!$A:$J,10,0),0)+IFERROR(VLOOKUP($A40,[4]库存使用数据!$A:$J,10,0),0)+IFERROR(VLOOKUP($A40,[5]库存使用数据!$A:$J,10,0),0)</f>
        <v>0.99</v>
      </c>
      <c r="K40" s="1">
        <f ca="1">IFERROR(VLOOKUP($A40,[1]库存使用数据!$A:$K,11,0),0)+IFERROR(VLOOKUP($A40,[2]库存使用数据!$A:$K,11,0),0)+IFERROR(VLOOKUP($A40,[3]库存使用数据!$A:$K,11,0),0)+IFERROR(VLOOKUP($A40,[4]库存使用数据!$A:$K,11,0),0)+IFERROR(VLOOKUP($A40,[5]库存使用数据!$A:$K,11,0),0)</f>
        <v>1074</v>
      </c>
      <c r="L40" s="1">
        <f ca="1">IFERROR(VLOOKUP($A40,[1]库存使用数据!$A:$L,12,0),0)+IFERROR(VLOOKUP($A40,[2]库存使用数据!$A:$L,12,0),0)+IFERROR(VLOOKUP($A40,[3]库存使用数据!$A:$L,12,0),0)+IFERROR(VLOOKUP($A40,[4]库存使用数据!$A:$L,12,0),0)+IFERROR(VLOOKUP($A40,[5]库存使用数据!$A:$L,12,0),0)</f>
        <v>3</v>
      </c>
      <c r="M40" s="1">
        <f ca="1">IFERROR(VLOOKUP($A40,[1]库存使用数据!$A:$M,13,0),0)+IFERROR(VLOOKUP($A40,[2]库存使用数据!$A:$M,13,0),0)+公式!$B$14*IFERROR(VLOOKUP($A40,[3]库存使用数据!$A:$M,13,0),0)+IFERROR(VLOOKUP($A40,[4]库存使用数据!$A:$M,13,0),0)+IFERROR(VLOOKUP($A40,[5]库存使用数据!$A:$M,13,0),0)</f>
        <v>0.33</v>
      </c>
    </row>
    <row r="41" spans="1:13">
      <c r="A41" s="5" t="s">
        <v>46</v>
      </c>
      <c r="B41" s="2">
        <f ca="1">IFERROR(VLOOKUP(A41,[1]库存使用数据!$A:$B,2,0),0)+IFERROR(VLOOKUP(A41,[2]库存使用数据!$A:$B,2,0),0)+IFERROR(VLOOKUP(,[3]库存使用数据!$A:$B,2,0),0)+IFERROR(VLOOKUP(A41,[4]库存使用数据!$A:$B,2,0),0)+IFERROR(VLOOKUP(A41,[5]库存使用数据!$A:$B,2,0),0)</f>
        <v>0</v>
      </c>
      <c r="C41" s="1">
        <f ca="1">IFERROR(VLOOKUP($A41,[1]库存使用数据!$A:$C,3,0),0)+IFERROR(VLOOKUP($A41,[2]库存使用数据!$A:$C,3,0),0)+IFERROR(VLOOKUP($A41,[3]库存使用数据!$A:$C,3,0),0)+IFERROR(VLOOKUP($A41,[4]库存使用数据!$A:$C,3,0),0)+IFERROR(VLOOKUP($A41,[5]库存使用数据!$A:$C,3,0),0)</f>
        <v>0</v>
      </c>
      <c r="D41" s="1">
        <f ca="1">IFERROR(VLOOKUP($A41,[1]库存使用数据!$A:$D,4,0),0)+IFERROR(VLOOKUP($A41,[2]库存使用数据!$A:$D,4,0),0)+公式!$B$1*IFERROR(VLOOKUP($A41,[3]库存使用数据!$A:$D,4,0),0)+IFERROR(VLOOKUP($A41,[4]库存使用数据!$A:$D,4,0),0)+IFERROR(VLOOKUP($A41,[5]库存使用数据!$A:$D,4,0),0)</f>
        <v>0</v>
      </c>
      <c r="E41" s="1">
        <f ca="1">IFERROR(VLOOKUP($A41,[1]库存使用数据!$A:$E,5,0),0)+IFERROR(VLOOKUP($A41,[2]库存使用数据!$A:$E,5,0),0)+IFERROR(VLOOKUP($A41,[3]库存使用数据!$A:$E,5,0),0)+IFERROR(VLOOKUP($A41,[4]库存使用数据!$A:$E,5,0),0)+IFERROR(VLOOKUP($A41,[5]库存使用数据!$A:$E,5,0),0)</f>
        <v>2</v>
      </c>
      <c r="F41" s="1">
        <f ca="1">IFERROR(VLOOKUP($A41,[1]库存使用数据!$A:$F,6,0),0)+IFERROR(VLOOKUP($A41,[2]库存使用数据!$A:$F,6,0),0)+IFERROR(VLOOKUP($A41,[4]库存使用数据!$A:$F,6,0),0)+IFERROR(VLOOKUP($A41,[3]库存使用数据!$A:$F,6,0),0)+IFERROR(VLOOKUP($A41,[5]库存使用数据!$A:$F,6,0),0)</f>
        <v>0</v>
      </c>
      <c r="G41" s="1">
        <f ca="1">IFERROR(VLOOKUP($A41,[1]库存使用数据!$A:$G,7,0),0)+IFERROR(VLOOKUP($A41,[2]库存使用数据!$A:$G,7,0),0)+公式!$B$14*IFERROR(VLOOKUP($A41,[3]库存使用数据!$A:$G,7,0),0)+IFERROR(VLOOKUP($A41,[4]库存使用数据!$A:$G,7,0),0)+IFERROR(VLOOKUP($A41,[5]库存使用数据!$A:$G,7,0),0)</f>
        <v>0</v>
      </c>
      <c r="H41" s="1">
        <f ca="1">IFERROR(VLOOKUP($A41,[1]库存使用数据!$A:$H,8,0),0)+IFERROR(VLOOKUP($A41,[2]库存使用数据!$A:$H,8,0),0)+IFERROR(VLOOKUP($A41,[3]库存使用数据!$A:$H,8,0),0)+IFERROR(VLOOKUP($A41,[4]库存使用数据!$A:$H,8,0),0)+IFERROR(VLOOKUP($A41,[5]库存使用数据!$A:$H,8,0),0)</f>
        <v>0</v>
      </c>
      <c r="I41" s="1">
        <f ca="1">IFERROR(VLOOKUP($A41,[1]库存使用数据!$A:$I,9,0),0)+IFERROR(VLOOKUP($A41,[2]库存使用数据!$A:$I,9,0),0)+IFERROR(VLOOKUP($A41,[3]库存使用数据!$A:$I,9,0),0)+IFERROR(VLOOKUP($A41,[4]库存使用数据!$A:$I,9,0),0)+IFERROR(VLOOKUP($A41,[5]库存使用数据!$A:$I,9,0),0)</f>
        <v>0</v>
      </c>
      <c r="J41" s="1">
        <f ca="1">IFERROR(VLOOKUP($A41,[1]库存使用数据!$A:$J,10,0),0)+IFERROR(VLOOKUP($A41,[2]库存使用数据!$A:$J,10,0),0)+公式!$B$14*IFERROR(VLOOKUP($A41,[3]库存使用数据!$A:$J,10,0),0)+IFERROR(VLOOKUP($A41,[4]库存使用数据!$A:$J,10,0),0)+IFERROR(VLOOKUP($A41,[5]库存使用数据!$A:$J,10,0),0)</f>
        <v>0</v>
      </c>
      <c r="K41" s="1">
        <f ca="1">IFERROR(VLOOKUP($A41,[1]库存使用数据!$A:$K,11,0),0)+IFERROR(VLOOKUP($A41,[2]库存使用数据!$A:$K,11,0),0)+IFERROR(VLOOKUP($A41,[3]库存使用数据!$A:$K,11,0),0)+IFERROR(VLOOKUP($A41,[4]库存使用数据!$A:$K,11,0),0)+IFERROR(VLOOKUP($A41,[5]库存使用数据!$A:$K,11,0),0)</f>
        <v>0</v>
      </c>
      <c r="L41" s="1">
        <f ca="1">IFERROR(VLOOKUP($A41,[1]库存使用数据!$A:$L,12,0),0)+IFERROR(VLOOKUP($A41,[2]库存使用数据!$A:$L,12,0),0)+IFERROR(VLOOKUP($A41,[3]库存使用数据!$A:$L,12,0),0)+IFERROR(VLOOKUP($A41,[4]库存使用数据!$A:$L,12,0),0)+IFERROR(VLOOKUP($A41,[5]库存使用数据!$A:$L,12,0),0)</f>
        <v>0</v>
      </c>
      <c r="M41" s="1">
        <f ca="1">IFERROR(VLOOKUP($A41,[1]库存使用数据!$A:$M,13,0),0)+IFERROR(VLOOKUP($A41,[2]库存使用数据!$A:$M,13,0),0)+公式!$B$14*IFERROR(VLOOKUP($A41,[3]库存使用数据!$A:$M,13,0),0)+IFERROR(VLOOKUP($A41,[4]库存使用数据!$A:$M,13,0),0)+IFERROR(VLOOKUP($A41,[5]库存使用数据!$A:$M,13,0),0)</f>
        <v>0</v>
      </c>
    </row>
    <row r="42" spans="1:13">
      <c r="A42" s="5" t="s">
        <v>47</v>
      </c>
      <c r="B42" s="2">
        <f ca="1">IFERROR(VLOOKUP(A42,[1]库存使用数据!$A:$B,2,0),0)+IFERROR(VLOOKUP(A42,[2]库存使用数据!$A:$B,2,0),0)+IFERROR(VLOOKUP(,[3]库存使用数据!$A:$B,2,0),0)+IFERROR(VLOOKUP(A42,[4]库存使用数据!$A:$B,2,0),0)+IFERROR(VLOOKUP(A42,[5]库存使用数据!$A:$B,2,0),0)</f>
        <v>3593</v>
      </c>
      <c r="C42" s="1">
        <f ca="1">IFERROR(VLOOKUP($A42,[1]库存使用数据!$A:$C,3,0),0)+IFERROR(VLOOKUP($A42,[2]库存使用数据!$A:$C,3,0),0)+IFERROR(VLOOKUP($A42,[3]库存使用数据!$A:$C,3,0),0)+IFERROR(VLOOKUP($A42,[4]库存使用数据!$A:$C,3,0),0)+IFERROR(VLOOKUP($A42,[5]库存使用数据!$A:$C,3,0),0)</f>
        <v>46</v>
      </c>
      <c r="D42" s="1">
        <f ca="1">IFERROR(VLOOKUP($A42,[1]库存使用数据!$A:$D,4,0),0)+IFERROR(VLOOKUP($A42,[2]库存使用数据!$A:$D,4,0),0)+公式!$B$1*IFERROR(VLOOKUP($A42,[3]库存使用数据!$A:$D,4,0),0)+IFERROR(VLOOKUP($A42,[4]库存使用数据!$A:$D,4,0),0)+IFERROR(VLOOKUP($A42,[5]库存使用数据!$A:$D,4,0),0)</f>
        <v>7.6675</v>
      </c>
      <c r="E42" s="1">
        <f ca="1">IFERROR(VLOOKUP($A42,[1]库存使用数据!$A:$E,5,0),0)+IFERROR(VLOOKUP($A42,[2]库存使用数据!$A:$E,5,0),0)+IFERROR(VLOOKUP($A42,[3]库存使用数据!$A:$E,5,0),0)+IFERROR(VLOOKUP($A42,[4]库存使用数据!$A:$E,5,0),0)+IFERROR(VLOOKUP($A42,[5]库存使用数据!$A:$E,5,0),0)</f>
        <v>11554</v>
      </c>
      <c r="F42" s="1">
        <f ca="1">IFERROR(VLOOKUP($A42,[1]库存使用数据!$A:$F,6,0),0)+IFERROR(VLOOKUP($A42,[2]库存使用数据!$A:$F,6,0),0)+IFERROR(VLOOKUP($A42,[4]库存使用数据!$A:$F,6,0),0)+IFERROR(VLOOKUP($A42,[3]库存使用数据!$A:$F,6,0),0)+IFERROR(VLOOKUP($A42,[5]库存使用数据!$A:$F,6,0),0)</f>
        <v>117</v>
      </c>
      <c r="G42" s="1">
        <f ca="1">IFERROR(VLOOKUP($A42,[1]库存使用数据!$A:$G,7,0),0)+IFERROR(VLOOKUP($A42,[2]库存使用数据!$A:$G,7,0),0)+公式!$B$14*IFERROR(VLOOKUP($A42,[3]库存使用数据!$A:$G,7,0),0)+IFERROR(VLOOKUP($A42,[4]库存使用数据!$A:$G,7,0),0)+IFERROR(VLOOKUP($A42,[5]库存使用数据!$A:$G,7,0),0)</f>
        <v>14.92</v>
      </c>
      <c r="H42" s="1">
        <f ca="1">IFERROR(VLOOKUP($A42,[1]库存使用数据!$A:$H,8,0),0)+IFERROR(VLOOKUP($A42,[2]库存使用数据!$A:$H,8,0),0)+IFERROR(VLOOKUP($A42,[3]库存使用数据!$A:$H,8,0),0)+IFERROR(VLOOKUP($A42,[4]库存使用数据!$A:$H,8,0),0)+IFERROR(VLOOKUP($A42,[5]库存使用数据!$A:$H,8,0),0)</f>
        <v>6071</v>
      </c>
      <c r="I42" s="1">
        <f ca="1">IFERROR(VLOOKUP($A42,[1]库存使用数据!$A:$I,9,0),0)+IFERROR(VLOOKUP($A42,[2]库存使用数据!$A:$I,9,0),0)+IFERROR(VLOOKUP($A42,[3]库存使用数据!$A:$I,9,0),0)+IFERROR(VLOOKUP($A42,[4]库存使用数据!$A:$I,9,0),0)+IFERROR(VLOOKUP($A42,[5]库存使用数据!$A:$I,9,0),0)</f>
        <v>58</v>
      </c>
      <c r="J42" s="1">
        <f ca="1">IFERROR(VLOOKUP($A42,[1]库存使用数据!$A:$J,10,0),0)+IFERROR(VLOOKUP($A42,[2]库存使用数据!$A:$J,10,0),0)+公式!$B$14*IFERROR(VLOOKUP($A42,[3]库存使用数据!$A:$J,10,0),0)+IFERROR(VLOOKUP($A42,[4]库存使用数据!$A:$J,10,0),0)+IFERROR(VLOOKUP($A42,[5]库存使用数据!$A:$J,10,0),0)</f>
        <v>7.39</v>
      </c>
      <c r="K42" s="1">
        <f ca="1">IFERROR(VLOOKUP($A42,[1]库存使用数据!$A:$K,11,0),0)+IFERROR(VLOOKUP($A42,[2]库存使用数据!$A:$K,11,0),0)+IFERROR(VLOOKUP($A42,[3]库存使用数据!$A:$K,11,0),0)+IFERROR(VLOOKUP($A42,[4]库存使用数据!$A:$K,11,0),0)+IFERROR(VLOOKUP($A42,[5]库存使用数据!$A:$K,11,0),0)</f>
        <v>14775</v>
      </c>
      <c r="L42" s="1">
        <f ca="1">IFERROR(VLOOKUP($A42,[1]库存使用数据!$A:$L,12,0),0)+IFERROR(VLOOKUP($A42,[2]库存使用数据!$A:$L,12,0),0)+IFERROR(VLOOKUP($A42,[3]库存使用数据!$A:$L,12,0),0)+IFERROR(VLOOKUP($A42,[4]库存使用数据!$A:$L,12,0),0)+IFERROR(VLOOKUP($A42,[5]库存使用数据!$A:$L,12,0),0)</f>
        <v>83</v>
      </c>
      <c r="M42" s="1">
        <f ca="1">IFERROR(VLOOKUP($A42,[1]库存使用数据!$A:$M,13,0),0)+IFERROR(VLOOKUP($A42,[2]库存使用数据!$A:$M,13,0),0)+公式!$B$14*IFERROR(VLOOKUP($A42,[3]库存使用数据!$A:$M,13,0),0)+IFERROR(VLOOKUP($A42,[4]库存使用数据!$A:$M,13,0),0)+IFERROR(VLOOKUP($A42,[5]库存使用数据!$A:$M,13,0),0)</f>
        <v>13.03</v>
      </c>
    </row>
    <row r="43" spans="1:13">
      <c r="A43" s="5" t="s">
        <v>48</v>
      </c>
      <c r="B43" s="2">
        <f ca="1">IFERROR(VLOOKUP(A43,[1]库存使用数据!$A:$B,2,0),0)+IFERROR(VLOOKUP(A43,[2]库存使用数据!$A:$B,2,0),0)+IFERROR(VLOOKUP(,[3]库存使用数据!$A:$B,2,0),0)+IFERROR(VLOOKUP(A43,[4]库存使用数据!$A:$B,2,0),0)+IFERROR(VLOOKUP(A43,[5]库存使用数据!$A:$B,2,0),0)</f>
        <v>5903</v>
      </c>
      <c r="C43" s="1">
        <f ca="1">IFERROR(VLOOKUP($A43,[1]库存使用数据!$A:$C,3,0),0)+IFERROR(VLOOKUP($A43,[2]库存使用数据!$A:$C,3,0),0)+IFERROR(VLOOKUP($A43,[3]库存使用数据!$A:$C,3,0),0)+IFERROR(VLOOKUP($A43,[4]库存使用数据!$A:$C,3,0),0)+IFERROR(VLOOKUP($A43,[5]库存使用数据!$A:$C,3,0),0)</f>
        <v>45</v>
      </c>
      <c r="D43" s="1">
        <f ca="1">IFERROR(VLOOKUP($A43,[1]库存使用数据!$A:$D,4,0),0)+IFERROR(VLOOKUP($A43,[2]库存使用数据!$A:$D,4,0),0)+公式!$B$1*IFERROR(VLOOKUP($A43,[3]库存使用数据!$A:$D,4,0),0)+IFERROR(VLOOKUP($A43,[4]库存使用数据!$A:$D,4,0),0)+IFERROR(VLOOKUP($A43,[5]库存使用数据!$A:$D,4,0),0)</f>
        <v>5.86</v>
      </c>
      <c r="E43" s="1">
        <f ca="1">IFERROR(VLOOKUP($A43,[1]库存使用数据!$A:$E,5,0),0)+IFERROR(VLOOKUP($A43,[2]库存使用数据!$A:$E,5,0),0)+IFERROR(VLOOKUP($A43,[3]库存使用数据!$A:$E,5,0),0)+IFERROR(VLOOKUP($A43,[4]库存使用数据!$A:$E,5,0),0)+IFERROR(VLOOKUP($A43,[5]库存使用数据!$A:$E,5,0),0)</f>
        <v>16701</v>
      </c>
      <c r="F43" s="1">
        <f ca="1">IFERROR(VLOOKUP($A43,[1]库存使用数据!$A:$F,6,0),0)+IFERROR(VLOOKUP($A43,[2]库存使用数据!$A:$F,6,0),0)+IFERROR(VLOOKUP($A43,[4]库存使用数据!$A:$F,6,0),0)+IFERROR(VLOOKUP($A43,[3]库存使用数据!$A:$F,6,0),0)+IFERROR(VLOOKUP($A43,[5]库存使用数据!$A:$F,6,0),0)</f>
        <v>67</v>
      </c>
      <c r="G43" s="1">
        <f ca="1">IFERROR(VLOOKUP($A43,[1]库存使用数据!$A:$G,7,0),0)+IFERROR(VLOOKUP($A43,[2]库存使用数据!$A:$G,7,0),0)+公式!$B$14*IFERROR(VLOOKUP($A43,[3]库存使用数据!$A:$G,7,0),0)+IFERROR(VLOOKUP($A43,[4]库存使用数据!$A:$G,7,0),0)+IFERROR(VLOOKUP($A43,[5]库存使用数据!$A:$G,7,0),0)</f>
        <v>9.1</v>
      </c>
      <c r="H43" s="1">
        <f ca="1">IFERROR(VLOOKUP($A43,[1]库存使用数据!$A:$H,8,0),0)+IFERROR(VLOOKUP($A43,[2]库存使用数据!$A:$H,8,0),0)+IFERROR(VLOOKUP($A43,[3]库存使用数据!$A:$H,8,0),0)+IFERROR(VLOOKUP($A43,[4]库存使用数据!$A:$H,8,0),0)+IFERROR(VLOOKUP($A43,[5]库存使用数据!$A:$H,8,0),0)</f>
        <v>7377</v>
      </c>
      <c r="I43" s="1">
        <f ca="1">IFERROR(VLOOKUP($A43,[1]库存使用数据!$A:$I,9,0),0)+IFERROR(VLOOKUP($A43,[2]库存使用数据!$A:$I,9,0),0)+IFERROR(VLOOKUP($A43,[3]库存使用数据!$A:$I,9,0),0)+IFERROR(VLOOKUP($A43,[4]库存使用数据!$A:$I,9,0),0)+IFERROR(VLOOKUP($A43,[5]库存使用数据!$A:$I,9,0),0)</f>
        <v>29</v>
      </c>
      <c r="J43" s="1">
        <f ca="1">IFERROR(VLOOKUP($A43,[1]库存使用数据!$A:$J,10,0),0)+IFERROR(VLOOKUP($A43,[2]库存使用数据!$A:$J,10,0),0)+公式!$B$14*IFERROR(VLOOKUP($A43,[3]库存使用数据!$A:$J,10,0),0)+IFERROR(VLOOKUP($A43,[4]库存使用数据!$A:$J,10,0),0)+IFERROR(VLOOKUP($A43,[5]库存使用数据!$A:$J,10,0),0)</f>
        <v>4.13</v>
      </c>
      <c r="K43" s="1">
        <f ca="1">IFERROR(VLOOKUP($A43,[1]库存使用数据!$A:$K,11,0),0)+IFERROR(VLOOKUP($A43,[2]库存使用数据!$A:$K,11,0),0)+IFERROR(VLOOKUP($A43,[3]库存使用数据!$A:$K,11,0),0)+IFERROR(VLOOKUP($A43,[4]库存使用数据!$A:$K,11,0),0)+IFERROR(VLOOKUP($A43,[5]库存使用数据!$A:$K,11,0),0)</f>
        <v>4035</v>
      </c>
      <c r="L43" s="1">
        <f ca="1">IFERROR(VLOOKUP($A43,[1]库存使用数据!$A:$L,12,0),0)+IFERROR(VLOOKUP($A43,[2]库存使用数据!$A:$L,12,0),0)+IFERROR(VLOOKUP($A43,[3]库存使用数据!$A:$L,12,0),0)+IFERROR(VLOOKUP($A43,[4]库存使用数据!$A:$L,12,0),0)+IFERROR(VLOOKUP($A43,[5]库存使用数据!$A:$L,12,0),0)</f>
        <v>28</v>
      </c>
      <c r="M43" s="1">
        <f ca="1">IFERROR(VLOOKUP($A43,[1]库存使用数据!$A:$M,13,0),0)+IFERROR(VLOOKUP($A43,[2]库存使用数据!$A:$M,13,0),0)+公式!$B$14*IFERROR(VLOOKUP($A43,[3]库存使用数据!$A:$M,13,0),0)+IFERROR(VLOOKUP($A43,[4]库存使用数据!$A:$M,13,0),0)+IFERROR(VLOOKUP($A43,[5]库存使用数据!$A:$M,13,0),0)</f>
        <v>3.64</v>
      </c>
    </row>
    <row r="44" spans="1:13">
      <c r="A44" s="5" t="s">
        <v>49</v>
      </c>
      <c r="B44" s="2">
        <f ca="1">IFERROR(VLOOKUP(A44,[1]库存使用数据!$A:$B,2,0),0)+IFERROR(VLOOKUP(A44,[2]库存使用数据!$A:$B,2,0),0)+IFERROR(VLOOKUP(,[3]库存使用数据!$A:$B,2,0),0)+IFERROR(VLOOKUP(A44,[4]库存使用数据!$A:$B,2,0),0)+IFERROR(VLOOKUP(A44,[5]库存使用数据!$A:$B,2,0),0)</f>
        <v>7517</v>
      </c>
      <c r="C44" s="1">
        <f ca="1">IFERROR(VLOOKUP($A44,[1]库存使用数据!$A:$C,3,0),0)+IFERROR(VLOOKUP($A44,[2]库存使用数据!$A:$C,3,0),0)+IFERROR(VLOOKUP($A44,[3]库存使用数据!$A:$C,3,0),0)+IFERROR(VLOOKUP($A44,[4]库存使用数据!$A:$C,3,0),0)+IFERROR(VLOOKUP($A44,[5]库存使用数据!$A:$C,3,0),0)</f>
        <v>52</v>
      </c>
      <c r="D44" s="1">
        <f ca="1">IFERROR(VLOOKUP($A44,[1]库存使用数据!$A:$D,4,0),0)+IFERROR(VLOOKUP($A44,[2]库存使用数据!$A:$D,4,0),0)+公式!$B$1*IFERROR(VLOOKUP($A44,[3]库存使用数据!$A:$D,4,0),0)+IFERROR(VLOOKUP($A44,[4]库存使用数据!$A:$D,4,0),0)+IFERROR(VLOOKUP($A44,[5]库存使用数据!$A:$D,4,0),0)</f>
        <v>6.95</v>
      </c>
      <c r="E44" s="1">
        <f ca="1">IFERROR(VLOOKUP($A44,[1]库存使用数据!$A:$E,5,0),0)+IFERROR(VLOOKUP($A44,[2]库存使用数据!$A:$E,5,0),0)+IFERROR(VLOOKUP($A44,[3]库存使用数据!$A:$E,5,0),0)+IFERROR(VLOOKUP($A44,[4]库存使用数据!$A:$E,5,0),0)+IFERROR(VLOOKUP($A44,[5]库存使用数据!$A:$E,5,0),0)</f>
        <v>13041</v>
      </c>
      <c r="F44" s="1">
        <f ca="1">IFERROR(VLOOKUP($A44,[1]库存使用数据!$A:$F,6,0),0)+IFERROR(VLOOKUP($A44,[2]库存使用数据!$A:$F,6,0),0)+IFERROR(VLOOKUP($A44,[4]库存使用数据!$A:$F,6,0),0)+IFERROR(VLOOKUP($A44,[3]库存使用数据!$A:$F,6,0),0)+IFERROR(VLOOKUP($A44,[5]库存使用数据!$A:$F,6,0),0)</f>
        <v>80</v>
      </c>
      <c r="G44" s="1">
        <f ca="1">IFERROR(VLOOKUP($A44,[1]库存使用数据!$A:$G,7,0),0)+IFERROR(VLOOKUP($A44,[2]库存使用数据!$A:$G,7,0),0)+公式!$B$14*IFERROR(VLOOKUP($A44,[3]库存使用数据!$A:$G,7,0),0)+IFERROR(VLOOKUP($A44,[4]库存使用数据!$A:$G,7,0),0)+IFERROR(VLOOKUP($A44,[5]库存使用数据!$A:$G,7,0),0)</f>
        <v>12.46</v>
      </c>
      <c r="H44" s="1">
        <f ca="1">IFERROR(VLOOKUP($A44,[1]库存使用数据!$A:$H,8,0),0)+IFERROR(VLOOKUP($A44,[2]库存使用数据!$A:$H,8,0),0)+IFERROR(VLOOKUP($A44,[3]库存使用数据!$A:$H,8,0),0)+IFERROR(VLOOKUP($A44,[4]库存使用数据!$A:$H,8,0),0)+IFERROR(VLOOKUP($A44,[5]库存使用数据!$A:$H,8,0),0)</f>
        <v>3016</v>
      </c>
      <c r="I44" s="1">
        <f ca="1">IFERROR(VLOOKUP($A44,[1]库存使用数据!$A:$I,9,0),0)+IFERROR(VLOOKUP($A44,[2]库存使用数据!$A:$I,9,0),0)+IFERROR(VLOOKUP($A44,[3]库存使用数据!$A:$I,9,0),0)+IFERROR(VLOOKUP($A44,[4]库存使用数据!$A:$I,9,0),0)+IFERROR(VLOOKUP($A44,[5]库存使用数据!$A:$I,9,0),0)</f>
        <v>34</v>
      </c>
      <c r="J44" s="1">
        <f ca="1">IFERROR(VLOOKUP($A44,[1]库存使用数据!$A:$J,10,0),0)+IFERROR(VLOOKUP($A44,[2]库存使用数据!$A:$J,10,0),0)+公式!$B$14*IFERROR(VLOOKUP($A44,[3]库存使用数据!$A:$J,10,0),0)+IFERROR(VLOOKUP($A44,[4]库存使用数据!$A:$J,10,0),0)+IFERROR(VLOOKUP($A44,[5]库存使用数据!$A:$J,10,0),0)</f>
        <v>4.8</v>
      </c>
      <c r="K44" s="1">
        <f ca="1">IFERROR(VLOOKUP($A44,[1]库存使用数据!$A:$K,11,0),0)+IFERROR(VLOOKUP($A44,[2]库存使用数据!$A:$K,11,0),0)+IFERROR(VLOOKUP($A44,[3]库存使用数据!$A:$K,11,0),0)+IFERROR(VLOOKUP($A44,[4]库存使用数据!$A:$K,11,0),0)+IFERROR(VLOOKUP($A44,[5]库存使用数据!$A:$K,11,0),0)</f>
        <v>1992</v>
      </c>
      <c r="L44" s="1">
        <f ca="1">IFERROR(VLOOKUP($A44,[1]库存使用数据!$A:$L,12,0),0)+IFERROR(VLOOKUP($A44,[2]库存使用数据!$A:$L,12,0),0)+IFERROR(VLOOKUP($A44,[3]库存使用数据!$A:$L,12,0),0)+IFERROR(VLOOKUP($A44,[4]库存使用数据!$A:$L,12,0),0)+IFERROR(VLOOKUP($A44,[5]库存使用数据!$A:$L,12,0),0)</f>
        <v>21</v>
      </c>
      <c r="M44" s="1">
        <f ca="1">IFERROR(VLOOKUP($A44,[1]库存使用数据!$A:$M,13,0),0)+IFERROR(VLOOKUP($A44,[2]库存使用数据!$A:$M,13,0),0)+公式!$B$14*IFERROR(VLOOKUP($A44,[3]库存使用数据!$A:$M,13,0),0)+IFERROR(VLOOKUP($A44,[4]库存使用数据!$A:$M,13,0),0)+IFERROR(VLOOKUP($A44,[5]库存使用数据!$A:$M,13,0),0)</f>
        <v>3.38</v>
      </c>
    </row>
    <row r="45" spans="1:13">
      <c r="A45" s="5" t="s">
        <v>50</v>
      </c>
      <c r="B45" s="2">
        <f ca="1">IFERROR(VLOOKUP(A45,[1]库存使用数据!$A:$B,2,0),0)+IFERROR(VLOOKUP(A45,[2]库存使用数据!$A:$B,2,0),0)+IFERROR(VLOOKUP(,[3]库存使用数据!$A:$B,2,0),0)+IFERROR(VLOOKUP(A45,[4]库存使用数据!$A:$B,2,0),0)+IFERROR(VLOOKUP(A45,[5]库存使用数据!$A:$B,2,0),0)</f>
        <v>0</v>
      </c>
      <c r="C45" s="1">
        <f ca="1">IFERROR(VLOOKUP($A45,[1]库存使用数据!$A:$C,3,0),0)+IFERROR(VLOOKUP($A45,[2]库存使用数据!$A:$C,3,0),0)+IFERROR(VLOOKUP($A45,[3]库存使用数据!$A:$C,3,0),0)+IFERROR(VLOOKUP($A45,[4]库存使用数据!$A:$C,3,0),0)+IFERROR(VLOOKUP($A45,[5]库存使用数据!$A:$C,3,0),0)</f>
        <v>18</v>
      </c>
      <c r="D45" s="1">
        <f ca="1">IFERROR(VLOOKUP($A45,[1]库存使用数据!$A:$D,4,0),0)+IFERROR(VLOOKUP($A45,[2]库存使用数据!$A:$D,4,0),0)+公式!$B$1*IFERROR(VLOOKUP($A45,[3]库存使用数据!$A:$D,4,0),0)+IFERROR(VLOOKUP($A45,[4]库存使用数据!$A:$D,4,0),0)+IFERROR(VLOOKUP($A45,[5]库存使用数据!$A:$D,4,0),0)</f>
        <v>4.3875</v>
      </c>
      <c r="E45" s="1">
        <f ca="1">IFERROR(VLOOKUP($A45,[1]库存使用数据!$A:$E,5,0),0)+IFERROR(VLOOKUP($A45,[2]库存使用数据!$A:$E,5,0),0)+IFERROR(VLOOKUP($A45,[3]库存使用数据!$A:$E,5,0),0)+IFERROR(VLOOKUP($A45,[4]库存使用数据!$A:$E,5,0),0)+IFERROR(VLOOKUP($A45,[5]库存使用数据!$A:$E,5,0),0)</f>
        <v>20336</v>
      </c>
      <c r="F45" s="1">
        <f ca="1">IFERROR(VLOOKUP($A45,[1]库存使用数据!$A:$F,6,0),0)+IFERROR(VLOOKUP($A45,[2]库存使用数据!$A:$F,6,0),0)+IFERROR(VLOOKUP($A45,[4]库存使用数据!$A:$F,6,0),0)+IFERROR(VLOOKUP($A45,[3]库存使用数据!$A:$F,6,0),0)+IFERROR(VLOOKUP($A45,[5]库存使用数据!$A:$F,6,0),0)</f>
        <v>37</v>
      </c>
      <c r="G45" s="1">
        <f ca="1">IFERROR(VLOOKUP($A45,[1]库存使用数据!$A:$G,7,0),0)+IFERROR(VLOOKUP($A45,[2]库存使用数据!$A:$G,7,0),0)+公式!$B$14*IFERROR(VLOOKUP($A45,[3]库存使用数据!$A:$G,7,0),0)+IFERROR(VLOOKUP($A45,[4]库存使用数据!$A:$G,7,0),0)+IFERROR(VLOOKUP($A45,[5]库存使用数据!$A:$G,7,0),0)</f>
        <v>0.42</v>
      </c>
      <c r="H45" s="1">
        <f ca="1">IFERROR(VLOOKUP($A45,[1]库存使用数据!$A:$H,8,0),0)+IFERROR(VLOOKUP($A45,[2]库存使用数据!$A:$H,8,0),0)+IFERROR(VLOOKUP($A45,[3]库存使用数据!$A:$H,8,0),0)+IFERROR(VLOOKUP($A45,[4]库存使用数据!$A:$H,8,0),0)+IFERROR(VLOOKUP($A45,[5]库存使用数据!$A:$H,8,0),0)</f>
        <v>13120</v>
      </c>
      <c r="I45" s="1">
        <f ca="1">IFERROR(VLOOKUP($A45,[1]库存使用数据!$A:$I,9,0),0)+IFERROR(VLOOKUP($A45,[2]库存使用数据!$A:$I,9,0),0)+IFERROR(VLOOKUP($A45,[3]库存使用数据!$A:$I,9,0),0)+IFERROR(VLOOKUP($A45,[4]库存使用数据!$A:$I,9,0),0)+IFERROR(VLOOKUP($A45,[5]库存使用数据!$A:$I,9,0),0)</f>
        <v>47</v>
      </c>
      <c r="J45" s="1">
        <f ca="1">IFERROR(VLOOKUP($A45,[1]库存使用数据!$A:$J,10,0),0)+IFERROR(VLOOKUP($A45,[2]库存使用数据!$A:$J,10,0),0)+公式!$B$14*IFERROR(VLOOKUP($A45,[3]库存使用数据!$A:$J,10,0),0)+IFERROR(VLOOKUP($A45,[4]库存使用数据!$A:$J,10,0),0)+IFERROR(VLOOKUP($A45,[5]库存使用数据!$A:$J,10,0),0)</f>
        <v>0</v>
      </c>
      <c r="K45" s="1">
        <f ca="1">IFERROR(VLOOKUP($A45,[1]库存使用数据!$A:$K,11,0),0)+IFERROR(VLOOKUP($A45,[2]库存使用数据!$A:$K,11,0),0)+IFERROR(VLOOKUP($A45,[3]库存使用数据!$A:$K,11,0),0)+IFERROR(VLOOKUP($A45,[4]库存使用数据!$A:$K,11,0),0)+IFERROR(VLOOKUP($A45,[5]库存使用数据!$A:$K,11,0),0)</f>
        <v>26385</v>
      </c>
      <c r="L45" s="1">
        <f ca="1">IFERROR(VLOOKUP($A45,[1]库存使用数据!$A:$L,12,0),0)+IFERROR(VLOOKUP($A45,[2]库存使用数据!$A:$L,12,0),0)+IFERROR(VLOOKUP($A45,[3]库存使用数据!$A:$L,12,0),0)+IFERROR(VLOOKUP($A45,[4]库存使用数据!$A:$L,12,0),0)+IFERROR(VLOOKUP($A45,[5]库存使用数据!$A:$L,12,0),0)</f>
        <v>59</v>
      </c>
      <c r="M45" s="1">
        <f ca="1">IFERROR(VLOOKUP($A45,[1]库存使用数据!$A:$M,13,0),0)+IFERROR(VLOOKUP($A45,[2]库存使用数据!$A:$M,13,0),0)+公式!$B$14*IFERROR(VLOOKUP($A45,[3]库存使用数据!$A:$M,13,0),0)+IFERROR(VLOOKUP($A45,[4]库存使用数据!$A:$M,13,0),0)+IFERROR(VLOOKUP($A45,[5]库存使用数据!$A:$M,13,0),0)</f>
        <v>0</v>
      </c>
    </row>
    <row r="46" spans="1:13">
      <c r="A46" s="5" t="s">
        <v>51</v>
      </c>
      <c r="B46" s="2">
        <f ca="1">IFERROR(VLOOKUP(A46,[1]库存使用数据!$A:$B,2,0),0)+IFERROR(VLOOKUP(A46,[2]库存使用数据!$A:$B,2,0),0)+IFERROR(VLOOKUP(,[3]库存使用数据!$A:$B,2,0),0)+IFERROR(VLOOKUP(A46,[4]库存使用数据!$A:$B,2,0),0)+IFERROR(VLOOKUP(A46,[5]库存使用数据!$A:$B,2,0),0)</f>
        <v>0</v>
      </c>
      <c r="C46" s="1">
        <f ca="1">IFERROR(VLOOKUP($A46,[1]库存使用数据!$A:$C,3,0),0)+IFERROR(VLOOKUP($A46,[2]库存使用数据!$A:$C,3,0),0)+IFERROR(VLOOKUP($A46,[3]库存使用数据!$A:$C,3,0),0)+IFERROR(VLOOKUP($A46,[4]库存使用数据!$A:$C,3,0),0)+IFERROR(VLOOKUP($A46,[5]库存使用数据!$A:$C,3,0),0)</f>
        <v>0</v>
      </c>
      <c r="D46" s="1">
        <f ca="1">IFERROR(VLOOKUP($A46,[1]库存使用数据!$A:$D,4,0),0)+IFERROR(VLOOKUP($A46,[2]库存使用数据!$A:$D,4,0),0)+公式!$B$1*IFERROR(VLOOKUP($A46,[3]库存使用数据!$A:$D,4,0),0)+IFERROR(VLOOKUP($A46,[4]库存使用数据!$A:$D,4,0),0)+IFERROR(VLOOKUP($A46,[5]库存使用数据!$A:$D,4,0),0)</f>
        <v>0</v>
      </c>
      <c r="E46" s="1">
        <f ca="1">IFERROR(VLOOKUP($A46,[1]库存使用数据!$A:$E,5,0),0)+IFERROR(VLOOKUP($A46,[2]库存使用数据!$A:$E,5,0),0)+IFERROR(VLOOKUP($A46,[3]库存使用数据!$A:$E,5,0),0)+IFERROR(VLOOKUP($A46,[4]库存使用数据!$A:$E,5,0),0)+IFERROR(VLOOKUP($A46,[5]库存使用数据!$A:$E,5,0),0)</f>
        <v>0</v>
      </c>
      <c r="F46" s="1">
        <f ca="1">IFERROR(VLOOKUP($A46,[1]库存使用数据!$A:$F,6,0),0)+IFERROR(VLOOKUP($A46,[2]库存使用数据!$A:$F,6,0),0)+IFERROR(VLOOKUP($A46,[4]库存使用数据!$A:$F,6,0),0)+IFERROR(VLOOKUP($A46,[3]库存使用数据!$A:$F,6,0),0)+IFERROR(VLOOKUP($A46,[5]库存使用数据!$A:$F,6,0),0)</f>
        <v>0</v>
      </c>
      <c r="G46" s="1">
        <f ca="1">IFERROR(VLOOKUP($A46,[1]库存使用数据!$A:$G,7,0),0)+IFERROR(VLOOKUP($A46,[2]库存使用数据!$A:$G,7,0),0)+公式!$B$14*IFERROR(VLOOKUP($A46,[3]库存使用数据!$A:$G,7,0),0)+IFERROR(VLOOKUP($A46,[4]库存使用数据!$A:$G,7,0),0)+IFERROR(VLOOKUP($A46,[5]库存使用数据!$A:$G,7,0),0)</f>
        <v>0</v>
      </c>
      <c r="H46" s="1">
        <f ca="1">IFERROR(VLOOKUP($A46,[1]库存使用数据!$A:$H,8,0),0)+IFERROR(VLOOKUP($A46,[2]库存使用数据!$A:$H,8,0),0)+IFERROR(VLOOKUP($A46,[3]库存使用数据!$A:$H,8,0),0)+IFERROR(VLOOKUP($A46,[4]库存使用数据!$A:$H,8,0),0)+IFERROR(VLOOKUP($A46,[5]库存使用数据!$A:$H,8,0),0)</f>
        <v>10</v>
      </c>
      <c r="I46" s="1">
        <f ca="1">IFERROR(VLOOKUP($A46,[1]库存使用数据!$A:$I,9,0),0)+IFERROR(VLOOKUP($A46,[2]库存使用数据!$A:$I,9,0),0)+IFERROR(VLOOKUP($A46,[3]库存使用数据!$A:$I,9,0),0)+IFERROR(VLOOKUP($A46,[4]库存使用数据!$A:$I,9,0),0)+IFERROR(VLOOKUP($A46,[5]库存使用数据!$A:$I,9,0),0)</f>
        <v>0</v>
      </c>
      <c r="J46" s="1">
        <f ca="1">IFERROR(VLOOKUP($A46,[1]库存使用数据!$A:$J,10,0),0)+IFERROR(VLOOKUP($A46,[2]库存使用数据!$A:$J,10,0),0)+公式!$B$14*IFERROR(VLOOKUP($A46,[3]库存使用数据!$A:$J,10,0),0)+IFERROR(VLOOKUP($A46,[4]库存使用数据!$A:$J,10,0),0)+IFERROR(VLOOKUP($A46,[5]库存使用数据!$A:$J,10,0),0)</f>
        <v>0</v>
      </c>
      <c r="K46" s="1">
        <f ca="1">IFERROR(VLOOKUP($A46,[1]库存使用数据!$A:$K,11,0),0)+IFERROR(VLOOKUP($A46,[2]库存使用数据!$A:$K,11,0),0)+IFERROR(VLOOKUP($A46,[3]库存使用数据!$A:$K,11,0),0)+IFERROR(VLOOKUP($A46,[4]库存使用数据!$A:$K,11,0),0)+IFERROR(VLOOKUP($A46,[5]库存使用数据!$A:$K,11,0),0)</f>
        <v>5</v>
      </c>
      <c r="L46" s="1">
        <f ca="1">IFERROR(VLOOKUP($A46,[1]库存使用数据!$A:$L,12,0),0)+IFERROR(VLOOKUP($A46,[2]库存使用数据!$A:$L,12,0),0)+IFERROR(VLOOKUP($A46,[3]库存使用数据!$A:$L,12,0),0)+IFERROR(VLOOKUP($A46,[4]库存使用数据!$A:$L,12,0),0)+IFERROR(VLOOKUP($A46,[5]库存使用数据!$A:$L,12,0),0)</f>
        <v>0</v>
      </c>
      <c r="M46" s="1">
        <f ca="1">IFERROR(VLOOKUP($A46,[1]库存使用数据!$A:$M,13,0),0)+IFERROR(VLOOKUP($A46,[2]库存使用数据!$A:$M,13,0),0)+公式!$B$14*IFERROR(VLOOKUP($A46,[3]库存使用数据!$A:$M,13,0),0)+IFERROR(VLOOKUP($A46,[4]库存使用数据!$A:$M,13,0),0)+IFERROR(VLOOKUP($A46,[5]库存使用数据!$A:$M,13,0),0)</f>
        <v>0</v>
      </c>
    </row>
    <row r="47" spans="1:13">
      <c r="A47" s="5" t="s">
        <v>52</v>
      </c>
      <c r="B47" s="2">
        <f ca="1">IFERROR(VLOOKUP(A47,[1]库存使用数据!$A:$B,2,0),0)+IFERROR(VLOOKUP(A47,[2]库存使用数据!$A:$B,2,0),0)+IFERROR(VLOOKUP(,[3]库存使用数据!$A:$B,2,0),0)+IFERROR(VLOOKUP(A47,[4]库存使用数据!$A:$B,2,0),0)+IFERROR(VLOOKUP(A47,[5]库存使用数据!$A:$B,2,0),0)</f>
        <v>0</v>
      </c>
      <c r="C47" s="1">
        <f ca="1">IFERROR(VLOOKUP($A47,[1]库存使用数据!$A:$C,3,0),0)+IFERROR(VLOOKUP($A47,[2]库存使用数据!$A:$C,3,0),0)+IFERROR(VLOOKUP($A47,[3]库存使用数据!$A:$C,3,0),0)+IFERROR(VLOOKUP($A47,[4]库存使用数据!$A:$C,3,0),0)+IFERROR(VLOOKUP($A47,[5]库存使用数据!$A:$C,3,0),0)</f>
        <v>4</v>
      </c>
      <c r="D47" s="1">
        <f ca="1">IFERROR(VLOOKUP($A47,[1]库存使用数据!$A:$D,4,0),0)+IFERROR(VLOOKUP($A47,[2]库存使用数据!$A:$D,4,0),0)+公式!$B$1*IFERROR(VLOOKUP($A47,[3]库存使用数据!$A:$D,4,0),0)+IFERROR(VLOOKUP($A47,[4]库存使用数据!$A:$D,4,0),0)+IFERROR(VLOOKUP($A47,[5]库存使用数据!$A:$D,4,0),0)</f>
        <v>0.9675</v>
      </c>
      <c r="E47" s="1">
        <f ca="1">IFERROR(VLOOKUP($A47,[1]库存使用数据!$A:$E,5,0),0)+IFERROR(VLOOKUP($A47,[2]库存使用数据!$A:$E,5,0),0)+IFERROR(VLOOKUP($A47,[3]库存使用数据!$A:$E,5,0),0)+IFERROR(VLOOKUP($A47,[4]库存使用数据!$A:$E,5,0),0)+IFERROR(VLOOKUP($A47,[5]库存使用数据!$A:$E,5,0),0)</f>
        <v>13038</v>
      </c>
      <c r="F47" s="1">
        <f ca="1">IFERROR(VLOOKUP($A47,[1]库存使用数据!$A:$F,6,0),0)+IFERROR(VLOOKUP($A47,[2]库存使用数据!$A:$F,6,0),0)+IFERROR(VLOOKUP($A47,[4]库存使用数据!$A:$F,6,0),0)+IFERROR(VLOOKUP($A47,[3]库存使用数据!$A:$F,6,0),0)+IFERROR(VLOOKUP($A47,[5]库存使用数据!$A:$F,6,0),0)</f>
        <v>36</v>
      </c>
      <c r="G47" s="1">
        <f ca="1">IFERROR(VLOOKUP($A47,[1]库存使用数据!$A:$G,7,0),0)+IFERROR(VLOOKUP($A47,[2]库存使用数据!$A:$G,7,0),0)+公式!$B$14*IFERROR(VLOOKUP($A47,[3]库存使用数据!$A:$G,7,0),0)+IFERROR(VLOOKUP($A47,[4]库存使用数据!$A:$G,7,0),0)+IFERROR(VLOOKUP($A47,[5]库存使用数据!$A:$G,7,0),0)</f>
        <v>2.43</v>
      </c>
      <c r="H47" s="1">
        <f ca="1">IFERROR(VLOOKUP($A47,[1]库存使用数据!$A:$H,8,0),0)+IFERROR(VLOOKUP($A47,[2]库存使用数据!$A:$H,8,0),0)+IFERROR(VLOOKUP($A47,[3]库存使用数据!$A:$H,8,0),0)+IFERROR(VLOOKUP($A47,[4]库存使用数据!$A:$H,8,0),0)+IFERROR(VLOOKUP($A47,[5]库存使用数据!$A:$H,8,0),0)</f>
        <v>8487</v>
      </c>
      <c r="I47" s="1">
        <f ca="1">IFERROR(VLOOKUP($A47,[1]库存使用数据!$A:$I,9,0),0)+IFERROR(VLOOKUP($A47,[2]库存使用数据!$A:$I,9,0),0)+IFERROR(VLOOKUP($A47,[3]库存使用数据!$A:$I,9,0),0)+IFERROR(VLOOKUP($A47,[4]库存使用数据!$A:$I,9,0),0)+IFERROR(VLOOKUP($A47,[5]库存使用数据!$A:$I,9,0),0)</f>
        <v>21</v>
      </c>
      <c r="J47" s="1">
        <f ca="1">IFERROR(VLOOKUP($A47,[1]库存使用数据!$A:$J,10,0),0)+IFERROR(VLOOKUP($A47,[2]库存使用数据!$A:$J,10,0),0)+公式!$B$14*IFERROR(VLOOKUP($A47,[3]库存使用数据!$A:$J,10,0),0)+IFERROR(VLOOKUP($A47,[4]库存使用数据!$A:$J,10,0),0)+IFERROR(VLOOKUP($A47,[5]库存使用数据!$A:$J,10,0),0)</f>
        <v>0.48</v>
      </c>
      <c r="K47" s="1">
        <f ca="1">IFERROR(VLOOKUP($A47,[1]库存使用数据!$A:$K,11,0),0)+IFERROR(VLOOKUP($A47,[2]库存使用数据!$A:$K,11,0),0)+IFERROR(VLOOKUP($A47,[3]库存使用数据!$A:$K,11,0),0)+IFERROR(VLOOKUP($A47,[4]库存使用数据!$A:$K,11,0),0)+IFERROR(VLOOKUP($A47,[5]库存使用数据!$A:$K,11,0),0)</f>
        <v>3162</v>
      </c>
      <c r="L47" s="1">
        <f ca="1">IFERROR(VLOOKUP($A47,[1]库存使用数据!$A:$L,12,0),0)+IFERROR(VLOOKUP($A47,[2]库存使用数据!$A:$L,12,0),0)+IFERROR(VLOOKUP($A47,[3]库存使用数据!$A:$L,12,0),0)+IFERROR(VLOOKUP($A47,[4]库存使用数据!$A:$L,12,0),0)+IFERROR(VLOOKUP($A47,[5]库存使用数据!$A:$L,12,0),0)</f>
        <v>14</v>
      </c>
      <c r="M47" s="1">
        <f ca="1">IFERROR(VLOOKUP($A47,[1]库存使用数据!$A:$M,13,0),0)+IFERROR(VLOOKUP($A47,[2]库存使用数据!$A:$M,13,0),0)+公式!$B$14*IFERROR(VLOOKUP($A47,[3]库存使用数据!$A:$M,13,0),0)+IFERROR(VLOOKUP($A47,[4]库存使用数据!$A:$M,13,0),0)+IFERROR(VLOOKUP($A47,[5]库存使用数据!$A:$M,13,0),0)</f>
        <v>0</v>
      </c>
    </row>
    <row r="48" spans="1:13">
      <c r="A48" s="5" t="s">
        <v>53</v>
      </c>
      <c r="B48" s="2">
        <f ca="1">IFERROR(VLOOKUP(A48,[1]库存使用数据!$A:$B,2,0),0)+IFERROR(VLOOKUP(A48,[2]库存使用数据!$A:$B,2,0),0)+IFERROR(VLOOKUP(,[3]库存使用数据!$A:$B,2,0),0)+IFERROR(VLOOKUP(A48,[4]库存使用数据!$A:$B,2,0),0)+IFERROR(VLOOKUP(A48,[5]库存使用数据!$A:$B,2,0),0)</f>
        <v>0</v>
      </c>
      <c r="C48" s="1">
        <f ca="1">IFERROR(VLOOKUP($A48,[1]库存使用数据!$A:$C,3,0),0)+IFERROR(VLOOKUP($A48,[2]库存使用数据!$A:$C,3,0),0)+IFERROR(VLOOKUP($A48,[3]库存使用数据!$A:$C,3,0),0)+IFERROR(VLOOKUP($A48,[4]库存使用数据!$A:$C,3,0),0)+IFERROR(VLOOKUP($A48,[5]库存使用数据!$A:$C,3,0),0)</f>
        <v>13</v>
      </c>
      <c r="D48" s="1">
        <f ca="1">IFERROR(VLOOKUP($A48,[1]库存使用数据!$A:$D,4,0),0)+IFERROR(VLOOKUP($A48,[2]库存使用数据!$A:$D,4,0),0)+公式!$B$1*IFERROR(VLOOKUP($A48,[3]库存使用数据!$A:$D,4,0),0)+IFERROR(VLOOKUP($A48,[4]库存使用数据!$A:$D,4,0),0)+IFERROR(VLOOKUP($A48,[5]库存使用数据!$A:$D,4,0),0)</f>
        <v>2.61</v>
      </c>
      <c r="E48" s="1">
        <f ca="1">IFERROR(VLOOKUP($A48,[1]库存使用数据!$A:$E,5,0),0)+IFERROR(VLOOKUP($A48,[2]库存使用数据!$A:$E,5,0),0)+IFERROR(VLOOKUP($A48,[3]库存使用数据!$A:$E,5,0),0)+IFERROR(VLOOKUP($A48,[4]库存使用数据!$A:$E,5,0),0)+IFERROR(VLOOKUP($A48,[5]库存使用数据!$A:$E,5,0),0)</f>
        <v>9277</v>
      </c>
      <c r="F48" s="1">
        <f ca="1">IFERROR(VLOOKUP($A48,[1]库存使用数据!$A:$F,6,0),0)+IFERROR(VLOOKUP($A48,[2]库存使用数据!$A:$F,6,0),0)+IFERROR(VLOOKUP($A48,[4]库存使用数据!$A:$F,6,0),0)+IFERROR(VLOOKUP($A48,[3]库存使用数据!$A:$F,6,0),0)+IFERROR(VLOOKUP($A48,[5]库存使用数据!$A:$F,6,0),0)</f>
        <v>13</v>
      </c>
      <c r="G48" s="1">
        <f ca="1">IFERROR(VLOOKUP($A48,[1]库存使用数据!$A:$G,7,0),0)+IFERROR(VLOOKUP($A48,[2]库存使用数据!$A:$G,7,0),0)+公式!$B$14*IFERROR(VLOOKUP($A48,[3]库存使用数据!$A:$G,7,0),0)+IFERROR(VLOOKUP($A48,[4]库存使用数据!$A:$G,7,0),0)+IFERROR(VLOOKUP($A48,[5]库存使用数据!$A:$G,7,0),0)</f>
        <v>0</v>
      </c>
      <c r="H48" s="1">
        <f ca="1">IFERROR(VLOOKUP($A48,[1]库存使用数据!$A:$H,8,0),0)+IFERROR(VLOOKUP($A48,[2]库存使用数据!$A:$H,8,0),0)+IFERROR(VLOOKUP($A48,[3]库存使用数据!$A:$H,8,0),0)+IFERROR(VLOOKUP($A48,[4]库存使用数据!$A:$H,8,0),0)+IFERROR(VLOOKUP($A48,[5]库存使用数据!$A:$H,8,0),0)</f>
        <v>32686</v>
      </c>
      <c r="I48" s="1">
        <f ca="1">IFERROR(VLOOKUP($A48,[1]库存使用数据!$A:$I,9,0),0)+IFERROR(VLOOKUP($A48,[2]库存使用数据!$A:$I,9,0),0)+IFERROR(VLOOKUP($A48,[3]库存使用数据!$A:$I,9,0),0)+IFERROR(VLOOKUP($A48,[4]库存使用数据!$A:$I,9,0),0)+IFERROR(VLOOKUP($A48,[5]库存使用数据!$A:$I,9,0),0)</f>
        <v>37</v>
      </c>
      <c r="J48" s="1">
        <f ca="1">IFERROR(VLOOKUP($A48,[1]库存使用数据!$A:$J,10,0),0)+IFERROR(VLOOKUP($A48,[2]库存使用数据!$A:$J,10,0),0)+公式!$B$14*IFERROR(VLOOKUP($A48,[3]库存使用数据!$A:$J,10,0),0)+IFERROR(VLOOKUP($A48,[4]库存使用数据!$A:$J,10,0),0)+IFERROR(VLOOKUP($A48,[5]库存使用数据!$A:$J,10,0),0)</f>
        <v>0.21</v>
      </c>
      <c r="K48" s="1">
        <f ca="1">IFERROR(VLOOKUP($A48,[1]库存使用数据!$A:$K,11,0),0)+IFERROR(VLOOKUP($A48,[2]库存使用数据!$A:$K,11,0),0)+IFERROR(VLOOKUP($A48,[3]库存使用数据!$A:$K,11,0),0)+IFERROR(VLOOKUP($A48,[4]库存使用数据!$A:$K,11,0),0)+IFERROR(VLOOKUP($A48,[5]库存使用数据!$A:$K,11,0),0)</f>
        <v>156646</v>
      </c>
      <c r="L48" s="1">
        <f ca="1">IFERROR(VLOOKUP($A48,[1]库存使用数据!$A:$L,12,0),0)+IFERROR(VLOOKUP($A48,[2]库存使用数据!$A:$L,12,0),0)+IFERROR(VLOOKUP($A48,[3]库存使用数据!$A:$L,12,0),0)+IFERROR(VLOOKUP($A48,[4]库存使用数据!$A:$L,12,0),0)+IFERROR(VLOOKUP($A48,[5]库存使用数据!$A:$L,12,0),0)</f>
        <v>108</v>
      </c>
      <c r="M48" s="1">
        <f ca="1">IFERROR(VLOOKUP($A48,[1]库存使用数据!$A:$M,13,0),0)+IFERROR(VLOOKUP($A48,[2]库存使用数据!$A:$M,13,0),0)+公式!$B$14*IFERROR(VLOOKUP($A48,[3]库存使用数据!$A:$M,13,0),0)+IFERROR(VLOOKUP($A48,[4]库存使用数据!$A:$M,13,0),0)+IFERROR(VLOOKUP($A48,[5]库存使用数据!$A:$M,13,0),0)</f>
        <v>0</v>
      </c>
    </row>
    <row r="49" spans="1:13">
      <c r="A49" s="5" t="s">
        <v>54</v>
      </c>
      <c r="B49" s="2">
        <f ca="1">IFERROR(VLOOKUP(A49,[1]库存使用数据!$A:$B,2,0),0)+IFERROR(VLOOKUP(A49,[2]库存使用数据!$A:$B,2,0),0)+IFERROR(VLOOKUP(,[3]库存使用数据!$A:$B,2,0),0)+IFERROR(VLOOKUP(A49,[4]库存使用数据!$A:$B,2,0),0)+IFERROR(VLOOKUP(A49,[5]库存使用数据!$A:$B,2,0),0)</f>
        <v>0</v>
      </c>
      <c r="C49" s="1">
        <f ca="1">IFERROR(VLOOKUP($A49,[1]库存使用数据!$A:$C,3,0),0)+IFERROR(VLOOKUP($A49,[2]库存使用数据!$A:$C,3,0),0)+IFERROR(VLOOKUP($A49,[3]库存使用数据!$A:$C,3,0),0)+IFERROR(VLOOKUP($A49,[4]库存使用数据!$A:$C,3,0),0)+IFERROR(VLOOKUP($A49,[5]库存使用数据!$A:$C,3,0),0)</f>
        <v>35</v>
      </c>
      <c r="D49" s="1">
        <f ca="1">IFERROR(VLOOKUP($A49,[1]库存使用数据!$A:$D,4,0),0)+IFERROR(VLOOKUP($A49,[2]库存使用数据!$A:$D,4,0),0)+公式!$B$1*IFERROR(VLOOKUP($A49,[3]库存使用数据!$A:$D,4,0),0)+IFERROR(VLOOKUP($A49,[4]库存使用数据!$A:$D,4,0),0)+IFERROR(VLOOKUP($A49,[5]库存使用数据!$A:$D,4,0),0)</f>
        <v>7.515</v>
      </c>
      <c r="E49" s="1">
        <f ca="1">IFERROR(VLOOKUP($A49,[1]库存使用数据!$A:$E,5,0),0)+IFERROR(VLOOKUP($A49,[2]库存使用数据!$A:$E,5,0),0)+IFERROR(VLOOKUP($A49,[3]库存使用数据!$A:$E,5,0),0)+IFERROR(VLOOKUP($A49,[4]库存使用数据!$A:$E,5,0),0)+IFERROR(VLOOKUP($A49,[5]库存使用数据!$A:$E,5,0),0)</f>
        <v>48263</v>
      </c>
      <c r="F49" s="1">
        <f ca="1">IFERROR(VLOOKUP($A49,[1]库存使用数据!$A:$F,6,0),0)+IFERROR(VLOOKUP($A49,[2]库存使用数据!$A:$F,6,0),0)+IFERROR(VLOOKUP($A49,[4]库存使用数据!$A:$F,6,0),0)+IFERROR(VLOOKUP($A49,[3]库存使用数据!$A:$F,6,0),0)+IFERROR(VLOOKUP($A49,[5]库存使用数据!$A:$F,6,0),0)</f>
        <v>194</v>
      </c>
      <c r="G49" s="1">
        <f ca="1">IFERROR(VLOOKUP($A49,[1]库存使用数据!$A:$G,7,0),0)+IFERROR(VLOOKUP($A49,[2]库存使用数据!$A:$G,7,0),0)+公式!$B$14*IFERROR(VLOOKUP($A49,[3]库存使用数据!$A:$G,7,0),0)+IFERROR(VLOOKUP($A49,[4]库存使用数据!$A:$G,7,0),0)+IFERROR(VLOOKUP($A49,[5]库存使用数据!$A:$G,7,0),0)</f>
        <v>15.26</v>
      </c>
      <c r="H49" s="1">
        <f ca="1">IFERROR(VLOOKUP($A49,[1]库存使用数据!$A:$H,8,0),0)+IFERROR(VLOOKUP($A49,[2]库存使用数据!$A:$H,8,0),0)+IFERROR(VLOOKUP($A49,[3]库存使用数据!$A:$H,8,0),0)+IFERROR(VLOOKUP($A49,[4]库存使用数据!$A:$H,8,0),0)+IFERROR(VLOOKUP($A49,[5]库存使用数据!$A:$H,8,0),0)</f>
        <v>34427</v>
      </c>
      <c r="I49" s="1">
        <f ca="1">IFERROR(VLOOKUP($A49,[1]库存使用数据!$A:$I,9,0),0)+IFERROR(VLOOKUP($A49,[2]库存使用数据!$A:$I,9,0),0)+IFERROR(VLOOKUP($A49,[3]库存使用数据!$A:$I,9,0),0)+IFERROR(VLOOKUP($A49,[4]库存使用数据!$A:$I,9,0),0)+IFERROR(VLOOKUP($A49,[5]库存使用数据!$A:$I,9,0),0)</f>
        <v>173</v>
      </c>
      <c r="J49" s="1">
        <f ca="1">IFERROR(VLOOKUP($A49,[1]库存使用数据!$A:$J,10,0),0)+IFERROR(VLOOKUP($A49,[2]库存使用数据!$A:$J,10,0),0)+公式!$B$14*IFERROR(VLOOKUP($A49,[3]库存使用数据!$A:$J,10,0),0)+IFERROR(VLOOKUP($A49,[4]库存使用数据!$A:$J,10,0),0)+IFERROR(VLOOKUP($A49,[5]库存使用数据!$A:$J,10,0),0)</f>
        <v>15.79</v>
      </c>
      <c r="K49" s="1">
        <f ca="1">IFERROR(VLOOKUP($A49,[1]库存使用数据!$A:$K,11,0),0)+IFERROR(VLOOKUP($A49,[2]库存使用数据!$A:$K,11,0),0)+IFERROR(VLOOKUP($A49,[3]库存使用数据!$A:$K,11,0),0)+IFERROR(VLOOKUP($A49,[4]库存使用数据!$A:$K,11,0),0)+IFERROR(VLOOKUP($A49,[5]库存使用数据!$A:$K,11,0),0)</f>
        <v>17529</v>
      </c>
      <c r="L49" s="1">
        <f ca="1">IFERROR(VLOOKUP($A49,[1]库存使用数据!$A:$L,12,0),0)+IFERROR(VLOOKUP($A49,[2]库存使用数据!$A:$L,12,0),0)+IFERROR(VLOOKUP($A49,[3]库存使用数据!$A:$L,12,0),0)+IFERROR(VLOOKUP($A49,[4]库存使用数据!$A:$L,12,0),0)+IFERROR(VLOOKUP($A49,[5]库存使用数据!$A:$L,12,0),0)</f>
        <v>137</v>
      </c>
      <c r="M49" s="1">
        <f ca="1">IFERROR(VLOOKUP($A49,[1]库存使用数据!$A:$M,13,0),0)+IFERROR(VLOOKUP($A49,[2]库存使用数据!$A:$M,13,0),0)+公式!$B$14*IFERROR(VLOOKUP($A49,[3]库存使用数据!$A:$M,13,0),0)+IFERROR(VLOOKUP($A49,[4]库存使用数据!$A:$M,13,0),0)+IFERROR(VLOOKUP($A49,[5]库存使用数据!$A:$M,13,0),0)</f>
        <v>10.34</v>
      </c>
    </row>
    <row r="50" spans="1:13">
      <c r="A50" s="5" t="s">
        <v>55</v>
      </c>
      <c r="B50" s="2">
        <f ca="1">IFERROR(VLOOKUP(A50,[1]库存使用数据!$A:$B,2,0),0)+IFERROR(VLOOKUP(A50,[2]库存使用数据!$A:$B,2,0),0)+IFERROR(VLOOKUP(,[3]库存使用数据!$A:$B,2,0),0)+IFERROR(VLOOKUP(A50,[4]库存使用数据!$A:$B,2,0),0)+IFERROR(VLOOKUP(A50,[5]库存使用数据!$A:$B,2,0),0)</f>
        <v>0</v>
      </c>
      <c r="C50" s="1">
        <f ca="1">IFERROR(VLOOKUP($A50,[1]库存使用数据!$A:$C,3,0),0)+IFERROR(VLOOKUP($A50,[2]库存使用数据!$A:$C,3,0),0)+IFERROR(VLOOKUP($A50,[3]库存使用数据!$A:$C,3,0),0)+IFERROR(VLOOKUP($A50,[4]库存使用数据!$A:$C,3,0),0)+IFERROR(VLOOKUP($A50,[5]库存使用数据!$A:$C,3,0),0)</f>
        <v>0</v>
      </c>
      <c r="D50" s="1">
        <f ca="1">IFERROR(VLOOKUP($A50,[1]库存使用数据!$A:$D,4,0),0)+IFERROR(VLOOKUP($A50,[2]库存使用数据!$A:$D,4,0),0)+公式!$B$1*IFERROR(VLOOKUP($A50,[3]库存使用数据!$A:$D,4,0),0)+IFERROR(VLOOKUP($A50,[4]库存使用数据!$A:$D,4,0),0)+IFERROR(VLOOKUP($A50,[5]库存使用数据!$A:$D,4,0),0)</f>
        <v>0</v>
      </c>
      <c r="E50" s="1">
        <f ca="1">IFERROR(VLOOKUP($A50,[1]库存使用数据!$A:$E,5,0),0)+IFERROR(VLOOKUP($A50,[2]库存使用数据!$A:$E,5,0),0)+IFERROR(VLOOKUP($A50,[3]库存使用数据!$A:$E,5,0),0)+IFERROR(VLOOKUP($A50,[4]库存使用数据!$A:$E,5,0),0)+IFERROR(VLOOKUP($A50,[5]库存使用数据!$A:$E,5,0),0)</f>
        <v>0</v>
      </c>
      <c r="F50" s="1">
        <f ca="1">IFERROR(VLOOKUP($A50,[1]库存使用数据!$A:$F,6,0),0)+IFERROR(VLOOKUP($A50,[2]库存使用数据!$A:$F,6,0),0)+IFERROR(VLOOKUP($A50,[4]库存使用数据!$A:$F,6,0),0)+IFERROR(VLOOKUP($A50,[3]库存使用数据!$A:$F,6,0),0)+IFERROR(VLOOKUP($A50,[5]库存使用数据!$A:$F,6,0),0)</f>
        <v>0</v>
      </c>
      <c r="G50" s="1">
        <f ca="1">IFERROR(VLOOKUP($A50,[1]库存使用数据!$A:$G,7,0),0)+IFERROR(VLOOKUP($A50,[2]库存使用数据!$A:$G,7,0),0)+公式!$B$14*IFERROR(VLOOKUP($A50,[3]库存使用数据!$A:$G,7,0),0)+IFERROR(VLOOKUP($A50,[4]库存使用数据!$A:$G,7,0),0)+IFERROR(VLOOKUP($A50,[5]库存使用数据!$A:$G,7,0),0)</f>
        <v>0</v>
      </c>
      <c r="H50" s="1">
        <f ca="1">IFERROR(VLOOKUP($A50,[1]库存使用数据!$A:$H,8,0),0)+IFERROR(VLOOKUP($A50,[2]库存使用数据!$A:$H,8,0),0)+IFERROR(VLOOKUP($A50,[3]库存使用数据!$A:$H,8,0),0)+IFERROR(VLOOKUP($A50,[4]库存使用数据!$A:$H,8,0),0)+IFERROR(VLOOKUP($A50,[5]库存使用数据!$A:$H,8,0),0)</f>
        <v>0</v>
      </c>
      <c r="I50" s="1">
        <f ca="1">IFERROR(VLOOKUP($A50,[1]库存使用数据!$A:$I,9,0),0)+IFERROR(VLOOKUP($A50,[2]库存使用数据!$A:$I,9,0),0)+IFERROR(VLOOKUP($A50,[3]库存使用数据!$A:$I,9,0),0)+IFERROR(VLOOKUP($A50,[4]库存使用数据!$A:$I,9,0),0)+IFERROR(VLOOKUP($A50,[5]库存使用数据!$A:$I,9,0),0)</f>
        <v>0</v>
      </c>
      <c r="J50" s="1">
        <f ca="1">IFERROR(VLOOKUP($A50,[1]库存使用数据!$A:$J,10,0),0)+IFERROR(VLOOKUP($A50,[2]库存使用数据!$A:$J,10,0),0)+公式!$B$14*IFERROR(VLOOKUP($A50,[3]库存使用数据!$A:$J,10,0),0)+IFERROR(VLOOKUP($A50,[4]库存使用数据!$A:$J,10,0),0)+IFERROR(VLOOKUP($A50,[5]库存使用数据!$A:$J,10,0),0)</f>
        <v>0</v>
      </c>
      <c r="K50" s="1">
        <f ca="1">IFERROR(VLOOKUP($A50,[1]库存使用数据!$A:$K,11,0),0)+IFERROR(VLOOKUP($A50,[2]库存使用数据!$A:$K,11,0),0)+IFERROR(VLOOKUP($A50,[3]库存使用数据!$A:$K,11,0),0)+IFERROR(VLOOKUP($A50,[4]库存使用数据!$A:$K,11,0),0)+IFERROR(VLOOKUP($A50,[5]库存使用数据!$A:$K,11,0),0)</f>
        <v>0</v>
      </c>
      <c r="L50" s="1">
        <f ca="1">IFERROR(VLOOKUP($A50,[1]库存使用数据!$A:$L,12,0),0)+IFERROR(VLOOKUP($A50,[2]库存使用数据!$A:$L,12,0),0)+IFERROR(VLOOKUP($A50,[3]库存使用数据!$A:$L,12,0),0)+IFERROR(VLOOKUP($A50,[4]库存使用数据!$A:$L,12,0),0)+IFERROR(VLOOKUP($A50,[5]库存使用数据!$A:$L,12,0),0)</f>
        <v>0</v>
      </c>
      <c r="M50" s="1">
        <f ca="1">IFERROR(VLOOKUP($A50,[1]库存使用数据!$A:$M,13,0),0)+IFERROR(VLOOKUP($A50,[2]库存使用数据!$A:$M,13,0),0)+公式!$B$14*IFERROR(VLOOKUP($A50,[3]库存使用数据!$A:$M,13,0),0)+IFERROR(VLOOKUP($A50,[4]库存使用数据!$A:$M,13,0),0)+IFERROR(VLOOKUP($A50,[5]库存使用数据!$A:$M,13,0),0)</f>
        <v>0</v>
      </c>
    </row>
    <row r="51" spans="1:13">
      <c r="A51" s="5" t="s">
        <v>56</v>
      </c>
      <c r="B51" s="2">
        <f ca="1">IFERROR(VLOOKUP(A51,[1]库存使用数据!$A:$B,2,0),0)+IFERROR(VLOOKUP(A51,[2]库存使用数据!$A:$B,2,0),0)+IFERROR(VLOOKUP(,[3]库存使用数据!$A:$B,2,0),0)+IFERROR(VLOOKUP(A51,[4]库存使用数据!$A:$B,2,0),0)+IFERROR(VLOOKUP(A51,[5]库存使用数据!$A:$B,2,0),0)</f>
        <v>0</v>
      </c>
      <c r="C51" s="1">
        <f ca="1">IFERROR(VLOOKUP($A51,[1]库存使用数据!$A:$C,3,0),0)+IFERROR(VLOOKUP($A51,[2]库存使用数据!$A:$C,3,0),0)+IFERROR(VLOOKUP($A51,[3]库存使用数据!$A:$C,3,0),0)+IFERROR(VLOOKUP($A51,[4]库存使用数据!$A:$C,3,0),0)+IFERROR(VLOOKUP($A51,[5]库存使用数据!$A:$C,3,0),0)</f>
        <v>0</v>
      </c>
      <c r="D51" s="1">
        <f ca="1">IFERROR(VLOOKUP($A51,[1]库存使用数据!$A:$D,4,0),0)+IFERROR(VLOOKUP($A51,[2]库存使用数据!$A:$D,4,0),0)+公式!$B$1*IFERROR(VLOOKUP($A51,[3]库存使用数据!$A:$D,4,0),0)+IFERROR(VLOOKUP($A51,[4]库存使用数据!$A:$D,4,0),0)+IFERROR(VLOOKUP($A51,[5]库存使用数据!$A:$D,4,0),0)</f>
        <v>0</v>
      </c>
      <c r="E51" s="1">
        <f ca="1">IFERROR(VLOOKUP($A51,[1]库存使用数据!$A:$E,5,0),0)+IFERROR(VLOOKUP($A51,[2]库存使用数据!$A:$E,5,0),0)+IFERROR(VLOOKUP($A51,[3]库存使用数据!$A:$E,5,0),0)+IFERROR(VLOOKUP($A51,[4]库存使用数据!$A:$E,5,0),0)+IFERROR(VLOOKUP($A51,[5]库存使用数据!$A:$E,5,0),0)</f>
        <v>0</v>
      </c>
      <c r="F51" s="1">
        <f ca="1">IFERROR(VLOOKUP($A51,[1]库存使用数据!$A:$F,6,0),0)+IFERROR(VLOOKUP($A51,[2]库存使用数据!$A:$F,6,0),0)+IFERROR(VLOOKUP($A51,[4]库存使用数据!$A:$F,6,0),0)+IFERROR(VLOOKUP($A51,[3]库存使用数据!$A:$F,6,0),0)+IFERROR(VLOOKUP($A51,[5]库存使用数据!$A:$F,6,0),0)</f>
        <v>0</v>
      </c>
      <c r="G51" s="1">
        <f ca="1">IFERROR(VLOOKUP($A51,[1]库存使用数据!$A:$G,7,0),0)+IFERROR(VLOOKUP($A51,[2]库存使用数据!$A:$G,7,0),0)+公式!$B$14*IFERROR(VLOOKUP($A51,[3]库存使用数据!$A:$G,7,0),0)+IFERROR(VLOOKUP($A51,[4]库存使用数据!$A:$G,7,0),0)+IFERROR(VLOOKUP($A51,[5]库存使用数据!$A:$G,7,0),0)</f>
        <v>0</v>
      </c>
      <c r="H51" s="1">
        <f ca="1">IFERROR(VLOOKUP($A51,[1]库存使用数据!$A:$H,8,0),0)+IFERROR(VLOOKUP($A51,[2]库存使用数据!$A:$H,8,0),0)+IFERROR(VLOOKUP($A51,[3]库存使用数据!$A:$H,8,0),0)+IFERROR(VLOOKUP($A51,[4]库存使用数据!$A:$H,8,0),0)+IFERROR(VLOOKUP($A51,[5]库存使用数据!$A:$H,8,0),0)</f>
        <v>0</v>
      </c>
      <c r="I51" s="1">
        <f ca="1">IFERROR(VLOOKUP($A51,[1]库存使用数据!$A:$I,9,0),0)+IFERROR(VLOOKUP($A51,[2]库存使用数据!$A:$I,9,0),0)+IFERROR(VLOOKUP($A51,[3]库存使用数据!$A:$I,9,0),0)+IFERROR(VLOOKUP($A51,[4]库存使用数据!$A:$I,9,0),0)+IFERROR(VLOOKUP($A51,[5]库存使用数据!$A:$I,9,0),0)</f>
        <v>0</v>
      </c>
      <c r="J51" s="1">
        <f ca="1">IFERROR(VLOOKUP($A51,[1]库存使用数据!$A:$J,10,0),0)+IFERROR(VLOOKUP($A51,[2]库存使用数据!$A:$J,10,0),0)+公式!$B$14*IFERROR(VLOOKUP($A51,[3]库存使用数据!$A:$J,10,0),0)+IFERROR(VLOOKUP($A51,[4]库存使用数据!$A:$J,10,0),0)+IFERROR(VLOOKUP($A51,[5]库存使用数据!$A:$J,10,0),0)</f>
        <v>0</v>
      </c>
      <c r="K51" s="1">
        <f ca="1">IFERROR(VLOOKUP($A51,[1]库存使用数据!$A:$K,11,0),0)+IFERROR(VLOOKUP($A51,[2]库存使用数据!$A:$K,11,0),0)+IFERROR(VLOOKUP($A51,[3]库存使用数据!$A:$K,11,0),0)+IFERROR(VLOOKUP($A51,[4]库存使用数据!$A:$K,11,0),0)+IFERROR(VLOOKUP($A51,[5]库存使用数据!$A:$K,11,0),0)</f>
        <v>0</v>
      </c>
      <c r="L51" s="1">
        <f ca="1">IFERROR(VLOOKUP($A51,[1]库存使用数据!$A:$L,12,0),0)+IFERROR(VLOOKUP($A51,[2]库存使用数据!$A:$L,12,0),0)+IFERROR(VLOOKUP($A51,[3]库存使用数据!$A:$L,12,0),0)+IFERROR(VLOOKUP($A51,[4]库存使用数据!$A:$L,12,0),0)+IFERROR(VLOOKUP($A51,[5]库存使用数据!$A:$L,12,0),0)</f>
        <v>0</v>
      </c>
      <c r="M51" s="1">
        <f ca="1">IFERROR(VLOOKUP($A51,[1]库存使用数据!$A:$M,13,0),0)+IFERROR(VLOOKUP($A51,[2]库存使用数据!$A:$M,13,0),0)+公式!$B$14*IFERROR(VLOOKUP($A51,[3]库存使用数据!$A:$M,13,0),0)+IFERROR(VLOOKUP($A51,[4]库存使用数据!$A:$M,13,0),0)+IFERROR(VLOOKUP($A51,[5]库存使用数据!$A:$M,13,0),0)</f>
        <v>0</v>
      </c>
    </row>
    <row r="52" spans="1:13">
      <c r="A52" s="5" t="s">
        <v>57</v>
      </c>
      <c r="B52" s="2">
        <f ca="1">IFERROR(VLOOKUP(A52,[1]库存使用数据!$A:$B,2,0),0)+IFERROR(VLOOKUP(A52,[2]库存使用数据!$A:$B,2,0),0)+IFERROR(VLOOKUP(,[3]库存使用数据!$A:$B,2,0),0)+IFERROR(VLOOKUP(A52,[4]库存使用数据!$A:$B,2,0),0)+IFERROR(VLOOKUP(A52,[5]库存使用数据!$A:$B,2,0),0)</f>
        <v>0</v>
      </c>
      <c r="C52" s="1">
        <f ca="1">IFERROR(VLOOKUP($A52,[1]库存使用数据!$A:$C,3,0),0)+IFERROR(VLOOKUP($A52,[2]库存使用数据!$A:$C,3,0),0)+IFERROR(VLOOKUP($A52,[3]库存使用数据!$A:$C,3,0),0)+IFERROR(VLOOKUP($A52,[4]库存使用数据!$A:$C,3,0),0)+IFERROR(VLOOKUP($A52,[5]库存使用数据!$A:$C,3,0),0)</f>
        <v>3</v>
      </c>
      <c r="D52" s="1">
        <f ca="1">IFERROR(VLOOKUP($A52,[1]库存使用数据!$A:$D,4,0),0)+IFERROR(VLOOKUP($A52,[2]库存使用数据!$A:$D,4,0),0)+公式!$B$1*IFERROR(VLOOKUP($A52,[3]库存使用数据!$A:$D,4,0),0)+IFERROR(VLOOKUP($A52,[4]库存使用数据!$A:$D,4,0),0)+IFERROR(VLOOKUP($A52,[5]库存使用数据!$A:$D,4,0),0)</f>
        <v>0.4725</v>
      </c>
      <c r="E52" s="1">
        <f ca="1">IFERROR(VLOOKUP($A52,[1]库存使用数据!$A:$E,5,0),0)+IFERROR(VLOOKUP($A52,[2]库存使用数据!$A:$E,5,0),0)+IFERROR(VLOOKUP($A52,[3]库存使用数据!$A:$E,5,0),0)+IFERROR(VLOOKUP($A52,[4]库存使用数据!$A:$E,5,0),0)+IFERROR(VLOOKUP($A52,[5]库存使用数据!$A:$E,5,0),0)</f>
        <v>2782</v>
      </c>
      <c r="F52" s="1">
        <f ca="1">IFERROR(VLOOKUP($A52,[1]库存使用数据!$A:$F,6,0),0)+IFERROR(VLOOKUP($A52,[2]库存使用数据!$A:$F,6,0),0)+IFERROR(VLOOKUP($A52,[4]库存使用数据!$A:$F,6,0),0)+IFERROR(VLOOKUP($A52,[3]库存使用数据!$A:$F,6,0),0)+IFERROR(VLOOKUP($A52,[5]库存使用数据!$A:$F,6,0),0)</f>
        <v>21</v>
      </c>
      <c r="G52" s="1">
        <f ca="1">IFERROR(VLOOKUP($A52,[1]库存使用数据!$A:$G,7,0),0)+IFERROR(VLOOKUP($A52,[2]库存使用数据!$A:$G,7,0),0)+公式!$B$14*IFERROR(VLOOKUP($A52,[3]库存使用数据!$A:$G,7,0),0)+IFERROR(VLOOKUP($A52,[4]库存使用数据!$A:$G,7,0),0)+IFERROR(VLOOKUP($A52,[5]库存使用数据!$A:$G,7,0),0)</f>
        <v>1.33</v>
      </c>
      <c r="H52" s="1">
        <f ca="1">IFERROR(VLOOKUP($A52,[1]库存使用数据!$A:$H,8,0),0)+IFERROR(VLOOKUP($A52,[2]库存使用数据!$A:$H,8,0),0)+IFERROR(VLOOKUP($A52,[3]库存使用数据!$A:$H,8,0),0)+IFERROR(VLOOKUP($A52,[4]库存使用数据!$A:$H,8,0),0)+IFERROR(VLOOKUP($A52,[5]库存使用数据!$A:$H,8,0),0)</f>
        <v>2136</v>
      </c>
      <c r="I52" s="1">
        <f ca="1">IFERROR(VLOOKUP($A52,[1]库存使用数据!$A:$I,9,0),0)+IFERROR(VLOOKUP($A52,[2]库存使用数据!$A:$I,9,0),0)+IFERROR(VLOOKUP($A52,[3]库存使用数据!$A:$I,9,0),0)+IFERROR(VLOOKUP($A52,[4]库存使用数据!$A:$I,9,0),0)+IFERROR(VLOOKUP($A52,[5]库存使用数据!$A:$I,9,0),0)</f>
        <v>15</v>
      </c>
      <c r="J52" s="1">
        <f ca="1">IFERROR(VLOOKUP($A52,[1]库存使用数据!$A:$J,10,0),0)+IFERROR(VLOOKUP($A52,[2]库存使用数据!$A:$J,10,0),0)+公式!$B$14*IFERROR(VLOOKUP($A52,[3]库存使用数据!$A:$J,10,0),0)+IFERROR(VLOOKUP($A52,[4]库存使用数据!$A:$J,10,0),0)+IFERROR(VLOOKUP($A52,[5]库存使用数据!$A:$J,10,0),0)</f>
        <v>1.43</v>
      </c>
      <c r="K52" s="1">
        <f ca="1">IFERROR(VLOOKUP($A52,[1]库存使用数据!$A:$K,11,0),0)+IFERROR(VLOOKUP($A52,[2]库存使用数据!$A:$K,11,0),0)+IFERROR(VLOOKUP($A52,[3]库存使用数据!$A:$K,11,0),0)+IFERROR(VLOOKUP($A52,[4]库存使用数据!$A:$K,11,0),0)+IFERROR(VLOOKUP($A52,[5]库存使用数据!$A:$K,11,0),0)</f>
        <v>2194</v>
      </c>
      <c r="L52" s="1">
        <f ca="1">IFERROR(VLOOKUP($A52,[1]库存使用数据!$A:$L,12,0),0)+IFERROR(VLOOKUP($A52,[2]库存使用数据!$A:$L,12,0),0)+IFERROR(VLOOKUP($A52,[3]库存使用数据!$A:$L,12,0),0)+IFERROR(VLOOKUP($A52,[4]库存使用数据!$A:$L,12,0),0)+IFERROR(VLOOKUP($A52,[5]库存使用数据!$A:$L,12,0),0)</f>
        <v>19</v>
      </c>
      <c r="M52" s="1">
        <f ca="1">IFERROR(VLOOKUP($A52,[1]库存使用数据!$A:$M,13,0),0)+IFERROR(VLOOKUP($A52,[2]库存使用数据!$A:$M,13,0),0)+公式!$B$14*IFERROR(VLOOKUP($A52,[3]库存使用数据!$A:$M,13,0),0)+IFERROR(VLOOKUP($A52,[4]库存使用数据!$A:$M,13,0),0)+IFERROR(VLOOKUP($A52,[5]库存使用数据!$A:$M,13,0),0)</f>
        <v>1.76</v>
      </c>
    </row>
    <row r="53" spans="1:13">
      <c r="A53" s="5" t="s">
        <v>58</v>
      </c>
      <c r="B53" s="2">
        <f ca="1">IFERROR(VLOOKUP(A53,[1]库存使用数据!$A:$B,2,0),0)+IFERROR(VLOOKUP(A53,[2]库存使用数据!$A:$B,2,0),0)+IFERROR(VLOOKUP(,[3]库存使用数据!$A:$B,2,0),0)+IFERROR(VLOOKUP(A53,[4]库存使用数据!$A:$B,2,0),0)+IFERROR(VLOOKUP(A53,[5]库存使用数据!$A:$B,2,0),0)</f>
        <v>0</v>
      </c>
      <c r="C53" s="1">
        <f ca="1">IFERROR(VLOOKUP($A53,[1]库存使用数据!$A:$C,3,0),0)+IFERROR(VLOOKUP($A53,[2]库存使用数据!$A:$C,3,0),0)+IFERROR(VLOOKUP($A53,[3]库存使用数据!$A:$C,3,0),0)+IFERROR(VLOOKUP($A53,[4]库存使用数据!$A:$C,3,0),0)+IFERROR(VLOOKUP($A53,[5]库存使用数据!$A:$C,3,0),0)</f>
        <v>0</v>
      </c>
      <c r="D53" s="1">
        <f ca="1">IFERROR(VLOOKUP($A53,[1]库存使用数据!$A:$D,4,0),0)+IFERROR(VLOOKUP($A53,[2]库存使用数据!$A:$D,4,0),0)+公式!$B$1*IFERROR(VLOOKUP($A53,[3]库存使用数据!$A:$D,4,0),0)+IFERROR(VLOOKUP($A53,[4]库存使用数据!$A:$D,4,0),0)+IFERROR(VLOOKUP($A53,[5]库存使用数据!$A:$D,4,0),0)</f>
        <v>0</v>
      </c>
      <c r="E53" s="1">
        <f ca="1">IFERROR(VLOOKUP($A53,[1]库存使用数据!$A:$E,5,0),0)+IFERROR(VLOOKUP($A53,[2]库存使用数据!$A:$E,5,0),0)+IFERROR(VLOOKUP($A53,[3]库存使用数据!$A:$E,5,0),0)+IFERROR(VLOOKUP($A53,[4]库存使用数据!$A:$E,5,0),0)+IFERROR(VLOOKUP($A53,[5]库存使用数据!$A:$E,5,0),0)</f>
        <v>45698</v>
      </c>
      <c r="F53" s="1">
        <f ca="1">IFERROR(VLOOKUP($A53,[1]库存使用数据!$A:$F,6,0),0)+IFERROR(VLOOKUP($A53,[2]库存使用数据!$A:$F,6,0),0)+IFERROR(VLOOKUP($A53,[4]库存使用数据!$A:$F,6,0),0)+IFERROR(VLOOKUP($A53,[3]库存使用数据!$A:$F,6,0),0)+IFERROR(VLOOKUP($A53,[5]库存使用数据!$A:$F,6,0),0)</f>
        <v>174</v>
      </c>
      <c r="G53" s="1">
        <f ca="1">IFERROR(VLOOKUP($A53,[1]库存使用数据!$A:$G,7,0),0)+IFERROR(VLOOKUP($A53,[2]库存使用数据!$A:$G,7,0),0)+公式!$B$14*IFERROR(VLOOKUP($A53,[3]库存使用数据!$A:$G,7,0),0)+IFERROR(VLOOKUP($A53,[4]库存使用数据!$A:$G,7,0),0)+IFERROR(VLOOKUP($A53,[5]库存使用数据!$A:$G,7,0),0)</f>
        <v>42.58</v>
      </c>
      <c r="H53" s="1">
        <f ca="1">IFERROR(VLOOKUP($A53,[1]库存使用数据!$A:$H,8,0),0)+IFERROR(VLOOKUP($A53,[2]库存使用数据!$A:$H,8,0),0)+IFERROR(VLOOKUP($A53,[3]库存使用数据!$A:$H,8,0),0)+IFERROR(VLOOKUP($A53,[4]库存使用数据!$A:$H,8,0),0)+IFERROR(VLOOKUP($A53,[5]库存使用数据!$A:$H,8,0),0)</f>
        <v>0</v>
      </c>
      <c r="I53" s="1">
        <f ca="1">IFERROR(VLOOKUP($A53,[1]库存使用数据!$A:$I,9,0),0)+IFERROR(VLOOKUP($A53,[2]库存使用数据!$A:$I,9,0),0)+IFERROR(VLOOKUP($A53,[3]库存使用数据!$A:$I,9,0),0)+IFERROR(VLOOKUP($A53,[4]库存使用数据!$A:$I,9,0),0)+IFERROR(VLOOKUP($A53,[5]库存使用数据!$A:$I,9,0),0)</f>
        <v>0</v>
      </c>
      <c r="J53" s="1">
        <f ca="1">IFERROR(VLOOKUP($A53,[1]库存使用数据!$A:$J,10,0),0)+IFERROR(VLOOKUP($A53,[2]库存使用数据!$A:$J,10,0),0)+公式!$B$14*IFERROR(VLOOKUP($A53,[3]库存使用数据!$A:$J,10,0),0)+IFERROR(VLOOKUP($A53,[4]库存使用数据!$A:$J,10,0),0)+IFERROR(VLOOKUP($A53,[5]库存使用数据!$A:$J,10,0),0)</f>
        <v>0</v>
      </c>
      <c r="K53" s="1">
        <f ca="1">IFERROR(VLOOKUP($A53,[1]库存使用数据!$A:$K,11,0),0)+IFERROR(VLOOKUP($A53,[2]库存使用数据!$A:$K,11,0),0)+IFERROR(VLOOKUP($A53,[3]库存使用数据!$A:$K,11,0),0)+IFERROR(VLOOKUP($A53,[4]库存使用数据!$A:$K,11,0),0)+IFERROR(VLOOKUP($A53,[5]库存使用数据!$A:$K,11,0),0)</f>
        <v>0</v>
      </c>
      <c r="L53" s="1">
        <f ca="1">IFERROR(VLOOKUP($A53,[1]库存使用数据!$A:$L,12,0),0)+IFERROR(VLOOKUP($A53,[2]库存使用数据!$A:$L,12,0),0)+IFERROR(VLOOKUP($A53,[3]库存使用数据!$A:$L,12,0),0)+IFERROR(VLOOKUP($A53,[4]库存使用数据!$A:$L,12,0),0)+IFERROR(VLOOKUP($A53,[5]库存使用数据!$A:$L,12,0),0)</f>
        <v>0</v>
      </c>
      <c r="M53" s="1">
        <f ca="1">IFERROR(VLOOKUP($A53,[1]库存使用数据!$A:$M,13,0),0)+IFERROR(VLOOKUP($A53,[2]库存使用数据!$A:$M,13,0),0)+公式!$B$14*IFERROR(VLOOKUP($A53,[3]库存使用数据!$A:$M,13,0),0)+IFERROR(VLOOKUP($A53,[4]库存使用数据!$A:$M,13,0),0)+IFERROR(VLOOKUP($A53,[5]库存使用数据!$A:$M,13,0),0)</f>
        <v>0</v>
      </c>
    </row>
    <row r="54" spans="1:13">
      <c r="A54" s="5" t="s">
        <v>59</v>
      </c>
      <c r="B54" s="2">
        <f ca="1">IFERROR(VLOOKUP(A54,[1]库存使用数据!$A:$B,2,0),0)+IFERROR(VLOOKUP(A54,[2]库存使用数据!$A:$B,2,0),0)+IFERROR(VLOOKUP(,[3]库存使用数据!$A:$B,2,0),0)+IFERROR(VLOOKUP(A54,[4]库存使用数据!$A:$B,2,0),0)+IFERROR(VLOOKUP(A54,[5]库存使用数据!$A:$B,2,0),0)</f>
        <v>2740</v>
      </c>
      <c r="C54" s="1">
        <f ca="1">IFERROR(VLOOKUP($A54,[1]库存使用数据!$A:$C,3,0),0)+IFERROR(VLOOKUP($A54,[2]库存使用数据!$A:$C,3,0),0)+IFERROR(VLOOKUP($A54,[3]库存使用数据!$A:$C,3,0),0)+IFERROR(VLOOKUP($A54,[4]库存使用数据!$A:$C,3,0),0)+IFERROR(VLOOKUP($A54,[5]库存使用数据!$A:$C,3,0),0)</f>
        <v>36</v>
      </c>
      <c r="D54" s="1">
        <f ca="1">IFERROR(VLOOKUP($A54,[1]库存使用数据!$A:$D,4,0),0)+IFERROR(VLOOKUP($A54,[2]库存使用数据!$A:$D,4,0),0)+公式!$B$1*IFERROR(VLOOKUP($A54,[3]库存使用数据!$A:$D,4,0),0)+IFERROR(VLOOKUP($A54,[4]库存使用数据!$A:$D,4,0),0)+IFERROR(VLOOKUP($A54,[5]库存使用数据!$A:$D,4,0),0)</f>
        <v>5.57875</v>
      </c>
      <c r="E54" s="1">
        <f ca="1">IFERROR(VLOOKUP($A54,[1]库存使用数据!$A:$E,5,0),0)+IFERROR(VLOOKUP($A54,[2]库存使用数据!$A:$E,5,0),0)+IFERROR(VLOOKUP($A54,[3]库存使用数据!$A:$E,5,0),0)+IFERROR(VLOOKUP($A54,[4]库存使用数据!$A:$E,5,0),0)+IFERROR(VLOOKUP($A54,[5]库存使用数据!$A:$E,5,0),0)</f>
        <v>209592</v>
      </c>
      <c r="F54" s="1">
        <f ca="1">IFERROR(VLOOKUP($A54,[1]库存使用数据!$A:$F,6,0),0)+IFERROR(VLOOKUP($A54,[2]库存使用数据!$A:$F,6,0),0)+IFERROR(VLOOKUP($A54,[4]库存使用数据!$A:$F,6,0),0)+IFERROR(VLOOKUP($A54,[3]库存使用数据!$A:$F,6,0),0)+IFERROR(VLOOKUP($A54,[5]库存使用数据!$A:$F,6,0),0)</f>
        <v>269</v>
      </c>
      <c r="G54" s="1">
        <f ca="1">IFERROR(VLOOKUP($A54,[1]库存使用数据!$A:$G,7,0),0)+IFERROR(VLOOKUP($A54,[2]库存使用数据!$A:$G,7,0),0)+公式!$B$14*IFERROR(VLOOKUP($A54,[3]库存使用数据!$A:$G,7,0),0)+IFERROR(VLOOKUP($A54,[4]库存使用数据!$A:$G,7,0),0)+IFERROR(VLOOKUP($A54,[5]库存使用数据!$A:$G,7,0),0)</f>
        <v>57.69</v>
      </c>
      <c r="H54" s="1">
        <f ca="1">IFERROR(VLOOKUP($A54,[1]库存使用数据!$A:$H,8,0),0)+IFERROR(VLOOKUP($A54,[2]库存使用数据!$A:$H,8,0),0)+IFERROR(VLOOKUP($A54,[3]库存使用数据!$A:$H,8,0),0)+IFERROR(VLOOKUP($A54,[4]库存使用数据!$A:$H,8,0),0)+IFERROR(VLOOKUP($A54,[5]库存使用数据!$A:$H,8,0),0)</f>
        <v>14705</v>
      </c>
      <c r="I54" s="1">
        <f ca="1">IFERROR(VLOOKUP($A54,[1]库存使用数据!$A:$I,9,0),0)+IFERROR(VLOOKUP($A54,[2]库存使用数据!$A:$I,9,0),0)+IFERROR(VLOOKUP($A54,[3]库存使用数据!$A:$I,9,0),0)+IFERROR(VLOOKUP($A54,[4]库存使用数据!$A:$I,9,0),0)+IFERROR(VLOOKUP($A54,[5]库存使用数据!$A:$I,9,0),0)</f>
        <v>98</v>
      </c>
      <c r="J54" s="1">
        <f ca="1">IFERROR(VLOOKUP($A54,[1]库存使用数据!$A:$J,10,0),0)+IFERROR(VLOOKUP($A54,[2]库存使用数据!$A:$J,10,0),0)+公式!$B$14*IFERROR(VLOOKUP($A54,[3]库存使用数据!$A:$J,10,0),0)+IFERROR(VLOOKUP($A54,[4]库存使用数据!$A:$J,10,0),0)+IFERROR(VLOOKUP($A54,[5]库存使用数据!$A:$J,10,0),0)</f>
        <v>18.87</v>
      </c>
      <c r="K54" s="1">
        <f ca="1">IFERROR(VLOOKUP($A54,[1]库存使用数据!$A:$K,11,0),0)+IFERROR(VLOOKUP($A54,[2]库存使用数据!$A:$K,11,0),0)+IFERROR(VLOOKUP($A54,[3]库存使用数据!$A:$K,11,0),0)+IFERROR(VLOOKUP($A54,[4]库存使用数据!$A:$K,11,0),0)+IFERROR(VLOOKUP($A54,[5]库存使用数据!$A:$K,11,0),0)</f>
        <v>9859</v>
      </c>
      <c r="L54" s="1">
        <f ca="1">IFERROR(VLOOKUP($A54,[1]库存使用数据!$A:$L,12,0),0)+IFERROR(VLOOKUP($A54,[2]库存使用数据!$A:$L,12,0),0)+IFERROR(VLOOKUP($A54,[3]库存使用数据!$A:$L,12,0),0)+IFERROR(VLOOKUP($A54,[4]库存使用数据!$A:$L,12,0),0)+IFERROR(VLOOKUP($A54,[5]库存使用数据!$A:$L,12,0),0)</f>
        <v>60</v>
      </c>
      <c r="M54" s="1">
        <f ca="1">IFERROR(VLOOKUP($A54,[1]库存使用数据!$A:$M,13,0),0)+IFERROR(VLOOKUP($A54,[2]库存使用数据!$A:$M,13,0),0)+公式!$B$14*IFERROR(VLOOKUP($A54,[3]库存使用数据!$A:$M,13,0),0)+IFERROR(VLOOKUP($A54,[4]库存使用数据!$A:$M,13,0),0)+IFERROR(VLOOKUP($A54,[5]库存使用数据!$A:$M,13,0),0)</f>
        <v>8.12</v>
      </c>
    </row>
    <row r="55" spans="1:13">
      <c r="A55" s="5" t="s">
        <v>60</v>
      </c>
      <c r="B55" s="2">
        <f ca="1">IFERROR(VLOOKUP(A55,[1]库存使用数据!$A:$B,2,0),0)+IFERROR(VLOOKUP(A55,[2]库存使用数据!$A:$B,2,0),0)+IFERROR(VLOOKUP(,[3]库存使用数据!$A:$B,2,0),0)+IFERROR(VLOOKUP(A55,[4]库存使用数据!$A:$B,2,0),0)+IFERROR(VLOOKUP(A55,[5]库存使用数据!$A:$B,2,0),0)</f>
        <v>0</v>
      </c>
      <c r="C55" s="1">
        <f ca="1">IFERROR(VLOOKUP($A55,[1]库存使用数据!$A:$C,3,0),0)+IFERROR(VLOOKUP($A55,[2]库存使用数据!$A:$C,3,0),0)+IFERROR(VLOOKUP($A55,[3]库存使用数据!$A:$C,3,0),0)+IFERROR(VLOOKUP($A55,[4]库存使用数据!$A:$C,3,0),0)+IFERROR(VLOOKUP($A55,[5]库存使用数据!$A:$C,3,0),0)</f>
        <v>81</v>
      </c>
      <c r="D55" s="1">
        <f ca="1">IFERROR(VLOOKUP($A55,[1]库存使用数据!$A:$D,4,0),0)+IFERROR(VLOOKUP($A55,[2]库存使用数据!$A:$D,4,0),0)+公式!$B$1*IFERROR(VLOOKUP($A55,[3]库存使用数据!$A:$D,4,0),0)+IFERROR(VLOOKUP($A55,[4]库存使用数据!$A:$D,4,0),0)+IFERROR(VLOOKUP($A55,[5]库存使用数据!$A:$D,4,0),0)</f>
        <v>20.79</v>
      </c>
      <c r="E55" s="1">
        <f ca="1">IFERROR(VLOOKUP($A55,[1]库存使用数据!$A:$E,5,0),0)+IFERROR(VLOOKUP($A55,[2]库存使用数据!$A:$E,5,0),0)+IFERROR(VLOOKUP($A55,[3]库存使用数据!$A:$E,5,0),0)+IFERROR(VLOOKUP($A55,[4]库存使用数据!$A:$E,5,0),0)+IFERROR(VLOOKUP($A55,[5]库存使用数据!$A:$E,5,0),0)</f>
        <v>45897</v>
      </c>
      <c r="F55" s="1">
        <f ca="1">IFERROR(VLOOKUP($A55,[1]库存使用数据!$A:$F,6,0),0)+IFERROR(VLOOKUP($A55,[2]库存使用数据!$A:$F,6,0),0)+IFERROR(VLOOKUP($A55,[4]库存使用数据!$A:$F,6,0),0)+IFERROR(VLOOKUP($A55,[3]库存使用数据!$A:$F,6,0),0)+IFERROR(VLOOKUP($A55,[5]库存使用数据!$A:$F,6,0),0)</f>
        <v>296</v>
      </c>
      <c r="G55" s="1">
        <f ca="1">IFERROR(VLOOKUP($A55,[1]库存使用数据!$A:$G,7,0),0)+IFERROR(VLOOKUP($A55,[2]库存使用数据!$A:$G,7,0),0)+公式!$B$14*IFERROR(VLOOKUP($A55,[3]库存使用数据!$A:$G,7,0),0)+IFERROR(VLOOKUP($A55,[4]库存使用数据!$A:$G,7,0),0)+IFERROR(VLOOKUP($A55,[5]库存使用数据!$A:$G,7,0),0)</f>
        <v>56.6</v>
      </c>
      <c r="H55" s="1">
        <f ca="1">IFERROR(VLOOKUP($A55,[1]库存使用数据!$A:$H,8,0),0)+IFERROR(VLOOKUP($A55,[2]库存使用数据!$A:$H,8,0),0)+IFERROR(VLOOKUP($A55,[3]库存使用数据!$A:$H,8,0),0)+IFERROR(VLOOKUP($A55,[4]库存使用数据!$A:$H,8,0),0)+IFERROR(VLOOKUP($A55,[5]库存使用数据!$A:$H,8,0),0)</f>
        <v>12728</v>
      </c>
      <c r="I55" s="1">
        <f ca="1">IFERROR(VLOOKUP($A55,[1]库存使用数据!$A:$I,9,0),0)+IFERROR(VLOOKUP($A55,[2]库存使用数据!$A:$I,9,0),0)+IFERROR(VLOOKUP($A55,[3]库存使用数据!$A:$I,9,0),0)+IFERROR(VLOOKUP($A55,[4]库存使用数据!$A:$I,9,0),0)+IFERROR(VLOOKUP($A55,[5]库存使用数据!$A:$I,9,0),0)</f>
        <v>61</v>
      </c>
      <c r="J55" s="1">
        <f ca="1">IFERROR(VLOOKUP($A55,[1]库存使用数据!$A:$J,10,0),0)+IFERROR(VLOOKUP($A55,[2]库存使用数据!$A:$J,10,0),0)+公式!$B$14*IFERROR(VLOOKUP($A55,[3]库存使用数据!$A:$J,10,0),0)+IFERROR(VLOOKUP($A55,[4]库存使用数据!$A:$J,10,0),0)+IFERROR(VLOOKUP($A55,[5]库存使用数据!$A:$J,10,0),0)</f>
        <v>11.15</v>
      </c>
      <c r="K55" s="1">
        <f ca="1">IFERROR(VLOOKUP($A55,[1]库存使用数据!$A:$K,11,0),0)+IFERROR(VLOOKUP($A55,[2]库存使用数据!$A:$K,11,0),0)+IFERROR(VLOOKUP($A55,[3]库存使用数据!$A:$K,11,0),0)+IFERROR(VLOOKUP($A55,[4]库存使用数据!$A:$K,11,0),0)+IFERROR(VLOOKUP($A55,[5]库存使用数据!$A:$K,11,0),0)</f>
        <v>49216</v>
      </c>
      <c r="L55" s="1">
        <f ca="1">IFERROR(VLOOKUP($A55,[1]库存使用数据!$A:$L,12,0),0)+IFERROR(VLOOKUP($A55,[2]库存使用数据!$A:$L,12,0),0)+IFERROR(VLOOKUP($A55,[3]库存使用数据!$A:$L,12,0),0)+IFERROR(VLOOKUP($A55,[4]库存使用数据!$A:$L,12,0),0)+IFERROR(VLOOKUP($A55,[5]库存使用数据!$A:$L,12,0),0)</f>
        <v>274</v>
      </c>
      <c r="M55" s="1">
        <f ca="1">IFERROR(VLOOKUP($A55,[1]库存使用数据!$A:$M,13,0),0)+IFERROR(VLOOKUP($A55,[2]库存使用数据!$A:$M,13,0),0)+公式!$B$14*IFERROR(VLOOKUP($A55,[3]库存使用数据!$A:$M,13,0),0)+IFERROR(VLOOKUP($A55,[4]库存使用数据!$A:$M,13,0),0)+IFERROR(VLOOKUP($A55,[5]库存使用数据!$A:$M,13,0),0)</f>
        <v>57.93</v>
      </c>
    </row>
    <row r="56" spans="1:13">
      <c r="A56" s="5" t="s">
        <v>61</v>
      </c>
      <c r="B56" s="2">
        <f ca="1">IFERROR(VLOOKUP(A56,[1]库存使用数据!$A:$B,2,0),0)+IFERROR(VLOOKUP(A56,[2]库存使用数据!$A:$B,2,0),0)+IFERROR(VLOOKUP(,[3]库存使用数据!$A:$B,2,0),0)+IFERROR(VLOOKUP(A56,[4]库存使用数据!$A:$B,2,0),0)+IFERROR(VLOOKUP(A56,[5]库存使用数据!$A:$B,2,0),0)</f>
        <v>0</v>
      </c>
      <c r="C56" s="1">
        <f ca="1">IFERROR(VLOOKUP($A56,[1]库存使用数据!$A:$C,3,0),0)+IFERROR(VLOOKUP($A56,[2]库存使用数据!$A:$C,3,0),0)+IFERROR(VLOOKUP($A56,[3]库存使用数据!$A:$C,3,0),0)+IFERROR(VLOOKUP($A56,[4]库存使用数据!$A:$C,3,0),0)+IFERROR(VLOOKUP($A56,[5]库存使用数据!$A:$C,3,0),0)</f>
        <v>0</v>
      </c>
      <c r="D56" s="1">
        <f ca="1">IFERROR(VLOOKUP($A56,[1]库存使用数据!$A:$D,4,0),0)+IFERROR(VLOOKUP($A56,[2]库存使用数据!$A:$D,4,0),0)+公式!$B$1*IFERROR(VLOOKUP($A56,[3]库存使用数据!$A:$D,4,0),0)+IFERROR(VLOOKUP($A56,[4]库存使用数据!$A:$D,4,0),0)+IFERROR(VLOOKUP($A56,[5]库存使用数据!$A:$D,4,0),0)</f>
        <v>0</v>
      </c>
      <c r="E56" s="1">
        <f ca="1">IFERROR(VLOOKUP($A56,[1]库存使用数据!$A:$E,5,0),0)+IFERROR(VLOOKUP($A56,[2]库存使用数据!$A:$E,5,0),0)+IFERROR(VLOOKUP($A56,[3]库存使用数据!$A:$E,5,0),0)+IFERROR(VLOOKUP($A56,[4]库存使用数据!$A:$E,5,0),0)+IFERROR(VLOOKUP($A56,[5]库存使用数据!$A:$E,5,0),0)</f>
        <v>40484</v>
      </c>
      <c r="F56" s="1">
        <f ca="1">IFERROR(VLOOKUP($A56,[1]库存使用数据!$A:$F,6,0),0)+IFERROR(VLOOKUP($A56,[2]库存使用数据!$A:$F,6,0),0)+IFERROR(VLOOKUP($A56,[4]库存使用数据!$A:$F,6,0),0)+IFERROR(VLOOKUP($A56,[3]库存使用数据!$A:$F,6,0),0)+IFERROR(VLOOKUP($A56,[5]库存使用数据!$A:$F,6,0),0)</f>
        <v>104</v>
      </c>
      <c r="G56" s="1">
        <f ca="1">IFERROR(VLOOKUP($A56,[1]库存使用数据!$A:$G,7,0),0)+IFERROR(VLOOKUP($A56,[2]库存使用数据!$A:$G,7,0),0)+公式!$B$14*IFERROR(VLOOKUP($A56,[3]库存使用数据!$A:$G,7,0),0)+IFERROR(VLOOKUP($A56,[4]库存使用数据!$A:$G,7,0),0)+IFERROR(VLOOKUP($A56,[5]库存使用数据!$A:$G,7,0),0)</f>
        <v>18.3</v>
      </c>
      <c r="H56" s="1">
        <f ca="1">IFERROR(VLOOKUP($A56,[1]库存使用数据!$A:$H,8,0),0)+IFERROR(VLOOKUP($A56,[2]库存使用数据!$A:$H,8,0),0)+IFERROR(VLOOKUP($A56,[3]库存使用数据!$A:$H,8,0),0)+IFERROR(VLOOKUP($A56,[4]库存使用数据!$A:$H,8,0),0)+IFERROR(VLOOKUP($A56,[5]库存使用数据!$A:$H,8,0),0)</f>
        <v>17634</v>
      </c>
      <c r="I56" s="1">
        <f ca="1">IFERROR(VLOOKUP($A56,[1]库存使用数据!$A:$I,9,0),0)+IFERROR(VLOOKUP($A56,[2]库存使用数据!$A:$I,9,0),0)+IFERROR(VLOOKUP($A56,[3]库存使用数据!$A:$I,9,0),0)+IFERROR(VLOOKUP($A56,[4]库存使用数据!$A:$I,9,0),0)+IFERROR(VLOOKUP($A56,[5]库存使用数据!$A:$I,9,0),0)</f>
        <v>49</v>
      </c>
      <c r="J56" s="1">
        <f ca="1">IFERROR(VLOOKUP($A56,[1]库存使用数据!$A:$J,10,0),0)+IFERROR(VLOOKUP($A56,[2]库存使用数据!$A:$J,10,0),0)+公式!$B$14*IFERROR(VLOOKUP($A56,[3]库存使用数据!$A:$J,10,0),0)+IFERROR(VLOOKUP($A56,[4]库存使用数据!$A:$J,10,0),0)+IFERROR(VLOOKUP($A56,[5]库存使用数据!$A:$J,10,0),0)</f>
        <v>8.15</v>
      </c>
      <c r="K56" s="1">
        <f ca="1">IFERROR(VLOOKUP($A56,[1]库存使用数据!$A:$K,11,0),0)+IFERROR(VLOOKUP($A56,[2]库存使用数据!$A:$K,11,0),0)+IFERROR(VLOOKUP($A56,[3]库存使用数据!$A:$K,11,0),0)+IFERROR(VLOOKUP($A56,[4]库存使用数据!$A:$K,11,0),0)+IFERROR(VLOOKUP($A56,[5]库存使用数据!$A:$K,11,0),0)</f>
        <v>0</v>
      </c>
      <c r="L56" s="1">
        <f ca="1">IFERROR(VLOOKUP($A56,[1]库存使用数据!$A:$L,12,0),0)+IFERROR(VLOOKUP($A56,[2]库存使用数据!$A:$L,12,0),0)+IFERROR(VLOOKUP($A56,[3]库存使用数据!$A:$L,12,0),0)+IFERROR(VLOOKUP($A56,[4]库存使用数据!$A:$L,12,0),0)+IFERROR(VLOOKUP($A56,[5]库存使用数据!$A:$L,12,0),0)</f>
        <v>0</v>
      </c>
      <c r="M56" s="1">
        <f ca="1">IFERROR(VLOOKUP($A56,[1]库存使用数据!$A:$M,13,0),0)+IFERROR(VLOOKUP($A56,[2]库存使用数据!$A:$M,13,0),0)+公式!$B$14*IFERROR(VLOOKUP($A56,[3]库存使用数据!$A:$M,13,0),0)+IFERROR(VLOOKUP($A56,[4]库存使用数据!$A:$M,13,0),0)+IFERROR(VLOOKUP($A56,[5]库存使用数据!$A:$M,13,0),0)</f>
        <v>0</v>
      </c>
    </row>
    <row r="57" spans="1:13">
      <c r="A57" s="5" t="s">
        <v>62</v>
      </c>
      <c r="B57" s="2">
        <f ca="1">IFERROR(VLOOKUP(A57,[1]库存使用数据!$A:$B,2,0),0)+IFERROR(VLOOKUP(A57,[2]库存使用数据!$A:$B,2,0),0)+IFERROR(VLOOKUP(,[3]库存使用数据!$A:$B,2,0),0)+IFERROR(VLOOKUP(A57,[4]库存使用数据!$A:$B,2,0),0)+IFERROR(VLOOKUP(A57,[5]库存使用数据!$A:$B,2,0),0)</f>
        <v>0</v>
      </c>
      <c r="C57" s="1">
        <f ca="1">IFERROR(VLOOKUP($A57,[1]库存使用数据!$A:$C,3,0),0)+IFERROR(VLOOKUP($A57,[2]库存使用数据!$A:$C,3,0),0)+IFERROR(VLOOKUP($A57,[3]库存使用数据!$A:$C,3,0),0)+IFERROR(VLOOKUP($A57,[4]库存使用数据!$A:$C,3,0),0)+IFERROR(VLOOKUP($A57,[5]库存使用数据!$A:$C,3,0),0)</f>
        <v>0</v>
      </c>
      <c r="D57" s="1">
        <f ca="1">IFERROR(VLOOKUP($A57,[1]库存使用数据!$A:$D,4,0),0)+IFERROR(VLOOKUP($A57,[2]库存使用数据!$A:$D,4,0),0)+公式!$B$1*IFERROR(VLOOKUP($A57,[3]库存使用数据!$A:$D,4,0),0)+IFERROR(VLOOKUP($A57,[4]库存使用数据!$A:$D,4,0),0)+IFERROR(VLOOKUP($A57,[5]库存使用数据!$A:$D,4,0),0)</f>
        <v>0</v>
      </c>
      <c r="E57" s="1">
        <f ca="1">IFERROR(VLOOKUP($A57,[1]库存使用数据!$A:$E,5,0),0)+IFERROR(VLOOKUP($A57,[2]库存使用数据!$A:$E,5,0),0)+IFERROR(VLOOKUP($A57,[3]库存使用数据!$A:$E,5,0),0)+IFERROR(VLOOKUP($A57,[4]库存使用数据!$A:$E,5,0),0)+IFERROR(VLOOKUP($A57,[5]库存使用数据!$A:$E,5,0),0)</f>
        <v>35872</v>
      </c>
      <c r="F57" s="1">
        <f ca="1">IFERROR(VLOOKUP($A57,[1]库存使用数据!$A:$F,6,0),0)+IFERROR(VLOOKUP($A57,[2]库存使用数据!$A:$F,6,0),0)+IFERROR(VLOOKUP($A57,[4]库存使用数据!$A:$F,6,0),0)+IFERROR(VLOOKUP($A57,[3]库存使用数据!$A:$F,6,0),0)+IFERROR(VLOOKUP($A57,[5]库存使用数据!$A:$F,6,0),0)</f>
        <v>182</v>
      </c>
      <c r="G57" s="1">
        <f ca="1">IFERROR(VLOOKUP($A57,[1]库存使用数据!$A:$G,7,0),0)+IFERROR(VLOOKUP($A57,[2]库存使用数据!$A:$G,7,0),0)+公式!$B$14*IFERROR(VLOOKUP($A57,[3]库存使用数据!$A:$G,7,0),0)+IFERROR(VLOOKUP($A57,[4]库存使用数据!$A:$G,7,0),0)+IFERROR(VLOOKUP($A57,[5]库存使用数据!$A:$G,7,0),0)</f>
        <v>28.02</v>
      </c>
      <c r="H57" s="1">
        <f ca="1">IFERROR(VLOOKUP($A57,[1]库存使用数据!$A:$H,8,0),0)+IFERROR(VLOOKUP($A57,[2]库存使用数据!$A:$H,8,0),0)+IFERROR(VLOOKUP($A57,[3]库存使用数据!$A:$H,8,0),0)+IFERROR(VLOOKUP($A57,[4]库存使用数据!$A:$H,8,0),0)+IFERROR(VLOOKUP($A57,[5]库存使用数据!$A:$H,8,0),0)</f>
        <v>9206</v>
      </c>
      <c r="I57" s="1">
        <f ca="1">IFERROR(VLOOKUP($A57,[1]库存使用数据!$A:$I,9,0),0)+IFERROR(VLOOKUP($A57,[2]库存使用数据!$A:$I,9,0),0)+IFERROR(VLOOKUP($A57,[3]库存使用数据!$A:$I,9,0),0)+IFERROR(VLOOKUP($A57,[4]库存使用数据!$A:$I,9,0),0)+IFERROR(VLOOKUP($A57,[5]库存使用数据!$A:$I,9,0),0)</f>
        <v>52</v>
      </c>
      <c r="J57" s="1">
        <f ca="1">IFERROR(VLOOKUP($A57,[1]库存使用数据!$A:$J,10,0),0)+IFERROR(VLOOKUP($A57,[2]库存使用数据!$A:$J,10,0),0)+公式!$B$14*IFERROR(VLOOKUP($A57,[3]库存使用数据!$A:$J,10,0),0)+IFERROR(VLOOKUP($A57,[4]库存使用数据!$A:$J,10,0),0)+IFERROR(VLOOKUP($A57,[5]库存使用数据!$A:$J,10,0),0)</f>
        <v>8.85</v>
      </c>
      <c r="K57" s="1">
        <f ca="1">IFERROR(VLOOKUP($A57,[1]库存使用数据!$A:$K,11,0),0)+IFERROR(VLOOKUP($A57,[2]库存使用数据!$A:$K,11,0),0)+IFERROR(VLOOKUP($A57,[3]库存使用数据!$A:$K,11,0),0)+IFERROR(VLOOKUP($A57,[4]库存使用数据!$A:$K,11,0),0)+IFERROR(VLOOKUP($A57,[5]库存使用数据!$A:$K,11,0),0)</f>
        <v>8979</v>
      </c>
      <c r="L57" s="1">
        <f ca="1">IFERROR(VLOOKUP($A57,[1]库存使用数据!$A:$L,12,0),0)+IFERROR(VLOOKUP($A57,[2]库存使用数据!$A:$L,12,0),0)+IFERROR(VLOOKUP($A57,[3]库存使用数据!$A:$L,12,0),0)+IFERROR(VLOOKUP($A57,[4]库存使用数据!$A:$L,12,0),0)+IFERROR(VLOOKUP($A57,[5]库存使用数据!$A:$L,12,0),0)</f>
        <v>88</v>
      </c>
      <c r="M57" s="1">
        <f ca="1">IFERROR(VLOOKUP($A57,[1]库存使用数据!$A:$M,13,0),0)+IFERROR(VLOOKUP($A57,[2]库存使用数据!$A:$M,13,0),0)+公式!$B$14*IFERROR(VLOOKUP($A57,[3]库存使用数据!$A:$M,13,0),0)+IFERROR(VLOOKUP($A57,[4]库存使用数据!$A:$M,13,0),0)+IFERROR(VLOOKUP($A57,[5]库存使用数据!$A:$M,13,0),0)</f>
        <v>13.53</v>
      </c>
    </row>
    <row r="58" spans="1:13">
      <c r="A58" s="5" t="s">
        <v>63</v>
      </c>
      <c r="B58" s="2">
        <f ca="1">IFERROR(VLOOKUP(A58,[1]库存使用数据!$A:$B,2,0),0)+IFERROR(VLOOKUP(A58,[2]库存使用数据!$A:$B,2,0),0)+IFERROR(VLOOKUP(,[3]库存使用数据!$A:$B,2,0),0)+IFERROR(VLOOKUP(A58,[4]库存使用数据!$A:$B,2,0),0)+IFERROR(VLOOKUP(A58,[5]库存使用数据!$A:$B,2,0),0)</f>
        <v>0</v>
      </c>
      <c r="C58" s="1">
        <f ca="1">IFERROR(VLOOKUP($A58,[1]库存使用数据!$A:$C,3,0),0)+IFERROR(VLOOKUP($A58,[2]库存使用数据!$A:$C,3,0),0)+IFERROR(VLOOKUP($A58,[3]库存使用数据!$A:$C,3,0),0)+IFERROR(VLOOKUP($A58,[4]库存使用数据!$A:$C,3,0),0)+IFERROR(VLOOKUP($A58,[5]库存使用数据!$A:$C,3,0),0)</f>
        <v>0</v>
      </c>
      <c r="D58" s="1">
        <f ca="1">IFERROR(VLOOKUP($A58,[1]库存使用数据!$A:$D,4,0),0)+IFERROR(VLOOKUP($A58,[2]库存使用数据!$A:$D,4,0),0)+公式!$B$1*IFERROR(VLOOKUP($A58,[3]库存使用数据!$A:$D,4,0),0)+IFERROR(VLOOKUP($A58,[4]库存使用数据!$A:$D,4,0),0)+IFERROR(VLOOKUP($A58,[5]库存使用数据!$A:$D,4,0),0)</f>
        <v>0</v>
      </c>
      <c r="E58" s="1">
        <f ca="1">IFERROR(VLOOKUP($A58,[1]库存使用数据!$A:$E,5,0),0)+IFERROR(VLOOKUP($A58,[2]库存使用数据!$A:$E,5,0),0)+IFERROR(VLOOKUP($A58,[3]库存使用数据!$A:$E,5,0),0)+IFERROR(VLOOKUP($A58,[4]库存使用数据!$A:$E,5,0),0)+IFERROR(VLOOKUP($A58,[5]库存使用数据!$A:$E,5,0),0)</f>
        <v>0</v>
      </c>
      <c r="F58" s="1">
        <f ca="1">IFERROR(VLOOKUP($A58,[1]库存使用数据!$A:$F,6,0),0)+IFERROR(VLOOKUP($A58,[2]库存使用数据!$A:$F,6,0),0)+IFERROR(VLOOKUP($A58,[4]库存使用数据!$A:$F,6,0),0)+IFERROR(VLOOKUP($A58,[3]库存使用数据!$A:$F,6,0),0)+IFERROR(VLOOKUP($A58,[5]库存使用数据!$A:$F,6,0),0)</f>
        <v>0</v>
      </c>
      <c r="G58" s="1">
        <f ca="1">IFERROR(VLOOKUP($A58,[1]库存使用数据!$A:$G,7,0),0)+IFERROR(VLOOKUP($A58,[2]库存使用数据!$A:$G,7,0),0)+公式!$B$14*IFERROR(VLOOKUP($A58,[3]库存使用数据!$A:$G,7,0),0)+IFERROR(VLOOKUP($A58,[4]库存使用数据!$A:$G,7,0),0)+IFERROR(VLOOKUP($A58,[5]库存使用数据!$A:$G,7,0),0)</f>
        <v>0</v>
      </c>
      <c r="H58" s="1">
        <f ca="1">IFERROR(VLOOKUP($A58,[1]库存使用数据!$A:$H,8,0),0)+IFERROR(VLOOKUP($A58,[2]库存使用数据!$A:$H,8,0),0)+IFERROR(VLOOKUP($A58,[3]库存使用数据!$A:$H,8,0),0)+IFERROR(VLOOKUP($A58,[4]库存使用数据!$A:$H,8,0),0)+IFERROR(VLOOKUP($A58,[5]库存使用数据!$A:$H,8,0),0)</f>
        <v>0</v>
      </c>
      <c r="I58" s="1">
        <f ca="1">IFERROR(VLOOKUP($A58,[1]库存使用数据!$A:$I,9,0),0)+IFERROR(VLOOKUP($A58,[2]库存使用数据!$A:$I,9,0),0)+IFERROR(VLOOKUP($A58,[3]库存使用数据!$A:$I,9,0),0)+IFERROR(VLOOKUP($A58,[4]库存使用数据!$A:$I,9,0),0)+IFERROR(VLOOKUP($A58,[5]库存使用数据!$A:$I,9,0),0)</f>
        <v>0</v>
      </c>
      <c r="J58" s="1">
        <f ca="1">IFERROR(VLOOKUP($A58,[1]库存使用数据!$A:$J,10,0),0)+IFERROR(VLOOKUP($A58,[2]库存使用数据!$A:$J,10,0),0)+公式!$B$14*IFERROR(VLOOKUP($A58,[3]库存使用数据!$A:$J,10,0),0)+IFERROR(VLOOKUP($A58,[4]库存使用数据!$A:$J,10,0),0)+IFERROR(VLOOKUP($A58,[5]库存使用数据!$A:$J,10,0),0)</f>
        <v>0</v>
      </c>
      <c r="K58" s="1">
        <f ca="1">IFERROR(VLOOKUP($A58,[1]库存使用数据!$A:$K,11,0),0)+IFERROR(VLOOKUP($A58,[2]库存使用数据!$A:$K,11,0),0)+IFERROR(VLOOKUP($A58,[3]库存使用数据!$A:$K,11,0),0)+IFERROR(VLOOKUP($A58,[4]库存使用数据!$A:$K,11,0),0)+IFERROR(VLOOKUP($A58,[5]库存使用数据!$A:$K,11,0),0)</f>
        <v>397</v>
      </c>
      <c r="L58" s="1">
        <f ca="1">IFERROR(VLOOKUP($A58,[1]库存使用数据!$A:$L,12,0),0)+IFERROR(VLOOKUP($A58,[2]库存使用数据!$A:$L,12,0),0)+IFERROR(VLOOKUP($A58,[3]库存使用数据!$A:$L,12,0),0)+IFERROR(VLOOKUP($A58,[4]库存使用数据!$A:$L,12,0),0)+IFERROR(VLOOKUP($A58,[5]库存使用数据!$A:$L,12,0),0)</f>
        <v>2</v>
      </c>
      <c r="M58" s="1">
        <f ca="1">IFERROR(VLOOKUP($A58,[1]库存使用数据!$A:$M,13,0),0)+IFERROR(VLOOKUP($A58,[2]库存使用数据!$A:$M,13,0),0)+公式!$B$14*IFERROR(VLOOKUP($A58,[3]库存使用数据!$A:$M,13,0),0)+IFERROR(VLOOKUP($A58,[4]库存使用数据!$A:$M,13,0),0)+IFERROR(VLOOKUP($A58,[5]库存使用数据!$A:$M,13,0),0)</f>
        <v>0.21</v>
      </c>
    </row>
    <row r="59" spans="1:13">
      <c r="A59" s="5" t="s">
        <v>64</v>
      </c>
      <c r="B59" s="2">
        <f ca="1">IFERROR(VLOOKUP(A59,[1]库存使用数据!$A:$B,2,0),0)+IFERROR(VLOOKUP(A59,[2]库存使用数据!$A:$B,2,0),0)+IFERROR(VLOOKUP(,[3]库存使用数据!$A:$B,2,0),0)+IFERROR(VLOOKUP(A59,[4]库存使用数据!$A:$B,2,0),0)+IFERROR(VLOOKUP(A59,[5]库存使用数据!$A:$B,2,0),0)</f>
        <v>0</v>
      </c>
      <c r="C59" s="1">
        <f ca="1">IFERROR(VLOOKUP($A59,[1]库存使用数据!$A:$C,3,0),0)+IFERROR(VLOOKUP($A59,[2]库存使用数据!$A:$C,3,0),0)+IFERROR(VLOOKUP($A59,[3]库存使用数据!$A:$C,3,0),0)+IFERROR(VLOOKUP($A59,[4]库存使用数据!$A:$C,3,0),0)+IFERROR(VLOOKUP($A59,[5]库存使用数据!$A:$C,3,0),0)</f>
        <v>0</v>
      </c>
      <c r="D59" s="1">
        <f ca="1">IFERROR(VLOOKUP($A59,[1]库存使用数据!$A:$D,4,0),0)+IFERROR(VLOOKUP($A59,[2]库存使用数据!$A:$D,4,0),0)+公式!$B$1*IFERROR(VLOOKUP($A59,[3]库存使用数据!$A:$D,4,0),0)+IFERROR(VLOOKUP($A59,[4]库存使用数据!$A:$D,4,0),0)+IFERROR(VLOOKUP($A59,[5]库存使用数据!$A:$D,4,0),0)</f>
        <v>0</v>
      </c>
      <c r="E59" s="1">
        <f ca="1">IFERROR(VLOOKUP($A59,[1]库存使用数据!$A:$E,5,0),0)+IFERROR(VLOOKUP($A59,[2]库存使用数据!$A:$E,5,0),0)+IFERROR(VLOOKUP($A59,[3]库存使用数据!$A:$E,5,0),0)+IFERROR(VLOOKUP($A59,[4]库存使用数据!$A:$E,5,0),0)+IFERROR(VLOOKUP($A59,[5]库存使用数据!$A:$E,5,0),0)</f>
        <v>8158</v>
      </c>
      <c r="F59" s="1">
        <f ca="1">IFERROR(VLOOKUP($A59,[1]库存使用数据!$A:$F,6,0),0)+IFERROR(VLOOKUP($A59,[2]库存使用数据!$A:$F,6,0),0)+IFERROR(VLOOKUP($A59,[4]库存使用数据!$A:$F,6,0),0)+IFERROR(VLOOKUP($A59,[3]库存使用数据!$A:$F,6,0),0)+IFERROR(VLOOKUP($A59,[5]库存使用数据!$A:$F,6,0),0)</f>
        <v>24</v>
      </c>
      <c r="G59" s="1">
        <f ca="1">IFERROR(VLOOKUP($A59,[1]库存使用数据!$A:$G,7,0),0)+IFERROR(VLOOKUP($A59,[2]库存使用数据!$A:$G,7,0),0)+公式!$B$14*IFERROR(VLOOKUP($A59,[3]库存使用数据!$A:$G,7,0),0)+IFERROR(VLOOKUP($A59,[4]库存使用数据!$A:$G,7,0),0)+IFERROR(VLOOKUP($A59,[5]库存使用数据!$A:$G,7,0),0)</f>
        <v>4.9</v>
      </c>
      <c r="H59" s="1">
        <f ca="1">IFERROR(VLOOKUP($A59,[1]库存使用数据!$A:$H,8,0),0)+IFERROR(VLOOKUP($A59,[2]库存使用数据!$A:$H,8,0),0)+IFERROR(VLOOKUP($A59,[3]库存使用数据!$A:$H,8,0),0)+IFERROR(VLOOKUP($A59,[4]库存使用数据!$A:$H,8,0),0)+IFERROR(VLOOKUP($A59,[5]库存使用数据!$A:$H,8,0),0)</f>
        <v>4050</v>
      </c>
      <c r="I59" s="1">
        <f ca="1">IFERROR(VLOOKUP($A59,[1]库存使用数据!$A:$I,9,0),0)+IFERROR(VLOOKUP($A59,[2]库存使用数据!$A:$I,9,0),0)+IFERROR(VLOOKUP($A59,[3]库存使用数据!$A:$I,9,0),0)+IFERROR(VLOOKUP($A59,[4]库存使用数据!$A:$I,9,0),0)+IFERROR(VLOOKUP($A59,[5]库存使用数据!$A:$I,9,0),0)</f>
        <v>12</v>
      </c>
      <c r="J59" s="1">
        <f ca="1">IFERROR(VLOOKUP($A59,[1]库存使用数据!$A:$J,10,0),0)+IFERROR(VLOOKUP($A59,[2]库存使用数据!$A:$J,10,0),0)+公式!$B$14*IFERROR(VLOOKUP($A59,[3]库存使用数据!$A:$J,10,0),0)+IFERROR(VLOOKUP($A59,[4]库存使用数据!$A:$J,10,0),0)+IFERROR(VLOOKUP($A59,[5]库存使用数据!$A:$J,10,0),0)</f>
        <v>2.55</v>
      </c>
      <c r="K59" s="1">
        <f ca="1">IFERROR(VLOOKUP($A59,[1]库存使用数据!$A:$K,11,0),0)+IFERROR(VLOOKUP($A59,[2]库存使用数据!$A:$K,11,0),0)+IFERROR(VLOOKUP($A59,[3]库存使用数据!$A:$K,11,0),0)+IFERROR(VLOOKUP($A59,[4]库存使用数据!$A:$K,11,0),0)+IFERROR(VLOOKUP($A59,[5]库存使用数据!$A:$K,11,0),0)</f>
        <v>2144</v>
      </c>
      <c r="L59" s="1">
        <f ca="1">IFERROR(VLOOKUP($A59,[1]库存使用数据!$A:$L,12,0),0)+IFERROR(VLOOKUP($A59,[2]库存使用数据!$A:$L,12,0),0)+IFERROR(VLOOKUP($A59,[3]库存使用数据!$A:$L,12,0),0)+IFERROR(VLOOKUP($A59,[4]库存使用数据!$A:$L,12,0),0)+IFERROR(VLOOKUP($A59,[5]库存使用数据!$A:$L,12,0),0)</f>
        <v>15</v>
      </c>
      <c r="M59" s="1">
        <f ca="1">IFERROR(VLOOKUP($A59,[1]库存使用数据!$A:$M,13,0),0)+IFERROR(VLOOKUP($A59,[2]库存使用数据!$A:$M,13,0),0)+公式!$B$14*IFERROR(VLOOKUP($A59,[3]库存使用数据!$A:$M,13,0),0)+IFERROR(VLOOKUP($A59,[4]库存使用数据!$A:$M,13,0),0)+IFERROR(VLOOKUP($A59,[5]库存使用数据!$A:$M,13,0),0)</f>
        <v>3.47</v>
      </c>
    </row>
    <row r="60" spans="1:13">
      <c r="A60" s="5" t="s">
        <v>65</v>
      </c>
      <c r="B60" s="2">
        <f ca="1">IFERROR(VLOOKUP(A60,[1]库存使用数据!$A:$B,2,0),0)+IFERROR(VLOOKUP(A60,[2]库存使用数据!$A:$B,2,0),0)+IFERROR(VLOOKUP(,[3]库存使用数据!$A:$B,2,0),0)+IFERROR(VLOOKUP(A60,[4]库存使用数据!$A:$B,2,0),0)+IFERROR(VLOOKUP(A60,[5]库存使用数据!$A:$B,2,0),0)</f>
        <v>0</v>
      </c>
      <c r="C60" s="1">
        <f ca="1">IFERROR(VLOOKUP($A60,[1]库存使用数据!$A:$C,3,0),0)+IFERROR(VLOOKUP($A60,[2]库存使用数据!$A:$C,3,0),0)+IFERROR(VLOOKUP($A60,[3]库存使用数据!$A:$C,3,0),0)+IFERROR(VLOOKUP($A60,[4]库存使用数据!$A:$C,3,0),0)+IFERROR(VLOOKUP($A60,[5]库存使用数据!$A:$C,3,0),0)</f>
        <v>0</v>
      </c>
      <c r="D60" s="1">
        <f ca="1">IFERROR(VLOOKUP($A60,[1]库存使用数据!$A:$D,4,0),0)+IFERROR(VLOOKUP($A60,[2]库存使用数据!$A:$D,4,0),0)+公式!$B$1*IFERROR(VLOOKUP($A60,[3]库存使用数据!$A:$D,4,0),0)+IFERROR(VLOOKUP($A60,[4]库存使用数据!$A:$D,4,0),0)+IFERROR(VLOOKUP($A60,[5]库存使用数据!$A:$D,4,0),0)</f>
        <v>0</v>
      </c>
      <c r="E60" s="1">
        <f ca="1">IFERROR(VLOOKUP($A60,[1]库存使用数据!$A:$E,5,0),0)+IFERROR(VLOOKUP($A60,[2]库存使用数据!$A:$E,5,0),0)+IFERROR(VLOOKUP($A60,[3]库存使用数据!$A:$E,5,0),0)+IFERROR(VLOOKUP($A60,[4]库存使用数据!$A:$E,5,0),0)+IFERROR(VLOOKUP($A60,[5]库存使用数据!$A:$E,5,0),0)</f>
        <v>80</v>
      </c>
      <c r="F60" s="1">
        <f ca="1">IFERROR(VLOOKUP($A60,[1]库存使用数据!$A:$F,6,0),0)+IFERROR(VLOOKUP($A60,[2]库存使用数据!$A:$F,6,0),0)+IFERROR(VLOOKUP($A60,[4]库存使用数据!$A:$F,6,0),0)+IFERROR(VLOOKUP($A60,[3]库存使用数据!$A:$F,6,0),0)+IFERROR(VLOOKUP($A60,[5]库存使用数据!$A:$F,6,0),0)</f>
        <v>1</v>
      </c>
      <c r="G60" s="1">
        <f ca="1">IFERROR(VLOOKUP($A60,[1]库存使用数据!$A:$G,7,0),0)+IFERROR(VLOOKUP($A60,[2]库存使用数据!$A:$G,7,0),0)+公式!$B$14*IFERROR(VLOOKUP($A60,[3]库存使用数据!$A:$G,7,0),0)+IFERROR(VLOOKUP($A60,[4]库存使用数据!$A:$G,7,0),0)+IFERROR(VLOOKUP($A60,[5]库存使用数据!$A:$G,7,0),0)</f>
        <v>0.24</v>
      </c>
      <c r="H60" s="1">
        <f ca="1">IFERROR(VLOOKUP($A60,[1]库存使用数据!$A:$H,8,0),0)+IFERROR(VLOOKUP($A60,[2]库存使用数据!$A:$H,8,0),0)+IFERROR(VLOOKUP($A60,[3]库存使用数据!$A:$H,8,0),0)+IFERROR(VLOOKUP($A60,[4]库存使用数据!$A:$H,8,0),0)+IFERROR(VLOOKUP($A60,[5]库存使用数据!$A:$H,8,0),0)</f>
        <v>266</v>
      </c>
      <c r="I60" s="1">
        <f ca="1">IFERROR(VLOOKUP($A60,[1]库存使用数据!$A:$I,9,0),0)+IFERROR(VLOOKUP($A60,[2]库存使用数据!$A:$I,9,0),0)+IFERROR(VLOOKUP($A60,[3]库存使用数据!$A:$I,9,0),0)+IFERROR(VLOOKUP($A60,[4]库存使用数据!$A:$I,9,0),0)+IFERROR(VLOOKUP($A60,[5]库存使用数据!$A:$I,9,0),0)</f>
        <v>5</v>
      </c>
      <c r="J60" s="1">
        <f ca="1">IFERROR(VLOOKUP($A60,[1]库存使用数据!$A:$J,10,0),0)+IFERROR(VLOOKUP($A60,[2]库存使用数据!$A:$J,10,0),0)+公式!$B$14*IFERROR(VLOOKUP($A60,[3]库存使用数据!$A:$J,10,0),0)+IFERROR(VLOOKUP($A60,[4]库存使用数据!$A:$J,10,0),0)+IFERROR(VLOOKUP($A60,[5]库存使用数据!$A:$J,10,0),0)</f>
        <v>1.07</v>
      </c>
      <c r="K60" s="1">
        <f ca="1">IFERROR(VLOOKUP($A60,[1]库存使用数据!$A:$K,11,0),0)+IFERROR(VLOOKUP($A60,[2]库存使用数据!$A:$K,11,0),0)+IFERROR(VLOOKUP($A60,[3]库存使用数据!$A:$K,11,0),0)+IFERROR(VLOOKUP($A60,[4]库存使用数据!$A:$K,11,0),0)+IFERROR(VLOOKUP($A60,[5]库存使用数据!$A:$K,11,0),0)</f>
        <v>625</v>
      </c>
      <c r="L60" s="1">
        <f ca="1">IFERROR(VLOOKUP($A60,[1]库存使用数据!$A:$L,12,0),0)+IFERROR(VLOOKUP($A60,[2]库存使用数据!$A:$L,12,0),0)+IFERROR(VLOOKUP($A60,[3]库存使用数据!$A:$L,12,0),0)+IFERROR(VLOOKUP($A60,[4]库存使用数据!$A:$L,12,0),0)+IFERROR(VLOOKUP($A60,[5]库存使用数据!$A:$L,12,0),0)</f>
        <v>6</v>
      </c>
      <c r="M60" s="1">
        <f ca="1">IFERROR(VLOOKUP($A60,[1]库存使用数据!$A:$M,13,0),0)+IFERROR(VLOOKUP($A60,[2]库存使用数据!$A:$M,13,0),0)+公式!$B$14*IFERROR(VLOOKUP($A60,[3]库存使用数据!$A:$M,13,0),0)+IFERROR(VLOOKUP($A60,[4]库存使用数据!$A:$M,13,0),0)+IFERROR(VLOOKUP($A60,[5]库存使用数据!$A:$M,13,0),0)</f>
        <v>1.48</v>
      </c>
    </row>
    <row r="61" spans="1:13">
      <c r="A61" s="5" t="s">
        <v>66</v>
      </c>
      <c r="B61" s="2">
        <f ca="1">IFERROR(VLOOKUP(A61,[1]库存使用数据!$A:$B,2,0),0)+IFERROR(VLOOKUP(A61,[2]库存使用数据!$A:$B,2,0),0)+IFERROR(VLOOKUP(,[3]库存使用数据!$A:$B,2,0),0)+IFERROR(VLOOKUP(A61,[4]库存使用数据!$A:$B,2,0),0)+IFERROR(VLOOKUP(A61,[5]库存使用数据!$A:$B,2,0),0)</f>
        <v>0</v>
      </c>
      <c r="C61" s="1">
        <f ca="1">IFERROR(VLOOKUP($A61,[1]库存使用数据!$A:$C,3,0),0)+IFERROR(VLOOKUP($A61,[2]库存使用数据!$A:$C,3,0),0)+IFERROR(VLOOKUP($A61,[3]库存使用数据!$A:$C,3,0),0)+IFERROR(VLOOKUP($A61,[4]库存使用数据!$A:$C,3,0),0)+IFERROR(VLOOKUP($A61,[5]库存使用数据!$A:$C,3,0),0)</f>
        <v>0</v>
      </c>
      <c r="D61" s="1">
        <f ca="1">IFERROR(VLOOKUP($A61,[1]库存使用数据!$A:$D,4,0),0)+IFERROR(VLOOKUP($A61,[2]库存使用数据!$A:$D,4,0),0)+公式!$B$1*IFERROR(VLOOKUP($A61,[3]库存使用数据!$A:$D,4,0),0)+IFERROR(VLOOKUP($A61,[4]库存使用数据!$A:$D,4,0),0)+IFERROR(VLOOKUP($A61,[5]库存使用数据!$A:$D,4,0),0)</f>
        <v>0</v>
      </c>
      <c r="E61" s="1">
        <f ca="1">IFERROR(VLOOKUP($A61,[1]库存使用数据!$A:$E,5,0),0)+IFERROR(VLOOKUP($A61,[2]库存使用数据!$A:$E,5,0),0)+IFERROR(VLOOKUP($A61,[3]库存使用数据!$A:$E,5,0),0)+IFERROR(VLOOKUP($A61,[4]库存使用数据!$A:$E,5,0),0)+IFERROR(VLOOKUP($A61,[5]库存使用数据!$A:$E,5,0),0)</f>
        <v>0</v>
      </c>
      <c r="F61" s="1">
        <f ca="1">IFERROR(VLOOKUP($A61,[1]库存使用数据!$A:$F,6,0),0)+IFERROR(VLOOKUP($A61,[2]库存使用数据!$A:$F,6,0),0)+IFERROR(VLOOKUP($A61,[4]库存使用数据!$A:$F,6,0),0)+IFERROR(VLOOKUP($A61,[3]库存使用数据!$A:$F,6,0),0)+IFERROR(VLOOKUP($A61,[5]库存使用数据!$A:$F,6,0),0)</f>
        <v>0</v>
      </c>
      <c r="G61" s="1">
        <f ca="1">IFERROR(VLOOKUP($A61,[1]库存使用数据!$A:$G,7,0),0)+IFERROR(VLOOKUP($A61,[2]库存使用数据!$A:$G,7,0),0)+公式!$B$14*IFERROR(VLOOKUP($A61,[3]库存使用数据!$A:$G,7,0),0)+IFERROR(VLOOKUP($A61,[4]库存使用数据!$A:$G,7,0),0)+IFERROR(VLOOKUP($A61,[5]库存使用数据!$A:$G,7,0),0)</f>
        <v>0</v>
      </c>
      <c r="H61" s="1">
        <f ca="1">IFERROR(VLOOKUP($A61,[1]库存使用数据!$A:$H,8,0),0)+IFERROR(VLOOKUP($A61,[2]库存使用数据!$A:$H,8,0),0)+IFERROR(VLOOKUP($A61,[3]库存使用数据!$A:$H,8,0),0)+IFERROR(VLOOKUP($A61,[4]库存使用数据!$A:$H,8,0),0)+IFERROR(VLOOKUP($A61,[5]库存使用数据!$A:$H,8,0),0)</f>
        <v>0</v>
      </c>
      <c r="I61" s="1">
        <f ca="1">IFERROR(VLOOKUP($A61,[1]库存使用数据!$A:$I,9,0),0)+IFERROR(VLOOKUP($A61,[2]库存使用数据!$A:$I,9,0),0)+IFERROR(VLOOKUP($A61,[3]库存使用数据!$A:$I,9,0),0)+IFERROR(VLOOKUP($A61,[4]库存使用数据!$A:$I,9,0),0)+IFERROR(VLOOKUP($A61,[5]库存使用数据!$A:$I,9,0),0)</f>
        <v>0</v>
      </c>
      <c r="J61" s="1">
        <f ca="1">IFERROR(VLOOKUP($A61,[1]库存使用数据!$A:$J,10,0),0)+IFERROR(VLOOKUP($A61,[2]库存使用数据!$A:$J,10,0),0)+公式!$B$14*IFERROR(VLOOKUP($A61,[3]库存使用数据!$A:$J,10,0),0)+IFERROR(VLOOKUP($A61,[4]库存使用数据!$A:$J,10,0),0)+IFERROR(VLOOKUP($A61,[5]库存使用数据!$A:$J,10,0),0)</f>
        <v>0</v>
      </c>
      <c r="K61" s="1">
        <f ca="1">IFERROR(VLOOKUP($A61,[1]库存使用数据!$A:$K,11,0),0)+IFERROR(VLOOKUP($A61,[2]库存使用数据!$A:$K,11,0),0)+IFERROR(VLOOKUP($A61,[3]库存使用数据!$A:$K,11,0),0)+IFERROR(VLOOKUP($A61,[4]库存使用数据!$A:$K,11,0),0)+IFERROR(VLOOKUP($A61,[5]库存使用数据!$A:$K,11,0),0)</f>
        <v>6</v>
      </c>
      <c r="L61" s="1">
        <f ca="1">IFERROR(VLOOKUP($A61,[1]库存使用数据!$A:$L,12,0),0)+IFERROR(VLOOKUP($A61,[2]库存使用数据!$A:$L,12,0),0)+IFERROR(VLOOKUP($A61,[3]库存使用数据!$A:$L,12,0),0)+IFERROR(VLOOKUP($A61,[4]库存使用数据!$A:$L,12,0),0)+IFERROR(VLOOKUP($A61,[5]库存使用数据!$A:$L,12,0),0)</f>
        <v>0</v>
      </c>
      <c r="M61" s="1">
        <f ca="1">IFERROR(VLOOKUP($A61,[1]库存使用数据!$A:$M,13,0),0)+IFERROR(VLOOKUP($A61,[2]库存使用数据!$A:$M,13,0),0)+公式!$B$14*IFERROR(VLOOKUP($A61,[3]库存使用数据!$A:$M,13,0),0)+IFERROR(VLOOKUP($A61,[4]库存使用数据!$A:$M,13,0),0)+IFERROR(VLOOKUP($A61,[5]库存使用数据!$A:$M,13,0),0)</f>
        <v>0</v>
      </c>
    </row>
    <row r="62" spans="1:13">
      <c r="A62" s="5" t="s">
        <v>67</v>
      </c>
      <c r="B62" s="2">
        <f ca="1">IFERROR(VLOOKUP(A62,[1]库存使用数据!$A:$B,2,0),0)+IFERROR(VLOOKUP(A62,[2]库存使用数据!$A:$B,2,0),0)+IFERROR(VLOOKUP(,[3]库存使用数据!$A:$B,2,0),0)+IFERROR(VLOOKUP(A62,[4]库存使用数据!$A:$B,2,0),0)+IFERROR(VLOOKUP(A62,[5]库存使用数据!$A:$B,2,0),0)</f>
        <v>2570</v>
      </c>
      <c r="C62" s="1">
        <f ca="1">IFERROR(VLOOKUP($A62,[1]库存使用数据!$A:$C,3,0),0)+IFERROR(VLOOKUP($A62,[2]库存使用数据!$A:$C,3,0),0)+IFERROR(VLOOKUP($A62,[3]库存使用数据!$A:$C,3,0),0)+IFERROR(VLOOKUP($A62,[4]库存使用数据!$A:$C,3,0),0)+IFERROR(VLOOKUP($A62,[5]库存使用数据!$A:$C,3,0),0)</f>
        <v>7</v>
      </c>
      <c r="D62" s="1">
        <f ca="1">IFERROR(VLOOKUP($A62,[1]库存使用数据!$A:$D,4,0),0)+IFERROR(VLOOKUP($A62,[2]库存使用数据!$A:$D,4,0),0)+公式!$B$1*IFERROR(VLOOKUP($A62,[3]库存使用数据!$A:$D,4,0),0)+IFERROR(VLOOKUP($A62,[4]库存使用数据!$A:$D,4,0),0)+IFERROR(VLOOKUP($A62,[5]库存使用数据!$A:$D,4,0),0)</f>
        <v>1.49</v>
      </c>
      <c r="E62" s="1">
        <f ca="1">IFERROR(VLOOKUP($A62,[1]库存使用数据!$A:$E,5,0),0)+IFERROR(VLOOKUP($A62,[2]库存使用数据!$A:$E,5,0),0)+IFERROR(VLOOKUP($A62,[3]库存使用数据!$A:$E,5,0),0)+IFERROR(VLOOKUP($A62,[4]库存使用数据!$A:$E,5,0),0)+IFERROR(VLOOKUP($A62,[5]库存使用数据!$A:$E,5,0),0)</f>
        <v>7249</v>
      </c>
      <c r="F62" s="1">
        <f ca="1">IFERROR(VLOOKUP($A62,[1]库存使用数据!$A:$F,6,0),0)+IFERROR(VLOOKUP($A62,[2]库存使用数据!$A:$F,6,0),0)+IFERROR(VLOOKUP($A62,[4]库存使用数据!$A:$F,6,0),0)+IFERROR(VLOOKUP($A62,[3]库存使用数据!$A:$F,6,0),0)+IFERROR(VLOOKUP($A62,[5]库存使用数据!$A:$F,6,0),0)</f>
        <v>17</v>
      </c>
      <c r="G62" s="1">
        <f ca="1">IFERROR(VLOOKUP($A62,[1]库存使用数据!$A:$G,7,0),0)+IFERROR(VLOOKUP($A62,[2]库存使用数据!$A:$G,7,0),0)+公式!$B$14*IFERROR(VLOOKUP($A62,[3]库存使用数据!$A:$G,7,0),0)+IFERROR(VLOOKUP($A62,[4]库存使用数据!$A:$G,7,0),0)+IFERROR(VLOOKUP($A62,[5]库存使用数据!$A:$G,7,0),0)</f>
        <v>3.15</v>
      </c>
      <c r="H62" s="1">
        <f ca="1">IFERROR(VLOOKUP($A62,[1]库存使用数据!$A:$H,8,0),0)+IFERROR(VLOOKUP($A62,[2]库存使用数据!$A:$H,8,0),0)+IFERROR(VLOOKUP($A62,[3]库存使用数据!$A:$H,8,0),0)+IFERROR(VLOOKUP($A62,[4]库存使用数据!$A:$H,8,0),0)+IFERROR(VLOOKUP($A62,[5]库存使用数据!$A:$H,8,0),0)</f>
        <v>1823</v>
      </c>
      <c r="I62" s="1">
        <f ca="1">IFERROR(VLOOKUP($A62,[1]库存使用数据!$A:$I,9,0),0)+IFERROR(VLOOKUP($A62,[2]库存使用数据!$A:$I,9,0),0)+IFERROR(VLOOKUP($A62,[3]库存使用数据!$A:$I,9,0),0)+IFERROR(VLOOKUP($A62,[4]库存使用数据!$A:$I,9,0),0)+IFERROR(VLOOKUP($A62,[5]库存使用数据!$A:$I,9,0),0)</f>
        <v>4</v>
      </c>
      <c r="J62" s="1">
        <f ca="1">IFERROR(VLOOKUP($A62,[1]库存使用数据!$A:$J,10,0),0)+IFERROR(VLOOKUP($A62,[2]库存使用数据!$A:$J,10,0),0)+公式!$B$14*IFERROR(VLOOKUP($A62,[3]库存使用数据!$A:$J,10,0),0)+IFERROR(VLOOKUP($A62,[4]库存使用数据!$A:$J,10,0),0)+IFERROR(VLOOKUP($A62,[5]库存使用数据!$A:$J,10,0),0)</f>
        <v>1.05</v>
      </c>
      <c r="K62" s="1">
        <f ca="1">IFERROR(VLOOKUP($A62,[1]库存使用数据!$A:$K,11,0),0)+IFERROR(VLOOKUP($A62,[2]库存使用数据!$A:$K,11,0),0)+IFERROR(VLOOKUP($A62,[3]库存使用数据!$A:$K,11,0),0)+IFERROR(VLOOKUP($A62,[4]库存使用数据!$A:$K,11,0),0)+IFERROR(VLOOKUP($A62,[5]库存使用数据!$A:$K,11,0),0)</f>
        <v>673</v>
      </c>
      <c r="L62" s="1">
        <f ca="1">IFERROR(VLOOKUP($A62,[1]库存使用数据!$A:$L,12,0),0)+IFERROR(VLOOKUP($A62,[2]库存使用数据!$A:$L,12,0),0)+IFERROR(VLOOKUP($A62,[3]库存使用数据!$A:$L,12,0),0)+IFERROR(VLOOKUP($A62,[4]库存使用数据!$A:$L,12,0),0)+IFERROR(VLOOKUP($A62,[5]库存使用数据!$A:$L,12,0),0)</f>
        <v>3</v>
      </c>
      <c r="M62" s="1">
        <f ca="1">IFERROR(VLOOKUP($A62,[1]库存使用数据!$A:$M,13,0),0)+IFERROR(VLOOKUP($A62,[2]库存使用数据!$A:$M,13,0),0)+公式!$B$14*IFERROR(VLOOKUP($A62,[3]库存使用数据!$A:$M,13,0),0)+IFERROR(VLOOKUP($A62,[4]库存使用数据!$A:$M,13,0),0)+IFERROR(VLOOKUP($A62,[5]库存使用数据!$A:$M,13,0),0)</f>
        <v>0.48</v>
      </c>
    </row>
    <row r="63" spans="1:13">
      <c r="A63" s="5" t="s">
        <v>68</v>
      </c>
      <c r="B63" s="2">
        <f ca="1">IFERROR(VLOOKUP(A63,[1]库存使用数据!$A:$B,2,0),0)+IFERROR(VLOOKUP(A63,[2]库存使用数据!$A:$B,2,0),0)+IFERROR(VLOOKUP(,[3]库存使用数据!$A:$B,2,0),0)+IFERROR(VLOOKUP(A63,[4]库存使用数据!$A:$B,2,0),0)+IFERROR(VLOOKUP(A63,[5]库存使用数据!$A:$B,2,0),0)</f>
        <v>0</v>
      </c>
      <c r="C63" s="1">
        <f ca="1">IFERROR(VLOOKUP($A63,[1]库存使用数据!$A:$C,3,0),0)+IFERROR(VLOOKUP($A63,[2]库存使用数据!$A:$C,3,0),0)+IFERROR(VLOOKUP($A63,[3]库存使用数据!$A:$C,3,0),0)+IFERROR(VLOOKUP($A63,[4]库存使用数据!$A:$C,3,0),0)+IFERROR(VLOOKUP($A63,[5]库存使用数据!$A:$C,3,0),0)</f>
        <v>0</v>
      </c>
      <c r="D63" s="1">
        <f ca="1">IFERROR(VLOOKUP($A63,[1]库存使用数据!$A:$D,4,0),0)+IFERROR(VLOOKUP($A63,[2]库存使用数据!$A:$D,4,0),0)+公式!$B$1*IFERROR(VLOOKUP($A63,[3]库存使用数据!$A:$D,4,0),0)+IFERROR(VLOOKUP($A63,[4]库存使用数据!$A:$D,4,0),0)+IFERROR(VLOOKUP($A63,[5]库存使用数据!$A:$D,4,0),0)</f>
        <v>0</v>
      </c>
      <c r="E63" s="1">
        <f ca="1">IFERROR(VLOOKUP($A63,[1]库存使用数据!$A:$E,5,0),0)+IFERROR(VLOOKUP($A63,[2]库存使用数据!$A:$E,5,0),0)+IFERROR(VLOOKUP($A63,[3]库存使用数据!$A:$E,5,0),0)+IFERROR(VLOOKUP($A63,[4]库存使用数据!$A:$E,5,0),0)+IFERROR(VLOOKUP($A63,[5]库存使用数据!$A:$E,5,0),0)</f>
        <v>0</v>
      </c>
      <c r="F63" s="1">
        <f ca="1">IFERROR(VLOOKUP($A63,[1]库存使用数据!$A:$F,6,0),0)+IFERROR(VLOOKUP($A63,[2]库存使用数据!$A:$F,6,0),0)+IFERROR(VLOOKUP($A63,[4]库存使用数据!$A:$F,6,0),0)+IFERROR(VLOOKUP($A63,[3]库存使用数据!$A:$F,6,0),0)+IFERROR(VLOOKUP($A63,[5]库存使用数据!$A:$F,6,0),0)</f>
        <v>0</v>
      </c>
      <c r="G63" s="1">
        <f ca="1">IFERROR(VLOOKUP($A63,[1]库存使用数据!$A:$G,7,0),0)+IFERROR(VLOOKUP($A63,[2]库存使用数据!$A:$G,7,0),0)+公式!$B$14*IFERROR(VLOOKUP($A63,[3]库存使用数据!$A:$G,7,0),0)+IFERROR(VLOOKUP($A63,[4]库存使用数据!$A:$G,7,0),0)+IFERROR(VLOOKUP($A63,[5]库存使用数据!$A:$G,7,0),0)</f>
        <v>0</v>
      </c>
      <c r="H63" s="1">
        <f ca="1">IFERROR(VLOOKUP($A63,[1]库存使用数据!$A:$H,8,0),0)+IFERROR(VLOOKUP($A63,[2]库存使用数据!$A:$H,8,0),0)+IFERROR(VLOOKUP($A63,[3]库存使用数据!$A:$H,8,0),0)+IFERROR(VLOOKUP($A63,[4]库存使用数据!$A:$H,8,0),0)+IFERROR(VLOOKUP($A63,[5]库存使用数据!$A:$H,8,0),0)</f>
        <v>0</v>
      </c>
      <c r="I63" s="1">
        <f ca="1">IFERROR(VLOOKUP($A63,[1]库存使用数据!$A:$I,9,0),0)+IFERROR(VLOOKUP($A63,[2]库存使用数据!$A:$I,9,0),0)+IFERROR(VLOOKUP($A63,[3]库存使用数据!$A:$I,9,0),0)+IFERROR(VLOOKUP($A63,[4]库存使用数据!$A:$I,9,0),0)+IFERROR(VLOOKUP($A63,[5]库存使用数据!$A:$I,9,0),0)</f>
        <v>0</v>
      </c>
      <c r="J63" s="1">
        <f ca="1">IFERROR(VLOOKUP($A63,[1]库存使用数据!$A:$J,10,0),0)+IFERROR(VLOOKUP($A63,[2]库存使用数据!$A:$J,10,0),0)+公式!$B$14*IFERROR(VLOOKUP($A63,[3]库存使用数据!$A:$J,10,0),0)+IFERROR(VLOOKUP($A63,[4]库存使用数据!$A:$J,10,0),0)+IFERROR(VLOOKUP($A63,[5]库存使用数据!$A:$J,10,0),0)</f>
        <v>0</v>
      </c>
      <c r="K63" s="1">
        <f ca="1">IFERROR(VLOOKUP($A63,[1]库存使用数据!$A:$K,11,0),0)+IFERROR(VLOOKUP($A63,[2]库存使用数据!$A:$K,11,0),0)+IFERROR(VLOOKUP($A63,[3]库存使用数据!$A:$K,11,0),0)+IFERROR(VLOOKUP($A63,[4]库存使用数据!$A:$K,11,0),0)+IFERROR(VLOOKUP($A63,[5]库存使用数据!$A:$K,11,0),0)</f>
        <v>0</v>
      </c>
      <c r="L63" s="1">
        <f ca="1">IFERROR(VLOOKUP($A63,[1]库存使用数据!$A:$L,12,0),0)+IFERROR(VLOOKUP($A63,[2]库存使用数据!$A:$L,12,0),0)+IFERROR(VLOOKUP($A63,[3]库存使用数据!$A:$L,12,0),0)+IFERROR(VLOOKUP($A63,[4]库存使用数据!$A:$L,12,0),0)+IFERROR(VLOOKUP($A63,[5]库存使用数据!$A:$L,12,0),0)</f>
        <v>0</v>
      </c>
      <c r="M63" s="1">
        <f ca="1">IFERROR(VLOOKUP($A63,[1]库存使用数据!$A:$M,13,0),0)+IFERROR(VLOOKUP($A63,[2]库存使用数据!$A:$M,13,0),0)+公式!$B$14*IFERROR(VLOOKUP($A63,[3]库存使用数据!$A:$M,13,0),0)+IFERROR(VLOOKUP($A63,[4]库存使用数据!$A:$M,13,0),0)+IFERROR(VLOOKUP($A63,[5]库存使用数据!$A:$M,13,0),0)</f>
        <v>0</v>
      </c>
    </row>
    <row r="64" spans="1:13">
      <c r="A64" s="5" t="s">
        <v>69</v>
      </c>
      <c r="B64" s="2">
        <f ca="1">IFERROR(VLOOKUP(A64,[1]库存使用数据!$A:$B,2,0),0)+IFERROR(VLOOKUP(A64,[2]库存使用数据!$A:$B,2,0),0)+IFERROR(VLOOKUP(,[3]库存使用数据!$A:$B,2,0),0)+IFERROR(VLOOKUP(A64,[4]库存使用数据!$A:$B,2,0),0)+IFERROR(VLOOKUP(A64,[5]库存使用数据!$A:$B,2,0),0)</f>
        <v>0</v>
      </c>
      <c r="C64" s="1">
        <f ca="1">IFERROR(VLOOKUP($A64,[1]库存使用数据!$A:$C,3,0),0)+IFERROR(VLOOKUP($A64,[2]库存使用数据!$A:$C,3,0),0)+IFERROR(VLOOKUP($A64,[3]库存使用数据!$A:$C,3,0),0)+IFERROR(VLOOKUP($A64,[4]库存使用数据!$A:$C,3,0),0)+IFERROR(VLOOKUP($A64,[5]库存使用数据!$A:$C,3,0),0)</f>
        <v>0</v>
      </c>
      <c r="D64" s="1">
        <f ca="1">IFERROR(VLOOKUP($A64,[1]库存使用数据!$A:$D,4,0),0)+IFERROR(VLOOKUP($A64,[2]库存使用数据!$A:$D,4,0),0)+公式!$B$1*IFERROR(VLOOKUP($A64,[3]库存使用数据!$A:$D,4,0),0)+IFERROR(VLOOKUP($A64,[4]库存使用数据!$A:$D,4,0),0)+IFERROR(VLOOKUP($A64,[5]库存使用数据!$A:$D,4,0),0)</f>
        <v>0</v>
      </c>
      <c r="E64" s="1">
        <f ca="1">IFERROR(VLOOKUP($A64,[1]库存使用数据!$A:$E,5,0),0)+IFERROR(VLOOKUP($A64,[2]库存使用数据!$A:$E,5,0),0)+IFERROR(VLOOKUP($A64,[3]库存使用数据!$A:$E,5,0),0)+IFERROR(VLOOKUP($A64,[4]库存使用数据!$A:$E,5,0),0)+IFERROR(VLOOKUP($A64,[5]库存使用数据!$A:$E,5,0),0)</f>
        <v>0</v>
      </c>
      <c r="F64" s="1">
        <f ca="1">IFERROR(VLOOKUP($A64,[1]库存使用数据!$A:$F,6,0),0)+IFERROR(VLOOKUP($A64,[2]库存使用数据!$A:$F,6,0),0)+IFERROR(VLOOKUP($A64,[4]库存使用数据!$A:$F,6,0),0)+IFERROR(VLOOKUP($A64,[3]库存使用数据!$A:$F,6,0),0)+IFERROR(VLOOKUP($A64,[5]库存使用数据!$A:$F,6,0),0)</f>
        <v>0</v>
      </c>
      <c r="G64" s="1">
        <f ca="1">IFERROR(VLOOKUP($A64,[1]库存使用数据!$A:$G,7,0),0)+IFERROR(VLOOKUP($A64,[2]库存使用数据!$A:$G,7,0),0)+公式!$B$14*IFERROR(VLOOKUP($A64,[3]库存使用数据!$A:$G,7,0),0)+IFERROR(VLOOKUP($A64,[4]库存使用数据!$A:$G,7,0),0)+IFERROR(VLOOKUP($A64,[5]库存使用数据!$A:$G,7,0),0)</f>
        <v>0</v>
      </c>
      <c r="H64" s="1">
        <f ca="1">IFERROR(VLOOKUP($A64,[1]库存使用数据!$A:$H,8,0),0)+IFERROR(VLOOKUP($A64,[2]库存使用数据!$A:$H,8,0),0)+IFERROR(VLOOKUP($A64,[3]库存使用数据!$A:$H,8,0),0)+IFERROR(VLOOKUP($A64,[4]库存使用数据!$A:$H,8,0),0)+IFERROR(VLOOKUP($A64,[5]库存使用数据!$A:$H,8,0),0)</f>
        <v>0</v>
      </c>
      <c r="I64" s="1">
        <f ca="1">IFERROR(VLOOKUP($A64,[1]库存使用数据!$A:$I,9,0),0)+IFERROR(VLOOKUP($A64,[2]库存使用数据!$A:$I,9,0),0)+IFERROR(VLOOKUP($A64,[3]库存使用数据!$A:$I,9,0),0)+IFERROR(VLOOKUP($A64,[4]库存使用数据!$A:$I,9,0),0)+IFERROR(VLOOKUP($A64,[5]库存使用数据!$A:$I,9,0),0)</f>
        <v>0</v>
      </c>
      <c r="J64" s="1">
        <f ca="1">IFERROR(VLOOKUP($A64,[1]库存使用数据!$A:$J,10,0),0)+IFERROR(VLOOKUP($A64,[2]库存使用数据!$A:$J,10,0),0)+公式!$B$14*IFERROR(VLOOKUP($A64,[3]库存使用数据!$A:$J,10,0),0)+IFERROR(VLOOKUP($A64,[4]库存使用数据!$A:$J,10,0),0)+IFERROR(VLOOKUP($A64,[5]库存使用数据!$A:$J,10,0),0)</f>
        <v>0</v>
      </c>
      <c r="K64" s="1">
        <f ca="1">IFERROR(VLOOKUP($A64,[1]库存使用数据!$A:$K,11,0),0)+IFERROR(VLOOKUP($A64,[2]库存使用数据!$A:$K,11,0),0)+IFERROR(VLOOKUP($A64,[3]库存使用数据!$A:$K,11,0),0)+IFERROR(VLOOKUP($A64,[4]库存使用数据!$A:$K,11,0),0)+IFERROR(VLOOKUP($A64,[5]库存使用数据!$A:$K,11,0),0)</f>
        <v>301</v>
      </c>
      <c r="L64" s="1">
        <f ca="1">IFERROR(VLOOKUP($A64,[1]库存使用数据!$A:$L,12,0),0)+IFERROR(VLOOKUP($A64,[2]库存使用数据!$A:$L,12,0),0)+IFERROR(VLOOKUP($A64,[3]库存使用数据!$A:$L,12,0),0)+IFERROR(VLOOKUP($A64,[4]库存使用数据!$A:$L,12,0),0)+IFERROR(VLOOKUP($A64,[5]库存使用数据!$A:$L,12,0),0)</f>
        <v>2</v>
      </c>
      <c r="M64" s="1">
        <f ca="1">IFERROR(VLOOKUP($A64,[1]库存使用数据!$A:$M,13,0),0)+IFERROR(VLOOKUP($A64,[2]库存使用数据!$A:$M,13,0),0)+公式!$B$14*IFERROR(VLOOKUP($A64,[3]库存使用数据!$A:$M,13,0),0)+IFERROR(VLOOKUP($A64,[4]库存使用数据!$A:$M,13,0),0)+IFERROR(VLOOKUP($A64,[5]库存使用数据!$A:$M,13,0),0)</f>
        <v>0.47</v>
      </c>
    </row>
    <row r="65" spans="1:13">
      <c r="A65" s="5" t="s">
        <v>70</v>
      </c>
      <c r="B65" s="2">
        <f ca="1">IFERROR(VLOOKUP(A65,[1]库存使用数据!$A:$B,2,0),0)+IFERROR(VLOOKUP(A65,[2]库存使用数据!$A:$B,2,0),0)+IFERROR(VLOOKUP(,[3]库存使用数据!$A:$B,2,0),0)+IFERROR(VLOOKUP(A65,[4]库存使用数据!$A:$B,2,0),0)+IFERROR(VLOOKUP(A65,[5]库存使用数据!$A:$B,2,0),0)</f>
        <v>0</v>
      </c>
      <c r="C65" s="1">
        <f ca="1">IFERROR(VLOOKUP($A65,[1]库存使用数据!$A:$C,3,0),0)+IFERROR(VLOOKUP($A65,[2]库存使用数据!$A:$C,3,0),0)+IFERROR(VLOOKUP($A65,[3]库存使用数据!$A:$C,3,0),0)+IFERROR(VLOOKUP($A65,[4]库存使用数据!$A:$C,3,0),0)+IFERROR(VLOOKUP($A65,[5]库存使用数据!$A:$C,3,0),0)</f>
        <v>0</v>
      </c>
      <c r="D65" s="1">
        <f ca="1">IFERROR(VLOOKUP($A65,[1]库存使用数据!$A:$D,4,0),0)+IFERROR(VLOOKUP($A65,[2]库存使用数据!$A:$D,4,0),0)+公式!$B$1*IFERROR(VLOOKUP($A65,[3]库存使用数据!$A:$D,4,0),0)+IFERROR(VLOOKUP($A65,[4]库存使用数据!$A:$D,4,0),0)+IFERROR(VLOOKUP($A65,[5]库存使用数据!$A:$D,4,0),0)</f>
        <v>0</v>
      </c>
      <c r="E65" s="1">
        <f ca="1">IFERROR(VLOOKUP($A65,[1]库存使用数据!$A:$E,5,0),0)+IFERROR(VLOOKUP($A65,[2]库存使用数据!$A:$E,5,0),0)+IFERROR(VLOOKUP($A65,[3]库存使用数据!$A:$E,5,0),0)+IFERROR(VLOOKUP($A65,[4]库存使用数据!$A:$E,5,0),0)+IFERROR(VLOOKUP($A65,[5]库存使用数据!$A:$E,5,0),0)</f>
        <v>102</v>
      </c>
      <c r="F65" s="1">
        <f ca="1">IFERROR(VLOOKUP($A65,[1]库存使用数据!$A:$F,6,0),0)+IFERROR(VLOOKUP($A65,[2]库存使用数据!$A:$F,6,0),0)+IFERROR(VLOOKUP($A65,[4]库存使用数据!$A:$F,6,0),0)+IFERROR(VLOOKUP($A65,[3]库存使用数据!$A:$F,6,0),0)+IFERROR(VLOOKUP($A65,[5]库存使用数据!$A:$F,6,0),0)</f>
        <v>2</v>
      </c>
      <c r="G65" s="1">
        <f ca="1">IFERROR(VLOOKUP($A65,[1]库存使用数据!$A:$G,7,0),0)+IFERROR(VLOOKUP($A65,[2]库存使用数据!$A:$G,7,0),0)+公式!$B$14*IFERROR(VLOOKUP($A65,[3]库存使用数据!$A:$G,7,0),0)+IFERROR(VLOOKUP($A65,[4]库存使用数据!$A:$G,7,0),0)+IFERROR(VLOOKUP($A65,[5]库存使用数据!$A:$G,7,0),0)</f>
        <v>0.46</v>
      </c>
      <c r="H65" s="1">
        <f ca="1">IFERROR(VLOOKUP($A65,[1]库存使用数据!$A:$H,8,0),0)+IFERROR(VLOOKUP($A65,[2]库存使用数据!$A:$H,8,0),0)+IFERROR(VLOOKUP($A65,[3]库存使用数据!$A:$H,8,0),0)+IFERROR(VLOOKUP($A65,[4]库存使用数据!$A:$H,8,0),0)+IFERROR(VLOOKUP($A65,[5]库存使用数据!$A:$H,8,0),0)</f>
        <v>103</v>
      </c>
      <c r="I65" s="1">
        <f ca="1">IFERROR(VLOOKUP($A65,[1]库存使用数据!$A:$I,9,0),0)+IFERROR(VLOOKUP($A65,[2]库存使用数据!$A:$I,9,0),0)+IFERROR(VLOOKUP($A65,[3]库存使用数据!$A:$I,9,0),0)+IFERROR(VLOOKUP($A65,[4]库存使用数据!$A:$I,9,0),0)+IFERROR(VLOOKUP($A65,[5]库存使用数据!$A:$I,9,0),0)</f>
        <v>2</v>
      </c>
      <c r="J65" s="1">
        <f ca="1">IFERROR(VLOOKUP($A65,[1]库存使用数据!$A:$J,10,0),0)+IFERROR(VLOOKUP($A65,[2]库存使用数据!$A:$J,10,0),0)+公式!$B$14*IFERROR(VLOOKUP($A65,[3]库存使用数据!$A:$J,10,0),0)+IFERROR(VLOOKUP($A65,[4]库存使用数据!$A:$J,10,0),0)+IFERROR(VLOOKUP($A65,[5]库存使用数据!$A:$J,10,0),0)</f>
        <v>0.46</v>
      </c>
      <c r="K65" s="1">
        <f ca="1">IFERROR(VLOOKUP($A65,[1]库存使用数据!$A:$K,11,0),0)+IFERROR(VLOOKUP($A65,[2]库存使用数据!$A:$K,11,0),0)+IFERROR(VLOOKUP($A65,[3]库存使用数据!$A:$K,11,0),0)+IFERROR(VLOOKUP($A65,[4]库存使用数据!$A:$K,11,0),0)+IFERROR(VLOOKUP($A65,[5]库存使用数据!$A:$K,11,0),0)</f>
        <v>289</v>
      </c>
      <c r="L65" s="1">
        <f ca="1">IFERROR(VLOOKUP($A65,[1]库存使用数据!$A:$L,12,0),0)+IFERROR(VLOOKUP($A65,[2]库存使用数据!$A:$L,12,0),0)+IFERROR(VLOOKUP($A65,[3]库存使用数据!$A:$L,12,0),0)+IFERROR(VLOOKUP($A65,[4]库存使用数据!$A:$L,12,0),0)+IFERROR(VLOOKUP($A65,[5]库存使用数据!$A:$L,12,0),0)</f>
        <v>0</v>
      </c>
      <c r="M65" s="1">
        <f ca="1">IFERROR(VLOOKUP($A65,[1]库存使用数据!$A:$M,13,0),0)+IFERROR(VLOOKUP($A65,[2]库存使用数据!$A:$M,13,0),0)+公式!$B$14*IFERROR(VLOOKUP($A65,[3]库存使用数据!$A:$M,13,0),0)+IFERROR(VLOOKUP($A65,[4]库存使用数据!$A:$M,13,0),0)+IFERROR(VLOOKUP($A65,[5]库存使用数据!$A:$M,13,0),0)</f>
        <v>0</v>
      </c>
    </row>
    <row r="66" spans="1:13">
      <c r="A66" s="5" t="s">
        <v>71</v>
      </c>
      <c r="B66" s="2">
        <f ca="1">IFERROR(VLOOKUP(A66,[1]库存使用数据!$A:$B,2,0),0)+IFERROR(VLOOKUP(A66,[2]库存使用数据!$A:$B,2,0),0)+IFERROR(VLOOKUP(,[3]库存使用数据!$A:$B,2,0),0)+IFERROR(VLOOKUP(A66,[4]库存使用数据!$A:$B,2,0),0)+IFERROR(VLOOKUP(A66,[5]库存使用数据!$A:$B,2,0),0)</f>
        <v>1415</v>
      </c>
      <c r="C66" s="1">
        <f ca="1">IFERROR(VLOOKUP($A66,[1]库存使用数据!$A:$C,3,0),0)+IFERROR(VLOOKUP($A66,[2]库存使用数据!$A:$C,3,0),0)+IFERROR(VLOOKUP($A66,[3]库存使用数据!$A:$C,3,0),0)+IFERROR(VLOOKUP($A66,[4]库存使用数据!$A:$C,3,0),0)+IFERROR(VLOOKUP($A66,[5]库存使用数据!$A:$C,3,0),0)</f>
        <v>24</v>
      </c>
      <c r="D66" s="1">
        <f ca="1">IFERROR(VLOOKUP($A66,[1]库存使用数据!$A:$D,4,0),0)+IFERROR(VLOOKUP($A66,[2]库存使用数据!$A:$D,4,0),0)+公式!$B$1*IFERROR(VLOOKUP($A66,[3]库存使用数据!$A:$D,4,0),0)+IFERROR(VLOOKUP($A66,[4]库存使用数据!$A:$D,4,0),0)+IFERROR(VLOOKUP($A66,[5]库存使用数据!$A:$D,4,0),0)</f>
        <v>4.1</v>
      </c>
      <c r="E66" s="1">
        <f ca="1">IFERROR(VLOOKUP($A66,[1]库存使用数据!$A:$E,5,0),0)+IFERROR(VLOOKUP($A66,[2]库存使用数据!$A:$E,5,0),0)+IFERROR(VLOOKUP($A66,[3]库存使用数据!$A:$E,5,0),0)+IFERROR(VLOOKUP($A66,[4]库存使用数据!$A:$E,5,0),0)+IFERROR(VLOOKUP($A66,[5]库存使用数据!$A:$E,5,0),0)</f>
        <v>5230</v>
      </c>
      <c r="F66" s="1">
        <f ca="1">IFERROR(VLOOKUP($A66,[1]库存使用数据!$A:$F,6,0),0)+IFERROR(VLOOKUP($A66,[2]库存使用数据!$A:$F,6,0),0)+IFERROR(VLOOKUP($A66,[4]库存使用数据!$A:$F,6,0),0)+IFERROR(VLOOKUP($A66,[3]库存使用数据!$A:$F,6,0),0)+IFERROR(VLOOKUP($A66,[5]库存使用数据!$A:$F,6,0),0)</f>
        <v>53</v>
      </c>
      <c r="G66" s="1">
        <f ca="1">IFERROR(VLOOKUP($A66,[1]库存使用数据!$A:$G,7,0),0)+IFERROR(VLOOKUP($A66,[2]库存使用数据!$A:$G,7,0),0)+公式!$B$14*IFERROR(VLOOKUP($A66,[3]库存使用数据!$A:$G,7,0),0)+IFERROR(VLOOKUP($A66,[4]库存使用数据!$A:$G,7,0),0)+IFERROR(VLOOKUP($A66,[5]库存使用数据!$A:$G,7,0),0)</f>
        <v>8.86</v>
      </c>
      <c r="H66" s="1">
        <f ca="1">IFERROR(VLOOKUP($A66,[1]库存使用数据!$A:$H,8,0),0)+IFERROR(VLOOKUP($A66,[2]库存使用数据!$A:$H,8,0),0)+IFERROR(VLOOKUP($A66,[3]库存使用数据!$A:$H,8,0),0)+IFERROR(VLOOKUP($A66,[4]库存使用数据!$A:$H,8,0),0)+IFERROR(VLOOKUP($A66,[5]库存使用数据!$A:$H,8,0),0)</f>
        <v>2142</v>
      </c>
      <c r="I66" s="1">
        <f ca="1">IFERROR(VLOOKUP($A66,[1]库存使用数据!$A:$I,9,0),0)+IFERROR(VLOOKUP($A66,[2]库存使用数据!$A:$I,9,0),0)+IFERROR(VLOOKUP($A66,[3]库存使用数据!$A:$I,9,0),0)+IFERROR(VLOOKUP($A66,[4]库存使用数据!$A:$I,9,0),0)+IFERROR(VLOOKUP($A66,[5]库存使用数据!$A:$I,9,0),0)</f>
        <v>22</v>
      </c>
      <c r="J66" s="1">
        <f ca="1">IFERROR(VLOOKUP($A66,[1]库存使用数据!$A:$J,10,0),0)+IFERROR(VLOOKUP($A66,[2]库存使用数据!$A:$J,10,0),0)+公式!$B$14*IFERROR(VLOOKUP($A66,[3]库存使用数据!$A:$J,10,0),0)+IFERROR(VLOOKUP($A66,[4]库存使用数据!$A:$J,10,0),0)+IFERROR(VLOOKUP($A66,[5]库存使用数据!$A:$J,10,0),0)</f>
        <v>3.71</v>
      </c>
      <c r="K66" s="1">
        <f ca="1">IFERROR(VLOOKUP($A66,[1]库存使用数据!$A:$K,11,0),0)+IFERROR(VLOOKUP($A66,[2]库存使用数据!$A:$K,11,0),0)+IFERROR(VLOOKUP($A66,[3]库存使用数据!$A:$K,11,0),0)+IFERROR(VLOOKUP($A66,[4]库存使用数据!$A:$K,11,0),0)+IFERROR(VLOOKUP($A66,[5]库存使用数据!$A:$K,11,0),0)</f>
        <v>1944</v>
      </c>
      <c r="L66" s="1">
        <f ca="1">IFERROR(VLOOKUP($A66,[1]库存使用数据!$A:$L,12,0),0)+IFERROR(VLOOKUP($A66,[2]库存使用数据!$A:$L,12,0),0)+IFERROR(VLOOKUP($A66,[3]库存使用数据!$A:$L,12,0),0)+IFERROR(VLOOKUP($A66,[4]库存使用数据!$A:$L,12,0),0)+IFERROR(VLOOKUP($A66,[5]库存使用数据!$A:$L,12,0),0)</f>
        <v>19</v>
      </c>
      <c r="M66" s="1">
        <f ca="1">IFERROR(VLOOKUP($A66,[1]库存使用数据!$A:$M,13,0),0)+IFERROR(VLOOKUP($A66,[2]库存使用数据!$A:$M,13,0),0)+公式!$B$14*IFERROR(VLOOKUP($A66,[3]库存使用数据!$A:$M,13,0),0)+IFERROR(VLOOKUP($A66,[4]库存使用数据!$A:$M,13,0),0)+IFERROR(VLOOKUP($A66,[5]库存使用数据!$A:$M,13,0),0)</f>
        <v>3.35</v>
      </c>
    </row>
    <row r="67" spans="1:13">
      <c r="A67" s="5" t="s">
        <v>72</v>
      </c>
      <c r="B67" s="2">
        <f ca="1">IFERROR(VLOOKUP(A67,[1]库存使用数据!$A:$B,2,0),0)+IFERROR(VLOOKUP(A67,[2]库存使用数据!$A:$B,2,0),0)+IFERROR(VLOOKUP(,[3]库存使用数据!$A:$B,2,0),0)+IFERROR(VLOOKUP(A67,[4]库存使用数据!$A:$B,2,0),0)+IFERROR(VLOOKUP(A67,[5]库存使用数据!$A:$B,2,0),0)</f>
        <v>0</v>
      </c>
      <c r="C67" s="1">
        <f ca="1">IFERROR(VLOOKUP($A67,[1]库存使用数据!$A:$C,3,0),0)+IFERROR(VLOOKUP($A67,[2]库存使用数据!$A:$C,3,0),0)+IFERROR(VLOOKUP($A67,[3]库存使用数据!$A:$C,3,0),0)+IFERROR(VLOOKUP($A67,[4]库存使用数据!$A:$C,3,0),0)+IFERROR(VLOOKUP($A67,[5]库存使用数据!$A:$C,3,0),0)</f>
        <v>0</v>
      </c>
      <c r="D67" s="1">
        <f ca="1">IFERROR(VLOOKUP($A67,[1]库存使用数据!$A:$D,4,0),0)+IFERROR(VLOOKUP($A67,[2]库存使用数据!$A:$D,4,0),0)+公式!$B$1*IFERROR(VLOOKUP($A67,[3]库存使用数据!$A:$D,4,0),0)+IFERROR(VLOOKUP($A67,[4]库存使用数据!$A:$D,4,0),0)+IFERROR(VLOOKUP($A67,[5]库存使用数据!$A:$D,4,0),0)</f>
        <v>0</v>
      </c>
      <c r="E67" s="1">
        <f ca="1">IFERROR(VLOOKUP($A67,[1]库存使用数据!$A:$E,5,0),0)+IFERROR(VLOOKUP($A67,[2]库存使用数据!$A:$E,5,0),0)+IFERROR(VLOOKUP($A67,[3]库存使用数据!$A:$E,5,0),0)+IFERROR(VLOOKUP($A67,[4]库存使用数据!$A:$E,5,0),0)+IFERROR(VLOOKUP($A67,[5]库存使用数据!$A:$E,5,0),0)</f>
        <v>152</v>
      </c>
      <c r="F67" s="1">
        <f ca="1">IFERROR(VLOOKUP($A67,[1]库存使用数据!$A:$F,6,0),0)+IFERROR(VLOOKUP($A67,[2]库存使用数据!$A:$F,6,0),0)+IFERROR(VLOOKUP($A67,[4]库存使用数据!$A:$F,6,0),0)+IFERROR(VLOOKUP($A67,[3]库存使用数据!$A:$F,6,0),0)+IFERROR(VLOOKUP($A67,[5]库存使用数据!$A:$F,6,0),0)</f>
        <v>0</v>
      </c>
      <c r="G67" s="1">
        <f ca="1">IFERROR(VLOOKUP($A67,[1]库存使用数据!$A:$G,7,0),0)+IFERROR(VLOOKUP($A67,[2]库存使用数据!$A:$G,7,0),0)+公式!$B$14*IFERROR(VLOOKUP($A67,[3]库存使用数据!$A:$G,7,0),0)+IFERROR(VLOOKUP($A67,[4]库存使用数据!$A:$G,7,0),0)+IFERROR(VLOOKUP($A67,[5]库存使用数据!$A:$G,7,0),0)</f>
        <v>0</v>
      </c>
      <c r="H67" s="1">
        <f ca="1">IFERROR(VLOOKUP($A67,[1]库存使用数据!$A:$H,8,0),0)+IFERROR(VLOOKUP($A67,[2]库存使用数据!$A:$H,8,0),0)+IFERROR(VLOOKUP($A67,[3]库存使用数据!$A:$H,8,0),0)+IFERROR(VLOOKUP($A67,[4]库存使用数据!$A:$H,8,0),0)+IFERROR(VLOOKUP($A67,[5]库存使用数据!$A:$H,8,0),0)</f>
        <v>152</v>
      </c>
      <c r="I67" s="1">
        <f ca="1">IFERROR(VLOOKUP($A67,[1]库存使用数据!$A:$I,9,0),0)+IFERROR(VLOOKUP($A67,[2]库存使用数据!$A:$I,9,0),0)+IFERROR(VLOOKUP($A67,[3]库存使用数据!$A:$I,9,0),0)+IFERROR(VLOOKUP($A67,[4]库存使用数据!$A:$I,9,0),0)+IFERROR(VLOOKUP($A67,[5]库存使用数据!$A:$I,9,0),0)</f>
        <v>0</v>
      </c>
      <c r="J67" s="1">
        <f ca="1">IFERROR(VLOOKUP($A67,[1]库存使用数据!$A:$J,10,0),0)+IFERROR(VLOOKUP($A67,[2]库存使用数据!$A:$J,10,0),0)+公式!$B$14*IFERROR(VLOOKUP($A67,[3]库存使用数据!$A:$J,10,0),0)+IFERROR(VLOOKUP($A67,[4]库存使用数据!$A:$J,10,0),0)+IFERROR(VLOOKUP($A67,[5]库存使用数据!$A:$J,10,0),0)</f>
        <v>0</v>
      </c>
      <c r="K67" s="1">
        <f ca="1">IFERROR(VLOOKUP($A67,[1]库存使用数据!$A:$K,11,0),0)+IFERROR(VLOOKUP($A67,[2]库存使用数据!$A:$K,11,0),0)+IFERROR(VLOOKUP($A67,[3]库存使用数据!$A:$K,11,0),0)+IFERROR(VLOOKUP($A67,[4]库存使用数据!$A:$K,11,0),0)+IFERROR(VLOOKUP($A67,[5]库存使用数据!$A:$K,11,0),0)</f>
        <v>315</v>
      </c>
      <c r="L67" s="1">
        <f ca="1">IFERROR(VLOOKUP($A67,[1]库存使用数据!$A:$L,12,0),0)+IFERROR(VLOOKUP($A67,[2]库存使用数据!$A:$L,12,0),0)+IFERROR(VLOOKUP($A67,[3]库存使用数据!$A:$L,12,0),0)+IFERROR(VLOOKUP($A67,[4]库存使用数据!$A:$L,12,0),0)+IFERROR(VLOOKUP($A67,[5]库存使用数据!$A:$L,12,0),0)</f>
        <v>0</v>
      </c>
      <c r="M67" s="1">
        <f ca="1">IFERROR(VLOOKUP($A67,[1]库存使用数据!$A:$M,13,0),0)+IFERROR(VLOOKUP($A67,[2]库存使用数据!$A:$M,13,0),0)+公式!$B$14*IFERROR(VLOOKUP($A67,[3]库存使用数据!$A:$M,13,0),0)+IFERROR(VLOOKUP($A67,[4]库存使用数据!$A:$M,13,0),0)+IFERROR(VLOOKUP($A67,[5]库存使用数据!$A:$M,13,0),0)</f>
        <v>0</v>
      </c>
    </row>
    <row r="68" spans="1:13">
      <c r="A68" s="5" t="s">
        <v>73</v>
      </c>
      <c r="B68" s="2">
        <f ca="1">IFERROR(VLOOKUP(A68,[1]库存使用数据!$A:$B,2,0),0)+IFERROR(VLOOKUP(A68,[2]库存使用数据!$A:$B,2,0),0)+IFERROR(VLOOKUP(,[3]库存使用数据!$A:$B,2,0),0)+IFERROR(VLOOKUP(A68,[4]库存使用数据!$A:$B,2,0),0)+IFERROR(VLOOKUP(A68,[5]库存使用数据!$A:$B,2,0),0)</f>
        <v>0</v>
      </c>
      <c r="C68" s="1">
        <f ca="1">IFERROR(VLOOKUP($A68,[1]库存使用数据!$A:$C,3,0),0)+IFERROR(VLOOKUP($A68,[2]库存使用数据!$A:$C,3,0),0)+IFERROR(VLOOKUP($A68,[3]库存使用数据!$A:$C,3,0),0)+IFERROR(VLOOKUP($A68,[4]库存使用数据!$A:$C,3,0),0)+IFERROR(VLOOKUP($A68,[5]库存使用数据!$A:$C,3,0),0)</f>
        <v>0</v>
      </c>
      <c r="D68" s="1">
        <f ca="1">IFERROR(VLOOKUP($A68,[1]库存使用数据!$A:$D,4,0),0)+IFERROR(VLOOKUP($A68,[2]库存使用数据!$A:$D,4,0),0)+公式!$B$1*IFERROR(VLOOKUP($A68,[3]库存使用数据!$A:$D,4,0),0)+IFERROR(VLOOKUP($A68,[4]库存使用数据!$A:$D,4,0),0)+IFERROR(VLOOKUP($A68,[5]库存使用数据!$A:$D,4,0),0)</f>
        <v>0</v>
      </c>
      <c r="E68" s="1">
        <f ca="1">IFERROR(VLOOKUP($A68,[1]库存使用数据!$A:$E,5,0),0)+IFERROR(VLOOKUP($A68,[2]库存使用数据!$A:$E,5,0),0)+IFERROR(VLOOKUP($A68,[3]库存使用数据!$A:$E,5,0),0)+IFERROR(VLOOKUP($A68,[4]库存使用数据!$A:$E,5,0),0)+IFERROR(VLOOKUP($A68,[5]库存使用数据!$A:$E,5,0),0)</f>
        <v>7489</v>
      </c>
      <c r="F68" s="1">
        <f ca="1">IFERROR(VLOOKUP($A68,[1]库存使用数据!$A:$F,6,0),0)+IFERROR(VLOOKUP($A68,[2]库存使用数据!$A:$F,6,0),0)+IFERROR(VLOOKUP($A68,[4]库存使用数据!$A:$F,6,0),0)+IFERROR(VLOOKUP($A68,[3]库存使用数据!$A:$F,6,0),0)+IFERROR(VLOOKUP($A68,[5]库存使用数据!$A:$F,6,0),0)</f>
        <v>42</v>
      </c>
      <c r="G68" s="1">
        <f ca="1">IFERROR(VLOOKUP($A68,[1]库存使用数据!$A:$G,7,0),0)+IFERROR(VLOOKUP($A68,[2]库存使用数据!$A:$G,7,0),0)+公式!$B$14*IFERROR(VLOOKUP($A68,[3]库存使用数据!$A:$G,7,0),0)+IFERROR(VLOOKUP($A68,[4]库存使用数据!$A:$G,7,0),0)+IFERROR(VLOOKUP($A68,[5]库存使用数据!$A:$G,7,0),0)</f>
        <v>8.98</v>
      </c>
      <c r="H68" s="1">
        <f ca="1">IFERROR(VLOOKUP($A68,[1]库存使用数据!$A:$H,8,0),0)+IFERROR(VLOOKUP($A68,[2]库存使用数据!$A:$H,8,0),0)+IFERROR(VLOOKUP($A68,[3]库存使用数据!$A:$H,8,0),0)+IFERROR(VLOOKUP($A68,[4]库存使用数据!$A:$H,8,0),0)+IFERROR(VLOOKUP($A68,[5]库存使用数据!$A:$H,8,0),0)</f>
        <v>6157</v>
      </c>
      <c r="I68" s="1">
        <f ca="1">IFERROR(VLOOKUP($A68,[1]库存使用数据!$A:$I,9,0),0)+IFERROR(VLOOKUP($A68,[2]库存使用数据!$A:$I,9,0),0)+IFERROR(VLOOKUP($A68,[3]库存使用数据!$A:$I,9,0),0)+IFERROR(VLOOKUP($A68,[4]库存使用数据!$A:$I,9,0),0)+IFERROR(VLOOKUP($A68,[5]库存使用数据!$A:$I,9,0),0)</f>
        <v>34</v>
      </c>
      <c r="J68" s="1">
        <f ca="1">IFERROR(VLOOKUP($A68,[1]库存使用数据!$A:$J,10,0),0)+IFERROR(VLOOKUP($A68,[2]库存使用数据!$A:$J,10,0),0)+公式!$B$14*IFERROR(VLOOKUP($A68,[3]库存使用数据!$A:$J,10,0),0)+IFERROR(VLOOKUP($A68,[4]库存使用数据!$A:$J,10,0),0)+IFERROR(VLOOKUP($A68,[5]库存使用数据!$A:$J,10,0),0)</f>
        <v>7.27</v>
      </c>
      <c r="K68" s="1">
        <f ca="1">IFERROR(VLOOKUP($A68,[1]库存使用数据!$A:$K,11,0),0)+IFERROR(VLOOKUP($A68,[2]库存使用数据!$A:$K,11,0),0)+IFERROR(VLOOKUP($A68,[3]库存使用数据!$A:$K,11,0),0)+IFERROR(VLOOKUP($A68,[4]库存使用数据!$A:$K,11,0),0)+IFERROR(VLOOKUP($A68,[5]库存使用数据!$A:$K,11,0),0)</f>
        <v>3454</v>
      </c>
      <c r="L68" s="1">
        <f ca="1">IFERROR(VLOOKUP($A68,[1]库存使用数据!$A:$L,12,0),0)+IFERROR(VLOOKUP($A68,[2]库存使用数据!$A:$L,12,0),0)+IFERROR(VLOOKUP($A68,[3]库存使用数据!$A:$L,12,0),0)+IFERROR(VLOOKUP($A68,[4]库存使用数据!$A:$L,12,0),0)+IFERROR(VLOOKUP($A68,[5]库存使用数据!$A:$L,12,0),0)</f>
        <v>34</v>
      </c>
      <c r="M68" s="1">
        <f ca="1">IFERROR(VLOOKUP($A68,[1]库存使用数据!$A:$M,13,0),0)+IFERROR(VLOOKUP($A68,[2]库存使用数据!$A:$M,13,0),0)+公式!$B$14*IFERROR(VLOOKUP($A68,[3]库存使用数据!$A:$M,13,0),0)+IFERROR(VLOOKUP($A68,[4]库存使用数据!$A:$M,13,0),0)+IFERROR(VLOOKUP($A68,[5]库存使用数据!$A:$M,13,0),0)</f>
        <v>6.51</v>
      </c>
    </row>
    <row r="69" spans="1:13">
      <c r="A69" s="5" t="s">
        <v>74</v>
      </c>
      <c r="B69" s="2">
        <f ca="1">IFERROR(VLOOKUP(A69,[1]库存使用数据!$A:$B,2,0),0)+IFERROR(VLOOKUP(A69,[2]库存使用数据!$A:$B,2,0),0)+IFERROR(VLOOKUP(,[3]库存使用数据!$A:$B,2,0),0)+IFERROR(VLOOKUP(A69,[4]库存使用数据!$A:$B,2,0),0)+IFERROR(VLOOKUP(A69,[5]库存使用数据!$A:$B,2,0),0)</f>
        <v>553</v>
      </c>
      <c r="C69" s="1">
        <f ca="1">IFERROR(VLOOKUP($A69,[1]库存使用数据!$A:$C,3,0),0)+IFERROR(VLOOKUP($A69,[2]库存使用数据!$A:$C,3,0),0)+IFERROR(VLOOKUP($A69,[3]库存使用数据!$A:$C,3,0),0)+IFERROR(VLOOKUP($A69,[4]库存使用数据!$A:$C,3,0),0)+IFERROR(VLOOKUP($A69,[5]库存使用数据!$A:$C,3,0),0)</f>
        <v>3</v>
      </c>
      <c r="D69" s="1">
        <f ca="1">IFERROR(VLOOKUP($A69,[1]库存使用数据!$A:$D,4,0),0)+IFERROR(VLOOKUP($A69,[2]库存使用数据!$A:$D,4,0),0)+公式!$B$1*IFERROR(VLOOKUP($A69,[3]库存使用数据!$A:$D,4,0),0)+IFERROR(VLOOKUP($A69,[4]库存使用数据!$A:$D,4,0),0)+IFERROR(VLOOKUP($A69,[5]库存使用数据!$A:$D,4,0),0)</f>
        <v>0.06</v>
      </c>
      <c r="E69" s="1">
        <f ca="1">IFERROR(VLOOKUP($A69,[1]库存使用数据!$A:$E,5,0),0)+IFERROR(VLOOKUP($A69,[2]库存使用数据!$A:$E,5,0),0)+IFERROR(VLOOKUP($A69,[3]库存使用数据!$A:$E,5,0),0)+IFERROR(VLOOKUP($A69,[4]库存使用数据!$A:$E,5,0),0)+IFERROR(VLOOKUP($A69,[5]库存使用数据!$A:$E,5,0),0)</f>
        <v>3496</v>
      </c>
      <c r="F69" s="1">
        <f ca="1">IFERROR(VLOOKUP($A69,[1]库存使用数据!$A:$F,6,0),0)+IFERROR(VLOOKUP($A69,[2]库存使用数据!$A:$F,6,0),0)+IFERROR(VLOOKUP($A69,[4]库存使用数据!$A:$F,6,0),0)+IFERROR(VLOOKUP($A69,[3]库存使用数据!$A:$F,6,0),0)+IFERROR(VLOOKUP($A69,[5]库存使用数据!$A:$F,6,0),0)</f>
        <v>8</v>
      </c>
      <c r="G69" s="1">
        <f ca="1">IFERROR(VLOOKUP($A69,[1]库存使用数据!$A:$G,7,0),0)+IFERROR(VLOOKUP($A69,[2]库存使用数据!$A:$G,7,0),0)+公式!$B$14*IFERROR(VLOOKUP($A69,[3]库存使用数据!$A:$G,7,0),0)+IFERROR(VLOOKUP($A69,[4]库存使用数据!$A:$G,7,0),0)+IFERROR(VLOOKUP($A69,[5]库存使用数据!$A:$G,7,0),0)</f>
        <v>0.97</v>
      </c>
      <c r="H69" s="1">
        <f ca="1">IFERROR(VLOOKUP($A69,[1]库存使用数据!$A:$H,8,0),0)+IFERROR(VLOOKUP($A69,[2]库存使用数据!$A:$H,8,0),0)+IFERROR(VLOOKUP($A69,[3]库存使用数据!$A:$H,8,0),0)+IFERROR(VLOOKUP($A69,[4]库存使用数据!$A:$H,8,0),0)+IFERROR(VLOOKUP($A69,[5]库存使用数据!$A:$H,8,0),0)</f>
        <v>2128</v>
      </c>
      <c r="I69" s="1">
        <f ca="1">IFERROR(VLOOKUP($A69,[1]库存使用数据!$A:$I,9,0),0)+IFERROR(VLOOKUP($A69,[2]库存使用数据!$A:$I,9,0),0)+IFERROR(VLOOKUP($A69,[3]库存使用数据!$A:$I,9,0),0)+IFERROR(VLOOKUP($A69,[4]库存使用数据!$A:$I,9,0),0)+IFERROR(VLOOKUP($A69,[5]库存使用数据!$A:$I,9,0),0)</f>
        <v>4</v>
      </c>
      <c r="J69" s="1">
        <f ca="1">IFERROR(VLOOKUP($A69,[1]库存使用数据!$A:$J,10,0),0)+IFERROR(VLOOKUP($A69,[2]库存使用数据!$A:$J,10,0),0)+公式!$B$14*IFERROR(VLOOKUP($A69,[3]库存使用数据!$A:$J,10,0),0)+IFERROR(VLOOKUP($A69,[4]库存使用数据!$A:$J,10,0),0)+IFERROR(VLOOKUP($A69,[5]库存使用数据!$A:$J,10,0),0)</f>
        <v>0.46</v>
      </c>
      <c r="K69" s="1">
        <f ca="1">IFERROR(VLOOKUP($A69,[1]库存使用数据!$A:$K,11,0),0)+IFERROR(VLOOKUP($A69,[2]库存使用数据!$A:$K,11,0),0)+IFERROR(VLOOKUP($A69,[3]库存使用数据!$A:$K,11,0),0)+IFERROR(VLOOKUP($A69,[4]库存使用数据!$A:$K,11,0),0)+IFERROR(VLOOKUP($A69,[5]库存使用数据!$A:$K,11,0),0)</f>
        <v>1326</v>
      </c>
      <c r="L69" s="1">
        <f ca="1">IFERROR(VLOOKUP($A69,[1]库存使用数据!$A:$L,12,0),0)+IFERROR(VLOOKUP($A69,[2]库存使用数据!$A:$L,12,0),0)+IFERROR(VLOOKUP($A69,[3]库存使用数据!$A:$L,12,0),0)+IFERROR(VLOOKUP($A69,[4]库存使用数据!$A:$L,12,0),0)+IFERROR(VLOOKUP($A69,[5]库存使用数据!$A:$L,12,0),0)</f>
        <v>2</v>
      </c>
      <c r="M69" s="1">
        <f ca="1">IFERROR(VLOOKUP($A69,[1]库存使用数据!$A:$M,13,0),0)+IFERROR(VLOOKUP($A69,[2]库存使用数据!$A:$M,13,0),0)+公式!$B$14*IFERROR(VLOOKUP($A69,[3]库存使用数据!$A:$M,13,0),0)+IFERROR(VLOOKUP($A69,[4]库存使用数据!$A:$M,13,0),0)+IFERROR(VLOOKUP($A69,[5]库存使用数据!$A:$M,13,0),0)</f>
        <v>0.38</v>
      </c>
    </row>
    <row r="70" spans="1:13">
      <c r="A70" s="5" t="s">
        <v>75</v>
      </c>
      <c r="B70" s="2">
        <f ca="1">IFERROR(VLOOKUP(A70,[1]库存使用数据!$A:$B,2,0),0)+IFERROR(VLOOKUP(A70,[2]库存使用数据!$A:$B,2,0),0)+IFERROR(VLOOKUP(,[3]库存使用数据!$A:$B,2,0),0)+IFERROR(VLOOKUP(A70,[4]库存使用数据!$A:$B,2,0),0)+IFERROR(VLOOKUP(A70,[5]库存使用数据!$A:$B,2,0),0)</f>
        <v>3066</v>
      </c>
      <c r="C70" s="1">
        <f ca="1">IFERROR(VLOOKUP($A70,[1]库存使用数据!$A:$C,3,0),0)+IFERROR(VLOOKUP($A70,[2]库存使用数据!$A:$C,3,0),0)+IFERROR(VLOOKUP($A70,[3]库存使用数据!$A:$C,3,0),0)+IFERROR(VLOOKUP($A70,[4]库存使用数据!$A:$C,3,0),0)+IFERROR(VLOOKUP($A70,[5]库存使用数据!$A:$C,3,0),0)</f>
        <v>7</v>
      </c>
      <c r="D70" s="1">
        <f ca="1">IFERROR(VLOOKUP($A70,[1]库存使用数据!$A:$D,4,0),0)+IFERROR(VLOOKUP($A70,[2]库存使用数据!$A:$D,4,0),0)+公式!$B$1*IFERROR(VLOOKUP($A70,[3]库存使用数据!$A:$D,4,0),0)+IFERROR(VLOOKUP($A70,[4]库存使用数据!$A:$D,4,0),0)+IFERROR(VLOOKUP($A70,[5]库存使用数据!$A:$D,4,0),0)</f>
        <v>0.83</v>
      </c>
      <c r="E70" s="1">
        <f ca="1">IFERROR(VLOOKUP($A70,[1]库存使用数据!$A:$E,5,0),0)+IFERROR(VLOOKUP($A70,[2]库存使用数据!$A:$E,5,0),0)+IFERROR(VLOOKUP($A70,[3]库存使用数据!$A:$E,5,0),0)+IFERROR(VLOOKUP($A70,[4]库存使用数据!$A:$E,5,0),0)+IFERROR(VLOOKUP($A70,[5]库存使用数据!$A:$E,5,0),0)</f>
        <v>2059</v>
      </c>
      <c r="F70" s="1">
        <f ca="1">IFERROR(VLOOKUP($A70,[1]库存使用数据!$A:$F,6,0),0)+IFERROR(VLOOKUP($A70,[2]库存使用数据!$A:$F,6,0),0)+IFERROR(VLOOKUP($A70,[4]库存使用数据!$A:$F,6,0),0)+IFERROR(VLOOKUP($A70,[3]库存使用数据!$A:$F,6,0),0)+IFERROR(VLOOKUP($A70,[5]库存使用数据!$A:$F,6,0),0)</f>
        <v>6</v>
      </c>
      <c r="G70" s="1">
        <f ca="1">IFERROR(VLOOKUP($A70,[1]库存使用数据!$A:$G,7,0),0)+IFERROR(VLOOKUP($A70,[2]库存使用数据!$A:$G,7,0),0)+公式!$B$14*IFERROR(VLOOKUP($A70,[3]库存使用数据!$A:$G,7,0),0)+IFERROR(VLOOKUP($A70,[4]库存使用数据!$A:$G,7,0),0)+IFERROR(VLOOKUP($A70,[5]库存使用数据!$A:$G,7,0),0)</f>
        <v>0.54</v>
      </c>
      <c r="H70" s="1">
        <f ca="1">IFERROR(VLOOKUP($A70,[1]库存使用数据!$A:$H,8,0),0)+IFERROR(VLOOKUP($A70,[2]库存使用数据!$A:$H,8,0),0)+IFERROR(VLOOKUP($A70,[3]库存使用数据!$A:$H,8,0),0)+IFERROR(VLOOKUP($A70,[4]库存使用数据!$A:$H,8,0),0)+IFERROR(VLOOKUP($A70,[5]库存使用数据!$A:$H,8,0),0)</f>
        <v>383</v>
      </c>
      <c r="I70" s="1">
        <f ca="1">IFERROR(VLOOKUP($A70,[1]库存使用数据!$A:$I,9,0),0)+IFERROR(VLOOKUP($A70,[2]库存使用数据!$A:$I,9,0),0)+IFERROR(VLOOKUP($A70,[3]库存使用数据!$A:$I,9,0),0)+IFERROR(VLOOKUP($A70,[4]库存使用数据!$A:$I,9,0),0)+IFERROR(VLOOKUP($A70,[5]库存使用数据!$A:$I,9,0),0)</f>
        <v>1</v>
      </c>
      <c r="J70" s="1">
        <f ca="1">IFERROR(VLOOKUP($A70,[1]库存使用数据!$A:$J,10,0),0)+IFERROR(VLOOKUP($A70,[2]库存使用数据!$A:$J,10,0),0)+公式!$B$14*IFERROR(VLOOKUP($A70,[3]库存使用数据!$A:$J,10,0),0)+IFERROR(VLOOKUP($A70,[4]库存使用数据!$A:$J,10,0),0)+IFERROR(VLOOKUP($A70,[5]库存使用数据!$A:$J,10,0),0)</f>
        <v>0.02</v>
      </c>
      <c r="K70" s="1">
        <f ca="1">IFERROR(VLOOKUP($A70,[1]库存使用数据!$A:$K,11,0),0)+IFERROR(VLOOKUP($A70,[2]库存使用数据!$A:$K,11,0),0)+IFERROR(VLOOKUP($A70,[3]库存使用数据!$A:$K,11,0),0)+IFERROR(VLOOKUP($A70,[4]库存使用数据!$A:$K,11,0),0)+IFERROR(VLOOKUP($A70,[5]库存使用数据!$A:$K,11,0),0)</f>
        <v>835</v>
      </c>
      <c r="L70" s="1">
        <f ca="1">IFERROR(VLOOKUP($A70,[1]库存使用数据!$A:$L,12,0),0)+IFERROR(VLOOKUP($A70,[2]库存使用数据!$A:$L,12,0),0)+IFERROR(VLOOKUP($A70,[3]库存使用数据!$A:$L,12,0),0)+IFERROR(VLOOKUP($A70,[4]库存使用数据!$A:$L,12,0),0)+IFERROR(VLOOKUP($A70,[5]库存使用数据!$A:$L,12,0),0)</f>
        <v>1</v>
      </c>
      <c r="M70" s="1">
        <f ca="1">IFERROR(VLOOKUP($A70,[1]库存使用数据!$A:$M,13,0),0)+IFERROR(VLOOKUP($A70,[2]库存使用数据!$A:$M,13,0),0)+公式!$B$14*IFERROR(VLOOKUP($A70,[3]库存使用数据!$A:$M,13,0),0)+IFERROR(VLOOKUP($A70,[4]库存使用数据!$A:$M,13,0),0)+IFERROR(VLOOKUP($A70,[5]库存使用数据!$A:$M,13,0),0)</f>
        <v>0.02</v>
      </c>
    </row>
    <row r="71" spans="1:13">
      <c r="A71" s="5" t="s">
        <v>76</v>
      </c>
      <c r="B71" s="2">
        <f ca="1">IFERROR(VLOOKUP(A71,[1]库存使用数据!$A:$B,2,0),0)+IFERROR(VLOOKUP(A71,[2]库存使用数据!$A:$B,2,0),0)+IFERROR(VLOOKUP(,[3]库存使用数据!$A:$B,2,0),0)+IFERROR(VLOOKUP(A71,[4]库存使用数据!$A:$B,2,0),0)+IFERROR(VLOOKUP(A71,[5]库存使用数据!$A:$B,2,0),0)</f>
        <v>1153</v>
      </c>
      <c r="C71" s="1">
        <f ca="1">IFERROR(VLOOKUP($A71,[1]库存使用数据!$A:$C,3,0),0)+IFERROR(VLOOKUP($A71,[2]库存使用数据!$A:$C,3,0),0)+IFERROR(VLOOKUP($A71,[3]库存使用数据!$A:$C,3,0),0)+IFERROR(VLOOKUP($A71,[4]库存使用数据!$A:$C,3,0),0)+IFERROR(VLOOKUP($A71,[5]库存使用数据!$A:$C,3,0),0)</f>
        <v>6</v>
      </c>
      <c r="D71" s="1">
        <f ca="1">IFERROR(VLOOKUP($A71,[1]库存使用数据!$A:$D,4,0),0)+IFERROR(VLOOKUP($A71,[2]库存使用数据!$A:$D,4,0),0)+公式!$B$1*IFERROR(VLOOKUP($A71,[3]库存使用数据!$A:$D,4,0),0)+IFERROR(VLOOKUP($A71,[4]库存使用数据!$A:$D,4,0),0)+IFERROR(VLOOKUP($A71,[5]库存使用数据!$A:$D,4,0),0)</f>
        <v>0.57</v>
      </c>
      <c r="E71" s="1">
        <f ca="1">IFERROR(VLOOKUP($A71,[1]库存使用数据!$A:$E,5,0),0)+IFERROR(VLOOKUP($A71,[2]库存使用数据!$A:$E,5,0),0)+IFERROR(VLOOKUP($A71,[3]库存使用数据!$A:$E,5,0),0)+IFERROR(VLOOKUP($A71,[4]库存使用数据!$A:$E,5,0),0)+IFERROR(VLOOKUP($A71,[5]库存使用数据!$A:$E,5,0),0)</f>
        <v>1337</v>
      </c>
      <c r="F71" s="1">
        <f ca="1">IFERROR(VLOOKUP($A71,[1]库存使用数据!$A:$F,6,0),0)+IFERROR(VLOOKUP($A71,[2]库存使用数据!$A:$F,6,0),0)+IFERROR(VLOOKUP($A71,[4]库存使用数据!$A:$F,6,0),0)+IFERROR(VLOOKUP($A71,[3]库存使用数据!$A:$F,6,0),0)+IFERROR(VLOOKUP($A71,[5]库存使用数据!$A:$F,6,0),0)</f>
        <v>4</v>
      </c>
      <c r="G71" s="1">
        <f ca="1">IFERROR(VLOOKUP($A71,[1]库存使用数据!$A:$G,7,0),0)+IFERROR(VLOOKUP($A71,[2]库存使用数据!$A:$G,7,0),0)+公式!$B$14*IFERROR(VLOOKUP($A71,[3]库存使用数据!$A:$G,7,0),0)+IFERROR(VLOOKUP($A71,[4]库存使用数据!$A:$G,7,0),0)+IFERROR(VLOOKUP($A71,[5]库存使用数据!$A:$G,7,0),0)</f>
        <v>0.75</v>
      </c>
      <c r="H71" s="1">
        <f ca="1">IFERROR(VLOOKUP($A71,[1]库存使用数据!$A:$H,8,0),0)+IFERROR(VLOOKUP($A71,[2]库存使用数据!$A:$H,8,0),0)+IFERROR(VLOOKUP($A71,[3]库存使用数据!$A:$H,8,0),0)+IFERROR(VLOOKUP($A71,[4]库存使用数据!$A:$H,8,0),0)+IFERROR(VLOOKUP($A71,[5]库存使用数据!$A:$H,8,0),0)</f>
        <v>786</v>
      </c>
      <c r="I71" s="1">
        <f ca="1">IFERROR(VLOOKUP($A71,[1]库存使用数据!$A:$I,9,0),0)+IFERROR(VLOOKUP($A71,[2]库存使用数据!$A:$I,9,0),0)+IFERROR(VLOOKUP($A71,[3]库存使用数据!$A:$I,9,0),0)+IFERROR(VLOOKUP($A71,[4]库存使用数据!$A:$I,9,0),0)+IFERROR(VLOOKUP($A71,[5]库存使用数据!$A:$I,9,0),0)</f>
        <v>4</v>
      </c>
      <c r="J71" s="1">
        <f ca="1">IFERROR(VLOOKUP($A71,[1]库存使用数据!$A:$J,10,0),0)+IFERROR(VLOOKUP($A71,[2]库存使用数据!$A:$J,10,0),0)+公式!$B$14*IFERROR(VLOOKUP($A71,[3]库存使用数据!$A:$J,10,0),0)+IFERROR(VLOOKUP($A71,[4]库存使用数据!$A:$J,10,0),0)+IFERROR(VLOOKUP($A71,[5]库存使用数据!$A:$J,10,0),0)</f>
        <v>0.64</v>
      </c>
      <c r="K71" s="1">
        <f ca="1">IFERROR(VLOOKUP($A71,[1]库存使用数据!$A:$K,11,0),0)+IFERROR(VLOOKUP($A71,[2]库存使用数据!$A:$K,11,0),0)+IFERROR(VLOOKUP($A71,[3]库存使用数据!$A:$K,11,0),0)+IFERROR(VLOOKUP($A71,[4]库存使用数据!$A:$K,11,0),0)+IFERROR(VLOOKUP($A71,[5]库存使用数据!$A:$K,11,0),0)</f>
        <v>406</v>
      </c>
      <c r="L71" s="1">
        <f ca="1">IFERROR(VLOOKUP($A71,[1]库存使用数据!$A:$L,12,0),0)+IFERROR(VLOOKUP($A71,[2]库存使用数据!$A:$L,12,0),0)+IFERROR(VLOOKUP($A71,[3]库存使用数据!$A:$L,12,0),0)+IFERROR(VLOOKUP($A71,[4]库存使用数据!$A:$L,12,0),0)+IFERROR(VLOOKUP($A71,[5]库存使用数据!$A:$L,12,0),0)</f>
        <v>3</v>
      </c>
      <c r="M71" s="1">
        <f ca="1">IFERROR(VLOOKUP($A71,[1]库存使用数据!$A:$M,13,0),0)+IFERROR(VLOOKUP($A71,[2]库存使用数据!$A:$M,13,0),0)+公式!$B$14*IFERROR(VLOOKUP($A71,[3]库存使用数据!$A:$M,13,0),0)+IFERROR(VLOOKUP($A71,[4]库存使用数据!$A:$M,13,0),0)+IFERROR(VLOOKUP($A71,[5]库存使用数据!$A:$M,13,0),0)</f>
        <v>0.57</v>
      </c>
    </row>
    <row r="72" spans="1:13">
      <c r="A72" s="5" t="s">
        <v>77</v>
      </c>
      <c r="B72" s="2">
        <f ca="1">IFERROR(VLOOKUP(A72,[1]库存使用数据!$A:$B,2,0),0)+IFERROR(VLOOKUP(A72,[2]库存使用数据!$A:$B,2,0),0)+IFERROR(VLOOKUP(,[3]库存使用数据!$A:$B,2,0),0)+IFERROR(VLOOKUP(A72,[4]库存使用数据!$A:$B,2,0),0)+IFERROR(VLOOKUP(A72,[5]库存使用数据!$A:$B,2,0),0)</f>
        <v>579</v>
      </c>
      <c r="C72" s="1">
        <f ca="1">IFERROR(VLOOKUP($A72,[1]库存使用数据!$A:$C,3,0),0)+IFERROR(VLOOKUP($A72,[2]库存使用数据!$A:$C,3,0),0)+IFERROR(VLOOKUP($A72,[3]库存使用数据!$A:$C,3,0),0)+IFERROR(VLOOKUP($A72,[4]库存使用数据!$A:$C,3,0),0)+IFERROR(VLOOKUP($A72,[5]库存使用数据!$A:$C,3,0),0)</f>
        <v>2</v>
      </c>
      <c r="D72" s="1">
        <f ca="1">IFERROR(VLOOKUP($A72,[1]库存使用数据!$A:$D,4,0),0)+IFERROR(VLOOKUP($A72,[2]库存使用数据!$A:$D,4,0),0)+公式!$B$1*IFERROR(VLOOKUP($A72,[3]库存使用数据!$A:$D,4,0),0)+IFERROR(VLOOKUP($A72,[4]库存使用数据!$A:$D,4,0),0)+IFERROR(VLOOKUP($A72,[5]库存使用数据!$A:$D,4,0),0)</f>
        <v>0.15</v>
      </c>
      <c r="E72" s="1">
        <f ca="1">IFERROR(VLOOKUP($A72,[1]库存使用数据!$A:$E,5,0),0)+IFERROR(VLOOKUP($A72,[2]库存使用数据!$A:$E,5,0),0)+IFERROR(VLOOKUP($A72,[3]库存使用数据!$A:$E,5,0),0)+IFERROR(VLOOKUP($A72,[4]库存使用数据!$A:$E,5,0),0)+IFERROR(VLOOKUP($A72,[5]库存使用数据!$A:$E,5,0),0)</f>
        <v>734</v>
      </c>
      <c r="F72" s="1">
        <f ca="1">IFERROR(VLOOKUP($A72,[1]库存使用数据!$A:$F,6,0),0)+IFERROR(VLOOKUP($A72,[2]库存使用数据!$A:$F,6,0),0)+IFERROR(VLOOKUP($A72,[4]库存使用数据!$A:$F,6,0),0)+IFERROR(VLOOKUP($A72,[3]库存使用数据!$A:$F,6,0),0)+IFERROR(VLOOKUP($A72,[5]库存使用数据!$A:$F,6,0),0)</f>
        <v>3</v>
      </c>
      <c r="G72" s="1">
        <f ca="1">IFERROR(VLOOKUP($A72,[1]库存使用数据!$A:$G,7,0),0)+IFERROR(VLOOKUP($A72,[2]库存使用数据!$A:$G,7,0),0)+公式!$B$14*IFERROR(VLOOKUP($A72,[3]库存使用数据!$A:$G,7,0),0)+IFERROR(VLOOKUP($A72,[4]库存使用数据!$A:$G,7,0),0)+IFERROR(VLOOKUP($A72,[5]库存使用数据!$A:$G,7,0),0)</f>
        <v>0.54</v>
      </c>
      <c r="H72" s="1">
        <f ca="1">IFERROR(VLOOKUP($A72,[1]库存使用数据!$A:$H,8,0),0)+IFERROR(VLOOKUP($A72,[2]库存使用数据!$A:$H,8,0),0)+IFERROR(VLOOKUP($A72,[3]库存使用数据!$A:$H,8,0),0)+IFERROR(VLOOKUP($A72,[4]库存使用数据!$A:$H,8,0),0)+IFERROR(VLOOKUP($A72,[5]库存使用数据!$A:$H,8,0),0)</f>
        <v>243</v>
      </c>
      <c r="I72" s="1">
        <f ca="1">IFERROR(VLOOKUP($A72,[1]库存使用数据!$A:$I,9,0),0)+IFERROR(VLOOKUP($A72,[2]库存使用数据!$A:$I,9,0),0)+IFERROR(VLOOKUP($A72,[3]库存使用数据!$A:$I,9,0),0)+IFERROR(VLOOKUP($A72,[4]库存使用数据!$A:$I,9,0),0)+IFERROR(VLOOKUP($A72,[5]库存使用数据!$A:$I,9,0),0)</f>
        <v>1</v>
      </c>
      <c r="J72" s="1">
        <f ca="1">IFERROR(VLOOKUP($A72,[1]库存使用数据!$A:$J,10,0),0)+IFERROR(VLOOKUP($A72,[2]库存使用数据!$A:$J,10,0),0)+公式!$B$14*IFERROR(VLOOKUP($A72,[3]库存使用数据!$A:$J,10,0),0)+IFERROR(VLOOKUP($A72,[4]库存使用数据!$A:$J,10,0),0)+IFERROR(VLOOKUP($A72,[5]库存使用数据!$A:$J,10,0),0)</f>
        <v>0.21</v>
      </c>
      <c r="K72" s="1">
        <f ca="1">IFERROR(VLOOKUP($A72,[1]库存使用数据!$A:$K,11,0),0)+IFERROR(VLOOKUP($A72,[2]库存使用数据!$A:$K,11,0),0)+IFERROR(VLOOKUP($A72,[3]库存使用数据!$A:$K,11,0),0)+IFERROR(VLOOKUP($A72,[4]库存使用数据!$A:$K,11,0),0)+IFERROR(VLOOKUP($A72,[5]库存使用数据!$A:$K,11,0),0)</f>
        <v>281</v>
      </c>
      <c r="L72" s="1">
        <f ca="1">IFERROR(VLOOKUP($A72,[1]库存使用数据!$A:$L,12,0),0)+IFERROR(VLOOKUP($A72,[2]库存使用数据!$A:$L,12,0),0)+IFERROR(VLOOKUP($A72,[3]库存使用数据!$A:$L,12,0),0)+IFERROR(VLOOKUP($A72,[4]库存使用数据!$A:$L,12,0),0)+IFERROR(VLOOKUP($A72,[5]库存使用数据!$A:$L,12,0),0)</f>
        <v>2</v>
      </c>
      <c r="M72" s="1">
        <f ca="1">IFERROR(VLOOKUP($A72,[1]库存使用数据!$A:$M,13,0),0)+IFERROR(VLOOKUP($A72,[2]库存使用数据!$A:$M,13,0),0)+公式!$B$14*IFERROR(VLOOKUP($A72,[3]库存使用数据!$A:$M,13,0),0)+IFERROR(VLOOKUP($A72,[4]库存使用数据!$A:$M,13,0),0)+IFERROR(VLOOKUP($A72,[5]库存使用数据!$A:$M,13,0),0)</f>
        <v>0.22</v>
      </c>
    </row>
    <row r="73" spans="1:13">
      <c r="A73" s="5" t="s">
        <v>78</v>
      </c>
      <c r="B73" s="2">
        <f ca="1">IFERROR(VLOOKUP(A73,[1]库存使用数据!$A:$B,2,0),0)+IFERROR(VLOOKUP(A73,[2]库存使用数据!$A:$B,2,0),0)+IFERROR(VLOOKUP(,[3]库存使用数据!$A:$B,2,0),0)+IFERROR(VLOOKUP(A73,[4]库存使用数据!$A:$B,2,0),0)+IFERROR(VLOOKUP(A73,[5]库存使用数据!$A:$B,2,0),0)</f>
        <v>3237</v>
      </c>
      <c r="C73" s="1">
        <f ca="1">IFERROR(VLOOKUP($A73,[1]库存使用数据!$A:$C,3,0),0)+IFERROR(VLOOKUP($A73,[2]库存使用数据!$A:$C,3,0),0)+IFERROR(VLOOKUP($A73,[3]库存使用数据!$A:$C,3,0),0)+IFERROR(VLOOKUP($A73,[4]库存使用数据!$A:$C,3,0),0)+IFERROR(VLOOKUP($A73,[5]库存使用数据!$A:$C,3,0),0)</f>
        <v>14</v>
      </c>
      <c r="D73" s="1">
        <f ca="1">IFERROR(VLOOKUP($A73,[1]库存使用数据!$A:$D,4,0),0)+IFERROR(VLOOKUP($A73,[2]库存使用数据!$A:$D,4,0),0)+公式!$B$1*IFERROR(VLOOKUP($A73,[3]库存使用数据!$A:$D,4,0),0)+IFERROR(VLOOKUP($A73,[4]库存使用数据!$A:$D,4,0),0)+IFERROR(VLOOKUP($A73,[5]库存使用数据!$A:$D,4,0),0)</f>
        <v>3.32</v>
      </c>
      <c r="E73" s="1">
        <f ca="1">IFERROR(VLOOKUP($A73,[1]库存使用数据!$A:$E,5,0),0)+IFERROR(VLOOKUP($A73,[2]库存使用数据!$A:$E,5,0),0)+IFERROR(VLOOKUP($A73,[3]库存使用数据!$A:$E,5,0),0)+IFERROR(VLOOKUP($A73,[4]库存使用数据!$A:$E,5,0),0)+IFERROR(VLOOKUP($A73,[5]库存使用数据!$A:$E,5,0),0)</f>
        <v>4464</v>
      </c>
      <c r="F73" s="1">
        <f ca="1">IFERROR(VLOOKUP($A73,[1]库存使用数据!$A:$F,6,0),0)+IFERROR(VLOOKUP($A73,[2]库存使用数据!$A:$F,6,0),0)+IFERROR(VLOOKUP($A73,[4]库存使用数据!$A:$F,6,0),0)+IFERROR(VLOOKUP($A73,[3]库存使用数据!$A:$F,6,0),0)+IFERROR(VLOOKUP($A73,[5]库存使用数据!$A:$F,6,0),0)</f>
        <v>17</v>
      </c>
      <c r="G73" s="1">
        <f ca="1">IFERROR(VLOOKUP($A73,[1]库存使用数据!$A:$G,7,0),0)+IFERROR(VLOOKUP($A73,[2]库存使用数据!$A:$G,7,0),0)+公式!$B$14*IFERROR(VLOOKUP($A73,[3]库存使用数据!$A:$G,7,0),0)+IFERROR(VLOOKUP($A73,[4]库存使用数据!$A:$G,7,0),0)+IFERROR(VLOOKUP($A73,[5]库存使用数据!$A:$G,7,0),0)</f>
        <v>4.22</v>
      </c>
      <c r="H73" s="1">
        <f ca="1">IFERROR(VLOOKUP($A73,[1]库存使用数据!$A:$H,8,0),0)+IFERROR(VLOOKUP($A73,[2]库存使用数据!$A:$H,8,0),0)+IFERROR(VLOOKUP($A73,[3]库存使用数据!$A:$H,8,0),0)+IFERROR(VLOOKUP($A73,[4]库存使用数据!$A:$H,8,0),0)+IFERROR(VLOOKUP($A73,[5]库存使用数据!$A:$H,8,0),0)</f>
        <v>888</v>
      </c>
      <c r="I73" s="1">
        <f ca="1">IFERROR(VLOOKUP($A73,[1]库存使用数据!$A:$I,9,0),0)+IFERROR(VLOOKUP($A73,[2]库存使用数据!$A:$I,9,0),0)+IFERROR(VLOOKUP($A73,[3]库存使用数据!$A:$I,9,0),0)+IFERROR(VLOOKUP($A73,[4]库存使用数据!$A:$I,9,0),0)+IFERROR(VLOOKUP($A73,[5]库存使用数据!$A:$I,9,0),0)</f>
        <v>4</v>
      </c>
      <c r="J73" s="1">
        <f ca="1">IFERROR(VLOOKUP($A73,[1]库存使用数据!$A:$J,10,0),0)+IFERROR(VLOOKUP($A73,[2]库存使用数据!$A:$J,10,0),0)+公式!$B$14*IFERROR(VLOOKUP($A73,[3]库存使用数据!$A:$J,10,0),0)+IFERROR(VLOOKUP($A73,[4]库存使用数据!$A:$J,10,0),0)+IFERROR(VLOOKUP($A73,[5]库存使用数据!$A:$J,10,0),0)</f>
        <v>1.17</v>
      </c>
      <c r="K73" s="1">
        <f ca="1">IFERROR(VLOOKUP($A73,[1]库存使用数据!$A:$K,11,0),0)+IFERROR(VLOOKUP($A73,[2]库存使用数据!$A:$K,11,0),0)+IFERROR(VLOOKUP($A73,[3]库存使用数据!$A:$K,11,0),0)+IFERROR(VLOOKUP($A73,[4]库存使用数据!$A:$K,11,0),0)+IFERROR(VLOOKUP($A73,[5]库存使用数据!$A:$K,11,0),0)</f>
        <v>678</v>
      </c>
      <c r="L73" s="1">
        <f ca="1">IFERROR(VLOOKUP($A73,[1]库存使用数据!$A:$L,12,0),0)+IFERROR(VLOOKUP($A73,[2]库存使用数据!$A:$L,12,0),0)+IFERROR(VLOOKUP($A73,[3]库存使用数据!$A:$L,12,0),0)+IFERROR(VLOOKUP($A73,[4]库存使用数据!$A:$L,12,0),0)+IFERROR(VLOOKUP($A73,[5]库存使用数据!$A:$L,12,0),0)</f>
        <v>2</v>
      </c>
      <c r="M73" s="1">
        <f ca="1">IFERROR(VLOOKUP($A73,[1]库存使用数据!$A:$M,13,0),0)+IFERROR(VLOOKUP($A73,[2]库存使用数据!$A:$M,13,0),0)+公式!$B$14*IFERROR(VLOOKUP($A73,[3]库存使用数据!$A:$M,13,0),0)+IFERROR(VLOOKUP($A73,[4]库存使用数据!$A:$M,13,0),0)+IFERROR(VLOOKUP($A73,[5]库存使用数据!$A:$M,13,0),0)</f>
        <v>0.48</v>
      </c>
    </row>
    <row r="74" spans="1:13">
      <c r="A74" s="5" t="s">
        <v>79</v>
      </c>
      <c r="B74" s="2">
        <f ca="1">IFERROR(VLOOKUP(A74,[1]库存使用数据!$A:$B,2,0),0)+IFERROR(VLOOKUP(A74,[2]库存使用数据!$A:$B,2,0),0)+IFERROR(VLOOKUP(,[3]库存使用数据!$A:$B,2,0),0)+IFERROR(VLOOKUP(A74,[4]库存使用数据!$A:$B,2,0),0)+IFERROR(VLOOKUP(A74,[5]库存使用数据!$A:$B,2,0),0)</f>
        <v>0</v>
      </c>
      <c r="C74" s="1">
        <f ca="1">IFERROR(VLOOKUP($A74,[1]库存使用数据!$A:$C,3,0),0)+IFERROR(VLOOKUP($A74,[2]库存使用数据!$A:$C,3,0),0)+IFERROR(VLOOKUP($A74,[3]库存使用数据!$A:$C,3,0),0)+IFERROR(VLOOKUP($A74,[4]库存使用数据!$A:$C,3,0),0)+IFERROR(VLOOKUP($A74,[5]库存使用数据!$A:$C,3,0),0)</f>
        <v>0</v>
      </c>
      <c r="D74" s="1">
        <f ca="1">IFERROR(VLOOKUP($A74,[1]库存使用数据!$A:$D,4,0),0)+IFERROR(VLOOKUP($A74,[2]库存使用数据!$A:$D,4,0),0)+公式!$B$1*IFERROR(VLOOKUP($A74,[3]库存使用数据!$A:$D,4,0),0)+IFERROR(VLOOKUP($A74,[4]库存使用数据!$A:$D,4,0),0)+IFERROR(VLOOKUP($A74,[5]库存使用数据!$A:$D,4,0),0)</f>
        <v>0</v>
      </c>
      <c r="E74" s="1">
        <f ca="1">IFERROR(VLOOKUP($A74,[1]库存使用数据!$A:$E,5,0),0)+IFERROR(VLOOKUP($A74,[2]库存使用数据!$A:$E,5,0),0)+IFERROR(VLOOKUP($A74,[3]库存使用数据!$A:$E,5,0),0)+IFERROR(VLOOKUP($A74,[4]库存使用数据!$A:$E,5,0),0)+IFERROR(VLOOKUP($A74,[5]库存使用数据!$A:$E,5,0),0)</f>
        <v>5724</v>
      </c>
      <c r="F74" s="1">
        <f ca="1">IFERROR(VLOOKUP($A74,[1]库存使用数据!$A:$F,6,0),0)+IFERROR(VLOOKUP($A74,[2]库存使用数据!$A:$F,6,0),0)+IFERROR(VLOOKUP($A74,[4]库存使用数据!$A:$F,6,0),0)+IFERROR(VLOOKUP($A74,[3]库存使用数据!$A:$F,6,0),0)+IFERROR(VLOOKUP($A74,[5]库存使用数据!$A:$F,6,0),0)</f>
        <v>16</v>
      </c>
      <c r="G74" s="1">
        <f ca="1">IFERROR(VLOOKUP($A74,[1]库存使用数据!$A:$G,7,0),0)+IFERROR(VLOOKUP($A74,[2]库存使用数据!$A:$G,7,0),0)+公式!$B$14*IFERROR(VLOOKUP($A74,[3]库存使用数据!$A:$G,7,0),0)+IFERROR(VLOOKUP($A74,[4]库存使用数据!$A:$G,7,0),0)+IFERROR(VLOOKUP($A74,[5]库存使用数据!$A:$G,7,0),0)</f>
        <v>3.86</v>
      </c>
      <c r="H74" s="1">
        <f ca="1">IFERROR(VLOOKUP($A74,[1]库存使用数据!$A:$H,8,0),0)+IFERROR(VLOOKUP($A74,[2]库存使用数据!$A:$H,8,0),0)+IFERROR(VLOOKUP($A74,[3]库存使用数据!$A:$H,8,0),0)+IFERROR(VLOOKUP($A74,[4]库存使用数据!$A:$H,8,0),0)+IFERROR(VLOOKUP($A74,[5]库存使用数据!$A:$H,8,0),0)</f>
        <v>5702</v>
      </c>
      <c r="I74" s="1">
        <f ca="1">IFERROR(VLOOKUP($A74,[1]库存使用数据!$A:$I,9,0),0)+IFERROR(VLOOKUP($A74,[2]库存使用数据!$A:$I,9,0),0)+IFERROR(VLOOKUP($A74,[3]库存使用数据!$A:$I,9,0),0)+IFERROR(VLOOKUP($A74,[4]库存使用数据!$A:$I,9,0),0)+IFERROR(VLOOKUP($A74,[5]库存使用数据!$A:$I,9,0),0)</f>
        <v>15</v>
      </c>
      <c r="J74" s="1">
        <f ca="1">IFERROR(VLOOKUP($A74,[1]库存使用数据!$A:$J,10,0),0)+IFERROR(VLOOKUP($A74,[2]库存使用数据!$A:$J,10,0),0)+公式!$B$14*IFERROR(VLOOKUP($A74,[3]库存使用数据!$A:$J,10,0),0)+IFERROR(VLOOKUP($A74,[4]库存使用数据!$A:$J,10,0),0)+IFERROR(VLOOKUP($A74,[5]库存使用数据!$A:$J,10,0),0)</f>
        <v>3.62</v>
      </c>
      <c r="K74" s="1">
        <f ca="1">IFERROR(VLOOKUP($A74,[1]库存使用数据!$A:$K,11,0),0)+IFERROR(VLOOKUP($A74,[2]库存使用数据!$A:$K,11,0),0)+IFERROR(VLOOKUP($A74,[3]库存使用数据!$A:$K,11,0),0)+IFERROR(VLOOKUP($A74,[4]库存使用数据!$A:$K,11,0),0)+IFERROR(VLOOKUP($A74,[5]库存使用数据!$A:$K,11,0),0)</f>
        <v>25595</v>
      </c>
      <c r="L74" s="1">
        <f ca="1">IFERROR(VLOOKUP($A74,[1]库存使用数据!$A:$L,12,0),0)+IFERROR(VLOOKUP($A74,[2]库存使用数据!$A:$L,12,0),0)+IFERROR(VLOOKUP($A74,[3]库存使用数据!$A:$L,12,0),0)+IFERROR(VLOOKUP($A74,[4]库存使用数据!$A:$L,12,0),0)+IFERROR(VLOOKUP($A74,[5]库存使用数据!$A:$L,12,0),0)</f>
        <v>51</v>
      </c>
      <c r="M74" s="1">
        <f ca="1">IFERROR(VLOOKUP($A74,[1]库存使用数据!$A:$M,13,0),0)+IFERROR(VLOOKUP($A74,[2]库存使用数据!$A:$M,13,0),0)+公式!$B$14*IFERROR(VLOOKUP($A74,[3]库存使用数据!$A:$M,13,0),0)+IFERROR(VLOOKUP($A74,[4]库存使用数据!$A:$M,13,0),0)+IFERROR(VLOOKUP($A74,[5]库存使用数据!$A:$M,13,0),0)</f>
        <v>10.86</v>
      </c>
    </row>
    <row r="75" spans="1:13">
      <c r="A75" s="5" t="s">
        <v>80</v>
      </c>
      <c r="B75" s="2">
        <f ca="1">IFERROR(VLOOKUP(A75,[1]库存使用数据!$A:$B,2,0),0)+IFERROR(VLOOKUP(A75,[2]库存使用数据!$A:$B,2,0),0)+IFERROR(VLOOKUP(,[3]库存使用数据!$A:$B,2,0),0)+IFERROR(VLOOKUP(A75,[4]库存使用数据!$A:$B,2,0),0)+IFERROR(VLOOKUP(A75,[5]库存使用数据!$A:$B,2,0),0)</f>
        <v>0</v>
      </c>
      <c r="C75" s="1">
        <f ca="1">IFERROR(VLOOKUP($A75,[1]库存使用数据!$A:$C,3,0),0)+IFERROR(VLOOKUP($A75,[2]库存使用数据!$A:$C,3,0),0)+IFERROR(VLOOKUP($A75,[3]库存使用数据!$A:$C,3,0),0)+IFERROR(VLOOKUP($A75,[4]库存使用数据!$A:$C,3,0),0)+IFERROR(VLOOKUP($A75,[5]库存使用数据!$A:$C,3,0),0)</f>
        <v>0</v>
      </c>
      <c r="D75" s="1">
        <f ca="1">IFERROR(VLOOKUP($A75,[1]库存使用数据!$A:$D,4,0),0)+IFERROR(VLOOKUP($A75,[2]库存使用数据!$A:$D,4,0),0)+公式!$B$1*IFERROR(VLOOKUP($A75,[3]库存使用数据!$A:$D,4,0),0)+IFERROR(VLOOKUP($A75,[4]库存使用数据!$A:$D,4,0),0)+IFERROR(VLOOKUP($A75,[5]库存使用数据!$A:$D,4,0),0)</f>
        <v>0</v>
      </c>
      <c r="E75" s="1">
        <f ca="1">IFERROR(VLOOKUP($A75,[1]库存使用数据!$A:$E,5,0),0)+IFERROR(VLOOKUP($A75,[2]库存使用数据!$A:$E,5,0),0)+IFERROR(VLOOKUP($A75,[3]库存使用数据!$A:$E,5,0),0)+IFERROR(VLOOKUP($A75,[4]库存使用数据!$A:$E,5,0),0)+IFERROR(VLOOKUP($A75,[5]库存使用数据!$A:$E,5,0),0)</f>
        <v>423</v>
      </c>
      <c r="F75" s="1">
        <f ca="1">IFERROR(VLOOKUP($A75,[1]库存使用数据!$A:$F,6,0),0)+IFERROR(VLOOKUP($A75,[2]库存使用数据!$A:$F,6,0),0)+IFERROR(VLOOKUP($A75,[4]库存使用数据!$A:$F,6,0),0)+IFERROR(VLOOKUP($A75,[3]库存使用数据!$A:$F,6,0),0)+IFERROR(VLOOKUP($A75,[5]库存使用数据!$A:$F,6,0),0)</f>
        <v>10</v>
      </c>
      <c r="G75" s="1">
        <f ca="1">IFERROR(VLOOKUP($A75,[1]库存使用数据!$A:$G,7,0),0)+IFERROR(VLOOKUP($A75,[2]库存使用数据!$A:$G,7,0),0)+公式!$B$14*IFERROR(VLOOKUP($A75,[3]库存使用数据!$A:$G,7,0),0)+IFERROR(VLOOKUP($A75,[4]库存使用数据!$A:$G,7,0),0)+IFERROR(VLOOKUP($A75,[5]库存使用数据!$A:$G,7,0),0)</f>
        <v>2.12</v>
      </c>
      <c r="H75" s="1">
        <f ca="1">IFERROR(VLOOKUP($A75,[1]库存使用数据!$A:$H,8,0),0)+IFERROR(VLOOKUP($A75,[2]库存使用数据!$A:$H,8,0),0)+IFERROR(VLOOKUP($A75,[3]库存使用数据!$A:$H,8,0),0)+IFERROR(VLOOKUP($A75,[4]库存使用数据!$A:$H,8,0),0)+IFERROR(VLOOKUP($A75,[5]库存使用数据!$A:$H,8,0),0)</f>
        <v>542</v>
      </c>
      <c r="I75" s="1">
        <f ca="1">IFERROR(VLOOKUP($A75,[1]库存使用数据!$A:$I,9,0),0)+IFERROR(VLOOKUP($A75,[2]库存使用数据!$A:$I,9,0),0)+IFERROR(VLOOKUP($A75,[3]库存使用数据!$A:$I,9,0),0)+IFERROR(VLOOKUP($A75,[4]库存使用数据!$A:$I,9,0),0)+IFERROR(VLOOKUP($A75,[5]库存使用数据!$A:$I,9,0),0)</f>
        <v>10</v>
      </c>
      <c r="J75" s="1">
        <f ca="1">IFERROR(VLOOKUP($A75,[1]库存使用数据!$A:$J,10,0),0)+IFERROR(VLOOKUP($A75,[2]库存使用数据!$A:$J,10,0),0)+公式!$B$14*IFERROR(VLOOKUP($A75,[3]库存使用数据!$A:$J,10,0),0)+IFERROR(VLOOKUP($A75,[4]库存使用数据!$A:$J,10,0),0)+IFERROR(VLOOKUP($A75,[5]库存使用数据!$A:$J,10,0),0)</f>
        <v>1.94</v>
      </c>
      <c r="K75" s="1">
        <f ca="1">IFERROR(VLOOKUP($A75,[1]库存使用数据!$A:$K,11,0),0)+IFERROR(VLOOKUP($A75,[2]库存使用数据!$A:$K,11,0),0)+IFERROR(VLOOKUP($A75,[3]库存使用数据!$A:$K,11,0),0)+IFERROR(VLOOKUP($A75,[4]库存使用数据!$A:$K,11,0),0)+IFERROR(VLOOKUP($A75,[5]库存使用数据!$A:$K,11,0),0)</f>
        <v>210</v>
      </c>
      <c r="L75" s="1">
        <f ca="1">IFERROR(VLOOKUP($A75,[1]库存使用数据!$A:$L,12,0),0)+IFERROR(VLOOKUP($A75,[2]库存使用数据!$A:$L,12,0),0)+IFERROR(VLOOKUP($A75,[3]库存使用数据!$A:$L,12,0),0)+IFERROR(VLOOKUP($A75,[4]库存使用数据!$A:$L,12,0),0)+IFERROR(VLOOKUP($A75,[5]库存使用数据!$A:$L,12,0),0)</f>
        <v>1</v>
      </c>
      <c r="M75" s="1">
        <f ca="1">IFERROR(VLOOKUP($A75,[1]库存使用数据!$A:$M,13,0),0)+IFERROR(VLOOKUP($A75,[2]库存使用数据!$A:$M,13,0),0)+公式!$B$14*IFERROR(VLOOKUP($A75,[3]库存使用数据!$A:$M,13,0),0)+IFERROR(VLOOKUP($A75,[4]库存使用数据!$A:$M,13,0),0)+IFERROR(VLOOKUP($A75,[5]库存使用数据!$A:$M,13,0),0)</f>
        <v>0.05</v>
      </c>
    </row>
    <row r="76" spans="1:13">
      <c r="A76" s="5" t="s">
        <v>81</v>
      </c>
      <c r="B76" s="2">
        <f ca="1">IFERROR(VLOOKUP(A76,[1]库存使用数据!$A:$B,2,0),0)+IFERROR(VLOOKUP(A76,[2]库存使用数据!$A:$B,2,0),0)+IFERROR(VLOOKUP(,[3]库存使用数据!$A:$B,2,0),0)+IFERROR(VLOOKUP(A76,[4]库存使用数据!$A:$B,2,0),0)+IFERROR(VLOOKUP(A76,[5]库存使用数据!$A:$B,2,0),0)</f>
        <v>0</v>
      </c>
      <c r="C76" s="1">
        <f ca="1">IFERROR(VLOOKUP($A76,[1]库存使用数据!$A:$C,3,0),0)+IFERROR(VLOOKUP($A76,[2]库存使用数据!$A:$C,3,0),0)+IFERROR(VLOOKUP($A76,[3]库存使用数据!$A:$C,3,0),0)+IFERROR(VLOOKUP($A76,[4]库存使用数据!$A:$C,3,0),0)+IFERROR(VLOOKUP($A76,[5]库存使用数据!$A:$C,3,0),0)</f>
        <v>0</v>
      </c>
      <c r="D76" s="1">
        <f ca="1">IFERROR(VLOOKUP($A76,[1]库存使用数据!$A:$D,4,0),0)+IFERROR(VLOOKUP($A76,[2]库存使用数据!$A:$D,4,0),0)+公式!$B$1*IFERROR(VLOOKUP($A76,[3]库存使用数据!$A:$D,4,0),0)+IFERROR(VLOOKUP($A76,[4]库存使用数据!$A:$D,4,0),0)+IFERROR(VLOOKUP($A76,[5]库存使用数据!$A:$D,4,0),0)</f>
        <v>0</v>
      </c>
      <c r="E76" s="1">
        <f ca="1">IFERROR(VLOOKUP($A76,[1]库存使用数据!$A:$E,5,0),0)+IFERROR(VLOOKUP($A76,[2]库存使用数据!$A:$E,5,0),0)+IFERROR(VLOOKUP($A76,[3]库存使用数据!$A:$E,5,0),0)+IFERROR(VLOOKUP($A76,[4]库存使用数据!$A:$E,5,0),0)+IFERROR(VLOOKUP($A76,[5]库存使用数据!$A:$E,5,0),0)</f>
        <v>2848</v>
      </c>
      <c r="F76" s="1">
        <f ca="1">IFERROR(VLOOKUP($A76,[1]库存使用数据!$A:$F,6,0),0)+IFERROR(VLOOKUP($A76,[2]库存使用数据!$A:$F,6,0),0)+IFERROR(VLOOKUP($A76,[4]库存使用数据!$A:$F,6,0),0)+IFERROR(VLOOKUP($A76,[3]库存使用数据!$A:$F,6,0),0)+IFERROR(VLOOKUP($A76,[5]库存使用数据!$A:$F,6,0),0)</f>
        <v>22</v>
      </c>
      <c r="G76" s="1">
        <f ca="1">IFERROR(VLOOKUP($A76,[1]库存使用数据!$A:$G,7,0),0)+IFERROR(VLOOKUP($A76,[2]库存使用数据!$A:$G,7,0),0)+公式!$B$14*IFERROR(VLOOKUP($A76,[3]库存使用数据!$A:$G,7,0),0)+IFERROR(VLOOKUP($A76,[4]库存使用数据!$A:$G,7,0),0)+IFERROR(VLOOKUP($A76,[5]库存使用数据!$A:$G,7,0),0)</f>
        <v>3.6</v>
      </c>
      <c r="H76" s="1">
        <f ca="1">IFERROR(VLOOKUP($A76,[1]库存使用数据!$A:$H,8,0),0)+IFERROR(VLOOKUP($A76,[2]库存使用数据!$A:$H,8,0),0)+IFERROR(VLOOKUP($A76,[3]库存使用数据!$A:$H,8,0),0)+IFERROR(VLOOKUP($A76,[4]库存使用数据!$A:$H,8,0),0)+IFERROR(VLOOKUP($A76,[5]库存使用数据!$A:$H,8,0),0)</f>
        <v>1468</v>
      </c>
      <c r="I76" s="1">
        <f ca="1">IFERROR(VLOOKUP($A76,[1]库存使用数据!$A:$I,9,0),0)+IFERROR(VLOOKUP($A76,[2]库存使用数据!$A:$I,9,0),0)+IFERROR(VLOOKUP($A76,[3]库存使用数据!$A:$I,9,0),0)+IFERROR(VLOOKUP($A76,[4]库存使用数据!$A:$I,9,0),0)+IFERROR(VLOOKUP($A76,[5]库存使用数据!$A:$I,9,0),0)</f>
        <v>14</v>
      </c>
      <c r="J76" s="1">
        <f ca="1">IFERROR(VLOOKUP($A76,[1]库存使用数据!$A:$J,10,0),0)+IFERROR(VLOOKUP($A76,[2]库存使用数据!$A:$J,10,0),0)+公式!$B$14*IFERROR(VLOOKUP($A76,[3]库存使用数据!$A:$J,10,0),0)+IFERROR(VLOOKUP($A76,[4]库存使用数据!$A:$J,10,0),0)+IFERROR(VLOOKUP($A76,[5]库存使用数据!$A:$J,10,0),0)</f>
        <v>1.84</v>
      </c>
      <c r="K76" s="1">
        <f ca="1">IFERROR(VLOOKUP($A76,[1]库存使用数据!$A:$K,11,0),0)+IFERROR(VLOOKUP($A76,[2]库存使用数据!$A:$K,11,0),0)+IFERROR(VLOOKUP($A76,[3]库存使用数据!$A:$K,11,0),0)+IFERROR(VLOOKUP($A76,[4]库存使用数据!$A:$K,11,0),0)+IFERROR(VLOOKUP($A76,[5]库存使用数据!$A:$K,11,0),0)</f>
        <v>1454</v>
      </c>
      <c r="L76" s="1">
        <f ca="1">IFERROR(VLOOKUP($A76,[1]库存使用数据!$A:$L,12,0),0)+IFERROR(VLOOKUP($A76,[2]库存使用数据!$A:$L,12,0),0)+IFERROR(VLOOKUP($A76,[3]库存使用数据!$A:$L,12,0),0)+IFERROR(VLOOKUP($A76,[4]库存使用数据!$A:$L,12,0),0)+IFERROR(VLOOKUP($A76,[5]库存使用数据!$A:$L,12,0),0)</f>
        <v>11</v>
      </c>
      <c r="M76" s="1">
        <f ca="1">IFERROR(VLOOKUP($A76,[1]库存使用数据!$A:$M,13,0),0)+IFERROR(VLOOKUP($A76,[2]库存使用数据!$A:$M,13,0),0)+公式!$B$14*IFERROR(VLOOKUP($A76,[3]库存使用数据!$A:$M,13,0),0)+IFERROR(VLOOKUP($A76,[4]库存使用数据!$A:$M,13,0),0)+IFERROR(VLOOKUP($A76,[5]库存使用数据!$A:$M,13,0),0)</f>
        <v>1.36</v>
      </c>
    </row>
    <row r="77" spans="1:13">
      <c r="A77" s="5" t="s">
        <v>82</v>
      </c>
      <c r="B77" s="2">
        <f ca="1">IFERROR(VLOOKUP(A77,[1]库存使用数据!$A:$B,2,0),0)+IFERROR(VLOOKUP(A77,[2]库存使用数据!$A:$B,2,0),0)+IFERROR(VLOOKUP(,[3]库存使用数据!$A:$B,2,0),0)+IFERROR(VLOOKUP(A77,[4]库存使用数据!$A:$B,2,0),0)+IFERROR(VLOOKUP(A77,[5]库存使用数据!$A:$B,2,0),0)</f>
        <v>0</v>
      </c>
      <c r="C77" s="1">
        <f ca="1">IFERROR(VLOOKUP($A77,[1]库存使用数据!$A:$C,3,0),0)+IFERROR(VLOOKUP($A77,[2]库存使用数据!$A:$C,3,0),0)+IFERROR(VLOOKUP($A77,[3]库存使用数据!$A:$C,3,0),0)+IFERROR(VLOOKUP($A77,[4]库存使用数据!$A:$C,3,0),0)+IFERROR(VLOOKUP($A77,[5]库存使用数据!$A:$C,3,0),0)</f>
        <v>0</v>
      </c>
      <c r="D77" s="1">
        <f ca="1">IFERROR(VLOOKUP($A77,[1]库存使用数据!$A:$D,4,0),0)+IFERROR(VLOOKUP($A77,[2]库存使用数据!$A:$D,4,0),0)+公式!$B$1*IFERROR(VLOOKUP($A77,[3]库存使用数据!$A:$D,4,0),0)+IFERROR(VLOOKUP($A77,[4]库存使用数据!$A:$D,4,0),0)+IFERROR(VLOOKUP($A77,[5]库存使用数据!$A:$D,4,0),0)</f>
        <v>0</v>
      </c>
      <c r="E77" s="1">
        <f ca="1">IFERROR(VLOOKUP($A77,[1]库存使用数据!$A:$E,5,0),0)+IFERROR(VLOOKUP($A77,[2]库存使用数据!$A:$E,5,0),0)+IFERROR(VLOOKUP($A77,[3]库存使用数据!$A:$E,5,0),0)+IFERROR(VLOOKUP($A77,[4]库存使用数据!$A:$E,5,0),0)+IFERROR(VLOOKUP($A77,[5]库存使用数据!$A:$E,5,0),0)</f>
        <v>165</v>
      </c>
      <c r="F77" s="1">
        <f ca="1">IFERROR(VLOOKUP($A77,[1]库存使用数据!$A:$F,6,0),0)+IFERROR(VLOOKUP($A77,[2]库存使用数据!$A:$F,6,0),0)+IFERROR(VLOOKUP($A77,[4]库存使用数据!$A:$F,6,0),0)+IFERROR(VLOOKUP($A77,[3]库存使用数据!$A:$F,6,0),0)+IFERROR(VLOOKUP($A77,[5]库存使用数据!$A:$F,6,0),0)</f>
        <v>3</v>
      </c>
      <c r="G77" s="1">
        <f ca="1">IFERROR(VLOOKUP($A77,[1]库存使用数据!$A:$G,7,0),0)+IFERROR(VLOOKUP($A77,[2]库存使用数据!$A:$G,7,0),0)+公式!$B$14*IFERROR(VLOOKUP($A77,[3]库存使用数据!$A:$G,7,0),0)+IFERROR(VLOOKUP($A77,[4]库存使用数据!$A:$G,7,0),0)+IFERROR(VLOOKUP($A77,[5]库存使用数据!$A:$G,7,0),0)</f>
        <v>0.67</v>
      </c>
      <c r="H77" s="1">
        <f ca="1">IFERROR(VLOOKUP($A77,[1]库存使用数据!$A:$H,8,0),0)+IFERROR(VLOOKUP($A77,[2]库存使用数据!$A:$H,8,0),0)+IFERROR(VLOOKUP($A77,[3]库存使用数据!$A:$H,8,0),0)+IFERROR(VLOOKUP($A77,[4]库存使用数据!$A:$H,8,0),0)+IFERROR(VLOOKUP($A77,[5]库存使用数据!$A:$H,8,0),0)</f>
        <v>165</v>
      </c>
      <c r="I77" s="1">
        <f ca="1">IFERROR(VLOOKUP($A77,[1]库存使用数据!$A:$I,9,0),0)+IFERROR(VLOOKUP($A77,[2]库存使用数据!$A:$I,9,0),0)+IFERROR(VLOOKUP($A77,[3]库存使用数据!$A:$I,9,0),0)+IFERROR(VLOOKUP($A77,[4]库存使用数据!$A:$I,9,0),0)+IFERROR(VLOOKUP($A77,[5]库存使用数据!$A:$I,9,0),0)</f>
        <v>3</v>
      </c>
      <c r="J77" s="1">
        <f ca="1">IFERROR(VLOOKUP($A77,[1]库存使用数据!$A:$J,10,0),0)+IFERROR(VLOOKUP($A77,[2]库存使用数据!$A:$J,10,0),0)+公式!$B$14*IFERROR(VLOOKUP($A77,[3]库存使用数据!$A:$J,10,0),0)+IFERROR(VLOOKUP($A77,[4]库存使用数据!$A:$J,10,0),0)+IFERROR(VLOOKUP($A77,[5]库存使用数据!$A:$J,10,0),0)</f>
        <v>0.67</v>
      </c>
      <c r="K77" s="1">
        <f ca="1">IFERROR(VLOOKUP($A77,[1]库存使用数据!$A:$K,11,0),0)+IFERROR(VLOOKUP($A77,[2]库存使用数据!$A:$K,11,0),0)+IFERROR(VLOOKUP($A77,[3]库存使用数据!$A:$K,11,0),0)+IFERROR(VLOOKUP($A77,[4]库存使用数据!$A:$K,11,0),0)+IFERROR(VLOOKUP($A77,[5]库存使用数据!$A:$K,11,0),0)</f>
        <v>55</v>
      </c>
      <c r="L77" s="1">
        <f ca="1">IFERROR(VLOOKUP($A77,[1]库存使用数据!$A:$L,12,0),0)+IFERROR(VLOOKUP($A77,[2]库存使用数据!$A:$L,12,0),0)+IFERROR(VLOOKUP($A77,[3]库存使用数据!$A:$L,12,0),0)+IFERROR(VLOOKUP($A77,[4]库存使用数据!$A:$L,12,0),0)+IFERROR(VLOOKUP($A77,[5]库存使用数据!$A:$L,12,0),0)</f>
        <v>0</v>
      </c>
      <c r="M77" s="1">
        <f ca="1">IFERROR(VLOOKUP($A77,[1]库存使用数据!$A:$M,13,0),0)+IFERROR(VLOOKUP($A77,[2]库存使用数据!$A:$M,13,0),0)+公式!$B$14*IFERROR(VLOOKUP($A77,[3]库存使用数据!$A:$M,13,0),0)+IFERROR(VLOOKUP($A77,[4]库存使用数据!$A:$M,13,0),0)+IFERROR(VLOOKUP($A77,[5]库存使用数据!$A:$M,13,0),0)</f>
        <v>0</v>
      </c>
    </row>
    <row r="78" spans="1:13">
      <c r="A78" s="5" t="s">
        <v>83</v>
      </c>
      <c r="B78" s="2">
        <f ca="1">IFERROR(VLOOKUP(A78,[1]库存使用数据!$A:$B,2,0),0)+IFERROR(VLOOKUP(A78,[2]库存使用数据!$A:$B,2,0),0)+IFERROR(VLOOKUP(,[3]库存使用数据!$A:$B,2,0),0)+IFERROR(VLOOKUP(A78,[4]库存使用数据!$A:$B,2,0),0)+IFERROR(VLOOKUP(A78,[5]库存使用数据!$A:$B,2,0),0)</f>
        <v>0</v>
      </c>
      <c r="C78" s="1">
        <f ca="1">IFERROR(VLOOKUP($A78,[1]库存使用数据!$A:$C,3,0),0)+IFERROR(VLOOKUP($A78,[2]库存使用数据!$A:$C,3,0),0)+IFERROR(VLOOKUP($A78,[3]库存使用数据!$A:$C,3,0),0)+IFERROR(VLOOKUP($A78,[4]库存使用数据!$A:$C,3,0),0)+IFERROR(VLOOKUP($A78,[5]库存使用数据!$A:$C,3,0),0)</f>
        <v>0</v>
      </c>
      <c r="D78" s="1">
        <f ca="1">IFERROR(VLOOKUP($A78,[1]库存使用数据!$A:$D,4,0),0)+IFERROR(VLOOKUP($A78,[2]库存使用数据!$A:$D,4,0),0)+公式!$B$1*IFERROR(VLOOKUP($A78,[3]库存使用数据!$A:$D,4,0),0)+IFERROR(VLOOKUP($A78,[4]库存使用数据!$A:$D,4,0),0)+IFERROR(VLOOKUP($A78,[5]库存使用数据!$A:$D,4,0),0)</f>
        <v>0</v>
      </c>
      <c r="E78" s="1">
        <f ca="1">IFERROR(VLOOKUP($A78,[1]库存使用数据!$A:$E,5,0),0)+IFERROR(VLOOKUP($A78,[2]库存使用数据!$A:$E,5,0),0)+IFERROR(VLOOKUP($A78,[3]库存使用数据!$A:$E,5,0),0)+IFERROR(VLOOKUP($A78,[4]库存使用数据!$A:$E,5,0),0)+IFERROR(VLOOKUP($A78,[5]库存使用数据!$A:$E,5,0),0)</f>
        <v>0</v>
      </c>
      <c r="F78" s="1">
        <f ca="1">IFERROR(VLOOKUP($A78,[1]库存使用数据!$A:$F,6,0),0)+IFERROR(VLOOKUP($A78,[2]库存使用数据!$A:$F,6,0),0)+IFERROR(VLOOKUP($A78,[4]库存使用数据!$A:$F,6,0),0)+IFERROR(VLOOKUP($A78,[3]库存使用数据!$A:$F,6,0),0)+IFERROR(VLOOKUP($A78,[5]库存使用数据!$A:$F,6,0),0)</f>
        <v>0</v>
      </c>
      <c r="G78" s="1">
        <f ca="1">IFERROR(VLOOKUP($A78,[1]库存使用数据!$A:$G,7,0),0)+IFERROR(VLOOKUP($A78,[2]库存使用数据!$A:$G,7,0),0)+公式!$B$14*IFERROR(VLOOKUP($A78,[3]库存使用数据!$A:$G,7,0),0)+IFERROR(VLOOKUP($A78,[4]库存使用数据!$A:$G,7,0),0)+IFERROR(VLOOKUP($A78,[5]库存使用数据!$A:$G,7,0),0)</f>
        <v>0</v>
      </c>
      <c r="H78" s="1">
        <f ca="1">IFERROR(VLOOKUP($A78,[1]库存使用数据!$A:$H,8,0),0)+IFERROR(VLOOKUP($A78,[2]库存使用数据!$A:$H,8,0),0)+IFERROR(VLOOKUP($A78,[3]库存使用数据!$A:$H,8,0),0)+IFERROR(VLOOKUP($A78,[4]库存使用数据!$A:$H,8,0),0)+IFERROR(VLOOKUP($A78,[5]库存使用数据!$A:$H,8,0),0)</f>
        <v>0</v>
      </c>
      <c r="I78" s="1">
        <f ca="1">IFERROR(VLOOKUP($A78,[1]库存使用数据!$A:$I,9,0),0)+IFERROR(VLOOKUP($A78,[2]库存使用数据!$A:$I,9,0),0)+IFERROR(VLOOKUP($A78,[3]库存使用数据!$A:$I,9,0),0)+IFERROR(VLOOKUP($A78,[4]库存使用数据!$A:$I,9,0),0)+IFERROR(VLOOKUP($A78,[5]库存使用数据!$A:$I,9,0),0)</f>
        <v>0</v>
      </c>
      <c r="J78" s="1">
        <f ca="1">IFERROR(VLOOKUP($A78,[1]库存使用数据!$A:$J,10,0),0)+IFERROR(VLOOKUP($A78,[2]库存使用数据!$A:$J,10,0),0)+公式!$B$14*IFERROR(VLOOKUP($A78,[3]库存使用数据!$A:$J,10,0),0)+IFERROR(VLOOKUP($A78,[4]库存使用数据!$A:$J,10,0),0)+IFERROR(VLOOKUP($A78,[5]库存使用数据!$A:$J,10,0),0)</f>
        <v>0</v>
      </c>
      <c r="K78" s="1">
        <f ca="1">IFERROR(VLOOKUP($A78,[1]库存使用数据!$A:$K,11,0),0)+IFERROR(VLOOKUP($A78,[2]库存使用数据!$A:$K,11,0),0)+IFERROR(VLOOKUP($A78,[3]库存使用数据!$A:$K,11,0),0)+IFERROR(VLOOKUP($A78,[4]库存使用数据!$A:$K,11,0),0)+IFERROR(VLOOKUP($A78,[5]库存使用数据!$A:$K,11,0),0)</f>
        <v>0</v>
      </c>
      <c r="L78" s="1">
        <f ca="1">IFERROR(VLOOKUP($A78,[1]库存使用数据!$A:$L,12,0),0)+IFERROR(VLOOKUP($A78,[2]库存使用数据!$A:$L,12,0),0)+IFERROR(VLOOKUP($A78,[3]库存使用数据!$A:$L,12,0),0)+IFERROR(VLOOKUP($A78,[4]库存使用数据!$A:$L,12,0),0)+IFERROR(VLOOKUP($A78,[5]库存使用数据!$A:$L,12,0),0)</f>
        <v>0</v>
      </c>
      <c r="M78" s="1">
        <f ca="1">IFERROR(VLOOKUP($A78,[1]库存使用数据!$A:$M,13,0),0)+IFERROR(VLOOKUP($A78,[2]库存使用数据!$A:$M,13,0),0)+公式!$B$14*IFERROR(VLOOKUP($A78,[3]库存使用数据!$A:$M,13,0),0)+IFERROR(VLOOKUP($A78,[4]库存使用数据!$A:$M,13,0),0)+IFERROR(VLOOKUP($A78,[5]库存使用数据!$A:$M,13,0),0)</f>
        <v>0</v>
      </c>
    </row>
    <row r="79" spans="1:13">
      <c r="A79" s="5" t="s">
        <v>84</v>
      </c>
      <c r="B79" s="2">
        <f ca="1">IFERROR(VLOOKUP(A79,[1]库存使用数据!$A:$B,2,0),0)+IFERROR(VLOOKUP(A79,[2]库存使用数据!$A:$B,2,0),0)+IFERROR(VLOOKUP(,[3]库存使用数据!$A:$B,2,0),0)+IFERROR(VLOOKUP(A79,[4]库存使用数据!$A:$B,2,0),0)+IFERROR(VLOOKUP(A79,[5]库存使用数据!$A:$B,2,0),0)</f>
        <v>317</v>
      </c>
      <c r="C79" s="1">
        <f ca="1">IFERROR(VLOOKUP($A79,[1]库存使用数据!$A:$C,3,0),0)+IFERROR(VLOOKUP($A79,[2]库存使用数据!$A:$C,3,0),0)+IFERROR(VLOOKUP($A79,[3]库存使用数据!$A:$C,3,0),0)+IFERROR(VLOOKUP($A79,[4]库存使用数据!$A:$C,3,0),0)+IFERROR(VLOOKUP($A79,[5]库存使用数据!$A:$C,3,0),0)</f>
        <v>0</v>
      </c>
      <c r="D79" s="1">
        <f ca="1">IFERROR(VLOOKUP($A79,[1]库存使用数据!$A:$D,4,0),0)+IFERROR(VLOOKUP($A79,[2]库存使用数据!$A:$D,4,0),0)+公式!$B$1*IFERROR(VLOOKUP($A79,[3]库存使用数据!$A:$D,4,0),0)+IFERROR(VLOOKUP($A79,[4]库存使用数据!$A:$D,4,0),0)+IFERROR(VLOOKUP($A79,[5]库存使用数据!$A:$D,4,0),0)</f>
        <v>0</v>
      </c>
      <c r="E79" s="1">
        <f ca="1">IFERROR(VLOOKUP($A79,[1]库存使用数据!$A:$E,5,0),0)+IFERROR(VLOOKUP($A79,[2]库存使用数据!$A:$E,5,0),0)+IFERROR(VLOOKUP($A79,[3]库存使用数据!$A:$E,5,0),0)+IFERROR(VLOOKUP($A79,[4]库存使用数据!$A:$E,5,0),0)+IFERROR(VLOOKUP($A79,[5]库存使用数据!$A:$E,5,0),0)</f>
        <v>3861</v>
      </c>
      <c r="F79" s="1">
        <f ca="1">IFERROR(VLOOKUP($A79,[1]库存使用数据!$A:$F,6,0),0)+IFERROR(VLOOKUP($A79,[2]库存使用数据!$A:$F,6,0),0)+IFERROR(VLOOKUP($A79,[4]库存使用数据!$A:$F,6,0),0)+IFERROR(VLOOKUP($A79,[3]库存使用数据!$A:$F,6,0),0)+IFERROR(VLOOKUP($A79,[5]库存使用数据!$A:$F,6,0),0)</f>
        <v>12</v>
      </c>
      <c r="G79" s="1">
        <f ca="1">IFERROR(VLOOKUP($A79,[1]库存使用数据!$A:$G,7,0),0)+IFERROR(VLOOKUP($A79,[2]库存使用数据!$A:$G,7,0),0)+公式!$B$14*IFERROR(VLOOKUP($A79,[3]库存使用数据!$A:$G,7,0),0)+IFERROR(VLOOKUP($A79,[4]库存使用数据!$A:$G,7,0),0)+IFERROR(VLOOKUP($A79,[5]库存使用数据!$A:$G,7,0),0)</f>
        <v>2</v>
      </c>
      <c r="H79" s="1">
        <f ca="1">IFERROR(VLOOKUP($A79,[1]库存使用数据!$A:$H,8,0),0)+IFERROR(VLOOKUP($A79,[2]库存使用数据!$A:$H,8,0),0)+IFERROR(VLOOKUP($A79,[3]库存使用数据!$A:$H,8,0),0)+IFERROR(VLOOKUP($A79,[4]库存使用数据!$A:$H,8,0),0)+IFERROR(VLOOKUP($A79,[5]库存使用数据!$A:$H,8,0),0)</f>
        <v>2892</v>
      </c>
      <c r="I79" s="1">
        <f ca="1">IFERROR(VLOOKUP($A79,[1]库存使用数据!$A:$I,9,0),0)+IFERROR(VLOOKUP($A79,[2]库存使用数据!$A:$I,9,0),0)+IFERROR(VLOOKUP($A79,[3]库存使用数据!$A:$I,9,0),0)+IFERROR(VLOOKUP($A79,[4]库存使用数据!$A:$I,9,0),0)+IFERROR(VLOOKUP($A79,[5]库存使用数据!$A:$I,9,0),0)</f>
        <v>9</v>
      </c>
      <c r="J79" s="1">
        <f ca="1">IFERROR(VLOOKUP($A79,[1]库存使用数据!$A:$J,10,0),0)+IFERROR(VLOOKUP($A79,[2]库存使用数据!$A:$J,10,0),0)+公式!$B$14*IFERROR(VLOOKUP($A79,[3]库存使用数据!$A:$J,10,0),0)+IFERROR(VLOOKUP($A79,[4]库存使用数据!$A:$J,10,0),0)+IFERROR(VLOOKUP($A79,[5]库存使用数据!$A:$J,10,0),0)</f>
        <v>1.68</v>
      </c>
      <c r="K79" s="1">
        <f ca="1">IFERROR(VLOOKUP($A79,[1]库存使用数据!$A:$K,11,0),0)+IFERROR(VLOOKUP($A79,[2]库存使用数据!$A:$K,11,0),0)+IFERROR(VLOOKUP($A79,[3]库存使用数据!$A:$K,11,0),0)+IFERROR(VLOOKUP($A79,[4]库存使用数据!$A:$K,11,0),0)+IFERROR(VLOOKUP($A79,[5]库存使用数据!$A:$K,11,0),0)</f>
        <v>1382</v>
      </c>
      <c r="L79" s="1">
        <f ca="1">IFERROR(VLOOKUP($A79,[1]库存使用数据!$A:$L,12,0),0)+IFERROR(VLOOKUP($A79,[2]库存使用数据!$A:$L,12,0),0)+IFERROR(VLOOKUP($A79,[3]库存使用数据!$A:$L,12,0),0)+IFERROR(VLOOKUP($A79,[4]库存使用数据!$A:$L,12,0),0)+IFERROR(VLOOKUP($A79,[5]库存使用数据!$A:$L,12,0),0)</f>
        <v>5</v>
      </c>
      <c r="M79" s="1">
        <f ca="1">IFERROR(VLOOKUP($A79,[1]库存使用数据!$A:$M,13,0),0)+IFERROR(VLOOKUP($A79,[2]库存使用数据!$A:$M,13,0),0)+公式!$B$14*IFERROR(VLOOKUP($A79,[3]库存使用数据!$A:$M,13,0),0)+IFERROR(VLOOKUP($A79,[4]库存使用数据!$A:$M,13,0),0)+IFERROR(VLOOKUP($A79,[5]库存使用数据!$A:$M,13,0),0)</f>
        <v>0.79</v>
      </c>
    </row>
    <row r="80" spans="1:13">
      <c r="A80" s="5" t="s">
        <v>85</v>
      </c>
      <c r="B80" s="2">
        <f ca="1">IFERROR(VLOOKUP(A80,[1]库存使用数据!$A:$B,2,0),0)+IFERROR(VLOOKUP(A80,[2]库存使用数据!$A:$B,2,0),0)+IFERROR(VLOOKUP(,[3]库存使用数据!$A:$B,2,0),0)+IFERROR(VLOOKUP(A80,[4]库存使用数据!$A:$B,2,0),0)+IFERROR(VLOOKUP(A80,[5]库存使用数据!$A:$B,2,0),0)</f>
        <v>75</v>
      </c>
      <c r="C80" s="1">
        <f ca="1">IFERROR(VLOOKUP($A80,[1]库存使用数据!$A:$C,3,0),0)+IFERROR(VLOOKUP($A80,[2]库存使用数据!$A:$C,3,0),0)+IFERROR(VLOOKUP($A80,[3]库存使用数据!$A:$C,3,0),0)+IFERROR(VLOOKUP($A80,[4]库存使用数据!$A:$C,3,0),0)+IFERROR(VLOOKUP($A80,[5]库存使用数据!$A:$C,3,0),0)</f>
        <v>0</v>
      </c>
      <c r="D80" s="1">
        <f ca="1">IFERROR(VLOOKUP($A80,[1]库存使用数据!$A:$D,4,0),0)+IFERROR(VLOOKUP($A80,[2]库存使用数据!$A:$D,4,0),0)+公式!$B$1*IFERROR(VLOOKUP($A80,[3]库存使用数据!$A:$D,4,0),0)+IFERROR(VLOOKUP($A80,[4]库存使用数据!$A:$D,4,0),0)+IFERROR(VLOOKUP($A80,[5]库存使用数据!$A:$D,4,0),0)</f>
        <v>0</v>
      </c>
      <c r="E80" s="1">
        <f ca="1">IFERROR(VLOOKUP($A80,[1]库存使用数据!$A:$E,5,0),0)+IFERROR(VLOOKUP($A80,[2]库存使用数据!$A:$E,5,0),0)+IFERROR(VLOOKUP($A80,[3]库存使用数据!$A:$E,5,0),0)+IFERROR(VLOOKUP($A80,[4]库存使用数据!$A:$E,5,0),0)+IFERROR(VLOOKUP($A80,[5]库存使用数据!$A:$E,5,0),0)</f>
        <v>1277</v>
      </c>
      <c r="F80" s="1">
        <f ca="1">IFERROR(VLOOKUP($A80,[1]库存使用数据!$A:$F,6,0),0)+IFERROR(VLOOKUP($A80,[2]库存使用数据!$A:$F,6,0),0)+IFERROR(VLOOKUP($A80,[4]库存使用数据!$A:$F,6,0),0)+IFERROR(VLOOKUP($A80,[3]库存使用数据!$A:$F,6,0),0)+IFERROR(VLOOKUP($A80,[5]库存使用数据!$A:$F,6,0),0)</f>
        <v>7</v>
      </c>
      <c r="G80" s="1">
        <f ca="1">IFERROR(VLOOKUP($A80,[1]库存使用数据!$A:$G,7,0),0)+IFERROR(VLOOKUP($A80,[2]库存使用数据!$A:$G,7,0),0)+公式!$B$14*IFERROR(VLOOKUP($A80,[3]库存使用数据!$A:$G,7,0),0)+IFERROR(VLOOKUP($A80,[4]库存使用数据!$A:$G,7,0),0)+IFERROR(VLOOKUP($A80,[5]库存使用数据!$A:$G,7,0),0)</f>
        <v>1.79</v>
      </c>
      <c r="H80" s="1">
        <f ca="1">IFERROR(VLOOKUP($A80,[1]库存使用数据!$A:$H,8,0),0)+IFERROR(VLOOKUP($A80,[2]库存使用数据!$A:$H,8,0),0)+IFERROR(VLOOKUP($A80,[3]库存使用数据!$A:$H,8,0),0)+IFERROR(VLOOKUP($A80,[4]库存使用数据!$A:$H,8,0),0)+IFERROR(VLOOKUP($A80,[5]库存使用数据!$A:$H,8,0),0)</f>
        <v>590</v>
      </c>
      <c r="I80" s="1">
        <f ca="1">IFERROR(VLOOKUP($A80,[1]库存使用数据!$A:$I,9,0),0)+IFERROR(VLOOKUP($A80,[2]库存使用数据!$A:$I,9,0),0)+IFERROR(VLOOKUP($A80,[3]库存使用数据!$A:$I,9,0),0)+IFERROR(VLOOKUP($A80,[4]库存使用数据!$A:$I,9,0),0)+IFERROR(VLOOKUP($A80,[5]库存使用数据!$A:$I,9,0),0)</f>
        <v>1</v>
      </c>
      <c r="J80" s="1">
        <f ca="1">IFERROR(VLOOKUP($A80,[1]库存使用数据!$A:$J,10,0),0)+IFERROR(VLOOKUP($A80,[2]库存使用数据!$A:$J,10,0),0)+公式!$B$14*IFERROR(VLOOKUP($A80,[3]库存使用数据!$A:$J,10,0),0)+IFERROR(VLOOKUP($A80,[4]库存使用数据!$A:$J,10,0),0)+IFERROR(VLOOKUP($A80,[5]库存使用数据!$A:$J,10,0),0)</f>
        <v>0.19</v>
      </c>
      <c r="K80" s="1">
        <f ca="1">IFERROR(VLOOKUP($A80,[1]库存使用数据!$A:$K,11,0),0)+IFERROR(VLOOKUP($A80,[2]库存使用数据!$A:$K,11,0),0)+IFERROR(VLOOKUP($A80,[3]库存使用数据!$A:$K,11,0),0)+IFERROR(VLOOKUP($A80,[4]库存使用数据!$A:$K,11,0),0)+IFERROR(VLOOKUP($A80,[5]库存使用数据!$A:$K,11,0),0)</f>
        <v>1904</v>
      </c>
      <c r="L80" s="1">
        <f ca="1">IFERROR(VLOOKUP($A80,[1]库存使用数据!$A:$L,12,0),0)+IFERROR(VLOOKUP($A80,[2]库存使用数据!$A:$L,12,0),0)+IFERROR(VLOOKUP($A80,[3]库存使用数据!$A:$L,12,0),0)+IFERROR(VLOOKUP($A80,[4]库存使用数据!$A:$L,12,0),0)+IFERROR(VLOOKUP($A80,[5]库存使用数据!$A:$L,12,0),0)</f>
        <v>6</v>
      </c>
      <c r="M80" s="1">
        <f ca="1">IFERROR(VLOOKUP($A80,[1]库存使用数据!$A:$M,13,0),0)+IFERROR(VLOOKUP($A80,[2]库存使用数据!$A:$M,13,0),0)+公式!$B$14*IFERROR(VLOOKUP($A80,[3]库存使用数据!$A:$M,13,0),0)+IFERROR(VLOOKUP($A80,[4]库存使用数据!$A:$M,13,0),0)+IFERROR(VLOOKUP($A80,[5]库存使用数据!$A:$M,13,0),0)</f>
        <v>1.21</v>
      </c>
    </row>
    <row r="81" spans="1:13">
      <c r="A81" s="5" t="s">
        <v>86</v>
      </c>
      <c r="B81" s="2">
        <f ca="1">IFERROR(VLOOKUP(A81,[1]库存使用数据!$A:$B,2,0),0)+IFERROR(VLOOKUP(A81,[2]库存使用数据!$A:$B,2,0),0)+IFERROR(VLOOKUP(,[3]库存使用数据!$A:$B,2,0),0)+IFERROR(VLOOKUP(A81,[4]库存使用数据!$A:$B,2,0),0)+IFERROR(VLOOKUP(A81,[5]库存使用数据!$A:$B,2,0),0)</f>
        <v>302</v>
      </c>
      <c r="C81" s="1">
        <f ca="1">IFERROR(VLOOKUP($A81,[1]库存使用数据!$A:$C,3,0),0)+IFERROR(VLOOKUP($A81,[2]库存使用数据!$A:$C,3,0),0)+IFERROR(VLOOKUP($A81,[3]库存使用数据!$A:$C,3,0),0)+IFERROR(VLOOKUP($A81,[4]库存使用数据!$A:$C,3,0),0)+IFERROR(VLOOKUP($A81,[5]库存使用数据!$A:$C,3,0),0)</f>
        <v>2</v>
      </c>
      <c r="D81" s="1">
        <f ca="1">IFERROR(VLOOKUP($A81,[1]库存使用数据!$A:$D,4,0),0)+IFERROR(VLOOKUP($A81,[2]库存使用数据!$A:$D,4,0),0)+公式!$B$1*IFERROR(VLOOKUP($A81,[3]库存使用数据!$A:$D,4,0),0)+IFERROR(VLOOKUP($A81,[4]库存使用数据!$A:$D,4,0),0)+IFERROR(VLOOKUP($A81,[5]库存使用数据!$A:$D,4,0),0)</f>
        <v>0.55</v>
      </c>
      <c r="E81" s="1">
        <f ca="1">IFERROR(VLOOKUP($A81,[1]库存使用数据!$A:$E,5,0),0)+IFERROR(VLOOKUP($A81,[2]库存使用数据!$A:$E,5,0),0)+IFERROR(VLOOKUP($A81,[3]库存使用数据!$A:$E,5,0),0)+IFERROR(VLOOKUP($A81,[4]库存使用数据!$A:$E,5,0),0)+IFERROR(VLOOKUP($A81,[5]库存使用数据!$A:$E,5,0),0)</f>
        <v>2460</v>
      </c>
      <c r="F81" s="1">
        <f ca="1">IFERROR(VLOOKUP($A81,[1]库存使用数据!$A:$F,6,0),0)+IFERROR(VLOOKUP($A81,[2]库存使用数据!$A:$F,6,0),0)+IFERROR(VLOOKUP($A81,[4]库存使用数据!$A:$F,6,0),0)+IFERROR(VLOOKUP($A81,[3]库存使用数据!$A:$F,6,0),0)+IFERROR(VLOOKUP($A81,[5]库存使用数据!$A:$F,6,0),0)</f>
        <v>4</v>
      </c>
      <c r="G81" s="1">
        <f ca="1">IFERROR(VLOOKUP($A81,[1]库存使用数据!$A:$G,7,0),0)+IFERROR(VLOOKUP($A81,[2]库存使用数据!$A:$G,7,0),0)+公式!$B$14*IFERROR(VLOOKUP($A81,[3]库存使用数据!$A:$G,7,0),0)+IFERROR(VLOOKUP($A81,[4]库存使用数据!$A:$G,7,0),0)+IFERROR(VLOOKUP($A81,[5]库存使用数据!$A:$G,7,0),0)</f>
        <v>0.83</v>
      </c>
      <c r="H81" s="1">
        <f ca="1">IFERROR(VLOOKUP($A81,[1]库存使用数据!$A:$H,8,0),0)+IFERROR(VLOOKUP($A81,[2]库存使用数据!$A:$H,8,0),0)+IFERROR(VLOOKUP($A81,[3]库存使用数据!$A:$H,8,0),0)+IFERROR(VLOOKUP($A81,[4]库存使用数据!$A:$H,8,0),0)+IFERROR(VLOOKUP($A81,[5]库存使用数据!$A:$H,8,0),0)</f>
        <v>1980</v>
      </c>
      <c r="I81" s="1">
        <f ca="1">IFERROR(VLOOKUP($A81,[1]库存使用数据!$A:$I,9,0),0)+IFERROR(VLOOKUP($A81,[2]库存使用数据!$A:$I,9,0),0)+IFERROR(VLOOKUP($A81,[3]库存使用数据!$A:$I,9,0),0)+IFERROR(VLOOKUP($A81,[4]库存使用数据!$A:$I,9,0),0)+IFERROR(VLOOKUP($A81,[5]库存使用数据!$A:$I,9,0),0)</f>
        <v>4</v>
      </c>
      <c r="J81" s="1">
        <f ca="1">IFERROR(VLOOKUP($A81,[1]库存使用数据!$A:$J,10,0),0)+IFERROR(VLOOKUP($A81,[2]库存使用数据!$A:$J,10,0),0)+公式!$B$14*IFERROR(VLOOKUP($A81,[3]库存使用数据!$A:$J,10,0),0)+IFERROR(VLOOKUP($A81,[4]库存使用数据!$A:$J,10,0),0)+IFERROR(VLOOKUP($A81,[5]库存使用数据!$A:$J,10,0),0)</f>
        <v>0.86</v>
      </c>
      <c r="K81" s="1">
        <f ca="1">IFERROR(VLOOKUP($A81,[1]库存使用数据!$A:$K,11,0),0)+IFERROR(VLOOKUP($A81,[2]库存使用数据!$A:$K,11,0),0)+IFERROR(VLOOKUP($A81,[3]库存使用数据!$A:$K,11,0),0)+IFERROR(VLOOKUP($A81,[4]库存使用数据!$A:$K,11,0),0)+IFERROR(VLOOKUP($A81,[5]库存使用数据!$A:$K,11,0),0)</f>
        <v>12187</v>
      </c>
      <c r="L81" s="1">
        <f ca="1">IFERROR(VLOOKUP($A81,[1]库存使用数据!$A:$L,12,0),0)+IFERROR(VLOOKUP($A81,[2]库存使用数据!$A:$L,12,0),0)+IFERROR(VLOOKUP($A81,[3]库存使用数据!$A:$L,12,0),0)+IFERROR(VLOOKUP($A81,[4]库存使用数据!$A:$L,12,0),0)+IFERROR(VLOOKUP($A81,[5]库存使用数据!$A:$L,12,0),0)</f>
        <v>19</v>
      </c>
      <c r="M81" s="1">
        <f ca="1">IFERROR(VLOOKUP($A81,[1]库存使用数据!$A:$M,13,0),0)+IFERROR(VLOOKUP($A81,[2]库存使用数据!$A:$M,13,0),0)+公式!$B$14*IFERROR(VLOOKUP($A81,[3]库存使用数据!$A:$M,13,0),0)+IFERROR(VLOOKUP($A81,[4]库存使用数据!$A:$M,13,0),0)+IFERROR(VLOOKUP($A81,[5]库存使用数据!$A:$M,13,0),0)</f>
        <v>4.15</v>
      </c>
    </row>
    <row r="82" spans="1:13">
      <c r="A82" s="5" t="s">
        <v>87</v>
      </c>
      <c r="B82" s="2">
        <f ca="1">IFERROR(VLOOKUP(A82,[1]库存使用数据!$A:$B,2,0),0)+IFERROR(VLOOKUP(A82,[2]库存使用数据!$A:$B,2,0),0)+IFERROR(VLOOKUP(,[3]库存使用数据!$A:$B,2,0),0)+IFERROR(VLOOKUP(A82,[4]库存使用数据!$A:$B,2,0),0)+IFERROR(VLOOKUP(A82,[5]库存使用数据!$A:$B,2,0),0)</f>
        <v>1528</v>
      </c>
      <c r="C82" s="1">
        <f ca="1">IFERROR(VLOOKUP($A82,[1]库存使用数据!$A:$C,3,0),0)+IFERROR(VLOOKUP($A82,[2]库存使用数据!$A:$C,3,0),0)+IFERROR(VLOOKUP($A82,[3]库存使用数据!$A:$C,3,0),0)+IFERROR(VLOOKUP($A82,[4]库存使用数据!$A:$C,3,0),0)+IFERROR(VLOOKUP($A82,[5]库存使用数据!$A:$C,3,0),0)</f>
        <v>10</v>
      </c>
      <c r="D82" s="1">
        <f ca="1">IFERROR(VLOOKUP($A82,[1]库存使用数据!$A:$D,4,0),0)+IFERROR(VLOOKUP($A82,[2]库存使用数据!$A:$D,4,0),0)+公式!$B$1*IFERROR(VLOOKUP($A82,[3]库存使用数据!$A:$D,4,0),0)+IFERROR(VLOOKUP($A82,[4]库存使用数据!$A:$D,4,0),0)+IFERROR(VLOOKUP($A82,[5]库存使用数据!$A:$D,4,0),0)</f>
        <v>1.46</v>
      </c>
      <c r="E82" s="1">
        <f ca="1">IFERROR(VLOOKUP($A82,[1]库存使用数据!$A:$E,5,0),0)+IFERROR(VLOOKUP($A82,[2]库存使用数据!$A:$E,5,0),0)+IFERROR(VLOOKUP($A82,[3]库存使用数据!$A:$E,5,0),0)+IFERROR(VLOOKUP($A82,[4]库存使用数据!$A:$E,5,0),0)+IFERROR(VLOOKUP($A82,[5]库存使用数据!$A:$E,5,0),0)</f>
        <v>10161</v>
      </c>
      <c r="F82" s="1">
        <f ca="1">IFERROR(VLOOKUP($A82,[1]库存使用数据!$A:$F,6,0),0)+IFERROR(VLOOKUP($A82,[2]库存使用数据!$A:$F,6,0),0)+IFERROR(VLOOKUP($A82,[4]库存使用数据!$A:$F,6,0),0)+IFERROR(VLOOKUP($A82,[3]库存使用数据!$A:$F,6,0),0)+IFERROR(VLOOKUP($A82,[5]库存使用数据!$A:$F,6,0),0)</f>
        <v>26</v>
      </c>
      <c r="G82" s="1">
        <f ca="1">IFERROR(VLOOKUP($A82,[1]库存使用数据!$A:$G,7,0),0)+IFERROR(VLOOKUP($A82,[2]库存使用数据!$A:$G,7,0),0)+公式!$B$14*IFERROR(VLOOKUP($A82,[3]库存使用数据!$A:$G,7,0),0)+IFERROR(VLOOKUP($A82,[4]库存使用数据!$A:$G,7,0),0)+IFERROR(VLOOKUP($A82,[5]库存使用数据!$A:$G,7,0),0)</f>
        <v>4.52</v>
      </c>
      <c r="H82" s="1">
        <f ca="1">IFERROR(VLOOKUP($A82,[1]库存使用数据!$A:$H,8,0),0)+IFERROR(VLOOKUP($A82,[2]库存使用数据!$A:$H,8,0),0)+IFERROR(VLOOKUP($A82,[3]库存使用数据!$A:$H,8,0),0)+IFERROR(VLOOKUP($A82,[4]库存使用数据!$A:$H,8,0),0)+IFERROR(VLOOKUP($A82,[5]库存使用数据!$A:$H,8,0),0)</f>
        <v>2085</v>
      </c>
      <c r="I82" s="1">
        <f ca="1">IFERROR(VLOOKUP($A82,[1]库存使用数据!$A:$I,9,0),0)+IFERROR(VLOOKUP($A82,[2]库存使用数据!$A:$I,9,0),0)+IFERROR(VLOOKUP($A82,[3]库存使用数据!$A:$I,9,0),0)+IFERROR(VLOOKUP($A82,[4]库存使用数据!$A:$I,9,0),0)+IFERROR(VLOOKUP($A82,[5]库存使用数据!$A:$I,9,0),0)</f>
        <v>11</v>
      </c>
      <c r="J82" s="1">
        <f ca="1">IFERROR(VLOOKUP($A82,[1]库存使用数据!$A:$J,10,0),0)+IFERROR(VLOOKUP($A82,[2]库存使用数据!$A:$J,10,0),0)+公式!$B$14*IFERROR(VLOOKUP($A82,[3]库存使用数据!$A:$J,10,0),0)+IFERROR(VLOOKUP($A82,[4]库存使用数据!$A:$J,10,0),0)+IFERROR(VLOOKUP($A82,[5]库存使用数据!$A:$J,10,0),0)</f>
        <v>2.24</v>
      </c>
      <c r="K82" s="1">
        <f ca="1">IFERROR(VLOOKUP($A82,[1]库存使用数据!$A:$K,11,0),0)+IFERROR(VLOOKUP($A82,[2]库存使用数据!$A:$K,11,0),0)+IFERROR(VLOOKUP($A82,[3]库存使用数据!$A:$K,11,0),0)+IFERROR(VLOOKUP($A82,[4]库存使用数据!$A:$K,11,0),0)+IFERROR(VLOOKUP($A82,[5]库存使用数据!$A:$K,11,0),0)</f>
        <v>3841</v>
      </c>
      <c r="L82" s="1">
        <f ca="1">IFERROR(VLOOKUP($A82,[1]库存使用数据!$A:$L,12,0),0)+IFERROR(VLOOKUP($A82,[2]库存使用数据!$A:$L,12,0),0)+IFERROR(VLOOKUP($A82,[3]库存使用数据!$A:$L,12,0),0)+IFERROR(VLOOKUP($A82,[4]库存使用数据!$A:$L,12,0),0)+IFERROR(VLOOKUP($A82,[5]库存使用数据!$A:$L,12,0),0)</f>
        <v>18</v>
      </c>
      <c r="M82" s="1">
        <f ca="1">IFERROR(VLOOKUP($A82,[1]库存使用数据!$A:$M,13,0),0)+IFERROR(VLOOKUP($A82,[2]库存使用数据!$A:$M,13,0),0)+公式!$B$14*IFERROR(VLOOKUP($A82,[3]库存使用数据!$A:$M,13,0),0)+IFERROR(VLOOKUP($A82,[4]库存使用数据!$A:$M,13,0),0)+IFERROR(VLOOKUP($A82,[5]库存使用数据!$A:$M,13,0),0)</f>
        <v>2.89</v>
      </c>
    </row>
    <row r="83" spans="1:13">
      <c r="A83" s="5" t="s">
        <v>88</v>
      </c>
      <c r="B83" s="2">
        <f ca="1">IFERROR(VLOOKUP(A83,[1]库存使用数据!$A:$B,2,0),0)+IFERROR(VLOOKUP(A83,[2]库存使用数据!$A:$B,2,0),0)+IFERROR(VLOOKUP(,[3]库存使用数据!$A:$B,2,0),0)+IFERROR(VLOOKUP(A83,[4]库存使用数据!$A:$B,2,0),0)+IFERROR(VLOOKUP(A83,[5]库存使用数据!$A:$B,2,0),0)</f>
        <v>1563</v>
      </c>
      <c r="C83" s="1">
        <f ca="1">IFERROR(VLOOKUP($A83,[1]库存使用数据!$A:$C,3,0),0)+IFERROR(VLOOKUP($A83,[2]库存使用数据!$A:$C,3,0),0)+IFERROR(VLOOKUP($A83,[3]库存使用数据!$A:$C,3,0),0)+IFERROR(VLOOKUP($A83,[4]库存使用数据!$A:$C,3,0),0)+IFERROR(VLOOKUP($A83,[5]库存使用数据!$A:$C,3,0),0)</f>
        <v>5</v>
      </c>
      <c r="D83" s="1">
        <f ca="1">IFERROR(VLOOKUP($A83,[1]库存使用数据!$A:$D,4,0),0)+IFERROR(VLOOKUP($A83,[2]库存使用数据!$A:$D,4,0),0)+公式!$B$1*IFERROR(VLOOKUP($A83,[3]库存使用数据!$A:$D,4,0),0)+IFERROR(VLOOKUP($A83,[4]库存使用数据!$A:$D,4,0),0)+IFERROR(VLOOKUP($A83,[5]库存使用数据!$A:$D,4,0),0)</f>
        <v>0.77875</v>
      </c>
      <c r="E83" s="1">
        <f ca="1">IFERROR(VLOOKUP($A83,[1]库存使用数据!$A:$E,5,0),0)+IFERROR(VLOOKUP($A83,[2]库存使用数据!$A:$E,5,0),0)+IFERROR(VLOOKUP($A83,[3]库存使用数据!$A:$E,5,0),0)+IFERROR(VLOOKUP($A83,[4]库存使用数据!$A:$E,5,0),0)+IFERROR(VLOOKUP($A83,[5]库存使用数据!$A:$E,5,0),0)</f>
        <v>6107</v>
      </c>
      <c r="F83" s="1">
        <f ca="1">IFERROR(VLOOKUP($A83,[1]库存使用数据!$A:$F,6,0),0)+IFERROR(VLOOKUP($A83,[2]库存使用数据!$A:$F,6,0),0)+IFERROR(VLOOKUP($A83,[4]库存使用数据!$A:$F,6,0),0)+IFERROR(VLOOKUP($A83,[3]库存使用数据!$A:$F,6,0),0)+IFERROR(VLOOKUP($A83,[5]库存使用数据!$A:$F,6,0),0)</f>
        <v>27</v>
      </c>
      <c r="G83" s="1">
        <f ca="1">IFERROR(VLOOKUP($A83,[1]库存使用数据!$A:$G,7,0),0)+IFERROR(VLOOKUP($A83,[2]库存使用数据!$A:$G,7,0),0)+公式!$B$14*IFERROR(VLOOKUP($A83,[3]库存使用数据!$A:$G,7,0),0)+IFERROR(VLOOKUP($A83,[4]库存使用数据!$A:$G,7,0),0)+IFERROR(VLOOKUP($A83,[5]库存使用数据!$A:$G,7,0),0)</f>
        <v>4.57</v>
      </c>
      <c r="H83" s="1">
        <f ca="1">IFERROR(VLOOKUP($A83,[1]库存使用数据!$A:$H,8,0),0)+IFERROR(VLOOKUP($A83,[2]库存使用数据!$A:$H,8,0),0)+IFERROR(VLOOKUP($A83,[3]库存使用数据!$A:$H,8,0),0)+IFERROR(VLOOKUP($A83,[4]库存使用数据!$A:$H,8,0),0)+IFERROR(VLOOKUP($A83,[5]库存使用数据!$A:$H,8,0),0)</f>
        <v>3771</v>
      </c>
      <c r="I83" s="1">
        <f ca="1">IFERROR(VLOOKUP($A83,[1]库存使用数据!$A:$I,9,0),0)+IFERROR(VLOOKUP($A83,[2]库存使用数据!$A:$I,9,0),0)+IFERROR(VLOOKUP($A83,[3]库存使用数据!$A:$I,9,0),0)+IFERROR(VLOOKUP($A83,[4]库存使用数据!$A:$I,9,0),0)+IFERROR(VLOOKUP($A83,[5]库存使用数据!$A:$I,9,0),0)</f>
        <v>11</v>
      </c>
      <c r="J83" s="1">
        <f ca="1">IFERROR(VLOOKUP($A83,[1]库存使用数据!$A:$J,10,0),0)+IFERROR(VLOOKUP($A83,[2]库存使用数据!$A:$J,10,0),0)+公式!$B$14*IFERROR(VLOOKUP($A83,[3]库存使用数据!$A:$J,10,0),0)+IFERROR(VLOOKUP($A83,[4]库存使用数据!$A:$J,10,0),0)+IFERROR(VLOOKUP($A83,[5]库存使用数据!$A:$J,10,0),0)</f>
        <v>2.25</v>
      </c>
      <c r="K83" s="1">
        <f ca="1">IFERROR(VLOOKUP($A83,[1]库存使用数据!$A:$K,11,0),0)+IFERROR(VLOOKUP($A83,[2]库存使用数据!$A:$K,11,0),0)+IFERROR(VLOOKUP($A83,[3]库存使用数据!$A:$K,11,0),0)+IFERROR(VLOOKUP($A83,[4]库存使用数据!$A:$K,11,0),0)+IFERROR(VLOOKUP($A83,[5]库存使用数据!$A:$K,11,0),0)</f>
        <v>7368</v>
      </c>
      <c r="L83" s="1">
        <f ca="1">IFERROR(VLOOKUP($A83,[1]库存使用数据!$A:$L,12,0),0)+IFERROR(VLOOKUP($A83,[2]库存使用数据!$A:$L,12,0),0)+IFERROR(VLOOKUP($A83,[3]库存使用数据!$A:$L,12,0),0)+IFERROR(VLOOKUP($A83,[4]库存使用数据!$A:$L,12,0),0)+IFERROR(VLOOKUP($A83,[5]库存使用数据!$A:$L,12,0),0)</f>
        <v>20</v>
      </c>
      <c r="M83" s="1">
        <f ca="1">IFERROR(VLOOKUP($A83,[1]库存使用数据!$A:$M,13,0),0)+IFERROR(VLOOKUP($A83,[2]库存使用数据!$A:$M,13,0),0)+公式!$B$14*IFERROR(VLOOKUP($A83,[3]库存使用数据!$A:$M,13,0),0)+IFERROR(VLOOKUP($A83,[4]库存使用数据!$A:$M,13,0),0)+IFERROR(VLOOKUP($A83,[5]库存使用数据!$A:$M,13,0),0)</f>
        <v>3.69</v>
      </c>
    </row>
    <row r="84" spans="1:13">
      <c r="A84" s="5" t="s">
        <v>89</v>
      </c>
      <c r="B84" s="2">
        <f ca="1">IFERROR(VLOOKUP(A84,[1]库存使用数据!$A:$B,2,0),0)+IFERROR(VLOOKUP(A84,[2]库存使用数据!$A:$B,2,0),0)+IFERROR(VLOOKUP(,[3]库存使用数据!$A:$B,2,0),0)+IFERROR(VLOOKUP(A84,[4]库存使用数据!$A:$B,2,0),0)+IFERROR(VLOOKUP(A84,[5]库存使用数据!$A:$B,2,0),0)</f>
        <v>25</v>
      </c>
      <c r="C84" s="1">
        <f ca="1">IFERROR(VLOOKUP($A84,[1]库存使用数据!$A:$C,3,0),0)+IFERROR(VLOOKUP($A84,[2]库存使用数据!$A:$C,3,0),0)+IFERROR(VLOOKUP($A84,[3]库存使用数据!$A:$C,3,0),0)+IFERROR(VLOOKUP($A84,[4]库存使用数据!$A:$C,3,0),0)+IFERROR(VLOOKUP($A84,[5]库存使用数据!$A:$C,3,0),0)</f>
        <v>4</v>
      </c>
      <c r="D84" s="1">
        <f ca="1">IFERROR(VLOOKUP($A84,[1]库存使用数据!$A:$D,4,0),0)+IFERROR(VLOOKUP($A84,[2]库存使用数据!$A:$D,4,0),0)+公式!$B$1*IFERROR(VLOOKUP($A84,[3]库存使用数据!$A:$D,4,0),0)+IFERROR(VLOOKUP($A84,[4]库存使用数据!$A:$D,4,0),0)+IFERROR(VLOOKUP($A84,[5]库存使用数据!$A:$D,4,0),0)</f>
        <v>0.9375</v>
      </c>
      <c r="E84" s="1">
        <f ca="1">IFERROR(VLOOKUP($A84,[1]库存使用数据!$A:$E,5,0),0)+IFERROR(VLOOKUP($A84,[2]库存使用数据!$A:$E,5,0),0)+IFERROR(VLOOKUP($A84,[3]库存使用数据!$A:$E,5,0),0)+IFERROR(VLOOKUP($A84,[4]库存使用数据!$A:$E,5,0),0)+IFERROR(VLOOKUP($A84,[5]库存使用数据!$A:$E,5,0),0)</f>
        <v>1238</v>
      </c>
      <c r="F84" s="1">
        <f ca="1">IFERROR(VLOOKUP($A84,[1]库存使用数据!$A:$F,6,0),0)+IFERROR(VLOOKUP($A84,[2]库存使用数据!$A:$F,6,0),0)+IFERROR(VLOOKUP($A84,[4]库存使用数据!$A:$F,6,0),0)+IFERROR(VLOOKUP($A84,[3]库存使用数据!$A:$F,6,0),0)+IFERROR(VLOOKUP($A84,[5]库存使用数据!$A:$F,6,0),0)</f>
        <v>6</v>
      </c>
      <c r="G84" s="1">
        <f ca="1">IFERROR(VLOOKUP($A84,[1]库存使用数据!$A:$G,7,0),0)+IFERROR(VLOOKUP($A84,[2]库存使用数据!$A:$G,7,0),0)+公式!$B$14*IFERROR(VLOOKUP($A84,[3]库存使用数据!$A:$G,7,0),0)+IFERROR(VLOOKUP($A84,[4]库存使用数据!$A:$G,7,0),0)+IFERROR(VLOOKUP($A84,[5]库存使用数据!$A:$G,7,0),0)</f>
        <v>0.9</v>
      </c>
      <c r="H84" s="1">
        <f ca="1">IFERROR(VLOOKUP($A84,[1]库存使用数据!$A:$H,8,0),0)+IFERROR(VLOOKUP($A84,[2]库存使用数据!$A:$H,8,0),0)+IFERROR(VLOOKUP($A84,[3]库存使用数据!$A:$H,8,0),0)+IFERROR(VLOOKUP($A84,[4]库存使用数据!$A:$H,8,0),0)+IFERROR(VLOOKUP($A84,[5]库存使用数据!$A:$H,8,0),0)</f>
        <v>878</v>
      </c>
      <c r="I84" s="1">
        <f ca="1">IFERROR(VLOOKUP($A84,[1]库存使用数据!$A:$I,9,0),0)+IFERROR(VLOOKUP($A84,[2]库存使用数据!$A:$I,9,0),0)+IFERROR(VLOOKUP($A84,[3]库存使用数据!$A:$I,9,0),0)+IFERROR(VLOOKUP($A84,[4]库存使用数据!$A:$I,9,0),0)+IFERROR(VLOOKUP($A84,[5]库存使用数据!$A:$I,9,0),0)</f>
        <v>3</v>
      </c>
      <c r="J84" s="1">
        <f ca="1">IFERROR(VLOOKUP($A84,[1]库存使用数据!$A:$J,10,0),0)+IFERROR(VLOOKUP($A84,[2]库存使用数据!$A:$J,10,0),0)+公式!$B$14*IFERROR(VLOOKUP($A84,[3]库存使用数据!$A:$J,10,0),0)+IFERROR(VLOOKUP($A84,[4]库存使用数据!$A:$J,10,0),0)+IFERROR(VLOOKUP($A84,[5]库存使用数据!$A:$J,10,0),0)</f>
        <v>0.56</v>
      </c>
      <c r="K84" s="1">
        <f ca="1">IFERROR(VLOOKUP($A84,[1]库存使用数据!$A:$K,11,0),0)+IFERROR(VLOOKUP($A84,[2]库存使用数据!$A:$K,11,0),0)+IFERROR(VLOOKUP($A84,[3]库存使用数据!$A:$K,11,0),0)+IFERROR(VLOOKUP($A84,[4]库存使用数据!$A:$K,11,0),0)+IFERROR(VLOOKUP($A84,[5]库存使用数据!$A:$K,11,0),0)</f>
        <v>2513</v>
      </c>
      <c r="L84" s="1">
        <f ca="1">IFERROR(VLOOKUP($A84,[1]库存使用数据!$A:$L,12,0),0)+IFERROR(VLOOKUP($A84,[2]库存使用数据!$A:$L,12,0),0)+IFERROR(VLOOKUP($A84,[3]库存使用数据!$A:$L,12,0),0)+IFERROR(VLOOKUP($A84,[4]库存使用数据!$A:$L,12,0),0)+IFERROR(VLOOKUP($A84,[5]库存使用数据!$A:$L,12,0),0)</f>
        <v>7</v>
      </c>
      <c r="M84" s="1">
        <f ca="1">IFERROR(VLOOKUP($A84,[1]库存使用数据!$A:$M,13,0),0)+IFERROR(VLOOKUP($A84,[2]库存使用数据!$A:$M,13,0),0)+公式!$B$14*IFERROR(VLOOKUP($A84,[3]库存使用数据!$A:$M,13,0),0)+IFERROR(VLOOKUP($A84,[4]库存使用数据!$A:$M,13,0),0)+IFERROR(VLOOKUP($A84,[5]库存使用数据!$A:$M,13,0),0)</f>
        <v>1.86</v>
      </c>
    </row>
    <row r="85" spans="1:13">
      <c r="A85" s="5" t="s">
        <v>90</v>
      </c>
      <c r="B85" s="2">
        <f ca="1">IFERROR(VLOOKUP(A85,[1]库存使用数据!$A:$B,2,0),0)+IFERROR(VLOOKUP(A85,[2]库存使用数据!$A:$B,2,0),0)+IFERROR(VLOOKUP(,[3]库存使用数据!$A:$B,2,0),0)+IFERROR(VLOOKUP(A85,[4]库存使用数据!$A:$B,2,0),0)+IFERROR(VLOOKUP(A85,[5]库存使用数据!$A:$B,2,0),0)</f>
        <v>3993</v>
      </c>
      <c r="C85" s="1">
        <f ca="1">IFERROR(VLOOKUP($A85,[1]库存使用数据!$A:$C,3,0),0)+IFERROR(VLOOKUP($A85,[2]库存使用数据!$A:$C,3,0),0)+IFERROR(VLOOKUP($A85,[3]库存使用数据!$A:$C,3,0),0)+IFERROR(VLOOKUP($A85,[4]库存使用数据!$A:$C,3,0),0)+IFERROR(VLOOKUP($A85,[5]库存使用数据!$A:$C,3,0),0)</f>
        <v>15</v>
      </c>
      <c r="D85" s="1">
        <f ca="1">IFERROR(VLOOKUP($A85,[1]库存使用数据!$A:$D,4,0),0)+IFERROR(VLOOKUP($A85,[2]库存使用数据!$A:$D,4,0),0)+公式!$B$1*IFERROR(VLOOKUP($A85,[3]库存使用数据!$A:$D,4,0),0)+IFERROR(VLOOKUP($A85,[4]库存使用数据!$A:$D,4,0),0)+IFERROR(VLOOKUP($A85,[5]库存使用数据!$A:$D,4,0),0)</f>
        <v>2.52375</v>
      </c>
      <c r="E85" s="1">
        <f ca="1">IFERROR(VLOOKUP($A85,[1]库存使用数据!$A:$E,5,0),0)+IFERROR(VLOOKUP($A85,[2]库存使用数据!$A:$E,5,0),0)+IFERROR(VLOOKUP($A85,[3]库存使用数据!$A:$E,5,0),0)+IFERROR(VLOOKUP($A85,[4]库存使用数据!$A:$E,5,0),0)+IFERROR(VLOOKUP($A85,[5]库存使用数据!$A:$E,5,0),0)</f>
        <v>6726</v>
      </c>
      <c r="F85" s="1">
        <f ca="1">IFERROR(VLOOKUP($A85,[1]库存使用数据!$A:$F,6,0),0)+IFERROR(VLOOKUP($A85,[2]库存使用数据!$A:$F,6,0),0)+IFERROR(VLOOKUP($A85,[4]库存使用数据!$A:$F,6,0),0)+IFERROR(VLOOKUP($A85,[3]库存使用数据!$A:$F,6,0),0)+IFERROR(VLOOKUP($A85,[5]库存使用数据!$A:$F,6,0),0)</f>
        <v>22</v>
      </c>
      <c r="G85" s="1">
        <f ca="1">IFERROR(VLOOKUP($A85,[1]库存使用数据!$A:$G,7,0),0)+IFERROR(VLOOKUP($A85,[2]库存使用数据!$A:$G,7,0),0)+公式!$B$14*IFERROR(VLOOKUP($A85,[3]库存使用数据!$A:$G,7,0),0)+IFERROR(VLOOKUP($A85,[4]库存使用数据!$A:$G,7,0),0)+IFERROR(VLOOKUP($A85,[5]库存使用数据!$A:$G,7,0),0)</f>
        <v>4.53</v>
      </c>
      <c r="H85" s="1">
        <f ca="1">IFERROR(VLOOKUP($A85,[1]库存使用数据!$A:$H,8,0),0)+IFERROR(VLOOKUP($A85,[2]库存使用数据!$A:$H,8,0),0)+IFERROR(VLOOKUP($A85,[3]库存使用数据!$A:$H,8,0),0)+IFERROR(VLOOKUP($A85,[4]库存使用数据!$A:$H,8,0),0)+IFERROR(VLOOKUP($A85,[5]库存使用数据!$A:$H,8,0),0)</f>
        <v>2075</v>
      </c>
      <c r="I85" s="1">
        <f ca="1">IFERROR(VLOOKUP($A85,[1]库存使用数据!$A:$I,9,0),0)+IFERROR(VLOOKUP($A85,[2]库存使用数据!$A:$I,9,0),0)+IFERROR(VLOOKUP($A85,[3]库存使用数据!$A:$I,9,0),0)+IFERROR(VLOOKUP($A85,[4]库存使用数据!$A:$I,9,0),0)+IFERROR(VLOOKUP($A85,[5]库存使用数据!$A:$I,9,0),0)</f>
        <v>6</v>
      </c>
      <c r="J85" s="1">
        <f ca="1">IFERROR(VLOOKUP($A85,[1]库存使用数据!$A:$J,10,0),0)+IFERROR(VLOOKUP($A85,[2]库存使用数据!$A:$J,10,0),0)+公式!$B$14*IFERROR(VLOOKUP($A85,[3]库存使用数据!$A:$J,10,0),0)+IFERROR(VLOOKUP($A85,[4]库存使用数据!$A:$J,10,0),0)+IFERROR(VLOOKUP($A85,[5]库存使用数据!$A:$J,10,0),0)</f>
        <v>1.05</v>
      </c>
      <c r="K85" s="1">
        <f ca="1">IFERROR(VLOOKUP($A85,[1]库存使用数据!$A:$K,11,0),0)+IFERROR(VLOOKUP($A85,[2]库存使用数据!$A:$K,11,0),0)+IFERROR(VLOOKUP($A85,[3]库存使用数据!$A:$K,11,0),0)+IFERROR(VLOOKUP($A85,[4]库存使用数据!$A:$K,11,0),0)+IFERROR(VLOOKUP($A85,[5]库存使用数据!$A:$K,11,0),0)</f>
        <v>1552</v>
      </c>
      <c r="L85" s="1">
        <f ca="1">IFERROR(VLOOKUP($A85,[1]库存使用数据!$A:$L,12,0),0)+IFERROR(VLOOKUP($A85,[2]库存使用数据!$A:$L,12,0),0)+IFERROR(VLOOKUP($A85,[3]库存使用数据!$A:$L,12,0),0)+IFERROR(VLOOKUP($A85,[4]库存使用数据!$A:$L,12,0),0)+IFERROR(VLOOKUP($A85,[5]库存使用数据!$A:$L,12,0),0)</f>
        <v>5</v>
      </c>
      <c r="M85" s="1">
        <f ca="1">IFERROR(VLOOKUP($A85,[1]库存使用数据!$A:$M,13,0),0)+IFERROR(VLOOKUP($A85,[2]库存使用数据!$A:$M,13,0),0)+公式!$B$14*IFERROR(VLOOKUP($A85,[3]库存使用数据!$A:$M,13,0),0)+IFERROR(VLOOKUP($A85,[4]库存使用数据!$A:$M,13,0),0)+IFERROR(VLOOKUP($A85,[5]库存使用数据!$A:$M,13,0),0)</f>
        <v>0.97</v>
      </c>
    </row>
    <row r="86" spans="1:13">
      <c r="A86" s="5" t="s">
        <v>91</v>
      </c>
      <c r="B86" s="2">
        <f ca="1">IFERROR(VLOOKUP(A86,[1]库存使用数据!$A:$B,2,0),0)+IFERROR(VLOOKUP(A86,[2]库存使用数据!$A:$B,2,0),0)+IFERROR(VLOOKUP(,[3]库存使用数据!$A:$B,2,0),0)+IFERROR(VLOOKUP(A86,[4]库存使用数据!$A:$B,2,0),0)+IFERROR(VLOOKUP(A86,[5]库存使用数据!$A:$B,2,0),0)</f>
        <v>7913</v>
      </c>
      <c r="C86" s="1">
        <f ca="1">IFERROR(VLOOKUP($A86,[1]库存使用数据!$A:$C,3,0),0)+IFERROR(VLOOKUP($A86,[2]库存使用数据!$A:$C,3,0),0)+IFERROR(VLOOKUP($A86,[3]库存使用数据!$A:$C,3,0),0)+IFERROR(VLOOKUP($A86,[4]库存使用数据!$A:$C,3,0),0)+IFERROR(VLOOKUP($A86,[5]库存使用数据!$A:$C,3,0),0)</f>
        <v>27</v>
      </c>
      <c r="D86" s="1">
        <f ca="1">IFERROR(VLOOKUP($A86,[1]库存使用数据!$A:$D,4,0),0)+IFERROR(VLOOKUP($A86,[2]库存使用数据!$A:$D,4,0),0)+公式!$B$1*IFERROR(VLOOKUP($A86,[3]库存使用数据!$A:$D,4,0),0)+IFERROR(VLOOKUP($A86,[4]库存使用数据!$A:$D,4,0),0)+IFERROR(VLOOKUP($A86,[5]库存使用数据!$A:$D,4,0),0)</f>
        <v>5.91</v>
      </c>
      <c r="E86" s="1">
        <f ca="1">IFERROR(VLOOKUP($A86,[1]库存使用数据!$A:$E,5,0),0)+IFERROR(VLOOKUP($A86,[2]库存使用数据!$A:$E,5,0),0)+IFERROR(VLOOKUP($A86,[3]库存使用数据!$A:$E,5,0),0)+IFERROR(VLOOKUP($A86,[4]库存使用数据!$A:$E,5,0),0)+IFERROR(VLOOKUP($A86,[5]库存使用数据!$A:$E,5,0),0)</f>
        <v>44243</v>
      </c>
      <c r="F86" s="1">
        <f ca="1">IFERROR(VLOOKUP($A86,[1]库存使用数据!$A:$F,6,0),0)+IFERROR(VLOOKUP($A86,[2]库存使用数据!$A:$F,6,0),0)+IFERROR(VLOOKUP($A86,[4]库存使用数据!$A:$F,6,0),0)+IFERROR(VLOOKUP($A86,[3]库存使用数据!$A:$F,6,0),0)+IFERROR(VLOOKUP($A86,[5]库存使用数据!$A:$F,6,0),0)</f>
        <v>68</v>
      </c>
      <c r="G86" s="1">
        <f ca="1">IFERROR(VLOOKUP($A86,[1]库存使用数据!$A:$G,7,0),0)+IFERROR(VLOOKUP($A86,[2]库存使用数据!$A:$G,7,0),0)+公式!$B$14*IFERROR(VLOOKUP($A86,[3]库存使用数据!$A:$G,7,0),0)+IFERROR(VLOOKUP($A86,[4]库存使用数据!$A:$G,7,0),0)+IFERROR(VLOOKUP($A86,[5]库存使用数据!$A:$G,7,0),0)</f>
        <v>14.21</v>
      </c>
      <c r="H86" s="1">
        <f ca="1">IFERROR(VLOOKUP($A86,[1]库存使用数据!$A:$H,8,0),0)+IFERROR(VLOOKUP($A86,[2]库存使用数据!$A:$H,8,0),0)+IFERROR(VLOOKUP($A86,[3]库存使用数据!$A:$H,8,0),0)+IFERROR(VLOOKUP($A86,[4]库存使用数据!$A:$H,8,0),0)+IFERROR(VLOOKUP($A86,[5]库存使用数据!$A:$H,8,0),0)</f>
        <v>14806</v>
      </c>
      <c r="I86" s="1">
        <f ca="1">IFERROR(VLOOKUP($A86,[1]库存使用数据!$A:$I,9,0),0)+IFERROR(VLOOKUP($A86,[2]库存使用数据!$A:$I,9,0),0)+IFERROR(VLOOKUP($A86,[3]库存使用数据!$A:$I,9,0),0)+IFERROR(VLOOKUP($A86,[4]库存使用数据!$A:$I,9,0),0)+IFERROR(VLOOKUP($A86,[5]库存使用数据!$A:$I,9,0),0)</f>
        <v>36</v>
      </c>
      <c r="J86" s="1">
        <f ca="1">IFERROR(VLOOKUP($A86,[1]库存使用数据!$A:$J,10,0),0)+IFERROR(VLOOKUP($A86,[2]库存使用数据!$A:$J,10,0),0)+公式!$B$14*IFERROR(VLOOKUP($A86,[3]库存使用数据!$A:$J,10,0),0)+IFERROR(VLOOKUP($A86,[4]库存使用数据!$A:$J,10,0),0)+IFERROR(VLOOKUP($A86,[5]库存使用数据!$A:$J,10,0),0)</f>
        <v>7.32</v>
      </c>
      <c r="K86" s="1">
        <f ca="1">IFERROR(VLOOKUP($A86,[1]库存使用数据!$A:$K,11,0),0)+IFERROR(VLOOKUP($A86,[2]库存使用数据!$A:$K,11,0),0)+IFERROR(VLOOKUP($A86,[3]库存使用数据!$A:$K,11,0),0)+IFERROR(VLOOKUP($A86,[4]库存使用数据!$A:$K,11,0),0)+IFERROR(VLOOKUP($A86,[5]库存使用数据!$A:$K,11,0),0)</f>
        <v>8829</v>
      </c>
      <c r="L86" s="1">
        <f ca="1">IFERROR(VLOOKUP($A86,[1]库存使用数据!$A:$L,12,0),0)+IFERROR(VLOOKUP($A86,[2]库存使用数据!$A:$L,12,0),0)+IFERROR(VLOOKUP($A86,[3]库存使用数据!$A:$L,12,0),0)+IFERROR(VLOOKUP($A86,[4]库存使用数据!$A:$L,12,0),0)+IFERROR(VLOOKUP($A86,[5]库存使用数据!$A:$L,12,0),0)</f>
        <v>52</v>
      </c>
      <c r="M86" s="1">
        <f ca="1">IFERROR(VLOOKUP($A86,[1]库存使用数据!$A:$M,13,0),0)+IFERROR(VLOOKUP($A86,[2]库存使用数据!$A:$M,13,0),0)+公式!$B$14*IFERROR(VLOOKUP($A86,[3]库存使用数据!$A:$M,13,0),0)+IFERROR(VLOOKUP($A86,[4]库存使用数据!$A:$M,13,0),0)+IFERROR(VLOOKUP($A86,[5]库存使用数据!$A:$M,13,0),0)</f>
        <v>12.48</v>
      </c>
    </row>
    <row r="87" spans="1:13">
      <c r="A87" s="5" t="s">
        <v>92</v>
      </c>
      <c r="B87" s="2">
        <f ca="1">IFERROR(VLOOKUP(A87,[1]库存使用数据!$A:$B,2,0),0)+IFERROR(VLOOKUP(A87,[2]库存使用数据!$A:$B,2,0),0)+IFERROR(VLOOKUP(,[3]库存使用数据!$A:$B,2,0),0)+IFERROR(VLOOKUP(A87,[4]库存使用数据!$A:$B,2,0),0)+IFERROR(VLOOKUP(A87,[5]库存使用数据!$A:$B,2,0),0)</f>
        <v>8163</v>
      </c>
      <c r="C87" s="1">
        <f ca="1">IFERROR(VLOOKUP($A87,[1]库存使用数据!$A:$C,3,0),0)+IFERROR(VLOOKUP($A87,[2]库存使用数据!$A:$C,3,0),0)+IFERROR(VLOOKUP($A87,[3]库存使用数据!$A:$C,3,0),0)+IFERROR(VLOOKUP($A87,[4]库存使用数据!$A:$C,3,0),0)+IFERROR(VLOOKUP($A87,[5]库存使用数据!$A:$C,3,0),0)</f>
        <v>25</v>
      </c>
      <c r="D87" s="1">
        <f ca="1">IFERROR(VLOOKUP($A87,[1]库存使用数据!$A:$D,4,0),0)+IFERROR(VLOOKUP($A87,[2]库存使用数据!$A:$D,4,0),0)+公式!$B$1*IFERROR(VLOOKUP($A87,[3]库存使用数据!$A:$D,4,0),0)+IFERROR(VLOOKUP($A87,[4]库存使用数据!$A:$D,4,0),0)+IFERROR(VLOOKUP($A87,[5]库存使用数据!$A:$D,4,0),0)</f>
        <v>5.93</v>
      </c>
      <c r="E87" s="1">
        <f ca="1">IFERROR(VLOOKUP($A87,[1]库存使用数据!$A:$E,5,0),0)+IFERROR(VLOOKUP($A87,[2]库存使用数据!$A:$E,5,0),0)+IFERROR(VLOOKUP($A87,[3]库存使用数据!$A:$E,5,0),0)+IFERROR(VLOOKUP($A87,[4]库存使用数据!$A:$E,5,0),0)+IFERROR(VLOOKUP($A87,[5]库存使用数据!$A:$E,5,0),0)</f>
        <v>6617</v>
      </c>
      <c r="F87" s="1">
        <f ca="1">IFERROR(VLOOKUP($A87,[1]库存使用数据!$A:$F,6,0),0)+IFERROR(VLOOKUP($A87,[2]库存使用数据!$A:$F,6,0),0)+IFERROR(VLOOKUP($A87,[4]库存使用数据!$A:$F,6,0),0)+IFERROR(VLOOKUP($A87,[3]库存使用数据!$A:$F,6,0),0)+IFERROR(VLOOKUP($A87,[5]库存使用数据!$A:$F,6,0),0)</f>
        <v>33</v>
      </c>
      <c r="G87" s="1">
        <f ca="1">IFERROR(VLOOKUP($A87,[1]库存使用数据!$A:$G,7,0),0)+IFERROR(VLOOKUP($A87,[2]库存使用数据!$A:$G,7,0),0)+公式!$B$14*IFERROR(VLOOKUP($A87,[3]库存使用数据!$A:$G,7,0),0)+IFERROR(VLOOKUP($A87,[4]库存使用数据!$A:$G,7,0),0)+IFERROR(VLOOKUP($A87,[5]库存使用数据!$A:$G,7,0),0)</f>
        <v>7.04</v>
      </c>
      <c r="H87" s="1">
        <f ca="1">IFERROR(VLOOKUP($A87,[1]库存使用数据!$A:$H,8,0),0)+IFERROR(VLOOKUP($A87,[2]库存使用数据!$A:$H,8,0),0)+IFERROR(VLOOKUP($A87,[3]库存使用数据!$A:$H,8,0),0)+IFERROR(VLOOKUP($A87,[4]库存使用数据!$A:$H,8,0),0)+IFERROR(VLOOKUP($A87,[5]库存使用数据!$A:$H,8,0),0)</f>
        <v>1994</v>
      </c>
      <c r="I87" s="1">
        <f ca="1">IFERROR(VLOOKUP($A87,[1]库存使用数据!$A:$I,9,0),0)+IFERROR(VLOOKUP($A87,[2]库存使用数据!$A:$I,9,0),0)+IFERROR(VLOOKUP($A87,[3]库存使用数据!$A:$I,9,0),0)+IFERROR(VLOOKUP($A87,[4]库存使用数据!$A:$I,9,0),0)+IFERROR(VLOOKUP($A87,[5]库存使用数据!$A:$I,9,0),0)</f>
        <v>7</v>
      </c>
      <c r="J87" s="1">
        <f ca="1">IFERROR(VLOOKUP($A87,[1]库存使用数据!$A:$J,10,0),0)+IFERROR(VLOOKUP($A87,[2]库存使用数据!$A:$J,10,0),0)+公式!$B$14*IFERROR(VLOOKUP($A87,[3]库存使用数据!$A:$J,10,0),0)+IFERROR(VLOOKUP($A87,[4]库存使用数据!$A:$J,10,0),0)+IFERROR(VLOOKUP($A87,[5]库存使用数据!$A:$J,10,0),0)</f>
        <v>1.37</v>
      </c>
      <c r="K87" s="1">
        <f ca="1">IFERROR(VLOOKUP($A87,[1]库存使用数据!$A:$K,11,0),0)+IFERROR(VLOOKUP($A87,[2]库存使用数据!$A:$K,11,0),0)+IFERROR(VLOOKUP($A87,[3]库存使用数据!$A:$K,11,0),0)+IFERROR(VLOOKUP($A87,[4]库存使用数据!$A:$K,11,0),0)+IFERROR(VLOOKUP($A87,[5]库存使用数据!$A:$K,11,0),0)</f>
        <v>4015</v>
      </c>
      <c r="L87" s="1">
        <f ca="1">IFERROR(VLOOKUP($A87,[1]库存使用数据!$A:$L,12,0),0)+IFERROR(VLOOKUP($A87,[2]库存使用数据!$A:$L,12,0),0)+IFERROR(VLOOKUP($A87,[3]库存使用数据!$A:$L,12,0),0)+IFERROR(VLOOKUP($A87,[4]库存使用数据!$A:$L,12,0),0)+IFERROR(VLOOKUP($A87,[5]库存使用数据!$A:$L,12,0),0)</f>
        <v>19</v>
      </c>
      <c r="M87" s="1">
        <f ca="1">IFERROR(VLOOKUP($A87,[1]库存使用数据!$A:$M,13,0),0)+IFERROR(VLOOKUP($A87,[2]库存使用数据!$A:$M,13,0),0)+公式!$B$14*IFERROR(VLOOKUP($A87,[3]库存使用数据!$A:$M,13,0),0)+IFERROR(VLOOKUP($A87,[4]库存使用数据!$A:$M,13,0),0)+IFERROR(VLOOKUP($A87,[5]库存使用数据!$A:$M,13,0),0)</f>
        <v>2.8</v>
      </c>
    </row>
    <row r="88" spans="1:13">
      <c r="A88" s="5" t="s">
        <v>93</v>
      </c>
      <c r="B88" s="2">
        <f ca="1">IFERROR(VLOOKUP(A88,[1]库存使用数据!$A:$B,2,0),0)+IFERROR(VLOOKUP(A88,[2]库存使用数据!$A:$B,2,0),0)+IFERROR(VLOOKUP(,[3]库存使用数据!$A:$B,2,0),0)+IFERROR(VLOOKUP(A88,[4]库存使用数据!$A:$B,2,0),0)+IFERROR(VLOOKUP(A88,[5]库存使用数据!$A:$B,2,0),0)</f>
        <v>12352</v>
      </c>
      <c r="C88" s="1">
        <f ca="1">IFERROR(VLOOKUP($A88,[1]库存使用数据!$A:$C,3,0),0)+IFERROR(VLOOKUP($A88,[2]库存使用数据!$A:$C,3,0),0)+IFERROR(VLOOKUP($A88,[3]库存使用数据!$A:$C,3,0),0)+IFERROR(VLOOKUP($A88,[4]库存使用数据!$A:$C,3,0),0)+IFERROR(VLOOKUP($A88,[5]库存使用数据!$A:$C,3,0),0)</f>
        <v>41</v>
      </c>
      <c r="D88" s="1">
        <f ca="1">IFERROR(VLOOKUP($A88,[1]库存使用数据!$A:$D,4,0),0)+IFERROR(VLOOKUP($A88,[2]库存使用数据!$A:$D,4,0),0)+公式!$B$1*IFERROR(VLOOKUP($A88,[3]库存使用数据!$A:$D,4,0),0)+IFERROR(VLOOKUP($A88,[4]库存使用数据!$A:$D,4,0),0)+IFERROR(VLOOKUP($A88,[5]库存使用数据!$A:$D,4,0),0)</f>
        <v>8.70625</v>
      </c>
      <c r="E88" s="1">
        <f ca="1">IFERROR(VLOOKUP($A88,[1]库存使用数据!$A:$E,5,0),0)+IFERROR(VLOOKUP($A88,[2]库存使用数据!$A:$E,5,0),0)+IFERROR(VLOOKUP($A88,[3]库存使用数据!$A:$E,5,0),0)+IFERROR(VLOOKUP($A88,[4]库存使用数据!$A:$E,5,0),0)+IFERROR(VLOOKUP($A88,[5]库存使用数据!$A:$E,5,0),0)</f>
        <v>14290</v>
      </c>
      <c r="F88" s="1">
        <f ca="1">IFERROR(VLOOKUP($A88,[1]库存使用数据!$A:$F,6,0),0)+IFERROR(VLOOKUP($A88,[2]库存使用数据!$A:$F,6,0),0)+IFERROR(VLOOKUP($A88,[4]库存使用数据!$A:$F,6,0),0)+IFERROR(VLOOKUP($A88,[3]库存使用数据!$A:$F,6,0),0)+IFERROR(VLOOKUP($A88,[5]库存使用数据!$A:$F,6,0),0)</f>
        <v>69</v>
      </c>
      <c r="G88" s="1">
        <f ca="1">IFERROR(VLOOKUP($A88,[1]库存使用数据!$A:$G,7,0),0)+IFERROR(VLOOKUP($A88,[2]库存使用数据!$A:$G,7,0),0)+公式!$B$14*IFERROR(VLOOKUP($A88,[3]库存使用数据!$A:$G,7,0),0)+IFERROR(VLOOKUP($A88,[4]库存使用数据!$A:$G,7,0),0)+IFERROR(VLOOKUP($A88,[5]库存使用数据!$A:$G,7,0),0)</f>
        <v>15.47</v>
      </c>
      <c r="H88" s="1">
        <f ca="1">IFERROR(VLOOKUP($A88,[1]库存使用数据!$A:$H,8,0),0)+IFERROR(VLOOKUP($A88,[2]库存使用数据!$A:$H,8,0),0)+IFERROR(VLOOKUP($A88,[3]库存使用数据!$A:$H,8,0),0)+IFERROR(VLOOKUP($A88,[4]库存使用数据!$A:$H,8,0),0)+IFERROR(VLOOKUP($A88,[5]库存使用数据!$A:$H,8,0),0)</f>
        <v>1880</v>
      </c>
      <c r="I88" s="1">
        <f ca="1">IFERROR(VLOOKUP($A88,[1]库存使用数据!$A:$I,9,0),0)+IFERROR(VLOOKUP($A88,[2]库存使用数据!$A:$I,9,0),0)+IFERROR(VLOOKUP($A88,[3]库存使用数据!$A:$I,9,0),0)+IFERROR(VLOOKUP($A88,[4]库存使用数据!$A:$I,9,0),0)+IFERROR(VLOOKUP($A88,[5]库存使用数据!$A:$I,9,0),0)</f>
        <v>14</v>
      </c>
      <c r="J88" s="1">
        <f ca="1">IFERROR(VLOOKUP($A88,[1]库存使用数据!$A:$J,10,0),0)+IFERROR(VLOOKUP($A88,[2]库存使用数据!$A:$J,10,0),0)+公式!$B$14*IFERROR(VLOOKUP($A88,[3]库存使用数据!$A:$J,10,0),0)+IFERROR(VLOOKUP($A88,[4]库存使用数据!$A:$J,10,0),0)+IFERROR(VLOOKUP($A88,[5]库存使用数据!$A:$J,10,0),0)</f>
        <v>2.62</v>
      </c>
      <c r="K88" s="1">
        <f ca="1">IFERROR(VLOOKUP($A88,[1]库存使用数据!$A:$K,11,0),0)+IFERROR(VLOOKUP($A88,[2]库存使用数据!$A:$K,11,0),0)+IFERROR(VLOOKUP($A88,[3]库存使用数据!$A:$K,11,0),0)+IFERROR(VLOOKUP($A88,[4]库存使用数据!$A:$K,11,0),0)+IFERROR(VLOOKUP($A88,[5]库存使用数据!$A:$K,11,0),0)</f>
        <v>2937</v>
      </c>
      <c r="L88" s="1">
        <f ca="1">IFERROR(VLOOKUP($A88,[1]库存使用数据!$A:$L,12,0),0)+IFERROR(VLOOKUP($A88,[2]库存使用数据!$A:$L,12,0),0)+IFERROR(VLOOKUP($A88,[3]库存使用数据!$A:$L,12,0),0)+IFERROR(VLOOKUP($A88,[4]库存使用数据!$A:$L,12,0),0)+IFERROR(VLOOKUP($A88,[5]库存使用数据!$A:$L,12,0),0)</f>
        <v>12</v>
      </c>
      <c r="M88" s="1">
        <f ca="1">IFERROR(VLOOKUP($A88,[1]库存使用数据!$A:$M,13,0),0)+IFERROR(VLOOKUP($A88,[2]库存使用数据!$A:$M,13,0),0)+公式!$B$14*IFERROR(VLOOKUP($A88,[3]库存使用数据!$A:$M,13,0),0)+IFERROR(VLOOKUP($A88,[4]库存使用数据!$A:$M,13,0),0)+IFERROR(VLOOKUP($A88,[5]库存使用数据!$A:$M,13,0),0)</f>
        <v>1.29</v>
      </c>
    </row>
    <row r="89" spans="1:13">
      <c r="A89" s="5" t="s">
        <v>94</v>
      </c>
      <c r="B89" s="2">
        <f ca="1">IFERROR(VLOOKUP(A89,[1]库存使用数据!$A:$B,2,0),0)+IFERROR(VLOOKUP(A89,[2]库存使用数据!$A:$B,2,0),0)+IFERROR(VLOOKUP(,[3]库存使用数据!$A:$B,2,0),0)+IFERROR(VLOOKUP(A89,[4]库存使用数据!$A:$B,2,0),0)+IFERROR(VLOOKUP(A89,[5]库存使用数据!$A:$B,2,0),0)</f>
        <v>2594</v>
      </c>
      <c r="C89" s="1">
        <f ca="1">IFERROR(VLOOKUP($A89,[1]库存使用数据!$A:$C,3,0),0)+IFERROR(VLOOKUP($A89,[2]库存使用数据!$A:$C,3,0),0)+IFERROR(VLOOKUP($A89,[3]库存使用数据!$A:$C,3,0),0)+IFERROR(VLOOKUP($A89,[4]库存使用数据!$A:$C,3,0),0)+IFERROR(VLOOKUP($A89,[5]库存使用数据!$A:$C,3,0),0)</f>
        <v>12</v>
      </c>
      <c r="D89" s="1">
        <f ca="1">IFERROR(VLOOKUP($A89,[1]库存使用数据!$A:$D,4,0),0)+IFERROR(VLOOKUP($A89,[2]库存使用数据!$A:$D,4,0),0)+公式!$B$1*IFERROR(VLOOKUP($A89,[3]库存使用数据!$A:$D,4,0),0)+IFERROR(VLOOKUP($A89,[4]库存使用数据!$A:$D,4,0),0)+IFERROR(VLOOKUP($A89,[5]库存使用数据!$A:$D,4,0),0)</f>
        <v>2.05625</v>
      </c>
      <c r="E89" s="1">
        <f ca="1">IFERROR(VLOOKUP($A89,[1]库存使用数据!$A:$E,5,0),0)+IFERROR(VLOOKUP($A89,[2]库存使用数据!$A:$E,5,0),0)+IFERROR(VLOOKUP($A89,[3]库存使用数据!$A:$E,5,0),0)+IFERROR(VLOOKUP($A89,[4]库存使用数据!$A:$E,5,0),0)+IFERROR(VLOOKUP($A89,[5]库存使用数据!$A:$E,5,0),0)</f>
        <v>6561</v>
      </c>
      <c r="F89" s="1">
        <f ca="1">IFERROR(VLOOKUP($A89,[1]库存使用数据!$A:$F,6,0),0)+IFERROR(VLOOKUP($A89,[2]库存使用数据!$A:$F,6,0),0)+IFERROR(VLOOKUP($A89,[4]库存使用数据!$A:$F,6,0),0)+IFERROR(VLOOKUP($A89,[3]库存使用数据!$A:$F,6,0),0)+IFERROR(VLOOKUP($A89,[5]库存使用数据!$A:$F,6,0),0)</f>
        <v>23</v>
      </c>
      <c r="G89" s="1">
        <f ca="1">IFERROR(VLOOKUP($A89,[1]库存使用数据!$A:$G,7,0),0)+IFERROR(VLOOKUP($A89,[2]库存使用数据!$A:$G,7,0),0)+公式!$B$14*IFERROR(VLOOKUP($A89,[3]库存使用数据!$A:$G,7,0),0)+IFERROR(VLOOKUP($A89,[4]库存使用数据!$A:$G,7,0),0)+IFERROR(VLOOKUP($A89,[5]库存使用数据!$A:$G,7,0),0)</f>
        <v>4.11</v>
      </c>
      <c r="H89" s="1">
        <f ca="1">IFERROR(VLOOKUP($A89,[1]库存使用数据!$A:$H,8,0),0)+IFERROR(VLOOKUP($A89,[2]库存使用数据!$A:$H,8,0),0)+IFERROR(VLOOKUP($A89,[3]库存使用数据!$A:$H,8,0),0)+IFERROR(VLOOKUP($A89,[4]库存使用数据!$A:$H,8,0),0)+IFERROR(VLOOKUP($A89,[5]库存使用数据!$A:$H,8,0),0)</f>
        <v>2954</v>
      </c>
      <c r="I89" s="1">
        <f ca="1">IFERROR(VLOOKUP($A89,[1]库存使用数据!$A:$I,9,0),0)+IFERROR(VLOOKUP($A89,[2]库存使用数据!$A:$I,9,0),0)+IFERROR(VLOOKUP($A89,[3]库存使用数据!$A:$I,9,0),0)+IFERROR(VLOOKUP($A89,[4]库存使用数据!$A:$I,9,0),0)+IFERROR(VLOOKUP($A89,[5]库存使用数据!$A:$I,9,0),0)</f>
        <v>9</v>
      </c>
      <c r="J89" s="1">
        <f ca="1">IFERROR(VLOOKUP($A89,[1]库存使用数据!$A:$J,10,0),0)+IFERROR(VLOOKUP($A89,[2]库存使用数据!$A:$J,10,0),0)+公式!$B$14*IFERROR(VLOOKUP($A89,[3]库存使用数据!$A:$J,10,0),0)+IFERROR(VLOOKUP($A89,[4]库存使用数据!$A:$J,10,0),0)+IFERROR(VLOOKUP($A89,[5]库存使用数据!$A:$J,10,0),0)</f>
        <v>1.74</v>
      </c>
      <c r="K89" s="1">
        <f ca="1">IFERROR(VLOOKUP($A89,[1]库存使用数据!$A:$K,11,0),0)+IFERROR(VLOOKUP($A89,[2]库存使用数据!$A:$K,11,0),0)+IFERROR(VLOOKUP($A89,[3]库存使用数据!$A:$K,11,0),0)+IFERROR(VLOOKUP($A89,[4]库存使用数据!$A:$K,11,0),0)+IFERROR(VLOOKUP($A89,[5]库存使用数据!$A:$K,11,0),0)</f>
        <v>1564</v>
      </c>
      <c r="L89" s="1">
        <f ca="1">IFERROR(VLOOKUP($A89,[1]库存使用数据!$A:$L,12,0),0)+IFERROR(VLOOKUP($A89,[2]库存使用数据!$A:$L,12,0),0)+IFERROR(VLOOKUP($A89,[3]库存使用数据!$A:$L,12,0),0)+IFERROR(VLOOKUP($A89,[4]库存使用数据!$A:$L,12,0),0)+IFERROR(VLOOKUP($A89,[5]库存使用数据!$A:$L,12,0),0)</f>
        <v>2</v>
      </c>
      <c r="M89" s="1">
        <f ca="1">IFERROR(VLOOKUP($A89,[1]库存使用数据!$A:$M,13,0),0)+IFERROR(VLOOKUP($A89,[2]库存使用数据!$A:$M,13,0),0)+公式!$B$14*IFERROR(VLOOKUP($A89,[3]库存使用数据!$A:$M,13,0),0)+IFERROR(VLOOKUP($A89,[4]库存使用数据!$A:$M,13,0),0)+IFERROR(VLOOKUP($A89,[5]库存使用数据!$A:$M,13,0),0)</f>
        <v>0.44</v>
      </c>
    </row>
    <row r="90" spans="1:13">
      <c r="A90" s="5" t="s">
        <v>95</v>
      </c>
      <c r="B90" s="2">
        <f ca="1">IFERROR(VLOOKUP(A90,[1]库存使用数据!$A:$B,2,0),0)+IFERROR(VLOOKUP(A90,[2]库存使用数据!$A:$B,2,0),0)+IFERROR(VLOOKUP(,[3]库存使用数据!$A:$B,2,0),0)+IFERROR(VLOOKUP(A90,[4]库存使用数据!$A:$B,2,0),0)+IFERROR(VLOOKUP(A90,[5]库存使用数据!$A:$B,2,0),0)</f>
        <v>5833</v>
      </c>
      <c r="C90" s="1">
        <f ca="1">IFERROR(VLOOKUP($A90,[1]库存使用数据!$A:$C,3,0),0)+IFERROR(VLOOKUP($A90,[2]库存使用数据!$A:$C,3,0),0)+IFERROR(VLOOKUP($A90,[3]库存使用数据!$A:$C,3,0),0)+IFERROR(VLOOKUP($A90,[4]库存使用数据!$A:$C,3,0),0)+IFERROR(VLOOKUP($A90,[5]库存使用数据!$A:$C,3,0),0)</f>
        <v>30</v>
      </c>
      <c r="D90" s="1">
        <f ca="1">IFERROR(VLOOKUP($A90,[1]库存使用数据!$A:$D,4,0),0)+IFERROR(VLOOKUP($A90,[2]库存使用数据!$A:$D,4,0),0)+公式!$B$1*IFERROR(VLOOKUP($A90,[3]库存使用数据!$A:$D,4,0),0)+IFERROR(VLOOKUP($A90,[4]库存使用数据!$A:$D,4,0),0)+IFERROR(VLOOKUP($A90,[5]库存使用数据!$A:$D,4,0),0)</f>
        <v>6.215</v>
      </c>
      <c r="E90" s="1">
        <f ca="1">IFERROR(VLOOKUP($A90,[1]库存使用数据!$A:$E,5,0),0)+IFERROR(VLOOKUP($A90,[2]库存使用数据!$A:$E,5,0),0)+IFERROR(VLOOKUP($A90,[3]库存使用数据!$A:$E,5,0),0)+IFERROR(VLOOKUP($A90,[4]库存使用数据!$A:$E,5,0),0)+IFERROR(VLOOKUP($A90,[5]库存使用数据!$A:$E,5,0),0)</f>
        <v>20597</v>
      </c>
      <c r="F90" s="1">
        <f ca="1">IFERROR(VLOOKUP($A90,[1]库存使用数据!$A:$F,6,0),0)+IFERROR(VLOOKUP($A90,[2]库存使用数据!$A:$F,6,0),0)+IFERROR(VLOOKUP($A90,[4]库存使用数据!$A:$F,6,0),0)+IFERROR(VLOOKUP($A90,[3]库存使用数据!$A:$F,6,0),0)+IFERROR(VLOOKUP($A90,[5]库存使用数据!$A:$F,6,0),0)</f>
        <v>85</v>
      </c>
      <c r="G90" s="1">
        <f ca="1">IFERROR(VLOOKUP($A90,[1]库存使用数据!$A:$G,7,0),0)+IFERROR(VLOOKUP($A90,[2]库存使用数据!$A:$G,7,0),0)+公式!$B$14*IFERROR(VLOOKUP($A90,[3]库存使用数据!$A:$G,7,0),0)+IFERROR(VLOOKUP($A90,[4]库存使用数据!$A:$G,7,0),0)+IFERROR(VLOOKUP($A90,[5]库存使用数据!$A:$G,7,0),0)</f>
        <v>16.28</v>
      </c>
      <c r="H90" s="1">
        <f ca="1">IFERROR(VLOOKUP($A90,[1]库存使用数据!$A:$H,8,0),0)+IFERROR(VLOOKUP($A90,[2]库存使用数据!$A:$H,8,0),0)+IFERROR(VLOOKUP($A90,[3]库存使用数据!$A:$H,8,0),0)+IFERROR(VLOOKUP($A90,[4]库存使用数据!$A:$H,8,0),0)+IFERROR(VLOOKUP($A90,[5]库存使用数据!$A:$H,8,0),0)</f>
        <v>14022</v>
      </c>
      <c r="I90" s="1">
        <f ca="1">IFERROR(VLOOKUP($A90,[1]库存使用数据!$A:$I,9,0),0)+IFERROR(VLOOKUP($A90,[2]库存使用数据!$A:$I,9,0),0)+IFERROR(VLOOKUP($A90,[3]库存使用数据!$A:$I,9,0),0)+IFERROR(VLOOKUP($A90,[4]库存使用数据!$A:$I,9,0),0)+IFERROR(VLOOKUP($A90,[5]库存使用数据!$A:$I,9,0),0)</f>
        <v>47</v>
      </c>
      <c r="J90" s="1">
        <f ca="1">IFERROR(VLOOKUP($A90,[1]库存使用数据!$A:$J,10,0),0)+IFERROR(VLOOKUP($A90,[2]库存使用数据!$A:$J,10,0),0)+公式!$B$14*IFERROR(VLOOKUP($A90,[3]库存使用数据!$A:$J,10,0),0)+IFERROR(VLOOKUP($A90,[4]库存使用数据!$A:$J,10,0),0)+IFERROR(VLOOKUP($A90,[5]库存使用数据!$A:$J,10,0),0)</f>
        <v>8.97</v>
      </c>
      <c r="K90" s="1">
        <f ca="1">IFERROR(VLOOKUP($A90,[1]库存使用数据!$A:$K,11,0),0)+IFERROR(VLOOKUP($A90,[2]库存使用数据!$A:$K,11,0),0)+IFERROR(VLOOKUP($A90,[3]库存使用数据!$A:$K,11,0),0)+IFERROR(VLOOKUP($A90,[4]库存使用数据!$A:$K,11,0),0)+IFERROR(VLOOKUP($A90,[5]库存使用数据!$A:$K,11,0),0)</f>
        <v>7571</v>
      </c>
      <c r="L90" s="1">
        <f ca="1">IFERROR(VLOOKUP($A90,[1]库存使用数据!$A:$L,12,0),0)+IFERROR(VLOOKUP($A90,[2]库存使用数据!$A:$L,12,0),0)+IFERROR(VLOOKUP($A90,[3]库存使用数据!$A:$L,12,0),0)+IFERROR(VLOOKUP($A90,[4]库存使用数据!$A:$L,12,0),0)+IFERROR(VLOOKUP($A90,[5]库存使用数据!$A:$L,12,0),0)</f>
        <v>62</v>
      </c>
      <c r="M90" s="1">
        <f ca="1">IFERROR(VLOOKUP($A90,[1]库存使用数据!$A:$M,13,0),0)+IFERROR(VLOOKUP($A90,[2]库存使用数据!$A:$M,13,0),0)+公式!$B$14*IFERROR(VLOOKUP($A90,[3]库存使用数据!$A:$M,13,0),0)+IFERROR(VLOOKUP($A90,[4]库存使用数据!$A:$M,13,0),0)+IFERROR(VLOOKUP($A90,[5]库存使用数据!$A:$M,13,0),0)</f>
        <v>13.22</v>
      </c>
    </row>
    <row r="91" spans="1:13">
      <c r="A91" s="5" t="s">
        <v>96</v>
      </c>
      <c r="B91" s="2">
        <f ca="1">IFERROR(VLOOKUP(A91,[1]库存使用数据!$A:$B,2,0),0)+IFERROR(VLOOKUP(A91,[2]库存使用数据!$A:$B,2,0),0)+IFERROR(VLOOKUP(,[3]库存使用数据!$A:$B,2,0),0)+IFERROR(VLOOKUP(A91,[4]库存使用数据!$A:$B,2,0),0)+IFERROR(VLOOKUP(A91,[5]库存使用数据!$A:$B,2,0),0)</f>
        <v>23672</v>
      </c>
      <c r="C91" s="1">
        <f ca="1">IFERROR(VLOOKUP($A91,[1]库存使用数据!$A:$C,3,0),0)+IFERROR(VLOOKUP($A91,[2]库存使用数据!$A:$C,3,0),0)+IFERROR(VLOOKUP($A91,[3]库存使用数据!$A:$C,3,0),0)+IFERROR(VLOOKUP($A91,[4]库存使用数据!$A:$C,3,0),0)+IFERROR(VLOOKUP($A91,[5]库存使用数据!$A:$C,3,0),0)</f>
        <v>63</v>
      </c>
      <c r="D91" s="1">
        <f ca="1">IFERROR(VLOOKUP($A91,[1]库存使用数据!$A:$D,4,0),0)+IFERROR(VLOOKUP($A91,[2]库存使用数据!$A:$D,4,0),0)+公式!$B$1*IFERROR(VLOOKUP($A91,[3]库存使用数据!$A:$D,4,0),0)+IFERROR(VLOOKUP($A91,[4]库存使用数据!$A:$D,4,0),0)+IFERROR(VLOOKUP($A91,[5]库存使用数据!$A:$D,4,0),0)</f>
        <v>11.98</v>
      </c>
      <c r="E91" s="1">
        <f ca="1">IFERROR(VLOOKUP($A91,[1]库存使用数据!$A:$E,5,0),0)+IFERROR(VLOOKUP($A91,[2]库存使用数据!$A:$E,5,0),0)+IFERROR(VLOOKUP($A91,[3]库存使用数据!$A:$E,5,0),0)+IFERROR(VLOOKUP($A91,[4]库存使用数据!$A:$E,5,0),0)+IFERROR(VLOOKUP($A91,[5]库存使用数据!$A:$E,5,0),0)</f>
        <v>44574</v>
      </c>
      <c r="F91" s="1">
        <f ca="1">IFERROR(VLOOKUP($A91,[1]库存使用数据!$A:$F,6,0),0)+IFERROR(VLOOKUP($A91,[2]库存使用数据!$A:$F,6,0),0)+IFERROR(VLOOKUP($A91,[4]库存使用数据!$A:$F,6,0),0)+IFERROR(VLOOKUP($A91,[3]库存使用数据!$A:$F,6,0),0)+IFERROR(VLOOKUP($A91,[5]库存使用数据!$A:$F,6,0),0)</f>
        <v>170</v>
      </c>
      <c r="G91" s="1">
        <f ca="1">IFERROR(VLOOKUP($A91,[1]库存使用数据!$A:$G,7,0),0)+IFERROR(VLOOKUP($A91,[2]库存使用数据!$A:$G,7,0),0)+公式!$B$14*IFERROR(VLOOKUP($A91,[3]库存使用数据!$A:$G,7,0),0)+IFERROR(VLOOKUP($A91,[4]库存使用数据!$A:$G,7,0),0)+IFERROR(VLOOKUP($A91,[5]库存使用数据!$A:$G,7,0),0)</f>
        <v>31.46</v>
      </c>
      <c r="H91" s="1">
        <f ca="1">IFERROR(VLOOKUP($A91,[1]库存使用数据!$A:$H,8,0),0)+IFERROR(VLOOKUP($A91,[2]库存使用数据!$A:$H,8,0),0)+IFERROR(VLOOKUP($A91,[3]库存使用数据!$A:$H,8,0),0)+IFERROR(VLOOKUP($A91,[4]库存使用数据!$A:$H,8,0),0)+IFERROR(VLOOKUP($A91,[5]库存使用数据!$A:$H,8,0),0)</f>
        <v>20228</v>
      </c>
      <c r="I91" s="1">
        <f ca="1">IFERROR(VLOOKUP($A91,[1]库存使用数据!$A:$I,9,0),0)+IFERROR(VLOOKUP($A91,[2]库存使用数据!$A:$I,9,0),0)+IFERROR(VLOOKUP($A91,[3]库存使用数据!$A:$I,9,0),0)+IFERROR(VLOOKUP($A91,[4]库存使用数据!$A:$I,9,0),0)+IFERROR(VLOOKUP($A91,[5]库存使用数据!$A:$I,9,0),0)</f>
        <v>83</v>
      </c>
      <c r="J91" s="1">
        <f ca="1">IFERROR(VLOOKUP($A91,[1]库存使用数据!$A:$J,10,0),0)+IFERROR(VLOOKUP($A91,[2]库存使用数据!$A:$J,10,0),0)+公式!$B$14*IFERROR(VLOOKUP($A91,[3]库存使用数据!$A:$J,10,0),0)+IFERROR(VLOOKUP($A91,[4]库存使用数据!$A:$J,10,0),0)+IFERROR(VLOOKUP($A91,[5]库存使用数据!$A:$J,10,0),0)</f>
        <v>15.36</v>
      </c>
      <c r="K91" s="1">
        <f ca="1">IFERROR(VLOOKUP($A91,[1]库存使用数据!$A:$K,11,0),0)+IFERROR(VLOOKUP($A91,[2]库存使用数据!$A:$K,11,0),0)+IFERROR(VLOOKUP($A91,[3]库存使用数据!$A:$K,11,0),0)+IFERROR(VLOOKUP($A91,[4]库存使用数据!$A:$K,11,0),0)+IFERROR(VLOOKUP($A91,[5]库存使用数据!$A:$K,11,0),0)</f>
        <v>55712</v>
      </c>
      <c r="L91" s="1">
        <f ca="1">IFERROR(VLOOKUP($A91,[1]库存使用数据!$A:$L,12,0),0)+IFERROR(VLOOKUP($A91,[2]库存使用数据!$A:$L,12,0),0)+IFERROR(VLOOKUP($A91,[3]库存使用数据!$A:$L,12,0),0)+IFERROR(VLOOKUP($A91,[4]库存使用数据!$A:$L,12,0),0)+IFERROR(VLOOKUP($A91,[5]库存使用数据!$A:$L,12,0),0)</f>
        <v>216</v>
      </c>
      <c r="M91" s="1">
        <f ca="1">IFERROR(VLOOKUP($A91,[1]库存使用数据!$A:$M,13,0),0)+IFERROR(VLOOKUP($A91,[2]库存使用数据!$A:$M,13,0),0)+公式!$B$14*IFERROR(VLOOKUP($A91,[3]库存使用数据!$A:$M,13,0),0)+IFERROR(VLOOKUP($A91,[4]库存使用数据!$A:$M,13,0),0)+IFERROR(VLOOKUP($A91,[5]库存使用数据!$A:$M,13,0),0)</f>
        <v>42.98</v>
      </c>
    </row>
    <row r="92" spans="1:13">
      <c r="A92" s="5" t="s">
        <v>97</v>
      </c>
      <c r="B92" s="2">
        <f ca="1">IFERROR(VLOOKUP(A92,[1]库存使用数据!$A:$B,2,0),0)+IFERROR(VLOOKUP(A92,[2]库存使用数据!$A:$B,2,0),0)+IFERROR(VLOOKUP(,[3]库存使用数据!$A:$B,2,0),0)+IFERROR(VLOOKUP(A92,[4]库存使用数据!$A:$B,2,0),0)+IFERROR(VLOOKUP(A92,[5]库存使用数据!$A:$B,2,0),0)</f>
        <v>0</v>
      </c>
      <c r="C92" s="1">
        <f ca="1">IFERROR(VLOOKUP($A92,[1]库存使用数据!$A:$C,3,0),0)+IFERROR(VLOOKUP($A92,[2]库存使用数据!$A:$C,3,0),0)+IFERROR(VLOOKUP($A92,[3]库存使用数据!$A:$C,3,0),0)+IFERROR(VLOOKUP($A92,[4]库存使用数据!$A:$C,3,0),0)+IFERROR(VLOOKUP($A92,[5]库存使用数据!$A:$C,3,0),0)</f>
        <v>0</v>
      </c>
      <c r="D92" s="1">
        <f ca="1">IFERROR(VLOOKUP($A92,[1]库存使用数据!$A:$D,4,0),0)+IFERROR(VLOOKUP($A92,[2]库存使用数据!$A:$D,4,0),0)+公式!$B$1*IFERROR(VLOOKUP($A92,[3]库存使用数据!$A:$D,4,0),0)+IFERROR(VLOOKUP($A92,[4]库存使用数据!$A:$D,4,0),0)+IFERROR(VLOOKUP($A92,[5]库存使用数据!$A:$D,4,0),0)</f>
        <v>0</v>
      </c>
      <c r="E92" s="1">
        <f ca="1">IFERROR(VLOOKUP($A92,[1]库存使用数据!$A:$E,5,0),0)+IFERROR(VLOOKUP($A92,[2]库存使用数据!$A:$E,5,0),0)+IFERROR(VLOOKUP($A92,[3]库存使用数据!$A:$E,5,0),0)+IFERROR(VLOOKUP($A92,[4]库存使用数据!$A:$E,5,0),0)+IFERROR(VLOOKUP($A92,[5]库存使用数据!$A:$E,5,0),0)</f>
        <v>0</v>
      </c>
      <c r="F92" s="1">
        <f ca="1">IFERROR(VLOOKUP($A92,[1]库存使用数据!$A:$F,6,0),0)+IFERROR(VLOOKUP($A92,[2]库存使用数据!$A:$F,6,0),0)+IFERROR(VLOOKUP($A92,[4]库存使用数据!$A:$F,6,0),0)+IFERROR(VLOOKUP($A92,[3]库存使用数据!$A:$F,6,0),0)+IFERROR(VLOOKUP($A92,[5]库存使用数据!$A:$F,6,0),0)</f>
        <v>0</v>
      </c>
      <c r="G92" s="1">
        <f ca="1">IFERROR(VLOOKUP($A92,[1]库存使用数据!$A:$G,7,0),0)+IFERROR(VLOOKUP($A92,[2]库存使用数据!$A:$G,7,0),0)+公式!$B$14*IFERROR(VLOOKUP($A92,[3]库存使用数据!$A:$G,7,0),0)+IFERROR(VLOOKUP($A92,[4]库存使用数据!$A:$G,7,0),0)+IFERROR(VLOOKUP($A92,[5]库存使用数据!$A:$G,7,0),0)</f>
        <v>0</v>
      </c>
      <c r="H92" s="1">
        <f ca="1">IFERROR(VLOOKUP($A92,[1]库存使用数据!$A:$H,8,0),0)+IFERROR(VLOOKUP($A92,[2]库存使用数据!$A:$H,8,0),0)+IFERROR(VLOOKUP($A92,[3]库存使用数据!$A:$H,8,0),0)+IFERROR(VLOOKUP($A92,[4]库存使用数据!$A:$H,8,0),0)+IFERROR(VLOOKUP($A92,[5]库存使用数据!$A:$H,8,0),0)</f>
        <v>0</v>
      </c>
      <c r="I92" s="1">
        <f ca="1">IFERROR(VLOOKUP($A92,[1]库存使用数据!$A:$I,9,0),0)+IFERROR(VLOOKUP($A92,[2]库存使用数据!$A:$I,9,0),0)+IFERROR(VLOOKUP($A92,[3]库存使用数据!$A:$I,9,0),0)+IFERROR(VLOOKUP($A92,[4]库存使用数据!$A:$I,9,0),0)+IFERROR(VLOOKUP($A92,[5]库存使用数据!$A:$I,9,0),0)</f>
        <v>0</v>
      </c>
      <c r="J92" s="1">
        <f ca="1">IFERROR(VLOOKUP($A92,[1]库存使用数据!$A:$J,10,0),0)+IFERROR(VLOOKUP($A92,[2]库存使用数据!$A:$J,10,0),0)+公式!$B$14*IFERROR(VLOOKUP($A92,[3]库存使用数据!$A:$J,10,0),0)+IFERROR(VLOOKUP($A92,[4]库存使用数据!$A:$J,10,0),0)+IFERROR(VLOOKUP($A92,[5]库存使用数据!$A:$J,10,0),0)</f>
        <v>0</v>
      </c>
      <c r="K92" s="1">
        <f ca="1">IFERROR(VLOOKUP($A92,[1]库存使用数据!$A:$K,11,0),0)+IFERROR(VLOOKUP($A92,[2]库存使用数据!$A:$K,11,0),0)+IFERROR(VLOOKUP($A92,[3]库存使用数据!$A:$K,11,0),0)+IFERROR(VLOOKUP($A92,[4]库存使用数据!$A:$K,11,0),0)+IFERROR(VLOOKUP($A92,[5]库存使用数据!$A:$K,11,0),0)</f>
        <v>4304</v>
      </c>
      <c r="L92" s="1">
        <f ca="1">IFERROR(VLOOKUP($A92,[1]库存使用数据!$A:$L,12,0),0)+IFERROR(VLOOKUP($A92,[2]库存使用数据!$A:$L,12,0),0)+IFERROR(VLOOKUP($A92,[3]库存使用数据!$A:$L,12,0),0)+IFERROR(VLOOKUP($A92,[4]库存使用数据!$A:$L,12,0),0)+IFERROR(VLOOKUP($A92,[5]库存使用数据!$A:$L,12,0),0)</f>
        <v>25</v>
      </c>
      <c r="M92" s="1">
        <f ca="1">IFERROR(VLOOKUP($A92,[1]库存使用数据!$A:$M,13,0),0)+IFERROR(VLOOKUP($A92,[2]库存使用数据!$A:$M,13,0),0)+公式!$B$14*IFERROR(VLOOKUP($A92,[3]库存使用数据!$A:$M,13,0),0)+IFERROR(VLOOKUP($A92,[4]库存使用数据!$A:$M,13,0),0)+IFERROR(VLOOKUP($A92,[5]库存使用数据!$A:$M,13,0),0)</f>
        <v>3.38</v>
      </c>
    </row>
    <row r="93" spans="1:13">
      <c r="A93" s="5" t="s">
        <v>98</v>
      </c>
      <c r="B93" s="2">
        <f ca="1">IFERROR(VLOOKUP(A93,[1]库存使用数据!$A:$B,2,0),0)+IFERROR(VLOOKUP(A93,[2]库存使用数据!$A:$B,2,0),0)+IFERROR(VLOOKUP(,[3]库存使用数据!$A:$B,2,0),0)+IFERROR(VLOOKUP(A93,[4]库存使用数据!$A:$B,2,0),0)+IFERROR(VLOOKUP(A93,[5]库存使用数据!$A:$B,2,0),0)</f>
        <v>0</v>
      </c>
      <c r="C93" s="1">
        <f ca="1">IFERROR(VLOOKUP($A93,[1]库存使用数据!$A:$C,3,0),0)+IFERROR(VLOOKUP($A93,[2]库存使用数据!$A:$C,3,0),0)+IFERROR(VLOOKUP($A93,[3]库存使用数据!$A:$C,3,0),0)+IFERROR(VLOOKUP($A93,[4]库存使用数据!$A:$C,3,0),0)+IFERROR(VLOOKUP($A93,[5]库存使用数据!$A:$C,3,0),0)</f>
        <v>0</v>
      </c>
      <c r="D93" s="1">
        <f ca="1">IFERROR(VLOOKUP($A93,[1]库存使用数据!$A:$D,4,0),0)+IFERROR(VLOOKUP($A93,[2]库存使用数据!$A:$D,4,0),0)+公式!$B$1*IFERROR(VLOOKUP($A93,[3]库存使用数据!$A:$D,4,0),0)+IFERROR(VLOOKUP($A93,[4]库存使用数据!$A:$D,4,0),0)+IFERROR(VLOOKUP($A93,[5]库存使用数据!$A:$D,4,0),0)</f>
        <v>0</v>
      </c>
      <c r="E93" s="1">
        <f ca="1">IFERROR(VLOOKUP($A93,[1]库存使用数据!$A:$E,5,0),0)+IFERROR(VLOOKUP($A93,[2]库存使用数据!$A:$E,5,0),0)+IFERROR(VLOOKUP($A93,[3]库存使用数据!$A:$E,5,0),0)+IFERROR(VLOOKUP($A93,[4]库存使用数据!$A:$E,5,0),0)+IFERROR(VLOOKUP($A93,[5]库存使用数据!$A:$E,5,0),0)</f>
        <v>7616</v>
      </c>
      <c r="F93" s="1">
        <f ca="1">IFERROR(VLOOKUP($A93,[1]库存使用数据!$A:$F,6,0),0)+IFERROR(VLOOKUP($A93,[2]库存使用数据!$A:$F,6,0),0)+IFERROR(VLOOKUP($A93,[4]库存使用数据!$A:$F,6,0),0)+IFERROR(VLOOKUP($A93,[3]库存使用数据!$A:$F,6,0),0)+IFERROR(VLOOKUP($A93,[5]库存使用数据!$A:$F,6,0),0)</f>
        <v>66</v>
      </c>
      <c r="G93" s="1">
        <f ca="1">IFERROR(VLOOKUP($A93,[1]库存使用数据!$A:$G,7,0),0)+IFERROR(VLOOKUP($A93,[2]库存使用数据!$A:$G,7,0),0)+公式!$B$14*IFERROR(VLOOKUP($A93,[3]库存使用数据!$A:$G,7,0),0)+IFERROR(VLOOKUP($A93,[4]库存使用数据!$A:$G,7,0),0)+IFERROR(VLOOKUP($A93,[5]库存使用数据!$A:$G,7,0),0)</f>
        <v>10.3</v>
      </c>
      <c r="H93" s="1">
        <f ca="1">IFERROR(VLOOKUP($A93,[1]库存使用数据!$A:$H,8,0),0)+IFERROR(VLOOKUP($A93,[2]库存使用数据!$A:$H,8,0),0)+IFERROR(VLOOKUP($A93,[3]库存使用数据!$A:$H,8,0),0)+IFERROR(VLOOKUP($A93,[4]库存使用数据!$A:$H,8,0),0)+IFERROR(VLOOKUP($A93,[5]库存使用数据!$A:$H,8,0),0)</f>
        <v>0</v>
      </c>
      <c r="I93" s="1">
        <f ca="1">IFERROR(VLOOKUP($A93,[1]库存使用数据!$A:$I,9,0),0)+IFERROR(VLOOKUP($A93,[2]库存使用数据!$A:$I,9,0),0)+IFERROR(VLOOKUP($A93,[3]库存使用数据!$A:$I,9,0),0)+IFERROR(VLOOKUP($A93,[4]库存使用数据!$A:$I,9,0),0)+IFERROR(VLOOKUP($A93,[5]库存使用数据!$A:$I,9,0),0)</f>
        <v>0</v>
      </c>
      <c r="J93" s="1">
        <f ca="1">IFERROR(VLOOKUP($A93,[1]库存使用数据!$A:$J,10,0),0)+IFERROR(VLOOKUP($A93,[2]库存使用数据!$A:$J,10,0),0)+公式!$B$14*IFERROR(VLOOKUP($A93,[3]库存使用数据!$A:$J,10,0),0)+IFERROR(VLOOKUP($A93,[4]库存使用数据!$A:$J,10,0),0)+IFERROR(VLOOKUP($A93,[5]库存使用数据!$A:$J,10,0),0)</f>
        <v>0</v>
      </c>
      <c r="K93" s="1">
        <f ca="1">IFERROR(VLOOKUP($A93,[1]库存使用数据!$A:$K,11,0),0)+IFERROR(VLOOKUP($A93,[2]库存使用数据!$A:$K,11,0),0)+IFERROR(VLOOKUP($A93,[3]库存使用数据!$A:$K,11,0),0)+IFERROR(VLOOKUP($A93,[4]库存使用数据!$A:$K,11,0),0)+IFERROR(VLOOKUP($A93,[5]库存使用数据!$A:$K,11,0),0)</f>
        <v>0</v>
      </c>
      <c r="L93" s="1">
        <f ca="1">IFERROR(VLOOKUP($A93,[1]库存使用数据!$A:$L,12,0),0)+IFERROR(VLOOKUP($A93,[2]库存使用数据!$A:$L,12,0),0)+IFERROR(VLOOKUP($A93,[3]库存使用数据!$A:$L,12,0),0)+IFERROR(VLOOKUP($A93,[4]库存使用数据!$A:$L,12,0),0)+IFERROR(VLOOKUP($A93,[5]库存使用数据!$A:$L,12,0),0)</f>
        <v>0</v>
      </c>
      <c r="M93" s="1">
        <f ca="1">IFERROR(VLOOKUP($A93,[1]库存使用数据!$A:$M,13,0),0)+IFERROR(VLOOKUP($A93,[2]库存使用数据!$A:$M,13,0),0)+公式!$B$14*IFERROR(VLOOKUP($A93,[3]库存使用数据!$A:$M,13,0),0)+IFERROR(VLOOKUP($A93,[4]库存使用数据!$A:$M,13,0),0)+IFERROR(VLOOKUP($A93,[5]库存使用数据!$A:$M,13,0),0)</f>
        <v>0</v>
      </c>
    </row>
    <row r="94" spans="1:13">
      <c r="A94" s="5" t="s">
        <v>99</v>
      </c>
      <c r="B94" s="2">
        <f ca="1">IFERROR(VLOOKUP(A94,[1]库存使用数据!$A:$B,2,0),0)+IFERROR(VLOOKUP(A94,[2]库存使用数据!$A:$B,2,0),0)+IFERROR(VLOOKUP(,[3]库存使用数据!$A:$B,2,0),0)+IFERROR(VLOOKUP(A94,[4]库存使用数据!$A:$B,2,0),0)+IFERROR(VLOOKUP(A94,[5]库存使用数据!$A:$B,2,0),0)</f>
        <v>0</v>
      </c>
      <c r="C94" s="1">
        <f ca="1">IFERROR(VLOOKUP($A94,[1]库存使用数据!$A:$C,3,0),0)+IFERROR(VLOOKUP($A94,[2]库存使用数据!$A:$C,3,0),0)+IFERROR(VLOOKUP($A94,[3]库存使用数据!$A:$C,3,0),0)+IFERROR(VLOOKUP($A94,[4]库存使用数据!$A:$C,3,0),0)+IFERROR(VLOOKUP($A94,[5]库存使用数据!$A:$C,3,0),0)</f>
        <v>0</v>
      </c>
      <c r="D94" s="1">
        <f ca="1">IFERROR(VLOOKUP($A94,[1]库存使用数据!$A:$D,4,0),0)+IFERROR(VLOOKUP($A94,[2]库存使用数据!$A:$D,4,0),0)+公式!$B$1*IFERROR(VLOOKUP($A94,[3]库存使用数据!$A:$D,4,0),0)+IFERROR(VLOOKUP($A94,[4]库存使用数据!$A:$D,4,0),0)+IFERROR(VLOOKUP($A94,[5]库存使用数据!$A:$D,4,0),0)</f>
        <v>0</v>
      </c>
      <c r="E94" s="1">
        <f ca="1">IFERROR(VLOOKUP($A94,[1]库存使用数据!$A:$E,5,0),0)+IFERROR(VLOOKUP($A94,[2]库存使用数据!$A:$E,5,0),0)+IFERROR(VLOOKUP($A94,[3]库存使用数据!$A:$E,5,0),0)+IFERROR(VLOOKUP($A94,[4]库存使用数据!$A:$E,5,0),0)+IFERROR(VLOOKUP($A94,[5]库存使用数据!$A:$E,5,0),0)</f>
        <v>4272</v>
      </c>
      <c r="F94" s="1">
        <f ca="1">IFERROR(VLOOKUP($A94,[1]库存使用数据!$A:$F,6,0),0)+IFERROR(VLOOKUP($A94,[2]库存使用数据!$A:$F,6,0),0)+IFERROR(VLOOKUP($A94,[4]库存使用数据!$A:$F,6,0),0)+IFERROR(VLOOKUP($A94,[3]库存使用数据!$A:$F,6,0),0)+IFERROR(VLOOKUP($A94,[5]库存使用数据!$A:$F,6,0),0)</f>
        <v>44</v>
      </c>
      <c r="G94" s="1">
        <f ca="1">IFERROR(VLOOKUP($A94,[1]库存使用数据!$A:$G,7,0),0)+IFERROR(VLOOKUP($A94,[2]库存使用数据!$A:$G,7,0),0)+公式!$B$14*IFERROR(VLOOKUP($A94,[3]库存使用数据!$A:$G,7,0),0)+IFERROR(VLOOKUP($A94,[4]库存使用数据!$A:$G,7,0),0)+IFERROR(VLOOKUP($A94,[5]库存使用数据!$A:$G,7,0),0)</f>
        <v>7.36</v>
      </c>
      <c r="H94" s="1">
        <f ca="1">IFERROR(VLOOKUP($A94,[1]库存使用数据!$A:$H,8,0),0)+IFERROR(VLOOKUP($A94,[2]库存使用数据!$A:$H,8,0),0)+IFERROR(VLOOKUP($A94,[3]库存使用数据!$A:$H,8,0),0)+IFERROR(VLOOKUP($A94,[4]库存使用数据!$A:$H,8,0),0)+IFERROR(VLOOKUP($A94,[5]库存使用数据!$A:$H,8,0),0)</f>
        <v>0</v>
      </c>
      <c r="I94" s="1">
        <f ca="1">IFERROR(VLOOKUP($A94,[1]库存使用数据!$A:$I,9,0),0)+IFERROR(VLOOKUP($A94,[2]库存使用数据!$A:$I,9,0),0)+IFERROR(VLOOKUP($A94,[3]库存使用数据!$A:$I,9,0),0)+IFERROR(VLOOKUP($A94,[4]库存使用数据!$A:$I,9,0),0)+IFERROR(VLOOKUP($A94,[5]库存使用数据!$A:$I,9,0),0)</f>
        <v>0</v>
      </c>
      <c r="J94" s="1">
        <f ca="1">IFERROR(VLOOKUP($A94,[1]库存使用数据!$A:$J,10,0),0)+IFERROR(VLOOKUP($A94,[2]库存使用数据!$A:$J,10,0),0)+公式!$B$14*IFERROR(VLOOKUP($A94,[3]库存使用数据!$A:$J,10,0),0)+IFERROR(VLOOKUP($A94,[4]库存使用数据!$A:$J,10,0),0)+IFERROR(VLOOKUP($A94,[5]库存使用数据!$A:$J,10,0),0)</f>
        <v>0</v>
      </c>
      <c r="K94" s="1">
        <f ca="1">IFERROR(VLOOKUP($A94,[1]库存使用数据!$A:$K,11,0),0)+IFERROR(VLOOKUP($A94,[2]库存使用数据!$A:$K,11,0),0)+IFERROR(VLOOKUP($A94,[3]库存使用数据!$A:$K,11,0),0)+IFERROR(VLOOKUP($A94,[4]库存使用数据!$A:$K,11,0),0)+IFERROR(VLOOKUP($A94,[5]库存使用数据!$A:$K,11,0),0)</f>
        <v>163</v>
      </c>
      <c r="L94" s="1">
        <f ca="1">IFERROR(VLOOKUP($A94,[1]库存使用数据!$A:$L,12,0),0)+IFERROR(VLOOKUP($A94,[2]库存使用数据!$A:$L,12,0),0)+IFERROR(VLOOKUP($A94,[3]库存使用数据!$A:$L,12,0),0)+IFERROR(VLOOKUP($A94,[4]库存使用数据!$A:$L,12,0),0)+IFERROR(VLOOKUP($A94,[5]库存使用数据!$A:$L,12,0),0)</f>
        <v>3</v>
      </c>
      <c r="M94" s="1">
        <f ca="1">IFERROR(VLOOKUP($A94,[1]库存使用数据!$A:$M,13,0),0)+IFERROR(VLOOKUP($A94,[2]库存使用数据!$A:$M,13,0),0)+公式!$B$14*IFERROR(VLOOKUP($A94,[3]库存使用数据!$A:$M,13,0),0)+IFERROR(VLOOKUP($A94,[4]库存使用数据!$A:$M,13,0),0)+IFERROR(VLOOKUP($A94,[5]库存使用数据!$A:$M,13,0),0)</f>
        <v>0.42</v>
      </c>
    </row>
    <row r="95" spans="1:13">
      <c r="A95" s="5" t="s">
        <v>100</v>
      </c>
      <c r="B95" s="2">
        <f ca="1">IFERROR(VLOOKUP(A95,[1]库存使用数据!$A:$B,2,0),0)+IFERROR(VLOOKUP(A95,[2]库存使用数据!$A:$B,2,0),0)+IFERROR(VLOOKUP(,[3]库存使用数据!$A:$B,2,0),0)+IFERROR(VLOOKUP(A95,[4]库存使用数据!$A:$B,2,0),0)+IFERROR(VLOOKUP(A95,[5]库存使用数据!$A:$B,2,0),0)</f>
        <v>0</v>
      </c>
      <c r="C95" s="1">
        <f ca="1">IFERROR(VLOOKUP($A95,[1]库存使用数据!$A:$C,3,0),0)+IFERROR(VLOOKUP($A95,[2]库存使用数据!$A:$C,3,0),0)+IFERROR(VLOOKUP($A95,[3]库存使用数据!$A:$C,3,0),0)+IFERROR(VLOOKUP($A95,[4]库存使用数据!$A:$C,3,0),0)+IFERROR(VLOOKUP($A95,[5]库存使用数据!$A:$C,3,0),0)</f>
        <v>0</v>
      </c>
      <c r="D95" s="1">
        <f ca="1">IFERROR(VLOOKUP($A95,[1]库存使用数据!$A:$D,4,0),0)+IFERROR(VLOOKUP($A95,[2]库存使用数据!$A:$D,4,0),0)+公式!$B$1*IFERROR(VLOOKUP($A95,[3]库存使用数据!$A:$D,4,0),0)+IFERROR(VLOOKUP($A95,[4]库存使用数据!$A:$D,4,0),0)+IFERROR(VLOOKUP($A95,[5]库存使用数据!$A:$D,4,0),0)</f>
        <v>0</v>
      </c>
      <c r="E95" s="1">
        <f ca="1">IFERROR(VLOOKUP($A95,[1]库存使用数据!$A:$E,5,0),0)+IFERROR(VLOOKUP($A95,[2]库存使用数据!$A:$E,5,0),0)+IFERROR(VLOOKUP($A95,[3]库存使用数据!$A:$E,5,0),0)+IFERROR(VLOOKUP($A95,[4]库存使用数据!$A:$E,5,0),0)+IFERROR(VLOOKUP($A95,[5]库存使用数据!$A:$E,5,0),0)</f>
        <v>0</v>
      </c>
      <c r="F95" s="1">
        <f ca="1">IFERROR(VLOOKUP($A95,[1]库存使用数据!$A:$F,6,0),0)+IFERROR(VLOOKUP($A95,[2]库存使用数据!$A:$F,6,0),0)+IFERROR(VLOOKUP($A95,[4]库存使用数据!$A:$F,6,0),0)+IFERROR(VLOOKUP($A95,[3]库存使用数据!$A:$F,6,0),0)+IFERROR(VLOOKUP($A95,[5]库存使用数据!$A:$F,6,0),0)</f>
        <v>0</v>
      </c>
      <c r="G95" s="1">
        <f ca="1">IFERROR(VLOOKUP($A95,[1]库存使用数据!$A:$G,7,0),0)+IFERROR(VLOOKUP($A95,[2]库存使用数据!$A:$G,7,0),0)+公式!$B$14*IFERROR(VLOOKUP($A95,[3]库存使用数据!$A:$G,7,0),0)+IFERROR(VLOOKUP($A95,[4]库存使用数据!$A:$G,7,0),0)+IFERROR(VLOOKUP($A95,[5]库存使用数据!$A:$G,7,0),0)</f>
        <v>0</v>
      </c>
      <c r="H95" s="1">
        <f ca="1">IFERROR(VLOOKUP($A95,[1]库存使用数据!$A:$H,8,0),0)+IFERROR(VLOOKUP($A95,[2]库存使用数据!$A:$H,8,0),0)+IFERROR(VLOOKUP($A95,[3]库存使用数据!$A:$H,8,0),0)+IFERROR(VLOOKUP($A95,[4]库存使用数据!$A:$H,8,0),0)+IFERROR(VLOOKUP($A95,[5]库存使用数据!$A:$H,8,0),0)</f>
        <v>1232</v>
      </c>
      <c r="I95" s="1">
        <f ca="1">IFERROR(VLOOKUP($A95,[1]库存使用数据!$A:$I,9,0),0)+IFERROR(VLOOKUP($A95,[2]库存使用数据!$A:$I,9,0),0)+IFERROR(VLOOKUP($A95,[3]库存使用数据!$A:$I,9,0),0)+IFERROR(VLOOKUP($A95,[4]库存使用数据!$A:$I,9,0),0)+IFERROR(VLOOKUP($A95,[5]库存使用数据!$A:$I,9,0),0)</f>
        <v>4</v>
      </c>
      <c r="J95" s="1">
        <f ca="1">IFERROR(VLOOKUP($A95,[1]库存使用数据!$A:$J,10,0),0)+IFERROR(VLOOKUP($A95,[2]库存使用数据!$A:$J,10,0),0)+公式!$B$14*IFERROR(VLOOKUP($A95,[3]库存使用数据!$A:$J,10,0),0)+IFERROR(VLOOKUP($A95,[4]库存使用数据!$A:$J,10,0),0)+IFERROR(VLOOKUP($A95,[5]库存使用数据!$A:$J,10,0),0)</f>
        <v>0.54</v>
      </c>
      <c r="K95" s="1">
        <f ca="1">IFERROR(VLOOKUP($A95,[1]库存使用数据!$A:$K,11,0),0)+IFERROR(VLOOKUP($A95,[2]库存使用数据!$A:$K,11,0),0)+IFERROR(VLOOKUP($A95,[3]库存使用数据!$A:$K,11,0),0)+IFERROR(VLOOKUP($A95,[4]库存使用数据!$A:$K,11,0),0)+IFERROR(VLOOKUP($A95,[5]库存使用数据!$A:$K,11,0),0)</f>
        <v>6441</v>
      </c>
      <c r="L95" s="1">
        <f ca="1">IFERROR(VLOOKUP($A95,[1]库存使用数据!$A:$L,12,0),0)+IFERROR(VLOOKUP($A95,[2]库存使用数据!$A:$L,12,0),0)+IFERROR(VLOOKUP($A95,[3]库存使用数据!$A:$L,12,0),0)+IFERROR(VLOOKUP($A95,[4]库存使用数据!$A:$L,12,0),0)+IFERROR(VLOOKUP($A95,[5]库存使用数据!$A:$L,12,0),0)</f>
        <v>21</v>
      </c>
      <c r="M95" s="1">
        <f ca="1">IFERROR(VLOOKUP($A95,[1]库存使用数据!$A:$M,13,0),0)+IFERROR(VLOOKUP($A95,[2]库存使用数据!$A:$M,13,0),0)+公式!$B$14*IFERROR(VLOOKUP($A95,[3]库存使用数据!$A:$M,13,0),0)+IFERROR(VLOOKUP($A95,[4]库存使用数据!$A:$M,13,0),0)+IFERROR(VLOOKUP($A95,[5]库存使用数据!$A:$M,13,0),0)</f>
        <v>2.53</v>
      </c>
    </row>
    <row r="96" spans="1:13">
      <c r="A96" s="5" t="s">
        <v>101</v>
      </c>
      <c r="B96" s="2">
        <f ca="1">IFERROR(VLOOKUP(A96,[1]库存使用数据!$A:$B,2,0),0)+IFERROR(VLOOKUP(A96,[2]库存使用数据!$A:$B,2,0),0)+IFERROR(VLOOKUP(,[3]库存使用数据!$A:$B,2,0),0)+IFERROR(VLOOKUP(A96,[4]库存使用数据!$A:$B,2,0),0)+IFERROR(VLOOKUP(A96,[5]库存使用数据!$A:$B,2,0),0)</f>
        <v>0</v>
      </c>
      <c r="C96" s="1">
        <f ca="1">IFERROR(VLOOKUP($A96,[1]库存使用数据!$A:$C,3,0),0)+IFERROR(VLOOKUP($A96,[2]库存使用数据!$A:$C,3,0),0)+IFERROR(VLOOKUP($A96,[3]库存使用数据!$A:$C,3,0),0)+IFERROR(VLOOKUP($A96,[4]库存使用数据!$A:$C,3,0),0)+IFERROR(VLOOKUP($A96,[5]库存使用数据!$A:$C,3,0),0)</f>
        <v>0</v>
      </c>
      <c r="D96" s="1">
        <f ca="1">IFERROR(VLOOKUP($A96,[1]库存使用数据!$A:$D,4,0),0)+IFERROR(VLOOKUP($A96,[2]库存使用数据!$A:$D,4,0),0)+公式!$B$1*IFERROR(VLOOKUP($A96,[3]库存使用数据!$A:$D,4,0),0)+IFERROR(VLOOKUP($A96,[4]库存使用数据!$A:$D,4,0),0)+IFERROR(VLOOKUP($A96,[5]库存使用数据!$A:$D,4,0),0)</f>
        <v>0</v>
      </c>
      <c r="E96" s="1">
        <f ca="1">IFERROR(VLOOKUP($A96,[1]库存使用数据!$A:$E,5,0),0)+IFERROR(VLOOKUP($A96,[2]库存使用数据!$A:$E,5,0),0)+IFERROR(VLOOKUP($A96,[3]库存使用数据!$A:$E,5,0),0)+IFERROR(VLOOKUP($A96,[4]库存使用数据!$A:$E,5,0),0)+IFERROR(VLOOKUP($A96,[5]库存使用数据!$A:$E,5,0),0)</f>
        <v>12706</v>
      </c>
      <c r="F96" s="1">
        <f ca="1">IFERROR(VLOOKUP($A96,[1]库存使用数据!$A:$F,6,0),0)+IFERROR(VLOOKUP($A96,[2]库存使用数据!$A:$F,6,0),0)+IFERROR(VLOOKUP($A96,[4]库存使用数据!$A:$F,6,0),0)+IFERROR(VLOOKUP($A96,[3]库存使用数据!$A:$F,6,0),0)+IFERROR(VLOOKUP($A96,[5]库存使用数据!$A:$F,6,0),0)</f>
        <v>42</v>
      </c>
      <c r="G96" s="1">
        <f ca="1">IFERROR(VLOOKUP($A96,[1]库存使用数据!$A:$G,7,0),0)+IFERROR(VLOOKUP($A96,[2]库存使用数据!$A:$G,7,0),0)+公式!$B$14*IFERROR(VLOOKUP($A96,[3]库存使用数据!$A:$G,7,0),0)+IFERROR(VLOOKUP($A96,[4]库存使用数据!$A:$G,7,0),0)+IFERROR(VLOOKUP($A96,[5]库存使用数据!$A:$G,7,0),0)</f>
        <v>7.22</v>
      </c>
      <c r="H96" s="1">
        <f ca="1">IFERROR(VLOOKUP($A96,[1]库存使用数据!$A:$H,8,0),0)+IFERROR(VLOOKUP($A96,[2]库存使用数据!$A:$H,8,0),0)+IFERROR(VLOOKUP($A96,[3]库存使用数据!$A:$H,8,0),0)+IFERROR(VLOOKUP($A96,[4]库存使用数据!$A:$H,8,0),0)+IFERROR(VLOOKUP($A96,[5]库存使用数据!$A:$H,8,0),0)</f>
        <v>2537</v>
      </c>
      <c r="I96" s="1">
        <f ca="1">IFERROR(VLOOKUP($A96,[1]库存使用数据!$A:$I,9,0),0)+IFERROR(VLOOKUP($A96,[2]库存使用数据!$A:$I,9,0),0)+IFERROR(VLOOKUP($A96,[3]库存使用数据!$A:$I,9,0),0)+IFERROR(VLOOKUP($A96,[4]库存使用数据!$A:$I,9,0),0)+IFERROR(VLOOKUP($A96,[5]库存使用数据!$A:$I,9,0),0)</f>
        <v>21</v>
      </c>
      <c r="J96" s="1">
        <f ca="1">IFERROR(VLOOKUP($A96,[1]库存使用数据!$A:$J,10,0),0)+IFERROR(VLOOKUP($A96,[2]库存使用数据!$A:$J,10,0),0)+公式!$B$14*IFERROR(VLOOKUP($A96,[3]库存使用数据!$A:$J,10,0),0)+IFERROR(VLOOKUP($A96,[4]库存使用数据!$A:$J,10,0),0)+IFERROR(VLOOKUP($A96,[5]库存使用数据!$A:$J,10,0),0)</f>
        <v>3.81</v>
      </c>
      <c r="K96" s="1">
        <f ca="1">IFERROR(VLOOKUP($A96,[1]库存使用数据!$A:$K,11,0),0)+IFERROR(VLOOKUP($A96,[2]库存使用数据!$A:$K,11,0),0)+IFERROR(VLOOKUP($A96,[3]库存使用数据!$A:$K,11,0),0)+IFERROR(VLOOKUP($A96,[4]库存使用数据!$A:$K,11,0),0)+IFERROR(VLOOKUP($A96,[5]库存使用数据!$A:$K,11,0),0)</f>
        <v>1497</v>
      </c>
      <c r="L96" s="1">
        <f ca="1">IFERROR(VLOOKUP($A96,[1]库存使用数据!$A:$L,12,0),0)+IFERROR(VLOOKUP($A96,[2]库存使用数据!$A:$L,12,0),0)+IFERROR(VLOOKUP($A96,[3]库存使用数据!$A:$L,12,0),0)+IFERROR(VLOOKUP($A96,[4]库存使用数据!$A:$L,12,0),0)+IFERROR(VLOOKUP($A96,[5]库存使用数据!$A:$L,12,0),0)</f>
        <v>12</v>
      </c>
      <c r="M96" s="1">
        <f ca="1">IFERROR(VLOOKUP($A96,[1]库存使用数据!$A:$M,13,0),0)+IFERROR(VLOOKUP($A96,[2]库存使用数据!$A:$M,13,0),0)+公式!$B$14*IFERROR(VLOOKUP($A96,[3]库存使用数据!$A:$M,13,0),0)+IFERROR(VLOOKUP($A96,[4]库存使用数据!$A:$M,13,0),0)+IFERROR(VLOOKUP($A96,[5]库存使用数据!$A:$M,13,0),0)</f>
        <v>1.86</v>
      </c>
    </row>
    <row r="97" spans="1:13">
      <c r="A97" s="5" t="s">
        <v>102</v>
      </c>
      <c r="B97" s="2">
        <f ca="1">IFERROR(VLOOKUP(A97,[1]库存使用数据!$A:$B,2,0),0)+IFERROR(VLOOKUP(A97,[2]库存使用数据!$A:$B,2,0),0)+IFERROR(VLOOKUP(,[3]库存使用数据!$A:$B,2,0),0)+IFERROR(VLOOKUP(A97,[4]库存使用数据!$A:$B,2,0),0)+IFERROR(VLOOKUP(A97,[5]库存使用数据!$A:$B,2,0),0)</f>
        <v>0</v>
      </c>
      <c r="C97" s="1">
        <f ca="1">IFERROR(VLOOKUP($A97,[1]库存使用数据!$A:$C,3,0),0)+IFERROR(VLOOKUP($A97,[2]库存使用数据!$A:$C,3,0),0)+IFERROR(VLOOKUP($A97,[3]库存使用数据!$A:$C,3,0),0)+IFERROR(VLOOKUP($A97,[4]库存使用数据!$A:$C,3,0),0)+IFERROR(VLOOKUP($A97,[5]库存使用数据!$A:$C,3,0),0)</f>
        <v>0</v>
      </c>
      <c r="D97" s="1">
        <f ca="1">IFERROR(VLOOKUP($A97,[1]库存使用数据!$A:$D,4,0),0)+IFERROR(VLOOKUP($A97,[2]库存使用数据!$A:$D,4,0),0)+公式!$B$1*IFERROR(VLOOKUP($A97,[3]库存使用数据!$A:$D,4,0),0)+IFERROR(VLOOKUP($A97,[4]库存使用数据!$A:$D,4,0),0)+IFERROR(VLOOKUP($A97,[5]库存使用数据!$A:$D,4,0),0)</f>
        <v>0</v>
      </c>
      <c r="E97" s="1">
        <f ca="1">IFERROR(VLOOKUP($A97,[1]库存使用数据!$A:$E,5,0),0)+IFERROR(VLOOKUP($A97,[2]库存使用数据!$A:$E,5,0),0)+IFERROR(VLOOKUP($A97,[3]库存使用数据!$A:$E,5,0),0)+IFERROR(VLOOKUP($A97,[4]库存使用数据!$A:$E,5,0),0)+IFERROR(VLOOKUP($A97,[5]库存使用数据!$A:$E,5,0),0)</f>
        <v>23050</v>
      </c>
      <c r="F97" s="1">
        <f ca="1">IFERROR(VLOOKUP($A97,[1]库存使用数据!$A:$F,6,0),0)+IFERROR(VLOOKUP($A97,[2]库存使用数据!$A:$F,6,0),0)+IFERROR(VLOOKUP($A97,[4]库存使用数据!$A:$F,6,0),0)+IFERROR(VLOOKUP($A97,[3]库存使用数据!$A:$F,6,0),0)+IFERROR(VLOOKUP($A97,[5]库存使用数据!$A:$F,6,0),0)</f>
        <v>46</v>
      </c>
      <c r="G97" s="1">
        <f ca="1">IFERROR(VLOOKUP($A97,[1]库存使用数据!$A:$G,7,0),0)+IFERROR(VLOOKUP($A97,[2]库存使用数据!$A:$G,7,0),0)+公式!$B$14*IFERROR(VLOOKUP($A97,[3]库存使用数据!$A:$G,7,0),0)+IFERROR(VLOOKUP($A97,[4]库存使用数据!$A:$G,7,0),0)+IFERROR(VLOOKUP($A97,[5]库存使用数据!$A:$G,7,0),0)</f>
        <v>4.94</v>
      </c>
      <c r="H97" s="1">
        <f ca="1">IFERROR(VLOOKUP($A97,[1]库存使用数据!$A:$H,8,0),0)+IFERROR(VLOOKUP($A97,[2]库存使用数据!$A:$H,8,0),0)+IFERROR(VLOOKUP($A97,[3]库存使用数据!$A:$H,8,0),0)+IFERROR(VLOOKUP($A97,[4]库存使用数据!$A:$H,8,0),0)+IFERROR(VLOOKUP($A97,[5]库存使用数据!$A:$H,8,0),0)</f>
        <v>87</v>
      </c>
      <c r="I97" s="1">
        <f ca="1">IFERROR(VLOOKUP($A97,[1]库存使用数据!$A:$I,9,0),0)+IFERROR(VLOOKUP($A97,[2]库存使用数据!$A:$I,9,0),0)+IFERROR(VLOOKUP($A97,[3]库存使用数据!$A:$I,9,0),0)+IFERROR(VLOOKUP($A97,[4]库存使用数据!$A:$I,9,0),0)+IFERROR(VLOOKUP($A97,[5]库存使用数据!$A:$I,9,0),0)</f>
        <v>1</v>
      </c>
      <c r="J97" s="1">
        <f ca="1">IFERROR(VLOOKUP($A97,[1]库存使用数据!$A:$J,10,0),0)+IFERROR(VLOOKUP($A97,[2]库存使用数据!$A:$J,10,0),0)+公式!$B$14*IFERROR(VLOOKUP($A97,[3]库存使用数据!$A:$J,10,0),0)+IFERROR(VLOOKUP($A97,[4]库存使用数据!$A:$J,10,0),0)+IFERROR(VLOOKUP($A97,[5]库存使用数据!$A:$J,10,0),0)</f>
        <v>0.08</v>
      </c>
      <c r="K97" s="1">
        <f ca="1">IFERROR(VLOOKUP($A97,[1]库存使用数据!$A:$K,11,0),0)+IFERROR(VLOOKUP($A97,[2]库存使用数据!$A:$K,11,0),0)+IFERROR(VLOOKUP($A97,[3]库存使用数据!$A:$K,11,0),0)+IFERROR(VLOOKUP($A97,[4]库存使用数据!$A:$K,11,0),0)+IFERROR(VLOOKUP($A97,[5]库存使用数据!$A:$K,11,0),0)</f>
        <v>6402</v>
      </c>
      <c r="L97" s="1">
        <f ca="1">IFERROR(VLOOKUP($A97,[1]库存使用数据!$A:$L,12,0),0)+IFERROR(VLOOKUP($A97,[2]库存使用数据!$A:$L,12,0),0)+IFERROR(VLOOKUP($A97,[3]库存使用数据!$A:$L,12,0),0)+IFERROR(VLOOKUP($A97,[4]库存使用数据!$A:$L,12,0),0)+IFERROR(VLOOKUP($A97,[5]库存使用数据!$A:$L,12,0),0)</f>
        <v>64</v>
      </c>
      <c r="M97" s="1">
        <f ca="1">IFERROR(VLOOKUP($A97,[1]库存使用数据!$A:$M,13,0),0)+IFERROR(VLOOKUP($A97,[2]库存使用数据!$A:$M,13,0),0)+公式!$B$14*IFERROR(VLOOKUP($A97,[3]库存使用数据!$A:$M,13,0),0)+IFERROR(VLOOKUP($A97,[4]库存使用数据!$A:$M,13,0),0)+IFERROR(VLOOKUP($A97,[5]库存使用数据!$A:$M,13,0),0)</f>
        <v>11.03</v>
      </c>
    </row>
    <row r="98" spans="1:13">
      <c r="A98" s="5" t="s">
        <v>103</v>
      </c>
      <c r="B98" s="2">
        <f ca="1">IFERROR(VLOOKUP(A98,[1]库存使用数据!$A:$B,2,0),0)+IFERROR(VLOOKUP(A98,[2]库存使用数据!$A:$B,2,0),0)+IFERROR(VLOOKUP(,[3]库存使用数据!$A:$B,2,0),0)+IFERROR(VLOOKUP(A98,[4]库存使用数据!$A:$B,2,0),0)+IFERROR(VLOOKUP(A98,[5]库存使用数据!$A:$B,2,0),0)</f>
        <v>1500</v>
      </c>
      <c r="C98" s="1">
        <f ca="1">IFERROR(VLOOKUP($A98,[1]库存使用数据!$A:$C,3,0),0)+IFERROR(VLOOKUP($A98,[2]库存使用数据!$A:$C,3,0),0)+IFERROR(VLOOKUP($A98,[3]库存使用数据!$A:$C,3,0),0)+IFERROR(VLOOKUP($A98,[4]库存使用数据!$A:$C,3,0),0)+IFERROR(VLOOKUP($A98,[5]库存使用数据!$A:$C,3,0),0)</f>
        <v>11</v>
      </c>
      <c r="D98" s="1">
        <f ca="1">IFERROR(VLOOKUP($A98,[1]库存使用数据!$A:$D,4,0),0)+IFERROR(VLOOKUP($A98,[2]库存使用数据!$A:$D,4,0),0)+公式!$B$1*IFERROR(VLOOKUP($A98,[3]库存使用数据!$A:$D,4,0),0)+IFERROR(VLOOKUP($A98,[4]库存使用数据!$A:$D,4,0),0)+IFERROR(VLOOKUP($A98,[5]库存使用数据!$A:$D,4,0),0)</f>
        <v>1.73</v>
      </c>
      <c r="E98" s="1">
        <f ca="1">IFERROR(VLOOKUP($A98,[1]库存使用数据!$A:$E,5,0),0)+IFERROR(VLOOKUP($A98,[2]库存使用数据!$A:$E,5,0),0)+IFERROR(VLOOKUP($A98,[3]库存使用数据!$A:$E,5,0),0)+IFERROR(VLOOKUP($A98,[4]库存使用数据!$A:$E,5,0),0)+IFERROR(VLOOKUP($A98,[5]库存使用数据!$A:$E,5,0),0)</f>
        <v>11405</v>
      </c>
      <c r="F98" s="1">
        <f ca="1">IFERROR(VLOOKUP($A98,[1]库存使用数据!$A:$F,6,0),0)+IFERROR(VLOOKUP($A98,[2]库存使用数据!$A:$F,6,0),0)+IFERROR(VLOOKUP($A98,[4]库存使用数据!$A:$F,6,0),0)+IFERROR(VLOOKUP($A98,[3]库存使用数据!$A:$F,6,0),0)+IFERROR(VLOOKUP($A98,[5]库存使用数据!$A:$F,6,0),0)</f>
        <v>50</v>
      </c>
      <c r="G98" s="1">
        <f ca="1">IFERROR(VLOOKUP($A98,[1]库存使用数据!$A:$G,7,0),0)+IFERROR(VLOOKUP($A98,[2]库存使用数据!$A:$G,7,0),0)+公式!$B$14*IFERROR(VLOOKUP($A98,[3]库存使用数据!$A:$G,7,0),0)+IFERROR(VLOOKUP($A98,[4]库存使用数据!$A:$G,7,0),0)+IFERROR(VLOOKUP($A98,[5]库存使用数据!$A:$G,7,0),0)</f>
        <v>8.58</v>
      </c>
      <c r="H98" s="1">
        <f ca="1">IFERROR(VLOOKUP($A98,[1]库存使用数据!$A:$H,8,0),0)+IFERROR(VLOOKUP($A98,[2]库存使用数据!$A:$H,8,0),0)+IFERROR(VLOOKUP($A98,[3]库存使用数据!$A:$H,8,0),0)+IFERROR(VLOOKUP($A98,[4]库存使用数据!$A:$H,8,0),0)+IFERROR(VLOOKUP($A98,[5]库存使用数据!$A:$H,8,0),0)</f>
        <v>8955</v>
      </c>
      <c r="I98" s="1">
        <f ca="1">IFERROR(VLOOKUP($A98,[1]库存使用数据!$A:$I,9,0),0)+IFERROR(VLOOKUP($A98,[2]库存使用数据!$A:$I,9,0),0)+IFERROR(VLOOKUP($A98,[3]库存使用数据!$A:$I,9,0),0)+IFERROR(VLOOKUP($A98,[4]库存使用数据!$A:$I,9,0),0)+IFERROR(VLOOKUP($A98,[5]库存使用数据!$A:$I,9,0),0)</f>
        <v>67</v>
      </c>
      <c r="J98" s="1">
        <f ca="1">IFERROR(VLOOKUP($A98,[1]库存使用数据!$A:$J,10,0),0)+IFERROR(VLOOKUP($A98,[2]库存使用数据!$A:$J,10,0),0)+公式!$B$14*IFERROR(VLOOKUP($A98,[3]库存使用数据!$A:$J,10,0),0)+IFERROR(VLOOKUP($A98,[4]库存使用数据!$A:$J,10,0),0)+IFERROR(VLOOKUP($A98,[5]库存使用数据!$A:$J,10,0),0)</f>
        <v>10.02</v>
      </c>
      <c r="K98" s="1">
        <f ca="1">IFERROR(VLOOKUP($A98,[1]库存使用数据!$A:$K,11,0),0)+IFERROR(VLOOKUP($A98,[2]库存使用数据!$A:$K,11,0),0)+IFERROR(VLOOKUP($A98,[3]库存使用数据!$A:$K,11,0),0)+IFERROR(VLOOKUP($A98,[4]库存使用数据!$A:$K,11,0),0)+IFERROR(VLOOKUP($A98,[5]库存使用数据!$A:$K,11,0),0)</f>
        <v>5786</v>
      </c>
      <c r="L98" s="1">
        <f ca="1">IFERROR(VLOOKUP($A98,[1]库存使用数据!$A:$L,12,0),0)+IFERROR(VLOOKUP($A98,[2]库存使用数据!$A:$L,12,0),0)+IFERROR(VLOOKUP($A98,[3]库存使用数据!$A:$L,12,0),0)+IFERROR(VLOOKUP($A98,[4]库存使用数据!$A:$L,12,0),0)+IFERROR(VLOOKUP($A98,[5]库存使用数据!$A:$L,12,0),0)</f>
        <v>41</v>
      </c>
      <c r="M98" s="1">
        <f ca="1">IFERROR(VLOOKUP($A98,[1]库存使用数据!$A:$M,13,0),0)+IFERROR(VLOOKUP($A98,[2]库存使用数据!$A:$M,13,0),0)+公式!$B$14*IFERROR(VLOOKUP($A98,[3]库存使用数据!$A:$M,13,0),0)+IFERROR(VLOOKUP($A98,[4]库存使用数据!$A:$M,13,0),0)+IFERROR(VLOOKUP($A98,[5]库存使用数据!$A:$M,13,0),0)</f>
        <v>6.12</v>
      </c>
    </row>
    <row r="99" spans="1:13">
      <c r="A99" s="5" t="s">
        <v>104</v>
      </c>
      <c r="B99" s="2">
        <f ca="1">IFERROR(VLOOKUP(A99,[1]库存使用数据!$A:$B,2,0),0)+IFERROR(VLOOKUP(A99,[2]库存使用数据!$A:$B,2,0),0)+IFERROR(VLOOKUP(,[3]库存使用数据!$A:$B,2,0),0)+IFERROR(VLOOKUP(A99,[4]库存使用数据!$A:$B,2,0),0)+IFERROR(VLOOKUP(A99,[5]库存使用数据!$A:$B,2,0),0)</f>
        <v>8420</v>
      </c>
      <c r="C99" s="1">
        <f ca="1">IFERROR(VLOOKUP($A99,[1]库存使用数据!$A:$C,3,0),0)+IFERROR(VLOOKUP($A99,[2]库存使用数据!$A:$C,3,0),0)+IFERROR(VLOOKUP($A99,[3]库存使用数据!$A:$C,3,0),0)+IFERROR(VLOOKUP($A99,[4]库存使用数据!$A:$C,3,0),0)+IFERROR(VLOOKUP($A99,[5]库存使用数据!$A:$C,3,0),0)</f>
        <v>69</v>
      </c>
      <c r="D99" s="1">
        <f ca="1">IFERROR(VLOOKUP($A99,[1]库存使用数据!$A:$D,4,0),0)+IFERROR(VLOOKUP($A99,[2]库存使用数据!$A:$D,4,0),0)+公式!$B$1*IFERROR(VLOOKUP($A99,[3]库存使用数据!$A:$D,4,0),0)+IFERROR(VLOOKUP($A99,[4]库存使用数据!$A:$D,4,0),0)+IFERROR(VLOOKUP($A99,[5]库存使用数据!$A:$D,4,0),0)</f>
        <v>9.63</v>
      </c>
      <c r="E99" s="1">
        <f ca="1">IFERROR(VLOOKUP($A99,[1]库存使用数据!$A:$E,5,0),0)+IFERROR(VLOOKUP($A99,[2]库存使用数据!$A:$E,5,0),0)+IFERROR(VLOOKUP($A99,[3]库存使用数据!$A:$E,5,0),0)+IFERROR(VLOOKUP($A99,[4]库存使用数据!$A:$E,5,0),0)+IFERROR(VLOOKUP($A99,[5]库存使用数据!$A:$E,5,0),0)</f>
        <v>8937</v>
      </c>
      <c r="F99" s="1">
        <f ca="1">IFERROR(VLOOKUP($A99,[1]库存使用数据!$A:$F,6,0),0)+IFERROR(VLOOKUP($A99,[2]库存使用数据!$A:$F,6,0),0)+IFERROR(VLOOKUP($A99,[4]库存使用数据!$A:$F,6,0),0)+IFERROR(VLOOKUP($A99,[3]库存使用数据!$A:$F,6,0),0)+IFERROR(VLOOKUP($A99,[5]库存使用数据!$A:$F,6,0),0)</f>
        <v>60</v>
      </c>
      <c r="G99" s="1">
        <f ca="1">IFERROR(VLOOKUP($A99,[1]库存使用数据!$A:$G,7,0),0)+IFERROR(VLOOKUP($A99,[2]库存使用数据!$A:$G,7,0),0)+公式!$B$14*IFERROR(VLOOKUP($A99,[3]库存使用数据!$A:$G,7,0),0)+IFERROR(VLOOKUP($A99,[4]库存使用数据!$A:$G,7,0),0)+IFERROR(VLOOKUP($A99,[5]库存使用数据!$A:$G,7,0),0)</f>
        <v>9.06</v>
      </c>
      <c r="H99" s="1">
        <f ca="1">IFERROR(VLOOKUP($A99,[1]库存使用数据!$A:$H,8,0),0)+IFERROR(VLOOKUP($A99,[2]库存使用数据!$A:$H,8,0),0)+IFERROR(VLOOKUP($A99,[3]库存使用数据!$A:$H,8,0),0)+IFERROR(VLOOKUP($A99,[4]库存使用数据!$A:$H,8,0),0)+IFERROR(VLOOKUP($A99,[5]库存使用数据!$A:$H,8,0),0)</f>
        <v>4486</v>
      </c>
      <c r="I99" s="1">
        <f ca="1">IFERROR(VLOOKUP($A99,[1]库存使用数据!$A:$I,9,0),0)+IFERROR(VLOOKUP($A99,[2]库存使用数据!$A:$I,9,0),0)+IFERROR(VLOOKUP($A99,[3]库存使用数据!$A:$I,9,0),0)+IFERROR(VLOOKUP($A99,[4]库存使用数据!$A:$I,9,0),0)+IFERROR(VLOOKUP($A99,[5]库存使用数据!$A:$I,9,0),0)</f>
        <v>51</v>
      </c>
      <c r="J99" s="1">
        <f ca="1">IFERROR(VLOOKUP($A99,[1]库存使用数据!$A:$J,10,0),0)+IFERROR(VLOOKUP($A99,[2]库存使用数据!$A:$J,10,0),0)+公式!$B$14*IFERROR(VLOOKUP($A99,[3]库存使用数据!$A:$J,10,0),0)+IFERROR(VLOOKUP($A99,[4]库存使用数据!$A:$J,10,0),0)+IFERROR(VLOOKUP($A99,[5]库存使用数据!$A:$J,10,0),0)</f>
        <v>7.58</v>
      </c>
      <c r="K99" s="1">
        <f ca="1">IFERROR(VLOOKUP($A99,[1]库存使用数据!$A:$K,11,0),0)+IFERROR(VLOOKUP($A99,[2]库存使用数据!$A:$K,11,0),0)+IFERROR(VLOOKUP($A99,[3]库存使用数据!$A:$K,11,0),0)+IFERROR(VLOOKUP($A99,[4]库存使用数据!$A:$K,11,0),0)+IFERROR(VLOOKUP($A99,[5]库存使用数据!$A:$K,11,0),0)</f>
        <v>11175</v>
      </c>
      <c r="L99" s="1">
        <f ca="1">IFERROR(VLOOKUP($A99,[1]库存使用数据!$A:$L,12,0),0)+IFERROR(VLOOKUP($A99,[2]库存使用数据!$A:$L,12,0),0)+IFERROR(VLOOKUP($A99,[3]库存使用数据!$A:$L,12,0),0)+IFERROR(VLOOKUP($A99,[4]库存使用数据!$A:$L,12,0),0)+IFERROR(VLOOKUP($A99,[5]库存使用数据!$A:$L,12,0),0)</f>
        <v>112</v>
      </c>
      <c r="M99" s="1">
        <f ca="1">IFERROR(VLOOKUP($A99,[1]库存使用数据!$A:$M,13,0),0)+IFERROR(VLOOKUP($A99,[2]库存使用数据!$A:$M,13,0),0)+公式!$B$14*IFERROR(VLOOKUP($A99,[3]库存使用数据!$A:$M,13,0),0)+IFERROR(VLOOKUP($A99,[4]库存使用数据!$A:$M,13,0),0)+IFERROR(VLOOKUP($A99,[5]库存使用数据!$A:$M,13,0),0)</f>
        <v>18.51</v>
      </c>
    </row>
    <row r="100" spans="1:13">
      <c r="A100" s="5" t="s">
        <v>105</v>
      </c>
      <c r="B100" s="2">
        <f ca="1">IFERROR(VLOOKUP(A100,[1]库存使用数据!$A:$B,2,0),0)+IFERROR(VLOOKUP(A100,[2]库存使用数据!$A:$B,2,0),0)+IFERROR(VLOOKUP(,[3]库存使用数据!$A:$B,2,0),0)+IFERROR(VLOOKUP(A100,[4]库存使用数据!$A:$B,2,0),0)+IFERROR(VLOOKUP(A100,[5]库存使用数据!$A:$B,2,0),0)</f>
        <v>16723</v>
      </c>
      <c r="C100" s="1">
        <f ca="1">IFERROR(VLOOKUP($A100,[1]库存使用数据!$A:$C,3,0),0)+IFERROR(VLOOKUP($A100,[2]库存使用数据!$A:$C,3,0),0)+IFERROR(VLOOKUP($A100,[3]库存使用数据!$A:$C,3,0),0)+IFERROR(VLOOKUP($A100,[4]库存使用数据!$A:$C,3,0),0)+IFERROR(VLOOKUP($A100,[5]库存使用数据!$A:$C,3,0),0)</f>
        <v>66</v>
      </c>
      <c r="D100" s="1">
        <f ca="1">IFERROR(VLOOKUP($A100,[1]库存使用数据!$A:$D,4,0),0)+IFERROR(VLOOKUP($A100,[2]库存使用数据!$A:$D,4,0),0)+公式!$B$1*IFERROR(VLOOKUP($A100,[3]库存使用数据!$A:$D,4,0),0)+IFERROR(VLOOKUP($A100,[4]库存使用数据!$A:$D,4,0),0)+IFERROR(VLOOKUP($A100,[5]库存使用数据!$A:$D,4,0),0)</f>
        <v>10.65</v>
      </c>
      <c r="E100" s="1">
        <f ca="1">IFERROR(VLOOKUP($A100,[1]库存使用数据!$A:$E,5,0),0)+IFERROR(VLOOKUP($A100,[2]库存使用数据!$A:$E,5,0),0)+IFERROR(VLOOKUP($A100,[3]库存使用数据!$A:$E,5,0),0)+IFERROR(VLOOKUP($A100,[4]库存使用数据!$A:$E,5,0),0)+IFERROR(VLOOKUP($A100,[5]库存使用数据!$A:$E,5,0),0)</f>
        <v>8601</v>
      </c>
      <c r="F100" s="1">
        <f ca="1">IFERROR(VLOOKUP($A100,[1]库存使用数据!$A:$F,6,0),0)+IFERROR(VLOOKUP($A100,[2]库存使用数据!$A:$F,6,0),0)+IFERROR(VLOOKUP($A100,[4]库存使用数据!$A:$F,6,0),0)+IFERROR(VLOOKUP($A100,[3]库存使用数据!$A:$F,6,0),0)+IFERROR(VLOOKUP($A100,[5]库存使用数据!$A:$F,6,0),0)</f>
        <v>30</v>
      </c>
      <c r="G100" s="1">
        <f ca="1">IFERROR(VLOOKUP($A100,[1]库存使用数据!$A:$G,7,0),0)+IFERROR(VLOOKUP($A100,[2]库存使用数据!$A:$G,7,0),0)+公式!$B$14*IFERROR(VLOOKUP($A100,[3]库存使用数据!$A:$G,7,0),0)+IFERROR(VLOOKUP($A100,[4]库存使用数据!$A:$G,7,0),0)+IFERROR(VLOOKUP($A100,[5]库存使用数据!$A:$G,7,0),0)</f>
        <v>3.52</v>
      </c>
      <c r="H100" s="1">
        <f ca="1">IFERROR(VLOOKUP($A100,[1]库存使用数据!$A:$H,8,0),0)+IFERROR(VLOOKUP($A100,[2]库存使用数据!$A:$H,8,0),0)+IFERROR(VLOOKUP($A100,[3]库存使用数据!$A:$H,8,0),0)+IFERROR(VLOOKUP($A100,[4]库存使用数据!$A:$H,8,0),0)+IFERROR(VLOOKUP($A100,[5]库存使用数据!$A:$H,8,0),0)</f>
        <v>1259</v>
      </c>
      <c r="I100" s="1">
        <f ca="1">IFERROR(VLOOKUP($A100,[1]库存使用数据!$A:$I,9,0),0)+IFERROR(VLOOKUP($A100,[2]库存使用数据!$A:$I,9,0),0)+IFERROR(VLOOKUP($A100,[3]库存使用数据!$A:$I,9,0),0)+IFERROR(VLOOKUP($A100,[4]库存使用数据!$A:$I,9,0),0)+IFERROR(VLOOKUP($A100,[5]库存使用数据!$A:$I,9,0),0)</f>
        <v>7</v>
      </c>
      <c r="J100" s="1">
        <f ca="1">IFERROR(VLOOKUP($A100,[1]库存使用数据!$A:$J,10,0),0)+IFERROR(VLOOKUP($A100,[2]库存使用数据!$A:$J,10,0),0)+公式!$B$14*IFERROR(VLOOKUP($A100,[3]库存使用数据!$A:$J,10,0),0)+IFERROR(VLOOKUP($A100,[4]库存使用数据!$A:$J,10,0),0)+IFERROR(VLOOKUP($A100,[5]库存使用数据!$A:$J,10,0),0)</f>
        <v>1.41</v>
      </c>
      <c r="K100" s="1">
        <f ca="1">IFERROR(VLOOKUP($A100,[1]库存使用数据!$A:$K,11,0),0)+IFERROR(VLOOKUP($A100,[2]库存使用数据!$A:$K,11,0),0)+IFERROR(VLOOKUP($A100,[3]库存使用数据!$A:$K,11,0),0)+IFERROR(VLOOKUP($A100,[4]库存使用数据!$A:$K,11,0),0)+IFERROR(VLOOKUP($A100,[5]库存使用数据!$A:$K,11,0),0)</f>
        <v>2761</v>
      </c>
      <c r="L100" s="1">
        <f ca="1">IFERROR(VLOOKUP($A100,[1]库存使用数据!$A:$L,12,0),0)+IFERROR(VLOOKUP($A100,[2]库存使用数据!$A:$L,12,0),0)+IFERROR(VLOOKUP($A100,[3]库存使用数据!$A:$L,12,0),0)+IFERROR(VLOOKUP($A100,[4]库存使用数据!$A:$L,12,0),0)+IFERROR(VLOOKUP($A100,[5]库存使用数据!$A:$L,12,0),0)</f>
        <v>14</v>
      </c>
      <c r="M100" s="1">
        <f ca="1">IFERROR(VLOOKUP($A100,[1]库存使用数据!$A:$M,13,0),0)+IFERROR(VLOOKUP($A100,[2]库存使用数据!$A:$M,13,0),0)+公式!$B$14*IFERROR(VLOOKUP($A100,[3]库存使用数据!$A:$M,13,0),0)+IFERROR(VLOOKUP($A100,[4]库存使用数据!$A:$M,13,0),0)+IFERROR(VLOOKUP($A100,[5]库存使用数据!$A:$M,13,0),0)</f>
        <v>2.39</v>
      </c>
    </row>
    <row r="101" spans="1:13">
      <c r="A101" s="5" t="s">
        <v>106</v>
      </c>
      <c r="B101" s="2">
        <f ca="1">IFERROR(VLOOKUP(A101,[1]库存使用数据!$A:$B,2,0),0)+IFERROR(VLOOKUP(A101,[2]库存使用数据!$A:$B,2,0),0)+IFERROR(VLOOKUP(,[3]库存使用数据!$A:$B,2,0),0)+IFERROR(VLOOKUP(A101,[4]库存使用数据!$A:$B,2,0),0)+IFERROR(VLOOKUP(A101,[5]库存使用数据!$A:$B,2,0),0)</f>
        <v>8037</v>
      </c>
      <c r="C101" s="1">
        <f ca="1">IFERROR(VLOOKUP($A101,[1]库存使用数据!$A:$C,3,0),0)+IFERROR(VLOOKUP($A101,[2]库存使用数据!$A:$C,3,0),0)+IFERROR(VLOOKUP($A101,[3]库存使用数据!$A:$C,3,0),0)+IFERROR(VLOOKUP($A101,[4]库存使用数据!$A:$C,3,0),0)+IFERROR(VLOOKUP($A101,[5]库存使用数据!$A:$C,3,0),0)</f>
        <v>51</v>
      </c>
      <c r="D101" s="1">
        <f ca="1">IFERROR(VLOOKUP($A101,[1]库存使用数据!$A:$D,4,0),0)+IFERROR(VLOOKUP($A101,[2]库存使用数据!$A:$D,4,0),0)+公式!$B$1*IFERROR(VLOOKUP($A101,[3]库存使用数据!$A:$D,4,0),0)+IFERROR(VLOOKUP($A101,[4]库存使用数据!$A:$D,4,0),0)+IFERROR(VLOOKUP($A101,[5]库存使用数据!$A:$D,4,0),0)</f>
        <v>7.58</v>
      </c>
      <c r="E101" s="1">
        <f ca="1">IFERROR(VLOOKUP($A101,[1]库存使用数据!$A:$E,5,0),0)+IFERROR(VLOOKUP($A101,[2]库存使用数据!$A:$E,5,0),0)+IFERROR(VLOOKUP($A101,[3]库存使用数据!$A:$E,5,0),0)+IFERROR(VLOOKUP($A101,[4]库存使用数据!$A:$E,5,0),0)+IFERROR(VLOOKUP($A101,[5]库存使用数据!$A:$E,5,0),0)</f>
        <v>9400</v>
      </c>
      <c r="F101" s="1">
        <f ca="1">IFERROR(VLOOKUP($A101,[1]库存使用数据!$A:$F,6,0),0)+IFERROR(VLOOKUP($A101,[2]库存使用数据!$A:$F,6,0),0)+IFERROR(VLOOKUP($A101,[4]库存使用数据!$A:$F,6,0),0)+IFERROR(VLOOKUP($A101,[3]库存使用数据!$A:$F,6,0),0)+IFERROR(VLOOKUP($A101,[5]库存使用数据!$A:$F,6,0),0)</f>
        <v>49</v>
      </c>
      <c r="G101" s="1">
        <f ca="1">IFERROR(VLOOKUP($A101,[1]库存使用数据!$A:$G,7,0),0)+IFERROR(VLOOKUP($A101,[2]库存使用数据!$A:$G,7,0),0)+公式!$B$14*IFERROR(VLOOKUP($A101,[3]库存使用数据!$A:$G,7,0),0)+IFERROR(VLOOKUP($A101,[4]库存使用数据!$A:$G,7,0),0)+IFERROR(VLOOKUP($A101,[5]库存使用数据!$A:$G,7,0),0)</f>
        <v>6.4</v>
      </c>
      <c r="H101" s="1">
        <f ca="1">IFERROR(VLOOKUP($A101,[1]库存使用数据!$A:$H,8,0),0)+IFERROR(VLOOKUP($A101,[2]库存使用数据!$A:$H,8,0),0)+IFERROR(VLOOKUP($A101,[3]库存使用数据!$A:$H,8,0),0)+IFERROR(VLOOKUP($A101,[4]库存使用数据!$A:$H,8,0),0)+IFERROR(VLOOKUP($A101,[5]库存使用数据!$A:$H,8,0),0)</f>
        <v>274</v>
      </c>
      <c r="I101" s="1">
        <f ca="1">IFERROR(VLOOKUP($A101,[1]库存使用数据!$A:$I,9,0),0)+IFERROR(VLOOKUP($A101,[2]库存使用数据!$A:$I,9,0),0)+IFERROR(VLOOKUP($A101,[3]库存使用数据!$A:$I,9,0),0)+IFERROR(VLOOKUP($A101,[4]库存使用数据!$A:$I,9,0),0)+IFERROR(VLOOKUP($A101,[5]库存使用数据!$A:$I,9,0),0)</f>
        <v>0</v>
      </c>
      <c r="J101" s="1">
        <f ca="1">IFERROR(VLOOKUP($A101,[1]库存使用数据!$A:$J,10,0),0)+IFERROR(VLOOKUP($A101,[2]库存使用数据!$A:$J,10,0),0)+公式!$B$14*IFERROR(VLOOKUP($A101,[3]库存使用数据!$A:$J,10,0),0)+IFERROR(VLOOKUP($A101,[4]库存使用数据!$A:$J,10,0),0)+IFERROR(VLOOKUP($A101,[5]库存使用数据!$A:$J,10,0),0)</f>
        <v>0</v>
      </c>
      <c r="K101" s="1">
        <f ca="1">IFERROR(VLOOKUP($A101,[1]库存使用数据!$A:$K,11,0),0)+IFERROR(VLOOKUP($A101,[2]库存使用数据!$A:$K,11,0),0)+IFERROR(VLOOKUP($A101,[3]库存使用数据!$A:$K,11,0),0)+IFERROR(VLOOKUP($A101,[4]库存使用数据!$A:$K,11,0),0)+IFERROR(VLOOKUP($A101,[5]库存使用数据!$A:$K,11,0),0)</f>
        <v>1532</v>
      </c>
      <c r="L101" s="1">
        <f ca="1">IFERROR(VLOOKUP($A101,[1]库存使用数据!$A:$L,12,0),0)+IFERROR(VLOOKUP($A101,[2]库存使用数据!$A:$L,12,0),0)+IFERROR(VLOOKUP($A101,[3]库存使用数据!$A:$L,12,0),0)+IFERROR(VLOOKUP($A101,[4]库存使用数据!$A:$L,12,0),0)+IFERROR(VLOOKUP($A101,[5]库存使用数据!$A:$L,12,0),0)</f>
        <v>14</v>
      </c>
      <c r="M101" s="1">
        <f ca="1">IFERROR(VLOOKUP($A101,[1]库存使用数据!$A:$M,13,0),0)+IFERROR(VLOOKUP($A101,[2]库存使用数据!$A:$M,13,0),0)+公式!$B$14*IFERROR(VLOOKUP($A101,[3]库存使用数据!$A:$M,13,0),0)+IFERROR(VLOOKUP($A101,[4]库存使用数据!$A:$M,13,0),0)+IFERROR(VLOOKUP($A101,[5]库存使用数据!$A:$M,13,0),0)</f>
        <v>2.27</v>
      </c>
    </row>
    <row r="102" spans="1:13">
      <c r="A102" s="5" t="s">
        <v>107</v>
      </c>
      <c r="B102" s="2">
        <f ca="1">IFERROR(VLOOKUP(A102,[1]库存使用数据!$A:$B,2,0),0)+IFERROR(VLOOKUP(A102,[2]库存使用数据!$A:$B,2,0),0)+IFERROR(VLOOKUP(,[3]库存使用数据!$A:$B,2,0),0)+IFERROR(VLOOKUP(A102,[4]库存使用数据!$A:$B,2,0),0)+IFERROR(VLOOKUP(A102,[5]库存使用数据!$A:$B,2,0),0)</f>
        <v>0</v>
      </c>
      <c r="C102" s="1">
        <f ca="1">IFERROR(VLOOKUP($A102,[1]库存使用数据!$A:$C,3,0),0)+IFERROR(VLOOKUP($A102,[2]库存使用数据!$A:$C,3,0),0)+IFERROR(VLOOKUP($A102,[3]库存使用数据!$A:$C,3,0),0)+IFERROR(VLOOKUP($A102,[4]库存使用数据!$A:$C,3,0),0)+IFERROR(VLOOKUP($A102,[5]库存使用数据!$A:$C,3,0),0)</f>
        <v>0</v>
      </c>
      <c r="D102" s="1">
        <f ca="1">IFERROR(VLOOKUP($A102,[1]库存使用数据!$A:$D,4,0),0)+IFERROR(VLOOKUP($A102,[2]库存使用数据!$A:$D,4,0),0)+公式!$B$1*IFERROR(VLOOKUP($A102,[3]库存使用数据!$A:$D,4,0),0)+IFERROR(VLOOKUP($A102,[4]库存使用数据!$A:$D,4,0),0)+IFERROR(VLOOKUP($A102,[5]库存使用数据!$A:$D,4,0),0)</f>
        <v>0</v>
      </c>
      <c r="E102" s="1">
        <f ca="1">IFERROR(VLOOKUP($A102,[1]库存使用数据!$A:$E,5,0),0)+IFERROR(VLOOKUP($A102,[2]库存使用数据!$A:$E,5,0),0)+IFERROR(VLOOKUP($A102,[3]库存使用数据!$A:$E,5,0),0)+IFERROR(VLOOKUP($A102,[4]库存使用数据!$A:$E,5,0),0)+IFERROR(VLOOKUP($A102,[5]库存使用数据!$A:$E,5,0),0)</f>
        <v>5107</v>
      </c>
      <c r="F102" s="1">
        <f ca="1">IFERROR(VLOOKUP($A102,[1]库存使用数据!$A:$F,6,0),0)+IFERROR(VLOOKUP($A102,[2]库存使用数据!$A:$F,6,0),0)+IFERROR(VLOOKUP($A102,[4]库存使用数据!$A:$F,6,0),0)+IFERROR(VLOOKUP($A102,[3]库存使用数据!$A:$F,6,0),0)+IFERROR(VLOOKUP($A102,[5]库存使用数据!$A:$F,6,0),0)</f>
        <v>23</v>
      </c>
      <c r="G102" s="1">
        <f ca="1">IFERROR(VLOOKUP($A102,[1]库存使用数据!$A:$G,7,0),0)+IFERROR(VLOOKUP($A102,[2]库存使用数据!$A:$G,7,0),0)+公式!$B$14*IFERROR(VLOOKUP($A102,[3]库存使用数据!$A:$G,7,0),0)+IFERROR(VLOOKUP($A102,[4]库存使用数据!$A:$G,7,0),0)+IFERROR(VLOOKUP($A102,[5]库存使用数据!$A:$G,7,0),0)</f>
        <v>3.42</v>
      </c>
      <c r="H102" s="1">
        <f ca="1">IFERROR(VLOOKUP($A102,[1]库存使用数据!$A:$H,8,0),0)+IFERROR(VLOOKUP($A102,[2]库存使用数据!$A:$H,8,0),0)+IFERROR(VLOOKUP($A102,[3]库存使用数据!$A:$H,8,0),0)+IFERROR(VLOOKUP($A102,[4]库存使用数据!$A:$H,8,0),0)+IFERROR(VLOOKUP($A102,[5]库存使用数据!$A:$H,8,0),0)</f>
        <v>8153</v>
      </c>
      <c r="I102" s="1">
        <f ca="1">IFERROR(VLOOKUP($A102,[1]库存使用数据!$A:$I,9,0),0)+IFERROR(VLOOKUP($A102,[2]库存使用数据!$A:$I,9,0),0)+IFERROR(VLOOKUP($A102,[3]库存使用数据!$A:$I,9,0),0)+IFERROR(VLOOKUP($A102,[4]库存使用数据!$A:$I,9,0),0)+IFERROR(VLOOKUP($A102,[5]库存使用数据!$A:$I,9,0),0)</f>
        <v>42</v>
      </c>
      <c r="J102" s="1">
        <f ca="1">IFERROR(VLOOKUP($A102,[1]库存使用数据!$A:$J,10,0),0)+IFERROR(VLOOKUP($A102,[2]库存使用数据!$A:$J,10,0),0)+公式!$B$14*IFERROR(VLOOKUP($A102,[3]库存使用数据!$A:$J,10,0),0)+IFERROR(VLOOKUP($A102,[4]库存使用数据!$A:$J,10,0),0)+IFERROR(VLOOKUP($A102,[5]库存使用数据!$A:$J,10,0),0)</f>
        <v>7.05</v>
      </c>
      <c r="K102" s="1">
        <f ca="1">IFERROR(VLOOKUP($A102,[1]库存使用数据!$A:$K,11,0),0)+IFERROR(VLOOKUP($A102,[2]库存使用数据!$A:$K,11,0),0)+IFERROR(VLOOKUP($A102,[3]库存使用数据!$A:$K,11,0),0)+IFERROR(VLOOKUP($A102,[4]库存使用数据!$A:$K,11,0),0)+IFERROR(VLOOKUP($A102,[5]库存使用数据!$A:$K,11,0),0)</f>
        <v>19743</v>
      </c>
      <c r="L102" s="1">
        <f ca="1">IFERROR(VLOOKUP($A102,[1]库存使用数据!$A:$L,12,0),0)+IFERROR(VLOOKUP($A102,[2]库存使用数据!$A:$L,12,0),0)+IFERROR(VLOOKUP($A102,[3]库存使用数据!$A:$L,12,0),0)+IFERROR(VLOOKUP($A102,[4]库存使用数据!$A:$L,12,0),0)+IFERROR(VLOOKUP($A102,[5]库存使用数据!$A:$L,12,0),0)</f>
        <v>120</v>
      </c>
      <c r="M102" s="1">
        <f ca="1">IFERROR(VLOOKUP($A102,[1]库存使用数据!$A:$M,13,0),0)+IFERROR(VLOOKUP($A102,[2]库存使用数据!$A:$M,13,0),0)+公式!$B$14*IFERROR(VLOOKUP($A102,[3]库存使用数据!$A:$M,13,0),0)+IFERROR(VLOOKUP($A102,[4]库存使用数据!$A:$M,13,0),0)+IFERROR(VLOOKUP($A102,[5]库存使用数据!$A:$M,13,0),0)</f>
        <v>18.36</v>
      </c>
    </row>
    <row r="103" spans="1:13">
      <c r="A103" s="5" t="s">
        <v>108</v>
      </c>
      <c r="B103" s="2">
        <f ca="1">IFERROR(VLOOKUP(A103,[1]库存使用数据!$A:$B,2,0),0)+IFERROR(VLOOKUP(A103,[2]库存使用数据!$A:$B,2,0),0)+IFERROR(VLOOKUP(,[3]库存使用数据!$A:$B,2,0),0)+IFERROR(VLOOKUP(A103,[4]库存使用数据!$A:$B,2,0),0)+IFERROR(VLOOKUP(A103,[5]库存使用数据!$A:$B,2,0),0)</f>
        <v>3190</v>
      </c>
      <c r="C103" s="1">
        <f ca="1">IFERROR(VLOOKUP($A103,[1]库存使用数据!$A:$C,3,0),0)+IFERROR(VLOOKUP($A103,[2]库存使用数据!$A:$C,3,0),0)+IFERROR(VLOOKUP($A103,[3]库存使用数据!$A:$C,3,0),0)+IFERROR(VLOOKUP($A103,[4]库存使用数据!$A:$C,3,0),0)+IFERROR(VLOOKUP($A103,[5]库存使用数据!$A:$C,3,0),0)</f>
        <v>40</v>
      </c>
      <c r="D103" s="1">
        <f ca="1">IFERROR(VLOOKUP($A103,[1]库存使用数据!$A:$D,4,0),0)+IFERROR(VLOOKUP($A103,[2]库存使用数据!$A:$D,4,0),0)+公式!$B$1*IFERROR(VLOOKUP($A103,[3]库存使用数据!$A:$D,4,0),0)+IFERROR(VLOOKUP($A103,[4]库存使用数据!$A:$D,4,0),0)+IFERROR(VLOOKUP($A103,[5]库存使用数据!$A:$D,4,0),0)</f>
        <v>6.56</v>
      </c>
      <c r="E103" s="1">
        <f ca="1">IFERROR(VLOOKUP($A103,[1]库存使用数据!$A:$E,5,0),0)+IFERROR(VLOOKUP($A103,[2]库存使用数据!$A:$E,5,0),0)+IFERROR(VLOOKUP($A103,[3]库存使用数据!$A:$E,5,0),0)+IFERROR(VLOOKUP($A103,[4]库存使用数据!$A:$E,5,0),0)+IFERROR(VLOOKUP($A103,[5]库存使用数据!$A:$E,5,0),0)</f>
        <v>0</v>
      </c>
      <c r="F103" s="1">
        <f ca="1">IFERROR(VLOOKUP($A103,[1]库存使用数据!$A:$F,6,0),0)+IFERROR(VLOOKUP($A103,[2]库存使用数据!$A:$F,6,0),0)+IFERROR(VLOOKUP($A103,[4]库存使用数据!$A:$F,6,0),0)+IFERROR(VLOOKUP($A103,[3]库存使用数据!$A:$F,6,0),0)+IFERROR(VLOOKUP($A103,[5]库存使用数据!$A:$F,6,0),0)</f>
        <v>0</v>
      </c>
      <c r="G103" s="1">
        <f ca="1">IFERROR(VLOOKUP($A103,[1]库存使用数据!$A:$G,7,0),0)+IFERROR(VLOOKUP($A103,[2]库存使用数据!$A:$G,7,0),0)+公式!$B$14*IFERROR(VLOOKUP($A103,[3]库存使用数据!$A:$G,7,0),0)+IFERROR(VLOOKUP($A103,[4]库存使用数据!$A:$G,7,0),0)+IFERROR(VLOOKUP($A103,[5]库存使用数据!$A:$G,7,0),0)</f>
        <v>0</v>
      </c>
      <c r="H103" s="1">
        <f ca="1">IFERROR(VLOOKUP($A103,[1]库存使用数据!$A:$H,8,0),0)+IFERROR(VLOOKUP($A103,[2]库存使用数据!$A:$H,8,0),0)+IFERROR(VLOOKUP($A103,[3]库存使用数据!$A:$H,8,0),0)+IFERROR(VLOOKUP($A103,[4]库存使用数据!$A:$H,8,0),0)+IFERROR(VLOOKUP($A103,[5]库存使用数据!$A:$H,8,0),0)</f>
        <v>1635</v>
      </c>
      <c r="I103" s="1">
        <f ca="1">IFERROR(VLOOKUP($A103,[1]库存使用数据!$A:$I,9,0),0)+IFERROR(VLOOKUP($A103,[2]库存使用数据!$A:$I,9,0),0)+IFERROR(VLOOKUP($A103,[3]库存使用数据!$A:$I,9,0),0)+IFERROR(VLOOKUP($A103,[4]库存使用数据!$A:$I,9,0),0)+IFERROR(VLOOKUP($A103,[5]库存使用数据!$A:$I,9,0),0)</f>
        <v>8</v>
      </c>
      <c r="J103" s="1">
        <f ca="1">IFERROR(VLOOKUP($A103,[1]库存使用数据!$A:$J,10,0),0)+IFERROR(VLOOKUP($A103,[2]库存使用数据!$A:$J,10,0),0)+公式!$B$14*IFERROR(VLOOKUP($A103,[3]库存使用数据!$A:$J,10,0),0)+IFERROR(VLOOKUP($A103,[4]库存使用数据!$A:$J,10,0),0)+IFERROR(VLOOKUP($A103,[5]库存使用数据!$A:$J,10,0),0)</f>
        <v>0.95</v>
      </c>
      <c r="K103" s="1">
        <f ca="1">IFERROR(VLOOKUP($A103,[1]库存使用数据!$A:$K,11,0),0)+IFERROR(VLOOKUP($A103,[2]库存使用数据!$A:$K,11,0),0)+IFERROR(VLOOKUP($A103,[3]库存使用数据!$A:$K,11,0),0)+IFERROR(VLOOKUP($A103,[4]库存使用数据!$A:$K,11,0),0)+IFERROR(VLOOKUP($A103,[5]库存使用数据!$A:$K,11,0),0)</f>
        <v>7934</v>
      </c>
      <c r="L103" s="1">
        <f ca="1">IFERROR(VLOOKUP($A103,[1]库存使用数据!$A:$L,12,0),0)+IFERROR(VLOOKUP($A103,[2]库存使用数据!$A:$L,12,0),0)+IFERROR(VLOOKUP($A103,[3]库存使用数据!$A:$L,12,0),0)+IFERROR(VLOOKUP($A103,[4]库存使用数据!$A:$L,12,0),0)+IFERROR(VLOOKUP($A103,[5]库存使用数据!$A:$L,12,0),0)</f>
        <v>53</v>
      </c>
      <c r="M103" s="1">
        <f ca="1">IFERROR(VLOOKUP($A103,[1]库存使用数据!$A:$M,13,0),0)+IFERROR(VLOOKUP($A103,[2]库存使用数据!$A:$M,13,0),0)+公式!$B$14*IFERROR(VLOOKUP($A103,[3]库存使用数据!$A:$M,13,0),0)+IFERROR(VLOOKUP($A103,[4]库存使用数据!$A:$M,13,0),0)+IFERROR(VLOOKUP($A103,[5]库存使用数据!$A:$M,13,0),0)</f>
        <v>6.63</v>
      </c>
    </row>
    <row r="104" spans="1:13">
      <c r="A104" s="5" t="s">
        <v>109</v>
      </c>
      <c r="B104" s="2">
        <f ca="1">IFERROR(VLOOKUP(A104,[1]库存使用数据!$A:$B,2,0),0)+IFERROR(VLOOKUP(A104,[2]库存使用数据!$A:$B,2,0),0)+IFERROR(VLOOKUP(,[3]库存使用数据!$A:$B,2,0),0)+IFERROR(VLOOKUP(A104,[4]库存使用数据!$A:$B,2,0),0)+IFERROR(VLOOKUP(A104,[5]库存使用数据!$A:$B,2,0),0)</f>
        <v>27072</v>
      </c>
      <c r="C104" s="1">
        <f ca="1">IFERROR(VLOOKUP($A104,[1]库存使用数据!$A:$C,3,0),0)+IFERROR(VLOOKUP($A104,[2]库存使用数据!$A:$C,3,0),0)+IFERROR(VLOOKUP($A104,[3]库存使用数据!$A:$C,3,0),0)+IFERROR(VLOOKUP($A104,[4]库存使用数据!$A:$C,3,0),0)+IFERROR(VLOOKUP($A104,[5]库存使用数据!$A:$C,3,0),0)</f>
        <v>212</v>
      </c>
      <c r="D104" s="1">
        <f ca="1">IFERROR(VLOOKUP($A104,[1]库存使用数据!$A:$D,4,0),0)+IFERROR(VLOOKUP($A104,[2]库存使用数据!$A:$D,4,0),0)+公式!$B$1*IFERROR(VLOOKUP($A104,[3]库存使用数据!$A:$D,4,0),0)+IFERROR(VLOOKUP($A104,[4]库存使用数据!$A:$D,4,0),0)+IFERROR(VLOOKUP($A104,[5]库存使用数据!$A:$D,4,0),0)</f>
        <v>31.07</v>
      </c>
      <c r="E104" s="1">
        <f ca="1">IFERROR(VLOOKUP($A104,[1]库存使用数据!$A:$E,5,0),0)+IFERROR(VLOOKUP($A104,[2]库存使用数据!$A:$E,5,0),0)+IFERROR(VLOOKUP($A104,[3]库存使用数据!$A:$E,5,0),0)+IFERROR(VLOOKUP($A104,[4]库存使用数据!$A:$E,5,0),0)+IFERROR(VLOOKUP($A104,[5]库存使用数据!$A:$E,5,0),0)</f>
        <v>9449</v>
      </c>
      <c r="F104" s="1">
        <f ca="1">IFERROR(VLOOKUP($A104,[1]库存使用数据!$A:$F,6,0),0)+IFERROR(VLOOKUP($A104,[2]库存使用数据!$A:$F,6,0),0)+IFERROR(VLOOKUP($A104,[4]库存使用数据!$A:$F,6,0),0)+IFERROR(VLOOKUP($A104,[3]库存使用数据!$A:$F,6,0),0)+IFERROR(VLOOKUP($A104,[5]库存使用数据!$A:$F,6,0),0)</f>
        <v>82</v>
      </c>
      <c r="G104" s="1">
        <f ca="1">IFERROR(VLOOKUP($A104,[1]库存使用数据!$A:$G,7,0),0)+IFERROR(VLOOKUP($A104,[2]库存使用数据!$A:$G,7,0),0)+公式!$B$14*IFERROR(VLOOKUP($A104,[3]库存使用数据!$A:$G,7,0),0)+IFERROR(VLOOKUP($A104,[4]库存使用数据!$A:$G,7,0),0)+IFERROR(VLOOKUP($A104,[5]库存使用数据!$A:$G,7,0),0)</f>
        <v>12.39</v>
      </c>
      <c r="H104" s="1">
        <f ca="1">IFERROR(VLOOKUP($A104,[1]库存使用数据!$A:$H,8,0),0)+IFERROR(VLOOKUP($A104,[2]库存使用数据!$A:$H,8,0),0)+IFERROR(VLOOKUP($A104,[3]库存使用数据!$A:$H,8,0),0)+IFERROR(VLOOKUP($A104,[4]库存使用数据!$A:$H,8,0),0)+IFERROR(VLOOKUP($A104,[5]库存使用数据!$A:$H,8,0),0)</f>
        <v>2407</v>
      </c>
      <c r="I104" s="1">
        <f ca="1">IFERROR(VLOOKUP($A104,[1]库存使用数据!$A:$I,9,0),0)+IFERROR(VLOOKUP($A104,[2]库存使用数据!$A:$I,9,0),0)+IFERROR(VLOOKUP($A104,[3]库存使用数据!$A:$I,9,0),0)+IFERROR(VLOOKUP($A104,[4]库存使用数据!$A:$I,9,0),0)+IFERROR(VLOOKUP($A104,[5]库存使用数据!$A:$I,9,0),0)</f>
        <v>15</v>
      </c>
      <c r="J104" s="1">
        <f ca="1">IFERROR(VLOOKUP($A104,[1]库存使用数据!$A:$J,10,0),0)+IFERROR(VLOOKUP($A104,[2]库存使用数据!$A:$J,10,0),0)+公式!$B$14*IFERROR(VLOOKUP($A104,[3]库存使用数据!$A:$J,10,0),0)+IFERROR(VLOOKUP($A104,[4]库存使用数据!$A:$J,10,0),0)+IFERROR(VLOOKUP($A104,[5]库存使用数据!$A:$J,10,0),0)</f>
        <v>2.43</v>
      </c>
      <c r="K104" s="1">
        <f ca="1">IFERROR(VLOOKUP($A104,[1]库存使用数据!$A:$K,11,0),0)+IFERROR(VLOOKUP($A104,[2]库存使用数据!$A:$K,11,0),0)+IFERROR(VLOOKUP($A104,[3]库存使用数据!$A:$K,11,0),0)+IFERROR(VLOOKUP($A104,[4]库存使用数据!$A:$K,11,0),0)+IFERROR(VLOOKUP($A104,[5]库存使用数据!$A:$K,11,0),0)</f>
        <v>0</v>
      </c>
      <c r="L104" s="1">
        <f ca="1">IFERROR(VLOOKUP($A104,[1]库存使用数据!$A:$L,12,0),0)+IFERROR(VLOOKUP($A104,[2]库存使用数据!$A:$L,12,0),0)+IFERROR(VLOOKUP($A104,[3]库存使用数据!$A:$L,12,0),0)+IFERROR(VLOOKUP($A104,[4]库存使用数据!$A:$L,12,0),0)+IFERROR(VLOOKUP($A104,[5]库存使用数据!$A:$L,12,0),0)</f>
        <v>0</v>
      </c>
      <c r="M104" s="1">
        <f ca="1">IFERROR(VLOOKUP($A104,[1]库存使用数据!$A:$M,13,0),0)+IFERROR(VLOOKUP($A104,[2]库存使用数据!$A:$M,13,0),0)+公式!$B$14*IFERROR(VLOOKUP($A104,[3]库存使用数据!$A:$M,13,0),0)+IFERROR(VLOOKUP($A104,[4]库存使用数据!$A:$M,13,0),0)+IFERROR(VLOOKUP($A104,[5]库存使用数据!$A:$M,13,0),0)</f>
        <v>0</v>
      </c>
    </row>
    <row r="105" spans="1:13">
      <c r="A105" s="5" t="s">
        <v>110</v>
      </c>
      <c r="B105" s="2">
        <f ca="1">IFERROR(VLOOKUP(A105,[1]库存使用数据!$A:$B,2,0),0)+IFERROR(VLOOKUP(A105,[2]库存使用数据!$A:$B,2,0),0)+IFERROR(VLOOKUP(,[3]库存使用数据!$A:$B,2,0),0)+IFERROR(VLOOKUP(A105,[4]库存使用数据!$A:$B,2,0),0)+IFERROR(VLOOKUP(A105,[5]库存使用数据!$A:$B,2,0),0)</f>
        <v>0</v>
      </c>
      <c r="C105" s="1">
        <f ca="1">IFERROR(VLOOKUP($A105,[1]库存使用数据!$A:$C,3,0),0)+IFERROR(VLOOKUP($A105,[2]库存使用数据!$A:$C,3,0),0)+IFERROR(VLOOKUP($A105,[3]库存使用数据!$A:$C,3,0),0)+IFERROR(VLOOKUP($A105,[4]库存使用数据!$A:$C,3,0),0)+IFERROR(VLOOKUP($A105,[5]库存使用数据!$A:$C,3,0),0)</f>
        <v>0</v>
      </c>
      <c r="D105" s="1">
        <f ca="1">IFERROR(VLOOKUP($A105,[1]库存使用数据!$A:$D,4,0),0)+IFERROR(VLOOKUP($A105,[2]库存使用数据!$A:$D,4,0),0)+公式!$B$1*IFERROR(VLOOKUP($A105,[3]库存使用数据!$A:$D,4,0),0)+IFERROR(VLOOKUP($A105,[4]库存使用数据!$A:$D,4,0),0)+IFERROR(VLOOKUP($A105,[5]库存使用数据!$A:$D,4,0),0)</f>
        <v>0</v>
      </c>
      <c r="E105" s="1">
        <f ca="1">IFERROR(VLOOKUP($A105,[1]库存使用数据!$A:$E,5,0),0)+IFERROR(VLOOKUP($A105,[2]库存使用数据!$A:$E,5,0),0)+IFERROR(VLOOKUP($A105,[3]库存使用数据!$A:$E,5,0),0)+IFERROR(VLOOKUP($A105,[4]库存使用数据!$A:$E,5,0),0)+IFERROR(VLOOKUP($A105,[5]库存使用数据!$A:$E,5,0),0)</f>
        <v>10919</v>
      </c>
      <c r="F105" s="1">
        <f ca="1">IFERROR(VLOOKUP($A105,[1]库存使用数据!$A:$F,6,0),0)+IFERROR(VLOOKUP($A105,[2]库存使用数据!$A:$F,6,0),0)+IFERROR(VLOOKUP($A105,[4]库存使用数据!$A:$F,6,0),0)+IFERROR(VLOOKUP($A105,[3]库存使用数据!$A:$F,6,0),0)+IFERROR(VLOOKUP($A105,[5]库存使用数据!$A:$F,6,0),0)</f>
        <v>36</v>
      </c>
      <c r="G105" s="1">
        <f ca="1">IFERROR(VLOOKUP($A105,[1]库存使用数据!$A:$G,7,0),0)+IFERROR(VLOOKUP($A105,[2]库存使用数据!$A:$G,7,0),0)+公式!$B$14*IFERROR(VLOOKUP($A105,[3]库存使用数据!$A:$G,7,0),0)+IFERROR(VLOOKUP($A105,[4]库存使用数据!$A:$G,7,0),0)+IFERROR(VLOOKUP($A105,[5]库存使用数据!$A:$G,7,0),0)</f>
        <v>5.64</v>
      </c>
      <c r="H105" s="1">
        <f ca="1">IFERROR(VLOOKUP($A105,[1]库存使用数据!$A:$H,8,0),0)+IFERROR(VLOOKUP($A105,[2]库存使用数据!$A:$H,8,0),0)+IFERROR(VLOOKUP($A105,[3]库存使用数据!$A:$H,8,0),0)+IFERROR(VLOOKUP($A105,[4]库存使用数据!$A:$H,8,0),0)+IFERROR(VLOOKUP($A105,[5]库存使用数据!$A:$H,8,0),0)</f>
        <v>14056</v>
      </c>
      <c r="I105" s="1">
        <f ca="1">IFERROR(VLOOKUP($A105,[1]库存使用数据!$A:$I,9,0),0)+IFERROR(VLOOKUP($A105,[2]库存使用数据!$A:$I,9,0),0)+IFERROR(VLOOKUP($A105,[3]库存使用数据!$A:$I,9,0),0)+IFERROR(VLOOKUP($A105,[4]库存使用数据!$A:$I,9,0),0)+IFERROR(VLOOKUP($A105,[5]库存使用数据!$A:$I,9,0),0)</f>
        <v>101</v>
      </c>
      <c r="J105" s="1">
        <f ca="1">IFERROR(VLOOKUP($A105,[1]库存使用数据!$A:$J,10,0),0)+IFERROR(VLOOKUP($A105,[2]库存使用数据!$A:$J,10,0),0)+公式!$B$14*IFERROR(VLOOKUP($A105,[3]库存使用数据!$A:$J,10,0),0)+IFERROR(VLOOKUP($A105,[4]库存使用数据!$A:$J,10,0),0)+IFERROR(VLOOKUP($A105,[5]库存使用数据!$A:$J,10,0),0)</f>
        <v>16.95</v>
      </c>
      <c r="K105" s="1">
        <f ca="1">IFERROR(VLOOKUP($A105,[1]库存使用数据!$A:$K,11,0),0)+IFERROR(VLOOKUP($A105,[2]库存使用数据!$A:$K,11,0),0)+IFERROR(VLOOKUP($A105,[3]库存使用数据!$A:$K,11,0),0)+IFERROR(VLOOKUP($A105,[4]库存使用数据!$A:$K,11,0),0)+IFERROR(VLOOKUP($A105,[5]库存使用数据!$A:$K,11,0),0)</f>
        <v>19319</v>
      </c>
      <c r="L105" s="1">
        <f ca="1">IFERROR(VLOOKUP($A105,[1]库存使用数据!$A:$L,12,0),0)+IFERROR(VLOOKUP($A105,[2]库存使用数据!$A:$L,12,0),0)+IFERROR(VLOOKUP($A105,[3]库存使用数据!$A:$L,12,0),0)+IFERROR(VLOOKUP($A105,[4]库存使用数据!$A:$L,12,0),0)+IFERROR(VLOOKUP($A105,[5]库存使用数据!$A:$L,12,0),0)</f>
        <v>103</v>
      </c>
      <c r="M105" s="1">
        <f ca="1">IFERROR(VLOOKUP($A105,[1]库存使用数据!$A:$M,13,0),0)+IFERROR(VLOOKUP($A105,[2]库存使用数据!$A:$M,13,0),0)+公式!$B$14*IFERROR(VLOOKUP($A105,[3]库存使用数据!$A:$M,13,0),0)+IFERROR(VLOOKUP($A105,[4]库存使用数据!$A:$M,13,0),0)+IFERROR(VLOOKUP($A105,[5]库存使用数据!$A:$M,13,0),0)</f>
        <v>14.14</v>
      </c>
    </row>
    <row r="106" spans="1:13">
      <c r="A106" s="5" t="s">
        <v>111</v>
      </c>
      <c r="B106" s="2">
        <f ca="1">IFERROR(VLOOKUP(A106,[1]库存使用数据!$A:$B,2,0),0)+IFERROR(VLOOKUP(A106,[2]库存使用数据!$A:$B,2,0),0)+IFERROR(VLOOKUP(,[3]库存使用数据!$A:$B,2,0),0)+IFERROR(VLOOKUP(A106,[4]库存使用数据!$A:$B,2,0),0)+IFERROR(VLOOKUP(A106,[5]库存使用数据!$A:$B,2,0),0)</f>
        <v>15096</v>
      </c>
      <c r="C106" s="1">
        <f ca="1">IFERROR(VLOOKUP($A106,[1]库存使用数据!$A:$C,3,0),0)+IFERROR(VLOOKUP($A106,[2]库存使用数据!$A:$C,3,0),0)+IFERROR(VLOOKUP($A106,[3]库存使用数据!$A:$C,3,0),0)+IFERROR(VLOOKUP($A106,[4]库存使用数据!$A:$C,3,0),0)+IFERROR(VLOOKUP($A106,[5]库存使用数据!$A:$C,3,0),0)</f>
        <v>137</v>
      </c>
      <c r="D106" s="1">
        <f ca="1">IFERROR(VLOOKUP($A106,[1]库存使用数据!$A:$D,4,0),0)+IFERROR(VLOOKUP($A106,[2]库存使用数据!$A:$D,4,0),0)+公式!$B$1*IFERROR(VLOOKUP($A106,[3]库存使用数据!$A:$D,4,0),0)+IFERROR(VLOOKUP($A106,[4]库存使用数据!$A:$D,4,0),0)+IFERROR(VLOOKUP($A106,[5]库存使用数据!$A:$D,4,0),0)</f>
        <v>23.26</v>
      </c>
      <c r="E106" s="1">
        <f ca="1">IFERROR(VLOOKUP($A106,[1]库存使用数据!$A:$E,5,0),0)+IFERROR(VLOOKUP($A106,[2]库存使用数据!$A:$E,5,0),0)+IFERROR(VLOOKUP($A106,[3]库存使用数据!$A:$E,5,0),0)+IFERROR(VLOOKUP($A106,[4]库存使用数据!$A:$E,5,0),0)+IFERROR(VLOOKUP($A106,[5]库存使用数据!$A:$E,5,0),0)</f>
        <v>18971</v>
      </c>
      <c r="F106" s="1">
        <f ca="1">IFERROR(VLOOKUP($A106,[1]库存使用数据!$A:$F,6,0),0)+IFERROR(VLOOKUP($A106,[2]库存使用数据!$A:$F,6,0),0)+IFERROR(VLOOKUP($A106,[4]库存使用数据!$A:$F,6,0),0)+IFERROR(VLOOKUP($A106,[3]库存使用数据!$A:$F,6,0),0)+IFERROR(VLOOKUP($A106,[5]库存使用数据!$A:$F,6,0),0)</f>
        <v>157</v>
      </c>
      <c r="G106" s="1">
        <f ca="1">IFERROR(VLOOKUP($A106,[1]库存使用数据!$A:$G,7,0),0)+IFERROR(VLOOKUP($A106,[2]库存使用数据!$A:$G,7,0),0)+公式!$B$14*IFERROR(VLOOKUP($A106,[3]库存使用数据!$A:$G,7,0),0)+IFERROR(VLOOKUP($A106,[4]库存使用数据!$A:$G,7,0),0)+IFERROR(VLOOKUP($A106,[5]库存使用数据!$A:$G,7,0),0)</f>
        <v>25.54</v>
      </c>
      <c r="H106" s="1">
        <f ca="1">IFERROR(VLOOKUP($A106,[1]库存使用数据!$A:$H,8,0),0)+IFERROR(VLOOKUP($A106,[2]库存使用数据!$A:$H,8,0),0)+IFERROR(VLOOKUP($A106,[3]库存使用数据!$A:$H,8,0),0)+IFERROR(VLOOKUP($A106,[4]库存使用数据!$A:$H,8,0),0)+IFERROR(VLOOKUP($A106,[5]库存使用数据!$A:$H,8,0),0)</f>
        <v>6396</v>
      </c>
      <c r="I106" s="1">
        <f ca="1">IFERROR(VLOOKUP($A106,[1]库存使用数据!$A:$I,9,0),0)+IFERROR(VLOOKUP($A106,[2]库存使用数据!$A:$I,9,0),0)+IFERROR(VLOOKUP($A106,[3]库存使用数据!$A:$I,9,0),0)+IFERROR(VLOOKUP($A106,[4]库存使用数据!$A:$I,9,0),0)+IFERROR(VLOOKUP($A106,[5]库存使用数据!$A:$I,9,0),0)</f>
        <v>96</v>
      </c>
      <c r="J106" s="1">
        <f ca="1">IFERROR(VLOOKUP($A106,[1]库存使用数据!$A:$J,10,0),0)+IFERROR(VLOOKUP($A106,[2]库存使用数据!$A:$J,10,0),0)+公式!$B$14*IFERROR(VLOOKUP($A106,[3]库存使用数据!$A:$J,10,0),0)+IFERROR(VLOOKUP($A106,[4]库存使用数据!$A:$J,10,0),0)+IFERROR(VLOOKUP($A106,[5]库存使用数据!$A:$J,10,0),0)</f>
        <v>16.92</v>
      </c>
      <c r="K106" s="1">
        <f ca="1">IFERROR(VLOOKUP($A106,[1]库存使用数据!$A:$K,11,0),0)+IFERROR(VLOOKUP($A106,[2]库存使用数据!$A:$K,11,0),0)+IFERROR(VLOOKUP($A106,[3]库存使用数据!$A:$K,11,0),0)+IFERROR(VLOOKUP($A106,[4]库存使用数据!$A:$K,11,0),0)+IFERROR(VLOOKUP($A106,[5]库存使用数据!$A:$K,11,0),0)</f>
        <v>1230</v>
      </c>
      <c r="L106" s="1">
        <f ca="1">IFERROR(VLOOKUP($A106,[1]库存使用数据!$A:$L,12,0),0)+IFERROR(VLOOKUP($A106,[2]库存使用数据!$A:$L,12,0),0)+IFERROR(VLOOKUP($A106,[3]库存使用数据!$A:$L,12,0),0)+IFERROR(VLOOKUP($A106,[4]库存使用数据!$A:$L,12,0),0)+IFERROR(VLOOKUP($A106,[5]库存使用数据!$A:$L,12,0),0)</f>
        <v>8</v>
      </c>
      <c r="M106" s="1">
        <f ca="1">IFERROR(VLOOKUP($A106,[1]库存使用数据!$A:$M,13,0),0)+IFERROR(VLOOKUP($A106,[2]库存使用数据!$A:$M,13,0),0)+公式!$B$14*IFERROR(VLOOKUP($A106,[3]库存使用数据!$A:$M,13,0),0)+IFERROR(VLOOKUP($A106,[4]库存使用数据!$A:$M,13,0),0)+IFERROR(VLOOKUP($A106,[5]库存使用数据!$A:$M,13,0),0)</f>
        <v>1.41</v>
      </c>
    </row>
    <row r="107" spans="1:13">
      <c r="A107" s="5" t="s">
        <v>112</v>
      </c>
      <c r="B107" s="2">
        <f ca="1">IFERROR(VLOOKUP(A107,[1]库存使用数据!$A:$B,2,0),0)+IFERROR(VLOOKUP(A107,[2]库存使用数据!$A:$B,2,0),0)+IFERROR(VLOOKUP(,[3]库存使用数据!$A:$B,2,0),0)+IFERROR(VLOOKUP(A107,[4]库存使用数据!$A:$B,2,0),0)+IFERROR(VLOOKUP(A107,[5]库存使用数据!$A:$B,2,0),0)</f>
        <v>496</v>
      </c>
      <c r="C107" s="1">
        <f ca="1">IFERROR(VLOOKUP($A107,[1]库存使用数据!$A:$C,3,0),0)+IFERROR(VLOOKUP($A107,[2]库存使用数据!$A:$C,3,0),0)+IFERROR(VLOOKUP($A107,[3]库存使用数据!$A:$C,3,0),0)+IFERROR(VLOOKUP($A107,[4]库存使用数据!$A:$C,3,0),0)+IFERROR(VLOOKUP($A107,[5]库存使用数据!$A:$C,3,0),0)</f>
        <v>1</v>
      </c>
      <c r="D107" s="1">
        <f ca="1">IFERROR(VLOOKUP($A107,[1]库存使用数据!$A:$D,4,0),0)+IFERROR(VLOOKUP($A107,[2]库存使用数据!$A:$D,4,0),0)+公式!$B$1*IFERROR(VLOOKUP($A107,[3]库存使用数据!$A:$D,4,0),0)+IFERROR(VLOOKUP($A107,[4]库存使用数据!$A:$D,4,0),0)+IFERROR(VLOOKUP($A107,[5]库存使用数据!$A:$D,4,0),0)</f>
        <v>0.18</v>
      </c>
      <c r="E107" s="1">
        <f ca="1">IFERROR(VLOOKUP($A107,[1]库存使用数据!$A:$E,5,0),0)+IFERROR(VLOOKUP($A107,[2]库存使用数据!$A:$E,5,0),0)+IFERROR(VLOOKUP($A107,[3]库存使用数据!$A:$E,5,0),0)+IFERROR(VLOOKUP($A107,[4]库存使用数据!$A:$E,5,0),0)+IFERROR(VLOOKUP($A107,[5]库存使用数据!$A:$E,5,0),0)</f>
        <v>10986</v>
      </c>
      <c r="F107" s="1">
        <f ca="1">IFERROR(VLOOKUP($A107,[1]库存使用数据!$A:$F,6,0),0)+IFERROR(VLOOKUP($A107,[2]库存使用数据!$A:$F,6,0),0)+IFERROR(VLOOKUP($A107,[4]库存使用数据!$A:$F,6,0),0)+IFERROR(VLOOKUP($A107,[3]库存使用数据!$A:$F,6,0),0)+IFERROR(VLOOKUP($A107,[5]库存使用数据!$A:$F,6,0),0)</f>
        <v>44</v>
      </c>
      <c r="G107" s="1">
        <f ca="1">IFERROR(VLOOKUP($A107,[1]库存使用数据!$A:$G,7,0),0)+IFERROR(VLOOKUP($A107,[2]库存使用数据!$A:$G,7,0),0)+公式!$B$14*IFERROR(VLOOKUP($A107,[3]库存使用数据!$A:$G,7,0),0)+IFERROR(VLOOKUP($A107,[4]库存使用数据!$A:$G,7,0),0)+IFERROR(VLOOKUP($A107,[5]库存使用数据!$A:$G,7,0),0)</f>
        <v>7.64</v>
      </c>
      <c r="H107" s="1">
        <f ca="1">IFERROR(VLOOKUP($A107,[1]库存使用数据!$A:$H,8,0),0)+IFERROR(VLOOKUP($A107,[2]库存使用数据!$A:$H,8,0),0)+IFERROR(VLOOKUP($A107,[3]库存使用数据!$A:$H,8,0),0)+IFERROR(VLOOKUP($A107,[4]库存使用数据!$A:$H,8,0),0)+IFERROR(VLOOKUP($A107,[5]库存使用数据!$A:$H,8,0),0)</f>
        <v>83390</v>
      </c>
      <c r="I107" s="1">
        <f ca="1">IFERROR(VLOOKUP($A107,[1]库存使用数据!$A:$I,9,0),0)+IFERROR(VLOOKUP($A107,[2]库存使用数据!$A:$I,9,0),0)+IFERROR(VLOOKUP($A107,[3]库存使用数据!$A:$I,9,0),0)+IFERROR(VLOOKUP($A107,[4]库存使用数据!$A:$I,9,0),0)+IFERROR(VLOOKUP($A107,[5]库存使用数据!$A:$I,9,0),0)</f>
        <v>179</v>
      </c>
      <c r="J107" s="1">
        <f ca="1">IFERROR(VLOOKUP($A107,[1]库存使用数据!$A:$J,10,0),0)+IFERROR(VLOOKUP($A107,[2]库存使用数据!$A:$J,10,0),0)+公式!$B$14*IFERROR(VLOOKUP($A107,[3]库存使用数据!$A:$J,10,0),0)+IFERROR(VLOOKUP($A107,[4]库存使用数据!$A:$J,10,0),0)+IFERROR(VLOOKUP($A107,[5]库存使用数据!$A:$J,10,0),0)</f>
        <v>25.43</v>
      </c>
      <c r="K107" s="1">
        <f ca="1">IFERROR(VLOOKUP($A107,[1]库存使用数据!$A:$K,11,0),0)+IFERROR(VLOOKUP($A107,[2]库存使用数据!$A:$K,11,0),0)+IFERROR(VLOOKUP($A107,[3]库存使用数据!$A:$K,11,0),0)+IFERROR(VLOOKUP($A107,[4]库存使用数据!$A:$K,11,0),0)+IFERROR(VLOOKUP($A107,[5]库存使用数据!$A:$K,11,0),0)</f>
        <v>2952</v>
      </c>
      <c r="L107" s="1">
        <f ca="1">IFERROR(VLOOKUP($A107,[1]库存使用数据!$A:$L,12,0),0)+IFERROR(VLOOKUP($A107,[2]库存使用数据!$A:$L,12,0),0)+IFERROR(VLOOKUP($A107,[3]库存使用数据!$A:$L,12,0),0)+IFERROR(VLOOKUP($A107,[4]库存使用数据!$A:$L,12,0),0)+IFERROR(VLOOKUP($A107,[5]库存使用数据!$A:$L,12,0),0)</f>
        <v>18</v>
      </c>
      <c r="M107" s="1">
        <f ca="1">IFERROR(VLOOKUP($A107,[1]库存使用数据!$A:$M,13,0),0)+IFERROR(VLOOKUP($A107,[2]库存使用数据!$A:$M,13,0),0)+公式!$B$14*IFERROR(VLOOKUP($A107,[3]库存使用数据!$A:$M,13,0),0)+IFERROR(VLOOKUP($A107,[4]库存使用数据!$A:$M,13,0),0)+IFERROR(VLOOKUP($A107,[5]库存使用数据!$A:$M,13,0),0)</f>
        <v>3.07</v>
      </c>
    </row>
    <row r="108" spans="1:13">
      <c r="A108" s="5" t="s">
        <v>113</v>
      </c>
      <c r="B108" s="2">
        <f ca="1">IFERROR(VLOOKUP(A108,[1]库存使用数据!$A:$B,2,0),0)+IFERROR(VLOOKUP(A108,[2]库存使用数据!$A:$B,2,0),0)+IFERROR(VLOOKUP(,[3]库存使用数据!$A:$B,2,0),0)+IFERROR(VLOOKUP(A108,[4]库存使用数据!$A:$B,2,0),0)+IFERROR(VLOOKUP(A108,[5]库存使用数据!$A:$B,2,0),0)</f>
        <v>6577</v>
      </c>
      <c r="C108" s="1">
        <f ca="1">IFERROR(VLOOKUP($A108,[1]库存使用数据!$A:$C,3,0),0)+IFERROR(VLOOKUP($A108,[2]库存使用数据!$A:$C,3,0),0)+IFERROR(VLOOKUP($A108,[3]库存使用数据!$A:$C,3,0),0)+IFERROR(VLOOKUP($A108,[4]库存使用数据!$A:$C,3,0),0)+IFERROR(VLOOKUP($A108,[5]库存使用数据!$A:$C,3,0),0)</f>
        <v>69</v>
      </c>
      <c r="D108" s="1">
        <f ca="1">IFERROR(VLOOKUP($A108,[1]库存使用数据!$A:$D,4,0),0)+IFERROR(VLOOKUP($A108,[2]库存使用数据!$A:$D,4,0),0)+公式!$B$1*IFERROR(VLOOKUP($A108,[3]库存使用数据!$A:$D,4,0),0)+IFERROR(VLOOKUP($A108,[4]库存使用数据!$A:$D,4,0),0)+IFERROR(VLOOKUP($A108,[5]库存使用数据!$A:$D,4,0),0)</f>
        <v>11.03</v>
      </c>
      <c r="E108" s="1">
        <f ca="1">IFERROR(VLOOKUP($A108,[1]库存使用数据!$A:$E,5,0),0)+IFERROR(VLOOKUP($A108,[2]库存使用数据!$A:$E,5,0),0)+IFERROR(VLOOKUP($A108,[3]库存使用数据!$A:$E,5,0),0)+IFERROR(VLOOKUP($A108,[4]库存使用数据!$A:$E,5,0),0)+IFERROR(VLOOKUP($A108,[5]库存使用数据!$A:$E,5,0),0)</f>
        <v>28278</v>
      </c>
      <c r="F108" s="1">
        <f ca="1">IFERROR(VLOOKUP($A108,[1]库存使用数据!$A:$F,6,0),0)+IFERROR(VLOOKUP($A108,[2]库存使用数据!$A:$F,6,0),0)+IFERROR(VLOOKUP($A108,[4]库存使用数据!$A:$F,6,0),0)+IFERROR(VLOOKUP($A108,[3]库存使用数据!$A:$F,6,0),0)+IFERROR(VLOOKUP($A108,[5]库存使用数据!$A:$F,6,0),0)</f>
        <v>118</v>
      </c>
      <c r="G108" s="1">
        <f ca="1">IFERROR(VLOOKUP($A108,[1]库存使用数据!$A:$G,7,0),0)+IFERROR(VLOOKUP($A108,[2]库存使用数据!$A:$G,7,0),0)+公式!$B$14*IFERROR(VLOOKUP($A108,[3]库存使用数据!$A:$G,7,0),0)+IFERROR(VLOOKUP($A108,[4]库存使用数据!$A:$G,7,0),0)+IFERROR(VLOOKUP($A108,[5]库存使用数据!$A:$G,7,0),0)</f>
        <v>16.87</v>
      </c>
      <c r="H108" s="1">
        <f ca="1">IFERROR(VLOOKUP($A108,[1]库存使用数据!$A:$H,8,0),0)+IFERROR(VLOOKUP($A108,[2]库存使用数据!$A:$H,8,0),0)+IFERROR(VLOOKUP($A108,[3]库存使用数据!$A:$H,8,0),0)+IFERROR(VLOOKUP($A108,[4]库存使用数据!$A:$H,8,0),0)+IFERROR(VLOOKUP($A108,[5]库存使用数据!$A:$H,8,0),0)</f>
        <v>3838</v>
      </c>
      <c r="I108" s="1">
        <f ca="1">IFERROR(VLOOKUP($A108,[1]库存使用数据!$A:$I,9,0),0)+IFERROR(VLOOKUP($A108,[2]库存使用数据!$A:$I,9,0),0)+IFERROR(VLOOKUP($A108,[3]库存使用数据!$A:$I,9,0),0)+IFERROR(VLOOKUP($A108,[4]库存使用数据!$A:$I,9,0),0)+IFERROR(VLOOKUP($A108,[5]库存使用数据!$A:$I,9,0),0)</f>
        <v>33</v>
      </c>
      <c r="J108" s="1">
        <f ca="1">IFERROR(VLOOKUP($A108,[1]库存使用数据!$A:$J,10,0),0)+IFERROR(VLOOKUP($A108,[2]库存使用数据!$A:$J,10,0),0)+公式!$B$14*IFERROR(VLOOKUP($A108,[3]库存使用数据!$A:$J,10,0),0)+IFERROR(VLOOKUP($A108,[4]库存使用数据!$A:$J,10,0),0)+IFERROR(VLOOKUP($A108,[5]库存使用数据!$A:$J,10,0),0)</f>
        <v>5.82</v>
      </c>
      <c r="K108" s="1">
        <f ca="1">IFERROR(VLOOKUP($A108,[1]库存使用数据!$A:$K,11,0),0)+IFERROR(VLOOKUP($A108,[2]库存使用数据!$A:$K,11,0),0)+IFERROR(VLOOKUP($A108,[3]库存使用数据!$A:$K,11,0),0)+IFERROR(VLOOKUP($A108,[4]库存使用数据!$A:$K,11,0),0)+IFERROR(VLOOKUP($A108,[5]库存使用数据!$A:$K,11,0),0)</f>
        <v>7606</v>
      </c>
      <c r="L108" s="1">
        <f ca="1">IFERROR(VLOOKUP($A108,[1]库存使用数据!$A:$L,12,0),0)+IFERROR(VLOOKUP($A108,[2]库存使用数据!$A:$L,12,0),0)+IFERROR(VLOOKUP($A108,[3]库存使用数据!$A:$L,12,0),0)+IFERROR(VLOOKUP($A108,[4]库存使用数据!$A:$L,12,0),0)+IFERROR(VLOOKUP($A108,[5]库存使用数据!$A:$L,12,0),0)</f>
        <v>94</v>
      </c>
      <c r="M108" s="1">
        <f ca="1">IFERROR(VLOOKUP($A108,[1]库存使用数据!$A:$M,13,0),0)+IFERROR(VLOOKUP($A108,[2]库存使用数据!$A:$M,13,0),0)+公式!$B$14*IFERROR(VLOOKUP($A108,[3]库存使用数据!$A:$M,13,0),0)+IFERROR(VLOOKUP($A108,[4]库存使用数据!$A:$M,13,0),0)+IFERROR(VLOOKUP($A108,[5]库存使用数据!$A:$M,13,0),0)</f>
        <v>16.44</v>
      </c>
    </row>
    <row r="109" spans="1:13">
      <c r="A109" s="5" t="s">
        <v>114</v>
      </c>
      <c r="B109" s="2">
        <f ca="1">IFERROR(VLOOKUP(A109,[1]库存使用数据!$A:$B,2,0),0)+IFERROR(VLOOKUP(A109,[2]库存使用数据!$A:$B,2,0),0)+IFERROR(VLOOKUP(,[3]库存使用数据!$A:$B,2,0),0)+IFERROR(VLOOKUP(A109,[4]库存使用数据!$A:$B,2,0),0)+IFERROR(VLOOKUP(A109,[5]库存使用数据!$A:$B,2,0),0)</f>
        <v>14503</v>
      </c>
      <c r="C109" s="1">
        <f ca="1">IFERROR(VLOOKUP($A109,[1]库存使用数据!$A:$C,3,0),0)+IFERROR(VLOOKUP($A109,[2]库存使用数据!$A:$C,3,0),0)+IFERROR(VLOOKUP($A109,[3]库存使用数据!$A:$C,3,0),0)+IFERROR(VLOOKUP($A109,[4]库存使用数据!$A:$C,3,0),0)+IFERROR(VLOOKUP($A109,[5]库存使用数据!$A:$C,3,0),0)</f>
        <v>107</v>
      </c>
      <c r="D109" s="1">
        <f ca="1">IFERROR(VLOOKUP($A109,[1]库存使用数据!$A:$D,4,0),0)+IFERROR(VLOOKUP($A109,[2]库存使用数据!$A:$D,4,0),0)+公式!$B$1*IFERROR(VLOOKUP($A109,[3]库存使用数据!$A:$D,4,0),0)+IFERROR(VLOOKUP($A109,[4]库存使用数据!$A:$D,4,0),0)+IFERROR(VLOOKUP($A109,[5]库存使用数据!$A:$D,4,0),0)</f>
        <v>15.95</v>
      </c>
      <c r="E109" s="1">
        <f ca="1">IFERROR(VLOOKUP($A109,[1]库存使用数据!$A:$E,5,0),0)+IFERROR(VLOOKUP($A109,[2]库存使用数据!$A:$E,5,0),0)+IFERROR(VLOOKUP($A109,[3]库存使用数据!$A:$E,5,0),0)+IFERROR(VLOOKUP($A109,[4]库存使用数据!$A:$E,5,0),0)+IFERROR(VLOOKUP($A109,[5]库存使用数据!$A:$E,5,0),0)</f>
        <v>25206</v>
      </c>
      <c r="F109" s="1">
        <f ca="1">IFERROR(VLOOKUP($A109,[1]库存使用数据!$A:$F,6,0),0)+IFERROR(VLOOKUP($A109,[2]库存使用数据!$A:$F,6,0),0)+IFERROR(VLOOKUP($A109,[4]库存使用数据!$A:$F,6,0),0)+IFERROR(VLOOKUP($A109,[3]库存使用数据!$A:$F,6,0),0)+IFERROR(VLOOKUP($A109,[5]库存使用数据!$A:$F,6,0),0)</f>
        <v>182</v>
      </c>
      <c r="G109" s="1">
        <f ca="1">IFERROR(VLOOKUP($A109,[1]库存使用数据!$A:$G,7,0),0)+IFERROR(VLOOKUP($A109,[2]库存使用数据!$A:$G,7,0),0)+公式!$B$14*IFERROR(VLOOKUP($A109,[3]库存使用数据!$A:$G,7,0),0)+IFERROR(VLOOKUP($A109,[4]库存使用数据!$A:$G,7,0),0)+IFERROR(VLOOKUP($A109,[5]库存使用数据!$A:$G,7,0),0)</f>
        <v>28.98</v>
      </c>
      <c r="H109" s="1">
        <f ca="1">IFERROR(VLOOKUP($A109,[1]库存使用数据!$A:$H,8,0),0)+IFERROR(VLOOKUP($A109,[2]库存使用数据!$A:$H,8,0),0)+IFERROR(VLOOKUP($A109,[3]库存使用数据!$A:$H,8,0),0)+IFERROR(VLOOKUP($A109,[4]库存使用数据!$A:$H,8,0),0)+IFERROR(VLOOKUP($A109,[5]库存使用数据!$A:$H,8,0),0)</f>
        <v>11464</v>
      </c>
      <c r="I109" s="1">
        <f ca="1">IFERROR(VLOOKUP($A109,[1]库存使用数据!$A:$I,9,0),0)+IFERROR(VLOOKUP($A109,[2]库存使用数据!$A:$I,9,0),0)+IFERROR(VLOOKUP($A109,[3]库存使用数据!$A:$I,9,0),0)+IFERROR(VLOOKUP($A109,[4]库存使用数据!$A:$I,9,0),0)+IFERROR(VLOOKUP($A109,[5]库存使用数据!$A:$I,9,0),0)</f>
        <v>64</v>
      </c>
      <c r="J109" s="1">
        <f ca="1">IFERROR(VLOOKUP($A109,[1]库存使用数据!$A:$J,10,0),0)+IFERROR(VLOOKUP($A109,[2]库存使用数据!$A:$J,10,0),0)+公式!$B$14*IFERROR(VLOOKUP($A109,[3]库存使用数据!$A:$J,10,0),0)+IFERROR(VLOOKUP($A109,[4]库存使用数据!$A:$J,10,0),0)+IFERROR(VLOOKUP($A109,[5]库存使用数据!$A:$J,10,0),0)</f>
        <v>8.82</v>
      </c>
      <c r="K109" s="1">
        <f ca="1">IFERROR(VLOOKUP($A109,[1]库存使用数据!$A:$K,11,0),0)+IFERROR(VLOOKUP($A109,[2]库存使用数据!$A:$K,11,0),0)+IFERROR(VLOOKUP($A109,[3]库存使用数据!$A:$K,11,0),0)+IFERROR(VLOOKUP($A109,[4]库存使用数据!$A:$K,11,0),0)+IFERROR(VLOOKUP($A109,[5]库存使用数据!$A:$K,11,0),0)</f>
        <v>22107</v>
      </c>
      <c r="L109" s="1">
        <f ca="1">IFERROR(VLOOKUP($A109,[1]库存使用数据!$A:$L,12,0),0)+IFERROR(VLOOKUP($A109,[2]库存使用数据!$A:$L,12,0),0)+IFERROR(VLOOKUP($A109,[3]库存使用数据!$A:$L,12,0),0)+IFERROR(VLOOKUP($A109,[4]库存使用数据!$A:$L,12,0),0)+IFERROR(VLOOKUP($A109,[5]库存使用数据!$A:$L,12,0),0)</f>
        <v>115</v>
      </c>
      <c r="M109" s="1">
        <f ca="1">IFERROR(VLOOKUP($A109,[1]库存使用数据!$A:$M,13,0),0)+IFERROR(VLOOKUP($A109,[2]库存使用数据!$A:$M,13,0),0)+公式!$B$14*IFERROR(VLOOKUP($A109,[3]库存使用数据!$A:$M,13,0),0)+IFERROR(VLOOKUP($A109,[4]库存使用数据!$A:$M,13,0),0)+IFERROR(VLOOKUP($A109,[5]库存使用数据!$A:$M,13,0),0)</f>
        <v>16.24</v>
      </c>
    </row>
    <row r="110" spans="1:13">
      <c r="A110" s="5" t="s">
        <v>115</v>
      </c>
      <c r="B110" s="2">
        <f ca="1">IFERROR(VLOOKUP(A110,[1]库存使用数据!$A:$B,2,0),0)+IFERROR(VLOOKUP(A110,[2]库存使用数据!$A:$B,2,0),0)+IFERROR(VLOOKUP(,[3]库存使用数据!$A:$B,2,0),0)+IFERROR(VLOOKUP(A110,[4]库存使用数据!$A:$B,2,0),0)+IFERROR(VLOOKUP(A110,[5]库存使用数据!$A:$B,2,0),0)</f>
        <v>11254</v>
      </c>
      <c r="C110" s="1">
        <f ca="1">IFERROR(VLOOKUP($A110,[1]库存使用数据!$A:$C,3,0),0)+IFERROR(VLOOKUP($A110,[2]库存使用数据!$A:$C,3,0),0)+IFERROR(VLOOKUP($A110,[3]库存使用数据!$A:$C,3,0),0)+IFERROR(VLOOKUP($A110,[4]库存使用数据!$A:$C,3,0),0)+IFERROR(VLOOKUP($A110,[5]库存使用数据!$A:$C,3,0),0)</f>
        <v>82</v>
      </c>
      <c r="D110" s="1">
        <f ca="1">IFERROR(VLOOKUP($A110,[1]库存使用数据!$A:$D,4,0),0)+IFERROR(VLOOKUP($A110,[2]库存使用数据!$A:$D,4,0),0)+公式!$B$1*IFERROR(VLOOKUP($A110,[3]库存使用数据!$A:$D,4,0),0)+IFERROR(VLOOKUP($A110,[4]库存使用数据!$A:$D,4,0),0)+IFERROR(VLOOKUP($A110,[5]库存使用数据!$A:$D,4,0),0)</f>
        <v>11.64</v>
      </c>
      <c r="E110" s="1">
        <f ca="1">IFERROR(VLOOKUP($A110,[1]库存使用数据!$A:$E,5,0),0)+IFERROR(VLOOKUP($A110,[2]库存使用数据!$A:$E,5,0),0)+IFERROR(VLOOKUP($A110,[3]库存使用数据!$A:$E,5,0),0)+IFERROR(VLOOKUP($A110,[4]库存使用数据!$A:$E,5,0),0)+IFERROR(VLOOKUP($A110,[5]库存使用数据!$A:$E,5,0),0)</f>
        <v>43157</v>
      </c>
      <c r="F110" s="1">
        <f ca="1">IFERROR(VLOOKUP($A110,[1]库存使用数据!$A:$F,6,0),0)+IFERROR(VLOOKUP($A110,[2]库存使用数据!$A:$F,6,0),0)+IFERROR(VLOOKUP($A110,[4]库存使用数据!$A:$F,6,0),0)+IFERROR(VLOOKUP($A110,[3]库存使用数据!$A:$F,6,0),0)+IFERROR(VLOOKUP($A110,[5]库存使用数据!$A:$F,6,0),0)</f>
        <v>189</v>
      </c>
      <c r="G110" s="1">
        <f ca="1">IFERROR(VLOOKUP($A110,[1]库存使用数据!$A:$G,7,0),0)+IFERROR(VLOOKUP($A110,[2]库存使用数据!$A:$G,7,0),0)+公式!$B$14*IFERROR(VLOOKUP($A110,[3]库存使用数据!$A:$G,7,0),0)+IFERROR(VLOOKUP($A110,[4]库存使用数据!$A:$G,7,0),0)+IFERROR(VLOOKUP($A110,[5]库存使用数据!$A:$G,7,0),0)</f>
        <v>28.18</v>
      </c>
      <c r="H110" s="1">
        <f ca="1">IFERROR(VLOOKUP($A110,[1]库存使用数据!$A:$H,8,0),0)+IFERROR(VLOOKUP($A110,[2]库存使用数据!$A:$H,8,0),0)+IFERROR(VLOOKUP($A110,[3]库存使用数据!$A:$H,8,0),0)+IFERROR(VLOOKUP($A110,[4]库存使用数据!$A:$H,8,0),0)+IFERROR(VLOOKUP($A110,[5]库存使用数据!$A:$H,8,0),0)</f>
        <v>47202</v>
      </c>
      <c r="I110" s="1">
        <f ca="1">IFERROR(VLOOKUP($A110,[1]库存使用数据!$A:$I,9,0),0)+IFERROR(VLOOKUP($A110,[2]库存使用数据!$A:$I,9,0),0)+IFERROR(VLOOKUP($A110,[3]库存使用数据!$A:$I,9,0),0)+IFERROR(VLOOKUP($A110,[4]库存使用数据!$A:$I,9,0),0)+IFERROR(VLOOKUP($A110,[5]库存使用数据!$A:$I,9,0),0)</f>
        <v>109</v>
      </c>
      <c r="J110" s="1">
        <f ca="1">IFERROR(VLOOKUP($A110,[1]库存使用数据!$A:$J,10,0),0)+IFERROR(VLOOKUP($A110,[2]库存使用数据!$A:$J,10,0),0)+公式!$B$14*IFERROR(VLOOKUP($A110,[3]库存使用数据!$A:$J,10,0),0)+IFERROR(VLOOKUP($A110,[4]库存使用数据!$A:$J,10,0),0)+IFERROR(VLOOKUP($A110,[5]库存使用数据!$A:$J,10,0),0)</f>
        <v>16.15</v>
      </c>
      <c r="K110" s="1">
        <f ca="1">IFERROR(VLOOKUP($A110,[1]库存使用数据!$A:$K,11,0),0)+IFERROR(VLOOKUP($A110,[2]库存使用数据!$A:$K,11,0),0)+IFERROR(VLOOKUP($A110,[3]库存使用数据!$A:$K,11,0),0)+IFERROR(VLOOKUP($A110,[4]库存使用数据!$A:$K,11,0),0)+IFERROR(VLOOKUP($A110,[5]库存使用数据!$A:$K,11,0),0)</f>
        <v>3390</v>
      </c>
      <c r="L110" s="1">
        <f ca="1">IFERROR(VLOOKUP($A110,[1]库存使用数据!$A:$L,12,0),0)+IFERROR(VLOOKUP($A110,[2]库存使用数据!$A:$L,12,0),0)+IFERROR(VLOOKUP($A110,[3]库存使用数据!$A:$L,12,0),0)+IFERROR(VLOOKUP($A110,[4]库存使用数据!$A:$L,12,0),0)+IFERROR(VLOOKUP($A110,[5]库存使用数据!$A:$L,12,0),0)</f>
        <v>30</v>
      </c>
      <c r="M110" s="1">
        <f ca="1">IFERROR(VLOOKUP($A110,[1]库存使用数据!$A:$M,13,0),0)+IFERROR(VLOOKUP($A110,[2]库存使用数据!$A:$M,13,0),0)+公式!$B$14*IFERROR(VLOOKUP($A110,[3]库存使用数据!$A:$M,13,0),0)+IFERROR(VLOOKUP($A110,[4]库存使用数据!$A:$M,13,0),0)+IFERROR(VLOOKUP($A110,[5]库存使用数据!$A:$M,13,0),0)</f>
        <v>3.6</v>
      </c>
    </row>
    <row r="111" spans="1:13">
      <c r="A111" s="5" t="s">
        <v>116</v>
      </c>
      <c r="B111" s="2">
        <f ca="1">IFERROR(VLOOKUP(A111,[1]库存使用数据!$A:$B,2,0),0)+IFERROR(VLOOKUP(A111,[2]库存使用数据!$A:$B,2,0),0)+IFERROR(VLOOKUP(,[3]库存使用数据!$A:$B,2,0),0)+IFERROR(VLOOKUP(A111,[4]库存使用数据!$A:$B,2,0),0)+IFERROR(VLOOKUP(A111,[5]库存使用数据!$A:$B,2,0),0)</f>
        <v>7013</v>
      </c>
      <c r="C111" s="1">
        <f ca="1">IFERROR(VLOOKUP($A111,[1]库存使用数据!$A:$C,3,0),0)+IFERROR(VLOOKUP($A111,[2]库存使用数据!$A:$C,3,0),0)+IFERROR(VLOOKUP($A111,[3]库存使用数据!$A:$C,3,0),0)+IFERROR(VLOOKUP($A111,[4]库存使用数据!$A:$C,3,0),0)+IFERROR(VLOOKUP($A111,[5]库存使用数据!$A:$C,3,0),0)</f>
        <v>28</v>
      </c>
      <c r="D111" s="1">
        <f ca="1">IFERROR(VLOOKUP($A111,[1]库存使用数据!$A:$D,4,0),0)+IFERROR(VLOOKUP($A111,[2]库存使用数据!$A:$D,4,0),0)+公式!$B$1*IFERROR(VLOOKUP($A111,[3]库存使用数据!$A:$D,4,0),0)+IFERROR(VLOOKUP($A111,[4]库存使用数据!$A:$D,4,0),0)+IFERROR(VLOOKUP($A111,[5]库存使用数据!$A:$D,4,0),0)</f>
        <v>4.6</v>
      </c>
      <c r="E111" s="1">
        <f ca="1">IFERROR(VLOOKUP($A111,[1]库存使用数据!$A:$E,5,0),0)+IFERROR(VLOOKUP($A111,[2]库存使用数据!$A:$E,5,0),0)+IFERROR(VLOOKUP($A111,[3]库存使用数据!$A:$E,5,0),0)+IFERROR(VLOOKUP($A111,[4]库存使用数据!$A:$E,5,0),0)+IFERROR(VLOOKUP($A111,[5]库存使用数据!$A:$E,5,0),0)</f>
        <v>5754</v>
      </c>
      <c r="F111" s="1">
        <f ca="1">IFERROR(VLOOKUP($A111,[1]库存使用数据!$A:$F,6,0),0)+IFERROR(VLOOKUP($A111,[2]库存使用数据!$A:$F,6,0),0)+IFERROR(VLOOKUP($A111,[4]库存使用数据!$A:$F,6,0),0)+IFERROR(VLOOKUP($A111,[3]库存使用数据!$A:$F,6,0),0)+IFERROR(VLOOKUP($A111,[5]库存使用数据!$A:$F,6,0),0)</f>
        <v>25</v>
      </c>
      <c r="G111" s="1">
        <f ca="1">IFERROR(VLOOKUP($A111,[1]库存使用数据!$A:$G,7,0),0)+IFERROR(VLOOKUP($A111,[2]库存使用数据!$A:$G,7,0),0)+公式!$B$14*IFERROR(VLOOKUP($A111,[3]库存使用数据!$A:$G,7,0),0)+IFERROR(VLOOKUP($A111,[4]库存使用数据!$A:$G,7,0),0)+IFERROR(VLOOKUP($A111,[5]库存使用数据!$A:$G,7,0),0)</f>
        <v>3.17</v>
      </c>
      <c r="H111" s="1">
        <f ca="1">IFERROR(VLOOKUP($A111,[1]库存使用数据!$A:$H,8,0),0)+IFERROR(VLOOKUP($A111,[2]库存使用数据!$A:$H,8,0),0)+IFERROR(VLOOKUP($A111,[3]库存使用数据!$A:$H,8,0),0)+IFERROR(VLOOKUP($A111,[4]库存使用数据!$A:$H,8,0),0)+IFERROR(VLOOKUP($A111,[5]库存使用数据!$A:$H,8,0),0)</f>
        <v>21055</v>
      </c>
      <c r="I111" s="1">
        <f ca="1">IFERROR(VLOOKUP($A111,[1]库存使用数据!$A:$I,9,0),0)+IFERROR(VLOOKUP($A111,[2]库存使用数据!$A:$I,9,0),0)+IFERROR(VLOOKUP($A111,[3]库存使用数据!$A:$I,9,0),0)+IFERROR(VLOOKUP($A111,[4]库存使用数据!$A:$I,9,0),0)+IFERROR(VLOOKUP($A111,[5]库存使用数据!$A:$I,9,0),0)</f>
        <v>75</v>
      </c>
      <c r="J111" s="1">
        <f ca="1">IFERROR(VLOOKUP($A111,[1]库存使用数据!$A:$J,10,0),0)+IFERROR(VLOOKUP($A111,[2]库存使用数据!$A:$J,10,0),0)+公式!$B$14*IFERROR(VLOOKUP($A111,[3]库存使用数据!$A:$J,10,0),0)+IFERROR(VLOOKUP($A111,[4]库存使用数据!$A:$J,10,0),0)+IFERROR(VLOOKUP($A111,[5]库存使用数据!$A:$J,10,0),0)</f>
        <v>12.08</v>
      </c>
      <c r="K111" s="1">
        <f ca="1">IFERROR(VLOOKUP($A111,[1]库存使用数据!$A:$K,11,0),0)+IFERROR(VLOOKUP($A111,[2]库存使用数据!$A:$K,11,0),0)+IFERROR(VLOOKUP($A111,[3]库存使用数据!$A:$K,11,0),0)+IFERROR(VLOOKUP($A111,[4]库存使用数据!$A:$K,11,0),0)+IFERROR(VLOOKUP($A111,[5]库存使用数据!$A:$K,11,0),0)</f>
        <v>2508</v>
      </c>
      <c r="L111" s="1">
        <f ca="1">IFERROR(VLOOKUP($A111,[1]库存使用数据!$A:$L,12,0),0)+IFERROR(VLOOKUP($A111,[2]库存使用数据!$A:$L,12,0),0)+IFERROR(VLOOKUP($A111,[3]库存使用数据!$A:$L,12,0),0)+IFERROR(VLOOKUP($A111,[4]库存使用数据!$A:$L,12,0),0)+IFERROR(VLOOKUP($A111,[5]库存使用数据!$A:$L,12,0),0)</f>
        <v>6</v>
      </c>
      <c r="M111" s="1">
        <f ca="1">IFERROR(VLOOKUP($A111,[1]库存使用数据!$A:$M,13,0),0)+IFERROR(VLOOKUP($A111,[2]库存使用数据!$A:$M,13,0),0)+公式!$B$14*IFERROR(VLOOKUP($A111,[3]库存使用数据!$A:$M,13,0),0)+IFERROR(VLOOKUP($A111,[4]库存使用数据!$A:$M,13,0),0)+IFERROR(VLOOKUP($A111,[5]库存使用数据!$A:$M,13,0),0)</f>
        <v>1</v>
      </c>
    </row>
    <row r="112" spans="1:13">
      <c r="A112" s="5" t="s">
        <v>117</v>
      </c>
      <c r="B112" s="2">
        <f ca="1">IFERROR(VLOOKUP(A112,[1]库存使用数据!$A:$B,2,0),0)+IFERROR(VLOOKUP(A112,[2]库存使用数据!$A:$B,2,0),0)+IFERROR(VLOOKUP(,[3]库存使用数据!$A:$B,2,0),0)+IFERROR(VLOOKUP(A112,[4]库存使用数据!$A:$B,2,0),0)+IFERROR(VLOOKUP(A112,[5]库存使用数据!$A:$B,2,0),0)</f>
        <v>655</v>
      </c>
      <c r="C112" s="1">
        <f ca="1">IFERROR(VLOOKUP($A112,[1]库存使用数据!$A:$C,3,0),0)+IFERROR(VLOOKUP($A112,[2]库存使用数据!$A:$C,3,0),0)+IFERROR(VLOOKUP($A112,[3]库存使用数据!$A:$C,3,0),0)+IFERROR(VLOOKUP($A112,[4]库存使用数据!$A:$C,3,0),0)+IFERROR(VLOOKUP($A112,[5]库存使用数据!$A:$C,3,0),0)</f>
        <v>1</v>
      </c>
      <c r="D112" s="1">
        <f ca="1">IFERROR(VLOOKUP($A112,[1]库存使用数据!$A:$D,4,0),0)+IFERROR(VLOOKUP($A112,[2]库存使用数据!$A:$D,4,0),0)+公式!$B$1*IFERROR(VLOOKUP($A112,[3]库存使用数据!$A:$D,4,0),0)+IFERROR(VLOOKUP($A112,[4]库存使用数据!$A:$D,4,0),0)+IFERROR(VLOOKUP($A112,[5]库存使用数据!$A:$D,4,0),0)</f>
        <v>0.08</v>
      </c>
      <c r="E112" s="1">
        <f ca="1">IFERROR(VLOOKUP($A112,[1]库存使用数据!$A:$E,5,0),0)+IFERROR(VLOOKUP($A112,[2]库存使用数据!$A:$E,5,0),0)+IFERROR(VLOOKUP($A112,[3]库存使用数据!$A:$E,5,0),0)+IFERROR(VLOOKUP($A112,[4]库存使用数据!$A:$E,5,0),0)+IFERROR(VLOOKUP($A112,[5]库存使用数据!$A:$E,5,0),0)</f>
        <v>3447</v>
      </c>
      <c r="F112" s="1">
        <f ca="1">IFERROR(VLOOKUP($A112,[1]库存使用数据!$A:$F,6,0),0)+IFERROR(VLOOKUP($A112,[2]库存使用数据!$A:$F,6,0),0)+IFERROR(VLOOKUP($A112,[4]库存使用数据!$A:$F,6,0),0)+IFERROR(VLOOKUP($A112,[3]库存使用数据!$A:$F,6,0),0)+IFERROR(VLOOKUP($A112,[5]库存使用数据!$A:$F,6,0),0)</f>
        <v>11</v>
      </c>
      <c r="G112" s="1">
        <f ca="1">IFERROR(VLOOKUP($A112,[1]库存使用数据!$A:$G,7,0),0)+IFERROR(VLOOKUP($A112,[2]库存使用数据!$A:$G,7,0),0)+公式!$B$14*IFERROR(VLOOKUP($A112,[3]库存使用数据!$A:$G,7,0),0)+IFERROR(VLOOKUP($A112,[4]库存使用数据!$A:$G,7,0),0)+IFERROR(VLOOKUP($A112,[5]库存使用数据!$A:$G,7,0),0)</f>
        <v>1.05</v>
      </c>
      <c r="H112" s="1">
        <f ca="1">IFERROR(VLOOKUP($A112,[1]库存使用数据!$A:$H,8,0),0)+IFERROR(VLOOKUP($A112,[2]库存使用数据!$A:$H,8,0),0)+IFERROR(VLOOKUP($A112,[3]库存使用数据!$A:$H,8,0),0)+IFERROR(VLOOKUP($A112,[4]库存使用数据!$A:$H,8,0),0)+IFERROR(VLOOKUP($A112,[5]库存使用数据!$A:$H,8,0),0)</f>
        <v>611</v>
      </c>
      <c r="I112" s="1">
        <f ca="1">IFERROR(VLOOKUP($A112,[1]库存使用数据!$A:$I,9,0),0)+IFERROR(VLOOKUP($A112,[2]库存使用数据!$A:$I,9,0),0)+IFERROR(VLOOKUP($A112,[3]库存使用数据!$A:$I,9,0),0)+IFERROR(VLOOKUP($A112,[4]库存使用数据!$A:$I,9,0),0)+IFERROR(VLOOKUP($A112,[5]库存使用数据!$A:$I,9,0),0)</f>
        <v>3</v>
      </c>
      <c r="J112" s="1">
        <f ca="1">IFERROR(VLOOKUP($A112,[1]库存使用数据!$A:$J,10,0),0)+IFERROR(VLOOKUP($A112,[2]库存使用数据!$A:$J,10,0),0)+公式!$B$14*IFERROR(VLOOKUP($A112,[3]库存使用数据!$A:$J,10,0),0)+IFERROR(VLOOKUP($A112,[4]库存使用数据!$A:$J,10,0),0)+IFERROR(VLOOKUP($A112,[5]库存使用数据!$A:$J,10,0),0)</f>
        <v>0.26</v>
      </c>
      <c r="K112" s="1">
        <f ca="1">IFERROR(VLOOKUP($A112,[1]库存使用数据!$A:$K,11,0),0)+IFERROR(VLOOKUP($A112,[2]库存使用数据!$A:$K,11,0),0)+IFERROR(VLOOKUP($A112,[3]库存使用数据!$A:$K,11,0),0)+IFERROR(VLOOKUP($A112,[4]库存使用数据!$A:$K,11,0),0)+IFERROR(VLOOKUP($A112,[5]库存使用数据!$A:$K,11,0),0)</f>
        <v>2077</v>
      </c>
      <c r="L112" s="1">
        <f ca="1">IFERROR(VLOOKUP($A112,[1]库存使用数据!$A:$L,12,0),0)+IFERROR(VLOOKUP($A112,[2]库存使用数据!$A:$L,12,0),0)+IFERROR(VLOOKUP($A112,[3]库存使用数据!$A:$L,12,0),0)+IFERROR(VLOOKUP($A112,[4]库存使用数据!$A:$L,12,0),0)+IFERROR(VLOOKUP($A112,[5]库存使用数据!$A:$L,12,0),0)</f>
        <v>6</v>
      </c>
      <c r="M112" s="1">
        <f ca="1">IFERROR(VLOOKUP($A112,[1]库存使用数据!$A:$M,13,0),0)+IFERROR(VLOOKUP($A112,[2]库存使用数据!$A:$M,13,0),0)+公式!$B$14*IFERROR(VLOOKUP($A112,[3]库存使用数据!$A:$M,13,0),0)+IFERROR(VLOOKUP($A112,[4]库存使用数据!$A:$M,13,0),0)+IFERROR(VLOOKUP($A112,[5]库存使用数据!$A:$M,13,0),0)</f>
        <v>0.89</v>
      </c>
    </row>
    <row r="113" spans="1:13">
      <c r="A113" s="5" t="s">
        <v>118</v>
      </c>
      <c r="B113" s="2">
        <f ca="1">IFERROR(VLOOKUP(A113,[1]库存使用数据!$A:$B,2,0),0)+IFERROR(VLOOKUP(A113,[2]库存使用数据!$A:$B,2,0),0)+IFERROR(VLOOKUP(,[3]库存使用数据!$A:$B,2,0),0)+IFERROR(VLOOKUP(A113,[4]库存使用数据!$A:$B,2,0),0)+IFERROR(VLOOKUP(A113,[5]库存使用数据!$A:$B,2,0),0)</f>
        <v>3569</v>
      </c>
      <c r="C113" s="1">
        <f ca="1">IFERROR(VLOOKUP($A113,[1]库存使用数据!$A:$C,3,0),0)+IFERROR(VLOOKUP($A113,[2]库存使用数据!$A:$C,3,0),0)+IFERROR(VLOOKUP($A113,[3]库存使用数据!$A:$C,3,0),0)+IFERROR(VLOOKUP($A113,[4]库存使用数据!$A:$C,3,0),0)+IFERROR(VLOOKUP($A113,[5]库存使用数据!$A:$C,3,0),0)</f>
        <v>44</v>
      </c>
      <c r="D113" s="1">
        <f ca="1">IFERROR(VLOOKUP($A113,[1]库存使用数据!$A:$D,4,0),0)+IFERROR(VLOOKUP($A113,[2]库存使用数据!$A:$D,4,0),0)+公式!$B$1*IFERROR(VLOOKUP($A113,[3]库存使用数据!$A:$D,4,0),0)+IFERROR(VLOOKUP($A113,[4]库存使用数据!$A:$D,4,0),0)+IFERROR(VLOOKUP($A113,[5]库存使用数据!$A:$D,4,0),0)</f>
        <v>6.67</v>
      </c>
      <c r="E113" s="1">
        <f ca="1">IFERROR(VLOOKUP($A113,[1]库存使用数据!$A:$E,5,0),0)+IFERROR(VLOOKUP($A113,[2]库存使用数据!$A:$E,5,0),0)+IFERROR(VLOOKUP($A113,[3]库存使用数据!$A:$E,5,0),0)+IFERROR(VLOOKUP($A113,[4]库存使用数据!$A:$E,5,0),0)+IFERROR(VLOOKUP($A113,[5]库存使用数据!$A:$E,5,0),0)</f>
        <v>1170</v>
      </c>
      <c r="F113" s="1">
        <f ca="1">IFERROR(VLOOKUP($A113,[1]库存使用数据!$A:$F,6,0),0)+IFERROR(VLOOKUP($A113,[2]库存使用数据!$A:$F,6,0),0)+IFERROR(VLOOKUP($A113,[4]库存使用数据!$A:$F,6,0),0)+IFERROR(VLOOKUP($A113,[3]库存使用数据!$A:$F,6,0),0)+IFERROR(VLOOKUP($A113,[5]库存使用数据!$A:$F,6,0),0)</f>
        <v>4</v>
      </c>
      <c r="G113" s="1">
        <f ca="1">IFERROR(VLOOKUP($A113,[1]库存使用数据!$A:$G,7,0),0)+IFERROR(VLOOKUP($A113,[2]库存使用数据!$A:$G,7,0),0)+公式!$B$14*IFERROR(VLOOKUP($A113,[3]库存使用数据!$A:$G,7,0),0)+IFERROR(VLOOKUP($A113,[4]库存使用数据!$A:$G,7,0),0)+IFERROR(VLOOKUP($A113,[5]库存使用数据!$A:$G,7,0),0)</f>
        <v>0.67</v>
      </c>
      <c r="H113" s="1">
        <f ca="1">IFERROR(VLOOKUP($A113,[1]库存使用数据!$A:$H,8,0),0)+IFERROR(VLOOKUP($A113,[2]库存使用数据!$A:$H,8,0),0)+IFERROR(VLOOKUP($A113,[3]库存使用数据!$A:$H,8,0),0)+IFERROR(VLOOKUP($A113,[4]库存使用数据!$A:$H,8,0),0)+IFERROR(VLOOKUP($A113,[5]库存使用数据!$A:$H,8,0),0)</f>
        <v>4130</v>
      </c>
      <c r="I113" s="1">
        <f ca="1">IFERROR(VLOOKUP($A113,[1]库存使用数据!$A:$I,9,0),0)+IFERROR(VLOOKUP($A113,[2]库存使用数据!$A:$I,9,0),0)+IFERROR(VLOOKUP($A113,[3]库存使用数据!$A:$I,9,0),0)+IFERROR(VLOOKUP($A113,[4]库存使用数据!$A:$I,9,0),0)+IFERROR(VLOOKUP($A113,[5]库存使用数据!$A:$I,9,0),0)</f>
        <v>16</v>
      </c>
      <c r="J113" s="1">
        <f ca="1">IFERROR(VLOOKUP($A113,[1]库存使用数据!$A:$J,10,0),0)+IFERROR(VLOOKUP($A113,[2]库存使用数据!$A:$J,10,0),0)+公式!$B$14*IFERROR(VLOOKUP($A113,[3]库存使用数据!$A:$J,10,0),0)+IFERROR(VLOOKUP($A113,[4]库存使用数据!$A:$J,10,0),0)+IFERROR(VLOOKUP($A113,[5]库存使用数据!$A:$J,10,0),0)</f>
        <v>2.5</v>
      </c>
      <c r="K113" s="1">
        <f ca="1">IFERROR(VLOOKUP($A113,[1]库存使用数据!$A:$K,11,0),0)+IFERROR(VLOOKUP($A113,[2]库存使用数据!$A:$K,11,0),0)+IFERROR(VLOOKUP($A113,[3]库存使用数据!$A:$K,11,0),0)+IFERROR(VLOOKUP($A113,[4]库存使用数据!$A:$K,11,0),0)+IFERROR(VLOOKUP($A113,[5]库存使用数据!$A:$K,11,0),0)</f>
        <v>13531</v>
      </c>
      <c r="L113" s="1">
        <f ca="1">IFERROR(VLOOKUP($A113,[1]库存使用数据!$A:$L,12,0),0)+IFERROR(VLOOKUP($A113,[2]库存使用数据!$A:$L,12,0),0)+IFERROR(VLOOKUP($A113,[3]库存使用数据!$A:$L,12,0),0)+IFERROR(VLOOKUP($A113,[4]库存使用数据!$A:$L,12,0),0)+IFERROR(VLOOKUP($A113,[5]库存使用数据!$A:$L,12,0),0)</f>
        <v>102</v>
      </c>
      <c r="M113" s="1">
        <f ca="1">IFERROR(VLOOKUP($A113,[1]库存使用数据!$A:$M,13,0),0)+IFERROR(VLOOKUP($A113,[2]库存使用数据!$A:$M,13,0),0)+公式!$B$14*IFERROR(VLOOKUP($A113,[3]库存使用数据!$A:$M,13,0),0)+IFERROR(VLOOKUP($A113,[4]库存使用数据!$A:$M,13,0),0)+IFERROR(VLOOKUP($A113,[5]库存使用数据!$A:$M,13,0),0)</f>
        <v>16.37</v>
      </c>
    </row>
    <row r="114" spans="1:13">
      <c r="A114" s="5" t="s">
        <v>119</v>
      </c>
      <c r="B114" s="2">
        <f ca="1">IFERROR(VLOOKUP(A114,[1]库存使用数据!$A:$B,2,0),0)+IFERROR(VLOOKUP(A114,[2]库存使用数据!$A:$B,2,0),0)+IFERROR(VLOOKUP(,[3]库存使用数据!$A:$B,2,0),0)+IFERROR(VLOOKUP(A114,[4]库存使用数据!$A:$B,2,0),0)+IFERROR(VLOOKUP(A114,[5]库存使用数据!$A:$B,2,0),0)</f>
        <v>24</v>
      </c>
      <c r="C114" s="1">
        <f ca="1">IFERROR(VLOOKUP($A114,[1]库存使用数据!$A:$C,3,0),0)+IFERROR(VLOOKUP($A114,[2]库存使用数据!$A:$C,3,0),0)+IFERROR(VLOOKUP($A114,[3]库存使用数据!$A:$C,3,0),0)+IFERROR(VLOOKUP($A114,[4]库存使用数据!$A:$C,3,0),0)+IFERROR(VLOOKUP($A114,[5]库存使用数据!$A:$C,3,0),0)</f>
        <v>0</v>
      </c>
      <c r="D114" s="1">
        <f ca="1">IFERROR(VLOOKUP($A114,[1]库存使用数据!$A:$D,4,0),0)+IFERROR(VLOOKUP($A114,[2]库存使用数据!$A:$D,4,0),0)+公式!$B$1*IFERROR(VLOOKUP($A114,[3]库存使用数据!$A:$D,4,0),0)+IFERROR(VLOOKUP($A114,[4]库存使用数据!$A:$D,4,0),0)+IFERROR(VLOOKUP($A114,[5]库存使用数据!$A:$D,4,0),0)</f>
        <v>0</v>
      </c>
      <c r="E114" s="1">
        <f ca="1">IFERROR(VLOOKUP($A114,[1]库存使用数据!$A:$E,5,0),0)+IFERROR(VLOOKUP($A114,[2]库存使用数据!$A:$E,5,0),0)+IFERROR(VLOOKUP($A114,[3]库存使用数据!$A:$E,5,0),0)+IFERROR(VLOOKUP($A114,[4]库存使用数据!$A:$E,5,0),0)+IFERROR(VLOOKUP($A114,[5]库存使用数据!$A:$E,5,0),0)</f>
        <v>16304</v>
      </c>
      <c r="F114" s="1">
        <f ca="1">IFERROR(VLOOKUP($A114,[1]库存使用数据!$A:$F,6,0),0)+IFERROR(VLOOKUP($A114,[2]库存使用数据!$A:$F,6,0),0)+IFERROR(VLOOKUP($A114,[4]库存使用数据!$A:$F,6,0),0)+IFERROR(VLOOKUP($A114,[3]库存使用数据!$A:$F,6,0),0)+IFERROR(VLOOKUP($A114,[5]库存使用数据!$A:$F,6,0),0)</f>
        <v>29</v>
      </c>
      <c r="G114" s="1">
        <f ca="1">IFERROR(VLOOKUP($A114,[1]库存使用数据!$A:$G,7,0),0)+IFERROR(VLOOKUP($A114,[2]库存使用数据!$A:$G,7,0),0)+公式!$B$14*IFERROR(VLOOKUP($A114,[3]库存使用数据!$A:$G,7,0),0)+IFERROR(VLOOKUP($A114,[4]库存使用数据!$A:$G,7,0),0)+IFERROR(VLOOKUP($A114,[5]库存使用数据!$A:$G,7,0),0)</f>
        <v>3.94</v>
      </c>
      <c r="H114" s="1">
        <f ca="1">IFERROR(VLOOKUP($A114,[1]库存使用数据!$A:$H,8,0),0)+IFERROR(VLOOKUP($A114,[2]库存使用数据!$A:$H,8,0),0)+IFERROR(VLOOKUP($A114,[3]库存使用数据!$A:$H,8,0),0)+IFERROR(VLOOKUP($A114,[4]库存使用数据!$A:$H,8,0),0)+IFERROR(VLOOKUP($A114,[5]库存使用数据!$A:$H,8,0),0)</f>
        <v>1213</v>
      </c>
      <c r="I114" s="1">
        <f ca="1">IFERROR(VLOOKUP($A114,[1]库存使用数据!$A:$I,9,0),0)+IFERROR(VLOOKUP($A114,[2]库存使用数据!$A:$I,9,0),0)+IFERROR(VLOOKUP($A114,[3]库存使用数据!$A:$I,9,0),0)+IFERROR(VLOOKUP($A114,[4]库存使用数据!$A:$I,9,0),0)+IFERROR(VLOOKUP($A114,[5]库存使用数据!$A:$I,9,0),0)</f>
        <v>7</v>
      </c>
      <c r="J114" s="1">
        <f ca="1">IFERROR(VLOOKUP($A114,[1]库存使用数据!$A:$J,10,0),0)+IFERROR(VLOOKUP($A114,[2]库存使用数据!$A:$J,10,0),0)+公式!$B$14*IFERROR(VLOOKUP($A114,[3]库存使用数据!$A:$J,10,0),0)+IFERROR(VLOOKUP($A114,[4]库存使用数据!$A:$J,10,0),0)+IFERROR(VLOOKUP($A114,[5]库存使用数据!$A:$J,10,0),0)</f>
        <v>1.1</v>
      </c>
      <c r="K114" s="1">
        <f ca="1">IFERROR(VLOOKUP($A114,[1]库存使用数据!$A:$K,11,0),0)+IFERROR(VLOOKUP($A114,[2]库存使用数据!$A:$K,11,0),0)+IFERROR(VLOOKUP($A114,[3]库存使用数据!$A:$K,11,0),0)+IFERROR(VLOOKUP($A114,[4]库存使用数据!$A:$K,11,0),0)+IFERROR(VLOOKUP($A114,[5]库存使用数据!$A:$K,11,0),0)</f>
        <v>2859</v>
      </c>
      <c r="L114" s="1">
        <f ca="1">IFERROR(VLOOKUP($A114,[1]库存使用数据!$A:$L,12,0),0)+IFERROR(VLOOKUP($A114,[2]库存使用数据!$A:$L,12,0),0)+IFERROR(VLOOKUP($A114,[3]库存使用数据!$A:$L,12,0),0)+IFERROR(VLOOKUP($A114,[4]库存使用数据!$A:$L,12,0),0)+IFERROR(VLOOKUP($A114,[5]库存使用数据!$A:$L,12,0),0)</f>
        <v>13</v>
      </c>
      <c r="M114" s="1">
        <f ca="1">IFERROR(VLOOKUP($A114,[1]库存使用数据!$A:$M,13,0),0)+IFERROR(VLOOKUP($A114,[2]库存使用数据!$A:$M,13,0),0)+公式!$B$14*IFERROR(VLOOKUP($A114,[3]库存使用数据!$A:$M,13,0),0)+IFERROR(VLOOKUP($A114,[4]库存使用数据!$A:$M,13,0),0)+IFERROR(VLOOKUP($A114,[5]库存使用数据!$A:$M,13,0),0)</f>
        <v>2.32</v>
      </c>
    </row>
    <row r="115" spans="1:13">
      <c r="A115" s="5" t="s">
        <v>120</v>
      </c>
      <c r="B115" s="2">
        <f ca="1">IFERROR(VLOOKUP(A115,[1]库存使用数据!$A:$B,2,0),0)+IFERROR(VLOOKUP(A115,[2]库存使用数据!$A:$B,2,0),0)+IFERROR(VLOOKUP(,[3]库存使用数据!$A:$B,2,0),0)+IFERROR(VLOOKUP(A115,[4]库存使用数据!$A:$B,2,0),0)+IFERROR(VLOOKUP(A115,[5]库存使用数据!$A:$B,2,0),0)</f>
        <v>0</v>
      </c>
      <c r="C115" s="1">
        <f ca="1">IFERROR(VLOOKUP($A115,[1]库存使用数据!$A:$C,3,0),0)+IFERROR(VLOOKUP($A115,[2]库存使用数据!$A:$C,3,0),0)+IFERROR(VLOOKUP($A115,[3]库存使用数据!$A:$C,3,0),0)+IFERROR(VLOOKUP($A115,[4]库存使用数据!$A:$C,3,0),0)+IFERROR(VLOOKUP($A115,[5]库存使用数据!$A:$C,3,0),0)</f>
        <v>0</v>
      </c>
      <c r="D115" s="1">
        <f ca="1">IFERROR(VLOOKUP($A115,[1]库存使用数据!$A:$D,4,0),0)+IFERROR(VLOOKUP($A115,[2]库存使用数据!$A:$D,4,0),0)+公式!$B$1*IFERROR(VLOOKUP($A115,[3]库存使用数据!$A:$D,4,0),0)+IFERROR(VLOOKUP($A115,[4]库存使用数据!$A:$D,4,0),0)+IFERROR(VLOOKUP($A115,[5]库存使用数据!$A:$D,4,0),0)</f>
        <v>0</v>
      </c>
      <c r="E115" s="1">
        <f ca="1">IFERROR(VLOOKUP($A115,[1]库存使用数据!$A:$E,5,0),0)+IFERROR(VLOOKUP($A115,[2]库存使用数据!$A:$E,5,0),0)+IFERROR(VLOOKUP($A115,[3]库存使用数据!$A:$E,5,0),0)+IFERROR(VLOOKUP($A115,[4]库存使用数据!$A:$E,5,0),0)+IFERROR(VLOOKUP($A115,[5]库存使用数据!$A:$E,5,0),0)</f>
        <v>0</v>
      </c>
      <c r="F115" s="1">
        <f ca="1">IFERROR(VLOOKUP($A115,[1]库存使用数据!$A:$F,6,0),0)+IFERROR(VLOOKUP($A115,[2]库存使用数据!$A:$F,6,0),0)+IFERROR(VLOOKUP($A115,[4]库存使用数据!$A:$F,6,0),0)+IFERROR(VLOOKUP($A115,[3]库存使用数据!$A:$F,6,0),0)+IFERROR(VLOOKUP($A115,[5]库存使用数据!$A:$F,6,0),0)</f>
        <v>0</v>
      </c>
      <c r="G115" s="1">
        <f ca="1">IFERROR(VLOOKUP($A115,[1]库存使用数据!$A:$G,7,0),0)+IFERROR(VLOOKUP($A115,[2]库存使用数据!$A:$G,7,0),0)+公式!$B$14*IFERROR(VLOOKUP($A115,[3]库存使用数据!$A:$G,7,0),0)+IFERROR(VLOOKUP($A115,[4]库存使用数据!$A:$G,7,0),0)+IFERROR(VLOOKUP($A115,[5]库存使用数据!$A:$G,7,0),0)</f>
        <v>0</v>
      </c>
      <c r="H115" s="1">
        <f ca="1">IFERROR(VLOOKUP($A115,[1]库存使用数据!$A:$H,8,0),0)+IFERROR(VLOOKUP($A115,[2]库存使用数据!$A:$H,8,0),0)+IFERROR(VLOOKUP($A115,[3]库存使用数据!$A:$H,8,0),0)+IFERROR(VLOOKUP($A115,[4]库存使用数据!$A:$H,8,0),0)+IFERROR(VLOOKUP($A115,[5]库存使用数据!$A:$H,8,0),0)</f>
        <v>0</v>
      </c>
      <c r="I115" s="1">
        <f ca="1">IFERROR(VLOOKUP($A115,[1]库存使用数据!$A:$I,9,0),0)+IFERROR(VLOOKUP($A115,[2]库存使用数据!$A:$I,9,0),0)+IFERROR(VLOOKUP($A115,[3]库存使用数据!$A:$I,9,0),0)+IFERROR(VLOOKUP($A115,[4]库存使用数据!$A:$I,9,0),0)+IFERROR(VLOOKUP($A115,[5]库存使用数据!$A:$I,9,0),0)</f>
        <v>0</v>
      </c>
      <c r="J115" s="1">
        <f ca="1">IFERROR(VLOOKUP($A115,[1]库存使用数据!$A:$J,10,0),0)+IFERROR(VLOOKUP($A115,[2]库存使用数据!$A:$J,10,0),0)+公式!$B$14*IFERROR(VLOOKUP($A115,[3]库存使用数据!$A:$J,10,0),0)+IFERROR(VLOOKUP($A115,[4]库存使用数据!$A:$J,10,0),0)+IFERROR(VLOOKUP($A115,[5]库存使用数据!$A:$J,10,0),0)</f>
        <v>0</v>
      </c>
      <c r="K115" s="1">
        <f ca="1">IFERROR(VLOOKUP($A115,[1]库存使用数据!$A:$K,11,0),0)+IFERROR(VLOOKUP($A115,[2]库存使用数据!$A:$K,11,0),0)+IFERROR(VLOOKUP($A115,[3]库存使用数据!$A:$K,11,0),0)+IFERROR(VLOOKUP($A115,[4]库存使用数据!$A:$K,11,0),0)+IFERROR(VLOOKUP($A115,[5]库存使用数据!$A:$K,11,0),0)</f>
        <v>361</v>
      </c>
      <c r="L115" s="1">
        <f ca="1">IFERROR(VLOOKUP($A115,[1]库存使用数据!$A:$L,12,0),0)+IFERROR(VLOOKUP($A115,[2]库存使用数据!$A:$L,12,0),0)+IFERROR(VLOOKUP($A115,[3]库存使用数据!$A:$L,12,0),0)+IFERROR(VLOOKUP($A115,[4]库存使用数据!$A:$L,12,0),0)+IFERROR(VLOOKUP($A115,[5]库存使用数据!$A:$L,12,0),0)</f>
        <v>1</v>
      </c>
      <c r="M115" s="1">
        <f ca="1">IFERROR(VLOOKUP($A115,[1]库存使用数据!$A:$M,13,0),0)+IFERROR(VLOOKUP($A115,[2]库存使用数据!$A:$M,13,0),0)+公式!$B$14*IFERROR(VLOOKUP($A115,[3]库存使用数据!$A:$M,13,0),0)+IFERROR(VLOOKUP($A115,[4]库存使用数据!$A:$M,13,0),0)+IFERROR(VLOOKUP($A115,[5]库存使用数据!$A:$M,13,0),0)</f>
        <v>0.15</v>
      </c>
    </row>
    <row r="116" spans="1:13">
      <c r="A116" s="5" t="s">
        <v>121</v>
      </c>
      <c r="B116" s="2">
        <f ca="1">IFERROR(VLOOKUP(A116,[1]库存使用数据!$A:$B,2,0),0)+IFERROR(VLOOKUP(A116,[2]库存使用数据!$A:$B,2,0),0)+IFERROR(VLOOKUP(,[3]库存使用数据!$A:$B,2,0),0)+IFERROR(VLOOKUP(A116,[4]库存使用数据!$A:$B,2,0),0)+IFERROR(VLOOKUP(A116,[5]库存使用数据!$A:$B,2,0),0)</f>
        <v>0</v>
      </c>
      <c r="C116" s="1">
        <f ca="1">IFERROR(VLOOKUP($A116,[1]库存使用数据!$A:$C,3,0),0)+IFERROR(VLOOKUP($A116,[2]库存使用数据!$A:$C,3,0),0)+IFERROR(VLOOKUP($A116,[3]库存使用数据!$A:$C,3,0),0)+IFERROR(VLOOKUP($A116,[4]库存使用数据!$A:$C,3,0),0)+IFERROR(VLOOKUP($A116,[5]库存使用数据!$A:$C,3,0),0)</f>
        <v>0</v>
      </c>
      <c r="D116" s="1">
        <f ca="1">IFERROR(VLOOKUP($A116,[1]库存使用数据!$A:$D,4,0),0)+IFERROR(VLOOKUP($A116,[2]库存使用数据!$A:$D,4,0),0)+公式!$B$1*IFERROR(VLOOKUP($A116,[3]库存使用数据!$A:$D,4,0),0)+IFERROR(VLOOKUP($A116,[4]库存使用数据!$A:$D,4,0),0)+IFERROR(VLOOKUP($A116,[5]库存使用数据!$A:$D,4,0),0)</f>
        <v>0</v>
      </c>
      <c r="E116" s="1">
        <f ca="1">IFERROR(VLOOKUP($A116,[1]库存使用数据!$A:$E,5,0),0)+IFERROR(VLOOKUP($A116,[2]库存使用数据!$A:$E,5,0),0)+IFERROR(VLOOKUP($A116,[3]库存使用数据!$A:$E,5,0),0)+IFERROR(VLOOKUP($A116,[4]库存使用数据!$A:$E,5,0),0)+IFERROR(VLOOKUP($A116,[5]库存使用数据!$A:$E,5,0),0)</f>
        <v>2656</v>
      </c>
      <c r="F116" s="1">
        <f ca="1">IFERROR(VLOOKUP($A116,[1]库存使用数据!$A:$F,6,0),0)+IFERROR(VLOOKUP($A116,[2]库存使用数据!$A:$F,6,0),0)+IFERROR(VLOOKUP($A116,[4]库存使用数据!$A:$F,6,0),0)+IFERROR(VLOOKUP($A116,[3]库存使用数据!$A:$F,6,0),0)+IFERROR(VLOOKUP($A116,[5]库存使用数据!$A:$F,6,0),0)</f>
        <v>46</v>
      </c>
      <c r="G116" s="1">
        <f ca="1">IFERROR(VLOOKUP($A116,[1]库存使用数据!$A:$G,7,0),0)+IFERROR(VLOOKUP($A116,[2]库存使用数据!$A:$G,7,0),0)+公式!$B$14*IFERROR(VLOOKUP($A116,[3]库存使用数据!$A:$G,7,0),0)+IFERROR(VLOOKUP($A116,[4]库存使用数据!$A:$G,7,0),0)+IFERROR(VLOOKUP($A116,[5]库存使用数据!$A:$G,7,0),0)</f>
        <v>4.96</v>
      </c>
      <c r="H116" s="1">
        <f ca="1">IFERROR(VLOOKUP($A116,[1]库存使用数据!$A:$H,8,0),0)+IFERROR(VLOOKUP($A116,[2]库存使用数据!$A:$H,8,0),0)+IFERROR(VLOOKUP($A116,[3]库存使用数据!$A:$H,8,0),0)+IFERROR(VLOOKUP($A116,[4]库存使用数据!$A:$H,8,0),0)+IFERROR(VLOOKUP($A116,[5]库存使用数据!$A:$H,8,0),0)</f>
        <v>1970</v>
      </c>
      <c r="I116" s="1">
        <f ca="1">IFERROR(VLOOKUP($A116,[1]库存使用数据!$A:$I,9,0),0)+IFERROR(VLOOKUP($A116,[2]库存使用数据!$A:$I,9,0),0)+IFERROR(VLOOKUP($A116,[3]库存使用数据!$A:$I,9,0),0)+IFERROR(VLOOKUP($A116,[4]库存使用数据!$A:$I,9,0),0)+IFERROR(VLOOKUP($A116,[5]库存使用数据!$A:$I,9,0),0)</f>
        <v>29</v>
      </c>
      <c r="J116" s="1">
        <f ca="1">IFERROR(VLOOKUP($A116,[1]库存使用数据!$A:$J,10,0),0)+IFERROR(VLOOKUP($A116,[2]库存使用数据!$A:$J,10,0),0)+公式!$B$14*IFERROR(VLOOKUP($A116,[3]库存使用数据!$A:$J,10,0),0)+IFERROR(VLOOKUP($A116,[4]库存使用数据!$A:$J,10,0),0)+IFERROR(VLOOKUP($A116,[5]库存使用数据!$A:$J,10,0),0)</f>
        <v>3.88</v>
      </c>
      <c r="K116" s="1">
        <f ca="1">IFERROR(VLOOKUP($A116,[1]库存使用数据!$A:$K,11,0),0)+IFERROR(VLOOKUP($A116,[2]库存使用数据!$A:$K,11,0),0)+IFERROR(VLOOKUP($A116,[3]库存使用数据!$A:$K,11,0),0)+IFERROR(VLOOKUP($A116,[4]库存使用数据!$A:$K,11,0),0)+IFERROR(VLOOKUP($A116,[5]库存使用数据!$A:$K,11,0),0)</f>
        <v>0</v>
      </c>
      <c r="L116" s="1">
        <f ca="1">IFERROR(VLOOKUP($A116,[1]库存使用数据!$A:$L,12,0),0)+IFERROR(VLOOKUP($A116,[2]库存使用数据!$A:$L,12,0),0)+IFERROR(VLOOKUP($A116,[3]库存使用数据!$A:$L,12,0),0)+IFERROR(VLOOKUP($A116,[4]库存使用数据!$A:$L,12,0),0)+IFERROR(VLOOKUP($A116,[5]库存使用数据!$A:$L,12,0),0)</f>
        <v>0</v>
      </c>
      <c r="M116" s="1">
        <f ca="1">IFERROR(VLOOKUP($A116,[1]库存使用数据!$A:$M,13,0),0)+IFERROR(VLOOKUP($A116,[2]库存使用数据!$A:$M,13,0),0)+公式!$B$14*IFERROR(VLOOKUP($A116,[3]库存使用数据!$A:$M,13,0),0)+IFERROR(VLOOKUP($A116,[4]库存使用数据!$A:$M,13,0),0)+IFERROR(VLOOKUP($A116,[5]库存使用数据!$A:$M,13,0),0)</f>
        <v>0</v>
      </c>
    </row>
    <row r="117" spans="1:13">
      <c r="A117" s="5" t="s">
        <v>122</v>
      </c>
      <c r="B117" s="2">
        <f ca="1">IFERROR(VLOOKUP(A117,[1]库存使用数据!$A:$B,2,0),0)+IFERROR(VLOOKUP(A117,[2]库存使用数据!$A:$B,2,0),0)+IFERROR(VLOOKUP(,[3]库存使用数据!$A:$B,2,0),0)+IFERROR(VLOOKUP(A117,[4]库存使用数据!$A:$B,2,0),0)+IFERROR(VLOOKUP(A117,[5]库存使用数据!$A:$B,2,0),0)</f>
        <v>0</v>
      </c>
      <c r="C117" s="1">
        <f ca="1">IFERROR(VLOOKUP($A117,[1]库存使用数据!$A:$C,3,0),0)+IFERROR(VLOOKUP($A117,[2]库存使用数据!$A:$C,3,0),0)+IFERROR(VLOOKUP($A117,[3]库存使用数据!$A:$C,3,0),0)+IFERROR(VLOOKUP($A117,[4]库存使用数据!$A:$C,3,0),0)+IFERROR(VLOOKUP($A117,[5]库存使用数据!$A:$C,3,0),0)</f>
        <v>0</v>
      </c>
      <c r="D117" s="1">
        <f ca="1">IFERROR(VLOOKUP($A117,[1]库存使用数据!$A:$D,4,0),0)+IFERROR(VLOOKUP($A117,[2]库存使用数据!$A:$D,4,0),0)+公式!$B$1*IFERROR(VLOOKUP($A117,[3]库存使用数据!$A:$D,4,0),0)+IFERROR(VLOOKUP($A117,[4]库存使用数据!$A:$D,4,0),0)+IFERROR(VLOOKUP($A117,[5]库存使用数据!$A:$D,4,0),0)</f>
        <v>0</v>
      </c>
      <c r="E117" s="1">
        <f ca="1">IFERROR(VLOOKUP($A117,[1]库存使用数据!$A:$E,5,0),0)+IFERROR(VLOOKUP($A117,[2]库存使用数据!$A:$E,5,0),0)+IFERROR(VLOOKUP($A117,[3]库存使用数据!$A:$E,5,0),0)+IFERROR(VLOOKUP($A117,[4]库存使用数据!$A:$E,5,0),0)+IFERROR(VLOOKUP($A117,[5]库存使用数据!$A:$E,5,0),0)</f>
        <v>0</v>
      </c>
      <c r="F117" s="1">
        <f ca="1">IFERROR(VLOOKUP($A117,[1]库存使用数据!$A:$F,6,0),0)+IFERROR(VLOOKUP($A117,[2]库存使用数据!$A:$F,6,0),0)+IFERROR(VLOOKUP($A117,[4]库存使用数据!$A:$F,6,0),0)+IFERROR(VLOOKUP($A117,[3]库存使用数据!$A:$F,6,0),0)+IFERROR(VLOOKUP($A117,[5]库存使用数据!$A:$F,6,0),0)</f>
        <v>0</v>
      </c>
      <c r="G117" s="1">
        <f ca="1">IFERROR(VLOOKUP($A117,[1]库存使用数据!$A:$G,7,0),0)+IFERROR(VLOOKUP($A117,[2]库存使用数据!$A:$G,7,0),0)+公式!$B$14*IFERROR(VLOOKUP($A117,[3]库存使用数据!$A:$G,7,0),0)+IFERROR(VLOOKUP($A117,[4]库存使用数据!$A:$G,7,0),0)+IFERROR(VLOOKUP($A117,[5]库存使用数据!$A:$G,7,0),0)</f>
        <v>0</v>
      </c>
      <c r="H117" s="1">
        <f ca="1">IFERROR(VLOOKUP($A117,[1]库存使用数据!$A:$H,8,0),0)+IFERROR(VLOOKUP($A117,[2]库存使用数据!$A:$H,8,0),0)+IFERROR(VLOOKUP($A117,[3]库存使用数据!$A:$H,8,0),0)+IFERROR(VLOOKUP($A117,[4]库存使用数据!$A:$H,8,0),0)+IFERROR(VLOOKUP($A117,[5]库存使用数据!$A:$H,8,0),0)</f>
        <v>623</v>
      </c>
      <c r="I117" s="1">
        <f ca="1">IFERROR(VLOOKUP($A117,[1]库存使用数据!$A:$I,9,0),0)+IFERROR(VLOOKUP($A117,[2]库存使用数据!$A:$I,9,0),0)+IFERROR(VLOOKUP($A117,[3]库存使用数据!$A:$I,9,0),0)+IFERROR(VLOOKUP($A117,[4]库存使用数据!$A:$I,9,0),0)+IFERROR(VLOOKUP($A117,[5]库存使用数据!$A:$I,9,0),0)</f>
        <v>8</v>
      </c>
      <c r="J117" s="1">
        <f ca="1">IFERROR(VLOOKUP($A117,[1]库存使用数据!$A:$J,10,0),0)+IFERROR(VLOOKUP($A117,[2]库存使用数据!$A:$J,10,0),0)+公式!$B$14*IFERROR(VLOOKUP($A117,[3]库存使用数据!$A:$J,10,0),0)+IFERROR(VLOOKUP($A117,[4]库存使用数据!$A:$J,10,0),0)+IFERROR(VLOOKUP($A117,[5]库存使用数据!$A:$J,10,0),0)</f>
        <v>1.23</v>
      </c>
      <c r="K117" s="1">
        <f ca="1">IFERROR(VLOOKUP($A117,[1]库存使用数据!$A:$K,11,0),0)+IFERROR(VLOOKUP($A117,[2]库存使用数据!$A:$K,11,0),0)+IFERROR(VLOOKUP($A117,[3]库存使用数据!$A:$K,11,0),0)+IFERROR(VLOOKUP($A117,[4]库存使用数据!$A:$K,11,0),0)+IFERROR(VLOOKUP($A117,[5]库存使用数据!$A:$K,11,0),0)</f>
        <v>1469</v>
      </c>
      <c r="L117" s="1">
        <f ca="1">IFERROR(VLOOKUP($A117,[1]库存使用数据!$A:$L,12,0),0)+IFERROR(VLOOKUP($A117,[2]库存使用数据!$A:$L,12,0),0)+IFERROR(VLOOKUP($A117,[3]库存使用数据!$A:$L,12,0),0)+IFERROR(VLOOKUP($A117,[4]库存使用数据!$A:$L,12,0),0)+IFERROR(VLOOKUP($A117,[5]库存使用数据!$A:$L,12,0),0)</f>
        <v>29</v>
      </c>
      <c r="M117" s="1">
        <f ca="1">IFERROR(VLOOKUP($A117,[1]库存使用数据!$A:$M,13,0),0)+IFERROR(VLOOKUP($A117,[2]库存使用数据!$A:$M,13,0),0)+公式!$B$14*IFERROR(VLOOKUP($A117,[3]库存使用数据!$A:$M,13,0),0)+IFERROR(VLOOKUP($A117,[4]库存使用数据!$A:$M,13,0),0)+IFERROR(VLOOKUP($A117,[5]库存使用数据!$A:$M,13,0),0)</f>
        <v>3.88</v>
      </c>
    </row>
    <row r="118" spans="1:13">
      <c r="A118" s="5" t="s">
        <v>123</v>
      </c>
      <c r="B118" s="2">
        <f ca="1">IFERROR(VLOOKUP(A118,[1]库存使用数据!$A:$B,2,0),0)+IFERROR(VLOOKUP(A118,[2]库存使用数据!$A:$B,2,0),0)+IFERROR(VLOOKUP(,[3]库存使用数据!$A:$B,2,0),0)+IFERROR(VLOOKUP(A118,[4]库存使用数据!$A:$B,2,0),0)+IFERROR(VLOOKUP(A118,[5]库存使用数据!$A:$B,2,0),0)</f>
        <v>31</v>
      </c>
      <c r="C118" s="1">
        <f ca="1">IFERROR(VLOOKUP($A118,[1]库存使用数据!$A:$C,3,0),0)+IFERROR(VLOOKUP($A118,[2]库存使用数据!$A:$C,3,0),0)+IFERROR(VLOOKUP($A118,[3]库存使用数据!$A:$C,3,0),0)+IFERROR(VLOOKUP($A118,[4]库存使用数据!$A:$C,3,0),0)+IFERROR(VLOOKUP($A118,[5]库存使用数据!$A:$C,3,0),0)</f>
        <v>63</v>
      </c>
      <c r="D118" s="1">
        <f ca="1">IFERROR(VLOOKUP($A118,[1]库存使用数据!$A:$D,4,0),0)+IFERROR(VLOOKUP($A118,[2]库存使用数据!$A:$D,4,0),0)+公式!$B$1*IFERROR(VLOOKUP($A118,[3]库存使用数据!$A:$D,4,0),0)+IFERROR(VLOOKUP($A118,[4]库存使用数据!$A:$D,4,0),0)+IFERROR(VLOOKUP($A118,[5]库存使用数据!$A:$D,4,0),0)</f>
        <v>12.70125</v>
      </c>
      <c r="E118" s="1">
        <f ca="1">IFERROR(VLOOKUP($A118,[1]库存使用数据!$A:$E,5,0),0)+IFERROR(VLOOKUP($A118,[2]库存使用数据!$A:$E,5,0),0)+IFERROR(VLOOKUP($A118,[3]库存使用数据!$A:$E,5,0),0)+IFERROR(VLOOKUP($A118,[4]库存使用数据!$A:$E,5,0),0)+IFERROR(VLOOKUP($A118,[5]库存使用数据!$A:$E,5,0),0)</f>
        <v>0</v>
      </c>
      <c r="F118" s="1">
        <f ca="1">IFERROR(VLOOKUP($A118,[1]库存使用数据!$A:$F,6,0),0)+IFERROR(VLOOKUP($A118,[2]库存使用数据!$A:$F,6,0),0)+IFERROR(VLOOKUP($A118,[4]库存使用数据!$A:$F,6,0),0)+IFERROR(VLOOKUP($A118,[3]库存使用数据!$A:$F,6,0),0)+IFERROR(VLOOKUP($A118,[5]库存使用数据!$A:$F,6,0),0)</f>
        <v>0</v>
      </c>
      <c r="G118" s="1">
        <f ca="1">IFERROR(VLOOKUP($A118,[1]库存使用数据!$A:$G,7,0),0)+IFERROR(VLOOKUP($A118,[2]库存使用数据!$A:$G,7,0),0)+公式!$B$14*IFERROR(VLOOKUP($A118,[3]库存使用数据!$A:$G,7,0),0)+IFERROR(VLOOKUP($A118,[4]库存使用数据!$A:$G,7,0),0)+IFERROR(VLOOKUP($A118,[5]库存使用数据!$A:$G,7,0),0)</f>
        <v>0</v>
      </c>
      <c r="H118" s="1">
        <f ca="1">IFERROR(VLOOKUP($A118,[1]库存使用数据!$A:$H,8,0),0)+IFERROR(VLOOKUP($A118,[2]库存使用数据!$A:$H,8,0),0)+IFERROR(VLOOKUP($A118,[3]库存使用数据!$A:$H,8,0),0)+IFERROR(VLOOKUP($A118,[4]库存使用数据!$A:$H,8,0),0)+IFERROR(VLOOKUP($A118,[5]库存使用数据!$A:$H,8,0),0)</f>
        <v>556</v>
      </c>
      <c r="I118" s="1">
        <f ca="1">IFERROR(VLOOKUP($A118,[1]库存使用数据!$A:$I,9,0),0)+IFERROR(VLOOKUP($A118,[2]库存使用数据!$A:$I,9,0),0)+IFERROR(VLOOKUP($A118,[3]库存使用数据!$A:$I,9,0),0)+IFERROR(VLOOKUP($A118,[4]库存使用数据!$A:$I,9,0),0)+IFERROR(VLOOKUP($A118,[5]库存使用数据!$A:$I,9,0),0)</f>
        <v>3</v>
      </c>
      <c r="J118" s="1">
        <f ca="1">IFERROR(VLOOKUP($A118,[1]库存使用数据!$A:$J,10,0),0)+IFERROR(VLOOKUP($A118,[2]库存使用数据!$A:$J,10,0),0)+公式!$B$14*IFERROR(VLOOKUP($A118,[3]库存使用数据!$A:$J,10,0),0)+IFERROR(VLOOKUP($A118,[4]库存使用数据!$A:$J,10,0),0)+IFERROR(VLOOKUP($A118,[5]库存使用数据!$A:$J,10,0),0)</f>
        <v>0.15</v>
      </c>
      <c r="K118" s="1">
        <f ca="1">IFERROR(VLOOKUP($A118,[1]库存使用数据!$A:$K,11,0),0)+IFERROR(VLOOKUP($A118,[2]库存使用数据!$A:$K,11,0),0)+IFERROR(VLOOKUP($A118,[3]库存使用数据!$A:$K,11,0),0)+IFERROR(VLOOKUP($A118,[4]库存使用数据!$A:$K,11,0),0)+IFERROR(VLOOKUP($A118,[5]库存使用数据!$A:$K,11,0),0)</f>
        <v>2865</v>
      </c>
      <c r="L118" s="1">
        <f ca="1">IFERROR(VLOOKUP($A118,[1]库存使用数据!$A:$L,12,0),0)+IFERROR(VLOOKUP($A118,[2]库存使用数据!$A:$L,12,0),0)+IFERROR(VLOOKUP($A118,[3]库存使用数据!$A:$L,12,0),0)+IFERROR(VLOOKUP($A118,[4]库存使用数据!$A:$L,12,0),0)+IFERROR(VLOOKUP($A118,[5]库存使用数据!$A:$L,12,0),0)</f>
        <v>14</v>
      </c>
      <c r="M118" s="1">
        <f ca="1">IFERROR(VLOOKUP($A118,[1]库存使用数据!$A:$M,13,0),0)+IFERROR(VLOOKUP($A118,[2]库存使用数据!$A:$M,13,0),0)+公式!$B$14*IFERROR(VLOOKUP($A118,[3]库存使用数据!$A:$M,13,0),0)+IFERROR(VLOOKUP($A118,[4]库存使用数据!$A:$M,13,0),0)+IFERROR(VLOOKUP($A118,[5]库存使用数据!$A:$M,13,0),0)</f>
        <v>0.76</v>
      </c>
    </row>
    <row r="119" spans="1:13">
      <c r="A119" s="5" t="s">
        <v>124</v>
      </c>
      <c r="B119" s="2">
        <f ca="1">IFERROR(VLOOKUP(A119,[1]库存使用数据!$A:$B,2,0),0)+IFERROR(VLOOKUP(A119,[2]库存使用数据!$A:$B,2,0),0)+IFERROR(VLOOKUP(,[3]库存使用数据!$A:$B,2,0),0)+IFERROR(VLOOKUP(A119,[4]库存使用数据!$A:$B,2,0),0)+IFERROR(VLOOKUP(A119,[5]库存使用数据!$A:$B,2,0),0)</f>
        <v>0</v>
      </c>
      <c r="C119" s="1">
        <f ca="1">IFERROR(VLOOKUP($A119,[1]库存使用数据!$A:$C,3,0),0)+IFERROR(VLOOKUP($A119,[2]库存使用数据!$A:$C,3,0),0)+IFERROR(VLOOKUP($A119,[3]库存使用数据!$A:$C,3,0),0)+IFERROR(VLOOKUP($A119,[4]库存使用数据!$A:$C,3,0),0)+IFERROR(VLOOKUP($A119,[5]库存使用数据!$A:$C,3,0),0)</f>
        <v>0</v>
      </c>
      <c r="D119" s="1">
        <f ca="1">IFERROR(VLOOKUP($A119,[1]库存使用数据!$A:$D,4,0),0)+IFERROR(VLOOKUP($A119,[2]库存使用数据!$A:$D,4,0),0)+公式!$B$1*IFERROR(VLOOKUP($A119,[3]库存使用数据!$A:$D,4,0),0)+IFERROR(VLOOKUP($A119,[4]库存使用数据!$A:$D,4,0),0)+IFERROR(VLOOKUP($A119,[5]库存使用数据!$A:$D,4,0),0)</f>
        <v>0</v>
      </c>
      <c r="E119" s="1">
        <f ca="1">IFERROR(VLOOKUP($A119,[1]库存使用数据!$A:$E,5,0),0)+IFERROR(VLOOKUP($A119,[2]库存使用数据!$A:$E,5,0),0)+IFERROR(VLOOKUP($A119,[3]库存使用数据!$A:$E,5,0),0)+IFERROR(VLOOKUP($A119,[4]库存使用数据!$A:$E,5,0),0)+IFERROR(VLOOKUP($A119,[5]库存使用数据!$A:$E,5,0),0)</f>
        <v>4</v>
      </c>
      <c r="F119" s="1">
        <f ca="1">IFERROR(VLOOKUP($A119,[1]库存使用数据!$A:$F,6,0),0)+IFERROR(VLOOKUP($A119,[2]库存使用数据!$A:$F,6,0),0)+IFERROR(VLOOKUP($A119,[4]库存使用数据!$A:$F,6,0),0)+IFERROR(VLOOKUP($A119,[3]库存使用数据!$A:$F,6,0),0)+IFERROR(VLOOKUP($A119,[5]库存使用数据!$A:$F,6,0),0)</f>
        <v>0</v>
      </c>
      <c r="G119" s="1">
        <f ca="1">IFERROR(VLOOKUP($A119,[1]库存使用数据!$A:$G,7,0),0)+IFERROR(VLOOKUP($A119,[2]库存使用数据!$A:$G,7,0),0)+公式!$B$14*IFERROR(VLOOKUP($A119,[3]库存使用数据!$A:$G,7,0),0)+IFERROR(VLOOKUP($A119,[4]库存使用数据!$A:$G,7,0),0)+IFERROR(VLOOKUP($A119,[5]库存使用数据!$A:$G,7,0),0)</f>
        <v>0</v>
      </c>
      <c r="H119" s="1">
        <f ca="1">IFERROR(VLOOKUP($A119,[1]库存使用数据!$A:$H,8,0),0)+IFERROR(VLOOKUP($A119,[2]库存使用数据!$A:$H,8,0),0)+IFERROR(VLOOKUP($A119,[3]库存使用数据!$A:$H,8,0),0)+IFERROR(VLOOKUP($A119,[4]库存使用数据!$A:$H,8,0),0)+IFERROR(VLOOKUP($A119,[5]库存使用数据!$A:$H,8,0),0)</f>
        <v>15</v>
      </c>
      <c r="I119" s="1">
        <f ca="1">IFERROR(VLOOKUP($A119,[1]库存使用数据!$A:$I,9,0),0)+IFERROR(VLOOKUP($A119,[2]库存使用数据!$A:$I,9,0),0)+IFERROR(VLOOKUP($A119,[3]库存使用数据!$A:$I,9,0),0)+IFERROR(VLOOKUP($A119,[4]库存使用数据!$A:$I,9,0),0)+IFERROR(VLOOKUP($A119,[5]库存使用数据!$A:$I,9,0),0)</f>
        <v>0</v>
      </c>
      <c r="J119" s="1">
        <f ca="1">IFERROR(VLOOKUP($A119,[1]库存使用数据!$A:$J,10,0),0)+IFERROR(VLOOKUP($A119,[2]库存使用数据!$A:$J,10,0),0)+公式!$B$14*IFERROR(VLOOKUP($A119,[3]库存使用数据!$A:$J,10,0),0)+IFERROR(VLOOKUP($A119,[4]库存使用数据!$A:$J,10,0),0)+IFERROR(VLOOKUP($A119,[5]库存使用数据!$A:$J,10,0),0)</f>
        <v>0</v>
      </c>
      <c r="K119" s="1">
        <f ca="1">IFERROR(VLOOKUP($A119,[1]库存使用数据!$A:$K,11,0),0)+IFERROR(VLOOKUP($A119,[2]库存使用数据!$A:$K,11,0),0)+IFERROR(VLOOKUP($A119,[3]库存使用数据!$A:$K,11,0),0)+IFERROR(VLOOKUP($A119,[4]库存使用数据!$A:$K,11,0),0)+IFERROR(VLOOKUP($A119,[5]库存使用数据!$A:$K,11,0),0)</f>
        <v>0</v>
      </c>
      <c r="L119" s="1">
        <f ca="1">IFERROR(VLOOKUP($A119,[1]库存使用数据!$A:$L,12,0),0)+IFERROR(VLOOKUP($A119,[2]库存使用数据!$A:$L,12,0),0)+IFERROR(VLOOKUP($A119,[3]库存使用数据!$A:$L,12,0),0)+IFERROR(VLOOKUP($A119,[4]库存使用数据!$A:$L,12,0),0)+IFERROR(VLOOKUP($A119,[5]库存使用数据!$A:$L,12,0),0)</f>
        <v>0</v>
      </c>
      <c r="M119" s="1">
        <f ca="1">IFERROR(VLOOKUP($A119,[1]库存使用数据!$A:$M,13,0),0)+IFERROR(VLOOKUP($A119,[2]库存使用数据!$A:$M,13,0),0)+公式!$B$14*IFERROR(VLOOKUP($A119,[3]库存使用数据!$A:$M,13,0),0)+IFERROR(VLOOKUP($A119,[4]库存使用数据!$A:$M,13,0),0)+IFERROR(VLOOKUP($A119,[5]库存使用数据!$A:$M,13,0),0)</f>
        <v>0</v>
      </c>
    </row>
    <row r="120" spans="1:13">
      <c r="A120" s="5" t="s">
        <v>125</v>
      </c>
      <c r="B120" s="2">
        <f ca="1">IFERROR(VLOOKUP(A120,[1]库存使用数据!$A:$B,2,0),0)+IFERROR(VLOOKUP(A120,[2]库存使用数据!$A:$B,2,0),0)+IFERROR(VLOOKUP(,[3]库存使用数据!$A:$B,2,0),0)+IFERROR(VLOOKUP(A120,[4]库存使用数据!$A:$B,2,0),0)+IFERROR(VLOOKUP(A120,[5]库存使用数据!$A:$B,2,0),0)</f>
        <v>0</v>
      </c>
      <c r="C120" s="1">
        <f ca="1">IFERROR(VLOOKUP($A120,[1]库存使用数据!$A:$C,3,0),0)+IFERROR(VLOOKUP($A120,[2]库存使用数据!$A:$C,3,0),0)+IFERROR(VLOOKUP($A120,[3]库存使用数据!$A:$C,3,0),0)+IFERROR(VLOOKUP($A120,[4]库存使用数据!$A:$C,3,0),0)+IFERROR(VLOOKUP($A120,[5]库存使用数据!$A:$C,3,0),0)</f>
        <v>0</v>
      </c>
      <c r="D120" s="1">
        <f ca="1">IFERROR(VLOOKUP($A120,[1]库存使用数据!$A:$D,4,0),0)+IFERROR(VLOOKUP($A120,[2]库存使用数据!$A:$D,4,0),0)+公式!$B$1*IFERROR(VLOOKUP($A120,[3]库存使用数据!$A:$D,4,0),0)+IFERROR(VLOOKUP($A120,[4]库存使用数据!$A:$D,4,0),0)+IFERROR(VLOOKUP($A120,[5]库存使用数据!$A:$D,4,0),0)</f>
        <v>0</v>
      </c>
      <c r="E120" s="1">
        <f ca="1">IFERROR(VLOOKUP($A120,[1]库存使用数据!$A:$E,5,0),0)+IFERROR(VLOOKUP($A120,[2]库存使用数据!$A:$E,5,0),0)+IFERROR(VLOOKUP($A120,[3]库存使用数据!$A:$E,5,0),0)+IFERROR(VLOOKUP($A120,[4]库存使用数据!$A:$E,5,0),0)+IFERROR(VLOOKUP($A120,[5]库存使用数据!$A:$E,5,0),0)</f>
        <v>3168</v>
      </c>
      <c r="F120" s="1">
        <f ca="1">IFERROR(VLOOKUP($A120,[1]库存使用数据!$A:$F,6,0),0)+IFERROR(VLOOKUP($A120,[2]库存使用数据!$A:$F,6,0),0)+IFERROR(VLOOKUP($A120,[4]库存使用数据!$A:$F,6,0),0)+IFERROR(VLOOKUP($A120,[3]库存使用数据!$A:$F,6,0),0)+IFERROR(VLOOKUP($A120,[5]库存使用数据!$A:$F,6,0),0)</f>
        <v>14</v>
      </c>
      <c r="G120" s="1">
        <f ca="1">IFERROR(VLOOKUP($A120,[1]库存使用数据!$A:$G,7,0),0)+IFERROR(VLOOKUP($A120,[2]库存使用数据!$A:$G,7,0),0)+公式!$B$14*IFERROR(VLOOKUP($A120,[3]库存使用数据!$A:$G,7,0),0)+IFERROR(VLOOKUP($A120,[4]库存使用数据!$A:$G,7,0),0)+IFERROR(VLOOKUP($A120,[5]库存使用数据!$A:$G,7,0),0)</f>
        <v>1.45</v>
      </c>
      <c r="H120" s="1">
        <f ca="1">IFERROR(VLOOKUP($A120,[1]库存使用数据!$A:$H,8,0),0)+IFERROR(VLOOKUP($A120,[2]库存使用数据!$A:$H,8,0),0)+IFERROR(VLOOKUP($A120,[3]库存使用数据!$A:$H,8,0),0)+IFERROR(VLOOKUP($A120,[4]库存使用数据!$A:$H,8,0),0)+IFERROR(VLOOKUP($A120,[5]库存使用数据!$A:$H,8,0),0)</f>
        <v>579</v>
      </c>
      <c r="I120" s="1">
        <f ca="1">IFERROR(VLOOKUP($A120,[1]库存使用数据!$A:$I,9,0),0)+IFERROR(VLOOKUP($A120,[2]库存使用数据!$A:$I,9,0),0)+IFERROR(VLOOKUP($A120,[3]库存使用数据!$A:$I,9,0),0)+IFERROR(VLOOKUP($A120,[4]库存使用数据!$A:$I,9,0),0)+IFERROR(VLOOKUP($A120,[5]库存使用数据!$A:$I,9,0),0)</f>
        <v>7</v>
      </c>
      <c r="J120" s="1">
        <f ca="1">IFERROR(VLOOKUP($A120,[1]库存使用数据!$A:$J,10,0),0)+IFERROR(VLOOKUP($A120,[2]库存使用数据!$A:$J,10,0),0)+公式!$B$14*IFERROR(VLOOKUP($A120,[3]库存使用数据!$A:$J,10,0),0)+IFERROR(VLOOKUP($A120,[4]库存使用数据!$A:$J,10,0),0)+IFERROR(VLOOKUP($A120,[5]库存使用数据!$A:$J,10,0),0)</f>
        <v>0.7</v>
      </c>
      <c r="K120" s="1">
        <f ca="1">IFERROR(VLOOKUP($A120,[1]库存使用数据!$A:$K,11,0),0)+IFERROR(VLOOKUP($A120,[2]库存使用数据!$A:$K,11,0),0)+IFERROR(VLOOKUP($A120,[3]库存使用数据!$A:$K,11,0),0)+IFERROR(VLOOKUP($A120,[4]库存使用数据!$A:$K,11,0),0)+IFERROR(VLOOKUP($A120,[5]库存使用数据!$A:$K,11,0),0)</f>
        <v>221</v>
      </c>
      <c r="L120" s="1">
        <f ca="1">IFERROR(VLOOKUP($A120,[1]库存使用数据!$A:$L,12,0),0)+IFERROR(VLOOKUP($A120,[2]库存使用数据!$A:$L,12,0),0)+IFERROR(VLOOKUP($A120,[3]库存使用数据!$A:$L,12,0),0)+IFERROR(VLOOKUP($A120,[4]库存使用数据!$A:$L,12,0),0)+IFERROR(VLOOKUP($A120,[5]库存使用数据!$A:$L,12,0),0)</f>
        <v>3</v>
      </c>
      <c r="M120" s="1">
        <f ca="1">IFERROR(VLOOKUP($A120,[1]库存使用数据!$A:$M,13,0),0)+IFERROR(VLOOKUP($A120,[2]库存使用数据!$A:$M,13,0),0)+公式!$B$14*IFERROR(VLOOKUP($A120,[3]库存使用数据!$A:$M,13,0),0)+IFERROR(VLOOKUP($A120,[4]库存使用数据!$A:$M,13,0),0)+IFERROR(VLOOKUP($A120,[5]库存使用数据!$A:$M,13,0),0)</f>
        <v>0.36</v>
      </c>
    </row>
    <row r="121" spans="1:13">
      <c r="A121" s="5" t="s">
        <v>126</v>
      </c>
      <c r="B121" s="2">
        <f ca="1">IFERROR(VLOOKUP(A121,[1]库存使用数据!$A:$B,2,0),0)+IFERROR(VLOOKUP(A121,[2]库存使用数据!$A:$B,2,0),0)+IFERROR(VLOOKUP(,[3]库存使用数据!$A:$B,2,0),0)+IFERROR(VLOOKUP(A121,[4]库存使用数据!$A:$B,2,0),0)+IFERROR(VLOOKUP(A121,[5]库存使用数据!$A:$B,2,0),0)</f>
        <v>0</v>
      </c>
      <c r="C121" s="1">
        <f ca="1">IFERROR(VLOOKUP($A121,[1]库存使用数据!$A:$C,3,0),0)+IFERROR(VLOOKUP($A121,[2]库存使用数据!$A:$C,3,0),0)+IFERROR(VLOOKUP($A121,[3]库存使用数据!$A:$C,3,0),0)+IFERROR(VLOOKUP($A121,[4]库存使用数据!$A:$C,3,0),0)+IFERROR(VLOOKUP($A121,[5]库存使用数据!$A:$C,3,0),0)</f>
        <v>0</v>
      </c>
      <c r="D121" s="1">
        <f ca="1">IFERROR(VLOOKUP($A121,[1]库存使用数据!$A:$D,4,0),0)+IFERROR(VLOOKUP($A121,[2]库存使用数据!$A:$D,4,0),0)+公式!$B$1*IFERROR(VLOOKUP($A121,[3]库存使用数据!$A:$D,4,0),0)+IFERROR(VLOOKUP($A121,[4]库存使用数据!$A:$D,4,0),0)+IFERROR(VLOOKUP($A121,[5]库存使用数据!$A:$D,4,0),0)</f>
        <v>0</v>
      </c>
      <c r="E121" s="1">
        <f ca="1">IFERROR(VLOOKUP($A121,[1]库存使用数据!$A:$E,5,0),0)+IFERROR(VLOOKUP($A121,[2]库存使用数据!$A:$E,5,0),0)+IFERROR(VLOOKUP($A121,[3]库存使用数据!$A:$E,5,0),0)+IFERROR(VLOOKUP($A121,[4]库存使用数据!$A:$E,5,0),0)+IFERROR(VLOOKUP($A121,[5]库存使用数据!$A:$E,5,0),0)</f>
        <v>1296</v>
      </c>
      <c r="F121" s="1">
        <f ca="1">IFERROR(VLOOKUP($A121,[1]库存使用数据!$A:$F,6,0),0)+IFERROR(VLOOKUP($A121,[2]库存使用数据!$A:$F,6,0),0)+IFERROR(VLOOKUP($A121,[4]库存使用数据!$A:$F,6,0),0)+IFERROR(VLOOKUP($A121,[3]库存使用数据!$A:$F,6,0),0)+IFERROR(VLOOKUP($A121,[5]库存使用数据!$A:$F,6,0),0)</f>
        <v>6</v>
      </c>
      <c r="G121" s="1">
        <f ca="1">IFERROR(VLOOKUP($A121,[1]库存使用数据!$A:$G,7,0),0)+IFERROR(VLOOKUP($A121,[2]库存使用数据!$A:$G,7,0),0)+公式!$B$14*IFERROR(VLOOKUP($A121,[3]库存使用数据!$A:$G,7,0),0)+IFERROR(VLOOKUP($A121,[4]库存使用数据!$A:$G,7,0),0)+IFERROR(VLOOKUP($A121,[5]库存使用数据!$A:$G,7,0),0)</f>
        <v>0.98</v>
      </c>
      <c r="H121" s="1">
        <f ca="1">IFERROR(VLOOKUP($A121,[1]库存使用数据!$A:$H,8,0),0)+IFERROR(VLOOKUP($A121,[2]库存使用数据!$A:$H,8,0),0)+IFERROR(VLOOKUP($A121,[3]库存使用数据!$A:$H,8,0),0)+IFERROR(VLOOKUP($A121,[4]库存使用数据!$A:$H,8,0),0)+IFERROR(VLOOKUP($A121,[5]库存使用数据!$A:$H,8,0),0)</f>
        <v>51</v>
      </c>
      <c r="I121" s="1">
        <f ca="1">IFERROR(VLOOKUP($A121,[1]库存使用数据!$A:$I,9,0),0)+IFERROR(VLOOKUP($A121,[2]库存使用数据!$A:$I,9,0),0)+IFERROR(VLOOKUP($A121,[3]库存使用数据!$A:$I,9,0),0)+IFERROR(VLOOKUP($A121,[4]库存使用数据!$A:$I,9,0),0)+IFERROR(VLOOKUP($A121,[5]库存使用数据!$A:$I,9,0),0)</f>
        <v>0</v>
      </c>
      <c r="J121" s="1">
        <f ca="1">IFERROR(VLOOKUP($A121,[1]库存使用数据!$A:$J,10,0),0)+IFERROR(VLOOKUP($A121,[2]库存使用数据!$A:$J,10,0),0)+公式!$B$14*IFERROR(VLOOKUP($A121,[3]库存使用数据!$A:$J,10,0),0)+IFERROR(VLOOKUP($A121,[4]库存使用数据!$A:$J,10,0),0)+IFERROR(VLOOKUP($A121,[5]库存使用数据!$A:$J,10,0),0)</f>
        <v>0</v>
      </c>
      <c r="K121" s="1">
        <f ca="1">IFERROR(VLOOKUP($A121,[1]库存使用数据!$A:$K,11,0),0)+IFERROR(VLOOKUP($A121,[2]库存使用数据!$A:$K,11,0),0)+IFERROR(VLOOKUP($A121,[3]库存使用数据!$A:$K,11,0),0)+IFERROR(VLOOKUP($A121,[4]库存使用数据!$A:$K,11,0),0)+IFERROR(VLOOKUP($A121,[5]库存使用数据!$A:$K,11,0),0)</f>
        <v>33</v>
      </c>
      <c r="L121" s="1">
        <f ca="1">IFERROR(VLOOKUP($A121,[1]库存使用数据!$A:$L,12,0),0)+IFERROR(VLOOKUP($A121,[2]库存使用数据!$A:$L,12,0),0)+IFERROR(VLOOKUP($A121,[3]库存使用数据!$A:$L,12,0),0)+IFERROR(VLOOKUP($A121,[4]库存使用数据!$A:$L,12,0),0)+IFERROR(VLOOKUP($A121,[5]库存使用数据!$A:$L,12,0),0)</f>
        <v>1</v>
      </c>
      <c r="M121" s="1">
        <f ca="1">IFERROR(VLOOKUP($A121,[1]库存使用数据!$A:$M,13,0),0)+IFERROR(VLOOKUP($A121,[2]库存使用数据!$A:$M,13,0),0)+公式!$B$14*IFERROR(VLOOKUP($A121,[3]库存使用数据!$A:$M,13,0),0)+IFERROR(VLOOKUP($A121,[4]库存使用数据!$A:$M,13,0),0)+IFERROR(VLOOKUP($A121,[5]库存使用数据!$A:$M,13,0),0)</f>
        <v>0.13</v>
      </c>
    </row>
    <row r="122" spans="1:13">
      <c r="A122" s="5" t="s">
        <v>127</v>
      </c>
      <c r="B122" s="2">
        <f ca="1">IFERROR(VLOOKUP(A122,[1]库存使用数据!$A:$B,2,0),0)+IFERROR(VLOOKUP(A122,[2]库存使用数据!$A:$B,2,0),0)+IFERROR(VLOOKUP(,[3]库存使用数据!$A:$B,2,0),0)+IFERROR(VLOOKUP(A122,[4]库存使用数据!$A:$B,2,0),0)+IFERROR(VLOOKUP(A122,[5]库存使用数据!$A:$B,2,0),0)</f>
        <v>0</v>
      </c>
      <c r="C122" s="1">
        <f ca="1">IFERROR(VLOOKUP($A122,[1]库存使用数据!$A:$C,3,0),0)+IFERROR(VLOOKUP($A122,[2]库存使用数据!$A:$C,3,0),0)+IFERROR(VLOOKUP($A122,[3]库存使用数据!$A:$C,3,0),0)+IFERROR(VLOOKUP($A122,[4]库存使用数据!$A:$C,3,0),0)+IFERROR(VLOOKUP($A122,[5]库存使用数据!$A:$C,3,0),0)</f>
        <v>0</v>
      </c>
      <c r="D122" s="1">
        <f ca="1">IFERROR(VLOOKUP($A122,[1]库存使用数据!$A:$D,4,0),0)+IFERROR(VLOOKUP($A122,[2]库存使用数据!$A:$D,4,0),0)+公式!$B$1*IFERROR(VLOOKUP($A122,[3]库存使用数据!$A:$D,4,0),0)+IFERROR(VLOOKUP($A122,[4]库存使用数据!$A:$D,4,0),0)+IFERROR(VLOOKUP($A122,[5]库存使用数据!$A:$D,4,0),0)</f>
        <v>0</v>
      </c>
      <c r="E122" s="1">
        <f ca="1">IFERROR(VLOOKUP($A122,[1]库存使用数据!$A:$E,5,0),0)+IFERROR(VLOOKUP($A122,[2]库存使用数据!$A:$E,5,0),0)+IFERROR(VLOOKUP($A122,[3]库存使用数据!$A:$E,5,0),0)+IFERROR(VLOOKUP($A122,[4]库存使用数据!$A:$E,5,0),0)+IFERROR(VLOOKUP($A122,[5]库存使用数据!$A:$E,5,0),0)</f>
        <v>686</v>
      </c>
      <c r="F122" s="1">
        <f ca="1">IFERROR(VLOOKUP($A122,[1]库存使用数据!$A:$F,6,0),0)+IFERROR(VLOOKUP($A122,[2]库存使用数据!$A:$F,6,0),0)+IFERROR(VLOOKUP($A122,[4]库存使用数据!$A:$F,6,0),0)+IFERROR(VLOOKUP($A122,[3]库存使用数据!$A:$F,6,0),0)+IFERROR(VLOOKUP($A122,[5]库存使用数据!$A:$F,6,0),0)</f>
        <v>0</v>
      </c>
      <c r="G122" s="1">
        <f ca="1">IFERROR(VLOOKUP($A122,[1]库存使用数据!$A:$G,7,0),0)+IFERROR(VLOOKUP($A122,[2]库存使用数据!$A:$G,7,0),0)+公式!$B$14*IFERROR(VLOOKUP($A122,[3]库存使用数据!$A:$G,7,0),0)+IFERROR(VLOOKUP($A122,[4]库存使用数据!$A:$G,7,0),0)+IFERROR(VLOOKUP($A122,[5]库存使用数据!$A:$G,7,0),0)</f>
        <v>0</v>
      </c>
      <c r="H122" s="1">
        <f ca="1">IFERROR(VLOOKUP($A122,[1]库存使用数据!$A:$H,8,0),0)+IFERROR(VLOOKUP($A122,[2]库存使用数据!$A:$H,8,0),0)+IFERROR(VLOOKUP($A122,[3]库存使用数据!$A:$H,8,0),0)+IFERROR(VLOOKUP($A122,[4]库存使用数据!$A:$H,8,0),0)+IFERROR(VLOOKUP($A122,[5]库存使用数据!$A:$H,8,0),0)</f>
        <v>62</v>
      </c>
      <c r="I122" s="1">
        <f ca="1">IFERROR(VLOOKUP($A122,[1]库存使用数据!$A:$I,9,0),0)+IFERROR(VLOOKUP($A122,[2]库存使用数据!$A:$I,9,0),0)+IFERROR(VLOOKUP($A122,[3]库存使用数据!$A:$I,9,0),0)+IFERROR(VLOOKUP($A122,[4]库存使用数据!$A:$I,9,0),0)+IFERROR(VLOOKUP($A122,[5]库存使用数据!$A:$I,9,0),0)</f>
        <v>0</v>
      </c>
      <c r="J122" s="1">
        <f ca="1">IFERROR(VLOOKUP($A122,[1]库存使用数据!$A:$J,10,0),0)+IFERROR(VLOOKUP($A122,[2]库存使用数据!$A:$J,10,0),0)+公式!$B$14*IFERROR(VLOOKUP($A122,[3]库存使用数据!$A:$J,10,0),0)+IFERROR(VLOOKUP($A122,[4]库存使用数据!$A:$J,10,0),0)+IFERROR(VLOOKUP($A122,[5]库存使用数据!$A:$J,10,0),0)</f>
        <v>0</v>
      </c>
      <c r="K122" s="1">
        <f ca="1">IFERROR(VLOOKUP($A122,[1]库存使用数据!$A:$K,11,0),0)+IFERROR(VLOOKUP($A122,[2]库存使用数据!$A:$K,11,0),0)+IFERROR(VLOOKUP($A122,[3]库存使用数据!$A:$K,11,0),0)+IFERROR(VLOOKUP($A122,[4]库存使用数据!$A:$K,11,0),0)+IFERROR(VLOOKUP($A122,[5]库存使用数据!$A:$K,11,0),0)</f>
        <v>94</v>
      </c>
      <c r="L122" s="1">
        <f ca="1">IFERROR(VLOOKUP($A122,[1]库存使用数据!$A:$L,12,0),0)+IFERROR(VLOOKUP($A122,[2]库存使用数据!$A:$L,12,0),0)+IFERROR(VLOOKUP($A122,[3]库存使用数据!$A:$L,12,0),0)+IFERROR(VLOOKUP($A122,[4]库存使用数据!$A:$L,12,0),0)+IFERROR(VLOOKUP($A122,[5]库存使用数据!$A:$L,12,0),0)</f>
        <v>0</v>
      </c>
      <c r="M122" s="1">
        <f ca="1">IFERROR(VLOOKUP($A122,[1]库存使用数据!$A:$M,13,0),0)+IFERROR(VLOOKUP($A122,[2]库存使用数据!$A:$M,13,0),0)+公式!$B$14*IFERROR(VLOOKUP($A122,[3]库存使用数据!$A:$M,13,0),0)+IFERROR(VLOOKUP($A122,[4]库存使用数据!$A:$M,13,0),0)+IFERROR(VLOOKUP($A122,[5]库存使用数据!$A:$M,13,0),0)</f>
        <v>0</v>
      </c>
    </row>
    <row r="123" spans="1:13">
      <c r="A123" s="5" t="s">
        <v>128</v>
      </c>
      <c r="B123" s="2">
        <f ca="1">IFERROR(VLOOKUP(A123,[1]库存使用数据!$A:$B,2,0),0)+IFERROR(VLOOKUP(A123,[2]库存使用数据!$A:$B,2,0),0)+IFERROR(VLOOKUP(,[3]库存使用数据!$A:$B,2,0),0)+IFERROR(VLOOKUP(A123,[4]库存使用数据!$A:$B,2,0),0)+IFERROR(VLOOKUP(A123,[5]库存使用数据!$A:$B,2,0),0)</f>
        <v>59</v>
      </c>
      <c r="C123" s="1">
        <f ca="1">IFERROR(VLOOKUP($A123,[1]库存使用数据!$A:$C,3,0),0)+IFERROR(VLOOKUP($A123,[2]库存使用数据!$A:$C,3,0),0)+IFERROR(VLOOKUP($A123,[3]库存使用数据!$A:$C,3,0),0)+IFERROR(VLOOKUP($A123,[4]库存使用数据!$A:$C,3,0),0)+IFERROR(VLOOKUP($A123,[5]库存使用数据!$A:$C,3,0),0)</f>
        <v>1</v>
      </c>
      <c r="D123" s="1">
        <f ca="1">IFERROR(VLOOKUP($A123,[1]库存使用数据!$A:$D,4,0),0)+IFERROR(VLOOKUP($A123,[2]库存使用数据!$A:$D,4,0),0)+公式!$B$1*IFERROR(VLOOKUP($A123,[3]库存使用数据!$A:$D,4,0),0)+IFERROR(VLOOKUP($A123,[4]库存使用数据!$A:$D,4,0),0)+IFERROR(VLOOKUP($A123,[5]库存使用数据!$A:$D,4,0),0)</f>
        <v>0.08</v>
      </c>
      <c r="E123" s="1">
        <f ca="1">IFERROR(VLOOKUP($A123,[1]库存使用数据!$A:$E,5,0),0)+IFERROR(VLOOKUP($A123,[2]库存使用数据!$A:$E,5,0),0)+IFERROR(VLOOKUP($A123,[3]库存使用数据!$A:$E,5,0),0)+IFERROR(VLOOKUP($A123,[4]库存使用数据!$A:$E,5,0),0)+IFERROR(VLOOKUP($A123,[5]库存使用数据!$A:$E,5,0),0)</f>
        <v>1042</v>
      </c>
      <c r="F123" s="1">
        <f ca="1">IFERROR(VLOOKUP($A123,[1]库存使用数据!$A:$F,6,0),0)+IFERROR(VLOOKUP($A123,[2]库存使用数据!$A:$F,6,0),0)+IFERROR(VLOOKUP($A123,[4]库存使用数据!$A:$F,6,0),0)+IFERROR(VLOOKUP($A123,[3]库存使用数据!$A:$F,6,0),0)+IFERROR(VLOOKUP($A123,[5]库存使用数据!$A:$F,6,0),0)</f>
        <v>6</v>
      </c>
      <c r="G123" s="1">
        <f ca="1">IFERROR(VLOOKUP($A123,[1]库存使用数据!$A:$G,7,0),0)+IFERROR(VLOOKUP($A123,[2]库存使用数据!$A:$G,7,0),0)+公式!$B$14*IFERROR(VLOOKUP($A123,[3]库存使用数据!$A:$G,7,0),0)+IFERROR(VLOOKUP($A123,[4]库存使用数据!$A:$G,7,0),0)+IFERROR(VLOOKUP($A123,[5]库存使用数据!$A:$G,7,0),0)</f>
        <v>1.1</v>
      </c>
      <c r="H123" s="1">
        <f ca="1">IFERROR(VLOOKUP($A123,[1]库存使用数据!$A:$H,8,0),0)+IFERROR(VLOOKUP($A123,[2]库存使用数据!$A:$H,8,0),0)+IFERROR(VLOOKUP($A123,[3]库存使用数据!$A:$H,8,0),0)+IFERROR(VLOOKUP($A123,[4]库存使用数据!$A:$H,8,0),0)+IFERROR(VLOOKUP($A123,[5]库存使用数据!$A:$H,8,0),0)</f>
        <v>162</v>
      </c>
      <c r="I123" s="1">
        <f ca="1">IFERROR(VLOOKUP($A123,[1]库存使用数据!$A:$I,9,0),0)+IFERROR(VLOOKUP($A123,[2]库存使用数据!$A:$I,9,0),0)+IFERROR(VLOOKUP($A123,[3]库存使用数据!$A:$I,9,0),0)+IFERROR(VLOOKUP($A123,[4]库存使用数据!$A:$I,9,0),0)+IFERROR(VLOOKUP($A123,[5]库存使用数据!$A:$I,9,0),0)</f>
        <v>1</v>
      </c>
      <c r="J123" s="1">
        <f ca="1">IFERROR(VLOOKUP($A123,[1]库存使用数据!$A:$J,10,0),0)+IFERROR(VLOOKUP($A123,[2]库存使用数据!$A:$J,10,0),0)+公式!$B$14*IFERROR(VLOOKUP($A123,[3]库存使用数据!$A:$J,10,0),0)+IFERROR(VLOOKUP($A123,[4]库存使用数据!$A:$J,10,0),0)+IFERROR(VLOOKUP($A123,[5]库存使用数据!$A:$J,10,0),0)</f>
        <v>0.18</v>
      </c>
      <c r="K123" s="1">
        <f ca="1">IFERROR(VLOOKUP($A123,[1]库存使用数据!$A:$K,11,0),0)+IFERROR(VLOOKUP($A123,[2]库存使用数据!$A:$K,11,0),0)+IFERROR(VLOOKUP($A123,[3]库存使用数据!$A:$K,11,0),0)+IFERROR(VLOOKUP($A123,[4]库存使用数据!$A:$K,11,0),0)+IFERROR(VLOOKUP($A123,[5]库存使用数据!$A:$K,11,0),0)</f>
        <v>467</v>
      </c>
      <c r="L123" s="1">
        <f ca="1">IFERROR(VLOOKUP($A123,[1]库存使用数据!$A:$L,12,0),0)+IFERROR(VLOOKUP($A123,[2]库存使用数据!$A:$L,12,0),0)+IFERROR(VLOOKUP($A123,[3]库存使用数据!$A:$L,12,0),0)+IFERROR(VLOOKUP($A123,[4]库存使用数据!$A:$L,12,0),0)+IFERROR(VLOOKUP($A123,[5]库存使用数据!$A:$L,12,0),0)</f>
        <v>6</v>
      </c>
      <c r="M123" s="1">
        <f ca="1">IFERROR(VLOOKUP($A123,[1]库存使用数据!$A:$M,13,0),0)+IFERROR(VLOOKUP($A123,[2]库存使用数据!$A:$M,13,0),0)+公式!$B$14*IFERROR(VLOOKUP($A123,[3]库存使用数据!$A:$M,13,0),0)+IFERROR(VLOOKUP($A123,[4]库存使用数据!$A:$M,13,0),0)+IFERROR(VLOOKUP($A123,[5]库存使用数据!$A:$M,13,0),0)</f>
        <v>0.32</v>
      </c>
    </row>
    <row r="124" spans="1:13">
      <c r="A124" s="5" t="s">
        <v>129</v>
      </c>
      <c r="B124" s="2">
        <f ca="1">IFERROR(VLOOKUP(A124,[1]库存使用数据!$A:$B,2,0),0)+IFERROR(VLOOKUP(A124,[2]库存使用数据!$A:$B,2,0),0)+IFERROR(VLOOKUP(,[3]库存使用数据!$A:$B,2,0),0)+IFERROR(VLOOKUP(A124,[4]库存使用数据!$A:$B,2,0),0)+IFERROR(VLOOKUP(A124,[5]库存使用数据!$A:$B,2,0),0)</f>
        <v>0</v>
      </c>
      <c r="C124" s="1">
        <f ca="1">IFERROR(VLOOKUP($A124,[1]库存使用数据!$A:$C,3,0),0)+IFERROR(VLOOKUP($A124,[2]库存使用数据!$A:$C,3,0),0)+IFERROR(VLOOKUP($A124,[3]库存使用数据!$A:$C,3,0),0)+IFERROR(VLOOKUP($A124,[4]库存使用数据!$A:$C,3,0),0)+IFERROR(VLOOKUP($A124,[5]库存使用数据!$A:$C,3,0),0)</f>
        <v>0</v>
      </c>
      <c r="D124" s="1">
        <f ca="1">IFERROR(VLOOKUP($A124,[1]库存使用数据!$A:$D,4,0),0)+IFERROR(VLOOKUP($A124,[2]库存使用数据!$A:$D,4,0),0)+公式!$B$1*IFERROR(VLOOKUP($A124,[3]库存使用数据!$A:$D,4,0),0)+IFERROR(VLOOKUP($A124,[4]库存使用数据!$A:$D,4,0),0)+IFERROR(VLOOKUP($A124,[5]库存使用数据!$A:$D,4,0),0)</f>
        <v>0</v>
      </c>
      <c r="E124" s="1">
        <f ca="1">IFERROR(VLOOKUP($A124,[1]库存使用数据!$A:$E,5,0),0)+IFERROR(VLOOKUP($A124,[2]库存使用数据!$A:$E,5,0),0)+IFERROR(VLOOKUP($A124,[3]库存使用数据!$A:$E,5,0),0)+IFERROR(VLOOKUP($A124,[4]库存使用数据!$A:$E,5,0),0)+IFERROR(VLOOKUP($A124,[5]库存使用数据!$A:$E,5,0),0)</f>
        <v>8738</v>
      </c>
      <c r="F124" s="1">
        <f ca="1">IFERROR(VLOOKUP($A124,[1]库存使用数据!$A:$F,6,0),0)+IFERROR(VLOOKUP($A124,[2]库存使用数据!$A:$F,6,0),0)+IFERROR(VLOOKUP($A124,[4]库存使用数据!$A:$F,6,0),0)+IFERROR(VLOOKUP($A124,[3]库存使用数据!$A:$F,6,0),0)+IFERROR(VLOOKUP($A124,[5]库存使用数据!$A:$F,6,0),0)</f>
        <v>30</v>
      </c>
      <c r="G124" s="1">
        <f ca="1">IFERROR(VLOOKUP($A124,[1]库存使用数据!$A:$G,7,0),0)+IFERROR(VLOOKUP($A124,[2]库存使用数据!$A:$G,7,0),0)+公式!$B$14*IFERROR(VLOOKUP($A124,[3]库存使用数据!$A:$G,7,0),0)+IFERROR(VLOOKUP($A124,[4]库存使用数据!$A:$G,7,0),0)+IFERROR(VLOOKUP($A124,[5]库存使用数据!$A:$G,7,0),0)</f>
        <v>4.28</v>
      </c>
      <c r="H124" s="1">
        <f ca="1">IFERROR(VLOOKUP($A124,[1]库存使用数据!$A:$H,8,0),0)+IFERROR(VLOOKUP($A124,[2]库存使用数据!$A:$H,8,0),0)+IFERROR(VLOOKUP($A124,[3]库存使用数据!$A:$H,8,0),0)+IFERROR(VLOOKUP($A124,[4]库存使用数据!$A:$H,8,0),0)+IFERROR(VLOOKUP($A124,[5]库存使用数据!$A:$H,8,0),0)</f>
        <v>1239</v>
      </c>
      <c r="I124" s="1">
        <f ca="1">IFERROR(VLOOKUP($A124,[1]库存使用数据!$A:$I,9,0),0)+IFERROR(VLOOKUP($A124,[2]库存使用数据!$A:$I,9,0),0)+IFERROR(VLOOKUP($A124,[3]库存使用数据!$A:$I,9,0),0)+IFERROR(VLOOKUP($A124,[4]库存使用数据!$A:$I,9,0),0)+IFERROR(VLOOKUP($A124,[5]库存使用数据!$A:$I,9,0),0)</f>
        <v>5</v>
      </c>
      <c r="J124" s="1">
        <f ca="1">IFERROR(VLOOKUP($A124,[1]库存使用数据!$A:$J,10,0),0)+IFERROR(VLOOKUP($A124,[2]库存使用数据!$A:$J,10,0),0)+公式!$B$14*IFERROR(VLOOKUP($A124,[3]库存使用数据!$A:$J,10,0),0)+IFERROR(VLOOKUP($A124,[4]库存使用数据!$A:$J,10,0),0)+IFERROR(VLOOKUP($A124,[5]库存使用数据!$A:$J,10,0),0)</f>
        <v>0.55</v>
      </c>
      <c r="K124" s="1">
        <f ca="1">IFERROR(VLOOKUP($A124,[1]库存使用数据!$A:$K,11,0),0)+IFERROR(VLOOKUP($A124,[2]库存使用数据!$A:$K,11,0),0)+IFERROR(VLOOKUP($A124,[3]库存使用数据!$A:$K,11,0),0)+IFERROR(VLOOKUP($A124,[4]库存使用数据!$A:$K,11,0),0)+IFERROR(VLOOKUP($A124,[5]库存使用数据!$A:$K,11,0),0)</f>
        <v>1102</v>
      </c>
      <c r="L124" s="1">
        <f ca="1">IFERROR(VLOOKUP($A124,[1]库存使用数据!$A:$L,12,0),0)+IFERROR(VLOOKUP($A124,[2]库存使用数据!$A:$L,12,0),0)+IFERROR(VLOOKUP($A124,[3]库存使用数据!$A:$L,12,0),0)+IFERROR(VLOOKUP($A124,[4]库存使用数据!$A:$L,12,0),0)+IFERROR(VLOOKUP($A124,[5]库存使用数据!$A:$L,12,0),0)</f>
        <v>4</v>
      </c>
      <c r="M124" s="1">
        <f ca="1">IFERROR(VLOOKUP($A124,[1]库存使用数据!$A:$M,13,0),0)+IFERROR(VLOOKUP($A124,[2]库存使用数据!$A:$M,13,0),0)+公式!$B$14*IFERROR(VLOOKUP($A124,[3]库存使用数据!$A:$M,13,0),0)+IFERROR(VLOOKUP($A124,[4]库存使用数据!$A:$M,13,0),0)+IFERROR(VLOOKUP($A124,[5]库存使用数据!$A:$M,13,0),0)</f>
        <v>0.53</v>
      </c>
    </row>
    <row r="125" spans="1:13">
      <c r="A125" s="5" t="s">
        <v>130</v>
      </c>
      <c r="B125" s="2">
        <f ca="1">IFERROR(VLOOKUP(A125,[1]库存使用数据!$A:$B,2,0),0)+IFERROR(VLOOKUP(A125,[2]库存使用数据!$A:$B,2,0),0)+IFERROR(VLOOKUP(,[3]库存使用数据!$A:$B,2,0),0)+IFERROR(VLOOKUP(A125,[4]库存使用数据!$A:$B,2,0),0)+IFERROR(VLOOKUP(A125,[5]库存使用数据!$A:$B,2,0),0)</f>
        <v>29</v>
      </c>
      <c r="C125" s="1">
        <f ca="1">IFERROR(VLOOKUP($A125,[1]库存使用数据!$A:$C,3,0),0)+IFERROR(VLOOKUP($A125,[2]库存使用数据!$A:$C,3,0),0)+IFERROR(VLOOKUP($A125,[3]库存使用数据!$A:$C,3,0),0)+IFERROR(VLOOKUP($A125,[4]库存使用数据!$A:$C,3,0),0)+IFERROR(VLOOKUP($A125,[5]库存使用数据!$A:$C,3,0),0)</f>
        <v>0</v>
      </c>
      <c r="D125" s="1">
        <f ca="1">IFERROR(VLOOKUP($A125,[1]库存使用数据!$A:$D,4,0),0)+IFERROR(VLOOKUP($A125,[2]库存使用数据!$A:$D,4,0),0)+公式!$B$1*IFERROR(VLOOKUP($A125,[3]库存使用数据!$A:$D,4,0),0)+IFERROR(VLOOKUP($A125,[4]库存使用数据!$A:$D,4,0),0)+IFERROR(VLOOKUP($A125,[5]库存使用数据!$A:$D,4,0),0)</f>
        <v>0</v>
      </c>
      <c r="E125" s="1">
        <f ca="1">IFERROR(VLOOKUP($A125,[1]库存使用数据!$A:$E,5,0),0)+IFERROR(VLOOKUP($A125,[2]库存使用数据!$A:$E,5,0),0)+IFERROR(VLOOKUP($A125,[3]库存使用数据!$A:$E,5,0),0)+IFERROR(VLOOKUP($A125,[4]库存使用数据!$A:$E,5,0),0)+IFERROR(VLOOKUP($A125,[5]库存使用数据!$A:$E,5,0),0)</f>
        <v>1142</v>
      </c>
      <c r="F125" s="1">
        <f ca="1">IFERROR(VLOOKUP($A125,[1]库存使用数据!$A:$F,6,0),0)+IFERROR(VLOOKUP($A125,[2]库存使用数据!$A:$F,6,0),0)+IFERROR(VLOOKUP($A125,[4]库存使用数据!$A:$F,6,0),0)+IFERROR(VLOOKUP($A125,[3]库存使用数据!$A:$F,6,0),0)+IFERROR(VLOOKUP($A125,[5]库存使用数据!$A:$F,6,0),0)</f>
        <v>22</v>
      </c>
      <c r="G125" s="1">
        <f ca="1">IFERROR(VLOOKUP($A125,[1]库存使用数据!$A:$G,7,0),0)+IFERROR(VLOOKUP($A125,[2]库存使用数据!$A:$G,7,0),0)+公式!$B$14*IFERROR(VLOOKUP($A125,[3]库存使用数据!$A:$G,7,0),0)+IFERROR(VLOOKUP($A125,[4]库存使用数据!$A:$G,7,0),0)+IFERROR(VLOOKUP($A125,[5]库存使用数据!$A:$G,7,0),0)</f>
        <v>2.8</v>
      </c>
      <c r="H125" s="1">
        <f ca="1">IFERROR(VLOOKUP($A125,[1]库存使用数据!$A:$H,8,0),0)+IFERROR(VLOOKUP($A125,[2]库存使用数据!$A:$H,8,0),0)+IFERROR(VLOOKUP($A125,[3]库存使用数据!$A:$H,8,0),0)+IFERROR(VLOOKUP($A125,[4]库存使用数据!$A:$H,8,0),0)+IFERROR(VLOOKUP($A125,[5]库存使用数据!$A:$H,8,0),0)</f>
        <v>664</v>
      </c>
      <c r="I125" s="1">
        <f ca="1">IFERROR(VLOOKUP($A125,[1]库存使用数据!$A:$I,9,0),0)+IFERROR(VLOOKUP($A125,[2]库存使用数据!$A:$I,9,0),0)+IFERROR(VLOOKUP($A125,[3]库存使用数据!$A:$I,9,0),0)+IFERROR(VLOOKUP($A125,[4]库存使用数据!$A:$I,9,0),0)+IFERROR(VLOOKUP($A125,[5]库存使用数据!$A:$I,9,0),0)</f>
        <v>3</v>
      </c>
      <c r="J125" s="1">
        <f ca="1">IFERROR(VLOOKUP($A125,[1]库存使用数据!$A:$J,10,0),0)+IFERROR(VLOOKUP($A125,[2]库存使用数据!$A:$J,10,0),0)+公式!$B$14*IFERROR(VLOOKUP($A125,[3]库存使用数据!$A:$J,10,0),0)+IFERROR(VLOOKUP($A125,[4]库存使用数据!$A:$J,10,0),0)+IFERROR(VLOOKUP($A125,[5]库存使用数据!$A:$J,10,0),0)</f>
        <v>0.68</v>
      </c>
      <c r="K125" s="1">
        <f ca="1">IFERROR(VLOOKUP($A125,[1]库存使用数据!$A:$K,11,0),0)+IFERROR(VLOOKUP($A125,[2]库存使用数据!$A:$K,11,0),0)+IFERROR(VLOOKUP($A125,[3]库存使用数据!$A:$K,11,0),0)+IFERROR(VLOOKUP($A125,[4]库存使用数据!$A:$K,11,0),0)+IFERROR(VLOOKUP($A125,[5]库存使用数据!$A:$K,11,0),0)</f>
        <v>958</v>
      </c>
      <c r="L125" s="1">
        <f ca="1">IFERROR(VLOOKUP($A125,[1]库存使用数据!$A:$L,12,0),0)+IFERROR(VLOOKUP($A125,[2]库存使用数据!$A:$L,12,0),0)+IFERROR(VLOOKUP($A125,[3]库存使用数据!$A:$L,12,0),0)+IFERROR(VLOOKUP($A125,[4]库存使用数据!$A:$L,12,0),0)+IFERROR(VLOOKUP($A125,[5]库存使用数据!$A:$L,12,0),0)</f>
        <v>6</v>
      </c>
      <c r="M125" s="1">
        <f ca="1">IFERROR(VLOOKUP($A125,[1]库存使用数据!$A:$M,13,0),0)+IFERROR(VLOOKUP($A125,[2]库存使用数据!$A:$M,13,0),0)+公式!$B$14*IFERROR(VLOOKUP($A125,[3]库存使用数据!$A:$M,13,0),0)+IFERROR(VLOOKUP($A125,[4]库存使用数据!$A:$M,13,0),0)+IFERROR(VLOOKUP($A125,[5]库存使用数据!$A:$M,13,0),0)</f>
        <v>0.94</v>
      </c>
    </row>
    <row r="126" spans="1:13">
      <c r="A126" s="5" t="s">
        <v>131</v>
      </c>
      <c r="B126" s="2">
        <f ca="1">IFERROR(VLOOKUP(A126,[1]库存使用数据!$A:$B,2,0),0)+IFERROR(VLOOKUP(A126,[2]库存使用数据!$A:$B,2,0),0)+IFERROR(VLOOKUP(,[3]库存使用数据!$A:$B,2,0),0)+IFERROR(VLOOKUP(A126,[4]库存使用数据!$A:$B,2,0),0)+IFERROR(VLOOKUP(A126,[5]库存使用数据!$A:$B,2,0),0)</f>
        <v>25</v>
      </c>
      <c r="C126" s="1">
        <f ca="1">IFERROR(VLOOKUP($A126,[1]库存使用数据!$A:$C,3,0),0)+IFERROR(VLOOKUP($A126,[2]库存使用数据!$A:$C,3,0),0)+IFERROR(VLOOKUP($A126,[3]库存使用数据!$A:$C,3,0),0)+IFERROR(VLOOKUP($A126,[4]库存使用数据!$A:$C,3,0),0)+IFERROR(VLOOKUP($A126,[5]库存使用数据!$A:$C,3,0),0)</f>
        <v>0</v>
      </c>
      <c r="D126" s="1">
        <f ca="1">IFERROR(VLOOKUP($A126,[1]库存使用数据!$A:$D,4,0),0)+IFERROR(VLOOKUP($A126,[2]库存使用数据!$A:$D,4,0),0)+公式!$B$1*IFERROR(VLOOKUP($A126,[3]库存使用数据!$A:$D,4,0),0)+IFERROR(VLOOKUP($A126,[4]库存使用数据!$A:$D,4,0),0)+IFERROR(VLOOKUP($A126,[5]库存使用数据!$A:$D,4,0),0)</f>
        <v>0</v>
      </c>
      <c r="E126" s="1">
        <f ca="1">IFERROR(VLOOKUP($A126,[1]库存使用数据!$A:$E,5,0),0)+IFERROR(VLOOKUP($A126,[2]库存使用数据!$A:$E,5,0),0)+IFERROR(VLOOKUP($A126,[3]库存使用数据!$A:$E,5,0),0)+IFERROR(VLOOKUP($A126,[4]库存使用数据!$A:$E,5,0),0)+IFERROR(VLOOKUP($A126,[5]库存使用数据!$A:$E,5,0),0)</f>
        <v>1051</v>
      </c>
      <c r="F126" s="1">
        <f ca="1">IFERROR(VLOOKUP($A126,[1]库存使用数据!$A:$F,6,0),0)+IFERROR(VLOOKUP($A126,[2]库存使用数据!$A:$F,6,0),0)+IFERROR(VLOOKUP($A126,[4]库存使用数据!$A:$F,6,0),0)+IFERROR(VLOOKUP($A126,[3]库存使用数据!$A:$F,6,0),0)+IFERROR(VLOOKUP($A126,[5]库存使用数据!$A:$F,6,0),0)</f>
        <v>6</v>
      </c>
      <c r="G126" s="1">
        <f ca="1">IFERROR(VLOOKUP($A126,[1]库存使用数据!$A:$G,7,0),0)+IFERROR(VLOOKUP($A126,[2]库存使用数据!$A:$G,7,0),0)+公式!$B$14*IFERROR(VLOOKUP($A126,[3]库存使用数据!$A:$G,7,0),0)+IFERROR(VLOOKUP($A126,[4]库存使用数据!$A:$G,7,0),0)+IFERROR(VLOOKUP($A126,[5]库存使用数据!$A:$G,7,0),0)</f>
        <v>1.18</v>
      </c>
      <c r="H126" s="1">
        <f ca="1">IFERROR(VLOOKUP($A126,[1]库存使用数据!$A:$H,8,0),0)+IFERROR(VLOOKUP($A126,[2]库存使用数据!$A:$H,8,0),0)+IFERROR(VLOOKUP($A126,[3]库存使用数据!$A:$H,8,0),0)+IFERROR(VLOOKUP($A126,[4]库存使用数据!$A:$H,8,0),0)+IFERROR(VLOOKUP($A126,[5]库存使用数据!$A:$H,8,0),0)</f>
        <v>718</v>
      </c>
      <c r="I126" s="1">
        <f ca="1">IFERROR(VLOOKUP($A126,[1]库存使用数据!$A:$I,9,0),0)+IFERROR(VLOOKUP($A126,[2]库存使用数据!$A:$I,9,0),0)+IFERROR(VLOOKUP($A126,[3]库存使用数据!$A:$I,9,0),0)+IFERROR(VLOOKUP($A126,[4]库存使用数据!$A:$I,9,0),0)+IFERROR(VLOOKUP($A126,[5]库存使用数据!$A:$I,9,0),0)</f>
        <v>5</v>
      </c>
      <c r="J126" s="1">
        <f ca="1">IFERROR(VLOOKUP($A126,[1]库存使用数据!$A:$J,10,0),0)+IFERROR(VLOOKUP($A126,[2]库存使用数据!$A:$J,10,0),0)+公式!$B$14*IFERROR(VLOOKUP($A126,[3]库存使用数据!$A:$J,10,0),0)+IFERROR(VLOOKUP($A126,[4]库存使用数据!$A:$J,10,0),0)+IFERROR(VLOOKUP($A126,[5]库存使用数据!$A:$J,10,0),0)</f>
        <v>0.95</v>
      </c>
      <c r="K126" s="1">
        <f ca="1">IFERROR(VLOOKUP($A126,[1]库存使用数据!$A:$K,11,0),0)+IFERROR(VLOOKUP($A126,[2]库存使用数据!$A:$K,11,0),0)+IFERROR(VLOOKUP($A126,[3]库存使用数据!$A:$K,11,0),0)+IFERROR(VLOOKUP($A126,[4]库存使用数据!$A:$K,11,0),0)+IFERROR(VLOOKUP($A126,[5]库存使用数据!$A:$K,11,0),0)</f>
        <v>523</v>
      </c>
      <c r="L126" s="1">
        <f ca="1">IFERROR(VLOOKUP($A126,[1]库存使用数据!$A:$L,12,0),0)+IFERROR(VLOOKUP($A126,[2]库存使用数据!$A:$L,12,0),0)+IFERROR(VLOOKUP($A126,[3]库存使用数据!$A:$L,12,0),0)+IFERROR(VLOOKUP($A126,[4]库存使用数据!$A:$L,12,0),0)+IFERROR(VLOOKUP($A126,[5]库存使用数据!$A:$L,12,0),0)</f>
        <v>6</v>
      </c>
      <c r="M126" s="1">
        <f ca="1">IFERROR(VLOOKUP($A126,[1]库存使用数据!$A:$M,13,0),0)+IFERROR(VLOOKUP($A126,[2]库存使用数据!$A:$M,13,0),0)+公式!$B$14*IFERROR(VLOOKUP($A126,[3]库存使用数据!$A:$M,13,0),0)+IFERROR(VLOOKUP($A126,[4]库存使用数据!$A:$M,13,0),0)+IFERROR(VLOOKUP($A126,[5]库存使用数据!$A:$M,13,0),0)</f>
        <v>0.87</v>
      </c>
    </row>
    <row r="127" spans="1:13">
      <c r="A127" s="5" t="s">
        <v>132</v>
      </c>
      <c r="B127" s="2">
        <f ca="1">IFERROR(VLOOKUP(A127,[1]库存使用数据!$A:$B,2,0),0)+IFERROR(VLOOKUP(A127,[2]库存使用数据!$A:$B,2,0),0)+IFERROR(VLOOKUP(,[3]库存使用数据!$A:$B,2,0),0)+IFERROR(VLOOKUP(A127,[4]库存使用数据!$A:$B,2,0),0)+IFERROR(VLOOKUP(A127,[5]库存使用数据!$A:$B,2,0),0)</f>
        <v>0</v>
      </c>
      <c r="C127" s="1">
        <f ca="1">IFERROR(VLOOKUP($A127,[1]库存使用数据!$A:$C,3,0),0)+IFERROR(VLOOKUP($A127,[2]库存使用数据!$A:$C,3,0),0)+IFERROR(VLOOKUP($A127,[3]库存使用数据!$A:$C,3,0),0)+IFERROR(VLOOKUP($A127,[4]库存使用数据!$A:$C,3,0),0)+IFERROR(VLOOKUP($A127,[5]库存使用数据!$A:$C,3,0),0)</f>
        <v>0</v>
      </c>
      <c r="D127" s="1">
        <f ca="1">IFERROR(VLOOKUP($A127,[1]库存使用数据!$A:$D,4,0),0)+IFERROR(VLOOKUP($A127,[2]库存使用数据!$A:$D,4,0),0)+公式!$B$1*IFERROR(VLOOKUP($A127,[3]库存使用数据!$A:$D,4,0),0)+IFERROR(VLOOKUP($A127,[4]库存使用数据!$A:$D,4,0),0)+IFERROR(VLOOKUP($A127,[5]库存使用数据!$A:$D,4,0),0)</f>
        <v>0</v>
      </c>
      <c r="E127" s="1">
        <f ca="1">IFERROR(VLOOKUP($A127,[1]库存使用数据!$A:$E,5,0),0)+IFERROR(VLOOKUP($A127,[2]库存使用数据!$A:$E,5,0),0)+IFERROR(VLOOKUP($A127,[3]库存使用数据!$A:$E,5,0),0)+IFERROR(VLOOKUP($A127,[4]库存使用数据!$A:$E,5,0),0)+IFERROR(VLOOKUP($A127,[5]库存使用数据!$A:$E,5,0),0)</f>
        <v>0</v>
      </c>
      <c r="F127" s="1">
        <f ca="1">IFERROR(VLOOKUP($A127,[1]库存使用数据!$A:$F,6,0),0)+IFERROR(VLOOKUP($A127,[2]库存使用数据!$A:$F,6,0),0)+IFERROR(VLOOKUP($A127,[4]库存使用数据!$A:$F,6,0),0)+IFERROR(VLOOKUP($A127,[3]库存使用数据!$A:$F,6,0),0)+IFERROR(VLOOKUP($A127,[5]库存使用数据!$A:$F,6,0),0)</f>
        <v>0</v>
      </c>
      <c r="G127" s="1">
        <f ca="1">IFERROR(VLOOKUP($A127,[1]库存使用数据!$A:$G,7,0),0)+IFERROR(VLOOKUP($A127,[2]库存使用数据!$A:$G,7,0),0)+公式!$B$14*IFERROR(VLOOKUP($A127,[3]库存使用数据!$A:$G,7,0),0)+IFERROR(VLOOKUP($A127,[4]库存使用数据!$A:$G,7,0),0)+IFERROR(VLOOKUP($A127,[5]库存使用数据!$A:$G,7,0),0)</f>
        <v>0</v>
      </c>
      <c r="H127" s="1">
        <f ca="1">IFERROR(VLOOKUP($A127,[1]库存使用数据!$A:$H,8,0),0)+IFERROR(VLOOKUP($A127,[2]库存使用数据!$A:$H,8,0),0)+IFERROR(VLOOKUP($A127,[3]库存使用数据!$A:$H,8,0),0)+IFERROR(VLOOKUP($A127,[4]库存使用数据!$A:$H,8,0),0)+IFERROR(VLOOKUP($A127,[5]库存使用数据!$A:$H,8,0),0)</f>
        <v>0</v>
      </c>
      <c r="I127" s="1">
        <f ca="1">IFERROR(VLOOKUP($A127,[1]库存使用数据!$A:$I,9,0),0)+IFERROR(VLOOKUP($A127,[2]库存使用数据!$A:$I,9,0),0)+IFERROR(VLOOKUP($A127,[3]库存使用数据!$A:$I,9,0),0)+IFERROR(VLOOKUP($A127,[4]库存使用数据!$A:$I,9,0),0)+IFERROR(VLOOKUP($A127,[5]库存使用数据!$A:$I,9,0),0)</f>
        <v>0</v>
      </c>
      <c r="J127" s="1">
        <f ca="1">IFERROR(VLOOKUP($A127,[1]库存使用数据!$A:$J,10,0),0)+IFERROR(VLOOKUP($A127,[2]库存使用数据!$A:$J,10,0),0)+公式!$B$14*IFERROR(VLOOKUP($A127,[3]库存使用数据!$A:$J,10,0),0)+IFERROR(VLOOKUP($A127,[4]库存使用数据!$A:$J,10,0),0)+IFERROR(VLOOKUP($A127,[5]库存使用数据!$A:$J,10,0),0)</f>
        <v>0</v>
      </c>
      <c r="K127" s="1">
        <f ca="1">IFERROR(VLOOKUP($A127,[1]库存使用数据!$A:$K,11,0),0)+IFERROR(VLOOKUP($A127,[2]库存使用数据!$A:$K,11,0),0)+IFERROR(VLOOKUP($A127,[3]库存使用数据!$A:$K,11,0),0)+IFERROR(VLOOKUP($A127,[4]库存使用数据!$A:$K,11,0),0)+IFERROR(VLOOKUP($A127,[5]库存使用数据!$A:$K,11,0),0)</f>
        <v>1043</v>
      </c>
      <c r="L127" s="1">
        <f ca="1">IFERROR(VLOOKUP($A127,[1]库存使用数据!$A:$L,12,0),0)+IFERROR(VLOOKUP($A127,[2]库存使用数据!$A:$L,12,0),0)+IFERROR(VLOOKUP($A127,[3]库存使用数据!$A:$L,12,0),0)+IFERROR(VLOOKUP($A127,[4]库存使用数据!$A:$L,12,0),0)+IFERROR(VLOOKUP($A127,[5]库存使用数据!$A:$L,12,0),0)</f>
        <v>4</v>
      </c>
      <c r="M127" s="1">
        <f ca="1">IFERROR(VLOOKUP($A127,[1]库存使用数据!$A:$M,13,0),0)+IFERROR(VLOOKUP($A127,[2]库存使用数据!$A:$M,13,0),0)+公式!$B$14*IFERROR(VLOOKUP($A127,[3]库存使用数据!$A:$M,13,0),0)+IFERROR(VLOOKUP($A127,[4]库存使用数据!$A:$M,13,0),0)+IFERROR(VLOOKUP($A127,[5]库存使用数据!$A:$M,13,0),0)</f>
        <v>0.58</v>
      </c>
    </row>
    <row r="128" spans="1:13">
      <c r="A128" s="5" t="s">
        <v>133</v>
      </c>
      <c r="B128" s="2">
        <f ca="1">IFERROR(VLOOKUP(A128,[1]库存使用数据!$A:$B,2,0),0)+IFERROR(VLOOKUP(A128,[2]库存使用数据!$A:$B,2,0),0)+IFERROR(VLOOKUP(,[3]库存使用数据!$A:$B,2,0),0)+IFERROR(VLOOKUP(A128,[4]库存使用数据!$A:$B,2,0),0)+IFERROR(VLOOKUP(A128,[5]库存使用数据!$A:$B,2,0),0)</f>
        <v>217</v>
      </c>
      <c r="C128" s="1">
        <f ca="1">IFERROR(VLOOKUP($A128,[1]库存使用数据!$A:$C,3,0),0)+IFERROR(VLOOKUP($A128,[2]库存使用数据!$A:$C,3,0),0)+IFERROR(VLOOKUP($A128,[3]库存使用数据!$A:$C,3,0),0)+IFERROR(VLOOKUP($A128,[4]库存使用数据!$A:$C,3,0),0)+IFERROR(VLOOKUP($A128,[5]库存使用数据!$A:$C,3,0),0)</f>
        <v>0</v>
      </c>
      <c r="D128" s="1">
        <f ca="1">IFERROR(VLOOKUP($A128,[1]库存使用数据!$A:$D,4,0),0)+IFERROR(VLOOKUP($A128,[2]库存使用数据!$A:$D,4,0),0)+公式!$B$1*IFERROR(VLOOKUP($A128,[3]库存使用数据!$A:$D,4,0),0)+IFERROR(VLOOKUP($A128,[4]库存使用数据!$A:$D,4,0),0)+IFERROR(VLOOKUP($A128,[5]库存使用数据!$A:$D,4,0),0)</f>
        <v>0</v>
      </c>
      <c r="E128" s="1">
        <f ca="1">IFERROR(VLOOKUP($A128,[1]库存使用数据!$A:$E,5,0),0)+IFERROR(VLOOKUP($A128,[2]库存使用数据!$A:$E,5,0),0)+IFERROR(VLOOKUP($A128,[3]库存使用数据!$A:$E,5,0),0)+IFERROR(VLOOKUP($A128,[4]库存使用数据!$A:$E,5,0),0)+IFERROR(VLOOKUP($A128,[5]库存使用数据!$A:$E,5,0),0)</f>
        <v>1559</v>
      </c>
      <c r="F128" s="1">
        <f ca="1">IFERROR(VLOOKUP($A128,[1]库存使用数据!$A:$F,6,0),0)+IFERROR(VLOOKUP($A128,[2]库存使用数据!$A:$F,6,0),0)+IFERROR(VLOOKUP($A128,[4]库存使用数据!$A:$F,6,0),0)+IFERROR(VLOOKUP($A128,[3]库存使用数据!$A:$F,6,0),0)+IFERROR(VLOOKUP($A128,[5]库存使用数据!$A:$F,6,0),0)</f>
        <v>11</v>
      </c>
      <c r="G128" s="1">
        <f ca="1">IFERROR(VLOOKUP($A128,[1]库存使用数据!$A:$G,7,0),0)+IFERROR(VLOOKUP($A128,[2]库存使用数据!$A:$G,7,0),0)+公式!$B$14*IFERROR(VLOOKUP($A128,[3]库存使用数据!$A:$G,7,0),0)+IFERROR(VLOOKUP($A128,[4]库存使用数据!$A:$G,7,0),0)+IFERROR(VLOOKUP($A128,[5]库存使用数据!$A:$G,7,0),0)</f>
        <v>2.37</v>
      </c>
      <c r="H128" s="1">
        <f ca="1">IFERROR(VLOOKUP($A128,[1]库存使用数据!$A:$H,8,0),0)+IFERROR(VLOOKUP($A128,[2]库存使用数据!$A:$H,8,0),0)+IFERROR(VLOOKUP($A128,[3]库存使用数据!$A:$H,8,0),0)+IFERROR(VLOOKUP($A128,[4]库存使用数据!$A:$H,8,0),0)+IFERROR(VLOOKUP($A128,[5]库存使用数据!$A:$H,8,0),0)</f>
        <v>885</v>
      </c>
      <c r="I128" s="1">
        <f ca="1">IFERROR(VLOOKUP($A128,[1]库存使用数据!$A:$I,9,0),0)+IFERROR(VLOOKUP($A128,[2]库存使用数据!$A:$I,9,0),0)+IFERROR(VLOOKUP($A128,[3]库存使用数据!$A:$I,9,0),0)+IFERROR(VLOOKUP($A128,[4]库存使用数据!$A:$I,9,0),0)+IFERROR(VLOOKUP($A128,[5]库存使用数据!$A:$I,9,0),0)</f>
        <v>6</v>
      </c>
      <c r="J128" s="1">
        <f ca="1">IFERROR(VLOOKUP($A128,[1]库存使用数据!$A:$J,10,0),0)+IFERROR(VLOOKUP($A128,[2]库存使用数据!$A:$J,10,0),0)+公式!$B$14*IFERROR(VLOOKUP($A128,[3]库存使用数据!$A:$J,10,0),0)+IFERROR(VLOOKUP($A128,[4]库存使用数据!$A:$J,10,0),0)+IFERROR(VLOOKUP($A128,[5]库存使用数据!$A:$J,10,0),0)</f>
        <v>0.7</v>
      </c>
      <c r="K128" s="1">
        <f ca="1">IFERROR(VLOOKUP($A128,[1]库存使用数据!$A:$K,11,0),0)+IFERROR(VLOOKUP($A128,[2]库存使用数据!$A:$K,11,0),0)+IFERROR(VLOOKUP($A128,[3]库存使用数据!$A:$K,11,0),0)+IFERROR(VLOOKUP($A128,[4]库存使用数据!$A:$K,11,0),0)+IFERROR(VLOOKUP($A128,[5]库存使用数据!$A:$K,11,0),0)</f>
        <v>829</v>
      </c>
      <c r="L128" s="1">
        <f ca="1">IFERROR(VLOOKUP($A128,[1]库存使用数据!$A:$L,12,0),0)+IFERROR(VLOOKUP($A128,[2]库存使用数据!$A:$L,12,0),0)+IFERROR(VLOOKUP($A128,[3]库存使用数据!$A:$L,12,0),0)+IFERROR(VLOOKUP($A128,[4]库存使用数据!$A:$L,12,0),0)+IFERROR(VLOOKUP($A128,[5]库存使用数据!$A:$L,12,0),0)</f>
        <v>8</v>
      </c>
      <c r="M128" s="1">
        <f ca="1">IFERROR(VLOOKUP($A128,[1]库存使用数据!$A:$M,13,0),0)+IFERROR(VLOOKUP($A128,[2]库存使用数据!$A:$M,13,0),0)+公式!$B$14*IFERROR(VLOOKUP($A128,[3]库存使用数据!$A:$M,13,0),0)+IFERROR(VLOOKUP($A128,[4]库存使用数据!$A:$M,13,0),0)+IFERROR(VLOOKUP($A128,[5]库存使用数据!$A:$M,13,0),0)</f>
        <v>1.14</v>
      </c>
    </row>
    <row r="129" spans="1:13">
      <c r="A129" s="5" t="s">
        <v>134</v>
      </c>
      <c r="B129" s="2">
        <f ca="1">IFERROR(VLOOKUP(A129,[1]库存使用数据!$A:$B,2,0),0)+IFERROR(VLOOKUP(A129,[2]库存使用数据!$A:$B,2,0),0)+IFERROR(VLOOKUP(,[3]库存使用数据!$A:$B,2,0),0)+IFERROR(VLOOKUP(A129,[4]库存使用数据!$A:$B,2,0),0)+IFERROR(VLOOKUP(A129,[5]库存使用数据!$A:$B,2,0),0)</f>
        <v>0</v>
      </c>
      <c r="C129" s="1">
        <f ca="1">IFERROR(VLOOKUP($A129,[1]库存使用数据!$A:$C,3,0),0)+IFERROR(VLOOKUP($A129,[2]库存使用数据!$A:$C,3,0),0)+IFERROR(VLOOKUP($A129,[3]库存使用数据!$A:$C,3,0),0)+IFERROR(VLOOKUP($A129,[4]库存使用数据!$A:$C,3,0),0)+IFERROR(VLOOKUP($A129,[5]库存使用数据!$A:$C,3,0),0)</f>
        <v>1</v>
      </c>
      <c r="D129" s="1">
        <f ca="1">IFERROR(VLOOKUP($A129,[1]库存使用数据!$A:$D,4,0),0)+IFERROR(VLOOKUP($A129,[2]库存使用数据!$A:$D,4,0),0)+公式!$B$1*IFERROR(VLOOKUP($A129,[3]库存使用数据!$A:$D,4,0),0)+IFERROR(VLOOKUP($A129,[4]库存使用数据!$A:$D,4,0),0)+IFERROR(VLOOKUP($A129,[5]库存使用数据!$A:$D,4,0),0)</f>
        <v>0.1575</v>
      </c>
      <c r="E129" s="1">
        <f ca="1">IFERROR(VLOOKUP($A129,[1]库存使用数据!$A:$E,5,0),0)+IFERROR(VLOOKUP($A129,[2]库存使用数据!$A:$E,5,0),0)+IFERROR(VLOOKUP($A129,[3]库存使用数据!$A:$E,5,0),0)+IFERROR(VLOOKUP($A129,[4]库存使用数据!$A:$E,5,0),0)+IFERROR(VLOOKUP($A129,[5]库存使用数据!$A:$E,5,0),0)</f>
        <v>30</v>
      </c>
      <c r="F129" s="1">
        <f ca="1">IFERROR(VLOOKUP($A129,[1]库存使用数据!$A:$F,6,0),0)+IFERROR(VLOOKUP($A129,[2]库存使用数据!$A:$F,6,0),0)+IFERROR(VLOOKUP($A129,[4]库存使用数据!$A:$F,6,0),0)+IFERROR(VLOOKUP($A129,[3]库存使用数据!$A:$F,6,0),0)+IFERROR(VLOOKUP($A129,[5]库存使用数据!$A:$F,6,0),0)</f>
        <v>0</v>
      </c>
      <c r="G129" s="1">
        <f ca="1">IFERROR(VLOOKUP($A129,[1]库存使用数据!$A:$G,7,0),0)+IFERROR(VLOOKUP($A129,[2]库存使用数据!$A:$G,7,0),0)+公式!$B$14*IFERROR(VLOOKUP($A129,[3]库存使用数据!$A:$G,7,0),0)+IFERROR(VLOOKUP($A129,[4]库存使用数据!$A:$G,7,0),0)+IFERROR(VLOOKUP($A129,[5]库存使用数据!$A:$G,7,0),0)</f>
        <v>0</v>
      </c>
      <c r="H129" s="1">
        <f ca="1">IFERROR(VLOOKUP($A129,[1]库存使用数据!$A:$H,8,0),0)+IFERROR(VLOOKUP($A129,[2]库存使用数据!$A:$H,8,0),0)+IFERROR(VLOOKUP($A129,[3]库存使用数据!$A:$H,8,0),0)+IFERROR(VLOOKUP($A129,[4]库存使用数据!$A:$H,8,0),0)+IFERROR(VLOOKUP($A129,[5]库存使用数据!$A:$H,8,0),0)</f>
        <v>975</v>
      </c>
      <c r="I129" s="1">
        <f ca="1">IFERROR(VLOOKUP($A129,[1]库存使用数据!$A:$I,9,0),0)+IFERROR(VLOOKUP($A129,[2]库存使用数据!$A:$I,9,0),0)+IFERROR(VLOOKUP($A129,[3]库存使用数据!$A:$I,9,0),0)+IFERROR(VLOOKUP($A129,[4]库存使用数据!$A:$I,9,0),0)+IFERROR(VLOOKUP($A129,[5]库存使用数据!$A:$I,9,0),0)</f>
        <v>7</v>
      </c>
      <c r="J129" s="1">
        <f ca="1">IFERROR(VLOOKUP($A129,[1]库存使用数据!$A:$J,10,0),0)+IFERROR(VLOOKUP($A129,[2]库存使用数据!$A:$J,10,0),0)+公式!$B$14*IFERROR(VLOOKUP($A129,[3]库存使用数据!$A:$J,10,0),0)+IFERROR(VLOOKUP($A129,[4]库存使用数据!$A:$J,10,0),0)+IFERROR(VLOOKUP($A129,[5]库存使用数据!$A:$J,10,0),0)</f>
        <v>1.38</v>
      </c>
      <c r="K129" s="1">
        <f ca="1">IFERROR(VLOOKUP($A129,[1]库存使用数据!$A:$K,11,0),0)+IFERROR(VLOOKUP($A129,[2]库存使用数据!$A:$K,11,0),0)+IFERROR(VLOOKUP($A129,[3]库存使用数据!$A:$K,11,0),0)+IFERROR(VLOOKUP($A129,[4]库存使用数据!$A:$K,11,0),0)+IFERROR(VLOOKUP($A129,[5]库存使用数据!$A:$K,11,0),0)</f>
        <v>2609</v>
      </c>
      <c r="L129" s="1">
        <f ca="1">IFERROR(VLOOKUP($A129,[1]库存使用数据!$A:$L,12,0),0)+IFERROR(VLOOKUP($A129,[2]库存使用数据!$A:$L,12,0),0)+IFERROR(VLOOKUP($A129,[3]库存使用数据!$A:$L,12,0),0)+IFERROR(VLOOKUP($A129,[4]库存使用数据!$A:$L,12,0),0)+IFERROR(VLOOKUP($A129,[5]库存使用数据!$A:$L,12,0),0)</f>
        <v>34</v>
      </c>
      <c r="M129" s="1">
        <f ca="1">IFERROR(VLOOKUP($A129,[1]库存使用数据!$A:$M,13,0),0)+IFERROR(VLOOKUP($A129,[2]库存使用数据!$A:$M,13,0),0)+公式!$B$14*IFERROR(VLOOKUP($A129,[3]库存使用数据!$A:$M,13,0),0)+IFERROR(VLOOKUP($A129,[4]库存使用数据!$A:$M,13,0),0)+IFERROR(VLOOKUP($A129,[5]库存使用数据!$A:$M,13,0),0)</f>
        <v>5.49</v>
      </c>
    </row>
    <row r="130" spans="1:13">
      <c r="A130" s="5" t="s">
        <v>135</v>
      </c>
      <c r="B130" s="2">
        <f ca="1">IFERROR(VLOOKUP(A130,[1]库存使用数据!$A:$B,2,0),0)+IFERROR(VLOOKUP(A130,[2]库存使用数据!$A:$B,2,0),0)+IFERROR(VLOOKUP(,[3]库存使用数据!$A:$B,2,0),0)+IFERROR(VLOOKUP(A130,[4]库存使用数据!$A:$B,2,0),0)+IFERROR(VLOOKUP(A130,[5]库存使用数据!$A:$B,2,0),0)</f>
        <v>0</v>
      </c>
      <c r="C130" s="1">
        <f ca="1">IFERROR(VLOOKUP($A130,[1]库存使用数据!$A:$C,3,0),0)+IFERROR(VLOOKUP($A130,[2]库存使用数据!$A:$C,3,0),0)+IFERROR(VLOOKUP($A130,[3]库存使用数据!$A:$C,3,0),0)+IFERROR(VLOOKUP($A130,[4]库存使用数据!$A:$C,3,0),0)+IFERROR(VLOOKUP($A130,[5]库存使用数据!$A:$C,3,0),0)</f>
        <v>1</v>
      </c>
      <c r="D130" s="1">
        <f ca="1">IFERROR(VLOOKUP($A130,[1]库存使用数据!$A:$D,4,0),0)+IFERROR(VLOOKUP($A130,[2]库存使用数据!$A:$D,4,0),0)+公式!$B$1*IFERROR(VLOOKUP($A130,[3]库存使用数据!$A:$D,4,0),0)+IFERROR(VLOOKUP($A130,[4]库存使用数据!$A:$D,4,0),0)+IFERROR(VLOOKUP($A130,[5]库存使用数据!$A:$D,4,0),0)</f>
        <v>0.16875</v>
      </c>
      <c r="E130" s="1">
        <f ca="1">IFERROR(VLOOKUP($A130,[1]库存使用数据!$A:$E,5,0),0)+IFERROR(VLOOKUP($A130,[2]库存使用数据!$A:$E,5,0),0)+IFERROR(VLOOKUP($A130,[3]库存使用数据!$A:$E,5,0),0)+IFERROR(VLOOKUP($A130,[4]库存使用数据!$A:$E,5,0),0)+IFERROR(VLOOKUP($A130,[5]库存使用数据!$A:$E,5,0),0)</f>
        <v>7601</v>
      </c>
      <c r="F130" s="1">
        <f ca="1">IFERROR(VLOOKUP($A130,[1]库存使用数据!$A:$F,6,0),0)+IFERROR(VLOOKUP($A130,[2]库存使用数据!$A:$F,6,0),0)+IFERROR(VLOOKUP($A130,[4]库存使用数据!$A:$F,6,0),0)+IFERROR(VLOOKUP($A130,[3]库存使用数据!$A:$F,6,0),0)+IFERROR(VLOOKUP($A130,[5]库存使用数据!$A:$F,6,0),0)</f>
        <v>107</v>
      </c>
      <c r="G130" s="1">
        <f ca="1">IFERROR(VLOOKUP($A130,[1]库存使用数据!$A:$G,7,0),0)+IFERROR(VLOOKUP($A130,[2]库存使用数据!$A:$G,7,0),0)+公式!$B$14*IFERROR(VLOOKUP($A130,[3]库存使用数据!$A:$G,7,0),0)+IFERROR(VLOOKUP($A130,[4]库存使用数据!$A:$G,7,0),0)+IFERROR(VLOOKUP($A130,[5]库存使用数据!$A:$G,7,0),0)</f>
        <v>23.94</v>
      </c>
      <c r="H130" s="1">
        <f ca="1">IFERROR(VLOOKUP($A130,[1]库存使用数据!$A:$H,8,0),0)+IFERROR(VLOOKUP($A130,[2]库存使用数据!$A:$H,8,0),0)+IFERROR(VLOOKUP($A130,[3]库存使用数据!$A:$H,8,0),0)+IFERROR(VLOOKUP($A130,[4]库存使用数据!$A:$H,8,0),0)+IFERROR(VLOOKUP($A130,[5]库存使用数据!$A:$H,8,0),0)</f>
        <v>2498</v>
      </c>
      <c r="I130" s="1">
        <f ca="1">IFERROR(VLOOKUP($A130,[1]库存使用数据!$A:$I,9,0),0)+IFERROR(VLOOKUP($A130,[2]库存使用数据!$A:$I,9,0),0)+IFERROR(VLOOKUP($A130,[3]库存使用数据!$A:$I,9,0),0)+IFERROR(VLOOKUP($A130,[4]库存使用数据!$A:$I,9,0),0)+IFERROR(VLOOKUP($A130,[5]库存使用数据!$A:$I,9,0),0)</f>
        <v>29</v>
      </c>
      <c r="J130" s="1">
        <f ca="1">IFERROR(VLOOKUP($A130,[1]库存使用数据!$A:$J,10,0),0)+IFERROR(VLOOKUP($A130,[2]库存使用数据!$A:$J,10,0),0)+公式!$B$14*IFERROR(VLOOKUP($A130,[3]库存使用数据!$A:$J,10,0),0)+IFERROR(VLOOKUP($A130,[4]库存使用数据!$A:$J,10,0),0)+IFERROR(VLOOKUP($A130,[5]库存使用数据!$A:$J,10,0),0)</f>
        <v>5.41</v>
      </c>
      <c r="K130" s="1">
        <f ca="1">IFERROR(VLOOKUP($A130,[1]库存使用数据!$A:$K,11,0),0)+IFERROR(VLOOKUP($A130,[2]库存使用数据!$A:$K,11,0),0)+IFERROR(VLOOKUP($A130,[3]库存使用数据!$A:$K,11,0),0)+IFERROR(VLOOKUP($A130,[4]库存使用数据!$A:$K,11,0),0)+IFERROR(VLOOKUP($A130,[5]库存使用数据!$A:$K,11,0),0)</f>
        <v>1902</v>
      </c>
      <c r="L130" s="1">
        <f ca="1">IFERROR(VLOOKUP($A130,[1]库存使用数据!$A:$L,12,0),0)+IFERROR(VLOOKUP($A130,[2]库存使用数据!$A:$L,12,0),0)+IFERROR(VLOOKUP($A130,[3]库存使用数据!$A:$L,12,0),0)+IFERROR(VLOOKUP($A130,[4]库存使用数据!$A:$L,12,0),0)+IFERROR(VLOOKUP($A130,[5]库存使用数据!$A:$L,12,0),0)</f>
        <v>21</v>
      </c>
      <c r="M130" s="1">
        <f ca="1">IFERROR(VLOOKUP($A130,[1]库存使用数据!$A:$M,13,0),0)+IFERROR(VLOOKUP($A130,[2]库存使用数据!$A:$M,13,0),0)+公式!$B$14*IFERROR(VLOOKUP($A130,[3]库存使用数据!$A:$M,13,0),0)+IFERROR(VLOOKUP($A130,[4]库存使用数据!$A:$M,13,0),0)+IFERROR(VLOOKUP($A130,[5]库存使用数据!$A:$M,13,0),0)</f>
        <v>2.73</v>
      </c>
    </row>
    <row r="131" spans="1:13">
      <c r="A131" s="5" t="s">
        <v>136</v>
      </c>
      <c r="B131" s="2">
        <f ca="1">IFERROR(VLOOKUP(A131,[1]库存使用数据!$A:$B,2,0),0)+IFERROR(VLOOKUP(A131,[2]库存使用数据!$A:$B,2,0),0)+IFERROR(VLOOKUP(,[3]库存使用数据!$A:$B,2,0),0)+IFERROR(VLOOKUP(A131,[4]库存使用数据!$A:$B,2,0),0)+IFERROR(VLOOKUP(A131,[5]库存使用数据!$A:$B,2,0),0)</f>
        <v>0</v>
      </c>
      <c r="C131" s="1">
        <f ca="1">IFERROR(VLOOKUP($A131,[1]库存使用数据!$A:$C,3,0),0)+IFERROR(VLOOKUP($A131,[2]库存使用数据!$A:$C,3,0),0)+IFERROR(VLOOKUP($A131,[3]库存使用数据!$A:$C,3,0),0)+IFERROR(VLOOKUP($A131,[4]库存使用数据!$A:$C,3,0),0)+IFERROR(VLOOKUP($A131,[5]库存使用数据!$A:$C,3,0),0)</f>
        <v>1</v>
      </c>
      <c r="D131" s="1">
        <f ca="1">IFERROR(VLOOKUP($A131,[1]库存使用数据!$A:$D,4,0),0)+IFERROR(VLOOKUP($A131,[2]库存使用数据!$A:$D,4,0),0)+公式!$B$1*IFERROR(VLOOKUP($A131,[3]库存使用数据!$A:$D,4,0),0)+IFERROR(VLOOKUP($A131,[4]库存使用数据!$A:$D,4,0),0)+IFERROR(VLOOKUP($A131,[5]库存使用数据!$A:$D,4,0),0)</f>
        <v>0.1575</v>
      </c>
      <c r="E131" s="1">
        <f ca="1">IFERROR(VLOOKUP($A131,[1]库存使用数据!$A:$E,5,0),0)+IFERROR(VLOOKUP($A131,[2]库存使用数据!$A:$E,5,0),0)+IFERROR(VLOOKUP($A131,[3]库存使用数据!$A:$E,5,0),0)+IFERROR(VLOOKUP($A131,[4]库存使用数据!$A:$E,5,0),0)+IFERROR(VLOOKUP($A131,[5]库存使用数据!$A:$E,5,0),0)</f>
        <v>215</v>
      </c>
      <c r="F131" s="1">
        <f ca="1">IFERROR(VLOOKUP($A131,[1]库存使用数据!$A:$F,6,0),0)+IFERROR(VLOOKUP($A131,[2]库存使用数据!$A:$F,6,0),0)+IFERROR(VLOOKUP($A131,[4]库存使用数据!$A:$F,6,0),0)+IFERROR(VLOOKUP($A131,[3]库存使用数据!$A:$F,6,0),0)+IFERROR(VLOOKUP($A131,[5]库存使用数据!$A:$F,6,0),0)</f>
        <v>1</v>
      </c>
      <c r="G131" s="1">
        <f ca="1">IFERROR(VLOOKUP($A131,[1]库存使用数据!$A:$G,7,0),0)+IFERROR(VLOOKUP($A131,[2]库存使用数据!$A:$G,7,0),0)+公式!$B$14*IFERROR(VLOOKUP($A131,[3]库存使用数据!$A:$G,7,0),0)+IFERROR(VLOOKUP($A131,[4]库存使用数据!$A:$G,7,0),0)+IFERROR(VLOOKUP($A131,[5]库存使用数据!$A:$G,7,0),0)</f>
        <v>0</v>
      </c>
      <c r="H131" s="1">
        <f ca="1">IFERROR(VLOOKUP($A131,[1]库存使用数据!$A:$H,8,0),0)+IFERROR(VLOOKUP($A131,[2]库存使用数据!$A:$H,8,0),0)+IFERROR(VLOOKUP($A131,[3]库存使用数据!$A:$H,8,0),0)+IFERROR(VLOOKUP($A131,[4]库存使用数据!$A:$H,8,0),0)+IFERROR(VLOOKUP($A131,[5]库存使用数据!$A:$H,8,0),0)</f>
        <v>1115</v>
      </c>
      <c r="I131" s="1">
        <f ca="1">IFERROR(VLOOKUP($A131,[1]库存使用数据!$A:$I,9,0),0)+IFERROR(VLOOKUP($A131,[2]库存使用数据!$A:$I,9,0),0)+IFERROR(VLOOKUP($A131,[3]库存使用数据!$A:$I,9,0),0)+IFERROR(VLOOKUP($A131,[4]库存使用数据!$A:$I,9,0),0)+IFERROR(VLOOKUP($A131,[5]库存使用数据!$A:$I,9,0),0)</f>
        <v>7</v>
      </c>
      <c r="J131" s="1">
        <f ca="1">IFERROR(VLOOKUP($A131,[1]库存使用数据!$A:$J,10,0),0)+IFERROR(VLOOKUP($A131,[2]库存使用数据!$A:$J,10,0),0)+公式!$B$14*IFERROR(VLOOKUP($A131,[3]库存使用数据!$A:$J,10,0),0)+IFERROR(VLOOKUP($A131,[4]库存使用数据!$A:$J,10,0),0)+IFERROR(VLOOKUP($A131,[5]库存使用数据!$A:$J,10,0),0)</f>
        <v>1.44</v>
      </c>
      <c r="K131" s="1">
        <f ca="1">IFERROR(VLOOKUP($A131,[1]库存使用数据!$A:$K,11,0),0)+IFERROR(VLOOKUP($A131,[2]库存使用数据!$A:$K,11,0),0)+IFERROR(VLOOKUP($A131,[3]库存使用数据!$A:$K,11,0),0)+IFERROR(VLOOKUP($A131,[4]库存使用数据!$A:$K,11,0),0)+IFERROR(VLOOKUP($A131,[5]库存使用数据!$A:$K,11,0),0)</f>
        <v>1402</v>
      </c>
      <c r="L131" s="1">
        <f ca="1">IFERROR(VLOOKUP($A131,[1]库存使用数据!$A:$L,12,0),0)+IFERROR(VLOOKUP($A131,[2]库存使用数据!$A:$L,12,0),0)+IFERROR(VLOOKUP($A131,[3]库存使用数据!$A:$L,12,0),0)+IFERROR(VLOOKUP($A131,[4]库存使用数据!$A:$L,12,0),0)+IFERROR(VLOOKUP($A131,[5]库存使用数据!$A:$L,12,0),0)</f>
        <v>26</v>
      </c>
      <c r="M131" s="1">
        <f ca="1">IFERROR(VLOOKUP($A131,[1]库存使用数据!$A:$M,13,0),0)+IFERROR(VLOOKUP($A131,[2]库存使用数据!$A:$M,13,0),0)+公式!$B$14*IFERROR(VLOOKUP($A131,[3]库存使用数据!$A:$M,13,0),0)+IFERROR(VLOOKUP($A131,[4]库存使用数据!$A:$M,13,0),0)+IFERROR(VLOOKUP($A131,[5]库存使用数据!$A:$M,13,0),0)</f>
        <v>4.25</v>
      </c>
    </row>
    <row r="132" spans="1:13">
      <c r="A132" s="5" t="s">
        <v>137</v>
      </c>
      <c r="B132" s="2">
        <f ca="1">IFERROR(VLOOKUP(A132,[1]库存使用数据!$A:$B,2,0),0)+IFERROR(VLOOKUP(A132,[2]库存使用数据!$A:$B,2,0),0)+IFERROR(VLOOKUP(,[3]库存使用数据!$A:$B,2,0),0)+IFERROR(VLOOKUP(A132,[4]库存使用数据!$A:$B,2,0),0)+IFERROR(VLOOKUP(A132,[5]库存使用数据!$A:$B,2,0),0)</f>
        <v>0</v>
      </c>
      <c r="C132" s="1">
        <f ca="1">IFERROR(VLOOKUP($A132,[1]库存使用数据!$A:$C,3,0),0)+IFERROR(VLOOKUP($A132,[2]库存使用数据!$A:$C,3,0),0)+IFERROR(VLOOKUP($A132,[3]库存使用数据!$A:$C,3,0),0)+IFERROR(VLOOKUP($A132,[4]库存使用数据!$A:$C,3,0),0)+IFERROR(VLOOKUP($A132,[5]库存使用数据!$A:$C,3,0),0)</f>
        <v>0</v>
      </c>
      <c r="D132" s="1">
        <f ca="1">IFERROR(VLOOKUP($A132,[1]库存使用数据!$A:$D,4,0),0)+IFERROR(VLOOKUP($A132,[2]库存使用数据!$A:$D,4,0),0)+公式!$B$1*IFERROR(VLOOKUP($A132,[3]库存使用数据!$A:$D,4,0),0)+IFERROR(VLOOKUP($A132,[4]库存使用数据!$A:$D,4,0),0)+IFERROR(VLOOKUP($A132,[5]库存使用数据!$A:$D,4,0),0)</f>
        <v>0</v>
      </c>
      <c r="E132" s="1">
        <f ca="1">IFERROR(VLOOKUP($A132,[1]库存使用数据!$A:$E,5,0),0)+IFERROR(VLOOKUP($A132,[2]库存使用数据!$A:$E,5,0),0)+IFERROR(VLOOKUP($A132,[3]库存使用数据!$A:$E,5,0),0)+IFERROR(VLOOKUP($A132,[4]库存使用数据!$A:$E,5,0),0)+IFERROR(VLOOKUP($A132,[5]库存使用数据!$A:$E,5,0),0)</f>
        <v>4446</v>
      </c>
      <c r="F132" s="1">
        <f ca="1">IFERROR(VLOOKUP($A132,[1]库存使用数据!$A:$F,6,0),0)+IFERROR(VLOOKUP($A132,[2]库存使用数据!$A:$F,6,0),0)+IFERROR(VLOOKUP($A132,[4]库存使用数据!$A:$F,6,0),0)+IFERROR(VLOOKUP($A132,[3]库存使用数据!$A:$F,6,0),0)+IFERROR(VLOOKUP($A132,[5]库存使用数据!$A:$F,6,0),0)</f>
        <v>10</v>
      </c>
      <c r="G132" s="1">
        <f ca="1">IFERROR(VLOOKUP($A132,[1]库存使用数据!$A:$G,7,0),0)+IFERROR(VLOOKUP($A132,[2]库存使用数据!$A:$G,7,0),0)+公式!$B$14*IFERROR(VLOOKUP($A132,[3]库存使用数据!$A:$G,7,0),0)+IFERROR(VLOOKUP($A132,[4]库存使用数据!$A:$G,7,0),0)+IFERROR(VLOOKUP($A132,[5]库存使用数据!$A:$G,7,0),0)</f>
        <v>1.14</v>
      </c>
      <c r="H132" s="1">
        <f ca="1">IFERROR(VLOOKUP($A132,[1]库存使用数据!$A:$H,8,0),0)+IFERROR(VLOOKUP($A132,[2]库存使用数据!$A:$H,8,0),0)+IFERROR(VLOOKUP($A132,[3]库存使用数据!$A:$H,8,0),0)+IFERROR(VLOOKUP($A132,[4]库存使用数据!$A:$H,8,0),0)+IFERROR(VLOOKUP($A132,[5]库存使用数据!$A:$H,8,0),0)</f>
        <v>124</v>
      </c>
      <c r="I132" s="1">
        <f ca="1">IFERROR(VLOOKUP($A132,[1]库存使用数据!$A:$I,9,0),0)+IFERROR(VLOOKUP($A132,[2]库存使用数据!$A:$I,9,0),0)+IFERROR(VLOOKUP($A132,[3]库存使用数据!$A:$I,9,0),0)+IFERROR(VLOOKUP($A132,[4]库存使用数据!$A:$I,9,0),0)+IFERROR(VLOOKUP($A132,[5]库存使用数据!$A:$I,9,0),0)</f>
        <v>1</v>
      </c>
      <c r="J132" s="1">
        <f ca="1">IFERROR(VLOOKUP($A132,[1]库存使用数据!$A:$J,10,0),0)+IFERROR(VLOOKUP($A132,[2]库存使用数据!$A:$J,10,0),0)+公式!$B$14*IFERROR(VLOOKUP($A132,[3]库存使用数据!$A:$J,10,0),0)+IFERROR(VLOOKUP($A132,[4]库存使用数据!$A:$J,10,0),0)+IFERROR(VLOOKUP($A132,[5]库存使用数据!$A:$J,10,0),0)</f>
        <v>0.26</v>
      </c>
      <c r="K132" s="1">
        <f ca="1">IFERROR(VLOOKUP($A132,[1]库存使用数据!$A:$K,11,0),0)+IFERROR(VLOOKUP($A132,[2]库存使用数据!$A:$K,11,0),0)+IFERROR(VLOOKUP($A132,[3]库存使用数据!$A:$K,11,0),0)+IFERROR(VLOOKUP($A132,[4]库存使用数据!$A:$K,11,0),0)+IFERROR(VLOOKUP($A132,[5]库存使用数据!$A:$K,11,0),0)</f>
        <v>121</v>
      </c>
      <c r="L132" s="1">
        <f ca="1">IFERROR(VLOOKUP($A132,[1]库存使用数据!$A:$L,12,0),0)+IFERROR(VLOOKUP($A132,[2]库存使用数据!$A:$L,12,0),0)+IFERROR(VLOOKUP($A132,[3]库存使用数据!$A:$L,12,0),0)+IFERROR(VLOOKUP($A132,[4]库存使用数据!$A:$L,12,0),0)+IFERROR(VLOOKUP($A132,[5]库存使用数据!$A:$L,12,0),0)</f>
        <v>1</v>
      </c>
      <c r="M132" s="1">
        <f ca="1">IFERROR(VLOOKUP($A132,[1]库存使用数据!$A:$M,13,0),0)+IFERROR(VLOOKUP($A132,[2]库存使用数据!$A:$M,13,0),0)+公式!$B$14*IFERROR(VLOOKUP($A132,[3]库存使用数据!$A:$M,13,0),0)+IFERROR(VLOOKUP($A132,[4]库存使用数据!$A:$M,13,0),0)+IFERROR(VLOOKUP($A132,[5]库存使用数据!$A:$M,13,0),0)</f>
        <v>0.28</v>
      </c>
    </row>
    <row r="133" spans="1:13">
      <c r="A133" s="5" t="s">
        <v>138</v>
      </c>
      <c r="B133" s="2">
        <f ca="1">IFERROR(VLOOKUP(A133,[1]库存使用数据!$A:$B,2,0),0)+IFERROR(VLOOKUP(A133,[2]库存使用数据!$A:$B,2,0),0)+IFERROR(VLOOKUP(,[3]库存使用数据!$A:$B,2,0),0)+IFERROR(VLOOKUP(A133,[4]库存使用数据!$A:$B,2,0),0)+IFERROR(VLOOKUP(A133,[5]库存使用数据!$A:$B,2,0),0)</f>
        <v>26</v>
      </c>
      <c r="C133" s="1">
        <f ca="1">IFERROR(VLOOKUP($A133,[1]库存使用数据!$A:$C,3,0),0)+IFERROR(VLOOKUP($A133,[2]库存使用数据!$A:$C,3,0),0)+IFERROR(VLOOKUP($A133,[3]库存使用数据!$A:$C,3,0),0)+IFERROR(VLOOKUP($A133,[4]库存使用数据!$A:$C,3,0),0)+IFERROR(VLOOKUP($A133,[5]库存使用数据!$A:$C,3,0),0)</f>
        <v>0</v>
      </c>
      <c r="D133" s="1">
        <f ca="1">IFERROR(VLOOKUP($A133,[1]库存使用数据!$A:$D,4,0),0)+IFERROR(VLOOKUP($A133,[2]库存使用数据!$A:$D,4,0),0)+公式!$B$1*IFERROR(VLOOKUP($A133,[3]库存使用数据!$A:$D,4,0),0)+IFERROR(VLOOKUP($A133,[4]库存使用数据!$A:$D,4,0),0)+IFERROR(VLOOKUP($A133,[5]库存使用数据!$A:$D,4,0),0)</f>
        <v>0</v>
      </c>
      <c r="E133" s="1">
        <f ca="1">IFERROR(VLOOKUP($A133,[1]库存使用数据!$A:$E,5,0),0)+IFERROR(VLOOKUP($A133,[2]库存使用数据!$A:$E,5,0),0)+IFERROR(VLOOKUP($A133,[3]库存使用数据!$A:$E,5,0),0)+IFERROR(VLOOKUP($A133,[4]库存使用数据!$A:$E,5,0),0)+IFERROR(VLOOKUP($A133,[5]库存使用数据!$A:$E,5,0),0)</f>
        <v>1185</v>
      </c>
      <c r="F133" s="1">
        <f ca="1">IFERROR(VLOOKUP($A133,[1]库存使用数据!$A:$F,6,0),0)+IFERROR(VLOOKUP($A133,[2]库存使用数据!$A:$F,6,0),0)+IFERROR(VLOOKUP($A133,[4]库存使用数据!$A:$F,6,0),0)+IFERROR(VLOOKUP($A133,[3]库存使用数据!$A:$F,6,0),0)+IFERROR(VLOOKUP($A133,[5]库存使用数据!$A:$F,6,0),0)</f>
        <v>0</v>
      </c>
      <c r="G133" s="1">
        <f ca="1">IFERROR(VLOOKUP($A133,[1]库存使用数据!$A:$G,7,0),0)+IFERROR(VLOOKUP($A133,[2]库存使用数据!$A:$G,7,0),0)+公式!$B$14*IFERROR(VLOOKUP($A133,[3]库存使用数据!$A:$G,7,0),0)+IFERROR(VLOOKUP($A133,[4]库存使用数据!$A:$G,7,0),0)+IFERROR(VLOOKUP($A133,[5]库存使用数据!$A:$G,7,0),0)</f>
        <v>0</v>
      </c>
      <c r="H133" s="1">
        <f ca="1">IFERROR(VLOOKUP($A133,[1]库存使用数据!$A:$H,8,0),0)+IFERROR(VLOOKUP($A133,[2]库存使用数据!$A:$H,8,0),0)+IFERROR(VLOOKUP($A133,[3]库存使用数据!$A:$H,8,0),0)+IFERROR(VLOOKUP($A133,[4]库存使用数据!$A:$H,8,0),0)+IFERROR(VLOOKUP($A133,[5]库存使用数据!$A:$H,8,0),0)</f>
        <v>88</v>
      </c>
      <c r="I133" s="1">
        <f ca="1">IFERROR(VLOOKUP($A133,[1]库存使用数据!$A:$I,9,0),0)+IFERROR(VLOOKUP($A133,[2]库存使用数据!$A:$I,9,0),0)+IFERROR(VLOOKUP($A133,[3]库存使用数据!$A:$I,9,0),0)+IFERROR(VLOOKUP($A133,[4]库存使用数据!$A:$I,9,0),0)+IFERROR(VLOOKUP($A133,[5]库存使用数据!$A:$I,9,0),0)</f>
        <v>1</v>
      </c>
      <c r="J133" s="1">
        <f ca="1">IFERROR(VLOOKUP($A133,[1]库存使用数据!$A:$J,10,0),0)+IFERROR(VLOOKUP($A133,[2]库存使用数据!$A:$J,10,0),0)+公式!$B$14*IFERROR(VLOOKUP($A133,[3]库存使用数据!$A:$J,10,0),0)+IFERROR(VLOOKUP($A133,[4]库存使用数据!$A:$J,10,0),0)+IFERROR(VLOOKUP($A133,[5]库存使用数据!$A:$J,10,0),0)</f>
        <v>0.26</v>
      </c>
      <c r="K133" s="1">
        <f ca="1">IFERROR(VLOOKUP($A133,[1]库存使用数据!$A:$K,11,0),0)+IFERROR(VLOOKUP($A133,[2]库存使用数据!$A:$K,11,0),0)+IFERROR(VLOOKUP($A133,[3]库存使用数据!$A:$K,11,0),0)+IFERROR(VLOOKUP($A133,[4]库存使用数据!$A:$K,11,0),0)+IFERROR(VLOOKUP($A133,[5]库存使用数据!$A:$K,11,0),0)</f>
        <v>48</v>
      </c>
      <c r="L133" s="1">
        <f ca="1">IFERROR(VLOOKUP($A133,[1]库存使用数据!$A:$L,12,0),0)+IFERROR(VLOOKUP($A133,[2]库存使用数据!$A:$L,12,0),0)+IFERROR(VLOOKUP($A133,[3]库存使用数据!$A:$L,12,0),0)+IFERROR(VLOOKUP($A133,[4]库存使用数据!$A:$L,12,0),0)+IFERROR(VLOOKUP($A133,[5]库存使用数据!$A:$L,12,0),0)</f>
        <v>0</v>
      </c>
      <c r="M133" s="1">
        <f ca="1">IFERROR(VLOOKUP($A133,[1]库存使用数据!$A:$M,13,0),0)+IFERROR(VLOOKUP($A133,[2]库存使用数据!$A:$M,13,0),0)+公式!$B$14*IFERROR(VLOOKUP($A133,[3]库存使用数据!$A:$M,13,0),0)+IFERROR(VLOOKUP($A133,[4]库存使用数据!$A:$M,13,0),0)+IFERROR(VLOOKUP($A133,[5]库存使用数据!$A:$M,13,0),0)</f>
        <v>0</v>
      </c>
    </row>
    <row r="134" spans="1:13">
      <c r="A134" s="5" t="s">
        <v>139</v>
      </c>
      <c r="B134" s="2">
        <f ca="1">IFERROR(VLOOKUP(A134,[1]库存使用数据!$A:$B,2,0),0)+IFERROR(VLOOKUP(A134,[2]库存使用数据!$A:$B,2,0),0)+IFERROR(VLOOKUP(,[3]库存使用数据!$A:$B,2,0),0)+IFERROR(VLOOKUP(A134,[4]库存使用数据!$A:$B,2,0),0)+IFERROR(VLOOKUP(A134,[5]库存使用数据!$A:$B,2,0),0)</f>
        <v>82</v>
      </c>
      <c r="C134" s="1">
        <f ca="1">IFERROR(VLOOKUP($A134,[1]库存使用数据!$A:$C,3,0),0)+IFERROR(VLOOKUP($A134,[2]库存使用数据!$A:$C,3,0),0)+IFERROR(VLOOKUP($A134,[3]库存使用数据!$A:$C,3,0),0)+IFERROR(VLOOKUP($A134,[4]库存使用数据!$A:$C,3,0),0)+IFERROR(VLOOKUP($A134,[5]库存使用数据!$A:$C,3,0),0)</f>
        <v>0</v>
      </c>
      <c r="D134" s="1">
        <f ca="1">IFERROR(VLOOKUP($A134,[1]库存使用数据!$A:$D,4,0),0)+IFERROR(VLOOKUP($A134,[2]库存使用数据!$A:$D,4,0),0)+公式!$B$1*IFERROR(VLOOKUP($A134,[3]库存使用数据!$A:$D,4,0),0)+IFERROR(VLOOKUP($A134,[4]库存使用数据!$A:$D,4,0),0)+IFERROR(VLOOKUP($A134,[5]库存使用数据!$A:$D,4,0),0)</f>
        <v>0</v>
      </c>
      <c r="E134" s="1">
        <f ca="1">IFERROR(VLOOKUP($A134,[1]库存使用数据!$A:$E,5,0),0)+IFERROR(VLOOKUP($A134,[2]库存使用数据!$A:$E,5,0),0)+IFERROR(VLOOKUP($A134,[3]库存使用数据!$A:$E,5,0),0)+IFERROR(VLOOKUP($A134,[4]库存使用数据!$A:$E,5,0),0)+IFERROR(VLOOKUP($A134,[5]库存使用数据!$A:$E,5,0),0)</f>
        <v>549</v>
      </c>
      <c r="F134" s="1">
        <f ca="1">IFERROR(VLOOKUP($A134,[1]库存使用数据!$A:$F,6,0),0)+IFERROR(VLOOKUP($A134,[2]库存使用数据!$A:$F,6,0),0)+IFERROR(VLOOKUP($A134,[4]库存使用数据!$A:$F,6,0),0)+IFERROR(VLOOKUP($A134,[3]库存使用数据!$A:$F,6,0),0)+IFERROR(VLOOKUP($A134,[5]库存使用数据!$A:$F,6,0),0)</f>
        <v>1</v>
      </c>
      <c r="G134" s="1">
        <f ca="1">IFERROR(VLOOKUP($A134,[1]库存使用数据!$A:$G,7,0),0)+IFERROR(VLOOKUP($A134,[2]库存使用数据!$A:$G,7,0),0)+公式!$B$14*IFERROR(VLOOKUP($A134,[3]库存使用数据!$A:$G,7,0),0)+IFERROR(VLOOKUP($A134,[4]库存使用数据!$A:$G,7,0),0)+IFERROR(VLOOKUP($A134,[5]库存使用数据!$A:$G,7,0),0)</f>
        <v>0.17</v>
      </c>
      <c r="H134" s="1">
        <f ca="1">IFERROR(VLOOKUP($A134,[1]库存使用数据!$A:$H,8,0),0)+IFERROR(VLOOKUP($A134,[2]库存使用数据!$A:$H,8,0),0)+IFERROR(VLOOKUP($A134,[3]库存使用数据!$A:$H,8,0),0)+IFERROR(VLOOKUP($A134,[4]库存使用数据!$A:$H,8,0),0)+IFERROR(VLOOKUP($A134,[5]库存使用数据!$A:$H,8,0),0)</f>
        <v>77</v>
      </c>
      <c r="I134" s="1">
        <f ca="1">IFERROR(VLOOKUP($A134,[1]库存使用数据!$A:$I,9,0),0)+IFERROR(VLOOKUP($A134,[2]库存使用数据!$A:$I,9,0),0)+IFERROR(VLOOKUP($A134,[3]库存使用数据!$A:$I,9,0),0)+IFERROR(VLOOKUP($A134,[4]库存使用数据!$A:$I,9,0),0)+IFERROR(VLOOKUP($A134,[5]库存使用数据!$A:$I,9,0),0)</f>
        <v>0</v>
      </c>
      <c r="J134" s="1">
        <f ca="1">IFERROR(VLOOKUP($A134,[1]库存使用数据!$A:$J,10,0),0)+IFERROR(VLOOKUP($A134,[2]库存使用数据!$A:$J,10,0),0)+公式!$B$14*IFERROR(VLOOKUP($A134,[3]库存使用数据!$A:$J,10,0),0)+IFERROR(VLOOKUP($A134,[4]库存使用数据!$A:$J,10,0),0)+IFERROR(VLOOKUP($A134,[5]库存使用数据!$A:$J,10,0),0)</f>
        <v>0</v>
      </c>
      <c r="K134" s="1">
        <f ca="1">IFERROR(VLOOKUP($A134,[1]库存使用数据!$A:$K,11,0),0)+IFERROR(VLOOKUP($A134,[2]库存使用数据!$A:$K,11,0),0)+IFERROR(VLOOKUP($A134,[3]库存使用数据!$A:$K,11,0),0)+IFERROR(VLOOKUP($A134,[4]库存使用数据!$A:$K,11,0),0)+IFERROR(VLOOKUP($A134,[5]库存使用数据!$A:$K,11,0),0)</f>
        <v>29</v>
      </c>
      <c r="L134" s="1">
        <f ca="1">IFERROR(VLOOKUP($A134,[1]库存使用数据!$A:$L,12,0),0)+IFERROR(VLOOKUP($A134,[2]库存使用数据!$A:$L,12,0),0)+IFERROR(VLOOKUP($A134,[3]库存使用数据!$A:$L,12,0),0)+IFERROR(VLOOKUP($A134,[4]库存使用数据!$A:$L,12,0),0)+IFERROR(VLOOKUP($A134,[5]库存使用数据!$A:$L,12,0),0)</f>
        <v>0</v>
      </c>
      <c r="M134" s="1">
        <f ca="1">IFERROR(VLOOKUP($A134,[1]库存使用数据!$A:$M,13,0),0)+IFERROR(VLOOKUP($A134,[2]库存使用数据!$A:$M,13,0),0)+公式!$B$14*IFERROR(VLOOKUP($A134,[3]库存使用数据!$A:$M,13,0),0)+IFERROR(VLOOKUP($A134,[4]库存使用数据!$A:$M,13,0),0)+IFERROR(VLOOKUP($A134,[5]库存使用数据!$A:$M,13,0),0)</f>
        <v>0</v>
      </c>
    </row>
    <row r="135" spans="1:13">
      <c r="A135" s="5" t="s">
        <v>140</v>
      </c>
      <c r="B135" s="2">
        <f ca="1">IFERROR(VLOOKUP(A135,[1]库存使用数据!$A:$B,2,0),0)+IFERROR(VLOOKUP(A135,[2]库存使用数据!$A:$B,2,0),0)+IFERROR(VLOOKUP(,[3]库存使用数据!$A:$B,2,0),0)+IFERROR(VLOOKUP(A135,[4]库存使用数据!$A:$B,2,0),0)+IFERROR(VLOOKUP(A135,[5]库存使用数据!$A:$B,2,0),0)</f>
        <v>0</v>
      </c>
      <c r="C135" s="1">
        <f ca="1">IFERROR(VLOOKUP($A135,[1]库存使用数据!$A:$C,3,0),0)+IFERROR(VLOOKUP($A135,[2]库存使用数据!$A:$C,3,0),0)+IFERROR(VLOOKUP($A135,[3]库存使用数据!$A:$C,3,0),0)+IFERROR(VLOOKUP($A135,[4]库存使用数据!$A:$C,3,0),0)+IFERROR(VLOOKUP($A135,[5]库存使用数据!$A:$C,3,0),0)</f>
        <v>0</v>
      </c>
      <c r="D135" s="1">
        <f ca="1">IFERROR(VLOOKUP($A135,[1]库存使用数据!$A:$D,4,0),0)+IFERROR(VLOOKUP($A135,[2]库存使用数据!$A:$D,4,0),0)+公式!$B$1*IFERROR(VLOOKUP($A135,[3]库存使用数据!$A:$D,4,0),0)+IFERROR(VLOOKUP($A135,[4]库存使用数据!$A:$D,4,0),0)+IFERROR(VLOOKUP($A135,[5]库存使用数据!$A:$D,4,0),0)</f>
        <v>0</v>
      </c>
      <c r="E135" s="1">
        <f ca="1">IFERROR(VLOOKUP($A135,[1]库存使用数据!$A:$E,5,0),0)+IFERROR(VLOOKUP($A135,[2]库存使用数据!$A:$E,5,0),0)+IFERROR(VLOOKUP($A135,[3]库存使用数据!$A:$E,5,0),0)+IFERROR(VLOOKUP($A135,[4]库存使用数据!$A:$E,5,0),0)+IFERROR(VLOOKUP($A135,[5]库存使用数据!$A:$E,5,0),0)</f>
        <v>2860</v>
      </c>
      <c r="F135" s="1">
        <f ca="1">IFERROR(VLOOKUP($A135,[1]库存使用数据!$A:$F,6,0),0)+IFERROR(VLOOKUP($A135,[2]库存使用数据!$A:$F,6,0),0)+IFERROR(VLOOKUP($A135,[4]库存使用数据!$A:$F,6,0),0)+IFERROR(VLOOKUP($A135,[3]库存使用数据!$A:$F,6,0),0)+IFERROR(VLOOKUP($A135,[5]库存使用数据!$A:$F,6,0),0)</f>
        <v>16</v>
      </c>
      <c r="G135" s="1">
        <f ca="1">IFERROR(VLOOKUP($A135,[1]库存使用数据!$A:$G,7,0),0)+IFERROR(VLOOKUP($A135,[2]库存使用数据!$A:$G,7,0),0)+公式!$B$14*IFERROR(VLOOKUP($A135,[3]库存使用数据!$A:$G,7,0),0)+IFERROR(VLOOKUP($A135,[4]库存使用数据!$A:$G,7,0),0)+IFERROR(VLOOKUP($A135,[5]库存使用数据!$A:$G,7,0),0)</f>
        <v>3.74</v>
      </c>
      <c r="H135" s="1">
        <f ca="1">IFERROR(VLOOKUP($A135,[1]库存使用数据!$A:$H,8,0),0)+IFERROR(VLOOKUP($A135,[2]库存使用数据!$A:$H,8,0),0)+IFERROR(VLOOKUP($A135,[3]库存使用数据!$A:$H,8,0),0)+IFERROR(VLOOKUP($A135,[4]库存使用数据!$A:$H,8,0),0)+IFERROR(VLOOKUP($A135,[5]库存使用数据!$A:$H,8,0),0)</f>
        <v>4064</v>
      </c>
      <c r="I135" s="1">
        <f ca="1">IFERROR(VLOOKUP($A135,[1]库存使用数据!$A:$I,9,0),0)+IFERROR(VLOOKUP($A135,[2]库存使用数据!$A:$I,9,0),0)+IFERROR(VLOOKUP($A135,[3]库存使用数据!$A:$I,9,0),0)+IFERROR(VLOOKUP($A135,[4]库存使用数据!$A:$I,9,0),0)+IFERROR(VLOOKUP($A135,[5]库存使用数据!$A:$I,9,0),0)</f>
        <v>11</v>
      </c>
      <c r="J135" s="1">
        <f ca="1">IFERROR(VLOOKUP($A135,[1]库存使用数据!$A:$J,10,0),0)+IFERROR(VLOOKUP($A135,[2]库存使用数据!$A:$J,10,0),0)+公式!$B$14*IFERROR(VLOOKUP($A135,[3]库存使用数据!$A:$J,10,0),0)+IFERROR(VLOOKUP($A135,[4]库存使用数据!$A:$J,10,0),0)+IFERROR(VLOOKUP($A135,[5]库存使用数据!$A:$J,10,0),0)</f>
        <v>2.7</v>
      </c>
      <c r="K135" s="1">
        <f ca="1">IFERROR(VLOOKUP($A135,[1]库存使用数据!$A:$K,11,0),0)+IFERROR(VLOOKUP($A135,[2]库存使用数据!$A:$K,11,0),0)+IFERROR(VLOOKUP($A135,[3]库存使用数据!$A:$K,11,0),0)+IFERROR(VLOOKUP($A135,[4]库存使用数据!$A:$K,11,0),0)+IFERROR(VLOOKUP($A135,[5]库存使用数据!$A:$K,11,0),0)</f>
        <v>483</v>
      </c>
      <c r="L135" s="1">
        <f ca="1">IFERROR(VLOOKUP($A135,[1]库存使用数据!$A:$L,12,0),0)+IFERROR(VLOOKUP($A135,[2]库存使用数据!$A:$L,12,0),0)+IFERROR(VLOOKUP($A135,[3]库存使用数据!$A:$L,12,0),0)+IFERROR(VLOOKUP($A135,[4]库存使用数据!$A:$L,12,0),0)+IFERROR(VLOOKUP($A135,[5]库存使用数据!$A:$L,12,0),0)</f>
        <v>1</v>
      </c>
      <c r="M135" s="1">
        <f ca="1">IFERROR(VLOOKUP($A135,[1]库存使用数据!$A:$M,13,0),0)+IFERROR(VLOOKUP($A135,[2]库存使用数据!$A:$M,13,0),0)+公式!$B$14*IFERROR(VLOOKUP($A135,[3]库存使用数据!$A:$M,13,0),0)+IFERROR(VLOOKUP($A135,[4]库存使用数据!$A:$M,13,0),0)+IFERROR(VLOOKUP($A135,[5]库存使用数据!$A:$M,13,0),0)</f>
        <v>0.3</v>
      </c>
    </row>
    <row r="136" spans="1:13">
      <c r="A136" s="5" t="s">
        <v>141</v>
      </c>
      <c r="B136" s="2">
        <f ca="1">IFERROR(VLOOKUP(A136,[1]库存使用数据!$A:$B,2,0),0)+IFERROR(VLOOKUP(A136,[2]库存使用数据!$A:$B,2,0),0)+IFERROR(VLOOKUP(,[3]库存使用数据!$A:$B,2,0),0)+IFERROR(VLOOKUP(A136,[4]库存使用数据!$A:$B,2,0),0)+IFERROR(VLOOKUP(A136,[5]库存使用数据!$A:$B,2,0),0)</f>
        <v>0</v>
      </c>
      <c r="C136" s="1">
        <f ca="1">IFERROR(VLOOKUP($A136,[1]库存使用数据!$A:$C,3,0),0)+IFERROR(VLOOKUP($A136,[2]库存使用数据!$A:$C,3,0),0)+IFERROR(VLOOKUP($A136,[3]库存使用数据!$A:$C,3,0),0)+IFERROR(VLOOKUP($A136,[4]库存使用数据!$A:$C,3,0),0)+IFERROR(VLOOKUP($A136,[5]库存使用数据!$A:$C,3,0),0)</f>
        <v>0</v>
      </c>
      <c r="D136" s="1">
        <f ca="1">IFERROR(VLOOKUP($A136,[1]库存使用数据!$A:$D,4,0),0)+IFERROR(VLOOKUP($A136,[2]库存使用数据!$A:$D,4,0),0)+公式!$B$1*IFERROR(VLOOKUP($A136,[3]库存使用数据!$A:$D,4,0),0)+IFERROR(VLOOKUP($A136,[4]库存使用数据!$A:$D,4,0),0)+IFERROR(VLOOKUP($A136,[5]库存使用数据!$A:$D,4,0),0)</f>
        <v>0</v>
      </c>
      <c r="E136" s="1">
        <f ca="1">IFERROR(VLOOKUP($A136,[1]库存使用数据!$A:$E,5,0),0)+IFERROR(VLOOKUP($A136,[2]库存使用数据!$A:$E,5,0),0)+IFERROR(VLOOKUP($A136,[3]库存使用数据!$A:$E,5,0),0)+IFERROR(VLOOKUP($A136,[4]库存使用数据!$A:$E,5,0),0)+IFERROR(VLOOKUP($A136,[5]库存使用数据!$A:$E,5,0),0)</f>
        <v>366</v>
      </c>
      <c r="F136" s="1">
        <f ca="1">IFERROR(VLOOKUP($A136,[1]库存使用数据!$A:$F,6,0),0)+IFERROR(VLOOKUP($A136,[2]库存使用数据!$A:$F,6,0),0)+IFERROR(VLOOKUP($A136,[4]库存使用数据!$A:$F,6,0),0)+IFERROR(VLOOKUP($A136,[3]库存使用数据!$A:$F,6,0),0)+IFERROR(VLOOKUP($A136,[5]库存使用数据!$A:$F,6,0),0)</f>
        <v>0</v>
      </c>
      <c r="G136" s="1">
        <f ca="1">IFERROR(VLOOKUP($A136,[1]库存使用数据!$A:$G,7,0),0)+IFERROR(VLOOKUP($A136,[2]库存使用数据!$A:$G,7,0),0)+公式!$B$14*IFERROR(VLOOKUP($A136,[3]库存使用数据!$A:$G,7,0),0)+IFERROR(VLOOKUP($A136,[4]库存使用数据!$A:$G,7,0),0)+IFERROR(VLOOKUP($A136,[5]库存使用数据!$A:$G,7,0),0)</f>
        <v>0</v>
      </c>
      <c r="H136" s="1">
        <f ca="1">IFERROR(VLOOKUP($A136,[1]库存使用数据!$A:$H,8,0),0)+IFERROR(VLOOKUP($A136,[2]库存使用数据!$A:$H,8,0),0)+IFERROR(VLOOKUP($A136,[3]库存使用数据!$A:$H,8,0),0)+IFERROR(VLOOKUP($A136,[4]库存使用数据!$A:$H,8,0),0)+IFERROR(VLOOKUP($A136,[5]库存使用数据!$A:$H,8,0),0)</f>
        <v>5168</v>
      </c>
      <c r="I136" s="1">
        <f ca="1">IFERROR(VLOOKUP($A136,[1]库存使用数据!$A:$I,9,0),0)+IFERROR(VLOOKUP($A136,[2]库存使用数据!$A:$I,9,0),0)+IFERROR(VLOOKUP($A136,[3]库存使用数据!$A:$I,9,0),0)+IFERROR(VLOOKUP($A136,[4]库存使用数据!$A:$I,9,0),0)+IFERROR(VLOOKUP($A136,[5]库存使用数据!$A:$I,9,0),0)</f>
        <v>1</v>
      </c>
      <c r="J136" s="1">
        <f ca="1">IFERROR(VLOOKUP($A136,[1]库存使用数据!$A:$J,10,0),0)+IFERROR(VLOOKUP($A136,[2]库存使用数据!$A:$J,10,0),0)+公式!$B$14*IFERROR(VLOOKUP($A136,[3]库存使用数据!$A:$J,10,0),0)+IFERROR(VLOOKUP($A136,[4]库存使用数据!$A:$J,10,0),0)+IFERROR(VLOOKUP($A136,[5]库存使用数据!$A:$J,10,0),0)</f>
        <v>0.28</v>
      </c>
      <c r="K136" s="1">
        <f ca="1">IFERROR(VLOOKUP($A136,[1]库存使用数据!$A:$K,11,0),0)+IFERROR(VLOOKUP($A136,[2]库存使用数据!$A:$K,11,0),0)+IFERROR(VLOOKUP($A136,[3]库存使用数据!$A:$K,11,0),0)+IFERROR(VLOOKUP($A136,[4]库存使用数据!$A:$K,11,0),0)+IFERROR(VLOOKUP($A136,[5]库存使用数据!$A:$K,11,0),0)</f>
        <v>1281</v>
      </c>
      <c r="L136" s="1">
        <f ca="1">IFERROR(VLOOKUP($A136,[1]库存使用数据!$A:$L,12,0),0)+IFERROR(VLOOKUP($A136,[2]库存使用数据!$A:$L,12,0),0)+IFERROR(VLOOKUP($A136,[3]库存使用数据!$A:$L,12,0),0)+IFERROR(VLOOKUP($A136,[4]库存使用数据!$A:$L,12,0),0)+IFERROR(VLOOKUP($A136,[5]库存使用数据!$A:$L,12,0),0)</f>
        <v>1</v>
      </c>
      <c r="M136" s="1">
        <f ca="1">IFERROR(VLOOKUP($A136,[1]库存使用数据!$A:$M,13,0),0)+IFERROR(VLOOKUP($A136,[2]库存使用数据!$A:$M,13,0),0)+公式!$B$14*IFERROR(VLOOKUP($A136,[3]库存使用数据!$A:$M,13,0),0)+IFERROR(VLOOKUP($A136,[4]库存使用数据!$A:$M,13,0),0)+IFERROR(VLOOKUP($A136,[5]库存使用数据!$A:$M,13,0),0)</f>
        <v>0.14</v>
      </c>
    </row>
    <row r="137" spans="1:13">
      <c r="A137" s="5" t="s">
        <v>142</v>
      </c>
      <c r="B137" s="2">
        <f ca="1">IFERROR(VLOOKUP(A137,[1]库存使用数据!$A:$B,2,0),0)+IFERROR(VLOOKUP(A137,[2]库存使用数据!$A:$B,2,0),0)+IFERROR(VLOOKUP(,[3]库存使用数据!$A:$B,2,0),0)+IFERROR(VLOOKUP(A137,[4]库存使用数据!$A:$B,2,0),0)+IFERROR(VLOOKUP(A137,[5]库存使用数据!$A:$B,2,0),0)</f>
        <v>63</v>
      </c>
      <c r="C137" s="1">
        <f ca="1">IFERROR(VLOOKUP($A137,[1]库存使用数据!$A:$C,3,0),0)+IFERROR(VLOOKUP($A137,[2]库存使用数据!$A:$C,3,0),0)+IFERROR(VLOOKUP($A137,[3]库存使用数据!$A:$C,3,0),0)+IFERROR(VLOOKUP($A137,[4]库存使用数据!$A:$C,3,0),0)+IFERROR(VLOOKUP($A137,[5]库存使用数据!$A:$C,3,0),0)</f>
        <v>0</v>
      </c>
      <c r="D137" s="1">
        <f ca="1">IFERROR(VLOOKUP($A137,[1]库存使用数据!$A:$D,4,0),0)+IFERROR(VLOOKUP($A137,[2]库存使用数据!$A:$D,4,0),0)+公式!$B$1*IFERROR(VLOOKUP($A137,[3]库存使用数据!$A:$D,4,0),0)+IFERROR(VLOOKUP($A137,[4]库存使用数据!$A:$D,4,0),0)+IFERROR(VLOOKUP($A137,[5]库存使用数据!$A:$D,4,0),0)</f>
        <v>0</v>
      </c>
      <c r="E137" s="1">
        <f ca="1">IFERROR(VLOOKUP($A137,[1]库存使用数据!$A:$E,5,0),0)+IFERROR(VLOOKUP($A137,[2]库存使用数据!$A:$E,5,0),0)+IFERROR(VLOOKUP($A137,[3]库存使用数据!$A:$E,5,0),0)+IFERROR(VLOOKUP($A137,[4]库存使用数据!$A:$E,5,0),0)+IFERROR(VLOOKUP($A137,[5]库存使用数据!$A:$E,5,0),0)</f>
        <v>725</v>
      </c>
      <c r="F137" s="1">
        <f ca="1">IFERROR(VLOOKUP($A137,[1]库存使用数据!$A:$F,6,0),0)+IFERROR(VLOOKUP($A137,[2]库存使用数据!$A:$F,6,0),0)+IFERROR(VLOOKUP($A137,[4]库存使用数据!$A:$F,6,0),0)+IFERROR(VLOOKUP($A137,[3]库存使用数据!$A:$F,6,0),0)+IFERROR(VLOOKUP($A137,[5]库存使用数据!$A:$F,6,0),0)</f>
        <v>2</v>
      </c>
      <c r="G137" s="1">
        <f ca="1">IFERROR(VLOOKUP($A137,[1]库存使用数据!$A:$G,7,0),0)+IFERROR(VLOOKUP($A137,[2]库存使用数据!$A:$G,7,0),0)+公式!$B$14*IFERROR(VLOOKUP($A137,[3]库存使用数据!$A:$G,7,0),0)+IFERROR(VLOOKUP($A137,[4]库存使用数据!$A:$G,7,0),0)+IFERROR(VLOOKUP($A137,[5]库存使用数据!$A:$G,7,0),0)</f>
        <v>0.4</v>
      </c>
      <c r="H137" s="1">
        <f ca="1">IFERROR(VLOOKUP($A137,[1]库存使用数据!$A:$H,8,0),0)+IFERROR(VLOOKUP($A137,[2]库存使用数据!$A:$H,8,0),0)+IFERROR(VLOOKUP($A137,[3]库存使用数据!$A:$H,8,0),0)+IFERROR(VLOOKUP($A137,[4]库存使用数据!$A:$H,8,0),0)+IFERROR(VLOOKUP($A137,[5]库存使用数据!$A:$H,8,0),0)</f>
        <v>180</v>
      </c>
      <c r="I137" s="1">
        <f ca="1">IFERROR(VLOOKUP($A137,[1]库存使用数据!$A:$I,9,0),0)+IFERROR(VLOOKUP($A137,[2]库存使用数据!$A:$I,9,0),0)+IFERROR(VLOOKUP($A137,[3]库存使用数据!$A:$I,9,0),0)+IFERROR(VLOOKUP($A137,[4]库存使用数据!$A:$I,9,0),0)+IFERROR(VLOOKUP($A137,[5]库存使用数据!$A:$I,9,0),0)</f>
        <v>1</v>
      </c>
      <c r="J137" s="1">
        <f ca="1">IFERROR(VLOOKUP($A137,[1]库存使用数据!$A:$J,10,0),0)+IFERROR(VLOOKUP($A137,[2]库存使用数据!$A:$J,10,0),0)+公式!$B$14*IFERROR(VLOOKUP($A137,[3]库存使用数据!$A:$J,10,0),0)+IFERROR(VLOOKUP($A137,[4]库存使用数据!$A:$J,10,0),0)+IFERROR(VLOOKUP($A137,[5]库存使用数据!$A:$J,10,0),0)</f>
        <v>0.26</v>
      </c>
      <c r="K137" s="1">
        <f ca="1">IFERROR(VLOOKUP($A137,[1]库存使用数据!$A:$K,11,0),0)+IFERROR(VLOOKUP($A137,[2]库存使用数据!$A:$K,11,0),0)+IFERROR(VLOOKUP($A137,[3]库存使用数据!$A:$K,11,0),0)+IFERROR(VLOOKUP($A137,[4]库存使用数据!$A:$K,11,0),0)+IFERROR(VLOOKUP($A137,[5]库存使用数据!$A:$K,11,0),0)</f>
        <v>114</v>
      </c>
      <c r="L137" s="1">
        <f ca="1">IFERROR(VLOOKUP($A137,[1]库存使用数据!$A:$L,12,0),0)+IFERROR(VLOOKUP($A137,[2]库存使用数据!$A:$L,12,0),0)+IFERROR(VLOOKUP($A137,[3]库存使用数据!$A:$L,12,0),0)+IFERROR(VLOOKUP($A137,[4]库存使用数据!$A:$L,12,0),0)+IFERROR(VLOOKUP($A137,[5]库存使用数据!$A:$L,12,0),0)</f>
        <v>0</v>
      </c>
      <c r="M137" s="1">
        <f ca="1">IFERROR(VLOOKUP($A137,[1]库存使用数据!$A:$M,13,0),0)+IFERROR(VLOOKUP($A137,[2]库存使用数据!$A:$M,13,0),0)+公式!$B$14*IFERROR(VLOOKUP($A137,[3]库存使用数据!$A:$M,13,0),0)+IFERROR(VLOOKUP($A137,[4]库存使用数据!$A:$M,13,0),0)+IFERROR(VLOOKUP($A137,[5]库存使用数据!$A:$M,13,0),0)</f>
        <v>0</v>
      </c>
    </row>
    <row r="138" spans="1:13">
      <c r="A138" s="5" t="s">
        <v>143</v>
      </c>
      <c r="B138" s="2">
        <f ca="1">IFERROR(VLOOKUP(A138,[1]库存使用数据!$A:$B,2,0),0)+IFERROR(VLOOKUP(A138,[2]库存使用数据!$A:$B,2,0),0)+IFERROR(VLOOKUP(,[3]库存使用数据!$A:$B,2,0),0)+IFERROR(VLOOKUP(A138,[4]库存使用数据!$A:$B,2,0),0)+IFERROR(VLOOKUP(A138,[5]库存使用数据!$A:$B,2,0),0)</f>
        <v>0</v>
      </c>
      <c r="C138" s="1">
        <f ca="1">IFERROR(VLOOKUP($A138,[1]库存使用数据!$A:$C,3,0),0)+IFERROR(VLOOKUP($A138,[2]库存使用数据!$A:$C,3,0),0)+IFERROR(VLOOKUP($A138,[3]库存使用数据!$A:$C,3,0),0)+IFERROR(VLOOKUP($A138,[4]库存使用数据!$A:$C,3,0),0)+IFERROR(VLOOKUP($A138,[5]库存使用数据!$A:$C,3,0),0)</f>
        <v>0</v>
      </c>
      <c r="D138" s="1">
        <f ca="1">IFERROR(VLOOKUP($A138,[1]库存使用数据!$A:$D,4,0),0)+IFERROR(VLOOKUP($A138,[2]库存使用数据!$A:$D,4,0),0)+公式!$B$1*IFERROR(VLOOKUP($A138,[3]库存使用数据!$A:$D,4,0),0)+IFERROR(VLOOKUP($A138,[4]库存使用数据!$A:$D,4,0),0)+IFERROR(VLOOKUP($A138,[5]库存使用数据!$A:$D,4,0),0)</f>
        <v>0</v>
      </c>
      <c r="E138" s="1">
        <f ca="1">IFERROR(VLOOKUP($A138,[1]库存使用数据!$A:$E,5,0),0)+IFERROR(VLOOKUP($A138,[2]库存使用数据!$A:$E,5,0),0)+IFERROR(VLOOKUP($A138,[3]库存使用数据!$A:$E,5,0),0)+IFERROR(VLOOKUP($A138,[4]库存使用数据!$A:$E,5,0),0)+IFERROR(VLOOKUP($A138,[5]库存使用数据!$A:$E,5,0),0)</f>
        <v>550</v>
      </c>
      <c r="F138" s="1">
        <f ca="1">IFERROR(VLOOKUP($A138,[1]库存使用数据!$A:$F,6,0),0)+IFERROR(VLOOKUP($A138,[2]库存使用数据!$A:$F,6,0),0)+IFERROR(VLOOKUP($A138,[4]库存使用数据!$A:$F,6,0),0)+IFERROR(VLOOKUP($A138,[3]库存使用数据!$A:$F,6,0),0)+IFERROR(VLOOKUP($A138,[5]库存使用数据!$A:$F,6,0),0)</f>
        <v>12</v>
      </c>
      <c r="G138" s="1">
        <f ca="1">IFERROR(VLOOKUP($A138,[1]库存使用数据!$A:$G,7,0),0)+IFERROR(VLOOKUP($A138,[2]库存使用数据!$A:$G,7,0),0)+公式!$B$14*IFERROR(VLOOKUP($A138,[3]库存使用数据!$A:$G,7,0),0)+IFERROR(VLOOKUP($A138,[4]库存使用数据!$A:$G,7,0),0)+IFERROR(VLOOKUP($A138,[5]库存使用数据!$A:$G,7,0),0)</f>
        <v>2</v>
      </c>
      <c r="H138" s="1">
        <f ca="1">IFERROR(VLOOKUP($A138,[1]库存使用数据!$A:$H,8,0),0)+IFERROR(VLOOKUP($A138,[2]库存使用数据!$A:$H,8,0),0)+IFERROR(VLOOKUP($A138,[3]库存使用数据!$A:$H,8,0),0)+IFERROR(VLOOKUP($A138,[4]库存使用数据!$A:$H,8,0),0)+IFERROR(VLOOKUP($A138,[5]库存使用数据!$A:$H,8,0),0)</f>
        <v>533</v>
      </c>
      <c r="I138" s="1">
        <f ca="1">IFERROR(VLOOKUP($A138,[1]库存使用数据!$A:$I,9,0),0)+IFERROR(VLOOKUP($A138,[2]库存使用数据!$A:$I,9,0),0)+IFERROR(VLOOKUP($A138,[3]库存使用数据!$A:$I,9,0),0)+IFERROR(VLOOKUP($A138,[4]库存使用数据!$A:$I,9,0),0)+IFERROR(VLOOKUP($A138,[5]库存使用数据!$A:$I,9,0),0)</f>
        <v>5</v>
      </c>
      <c r="J138" s="1">
        <f ca="1">IFERROR(VLOOKUP($A138,[1]库存使用数据!$A:$J,10,0),0)+IFERROR(VLOOKUP($A138,[2]库存使用数据!$A:$J,10,0),0)+公式!$B$14*IFERROR(VLOOKUP($A138,[3]库存使用数据!$A:$J,10,0),0)+IFERROR(VLOOKUP($A138,[4]库存使用数据!$A:$J,10,0),0)+IFERROR(VLOOKUP($A138,[5]库存使用数据!$A:$J,10,0),0)</f>
        <v>0.63</v>
      </c>
      <c r="K138" s="1">
        <f ca="1">IFERROR(VLOOKUP($A138,[1]库存使用数据!$A:$K,11,0),0)+IFERROR(VLOOKUP($A138,[2]库存使用数据!$A:$K,11,0),0)+IFERROR(VLOOKUP($A138,[3]库存使用数据!$A:$K,11,0),0)+IFERROR(VLOOKUP($A138,[4]库存使用数据!$A:$K,11,0),0)+IFERROR(VLOOKUP($A138,[5]库存使用数据!$A:$K,11,0),0)</f>
        <v>1131</v>
      </c>
      <c r="L138" s="1">
        <f ca="1">IFERROR(VLOOKUP($A138,[1]库存使用数据!$A:$L,12,0),0)+IFERROR(VLOOKUP($A138,[2]库存使用数据!$A:$L,12,0),0)+IFERROR(VLOOKUP($A138,[3]库存使用数据!$A:$L,12,0),0)+IFERROR(VLOOKUP($A138,[4]库存使用数据!$A:$L,12,0),0)+IFERROR(VLOOKUP($A138,[5]库存使用数据!$A:$L,12,0),0)</f>
        <v>5</v>
      </c>
      <c r="M138" s="1">
        <f ca="1">IFERROR(VLOOKUP($A138,[1]库存使用数据!$A:$M,13,0),0)+IFERROR(VLOOKUP($A138,[2]库存使用数据!$A:$M,13,0),0)+公式!$B$14*IFERROR(VLOOKUP($A138,[3]库存使用数据!$A:$M,13,0),0)+IFERROR(VLOOKUP($A138,[4]库存使用数据!$A:$M,13,0),0)+IFERROR(VLOOKUP($A138,[5]库存使用数据!$A:$M,13,0),0)</f>
        <v>0.61</v>
      </c>
    </row>
    <row r="139" spans="1:13">
      <c r="A139" s="5" t="s">
        <v>144</v>
      </c>
      <c r="B139" s="2">
        <f ca="1">IFERROR(VLOOKUP(A139,[1]库存使用数据!$A:$B,2,0),0)+IFERROR(VLOOKUP(A139,[2]库存使用数据!$A:$B,2,0),0)+IFERROR(VLOOKUP(,[3]库存使用数据!$A:$B,2,0),0)+IFERROR(VLOOKUP(A139,[4]库存使用数据!$A:$B,2,0),0)+IFERROR(VLOOKUP(A139,[5]库存使用数据!$A:$B,2,0),0)</f>
        <v>0</v>
      </c>
      <c r="C139" s="1">
        <f ca="1">IFERROR(VLOOKUP($A139,[1]库存使用数据!$A:$C,3,0),0)+IFERROR(VLOOKUP($A139,[2]库存使用数据!$A:$C,3,0),0)+IFERROR(VLOOKUP($A139,[3]库存使用数据!$A:$C,3,0),0)+IFERROR(VLOOKUP($A139,[4]库存使用数据!$A:$C,3,0),0)+IFERROR(VLOOKUP($A139,[5]库存使用数据!$A:$C,3,0),0)</f>
        <v>24</v>
      </c>
      <c r="D139" s="1">
        <f ca="1">IFERROR(VLOOKUP($A139,[1]库存使用数据!$A:$D,4,0),0)+IFERROR(VLOOKUP($A139,[2]库存使用数据!$A:$D,4,0),0)+公式!$B$1*IFERROR(VLOOKUP($A139,[3]库存使用数据!$A:$D,4,0),0)+IFERROR(VLOOKUP($A139,[4]库存使用数据!$A:$D,4,0),0)+IFERROR(VLOOKUP($A139,[5]库存使用数据!$A:$D,4,0),0)</f>
        <v>2.9025</v>
      </c>
      <c r="E139" s="1">
        <f ca="1">IFERROR(VLOOKUP($A139,[1]库存使用数据!$A:$E,5,0),0)+IFERROR(VLOOKUP($A139,[2]库存使用数据!$A:$E,5,0),0)+IFERROR(VLOOKUP($A139,[3]库存使用数据!$A:$E,5,0),0)+IFERROR(VLOOKUP($A139,[4]库存使用数据!$A:$E,5,0),0)+IFERROR(VLOOKUP($A139,[5]库存使用数据!$A:$E,5,0),0)</f>
        <v>100513</v>
      </c>
      <c r="F139" s="1">
        <f ca="1">IFERROR(VLOOKUP($A139,[1]库存使用数据!$A:$F,6,0),0)+IFERROR(VLOOKUP($A139,[2]库存使用数据!$A:$F,6,0),0)+IFERROR(VLOOKUP($A139,[4]库存使用数据!$A:$F,6,0),0)+IFERROR(VLOOKUP($A139,[3]库存使用数据!$A:$F,6,0),0)+IFERROR(VLOOKUP($A139,[5]库存使用数据!$A:$F,6,0),0)</f>
        <v>633</v>
      </c>
      <c r="G139" s="1">
        <f ca="1">IFERROR(VLOOKUP($A139,[1]库存使用数据!$A:$G,7,0),0)+IFERROR(VLOOKUP($A139,[2]库存使用数据!$A:$G,7,0),0)+公式!$B$14*IFERROR(VLOOKUP($A139,[3]库存使用数据!$A:$G,7,0),0)+IFERROR(VLOOKUP($A139,[4]库存使用数据!$A:$G,7,0),0)+IFERROR(VLOOKUP($A139,[5]库存使用数据!$A:$G,7,0),0)</f>
        <v>87.14</v>
      </c>
      <c r="H139" s="1">
        <f ca="1">IFERROR(VLOOKUP($A139,[1]库存使用数据!$A:$H,8,0),0)+IFERROR(VLOOKUP($A139,[2]库存使用数据!$A:$H,8,0),0)+IFERROR(VLOOKUP($A139,[3]库存使用数据!$A:$H,8,0),0)+IFERROR(VLOOKUP($A139,[4]库存使用数据!$A:$H,8,0),0)+IFERROR(VLOOKUP($A139,[5]库存使用数据!$A:$H,8,0),0)</f>
        <v>14637</v>
      </c>
      <c r="I139" s="1">
        <f ca="1">IFERROR(VLOOKUP($A139,[1]库存使用数据!$A:$I,9,0),0)+IFERROR(VLOOKUP($A139,[2]库存使用数据!$A:$I,9,0),0)+IFERROR(VLOOKUP($A139,[3]库存使用数据!$A:$I,9,0),0)+IFERROR(VLOOKUP($A139,[4]库存使用数据!$A:$I,9,0),0)+IFERROR(VLOOKUP($A139,[5]库存使用数据!$A:$I,9,0),0)</f>
        <v>142</v>
      </c>
      <c r="J139" s="1">
        <f ca="1">IFERROR(VLOOKUP($A139,[1]库存使用数据!$A:$J,10,0),0)+IFERROR(VLOOKUP($A139,[2]库存使用数据!$A:$J,10,0),0)+公式!$B$14*IFERROR(VLOOKUP($A139,[3]库存使用数据!$A:$J,10,0),0)+IFERROR(VLOOKUP($A139,[4]库存使用数据!$A:$J,10,0),0)+IFERROR(VLOOKUP($A139,[5]库存使用数据!$A:$J,10,0),0)</f>
        <v>16.44</v>
      </c>
      <c r="K139" s="1">
        <f ca="1">IFERROR(VLOOKUP($A139,[1]库存使用数据!$A:$K,11,0),0)+IFERROR(VLOOKUP($A139,[2]库存使用数据!$A:$K,11,0),0)+IFERROR(VLOOKUP($A139,[3]库存使用数据!$A:$K,11,0),0)+IFERROR(VLOOKUP($A139,[4]库存使用数据!$A:$K,11,0),0)+IFERROR(VLOOKUP($A139,[5]库存使用数据!$A:$K,11,0),0)</f>
        <v>9167</v>
      </c>
      <c r="L139" s="1">
        <f ca="1">IFERROR(VLOOKUP($A139,[1]库存使用数据!$A:$L,12,0),0)+IFERROR(VLOOKUP($A139,[2]库存使用数据!$A:$L,12,0),0)+IFERROR(VLOOKUP($A139,[3]库存使用数据!$A:$L,12,0),0)+IFERROR(VLOOKUP($A139,[4]库存使用数据!$A:$L,12,0),0)+IFERROR(VLOOKUP($A139,[5]库存使用数据!$A:$L,12,0),0)</f>
        <v>48</v>
      </c>
      <c r="M139" s="1">
        <f ca="1">IFERROR(VLOOKUP($A139,[1]库存使用数据!$A:$M,13,0),0)+IFERROR(VLOOKUP($A139,[2]库存使用数据!$A:$M,13,0),0)+公式!$B$14*IFERROR(VLOOKUP($A139,[3]库存使用数据!$A:$M,13,0),0)+IFERROR(VLOOKUP($A139,[4]库存使用数据!$A:$M,13,0),0)+IFERROR(VLOOKUP($A139,[5]库存使用数据!$A:$M,13,0),0)</f>
        <v>6.44</v>
      </c>
    </row>
    <row r="140" spans="1:13">
      <c r="A140" s="5" t="s">
        <v>145</v>
      </c>
      <c r="B140" s="2">
        <f ca="1">IFERROR(VLOOKUP(A140,[1]库存使用数据!$A:$B,2,0),0)+IFERROR(VLOOKUP(A140,[2]库存使用数据!$A:$B,2,0),0)+IFERROR(VLOOKUP(,[3]库存使用数据!$A:$B,2,0),0)+IFERROR(VLOOKUP(A140,[4]库存使用数据!$A:$B,2,0),0)+IFERROR(VLOOKUP(A140,[5]库存使用数据!$A:$B,2,0),0)</f>
        <v>1927</v>
      </c>
      <c r="C140" s="1">
        <f ca="1">IFERROR(VLOOKUP($A140,[1]库存使用数据!$A:$C,3,0),0)+IFERROR(VLOOKUP($A140,[2]库存使用数据!$A:$C,3,0),0)+IFERROR(VLOOKUP($A140,[3]库存使用数据!$A:$C,3,0),0)+IFERROR(VLOOKUP($A140,[4]库存使用数据!$A:$C,3,0),0)+IFERROR(VLOOKUP($A140,[5]库存使用数据!$A:$C,3,0),0)</f>
        <v>12</v>
      </c>
      <c r="D140" s="1">
        <f ca="1">IFERROR(VLOOKUP($A140,[1]库存使用数据!$A:$D,4,0),0)+IFERROR(VLOOKUP($A140,[2]库存使用数据!$A:$D,4,0),0)+公式!$B$1*IFERROR(VLOOKUP($A140,[3]库存使用数据!$A:$D,4,0),0)+IFERROR(VLOOKUP($A140,[4]库存使用数据!$A:$D,4,0),0)+IFERROR(VLOOKUP($A140,[5]库存使用数据!$A:$D,4,0),0)</f>
        <v>1.18</v>
      </c>
      <c r="E140" s="1">
        <f ca="1">IFERROR(VLOOKUP($A140,[1]库存使用数据!$A:$E,5,0),0)+IFERROR(VLOOKUP($A140,[2]库存使用数据!$A:$E,5,0),0)+IFERROR(VLOOKUP($A140,[3]库存使用数据!$A:$E,5,0),0)+IFERROR(VLOOKUP($A140,[4]库存使用数据!$A:$E,5,0),0)+IFERROR(VLOOKUP($A140,[5]库存使用数据!$A:$E,5,0),0)</f>
        <v>8492</v>
      </c>
      <c r="F140" s="1">
        <f ca="1">IFERROR(VLOOKUP($A140,[1]库存使用数据!$A:$F,6,0),0)+IFERROR(VLOOKUP($A140,[2]库存使用数据!$A:$F,6,0),0)+IFERROR(VLOOKUP($A140,[4]库存使用数据!$A:$F,6,0),0)+IFERROR(VLOOKUP($A140,[3]库存使用数据!$A:$F,6,0),0)+IFERROR(VLOOKUP($A140,[5]库存使用数据!$A:$F,6,0),0)</f>
        <v>27</v>
      </c>
      <c r="G140" s="1">
        <f ca="1">IFERROR(VLOOKUP($A140,[1]库存使用数据!$A:$G,7,0),0)+IFERROR(VLOOKUP($A140,[2]库存使用数据!$A:$G,7,0),0)+公式!$B$14*IFERROR(VLOOKUP($A140,[3]库存使用数据!$A:$G,7,0),0)+IFERROR(VLOOKUP($A140,[4]库存使用数据!$A:$G,7,0),0)+IFERROR(VLOOKUP($A140,[5]库存使用数据!$A:$G,7,0),0)</f>
        <v>2.8</v>
      </c>
      <c r="H140" s="1">
        <f ca="1">IFERROR(VLOOKUP($A140,[1]库存使用数据!$A:$H,8,0),0)+IFERROR(VLOOKUP($A140,[2]库存使用数据!$A:$H,8,0),0)+IFERROR(VLOOKUP($A140,[3]库存使用数据!$A:$H,8,0),0)+IFERROR(VLOOKUP($A140,[4]库存使用数据!$A:$H,8,0),0)+IFERROR(VLOOKUP($A140,[5]库存使用数据!$A:$H,8,0),0)</f>
        <v>2248</v>
      </c>
      <c r="I140" s="1">
        <f ca="1">IFERROR(VLOOKUP($A140,[1]库存使用数据!$A:$I,9,0),0)+IFERROR(VLOOKUP($A140,[2]库存使用数据!$A:$I,9,0),0)+IFERROR(VLOOKUP($A140,[3]库存使用数据!$A:$I,9,0),0)+IFERROR(VLOOKUP($A140,[4]库存使用数据!$A:$I,9,0),0)+IFERROR(VLOOKUP($A140,[5]库存使用数据!$A:$I,9,0),0)</f>
        <v>9</v>
      </c>
      <c r="J140" s="1">
        <f ca="1">IFERROR(VLOOKUP($A140,[1]库存使用数据!$A:$J,10,0),0)+IFERROR(VLOOKUP($A140,[2]库存使用数据!$A:$J,10,0),0)+公式!$B$14*IFERROR(VLOOKUP($A140,[3]库存使用数据!$A:$J,10,0),0)+IFERROR(VLOOKUP($A140,[4]库存使用数据!$A:$J,10,0),0)+IFERROR(VLOOKUP($A140,[5]库存使用数据!$A:$J,10,0),0)</f>
        <v>0.99</v>
      </c>
      <c r="K140" s="1">
        <f ca="1">IFERROR(VLOOKUP($A140,[1]库存使用数据!$A:$K,11,0),0)+IFERROR(VLOOKUP($A140,[2]库存使用数据!$A:$K,11,0),0)+IFERROR(VLOOKUP($A140,[3]库存使用数据!$A:$K,11,0),0)+IFERROR(VLOOKUP($A140,[4]库存使用数据!$A:$K,11,0),0)+IFERROR(VLOOKUP($A140,[5]库存使用数据!$A:$K,11,0),0)</f>
        <v>0</v>
      </c>
      <c r="L140" s="1">
        <f ca="1">IFERROR(VLOOKUP($A140,[1]库存使用数据!$A:$L,12,0),0)+IFERROR(VLOOKUP($A140,[2]库存使用数据!$A:$L,12,0),0)+IFERROR(VLOOKUP($A140,[3]库存使用数据!$A:$L,12,0),0)+IFERROR(VLOOKUP($A140,[4]库存使用数据!$A:$L,12,0),0)+IFERROR(VLOOKUP($A140,[5]库存使用数据!$A:$L,12,0),0)</f>
        <v>0</v>
      </c>
      <c r="M140" s="1">
        <f ca="1">IFERROR(VLOOKUP($A140,[1]库存使用数据!$A:$M,13,0),0)+IFERROR(VLOOKUP($A140,[2]库存使用数据!$A:$M,13,0),0)+公式!$B$14*IFERROR(VLOOKUP($A140,[3]库存使用数据!$A:$M,13,0),0)+IFERROR(VLOOKUP($A140,[4]库存使用数据!$A:$M,13,0),0)+IFERROR(VLOOKUP($A140,[5]库存使用数据!$A:$M,13,0),0)</f>
        <v>0</v>
      </c>
    </row>
    <row r="141" spans="1:13">
      <c r="A141" s="5" t="s">
        <v>146</v>
      </c>
      <c r="B141" s="2">
        <f ca="1">IFERROR(VLOOKUP(A141,[1]库存使用数据!$A:$B,2,0),0)+IFERROR(VLOOKUP(A141,[2]库存使用数据!$A:$B,2,0),0)+IFERROR(VLOOKUP(,[3]库存使用数据!$A:$B,2,0),0)+IFERROR(VLOOKUP(A141,[4]库存使用数据!$A:$B,2,0),0)+IFERROR(VLOOKUP(A141,[5]库存使用数据!$A:$B,2,0),0)</f>
        <v>0</v>
      </c>
      <c r="C141" s="1">
        <f ca="1">IFERROR(VLOOKUP($A141,[1]库存使用数据!$A:$C,3,0),0)+IFERROR(VLOOKUP($A141,[2]库存使用数据!$A:$C,3,0),0)+IFERROR(VLOOKUP($A141,[3]库存使用数据!$A:$C,3,0),0)+IFERROR(VLOOKUP($A141,[4]库存使用数据!$A:$C,3,0),0)+IFERROR(VLOOKUP($A141,[5]库存使用数据!$A:$C,3,0),0)</f>
        <v>0</v>
      </c>
      <c r="D141" s="1">
        <f ca="1">IFERROR(VLOOKUP($A141,[1]库存使用数据!$A:$D,4,0),0)+IFERROR(VLOOKUP($A141,[2]库存使用数据!$A:$D,4,0),0)+公式!$B$1*IFERROR(VLOOKUP($A141,[3]库存使用数据!$A:$D,4,0),0)+IFERROR(VLOOKUP($A141,[4]库存使用数据!$A:$D,4,0),0)+IFERROR(VLOOKUP($A141,[5]库存使用数据!$A:$D,4,0),0)</f>
        <v>0</v>
      </c>
      <c r="E141" s="1">
        <f ca="1">IFERROR(VLOOKUP($A141,[1]库存使用数据!$A:$E,5,0),0)+IFERROR(VLOOKUP($A141,[2]库存使用数据!$A:$E,5,0),0)+IFERROR(VLOOKUP($A141,[3]库存使用数据!$A:$E,5,0),0)+IFERROR(VLOOKUP($A141,[4]库存使用数据!$A:$E,5,0),0)+IFERROR(VLOOKUP($A141,[5]库存使用数据!$A:$E,5,0),0)</f>
        <v>0</v>
      </c>
      <c r="F141" s="1">
        <f ca="1">IFERROR(VLOOKUP($A141,[1]库存使用数据!$A:$F,6,0),0)+IFERROR(VLOOKUP($A141,[2]库存使用数据!$A:$F,6,0),0)+IFERROR(VLOOKUP($A141,[4]库存使用数据!$A:$F,6,0),0)+IFERROR(VLOOKUP($A141,[3]库存使用数据!$A:$F,6,0),0)+IFERROR(VLOOKUP($A141,[5]库存使用数据!$A:$F,6,0),0)</f>
        <v>0</v>
      </c>
      <c r="G141" s="1">
        <f ca="1">IFERROR(VLOOKUP($A141,[1]库存使用数据!$A:$G,7,0),0)+IFERROR(VLOOKUP($A141,[2]库存使用数据!$A:$G,7,0),0)+公式!$B$14*IFERROR(VLOOKUP($A141,[3]库存使用数据!$A:$G,7,0),0)+IFERROR(VLOOKUP($A141,[4]库存使用数据!$A:$G,7,0),0)+IFERROR(VLOOKUP($A141,[5]库存使用数据!$A:$G,7,0),0)</f>
        <v>0</v>
      </c>
      <c r="H141" s="1">
        <f ca="1">IFERROR(VLOOKUP($A141,[1]库存使用数据!$A:$H,8,0),0)+IFERROR(VLOOKUP($A141,[2]库存使用数据!$A:$H,8,0),0)+IFERROR(VLOOKUP($A141,[3]库存使用数据!$A:$H,8,0),0)+IFERROR(VLOOKUP($A141,[4]库存使用数据!$A:$H,8,0),0)+IFERROR(VLOOKUP($A141,[5]库存使用数据!$A:$H,8,0),0)</f>
        <v>3970</v>
      </c>
      <c r="I141" s="1">
        <f ca="1">IFERROR(VLOOKUP($A141,[1]库存使用数据!$A:$I,9,0),0)+IFERROR(VLOOKUP($A141,[2]库存使用数据!$A:$I,9,0),0)+IFERROR(VLOOKUP($A141,[3]库存使用数据!$A:$I,9,0),0)+IFERROR(VLOOKUP($A141,[4]库存使用数据!$A:$I,9,0),0)+IFERROR(VLOOKUP($A141,[5]库存使用数据!$A:$I,9,0),0)</f>
        <v>61</v>
      </c>
      <c r="J141" s="1">
        <f ca="1">IFERROR(VLOOKUP($A141,[1]库存使用数据!$A:$J,10,0),0)+IFERROR(VLOOKUP($A141,[2]库存使用数据!$A:$J,10,0),0)+公式!$B$14*IFERROR(VLOOKUP($A141,[3]库存使用数据!$A:$J,10,0),0)+IFERROR(VLOOKUP($A141,[4]库存使用数据!$A:$J,10,0),0)+IFERROR(VLOOKUP($A141,[5]库存使用数据!$A:$J,10,0),0)</f>
        <v>14.15</v>
      </c>
      <c r="K141" s="1">
        <f ca="1">IFERROR(VLOOKUP($A141,[1]库存使用数据!$A:$K,11,0),0)+IFERROR(VLOOKUP($A141,[2]库存使用数据!$A:$K,11,0),0)+IFERROR(VLOOKUP($A141,[3]库存使用数据!$A:$K,11,0),0)+IFERROR(VLOOKUP($A141,[4]库存使用数据!$A:$K,11,0),0)+IFERROR(VLOOKUP($A141,[5]库存使用数据!$A:$K,11,0),0)</f>
        <v>2853</v>
      </c>
      <c r="L141" s="1">
        <f ca="1">IFERROR(VLOOKUP($A141,[1]库存使用数据!$A:$L,12,0),0)+IFERROR(VLOOKUP($A141,[2]库存使用数据!$A:$L,12,0),0)+IFERROR(VLOOKUP($A141,[3]库存使用数据!$A:$L,12,0),0)+IFERROR(VLOOKUP($A141,[4]库存使用数据!$A:$L,12,0),0)+IFERROR(VLOOKUP($A141,[5]库存使用数据!$A:$L,12,0),0)</f>
        <v>44</v>
      </c>
      <c r="M141" s="1">
        <f ca="1">IFERROR(VLOOKUP($A141,[1]库存使用数据!$A:$M,13,0),0)+IFERROR(VLOOKUP($A141,[2]库存使用数据!$A:$M,13,0),0)+公式!$B$14*IFERROR(VLOOKUP($A141,[3]库存使用数据!$A:$M,13,0),0)+IFERROR(VLOOKUP($A141,[4]库存使用数据!$A:$M,13,0),0)+IFERROR(VLOOKUP($A141,[5]库存使用数据!$A:$M,13,0),0)</f>
        <v>9.26</v>
      </c>
    </row>
    <row r="142" spans="1:13">
      <c r="A142" s="5" t="s">
        <v>147</v>
      </c>
      <c r="B142" s="2">
        <f ca="1">IFERROR(VLOOKUP(A142,[1]库存使用数据!$A:$B,2,0),0)+IFERROR(VLOOKUP(A142,[2]库存使用数据!$A:$B,2,0),0)+IFERROR(VLOOKUP(,[3]库存使用数据!$A:$B,2,0),0)+IFERROR(VLOOKUP(A142,[4]库存使用数据!$A:$B,2,0),0)+IFERROR(VLOOKUP(A142,[5]库存使用数据!$A:$B,2,0),0)</f>
        <v>0</v>
      </c>
      <c r="C142" s="1">
        <f ca="1">IFERROR(VLOOKUP($A142,[1]库存使用数据!$A:$C,3,0),0)+IFERROR(VLOOKUP($A142,[2]库存使用数据!$A:$C,3,0),0)+IFERROR(VLOOKUP($A142,[3]库存使用数据!$A:$C,3,0),0)+IFERROR(VLOOKUP($A142,[4]库存使用数据!$A:$C,3,0),0)+IFERROR(VLOOKUP($A142,[5]库存使用数据!$A:$C,3,0),0)</f>
        <v>0</v>
      </c>
      <c r="D142" s="1">
        <f ca="1">IFERROR(VLOOKUP($A142,[1]库存使用数据!$A:$D,4,0),0)+IFERROR(VLOOKUP($A142,[2]库存使用数据!$A:$D,4,0),0)+公式!$B$1*IFERROR(VLOOKUP($A142,[3]库存使用数据!$A:$D,4,0),0)+IFERROR(VLOOKUP($A142,[4]库存使用数据!$A:$D,4,0),0)+IFERROR(VLOOKUP($A142,[5]库存使用数据!$A:$D,4,0),0)</f>
        <v>0</v>
      </c>
      <c r="E142" s="1">
        <f ca="1">IFERROR(VLOOKUP($A142,[1]库存使用数据!$A:$E,5,0),0)+IFERROR(VLOOKUP($A142,[2]库存使用数据!$A:$E,5,0),0)+IFERROR(VLOOKUP($A142,[3]库存使用数据!$A:$E,5,0),0)+IFERROR(VLOOKUP($A142,[4]库存使用数据!$A:$E,5,0),0)+IFERROR(VLOOKUP($A142,[5]库存使用数据!$A:$E,5,0),0)</f>
        <v>3014</v>
      </c>
      <c r="F142" s="1">
        <f ca="1">IFERROR(VLOOKUP($A142,[1]库存使用数据!$A:$F,6,0),0)+IFERROR(VLOOKUP($A142,[2]库存使用数据!$A:$F,6,0),0)+IFERROR(VLOOKUP($A142,[4]库存使用数据!$A:$F,6,0),0)+IFERROR(VLOOKUP($A142,[3]库存使用数据!$A:$F,6,0),0)+IFERROR(VLOOKUP($A142,[5]库存使用数据!$A:$F,6,0),0)</f>
        <v>2</v>
      </c>
      <c r="G142" s="1">
        <f ca="1">IFERROR(VLOOKUP($A142,[1]库存使用数据!$A:$G,7,0),0)+IFERROR(VLOOKUP($A142,[2]库存使用数据!$A:$G,7,0),0)+公式!$B$14*IFERROR(VLOOKUP($A142,[3]库存使用数据!$A:$G,7,0),0)+IFERROR(VLOOKUP($A142,[4]库存使用数据!$A:$G,7,0),0)+IFERROR(VLOOKUP($A142,[5]库存使用数据!$A:$G,7,0),0)</f>
        <v>0.16</v>
      </c>
      <c r="H142" s="1">
        <f ca="1">IFERROR(VLOOKUP($A142,[1]库存使用数据!$A:$H,8,0),0)+IFERROR(VLOOKUP($A142,[2]库存使用数据!$A:$H,8,0),0)+IFERROR(VLOOKUP($A142,[3]库存使用数据!$A:$H,8,0),0)+IFERROR(VLOOKUP($A142,[4]库存使用数据!$A:$H,8,0),0)+IFERROR(VLOOKUP($A142,[5]库存使用数据!$A:$H,8,0),0)</f>
        <v>349</v>
      </c>
      <c r="I142" s="1">
        <f ca="1">IFERROR(VLOOKUP($A142,[1]库存使用数据!$A:$I,9,0),0)+IFERROR(VLOOKUP($A142,[2]库存使用数据!$A:$I,9,0),0)+IFERROR(VLOOKUP($A142,[3]库存使用数据!$A:$I,9,0),0)+IFERROR(VLOOKUP($A142,[4]库存使用数据!$A:$I,9,0),0)+IFERROR(VLOOKUP($A142,[5]库存使用数据!$A:$I,9,0),0)</f>
        <v>3</v>
      </c>
      <c r="J142" s="1">
        <f ca="1">IFERROR(VLOOKUP($A142,[1]库存使用数据!$A:$J,10,0),0)+IFERROR(VLOOKUP($A142,[2]库存使用数据!$A:$J,10,0),0)+公式!$B$14*IFERROR(VLOOKUP($A142,[3]库存使用数据!$A:$J,10,0),0)+IFERROR(VLOOKUP($A142,[4]库存使用数据!$A:$J,10,0),0)+IFERROR(VLOOKUP($A142,[5]库存使用数据!$A:$J,10,0),0)</f>
        <v>0.8</v>
      </c>
      <c r="K142" s="1">
        <f ca="1">IFERROR(VLOOKUP($A142,[1]库存使用数据!$A:$K,11,0),0)+IFERROR(VLOOKUP($A142,[2]库存使用数据!$A:$K,11,0),0)+IFERROR(VLOOKUP($A142,[3]库存使用数据!$A:$K,11,0),0)+IFERROR(VLOOKUP($A142,[4]库存使用数据!$A:$K,11,0),0)+IFERROR(VLOOKUP($A142,[5]库存使用数据!$A:$K,11,0),0)</f>
        <v>1069</v>
      </c>
      <c r="L142" s="1">
        <f ca="1">IFERROR(VLOOKUP($A142,[1]库存使用数据!$A:$L,12,0),0)+IFERROR(VLOOKUP($A142,[2]库存使用数据!$A:$L,12,0),0)+IFERROR(VLOOKUP($A142,[3]库存使用数据!$A:$L,12,0),0)+IFERROR(VLOOKUP($A142,[4]库存使用数据!$A:$L,12,0),0)+IFERROR(VLOOKUP($A142,[5]库存使用数据!$A:$L,12,0),0)</f>
        <v>1</v>
      </c>
      <c r="M142" s="1">
        <f ca="1">IFERROR(VLOOKUP($A142,[1]库存使用数据!$A:$M,13,0),0)+IFERROR(VLOOKUP($A142,[2]库存使用数据!$A:$M,13,0),0)+公式!$B$14*IFERROR(VLOOKUP($A142,[3]库存使用数据!$A:$M,13,0),0)+IFERROR(VLOOKUP($A142,[4]库存使用数据!$A:$M,13,0),0)+IFERROR(VLOOKUP($A142,[5]库存使用数据!$A:$M,13,0),0)</f>
        <v>0.3</v>
      </c>
    </row>
    <row r="143" spans="1:13">
      <c r="A143" s="5" t="s">
        <v>148</v>
      </c>
      <c r="B143" s="2">
        <f ca="1">IFERROR(VLOOKUP(A143,[1]库存使用数据!$A:$B,2,0),0)+IFERROR(VLOOKUP(A143,[2]库存使用数据!$A:$B,2,0),0)+IFERROR(VLOOKUP(,[3]库存使用数据!$A:$B,2,0),0)+IFERROR(VLOOKUP(A143,[4]库存使用数据!$A:$B,2,0),0)+IFERROR(VLOOKUP(A143,[5]库存使用数据!$A:$B,2,0),0)</f>
        <v>0</v>
      </c>
      <c r="C143" s="1">
        <f ca="1">IFERROR(VLOOKUP($A143,[1]库存使用数据!$A:$C,3,0),0)+IFERROR(VLOOKUP($A143,[2]库存使用数据!$A:$C,3,0),0)+IFERROR(VLOOKUP($A143,[3]库存使用数据!$A:$C,3,0),0)+IFERROR(VLOOKUP($A143,[4]库存使用数据!$A:$C,3,0),0)+IFERROR(VLOOKUP($A143,[5]库存使用数据!$A:$C,3,0),0)</f>
        <v>0</v>
      </c>
      <c r="D143" s="1">
        <f ca="1">IFERROR(VLOOKUP($A143,[1]库存使用数据!$A:$D,4,0),0)+IFERROR(VLOOKUP($A143,[2]库存使用数据!$A:$D,4,0),0)+公式!$B$1*IFERROR(VLOOKUP($A143,[3]库存使用数据!$A:$D,4,0),0)+IFERROR(VLOOKUP($A143,[4]库存使用数据!$A:$D,4,0),0)+IFERROR(VLOOKUP($A143,[5]库存使用数据!$A:$D,4,0),0)</f>
        <v>0</v>
      </c>
      <c r="E143" s="1">
        <f ca="1">IFERROR(VLOOKUP($A143,[1]库存使用数据!$A:$E,5,0),0)+IFERROR(VLOOKUP($A143,[2]库存使用数据!$A:$E,5,0),0)+IFERROR(VLOOKUP($A143,[3]库存使用数据!$A:$E,5,0),0)+IFERROR(VLOOKUP($A143,[4]库存使用数据!$A:$E,5,0),0)+IFERROR(VLOOKUP($A143,[5]库存使用数据!$A:$E,5,0),0)</f>
        <v>15552</v>
      </c>
      <c r="F143" s="1">
        <f ca="1">IFERROR(VLOOKUP($A143,[1]库存使用数据!$A:$F,6,0),0)+IFERROR(VLOOKUP($A143,[2]库存使用数据!$A:$F,6,0),0)+IFERROR(VLOOKUP($A143,[4]库存使用数据!$A:$F,6,0),0)+IFERROR(VLOOKUP($A143,[3]库存使用数据!$A:$F,6,0),0)+IFERROR(VLOOKUP($A143,[5]库存使用数据!$A:$F,6,0),0)</f>
        <v>38</v>
      </c>
      <c r="G143" s="1">
        <f ca="1">IFERROR(VLOOKUP($A143,[1]库存使用数据!$A:$G,7,0),0)+IFERROR(VLOOKUP($A143,[2]库存使用数据!$A:$G,7,0),0)+公式!$B$14*IFERROR(VLOOKUP($A143,[3]库存使用数据!$A:$G,7,0),0)+IFERROR(VLOOKUP($A143,[4]库存使用数据!$A:$G,7,0),0)+IFERROR(VLOOKUP($A143,[5]库存使用数据!$A:$G,7,0),0)</f>
        <v>8.58</v>
      </c>
      <c r="H143" s="1">
        <f ca="1">IFERROR(VLOOKUP($A143,[1]库存使用数据!$A:$H,8,0),0)+IFERROR(VLOOKUP($A143,[2]库存使用数据!$A:$H,8,0),0)+IFERROR(VLOOKUP($A143,[3]库存使用数据!$A:$H,8,0),0)+IFERROR(VLOOKUP($A143,[4]库存使用数据!$A:$H,8,0),0)+IFERROR(VLOOKUP($A143,[5]库存使用数据!$A:$H,8,0),0)</f>
        <v>1535</v>
      </c>
      <c r="I143" s="1">
        <f ca="1">IFERROR(VLOOKUP($A143,[1]库存使用数据!$A:$I,9,0),0)+IFERROR(VLOOKUP($A143,[2]库存使用数据!$A:$I,9,0),0)+IFERROR(VLOOKUP($A143,[3]库存使用数据!$A:$I,9,0),0)+IFERROR(VLOOKUP($A143,[4]库存使用数据!$A:$I,9,0),0)+IFERROR(VLOOKUP($A143,[5]库存使用数据!$A:$I,9,0),0)</f>
        <v>8</v>
      </c>
      <c r="J143" s="1">
        <f ca="1">IFERROR(VLOOKUP($A143,[1]库存使用数据!$A:$J,10,0),0)+IFERROR(VLOOKUP($A143,[2]库存使用数据!$A:$J,10,0),0)+公式!$B$14*IFERROR(VLOOKUP($A143,[3]库存使用数据!$A:$J,10,0),0)+IFERROR(VLOOKUP($A143,[4]库存使用数据!$A:$J,10,0),0)+IFERROR(VLOOKUP($A143,[5]库存使用数据!$A:$J,10,0),0)</f>
        <v>2.11</v>
      </c>
      <c r="K143" s="1">
        <f ca="1">IFERROR(VLOOKUP($A143,[1]库存使用数据!$A:$K,11,0),0)+IFERROR(VLOOKUP($A143,[2]库存使用数据!$A:$K,11,0),0)+IFERROR(VLOOKUP($A143,[3]库存使用数据!$A:$K,11,0),0)+IFERROR(VLOOKUP($A143,[4]库存使用数据!$A:$K,11,0),0)+IFERROR(VLOOKUP($A143,[5]库存使用数据!$A:$K,11,0),0)</f>
        <v>705</v>
      </c>
      <c r="L143" s="1">
        <f ca="1">IFERROR(VLOOKUP($A143,[1]库存使用数据!$A:$L,12,0),0)+IFERROR(VLOOKUP($A143,[2]库存使用数据!$A:$L,12,0),0)+IFERROR(VLOOKUP($A143,[3]库存使用数据!$A:$L,12,0),0)+IFERROR(VLOOKUP($A143,[4]库存使用数据!$A:$L,12,0),0)+IFERROR(VLOOKUP($A143,[5]库存使用数据!$A:$L,12,0),0)</f>
        <v>2</v>
      </c>
      <c r="M143" s="1">
        <f ca="1">IFERROR(VLOOKUP($A143,[1]库存使用数据!$A:$M,13,0),0)+IFERROR(VLOOKUP($A143,[2]库存使用数据!$A:$M,13,0),0)+公式!$B$14*IFERROR(VLOOKUP($A143,[3]库存使用数据!$A:$M,13,0),0)+IFERROR(VLOOKUP($A143,[4]库存使用数据!$A:$M,13,0),0)+IFERROR(VLOOKUP($A143,[5]库存使用数据!$A:$M,13,0),0)</f>
        <v>0.52</v>
      </c>
    </row>
    <row r="144" spans="1:13">
      <c r="A144" s="5" t="s">
        <v>149</v>
      </c>
      <c r="B144" s="2">
        <f ca="1">IFERROR(VLOOKUP(A144,[1]库存使用数据!$A:$B,2,0),0)+IFERROR(VLOOKUP(A144,[2]库存使用数据!$A:$B,2,0),0)+IFERROR(VLOOKUP(,[3]库存使用数据!$A:$B,2,0),0)+IFERROR(VLOOKUP(A144,[4]库存使用数据!$A:$B,2,0),0)+IFERROR(VLOOKUP(A144,[5]库存使用数据!$A:$B,2,0),0)</f>
        <v>2069</v>
      </c>
      <c r="C144" s="1">
        <f ca="1">IFERROR(VLOOKUP($A144,[1]库存使用数据!$A:$C,3,0),0)+IFERROR(VLOOKUP($A144,[2]库存使用数据!$A:$C,3,0),0)+IFERROR(VLOOKUP($A144,[3]库存使用数据!$A:$C,3,0),0)+IFERROR(VLOOKUP($A144,[4]库存使用数据!$A:$C,3,0),0)+IFERROR(VLOOKUP($A144,[5]库存使用数据!$A:$C,3,0),0)</f>
        <v>5</v>
      </c>
      <c r="D144" s="1">
        <f ca="1">IFERROR(VLOOKUP($A144,[1]库存使用数据!$A:$D,4,0),0)+IFERROR(VLOOKUP($A144,[2]库存使用数据!$A:$D,4,0),0)+公式!$B$1*IFERROR(VLOOKUP($A144,[3]库存使用数据!$A:$D,4,0),0)+IFERROR(VLOOKUP($A144,[4]库存使用数据!$A:$D,4,0),0)+IFERROR(VLOOKUP($A144,[5]库存使用数据!$A:$D,4,0),0)</f>
        <v>1.07</v>
      </c>
      <c r="E144" s="1">
        <f ca="1">IFERROR(VLOOKUP($A144,[1]库存使用数据!$A:$E,5,0),0)+IFERROR(VLOOKUP($A144,[2]库存使用数据!$A:$E,5,0),0)+IFERROR(VLOOKUP($A144,[3]库存使用数据!$A:$E,5,0),0)+IFERROR(VLOOKUP($A144,[4]库存使用数据!$A:$E,5,0),0)+IFERROR(VLOOKUP($A144,[5]库存使用数据!$A:$E,5,0),0)</f>
        <v>19688</v>
      </c>
      <c r="F144" s="1">
        <f ca="1">IFERROR(VLOOKUP($A144,[1]库存使用数据!$A:$F,6,0),0)+IFERROR(VLOOKUP($A144,[2]库存使用数据!$A:$F,6,0),0)+IFERROR(VLOOKUP($A144,[4]库存使用数据!$A:$F,6,0),0)+IFERROR(VLOOKUP($A144,[3]库存使用数据!$A:$F,6,0),0)+IFERROR(VLOOKUP($A144,[5]库存使用数据!$A:$F,6,0),0)</f>
        <v>67</v>
      </c>
      <c r="G144" s="1">
        <f ca="1">IFERROR(VLOOKUP($A144,[1]库存使用数据!$A:$G,7,0),0)+IFERROR(VLOOKUP($A144,[2]库存使用数据!$A:$G,7,0),0)+公式!$B$14*IFERROR(VLOOKUP($A144,[3]库存使用数据!$A:$G,7,0),0)+IFERROR(VLOOKUP($A144,[4]库存使用数据!$A:$G,7,0),0)+IFERROR(VLOOKUP($A144,[5]库存使用数据!$A:$G,7,0),0)</f>
        <v>12.65</v>
      </c>
      <c r="H144" s="1">
        <f ca="1">IFERROR(VLOOKUP($A144,[1]库存使用数据!$A:$H,8,0),0)+IFERROR(VLOOKUP($A144,[2]库存使用数据!$A:$H,8,0),0)+IFERROR(VLOOKUP($A144,[3]库存使用数据!$A:$H,8,0),0)+IFERROR(VLOOKUP($A144,[4]库存使用数据!$A:$H,8,0),0)+IFERROR(VLOOKUP($A144,[5]库存使用数据!$A:$H,8,0),0)</f>
        <v>3909</v>
      </c>
      <c r="I144" s="1">
        <f ca="1">IFERROR(VLOOKUP($A144,[1]库存使用数据!$A:$I,9,0),0)+IFERROR(VLOOKUP($A144,[2]库存使用数据!$A:$I,9,0),0)+IFERROR(VLOOKUP($A144,[3]库存使用数据!$A:$I,9,0),0)+IFERROR(VLOOKUP($A144,[4]库存使用数据!$A:$I,9,0),0)+IFERROR(VLOOKUP($A144,[5]库存使用数据!$A:$I,9,0),0)</f>
        <v>26</v>
      </c>
      <c r="J144" s="1">
        <f ca="1">IFERROR(VLOOKUP($A144,[1]库存使用数据!$A:$J,10,0),0)+IFERROR(VLOOKUP($A144,[2]库存使用数据!$A:$J,10,0),0)+公式!$B$14*IFERROR(VLOOKUP($A144,[3]库存使用数据!$A:$J,10,0),0)+IFERROR(VLOOKUP($A144,[4]库存使用数据!$A:$J,10,0),0)+IFERROR(VLOOKUP($A144,[5]库存使用数据!$A:$J,10,0),0)</f>
        <v>5.08</v>
      </c>
      <c r="K144" s="1">
        <f ca="1">IFERROR(VLOOKUP($A144,[1]库存使用数据!$A:$K,11,0),0)+IFERROR(VLOOKUP($A144,[2]库存使用数据!$A:$K,11,0),0)+IFERROR(VLOOKUP($A144,[3]库存使用数据!$A:$K,11,0),0)+IFERROR(VLOOKUP($A144,[4]库存使用数据!$A:$K,11,0),0)+IFERROR(VLOOKUP($A144,[5]库存使用数据!$A:$K,11,0),0)</f>
        <v>8572</v>
      </c>
      <c r="L144" s="1">
        <f ca="1">IFERROR(VLOOKUP($A144,[1]库存使用数据!$A:$L,12,0),0)+IFERROR(VLOOKUP($A144,[2]库存使用数据!$A:$L,12,0),0)+IFERROR(VLOOKUP($A144,[3]库存使用数据!$A:$L,12,0),0)+IFERROR(VLOOKUP($A144,[4]库存使用数据!$A:$L,12,0),0)+IFERROR(VLOOKUP($A144,[5]库存使用数据!$A:$L,12,0),0)</f>
        <v>29</v>
      </c>
      <c r="M144" s="1">
        <f ca="1">IFERROR(VLOOKUP($A144,[1]库存使用数据!$A:$M,13,0),0)+IFERROR(VLOOKUP($A144,[2]库存使用数据!$A:$M,13,0),0)+公式!$B$14*IFERROR(VLOOKUP($A144,[3]库存使用数据!$A:$M,13,0),0)+IFERROR(VLOOKUP($A144,[4]库存使用数据!$A:$M,13,0),0)+IFERROR(VLOOKUP($A144,[5]库存使用数据!$A:$M,13,0),0)</f>
        <v>6.55</v>
      </c>
    </row>
    <row r="145" spans="1:13">
      <c r="A145" s="5" t="s">
        <v>150</v>
      </c>
      <c r="B145" s="2">
        <f ca="1">IFERROR(VLOOKUP(A145,[1]库存使用数据!$A:$B,2,0),0)+IFERROR(VLOOKUP(A145,[2]库存使用数据!$A:$B,2,0),0)+IFERROR(VLOOKUP(,[3]库存使用数据!$A:$B,2,0),0)+IFERROR(VLOOKUP(A145,[4]库存使用数据!$A:$B,2,0),0)+IFERROR(VLOOKUP(A145,[5]库存使用数据!$A:$B,2,0),0)</f>
        <v>1636</v>
      </c>
      <c r="C145" s="1">
        <f ca="1">IFERROR(VLOOKUP($A145,[1]库存使用数据!$A:$C,3,0),0)+IFERROR(VLOOKUP($A145,[2]库存使用数据!$A:$C,3,0),0)+IFERROR(VLOOKUP($A145,[3]库存使用数据!$A:$C,3,0),0)+IFERROR(VLOOKUP($A145,[4]库存使用数据!$A:$C,3,0),0)+IFERROR(VLOOKUP($A145,[5]库存使用数据!$A:$C,3,0),0)</f>
        <v>5</v>
      </c>
      <c r="D145" s="1">
        <f ca="1">IFERROR(VLOOKUP($A145,[1]库存使用数据!$A:$D,4,0),0)+IFERROR(VLOOKUP($A145,[2]库存使用数据!$A:$D,4,0),0)+公式!$B$1*IFERROR(VLOOKUP($A145,[3]库存使用数据!$A:$D,4,0),0)+IFERROR(VLOOKUP($A145,[4]库存使用数据!$A:$D,4,0),0)+IFERROR(VLOOKUP($A145,[5]库存使用数据!$A:$D,4,0),0)</f>
        <v>1.17</v>
      </c>
      <c r="E145" s="1">
        <f ca="1">IFERROR(VLOOKUP($A145,[1]库存使用数据!$A:$E,5,0),0)+IFERROR(VLOOKUP($A145,[2]库存使用数据!$A:$E,5,0),0)+IFERROR(VLOOKUP($A145,[3]库存使用数据!$A:$E,5,0),0)+IFERROR(VLOOKUP($A145,[4]库存使用数据!$A:$E,5,0),0)+IFERROR(VLOOKUP($A145,[5]库存使用数据!$A:$E,5,0),0)</f>
        <v>82276</v>
      </c>
      <c r="F145" s="1">
        <f ca="1">IFERROR(VLOOKUP($A145,[1]库存使用数据!$A:$F,6,0),0)+IFERROR(VLOOKUP($A145,[2]库存使用数据!$A:$F,6,0),0)+IFERROR(VLOOKUP($A145,[4]库存使用数据!$A:$F,6,0),0)+IFERROR(VLOOKUP($A145,[3]库存使用数据!$A:$F,6,0),0)+IFERROR(VLOOKUP($A145,[5]库存使用数据!$A:$F,6,0),0)</f>
        <v>573</v>
      </c>
      <c r="G145" s="1">
        <f ca="1">IFERROR(VLOOKUP($A145,[1]库存使用数据!$A:$G,7,0),0)+IFERROR(VLOOKUP($A145,[2]库存使用数据!$A:$G,7,0),0)+公式!$B$14*IFERROR(VLOOKUP($A145,[3]库存使用数据!$A:$G,7,0),0)+IFERROR(VLOOKUP($A145,[4]库存使用数据!$A:$G,7,0),0)+IFERROR(VLOOKUP($A145,[5]库存使用数据!$A:$G,7,0),0)</f>
        <v>111.93</v>
      </c>
      <c r="H145" s="1">
        <f ca="1">IFERROR(VLOOKUP($A145,[1]库存使用数据!$A:$H,8,0),0)+IFERROR(VLOOKUP($A145,[2]库存使用数据!$A:$H,8,0),0)+IFERROR(VLOOKUP($A145,[3]库存使用数据!$A:$H,8,0),0)+IFERROR(VLOOKUP($A145,[4]库存使用数据!$A:$H,8,0),0)+IFERROR(VLOOKUP($A145,[5]库存使用数据!$A:$H,8,0),0)</f>
        <v>9474</v>
      </c>
      <c r="I145" s="1">
        <f ca="1">IFERROR(VLOOKUP($A145,[1]库存使用数据!$A:$I,9,0),0)+IFERROR(VLOOKUP($A145,[2]库存使用数据!$A:$I,9,0),0)+IFERROR(VLOOKUP($A145,[3]库存使用数据!$A:$I,9,0),0)+IFERROR(VLOOKUP($A145,[4]库存使用数据!$A:$I,9,0),0)+IFERROR(VLOOKUP($A145,[5]库存使用数据!$A:$I,9,0),0)</f>
        <v>145</v>
      </c>
      <c r="J145" s="1">
        <f ca="1">IFERROR(VLOOKUP($A145,[1]库存使用数据!$A:$J,10,0),0)+IFERROR(VLOOKUP($A145,[2]库存使用数据!$A:$J,10,0),0)+公式!$B$14*IFERROR(VLOOKUP($A145,[3]库存使用数据!$A:$J,10,0),0)+IFERROR(VLOOKUP($A145,[4]库存使用数据!$A:$J,10,0),0)+IFERROR(VLOOKUP($A145,[5]库存使用数据!$A:$J,10,0),0)</f>
        <v>27.22</v>
      </c>
      <c r="K145" s="1">
        <f ca="1">IFERROR(VLOOKUP($A145,[1]库存使用数据!$A:$K,11,0),0)+IFERROR(VLOOKUP($A145,[2]库存使用数据!$A:$K,11,0),0)+IFERROR(VLOOKUP($A145,[3]库存使用数据!$A:$K,11,0),0)+IFERROR(VLOOKUP($A145,[4]库存使用数据!$A:$K,11,0),0)+IFERROR(VLOOKUP($A145,[5]库存使用数据!$A:$K,11,0),0)</f>
        <v>550</v>
      </c>
      <c r="L145" s="1">
        <f ca="1">IFERROR(VLOOKUP($A145,[1]库存使用数据!$A:$L,12,0),0)+IFERROR(VLOOKUP($A145,[2]库存使用数据!$A:$L,12,0),0)+IFERROR(VLOOKUP($A145,[3]库存使用数据!$A:$L,12,0),0)+IFERROR(VLOOKUP($A145,[4]库存使用数据!$A:$L,12,0),0)+IFERROR(VLOOKUP($A145,[5]库存使用数据!$A:$L,12,0),0)</f>
        <v>6</v>
      </c>
      <c r="M145" s="1">
        <f ca="1">IFERROR(VLOOKUP($A145,[1]库存使用数据!$A:$M,13,0),0)+IFERROR(VLOOKUP($A145,[2]库存使用数据!$A:$M,13,0),0)+公式!$B$14*IFERROR(VLOOKUP($A145,[3]库存使用数据!$A:$M,13,0),0)+IFERROR(VLOOKUP($A145,[4]库存使用数据!$A:$M,13,0),0)+IFERROR(VLOOKUP($A145,[5]库存使用数据!$A:$M,13,0),0)</f>
        <v>0.85</v>
      </c>
    </row>
    <row r="146" spans="1:13">
      <c r="A146" s="5" t="s">
        <v>151</v>
      </c>
      <c r="B146" s="2">
        <f ca="1">IFERROR(VLOOKUP(A146,[1]库存使用数据!$A:$B,2,0),0)+IFERROR(VLOOKUP(A146,[2]库存使用数据!$A:$B,2,0),0)+IFERROR(VLOOKUP(,[3]库存使用数据!$A:$B,2,0),0)+IFERROR(VLOOKUP(A146,[4]库存使用数据!$A:$B,2,0),0)+IFERROR(VLOOKUP(A146,[5]库存使用数据!$A:$B,2,0),0)</f>
        <v>30573</v>
      </c>
      <c r="C146" s="1">
        <f ca="1">IFERROR(VLOOKUP($A146,[1]库存使用数据!$A:$C,3,0),0)+IFERROR(VLOOKUP($A146,[2]库存使用数据!$A:$C,3,0),0)+IFERROR(VLOOKUP($A146,[3]库存使用数据!$A:$C,3,0),0)+IFERROR(VLOOKUP($A146,[4]库存使用数据!$A:$C,3,0),0)+IFERROR(VLOOKUP($A146,[5]库存使用数据!$A:$C,3,0),0)</f>
        <v>251</v>
      </c>
      <c r="D146" s="1">
        <f ca="1">IFERROR(VLOOKUP($A146,[1]库存使用数据!$A:$D,4,0),0)+IFERROR(VLOOKUP($A146,[2]库存使用数据!$A:$D,4,0),0)+公式!$B$1*IFERROR(VLOOKUP($A146,[3]库存使用数据!$A:$D,4,0),0)+IFERROR(VLOOKUP($A146,[4]库存使用数据!$A:$D,4,0),0)+IFERROR(VLOOKUP($A146,[5]库存使用数据!$A:$D,4,0),0)</f>
        <v>45.33</v>
      </c>
      <c r="E146" s="1">
        <f ca="1">IFERROR(VLOOKUP($A146,[1]库存使用数据!$A:$E,5,0),0)+IFERROR(VLOOKUP($A146,[2]库存使用数据!$A:$E,5,0),0)+IFERROR(VLOOKUP($A146,[3]库存使用数据!$A:$E,5,0),0)+IFERROR(VLOOKUP($A146,[4]库存使用数据!$A:$E,5,0),0)+IFERROR(VLOOKUP($A146,[5]库存使用数据!$A:$E,5,0),0)</f>
        <v>51462</v>
      </c>
      <c r="F146" s="1">
        <f ca="1">IFERROR(VLOOKUP($A146,[1]库存使用数据!$A:$F,6,0),0)+IFERROR(VLOOKUP($A146,[2]库存使用数据!$A:$F,6,0),0)+IFERROR(VLOOKUP($A146,[4]库存使用数据!$A:$F,6,0),0)+IFERROR(VLOOKUP($A146,[3]库存使用数据!$A:$F,6,0),0)+IFERROR(VLOOKUP($A146,[5]库存使用数据!$A:$F,6,0),0)</f>
        <v>383</v>
      </c>
      <c r="G146" s="1">
        <f ca="1">IFERROR(VLOOKUP($A146,[1]库存使用数据!$A:$G,7,0),0)+IFERROR(VLOOKUP($A146,[2]库存使用数据!$A:$G,7,0),0)+公式!$B$14*IFERROR(VLOOKUP($A146,[3]库存使用数据!$A:$G,7,0),0)+IFERROR(VLOOKUP($A146,[4]库存使用数据!$A:$G,7,0),0)+IFERROR(VLOOKUP($A146,[5]库存使用数据!$A:$G,7,0),0)</f>
        <v>75.65</v>
      </c>
      <c r="H146" s="1">
        <f ca="1">IFERROR(VLOOKUP($A146,[1]库存使用数据!$A:$H,8,0),0)+IFERROR(VLOOKUP($A146,[2]库存使用数据!$A:$H,8,0),0)+IFERROR(VLOOKUP($A146,[3]库存使用数据!$A:$H,8,0),0)+IFERROR(VLOOKUP($A146,[4]库存使用数据!$A:$H,8,0),0)+IFERROR(VLOOKUP($A146,[5]库存使用数据!$A:$H,8,0),0)</f>
        <v>18695</v>
      </c>
      <c r="I146" s="1">
        <f ca="1">IFERROR(VLOOKUP($A146,[1]库存使用数据!$A:$I,9,0),0)+IFERROR(VLOOKUP($A146,[2]库存使用数据!$A:$I,9,0),0)+IFERROR(VLOOKUP($A146,[3]库存使用数据!$A:$I,9,0),0)+IFERROR(VLOOKUP($A146,[4]库存使用数据!$A:$I,9,0),0)+IFERROR(VLOOKUP($A146,[5]库存使用数据!$A:$I,9,0),0)</f>
        <v>241</v>
      </c>
      <c r="J146" s="1">
        <f ca="1">IFERROR(VLOOKUP($A146,[1]库存使用数据!$A:$J,10,0),0)+IFERROR(VLOOKUP($A146,[2]库存使用数据!$A:$J,10,0),0)+公式!$B$14*IFERROR(VLOOKUP($A146,[3]库存使用数据!$A:$J,10,0),0)+IFERROR(VLOOKUP($A146,[4]库存使用数据!$A:$J,10,0),0)+IFERROR(VLOOKUP($A146,[5]库存使用数据!$A:$J,10,0),0)</f>
        <v>49.38</v>
      </c>
      <c r="K146" s="1">
        <f ca="1">IFERROR(VLOOKUP($A146,[1]库存使用数据!$A:$K,11,0),0)+IFERROR(VLOOKUP($A146,[2]库存使用数据!$A:$K,11,0),0)+IFERROR(VLOOKUP($A146,[3]库存使用数据!$A:$K,11,0),0)+IFERROR(VLOOKUP($A146,[4]库存使用数据!$A:$K,11,0),0)+IFERROR(VLOOKUP($A146,[5]库存使用数据!$A:$K,11,0),0)</f>
        <v>34151</v>
      </c>
      <c r="L146" s="1">
        <f ca="1">IFERROR(VLOOKUP($A146,[1]库存使用数据!$A:$L,12,0),0)+IFERROR(VLOOKUP($A146,[2]库存使用数据!$A:$L,12,0),0)+IFERROR(VLOOKUP($A146,[3]库存使用数据!$A:$L,12,0),0)+IFERROR(VLOOKUP($A146,[4]库存使用数据!$A:$L,12,0),0)+IFERROR(VLOOKUP($A146,[5]库存使用数据!$A:$L,12,0),0)</f>
        <v>223</v>
      </c>
      <c r="M146" s="1">
        <f ca="1">IFERROR(VLOOKUP($A146,[1]库存使用数据!$A:$M,13,0),0)+IFERROR(VLOOKUP($A146,[2]库存使用数据!$A:$M,13,0),0)+公式!$B$14*IFERROR(VLOOKUP($A146,[3]库存使用数据!$A:$M,13,0),0)+IFERROR(VLOOKUP($A146,[4]库存使用数据!$A:$M,13,0),0)+IFERROR(VLOOKUP($A146,[5]库存使用数据!$A:$M,13,0),0)</f>
        <v>42.86</v>
      </c>
    </row>
    <row r="147" spans="1:13">
      <c r="A147" s="5" t="s">
        <v>152</v>
      </c>
      <c r="B147" s="2">
        <f ca="1">IFERROR(VLOOKUP(A147,[1]库存使用数据!$A:$B,2,0),0)+IFERROR(VLOOKUP(A147,[2]库存使用数据!$A:$B,2,0),0)+IFERROR(VLOOKUP(,[3]库存使用数据!$A:$B,2,0),0)+IFERROR(VLOOKUP(A147,[4]库存使用数据!$A:$B,2,0),0)+IFERROR(VLOOKUP(A147,[5]库存使用数据!$A:$B,2,0),0)</f>
        <v>6</v>
      </c>
      <c r="C147" s="1">
        <f ca="1">IFERROR(VLOOKUP($A147,[1]库存使用数据!$A:$C,3,0),0)+IFERROR(VLOOKUP($A147,[2]库存使用数据!$A:$C,3,0),0)+IFERROR(VLOOKUP($A147,[3]库存使用数据!$A:$C,3,0),0)+IFERROR(VLOOKUP($A147,[4]库存使用数据!$A:$C,3,0),0)+IFERROR(VLOOKUP($A147,[5]库存使用数据!$A:$C,3,0),0)</f>
        <v>0</v>
      </c>
      <c r="D147" s="1">
        <f ca="1">IFERROR(VLOOKUP($A147,[1]库存使用数据!$A:$D,4,0),0)+IFERROR(VLOOKUP($A147,[2]库存使用数据!$A:$D,4,0),0)+公式!$B$1*IFERROR(VLOOKUP($A147,[3]库存使用数据!$A:$D,4,0),0)+IFERROR(VLOOKUP($A147,[4]库存使用数据!$A:$D,4,0),0)+IFERROR(VLOOKUP($A147,[5]库存使用数据!$A:$D,4,0),0)</f>
        <v>0</v>
      </c>
      <c r="E147" s="1">
        <f ca="1">IFERROR(VLOOKUP($A147,[1]库存使用数据!$A:$E,5,0),0)+IFERROR(VLOOKUP($A147,[2]库存使用数据!$A:$E,5,0),0)+IFERROR(VLOOKUP($A147,[3]库存使用数据!$A:$E,5,0),0)+IFERROR(VLOOKUP($A147,[4]库存使用数据!$A:$E,5,0),0)+IFERROR(VLOOKUP($A147,[5]库存使用数据!$A:$E,5,0),0)</f>
        <v>0</v>
      </c>
      <c r="F147" s="1">
        <f ca="1">IFERROR(VLOOKUP($A147,[1]库存使用数据!$A:$F,6,0),0)+IFERROR(VLOOKUP($A147,[2]库存使用数据!$A:$F,6,0),0)+IFERROR(VLOOKUP($A147,[4]库存使用数据!$A:$F,6,0),0)+IFERROR(VLOOKUP($A147,[3]库存使用数据!$A:$F,6,0),0)+IFERROR(VLOOKUP($A147,[5]库存使用数据!$A:$F,6,0),0)</f>
        <v>0</v>
      </c>
      <c r="G147" s="1">
        <f ca="1">IFERROR(VLOOKUP($A147,[1]库存使用数据!$A:$G,7,0),0)+IFERROR(VLOOKUP($A147,[2]库存使用数据!$A:$G,7,0),0)+公式!$B$14*IFERROR(VLOOKUP($A147,[3]库存使用数据!$A:$G,7,0),0)+IFERROR(VLOOKUP($A147,[4]库存使用数据!$A:$G,7,0),0)+IFERROR(VLOOKUP($A147,[5]库存使用数据!$A:$G,7,0),0)</f>
        <v>0</v>
      </c>
      <c r="H147" s="1">
        <f ca="1">IFERROR(VLOOKUP($A147,[1]库存使用数据!$A:$H,8,0),0)+IFERROR(VLOOKUP($A147,[2]库存使用数据!$A:$H,8,0),0)+IFERROR(VLOOKUP($A147,[3]库存使用数据!$A:$H,8,0),0)+IFERROR(VLOOKUP($A147,[4]库存使用数据!$A:$H,8,0),0)+IFERROR(VLOOKUP($A147,[5]库存使用数据!$A:$H,8,0),0)</f>
        <v>2843</v>
      </c>
      <c r="I147" s="1">
        <f ca="1">IFERROR(VLOOKUP($A147,[1]库存使用数据!$A:$I,9,0),0)+IFERROR(VLOOKUP($A147,[2]库存使用数据!$A:$I,9,0),0)+IFERROR(VLOOKUP($A147,[3]库存使用数据!$A:$I,9,0),0)+IFERROR(VLOOKUP($A147,[4]库存使用数据!$A:$I,9,0),0)+IFERROR(VLOOKUP($A147,[5]库存使用数据!$A:$I,9,0),0)</f>
        <v>129</v>
      </c>
      <c r="J147" s="1">
        <f ca="1">IFERROR(VLOOKUP($A147,[1]库存使用数据!$A:$J,10,0),0)+IFERROR(VLOOKUP($A147,[2]库存使用数据!$A:$J,10,0),0)+公式!$B$14*IFERROR(VLOOKUP($A147,[3]库存使用数据!$A:$J,10,0),0)+IFERROR(VLOOKUP($A147,[4]库存使用数据!$A:$J,10,0),0)+IFERROR(VLOOKUP($A147,[5]库存使用数据!$A:$J,10,0),0)</f>
        <v>32.65</v>
      </c>
      <c r="K147" s="1">
        <f ca="1">IFERROR(VLOOKUP($A147,[1]库存使用数据!$A:$K,11,0),0)+IFERROR(VLOOKUP($A147,[2]库存使用数据!$A:$K,11,0),0)+IFERROR(VLOOKUP($A147,[3]库存使用数据!$A:$K,11,0),0)+IFERROR(VLOOKUP($A147,[4]库存使用数据!$A:$K,11,0),0)+IFERROR(VLOOKUP($A147,[5]库存使用数据!$A:$K,11,0),0)</f>
        <v>0</v>
      </c>
      <c r="L147" s="1">
        <f ca="1">IFERROR(VLOOKUP($A147,[1]库存使用数据!$A:$L,12,0),0)+IFERROR(VLOOKUP($A147,[2]库存使用数据!$A:$L,12,0),0)+IFERROR(VLOOKUP($A147,[3]库存使用数据!$A:$L,12,0),0)+IFERROR(VLOOKUP($A147,[4]库存使用数据!$A:$L,12,0),0)+IFERROR(VLOOKUP($A147,[5]库存使用数据!$A:$L,12,0),0)</f>
        <v>0</v>
      </c>
      <c r="M147" s="1">
        <f ca="1">IFERROR(VLOOKUP($A147,[1]库存使用数据!$A:$M,13,0),0)+IFERROR(VLOOKUP($A147,[2]库存使用数据!$A:$M,13,0),0)+公式!$B$14*IFERROR(VLOOKUP($A147,[3]库存使用数据!$A:$M,13,0),0)+IFERROR(VLOOKUP($A147,[4]库存使用数据!$A:$M,13,0),0)+IFERROR(VLOOKUP($A147,[5]库存使用数据!$A:$M,13,0),0)</f>
        <v>0</v>
      </c>
    </row>
    <row r="148" spans="1:13">
      <c r="A148" s="5" t="s">
        <v>153</v>
      </c>
      <c r="B148" s="2">
        <f ca="1">IFERROR(VLOOKUP(A148,[1]库存使用数据!$A:$B,2,0),0)+IFERROR(VLOOKUP(A148,[2]库存使用数据!$A:$B,2,0),0)+IFERROR(VLOOKUP(,[3]库存使用数据!$A:$B,2,0),0)+IFERROR(VLOOKUP(A148,[4]库存使用数据!$A:$B,2,0),0)+IFERROR(VLOOKUP(A148,[5]库存使用数据!$A:$B,2,0),0)</f>
        <v>87</v>
      </c>
      <c r="C148" s="1">
        <f ca="1">IFERROR(VLOOKUP($A148,[1]库存使用数据!$A:$C,3,0),0)+IFERROR(VLOOKUP($A148,[2]库存使用数据!$A:$C,3,0),0)+IFERROR(VLOOKUP($A148,[3]库存使用数据!$A:$C,3,0),0)+IFERROR(VLOOKUP($A148,[4]库存使用数据!$A:$C,3,0),0)+IFERROR(VLOOKUP($A148,[5]库存使用数据!$A:$C,3,0),0)</f>
        <v>0</v>
      </c>
      <c r="D148" s="1">
        <f ca="1">IFERROR(VLOOKUP($A148,[1]库存使用数据!$A:$D,4,0),0)+IFERROR(VLOOKUP($A148,[2]库存使用数据!$A:$D,4,0),0)+公式!$B$1*IFERROR(VLOOKUP($A148,[3]库存使用数据!$A:$D,4,0),0)+IFERROR(VLOOKUP($A148,[4]库存使用数据!$A:$D,4,0),0)+IFERROR(VLOOKUP($A148,[5]库存使用数据!$A:$D,4,0),0)</f>
        <v>0</v>
      </c>
      <c r="E148" s="1">
        <f ca="1">IFERROR(VLOOKUP($A148,[1]库存使用数据!$A:$E,5,0),0)+IFERROR(VLOOKUP($A148,[2]库存使用数据!$A:$E,5,0),0)+IFERROR(VLOOKUP($A148,[3]库存使用数据!$A:$E,5,0),0)+IFERROR(VLOOKUP($A148,[4]库存使用数据!$A:$E,5,0),0)+IFERROR(VLOOKUP($A148,[5]库存使用数据!$A:$E,5,0),0)</f>
        <v>618</v>
      </c>
      <c r="F148" s="1">
        <f ca="1">IFERROR(VLOOKUP($A148,[1]库存使用数据!$A:$F,6,0),0)+IFERROR(VLOOKUP($A148,[2]库存使用数据!$A:$F,6,0),0)+IFERROR(VLOOKUP($A148,[4]库存使用数据!$A:$F,6,0),0)+IFERROR(VLOOKUP($A148,[3]库存使用数据!$A:$F,6,0),0)+IFERROR(VLOOKUP($A148,[5]库存使用数据!$A:$F,6,0),0)</f>
        <v>4</v>
      </c>
      <c r="G148" s="1">
        <f ca="1">IFERROR(VLOOKUP($A148,[1]库存使用数据!$A:$G,7,0),0)+IFERROR(VLOOKUP($A148,[2]库存使用数据!$A:$G,7,0),0)+公式!$B$14*IFERROR(VLOOKUP($A148,[3]库存使用数据!$A:$G,7,0),0)+IFERROR(VLOOKUP($A148,[4]库存使用数据!$A:$G,7,0),0)+IFERROR(VLOOKUP($A148,[5]库存使用数据!$A:$G,7,0),0)</f>
        <v>0.68</v>
      </c>
      <c r="H148" s="1">
        <f ca="1">IFERROR(VLOOKUP($A148,[1]库存使用数据!$A:$H,8,0),0)+IFERROR(VLOOKUP($A148,[2]库存使用数据!$A:$H,8,0),0)+IFERROR(VLOOKUP($A148,[3]库存使用数据!$A:$H,8,0),0)+IFERROR(VLOOKUP($A148,[4]库存使用数据!$A:$H,8,0),0)+IFERROR(VLOOKUP($A148,[5]库存使用数据!$A:$H,8,0),0)</f>
        <v>15</v>
      </c>
      <c r="I148" s="1">
        <f ca="1">IFERROR(VLOOKUP($A148,[1]库存使用数据!$A:$I,9,0),0)+IFERROR(VLOOKUP($A148,[2]库存使用数据!$A:$I,9,0),0)+IFERROR(VLOOKUP($A148,[3]库存使用数据!$A:$I,9,0),0)+IFERROR(VLOOKUP($A148,[4]库存使用数据!$A:$I,9,0),0)+IFERROR(VLOOKUP($A148,[5]库存使用数据!$A:$I,9,0),0)</f>
        <v>0</v>
      </c>
      <c r="J148" s="1">
        <f ca="1">IFERROR(VLOOKUP($A148,[1]库存使用数据!$A:$J,10,0),0)+IFERROR(VLOOKUP($A148,[2]库存使用数据!$A:$J,10,0),0)+公式!$B$14*IFERROR(VLOOKUP($A148,[3]库存使用数据!$A:$J,10,0),0)+IFERROR(VLOOKUP($A148,[4]库存使用数据!$A:$J,10,0),0)+IFERROR(VLOOKUP($A148,[5]库存使用数据!$A:$J,10,0),0)</f>
        <v>0</v>
      </c>
      <c r="K148" s="1">
        <f ca="1">IFERROR(VLOOKUP($A148,[1]库存使用数据!$A:$K,11,0),0)+IFERROR(VLOOKUP($A148,[2]库存使用数据!$A:$K,11,0),0)+IFERROR(VLOOKUP($A148,[3]库存使用数据!$A:$K,11,0),0)+IFERROR(VLOOKUP($A148,[4]库存使用数据!$A:$K,11,0),0)+IFERROR(VLOOKUP($A148,[5]库存使用数据!$A:$K,11,0),0)</f>
        <v>23</v>
      </c>
      <c r="L148" s="1">
        <f ca="1">IFERROR(VLOOKUP($A148,[1]库存使用数据!$A:$L,12,0),0)+IFERROR(VLOOKUP($A148,[2]库存使用数据!$A:$L,12,0),0)+IFERROR(VLOOKUP($A148,[3]库存使用数据!$A:$L,12,0),0)+IFERROR(VLOOKUP($A148,[4]库存使用数据!$A:$L,12,0),0)+IFERROR(VLOOKUP($A148,[5]库存使用数据!$A:$L,12,0),0)</f>
        <v>0</v>
      </c>
      <c r="M148" s="1">
        <f ca="1">IFERROR(VLOOKUP($A148,[1]库存使用数据!$A:$M,13,0),0)+IFERROR(VLOOKUP($A148,[2]库存使用数据!$A:$M,13,0),0)+公式!$B$14*IFERROR(VLOOKUP($A148,[3]库存使用数据!$A:$M,13,0),0)+IFERROR(VLOOKUP($A148,[4]库存使用数据!$A:$M,13,0),0)+IFERROR(VLOOKUP($A148,[5]库存使用数据!$A:$M,13,0),0)</f>
        <v>0</v>
      </c>
    </row>
    <row r="149" spans="1:13">
      <c r="A149" s="5" t="s">
        <v>154</v>
      </c>
      <c r="B149" s="2">
        <f ca="1">IFERROR(VLOOKUP(A149,[1]库存使用数据!$A:$B,2,0),0)+IFERROR(VLOOKUP(A149,[2]库存使用数据!$A:$B,2,0),0)+IFERROR(VLOOKUP(,[3]库存使用数据!$A:$B,2,0),0)+IFERROR(VLOOKUP(A149,[4]库存使用数据!$A:$B,2,0),0)+IFERROR(VLOOKUP(A149,[5]库存使用数据!$A:$B,2,0),0)</f>
        <v>79</v>
      </c>
      <c r="C149" s="1">
        <f ca="1">IFERROR(VLOOKUP($A149,[1]库存使用数据!$A:$C,3,0),0)+IFERROR(VLOOKUP($A149,[2]库存使用数据!$A:$C,3,0),0)+IFERROR(VLOOKUP($A149,[3]库存使用数据!$A:$C,3,0),0)+IFERROR(VLOOKUP($A149,[4]库存使用数据!$A:$C,3,0),0)+IFERROR(VLOOKUP($A149,[5]库存使用数据!$A:$C,3,0),0)</f>
        <v>0</v>
      </c>
      <c r="D149" s="1">
        <f ca="1">IFERROR(VLOOKUP($A149,[1]库存使用数据!$A:$D,4,0),0)+IFERROR(VLOOKUP($A149,[2]库存使用数据!$A:$D,4,0),0)+公式!$B$1*IFERROR(VLOOKUP($A149,[3]库存使用数据!$A:$D,4,0),0)+IFERROR(VLOOKUP($A149,[4]库存使用数据!$A:$D,4,0),0)+IFERROR(VLOOKUP($A149,[5]库存使用数据!$A:$D,4,0),0)</f>
        <v>0</v>
      </c>
      <c r="E149" s="1">
        <f ca="1">IFERROR(VLOOKUP($A149,[1]库存使用数据!$A:$E,5,0),0)+IFERROR(VLOOKUP($A149,[2]库存使用数据!$A:$E,5,0),0)+IFERROR(VLOOKUP($A149,[3]库存使用数据!$A:$E,5,0),0)+IFERROR(VLOOKUP($A149,[4]库存使用数据!$A:$E,5,0),0)+IFERROR(VLOOKUP($A149,[5]库存使用数据!$A:$E,5,0),0)</f>
        <v>838</v>
      </c>
      <c r="F149" s="1">
        <f ca="1">IFERROR(VLOOKUP($A149,[1]库存使用数据!$A:$F,6,0),0)+IFERROR(VLOOKUP($A149,[2]库存使用数据!$A:$F,6,0),0)+IFERROR(VLOOKUP($A149,[4]库存使用数据!$A:$F,6,0),0)+IFERROR(VLOOKUP($A149,[3]库存使用数据!$A:$F,6,0),0)+IFERROR(VLOOKUP($A149,[5]库存使用数据!$A:$F,6,0),0)</f>
        <v>6</v>
      </c>
      <c r="G149" s="1">
        <f ca="1">IFERROR(VLOOKUP($A149,[1]库存使用数据!$A:$G,7,0),0)+IFERROR(VLOOKUP($A149,[2]库存使用数据!$A:$G,7,0),0)+公式!$B$14*IFERROR(VLOOKUP($A149,[3]库存使用数据!$A:$G,7,0),0)+IFERROR(VLOOKUP($A149,[4]库存使用数据!$A:$G,7,0),0)+IFERROR(VLOOKUP($A149,[5]库存使用数据!$A:$G,7,0),0)</f>
        <v>0.72</v>
      </c>
      <c r="H149" s="1">
        <f ca="1">IFERROR(VLOOKUP($A149,[1]库存使用数据!$A:$H,8,0),0)+IFERROR(VLOOKUP($A149,[2]库存使用数据!$A:$H,8,0),0)+IFERROR(VLOOKUP($A149,[3]库存使用数据!$A:$H,8,0),0)+IFERROR(VLOOKUP($A149,[4]库存使用数据!$A:$H,8,0),0)+IFERROR(VLOOKUP($A149,[5]库存使用数据!$A:$H,8,0),0)</f>
        <v>2962</v>
      </c>
      <c r="I149" s="1">
        <f ca="1">IFERROR(VLOOKUP($A149,[1]库存使用数据!$A:$I,9,0),0)+IFERROR(VLOOKUP($A149,[2]库存使用数据!$A:$I,9,0),0)+IFERROR(VLOOKUP($A149,[3]库存使用数据!$A:$I,9,0),0)+IFERROR(VLOOKUP($A149,[4]库存使用数据!$A:$I,9,0),0)+IFERROR(VLOOKUP($A149,[5]库存使用数据!$A:$I,9,0),0)</f>
        <v>7</v>
      </c>
      <c r="J149" s="1">
        <f ca="1">IFERROR(VLOOKUP($A149,[1]库存使用数据!$A:$J,10,0),0)+IFERROR(VLOOKUP($A149,[2]库存使用数据!$A:$J,10,0),0)+公式!$B$14*IFERROR(VLOOKUP($A149,[3]库存使用数据!$A:$J,10,0),0)+IFERROR(VLOOKUP($A149,[4]库存使用数据!$A:$J,10,0),0)+IFERROR(VLOOKUP($A149,[5]库存使用数据!$A:$J,10,0),0)</f>
        <v>1.43</v>
      </c>
      <c r="K149" s="1">
        <f ca="1">IFERROR(VLOOKUP($A149,[1]库存使用数据!$A:$K,11,0),0)+IFERROR(VLOOKUP($A149,[2]库存使用数据!$A:$K,11,0),0)+IFERROR(VLOOKUP($A149,[3]库存使用数据!$A:$K,11,0),0)+IFERROR(VLOOKUP($A149,[4]库存使用数据!$A:$K,11,0),0)+IFERROR(VLOOKUP($A149,[5]库存使用数据!$A:$K,11,0),0)</f>
        <v>17608</v>
      </c>
      <c r="L149" s="1">
        <f ca="1">IFERROR(VLOOKUP($A149,[1]库存使用数据!$A:$L,12,0),0)+IFERROR(VLOOKUP($A149,[2]库存使用数据!$A:$L,12,0),0)+IFERROR(VLOOKUP($A149,[3]库存使用数据!$A:$L,12,0),0)+IFERROR(VLOOKUP($A149,[4]库存使用数据!$A:$L,12,0),0)+IFERROR(VLOOKUP($A149,[5]库存使用数据!$A:$L,12,0),0)</f>
        <v>69</v>
      </c>
      <c r="M149" s="1">
        <f ca="1">IFERROR(VLOOKUP($A149,[1]库存使用数据!$A:$M,13,0),0)+IFERROR(VLOOKUP($A149,[2]库存使用数据!$A:$M,13,0),0)+公式!$B$14*IFERROR(VLOOKUP($A149,[3]库存使用数据!$A:$M,13,0),0)+IFERROR(VLOOKUP($A149,[4]库存使用数据!$A:$M,13,0),0)+IFERROR(VLOOKUP($A149,[5]库存使用数据!$A:$M,13,0),0)</f>
        <v>14.72</v>
      </c>
    </row>
    <row r="150" spans="1:13">
      <c r="A150" s="5" t="s">
        <v>155</v>
      </c>
      <c r="B150" s="2">
        <f ca="1">IFERROR(VLOOKUP(A150,[1]库存使用数据!$A:$B,2,0),0)+IFERROR(VLOOKUP(A150,[2]库存使用数据!$A:$B,2,0),0)+IFERROR(VLOOKUP(,[3]库存使用数据!$A:$B,2,0),0)+IFERROR(VLOOKUP(A150,[4]库存使用数据!$A:$B,2,0),0)+IFERROR(VLOOKUP(A150,[5]库存使用数据!$A:$B,2,0),0)</f>
        <v>134</v>
      </c>
      <c r="C150" s="1">
        <f ca="1">IFERROR(VLOOKUP($A150,[1]库存使用数据!$A:$C,3,0),0)+IFERROR(VLOOKUP($A150,[2]库存使用数据!$A:$C,3,0),0)+IFERROR(VLOOKUP($A150,[3]库存使用数据!$A:$C,3,0),0)+IFERROR(VLOOKUP($A150,[4]库存使用数据!$A:$C,3,0),0)+IFERROR(VLOOKUP($A150,[5]库存使用数据!$A:$C,3,0),0)</f>
        <v>1</v>
      </c>
      <c r="D150" s="1">
        <f ca="1">IFERROR(VLOOKUP($A150,[1]库存使用数据!$A:$D,4,0),0)+IFERROR(VLOOKUP($A150,[2]库存使用数据!$A:$D,4,0),0)+公式!$B$1*IFERROR(VLOOKUP($A150,[3]库存使用数据!$A:$D,4,0),0)+IFERROR(VLOOKUP($A150,[4]库存使用数据!$A:$D,4,0),0)+IFERROR(VLOOKUP($A150,[5]库存使用数据!$A:$D,4,0),0)</f>
        <v>0.17</v>
      </c>
      <c r="E150" s="1">
        <f ca="1">IFERROR(VLOOKUP($A150,[1]库存使用数据!$A:$E,5,0),0)+IFERROR(VLOOKUP($A150,[2]库存使用数据!$A:$E,5,0),0)+IFERROR(VLOOKUP($A150,[3]库存使用数据!$A:$E,5,0),0)+IFERROR(VLOOKUP($A150,[4]库存使用数据!$A:$E,5,0),0)+IFERROR(VLOOKUP($A150,[5]库存使用数据!$A:$E,5,0),0)</f>
        <v>1791</v>
      </c>
      <c r="F150" s="1">
        <f ca="1">IFERROR(VLOOKUP($A150,[1]库存使用数据!$A:$F,6,0),0)+IFERROR(VLOOKUP($A150,[2]库存使用数据!$A:$F,6,0),0)+IFERROR(VLOOKUP($A150,[4]库存使用数据!$A:$F,6,0),0)+IFERROR(VLOOKUP($A150,[3]库存使用数据!$A:$F,6,0),0)+IFERROR(VLOOKUP($A150,[5]库存使用数据!$A:$F,6,0),0)</f>
        <v>11</v>
      </c>
      <c r="G150" s="1">
        <f ca="1">IFERROR(VLOOKUP($A150,[1]库存使用数据!$A:$G,7,0),0)+IFERROR(VLOOKUP($A150,[2]库存使用数据!$A:$G,7,0),0)+公式!$B$14*IFERROR(VLOOKUP($A150,[3]库存使用数据!$A:$G,7,0),0)+IFERROR(VLOOKUP($A150,[4]库存使用数据!$A:$G,7,0),0)+IFERROR(VLOOKUP($A150,[5]库存使用数据!$A:$G,7,0),0)</f>
        <v>1.28</v>
      </c>
      <c r="H150" s="1">
        <f ca="1">IFERROR(VLOOKUP($A150,[1]库存使用数据!$A:$H,8,0),0)+IFERROR(VLOOKUP($A150,[2]库存使用数据!$A:$H,8,0),0)+IFERROR(VLOOKUP($A150,[3]库存使用数据!$A:$H,8,0),0)+IFERROR(VLOOKUP($A150,[4]库存使用数据!$A:$H,8,0),0)+IFERROR(VLOOKUP($A150,[5]库存使用数据!$A:$H,8,0),0)</f>
        <v>39</v>
      </c>
      <c r="I150" s="1">
        <f ca="1">IFERROR(VLOOKUP($A150,[1]库存使用数据!$A:$I,9,0),0)+IFERROR(VLOOKUP($A150,[2]库存使用数据!$A:$I,9,0),0)+IFERROR(VLOOKUP($A150,[3]库存使用数据!$A:$I,9,0),0)+IFERROR(VLOOKUP($A150,[4]库存使用数据!$A:$I,9,0),0)+IFERROR(VLOOKUP($A150,[5]库存使用数据!$A:$I,9,0),0)</f>
        <v>1</v>
      </c>
      <c r="J150" s="1">
        <f ca="1">IFERROR(VLOOKUP($A150,[1]库存使用数据!$A:$J,10,0),0)+IFERROR(VLOOKUP($A150,[2]库存使用数据!$A:$J,10,0),0)+公式!$B$14*IFERROR(VLOOKUP($A150,[3]库存使用数据!$A:$J,10,0),0)+IFERROR(VLOOKUP($A150,[4]库存使用数据!$A:$J,10,0),0)+IFERROR(VLOOKUP($A150,[5]库存使用数据!$A:$J,10,0),0)</f>
        <v>0.26</v>
      </c>
      <c r="K150" s="1">
        <f ca="1">IFERROR(VLOOKUP($A150,[1]库存使用数据!$A:$K,11,0),0)+IFERROR(VLOOKUP($A150,[2]库存使用数据!$A:$K,11,0),0)+IFERROR(VLOOKUP($A150,[3]库存使用数据!$A:$K,11,0),0)+IFERROR(VLOOKUP($A150,[4]库存使用数据!$A:$K,11,0),0)+IFERROR(VLOOKUP($A150,[5]库存使用数据!$A:$K,11,0),0)</f>
        <v>55</v>
      </c>
      <c r="L150" s="1">
        <f ca="1">IFERROR(VLOOKUP($A150,[1]库存使用数据!$A:$L,12,0),0)+IFERROR(VLOOKUP($A150,[2]库存使用数据!$A:$L,12,0),0)+IFERROR(VLOOKUP($A150,[3]库存使用数据!$A:$L,12,0),0)+IFERROR(VLOOKUP($A150,[4]库存使用数据!$A:$L,12,0),0)+IFERROR(VLOOKUP($A150,[5]库存使用数据!$A:$L,12,0),0)</f>
        <v>0</v>
      </c>
      <c r="M150" s="1">
        <f ca="1">IFERROR(VLOOKUP($A150,[1]库存使用数据!$A:$M,13,0),0)+IFERROR(VLOOKUP($A150,[2]库存使用数据!$A:$M,13,0),0)+公式!$B$14*IFERROR(VLOOKUP($A150,[3]库存使用数据!$A:$M,13,0),0)+IFERROR(VLOOKUP($A150,[4]库存使用数据!$A:$M,13,0),0)+IFERROR(VLOOKUP($A150,[5]库存使用数据!$A:$M,13,0),0)</f>
        <v>0</v>
      </c>
    </row>
    <row r="151" spans="1:13">
      <c r="A151" s="5" t="s">
        <v>156</v>
      </c>
      <c r="B151" s="2">
        <f ca="1">IFERROR(VLOOKUP(A151,[1]库存使用数据!$A:$B,2,0),0)+IFERROR(VLOOKUP(A151,[2]库存使用数据!$A:$B,2,0),0)+IFERROR(VLOOKUP(,[3]库存使用数据!$A:$B,2,0),0)+IFERROR(VLOOKUP(A151,[4]库存使用数据!$A:$B,2,0),0)+IFERROR(VLOOKUP(A151,[5]库存使用数据!$A:$B,2,0),0)</f>
        <v>0</v>
      </c>
      <c r="C151" s="1">
        <f ca="1">IFERROR(VLOOKUP($A151,[1]库存使用数据!$A:$C,3,0),0)+IFERROR(VLOOKUP($A151,[2]库存使用数据!$A:$C,3,0),0)+IFERROR(VLOOKUP($A151,[3]库存使用数据!$A:$C,3,0),0)+IFERROR(VLOOKUP($A151,[4]库存使用数据!$A:$C,3,0),0)+IFERROR(VLOOKUP($A151,[5]库存使用数据!$A:$C,3,0),0)</f>
        <v>0</v>
      </c>
      <c r="D151" s="1">
        <f ca="1">IFERROR(VLOOKUP($A151,[1]库存使用数据!$A:$D,4,0),0)+IFERROR(VLOOKUP($A151,[2]库存使用数据!$A:$D,4,0),0)+公式!$B$1*IFERROR(VLOOKUP($A151,[3]库存使用数据!$A:$D,4,0),0)+IFERROR(VLOOKUP($A151,[4]库存使用数据!$A:$D,4,0),0)+IFERROR(VLOOKUP($A151,[5]库存使用数据!$A:$D,4,0),0)</f>
        <v>0</v>
      </c>
      <c r="E151" s="1">
        <f ca="1">IFERROR(VLOOKUP($A151,[1]库存使用数据!$A:$E,5,0),0)+IFERROR(VLOOKUP($A151,[2]库存使用数据!$A:$E,5,0),0)+IFERROR(VLOOKUP($A151,[3]库存使用数据!$A:$E,5,0),0)+IFERROR(VLOOKUP($A151,[4]库存使用数据!$A:$E,5,0),0)+IFERROR(VLOOKUP($A151,[5]库存使用数据!$A:$E,5,0),0)</f>
        <v>0</v>
      </c>
      <c r="F151" s="1">
        <f ca="1">IFERROR(VLOOKUP($A151,[1]库存使用数据!$A:$F,6,0),0)+IFERROR(VLOOKUP($A151,[2]库存使用数据!$A:$F,6,0),0)+IFERROR(VLOOKUP($A151,[4]库存使用数据!$A:$F,6,0),0)+IFERROR(VLOOKUP($A151,[3]库存使用数据!$A:$F,6,0),0)+IFERROR(VLOOKUP($A151,[5]库存使用数据!$A:$F,6,0),0)</f>
        <v>0</v>
      </c>
      <c r="G151" s="1">
        <f ca="1">IFERROR(VLOOKUP($A151,[1]库存使用数据!$A:$G,7,0),0)+IFERROR(VLOOKUP($A151,[2]库存使用数据!$A:$G,7,0),0)+公式!$B$14*IFERROR(VLOOKUP($A151,[3]库存使用数据!$A:$G,7,0),0)+IFERROR(VLOOKUP($A151,[4]库存使用数据!$A:$G,7,0),0)+IFERROR(VLOOKUP($A151,[5]库存使用数据!$A:$G,7,0),0)</f>
        <v>0</v>
      </c>
      <c r="H151" s="1">
        <f ca="1">IFERROR(VLOOKUP($A151,[1]库存使用数据!$A:$H,8,0),0)+IFERROR(VLOOKUP($A151,[2]库存使用数据!$A:$H,8,0),0)+IFERROR(VLOOKUP($A151,[3]库存使用数据!$A:$H,8,0),0)+IFERROR(VLOOKUP($A151,[4]库存使用数据!$A:$H,8,0),0)+IFERROR(VLOOKUP($A151,[5]库存使用数据!$A:$H,8,0),0)</f>
        <v>2909</v>
      </c>
      <c r="I151" s="1">
        <f ca="1">IFERROR(VLOOKUP($A151,[1]库存使用数据!$A:$I,9,0),0)+IFERROR(VLOOKUP($A151,[2]库存使用数据!$A:$I,9,0),0)+IFERROR(VLOOKUP($A151,[3]库存使用数据!$A:$I,9,0),0)+IFERROR(VLOOKUP($A151,[4]库存使用数据!$A:$I,9,0),0)+IFERROR(VLOOKUP($A151,[5]库存使用数据!$A:$I,9,0),0)</f>
        <v>50</v>
      </c>
      <c r="J151" s="1">
        <f ca="1">IFERROR(VLOOKUP($A151,[1]库存使用数据!$A:$J,10,0),0)+IFERROR(VLOOKUP($A151,[2]库存使用数据!$A:$J,10,0),0)+公式!$B$14*IFERROR(VLOOKUP($A151,[3]库存使用数据!$A:$J,10,0),0)+IFERROR(VLOOKUP($A151,[4]库存使用数据!$A:$J,10,0),0)+IFERROR(VLOOKUP($A151,[5]库存使用数据!$A:$J,10,0),0)</f>
        <v>7.66</v>
      </c>
      <c r="K151" s="1">
        <f ca="1">IFERROR(VLOOKUP($A151,[1]库存使用数据!$A:$K,11,0),0)+IFERROR(VLOOKUP($A151,[2]库存使用数据!$A:$K,11,0),0)+IFERROR(VLOOKUP($A151,[3]库存使用数据!$A:$K,11,0),0)+IFERROR(VLOOKUP($A151,[4]库存使用数据!$A:$K,11,0),0)+IFERROR(VLOOKUP($A151,[5]库存使用数据!$A:$K,11,0),0)</f>
        <v>2047</v>
      </c>
      <c r="L151" s="1">
        <f ca="1">IFERROR(VLOOKUP($A151,[1]库存使用数据!$A:$L,12,0),0)+IFERROR(VLOOKUP($A151,[2]库存使用数据!$A:$L,12,0),0)+IFERROR(VLOOKUP($A151,[3]库存使用数据!$A:$L,12,0),0)+IFERROR(VLOOKUP($A151,[4]库存使用数据!$A:$L,12,0),0)+IFERROR(VLOOKUP($A151,[5]库存使用数据!$A:$L,12,0),0)</f>
        <v>33</v>
      </c>
      <c r="M151" s="1">
        <f ca="1">IFERROR(VLOOKUP($A151,[1]库存使用数据!$A:$M,13,0),0)+IFERROR(VLOOKUP($A151,[2]库存使用数据!$A:$M,13,0),0)+公式!$B$14*IFERROR(VLOOKUP($A151,[3]库存使用数据!$A:$M,13,0),0)+IFERROR(VLOOKUP($A151,[4]库存使用数据!$A:$M,13,0),0)+IFERROR(VLOOKUP($A151,[5]库存使用数据!$A:$M,13,0),0)</f>
        <v>4.59</v>
      </c>
    </row>
    <row r="152" spans="1:13">
      <c r="A152" s="5" t="s">
        <v>157</v>
      </c>
      <c r="B152" s="2">
        <f ca="1">IFERROR(VLOOKUP(A152,[1]库存使用数据!$A:$B,2,0),0)+IFERROR(VLOOKUP(A152,[2]库存使用数据!$A:$B,2,0),0)+IFERROR(VLOOKUP(,[3]库存使用数据!$A:$B,2,0),0)+IFERROR(VLOOKUP(A152,[4]库存使用数据!$A:$B,2,0),0)+IFERROR(VLOOKUP(A152,[5]库存使用数据!$A:$B,2,0),0)</f>
        <v>0</v>
      </c>
      <c r="C152" s="1">
        <f ca="1">IFERROR(VLOOKUP($A152,[1]库存使用数据!$A:$C,3,0),0)+IFERROR(VLOOKUP($A152,[2]库存使用数据!$A:$C,3,0),0)+IFERROR(VLOOKUP($A152,[3]库存使用数据!$A:$C,3,0),0)+IFERROR(VLOOKUP($A152,[4]库存使用数据!$A:$C,3,0),0)+IFERROR(VLOOKUP($A152,[5]库存使用数据!$A:$C,3,0),0)</f>
        <v>3</v>
      </c>
      <c r="D152" s="1">
        <f ca="1">IFERROR(VLOOKUP($A152,[1]库存使用数据!$A:$D,4,0),0)+IFERROR(VLOOKUP($A152,[2]库存使用数据!$A:$D,4,0),0)+公式!$B$1*IFERROR(VLOOKUP($A152,[3]库存使用数据!$A:$D,4,0),0)+IFERROR(VLOOKUP($A152,[4]库存使用数据!$A:$D,4,0),0)+IFERROR(VLOOKUP($A152,[5]库存使用数据!$A:$D,4,0),0)</f>
        <v>0.4725</v>
      </c>
      <c r="E152" s="1">
        <f ca="1">IFERROR(VLOOKUP($A152,[1]库存使用数据!$A:$E,5,0),0)+IFERROR(VLOOKUP($A152,[2]库存使用数据!$A:$E,5,0),0)+IFERROR(VLOOKUP($A152,[3]库存使用数据!$A:$E,5,0),0)+IFERROR(VLOOKUP($A152,[4]库存使用数据!$A:$E,5,0),0)+IFERROR(VLOOKUP($A152,[5]库存使用数据!$A:$E,5,0),0)</f>
        <v>2002</v>
      </c>
      <c r="F152" s="1">
        <f ca="1">IFERROR(VLOOKUP($A152,[1]库存使用数据!$A:$F,6,0),0)+IFERROR(VLOOKUP($A152,[2]库存使用数据!$A:$F,6,0),0)+IFERROR(VLOOKUP($A152,[4]库存使用数据!$A:$F,6,0),0)+IFERROR(VLOOKUP($A152,[3]库存使用数据!$A:$F,6,0),0)+IFERROR(VLOOKUP($A152,[5]库存使用数据!$A:$F,6,0),0)</f>
        <v>5</v>
      </c>
      <c r="G152" s="1">
        <f ca="1">IFERROR(VLOOKUP($A152,[1]库存使用数据!$A:$G,7,0),0)+IFERROR(VLOOKUP($A152,[2]库存使用数据!$A:$G,7,0),0)+公式!$B$14*IFERROR(VLOOKUP($A152,[3]库存使用数据!$A:$G,7,0),0)+IFERROR(VLOOKUP($A152,[4]库存使用数据!$A:$G,7,0),0)+IFERROR(VLOOKUP($A152,[5]库存使用数据!$A:$G,7,0),0)</f>
        <v>0</v>
      </c>
      <c r="H152" s="1">
        <f ca="1">IFERROR(VLOOKUP($A152,[1]库存使用数据!$A:$H,8,0),0)+IFERROR(VLOOKUP($A152,[2]库存使用数据!$A:$H,8,0),0)+IFERROR(VLOOKUP($A152,[3]库存使用数据!$A:$H,8,0),0)+IFERROR(VLOOKUP($A152,[4]库存使用数据!$A:$H,8,0),0)+IFERROR(VLOOKUP($A152,[5]库存使用数据!$A:$H,8,0),0)</f>
        <v>1691</v>
      </c>
      <c r="I152" s="1">
        <f ca="1">IFERROR(VLOOKUP($A152,[1]库存使用数据!$A:$I,9,0),0)+IFERROR(VLOOKUP($A152,[2]库存使用数据!$A:$I,9,0),0)+IFERROR(VLOOKUP($A152,[3]库存使用数据!$A:$I,9,0),0)+IFERROR(VLOOKUP($A152,[4]库存使用数据!$A:$I,9,0),0)+IFERROR(VLOOKUP($A152,[5]库存使用数据!$A:$I,9,0),0)</f>
        <v>6</v>
      </c>
      <c r="J152" s="1">
        <f ca="1">IFERROR(VLOOKUP($A152,[1]库存使用数据!$A:$J,10,0),0)+IFERROR(VLOOKUP($A152,[2]库存使用数据!$A:$J,10,0),0)+公式!$B$14*IFERROR(VLOOKUP($A152,[3]库存使用数据!$A:$J,10,0),0)+IFERROR(VLOOKUP($A152,[4]库存使用数据!$A:$J,10,0),0)+IFERROR(VLOOKUP($A152,[5]库存使用数据!$A:$J,10,0),0)</f>
        <v>0</v>
      </c>
      <c r="K152" s="1">
        <f ca="1">IFERROR(VLOOKUP($A152,[1]库存使用数据!$A:$K,11,0),0)+IFERROR(VLOOKUP($A152,[2]库存使用数据!$A:$K,11,0),0)+IFERROR(VLOOKUP($A152,[3]库存使用数据!$A:$K,11,0),0)+IFERROR(VLOOKUP($A152,[4]库存使用数据!$A:$K,11,0),0)+IFERROR(VLOOKUP($A152,[5]库存使用数据!$A:$K,11,0),0)</f>
        <v>1732</v>
      </c>
      <c r="L152" s="1">
        <f ca="1">IFERROR(VLOOKUP($A152,[1]库存使用数据!$A:$L,12,0),0)+IFERROR(VLOOKUP($A152,[2]库存使用数据!$A:$L,12,0),0)+IFERROR(VLOOKUP($A152,[3]库存使用数据!$A:$L,12,0),0)+IFERROR(VLOOKUP($A152,[4]库存使用数据!$A:$L,12,0),0)+IFERROR(VLOOKUP($A152,[5]库存使用数据!$A:$L,12,0),0)</f>
        <v>3</v>
      </c>
      <c r="M152" s="1">
        <f ca="1">IFERROR(VLOOKUP($A152,[1]库存使用数据!$A:$M,13,0),0)+IFERROR(VLOOKUP($A152,[2]库存使用数据!$A:$M,13,0),0)+公式!$B$14*IFERROR(VLOOKUP($A152,[3]库存使用数据!$A:$M,13,0),0)+IFERROR(VLOOKUP($A152,[4]库存使用数据!$A:$M,13,0),0)+IFERROR(VLOOKUP($A152,[5]库存使用数据!$A:$M,13,0),0)</f>
        <v>0</v>
      </c>
    </row>
    <row r="153" spans="1:13">
      <c r="A153" s="5" t="s">
        <v>158</v>
      </c>
      <c r="B153" s="2">
        <f ca="1">IFERROR(VLOOKUP(A153,[1]库存使用数据!$A:$B,2,0),0)+IFERROR(VLOOKUP(A153,[2]库存使用数据!$A:$B,2,0),0)+IFERROR(VLOOKUP(,[3]库存使用数据!$A:$B,2,0),0)+IFERROR(VLOOKUP(A153,[4]库存使用数据!$A:$B,2,0),0)+IFERROR(VLOOKUP(A153,[5]库存使用数据!$A:$B,2,0),0)</f>
        <v>0</v>
      </c>
      <c r="C153" s="1">
        <f ca="1">IFERROR(VLOOKUP($A153,[1]库存使用数据!$A:$C,3,0),0)+IFERROR(VLOOKUP($A153,[2]库存使用数据!$A:$C,3,0),0)+IFERROR(VLOOKUP($A153,[3]库存使用数据!$A:$C,3,0),0)+IFERROR(VLOOKUP($A153,[4]库存使用数据!$A:$C,3,0),0)+IFERROR(VLOOKUP($A153,[5]库存使用数据!$A:$C,3,0),0)</f>
        <v>0</v>
      </c>
      <c r="D153" s="1">
        <f ca="1">IFERROR(VLOOKUP($A153,[1]库存使用数据!$A:$D,4,0),0)+IFERROR(VLOOKUP($A153,[2]库存使用数据!$A:$D,4,0),0)+公式!$B$1*IFERROR(VLOOKUP($A153,[3]库存使用数据!$A:$D,4,0),0)+IFERROR(VLOOKUP($A153,[4]库存使用数据!$A:$D,4,0),0)+IFERROR(VLOOKUP($A153,[5]库存使用数据!$A:$D,4,0),0)</f>
        <v>0</v>
      </c>
      <c r="E153" s="1">
        <f ca="1">IFERROR(VLOOKUP($A153,[1]库存使用数据!$A:$E,5,0),0)+IFERROR(VLOOKUP($A153,[2]库存使用数据!$A:$E,5,0),0)+IFERROR(VLOOKUP($A153,[3]库存使用数据!$A:$E,5,0),0)+IFERROR(VLOOKUP($A153,[4]库存使用数据!$A:$E,5,0),0)+IFERROR(VLOOKUP($A153,[5]库存使用数据!$A:$E,5,0),0)</f>
        <v>0</v>
      </c>
      <c r="F153" s="1">
        <f ca="1">IFERROR(VLOOKUP($A153,[1]库存使用数据!$A:$F,6,0),0)+IFERROR(VLOOKUP($A153,[2]库存使用数据!$A:$F,6,0),0)+IFERROR(VLOOKUP($A153,[4]库存使用数据!$A:$F,6,0),0)+IFERROR(VLOOKUP($A153,[3]库存使用数据!$A:$F,6,0),0)+IFERROR(VLOOKUP($A153,[5]库存使用数据!$A:$F,6,0),0)</f>
        <v>0</v>
      </c>
      <c r="G153" s="1">
        <f ca="1">IFERROR(VLOOKUP($A153,[1]库存使用数据!$A:$G,7,0),0)+IFERROR(VLOOKUP($A153,[2]库存使用数据!$A:$G,7,0),0)+公式!$B$14*IFERROR(VLOOKUP($A153,[3]库存使用数据!$A:$G,7,0),0)+IFERROR(VLOOKUP($A153,[4]库存使用数据!$A:$G,7,0),0)+IFERROR(VLOOKUP($A153,[5]库存使用数据!$A:$G,7,0),0)</f>
        <v>0</v>
      </c>
      <c r="H153" s="1">
        <f ca="1">IFERROR(VLOOKUP($A153,[1]库存使用数据!$A:$H,8,0),0)+IFERROR(VLOOKUP($A153,[2]库存使用数据!$A:$H,8,0),0)+IFERROR(VLOOKUP($A153,[3]库存使用数据!$A:$H,8,0),0)+IFERROR(VLOOKUP($A153,[4]库存使用数据!$A:$H,8,0),0)+IFERROR(VLOOKUP($A153,[5]库存使用数据!$A:$H,8,0),0)</f>
        <v>15</v>
      </c>
      <c r="I153" s="1">
        <f ca="1">IFERROR(VLOOKUP($A153,[1]库存使用数据!$A:$I,9,0),0)+IFERROR(VLOOKUP($A153,[2]库存使用数据!$A:$I,9,0),0)+IFERROR(VLOOKUP($A153,[3]库存使用数据!$A:$I,9,0),0)+IFERROR(VLOOKUP($A153,[4]库存使用数据!$A:$I,9,0),0)+IFERROR(VLOOKUP($A153,[5]库存使用数据!$A:$I,9,0),0)</f>
        <v>0</v>
      </c>
      <c r="J153" s="1">
        <f ca="1">IFERROR(VLOOKUP($A153,[1]库存使用数据!$A:$J,10,0),0)+IFERROR(VLOOKUP($A153,[2]库存使用数据!$A:$J,10,0),0)+公式!$B$14*IFERROR(VLOOKUP($A153,[3]库存使用数据!$A:$J,10,0),0)+IFERROR(VLOOKUP($A153,[4]库存使用数据!$A:$J,10,0),0)+IFERROR(VLOOKUP($A153,[5]库存使用数据!$A:$J,10,0),0)</f>
        <v>0</v>
      </c>
      <c r="K153" s="1">
        <f ca="1">IFERROR(VLOOKUP($A153,[1]库存使用数据!$A:$K,11,0),0)+IFERROR(VLOOKUP($A153,[2]库存使用数据!$A:$K,11,0),0)+IFERROR(VLOOKUP($A153,[3]库存使用数据!$A:$K,11,0),0)+IFERROR(VLOOKUP($A153,[4]库存使用数据!$A:$K,11,0),0)+IFERROR(VLOOKUP($A153,[5]库存使用数据!$A:$K,11,0),0)</f>
        <v>17</v>
      </c>
      <c r="L153" s="1">
        <f ca="1">IFERROR(VLOOKUP($A153,[1]库存使用数据!$A:$L,12,0),0)+IFERROR(VLOOKUP($A153,[2]库存使用数据!$A:$L,12,0),0)+IFERROR(VLOOKUP($A153,[3]库存使用数据!$A:$L,12,0),0)+IFERROR(VLOOKUP($A153,[4]库存使用数据!$A:$L,12,0),0)+IFERROR(VLOOKUP($A153,[5]库存使用数据!$A:$L,12,0),0)</f>
        <v>0</v>
      </c>
      <c r="M153" s="1">
        <f ca="1">IFERROR(VLOOKUP($A153,[1]库存使用数据!$A:$M,13,0),0)+IFERROR(VLOOKUP($A153,[2]库存使用数据!$A:$M,13,0),0)+公式!$B$14*IFERROR(VLOOKUP($A153,[3]库存使用数据!$A:$M,13,0),0)+IFERROR(VLOOKUP($A153,[4]库存使用数据!$A:$M,13,0),0)+IFERROR(VLOOKUP($A153,[5]库存使用数据!$A:$M,13,0),0)</f>
        <v>0</v>
      </c>
    </row>
    <row r="154" spans="1:13">
      <c r="A154" s="5" t="s">
        <v>159</v>
      </c>
      <c r="B154" s="2">
        <f ca="1">IFERROR(VLOOKUP(A154,[1]库存使用数据!$A:$B,2,0),0)+IFERROR(VLOOKUP(A154,[2]库存使用数据!$A:$B,2,0),0)+IFERROR(VLOOKUP(,[3]库存使用数据!$A:$B,2,0),0)+IFERROR(VLOOKUP(A154,[4]库存使用数据!$A:$B,2,0),0)+IFERROR(VLOOKUP(A154,[5]库存使用数据!$A:$B,2,0),0)</f>
        <v>0</v>
      </c>
      <c r="C154" s="1">
        <f ca="1">IFERROR(VLOOKUP($A154,[1]库存使用数据!$A:$C,3,0),0)+IFERROR(VLOOKUP($A154,[2]库存使用数据!$A:$C,3,0),0)+IFERROR(VLOOKUP($A154,[3]库存使用数据!$A:$C,3,0),0)+IFERROR(VLOOKUP($A154,[4]库存使用数据!$A:$C,3,0),0)+IFERROR(VLOOKUP($A154,[5]库存使用数据!$A:$C,3,0),0)</f>
        <v>0</v>
      </c>
      <c r="D154" s="1">
        <f ca="1">IFERROR(VLOOKUP($A154,[1]库存使用数据!$A:$D,4,0),0)+IFERROR(VLOOKUP($A154,[2]库存使用数据!$A:$D,4,0),0)+公式!$B$1*IFERROR(VLOOKUP($A154,[3]库存使用数据!$A:$D,4,0),0)+IFERROR(VLOOKUP($A154,[4]库存使用数据!$A:$D,4,0),0)+IFERROR(VLOOKUP($A154,[5]库存使用数据!$A:$D,4,0),0)</f>
        <v>0</v>
      </c>
      <c r="E154" s="1">
        <f ca="1">IFERROR(VLOOKUP($A154,[1]库存使用数据!$A:$E,5,0),0)+IFERROR(VLOOKUP($A154,[2]库存使用数据!$A:$E,5,0),0)+IFERROR(VLOOKUP($A154,[3]库存使用数据!$A:$E,5,0),0)+IFERROR(VLOOKUP($A154,[4]库存使用数据!$A:$E,5,0),0)+IFERROR(VLOOKUP($A154,[5]库存使用数据!$A:$E,5,0),0)</f>
        <v>6</v>
      </c>
      <c r="F154" s="1">
        <f ca="1">IFERROR(VLOOKUP($A154,[1]库存使用数据!$A:$F,6,0),0)+IFERROR(VLOOKUP($A154,[2]库存使用数据!$A:$F,6,0),0)+IFERROR(VLOOKUP($A154,[4]库存使用数据!$A:$F,6,0),0)+IFERROR(VLOOKUP($A154,[3]库存使用数据!$A:$F,6,0),0)+IFERROR(VLOOKUP($A154,[5]库存使用数据!$A:$F,6,0),0)</f>
        <v>0</v>
      </c>
      <c r="G154" s="1">
        <f ca="1">IFERROR(VLOOKUP($A154,[1]库存使用数据!$A:$G,7,0),0)+IFERROR(VLOOKUP($A154,[2]库存使用数据!$A:$G,7,0),0)+公式!$B$14*IFERROR(VLOOKUP($A154,[3]库存使用数据!$A:$G,7,0),0)+IFERROR(VLOOKUP($A154,[4]库存使用数据!$A:$G,7,0),0)+IFERROR(VLOOKUP($A154,[5]库存使用数据!$A:$G,7,0),0)</f>
        <v>0</v>
      </c>
      <c r="H154" s="1">
        <f ca="1">IFERROR(VLOOKUP($A154,[1]库存使用数据!$A:$H,8,0),0)+IFERROR(VLOOKUP($A154,[2]库存使用数据!$A:$H,8,0),0)+IFERROR(VLOOKUP($A154,[3]库存使用数据!$A:$H,8,0),0)+IFERROR(VLOOKUP($A154,[4]库存使用数据!$A:$H,8,0),0)+IFERROR(VLOOKUP($A154,[5]库存使用数据!$A:$H,8,0),0)</f>
        <v>1</v>
      </c>
      <c r="I154" s="1">
        <f ca="1">IFERROR(VLOOKUP($A154,[1]库存使用数据!$A:$I,9,0),0)+IFERROR(VLOOKUP($A154,[2]库存使用数据!$A:$I,9,0),0)+IFERROR(VLOOKUP($A154,[3]库存使用数据!$A:$I,9,0),0)+IFERROR(VLOOKUP($A154,[4]库存使用数据!$A:$I,9,0),0)+IFERROR(VLOOKUP($A154,[5]库存使用数据!$A:$I,9,0),0)</f>
        <v>0</v>
      </c>
      <c r="J154" s="1">
        <f ca="1">IFERROR(VLOOKUP($A154,[1]库存使用数据!$A:$J,10,0),0)+IFERROR(VLOOKUP($A154,[2]库存使用数据!$A:$J,10,0),0)+公式!$B$14*IFERROR(VLOOKUP($A154,[3]库存使用数据!$A:$J,10,0),0)+IFERROR(VLOOKUP($A154,[4]库存使用数据!$A:$J,10,0),0)+IFERROR(VLOOKUP($A154,[5]库存使用数据!$A:$J,10,0),0)</f>
        <v>0</v>
      </c>
      <c r="K154" s="1">
        <f ca="1">IFERROR(VLOOKUP($A154,[1]库存使用数据!$A:$K,11,0),0)+IFERROR(VLOOKUP($A154,[2]库存使用数据!$A:$K,11,0),0)+IFERROR(VLOOKUP($A154,[3]库存使用数据!$A:$K,11,0),0)+IFERROR(VLOOKUP($A154,[4]库存使用数据!$A:$K,11,0),0)+IFERROR(VLOOKUP($A154,[5]库存使用数据!$A:$K,11,0),0)</f>
        <v>12</v>
      </c>
      <c r="L154" s="1">
        <f ca="1">IFERROR(VLOOKUP($A154,[1]库存使用数据!$A:$L,12,0),0)+IFERROR(VLOOKUP($A154,[2]库存使用数据!$A:$L,12,0),0)+IFERROR(VLOOKUP($A154,[3]库存使用数据!$A:$L,12,0),0)+IFERROR(VLOOKUP($A154,[4]库存使用数据!$A:$L,12,0),0)+IFERROR(VLOOKUP($A154,[5]库存使用数据!$A:$L,12,0),0)</f>
        <v>0</v>
      </c>
      <c r="M154" s="1">
        <f ca="1">IFERROR(VLOOKUP($A154,[1]库存使用数据!$A:$M,13,0),0)+IFERROR(VLOOKUP($A154,[2]库存使用数据!$A:$M,13,0),0)+公式!$B$14*IFERROR(VLOOKUP($A154,[3]库存使用数据!$A:$M,13,0),0)+IFERROR(VLOOKUP($A154,[4]库存使用数据!$A:$M,13,0),0)+IFERROR(VLOOKUP($A154,[5]库存使用数据!$A:$M,13,0),0)</f>
        <v>0</v>
      </c>
    </row>
    <row r="155" spans="1:13">
      <c r="A155" s="5" t="s">
        <v>160</v>
      </c>
      <c r="B155" s="2">
        <f ca="1">IFERROR(VLOOKUP(A155,[1]库存使用数据!$A:$B,2,0),0)+IFERROR(VLOOKUP(A155,[2]库存使用数据!$A:$B,2,0),0)+IFERROR(VLOOKUP(,[3]库存使用数据!$A:$B,2,0),0)+IFERROR(VLOOKUP(A155,[4]库存使用数据!$A:$B,2,0),0)+IFERROR(VLOOKUP(A155,[5]库存使用数据!$A:$B,2,0),0)</f>
        <v>0</v>
      </c>
      <c r="C155" s="1">
        <f ca="1">IFERROR(VLOOKUP($A155,[1]库存使用数据!$A:$C,3,0),0)+IFERROR(VLOOKUP($A155,[2]库存使用数据!$A:$C,3,0),0)+IFERROR(VLOOKUP($A155,[3]库存使用数据!$A:$C,3,0),0)+IFERROR(VLOOKUP($A155,[4]库存使用数据!$A:$C,3,0),0)+IFERROR(VLOOKUP($A155,[5]库存使用数据!$A:$C,3,0),0)</f>
        <v>0</v>
      </c>
      <c r="D155" s="1">
        <f ca="1">IFERROR(VLOOKUP($A155,[1]库存使用数据!$A:$D,4,0),0)+IFERROR(VLOOKUP($A155,[2]库存使用数据!$A:$D,4,0),0)+公式!$B$1*IFERROR(VLOOKUP($A155,[3]库存使用数据!$A:$D,4,0),0)+IFERROR(VLOOKUP($A155,[4]库存使用数据!$A:$D,4,0),0)+IFERROR(VLOOKUP($A155,[5]库存使用数据!$A:$D,4,0),0)</f>
        <v>0</v>
      </c>
      <c r="E155" s="1">
        <f ca="1">IFERROR(VLOOKUP($A155,[1]库存使用数据!$A:$E,5,0),0)+IFERROR(VLOOKUP($A155,[2]库存使用数据!$A:$E,5,0),0)+IFERROR(VLOOKUP($A155,[3]库存使用数据!$A:$E,5,0),0)+IFERROR(VLOOKUP($A155,[4]库存使用数据!$A:$E,5,0),0)+IFERROR(VLOOKUP($A155,[5]库存使用数据!$A:$E,5,0),0)</f>
        <v>0</v>
      </c>
      <c r="F155" s="1">
        <f ca="1">IFERROR(VLOOKUP($A155,[1]库存使用数据!$A:$F,6,0),0)+IFERROR(VLOOKUP($A155,[2]库存使用数据!$A:$F,6,0),0)+IFERROR(VLOOKUP($A155,[4]库存使用数据!$A:$F,6,0),0)+IFERROR(VLOOKUP($A155,[3]库存使用数据!$A:$F,6,0),0)+IFERROR(VLOOKUP($A155,[5]库存使用数据!$A:$F,6,0),0)</f>
        <v>0</v>
      </c>
      <c r="G155" s="1">
        <f ca="1">IFERROR(VLOOKUP($A155,[1]库存使用数据!$A:$G,7,0),0)+IFERROR(VLOOKUP($A155,[2]库存使用数据!$A:$G,7,0),0)+公式!$B$14*IFERROR(VLOOKUP($A155,[3]库存使用数据!$A:$G,7,0),0)+IFERROR(VLOOKUP($A155,[4]库存使用数据!$A:$G,7,0),0)+IFERROR(VLOOKUP($A155,[5]库存使用数据!$A:$G,7,0),0)</f>
        <v>0</v>
      </c>
      <c r="H155" s="1">
        <f ca="1">IFERROR(VLOOKUP($A155,[1]库存使用数据!$A:$H,8,0),0)+IFERROR(VLOOKUP($A155,[2]库存使用数据!$A:$H,8,0),0)+IFERROR(VLOOKUP($A155,[3]库存使用数据!$A:$H,8,0),0)+IFERROR(VLOOKUP($A155,[4]库存使用数据!$A:$H,8,0),0)+IFERROR(VLOOKUP($A155,[5]库存使用数据!$A:$H,8,0),0)</f>
        <v>3</v>
      </c>
      <c r="I155" s="1">
        <f ca="1">IFERROR(VLOOKUP($A155,[1]库存使用数据!$A:$I,9,0),0)+IFERROR(VLOOKUP($A155,[2]库存使用数据!$A:$I,9,0),0)+IFERROR(VLOOKUP($A155,[3]库存使用数据!$A:$I,9,0),0)+IFERROR(VLOOKUP($A155,[4]库存使用数据!$A:$I,9,0),0)+IFERROR(VLOOKUP($A155,[5]库存使用数据!$A:$I,9,0),0)</f>
        <v>0</v>
      </c>
      <c r="J155" s="1">
        <f ca="1">IFERROR(VLOOKUP($A155,[1]库存使用数据!$A:$J,10,0),0)+IFERROR(VLOOKUP($A155,[2]库存使用数据!$A:$J,10,0),0)+公式!$B$14*IFERROR(VLOOKUP($A155,[3]库存使用数据!$A:$J,10,0),0)+IFERROR(VLOOKUP($A155,[4]库存使用数据!$A:$J,10,0),0)+IFERROR(VLOOKUP($A155,[5]库存使用数据!$A:$J,10,0),0)</f>
        <v>0</v>
      </c>
      <c r="K155" s="1">
        <f ca="1">IFERROR(VLOOKUP($A155,[1]库存使用数据!$A:$K,11,0),0)+IFERROR(VLOOKUP($A155,[2]库存使用数据!$A:$K,11,0),0)+IFERROR(VLOOKUP($A155,[3]库存使用数据!$A:$K,11,0),0)+IFERROR(VLOOKUP($A155,[4]库存使用数据!$A:$K,11,0),0)+IFERROR(VLOOKUP($A155,[5]库存使用数据!$A:$K,11,0),0)</f>
        <v>4</v>
      </c>
      <c r="L155" s="1">
        <f ca="1">IFERROR(VLOOKUP($A155,[1]库存使用数据!$A:$L,12,0),0)+IFERROR(VLOOKUP($A155,[2]库存使用数据!$A:$L,12,0),0)+IFERROR(VLOOKUP($A155,[3]库存使用数据!$A:$L,12,0),0)+IFERROR(VLOOKUP($A155,[4]库存使用数据!$A:$L,12,0),0)+IFERROR(VLOOKUP($A155,[5]库存使用数据!$A:$L,12,0),0)</f>
        <v>0</v>
      </c>
      <c r="M155" s="1">
        <f ca="1">IFERROR(VLOOKUP($A155,[1]库存使用数据!$A:$M,13,0),0)+IFERROR(VLOOKUP($A155,[2]库存使用数据!$A:$M,13,0),0)+公式!$B$14*IFERROR(VLOOKUP($A155,[3]库存使用数据!$A:$M,13,0),0)+IFERROR(VLOOKUP($A155,[4]库存使用数据!$A:$M,13,0),0)+IFERROR(VLOOKUP($A155,[5]库存使用数据!$A:$M,13,0),0)</f>
        <v>0</v>
      </c>
    </row>
    <row r="156" spans="1:13">
      <c r="A156" s="5" t="s">
        <v>161</v>
      </c>
      <c r="B156" s="2">
        <f ca="1">IFERROR(VLOOKUP(A156,[1]库存使用数据!$A:$B,2,0),0)+IFERROR(VLOOKUP(A156,[2]库存使用数据!$A:$B,2,0),0)+IFERROR(VLOOKUP(,[3]库存使用数据!$A:$B,2,0),0)+IFERROR(VLOOKUP(A156,[4]库存使用数据!$A:$B,2,0),0)+IFERROR(VLOOKUP(A156,[5]库存使用数据!$A:$B,2,0),0)</f>
        <v>0</v>
      </c>
      <c r="C156" s="1">
        <f ca="1">IFERROR(VLOOKUP($A156,[1]库存使用数据!$A:$C,3,0),0)+IFERROR(VLOOKUP($A156,[2]库存使用数据!$A:$C,3,0),0)+IFERROR(VLOOKUP($A156,[3]库存使用数据!$A:$C,3,0),0)+IFERROR(VLOOKUP($A156,[4]库存使用数据!$A:$C,3,0),0)+IFERROR(VLOOKUP($A156,[5]库存使用数据!$A:$C,3,0),0)</f>
        <v>0</v>
      </c>
      <c r="D156" s="1">
        <f ca="1">IFERROR(VLOOKUP($A156,[1]库存使用数据!$A:$D,4,0),0)+IFERROR(VLOOKUP($A156,[2]库存使用数据!$A:$D,4,0),0)+公式!$B$1*IFERROR(VLOOKUP($A156,[3]库存使用数据!$A:$D,4,0),0)+IFERROR(VLOOKUP($A156,[4]库存使用数据!$A:$D,4,0),0)+IFERROR(VLOOKUP($A156,[5]库存使用数据!$A:$D,4,0),0)</f>
        <v>0</v>
      </c>
      <c r="E156" s="1">
        <f ca="1">IFERROR(VLOOKUP($A156,[1]库存使用数据!$A:$E,5,0),0)+IFERROR(VLOOKUP($A156,[2]库存使用数据!$A:$E,5,0),0)+IFERROR(VLOOKUP($A156,[3]库存使用数据!$A:$E,5,0),0)+IFERROR(VLOOKUP($A156,[4]库存使用数据!$A:$E,5,0),0)+IFERROR(VLOOKUP($A156,[5]库存使用数据!$A:$E,5,0),0)</f>
        <v>36</v>
      </c>
      <c r="F156" s="1">
        <f ca="1">IFERROR(VLOOKUP($A156,[1]库存使用数据!$A:$F,6,0),0)+IFERROR(VLOOKUP($A156,[2]库存使用数据!$A:$F,6,0),0)+IFERROR(VLOOKUP($A156,[4]库存使用数据!$A:$F,6,0),0)+IFERROR(VLOOKUP($A156,[3]库存使用数据!$A:$F,6,0),0)+IFERROR(VLOOKUP($A156,[5]库存使用数据!$A:$F,6,0),0)</f>
        <v>0</v>
      </c>
      <c r="G156" s="1">
        <f ca="1">IFERROR(VLOOKUP($A156,[1]库存使用数据!$A:$G,7,0),0)+IFERROR(VLOOKUP($A156,[2]库存使用数据!$A:$G,7,0),0)+公式!$B$14*IFERROR(VLOOKUP($A156,[3]库存使用数据!$A:$G,7,0),0)+IFERROR(VLOOKUP($A156,[4]库存使用数据!$A:$G,7,0),0)+IFERROR(VLOOKUP($A156,[5]库存使用数据!$A:$G,7,0),0)</f>
        <v>0</v>
      </c>
      <c r="H156" s="1">
        <f ca="1">IFERROR(VLOOKUP($A156,[1]库存使用数据!$A:$H,8,0),0)+IFERROR(VLOOKUP($A156,[2]库存使用数据!$A:$H,8,0),0)+IFERROR(VLOOKUP($A156,[3]库存使用数据!$A:$H,8,0),0)+IFERROR(VLOOKUP($A156,[4]库存使用数据!$A:$H,8,0),0)+IFERROR(VLOOKUP($A156,[5]库存使用数据!$A:$H,8,0),0)</f>
        <v>26</v>
      </c>
      <c r="I156" s="1">
        <f ca="1">IFERROR(VLOOKUP($A156,[1]库存使用数据!$A:$I,9,0),0)+IFERROR(VLOOKUP($A156,[2]库存使用数据!$A:$I,9,0),0)+IFERROR(VLOOKUP($A156,[3]库存使用数据!$A:$I,9,0),0)+IFERROR(VLOOKUP($A156,[4]库存使用数据!$A:$I,9,0),0)+IFERROR(VLOOKUP($A156,[5]库存使用数据!$A:$I,9,0),0)</f>
        <v>0</v>
      </c>
      <c r="J156" s="1">
        <f ca="1">IFERROR(VLOOKUP($A156,[1]库存使用数据!$A:$J,10,0),0)+IFERROR(VLOOKUP($A156,[2]库存使用数据!$A:$J,10,0),0)+公式!$B$14*IFERROR(VLOOKUP($A156,[3]库存使用数据!$A:$J,10,0),0)+IFERROR(VLOOKUP($A156,[4]库存使用数据!$A:$J,10,0),0)+IFERROR(VLOOKUP($A156,[5]库存使用数据!$A:$J,10,0),0)</f>
        <v>0</v>
      </c>
      <c r="K156" s="1">
        <f ca="1">IFERROR(VLOOKUP($A156,[1]库存使用数据!$A:$K,11,0),0)+IFERROR(VLOOKUP($A156,[2]库存使用数据!$A:$K,11,0),0)+IFERROR(VLOOKUP($A156,[3]库存使用数据!$A:$K,11,0),0)+IFERROR(VLOOKUP($A156,[4]库存使用数据!$A:$K,11,0),0)+IFERROR(VLOOKUP($A156,[5]库存使用数据!$A:$K,11,0),0)</f>
        <v>16</v>
      </c>
      <c r="L156" s="1">
        <f ca="1">IFERROR(VLOOKUP($A156,[1]库存使用数据!$A:$L,12,0),0)+IFERROR(VLOOKUP($A156,[2]库存使用数据!$A:$L,12,0),0)+IFERROR(VLOOKUP($A156,[3]库存使用数据!$A:$L,12,0),0)+IFERROR(VLOOKUP($A156,[4]库存使用数据!$A:$L,12,0),0)+IFERROR(VLOOKUP($A156,[5]库存使用数据!$A:$L,12,0),0)</f>
        <v>0</v>
      </c>
      <c r="M156" s="1">
        <f ca="1">IFERROR(VLOOKUP($A156,[1]库存使用数据!$A:$M,13,0),0)+IFERROR(VLOOKUP($A156,[2]库存使用数据!$A:$M,13,0),0)+公式!$B$14*IFERROR(VLOOKUP($A156,[3]库存使用数据!$A:$M,13,0),0)+IFERROR(VLOOKUP($A156,[4]库存使用数据!$A:$M,13,0),0)+IFERROR(VLOOKUP($A156,[5]库存使用数据!$A:$M,13,0),0)</f>
        <v>0</v>
      </c>
    </row>
    <row r="157" spans="1:13">
      <c r="A157" s="5" t="s">
        <v>162</v>
      </c>
      <c r="B157" s="2">
        <f ca="1">IFERROR(VLOOKUP(A157,[1]库存使用数据!$A:$B,2,0),0)+IFERROR(VLOOKUP(A157,[2]库存使用数据!$A:$B,2,0),0)+IFERROR(VLOOKUP(,[3]库存使用数据!$A:$B,2,0),0)+IFERROR(VLOOKUP(A157,[4]库存使用数据!$A:$B,2,0),0)+IFERROR(VLOOKUP(A157,[5]库存使用数据!$A:$B,2,0),0)</f>
        <v>2033</v>
      </c>
      <c r="C157" s="1">
        <f ca="1">IFERROR(VLOOKUP($A157,[1]库存使用数据!$A:$C,3,0),0)+IFERROR(VLOOKUP($A157,[2]库存使用数据!$A:$C,3,0),0)+IFERROR(VLOOKUP($A157,[3]库存使用数据!$A:$C,3,0),0)+IFERROR(VLOOKUP($A157,[4]库存使用数据!$A:$C,3,0),0)+IFERROR(VLOOKUP($A157,[5]库存使用数据!$A:$C,3,0),0)</f>
        <v>7</v>
      </c>
      <c r="D157" s="1">
        <f ca="1">IFERROR(VLOOKUP($A157,[1]库存使用数据!$A:$D,4,0),0)+IFERROR(VLOOKUP($A157,[2]库存使用数据!$A:$D,4,0),0)+公式!$B$1*IFERROR(VLOOKUP($A157,[3]库存使用数据!$A:$D,4,0),0)+IFERROR(VLOOKUP($A157,[4]库存使用数据!$A:$D,4,0),0)+IFERROR(VLOOKUP($A157,[5]库存使用数据!$A:$D,4,0),0)</f>
        <v>1.25</v>
      </c>
      <c r="E157" s="1">
        <f ca="1">IFERROR(VLOOKUP($A157,[1]库存使用数据!$A:$E,5,0),0)+IFERROR(VLOOKUP($A157,[2]库存使用数据!$A:$E,5,0),0)+IFERROR(VLOOKUP($A157,[3]库存使用数据!$A:$E,5,0),0)+IFERROR(VLOOKUP($A157,[4]库存使用数据!$A:$E,5,0),0)+IFERROR(VLOOKUP($A157,[5]库存使用数据!$A:$E,5,0),0)</f>
        <v>1314</v>
      </c>
      <c r="F157" s="1">
        <f ca="1">IFERROR(VLOOKUP($A157,[1]库存使用数据!$A:$F,6,0),0)+IFERROR(VLOOKUP($A157,[2]库存使用数据!$A:$F,6,0),0)+IFERROR(VLOOKUP($A157,[4]库存使用数据!$A:$F,6,0),0)+IFERROR(VLOOKUP($A157,[3]库存使用数据!$A:$F,6,0),0)+IFERROR(VLOOKUP($A157,[5]库存使用数据!$A:$F,6,0),0)</f>
        <v>7</v>
      </c>
      <c r="G157" s="1">
        <f ca="1">IFERROR(VLOOKUP($A157,[1]库存使用数据!$A:$G,7,0),0)+IFERROR(VLOOKUP($A157,[2]库存使用数据!$A:$G,7,0),0)+公式!$B$14*IFERROR(VLOOKUP($A157,[3]库存使用数据!$A:$G,7,0),0)+IFERROR(VLOOKUP($A157,[4]库存使用数据!$A:$G,7,0),0)+IFERROR(VLOOKUP($A157,[5]库存使用数据!$A:$G,7,0),0)</f>
        <v>1.38</v>
      </c>
      <c r="H157" s="1">
        <f ca="1">IFERROR(VLOOKUP($A157,[1]库存使用数据!$A:$H,8,0),0)+IFERROR(VLOOKUP($A157,[2]库存使用数据!$A:$H,8,0),0)+IFERROR(VLOOKUP($A157,[3]库存使用数据!$A:$H,8,0),0)+IFERROR(VLOOKUP($A157,[4]库存使用数据!$A:$H,8,0),0)+IFERROR(VLOOKUP($A157,[5]库存使用数据!$A:$H,8,0),0)</f>
        <v>720</v>
      </c>
      <c r="I157" s="1">
        <f ca="1">IFERROR(VLOOKUP($A157,[1]库存使用数据!$A:$I,9,0),0)+IFERROR(VLOOKUP($A157,[2]库存使用数据!$A:$I,9,0),0)+IFERROR(VLOOKUP($A157,[3]库存使用数据!$A:$I,9,0),0)+IFERROR(VLOOKUP($A157,[4]库存使用数据!$A:$I,9,0),0)+IFERROR(VLOOKUP($A157,[5]库存使用数据!$A:$I,9,0),0)</f>
        <v>2</v>
      </c>
      <c r="J157" s="1">
        <f ca="1">IFERROR(VLOOKUP($A157,[1]库存使用数据!$A:$J,10,0),0)+IFERROR(VLOOKUP($A157,[2]库存使用数据!$A:$J,10,0),0)+公式!$B$14*IFERROR(VLOOKUP($A157,[3]库存使用数据!$A:$J,10,0),0)+IFERROR(VLOOKUP($A157,[4]库存使用数据!$A:$J,10,0),0)+IFERROR(VLOOKUP($A157,[5]库存使用数据!$A:$J,10,0),0)</f>
        <v>0.27</v>
      </c>
      <c r="K157" s="1">
        <f ca="1">IFERROR(VLOOKUP($A157,[1]库存使用数据!$A:$K,11,0),0)+IFERROR(VLOOKUP($A157,[2]库存使用数据!$A:$K,11,0),0)+IFERROR(VLOOKUP($A157,[3]库存使用数据!$A:$K,11,0),0)+IFERROR(VLOOKUP($A157,[4]库存使用数据!$A:$K,11,0),0)+IFERROR(VLOOKUP($A157,[5]库存使用数据!$A:$K,11,0),0)</f>
        <v>116</v>
      </c>
      <c r="L157" s="1">
        <f ca="1">IFERROR(VLOOKUP($A157,[1]库存使用数据!$A:$L,12,0),0)+IFERROR(VLOOKUP($A157,[2]库存使用数据!$A:$L,12,0),0)+IFERROR(VLOOKUP($A157,[3]库存使用数据!$A:$L,12,0),0)+IFERROR(VLOOKUP($A157,[4]库存使用数据!$A:$L,12,0),0)+IFERROR(VLOOKUP($A157,[5]库存使用数据!$A:$L,12,0),0)</f>
        <v>1</v>
      </c>
      <c r="M157" s="1">
        <f ca="1">IFERROR(VLOOKUP($A157,[1]库存使用数据!$A:$M,13,0),0)+IFERROR(VLOOKUP($A157,[2]库存使用数据!$A:$M,13,0),0)+公式!$B$14*IFERROR(VLOOKUP($A157,[3]库存使用数据!$A:$M,13,0),0)+IFERROR(VLOOKUP($A157,[4]库存使用数据!$A:$M,13,0),0)+IFERROR(VLOOKUP($A157,[5]库存使用数据!$A:$M,13,0),0)</f>
        <v>0.2</v>
      </c>
    </row>
    <row r="158" spans="1:13">
      <c r="A158" s="5" t="s">
        <v>163</v>
      </c>
      <c r="B158" s="2">
        <f ca="1">IFERROR(VLOOKUP(A158,[1]库存使用数据!$A:$B,2,0),0)+IFERROR(VLOOKUP(A158,[2]库存使用数据!$A:$B,2,0),0)+IFERROR(VLOOKUP(,[3]库存使用数据!$A:$B,2,0),0)+IFERROR(VLOOKUP(A158,[4]库存使用数据!$A:$B,2,0),0)+IFERROR(VLOOKUP(A158,[5]库存使用数据!$A:$B,2,0),0)</f>
        <v>2845</v>
      </c>
      <c r="C158" s="1">
        <f ca="1">IFERROR(VLOOKUP($A158,[1]库存使用数据!$A:$C,3,0),0)+IFERROR(VLOOKUP($A158,[2]库存使用数据!$A:$C,3,0),0)+IFERROR(VLOOKUP($A158,[3]库存使用数据!$A:$C,3,0),0)+IFERROR(VLOOKUP($A158,[4]库存使用数据!$A:$C,3,0),0)+IFERROR(VLOOKUP($A158,[5]库存使用数据!$A:$C,3,0),0)</f>
        <v>10</v>
      </c>
      <c r="D158" s="1">
        <f ca="1">IFERROR(VLOOKUP($A158,[1]库存使用数据!$A:$D,4,0),0)+IFERROR(VLOOKUP($A158,[2]库存使用数据!$A:$D,4,0),0)+公式!$B$1*IFERROR(VLOOKUP($A158,[3]库存使用数据!$A:$D,4,0),0)+IFERROR(VLOOKUP($A158,[4]库存使用数据!$A:$D,4,0),0)+IFERROR(VLOOKUP($A158,[5]库存使用数据!$A:$D,4,0),0)</f>
        <v>1.46</v>
      </c>
      <c r="E158" s="1">
        <f ca="1">IFERROR(VLOOKUP($A158,[1]库存使用数据!$A:$E,5,0),0)+IFERROR(VLOOKUP($A158,[2]库存使用数据!$A:$E,5,0),0)+IFERROR(VLOOKUP($A158,[3]库存使用数据!$A:$E,5,0),0)+IFERROR(VLOOKUP($A158,[4]库存使用数据!$A:$E,5,0),0)+IFERROR(VLOOKUP($A158,[5]库存使用数据!$A:$E,5,0),0)</f>
        <v>2296</v>
      </c>
      <c r="F158" s="1">
        <f ca="1">IFERROR(VLOOKUP($A158,[1]库存使用数据!$A:$F,6,0),0)+IFERROR(VLOOKUP($A158,[2]库存使用数据!$A:$F,6,0),0)+IFERROR(VLOOKUP($A158,[4]库存使用数据!$A:$F,6,0),0)+IFERROR(VLOOKUP($A158,[3]库存使用数据!$A:$F,6,0),0)+IFERROR(VLOOKUP($A158,[5]库存使用数据!$A:$F,6,0),0)</f>
        <v>36</v>
      </c>
      <c r="G158" s="1">
        <f ca="1">IFERROR(VLOOKUP($A158,[1]库存使用数据!$A:$G,7,0),0)+IFERROR(VLOOKUP($A158,[2]库存使用数据!$A:$G,7,0),0)+公式!$B$14*IFERROR(VLOOKUP($A158,[3]库存使用数据!$A:$G,7,0),0)+IFERROR(VLOOKUP($A158,[4]库存使用数据!$A:$G,7,0),0)+IFERROR(VLOOKUP($A158,[5]库存使用数据!$A:$G,7,0),0)</f>
        <v>6.9</v>
      </c>
      <c r="H158" s="1">
        <f ca="1">IFERROR(VLOOKUP($A158,[1]库存使用数据!$A:$H,8,0),0)+IFERROR(VLOOKUP($A158,[2]库存使用数据!$A:$H,8,0),0)+IFERROR(VLOOKUP($A158,[3]库存使用数据!$A:$H,8,0),0)+IFERROR(VLOOKUP($A158,[4]库存使用数据!$A:$H,8,0),0)+IFERROR(VLOOKUP($A158,[5]库存使用数据!$A:$H,8,0),0)</f>
        <v>1561</v>
      </c>
      <c r="I158" s="1">
        <f ca="1">IFERROR(VLOOKUP($A158,[1]库存使用数据!$A:$I,9,0),0)+IFERROR(VLOOKUP($A158,[2]库存使用数据!$A:$I,9,0),0)+IFERROR(VLOOKUP($A158,[3]库存使用数据!$A:$I,9,0),0)+IFERROR(VLOOKUP($A158,[4]库存使用数据!$A:$I,9,0),0)+IFERROR(VLOOKUP($A158,[5]库存使用数据!$A:$I,9,0),0)</f>
        <v>14</v>
      </c>
      <c r="J158" s="1">
        <f ca="1">IFERROR(VLOOKUP($A158,[1]库存使用数据!$A:$J,10,0),0)+IFERROR(VLOOKUP($A158,[2]库存使用数据!$A:$J,10,0),0)+公式!$B$14*IFERROR(VLOOKUP($A158,[3]库存使用数据!$A:$J,10,0),0)+IFERROR(VLOOKUP($A158,[4]库存使用数据!$A:$J,10,0),0)+IFERROR(VLOOKUP($A158,[5]库存使用数据!$A:$J,10,0),0)</f>
        <v>3.72</v>
      </c>
      <c r="K158" s="1">
        <f ca="1">IFERROR(VLOOKUP($A158,[1]库存使用数据!$A:$K,11,0),0)+IFERROR(VLOOKUP($A158,[2]库存使用数据!$A:$K,11,0),0)+IFERROR(VLOOKUP($A158,[3]库存使用数据!$A:$K,11,0),0)+IFERROR(VLOOKUP($A158,[4]库存使用数据!$A:$K,11,0),0)+IFERROR(VLOOKUP($A158,[5]库存使用数据!$A:$K,11,0),0)</f>
        <v>843</v>
      </c>
      <c r="L158" s="1">
        <f ca="1">IFERROR(VLOOKUP($A158,[1]库存使用数据!$A:$L,12,0),0)+IFERROR(VLOOKUP($A158,[2]库存使用数据!$A:$L,12,0),0)+IFERROR(VLOOKUP($A158,[3]库存使用数据!$A:$L,12,0),0)+IFERROR(VLOOKUP($A158,[4]库存使用数据!$A:$L,12,0),0)+IFERROR(VLOOKUP($A158,[5]库存使用数据!$A:$L,12,0),0)</f>
        <v>10</v>
      </c>
      <c r="M158" s="1">
        <f ca="1">IFERROR(VLOOKUP($A158,[1]库存使用数据!$A:$M,13,0),0)+IFERROR(VLOOKUP($A158,[2]库存使用数据!$A:$M,13,0),0)+公式!$B$14*IFERROR(VLOOKUP($A158,[3]库存使用数据!$A:$M,13,0),0)+IFERROR(VLOOKUP($A158,[4]库存使用数据!$A:$M,13,0),0)+IFERROR(VLOOKUP($A158,[5]库存使用数据!$A:$M,13,0),0)</f>
        <v>2.22</v>
      </c>
    </row>
    <row r="159" spans="1:13">
      <c r="A159" s="5" t="s">
        <v>164</v>
      </c>
      <c r="B159" s="2">
        <f ca="1">IFERROR(VLOOKUP(A159,[1]库存使用数据!$A:$B,2,0),0)+IFERROR(VLOOKUP(A159,[2]库存使用数据!$A:$B,2,0),0)+IFERROR(VLOOKUP(,[3]库存使用数据!$A:$B,2,0),0)+IFERROR(VLOOKUP(A159,[4]库存使用数据!$A:$B,2,0),0)+IFERROR(VLOOKUP(A159,[5]库存使用数据!$A:$B,2,0),0)</f>
        <v>853</v>
      </c>
      <c r="C159" s="1">
        <f ca="1">IFERROR(VLOOKUP($A159,[1]库存使用数据!$A:$C,3,0),0)+IFERROR(VLOOKUP($A159,[2]库存使用数据!$A:$C,3,0),0)+IFERROR(VLOOKUP($A159,[3]库存使用数据!$A:$C,3,0),0)+IFERROR(VLOOKUP($A159,[4]库存使用数据!$A:$C,3,0),0)+IFERROR(VLOOKUP($A159,[5]库存使用数据!$A:$C,3,0),0)</f>
        <v>0</v>
      </c>
      <c r="D159" s="1">
        <f ca="1">IFERROR(VLOOKUP($A159,[1]库存使用数据!$A:$D,4,0),0)+IFERROR(VLOOKUP($A159,[2]库存使用数据!$A:$D,4,0),0)+公式!$B$1*IFERROR(VLOOKUP($A159,[3]库存使用数据!$A:$D,4,0),0)+IFERROR(VLOOKUP($A159,[4]库存使用数据!$A:$D,4,0),0)+IFERROR(VLOOKUP($A159,[5]库存使用数据!$A:$D,4,0),0)</f>
        <v>0</v>
      </c>
      <c r="E159" s="1">
        <f ca="1">IFERROR(VLOOKUP($A159,[1]库存使用数据!$A:$E,5,0),0)+IFERROR(VLOOKUP($A159,[2]库存使用数据!$A:$E,5,0),0)+IFERROR(VLOOKUP($A159,[3]库存使用数据!$A:$E,5,0),0)+IFERROR(VLOOKUP($A159,[4]库存使用数据!$A:$E,5,0),0)+IFERROR(VLOOKUP($A159,[5]库存使用数据!$A:$E,5,0),0)</f>
        <v>932</v>
      </c>
      <c r="F159" s="1">
        <f ca="1">IFERROR(VLOOKUP($A159,[1]库存使用数据!$A:$F,6,0),0)+IFERROR(VLOOKUP($A159,[2]库存使用数据!$A:$F,6,0),0)+IFERROR(VLOOKUP($A159,[4]库存使用数据!$A:$F,6,0),0)+IFERROR(VLOOKUP($A159,[3]库存使用数据!$A:$F,6,0),0)+IFERROR(VLOOKUP($A159,[5]库存使用数据!$A:$F,6,0),0)</f>
        <v>7</v>
      </c>
      <c r="G159" s="1">
        <f ca="1">IFERROR(VLOOKUP($A159,[1]库存使用数据!$A:$G,7,0),0)+IFERROR(VLOOKUP($A159,[2]库存使用数据!$A:$G,7,0),0)+公式!$B$14*IFERROR(VLOOKUP($A159,[3]库存使用数据!$A:$G,7,0),0)+IFERROR(VLOOKUP($A159,[4]库存使用数据!$A:$G,7,0),0)+IFERROR(VLOOKUP($A159,[5]库存使用数据!$A:$G,7,0),0)</f>
        <v>1.28</v>
      </c>
      <c r="H159" s="1">
        <f ca="1">IFERROR(VLOOKUP($A159,[1]库存使用数据!$A:$H,8,0),0)+IFERROR(VLOOKUP($A159,[2]库存使用数据!$A:$H,8,0),0)+IFERROR(VLOOKUP($A159,[3]库存使用数据!$A:$H,8,0),0)+IFERROR(VLOOKUP($A159,[4]库存使用数据!$A:$H,8,0),0)+IFERROR(VLOOKUP($A159,[5]库存使用数据!$A:$H,8,0),0)</f>
        <v>676</v>
      </c>
      <c r="I159" s="1">
        <f ca="1">IFERROR(VLOOKUP($A159,[1]库存使用数据!$A:$I,9,0),0)+IFERROR(VLOOKUP($A159,[2]库存使用数据!$A:$I,9,0),0)+IFERROR(VLOOKUP($A159,[3]库存使用数据!$A:$I,9,0),0)+IFERROR(VLOOKUP($A159,[4]库存使用数据!$A:$I,9,0),0)+IFERROR(VLOOKUP($A159,[5]库存使用数据!$A:$I,9,0),0)</f>
        <v>4</v>
      </c>
      <c r="J159" s="1">
        <f ca="1">IFERROR(VLOOKUP($A159,[1]库存使用数据!$A:$J,10,0),0)+IFERROR(VLOOKUP($A159,[2]库存使用数据!$A:$J,10,0),0)+公式!$B$14*IFERROR(VLOOKUP($A159,[3]库存使用数据!$A:$J,10,0),0)+IFERROR(VLOOKUP($A159,[4]库存使用数据!$A:$J,10,0),0)+IFERROR(VLOOKUP($A159,[5]库存使用数据!$A:$J,10,0),0)</f>
        <v>0.91</v>
      </c>
      <c r="K159" s="1">
        <f ca="1">IFERROR(VLOOKUP($A159,[1]库存使用数据!$A:$K,11,0),0)+IFERROR(VLOOKUP($A159,[2]库存使用数据!$A:$K,11,0),0)+IFERROR(VLOOKUP($A159,[3]库存使用数据!$A:$K,11,0),0)+IFERROR(VLOOKUP($A159,[4]库存使用数据!$A:$K,11,0),0)+IFERROR(VLOOKUP($A159,[5]库存使用数据!$A:$K,11,0),0)</f>
        <v>716</v>
      </c>
      <c r="L159" s="1">
        <f ca="1">IFERROR(VLOOKUP($A159,[1]库存使用数据!$A:$L,12,0),0)+IFERROR(VLOOKUP($A159,[2]库存使用数据!$A:$L,12,0),0)+IFERROR(VLOOKUP($A159,[3]库存使用数据!$A:$L,12,0),0)+IFERROR(VLOOKUP($A159,[4]库存使用数据!$A:$L,12,0),0)+IFERROR(VLOOKUP($A159,[5]库存使用数据!$A:$L,12,0),0)</f>
        <v>8</v>
      </c>
      <c r="M159" s="1">
        <f ca="1">IFERROR(VLOOKUP($A159,[1]库存使用数据!$A:$M,13,0),0)+IFERROR(VLOOKUP($A159,[2]库存使用数据!$A:$M,13,0),0)+公式!$B$14*IFERROR(VLOOKUP($A159,[3]库存使用数据!$A:$M,13,0),0)+IFERROR(VLOOKUP($A159,[4]库存使用数据!$A:$M,13,0),0)+IFERROR(VLOOKUP($A159,[5]库存使用数据!$A:$M,13,0),0)</f>
        <v>1.58</v>
      </c>
    </row>
    <row r="160" spans="1:13">
      <c r="A160" s="5" t="s">
        <v>165</v>
      </c>
      <c r="B160" s="2">
        <f ca="1">IFERROR(VLOOKUP(A160,[1]库存使用数据!$A:$B,2,0),0)+IFERROR(VLOOKUP(A160,[2]库存使用数据!$A:$B,2,0),0)+IFERROR(VLOOKUP(,[3]库存使用数据!$A:$B,2,0),0)+IFERROR(VLOOKUP(A160,[4]库存使用数据!$A:$B,2,0),0)+IFERROR(VLOOKUP(A160,[5]库存使用数据!$A:$B,2,0),0)</f>
        <v>0</v>
      </c>
      <c r="C160" s="1">
        <f ca="1">IFERROR(VLOOKUP($A160,[1]库存使用数据!$A:$C,3,0),0)+IFERROR(VLOOKUP($A160,[2]库存使用数据!$A:$C,3,0),0)+IFERROR(VLOOKUP($A160,[3]库存使用数据!$A:$C,3,0),0)+IFERROR(VLOOKUP($A160,[4]库存使用数据!$A:$C,3,0),0)+IFERROR(VLOOKUP($A160,[5]库存使用数据!$A:$C,3,0),0)</f>
        <v>0</v>
      </c>
      <c r="D160" s="1">
        <f ca="1">IFERROR(VLOOKUP($A160,[1]库存使用数据!$A:$D,4,0),0)+IFERROR(VLOOKUP($A160,[2]库存使用数据!$A:$D,4,0),0)+公式!$B$1*IFERROR(VLOOKUP($A160,[3]库存使用数据!$A:$D,4,0),0)+IFERROR(VLOOKUP($A160,[4]库存使用数据!$A:$D,4,0),0)+IFERROR(VLOOKUP($A160,[5]库存使用数据!$A:$D,4,0),0)</f>
        <v>0</v>
      </c>
      <c r="E160" s="1">
        <f ca="1">IFERROR(VLOOKUP($A160,[1]库存使用数据!$A:$E,5,0),0)+IFERROR(VLOOKUP($A160,[2]库存使用数据!$A:$E,5,0),0)+IFERROR(VLOOKUP($A160,[3]库存使用数据!$A:$E,5,0),0)+IFERROR(VLOOKUP($A160,[4]库存使用数据!$A:$E,5,0),0)+IFERROR(VLOOKUP($A160,[5]库存使用数据!$A:$E,5,0),0)</f>
        <v>0</v>
      </c>
      <c r="F160" s="1">
        <f ca="1">IFERROR(VLOOKUP($A160,[1]库存使用数据!$A:$F,6,0),0)+IFERROR(VLOOKUP($A160,[2]库存使用数据!$A:$F,6,0),0)+IFERROR(VLOOKUP($A160,[4]库存使用数据!$A:$F,6,0),0)+IFERROR(VLOOKUP($A160,[3]库存使用数据!$A:$F,6,0),0)+IFERROR(VLOOKUP($A160,[5]库存使用数据!$A:$F,6,0),0)</f>
        <v>0</v>
      </c>
      <c r="G160" s="1">
        <f ca="1">IFERROR(VLOOKUP($A160,[1]库存使用数据!$A:$G,7,0),0)+IFERROR(VLOOKUP($A160,[2]库存使用数据!$A:$G,7,0),0)+公式!$B$14*IFERROR(VLOOKUP($A160,[3]库存使用数据!$A:$G,7,0),0)+IFERROR(VLOOKUP($A160,[4]库存使用数据!$A:$G,7,0),0)+IFERROR(VLOOKUP($A160,[5]库存使用数据!$A:$G,7,0),0)</f>
        <v>0</v>
      </c>
      <c r="H160" s="1">
        <f ca="1">IFERROR(VLOOKUP($A160,[1]库存使用数据!$A:$H,8,0),0)+IFERROR(VLOOKUP($A160,[2]库存使用数据!$A:$H,8,0),0)+IFERROR(VLOOKUP($A160,[3]库存使用数据!$A:$H,8,0),0)+IFERROR(VLOOKUP($A160,[4]库存使用数据!$A:$H,8,0),0)+IFERROR(VLOOKUP($A160,[5]库存使用数据!$A:$H,8,0),0)</f>
        <v>2168</v>
      </c>
      <c r="I160" s="1">
        <f ca="1">IFERROR(VLOOKUP($A160,[1]库存使用数据!$A:$I,9,0),0)+IFERROR(VLOOKUP($A160,[2]库存使用数据!$A:$I,9,0),0)+IFERROR(VLOOKUP($A160,[3]库存使用数据!$A:$I,9,0),0)+IFERROR(VLOOKUP($A160,[4]库存使用数据!$A:$I,9,0),0)+IFERROR(VLOOKUP($A160,[5]库存使用数据!$A:$I,9,0),0)</f>
        <v>42</v>
      </c>
      <c r="J160" s="1">
        <f ca="1">IFERROR(VLOOKUP($A160,[1]库存使用数据!$A:$J,10,0),0)+IFERROR(VLOOKUP($A160,[2]库存使用数据!$A:$J,10,0),0)+公式!$B$14*IFERROR(VLOOKUP($A160,[3]库存使用数据!$A:$J,10,0),0)+IFERROR(VLOOKUP($A160,[4]库存使用数据!$A:$J,10,0),0)+IFERROR(VLOOKUP($A160,[5]库存使用数据!$A:$J,10,0),0)</f>
        <v>7.87</v>
      </c>
      <c r="K160" s="1">
        <f ca="1">IFERROR(VLOOKUP($A160,[1]库存使用数据!$A:$K,11,0),0)+IFERROR(VLOOKUP($A160,[2]库存使用数据!$A:$K,11,0),0)+IFERROR(VLOOKUP($A160,[3]库存使用数据!$A:$K,11,0),0)+IFERROR(VLOOKUP($A160,[4]库存使用数据!$A:$K,11,0),0)+IFERROR(VLOOKUP($A160,[5]库存使用数据!$A:$K,11,0),0)</f>
        <v>1183</v>
      </c>
      <c r="L160" s="1">
        <f ca="1">IFERROR(VLOOKUP($A160,[1]库存使用数据!$A:$L,12,0),0)+IFERROR(VLOOKUP($A160,[2]库存使用数据!$A:$L,12,0),0)+IFERROR(VLOOKUP($A160,[3]库存使用数据!$A:$L,12,0),0)+IFERROR(VLOOKUP($A160,[4]库存使用数据!$A:$L,12,0),0)+IFERROR(VLOOKUP($A160,[5]库存使用数据!$A:$L,12,0),0)</f>
        <v>19</v>
      </c>
      <c r="M160" s="1">
        <f ca="1">IFERROR(VLOOKUP($A160,[1]库存使用数据!$A:$M,13,0),0)+IFERROR(VLOOKUP($A160,[2]库存使用数据!$A:$M,13,0),0)+公式!$B$14*IFERROR(VLOOKUP($A160,[3]库存使用数据!$A:$M,13,0),0)+IFERROR(VLOOKUP($A160,[4]库存使用数据!$A:$M,13,0),0)+IFERROR(VLOOKUP($A160,[5]库存使用数据!$A:$M,13,0),0)</f>
        <v>3.86</v>
      </c>
    </row>
    <row r="161" spans="1:13">
      <c r="A161" s="5" t="s">
        <v>166</v>
      </c>
      <c r="B161" s="2">
        <f ca="1">IFERROR(VLOOKUP(A161,[1]库存使用数据!$A:$B,2,0),0)+IFERROR(VLOOKUP(A161,[2]库存使用数据!$A:$B,2,0),0)+IFERROR(VLOOKUP(,[3]库存使用数据!$A:$B,2,0),0)+IFERROR(VLOOKUP(A161,[4]库存使用数据!$A:$B,2,0),0)+IFERROR(VLOOKUP(A161,[5]库存使用数据!$A:$B,2,0),0)</f>
        <v>105</v>
      </c>
      <c r="C161" s="1">
        <f ca="1">IFERROR(VLOOKUP($A161,[1]库存使用数据!$A:$C,3,0),0)+IFERROR(VLOOKUP($A161,[2]库存使用数据!$A:$C,3,0),0)+IFERROR(VLOOKUP($A161,[3]库存使用数据!$A:$C,3,0),0)+IFERROR(VLOOKUP($A161,[4]库存使用数据!$A:$C,3,0),0)+IFERROR(VLOOKUP($A161,[5]库存使用数据!$A:$C,3,0),0)</f>
        <v>7</v>
      </c>
      <c r="D161" s="1">
        <f ca="1">IFERROR(VLOOKUP($A161,[1]库存使用数据!$A:$D,4,0),0)+IFERROR(VLOOKUP($A161,[2]库存使用数据!$A:$D,4,0),0)+公式!$B$1*IFERROR(VLOOKUP($A161,[3]库存使用数据!$A:$D,4,0),0)+IFERROR(VLOOKUP($A161,[4]库存使用数据!$A:$D,4,0),0)+IFERROR(VLOOKUP($A161,[5]库存使用数据!$A:$D,4,0),0)</f>
        <v>1.5975</v>
      </c>
      <c r="E161" s="1">
        <f ca="1">IFERROR(VLOOKUP($A161,[1]库存使用数据!$A:$E,5,0),0)+IFERROR(VLOOKUP($A161,[2]库存使用数据!$A:$E,5,0),0)+IFERROR(VLOOKUP($A161,[3]库存使用数据!$A:$E,5,0),0)+IFERROR(VLOOKUP($A161,[4]库存使用数据!$A:$E,5,0),0)+IFERROR(VLOOKUP($A161,[5]库存使用数据!$A:$E,5,0),0)</f>
        <v>37159</v>
      </c>
      <c r="F161" s="1">
        <f ca="1">IFERROR(VLOOKUP($A161,[1]库存使用数据!$A:$F,6,0),0)+IFERROR(VLOOKUP($A161,[2]库存使用数据!$A:$F,6,0),0)+IFERROR(VLOOKUP($A161,[4]库存使用数据!$A:$F,6,0),0)+IFERROR(VLOOKUP($A161,[3]库存使用数据!$A:$F,6,0),0)+IFERROR(VLOOKUP($A161,[5]库存使用数据!$A:$F,6,0),0)</f>
        <v>140</v>
      </c>
      <c r="G161" s="1">
        <f ca="1">IFERROR(VLOOKUP($A161,[1]库存使用数据!$A:$G,7,0),0)+IFERROR(VLOOKUP($A161,[2]库存使用数据!$A:$G,7,0),0)+公式!$B$14*IFERROR(VLOOKUP($A161,[3]库存使用数据!$A:$G,7,0),0)+IFERROR(VLOOKUP($A161,[4]库存使用数据!$A:$G,7,0),0)+IFERROR(VLOOKUP($A161,[5]库存使用数据!$A:$G,7,0),0)</f>
        <v>17.09</v>
      </c>
      <c r="H161" s="1">
        <f ca="1">IFERROR(VLOOKUP($A161,[1]库存使用数据!$A:$H,8,0),0)+IFERROR(VLOOKUP($A161,[2]库存使用数据!$A:$H,8,0),0)+IFERROR(VLOOKUP($A161,[3]库存使用数据!$A:$H,8,0),0)+IFERROR(VLOOKUP($A161,[4]库存使用数据!$A:$H,8,0),0)+IFERROR(VLOOKUP($A161,[5]库存使用数据!$A:$H,8,0),0)</f>
        <v>3004</v>
      </c>
      <c r="I161" s="1">
        <f ca="1">IFERROR(VLOOKUP($A161,[1]库存使用数据!$A:$I,9,0),0)+IFERROR(VLOOKUP($A161,[2]库存使用数据!$A:$I,9,0),0)+IFERROR(VLOOKUP($A161,[3]库存使用数据!$A:$I,9,0),0)+IFERROR(VLOOKUP($A161,[4]库存使用数据!$A:$I,9,0),0)+IFERROR(VLOOKUP($A161,[5]库存使用数据!$A:$I,9,0),0)</f>
        <v>16</v>
      </c>
      <c r="J161" s="1">
        <f ca="1">IFERROR(VLOOKUP($A161,[1]库存使用数据!$A:$J,10,0),0)+IFERROR(VLOOKUP($A161,[2]库存使用数据!$A:$J,10,0),0)+公式!$B$14*IFERROR(VLOOKUP($A161,[3]库存使用数据!$A:$J,10,0),0)+IFERROR(VLOOKUP($A161,[4]库存使用数据!$A:$J,10,0),0)+IFERROR(VLOOKUP($A161,[5]库存使用数据!$A:$J,10,0),0)</f>
        <v>1.73</v>
      </c>
      <c r="K161" s="1">
        <f ca="1">IFERROR(VLOOKUP($A161,[1]库存使用数据!$A:$K,11,0),0)+IFERROR(VLOOKUP($A161,[2]库存使用数据!$A:$K,11,0),0)+IFERROR(VLOOKUP($A161,[3]库存使用数据!$A:$K,11,0),0)+IFERROR(VLOOKUP($A161,[4]库存使用数据!$A:$K,11,0),0)+IFERROR(VLOOKUP($A161,[5]库存使用数据!$A:$K,11,0),0)</f>
        <v>0</v>
      </c>
      <c r="L161" s="1">
        <f ca="1">IFERROR(VLOOKUP($A161,[1]库存使用数据!$A:$L,12,0),0)+IFERROR(VLOOKUP($A161,[2]库存使用数据!$A:$L,12,0),0)+IFERROR(VLOOKUP($A161,[3]库存使用数据!$A:$L,12,0),0)+IFERROR(VLOOKUP($A161,[4]库存使用数据!$A:$L,12,0),0)+IFERROR(VLOOKUP($A161,[5]库存使用数据!$A:$L,12,0),0)</f>
        <v>0</v>
      </c>
      <c r="M161" s="1">
        <f ca="1">IFERROR(VLOOKUP($A161,[1]库存使用数据!$A:$M,13,0),0)+IFERROR(VLOOKUP($A161,[2]库存使用数据!$A:$M,13,0),0)+公式!$B$14*IFERROR(VLOOKUP($A161,[3]库存使用数据!$A:$M,13,0),0)+IFERROR(VLOOKUP($A161,[4]库存使用数据!$A:$M,13,0),0)+IFERROR(VLOOKUP($A161,[5]库存使用数据!$A:$M,13,0),0)</f>
        <v>0</v>
      </c>
    </row>
    <row r="162" spans="1:13">
      <c r="A162" s="5" t="s">
        <v>167</v>
      </c>
      <c r="B162" s="2">
        <f ca="1">IFERROR(VLOOKUP(A162,[1]库存使用数据!$A:$B,2,0),0)+IFERROR(VLOOKUP(A162,[2]库存使用数据!$A:$B,2,0),0)+IFERROR(VLOOKUP(,[3]库存使用数据!$A:$B,2,0),0)+IFERROR(VLOOKUP(A162,[4]库存使用数据!$A:$B,2,0),0)+IFERROR(VLOOKUP(A162,[5]库存使用数据!$A:$B,2,0),0)</f>
        <v>0</v>
      </c>
      <c r="C162" s="1">
        <f ca="1">IFERROR(VLOOKUP($A162,[1]库存使用数据!$A:$C,3,0),0)+IFERROR(VLOOKUP($A162,[2]库存使用数据!$A:$C,3,0),0)+IFERROR(VLOOKUP($A162,[3]库存使用数据!$A:$C,3,0),0)+IFERROR(VLOOKUP($A162,[4]库存使用数据!$A:$C,3,0),0)+IFERROR(VLOOKUP($A162,[5]库存使用数据!$A:$C,3,0),0)</f>
        <v>0</v>
      </c>
      <c r="D162" s="1">
        <f ca="1">IFERROR(VLOOKUP($A162,[1]库存使用数据!$A:$D,4,0),0)+IFERROR(VLOOKUP($A162,[2]库存使用数据!$A:$D,4,0),0)+公式!$B$1*IFERROR(VLOOKUP($A162,[3]库存使用数据!$A:$D,4,0),0)+IFERROR(VLOOKUP($A162,[4]库存使用数据!$A:$D,4,0),0)+IFERROR(VLOOKUP($A162,[5]库存使用数据!$A:$D,4,0),0)</f>
        <v>0</v>
      </c>
      <c r="E162" s="1">
        <f ca="1">IFERROR(VLOOKUP($A162,[1]库存使用数据!$A:$E,5,0),0)+IFERROR(VLOOKUP($A162,[2]库存使用数据!$A:$E,5,0),0)+IFERROR(VLOOKUP($A162,[3]库存使用数据!$A:$E,5,0),0)+IFERROR(VLOOKUP($A162,[4]库存使用数据!$A:$E,5,0),0)+IFERROR(VLOOKUP($A162,[5]库存使用数据!$A:$E,5,0),0)</f>
        <v>8</v>
      </c>
      <c r="F162" s="1">
        <f ca="1">IFERROR(VLOOKUP($A162,[1]库存使用数据!$A:$F,6,0),0)+IFERROR(VLOOKUP($A162,[2]库存使用数据!$A:$F,6,0),0)+IFERROR(VLOOKUP($A162,[4]库存使用数据!$A:$F,6,0),0)+IFERROR(VLOOKUP($A162,[3]库存使用数据!$A:$F,6,0),0)+IFERROR(VLOOKUP($A162,[5]库存使用数据!$A:$F,6,0),0)</f>
        <v>0</v>
      </c>
      <c r="G162" s="1">
        <f ca="1">IFERROR(VLOOKUP($A162,[1]库存使用数据!$A:$G,7,0),0)+IFERROR(VLOOKUP($A162,[2]库存使用数据!$A:$G,7,0),0)+公式!$B$14*IFERROR(VLOOKUP($A162,[3]库存使用数据!$A:$G,7,0),0)+IFERROR(VLOOKUP($A162,[4]库存使用数据!$A:$G,7,0),0)+IFERROR(VLOOKUP($A162,[5]库存使用数据!$A:$G,7,0),0)</f>
        <v>0</v>
      </c>
      <c r="H162" s="1">
        <f ca="1">IFERROR(VLOOKUP($A162,[1]库存使用数据!$A:$H,8,0),0)+IFERROR(VLOOKUP($A162,[2]库存使用数据!$A:$H,8,0),0)+IFERROR(VLOOKUP($A162,[3]库存使用数据!$A:$H,8,0),0)+IFERROR(VLOOKUP($A162,[4]库存使用数据!$A:$H,8,0),0)+IFERROR(VLOOKUP($A162,[5]库存使用数据!$A:$H,8,0),0)</f>
        <v>3</v>
      </c>
      <c r="I162" s="1">
        <f ca="1">IFERROR(VLOOKUP($A162,[1]库存使用数据!$A:$I,9,0),0)+IFERROR(VLOOKUP($A162,[2]库存使用数据!$A:$I,9,0),0)+IFERROR(VLOOKUP($A162,[3]库存使用数据!$A:$I,9,0),0)+IFERROR(VLOOKUP($A162,[4]库存使用数据!$A:$I,9,0),0)+IFERROR(VLOOKUP($A162,[5]库存使用数据!$A:$I,9,0),0)</f>
        <v>0</v>
      </c>
      <c r="J162" s="1">
        <f ca="1">IFERROR(VLOOKUP($A162,[1]库存使用数据!$A:$J,10,0),0)+IFERROR(VLOOKUP($A162,[2]库存使用数据!$A:$J,10,0),0)+公式!$B$14*IFERROR(VLOOKUP($A162,[3]库存使用数据!$A:$J,10,0),0)+IFERROR(VLOOKUP($A162,[4]库存使用数据!$A:$J,10,0),0)+IFERROR(VLOOKUP($A162,[5]库存使用数据!$A:$J,10,0),0)</f>
        <v>0</v>
      </c>
      <c r="K162" s="1">
        <f ca="1">IFERROR(VLOOKUP($A162,[1]库存使用数据!$A:$K,11,0),0)+IFERROR(VLOOKUP($A162,[2]库存使用数据!$A:$K,11,0),0)+IFERROR(VLOOKUP($A162,[3]库存使用数据!$A:$K,11,0),0)+IFERROR(VLOOKUP($A162,[4]库存使用数据!$A:$K,11,0),0)+IFERROR(VLOOKUP($A162,[5]库存使用数据!$A:$K,11,0),0)</f>
        <v>0</v>
      </c>
      <c r="L162" s="1">
        <f ca="1">IFERROR(VLOOKUP($A162,[1]库存使用数据!$A:$L,12,0),0)+IFERROR(VLOOKUP($A162,[2]库存使用数据!$A:$L,12,0),0)+IFERROR(VLOOKUP($A162,[3]库存使用数据!$A:$L,12,0),0)+IFERROR(VLOOKUP($A162,[4]库存使用数据!$A:$L,12,0),0)+IFERROR(VLOOKUP($A162,[5]库存使用数据!$A:$L,12,0),0)</f>
        <v>0</v>
      </c>
      <c r="M162" s="1">
        <f ca="1">IFERROR(VLOOKUP($A162,[1]库存使用数据!$A:$M,13,0),0)+IFERROR(VLOOKUP($A162,[2]库存使用数据!$A:$M,13,0),0)+公式!$B$14*IFERROR(VLOOKUP($A162,[3]库存使用数据!$A:$M,13,0),0)+IFERROR(VLOOKUP($A162,[4]库存使用数据!$A:$M,13,0),0)+IFERROR(VLOOKUP($A162,[5]库存使用数据!$A:$M,13,0),0)</f>
        <v>0</v>
      </c>
    </row>
    <row r="163" spans="1:13">
      <c r="A163" s="5" t="s">
        <v>168</v>
      </c>
      <c r="B163" s="2">
        <f ca="1">IFERROR(VLOOKUP(A163,[1]库存使用数据!$A:$B,2,0),0)+IFERROR(VLOOKUP(A163,[2]库存使用数据!$A:$B,2,0),0)+IFERROR(VLOOKUP(,[3]库存使用数据!$A:$B,2,0),0)+IFERROR(VLOOKUP(A163,[4]库存使用数据!$A:$B,2,0),0)+IFERROR(VLOOKUP(A163,[5]库存使用数据!$A:$B,2,0),0)</f>
        <v>0</v>
      </c>
      <c r="C163" s="1">
        <f ca="1">IFERROR(VLOOKUP($A163,[1]库存使用数据!$A:$C,3,0),0)+IFERROR(VLOOKUP($A163,[2]库存使用数据!$A:$C,3,0),0)+IFERROR(VLOOKUP($A163,[3]库存使用数据!$A:$C,3,0),0)+IFERROR(VLOOKUP($A163,[4]库存使用数据!$A:$C,3,0),0)+IFERROR(VLOOKUP($A163,[5]库存使用数据!$A:$C,3,0),0)</f>
        <v>0</v>
      </c>
      <c r="D163" s="1">
        <f ca="1">IFERROR(VLOOKUP($A163,[1]库存使用数据!$A:$D,4,0),0)+IFERROR(VLOOKUP($A163,[2]库存使用数据!$A:$D,4,0),0)+公式!$B$1*IFERROR(VLOOKUP($A163,[3]库存使用数据!$A:$D,4,0),0)+IFERROR(VLOOKUP($A163,[4]库存使用数据!$A:$D,4,0),0)+IFERROR(VLOOKUP($A163,[5]库存使用数据!$A:$D,4,0),0)</f>
        <v>0</v>
      </c>
      <c r="E163" s="1">
        <f ca="1">IFERROR(VLOOKUP($A163,[1]库存使用数据!$A:$E,5,0),0)+IFERROR(VLOOKUP($A163,[2]库存使用数据!$A:$E,5,0),0)+IFERROR(VLOOKUP($A163,[3]库存使用数据!$A:$E,5,0),0)+IFERROR(VLOOKUP($A163,[4]库存使用数据!$A:$E,5,0),0)+IFERROR(VLOOKUP($A163,[5]库存使用数据!$A:$E,5,0),0)</f>
        <v>22</v>
      </c>
      <c r="F163" s="1">
        <f ca="1">IFERROR(VLOOKUP($A163,[1]库存使用数据!$A:$F,6,0),0)+IFERROR(VLOOKUP($A163,[2]库存使用数据!$A:$F,6,0),0)+IFERROR(VLOOKUP($A163,[4]库存使用数据!$A:$F,6,0),0)+IFERROR(VLOOKUP($A163,[3]库存使用数据!$A:$F,6,0),0)+IFERROR(VLOOKUP($A163,[5]库存使用数据!$A:$F,6,0),0)</f>
        <v>0</v>
      </c>
      <c r="G163" s="1">
        <f ca="1">IFERROR(VLOOKUP($A163,[1]库存使用数据!$A:$G,7,0),0)+IFERROR(VLOOKUP($A163,[2]库存使用数据!$A:$G,7,0),0)+公式!$B$14*IFERROR(VLOOKUP($A163,[3]库存使用数据!$A:$G,7,0),0)+IFERROR(VLOOKUP($A163,[4]库存使用数据!$A:$G,7,0),0)+IFERROR(VLOOKUP($A163,[5]库存使用数据!$A:$G,7,0),0)</f>
        <v>0</v>
      </c>
      <c r="H163" s="1">
        <f ca="1">IFERROR(VLOOKUP($A163,[1]库存使用数据!$A:$H,8,0),0)+IFERROR(VLOOKUP($A163,[2]库存使用数据!$A:$H,8,0),0)+IFERROR(VLOOKUP($A163,[3]库存使用数据!$A:$H,8,0),0)+IFERROR(VLOOKUP($A163,[4]库存使用数据!$A:$H,8,0),0)+IFERROR(VLOOKUP($A163,[5]库存使用数据!$A:$H,8,0),0)</f>
        <v>31</v>
      </c>
      <c r="I163" s="1">
        <f ca="1">IFERROR(VLOOKUP($A163,[1]库存使用数据!$A:$I,9,0),0)+IFERROR(VLOOKUP($A163,[2]库存使用数据!$A:$I,9,0),0)+IFERROR(VLOOKUP($A163,[3]库存使用数据!$A:$I,9,0),0)+IFERROR(VLOOKUP($A163,[4]库存使用数据!$A:$I,9,0),0)+IFERROR(VLOOKUP($A163,[5]库存使用数据!$A:$I,9,0),0)</f>
        <v>0</v>
      </c>
      <c r="J163" s="1">
        <f ca="1">IFERROR(VLOOKUP($A163,[1]库存使用数据!$A:$J,10,0),0)+IFERROR(VLOOKUP($A163,[2]库存使用数据!$A:$J,10,0),0)+公式!$B$14*IFERROR(VLOOKUP($A163,[3]库存使用数据!$A:$J,10,0),0)+IFERROR(VLOOKUP($A163,[4]库存使用数据!$A:$J,10,0),0)+IFERROR(VLOOKUP($A163,[5]库存使用数据!$A:$J,10,0),0)</f>
        <v>0</v>
      </c>
      <c r="K163" s="1">
        <f ca="1">IFERROR(VLOOKUP($A163,[1]库存使用数据!$A:$K,11,0),0)+IFERROR(VLOOKUP($A163,[2]库存使用数据!$A:$K,11,0),0)+IFERROR(VLOOKUP($A163,[3]库存使用数据!$A:$K,11,0),0)+IFERROR(VLOOKUP($A163,[4]库存使用数据!$A:$K,11,0),0)+IFERROR(VLOOKUP($A163,[5]库存使用数据!$A:$K,11,0),0)</f>
        <v>6</v>
      </c>
      <c r="L163" s="1">
        <f ca="1">IFERROR(VLOOKUP($A163,[1]库存使用数据!$A:$L,12,0),0)+IFERROR(VLOOKUP($A163,[2]库存使用数据!$A:$L,12,0),0)+IFERROR(VLOOKUP($A163,[3]库存使用数据!$A:$L,12,0),0)+IFERROR(VLOOKUP($A163,[4]库存使用数据!$A:$L,12,0),0)+IFERROR(VLOOKUP($A163,[5]库存使用数据!$A:$L,12,0),0)</f>
        <v>0</v>
      </c>
      <c r="M163" s="1">
        <f ca="1">IFERROR(VLOOKUP($A163,[1]库存使用数据!$A:$M,13,0),0)+IFERROR(VLOOKUP($A163,[2]库存使用数据!$A:$M,13,0),0)+公式!$B$14*IFERROR(VLOOKUP($A163,[3]库存使用数据!$A:$M,13,0),0)+IFERROR(VLOOKUP($A163,[4]库存使用数据!$A:$M,13,0),0)+IFERROR(VLOOKUP($A163,[5]库存使用数据!$A:$M,13,0),0)</f>
        <v>0</v>
      </c>
    </row>
    <row r="164" spans="1:13">
      <c r="A164" s="5" t="s">
        <v>169</v>
      </c>
      <c r="B164" s="2">
        <f ca="1">IFERROR(VLOOKUP(A164,[1]库存使用数据!$A:$B,2,0),0)+IFERROR(VLOOKUP(A164,[2]库存使用数据!$A:$B,2,0),0)+IFERROR(VLOOKUP(,[3]库存使用数据!$A:$B,2,0),0)+IFERROR(VLOOKUP(A164,[4]库存使用数据!$A:$B,2,0),0)+IFERROR(VLOOKUP(A164,[5]库存使用数据!$A:$B,2,0),0)</f>
        <v>0</v>
      </c>
      <c r="C164" s="1">
        <f ca="1">IFERROR(VLOOKUP($A164,[1]库存使用数据!$A:$C,3,0),0)+IFERROR(VLOOKUP($A164,[2]库存使用数据!$A:$C,3,0),0)+IFERROR(VLOOKUP($A164,[3]库存使用数据!$A:$C,3,0),0)+IFERROR(VLOOKUP($A164,[4]库存使用数据!$A:$C,3,0),0)+IFERROR(VLOOKUP($A164,[5]库存使用数据!$A:$C,3,0),0)</f>
        <v>0</v>
      </c>
      <c r="D164" s="1">
        <f ca="1">IFERROR(VLOOKUP($A164,[1]库存使用数据!$A:$D,4,0),0)+IFERROR(VLOOKUP($A164,[2]库存使用数据!$A:$D,4,0),0)+公式!$B$1*IFERROR(VLOOKUP($A164,[3]库存使用数据!$A:$D,4,0),0)+IFERROR(VLOOKUP($A164,[4]库存使用数据!$A:$D,4,0),0)+IFERROR(VLOOKUP($A164,[5]库存使用数据!$A:$D,4,0),0)</f>
        <v>0</v>
      </c>
      <c r="E164" s="1">
        <f ca="1">IFERROR(VLOOKUP($A164,[1]库存使用数据!$A:$E,5,0),0)+IFERROR(VLOOKUP($A164,[2]库存使用数据!$A:$E,5,0),0)+IFERROR(VLOOKUP($A164,[3]库存使用数据!$A:$E,5,0),0)+IFERROR(VLOOKUP($A164,[4]库存使用数据!$A:$E,5,0),0)+IFERROR(VLOOKUP($A164,[5]库存使用数据!$A:$E,5,0),0)</f>
        <v>13</v>
      </c>
      <c r="F164" s="1">
        <f ca="1">IFERROR(VLOOKUP($A164,[1]库存使用数据!$A:$F,6,0),0)+IFERROR(VLOOKUP($A164,[2]库存使用数据!$A:$F,6,0),0)+IFERROR(VLOOKUP($A164,[4]库存使用数据!$A:$F,6,0),0)+IFERROR(VLOOKUP($A164,[3]库存使用数据!$A:$F,6,0),0)+IFERROR(VLOOKUP($A164,[5]库存使用数据!$A:$F,6,0),0)</f>
        <v>0</v>
      </c>
      <c r="G164" s="1">
        <f ca="1">IFERROR(VLOOKUP($A164,[1]库存使用数据!$A:$G,7,0),0)+IFERROR(VLOOKUP($A164,[2]库存使用数据!$A:$G,7,0),0)+公式!$B$14*IFERROR(VLOOKUP($A164,[3]库存使用数据!$A:$G,7,0),0)+IFERROR(VLOOKUP($A164,[4]库存使用数据!$A:$G,7,0),0)+IFERROR(VLOOKUP($A164,[5]库存使用数据!$A:$G,7,0),0)</f>
        <v>0</v>
      </c>
      <c r="H164" s="1">
        <f ca="1">IFERROR(VLOOKUP($A164,[1]库存使用数据!$A:$H,8,0),0)+IFERROR(VLOOKUP($A164,[2]库存使用数据!$A:$H,8,0),0)+IFERROR(VLOOKUP($A164,[3]库存使用数据!$A:$H,8,0),0)+IFERROR(VLOOKUP($A164,[4]库存使用数据!$A:$H,8,0),0)+IFERROR(VLOOKUP($A164,[5]库存使用数据!$A:$H,8,0),0)</f>
        <v>3</v>
      </c>
      <c r="I164" s="1">
        <f ca="1">IFERROR(VLOOKUP($A164,[1]库存使用数据!$A:$I,9,0),0)+IFERROR(VLOOKUP($A164,[2]库存使用数据!$A:$I,9,0),0)+IFERROR(VLOOKUP($A164,[3]库存使用数据!$A:$I,9,0),0)+IFERROR(VLOOKUP($A164,[4]库存使用数据!$A:$I,9,0),0)+IFERROR(VLOOKUP($A164,[5]库存使用数据!$A:$I,9,0),0)</f>
        <v>0</v>
      </c>
      <c r="J164" s="1">
        <f ca="1">IFERROR(VLOOKUP($A164,[1]库存使用数据!$A:$J,10,0),0)+IFERROR(VLOOKUP($A164,[2]库存使用数据!$A:$J,10,0),0)+公式!$B$14*IFERROR(VLOOKUP($A164,[3]库存使用数据!$A:$J,10,0),0)+IFERROR(VLOOKUP($A164,[4]库存使用数据!$A:$J,10,0),0)+IFERROR(VLOOKUP($A164,[5]库存使用数据!$A:$J,10,0),0)</f>
        <v>0</v>
      </c>
      <c r="K164" s="1">
        <f ca="1">IFERROR(VLOOKUP($A164,[1]库存使用数据!$A:$K,11,0),0)+IFERROR(VLOOKUP($A164,[2]库存使用数据!$A:$K,11,0),0)+IFERROR(VLOOKUP($A164,[3]库存使用数据!$A:$K,11,0),0)+IFERROR(VLOOKUP($A164,[4]库存使用数据!$A:$K,11,0),0)+IFERROR(VLOOKUP($A164,[5]库存使用数据!$A:$K,11,0),0)</f>
        <v>36</v>
      </c>
      <c r="L164" s="1">
        <f ca="1">IFERROR(VLOOKUP($A164,[1]库存使用数据!$A:$L,12,0),0)+IFERROR(VLOOKUP($A164,[2]库存使用数据!$A:$L,12,0),0)+IFERROR(VLOOKUP($A164,[3]库存使用数据!$A:$L,12,0),0)+IFERROR(VLOOKUP($A164,[4]库存使用数据!$A:$L,12,0),0)+IFERROR(VLOOKUP($A164,[5]库存使用数据!$A:$L,12,0),0)</f>
        <v>0</v>
      </c>
      <c r="M164" s="1">
        <f ca="1">IFERROR(VLOOKUP($A164,[1]库存使用数据!$A:$M,13,0),0)+IFERROR(VLOOKUP($A164,[2]库存使用数据!$A:$M,13,0),0)+公式!$B$14*IFERROR(VLOOKUP($A164,[3]库存使用数据!$A:$M,13,0),0)+IFERROR(VLOOKUP($A164,[4]库存使用数据!$A:$M,13,0),0)+IFERROR(VLOOKUP($A164,[5]库存使用数据!$A:$M,13,0),0)</f>
        <v>0</v>
      </c>
    </row>
    <row r="165" spans="1:13">
      <c r="A165" s="5" t="s">
        <v>170</v>
      </c>
      <c r="B165" s="2">
        <f ca="1">IFERROR(VLOOKUP(A165,[1]库存使用数据!$A:$B,2,0),0)+IFERROR(VLOOKUP(A165,[2]库存使用数据!$A:$B,2,0),0)+IFERROR(VLOOKUP(,[3]库存使用数据!$A:$B,2,0),0)+IFERROR(VLOOKUP(A165,[4]库存使用数据!$A:$B,2,0),0)+IFERROR(VLOOKUP(A165,[5]库存使用数据!$A:$B,2,0),0)</f>
        <v>0</v>
      </c>
      <c r="C165" s="1">
        <f ca="1">IFERROR(VLOOKUP($A165,[1]库存使用数据!$A:$C,3,0),0)+IFERROR(VLOOKUP($A165,[2]库存使用数据!$A:$C,3,0),0)+IFERROR(VLOOKUP($A165,[3]库存使用数据!$A:$C,3,0),0)+IFERROR(VLOOKUP($A165,[4]库存使用数据!$A:$C,3,0),0)+IFERROR(VLOOKUP($A165,[5]库存使用数据!$A:$C,3,0),0)</f>
        <v>1</v>
      </c>
      <c r="D165" s="1">
        <f ca="1">IFERROR(VLOOKUP($A165,[1]库存使用数据!$A:$D,4,0),0)+IFERROR(VLOOKUP($A165,[2]库存使用数据!$A:$D,4,0),0)+公式!$B$1*IFERROR(VLOOKUP($A165,[3]库存使用数据!$A:$D,4,0),0)+IFERROR(VLOOKUP($A165,[4]库存使用数据!$A:$D,4,0),0)+IFERROR(VLOOKUP($A165,[5]库存使用数据!$A:$D,4,0),0)</f>
        <v>0.21375</v>
      </c>
      <c r="E165" s="1">
        <f ca="1">IFERROR(VLOOKUP($A165,[1]库存使用数据!$A:$E,5,0),0)+IFERROR(VLOOKUP($A165,[2]库存使用数据!$A:$E,5,0),0)+IFERROR(VLOOKUP($A165,[3]库存使用数据!$A:$E,5,0),0)+IFERROR(VLOOKUP($A165,[4]库存使用数据!$A:$E,5,0),0)+IFERROR(VLOOKUP($A165,[5]库存使用数据!$A:$E,5,0),0)</f>
        <v>910</v>
      </c>
      <c r="F165" s="1">
        <f ca="1">IFERROR(VLOOKUP($A165,[1]库存使用数据!$A:$F,6,0),0)+IFERROR(VLOOKUP($A165,[2]库存使用数据!$A:$F,6,0),0)+IFERROR(VLOOKUP($A165,[4]库存使用数据!$A:$F,6,0),0)+IFERROR(VLOOKUP($A165,[3]库存使用数据!$A:$F,6,0),0)+IFERROR(VLOOKUP($A165,[5]库存使用数据!$A:$F,6,0),0)</f>
        <v>0</v>
      </c>
      <c r="G165" s="1">
        <f ca="1">IFERROR(VLOOKUP($A165,[1]库存使用数据!$A:$G,7,0),0)+IFERROR(VLOOKUP($A165,[2]库存使用数据!$A:$G,7,0),0)+公式!$B$14*IFERROR(VLOOKUP($A165,[3]库存使用数据!$A:$G,7,0),0)+IFERROR(VLOOKUP($A165,[4]库存使用数据!$A:$G,7,0),0)+IFERROR(VLOOKUP($A165,[5]库存使用数据!$A:$G,7,0),0)</f>
        <v>0</v>
      </c>
      <c r="H165" s="1">
        <f ca="1">IFERROR(VLOOKUP($A165,[1]库存使用数据!$A:$H,8,0),0)+IFERROR(VLOOKUP($A165,[2]库存使用数据!$A:$H,8,0),0)+IFERROR(VLOOKUP($A165,[3]库存使用数据!$A:$H,8,0),0)+IFERROR(VLOOKUP($A165,[4]库存使用数据!$A:$H,8,0),0)+IFERROR(VLOOKUP($A165,[5]库存使用数据!$A:$H,8,0),0)</f>
        <v>254</v>
      </c>
      <c r="I165" s="1">
        <f ca="1">IFERROR(VLOOKUP($A165,[1]库存使用数据!$A:$I,9,0),0)+IFERROR(VLOOKUP($A165,[2]库存使用数据!$A:$I,9,0),0)+IFERROR(VLOOKUP($A165,[3]库存使用数据!$A:$I,9,0),0)+IFERROR(VLOOKUP($A165,[4]库存使用数据!$A:$I,9,0),0)+IFERROR(VLOOKUP($A165,[5]库存使用数据!$A:$I,9,0),0)</f>
        <v>0</v>
      </c>
      <c r="J165" s="1">
        <f ca="1">IFERROR(VLOOKUP($A165,[1]库存使用数据!$A:$J,10,0),0)+IFERROR(VLOOKUP($A165,[2]库存使用数据!$A:$J,10,0),0)+公式!$B$14*IFERROR(VLOOKUP($A165,[3]库存使用数据!$A:$J,10,0),0)+IFERROR(VLOOKUP($A165,[4]库存使用数据!$A:$J,10,0),0)+IFERROR(VLOOKUP($A165,[5]库存使用数据!$A:$J,10,0),0)</f>
        <v>0</v>
      </c>
      <c r="K165" s="1">
        <f ca="1">IFERROR(VLOOKUP($A165,[1]库存使用数据!$A:$K,11,0),0)+IFERROR(VLOOKUP($A165,[2]库存使用数据!$A:$K,11,0),0)+IFERROR(VLOOKUP($A165,[3]库存使用数据!$A:$K,11,0),0)+IFERROR(VLOOKUP($A165,[4]库存使用数据!$A:$K,11,0),0)+IFERROR(VLOOKUP($A165,[5]库存使用数据!$A:$K,11,0),0)</f>
        <v>34</v>
      </c>
      <c r="L165" s="1">
        <f ca="1">IFERROR(VLOOKUP($A165,[1]库存使用数据!$A:$L,12,0),0)+IFERROR(VLOOKUP($A165,[2]库存使用数据!$A:$L,12,0),0)+IFERROR(VLOOKUP($A165,[3]库存使用数据!$A:$L,12,0),0)+IFERROR(VLOOKUP($A165,[4]库存使用数据!$A:$L,12,0),0)+IFERROR(VLOOKUP($A165,[5]库存使用数据!$A:$L,12,0),0)</f>
        <v>0</v>
      </c>
      <c r="M165" s="1">
        <f ca="1">IFERROR(VLOOKUP($A165,[1]库存使用数据!$A:$M,13,0),0)+IFERROR(VLOOKUP($A165,[2]库存使用数据!$A:$M,13,0),0)+公式!$B$14*IFERROR(VLOOKUP($A165,[3]库存使用数据!$A:$M,13,0),0)+IFERROR(VLOOKUP($A165,[4]库存使用数据!$A:$M,13,0),0)+IFERROR(VLOOKUP($A165,[5]库存使用数据!$A:$M,13,0),0)</f>
        <v>0</v>
      </c>
    </row>
    <row r="166" spans="1:13">
      <c r="A166" s="5" t="s">
        <v>171</v>
      </c>
      <c r="B166" s="2">
        <f ca="1">IFERROR(VLOOKUP(A166,[1]库存使用数据!$A:$B,2,0),0)+IFERROR(VLOOKUP(A166,[2]库存使用数据!$A:$B,2,0),0)+IFERROR(VLOOKUP(,[3]库存使用数据!$A:$B,2,0),0)+IFERROR(VLOOKUP(A166,[4]库存使用数据!$A:$B,2,0),0)+IFERROR(VLOOKUP(A166,[5]库存使用数据!$A:$B,2,0),0)</f>
        <v>0</v>
      </c>
      <c r="C166" s="1">
        <f ca="1">IFERROR(VLOOKUP($A166,[1]库存使用数据!$A:$C,3,0),0)+IFERROR(VLOOKUP($A166,[2]库存使用数据!$A:$C,3,0),0)+IFERROR(VLOOKUP($A166,[3]库存使用数据!$A:$C,3,0),0)+IFERROR(VLOOKUP($A166,[4]库存使用数据!$A:$C,3,0),0)+IFERROR(VLOOKUP($A166,[5]库存使用数据!$A:$C,3,0),0)</f>
        <v>0</v>
      </c>
      <c r="D166" s="1">
        <f ca="1">IFERROR(VLOOKUP($A166,[1]库存使用数据!$A:$D,4,0),0)+IFERROR(VLOOKUP($A166,[2]库存使用数据!$A:$D,4,0),0)+公式!$B$1*IFERROR(VLOOKUP($A166,[3]库存使用数据!$A:$D,4,0),0)+IFERROR(VLOOKUP($A166,[4]库存使用数据!$A:$D,4,0),0)+IFERROR(VLOOKUP($A166,[5]库存使用数据!$A:$D,4,0),0)</f>
        <v>0</v>
      </c>
      <c r="E166" s="1">
        <f ca="1">IFERROR(VLOOKUP($A166,[1]库存使用数据!$A:$E,5,0),0)+IFERROR(VLOOKUP($A166,[2]库存使用数据!$A:$E,5,0),0)+IFERROR(VLOOKUP($A166,[3]库存使用数据!$A:$E,5,0),0)+IFERROR(VLOOKUP($A166,[4]库存使用数据!$A:$E,5,0),0)+IFERROR(VLOOKUP($A166,[5]库存使用数据!$A:$E,5,0),0)</f>
        <v>1938</v>
      </c>
      <c r="F166" s="1">
        <f ca="1">IFERROR(VLOOKUP($A166,[1]库存使用数据!$A:$F,6,0),0)+IFERROR(VLOOKUP($A166,[2]库存使用数据!$A:$F,6,0),0)+IFERROR(VLOOKUP($A166,[4]库存使用数据!$A:$F,6,0),0)+IFERROR(VLOOKUP($A166,[3]库存使用数据!$A:$F,6,0),0)+IFERROR(VLOOKUP($A166,[5]库存使用数据!$A:$F,6,0),0)</f>
        <v>0</v>
      </c>
      <c r="G166" s="1">
        <f ca="1">IFERROR(VLOOKUP($A166,[1]库存使用数据!$A:$G,7,0),0)+IFERROR(VLOOKUP($A166,[2]库存使用数据!$A:$G,7,0),0)+公式!$B$14*IFERROR(VLOOKUP($A166,[3]库存使用数据!$A:$G,7,0),0)+IFERROR(VLOOKUP($A166,[4]库存使用数据!$A:$G,7,0),0)+IFERROR(VLOOKUP($A166,[5]库存使用数据!$A:$G,7,0),0)</f>
        <v>0</v>
      </c>
      <c r="H166" s="1">
        <f ca="1">IFERROR(VLOOKUP($A166,[1]库存使用数据!$A:$H,8,0),0)+IFERROR(VLOOKUP($A166,[2]库存使用数据!$A:$H,8,0),0)+IFERROR(VLOOKUP($A166,[3]库存使用数据!$A:$H,8,0),0)+IFERROR(VLOOKUP($A166,[4]库存使用数据!$A:$H,8,0),0)+IFERROR(VLOOKUP($A166,[5]库存使用数据!$A:$H,8,0),0)</f>
        <v>698</v>
      </c>
      <c r="I166" s="1">
        <f ca="1">IFERROR(VLOOKUP($A166,[1]库存使用数据!$A:$I,9,0),0)+IFERROR(VLOOKUP($A166,[2]库存使用数据!$A:$I,9,0),0)+IFERROR(VLOOKUP($A166,[3]库存使用数据!$A:$I,9,0),0)+IFERROR(VLOOKUP($A166,[4]库存使用数据!$A:$I,9,0),0)+IFERROR(VLOOKUP($A166,[5]库存使用数据!$A:$I,9,0),0)</f>
        <v>0</v>
      </c>
      <c r="J166" s="1">
        <f ca="1">IFERROR(VLOOKUP($A166,[1]库存使用数据!$A:$J,10,0),0)+IFERROR(VLOOKUP($A166,[2]库存使用数据!$A:$J,10,0),0)+公式!$B$14*IFERROR(VLOOKUP($A166,[3]库存使用数据!$A:$J,10,0),0)+IFERROR(VLOOKUP($A166,[4]库存使用数据!$A:$J,10,0),0)+IFERROR(VLOOKUP($A166,[5]库存使用数据!$A:$J,10,0),0)</f>
        <v>0</v>
      </c>
      <c r="K166" s="1">
        <f ca="1">IFERROR(VLOOKUP($A166,[1]库存使用数据!$A:$K,11,0),0)+IFERROR(VLOOKUP($A166,[2]库存使用数据!$A:$K,11,0),0)+IFERROR(VLOOKUP($A166,[3]库存使用数据!$A:$K,11,0),0)+IFERROR(VLOOKUP($A166,[4]库存使用数据!$A:$K,11,0),0)+IFERROR(VLOOKUP($A166,[5]库存使用数据!$A:$K,11,0),0)</f>
        <v>711</v>
      </c>
      <c r="L166" s="1">
        <f ca="1">IFERROR(VLOOKUP($A166,[1]库存使用数据!$A:$L,12,0),0)+IFERROR(VLOOKUP($A166,[2]库存使用数据!$A:$L,12,0),0)+IFERROR(VLOOKUP($A166,[3]库存使用数据!$A:$L,12,0),0)+IFERROR(VLOOKUP($A166,[4]库存使用数据!$A:$L,12,0),0)+IFERROR(VLOOKUP($A166,[5]库存使用数据!$A:$L,12,0),0)</f>
        <v>0</v>
      </c>
      <c r="M166" s="1">
        <f ca="1">IFERROR(VLOOKUP($A166,[1]库存使用数据!$A:$M,13,0),0)+IFERROR(VLOOKUP($A166,[2]库存使用数据!$A:$M,13,0),0)+公式!$B$14*IFERROR(VLOOKUP($A166,[3]库存使用数据!$A:$M,13,0),0)+IFERROR(VLOOKUP($A166,[4]库存使用数据!$A:$M,13,0),0)+IFERROR(VLOOKUP($A166,[5]库存使用数据!$A:$M,13,0),0)</f>
        <v>0</v>
      </c>
    </row>
    <row r="167" spans="1:13">
      <c r="A167" s="5" t="s">
        <v>172</v>
      </c>
      <c r="B167" s="2">
        <f ca="1">IFERROR(VLOOKUP(A167,[1]库存使用数据!$A:$B,2,0),0)+IFERROR(VLOOKUP(A167,[2]库存使用数据!$A:$B,2,0),0)+IFERROR(VLOOKUP(,[3]库存使用数据!$A:$B,2,0),0)+IFERROR(VLOOKUP(A167,[4]库存使用数据!$A:$B,2,0),0)+IFERROR(VLOOKUP(A167,[5]库存使用数据!$A:$B,2,0),0)</f>
        <v>0</v>
      </c>
      <c r="C167" s="1">
        <f ca="1">IFERROR(VLOOKUP($A167,[1]库存使用数据!$A:$C,3,0),0)+IFERROR(VLOOKUP($A167,[2]库存使用数据!$A:$C,3,0),0)+IFERROR(VLOOKUP($A167,[3]库存使用数据!$A:$C,3,0),0)+IFERROR(VLOOKUP($A167,[4]库存使用数据!$A:$C,3,0),0)+IFERROR(VLOOKUP($A167,[5]库存使用数据!$A:$C,3,0),0)</f>
        <v>0</v>
      </c>
      <c r="D167" s="1">
        <f ca="1">IFERROR(VLOOKUP($A167,[1]库存使用数据!$A:$D,4,0),0)+IFERROR(VLOOKUP($A167,[2]库存使用数据!$A:$D,4,0),0)+公式!$B$1*IFERROR(VLOOKUP($A167,[3]库存使用数据!$A:$D,4,0),0)+IFERROR(VLOOKUP($A167,[4]库存使用数据!$A:$D,4,0),0)+IFERROR(VLOOKUP($A167,[5]库存使用数据!$A:$D,4,0),0)</f>
        <v>0</v>
      </c>
      <c r="E167" s="1">
        <f ca="1">IFERROR(VLOOKUP($A167,[1]库存使用数据!$A:$E,5,0),0)+IFERROR(VLOOKUP($A167,[2]库存使用数据!$A:$E,5,0),0)+IFERROR(VLOOKUP($A167,[3]库存使用数据!$A:$E,5,0),0)+IFERROR(VLOOKUP($A167,[4]库存使用数据!$A:$E,5,0),0)+IFERROR(VLOOKUP($A167,[5]库存使用数据!$A:$E,5,0),0)</f>
        <v>17</v>
      </c>
      <c r="F167" s="1">
        <f ca="1">IFERROR(VLOOKUP($A167,[1]库存使用数据!$A:$F,6,0),0)+IFERROR(VLOOKUP($A167,[2]库存使用数据!$A:$F,6,0),0)+IFERROR(VLOOKUP($A167,[4]库存使用数据!$A:$F,6,0),0)+IFERROR(VLOOKUP($A167,[3]库存使用数据!$A:$F,6,0),0)+IFERROR(VLOOKUP($A167,[5]库存使用数据!$A:$F,6,0),0)</f>
        <v>0</v>
      </c>
      <c r="G167" s="1">
        <f ca="1">IFERROR(VLOOKUP($A167,[1]库存使用数据!$A:$G,7,0),0)+IFERROR(VLOOKUP($A167,[2]库存使用数据!$A:$G,7,0),0)+公式!$B$14*IFERROR(VLOOKUP($A167,[3]库存使用数据!$A:$G,7,0),0)+IFERROR(VLOOKUP($A167,[4]库存使用数据!$A:$G,7,0),0)+IFERROR(VLOOKUP($A167,[5]库存使用数据!$A:$G,7,0),0)</f>
        <v>0</v>
      </c>
      <c r="H167" s="1">
        <f ca="1">IFERROR(VLOOKUP($A167,[1]库存使用数据!$A:$H,8,0),0)+IFERROR(VLOOKUP($A167,[2]库存使用数据!$A:$H,8,0),0)+IFERROR(VLOOKUP($A167,[3]库存使用数据!$A:$H,8,0),0)+IFERROR(VLOOKUP($A167,[4]库存使用数据!$A:$H,8,0),0)+IFERROR(VLOOKUP($A167,[5]库存使用数据!$A:$H,8,0),0)</f>
        <v>3</v>
      </c>
      <c r="I167" s="1">
        <f ca="1">IFERROR(VLOOKUP($A167,[1]库存使用数据!$A:$I,9,0),0)+IFERROR(VLOOKUP($A167,[2]库存使用数据!$A:$I,9,0),0)+IFERROR(VLOOKUP($A167,[3]库存使用数据!$A:$I,9,0),0)+IFERROR(VLOOKUP($A167,[4]库存使用数据!$A:$I,9,0),0)+IFERROR(VLOOKUP($A167,[5]库存使用数据!$A:$I,9,0),0)</f>
        <v>0</v>
      </c>
      <c r="J167" s="1">
        <f ca="1">IFERROR(VLOOKUP($A167,[1]库存使用数据!$A:$J,10,0),0)+IFERROR(VLOOKUP($A167,[2]库存使用数据!$A:$J,10,0),0)+公式!$B$14*IFERROR(VLOOKUP($A167,[3]库存使用数据!$A:$J,10,0),0)+IFERROR(VLOOKUP($A167,[4]库存使用数据!$A:$J,10,0),0)+IFERROR(VLOOKUP($A167,[5]库存使用数据!$A:$J,10,0),0)</f>
        <v>0</v>
      </c>
      <c r="K167" s="1">
        <f ca="1">IFERROR(VLOOKUP($A167,[1]库存使用数据!$A:$K,11,0),0)+IFERROR(VLOOKUP($A167,[2]库存使用数据!$A:$K,11,0),0)+IFERROR(VLOOKUP($A167,[3]库存使用数据!$A:$K,11,0),0)+IFERROR(VLOOKUP($A167,[4]库存使用数据!$A:$K,11,0),0)+IFERROR(VLOOKUP($A167,[5]库存使用数据!$A:$K,11,0),0)</f>
        <v>1</v>
      </c>
      <c r="L167" s="1">
        <f ca="1">IFERROR(VLOOKUP($A167,[1]库存使用数据!$A:$L,12,0),0)+IFERROR(VLOOKUP($A167,[2]库存使用数据!$A:$L,12,0),0)+IFERROR(VLOOKUP($A167,[3]库存使用数据!$A:$L,12,0),0)+IFERROR(VLOOKUP($A167,[4]库存使用数据!$A:$L,12,0),0)+IFERROR(VLOOKUP($A167,[5]库存使用数据!$A:$L,12,0),0)</f>
        <v>0</v>
      </c>
      <c r="M167" s="1">
        <f ca="1">IFERROR(VLOOKUP($A167,[1]库存使用数据!$A:$M,13,0),0)+IFERROR(VLOOKUP($A167,[2]库存使用数据!$A:$M,13,0),0)+公式!$B$14*IFERROR(VLOOKUP($A167,[3]库存使用数据!$A:$M,13,0),0)+IFERROR(VLOOKUP($A167,[4]库存使用数据!$A:$M,13,0),0)+IFERROR(VLOOKUP($A167,[5]库存使用数据!$A:$M,13,0),0)</f>
        <v>0</v>
      </c>
    </row>
    <row r="168" spans="1:13">
      <c r="A168" s="5" t="s">
        <v>173</v>
      </c>
      <c r="B168" s="2">
        <f ca="1">IFERROR(VLOOKUP(A168,[1]库存使用数据!$A:$B,2,0),0)+IFERROR(VLOOKUP(A168,[2]库存使用数据!$A:$B,2,0),0)+IFERROR(VLOOKUP(,[3]库存使用数据!$A:$B,2,0),0)+IFERROR(VLOOKUP(A168,[4]库存使用数据!$A:$B,2,0),0)+IFERROR(VLOOKUP(A168,[5]库存使用数据!$A:$B,2,0),0)</f>
        <v>0</v>
      </c>
      <c r="C168" s="1">
        <f ca="1">IFERROR(VLOOKUP($A168,[1]库存使用数据!$A:$C,3,0),0)+IFERROR(VLOOKUP($A168,[2]库存使用数据!$A:$C,3,0),0)+IFERROR(VLOOKUP($A168,[3]库存使用数据!$A:$C,3,0),0)+IFERROR(VLOOKUP($A168,[4]库存使用数据!$A:$C,3,0),0)+IFERROR(VLOOKUP($A168,[5]库存使用数据!$A:$C,3,0),0)</f>
        <v>0</v>
      </c>
      <c r="D168" s="1">
        <f ca="1">IFERROR(VLOOKUP($A168,[1]库存使用数据!$A:$D,4,0),0)+IFERROR(VLOOKUP($A168,[2]库存使用数据!$A:$D,4,0),0)+公式!$B$1*IFERROR(VLOOKUP($A168,[3]库存使用数据!$A:$D,4,0),0)+IFERROR(VLOOKUP($A168,[4]库存使用数据!$A:$D,4,0),0)+IFERROR(VLOOKUP($A168,[5]库存使用数据!$A:$D,4,0),0)</f>
        <v>0</v>
      </c>
      <c r="E168" s="1">
        <f ca="1">IFERROR(VLOOKUP($A168,[1]库存使用数据!$A:$E,5,0),0)+IFERROR(VLOOKUP($A168,[2]库存使用数据!$A:$E,5,0),0)+IFERROR(VLOOKUP($A168,[3]库存使用数据!$A:$E,5,0),0)+IFERROR(VLOOKUP($A168,[4]库存使用数据!$A:$E,5,0),0)+IFERROR(VLOOKUP($A168,[5]库存使用数据!$A:$E,5,0),0)</f>
        <v>23</v>
      </c>
      <c r="F168" s="1">
        <f ca="1">IFERROR(VLOOKUP($A168,[1]库存使用数据!$A:$F,6,0),0)+IFERROR(VLOOKUP($A168,[2]库存使用数据!$A:$F,6,0),0)+IFERROR(VLOOKUP($A168,[4]库存使用数据!$A:$F,6,0),0)+IFERROR(VLOOKUP($A168,[3]库存使用数据!$A:$F,6,0),0)+IFERROR(VLOOKUP($A168,[5]库存使用数据!$A:$F,6,0),0)</f>
        <v>0</v>
      </c>
      <c r="G168" s="1">
        <f ca="1">IFERROR(VLOOKUP($A168,[1]库存使用数据!$A:$G,7,0),0)+IFERROR(VLOOKUP($A168,[2]库存使用数据!$A:$G,7,0),0)+公式!$B$14*IFERROR(VLOOKUP($A168,[3]库存使用数据!$A:$G,7,0),0)+IFERROR(VLOOKUP($A168,[4]库存使用数据!$A:$G,7,0),0)+IFERROR(VLOOKUP($A168,[5]库存使用数据!$A:$G,7,0),0)</f>
        <v>0</v>
      </c>
      <c r="H168" s="1">
        <f ca="1">IFERROR(VLOOKUP($A168,[1]库存使用数据!$A:$H,8,0),0)+IFERROR(VLOOKUP($A168,[2]库存使用数据!$A:$H,8,0),0)+IFERROR(VLOOKUP($A168,[3]库存使用数据!$A:$H,8,0),0)+IFERROR(VLOOKUP($A168,[4]库存使用数据!$A:$H,8,0),0)+IFERROR(VLOOKUP($A168,[5]库存使用数据!$A:$H,8,0),0)</f>
        <v>2</v>
      </c>
      <c r="I168" s="1">
        <f ca="1">IFERROR(VLOOKUP($A168,[1]库存使用数据!$A:$I,9,0),0)+IFERROR(VLOOKUP($A168,[2]库存使用数据!$A:$I,9,0),0)+IFERROR(VLOOKUP($A168,[3]库存使用数据!$A:$I,9,0),0)+IFERROR(VLOOKUP($A168,[4]库存使用数据!$A:$I,9,0),0)+IFERROR(VLOOKUP($A168,[5]库存使用数据!$A:$I,9,0),0)</f>
        <v>0</v>
      </c>
      <c r="J168" s="1">
        <f ca="1">IFERROR(VLOOKUP($A168,[1]库存使用数据!$A:$J,10,0),0)+IFERROR(VLOOKUP($A168,[2]库存使用数据!$A:$J,10,0),0)+公式!$B$14*IFERROR(VLOOKUP($A168,[3]库存使用数据!$A:$J,10,0),0)+IFERROR(VLOOKUP($A168,[4]库存使用数据!$A:$J,10,0),0)+IFERROR(VLOOKUP($A168,[5]库存使用数据!$A:$J,10,0),0)</f>
        <v>0</v>
      </c>
      <c r="K168" s="1">
        <f ca="1">IFERROR(VLOOKUP($A168,[1]库存使用数据!$A:$K,11,0),0)+IFERROR(VLOOKUP($A168,[2]库存使用数据!$A:$K,11,0),0)+IFERROR(VLOOKUP($A168,[3]库存使用数据!$A:$K,11,0),0)+IFERROR(VLOOKUP($A168,[4]库存使用数据!$A:$K,11,0),0)+IFERROR(VLOOKUP($A168,[5]库存使用数据!$A:$K,11,0),0)</f>
        <v>3</v>
      </c>
      <c r="L168" s="1">
        <f ca="1">IFERROR(VLOOKUP($A168,[1]库存使用数据!$A:$L,12,0),0)+IFERROR(VLOOKUP($A168,[2]库存使用数据!$A:$L,12,0),0)+IFERROR(VLOOKUP($A168,[3]库存使用数据!$A:$L,12,0),0)+IFERROR(VLOOKUP($A168,[4]库存使用数据!$A:$L,12,0),0)+IFERROR(VLOOKUP($A168,[5]库存使用数据!$A:$L,12,0),0)</f>
        <v>0</v>
      </c>
      <c r="M168" s="1">
        <f ca="1">IFERROR(VLOOKUP($A168,[1]库存使用数据!$A:$M,13,0),0)+IFERROR(VLOOKUP($A168,[2]库存使用数据!$A:$M,13,0),0)+公式!$B$14*IFERROR(VLOOKUP($A168,[3]库存使用数据!$A:$M,13,0),0)+IFERROR(VLOOKUP($A168,[4]库存使用数据!$A:$M,13,0),0)+IFERROR(VLOOKUP($A168,[5]库存使用数据!$A:$M,13,0),0)</f>
        <v>0</v>
      </c>
    </row>
    <row r="169" spans="1:13">
      <c r="A169" s="5" t="s">
        <v>174</v>
      </c>
      <c r="B169" s="2">
        <f ca="1">IFERROR(VLOOKUP(A169,[1]库存使用数据!$A:$B,2,0),0)+IFERROR(VLOOKUP(A169,[2]库存使用数据!$A:$B,2,0),0)+IFERROR(VLOOKUP(,[3]库存使用数据!$A:$B,2,0),0)+IFERROR(VLOOKUP(A169,[4]库存使用数据!$A:$B,2,0),0)+IFERROR(VLOOKUP(A169,[5]库存使用数据!$A:$B,2,0),0)</f>
        <v>0</v>
      </c>
      <c r="C169" s="1">
        <f ca="1">IFERROR(VLOOKUP($A169,[1]库存使用数据!$A:$C,3,0),0)+IFERROR(VLOOKUP($A169,[2]库存使用数据!$A:$C,3,0),0)+IFERROR(VLOOKUP($A169,[3]库存使用数据!$A:$C,3,0),0)+IFERROR(VLOOKUP($A169,[4]库存使用数据!$A:$C,3,0),0)+IFERROR(VLOOKUP($A169,[5]库存使用数据!$A:$C,3,0),0)</f>
        <v>0</v>
      </c>
      <c r="D169" s="1">
        <f ca="1">IFERROR(VLOOKUP($A169,[1]库存使用数据!$A:$D,4,0),0)+IFERROR(VLOOKUP($A169,[2]库存使用数据!$A:$D,4,0),0)+公式!$B$1*IFERROR(VLOOKUP($A169,[3]库存使用数据!$A:$D,4,0),0)+IFERROR(VLOOKUP($A169,[4]库存使用数据!$A:$D,4,0),0)+IFERROR(VLOOKUP($A169,[5]库存使用数据!$A:$D,4,0),0)</f>
        <v>0</v>
      </c>
      <c r="E169" s="1">
        <f ca="1">IFERROR(VLOOKUP($A169,[1]库存使用数据!$A:$E,5,0),0)+IFERROR(VLOOKUP($A169,[2]库存使用数据!$A:$E,5,0),0)+IFERROR(VLOOKUP($A169,[3]库存使用数据!$A:$E,5,0),0)+IFERROR(VLOOKUP($A169,[4]库存使用数据!$A:$E,5,0),0)+IFERROR(VLOOKUP($A169,[5]库存使用数据!$A:$E,5,0),0)</f>
        <v>24</v>
      </c>
      <c r="F169" s="1">
        <f ca="1">IFERROR(VLOOKUP($A169,[1]库存使用数据!$A:$F,6,0),0)+IFERROR(VLOOKUP($A169,[2]库存使用数据!$A:$F,6,0),0)+IFERROR(VLOOKUP($A169,[4]库存使用数据!$A:$F,6,0),0)+IFERROR(VLOOKUP($A169,[3]库存使用数据!$A:$F,6,0),0)+IFERROR(VLOOKUP($A169,[5]库存使用数据!$A:$F,6,0),0)</f>
        <v>0</v>
      </c>
      <c r="G169" s="1">
        <f ca="1">IFERROR(VLOOKUP($A169,[1]库存使用数据!$A:$G,7,0),0)+IFERROR(VLOOKUP($A169,[2]库存使用数据!$A:$G,7,0),0)+公式!$B$14*IFERROR(VLOOKUP($A169,[3]库存使用数据!$A:$G,7,0),0)+IFERROR(VLOOKUP($A169,[4]库存使用数据!$A:$G,7,0),0)+IFERROR(VLOOKUP($A169,[5]库存使用数据!$A:$G,7,0),0)</f>
        <v>0</v>
      </c>
      <c r="H169" s="1">
        <f ca="1">IFERROR(VLOOKUP($A169,[1]库存使用数据!$A:$H,8,0),0)+IFERROR(VLOOKUP($A169,[2]库存使用数据!$A:$H,8,0),0)+IFERROR(VLOOKUP($A169,[3]库存使用数据!$A:$H,8,0),0)+IFERROR(VLOOKUP($A169,[4]库存使用数据!$A:$H,8,0),0)+IFERROR(VLOOKUP($A169,[5]库存使用数据!$A:$H,8,0),0)</f>
        <v>16</v>
      </c>
      <c r="I169" s="1">
        <f ca="1">IFERROR(VLOOKUP($A169,[1]库存使用数据!$A:$I,9,0),0)+IFERROR(VLOOKUP($A169,[2]库存使用数据!$A:$I,9,0),0)+IFERROR(VLOOKUP($A169,[3]库存使用数据!$A:$I,9,0),0)+IFERROR(VLOOKUP($A169,[4]库存使用数据!$A:$I,9,0),0)+IFERROR(VLOOKUP($A169,[5]库存使用数据!$A:$I,9,0),0)</f>
        <v>0</v>
      </c>
      <c r="J169" s="1">
        <f ca="1">IFERROR(VLOOKUP($A169,[1]库存使用数据!$A:$J,10,0),0)+IFERROR(VLOOKUP($A169,[2]库存使用数据!$A:$J,10,0),0)+公式!$B$14*IFERROR(VLOOKUP($A169,[3]库存使用数据!$A:$J,10,0),0)+IFERROR(VLOOKUP($A169,[4]库存使用数据!$A:$J,10,0),0)+IFERROR(VLOOKUP($A169,[5]库存使用数据!$A:$J,10,0),0)</f>
        <v>0</v>
      </c>
      <c r="K169" s="1">
        <f ca="1">IFERROR(VLOOKUP($A169,[1]库存使用数据!$A:$K,11,0),0)+IFERROR(VLOOKUP($A169,[2]库存使用数据!$A:$K,11,0),0)+IFERROR(VLOOKUP($A169,[3]库存使用数据!$A:$K,11,0),0)+IFERROR(VLOOKUP($A169,[4]库存使用数据!$A:$K,11,0),0)+IFERROR(VLOOKUP($A169,[5]库存使用数据!$A:$K,11,0),0)</f>
        <v>29</v>
      </c>
      <c r="L169" s="1">
        <f ca="1">IFERROR(VLOOKUP($A169,[1]库存使用数据!$A:$L,12,0),0)+IFERROR(VLOOKUP($A169,[2]库存使用数据!$A:$L,12,0),0)+IFERROR(VLOOKUP($A169,[3]库存使用数据!$A:$L,12,0),0)+IFERROR(VLOOKUP($A169,[4]库存使用数据!$A:$L,12,0),0)+IFERROR(VLOOKUP($A169,[5]库存使用数据!$A:$L,12,0),0)</f>
        <v>0</v>
      </c>
      <c r="M169" s="1">
        <f ca="1">IFERROR(VLOOKUP($A169,[1]库存使用数据!$A:$M,13,0),0)+IFERROR(VLOOKUP($A169,[2]库存使用数据!$A:$M,13,0),0)+公式!$B$14*IFERROR(VLOOKUP($A169,[3]库存使用数据!$A:$M,13,0),0)+IFERROR(VLOOKUP($A169,[4]库存使用数据!$A:$M,13,0),0)+IFERROR(VLOOKUP($A169,[5]库存使用数据!$A:$M,13,0),0)</f>
        <v>0</v>
      </c>
    </row>
    <row r="170" spans="1:13">
      <c r="A170" s="5" t="s">
        <v>175</v>
      </c>
      <c r="B170" s="2">
        <f ca="1">IFERROR(VLOOKUP(A170,[1]库存使用数据!$A:$B,2,0),0)+IFERROR(VLOOKUP(A170,[2]库存使用数据!$A:$B,2,0),0)+IFERROR(VLOOKUP(,[3]库存使用数据!$A:$B,2,0),0)+IFERROR(VLOOKUP(A170,[4]库存使用数据!$A:$B,2,0),0)+IFERROR(VLOOKUP(A170,[5]库存使用数据!$A:$B,2,0),0)</f>
        <v>0</v>
      </c>
      <c r="C170" s="1">
        <f ca="1">IFERROR(VLOOKUP($A170,[1]库存使用数据!$A:$C,3,0),0)+IFERROR(VLOOKUP($A170,[2]库存使用数据!$A:$C,3,0),0)+IFERROR(VLOOKUP($A170,[3]库存使用数据!$A:$C,3,0),0)+IFERROR(VLOOKUP($A170,[4]库存使用数据!$A:$C,3,0),0)+IFERROR(VLOOKUP($A170,[5]库存使用数据!$A:$C,3,0),0)</f>
        <v>0</v>
      </c>
      <c r="D170" s="1">
        <f ca="1">IFERROR(VLOOKUP($A170,[1]库存使用数据!$A:$D,4,0),0)+IFERROR(VLOOKUP($A170,[2]库存使用数据!$A:$D,4,0),0)+公式!$B$1*IFERROR(VLOOKUP($A170,[3]库存使用数据!$A:$D,4,0),0)+IFERROR(VLOOKUP($A170,[4]库存使用数据!$A:$D,4,0),0)+IFERROR(VLOOKUP($A170,[5]库存使用数据!$A:$D,4,0),0)</f>
        <v>0</v>
      </c>
      <c r="E170" s="1">
        <f ca="1">IFERROR(VLOOKUP($A170,[1]库存使用数据!$A:$E,5,0),0)+IFERROR(VLOOKUP($A170,[2]库存使用数据!$A:$E,5,0),0)+IFERROR(VLOOKUP($A170,[3]库存使用数据!$A:$E,5,0),0)+IFERROR(VLOOKUP($A170,[4]库存使用数据!$A:$E,5,0),0)+IFERROR(VLOOKUP($A170,[5]库存使用数据!$A:$E,5,0),0)</f>
        <v>140</v>
      </c>
      <c r="F170" s="1">
        <f ca="1">IFERROR(VLOOKUP($A170,[1]库存使用数据!$A:$F,6,0),0)+IFERROR(VLOOKUP($A170,[2]库存使用数据!$A:$F,6,0),0)+IFERROR(VLOOKUP($A170,[4]库存使用数据!$A:$F,6,0),0)+IFERROR(VLOOKUP($A170,[3]库存使用数据!$A:$F,6,0),0)+IFERROR(VLOOKUP($A170,[5]库存使用数据!$A:$F,6,0),0)</f>
        <v>0</v>
      </c>
      <c r="G170" s="1">
        <f ca="1">IFERROR(VLOOKUP($A170,[1]库存使用数据!$A:$G,7,0),0)+IFERROR(VLOOKUP($A170,[2]库存使用数据!$A:$G,7,0),0)+公式!$B$14*IFERROR(VLOOKUP($A170,[3]库存使用数据!$A:$G,7,0),0)+IFERROR(VLOOKUP($A170,[4]库存使用数据!$A:$G,7,0),0)+IFERROR(VLOOKUP($A170,[5]库存使用数据!$A:$G,7,0),0)</f>
        <v>0</v>
      </c>
      <c r="H170" s="1">
        <f ca="1">IFERROR(VLOOKUP($A170,[1]库存使用数据!$A:$H,8,0),0)+IFERROR(VLOOKUP($A170,[2]库存使用数据!$A:$H,8,0),0)+IFERROR(VLOOKUP($A170,[3]库存使用数据!$A:$H,8,0),0)+IFERROR(VLOOKUP($A170,[4]库存使用数据!$A:$H,8,0),0)+IFERROR(VLOOKUP($A170,[5]库存使用数据!$A:$H,8,0),0)</f>
        <v>19</v>
      </c>
      <c r="I170" s="1">
        <f ca="1">IFERROR(VLOOKUP($A170,[1]库存使用数据!$A:$I,9,0),0)+IFERROR(VLOOKUP($A170,[2]库存使用数据!$A:$I,9,0),0)+IFERROR(VLOOKUP($A170,[3]库存使用数据!$A:$I,9,0),0)+IFERROR(VLOOKUP($A170,[4]库存使用数据!$A:$I,9,0),0)+IFERROR(VLOOKUP($A170,[5]库存使用数据!$A:$I,9,0),0)</f>
        <v>0</v>
      </c>
      <c r="J170" s="1">
        <f ca="1">IFERROR(VLOOKUP($A170,[1]库存使用数据!$A:$J,10,0),0)+IFERROR(VLOOKUP($A170,[2]库存使用数据!$A:$J,10,0),0)+公式!$B$14*IFERROR(VLOOKUP($A170,[3]库存使用数据!$A:$J,10,0),0)+IFERROR(VLOOKUP($A170,[4]库存使用数据!$A:$J,10,0),0)+IFERROR(VLOOKUP($A170,[5]库存使用数据!$A:$J,10,0),0)</f>
        <v>0</v>
      </c>
      <c r="K170" s="1">
        <f ca="1">IFERROR(VLOOKUP($A170,[1]库存使用数据!$A:$K,11,0),0)+IFERROR(VLOOKUP($A170,[2]库存使用数据!$A:$K,11,0),0)+IFERROR(VLOOKUP($A170,[3]库存使用数据!$A:$K,11,0),0)+IFERROR(VLOOKUP($A170,[4]库存使用数据!$A:$K,11,0),0)+IFERROR(VLOOKUP($A170,[5]库存使用数据!$A:$K,11,0),0)</f>
        <v>1</v>
      </c>
      <c r="L170" s="1">
        <f ca="1">IFERROR(VLOOKUP($A170,[1]库存使用数据!$A:$L,12,0),0)+IFERROR(VLOOKUP($A170,[2]库存使用数据!$A:$L,12,0),0)+IFERROR(VLOOKUP($A170,[3]库存使用数据!$A:$L,12,0),0)+IFERROR(VLOOKUP($A170,[4]库存使用数据!$A:$L,12,0),0)+IFERROR(VLOOKUP($A170,[5]库存使用数据!$A:$L,12,0),0)</f>
        <v>0</v>
      </c>
      <c r="M170" s="1">
        <f ca="1">IFERROR(VLOOKUP($A170,[1]库存使用数据!$A:$M,13,0),0)+IFERROR(VLOOKUP($A170,[2]库存使用数据!$A:$M,13,0),0)+公式!$B$14*IFERROR(VLOOKUP($A170,[3]库存使用数据!$A:$M,13,0),0)+IFERROR(VLOOKUP($A170,[4]库存使用数据!$A:$M,13,0),0)+IFERROR(VLOOKUP($A170,[5]库存使用数据!$A:$M,13,0),0)</f>
        <v>0</v>
      </c>
    </row>
    <row r="171" spans="1:13">
      <c r="A171" s="5" t="s">
        <v>176</v>
      </c>
      <c r="B171" s="2">
        <f ca="1">IFERROR(VLOOKUP(A171,[1]库存使用数据!$A:$B,2,0),0)+IFERROR(VLOOKUP(A171,[2]库存使用数据!$A:$B,2,0),0)+IFERROR(VLOOKUP(,[3]库存使用数据!$A:$B,2,0),0)+IFERROR(VLOOKUP(A171,[4]库存使用数据!$A:$B,2,0),0)+IFERROR(VLOOKUP(A171,[5]库存使用数据!$A:$B,2,0),0)</f>
        <v>0</v>
      </c>
      <c r="C171" s="1">
        <f ca="1">IFERROR(VLOOKUP($A171,[1]库存使用数据!$A:$C,3,0),0)+IFERROR(VLOOKUP($A171,[2]库存使用数据!$A:$C,3,0),0)+IFERROR(VLOOKUP($A171,[3]库存使用数据!$A:$C,3,0),0)+IFERROR(VLOOKUP($A171,[4]库存使用数据!$A:$C,3,0),0)+IFERROR(VLOOKUP($A171,[5]库存使用数据!$A:$C,3,0),0)</f>
        <v>0</v>
      </c>
      <c r="D171" s="1">
        <f ca="1">IFERROR(VLOOKUP($A171,[1]库存使用数据!$A:$D,4,0),0)+IFERROR(VLOOKUP($A171,[2]库存使用数据!$A:$D,4,0),0)+公式!$B$1*IFERROR(VLOOKUP($A171,[3]库存使用数据!$A:$D,4,0),0)+IFERROR(VLOOKUP($A171,[4]库存使用数据!$A:$D,4,0),0)+IFERROR(VLOOKUP($A171,[5]库存使用数据!$A:$D,4,0),0)</f>
        <v>0</v>
      </c>
      <c r="E171" s="1">
        <f ca="1">IFERROR(VLOOKUP($A171,[1]库存使用数据!$A:$E,5,0),0)+IFERROR(VLOOKUP($A171,[2]库存使用数据!$A:$E,5,0),0)+IFERROR(VLOOKUP($A171,[3]库存使用数据!$A:$E,5,0),0)+IFERROR(VLOOKUP($A171,[4]库存使用数据!$A:$E,5,0),0)+IFERROR(VLOOKUP($A171,[5]库存使用数据!$A:$E,5,0),0)</f>
        <v>50</v>
      </c>
      <c r="F171" s="1">
        <f ca="1">IFERROR(VLOOKUP($A171,[1]库存使用数据!$A:$F,6,0),0)+IFERROR(VLOOKUP($A171,[2]库存使用数据!$A:$F,6,0),0)+IFERROR(VLOOKUP($A171,[4]库存使用数据!$A:$F,6,0),0)+IFERROR(VLOOKUP($A171,[3]库存使用数据!$A:$F,6,0),0)+IFERROR(VLOOKUP($A171,[5]库存使用数据!$A:$F,6,0),0)</f>
        <v>0</v>
      </c>
      <c r="G171" s="1">
        <f ca="1">IFERROR(VLOOKUP($A171,[1]库存使用数据!$A:$G,7,0),0)+IFERROR(VLOOKUP($A171,[2]库存使用数据!$A:$G,7,0),0)+公式!$B$14*IFERROR(VLOOKUP($A171,[3]库存使用数据!$A:$G,7,0),0)+IFERROR(VLOOKUP($A171,[4]库存使用数据!$A:$G,7,0),0)+IFERROR(VLOOKUP($A171,[5]库存使用数据!$A:$G,7,0),0)</f>
        <v>0</v>
      </c>
      <c r="H171" s="1">
        <f ca="1">IFERROR(VLOOKUP($A171,[1]库存使用数据!$A:$H,8,0),0)+IFERROR(VLOOKUP($A171,[2]库存使用数据!$A:$H,8,0),0)+IFERROR(VLOOKUP($A171,[3]库存使用数据!$A:$H,8,0),0)+IFERROR(VLOOKUP($A171,[4]库存使用数据!$A:$H,8,0),0)+IFERROR(VLOOKUP($A171,[5]库存使用数据!$A:$H,8,0),0)</f>
        <v>6</v>
      </c>
      <c r="I171" s="1">
        <f ca="1">IFERROR(VLOOKUP($A171,[1]库存使用数据!$A:$I,9,0),0)+IFERROR(VLOOKUP($A171,[2]库存使用数据!$A:$I,9,0),0)+IFERROR(VLOOKUP($A171,[3]库存使用数据!$A:$I,9,0),0)+IFERROR(VLOOKUP($A171,[4]库存使用数据!$A:$I,9,0),0)+IFERROR(VLOOKUP($A171,[5]库存使用数据!$A:$I,9,0),0)</f>
        <v>0</v>
      </c>
      <c r="J171" s="1">
        <f ca="1">IFERROR(VLOOKUP($A171,[1]库存使用数据!$A:$J,10,0),0)+IFERROR(VLOOKUP($A171,[2]库存使用数据!$A:$J,10,0),0)+公式!$B$14*IFERROR(VLOOKUP($A171,[3]库存使用数据!$A:$J,10,0),0)+IFERROR(VLOOKUP($A171,[4]库存使用数据!$A:$J,10,0),0)+IFERROR(VLOOKUP($A171,[5]库存使用数据!$A:$J,10,0),0)</f>
        <v>0</v>
      </c>
      <c r="K171" s="1">
        <f ca="1">IFERROR(VLOOKUP($A171,[1]库存使用数据!$A:$K,11,0),0)+IFERROR(VLOOKUP($A171,[2]库存使用数据!$A:$K,11,0),0)+IFERROR(VLOOKUP($A171,[3]库存使用数据!$A:$K,11,0),0)+IFERROR(VLOOKUP($A171,[4]库存使用数据!$A:$K,11,0),0)+IFERROR(VLOOKUP($A171,[5]库存使用数据!$A:$K,11,0),0)</f>
        <v>4</v>
      </c>
      <c r="L171" s="1">
        <f ca="1">IFERROR(VLOOKUP($A171,[1]库存使用数据!$A:$L,12,0),0)+IFERROR(VLOOKUP($A171,[2]库存使用数据!$A:$L,12,0),0)+IFERROR(VLOOKUP($A171,[3]库存使用数据!$A:$L,12,0),0)+IFERROR(VLOOKUP($A171,[4]库存使用数据!$A:$L,12,0),0)+IFERROR(VLOOKUP($A171,[5]库存使用数据!$A:$L,12,0),0)</f>
        <v>0</v>
      </c>
      <c r="M171" s="1">
        <f ca="1">IFERROR(VLOOKUP($A171,[1]库存使用数据!$A:$M,13,0),0)+IFERROR(VLOOKUP($A171,[2]库存使用数据!$A:$M,13,0),0)+公式!$B$14*IFERROR(VLOOKUP($A171,[3]库存使用数据!$A:$M,13,0),0)+IFERROR(VLOOKUP($A171,[4]库存使用数据!$A:$M,13,0),0)+IFERROR(VLOOKUP($A171,[5]库存使用数据!$A:$M,13,0),0)</f>
        <v>0</v>
      </c>
    </row>
    <row r="172" spans="1:13">
      <c r="A172" s="5" t="s">
        <v>177</v>
      </c>
      <c r="B172" s="2">
        <f ca="1">IFERROR(VLOOKUP(A172,[1]库存使用数据!$A:$B,2,0),0)+IFERROR(VLOOKUP(A172,[2]库存使用数据!$A:$B,2,0),0)+IFERROR(VLOOKUP(,[3]库存使用数据!$A:$B,2,0),0)+IFERROR(VLOOKUP(A172,[4]库存使用数据!$A:$B,2,0),0)+IFERROR(VLOOKUP(A172,[5]库存使用数据!$A:$B,2,0),0)</f>
        <v>0</v>
      </c>
      <c r="C172" s="1">
        <f ca="1">IFERROR(VLOOKUP($A172,[1]库存使用数据!$A:$C,3,0),0)+IFERROR(VLOOKUP($A172,[2]库存使用数据!$A:$C,3,0),0)+IFERROR(VLOOKUP($A172,[3]库存使用数据!$A:$C,3,0),0)+IFERROR(VLOOKUP($A172,[4]库存使用数据!$A:$C,3,0),0)+IFERROR(VLOOKUP($A172,[5]库存使用数据!$A:$C,3,0),0)</f>
        <v>0</v>
      </c>
      <c r="D172" s="1">
        <f ca="1">IFERROR(VLOOKUP($A172,[1]库存使用数据!$A:$D,4,0),0)+IFERROR(VLOOKUP($A172,[2]库存使用数据!$A:$D,4,0),0)+公式!$B$1*IFERROR(VLOOKUP($A172,[3]库存使用数据!$A:$D,4,0),0)+IFERROR(VLOOKUP($A172,[4]库存使用数据!$A:$D,4,0),0)+IFERROR(VLOOKUP($A172,[5]库存使用数据!$A:$D,4,0),0)</f>
        <v>0</v>
      </c>
      <c r="E172" s="1">
        <f ca="1">IFERROR(VLOOKUP($A172,[1]库存使用数据!$A:$E,5,0),0)+IFERROR(VLOOKUP($A172,[2]库存使用数据!$A:$E,5,0),0)+IFERROR(VLOOKUP($A172,[3]库存使用数据!$A:$E,5,0),0)+IFERROR(VLOOKUP($A172,[4]库存使用数据!$A:$E,5,0),0)+IFERROR(VLOOKUP($A172,[5]库存使用数据!$A:$E,5,0),0)</f>
        <v>40</v>
      </c>
      <c r="F172" s="1">
        <f ca="1">IFERROR(VLOOKUP($A172,[1]库存使用数据!$A:$F,6,0),0)+IFERROR(VLOOKUP($A172,[2]库存使用数据!$A:$F,6,0),0)+IFERROR(VLOOKUP($A172,[4]库存使用数据!$A:$F,6,0),0)+IFERROR(VLOOKUP($A172,[3]库存使用数据!$A:$F,6,0),0)+IFERROR(VLOOKUP($A172,[5]库存使用数据!$A:$F,6,0),0)</f>
        <v>0</v>
      </c>
      <c r="G172" s="1">
        <f ca="1">IFERROR(VLOOKUP($A172,[1]库存使用数据!$A:$G,7,0),0)+IFERROR(VLOOKUP($A172,[2]库存使用数据!$A:$G,7,0),0)+公式!$B$14*IFERROR(VLOOKUP($A172,[3]库存使用数据!$A:$G,7,0),0)+IFERROR(VLOOKUP($A172,[4]库存使用数据!$A:$G,7,0),0)+IFERROR(VLOOKUP($A172,[5]库存使用数据!$A:$G,7,0),0)</f>
        <v>0</v>
      </c>
      <c r="H172" s="1">
        <f ca="1">IFERROR(VLOOKUP($A172,[1]库存使用数据!$A:$H,8,0),0)+IFERROR(VLOOKUP($A172,[2]库存使用数据!$A:$H,8,0),0)+IFERROR(VLOOKUP($A172,[3]库存使用数据!$A:$H,8,0),0)+IFERROR(VLOOKUP($A172,[4]库存使用数据!$A:$H,8,0),0)+IFERROR(VLOOKUP($A172,[5]库存使用数据!$A:$H,8,0),0)</f>
        <v>74</v>
      </c>
      <c r="I172" s="1">
        <f ca="1">IFERROR(VLOOKUP($A172,[1]库存使用数据!$A:$I,9,0),0)+IFERROR(VLOOKUP($A172,[2]库存使用数据!$A:$I,9,0),0)+IFERROR(VLOOKUP($A172,[3]库存使用数据!$A:$I,9,0),0)+IFERROR(VLOOKUP($A172,[4]库存使用数据!$A:$I,9,0),0)+IFERROR(VLOOKUP($A172,[5]库存使用数据!$A:$I,9,0),0)</f>
        <v>0</v>
      </c>
      <c r="J172" s="1">
        <f ca="1">IFERROR(VLOOKUP($A172,[1]库存使用数据!$A:$J,10,0),0)+IFERROR(VLOOKUP($A172,[2]库存使用数据!$A:$J,10,0),0)+公式!$B$14*IFERROR(VLOOKUP($A172,[3]库存使用数据!$A:$J,10,0),0)+IFERROR(VLOOKUP($A172,[4]库存使用数据!$A:$J,10,0),0)+IFERROR(VLOOKUP($A172,[5]库存使用数据!$A:$J,10,0),0)</f>
        <v>0</v>
      </c>
      <c r="K172" s="1">
        <f ca="1">IFERROR(VLOOKUP($A172,[1]库存使用数据!$A:$K,11,0),0)+IFERROR(VLOOKUP($A172,[2]库存使用数据!$A:$K,11,0),0)+IFERROR(VLOOKUP($A172,[3]库存使用数据!$A:$K,11,0),0)+IFERROR(VLOOKUP($A172,[4]库存使用数据!$A:$K,11,0),0)+IFERROR(VLOOKUP($A172,[5]库存使用数据!$A:$K,11,0),0)</f>
        <v>192</v>
      </c>
      <c r="L172" s="1">
        <f ca="1">IFERROR(VLOOKUP($A172,[1]库存使用数据!$A:$L,12,0),0)+IFERROR(VLOOKUP($A172,[2]库存使用数据!$A:$L,12,0),0)+IFERROR(VLOOKUP($A172,[3]库存使用数据!$A:$L,12,0),0)+IFERROR(VLOOKUP($A172,[4]库存使用数据!$A:$L,12,0),0)+IFERROR(VLOOKUP($A172,[5]库存使用数据!$A:$L,12,0),0)</f>
        <v>0</v>
      </c>
      <c r="M172" s="1">
        <f ca="1">IFERROR(VLOOKUP($A172,[1]库存使用数据!$A:$M,13,0),0)+IFERROR(VLOOKUP($A172,[2]库存使用数据!$A:$M,13,0),0)+公式!$B$14*IFERROR(VLOOKUP($A172,[3]库存使用数据!$A:$M,13,0),0)+IFERROR(VLOOKUP($A172,[4]库存使用数据!$A:$M,13,0),0)+IFERROR(VLOOKUP($A172,[5]库存使用数据!$A:$M,13,0),0)</f>
        <v>0</v>
      </c>
    </row>
    <row r="173" spans="1:13">
      <c r="A173" s="5" t="s">
        <v>178</v>
      </c>
      <c r="B173" s="2">
        <f ca="1">IFERROR(VLOOKUP(A173,[1]库存使用数据!$A:$B,2,0),0)+IFERROR(VLOOKUP(A173,[2]库存使用数据!$A:$B,2,0),0)+IFERROR(VLOOKUP(,[3]库存使用数据!$A:$B,2,0),0)+IFERROR(VLOOKUP(A173,[4]库存使用数据!$A:$B,2,0),0)+IFERROR(VLOOKUP(A173,[5]库存使用数据!$A:$B,2,0),0)</f>
        <v>0</v>
      </c>
      <c r="C173" s="1">
        <f ca="1">IFERROR(VLOOKUP($A173,[1]库存使用数据!$A:$C,3,0),0)+IFERROR(VLOOKUP($A173,[2]库存使用数据!$A:$C,3,0),0)+IFERROR(VLOOKUP($A173,[3]库存使用数据!$A:$C,3,0),0)+IFERROR(VLOOKUP($A173,[4]库存使用数据!$A:$C,3,0),0)+IFERROR(VLOOKUP($A173,[5]库存使用数据!$A:$C,3,0),0)</f>
        <v>0</v>
      </c>
      <c r="D173" s="1">
        <f ca="1">IFERROR(VLOOKUP($A173,[1]库存使用数据!$A:$D,4,0),0)+IFERROR(VLOOKUP($A173,[2]库存使用数据!$A:$D,4,0),0)+公式!$B$1*IFERROR(VLOOKUP($A173,[3]库存使用数据!$A:$D,4,0),0)+IFERROR(VLOOKUP($A173,[4]库存使用数据!$A:$D,4,0),0)+IFERROR(VLOOKUP($A173,[5]库存使用数据!$A:$D,4,0),0)</f>
        <v>0</v>
      </c>
      <c r="E173" s="1">
        <f ca="1">IFERROR(VLOOKUP($A173,[1]库存使用数据!$A:$E,5,0),0)+IFERROR(VLOOKUP($A173,[2]库存使用数据!$A:$E,5,0),0)+IFERROR(VLOOKUP($A173,[3]库存使用数据!$A:$E,5,0),0)+IFERROR(VLOOKUP($A173,[4]库存使用数据!$A:$E,5,0),0)+IFERROR(VLOOKUP($A173,[5]库存使用数据!$A:$E,5,0),0)</f>
        <v>214</v>
      </c>
      <c r="F173" s="1">
        <f ca="1">IFERROR(VLOOKUP($A173,[1]库存使用数据!$A:$F,6,0),0)+IFERROR(VLOOKUP($A173,[2]库存使用数据!$A:$F,6,0),0)+IFERROR(VLOOKUP($A173,[4]库存使用数据!$A:$F,6,0),0)+IFERROR(VLOOKUP($A173,[3]库存使用数据!$A:$F,6,0),0)+IFERROR(VLOOKUP($A173,[5]库存使用数据!$A:$F,6,0),0)</f>
        <v>0</v>
      </c>
      <c r="G173" s="1">
        <f ca="1">IFERROR(VLOOKUP($A173,[1]库存使用数据!$A:$G,7,0),0)+IFERROR(VLOOKUP($A173,[2]库存使用数据!$A:$G,7,0),0)+公式!$B$14*IFERROR(VLOOKUP($A173,[3]库存使用数据!$A:$G,7,0),0)+IFERROR(VLOOKUP($A173,[4]库存使用数据!$A:$G,7,0),0)+IFERROR(VLOOKUP($A173,[5]库存使用数据!$A:$G,7,0),0)</f>
        <v>0</v>
      </c>
      <c r="H173" s="1">
        <f ca="1">IFERROR(VLOOKUP($A173,[1]库存使用数据!$A:$H,8,0),0)+IFERROR(VLOOKUP($A173,[2]库存使用数据!$A:$H,8,0),0)+IFERROR(VLOOKUP($A173,[3]库存使用数据!$A:$H,8,0),0)+IFERROR(VLOOKUP($A173,[4]库存使用数据!$A:$H,8,0),0)+IFERROR(VLOOKUP($A173,[5]库存使用数据!$A:$H,8,0),0)</f>
        <v>2</v>
      </c>
      <c r="I173" s="1">
        <f ca="1">IFERROR(VLOOKUP($A173,[1]库存使用数据!$A:$I,9,0),0)+IFERROR(VLOOKUP($A173,[2]库存使用数据!$A:$I,9,0),0)+IFERROR(VLOOKUP($A173,[3]库存使用数据!$A:$I,9,0),0)+IFERROR(VLOOKUP($A173,[4]库存使用数据!$A:$I,9,0),0)+IFERROR(VLOOKUP($A173,[5]库存使用数据!$A:$I,9,0),0)</f>
        <v>0</v>
      </c>
      <c r="J173" s="1">
        <f ca="1">IFERROR(VLOOKUP($A173,[1]库存使用数据!$A:$J,10,0),0)+IFERROR(VLOOKUP($A173,[2]库存使用数据!$A:$J,10,0),0)+公式!$B$14*IFERROR(VLOOKUP($A173,[3]库存使用数据!$A:$J,10,0),0)+IFERROR(VLOOKUP($A173,[4]库存使用数据!$A:$J,10,0),0)+IFERROR(VLOOKUP($A173,[5]库存使用数据!$A:$J,10,0),0)</f>
        <v>0</v>
      </c>
      <c r="K173" s="1">
        <f ca="1">IFERROR(VLOOKUP($A173,[1]库存使用数据!$A:$K,11,0),0)+IFERROR(VLOOKUP($A173,[2]库存使用数据!$A:$K,11,0),0)+IFERROR(VLOOKUP($A173,[3]库存使用数据!$A:$K,11,0),0)+IFERROR(VLOOKUP($A173,[4]库存使用数据!$A:$K,11,0),0)+IFERROR(VLOOKUP($A173,[5]库存使用数据!$A:$K,11,0),0)</f>
        <v>53</v>
      </c>
      <c r="L173" s="1">
        <f ca="1">IFERROR(VLOOKUP($A173,[1]库存使用数据!$A:$L,12,0),0)+IFERROR(VLOOKUP($A173,[2]库存使用数据!$A:$L,12,0),0)+IFERROR(VLOOKUP($A173,[3]库存使用数据!$A:$L,12,0),0)+IFERROR(VLOOKUP($A173,[4]库存使用数据!$A:$L,12,0),0)+IFERROR(VLOOKUP($A173,[5]库存使用数据!$A:$L,12,0),0)</f>
        <v>0</v>
      </c>
      <c r="M173" s="1">
        <f ca="1">IFERROR(VLOOKUP($A173,[1]库存使用数据!$A:$M,13,0),0)+IFERROR(VLOOKUP($A173,[2]库存使用数据!$A:$M,13,0),0)+公式!$B$14*IFERROR(VLOOKUP($A173,[3]库存使用数据!$A:$M,13,0),0)+IFERROR(VLOOKUP($A173,[4]库存使用数据!$A:$M,13,0),0)+IFERROR(VLOOKUP($A173,[5]库存使用数据!$A:$M,13,0),0)</f>
        <v>0</v>
      </c>
    </row>
    <row r="174" spans="1:13">
      <c r="A174" s="5" t="s">
        <v>179</v>
      </c>
      <c r="B174" s="2">
        <f ca="1">IFERROR(VLOOKUP(A174,[1]库存使用数据!$A:$B,2,0),0)+IFERROR(VLOOKUP(A174,[2]库存使用数据!$A:$B,2,0),0)+IFERROR(VLOOKUP(,[3]库存使用数据!$A:$B,2,0),0)+IFERROR(VLOOKUP(A174,[4]库存使用数据!$A:$B,2,0),0)+IFERROR(VLOOKUP(A174,[5]库存使用数据!$A:$B,2,0),0)</f>
        <v>0</v>
      </c>
      <c r="C174" s="1">
        <f ca="1">IFERROR(VLOOKUP($A174,[1]库存使用数据!$A:$C,3,0),0)+IFERROR(VLOOKUP($A174,[2]库存使用数据!$A:$C,3,0),0)+IFERROR(VLOOKUP($A174,[3]库存使用数据!$A:$C,3,0),0)+IFERROR(VLOOKUP($A174,[4]库存使用数据!$A:$C,3,0),0)+IFERROR(VLOOKUP($A174,[5]库存使用数据!$A:$C,3,0),0)</f>
        <v>0</v>
      </c>
      <c r="D174" s="1">
        <f ca="1">IFERROR(VLOOKUP($A174,[1]库存使用数据!$A:$D,4,0),0)+IFERROR(VLOOKUP($A174,[2]库存使用数据!$A:$D,4,0),0)+公式!$B$1*IFERROR(VLOOKUP($A174,[3]库存使用数据!$A:$D,4,0),0)+IFERROR(VLOOKUP($A174,[4]库存使用数据!$A:$D,4,0),0)+IFERROR(VLOOKUP($A174,[5]库存使用数据!$A:$D,4,0),0)</f>
        <v>0</v>
      </c>
      <c r="E174" s="1">
        <f ca="1">IFERROR(VLOOKUP($A174,[1]库存使用数据!$A:$E,5,0),0)+IFERROR(VLOOKUP($A174,[2]库存使用数据!$A:$E,5,0),0)+IFERROR(VLOOKUP($A174,[3]库存使用数据!$A:$E,5,0),0)+IFERROR(VLOOKUP($A174,[4]库存使用数据!$A:$E,5,0),0)+IFERROR(VLOOKUP($A174,[5]库存使用数据!$A:$E,5,0),0)</f>
        <v>649</v>
      </c>
      <c r="F174" s="1">
        <f ca="1">IFERROR(VLOOKUP($A174,[1]库存使用数据!$A:$F,6,0),0)+IFERROR(VLOOKUP($A174,[2]库存使用数据!$A:$F,6,0),0)+IFERROR(VLOOKUP($A174,[4]库存使用数据!$A:$F,6,0),0)+IFERROR(VLOOKUP($A174,[3]库存使用数据!$A:$F,6,0),0)+IFERROR(VLOOKUP($A174,[5]库存使用数据!$A:$F,6,0),0)</f>
        <v>0</v>
      </c>
      <c r="G174" s="1">
        <f ca="1">IFERROR(VLOOKUP($A174,[1]库存使用数据!$A:$G,7,0),0)+IFERROR(VLOOKUP($A174,[2]库存使用数据!$A:$G,7,0),0)+公式!$B$14*IFERROR(VLOOKUP($A174,[3]库存使用数据!$A:$G,7,0),0)+IFERROR(VLOOKUP($A174,[4]库存使用数据!$A:$G,7,0),0)+IFERROR(VLOOKUP($A174,[5]库存使用数据!$A:$G,7,0),0)</f>
        <v>0</v>
      </c>
      <c r="H174" s="1">
        <f ca="1">IFERROR(VLOOKUP($A174,[1]库存使用数据!$A:$H,8,0),0)+IFERROR(VLOOKUP($A174,[2]库存使用数据!$A:$H,8,0),0)+IFERROR(VLOOKUP($A174,[3]库存使用数据!$A:$H,8,0),0)+IFERROR(VLOOKUP($A174,[4]库存使用数据!$A:$H,8,0),0)+IFERROR(VLOOKUP($A174,[5]库存使用数据!$A:$H,8,0),0)</f>
        <v>240</v>
      </c>
      <c r="I174" s="1">
        <f ca="1">IFERROR(VLOOKUP($A174,[1]库存使用数据!$A:$I,9,0),0)+IFERROR(VLOOKUP($A174,[2]库存使用数据!$A:$I,9,0),0)+IFERROR(VLOOKUP($A174,[3]库存使用数据!$A:$I,9,0),0)+IFERROR(VLOOKUP($A174,[4]库存使用数据!$A:$I,9,0),0)+IFERROR(VLOOKUP($A174,[5]库存使用数据!$A:$I,9,0),0)</f>
        <v>1</v>
      </c>
      <c r="J174" s="1">
        <f ca="1">IFERROR(VLOOKUP($A174,[1]库存使用数据!$A:$J,10,0),0)+IFERROR(VLOOKUP($A174,[2]库存使用数据!$A:$J,10,0),0)+公式!$B$14*IFERROR(VLOOKUP($A174,[3]库存使用数据!$A:$J,10,0),0)+IFERROR(VLOOKUP($A174,[4]库存使用数据!$A:$J,10,0),0)+IFERROR(VLOOKUP($A174,[5]库存使用数据!$A:$J,10,0),0)</f>
        <v>0</v>
      </c>
      <c r="K174" s="1">
        <f ca="1">IFERROR(VLOOKUP($A174,[1]库存使用数据!$A:$K,11,0),0)+IFERROR(VLOOKUP($A174,[2]库存使用数据!$A:$K,11,0),0)+IFERROR(VLOOKUP($A174,[3]库存使用数据!$A:$K,11,0),0)+IFERROR(VLOOKUP($A174,[4]库存使用数据!$A:$K,11,0),0)+IFERROR(VLOOKUP($A174,[5]库存使用数据!$A:$K,11,0),0)</f>
        <v>485</v>
      </c>
      <c r="L174" s="1">
        <f ca="1">IFERROR(VLOOKUP($A174,[1]库存使用数据!$A:$L,12,0),0)+IFERROR(VLOOKUP($A174,[2]库存使用数据!$A:$L,12,0),0)+IFERROR(VLOOKUP($A174,[3]库存使用数据!$A:$L,12,0),0)+IFERROR(VLOOKUP($A174,[4]库存使用数据!$A:$L,12,0),0)+IFERROR(VLOOKUP($A174,[5]库存使用数据!$A:$L,12,0),0)</f>
        <v>0</v>
      </c>
      <c r="M174" s="1">
        <f ca="1">IFERROR(VLOOKUP($A174,[1]库存使用数据!$A:$M,13,0),0)+IFERROR(VLOOKUP($A174,[2]库存使用数据!$A:$M,13,0),0)+公式!$B$14*IFERROR(VLOOKUP($A174,[3]库存使用数据!$A:$M,13,0),0)+IFERROR(VLOOKUP($A174,[4]库存使用数据!$A:$M,13,0),0)+IFERROR(VLOOKUP($A174,[5]库存使用数据!$A:$M,13,0),0)</f>
        <v>0</v>
      </c>
    </row>
    <row r="175" spans="1:13">
      <c r="A175" s="5" t="s">
        <v>180</v>
      </c>
      <c r="B175" s="2">
        <f ca="1">IFERROR(VLOOKUP(A175,[1]库存使用数据!$A:$B,2,0),0)+IFERROR(VLOOKUP(A175,[2]库存使用数据!$A:$B,2,0),0)+IFERROR(VLOOKUP(,[3]库存使用数据!$A:$B,2,0),0)+IFERROR(VLOOKUP(A175,[4]库存使用数据!$A:$B,2,0),0)+IFERROR(VLOOKUP(A175,[5]库存使用数据!$A:$B,2,0),0)</f>
        <v>0</v>
      </c>
      <c r="C175" s="1">
        <f ca="1">IFERROR(VLOOKUP($A175,[1]库存使用数据!$A:$C,3,0),0)+IFERROR(VLOOKUP($A175,[2]库存使用数据!$A:$C,3,0),0)+IFERROR(VLOOKUP($A175,[3]库存使用数据!$A:$C,3,0),0)+IFERROR(VLOOKUP($A175,[4]库存使用数据!$A:$C,3,0),0)+IFERROR(VLOOKUP($A175,[5]库存使用数据!$A:$C,3,0),0)</f>
        <v>0</v>
      </c>
      <c r="D175" s="1">
        <f ca="1">IFERROR(VLOOKUP($A175,[1]库存使用数据!$A:$D,4,0),0)+IFERROR(VLOOKUP($A175,[2]库存使用数据!$A:$D,4,0),0)+公式!$B$1*IFERROR(VLOOKUP($A175,[3]库存使用数据!$A:$D,4,0),0)+IFERROR(VLOOKUP($A175,[4]库存使用数据!$A:$D,4,0),0)+IFERROR(VLOOKUP($A175,[5]库存使用数据!$A:$D,4,0),0)</f>
        <v>0</v>
      </c>
      <c r="E175" s="1">
        <f ca="1">IFERROR(VLOOKUP($A175,[1]库存使用数据!$A:$E,5,0),0)+IFERROR(VLOOKUP($A175,[2]库存使用数据!$A:$E,5,0),0)+IFERROR(VLOOKUP($A175,[3]库存使用数据!$A:$E,5,0),0)+IFERROR(VLOOKUP($A175,[4]库存使用数据!$A:$E,5,0),0)+IFERROR(VLOOKUP($A175,[5]库存使用数据!$A:$E,5,0),0)</f>
        <v>6595</v>
      </c>
      <c r="F175" s="1">
        <f ca="1">IFERROR(VLOOKUP($A175,[1]库存使用数据!$A:$F,6,0),0)+IFERROR(VLOOKUP($A175,[2]库存使用数据!$A:$F,6,0),0)+IFERROR(VLOOKUP($A175,[4]库存使用数据!$A:$F,6,0),0)+IFERROR(VLOOKUP($A175,[3]库存使用数据!$A:$F,6,0),0)+IFERROR(VLOOKUP($A175,[5]库存使用数据!$A:$F,6,0),0)</f>
        <v>0</v>
      </c>
      <c r="G175" s="1">
        <f ca="1">IFERROR(VLOOKUP($A175,[1]库存使用数据!$A:$G,7,0),0)+IFERROR(VLOOKUP($A175,[2]库存使用数据!$A:$G,7,0),0)+公式!$B$14*IFERROR(VLOOKUP($A175,[3]库存使用数据!$A:$G,7,0),0)+IFERROR(VLOOKUP($A175,[4]库存使用数据!$A:$G,7,0),0)+IFERROR(VLOOKUP($A175,[5]库存使用数据!$A:$G,7,0),0)</f>
        <v>0</v>
      </c>
      <c r="H175" s="1">
        <f ca="1">IFERROR(VLOOKUP($A175,[1]库存使用数据!$A:$H,8,0),0)+IFERROR(VLOOKUP($A175,[2]库存使用数据!$A:$H,8,0),0)+IFERROR(VLOOKUP($A175,[3]库存使用数据!$A:$H,8,0),0)+IFERROR(VLOOKUP($A175,[4]库存使用数据!$A:$H,8,0),0)+IFERROR(VLOOKUP($A175,[5]库存使用数据!$A:$H,8,0),0)</f>
        <v>1</v>
      </c>
      <c r="I175" s="1">
        <f ca="1">IFERROR(VLOOKUP($A175,[1]库存使用数据!$A:$I,9,0),0)+IFERROR(VLOOKUP($A175,[2]库存使用数据!$A:$I,9,0),0)+IFERROR(VLOOKUP($A175,[3]库存使用数据!$A:$I,9,0),0)+IFERROR(VLOOKUP($A175,[4]库存使用数据!$A:$I,9,0),0)+IFERROR(VLOOKUP($A175,[5]库存使用数据!$A:$I,9,0),0)</f>
        <v>0</v>
      </c>
      <c r="J175" s="1">
        <f ca="1">IFERROR(VLOOKUP($A175,[1]库存使用数据!$A:$J,10,0),0)+IFERROR(VLOOKUP($A175,[2]库存使用数据!$A:$J,10,0),0)+公式!$B$14*IFERROR(VLOOKUP($A175,[3]库存使用数据!$A:$J,10,0),0)+IFERROR(VLOOKUP($A175,[4]库存使用数据!$A:$J,10,0),0)+IFERROR(VLOOKUP($A175,[5]库存使用数据!$A:$J,10,0),0)</f>
        <v>0</v>
      </c>
      <c r="K175" s="1">
        <f ca="1">IFERROR(VLOOKUP($A175,[1]库存使用数据!$A:$K,11,0),0)+IFERROR(VLOOKUP($A175,[2]库存使用数据!$A:$K,11,0),0)+IFERROR(VLOOKUP($A175,[3]库存使用数据!$A:$K,11,0),0)+IFERROR(VLOOKUP($A175,[4]库存使用数据!$A:$K,11,0),0)+IFERROR(VLOOKUP($A175,[5]库存使用数据!$A:$K,11,0),0)</f>
        <v>5</v>
      </c>
      <c r="L175" s="1">
        <f ca="1">IFERROR(VLOOKUP($A175,[1]库存使用数据!$A:$L,12,0),0)+IFERROR(VLOOKUP($A175,[2]库存使用数据!$A:$L,12,0),0)+IFERROR(VLOOKUP($A175,[3]库存使用数据!$A:$L,12,0),0)+IFERROR(VLOOKUP($A175,[4]库存使用数据!$A:$L,12,0),0)+IFERROR(VLOOKUP($A175,[5]库存使用数据!$A:$L,12,0),0)</f>
        <v>0</v>
      </c>
      <c r="M175" s="1">
        <f ca="1">IFERROR(VLOOKUP($A175,[1]库存使用数据!$A:$M,13,0),0)+IFERROR(VLOOKUP($A175,[2]库存使用数据!$A:$M,13,0),0)+公式!$B$14*IFERROR(VLOOKUP($A175,[3]库存使用数据!$A:$M,13,0),0)+IFERROR(VLOOKUP($A175,[4]库存使用数据!$A:$M,13,0),0)+IFERROR(VLOOKUP($A175,[5]库存使用数据!$A:$M,13,0),0)</f>
        <v>0</v>
      </c>
    </row>
    <row r="176" spans="1:13">
      <c r="A176" s="5" t="s">
        <v>181</v>
      </c>
      <c r="B176" s="2">
        <f ca="1">IFERROR(VLOOKUP(A176,[1]库存使用数据!$A:$B,2,0),0)+IFERROR(VLOOKUP(A176,[2]库存使用数据!$A:$B,2,0),0)+IFERROR(VLOOKUP(,[3]库存使用数据!$A:$B,2,0),0)+IFERROR(VLOOKUP(A176,[4]库存使用数据!$A:$B,2,0),0)+IFERROR(VLOOKUP(A176,[5]库存使用数据!$A:$B,2,0),0)</f>
        <v>0</v>
      </c>
      <c r="C176" s="1">
        <f ca="1">IFERROR(VLOOKUP($A176,[1]库存使用数据!$A:$C,3,0),0)+IFERROR(VLOOKUP($A176,[2]库存使用数据!$A:$C,3,0),0)+IFERROR(VLOOKUP($A176,[3]库存使用数据!$A:$C,3,0),0)+IFERROR(VLOOKUP($A176,[4]库存使用数据!$A:$C,3,0),0)+IFERROR(VLOOKUP($A176,[5]库存使用数据!$A:$C,3,0),0)</f>
        <v>0</v>
      </c>
      <c r="D176" s="1">
        <f ca="1">IFERROR(VLOOKUP($A176,[1]库存使用数据!$A:$D,4,0),0)+IFERROR(VLOOKUP($A176,[2]库存使用数据!$A:$D,4,0),0)+公式!$B$1*IFERROR(VLOOKUP($A176,[3]库存使用数据!$A:$D,4,0),0)+IFERROR(VLOOKUP($A176,[4]库存使用数据!$A:$D,4,0),0)+IFERROR(VLOOKUP($A176,[5]库存使用数据!$A:$D,4,0),0)</f>
        <v>0</v>
      </c>
      <c r="E176" s="1">
        <f ca="1">IFERROR(VLOOKUP($A176,[1]库存使用数据!$A:$E,5,0),0)+IFERROR(VLOOKUP($A176,[2]库存使用数据!$A:$E,5,0),0)+IFERROR(VLOOKUP($A176,[3]库存使用数据!$A:$E,5,0),0)+IFERROR(VLOOKUP($A176,[4]库存使用数据!$A:$E,5,0),0)+IFERROR(VLOOKUP($A176,[5]库存使用数据!$A:$E,5,0),0)</f>
        <v>344</v>
      </c>
      <c r="F176" s="1">
        <f ca="1">IFERROR(VLOOKUP($A176,[1]库存使用数据!$A:$F,6,0),0)+IFERROR(VLOOKUP($A176,[2]库存使用数据!$A:$F,6,0),0)+IFERROR(VLOOKUP($A176,[4]库存使用数据!$A:$F,6,0),0)+IFERROR(VLOOKUP($A176,[3]库存使用数据!$A:$F,6,0),0)+IFERROR(VLOOKUP($A176,[5]库存使用数据!$A:$F,6,0),0)</f>
        <v>0</v>
      </c>
      <c r="G176" s="1">
        <f ca="1">IFERROR(VLOOKUP($A176,[1]库存使用数据!$A:$G,7,0),0)+IFERROR(VLOOKUP($A176,[2]库存使用数据!$A:$G,7,0),0)+公式!$B$14*IFERROR(VLOOKUP($A176,[3]库存使用数据!$A:$G,7,0),0)+IFERROR(VLOOKUP($A176,[4]库存使用数据!$A:$G,7,0),0)+IFERROR(VLOOKUP($A176,[5]库存使用数据!$A:$G,7,0),0)</f>
        <v>0</v>
      </c>
      <c r="H176" s="1">
        <f ca="1">IFERROR(VLOOKUP($A176,[1]库存使用数据!$A:$H,8,0),0)+IFERROR(VLOOKUP($A176,[2]库存使用数据!$A:$H,8,0),0)+IFERROR(VLOOKUP($A176,[3]库存使用数据!$A:$H,8,0),0)+IFERROR(VLOOKUP($A176,[4]库存使用数据!$A:$H,8,0),0)+IFERROR(VLOOKUP($A176,[5]库存使用数据!$A:$H,8,0),0)</f>
        <v>273</v>
      </c>
      <c r="I176" s="1">
        <f ca="1">IFERROR(VLOOKUP($A176,[1]库存使用数据!$A:$I,9,0),0)+IFERROR(VLOOKUP($A176,[2]库存使用数据!$A:$I,9,0),0)+IFERROR(VLOOKUP($A176,[3]库存使用数据!$A:$I,9,0),0)+IFERROR(VLOOKUP($A176,[4]库存使用数据!$A:$I,9,0),0)+IFERROR(VLOOKUP($A176,[5]库存使用数据!$A:$I,9,0),0)</f>
        <v>1</v>
      </c>
      <c r="J176" s="1">
        <f ca="1">IFERROR(VLOOKUP($A176,[1]库存使用数据!$A:$J,10,0),0)+IFERROR(VLOOKUP($A176,[2]库存使用数据!$A:$J,10,0),0)+公式!$B$14*IFERROR(VLOOKUP($A176,[3]库存使用数据!$A:$J,10,0),0)+IFERROR(VLOOKUP($A176,[4]库存使用数据!$A:$J,10,0),0)+IFERROR(VLOOKUP($A176,[5]库存使用数据!$A:$J,10,0),0)</f>
        <v>0.16</v>
      </c>
      <c r="K176" s="1">
        <f ca="1">IFERROR(VLOOKUP($A176,[1]库存使用数据!$A:$K,11,0),0)+IFERROR(VLOOKUP($A176,[2]库存使用数据!$A:$K,11,0),0)+IFERROR(VLOOKUP($A176,[3]库存使用数据!$A:$K,11,0),0)+IFERROR(VLOOKUP($A176,[4]库存使用数据!$A:$K,11,0),0)+IFERROR(VLOOKUP($A176,[5]库存使用数据!$A:$K,11,0),0)</f>
        <v>236</v>
      </c>
      <c r="L176" s="1">
        <f ca="1">IFERROR(VLOOKUP($A176,[1]库存使用数据!$A:$L,12,0),0)+IFERROR(VLOOKUP($A176,[2]库存使用数据!$A:$L,12,0),0)+IFERROR(VLOOKUP($A176,[3]库存使用数据!$A:$L,12,0),0)+IFERROR(VLOOKUP($A176,[4]库存使用数据!$A:$L,12,0),0)+IFERROR(VLOOKUP($A176,[5]库存使用数据!$A:$L,12,0),0)</f>
        <v>0</v>
      </c>
      <c r="M176" s="1">
        <f ca="1">IFERROR(VLOOKUP($A176,[1]库存使用数据!$A:$M,13,0),0)+IFERROR(VLOOKUP($A176,[2]库存使用数据!$A:$M,13,0),0)+公式!$B$14*IFERROR(VLOOKUP($A176,[3]库存使用数据!$A:$M,13,0),0)+IFERROR(VLOOKUP($A176,[4]库存使用数据!$A:$M,13,0),0)+IFERROR(VLOOKUP($A176,[5]库存使用数据!$A:$M,13,0),0)</f>
        <v>0</v>
      </c>
    </row>
    <row r="177" spans="1:13">
      <c r="A177" s="5" t="s">
        <v>182</v>
      </c>
      <c r="B177" s="2">
        <f ca="1">IFERROR(VLOOKUP(A177,[1]库存使用数据!$A:$B,2,0),0)+IFERROR(VLOOKUP(A177,[2]库存使用数据!$A:$B,2,0),0)+IFERROR(VLOOKUP(,[3]库存使用数据!$A:$B,2,0),0)+IFERROR(VLOOKUP(A177,[4]库存使用数据!$A:$B,2,0),0)+IFERROR(VLOOKUP(A177,[5]库存使用数据!$A:$B,2,0),0)</f>
        <v>0</v>
      </c>
      <c r="C177" s="1">
        <f ca="1">IFERROR(VLOOKUP($A177,[1]库存使用数据!$A:$C,3,0),0)+IFERROR(VLOOKUP($A177,[2]库存使用数据!$A:$C,3,0),0)+IFERROR(VLOOKUP($A177,[3]库存使用数据!$A:$C,3,0),0)+IFERROR(VLOOKUP($A177,[4]库存使用数据!$A:$C,3,0),0)+IFERROR(VLOOKUP($A177,[5]库存使用数据!$A:$C,3,0),0)</f>
        <v>0</v>
      </c>
      <c r="D177" s="1">
        <f ca="1">IFERROR(VLOOKUP($A177,[1]库存使用数据!$A:$D,4,0),0)+IFERROR(VLOOKUP($A177,[2]库存使用数据!$A:$D,4,0),0)+公式!$B$1*IFERROR(VLOOKUP($A177,[3]库存使用数据!$A:$D,4,0),0)+IFERROR(VLOOKUP($A177,[4]库存使用数据!$A:$D,4,0),0)+IFERROR(VLOOKUP($A177,[5]库存使用数据!$A:$D,4,0),0)</f>
        <v>0</v>
      </c>
      <c r="E177" s="1">
        <f ca="1">IFERROR(VLOOKUP($A177,[1]库存使用数据!$A:$E,5,0),0)+IFERROR(VLOOKUP($A177,[2]库存使用数据!$A:$E,5,0),0)+IFERROR(VLOOKUP($A177,[3]库存使用数据!$A:$E,5,0),0)+IFERROR(VLOOKUP($A177,[4]库存使用数据!$A:$E,5,0),0)+IFERROR(VLOOKUP($A177,[5]库存使用数据!$A:$E,5,0),0)</f>
        <v>236</v>
      </c>
      <c r="F177" s="1">
        <f ca="1">IFERROR(VLOOKUP($A177,[1]库存使用数据!$A:$F,6,0),0)+IFERROR(VLOOKUP($A177,[2]库存使用数据!$A:$F,6,0),0)+IFERROR(VLOOKUP($A177,[4]库存使用数据!$A:$F,6,0),0)+IFERROR(VLOOKUP($A177,[3]库存使用数据!$A:$F,6,0),0)+IFERROR(VLOOKUP($A177,[5]库存使用数据!$A:$F,6,0),0)</f>
        <v>0</v>
      </c>
      <c r="G177" s="1">
        <f ca="1">IFERROR(VLOOKUP($A177,[1]库存使用数据!$A:$G,7,0),0)+IFERROR(VLOOKUP($A177,[2]库存使用数据!$A:$G,7,0),0)+公式!$B$14*IFERROR(VLOOKUP($A177,[3]库存使用数据!$A:$G,7,0),0)+IFERROR(VLOOKUP($A177,[4]库存使用数据!$A:$G,7,0),0)+IFERROR(VLOOKUP($A177,[5]库存使用数据!$A:$G,7,0),0)</f>
        <v>0</v>
      </c>
      <c r="H177" s="1">
        <f ca="1">IFERROR(VLOOKUP($A177,[1]库存使用数据!$A:$H,8,0),0)+IFERROR(VLOOKUP($A177,[2]库存使用数据!$A:$H,8,0),0)+IFERROR(VLOOKUP($A177,[3]库存使用数据!$A:$H,8,0),0)+IFERROR(VLOOKUP($A177,[4]库存使用数据!$A:$H,8,0),0)+IFERROR(VLOOKUP($A177,[5]库存使用数据!$A:$H,8,0),0)</f>
        <v>11</v>
      </c>
      <c r="I177" s="1">
        <f ca="1">IFERROR(VLOOKUP($A177,[1]库存使用数据!$A:$I,9,0),0)+IFERROR(VLOOKUP($A177,[2]库存使用数据!$A:$I,9,0),0)+IFERROR(VLOOKUP($A177,[3]库存使用数据!$A:$I,9,0),0)+IFERROR(VLOOKUP($A177,[4]库存使用数据!$A:$I,9,0),0)+IFERROR(VLOOKUP($A177,[5]库存使用数据!$A:$I,9,0),0)</f>
        <v>0</v>
      </c>
      <c r="J177" s="1">
        <f ca="1">IFERROR(VLOOKUP($A177,[1]库存使用数据!$A:$J,10,0),0)+IFERROR(VLOOKUP($A177,[2]库存使用数据!$A:$J,10,0),0)+公式!$B$14*IFERROR(VLOOKUP($A177,[3]库存使用数据!$A:$J,10,0),0)+IFERROR(VLOOKUP($A177,[4]库存使用数据!$A:$J,10,0),0)+IFERROR(VLOOKUP($A177,[5]库存使用数据!$A:$J,10,0),0)</f>
        <v>0</v>
      </c>
      <c r="K177" s="1">
        <f ca="1">IFERROR(VLOOKUP($A177,[1]库存使用数据!$A:$K,11,0),0)+IFERROR(VLOOKUP($A177,[2]库存使用数据!$A:$K,11,0),0)+IFERROR(VLOOKUP($A177,[3]库存使用数据!$A:$K,11,0),0)+IFERROR(VLOOKUP($A177,[4]库存使用数据!$A:$K,11,0),0)+IFERROR(VLOOKUP($A177,[5]库存使用数据!$A:$K,11,0),0)</f>
        <v>9</v>
      </c>
      <c r="L177" s="1">
        <f ca="1">IFERROR(VLOOKUP($A177,[1]库存使用数据!$A:$L,12,0),0)+IFERROR(VLOOKUP($A177,[2]库存使用数据!$A:$L,12,0),0)+IFERROR(VLOOKUP($A177,[3]库存使用数据!$A:$L,12,0),0)+IFERROR(VLOOKUP($A177,[4]库存使用数据!$A:$L,12,0),0)+IFERROR(VLOOKUP($A177,[5]库存使用数据!$A:$L,12,0),0)</f>
        <v>0</v>
      </c>
      <c r="M177" s="1">
        <f ca="1">IFERROR(VLOOKUP($A177,[1]库存使用数据!$A:$M,13,0),0)+IFERROR(VLOOKUP($A177,[2]库存使用数据!$A:$M,13,0),0)+公式!$B$14*IFERROR(VLOOKUP($A177,[3]库存使用数据!$A:$M,13,0),0)+IFERROR(VLOOKUP($A177,[4]库存使用数据!$A:$M,13,0),0)+IFERROR(VLOOKUP($A177,[5]库存使用数据!$A:$M,13,0),0)</f>
        <v>0</v>
      </c>
    </row>
    <row r="178" spans="1:13">
      <c r="A178" s="5" t="s">
        <v>183</v>
      </c>
      <c r="B178" s="2">
        <f ca="1">IFERROR(VLOOKUP(A178,[1]库存使用数据!$A:$B,2,0),0)+IFERROR(VLOOKUP(A178,[2]库存使用数据!$A:$B,2,0),0)+IFERROR(VLOOKUP(,[3]库存使用数据!$A:$B,2,0),0)+IFERROR(VLOOKUP(A178,[4]库存使用数据!$A:$B,2,0),0)+IFERROR(VLOOKUP(A178,[5]库存使用数据!$A:$B,2,0),0)</f>
        <v>0</v>
      </c>
      <c r="C178" s="1">
        <f ca="1">IFERROR(VLOOKUP($A178,[1]库存使用数据!$A:$C,3,0),0)+IFERROR(VLOOKUP($A178,[2]库存使用数据!$A:$C,3,0),0)+IFERROR(VLOOKUP($A178,[3]库存使用数据!$A:$C,3,0),0)+IFERROR(VLOOKUP($A178,[4]库存使用数据!$A:$C,3,0),0)+IFERROR(VLOOKUP($A178,[5]库存使用数据!$A:$C,3,0),0)</f>
        <v>0</v>
      </c>
      <c r="D178" s="1">
        <f ca="1">IFERROR(VLOOKUP($A178,[1]库存使用数据!$A:$D,4,0),0)+IFERROR(VLOOKUP($A178,[2]库存使用数据!$A:$D,4,0),0)+公式!$B$1*IFERROR(VLOOKUP($A178,[3]库存使用数据!$A:$D,4,0),0)+IFERROR(VLOOKUP($A178,[4]库存使用数据!$A:$D,4,0),0)+IFERROR(VLOOKUP($A178,[5]库存使用数据!$A:$D,4,0),0)</f>
        <v>0</v>
      </c>
      <c r="E178" s="1">
        <f ca="1">IFERROR(VLOOKUP($A178,[1]库存使用数据!$A:$E,5,0),0)+IFERROR(VLOOKUP($A178,[2]库存使用数据!$A:$E,5,0),0)+IFERROR(VLOOKUP($A178,[3]库存使用数据!$A:$E,5,0),0)+IFERROR(VLOOKUP($A178,[4]库存使用数据!$A:$E,5,0),0)+IFERROR(VLOOKUP($A178,[5]库存使用数据!$A:$E,5,0),0)</f>
        <v>149</v>
      </c>
      <c r="F178" s="1">
        <f ca="1">IFERROR(VLOOKUP($A178,[1]库存使用数据!$A:$F,6,0),0)+IFERROR(VLOOKUP($A178,[2]库存使用数据!$A:$F,6,0),0)+IFERROR(VLOOKUP($A178,[4]库存使用数据!$A:$F,6,0),0)+IFERROR(VLOOKUP($A178,[3]库存使用数据!$A:$F,6,0),0)+IFERROR(VLOOKUP($A178,[5]库存使用数据!$A:$F,6,0),0)</f>
        <v>0</v>
      </c>
      <c r="G178" s="1">
        <f ca="1">IFERROR(VLOOKUP($A178,[1]库存使用数据!$A:$G,7,0),0)+IFERROR(VLOOKUP($A178,[2]库存使用数据!$A:$G,7,0),0)+公式!$B$14*IFERROR(VLOOKUP($A178,[3]库存使用数据!$A:$G,7,0),0)+IFERROR(VLOOKUP($A178,[4]库存使用数据!$A:$G,7,0),0)+IFERROR(VLOOKUP($A178,[5]库存使用数据!$A:$G,7,0),0)</f>
        <v>0</v>
      </c>
      <c r="H178" s="1">
        <f ca="1">IFERROR(VLOOKUP($A178,[1]库存使用数据!$A:$H,8,0),0)+IFERROR(VLOOKUP($A178,[2]库存使用数据!$A:$H,8,0),0)+IFERROR(VLOOKUP($A178,[3]库存使用数据!$A:$H,8,0),0)+IFERROR(VLOOKUP($A178,[4]库存使用数据!$A:$H,8,0),0)+IFERROR(VLOOKUP($A178,[5]库存使用数据!$A:$H,8,0),0)</f>
        <v>243</v>
      </c>
      <c r="I178" s="1">
        <f ca="1">IFERROR(VLOOKUP($A178,[1]库存使用数据!$A:$I,9,0),0)+IFERROR(VLOOKUP($A178,[2]库存使用数据!$A:$I,9,0),0)+IFERROR(VLOOKUP($A178,[3]库存使用数据!$A:$I,9,0),0)+IFERROR(VLOOKUP($A178,[4]库存使用数据!$A:$I,9,0),0)+IFERROR(VLOOKUP($A178,[5]库存使用数据!$A:$I,9,0),0)</f>
        <v>1</v>
      </c>
      <c r="J178" s="1">
        <f ca="1">IFERROR(VLOOKUP($A178,[1]库存使用数据!$A:$J,10,0),0)+IFERROR(VLOOKUP($A178,[2]库存使用数据!$A:$J,10,0),0)+公式!$B$14*IFERROR(VLOOKUP($A178,[3]库存使用数据!$A:$J,10,0),0)+IFERROR(VLOOKUP($A178,[4]库存使用数据!$A:$J,10,0),0)+IFERROR(VLOOKUP($A178,[5]库存使用数据!$A:$J,10,0),0)</f>
        <v>0</v>
      </c>
      <c r="K178" s="1">
        <f ca="1">IFERROR(VLOOKUP($A178,[1]库存使用数据!$A:$K,11,0),0)+IFERROR(VLOOKUP($A178,[2]库存使用数据!$A:$K,11,0),0)+IFERROR(VLOOKUP($A178,[3]库存使用数据!$A:$K,11,0),0)+IFERROR(VLOOKUP($A178,[4]库存使用数据!$A:$K,11,0),0)+IFERROR(VLOOKUP($A178,[5]库存使用数据!$A:$K,11,0),0)</f>
        <v>1121</v>
      </c>
      <c r="L178" s="1">
        <f ca="1">IFERROR(VLOOKUP($A178,[1]库存使用数据!$A:$L,12,0),0)+IFERROR(VLOOKUP($A178,[2]库存使用数据!$A:$L,12,0),0)+IFERROR(VLOOKUP($A178,[3]库存使用数据!$A:$L,12,0),0)+IFERROR(VLOOKUP($A178,[4]库存使用数据!$A:$L,12,0),0)+IFERROR(VLOOKUP($A178,[5]库存使用数据!$A:$L,12,0),0)</f>
        <v>1</v>
      </c>
      <c r="M178" s="1">
        <f ca="1">IFERROR(VLOOKUP($A178,[1]库存使用数据!$A:$M,13,0),0)+IFERROR(VLOOKUP($A178,[2]库存使用数据!$A:$M,13,0),0)+公式!$B$14*IFERROR(VLOOKUP($A178,[3]库存使用数据!$A:$M,13,0),0)+IFERROR(VLOOKUP($A178,[4]库存使用数据!$A:$M,13,0),0)+IFERROR(VLOOKUP($A178,[5]库存使用数据!$A:$M,13,0),0)</f>
        <v>0</v>
      </c>
    </row>
    <row r="179" spans="1:13">
      <c r="A179" s="5" t="s">
        <v>184</v>
      </c>
      <c r="B179" s="2">
        <f ca="1">IFERROR(VLOOKUP(A179,[1]库存使用数据!$A:$B,2,0),0)+IFERROR(VLOOKUP(A179,[2]库存使用数据!$A:$B,2,0),0)+IFERROR(VLOOKUP(,[3]库存使用数据!$A:$B,2,0),0)+IFERROR(VLOOKUP(A179,[4]库存使用数据!$A:$B,2,0),0)+IFERROR(VLOOKUP(A179,[5]库存使用数据!$A:$B,2,0),0)</f>
        <v>0</v>
      </c>
      <c r="C179" s="1">
        <f ca="1">IFERROR(VLOOKUP($A179,[1]库存使用数据!$A:$C,3,0),0)+IFERROR(VLOOKUP($A179,[2]库存使用数据!$A:$C,3,0),0)+IFERROR(VLOOKUP($A179,[3]库存使用数据!$A:$C,3,0),0)+IFERROR(VLOOKUP($A179,[4]库存使用数据!$A:$C,3,0),0)+IFERROR(VLOOKUP($A179,[5]库存使用数据!$A:$C,3,0),0)</f>
        <v>0</v>
      </c>
      <c r="D179" s="1">
        <f ca="1">IFERROR(VLOOKUP($A179,[1]库存使用数据!$A:$D,4,0),0)+IFERROR(VLOOKUP($A179,[2]库存使用数据!$A:$D,4,0),0)+公式!$B$1*IFERROR(VLOOKUP($A179,[3]库存使用数据!$A:$D,4,0),0)+IFERROR(VLOOKUP($A179,[4]库存使用数据!$A:$D,4,0),0)+IFERROR(VLOOKUP($A179,[5]库存使用数据!$A:$D,4,0),0)</f>
        <v>0</v>
      </c>
      <c r="E179" s="1">
        <f ca="1">IFERROR(VLOOKUP($A179,[1]库存使用数据!$A:$E,5,0),0)+IFERROR(VLOOKUP($A179,[2]库存使用数据!$A:$E,5,0),0)+IFERROR(VLOOKUP($A179,[3]库存使用数据!$A:$E,5,0),0)+IFERROR(VLOOKUP($A179,[4]库存使用数据!$A:$E,5,0),0)+IFERROR(VLOOKUP($A179,[5]库存使用数据!$A:$E,5,0),0)</f>
        <v>1139</v>
      </c>
      <c r="F179" s="1">
        <f ca="1">IFERROR(VLOOKUP($A179,[1]库存使用数据!$A:$F,6,0),0)+IFERROR(VLOOKUP($A179,[2]库存使用数据!$A:$F,6,0),0)+IFERROR(VLOOKUP($A179,[4]库存使用数据!$A:$F,6,0),0)+IFERROR(VLOOKUP($A179,[3]库存使用数据!$A:$F,6,0),0)+IFERROR(VLOOKUP($A179,[5]库存使用数据!$A:$F,6,0),0)</f>
        <v>1</v>
      </c>
      <c r="G179" s="1">
        <f ca="1">IFERROR(VLOOKUP($A179,[1]库存使用数据!$A:$G,7,0),0)+IFERROR(VLOOKUP($A179,[2]库存使用数据!$A:$G,7,0),0)+公式!$B$14*IFERROR(VLOOKUP($A179,[3]库存使用数据!$A:$G,7,0),0)+IFERROR(VLOOKUP($A179,[4]库存使用数据!$A:$G,7,0),0)+IFERROR(VLOOKUP($A179,[5]库存使用数据!$A:$G,7,0),0)</f>
        <v>0</v>
      </c>
      <c r="H179" s="1">
        <f ca="1">IFERROR(VLOOKUP($A179,[1]库存使用数据!$A:$H,8,0),0)+IFERROR(VLOOKUP($A179,[2]库存使用数据!$A:$H,8,0),0)+IFERROR(VLOOKUP($A179,[3]库存使用数据!$A:$H,8,0),0)+IFERROR(VLOOKUP($A179,[4]库存使用数据!$A:$H,8,0),0)+IFERROR(VLOOKUP($A179,[5]库存使用数据!$A:$H,8,0),0)</f>
        <v>268</v>
      </c>
      <c r="I179" s="1">
        <f ca="1">IFERROR(VLOOKUP($A179,[1]库存使用数据!$A:$I,9,0),0)+IFERROR(VLOOKUP($A179,[2]库存使用数据!$A:$I,9,0),0)+IFERROR(VLOOKUP($A179,[3]库存使用数据!$A:$I,9,0),0)+IFERROR(VLOOKUP($A179,[4]库存使用数据!$A:$I,9,0),0)+IFERROR(VLOOKUP($A179,[5]库存使用数据!$A:$I,9,0),0)</f>
        <v>1</v>
      </c>
      <c r="J179" s="1">
        <f ca="1">IFERROR(VLOOKUP($A179,[1]库存使用数据!$A:$J,10,0),0)+IFERROR(VLOOKUP($A179,[2]库存使用数据!$A:$J,10,0),0)+公式!$B$14*IFERROR(VLOOKUP($A179,[3]库存使用数据!$A:$J,10,0),0)+IFERROR(VLOOKUP($A179,[4]库存使用数据!$A:$J,10,0),0)+IFERROR(VLOOKUP($A179,[5]库存使用数据!$A:$J,10,0),0)</f>
        <v>0</v>
      </c>
      <c r="K179" s="1">
        <f ca="1">IFERROR(VLOOKUP($A179,[1]库存使用数据!$A:$K,11,0),0)+IFERROR(VLOOKUP($A179,[2]库存使用数据!$A:$K,11,0),0)+IFERROR(VLOOKUP($A179,[3]库存使用数据!$A:$K,11,0),0)+IFERROR(VLOOKUP($A179,[4]库存使用数据!$A:$K,11,0),0)+IFERROR(VLOOKUP($A179,[5]库存使用数据!$A:$K,11,0),0)</f>
        <v>703</v>
      </c>
      <c r="L179" s="1">
        <f ca="1">IFERROR(VLOOKUP($A179,[1]库存使用数据!$A:$L,12,0),0)+IFERROR(VLOOKUP($A179,[2]库存使用数据!$A:$L,12,0),0)+IFERROR(VLOOKUP($A179,[3]库存使用数据!$A:$L,12,0),0)+IFERROR(VLOOKUP($A179,[4]库存使用数据!$A:$L,12,0),0)+IFERROR(VLOOKUP($A179,[5]库存使用数据!$A:$L,12,0),0)</f>
        <v>2</v>
      </c>
      <c r="M179" s="1">
        <f ca="1">IFERROR(VLOOKUP($A179,[1]库存使用数据!$A:$M,13,0),0)+IFERROR(VLOOKUP($A179,[2]库存使用数据!$A:$M,13,0),0)+公式!$B$14*IFERROR(VLOOKUP($A179,[3]库存使用数据!$A:$M,13,0),0)+IFERROR(VLOOKUP($A179,[4]库存使用数据!$A:$M,13,0),0)+IFERROR(VLOOKUP($A179,[5]库存使用数据!$A:$M,13,0),0)</f>
        <v>0</v>
      </c>
    </row>
    <row r="180" spans="1:13">
      <c r="A180" s="5" t="s">
        <v>185</v>
      </c>
      <c r="B180" s="2">
        <f ca="1">IFERROR(VLOOKUP(A180,[1]库存使用数据!$A:$B,2,0),0)+IFERROR(VLOOKUP(A180,[2]库存使用数据!$A:$B,2,0),0)+IFERROR(VLOOKUP(,[3]库存使用数据!$A:$B,2,0),0)+IFERROR(VLOOKUP(A180,[4]库存使用数据!$A:$B,2,0),0)+IFERROR(VLOOKUP(A180,[5]库存使用数据!$A:$B,2,0),0)</f>
        <v>0</v>
      </c>
      <c r="C180" s="1">
        <f ca="1">IFERROR(VLOOKUP($A180,[1]库存使用数据!$A:$C,3,0),0)+IFERROR(VLOOKUP($A180,[2]库存使用数据!$A:$C,3,0),0)+IFERROR(VLOOKUP($A180,[3]库存使用数据!$A:$C,3,0),0)+IFERROR(VLOOKUP($A180,[4]库存使用数据!$A:$C,3,0),0)+IFERROR(VLOOKUP($A180,[5]库存使用数据!$A:$C,3,0),0)</f>
        <v>0</v>
      </c>
      <c r="D180" s="1">
        <f ca="1">IFERROR(VLOOKUP($A180,[1]库存使用数据!$A:$D,4,0),0)+IFERROR(VLOOKUP($A180,[2]库存使用数据!$A:$D,4,0),0)+公式!$B$1*IFERROR(VLOOKUP($A180,[3]库存使用数据!$A:$D,4,0),0)+IFERROR(VLOOKUP($A180,[4]库存使用数据!$A:$D,4,0),0)+IFERROR(VLOOKUP($A180,[5]库存使用数据!$A:$D,4,0),0)</f>
        <v>0</v>
      </c>
      <c r="E180" s="1">
        <f ca="1">IFERROR(VLOOKUP($A180,[1]库存使用数据!$A:$E,5,0),0)+IFERROR(VLOOKUP($A180,[2]库存使用数据!$A:$E,5,0),0)+IFERROR(VLOOKUP($A180,[3]库存使用数据!$A:$E,5,0),0)+IFERROR(VLOOKUP($A180,[4]库存使用数据!$A:$E,5,0),0)+IFERROR(VLOOKUP($A180,[5]库存使用数据!$A:$E,5,0),0)</f>
        <v>520</v>
      </c>
      <c r="F180" s="1">
        <f ca="1">IFERROR(VLOOKUP($A180,[1]库存使用数据!$A:$F,6,0),0)+IFERROR(VLOOKUP($A180,[2]库存使用数据!$A:$F,6,0),0)+IFERROR(VLOOKUP($A180,[4]库存使用数据!$A:$F,6,0),0)+IFERROR(VLOOKUP($A180,[3]库存使用数据!$A:$F,6,0),0)+IFERROR(VLOOKUP($A180,[5]库存使用数据!$A:$F,6,0),0)</f>
        <v>0</v>
      </c>
      <c r="G180" s="1">
        <f ca="1">IFERROR(VLOOKUP($A180,[1]库存使用数据!$A:$G,7,0),0)+IFERROR(VLOOKUP($A180,[2]库存使用数据!$A:$G,7,0),0)+公式!$B$14*IFERROR(VLOOKUP($A180,[3]库存使用数据!$A:$G,7,0),0)+IFERROR(VLOOKUP($A180,[4]库存使用数据!$A:$G,7,0),0)+IFERROR(VLOOKUP($A180,[5]库存使用数据!$A:$G,7,0),0)</f>
        <v>0</v>
      </c>
      <c r="H180" s="1">
        <f ca="1">IFERROR(VLOOKUP($A180,[1]库存使用数据!$A:$H,8,0),0)+IFERROR(VLOOKUP($A180,[2]库存使用数据!$A:$H,8,0),0)+IFERROR(VLOOKUP($A180,[3]库存使用数据!$A:$H,8,0),0)+IFERROR(VLOOKUP($A180,[4]库存使用数据!$A:$H,8,0),0)+IFERROR(VLOOKUP($A180,[5]库存使用数据!$A:$H,8,0),0)</f>
        <v>228</v>
      </c>
      <c r="I180" s="1">
        <f ca="1">IFERROR(VLOOKUP($A180,[1]库存使用数据!$A:$I,9,0),0)+IFERROR(VLOOKUP($A180,[2]库存使用数据!$A:$I,9,0),0)+IFERROR(VLOOKUP($A180,[3]库存使用数据!$A:$I,9,0),0)+IFERROR(VLOOKUP($A180,[4]库存使用数据!$A:$I,9,0),0)+IFERROR(VLOOKUP($A180,[5]库存使用数据!$A:$I,9,0),0)</f>
        <v>0</v>
      </c>
      <c r="J180" s="1">
        <f ca="1">IFERROR(VLOOKUP($A180,[1]库存使用数据!$A:$J,10,0),0)+IFERROR(VLOOKUP($A180,[2]库存使用数据!$A:$J,10,0),0)+公式!$B$14*IFERROR(VLOOKUP($A180,[3]库存使用数据!$A:$J,10,0),0)+IFERROR(VLOOKUP($A180,[4]库存使用数据!$A:$J,10,0),0)+IFERROR(VLOOKUP($A180,[5]库存使用数据!$A:$J,10,0),0)</f>
        <v>0</v>
      </c>
      <c r="K180" s="1">
        <f ca="1">IFERROR(VLOOKUP($A180,[1]库存使用数据!$A:$K,11,0),0)+IFERROR(VLOOKUP($A180,[2]库存使用数据!$A:$K,11,0),0)+IFERROR(VLOOKUP($A180,[3]库存使用数据!$A:$K,11,0),0)+IFERROR(VLOOKUP($A180,[4]库存使用数据!$A:$K,11,0),0)+IFERROR(VLOOKUP($A180,[5]库存使用数据!$A:$K,11,0),0)</f>
        <v>89</v>
      </c>
      <c r="L180" s="1">
        <f ca="1">IFERROR(VLOOKUP($A180,[1]库存使用数据!$A:$L,12,0),0)+IFERROR(VLOOKUP($A180,[2]库存使用数据!$A:$L,12,0),0)+IFERROR(VLOOKUP($A180,[3]库存使用数据!$A:$L,12,0),0)+IFERROR(VLOOKUP($A180,[4]库存使用数据!$A:$L,12,0),0)+IFERROR(VLOOKUP($A180,[5]库存使用数据!$A:$L,12,0),0)</f>
        <v>0</v>
      </c>
      <c r="M180" s="1">
        <f ca="1">IFERROR(VLOOKUP($A180,[1]库存使用数据!$A:$M,13,0),0)+IFERROR(VLOOKUP($A180,[2]库存使用数据!$A:$M,13,0),0)+公式!$B$14*IFERROR(VLOOKUP($A180,[3]库存使用数据!$A:$M,13,0),0)+IFERROR(VLOOKUP($A180,[4]库存使用数据!$A:$M,13,0),0)+IFERROR(VLOOKUP($A180,[5]库存使用数据!$A:$M,13,0),0)</f>
        <v>0</v>
      </c>
    </row>
    <row r="181" spans="1:13">
      <c r="A181" s="5" t="s">
        <v>186</v>
      </c>
      <c r="B181" s="2">
        <f ca="1">IFERROR(VLOOKUP(A181,[1]库存使用数据!$A:$B,2,0),0)+IFERROR(VLOOKUP(A181,[2]库存使用数据!$A:$B,2,0),0)+IFERROR(VLOOKUP(,[3]库存使用数据!$A:$B,2,0),0)+IFERROR(VLOOKUP(A181,[4]库存使用数据!$A:$B,2,0),0)+IFERROR(VLOOKUP(A181,[5]库存使用数据!$A:$B,2,0),0)</f>
        <v>0</v>
      </c>
      <c r="C181" s="1">
        <f ca="1">IFERROR(VLOOKUP($A181,[1]库存使用数据!$A:$C,3,0),0)+IFERROR(VLOOKUP($A181,[2]库存使用数据!$A:$C,3,0),0)+IFERROR(VLOOKUP($A181,[3]库存使用数据!$A:$C,3,0),0)+IFERROR(VLOOKUP($A181,[4]库存使用数据!$A:$C,3,0),0)+IFERROR(VLOOKUP($A181,[5]库存使用数据!$A:$C,3,0),0)</f>
        <v>0</v>
      </c>
      <c r="D181" s="1">
        <f ca="1">IFERROR(VLOOKUP($A181,[1]库存使用数据!$A:$D,4,0),0)+IFERROR(VLOOKUP($A181,[2]库存使用数据!$A:$D,4,0),0)+公式!$B$1*IFERROR(VLOOKUP($A181,[3]库存使用数据!$A:$D,4,0),0)+IFERROR(VLOOKUP($A181,[4]库存使用数据!$A:$D,4,0),0)+IFERROR(VLOOKUP($A181,[5]库存使用数据!$A:$D,4,0),0)</f>
        <v>0</v>
      </c>
      <c r="E181" s="1">
        <f ca="1">IFERROR(VLOOKUP($A181,[1]库存使用数据!$A:$E,5,0),0)+IFERROR(VLOOKUP($A181,[2]库存使用数据!$A:$E,5,0),0)+IFERROR(VLOOKUP($A181,[3]库存使用数据!$A:$E,5,0),0)+IFERROR(VLOOKUP($A181,[4]库存使用数据!$A:$E,5,0),0)+IFERROR(VLOOKUP($A181,[5]库存使用数据!$A:$E,5,0),0)</f>
        <v>235</v>
      </c>
      <c r="F181" s="1">
        <f ca="1">IFERROR(VLOOKUP($A181,[1]库存使用数据!$A:$F,6,0),0)+IFERROR(VLOOKUP($A181,[2]库存使用数据!$A:$F,6,0),0)+IFERROR(VLOOKUP($A181,[4]库存使用数据!$A:$F,6,0),0)+IFERROR(VLOOKUP($A181,[3]库存使用数据!$A:$F,6,0),0)+IFERROR(VLOOKUP($A181,[5]库存使用数据!$A:$F,6,0),0)</f>
        <v>0</v>
      </c>
      <c r="G181" s="1">
        <f ca="1">IFERROR(VLOOKUP($A181,[1]库存使用数据!$A:$G,7,0),0)+IFERROR(VLOOKUP($A181,[2]库存使用数据!$A:$G,7,0),0)+公式!$B$14*IFERROR(VLOOKUP($A181,[3]库存使用数据!$A:$G,7,0),0)+IFERROR(VLOOKUP($A181,[4]库存使用数据!$A:$G,7,0),0)+IFERROR(VLOOKUP($A181,[5]库存使用数据!$A:$G,7,0),0)</f>
        <v>0</v>
      </c>
      <c r="H181" s="1">
        <f ca="1">IFERROR(VLOOKUP($A181,[1]库存使用数据!$A:$H,8,0),0)+IFERROR(VLOOKUP($A181,[2]库存使用数据!$A:$H,8,0),0)+IFERROR(VLOOKUP($A181,[3]库存使用数据!$A:$H,8,0),0)+IFERROR(VLOOKUP($A181,[4]库存使用数据!$A:$H,8,0),0)+IFERROR(VLOOKUP($A181,[5]库存使用数据!$A:$H,8,0),0)</f>
        <v>460</v>
      </c>
      <c r="I181" s="1">
        <f ca="1">IFERROR(VLOOKUP($A181,[1]库存使用数据!$A:$I,9,0),0)+IFERROR(VLOOKUP($A181,[2]库存使用数据!$A:$I,9,0),0)+IFERROR(VLOOKUP($A181,[3]库存使用数据!$A:$I,9,0),0)+IFERROR(VLOOKUP($A181,[4]库存使用数据!$A:$I,9,0),0)+IFERROR(VLOOKUP($A181,[5]库存使用数据!$A:$I,9,0),0)</f>
        <v>0</v>
      </c>
      <c r="J181" s="1">
        <f ca="1">IFERROR(VLOOKUP($A181,[1]库存使用数据!$A:$J,10,0),0)+IFERROR(VLOOKUP($A181,[2]库存使用数据!$A:$J,10,0),0)+公式!$B$14*IFERROR(VLOOKUP($A181,[3]库存使用数据!$A:$J,10,0),0)+IFERROR(VLOOKUP($A181,[4]库存使用数据!$A:$J,10,0),0)+IFERROR(VLOOKUP($A181,[5]库存使用数据!$A:$J,10,0),0)</f>
        <v>0</v>
      </c>
      <c r="K181" s="1">
        <f ca="1">IFERROR(VLOOKUP($A181,[1]库存使用数据!$A:$K,11,0),0)+IFERROR(VLOOKUP($A181,[2]库存使用数据!$A:$K,11,0),0)+IFERROR(VLOOKUP($A181,[3]库存使用数据!$A:$K,11,0),0)+IFERROR(VLOOKUP($A181,[4]库存使用数据!$A:$K,11,0),0)+IFERROR(VLOOKUP($A181,[5]库存使用数据!$A:$K,11,0),0)</f>
        <v>1113</v>
      </c>
      <c r="L181" s="1">
        <f ca="1">IFERROR(VLOOKUP($A181,[1]库存使用数据!$A:$L,12,0),0)+IFERROR(VLOOKUP($A181,[2]库存使用数据!$A:$L,12,0),0)+IFERROR(VLOOKUP($A181,[3]库存使用数据!$A:$L,12,0),0)+IFERROR(VLOOKUP($A181,[4]库存使用数据!$A:$L,12,0),0)+IFERROR(VLOOKUP($A181,[5]库存使用数据!$A:$L,12,0),0)</f>
        <v>0</v>
      </c>
      <c r="M181" s="1">
        <f ca="1">IFERROR(VLOOKUP($A181,[1]库存使用数据!$A:$M,13,0),0)+IFERROR(VLOOKUP($A181,[2]库存使用数据!$A:$M,13,0),0)+公式!$B$14*IFERROR(VLOOKUP($A181,[3]库存使用数据!$A:$M,13,0),0)+IFERROR(VLOOKUP($A181,[4]库存使用数据!$A:$M,13,0),0)+IFERROR(VLOOKUP($A181,[5]库存使用数据!$A:$M,13,0),0)</f>
        <v>0</v>
      </c>
    </row>
    <row r="182" spans="1:13">
      <c r="A182" s="5" t="s">
        <v>187</v>
      </c>
      <c r="B182" s="2">
        <f ca="1">IFERROR(VLOOKUP(A182,[1]库存使用数据!$A:$B,2,0),0)+IFERROR(VLOOKUP(A182,[2]库存使用数据!$A:$B,2,0),0)+IFERROR(VLOOKUP(,[3]库存使用数据!$A:$B,2,0),0)+IFERROR(VLOOKUP(A182,[4]库存使用数据!$A:$B,2,0),0)+IFERROR(VLOOKUP(A182,[5]库存使用数据!$A:$B,2,0),0)</f>
        <v>0</v>
      </c>
      <c r="C182" s="1">
        <f ca="1">IFERROR(VLOOKUP($A182,[1]库存使用数据!$A:$C,3,0),0)+IFERROR(VLOOKUP($A182,[2]库存使用数据!$A:$C,3,0),0)+IFERROR(VLOOKUP($A182,[3]库存使用数据!$A:$C,3,0),0)+IFERROR(VLOOKUP($A182,[4]库存使用数据!$A:$C,3,0),0)+IFERROR(VLOOKUP($A182,[5]库存使用数据!$A:$C,3,0),0)</f>
        <v>0</v>
      </c>
      <c r="D182" s="1">
        <f ca="1">IFERROR(VLOOKUP($A182,[1]库存使用数据!$A:$D,4,0),0)+IFERROR(VLOOKUP($A182,[2]库存使用数据!$A:$D,4,0),0)+公式!$B$1*IFERROR(VLOOKUP($A182,[3]库存使用数据!$A:$D,4,0),0)+IFERROR(VLOOKUP($A182,[4]库存使用数据!$A:$D,4,0),0)+IFERROR(VLOOKUP($A182,[5]库存使用数据!$A:$D,4,0),0)</f>
        <v>0</v>
      </c>
      <c r="E182" s="1">
        <f ca="1">IFERROR(VLOOKUP($A182,[1]库存使用数据!$A:$E,5,0),0)+IFERROR(VLOOKUP($A182,[2]库存使用数据!$A:$E,5,0),0)+IFERROR(VLOOKUP($A182,[3]库存使用数据!$A:$E,5,0),0)+IFERROR(VLOOKUP($A182,[4]库存使用数据!$A:$E,5,0),0)+IFERROR(VLOOKUP($A182,[5]库存使用数据!$A:$E,5,0),0)</f>
        <v>1191</v>
      </c>
      <c r="F182" s="1">
        <f ca="1">IFERROR(VLOOKUP($A182,[1]库存使用数据!$A:$F,6,0),0)+IFERROR(VLOOKUP($A182,[2]库存使用数据!$A:$F,6,0),0)+IFERROR(VLOOKUP($A182,[4]库存使用数据!$A:$F,6,0),0)+IFERROR(VLOOKUP($A182,[3]库存使用数据!$A:$F,6,0),0)+IFERROR(VLOOKUP($A182,[5]库存使用数据!$A:$F,6,0),0)</f>
        <v>0</v>
      </c>
      <c r="G182" s="1">
        <f ca="1">IFERROR(VLOOKUP($A182,[1]库存使用数据!$A:$G,7,0),0)+IFERROR(VLOOKUP($A182,[2]库存使用数据!$A:$G,7,0),0)+公式!$B$14*IFERROR(VLOOKUP($A182,[3]库存使用数据!$A:$G,7,0),0)+IFERROR(VLOOKUP($A182,[4]库存使用数据!$A:$G,7,0),0)+IFERROR(VLOOKUP($A182,[5]库存使用数据!$A:$G,7,0),0)</f>
        <v>0</v>
      </c>
      <c r="H182" s="1">
        <f ca="1">IFERROR(VLOOKUP($A182,[1]库存使用数据!$A:$H,8,0),0)+IFERROR(VLOOKUP($A182,[2]库存使用数据!$A:$H,8,0),0)+IFERROR(VLOOKUP($A182,[3]库存使用数据!$A:$H,8,0),0)+IFERROR(VLOOKUP($A182,[4]库存使用数据!$A:$H,8,0),0)+IFERROR(VLOOKUP($A182,[5]库存使用数据!$A:$H,8,0),0)</f>
        <v>683</v>
      </c>
      <c r="I182" s="1">
        <f ca="1">IFERROR(VLOOKUP($A182,[1]库存使用数据!$A:$I,9,0),0)+IFERROR(VLOOKUP($A182,[2]库存使用数据!$A:$I,9,0),0)+IFERROR(VLOOKUP($A182,[3]库存使用数据!$A:$I,9,0),0)+IFERROR(VLOOKUP($A182,[4]库存使用数据!$A:$I,9,0),0)+IFERROR(VLOOKUP($A182,[5]库存使用数据!$A:$I,9,0),0)</f>
        <v>0</v>
      </c>
      <c r="J182" s="1">
        <f ca="1">IFERROR(VLOOKUP($A182,[1]库存使用数据!$A:$J,10,0),0)+IFERROR(VLOOKUP($A182,[2]库存使用数据!$A:$J,10,0),0)+公式!$B$14*IFERROR(VLOOKUP($A182,[3]库存使用数据!$A:$J,10,0),0)+IFERROR(VLOOKUP($A182,[4]库存使用数据!$A:$J,10,0),0)+IFERROR(VLOOKUP($A182,[5]库存使用数据!$A:$J,10,0),0)</f>
        <v>0</v>
      </c>
      <c r="K182" s="1">
        <f ca="1">IFERROR(VLOOKUP($A182,[1]库存使用数据!$A:$K,11,0),0)+IFERROR(VLOOKUP($A182,[2]库存使用数据!$A:$K,11,0),0)+IFERROR(VLOOKUP($A182,[3]库存使用数据!$A:$K,11,0),0)+IFERROR(VLOOKUP($A182,[4]库存使用数据!$A:$K,11,0),0)+IFERROR(VLOOKUP($A182,[5]库存使用数据!$A:$K,11,0),0)</f>
        <v>55</v>
      </c>
      <c r="L182" s="1">
        <f ca="1">IFERROR(VLOOKUP($A182,[1]库存使用数据!$A:$L,12,0),0)+IFERROR(VLOOKUP($A182,[2]库存使用数据!$A:$L,12,0),0)+IFERROR(VLOOKUP($A182,[3]库存使用数据!$A:$L,12,0),0)+IFERROR(VLOOKUP($A182,[4]库存使用数据!$A:$L,12,0),0)+IFERROR(VLOOKUP($A182,[5]库存使用数据!$A:$L,12,0),0)</f>
        <v>0</v>
      </c>
      <c r="M182" s="1">
        <f ca="1">IFERROR(VLOOKUP($A182,[1]库存使用数据!$A:$M,13,0),0)+IFERROR(VLOOKUP($A182,[2]库存使用数据!$A:$M,13,0),0)+公式!$B$14*IFERROR(VLOOKUP($A182,[3]库存使用数据!$A:$M,13,0),0)+IFERROR(VLOOKUP($A182,[4]库存使用数据!$A:$M,13,0),0)+IFERROR(VLOOKUP($A182,[5]库存使用数据!$A:$M,13,0),0)</f>
        <v>0</v>
      </c>
    </row>
    <row r="183" spans="1:13">
      <c r="A183" s="5" t="s">
        <v>188</v>
      </c>
      <c r="B183" s="2">
        <f ca="1">IFERROR(VLOOKUP(A183,[1]库存使用数据!$A:$B,2,0),0)+IFERROR(VLOOKUP(A183,[2]库存使用数据!$A:$B,2,0),0)+IFERROR(VLOOKUP(,[3]库存使用数据!$A:$B,2,0),0)+IFERROR(VLOOKUP(A183,[4]库存使用数据!$A:$B,2,0),0)+IFERROR(VLOOKUP(A183,[5]库存使用数据!$A:$B,2,0),0)</f>
        <v>0</v>
      </c>
      <c r="C183" s="1">
        <f ca="1">IFERROR(VLOOKUP($A183,[1]库存使用数据!$A:$C,3,0),0)+IFERROR(VLOOKUP($A183,[2]库存使用数据!$A:$C,3,0),0)+IFERROR(VLOOKUP($A183,[3]库存使用数据!$A:$C,3,0),0)+IFERROR(VLOOKUP($A183,[4]库存使用数据!$A:$C,3,0),0)+IFERROR(VLOOKUP($A183,[5]库存使用数据!$A:$C,3,0),0)</f>
        <v>0</v>
      </c>
      <c r="D183" s="1">
        <f ca="1">IFERROR(VLOOKUP($A183,[1]库存使用数据!$A:$D,4,0),0)+IFERROR(VLOOKUP($A183,[2]库存使用数据!$A:$D,4,0),0)+公式!$B$1*IFERROR(VLOOKUP($A183,[3]库存使用数据!$A:$D,4,0),0)+IFERROR(VLOOKUP($A183,[4]库存使用数据!$A:$D,4,0),0)+IFERROR(VLOOKUP($A183,[5]库存使用数据!$A:$D,4,0),0)</f>
        <v>0</v>
      </c>
      <c r="E183" s="1">
        <f ca="1">IFERROR(VLOOKUP($A183,[1]库存使用数据!$A:$E,5,0),0)+IFERROR(VLOOKUP($A183,[2]库存使用数据!$A:$E,5,0),0)+IFERROR(VLOOKUP($A183,[3]库存使用数据!$A:$E,5,0),0)+IFERROR(VLOOKUP($A183,[4]库存使用数据!$A:$E,5,0),0)+IFERROR(VLOOKUP($A183,[5]库存使用数据!$A:$E,5,0),0)</f>
        <v>474</v>
      </c>
      <c r="F183" s="1">
        <f ca="1">IFERROR(VLOOKUP($A183,[1]库存使用数据!$A:$F,6,0),0)+IFERROR(VLOOKUP($A183,[2]库存使用数据!$A:$F,6,0),0)+IFERROR(VLOOKUP($A183,[4]库存使用数据!$A:$F,6,0),0)+IFERROR(VLOOKUP($A183,[3]库存使用数据!$A:$F,6,0),0)+IFERROR(VLOOKUP($A183,[5]库存使用数据!$A:$F,6,0),0)</f>
        <v>0</v>
      </c>
      <c r="G183" s="1">
        <f ca="1">IFERROR(VLOOKUP($A183,[1]库存使用数据!$A:$G,7,0),0)+IFERROR(VLOOKUP($A183,[2]库存使用数据!$A:$G,7,0),0)+公式!$B$14*IFERROR(VLOOKUP($A183,[3]库存使用数据!$A:$G,7,0),0)+IFERROR(VLOOKUP($A183,[4]库存使用数据!$A:$G,7,0),0)+IFERROR(VLOOKUP($A183,[5]库存使用数据!$A:$G,7,0),0)</f>
        <v>0</v>
      </c>
      <c r="H183" s="1">
        <f ca="1">IFERROR(VLOOKUP($A183,[1]库存使用数据!$A:$H,8,0),0)+IFERROR(VLOOKUP($A183,[2]库存使用数据!$A:$H,8,0),0)+IFERROR(VLOOKUP($A183,[3]库存使用数据!$A:$H,8,0),0)+IFERROR(VLOOKUP($A183,[4]库存使用数据!$A:$H,8,0),0)+IFERROR(VLOOKUP($A183,[5]库存使用数据!$A:$H,8,0),0)</f>
        <v>29</v>
      </c>
      <c r="I183" s="1">
        <f ca="1">IFERROR(VLOOKUP($A183,[1]库存使用数据!$A:$I,9,0),0)+IFERROR(VLOOKUP($A183,[2]库存使用数据!$A:$I,9,0),0)+IFERROR(VLOOKUP($A183,[3]库存使用数据!$A:$I,9,0),0)+IFERROR(VLOOKUP($A183,[4]库存使用数据!$A:$I,9,0),0)+IFERROR(VLOOKUP($A183,[5]库存使用数据!$A:$I,9,0),0)</f>
        <v>0</v>
      </c>
      <c r="J183" s="1">
        <f ca="1">IFERROR(VLOOKUP($A183,[1]库存使用数据!$A:$J,10,0),0)+IFERROR(VLOOKUP($A183,[2]库存使用数据!$A:$J,10,0),0)+公式!$B$14*IFERROR(VLOOKUP($A183,[3]库存使用数据!$A:$J,10,0),0)+IFERROR(VLOOKUP($A183,[4]库存使用数据!$A:$J,10,0),0)+IFERROR(VLOOKUP($A183,[5]库存使用数据!$A:$J,10,0),0)</f>
        <v>0</v>
      </c>
      <c r="K183" s="1">
        <f ca="1">IFERROR(VLOOKUP($A183,[1]库存使用数据!$A:$K,11,0),0)+IFERROR(VLOOKUP($A183,[2]库存使用数据!$A:$K,11,0),0)+IFERROR(VLOOKUP($A183,[3]库存使用数据!$A:$K,11,0),0)+IFERROR(VLOOKUP($A183,[4]库存使用数据!$A:$K,11,0),0)+IFERROR(VLOOKUP($A183,[5]库存使用数据!$A:$K,11,0),0)</f>
        <v>27</v>
      </c>
      <c r="L183" s="1">
        <f ca="1">IFERROR(VLOOKUP($A183,[1]库存使用数据!$A:$L,12,0),0)+IFERROR(VLOOKUP($A183,[2]库存使用数据!$A:$L,12,0),0)+IFERROR(VLOOKUP($A183,[3]库存使用数据!$A:$L,12,0),0)+IFERROR(VLOOKUP($A183,[4]库存使用数据!$A:$L,12,0),0)+IFERROR(VLOOKUP($A183,[5]库存使用数据!$A:$L,12,0),0)</f>
        <v>0</v>
      </c>
      <c r="M183" s="1">
        <f ca="1">IFERROR(VLOOKUP($A183,[1]库存使用数据!$A:$M,13,0),0)+IFERROR(VLOOKUP($A183,[2]库存使用数据!$A:$M,13,0),0)+公式!$B$14*IFERROR(VLOOKUP($A183,[3]库存使用数据!$A:$M,13,0),0)+IFERROR(VLOOKUP($A183,[4]库存使用数据!$A:$M,13,0),0)+IFERROR(VLOOKUP($A183,[5]库存使用数据!$A:$M,13,0),0)</f>
        <v>0</v>
      </c>
    </row>
    <row r="184" spans="1:13">
      <c r="A184" s="5" t="s">
        <v>189</v>
      </c>
      <c r="B184" s="2">
        <f ca="1">IFERROR(VLOOKUP(A184,[1]库存使用数据!$A:$B,2,0),0)+IFERROR(VLOOKUP(A184,[2]库存使用数据!$A:$B,2,0),0)+IFERROR(VLOOKUP(,[3]库存使用数据!$A:$B,2,0),0)+IFERROR(VLOOKUP(A184,[4]库存使用数据!$A:$B,2,0),0)+IFERROR(VLOOKUP(A184,[5]库存使用数据!$A:$B,2,0),0)</f>
        <v>0</v>
      </c>
      <c r="C184" s="1">
        <f ca="1">IFERROR(VLOOKUP($A184,[1]库存使用数据!$A:$C,3,0),0)+IFERROR(VLOOKUP($A184,[2]库存使用数据!$A:$C,3,0),0)+IFERROR(VLOOKUP($A184,[3]库存使用数据!$A:$C,3,0),0)+IFERROR(VLOOKUP($A184,[4]库存使用数据!$A:$C,3,0),0)+IFERROR(VLOOKUP($A184,[5]库存使用数据!$A:$C,3,0),0)</f>
        <v>0</v>
      </c>
      <c r="D184" s="1">
        <f ca="1">IFERROR(VLOOKUP($A184,[1]库存使用数据!$A:$D,4,0),0)+IFERROR(VLOOKUP($A184,[2]库存使用数据!$A:$D,4,0),0)+公式!$B$1*IFERROR(VLOOKUP($A184,[3]库存使用数据!$A:$D,4,0),0)+IFERROR(VLOOKUP($A184,[4]库存使用数据!$A:$D,4,0),0)+IFERROR(VLOOKUP($A184,[5]库存使用数据!$A:$D,4,0),0)</f>
        <v>0</v>
      </c>
      <c r="E184" s="1">
        <f ca="1">IFERROR(VLOOKUP($A184,[1]库存使用数据!$A:$E,5,0),0)+IFERROR(VLOOKUP($A184,[2]库存使用数据!$A:$E,5,0),0)+IFERROR(VLOOKUP($A184,[3]库存使用数据!$A:$E,5,0),0)+IFERROR(VLOOKUP($A184,[4]库存使用数据!$A:$E,5,0),0)+IFERROR(VLOOKUP($A184,[5]库存使用数据!$A:$E,5,0),0)</f>
        <v>906</v>
      </c>
      <c r="F184" s="1">
        <f ca="1">IFERROR(VLOOKUP($A184,[1]库存使用数据!$A:$F,6,0),0)+IFERROR(VLOOKUP($A184,[2]库存使用数据!$A:$F,6,0),0)+IFERROR(VLOOKUP($A184,[4]库存使用数据!$A:$F,6,0),0)+IFERROR(VLOOKUP($A184,[3]库存使用数据!$A:$F,6,0),0)+IFERROR(VLOOKUP($A184,[5]库存使用数据!$A:$F,6,0),0)</f>
        <v>0</v>
      </c>
      <c r="G184" s="1">
        <f ca="1">IFERROR(VLOOKUP($A184,[1]库存使用数据!$A:$G,7,0),0)+IFERROR(VLOOKUP($A184,[2]库存使用数据!$A:$G,7,0),0)+公式!$B$14*IFERROR(VLOOKUP($A184,[3]库存使用数据!$A:$G,7,0),0)+IFERROR(VLOOKUP($A184,[4]库存使用数据!$A:$G,7,0),0)+IFERROR(VLOOKUP($A184,[5]库存使用数据!$A:$G,7,0),0)</f>
        <v>0</v>
      </c>
      <c r="H184" s="1">
        <f ca="1">IFERROR(VLOOKUP($A184,[1]库存使用数据!$A:$H,8,0),0)+IFERROR(VLOOKUP($A184,[2]库存使用数据!$A:$H,8,0),0)+IFERROR(VLOOKUP($A184,[3]库存使用数据!$A:$H,8,0),0)+IFERROR(VLOOKUP($A184,[4]库存使用数据!$A:$H,8,0),0)+IFERROR(VLOOKUP($A184,[5]库存使用数据!$A:$H,8,0),0)</f>
        <v>86</v>
      </c>
      <c r="I184" s="1">
        <f ca="1">IFERROR(VLOOKUP($A184,[1]库存使用数据!$A:$I,9,0),0)+IFERROR(VLOOKUP($A184,[2]库存使用数据!$A:$I,9,0),0)+IFERROR(VLOOKUP($A184,[3]库存使用数据!$A:$I,9,0),0)+IFERROR(VLOOKUP($A184,[4]库存使用数据!$A:$I,9,0),0)+IFERROR(VLOOKUP($A184,[5]库存使用数据!$A:$I,9,0),0)</f>
        <v>0</v>
      </c>
      <c r="J184" s="1">
        <f ca="1">IFERROR(VLOOKUP($A184,[1]库存使用数据!$A:$J,10,0),0)+IFERROR(VLOOKUP($A184,[2]库存使用数据!$A:$J,10,0),0)+公式!$B$14*IFERROR(VLOOKUP($A184,[3]库存使用数据!$A:$J,10,0),0)+IFERROR(VLOOKUP($A184,[4]库存使用数据!$A:$J,10,0),0)+IFERROR(VLOOKUP($A184,[5]库存使用数据!$A:$J,10,0),0)</f>
        <v>0</v>
      </c>
      <c r="K184" s="1">
        <f ca="1">IFERROR(VLOOKUP($A184,[1]库存使用数据!$A:$K,11,0),0)+IFERROR(VLOOKUP($A184,[2]库存使用数据!$A:$K,11,0),0)+IFERROR(VLOOKUP($A184,[3]库存使用数据!$A:$K,11,0),0)+IFERROR(VLOOKUP($A184,[4]库存使用数据!$A:$K,11,0),0)+IFERROR(VLOOKUP($A184,[5]库存使用数据!$A:$K,11,0),0)</f>
        <v>34</v>
      </c>
      <c r="L184" s="1">
        <f ca="1">IFERROR(VLOOKUP($A184,[1]库存使用数据!$A:$L,12,0),0)+IFERROR(VLOOKUP($A184,[2]库存使用数据!$A:$L,12,0),0)+IFERROR(VLOOKUP($A184,[3]库存使用数据!$A:$L,12,0),0)+IFERROR(VLOOKUP($A184,[4]库存使用数据!$A:$L,12,0),0)+IFERROR(VLOOKUP($A184,[5]库存使用数据!$A:$L,12,0),0)</f>
        <v>0</v>
      </c>
      <c r="M184" s="1">
        <f ca="1">IFERROR(VLOOKUP($A184,[1]库存使用数据!$A:$M,13,0),0)+IFERROR(VLOOKUP($A184,[2]库存使用数据!$A:$M,13,0),0)+公式!$B$14*IFERROR(VLOOKUP($A184,[3]库存使用数据!$A:$M,13,0),0)+IFERROR(VLOOKUP($A184,[4]库存使用数据!$A:$M,13,0),0)+IFERROR(VLOOKUP($A184,[5]库存使用数据!$A:$M,13,0),0)</f>
        <v>0</v>
      </c>
    </row>
    <row r="185" spans="1:13">
      <c r="A185" s="5" t="s">
        <v>190</v>
      </c>
      <c r="B185" s="2">
        <f ca="1">IFERROR(VLOOKUP(A185,[1]库存使用数据!$A:$B,2,0),0)+IFERROR(VLOOKUP(A185,[2]库存使用数据!$A:$B,2,0),0)+IFERROR(VLOOKUP(,[3]库存使用数据!$A:$B,2,0),0)+IFERROR(VLOOKUP(A185,[4]库存使用数据!$A:$B,2,0),0)+IFERROR(VLOOKUP(A185,[5]库存使用数据!$A:$B,2,0),0)</f>
        <v>0</v>
      </c>
      <c r="C185" s="1">
        <f ca="1">IFERROR(VLOOKUP($A185,[1]库存使用数据!$A:$C,3,0),0)+IFERROR(VLOOKUP($A185,[2]库存使用数据!$A:$C,3,0),0)+IFERROR(VLOOKUP($A185,[3]库存使用数据!$A:$C,3,0),0)+IFERROR(VLOOKUP($A185,[4]库存使用数据!$A:$C,3,0),0)+IFERROR(VLOOKUP($A185,[5]库存使用数据!$A:$C,3,0),0)</f>
        <v>1</v>
      </c>
      <c r="D185" s="1">
        <f ca="1">IFERROR(VLOOKUP($A185,[1]库存使用数据!$A:$D,4,0),0)+IFERROR(VLOOKUP($A185,[2]库存使用数据!$A:$D,4,0),0)+公式!$B$1*IFERROR(VLOOKUP($A185,[3]库存使用数据!$A:$D,4,0),0)+IFERROR(VLOOKUP($A185,[4]库存使用数据!$A:$D,4,0),0)+IFERROR(VLOOKUP($A185,[5]库存使用数据!$A:$D,4,0),0)</f>
        <v>0.2475</v>
      </c>
      <c r="E185" s="1">
        <f ca="1">IFERROR(VLOOKUP($A185,[1]库存使用数据!$A:$E,5,0),0)+IFERROR(VLOOKUP($A185,[2]库存使用数据!$A:$E,5,0),0)+IFERROR(VLOOKUP($A185,[3]库存使用数据!$A:$E,5,0),0)+IFERROR(VLOOKUP($A185,[4]库存使用数据!$A:$E,5,0),0)+IFERROR(VLOOKUP($A185,[5]库存使用数据!$A:$E,5,0),0)</f>
        <v>6053</v>
      </c>
      <c r="F185" s="1">
        <f ca="1">IFERROR(VLOOKUP($A185,[1]库存使用数据!$A:$F,6,0),0)+IFERROR(VLOOKUP($A185,[2]库存使用数据!$A:$F,6,0),0)+IFERROR(VLOOKUP($A185,[4]库存使用数据!$A:$F,6,0),0)+IFERROR(VLOOKUP($A185,[3]库存使用数据!$A:$F,6,0),0)+IFERROR(VLOOKUP($A185,[5]库存使用数据!$A:$F,6,0),0)</f>
        <v>1</v>
      </c>
      <c r="G185" s="1">
        <f ca="1">IFERROR(VLOOKUP($A185,[1]库存使用数据!$A:$G,7,0),0)+IFERROR(VLOOKUP($A185,[2]库存使用数据!$A:$G,7,0),0)+公式!$B$14*IFERROR(VLOOKUP($A185,[3]库存使用数据!$A:$G,7,0),0)+IFERROR(VLOOKUP($A185,[4]库存使用数据!$A:$G,7,0),0)+IFERROR(VLOOKUP($A185,[5]库存使用数据!$A:$G,7,0),0)</f>
        <v>0</v>
      </c>
      <c r="H185" s="1">
        <f ca="1">IFERROR(VLOOKUP($A185,[1]库存使用数据!$A:$H,8,0),0)+IFERROR(VLOOKUP($A185,[2]库存使用数据!$A:$H,8,0),0)+IFERROR(VLOOKUP($A185,[3]库存使用数据!$A:$H,8,0),0)+IFERROR(VLOOKUP($A185,[4]库存使用数据!$A:$H,8,0),0)+IFERROR(VLOOKUP($A185,[5]库存使用数据!$A:$H,8,0),0)</f>
        <v>2162</v>
      </c>
      <c r="I185" s="1">
        <f ca="1">IFERROR(VLOOKUP($A185,[1]库存使用数据!$A:$I,9,0),0)+IFERROR(VLOOKUP($A185,[2]库存使用数据!$A:$I,9,0),0)+IFERROR(VLOOKUP($A185,[3]库存使用数据!$A:$I,9,0),0)+IFERROR(VLOOKUP($A185,[4]库存使用数据!$A:$I,9,0),0)+IFERROR(VLOOKUP($A185,[5]库存使用数据!$A:$I,9,0),0)</f>
        <v>2</v>
      </c>
      <c r="J185" s="1">
        <f ca="1">IFERROR(VLOOKUP($A185,[1]库存使用数据!$A:$J,10,0),0)+IFERROR(VLOOKUP($A185,[2]库存使用数据!$A:$J,10,0),0)+公式!$B$14*IFERROR(VLOOKUP($A185,[3]库存使用数据!$A:$J,10,0),0)+IFERROR(VLOOKUP($A185,[4]库存使用数据!$A:$J,10,0),0)+IFERROR(VLOOKUP($A185,[5]库存使用数据!$A:$J,10,0),0)</f>
        <v>0</v>
      </c>
      <c r="K185" s="1">
        <f ca="1">IFERROR(VLOOKUP($A185,[1]库存使用数据!$A:$K,11,0),0)+IFERROR(VLOOKUP($A185,[2]库存使用数据!$A:$K,11,0),0)+IFERROR(VLOOKUP($A185,[3]库存使用数据!$A:$K,11,0),0)+IFERROR(VLOOKUP($A185,[4]库存使用数据!$A:$K,11,0),0)+IFERROR(VLOOKUP($A185,[5]库存使用数据!$A:$K,11,0),0)</f>
        <v>947</v>
      </c>
      <c r="L185" s="1">
        <f ca="1">IFERROR(VLOOKUP($A185,[1]库存使用数据!$A:$L,12,0),0)+IFERROR(VLOOKUP($A185,[2]库存使用数据!$A:$L,12,0),0)+IFERROR(VLOOKUP($A185,[3]库存使用数据!$A:$L,12,0),0)+IFERROR(VLOOKUP($A185,[4]库存使用数据!$A:$L,12,0),0)+IFERROR(VLOOKUP($A185,[5]库存使用数据!$A:$L,12,0),0)</f>
        <v>0</v>
      </c>
      <c r="M185" s="1">
        <f ca="1">IFERROR(VLOOKUP($A185,[1]库存使用数据!$A:$M,13,0),0)+IFERROR(VLOOKUP($A185,[2]库存使用数据!$A:$M,13,0),0)+公式!$B$14*IFERROR(VLOOKUP($A185,[3]库存使用数据!$A:$M,13,0),0)+IFERROR(VLOOKUP($A185,[4]库存使用数据!$A:$M,13,0),0)+IFERROR(VLOOKUP($A185,[5]库存使用数据!$A:$M,13,0),0)</f>
        <v>0</v>
      </c>
    </row>
    <row r="186" spans="1:13">
      <c r="A186" s="5" t="s">
        <v>191</v>
      </c>
      <c r="B186" s="2">
        <f ca="1">IFERROR(VLOOKUP(A186,[1]库存使用数据!$A:$B,2,0),0)+IFERROR(VLOOKUP(A186,[2]库存使用数据!$A:$B,2,0),0)+IFERROR(VLOOKUP(,[3]库存使用数据!$A:$B,2,0),0)+IFERROR(VLOOKUP(A186,[4]库存使用数据!$A:$B,2,0),0)+IFERROR(VLOOKUP(A186,[5]库存使用数据!$A:$B,2,0),0)</f>
        <v>0</v>
      </c>
      <c r="C186" s="1">
        <f ca="1">IFERROR(VLOOKUP($A186,[1]库存使用数据!$A:$C,3,0),0)+IFERROR(VLOOKUP($A186,[2]库存使用数据!$A:$C,3,0),0)+IFERROR(VLOOKUP($A186,[3]库存使用数据!$A:$C,3,0),0)+IFERROR(VLOOKUP($A186,[4]库存使用数据!$A:$C,3,0),0)+IFERROR(VLOOKUP($A186,[5]库存使用数据!$A:$C,3,0),0)</f>
        <v>0</v>
      </c>
      <c r="D186" s="1">
        <f ca="1">IFERROR(VLOOKUP($A186,[1]库存使用数据!$A:$D,4,0),0)+IFERROR(VLOOKUP($A186,[2]库存使用数据!$A:$D,4,0),0)+公式!$B$1*IFERROR(VLOOKUP($A186,[3]库存使用数据!$A:$D,4,0),0)+IFERROR(VLOOKUP($A186,[4]库存使用数据!$A:$D,4,0),0)+IFERROR(VLOOKUP($A186,[5]库存使用数据!$A:$D,4,0),0)</f>
        <v>0</v>
      </c>
      <c r="E186" s="1">
        <f ca="1">IFERROR(VLOOKUP($A186,[1]库存使用数据!$A:$E,5,0),0)+IFERROR(VLOOKUP($A186,[2]库存使用数据!$A:$E,5,0),0)+IFERROR(VLOOKUP($A186,[3]库存使用数据!$A:$E,5,0),0)+IFERROR(VLOOKUP($A186,[4]库存使用数据!$A:$E,5,0),0)+IFERROR(VLOOKUP($A186,[5]库存使用数据!$A:$E,5,0),0)</f>
        <v>20</v>
      </c>
      <c r="F186" s="1">
        <f ca="1">IFERROR(VLOOKUP($A186,[1]库存使用数据!$A:$F,6,0),0)+IFERROR(VLOOKUP($A186,[2]库存使用数据!$A:$F,6,0),0)+IFERROR(VLOOKUP($A186,[4]库存使用数据!$A:$F,6,0),0)+IFERROR(VLOOKUP($A186,[3]库存使用数据!$A:$F,6,0),0)+IFERROR(VLOOKUP($A186,[5]库存使用数据!$A:$F,6,0),0)</f>
        <v>0</v>
      </c>
      <c r="G186" s="1">
        <f ca="1">IFERROR(VLOOKUP($A186,[1]库存使用数据!$A:$G,7,0),0)+IFERROR(VLOOKUP($A186,[2]库存使用数据!$A:$G,7,0),0)+公式!$B$14*IFERROR(VLOOKUP($A186,[3]库存使用数据!$A:$G,7,0),0)+IFERROR(VLOOKUP($A186,[4]库存使用数据!$A:$G,7,0),0)+IFERROR(VLOOKUP($A186,[5]库存使用数据!$A:$G,7,0),0)</f>
        <v>0</v>
      </c>
      <c r="H186" s="1">
        <f ca="1">IFERROR(VLOOKUP($A186,[1]库存使用数据!$A:$H,8,0),0)+IFERROR(VLOOKUP($A186,[2]库存使用数据!$A:$H,8,0),0)+IFERROR(VLOOKUP($A186,[3]库存使用数据!$A:$H,8,0),0)+IFERROR(VLOOKUP($A186,[4]库存使用数据!$A:$H,8,0),0)+IFERROR(VLOOKUP($A186,[5]库存使用数据!$A:$H,8,0),0)</f>
        <v>42</v>
      </c>
      <c r="I186" s="1">
        <f ca="1">IFERROR(VLOOKUP($A186,[1]库存使用数据!$A:$I,9,0),0)+IFERROR(VLOOKUP($A186,[2]库存使用数据!$A:$I,9,0),0)+IFERROR(VLOOKUP($A186,[3]库存使用数据!$A:$I,9,0),0)+IFERROR(VLOOKUP($A186,[4]库存使用数据!$A:$I,9,0),0)+IFERROR(VLOOKUP($A186,[5]库存使用数据!$A:$I,9,0),0)</f>
        <v>0</v>
      </c>
      <c r="J186" s="1">
        <f ca="1">IFERROR(VLOOKUP($A186,[1]库存使用数据!$A:$J,10,0),0)+IFERROR(VLOOKUP($A186,[2]库存使用数据!$A:$J,10,0),0)+公式!$B$14*IFERROR(VLOOKUP($A186,[3]库存使用数据!$A:$J,10,0),0)+IFERROR(VLOOKUP($A186,[4]库存使用数据!$A:$J,10,0),0)+IFERROR(VLOOKUP($A186,[5]库存使用数据!$A:$J,10,0),0)</f>
        <v>0</v>
      </c>
      <c r="K186" s="1">
        <f ca="1">IFERROR(VLOOKUP($A186,[1]库存使用数据!$A:$K,11,0),0)+IFERROR(VLOOKUP($A186,[2]库存使用数据!$A:$K,11,0),0)+IFERROR(VLOOKUP($A186,[3]库存使用数据!$A:$K,11,0),0)+IFERROR(VLOOKUP($A186,[4]库存使用数据!$A:$K,11,0),0)+IFERROR(VLOOKUP($A186,[5]库存使用数据!$A:$K,11,0),0)</f>
        <v>3</v>
      </c>
      <c r="L186" s="1">
        <f ca="1">IFERROR(VLOOKUP($A186,[1]库存使用数据!$A:$L,12,0),0)+IFERROR(VLOOKUP($A186,[2]库存使用数据!$A:$L,12,0),0)+IFERROR(VLOOKUP($A186,[3]库存使用数据!$A:$L,12,0),0)+IFERROR(VLOOKUP($A186,[4]库存使用数据!$A:$L,12,0),0)+IFERROR(VLOOKUP($A186,[5]库存使用数据!$A:$L,12,0),0)</f>
        <v>0</v>
      </c>
      <c r="M186" s="1">
        <f ca="1">IFERROR(VLOOKUP($A186,[1]库存使用数据!$A:$M,13,0),0)+IFERROR(VLOOKUP($A186,[2]库存使用数据!$A:$M,13,0),0)+公式!$B$14*IFERROR(VLOOKUP($A186,[3]库存使用数据!$A:$M,13,0),0)+IFERROR(VLOOKUP($A186,[4]库存使用数据!$A:$M,13,0),0)+IFERROR(VLOOKUP($A186,[5]库存使用数据!$A:$M,13,0),0)</f>
        <v>0</v>
      </c>
    </row>
    <row r="187" spans="1:13">
      <c r="A187" s="5" t="s">
        <v>192</v>
      </c>
      <c r="B187" s="2">
        <f ca="1">IFERROR(VLOOKUP(A187,[1]库存使用数据!$A:$B,2,0),0)+IFERROR(VLOOKUP(A187,[2]库存使用数据!$A:$B,2,0),0)+IFERROR(VLOOKUP(,[3]库存使用数据!$A:$B,2,0),0)+IFERROR(VLOOKUP(A187,[4]库存使用数据!$A:$B,2,0),0)+IFERROR(VLOOKUP(A187,[5]库存使用数据!$A:$B,2,0),0)</f>
        <v>0</v>
      </c>
      <c r="C187" s="1">
        <f ca="1">IFERROR(VLOOKUP($A187,[1]库存使用数据!$A:$C,3,0),0)+IFERROR(VLOOKUP($A187,[2]库存使用数据!$A:$C,3,0),0)+IFERROR(VLOOKUP($A187,[3]库存使用数据!$A:$C,3,0),0)+IFERROR(VLOOKUP($A187,[4]库存使用数据!$A:$C,3,0),0)+IFERROR(VLOOKUP($A187,[5]库存使用数据!$A:$C,3,0),0)</f>
        <v>0</v>
      </c>
      <c r="D187" s="1">
        <f ca="1">IFERROR(VLOOKUP($A187,[1]库存使用数据!$A:$D,4,0),0)+IFERROR(VLOOKUP($A187,[2]库存使用数据!$A:$D,4,0),0)+公式!$B$1*IFERROR(VLOOKUP($A187,[3]库存使用数据!$A:$D,4,0),0)+IFERROR(VLOOKUP($A187,[4]库存使用数据!$A:$D,4,0),0)+IFERROR(VLOOKUP($A187,[5]库存使用数据!$A:$D,4,0),0)</f>
        <v>0</v>
      </c>
      <c r="E187" s="1">
        <f ca="1">IFERROR(VLOOKUP($A187,[1]库存使用数据!$A:$E,5,0),0)+IFERROR(VLOOKUP($A187,[2]库存使用数据!$A:$E,5,0),0)+IFERROR(VLOOKUP($A187,[3]库存使用数据!$A:$E,5,0),0)+IFERROR(VLOOKUP($A187,[4]库存使用数据!$A:$E,5,0),0)+IFERROR(VLOOKUP($A187,[5]库存使用数据!$A:$E,5,0),0)</f>
        <v>15</v>
      </c>
      <c r="F187" s="1">
        <f ca="1">IFERROR(VLOOKUP($A187,[1]库存使用数据!$A:$F,6,0),0)+IFERROR(VLOOKUP($A187,[2]库存使用数据!$A:$F,6,0),0)+IFERROR(VLOOKUP($A187,[4]库存使用数据!$A:$F,6,0),0)+IFERROR(VLOOKUP($A187,[3]库存使用数据!$A:$F,6,0),0)+IFERROR(VLOOKUP($A187,[5]库存使用数据!$A:$F,6,0),0)</f>
        <v>0</v>
      </c>
      <c r="G187" s="1">
        <f ca="1">IFERROR(VLOOKUP($A187,[1]库存使用数据!$A:$G,7,0),0)+IFERROR(VLOOKUP($A187,[2]库存使用数据!$A:$G,7,0),0)+公式!$B$14*IFERROR(VLOOKUP($A187,[3]库存使用数据!$A:$G,7,0),0)+IFERROR(VLOOKUP($A187,[4]库存使用数据!$A:$G,7,0),0)+IFERROR(VLOOKUP($A187,[5]库存使用数据!$A:$G,7,0),0)</f>
        <v>0</v>
      </c>
      <c r="H187" s="1">
        <f ca="1">IFERROR(VLOOKUP($A187,[1]库存使用数据!$A:$H,8,0),0)+IFERROR(VLOOKUP($A187,[2]库存使用数据!$A:$H,8,0),0)+IFERROR(VLOOKUP($A187,[3]库存使用数据!$A:$H,8,0),0)+IFERROR(VLOOKUP($A187,[4]库存使用数据!$A:$H,8,0),0)+IFERROR(VLOOKUP($A187,[5]库存使用数据!$A:$H,8,0),0)</f>
        <v>3</v>
      </c>
      <c r="I187" s="1">
        <f ca="1">IFERROR(VLOOKUP($A187,[1]库存使用数据!$A:$I,9,0),0)+IFERROR(VLOOKUP($A187,[2]库存使用数据!$A:$I,9,0),0)+IFERROR(VLOOKUP($A187,[3]库存使用数据!$A:$I,9,0),0)+IFERROR(VLOOKUP($A187,[4]库存使用数据!$A:$I,9,0),0)+IFERROR(VLOOKUP($A187,[5]库存使用数据!$A:$I,9,0),0)</f>
        <v>0</v>
      </c>
      <c r="J187" s="1">
        <f ca="1">IFERROR(VLOOKUP($A187,[1]库存使用数据!$A:$J,10,0),0)+IFERROR(VLOOKUP($A187,[2]库存使用数据!$A:$J,10,0),0)+公式!$B$14*IFERROR(VLOOKUP($A187,[3]库存使用数据!$A:$J,10,0),0)+IFERROR(VLOOKUP($A187,[4]库存使用数据!$A:$J,10,0),0)+IFERROR(VLOOKUP($A187,[5]库存使用数据!$A:$J,10,0),0)</f>
        <v>0</v>
      </c>
      <c r="K187" s="1">
        <f ca="1">IFERROR(VLOOKUP($A187,[1]库存使用数据!$A:$K,11,0),0)+IFERROR(VLOOKUP($A187,[2]库存使用数据!$A:$K,11,0),0)+IFERROR(VLOOKUP($A187,[3]库存使用数据!$A:$K,11,0),0)+IFERROR(VLOOKUP($A187,[4]库存使用数据!$A:$K,11,0),0)+IFERROR(VLOOKUP($A187,[5]库存使用数据!$A:$K,11,0),0)</f>
        <v>6</v>
      </c>
      <c r="L187" s="1">
        <f ca="1">IFERROR(VLOOKUP($A187,[1]库存使用数据!$A:$L,12,0),0)+IFERROR(VLOOKUP($A187,[2]库存使用数据!$A:$L,12,0),0)+IFERROR(VLOOKUP($A187,[3]库存使用数据!$A:$L,12,0),0)+IFERROR(VLOOKUP($A187,[4]库存使用数据!$A:$L,12,0),0)+IFERROR(VLOOKUP($A187,[5]库存使用数据!$A:$L,12,0),0)</f>
        <v>0</v>
      </c>
      <c r="M187" s="1">
        <f ca="1">IFERROR(VLOOKUP($A187,[1]库存使用数据!$A:$M,13,0),0)+IFERROR(VLOOKUP($A187,[2]库存使用数据!$A:$M,13,0),0)+公式!$B$14*IFERROR(VLOOKUP($A187,[3]库存使用数据!$A:$M,13,0),0)+IFERROR(VLOOKUP($A187,[4]库存使用数据!$A:$M,13,0),0)+IFERROR(VLOOKUP($A187,[5]库存使用数据!$A:$M,13,0),0)</f>
        <v>0</v>
      </c>
    </row>
    <row r="188" spans="1:13">
      <c r="A188" s="5" t="s">
        <v>193</v>
      </c>
      <c r="B188" s="2">
        <f ca="1">IFERROR(VLOOKUP(A188,[1]库存使用数据!$A:$B,2,0),0)+IFERROR(VLOOKUP(A188,[2]库存使用数据!$A:$B,2,0),0)+IFERROR(VLOOKUP(,[3]库存使用数据!$A:$B,2,0),0)+IFERROR(VLOOKUP(A188,[4]库存使用数据!$A:$B,2,0),0)+IFERROR(VLOOKUP(A188,[5]库存使用数据!$A:$B,2,0),0)</f>
        <v>0</v>
      </c>
      <c r="C188" s="1">
        <f ca="1">IFERROR(VLOOKUP($A188,[1]库存使用数据!$A:$C,3,0),0)+IFERROR(VLOOKUP($A188,[2]库存使用数据!$A:$C,3,0),0)+IFERROR(VLOOKUP($A188,[3]库存使用数据!$A:$C,3,0),0)+IFERROR(VLOOKUP($A188,[4]库存使用数据!$A:$C,3,0),0)+IFERROR(VLOOKUP($A188,[5]库存使用数据!$A:$C,3,0),0)</f>
        <v>0</v>
      </c>
      <c r="D188" s="1">
        <f ca="1">IFERROR(VLOOKUP($A188,[1]库存使用数据!$A:$D,4,0),0)+IFERROR(VLOOKUP($A188,[2]库存使用数据!$A:$D,4,0),0)+公式!$B$1*IFERROR(VLOOKUP($A188,[3]库存使用数据!$A:$D,4,0),0)+IFERROR(VLOOKUP($A188,[4]库存使用数据!$A:$D,4,0),0)+IFERROR(VLOOKUP($A188,[5]库存使用数据!$A:$D,4,0),0)</f>
        <v>0</v>
      </c>
      <c r="E188" s="1">
        <f ca="1">IFERROR(VLOOKUP($A188,[1]库存使用数据!$A:$E,5,0),0)+IFERROR(VLOOKUP($A188,[2]库存使用数据!$A:$E,5,0),0)+IFERROR(VLOOKUP($A188,[3]库存使用数据!$A:$E,5,0),0)+IFERROR(VLOOKUP($A188,[4]库存使用数据!$A:$E,5,0),0)+IFERROR(VLOOKUP($A188,[5]库存使用数据!$A:$E,5,0),0)</f>
        <v>19</v>
      </c>
      <c r="F188" s="1">
        <f ca="1">IFERROR(VLOOKUP($A188,[1]库存使用数据!$A:$F,6,0),0)+IFERROR(VLOOKUP($A188,[2]库存使用数据!$A:$F,6,0),0)+IFERROR(VLOOKUP($A188,[4]库存使用数据!$A:$F,6,0),0)+IFERROR(VLOOKUP($A188,[3]库存使用数据!$A:$F,6,0),0)+IFERROR(VLOOKUP($A188,[5]库存使用数据!$A:$F,6,0),0)</f>
        <v>0</v>
      </c>
      <c r="G188" s="1">
        <f ca="1">IFERROR(VLOOKUP($A188,[1]库存使用数据!$A:$G,7,0),0)+IFERROR(VLOOKUP($A188,[2]库存使用数据!$A:$G,7,0),0)+公式!$B$14*IFERROR(VLOOKUP($A188,[3]库存使用数据!$A:$G,7,0),0)+IFERROR(VLOOKUP($A188,[4]库存使用数据!$A:$G,7,0),0)+IFERROR(VLOOKUP($A188,[5]库存使用数据!$A:$G,7,0),0)</f>
        <v>0</v>
      </c>
      <c r="H188" s="1">
        <f ca="1">IFERROR(VLOOKUP($A188,[1]库存使用数据!$A:$H,8,0),0)+IFERROR(VLOOKUP($A188,[2]库存使用数据!$A:$H,8,0),0)+IFERROR(VLOOKUP($A188,[3]库存使用数据!$A:$H,8,0),0)+IFERROR(VLOOKUP($A188,[4]库存使用数据!$A:$H,8,0),0)+IFERROR(VLOOKUP($A188,[5]库存使用数据!$A:$H,8,0),0)</f>
        <v>10</v>
      </c>
      <c r="I188" s="1">
        <f ca="1">IFERROR(VLOOKUP($A188,[1]库存使用数据!$A:$I,9,0),0)+IFERROR(VLOOKUP($A188,[2]库存使用数据!$A:$I,9,0),0)+IFERROR(VLOOKUP($A188,[3]库存使用数据!$A:$I,9,0),0)+IFERROR(VLOOKUP($A188,[4]库存使用数据!$A:$I,9,0),0)+IFERROR(VLOOKUP($A188,[5]库存使用数据!$A:$I,9,0),0)</f>
        <v>0</v>
      </c>
      <c r="J188" s="1">
        <f ca="1">IFERROR(VLOOKUP($A188,[1]库存使用数据!$A:$J,10,0),0)+IFERROR(VLOOKUP($A188,[2]库存使用数据!$A:$J,10,0),0)+公式!$B$14*IFERROR(VLOOKUP($A188,[3]库存使用数据!$A:$J,10,0),0)+IFERROR(VLOOKUP($A188,[4]库存使用数据!$A:$J,10,0),0)+IFERROR(VLOOKUP($A188,[5]库存使用数据!$A:$J,10,0),0)</f>
        <v>0</v>
      </c>
      <c r="K188" s="1">
        <f ca="1">IFERROR(VLOOKUP($A188,[1]库存使用数据!$A:$K,11,0),0)+IFERROR(VLOOKUP($A188,[2]库存使用数据!$A:$K,11,0),0)+IFERROR(VLOOKUP($A188,[3]库存使用数据!$A:$K,11,0),0)+IFERROR(VLOOKUP($A188,[4]库存使用数据!$A:$K,11,0),0)+IFERROR(VLOOKUP($A188,[5]库存使用数据!$A:$K,11,0),0)</f>
        <v>55</v>
      </c>
      <c r="L188" s="1">
        <f ca="1">IFERROR(VLOOKUP($A188,[1]库存使用数据!$A:$L,12,0),0)+IFERROR(VLOOKUP($A188,[2]库存使用数据!$A:$L,12,0),0)+IFERROR(VLOOKUP($A188,[3]库存使用数据!$A:$L,12,0),0)+IFERROR(VLOOKUP($A188,[4]库存使用数据!$A:$L,12,0),0)+IFERROR(VLOOKUP($A188,[5]库存使用数据!$A:$L,12,0),0)</f>
        <v>0</v>
      </c>
      <c r="M188" s="1">
        <f ca="1">IFERROR(VLOOKUP($A188,[1]库存使用数据!$A:$M,13,0),0)+IFERROR(VLOOKUP($A188,[2]库存使用数据!$A:$M,13,0),0)+公式!$B$14*IFERROR(VLOOKUP($A188,[3]库存使用数据!$A:$M,13,0),0)+IFERROR(VLOOKUP($A188,[4]库存使用数据!$A:$M,13,0),0)+IFERROR(VLOOKUP($A188,[5]库存使用数据!$A:$M,13,0),0)</f>
        <v>0</v>
      </c>
    </row>
    <row r="189" spans="1:13">
      <c r="A189" s="5" t="s">
        <v>194</v>
      </c>
      <c r="B189" s="2">
        <f ca="1">IFERROR(VLOOKUP(A189,[1]库存使用数据!$A:$B,2,0),0)+IFERROR(VLOOKUP(A189,[2]库存使用数据!$A:$B,2,0),0)+IFERROR(VLOOKUP(,[3]库存使用数据!$A:$B,2,0),0)+IFERROR(VLOOKUP(A189,[4]库存使用数据!$A:$B,2,0),0)+IFERROR(VLOOKUP(A189,[5]库存使用数据!$A:$B,2,0),0)</f>
        <v>0</v>
      </c>
      <c r="C189" s="1">
        <f ca="1">IFERROR(VLOOKUP($A189,[1]库存使用数据!$A:$C,3,0),0)+IFERROR(VLOOKUP($A189,[2]库存使用数据!$A:$C,3,0),0)+IFERROR(VLOOKUP($A189,[3]库存使用数据!$A:$C,3,0),0)+IFERROR(VLOOKUP($A189,[4]库存使用数据!$A:$C,3,0),0)+IFERROR(VLOOKUP($A189,[5]库存使用数据!$A:$C,3,0),0)</f>
        <v>0</v>
      </c>
      <c r="D189" s="1">
        <f ca="1">IFERROR(VLOOKUP($A189,[1]库存使用数据!$A:$D,4,0),0)+IFERROR(VLOOKUP($A189,[2]库存使用数据!$A:$D,4,0),0)+公式!$B$1*IFERROR(VLOOKUP($A189,[3]库存使用数据!$A:$D,4,0),0)+IFERROR(VLOOKUP($A189,[4]库存使用数据!$A:$D,4,0),0)+IFERROR(VLOOKUP($A189,[5]库存使用数据!$A:$D,4,0),0)</f>
        <v>0</v>
      </c>
      <c r="E189" s="1">
        <f ca="1">IFERROR(VLOOKUP($A189,[1]库存使用数据!$A:$E,5,0),0)+IFERROR(VLOOKUP($A189,[2]库存使用数据!$A:$E,5,0),0)+IFERROR(VLOOKUP($A189,[3]库存使用数据!$A:$E,5,0),0)+IFERROR(VLOOKUP($A189,[4]库存使用数据!$A:$E,5,0),0)+IFERROR(VLOOKUP($A189,[5]库存使用数据!$A:$E,5,0),0)</f>
        <v>31</v>
      </c>
      <c r="F189" s="1">
        <f ca="1">IFERROR(VLOOKUP($A189,[1]库存使用数据!$A:$F,6,0),0)+IFERROR(VLOOKUP($A189,[2]库存使用数据!$A:$F,6,0),0)+IFERROR(VLOOKUP($A189,[4]库存使用数据!$A:$F,6,0),0)+IFERROR(VLOOKUP($A189,[3]库存使用数据!$A:$F,6,0),0)+IFERROR(VLOOKUP($A189,[5]库存使用数据!$A:$F,6,0),0)</f>
        <v>0</v>
      </c>
      <c r="G189" s="1">
        <f ca="1">IFERROR(VLOOKUP($A189,[1]库存使用数据!$A:$G,7,0),0)+IFERROR(VLOOKUP($A189,[2]库存使用数据!$A:$G,7,0),0)+公式!$B$14*IFERROR(VLOOKUP($A189,[3]库存使用数据!$A:$G,7,0),0)+IFERROR(VLOOKUP($A189,[4]库存使用数据!$A:$G,7,0),0)+IFERROR(VLOOKUP($A189,[5]库存使用数据!$A:$G,7,0),0)</f>
        <v>0</v>
      </c>
      <c r="H189" s="1">
        <f ca="1">IFERROR(VLOOKUP($A189,[1]库存使用数据!$A:$H,8,0),0)+IFERROR(VLOOKUP($A189,[2]库存使用数据!$A:$H,8,0),0)+IFERROR(VLOOKUP($A189,[3]库存使用数据!$A:$H,8,0),0)+IFERROR(VLOOKUP($A189,[4]库存使用数据!$A:$H,8,0),0)+IFERROR(VLOOKUP($A189,[5]库存使用数据!$A:$H,8,0),0)</f>
        <v>2</v>
      </c>
      <c r="I189" s="1">
        <f ca="1">IFERROR(VLOOKUP($A189,[1]库存使用数据!$A:$I,9,0),0)+IFERROR(VLOOKUP($A189,[2]库存使用数据!$A:$I,9,0),0)+IFERROR(VLOOKUP($A189,[3]库存使用数据!$A:$I,9,0),0)+IFERROR(VLOOKUP($A189,[4]库存使用数据!$A:$I,9,0),0)+IFERROR(VLOOKUP($A189,[5]库存使用数据!$A:$I,9,0),0)</f>
        <v>0</v>
      </c>
      <c r="J189" s="1">
        <f ca="1">IFERROR(VLOOKUP($A189,[1]库存使用数据!$A:$J,10,0),0)+IFERROR(VLOOKUP($A189,[2]库存使用数据!$A:$J,10,0),0)+公式!$B$14*IFERROR(VLOOKUP($A189,[3]库存使用数据!$A:$J,10,0),0)+IFERROR(VLOOKUP($A189,[4]库存使用数据!$A:$J,10,0),0)+IFERROR(VLOOKUP($A189,[5]库存使用数据!$A:$J,10,0),0)</f>
        <v>0</v>
      </c>
      <c r="K189" s="1">
        <f ca="1">IFERROR(VLOOKUP($A189,[1]库存使用数据!$A:$K,11,0),0)+IFERROR(VLOOKUP($A189,[2]库存使用数据!$A:$K,11,0),0)+IFERROR(VLOOKUP($A189,[3]库存使用数据!$A:$K,11,0),0)+IFERROR(VLOOKUP($A189,[4]库存使用数据!$A:$K,11,0),0)+IFERROR(VLOOKUP($A189,[5]库存使用数据!$A:$K,11,0),0)</f>
        <v>2</v>
      </c>
      <c r="L189" s="1">
        <f ca="1">IFERROR(VLOOKUP($A189,[1]库存使用数据!$A:$L,12,0),0)+IFERROR(VLOOKUP($A189,[2]库存使用数据!$A:$L,12,0),0)+IFERROR(VLOOKUP($A189,[3]库存使用数据!$A:$L,12,0),0)+IFERROR(VLOOKUP($A189,[4]库存使用数据!$A:$L,12,0),0)+IFERROR(VLOOKUP($A189,[5]库存使用数据!$A:$L,12,0),0)</f>
        <v>0</v>
      </c>
      <c r="M189" s="1">
        <f ca="1">IFERROR(VLOOKUP($A189,[1]库存使用数据!$A:$M,13,0),0)+IFERROR(VLOOKUP($A189,[2]库存使用数据!$A:$M,13,0),0)+公式!$B$14*IFERROR(VLOOKUP($A189,[3]库存使用数据!$A:$M,13,0),0)+IFERROR(VLOOKUP($A189,[4]库存使用数据!$A:$M,13,0),0)+IFERROR(VLOOKUP($A189,[5]库存使用数据!$A:$M,13,0),0)</f>
        <v>0</v>
      </c>
    </row>
    <row r="190" spans="1:13">
      <c r="A190" s="5" t="s">
        <v>195</v>
      </c>
      <c r="B190" s="2">
        <f ca="1">IFERROR(VLOOKUP(A190,[1]库存使用数据!$A:$B,2,0),0)+IFERROR(VLOOKUP(A190,[2]库存使用数据!$A:$B,2,0),0)+IFERROR(VLOOKUP(,[3]库存使用数据!$A:$B,2,0),0)+IFERROR(VLOOKUP(A190,[4]库存使用数据!$A:$B,2,0),0)+IFERROR(VLOOKUP(A190,[5]库存使用数据!$A:$B,2,0),0)</f>
        <v>0</v>
      </c>
      <c r="C190" s="1">
        <f ca="1">IFERROR(VLOOKUP($A190,[1]库存使用数据!$A:$C,3,0),0)+IFERROR(VLOOKUP($A190,[2]库存使用数据!$A:$C,3,0),0)+IFERROR(VLOOKUP($A190,[3]库存使用数据!$A:$C,3,0),0)+IFERROR(VLOOKUP($A190,[4]库存使用数据!$A:$C,3,0),0)+IFERROR(VLOOKUP($A190,[5]库存使用数据!$A:$C,3,0),0)</f>
        <v>0</v>
      </c>
      <c r="D190" s="1">
        <f ca="1">IFERROR(VLOOKUP($A190,[1]库存使用数据!$A:$D,4,0),0)+IFERROR(VLOOKUP($A190,[2]库存使用数据!$A:$D,4,0),0)+公式!$B$1*IFERROR(VLOOKUP($A190,[3]库存使用数据!$A:$D,4,0),0)+IFERROR(VLOOKUP($A190,[4]库存使用数据!$A:$D,4,0),0)+IFERROR(VLOOKUP($A190,[5]库存使用数据!$A:$D,4,0),0)</f>
        <v>0</v>
      </c>
      <c r="E190" s="1">
        <f ca="1">IFERROR(VLOOKUP($A190,[1]库存使用数据!$A:$E,5,0),0)+IFERROR(VLOOKUP($A190,[2]库存使用数据!$A:$E,5,0),0)+IFERROR(VLOOKUP($A190,[3]库存使用数据!$A:$E,5,0),0)+IFERROR(VLOOKUP($A190,[4]库存使用数据!$A:$E,5,0),0)+IFERROR(VLOOKUP($A190,[5]库存使用数据!$A:$E,5,0),0)</f>
        <v>0</v>
      </c>
      <c r="F190" s="1">
        <f ca="1">IFERROR(VLOOKUP($A190,[1]库存使用数据!$A:$F,6,0),0)+IFERROR(VLOOKUP($A190,[2]库存使用数据!$A:$F,6,0),0)+IFERROR(VLOOKUP($A190,[4]库存使用数据!$A:$F,6,0),0)+IFERROR(VLOOKUP($A190,[3]库存使用数据!$A:$F,6,0),0)+IFERROR(VLOOKUP($A190,[5]库存使用数据!$A:$F,6,0),0)</f>
        <v>0</v>
      </c>
      <c r="G190" s="1">
        <f ca="1">IFERROR(VLOOKUP($A190,[1]库存使用数据!$A:$G,7,0),0)+IFERROR(VLOOKUP($A190,[2]库存使用数据!$A:$G,7,0),0)+公式!$B$14*IFERROR(VLOOKUP($A190,[3]库存使用数据!$A:$G,7,0),0)+IFERROR(VLOOKUP($A190,[4]库存使用数据!$A:$G,7,0),0)+IFERROR(VLOOKUP($A190,[5]库存使用数据!$A:$G,7,0),0)</f>
        <v>0</v>
      </c>
      <c r="H190" s="1">
        <f ca="1">IFERROR(VLOOKUP($A190,[1]库存使用数据!$A:$H,8,0),0)+IFERROR(VLOOKUP($A190,[2]库存使用数据!$A:$H,8,0),0)+IFERROR(VLOOKUP($A190,[3]库存使用数据!$A:$H,8,0),0)+IFERROR(VLOOKUP($A190,[4]库存使用数据!$A:$H,8,0),0)+IFERROR(VLOOKUP($A190,[5]库存使用数据!$A:$H,8,0),0)</f>
        <v>0</v>
      </c>
      <c r="I190" s="1">
        <f ca="1">IFERROR(VLOOKUP($A190,[1]库存使用数据!$A:$I,9,0),0)+IFERROR(VLOOKUP($A190,[2]库存使用数据!$A:$I,9,0),0)+IFERROR(VLOOKUP($A190,[3]库存使用数据!$A:$I,9,0),0)+IFERROR(VLOOKUP($A190,[4]库存使用数据!$A:$I,9,0),0)+IFERROR(VLOOKUP($A190,[5]库存使用数据!$A:$I,9,0),0)</f>
        <v>0</v>
      </c>
      <c r="J190" s="1">
        <f ca="1">IFERROR(VLOOKUP($A190,[1]库存使用数据!$A:$J,10,0),0)+IFERROR(VLOOKUP($A190,[2]库存使用数据!$A:$J,10,0),0)+公式!$B$14*IFERROR(VLOOKUP($A190,[3]库存使用数据!$A:$J,10,0),0)+IFERROR(VLOOKUP($A190,[4]库存使用数据!$A:$J,10,0),0)+IFERROR(VLOOKUP($A190,[5]库存使用数据!$A:$J,10,0),0)</f>
        <v>0</v>
      </c>
      <c r="K190" s="1">
        <f ca="1">IFERROR(VLOOKUP($A190,[1]库存使用数据!$A:$K,11,0),0)+IFERROR(VLOOKUP($A190,[2]库存使用数据!$A:$K,11,0),0)+IFERROR(VLOOKUP($A190,[3]库存使用数据!$A:$K,11,0),0)+IFERROR(VLOOKUP($A190,[4]库存使用数据!$A:$K,11,0),0)+IFERROR(VLOOKUP($A190,[5]库存使用数据!$A:$K,11,0),0)</f>
        <v>0</v>
      </c>
      <c r="L190" s="1">
        <f ca="1">IFERROR(VLOOKUP($A190,[1]库存使用数据!$A:$L,12,0),0)+IFERROR(VLOOKUP($A190,[2]库存使用数据!$A:$L,12,0),0)+IFERROR(VLOOKUP($A190,[3]库存使用数据!$A:$L,12,0),0)+IFERROR(VLOOKUP($A190,[4]库存使用数据!$A:$L,12,0),0)+IFERROR(VLOOKUP($A190,[5]库存使用数据!$A:$L,12,0),0)</f>
        <v>0</v>
      </c>
      <c r="M190" s="1">
        <f ca="1">IFERROR(VLOOKUP($A190,[1]库存使用数据!$A:$M,13,0),0)+IFERROR(VLOOKUP($A190,[2]库存使用数据!$A:$M,13,0),0)+公式!$B$14*IFERROR(VLOOKUP($A190,[3]库存使用数据!$A:$M,13,0),0)+IFERROR(VLOOKUP($A190,[4]库存使用数据!$A:$M,13,0),0)+IFERROR(VLOOKUP($A190,[5]库存使用数据!$A:$M,13,0),0)</f>
        <v>0</v>
      </c>
    </row>
    <row r="191" spans="1:13">
      <c r="A191" s="5" t="s">
        <v>196</v>
      </c>
      <c r="B191" s="2">
        <f ca="1">IFERROR(VLOOKUP(A191,[1]库存使用数据!$A:$B,2,0),0)+IFERROR(VLOOKUP(A191,[2]库存使用数据!$A:$B,2,0),0)+IFERROR(VLOOKUP(,[3]库存使用数据!$A:$B,2,0),0)+IFERROR(VLOOKUP(A191,[4]库存使用数据!$A:$B,2,0),0)+IFERROR(VLOOKUP(A191,[5]库存使用数据!$A:$B,2,0),0)</f>
        <v>0</v>
      </c>
      <c r="C191" s="1">
        <f ca="1">IFERROR(VLOOKUP($A191,[1]库存使用数据!$A:$C,3,0),0)+IFERROR(VLOOKUP($A191,[2]库存使用数据!$A:$C,3,0),0)+IFERROR(VLOOKUP($A191,[3]库存使用数据!$A:$C,3,0),0)+IFERROR(VLOOKUP($A191,[4]库存使用数据!$A:$C,3,0),0)+IFERROR(VLOOKUP($A191,[5]库存使用数据!$A:$C,3,0),0)</f>
        <v>0</v>
      </c>
      <c r="D191" s="1">
        <f ca="1">IFERROR(VLOOKUP($A191,[1]库存使用数据!$A:$D,4,0),0)+IFERROR(VLOOKUP($A191,[2]库存使用数据!$A:$D,4,0),0)+公式!$B$1*IFERROR(VLOOKUP($A191,[3]库存使用数据!$A:$D,4,0),0)+IFERROR(VLOOKUP($A191,[4]库存使用数据!$A:$D,4,0),0)+IFERROR(VLOOKUP($A191,[5]库存使用数据!$A:$D,4,0),0)</f>
        <v>0</v>
      </c>
      <c r="E191" s="1">
        <f ca="1">IFERROR(VLOOKUP($A191,[1]库存使用数据!$A:$E,5,0),0)+IFERROR(VLOOKUP($A191,[2]库存使用数据!$A:$E,5,0),0)+IFERROR(VLOOKUP($A191,[3]库存使用数据!$A:$E,5,0),0)+IFERROR(VLOOKUP($A191,[4]库存使用数据!$A:$E,5,0),0)+IFERROR(VLOOKUP($A191,[5]库存使用数据!$A:$E,5,0),0)</f>
        <v>0</v>
      </c>
      <c r="F191" s="1">
        <f ca="1">IFERROR(VLOOKUP($A191,[1]库存使用数据!$A:$F,6,0),0)+IFERROR(VLOOKUP($A191,[2]库存使用数据!$A:$F,6,0),0)+IFERROR(VLOOKUP($A191,[4]库存使用数据!$A:$F,6,0),0)+IFERROR(VLOOKUP($A191,[3]库存使用数据!$A:$F,6,0),0)+IFERROR(VLOOKUP($A191,[5]库存使用数据!$A:$F,6,0),0)</f>
        <v>0</v>
      </c>
      <c r="G191" s="1">
        <f ca="1">IFERROR(VLOOKUP($A191,[1]库存使用数据!$A:$G,7,0),0)+IFERROR(VLOOKUP($A191,[2]库存使用数据!$A:$G,7,0),0)+公式!$B$14*IFERROR(VLOOKUP($A191,[3]库存使用数据!$A:$G,7,0),0)+IFERROR(VLOOKUP($A191,[4]库存使用数据!$A:$G,7,0),0)+IFERROR(VLOOKUP($A191,[5]库存使用数据!$A:$G,7,0),0)</f>
        <v>0</v>
      </c>
      <c r="H191" s="1">
        <f ca="1">IFERROR(VLOOKUP($A191,[1]库存使用数据!$A:$H,8,0),0)+IFERROR(VLOOKUP($A191,[2]库存使用数据!$A:$H,8,0),0)+IFERROR(VLOOKUP($A191,[3]库存使用数据!$A:$H,8,0),0)+IFERROR(VLOOKUP($A191,[4]库存使用数据!$A:$H,8,0),0)+IFERROR(VLOOKUP($A191,[5]库存使用数据!$A:$H,8,0),0)</f>
        <v>152</v>
      </c>
      <c r="I191" s="1">
        <f ca="1">IFERROR(VLOOKUP($A191,[1]库存使用数据!$A:$I,9,0),0)+IFERROR(VLOOKUP($A191,[2]库存使用数据!$A:$I,9,0),0)+IFERROR(VLOOKUP($A191,[3]库存使用数据!$A:$I,9,0),0)+IFERROR(VLOOKUP($A191,[4]库存使用数据!$A:$I,9,0),0)+IFERROR(VLOOKUP($A191,[5]库存使用数据!$A:$I,9,0),0)</f>
        <v>1</v>
      </c>
      <c r="J191" s="1">
        <f ca="1">IFERROR(VLOOKUP($A191,[1]库存使用数据!$A:$J,10,0),0)+IFERROR(VLOOKUP($A191,[2]库存使用数据!$A:$J,10,0),0)+公式!$B$14*IFERROR(VLOOKUP($A191,[3]库存使用数据!$A:$J,10,0),0)+IFERROR(VLOOKUP($A191,[4]库存使用数据!$A:$J,10,0),0)+IFERROR(VLOOKUP($A191,[5]库存使用数据!$A:$J,10,0),0)</f>
        <v>0.29</v>
      </c>
      <c r="K191" s="1">
        <f ca="1">IFERROR(VLOOKUP($A191,[1]库存使用数据!$A:$K,11,0),0)+IFERROR(VLOOKUP($A191,[2]库存使用数据!$A:$K,11,0),0)+IFERROR(VLOOKUP($A191,[3]库存使用数据!$A:$K,11,0),0)+IFERROR(VLOOKUP($A191,[4]库存使用数据!$A:$K,11,0),0)+IFERROR(VLOOKUP($A191,[5]库存使用数据!$A:$K,11,0),0)</f>
        <v>946</v>
      </c>
      <c r="L191" s="1">
        <f ca="1">IFERROR(VLOOKUP($A191,[1]库存使用数据!$A:$L,12,0),0)+IFERROR(VLOOKUP($A191,[2]库存使用数据!$A:$L,12,0),0)+IFERROR(VLOOKUP($A191,[3]库存使用数据!$A:$L,12,0),0)+IFERROR(VLOOKUP($A191,[4]库存使用数据!$A:$L,12,0),0)+IFERROR(VLOOKUP($A191,[5]库存使用数据!$A:$L,12,0),0)</f>
        <v>3</v>
      </c>
      <c r="M191" s="1">
        <f ca="1">IFERROR(VLOOKUP($A191,[1]库存使用数据!$A:$M,13,0),0)+IFERROR(VLOOKUP($A191,[2]库存使用数据!$A:$M,13,0),0)+公式!$B$14*IFERROR(VLOOKUP($A191,[3]库存使用数据!$A:$M,13,0),0)+IFERROR(VLOOKUP($A191,[4]库存使用数据!$A:$M,13,0),0)+IFERROR(VLOOKUP($A191,[5]库存使用数据!$A:$M,13,0),0)</f>
        <v>0.78</v>
      </c>
    </row>
    <row r="192" spans="1:13">
      <c r="A192" s="5" t="s">
        <v>197</v>
      </c>
      <c r="B192" s="2">
        <f ca="1">IFERROR(VLOOKUP(A192,[1]库存使用数据!$A:$B,2,0),0)+IFERROR(VLOOKUP(A192,[2]库存使用数据!$A:$B,2,0),0)+IFERROR(VLOOKUP(,[3]库存使用数据!$A:$B,2,0),0)+IFERROR(VLOOKUP(A192,[4]库存使用数据!$A:$B,2,0),0)+IFERROR(VLOOKUP(A192,[5]库存使用数据!$A:$B,2,0),0)</f>
        <v>0</v>
      </c>
      <c r="C192" s="1">
        <f ca="1">IFERROR(VLOOKUP($A192,[1]库存使用数据!$A:$C,3,0),0)+IFERROR(VLOOKUP($A192,[2]库存使用数据!$A:$C,3,0),0)+IFERROR(VLOOKUP($A192,[3]库存使用数据!$A:$C,3,0),0)+IFERROR(VLOOKUP($A192,[4]库存使用数据!$A:$C,3,0),0)+IFERROR(VLOOKUP($A192,[5]库存使用数据!$A:$C,3,0),0)</f>
        <v>0</v>
      </c>
      <c r="D192" s="1">
        <f ca="1">IFERROR(VLOOKUP($A192,[1]库存使用数据!$A:$D,4,0),0)+IFERROR(VLOOKUP($A192,[2]库存使用数据!$A:$D,4,0),0)+公式!$B$1*IFERROR(VLOOKUP($A192,[3]库存使用数据!$A:$D,4,0),0)+IFERROR(VLOOKUP($A192,[4]库存使用数据!$A:$D,4,0),0)+IFERROR(VLOOKUP($A192,[5]库存使用数据!$A:$D,4,0),0)</f>
        <v>0</v>
      </c>
      <c r="E192" s="1">
        <f ca="1">IFERROR(VLOOKUP($A192,[1]库存使用数据!$A:$E,5,0),0)+IFERROR(VLOOKUP($A192,[2]库存使用数据!$A:$E,5,0),0)+IFERROR(VLOOKUP($A192,[3]库存使用数据!$A:$E,5,0),0)+IFERROR(VLOOKUP($A192,[4]库存使用数据!$A:$E,5,0),0)+IFERROR(VLOOKUP($A192,[5]库存使用数据!$A:$E,5,0),0)</f>
        <v>0</v>
      </c>
      <c r="F192" s="1">
        <f ca="1">IFERROR(VLOOKUP($A192,[1]库存使用数据!$A:$F,6,0),0)+IFERROR(VLOOKUP($A192,[2]库存使用数据!$A:$F,6,0),0)+IFERROR(VLOOKUP($A192,[4]库存使用数据!$A:$F,6,0),0)+IFERROR(VLOOKUP($A192,[3]库存使用数据!$A:$F,6,0),0)+IFERROR(VLOOKUP($A192,[5]库存使用数据!$A:$F,6,0),0)</f>
        <v>0</v>
      </c>
      <c r="G192" s="1">
        <f ca="1">IFERROR(VLOOKUP($A192,[1]库存使用数据!$A:$G,7,0),0)+IFERROR(VLOOKUP($A192,[2]库存使用数据!$A:$G,7,0),0)+公式!$B$14*IFERROR(VLOOKUP($A192,[3]库存使用数据!$A:$G,7,0),0)+IFERROR(VLOOKUP($A192,[4]库存使用数据!$A:$G,7,0),0)+IFERROR(VLOOKUP($A192,[5]库存使用数据!$A:$G,7,0),0)</f>
        <v>0</v>
      </c>
      <c r="H192" s="1">
        <f ca="1">IFERROR(VLOOKUP($A192,[1]库存使用数据!$A:$H,8,0),0)+IFERROR(VLOOKUP($A192,[2]库存使用数据!$A:$H,8,0),0)+IFERROR(VLOOKUP($A192,[3]库存使用数据!$A:$H,8,0),0)+IFERROR(VLOOKUP($A192,[4]库存使用数据!$A:$H,8,0),0)+IFERROR(VLOOKUP($A192,[5]库存使用数据!$A:$H,8,0),0)</f>
        <v>184</v>
      </c>
      <c r="I192" s="1">
        <f ca="1">IFERROR(VLOOKUP($A192,[1]库存使用数据!$A:$I,9,0),0)+IFERROR(VLOOKUP($A192,[2]库存使用数据!$A:$I,9,0),0)+IFERROR(VLOOKUP($A192,[3]库存使用数据!$A:$I,9,0),0)+IFERROR(VLOOKUP($A192,[4]库存使用数据!$A:$I,9,0),0)+IFERROR(VLOOKUP($A192,[5]库存使用数据!$A:$I,9,0),0)</f>
        <v>0</v>
      </c>
      <c r="J192" s="1">
        <f ca="1">IFERROR(VLOOKUP($A192,[1]库存使用数据!$A:$J,10,0),0)+IFERROR(VLOOKUP($A192,[2]库存使用数据!$A:$J,10,0),0)+公式!$B$14*IFERROR(VLOOKUP($A192,[3]库存使用数据!$A:$J,10,0),0)+IFERROR(VLOOKUP($A192,[4]库存使用数据!$A:$J,10,0),0)+IFERROR(VLOOKUP($A192,[5]库存使用数据!$A:$J,10,0),0)</f>
        <v>0</v>
      </c>
      <c r="K192" s="1">
        <f ca="1">IFERROR(VLOOKUP($A192,[1]库存使用数据!$A:$K,11,0),0)+IFERROR(VLOOKUP($A192,[2]库存使用数据!$A:$K,11,0),0)+IFERROR(VLOOKUP($A192,[3]库存使用数据!$A:$K,11,0),0)+IFERROR(VLOOKUP($A192,[4]库存使用数据!$A:$K,11,0),0)+IFERROR(VLOOKUP($A192,[5]库存使用数据!$A:$K,11,0),0)</f>
        <v>1158</v>
      </c>
      <c r="L192" s="1">
        <f ca="1">IFERROR(VLOOKUP($A192,[1]库存使用数据!$A:$L,12,0),0)+IFERROR(VLOOKUP($A192,[2]库存使用数据!$A:$L,12,0),0)+IFERROR(VLOOKUP($A192,[3]库存使用数据!$A:$L,12,0),0)+IFERROR(VLOOKUP($A192,[4]库存使用数据!$A:$L,12,0),0)+IFERROR(VLOOKUP($A192,[5]库存使用数据!$A:$L,12,0),0)</f>
        <v>4</v>
      </c>
      <c r="M192" s="1">
        <f ca="1">IFERROR(VLOOKUP($A192,[1]库存使用数据!$A:$M,13,0),0)+IFERROR(VLOOKUP($A192,[2]库存使用数据!$A:$M,13,0),0)+公式!$B$14*IFERROR(VLOOKUP($A192,[3]库存使用数据!$A:$M,13,0),0)+IFERROR(VLOOKUP($A192,[4]库存使用数据!$A:$M,13,0),0)+IFERROR(VLOOKUP($A192,[5]库存使用数据!$A:$M,13,0),0)</f>
        <v>0.85</v>
      </c>
    </row>
    <row r="193" spans="1:13">
      <c r="A193" s="5" t="s">
        <v>198</v>
      </c>
      <c r="B193" s="2">
        <f ca="1">IFERROR(VLOOKUP(A193,[1]库存使用数据!$A:$B,2,0),0)+IFERROR(VLOOKUP(A193,[2]库存使用数据!$A:$B,2,0),0)+IFERROR(VLOOKUP(,[3]库存使用数据!$A:$B,2,0),0)+IFERROR(VLOOKUP(A193,[4]库存使用数据!$A:$B,2,0),0)+IFERROR(VLOOKUP(A193,[5]库存使用数据!$A:$B,2,0),0)</f>
        <v>0</v>
      </c>
      <c r="C193" s="1">
        <f ca="1">IFERROR(VLOOKUP($A193,[1]库存使用数据!$A:$C,3,0),0)+IFERROR(VLOOKUP($A193,[2]库存使用数据!$A:$C,3,0),0)+IFERROR(VLOOKUP($A193,[3]库存使用数据!$A:$C,3,0),0)+IFERROR(VLOOKUP($A193,[4]库存使用数据!$A:$C,3,0),0)+IFERROR(VLOOKUP($A193,[5]库存使用数据!$A:$C,3,0),0)</f>
        <v>0</v>
      </c>
      <c r="D193" s="1">
        <f ca="1">IFERROR(VLOOKUP($A193,[1]库存使用数据!$A:$D,4,0),0)+IFERROR(VLOOKUP($A193,[2]库存使用数据!$A:$D,4,0),0)+公式!$B$1*IFERROR(VLOOKUP($A193,[3]库存使用数据!$A:$D,4,0),0)+IFERROR(VLOOKUP($A193,[4]库存使用数据!$A:$D,4,0),0)+IFERROR(VLOOKUP($A193,[5]库存使用数据!$A:$D,4,0),0)</f>
        <v>0</v>
      </c>
      <c r="E193" s="1">
        <f ca="1">IFERROR(VLOOKUP($A193,[1]库存使用数据!$A:$E,5,0),0)+IFERROR(VLOOKUP($A193,[2]库存使用数据!$A:$E,5,0),0)+IFERROR(VLOOKUP($A193,[3]库存使用数据!$A:$E,5,0),0)+IFERROR(VLOOKUP($A193,[4]库存使用数据!$A:$E,5,0),0)+IFERROR(VLOOKUP($A193,[5]库存使用数据!$A:$E,5,0),0)</f>
        <v>1774</v>
      </c>
      <c r="F193" s="1">
        <f ca="1">IFERROR(VLOOKUP($A193,[1]库存使用数据!$A:$F,6,0),0)+IFERROR(VLOOKUP($A193,[2]库存使用数据!$A:$F,6,0),0)+IFERROR(VLOOKUP($A193,[4]库存使用数据!$A:$F,6,0),0)+IFERROR(VLOOKUP($A193,[3]库存使用数据!$A:$F,6,0),0)+IFERROR(VLOOKUP($A193,[5]库存使用数据!$A:$F,6,0),0)</f>
        <v>6</v>
      </c>
      <c r="G193" s="1">
        <f ca="1">IFERROR(VLOOKUP($A193,[1]库存使用数据!$A:$G,7,0),0)+IFERROR(VLOOKUP($A193,[2]库存使用数据!$A:$G,7,0),0)+公式!$B$14*IFERROR(VLOOKUP($A193,[3]库存使用数据!$A:$G,7,0),0)+IFERROR(VLOOKUP($A193,[4]库存使用数据!$A:$G,7,0),0)+IFERROR(VLOOKUP($A193,[5]库存使用数据!$A:$G,7,0),0)</f>
        <v>0.46</v>
      </c>
      <c r="H193" s="1">
        <f ca="1">IFERROR(VLOOKUP($A193,[1]库存使用数据!$A:$H,8,0),0)+IFERROR(VLOOKUP($A193,[2]库存使用数据!$A:$H,8,0),0)+IFERROR(VLOOKUP($A193,[3]库存使用数据!$A:$H,8,0),0)+IFERROR(VLOOKUP($A193,[4]库存使用数据!$A:$H,8,0),0)+IFERROR(VLOOKUP($A193,[5]库存使用数据!$A:$H,8,0),0)</f>
        <v>3370</v>
      </c>
      <c r="I193" s="1">
        <f ca="1">IFERROR(VLOOKUP($A193,[1]库存使用数据!$A:$I,9,0),0)+IFERROR(VLOOKUP($A193,[2]库存使用数据!$A:$I,9,0),0)+IFERROR(VLOOKUP($A193,[3]库存使用数据!$A:$I,9,0),0)+IFERROR(VLOOKUP($A193,[4]库存使用数据!$A:$I,9,0),0)+IFERROR(VLOOKUP($A193,[5]库存使用数据!$A:$I,9,0),0)</f>
        <v>11</v>
      </c>
      <c r="J193" s="1">
        <f ca="1">IFERROR(VLOOKUP($A193,[1]库存使用数据!$A:$J,10,0),0)+IFERROR(VLOOKUP($A193,[2]库存使用数据!$A:$J,10,0),0)+公式!$B$14*IFERROR(VLOOKUP($A193,[3]库存使用数据!$A:$J,10,0),0)+IFERROR(VLOOKUP($A193,[4]库存使用数据!$A:$J,10,0),0)+IFERROR(VLOOKUP($A193,[5]库存使用数据!$A:$J,10,0),0)</f>
        <v>2.28</v>
      </c>
      <c r="K193" s="1">
        <f ca="1">IFERROR(VLOOKUP($A193,[1]库存使用数据!$A:$K,11,0),0)+IFERROR(VLOOKUP($A193,[2]库存使用数据!$A:$K,11,0),0)+IFERROR(VLOOKUP($A193,[3]库存使用数据!$A:$K,11,0),0)+IFERROR(VLOOKUP($A193,[4]库存使用数据!$A:$K,11,0),0)+IFERROR(VLOOKUP($A193,[5]库存使用数据!$A:$K,11,0),0)</f>
        <v>6197</v>
      </c>
      <c r="L193" s="1">
        <f ca="1">IFERROR(VLOOKUP($A193,[1]库存使用数据!$A:$L,12,0),0)+IFERROR(VLOOKUP($A193,[2]库存使用数据!$A:$L,12,0),0)+IFERROR(VLOOKUP($A193,[3]库存使用数据!$A:$L,12,0),0)+IFERROR(VLOOKUP($A193,[4]库存使用数据!$A:$L,12,0),0)+IFERROR(VLOOKUP($A193,[5]库存使用数据!$A:$L,12,0),0)</f>
        <v>11</v>
      </c>
      <c r="M193" s="1">
        <f ca="1">IFERROR(VLOOKUP($A193,[1]库存使用数据!$A:$M,13,0),0)+IFERROR(VLOOKUP($A193,[2]库存使用数据!$A:$M,13,0),0)+公式!$B$14*IFERROR(VLOOKUP($A193,[3]库存使用数据!$A:$M,13,0),0)+IFERROR(VLOOKUP($A193,[4]库存使用数据!$A:$M,13,0),0)+IFERROR(VLOOKUP($A193,[5]库存使用数据!$A:$M,13,0),0)</f>
        <v>2.23</v>
      </c>
    </row>
    <row r="194" spans="1:13">
      <c r="A194" s="5" t="s">
        <v>199</v>
      </c>
      <c r="B194" s="2">
        <f ca="1">IFERROR(VLOOKUP(A194,[1]库存使用数据!$A:$B,2,0),0)+IFERROR(VLOOKUP(A194,[2]库存使用数据!$A:$B,2,0),0)+IFERROR(VLOOKUP(,[3]库存使用数据!$A:$B,2,0),0)+IFERROR(VLOOKUP(A194,[4]库存使用数据!$A:$B,2,0),0)+IFERROR(VLOOKUP(A194,[5]库存使用数据!$A:$B,2,0),0)</f>
        <v>0</v>
      </c>
      <c r="C194" s="1">
        <f ca="1">IFERROR(VLOOKUP($A194,[1]库存使用数据!$A:$C,3,0),0)+IFERROR(VLOOKUP($A194,[2]库存使用数据!$A:$C,3,0),0)+IFERROR(VLOOKUP($A194,[3]库存使用数据!$A:$C,3,0),0)+IFERROR(VLOOKUP($A194,[4]库存使用数据!$A:$C,3,0),0)+IFERROR(VLOOKUP($A194,[5]库存使用数据!$A:$C,3,0),0)</f>
        <v>0</v>
      </c>
      <c r="D194" s="1">
        <f ca="1">IFERROR(VLOOKUP($A194,[1]库存使用数据!$A:$D,4,0),0)+IFERROR(VLOOKUP($A194,[2]库存使用数据!$A:$D,4,0),0)+公式!$B$1*IFERROR(VLOOKUP($A194,[3]库存使用数据!$A:$D,4,0),0)+IFERROR(VLOOKUP($A194,[4]库存使用数据!$A:$D,4,0),0)+IFERROR(VLOOKUP($A194,[5]库存使用数据!$A:$D,4,0),0)</f>
        <v>0</v>
      </c>
      <c r="E194" s="1">
        <f ca="1">IFERROR(VLOOKUP($A194,[1]库存使用数据!$A:$E,5,0),0)+IFERROR(VLOOKUP($A194,[2]库存使用数据!$A:$E,5,0),0)+IFERROR(VLOOKUP($A194,[3]库存使用数据!$A:$E,5,0),0)+IFERROR(VLOOKUP($A194,[4]库存使用数据!$A:$E,5,0),0)+IFERROR(VLOOKUP($A194,[5]库存使用数据!$A:$E,5,0),0)</f>
        <v>7682</v>
      </c>
      <c r="F194" s="1">
        <f ca="1">IFERROR(VLOOKUP($A194,[1]库存使用数据!$A:$F,6,0),0)+IFERROR(VLOOKUP($A194,[2]库存使用数据!$A:$F,6,0),0)+IFERROR(VLOOKUP($A194,[4]库存使用数据!$A:$F,6,0),0)+IFERROR(VLOOKUP($A194,[3]库存使用数据!$A:$F,6,0),0)+IFERROR(VLOOKUP($A194,[5]库存使用数据!$A:$F,6,0),0)</f>
        <v>22</v>
      </c>
      <c r="G194" s="1">
        <f ca="1">IFERROR(VLOOKUP($A194,[1]库存使用数据!$A:$G,7,0),0)+IFERROR(VLOOKUP($A194,[2]库存使用数据!$A:$G,7,0),0)+公式!$B$14*IFERROR(VLOOKUP($A194,[3]库存使用数据!$A:$G,7,0),0)+IFERROR(VLOOKUP($A194,[4]库存使用数据!$A:$G,7,0),0)+IFERROR(VLOOKUP($A194,[5]库存使用数据!$A:$G,7,0),0)</f>
        <v>2.78</v>
      </c>
      <c r="H194" s="1">
        <f ca="1">IFERROR(VLOOKUP($A194,[1]库存使用数据!$A:$H,8,0),0)+IFERROR(VLOOKUP($A194,[2]库存使用数据!$A:$H,8,0),0)+IFERROR(VLOOKUP($A194,[3]库存使用数据!$A:$H,8,0),0)+IFERROR(VLOOKUP($A194,[4]库存使用数据!$A:$H,8,0),0)+IFERROR(VLOOKUP($A194,[5]库存使用数据!$A:$H,8,0),0)</f>
        <v>1121</v>
      </c>
      <c r="I194" s="1">
        <f ca="1">IFERROR(VLOOKUP($A194,[1]库存使用数据!$A:$I,9,0),0)+IFERROR(VLOOKUP($A194,[2]库存使用数据!$A:$I,9,0),0)+IFERROR(VLOOKUP($A194,[3]库存使用数据!$A:$I,9,0),0)+IFERROR(VLOOKUP($A194,[4]库存使用数据!$A:$I,9,0),0)+IFERROR(VLOOKUP($A194,[5]库存使用数据!$A:$I,9,0),0)</f>
        <v>9</v>
      </c>
      <c r="J194" s="1">
        <f ca="1">IFERROR(VLOOKUP($A194,[1]库存使用数据!$A:$J,10,0),0)+IFERROR(VLOOKUP($A194,[2]库存使用数据!$A:$J,10,0),0)+公式!$B$14*IFERROR(VLOOKUP($A194,[3]库存使用数据!$A:$J,10,0),0)+IFERROR(VLOOKUP($A194,[4]库存使用数据!$A:$J,10,0),0)+IFERROR(VLOOKUP($A194,[5]库存使用数据!$A:$J,10,0),0)</f>
        <v>2.12</v>
      </c>
      <c r="K194" s="1">
        <f ca="1">IFERROR(VLOOKUP($A194,[1]库存使用数据!$A:$K,11,0),0)+IFERROR(VLOOKUP($A194,[2]库存使用数据!$A:$K,11,0),0)+IFERROR(VLOOKUP($A194,[3]库存使用数据!$A:$K,11,0),0)+IFERROR(VLOOKUP($A194,[4]库存使用数据!$A:$K,11,0),0)+IFERROR(VLOOKUP($A194,[5]库存使用数据!$A:$K,11,0),0)</f>
        <v>473</v>
      </c>
      <c r="L194" s="1">
        <f ca="1">IFERROR(VLOOKUP($A194,[1]库存使用数据!$A:$L,12,0),0)+IFERROR(VLOOKUP($A194,[2]库存使用数据!$A:$L,12,0),0)+IFERROR(VLOOKUP($A194,[3]库存使用数据!$A:$L,12,0),0)+IFERROR(VLOOKUP($A194,[4]库存使用数据!$A:$L,12,0),0)+IFERROR(VLOOKUP($A194,[5]库存使用数据!$A:$L,12,0),0)</f>
        <v>1</v>
      </c>
      <c r="M194" s="1">
        <f ca="1">IFERROR(VLOOKUP($A194,[1]库存使用数据!$A:$M,13,0),0)+IFERROR(VLOOKUP($A194,[2]库存使用数据!$A:$M,13,0),0)+公式!$B$14*IFERROR(VLOOKUP($A194,[3]库存使用数据!$A:$M,13,0),0)+IFERROR(VLOOKUP($A194,[4]库存使用数据!$A:$M,13,0),0)+IFERROR(VLOOKUP($A194,[5]库存使用数据!$A:$M,13,0),0)</f>
        <v>0.26</v>
      </c>
    </row>
    <row r="195" spans="1:13">
      <c r="A195" s="5" t="s">
        <v>200</v>
      </c>
      <c r="B195" s="2">
        <f ca="1">IFERROR(VLOOKUP(A195,[1]库存使用数据!$A:$B,2,0),0)+IFERROR(VLOOKUP(A195,[2]库存使用数据!$A:$B,2,0),0)+IFERROR(VLOOKUP(,[3]库存使用数据!$A:$B,2,0),0)+IFERROR(VLOOKUP(A195,[4]库存使用数据!$A:$B,2,0),0)+IFERROR(VLOOKUP(A195,[5]库存使用数据!$A:$B,2,0),0)</f>
        <v>0</v>
      </c>
      <c r="C195" s="1">
        <f ca="1">IFERROR(VLOOKUP($A195,[1]库存使用数据!$A:$C,3,0),0)+IFERROR(VLOOKUP($A195,[2]库存使用数据!$A:$C,3,0),0)+IFERROR(VLOOKUP($A195,[3]库存使用数据!$A:$C,3,0),0)+IFERROR(VLOOKUP($A195,[4]库存使用数据!$A:$C,3,0),0)+IFERROR(VLOOKUP($A195,[5]库存使用数据!$A:$C,3,0),0)</f>
        <v>0</v>
      </c>
      <c r="D195" s="1">
        <f ca="1">IFERROR(VLOOKUP($A195,[1]库存使用数据!$A:$D,4,0),0)+IFERROR(VLOOKUP($A195,[2]库存使用数据!$A:$D,4,0),0)+公式!$B$1*IFERROR(VLOOKUP($A195,[3]库存使用数据!$A:$D,4,0),0)+IFERROR(VLOOKUP($A195,[4]库存使用数据!$A:$D,4,0),0)+IFERROR(VLOOKUP($A195,[5]库存使用数据!$A:$D,4,0),0)</f>
        <v>0</v>
      </c>
      <c r="E195" s="1">
        <f ca="1">IFERROR(VLOOKUP($A195,[1]库存使用数据!$A:$E,5,0),0)+IFERROR(VLOOKUP($A195,[2]库存使用数据!$A:$E,5,0),0)+IFERROR(VLOOKUP($A195,[3]库存使用数据!$A:$E,5,0),0)+IFERROR(VLOOKUP($A195,[4]库存使用数据!$A:$E,5,0),0)+IFERROR(VLOOKUP($A195,[5]库存使用数据!$A:$E,5,0),0)</f>
        <v>28038</v>
      </c>
      <c r="F195" s="1">
        <f ca="1">IFERROR(VLOOKUP($A195,[1]库存使用数据!$A:$F,6,0),0)+IFERROR(VLOOKUP($A195,[2]库存使用数据!$A:$F,6,0),0)+IFERROR(VLOOKUP($A195,[4]库存使用数据!$A:$F,6,0),0)+IFERROR(VLOOKUP($A195,[3]库存使用数据!$A:$F,6,0),0)+IFERROR(VLOOKUP($A195,[5]库存使用数据!$A:$F,6,0),0)</f>
        <v>74</v>
      </c>
      <c r="G195" s="1">
        <f ca="1">IFERROR(VLOOKUP($A195,[1]库存使用数据!$A:$G,7,0),0)+IFERROR(VLOOKUP($A195,[2]库存使用数据!$A:$G,7,0),0)+公式!$B$14*IFERROR(VLOOKUP($A195,[3]库存使用数据!$A:$G,7,0),0)+IFERROR(VLOOKUP($A195,[4]库存使用数据!$A:$G,7,0),0)+IFERROR(VLOOKUP($A195,[5]库存使用数据!$A:$G,7,0),0)</f>
        <v>10.92</v>
      </c>
      <c r="H195" s="1">
        <f ca="1">IFERROR(VLOOKUP($A195,[1]库存使用数据!$A:$H,8,0),0)+IFERROR(VLOOKUP($A195,[2]库存使用数据!$A:$H,8,0),0)+IFERROR(VLOOKUP($A195,[3]库存使用数据!$A:$H,8,0),0)+IFERROR(VLOOKUP($A195,[4]库存使用数据!$A:$H,8,0),0)+IFERROR(VLOOKUP($A195,[5]库存使用数据!$A:$H,8,0),0)</f>
        <v>9476</v>
      </c>
      <c r="I195" s="1">
        <f ca="1">IFERROR(VLOOKUP($A195,[1]库存使用数据!$A:$I,9,0),0)+IFERROR(VLOOKUP($A195,[2]库存使用数据!$A:$I,9,0),0)+IFERROR(VLOOKUP($A195,[3]库存使用数据!$A:$I,9,0),0)+IFERROR(VLOOKUP($A195,[4]库存使用数据!$A:$I,9,0),0)+IFERROR(VLOOKUP($A195,[5]库存使用数据!$A:$I,9,0),0)</f>
        <v>38</v>
      </c>
      <c r="J195" s="1">
        <f ca="1">IFERROR(VLOOKUP($A195,[1]库存使用数据!$A:$J,10,0),0)+IFERROR(VLOOKUP($A195,[2]库存使用数据!$A:$J,10,0),0)+公式!$B$14*IFERROR(VLOOKUP($A195,[3]库存使用数据!$A:$J,10,0),0)+IFERROR(VLOOKUP($A195,[4]库存使用数据!$A:$J,10,0),0)+IFERROR(VLOOKUP($A195,[5]库存使用数据!$A:$J,10,0),0)</f>
        <v>6.24</v>
      </c>
      <c r="K195" s="1">
        <f ca="1">IFERROR(VLOOKUP($A195,[1]库存使用数据!$A:$K,11,0),0)+IFERROR(VLOOKUP($A195,[2]库存使用数据!$A:$K,11,0),0)+IFERROR(VLOOKUP($A195,[3]库存使用数据!$A:$K,11,0),0)+IFERROR(VLOOKUP($A195,[4]库存使用数据!$A:$K,11,0),0)+IFERROR(VLOOKUP($A195,[5]库存使用数据!$A:$K,11,0),0)</f>
        <v>0</v>
      </c>
      <c r="L195" s="1">
        <f ca="1">IFERROR(VLOOKUP($A195,[1]库存使用数据!$A:$L,12,0),0)+IFERROR(VLOOKUP($A195,[2]库存使用数据!$A:$L,12,0),0)+IFERROR(VLOOKUP($A195,[3]库存使用数据!$A:$L,12,0),0)+IFERROR(VLOOKUP($A195,[4]库存使用数据!$A:$L,12,0),0)+IFERROR(VLOOKUP($A195,[5]库存使用数据!$A:$L,12,0),0)</f>
        <v>0</v>
      </c>
      <c r="M195" s="1">
        <f ca="1">IFERROR(VLOOKUP($A195,[1]库存使用数据!$A:$M,13,0),0)+IFERROR(VLOOKUP($A195,[2]库存使用数据!$A:$M,13,0),0)+公式!$B$14*IFERROR(VLOOKUP($A195,[3]库存使用数据!$A:$M,13,0),0)+IFERROR(VLOOKUP($A195,[4]库存使用数据!$A:$M,13,0),0)+IFERROR(VLOOKUP($A195,[5]库存使用数据!$A:$M,13,0),0)</f>
        <v>0</v>
      </c>
    </row>
    <row r="196" spans="1:13">
      <c r="A196" s="5" t="s">
        <v>201</v>
      </c>
      <c r="B196" s="2">
        <f ca="1">IFERROR(VLOOKUP(A196,[1]库存使用数据!$A:$B,2,0),0)+IFERROR(VLOOKUP(A196,[2]库存使用数据!$A:$B,2,0),0)+IFERROR(VLOOKUP(,[3]库存使用数据!$A:$B,2,0),0)+IFERROR(VLOOKUP(A196,[4]库存使用数据!$A:$B,2,0),0)+IFERROR(VLOOKUP(A196,[5]库存使用数据!$A:$B,2,0),0)</f>
        <v>0</v>
      </c>
      <c r="C196" s="1">
        <f ca="1">IFERROR(VLOOKUP($A196,[1]库存使用数据!$A:$C,3,0),0)+IFERROR(VLOOKUP($A196,[2]库存使用数据!$A:$C,3,0),0)+IFERROR(VLOOKUP($A196,[3]库存使用数据!$A:$C,3,0),0)+IFERROR(VLOOKUP($A196,[4]库存使用数据!$A:$C,3,0),0)+IFERROR(VLOOKUP($A196,[5]库存使用数据!$A:$C,3,0),0)</f>
        <v>0</v>
      </c>
      <c r="D196" s="1">
        <f ca="1">IFERROR(VLOOKUP($A196,[1]库存使用数据!$A:$D,4,0),0)+IFERROR(VLOOKUP($A196,[2]库存使用数据!$A:$D,4,0),0)+公式!$B$1*IFERROR(VLOOKUP($A196,[3]库存使用数据!$A:$D,4,0),0)+IFERROR(VLOOKUP($A196,[4]库存使用数据!$A:$D,4,0),0)+IFERROR(VLOOKUP($A196,[5]库存使用数据!$A:$D,4,0),0)</f>
        <v>0</v>
      </c>
      <c r="E196" s="1">
        <f ca="1">IFERROR(VLOOKUP($A196,[1]库存使用数据!$A:$E,5,0),0)+IFERROR(VLOOKUP($A196,[2]库存使用数据!$A:$E,5,0),0)+IFERROR(VLOOKUP($A196,[3]库存使用数据!$A:$E,5,0),0)+IFERROR(VLOOKUP($A196,[4]库存使用数据!$A:$E,5,0),0)+IFERROR(VLOOKUP($A196,[5]库存使用数据!$A:$E,5,0),0)</f>
        <v>9454</v>
      </c>
      <c r="F196" s="1">
        <f ca="1">IFERROR(VLOOKUP($A196,[1]库存使用数据!$A:$F,6,0),0)+IFERROR(VLOOKUP($A196,[2]库存使用数据!$A:$F,6,0),0)+IFERROR(VLOOKUP($A196,[4]库存使用数据!$A:$F,6,0),0)+IFERROR(VLOOKUP($A196,[3]库存使用数据!$A:$F,6,0),0)+IFERROR(VLOOKUP($A196,[5]库存使用数据!$A:$F,6,0),0)</f>
        <v>46</v>
      </c>
      <c r="G196" s="1">
        <f ca="1">IFERROR(VLOOKUP($A196,[1]库存使用数据!$A:$G,7,0),0)+IFERROR(VLOOKUP($A196,[2]库存使用数据!$A:$G,7,0),0)+公式!$B$14*IFERROR(VLOOKUP($A196,[3]库存使用数据!$A:$G,7,0),0)+IFERROR(VLOOKUP($A196,[4]库存使用数据!$A:$G,7,0),0)+IFERROR(VLOOKUP($A196,[5]库存使用数据!$A:$G,7,0),0)</f>
        <v>6.8</v>
      </c>
      <c r="H196" s="1">
        <f ca="1">IFERROR(VLOOKUP($A196,[1]库存使用数据!$A:$H,8,0),0)+IFERROR(VLOOKUP($A196,[2]库存使用数据!$A:$H,8,0),0)+IFERROR(VLOOKUP($A196,[3]库存使用数据!$A:$H,8,0),0)+IFERROR(VLOOKUP($A196,[4]库存使用数据!$A:$H,8,0),0)+IFERROR(VLOOKUP($A196,[5]库存使用数据!$A:$H,8,0),0)</f>
        <v>4854</v>
      </c>
      <c r="I196" s="1">
        <f ca="1">IFERROR(VLOOKUP($A196,[1]库存使用数据!$A:$I,9,0),0)+IFERROR(VLOOKUP($A196,[2]库存使用数据!$A:$I,9,0),0)+IFERROR(VLOOKUP($A196,[3]库存使用数据!$A:$I,9,0),0)+IFERROR(VLOOKUP($A196,[4]库存使用数据!$A:$I,9,0),0)+IFERROR(VLOOKUP($A196,[5]库存使用数据!$A:$I,9,0),0)</f>
        <v>30</v>
      </c>
      <c r="J196" s="1">
        <f ca="1">IFERROR(VLOOKUP($A196,[1]库存使用数据!$A:$J,10,0),0)+IFERROR(VLOOKUP($A196,[2]库存使用数据!$A:$J,10,0),0)+公式!$B$14*IFERROR(VLOOKUP($A196,[3]库存使用数据!$A:$J,10,0),0)+IFERROR(VLOOKUP($A196,[4]库存使用数据!$A:$J,10,0),0)+IFERROR(VLOOKUP($A196,[5]库存使用数据!$A:$J,10,0),0)</f>
        <v>4.08</v>
      </c>
      <c r="K196" s="1">
        <f ca="1">IFERROR(VLOOKUP($A196,[1]库存使用数据!$A:$K,11,0),0)+IFERROR(VLOOKUP($A196,[2]库存使用数据!$A:$K,11,0),0)+IFERROR(VLOOKUP($A196,[3]库存使用数据!$A:$K,11,0),0)+IFERROR(VLOOKUP($A196,[4]库存使用数据!$A:$K,11,0),0)+IFERROR(VLOOKUP($A196,[5]库存使用数据!$A:$K,11,0),0)</f>
        <v>768</v>
      </c>
      <c r="L196" s="1">
        <f ca="1">IFERROR(VLOOKUP($A196,[1]库存使用数据!$A:$L,12,0),0)+IFERROR(VLOOKUP($A196,[2]库存使用数据!$A:$L,12,0),0)+IFERROR(VLOOKUP($A196,[3]库存使用数据!$A:$L,12,0),0)+IFERROR(VLOOKUP($A196,[4]库存使用数据!$A:$L,12,0),0)+IFERROR(VLOOKUP($A196,[5]库存使用数据!$A:$L,12,0),0)</f>
        <v>6</v>
      </c>
      <c r="M196" s="1">
        <f ca="1">IFERROR(VLOOKUP($A196,[1]库存使用数据!$A:$M,13,0),0)+IFERROR(VLOOKUP($A196,[2]库存使用数据!$A:$M,13,0),0)+公式!$B$14*IFERROR(VLOOKUP($A196,[3]库存使用数据!$A:$M,13,0),0)+IFERROR(VLOOKUP($A196,[4]库存使用数据!$A:$M,13,0),0)+IFERROR(VLOOKUP($A196,[5]库存使用数据!$A:$M,13,0),0)</f>
        <v>1.15</v>
      </c>
    </row>
    <row r="197" spans="1:13">
      <c r="A197" s="5" t="s">
        <v>202</v>
      </c>
      <c r="B197" s="2">
        <f ca="1">IFERROR(VLOOKUP(A197,[1]库存使用数据!$A:$B,2,0),0)+IFERROR(VLOOKUP(A197,[2]库存使用数据!$A:$B,2,0),0)+IFERROR(VLOOKUP(,[3]库存使用数据!$A:$B,2,0),0)+IFERROR(VLOOKUP(A197,[4]库存使用数据!$A:$B,2,0),0)+IFERROR(VLOOKUP(A197,[5]库存使用数据!$A:$B,2,0),0)</f>
        <v>0</v>
      </c>
      <c r="C197" s="1">
        <f ca="1">IFERROR(VLOOKUP($A197,[1]库存使用数据!$A:$C,3,0),0)+IFERROR(VLOOKUP($A197,[2]库存使用数据!$A:$C,3,0),0)+IFERROR(VLOOKUP($A197,[3]库存使用数据!$A:$C,3,0),0)+IFERROR(VLOOKUP($A197,[4]库存使用数据!$A:$C,3,0),0)+IFERROR(VLOOKUP($A197,[5]库存使用数据!$A:$C,3,0),0)</f>
        <v>0</v>
      </c>
      <c r="D197" s="1">
        <f ca="1">IFERROR(VLOOKUP($A197,[1]库存使用数据!$A:$D,4,0),0)+IFERROR(VLOOKUP($A197,[2]库存使用数据!$A:$D,4,0),0)+公式!$B$1*IFERROR(VLOOKUP($A197,[3]库存使用数据!$A:$D,4,0),0)+IFERROR(VLOOKUP($A197,[4]库存使用数据!$A:$D,4,0),0)+IFERROR(VLOOKUP($A197,[5]库存使用数据!$A:$D,4,0),0)</f>
        <v>0</v>
      </c>
      <c r="E197" s="1">
        <f ca="1">IFERROR(VLOOKUP($A197,[1]库存使用数据!$A:$E,5,0),0)+IFERROR(VLOOKUP($A197,[2]库存使用数据!$A:$E,5,0),0)+IFERROR(VLOOKUP($A197,[3]库存使用数据!$A:$E,5,0),0)+IFERROR(VLOOKUP($A197,[4]库存使用数据!$A:$E,5,0),0)+IFERROR(VLOOKUP($A197,[5]库存使用数据!$A:$E,5,0),0)</f>
        <v>4732</v>
      </c>
      <c r="F197" s="1">
        <f ca="1">IFERROR(VLOOKUP($A197,[1]库存使用数据!$A:$F,6,0),0)+IFERROR(VLOOKUP($A197,[2]库存使用数据!$A:$F,6,0),0)+IFERROR(VLOOKUP($A197,[4]库存使用数据!$A:$F,6,0),0)+IFERROR(VLOOKUP($A197,[3]库存使用数据!$A:$F,6,0),0)+IFERROR(VLOOKUP($A197,[5]库存使用数据!$A:$F,6,0),0)</f>
        <v>10</v>
      </c>
      <c r="G197" s="1">
        <f ca="1">IFERROR(VLOOKUP($A197,[1]库存使用数据!$A:$G,7,0),0)+IFERROR(VLOOKUP($A197,[2]库存使用数据!$A:$G,7,0),0)+公式!$B$14*IFERROR(VLOOKUP($A197,[3]库存使用数据!$A:$G,7,0),0)+IFERROR(VLOOKUP($A197,[4]库存使用数据!$A:$G,7,0),0)+IFERROR(VLOOKUP($A197,[5]库存使用数据!$A:$G,7,0),0)</f>
        <v>1.78</v>
      </c>
      <c r="H197" s="1">
        <f ca="1">IFERROR(VLOOKUP($A197,[1]库存使用数据!$A:$H,8,0),0)+IFERROR(VLOOKUP($A197,[2]库存使用数据!$A:$H,8,0),0)+IFERROR(VLOOKUP($A197,[3]库存使用数据!$A:$H,8,0),0)+IFERROR(VLOOKUP($A197,[4]库存使用数据!$A:$H,8,0),0)+IFERROR(VLOOKUP($A197,[5]库存使用数据!$A:$H,8,0),0)</f>
        <v>839</v>
      </c>
      <c r="I197" s="1">
        <f ca="1">IFERROR(VLOOKUP($A197,[1]库存使用数据!$A:$I,9,0),0)+IFERROR(VLOOKUP($A197,[2]库存使用数据!$A:$I,9,0),0)+IFERROR(VLOOKUP($A197,[3]库存使用数据!$A:$I,9,0),0)+IFERROR(VLOOKUP($A197,[4]库存使用数据!$A:$I,9,0),0)+IFERROR(VLOOKUP($A197,[5]库存使用数据!$A:$I,9,0),0)</f>
        <v>6</v>
      </c>
      <c r="J197" s="1">
        <f ca="1">IFERROR(VLOOKUP($A197,[1]库存使用数据!$A:$J,10,0),0)+IFERROR(VLOOKUP($A197,[2]库存使用数据!$A:$J,10,0),0)+公式!$B$14*IFERROR(VLOOKUP($A197,[3]库存使用数据!$A:$J,10,0),0)+IFERROR(VLOOKUP($A197,[4]库存使用数据!$A:$J,10,0),0)+IFERROR(VLOOKUP($A197,[5]库存使用数据!$A:$J,10,0),0)</f>
        <v>0.89</v>
      </c>
      <c r="K197" s="1">
        <f ca="1">IFERROR(VLOOKUP($A197,[1]库存使用数据!$A:$K,11,0),0)+IFERROR(VLOOKUP($A197,[2]库存使用数据!$A:$K,11,0),0)+IFERROR(VLOOKUP($A197,[3]库存使用数据!$A:$K,11,0),0)+IFERROR(VLOOKUP($A197,[4]库存使用数据!$A:$K,11,0),0)+IFERROR(VLOOKUP($A197,[5]库存使用数据!$A:$K,11,0),0)</f>
        <v>0</v>
      </c>
      <c r="L197" s="1">
        <f ca="1">IFERROR(VLOOKUP($A197,[1]库存使用数据!$A:$L,12,0),0)+IFERROR(VLOOKUP($A197,[2]库存使用数据!$A:$L,12,0),0)+IFERROR(VLOOKUP($A197,[3]库存使用数据!$A:$L,12,0),0)+IFERROR(VLOOKUP($A197,[4]库存使用数据!$A:$L,12,0),0)+IFERROR(VLOOKUP($A197,[5]库存使用数据!$A:$L,12,0),0)</f>
        <v>0</v>
      </c>
      <c r="M197" s="1">
        <f ca="1">IFERROR(VLOOKUP($A197,[1]库存使用数据!$A:$M,13,0),0)+IFERROR(VLOOKUP($A197,[2]库存使用数据!$A:$M,13,0),0)+公式!$B$14*IFERROR(VLOOKUP($A197,[3]库存使用数据!$A:$M,13,0),0)+IFERROR(VLOOKUP($A197,[4]库存使用数据!$A:$M,13,0),0)+IFERROR(VLOOKUP($A197,[5]库存使用数据!$A:$M,13,0),0)</f>
        <v>0</v>
      </c>
    </row>
    <row r="198" spans="1:13">
      <c r="A198" s="5" t="s">
        <v>203</v>
      </c>
      <c r="B198" s="2">
        <f ca="1">IFERROR(VLOOKUP(A198,[1]库存使用数据!$A:$B,2,0),0)+IFERROR(VLOOKUP(A198,[2]库存使用数据!$A:$B,2,0),0)+IFERROR(VLOOKUP(,[3]库存使用数据!$A:$B,2,0),0)+IFERROR(VLOOKUP(A198,[4]库存使用数据!$A:$B,2,0),0)+IFERROR(VLOOKUP(A198,[5]库存使用数据!$A:$B,2,0),0)</f>
        <v>0</v>
      </c>
      <c r="C198" s="1">
        <f ca="1">IFERROR(VLOOKUP($A198,[1]库存使用数据!$A:$C,3,0),0)+IFERROR(VLOOKUP($A198,[2]库存使用数据!$A:$C,3,0),0)+IFERROR(VLOOKUP($A198,[3]库存使用数据!$A:$C,3,0),0)+IFERROR(VLOOKUP($A198,[4]库存使用数据!$A:$C,3,0),0)+IFERROR(VLOOKUP($A198,[5]库存使用数据!$A:$C,3,0),0)</f>
        <v>0</v>
      </c>
      <c r="D198" s="1">
        <f ca="1">IFERROR(VLOOKUP($A198,[1]库存使用数据!$A:$D,4,0),0)+IFERROR(VLOOKUP($A198,[2]库存使用数据!$A:$D,4,0),0)+公式!$B$1*IFERROR(VLOOKUP($A198,[3]库存使用数据!$A:$D,4,0),0)+IFERROR(VLOOKUP($A198,[4]库存使用数据!$A:$D,4,0),0)+IFERROR(VLOOKUP($A198,[5]库存使用数据!$A:$D,4,0),0)</f>
        <v>0</v>
      </c>
      <c r="E198" s="1">
        <f ca="1">IFERROR(VLOOKUP($A198,[1]库存使用数据!$A:$E,5,0),0)+IFERROR(VLOOKUP($A198,[2]库存使用数据!$A:$E,5,0),0)+IFERROR(VLOOKUP($A198,[3]库存使用数据!$A:$E,5,0),0)+IFERROR(VLOOKUP($A198,[4]库存使用数据!$A:$E,5,0),0)+IFERROR(VLOOKUP($A198,[5]库存使用数据!$A:$E,5,0),0)</f>
        <v>20234</v>
      </c>
      <c r="F198" s="1">
        <f ca="1">IFERROR(VLOOKUP($A198,[1]库存使用数据!$A:$F,6,0),0)+IFERROR(VLOOKUP($A198,[2]库存使用数据!$A:$F,6,0),0)+IFERROR(VLOOKUP($A198,[4]库存使用数据!$A:$F,6,0),0)+IFERROR(VLOOKUP($A198,[3]库存使用数据!$A:$F,6,0),0)+IFERROR(VLOOKUP($A198,[5]库存使用数据!$A:$F,6,0),0)</f>
        <v>90</v>
      </c>
      <c r="G198" s="1">
        <f ca="1">IFERROR(VLOOKUP($A198,[1]库存使用数据!$A:$G,7,0),0)+IFERROR(VLOOKUP($A198,[2]库存使用数据!$A:$G,7,0),0)+公式!$B$14*IFERROR(VLOOKUP($A198,[3]库存使用数据!$A:$G,7,0),0)+IFERROR(VLOOKUP($A198,[4]库存使用数据!$A:$G,7,0),0)+IFERROR(VLOOKUP($A198,[5]库存使用数据!$A:$G,7,0),0)</f>
        <v>11.44</v>
      </c>
      <c r="H198" s="1">
        <f ca="1">IFERROR(VLOOKUP($A198,[1]库存使用数据!$A:$H,8,0),0)+IFERROR(VLOOKUP($A198,[2]库存使用数据!$A:$H,8,0),0)+IFERROR(VLOOKUP($A198,[3]库存使用数据!$A:$H,8,0),0)+IFERROR(VLOOKUP($A198,[4]库存使用数据!$A:$H,8,0),0)+IFERROR(VLOOKUP($A198,[5]库存使用数据!$A:$H,8,0),0)</f>
        <v>12936</v>
      </c>
      <c r="I198" s="1">
        <f ca="1">IFERROR(VLOOKUP($A198,[1]库存使用数据!$A:$I,9,0),0)+IFERROR(VLOOKUP($A198,[2]库存使用数据!$A:$I,9,0),0)+IFERROR(VLOOKUP($A198,[3]库存使用数据!$A:$I,9,0),0)+IFERROR(VLOOKUP($A198,[4]库存使用数据!$A:$I,9,0),0)+IFERROR(VLOOKUP($A198,[5]库存使用数据!$A:$I,9,0),0)</f>
        <v>63</v>
      </c>
      <c r="J198" s="1">
        <f ca="1">IFERROR(VLOOKUP($A198,[1]库存使用数据!$A:$J,10,0),0)+IFERROR(VLOOKUP($A198,[2]库存使用数据!$A:$J,10,0),0)+公式!$B$14*IFERROR(VLOOKUP($A198,[3]库存使用数据!$A:$J,10,0),0)+IFERROR(VLOOKUP($A198,[4]库存使用数据!$A:$J,10,0),0)+IFERROR(VLOOKUP($A198,[5]库存使用数据!$A:$J,10,0),0)</f>
        <v>8.17</v>
      </c>
      <c r="K198" s="1">
        <f ca="1">IFERROR(VLOOKUP($A198,[1]库存使用数据!$A:$K,11,0),0)+IFERROR(VLOOKUP($A198,[2]库存使用数据!$A:$K,11,0),0)+IFERROR(VLOOKUP($A198,[3]库存使用数据!$A:$K,11,0),0)+IFERROR(VLOOKUP($A198,[4]库存使用数据!$A:$K,11,0),0)+IFERROR(VLOOKUP($A198,[5]库存使用数据!$A:$K,11,0),0)</f>
        <v>1740</v>
      </c>
      <c r="L198" s="1">
        <f ca="1">IFERROR(VLOOKUP($A198,[1]库存使用数据!$A:$L,12,0),0)+IFERROR(VLOOKUP($A198,[2]库存使用数据!$A:$L,12,0),0)+IFERROR(VLOOKUP($A198,[3]库存使用数据!$A:$L,12,0),0)+IFERROR(VLOOKUP($A198,[4]库存使用数据!$A:$L,12,0),0)+IFERROR(VLOOKUP($A198,[5]库存使用数据!$A:$L,12,0),0)</f>
        <v>16</v>
      </c>
      <c r="M198" s="1">
        <f ca="1">IFERROR(VLOOKUP($A198,[1]库存使用数据!$A:$M,13,0),0)+IFERROR(VLOOKUP($A198,[2]库存使用数据!$A:$M,13,0),0)+公式!$B$14*IFERROR(VLOOKUP($A198,[3]库存使用数据!$A:$M,13,0),0)+IFERROR(VLOOKUP($A198,[4]库存使用数据!$A:$M,13,0),0)+IFERROR(VLOOKUP($A198,[5]库存使用数据!$A:$M,13,0),0)</f>
        <v>2.29</v>
      </c>
    </row>
    <row r="199" spans="1:13">
      <c r="A199" s="5" t="s">
        <v>204</v>
      </c>
      <c r="B199" s="2">
        <f ca="1">IFERROR(VLOOKUP(A199,[1]库存使用数据!$A:$B,2,0),0)+IFERROR(VLOOKUP(A199,[2]库存使用数据!$A:$B,2,0),0)+IFERROR(VLOOKUP(,[3]库存使用数据!$A:$B,2,0),0)+IFERROR(VLOOKUP(A199,[4]库存使用数据!$A:$B,2,0),0)+IFERROR(VLOOKUP(A199,[5]库存使用数据!$A:$B,2,0),0)</f>
        <v>14662</v>
      </c>
      <c r="C199" s="1">
        <f ca="1">IFERROR(VLOOKUP($A199,[1]库存使用数据!$A:$C,3,0),0)+IFERROR(VLOOKUP($A199,[2]库存使用数据!$A:$C,3,0),0)+IFERROR(VLOOKUP($A199,[3]库存使用数据!$A:$C,3,0),0)+IFERROR(VLOOKUP($A199,[4]库存使用数据!$A:$C,3,0),0)+IFERROR(VLOOKUP($A199,[5]库存使用数据!$A:$C,3,0),0)</f>
        <v>77</v>
      </c>
      <c r="D199" s="1">
        <f ca="1">IFERROR(VLOOKUP($A199,[1]库存使用数据!$A:$D,4,0),0)+IFERROR(VLOOKUP($A199,[2]库存使用数据!$A:$D,4,0),0)+公式!$B$1*IFERROR(VLOOKUP($A199,[3]库存使用数据!$A:$D,4,0),0)+IFERROR(VLOOKUP($A199,[4]库存使用数据!$A:$D,4,0),0)+IFERROR(VLOOKUP($A199,[5]库存使用数据!$A:$D,4,0),0)</f>
        <v>12.71</v>
      </c>
      <c r="E199" s="1">
        <f ca="1">IFERROR(VLOOKUP($A199,[1]库存使用数据!$A:$E,5,0),0)+IFERROR(VLOOKUP($A199,[2]库存使用数据!$A:$E,5,0),0)+IFERROR(VLOOKUP($A199,[3]库存使用数据!$A:$E,5,0),0)+IFERROR(VLOOKUP($A199,[4]库存使用数据!$A:$E,5,0),0)+IFERROR(VLOOKUP($A199,[5]库存使用数据!$A:$E,5,0),0)</f>
        <v>15688</v>
      </c>
      <c r="F199" s="1">
        <f ca="1">IFERROR(VLOOKUP($A199,[1]库存使用数据!$A:$F,6,0),0)+IFERROR(VLOOKUP($A199,[2]库存使用数据!$A:$F,6,0),0)+IFERROR(VLOOKUP($A199,[4]库存使用数据!$A:$F,6,0),0)+IFERROR(VLOOKUP($A199,[3]库存使用数据!$A:$F,6,0),0)+IFERROR(VLOOKUP($A199,[5]库存使用数据!$A:$F,6,0),0)</f>
        <v>105</v>
      </c>
      <c r="G199" s="1">
        <f ca="1">IFERROR(VLOOKUP($A199,[1]库存使用数据!$A:$G,7,0),0)+IFERROR(VLOOKUP($A199,[2]库存使用数据!$A:$G,7,0),0)+公式!$B$14*IFERROR(VLOOKUP($A199,[3]库存使用数据!$A:$G,7,0),0)+IFERROR(VLOOKUP($A199,[4]库存使用数据!$A:$G,7,0),0)+IFERROR(VLOOKUP($A199,[5]库存使用数据!$A:$G,7,0),0)</f>
        <v>16.63</v>
      </c>
      <c r="H199" s="1">
        <f ca="1">IFERROR(VLOOKUP($A199,[1]库存使用数据!$A:$H,8,0),0)+IFERROR(VLOOKUP($A199,[2]库存使用数据!$A:$H,8,0),0)+IFERROR(VLOOKUP($A199,[3]库存使用数据!$A:$H,8,0),0)+IFERROR(VLOOKUP($A199,[4]库存使用数据!$A:$H,8,0),0)+IFERROR(VLOOKUP($A199,[5]库存使用数据!$A:$H,8,0),0)</f>
        <v>13267</v>
      </c>
      <c r="I199" s="1">
        <f ca="1">IFERROR(VLOOKUP($A199,[1]库存使用数据!$A:$I,9,0),0)+IFERROR(VLOOKUP($A199,[2]库存使用数据!$A:$I,9,0),0)+IFERROR(VLOOKUP($A199,[3]库存使用数据!$A:$I,9,0),0)+IFERROR(VLOOKUP($A199,[4]库存使用数据!$A:$I,9,0),0)+IFERROR(VLOOKUP($A199,[5]库存使用数据!$A:$I,9,0),0)</f>
        <v>64</v>
      </c>
      <c r="J199" s="1">
        <f ca="1">IFERROR(VLOOKUP($A199,[1]库存使用数据!$A:$J,10,0),0)+IFERROR(VLOOKUP($A199,[2]库存使用数据!$A:$J,10,0),0)+公式!$B$14*IFERROR(VLOOKUP($A199,[3]库存使用数据!$A:$J,10,0),0)+IFERROR(VLOOKUP($A199,[4]库存使用数据!$A:$J,10,0),0)+IFERROR(VLOOKUP($A199,[5]库存使用数据!$A:$J,10,0),0)</f>
        <v>9.64</v>
      </c>
      <c r="K199" s="1">
        <f ca="1">IFERROR(VLOOKUP($A199,[1]库存使用数据!$A:$K,11,0),0)+IFERROR(VLOOKUP($A199,[2]库存使用数据!$A:$K,11,0),0)+IFERROR(VLOOKUP($A199,[3]库存使用数据!$A:$K,11,0),0)+IFERROR(VLOOKUP($A199,[4]库存使用数据!$A:$K,11,0),0)+IFERROR(VLOOKUP($A199,[5]库存使用数据!$A:$K,11,0),0)</f>
        <v>16029</v>
      </c>
      <c r="L199" s="1">
        <f ca="1">IFERROR(VLOOKUP($A199,[1]库存使用数据!$A:$L,12,0),0)+IFERROR(VLOOKUP($A199,[2]库存使用数据!$A:$L,12,0),0)+IFERROR(VLOOKUP($A199,[3]库存使用数据!$A:$L,12,0),0)+IFERROR(VLOOKUP($A199,[4]库存使用数据!$A:$L,12,0),0)+IFERROR(VLOOKUP($A199,[5]库存使用数据!$A:$L,12,0),0)</f>
        <v>126</v>
      </c>
      <c r="M199" s="1">
        <f ca="1">IFERROR(VLOOKUP($A199,[1]库存使用数据!$A:$M,13,0),0)+IFERROR(VLOOKUP($A199,[2]库存使用数据!$A:$M,13,0),0)+公式!$B$14*IFERROR(VLOOKUP($A199,[3]库存使用数据!$A:$M,13,0),0)+IFERROR(VLOOKUP($A199,[4]库存使用数据!$A:$M,13,0),0)+IFERROR(VLOOKUP($A199,[5]库存使用数据!$A:$M,13,0),0)</f>
        <v>18.26</v>
      </c>
    </row>
    <row r="200" spans="1:13">
      <c r="A200" s="5" t="s">
        <v>205</v>
      </c>
      <c r="B200" s="2">
        <f ca="1">IFERROR(VLOOKUP(A200,[1]库存使用数据!$A:$B,2,0),0)+IFERROR(VLOOKUP(A200,[2]库存使用数据!$A:$B,2,0),0)+IFERROR(VLOOKUP(,[3]库存使用数据!$A:$B,2,0),0)+IFERROR(VLOOKUP(A200,[4]库存使用数据!$A:$B,2,0),0)+IFERROR(VLOOKUP(A200,[5]库存使用数据!$A:$B,2,0),0)</f>
        <v>0</v>
      </c>
      <c r="C200" s="1">
        <f ca="1">IFERROR(VLOOKUP($A200,[1]库存使用数据!$A:$C,3,0),0)+IFERROR(VLOOKUP($A200,[2]库存使用数据!$A:$C,3,0),0)+IFERROR(VLOOKUP($A200,[3]库存使用数据!$A:$C,3,0),0)+IFERROR(VLOOKUP($A200,[4]库存使用数据!$A:$C,3,0),0)+IFERROR(VLOOKUP($A200,[5]库存使用数据!$A:$C,3,0),0)</f>
        <v>0</v>
      </c>
      <c r="D200" s="1">
        <f ca="1">IFERROR(VLOOKUP($A200,[1]库存使用数据!$A:$D,4,0),0)+IFERROR(VLOOKUP($A200,[2]库存使用数据!$A:$D,4,0),0)+公式!$B$1*IFERROR(VLOOKUP($A200,[3]库存使用数据!$A:$D,4,0),0)+IFERROR(VLOOKUP($A200,[4]库存使用数据!$A:$D,4,0),0)+IFERROR(VLOOKUP($A200,[5]库存使用数据!$A:$D,4,0),0)</f>
        <v>0</v>
      </c>
      <c r="E200" s="1">
        <f ca="1">IFERROR(VLOOKUP($A200,[1]库存使用数据!$A:$E,5,0),0)+IFERROR(VLOOKUP($A200,[2]库存使用数据!$A:$E,5,0),0)+IFERROR(VLOOKUP($A200,[3]库存使用数据!$A:$E,5,0),0)+IFERROR(VLOOKUP($A200,[4]库存使用数据!$A:$E,5,0),0)+IFERROR(VLOOKUP($A200,[5]库存使用数据!$A:$E,5,0),0)</f>
        <v>9286</v>
      </c>
      <c r="F200" s="1">
        <f ca="1">IFERROR(VLOOKUP($A200,[1]库存使用数据!$A:$F,6,0),0)+IFERROR(VLOOKUP($A200,[2]库存使用数据!$A:$F,6,0),0)+IFERROR(VLOOKUP($A200,[4]库存使用数据!$A:$F,6,0),0)+IFERROR(VLOOKUP($A200,[3]库存使用数据!$A:$F,6,0),0)+IFERROR(VLOOKUP($A200,[5]库存使用数据!$A:$F,6,0),0)</f>
        <v>38</v>
      </c>
      <c r="G200" s="1">
        <f ca="1">IFERROR(VLOOKUP($A200,[1]库存使用数据!$A:$G,7,0),0)+IFERROR(VLOOKUP($A200,[2]库存使用数据!$A:$G,7,0),0)+公式!$B$14*IFERROR(VLOOKUP($A200,[3]库存使用数据!$A:$G,7,0),0)+IFERROR(VLOOKUP($A200,[4]库存使用数据!$A:$G,7,0),0)+IFERROR(VLOOKUP($A200,[5]库存使用数据!$A:$G,7,0),0)</f>
        <v>6.32</v>
      </c>
      <c r="H200" s="1">
        <f ca="1">IFERROR(VLOOKUP($A200,[1]库存使用数据!$A:$H,8,0),0)+IFERROR(VLOOKUP($A200,[2]库存使用数据!$A:$H,8,0),0)+IFERROR(VLOOKUP($A200,[3]库存使用数据!$A:$H,8,0),0)+IFERROR(VLOOKUP($A200,[4]库存使用数据!$A:$H,8,0),0)+IFERROR(VLOOKUP($A200,[5]库存使用数据!$A:$H,8,0),0)</f>
        <v>2586</v>
      </c>
      <c r="I200" s="1">
        <f ca="1">IFERROR(VLOOKUP($A200,[1]库存使用数据!$A:$I,9,0),0)+IFERROR(VLOOKUP($A200,[2]库存使用数据!$A:$I,9,0),0)+IFERROR(VLOOKUP($A200,[3]库存使用数据!$A:$I,9,0),0)+IFERROR(VLOOKUP($A200,[4]库存使用数据!$A:$I,9,0),0)+IFERROR(VLOOKUP($A200,[5]库存使用数据!$A:$I,9,0),0)</f>
        <v>15</v>
      </c>
      <c r="J200" s="1">
        <f ca="1">IFERROR(VLOOKUP($A200,[1]库存使用数据!$A:$J,10,0),0)+IFERROR(VLOOKUP($A200,[2]库存使用数据!$A:$J,10,0),0)+公式!$B$14*IFERROR(VLOOKUP($A200,[3]库存使用数据!$A:$J,10,0),0)+IFERROR(VLOOKUP($A200,[4]库存使用数据!$A:$J,10,0),0)+IFERROR(VLOOKUP($A200,[5]库存使用数据!$A:$J,10,0),0)</f>
        <v>2.63</v>
      </c>
      <c r="K200" s="1">
        <f ca="1">IFERROR(VLOOKUP($A200,[1]库存使用数据!$A:$K,11,0),0)+IFERROR(VLOOKUP($A200,[2]库存使用数据!$A:$K,11,0),0)+IFERROR(VLOOKUP($A200,[3]库存使用数据!$A:$K,11,0),0)+IFERROR(VLOOKUP($A200,[4]库存使用数据!$A:$K,11,0),0)+IFERROR(VLOOKUP($A200,[5]库存使用数据!$A:$K,11,0),0)</f>
        <v>1105</v>
      </c>
      <c r="L200" s="1">
        <f ca="1">IFERROR(VLOOKUP($A200,[1]库存使用数据!$A:$L,12,0),0)+IFERROR(VLOOKUP($A200,[2]库存使用数据!$A:$L,12,0),0)+IFERROR(VLOOKUP($A200,[3]库存使用数据!$A:$L,12,0),0)+IFERROR(VLOOKUP($A200,[4]库存使用数据!$A:$L,12,0),0)+IFERROR(VLOOKUP($A200,[5]库存使用数据!$A:$L,12,0),0)</f>
        <v>17</v>
      </c>
      <c r="M200" s="1">
        <f ca="1">IFERROR(VLOOKUP($A200,[1]库存使用数据!$A:$M,13,0),0)+IFERROR(VLOOKUP($A200,[2]库存使用数据!$A:$M,13,0),0)+公式!$B$14*IFERROR(VLOOKUP($A200,[3]库存使用数据!$A:$M,13,0),0)+IFERROR(VLOOKUP($A200,[4]库存使用数据!$A:$M,13,0),0)+IFERROR(VLOOKUP($A200,[5]库存使用数据!$A:$M,13,0),0)</f>
        <v>2.53</v>
      </c>
    </row>
    <row r="201" spans="1:13">
      <c r="A201" s="5" t="s">
        <v>206</v>
      </c>
      <c r="B201" s="2">
        <f ca="1">IFERROR(VLOOKUP(A201,[1]库存使用数据!$A:$B,2,0),0)+IFERROR(VLOOKUP(A201,[2]库存使用数据!$A:$B,2,0),0)+IFERROR(VLOOKUP(,[3]库存使用数据!$A:$B,2,0),0)+IFERROR(VLOOKUP(A201,[4]库存使用数据!$A:$B,2,0),0)+IFERROR(VLOOKUP(A201,[5]库存使用数据!$A:$B,2,0),0)</f>
        <v>0</v>
      </c>
      <c r="C201" s="1">
        <f ca="1">IFERROR(VLOOKUP($A201,[1]库存使用数据!$A:$C,3,0),0)+IFERROR(VLOOKUP($A201,[2]库存使用数据!$A:$C,3,0),0)+IFERROR(VLOOKUP($A201,[3]库存使用数据!$A:$C,3,0),0)+IFERROR(VLOOKUP($A201,[4]库存使用数据!$A:$C,3,0),0)+IFERROR(VLOOKUP($A201,[5]库存使用数据!$A:$C,3,0),0)</f>
        <v>0</v>
      </c>
      <c r="D201" s="1">
        <f ca="1">IFERROR(VLOOKUP($A201,[1]库存使用数据!$A:$D,4,0),0)+IFERROR(VLOOKUP($A201,[2]库存使用数据!$A:$D,4,0),0)+公式!$B$1*IFERROR(VLOOKUP($A201,[3]库存使用数据!$A:$D,4,0),0)+IFERROR(VLOOKUP($A201,[4]库存使用数据!$A:$D,4,0),0)+IFERROR(VLOOKUP($A201,[5]库存使用数据!$A:$D,4,0),0)</f>
        <v>0</v>
      </c>
      <c r="E201" s="1">
        <f ca="1">IFERROR(VLOOKUP($A201,[1]库存使用数据!$A:$E,5,0),0)+IFERROR(VLOOKUP($A201,[2]库存使用数据!$A:$E,5,0),0)+IFERROR(VLOOKUP($A201,[3]库存使用数据!$A:$E,5,0),0)+IFERROR(VLOOKUP($A201,[4]库存使用数据!$A:$E,5,0),0)+IFERROR(VLOOKUP($A201,[5]库存使用数据!$A:$E,5,0),0)</f>
        <v>8034</v>
      </c>
      <c r="F201" s="1">
        <f ca="1">IFERROR(VLOOKUP($A201,[1]库存使用数据!$A:$F,6,0),0)+IFERROR(VLOOKUP($A201,[2]库存使用数据!$A:$F,6,0),0)+IFERROR(VLOOKUP($A201,[4]库存使用数据!$A:$F,6,0),0)+IFERROR(VLOOKUP($A201,[3]库存使用数据!$A:$F,6,0),0)+IFERROR(VLOOKUP($A201,[5]库存使用数据!$A:$F,6,0),0)</f>
        <v>68</v>
      </c>
      <c r="G201" s="1">
        <f ca="1">IFERROR(VLOOKUP($A201,[1]库存使用数据!$A:$G,7,0),0)+IFERROR(VLOOKUP($A201,[2]库存使用数据!$A:$G,7,0),0)+公式!$B$14*IFERROR(VLOOKUP($A201,[3]库存使用数据!$A:$G,7,0),0)+IFERROR(VLOOKUP($A201,[4]库存使用数据!$A:$G,7,0),0)+IFERROR(VLOOKUP($A201,[5]库存使用数据!$A:$G,7,0),0)</f>
        <v>9.84</v>
      </c>
      <c r="H201" s="1">
        <f ca="1">IFERROR(VLOOKUP($A201,[1]库存使用数据!$A:$H,8,0),0)+IFERROR(VLOOKUP($A201,[2]库存使用数据!$A:$H,8,0),0)+IFERROR(VLOOKUP($A201,[3]库存使用数据!$A:$H,8,0),0)+IFERROR(VLOOKUP($A201,[4]库存使用数据!$A:$H,8,0),0)+IFERROR(VLOOKUP($A201,[5]库存使用数据!$A:$H,8,0),0)</f>
        <v>1988</v>
      </c>
      <c r="I201" s="1">
        <f ca="1">IFERROR(VLOOKUP($A201,[1]库存使用数据!$A:$I,9,0),0)+IFERROR(VLOOKUP($A201,[2]库存使用数据!$A:$I,9,0),0)+IFERROR(VLOOKUP($A201,[3]库存使用数据!$A:$I,9,0),0)+IFERROR(VLOOKUP($A201,[4]库存使用数据!$A:$I,9,0),0)+IFERROR(VLOOKUP($A201,[5]库存使用数据!$A:$I,9,0),0)</f>
        <v>18</v>
      </c>
      <c r="J201" s="1">
        <f ca="1">IFERROR(VLOOKUP($A201,[1]库存使用数据!$A:$J,10,0),0)+IFERROR(VLOOKUP($A201,[2]库存使用数据!$A:$J,10,0),0)+公式!$B$14*IFERROR(VLOOKUP($A201,[3]库存使用数据!$A:$J,10,0),0)+IFERROR(VLOOKUP($A201,[4]库存使用数据!$A:$J,10,0),0)+IFERROR(VLOOKUP($A201,[5]库存使用数据!$A:$J,10,0),0)</f>
        <v>2.36</v>
      </c>
      <c r="K201" s="1">
        <f ca="1">IFERROR(VLOOKUP($A201,[1]库存使用数据!$A:$K,11,0),0)+IFERROR(VLOOKUP($A201,[2]库存使用数据!$A:$K,11,0),0)+IFERROR(VLOOKUP($A201,[3]库存使用数据!$A:$K,11,0),0)+IFERROR(VLOOKUP($A201,[4]库存使用数据!$A:$K,11,0),0)+IFERROR(VLOOKUP($A201,[5]库存使用数据!$A:$K,11,0),0)</f>
        <v>2855</v>
      </c>
      <c r="L201" s="1">
        <f ca="1">IFERROR(VLOOKUP($A201,[1]库存使用数据!$A:$L,12,0),0)+IFERROR(VLOOKUP($A201,[2]库存使用数据!$A:$L,12,0),0)+IFERROR(VLOOKUP($A201,[3]库存使用数据!$A:$L,12,0),0)+IFERROR(VLOOKUP($A201,[4]库存使用数据!$A:$L,12,0),0)+IFERROR(VLOOKUP($A201,[5]库存使用数据!$A:$L,12,0),0)</f>
        <v>27</v>
      </c>
      <c r="M201" s="1">
        <f ca="1">IFERROR(VLOOKUP($A201,[1]库存使用数据!$A:$M,13,0),0)+IFERROR(VLOOKUP($A201,[2]库存使用数据!$A:$M,13,0),0)+公式!$B$14*IFERROR(VLOOKUP($A201,[3]库存使用数据!$A:$M,13,0),0)+IFERROR(VLOOKUP($A201,[4]库存使用数据!$A:$M,13,0),0)+IFERROR(VLOOKUP($A201,[5]库存使用数据!$A:$M,13,0),0)</f>
        <v>3.54</v>
      </c>
    </row>
    <row r="202" spans="1:13">
      <c r="A202" s="5" t="s">
        <v>207</v>
      </c>
      <c r="B202" s="2">
        <f ca="1">IFERROR(VLOOKUP(A202,[1]库存使用数据!$A:$B,2,0),0)+IFERROR(VLOOKUP(A202,[2]库存使用数据!$A:$B,2,0),0)+IFERROR(VLOOKUP(,[3]库存使用数据!$A:$B,2,0),0)+IFERROR(VLOOKUP(A202,[4]库存使用数据!$A:$B,2,0),0)+IFERROR(VLOOKUP(A202,[5]库存使用数据!$A:$B,2,0),0)</f>
        <v>0</v>
      </c>
      <c r="C202" s="1">
        <f ca="1">IFERROR(VLOOKUP($A202,[1]库存使用数据!$A:$C,3,0),0)+IFERROR(VLOOKUP($A202,[2]库存使用数据!$A:$C,3,0),0)+IFERROR(VLOOKUP($A202,[3]库存使用数据!$A:$C,3,0),0)+IFERROR(VLOOKUP($A202,[4]库存使用数据!$A:$C,3,0),0)+IFERROR(VLOOKUP($A202,[5]库存使用数据!$A:$C,3,0),0)</f>
        <v>0</v>
      </c>
      <c r="D202" s="1">
        <f ca="1">IFERROR(VLOOKUP($A202,[1]库存使用数据!$A:$D,4,0),0)+IFERROR(VLOOKUP($A202,[2]库存使用数据!$A:$D,4,0),0)+公式!$B$1*IFERROR(VLOOKUP($A202,[3]库存使用数据!$A:$D,4,0),0)+IFERROR(VLOOKUP($A202,[4]库存使用数据!$A:$D,4,0),0)+IFERROR(VLOOKUP($A202,[5]库存使用数据!$A:$D,4,0),0)</f>
        <v>0</v>
      </c>
      <c r="E202" s="1">
        <f ca="1">IFERROR(VLOOKUP($A202,[1]库存使用数据!$A:$E,5,0),0)+IFERROR(VLOOKUP($A202,[2]库存使用数据!$A:$E,5,0),0)+IFERROR(VLOOKUP($A202,[3]库存使用数据!$A:$E,5,0),0)+IFERROR(VLOOKUP($A202,[4]库存使用数据!$A:$E,5,0),0)+IFERROR(VLOOKUP($A202,[5]库存使用数据!$A:$E,5,0),0)</f>
        <v>34158</v>
      </c>
      <c r="F202" s="1">
        <f ca="1">IFERROR(VLOOKUP($A202,[1]库存使用数据!$A:$F,6,0),0)+IFERROR(VLOOKUP($A202,[2]库存使用数据!$A:$F,6,0),0)+IFERROR(VLOOKUP($A202,[4]库存使用数据!$A:$F,6,0),0)+IFERROR(VLOOKUP($A202,[3]库存使用数据!$A:$F,6,0),0)+IFERROR(VLOOKUP($A202,[5]库存使用数据!$A:$F,6,0),0)</f>
        <v>76</v>
      </c>
      <c r="G202" s="1">
        <f ca="1">IFERROR(VLOOKUP($A202,[1]库存使用数据!$A:$G,7,0),0)+IFERROR(VLOOKUP($A202,[2]库存使用数据!$A:$G,7,0),0)+公式!$B$14*IFERROR(VLOOKUP($A202,[3]库存使用数据!$A:$G,7,0),0)+IFERROR(VLOOKUP($A202,[4]库存使用数据!$A:$G,7,0),0)+IFERROR(VLOOKUP($A202,[5]库存使用数据!$A:$G,7,0),0)</f>
        <v>10.42</v>
      </c>
      <c r="H202" s="1">
        <f ca="1">IFERROR(VLOOKUP($A202,[1]库存使用数据!$A:$H,8,0),0)+IFERROR(VLOOKUP($A202,[2]库存使用数据!$A:$H,8,0),0)+IFERROR(VLOOKUP($A202,[3]库存使用数据!$A:$H,8,0),0)+IFERROR(VLOOKUP($A202,[4]库存使用数据!$A:$H,8,0),0)+IFERROR(VLOOKUP($A202,[5]库存使用数据!$A:$H,8,0),0)</f>
        <v>5646</v>
      </c>
      <c r="I202" s="1">
        <f ca="1">IFERROR(VLOOKUP($A202,[1]库存使用数据!$A:$I,9,0),0)+IFERROR(VLOOKUP($A202,[2]库存使用数据!$A:$I,9,0),0)+IFERROR(VLOOKUP($A202,[3]库存使用数据!$A:$I,9,0),0)+IFERROR(VLOOKUP($A202,[4]库存使用数据!$A:$I,9,0),0)+IFERROR(VLOOKUP($A202,[5]库存使用数据!$A:$I,9,0),0)</f>
        <v>20</v>
      </c>
      <c r="J202" s="1">
        <f ca="1">IFERROR(VLOOKUP($A202,[1]库存使用数据!$A:$J,10,0),0)+IFERROR(VLOOKUP($A202,[2]库存使用数据!$A:$J,10,0),0)+公式!$B$14*IFERROR(VLOOKUP($A202,[3]库存使用数据!$A:$J,10,0),0)+IFERROR(VLOOKUP($A202,[4]库存使用数据!$A:$J,10,0),0)+IFERROR(VLOOKUP($A202,[5]库存使用数据!$A:$J,10,0),0)</f>
        <v>2.43</v>
      </c>
      <c r="K202" s="1">
        <f ca="1">IFERROR(VLOOKUP($A202,[1]库存使用数据!$A:$K,11,0),0)+IFERROR(VLOOKUP($A202,[2]库存使用数据!$A:$K,11,0),0)+IFERROR(VLOOKUP($A202,[3]库存使用数据!$A:$K,11,0),0)+IFERROR(VLOOKUP($A202,[4]库存使用数据!$A:$K,11,0),0)+IFERROR(VLOOKUP($A202,[5]库存使用数据!$A:$K,11,0),0)</f>
        <v>3141</v>
      </c>
      <c r="L202" s="1">
        <f ca="1">IFERROR(VLOOKUP($A202,[1]库存使用数据!$A:$L,12,0),0)+IFERROR(VLOOKUP($A202,[2]库存使用数据!$A:$L,12,0),0)+IFERROR(VLOOKUP($A202,[3]库存使用数据!$A:$L,12,0),0)+IFERROR(VLOOKUP($A202,[4]库存使用数据!$A:$L,12,0),0)+IFERROR(VLOOKUP($A202,[5]库存使用数据!$A:$L,12,0),0)</f>
        <v>14</v>
      </c>
      <c r="M202" s="1">
        <f ca="1">IFERROR(VLOOKUP($A202,[1]库存使用数据!$A:$M,13,0),0)+IFERROR(VLOOKUP($A202,[2]库存使用数据!$A:$M,13,0),0)+公式!$B$14*IFERROR(VLOOKUP($A202,[3]库存使用数据!$A:$M,13,0),0)+IFERROR(VLOOKUP($A202,[4]库存使用数据!$A:$M,13,0),0)+IFERROR(VLOOKUP($A202,[5]库存使用数据!$A:$M,13,0),0)</f>
        <v>1.91</v>
      </c>
    </row>
    <row r="203" spans="1:13">
      <c r="A203" s="5" t="s">
        <v>208</v>
      </c>
      <c r="B203" s="2">
        <f ca="1">IFERROR(VLOOKUP(A203,[1]库存使用数据!$A:$B,2,0),0)+IFERROR(VLOOKUP(A203,[2]库存使用数据!$A:$B,2,0),0)+IFERROR(VLOOKUP(,[3]库存使用数据!$A:$B,2,0),0)+IFERROR(VLOOKUP(A203,[4]库存使用数据!$A:$B,2,0),0)+IFERROR(VLOOKUP(A203,[5]库存使用数据!$A:$B,2,0),0)</f>
        <v>0</v>
      </c>
      <c r="C203" s="1">
        <f ca="1">IFERROR(VLOOKUP($A203,[1]库存使用数据!$A:$C,3,0),0)+IFERROR(VLOOKUP($A203,[2]库存使用数据!$A:$C,3,0),0)+IFERROR(VLOOKUP($A203,[3]库存使用数据!$A:$C,3,0),0)+IFERROR(VLOOKUP($A203,[4]库存使用数据!$A:$C,3,0),0)+IFERROR(VLOOKUP($A203,[5]库存使用数据!$A:$C,3,0),0)</f>
        <v>0</v>
      </c>
      <c r="D203" s="1">
        <f ca="1">IFERROR(VLOOKUP($A203,[1]库存使用数据!$A:$D,4,0),0)+IFERROR(VLOOKUP($A203,[2]库存使用数据!$A:$D,4,0),0)+公式!$B$1*IFERROR(VLOOKUP($A203,[3]库存使用数据!$A:$D,4,0),0)+IFERROR(VLOOKUP($A203,[4]库存使用数据!$A:$D,4,0),0)+IFERROR(VLOOKUP($A203,[5]库存使用数据!$A:$D,4,0),0)</f>
        <v>0</v>
      </c>
      <c r="E203" s="1">
        <f ca="1">IFERROR(VLOOKUP($A203,[1]库存使用数据!$A:$E,5,0),0)+IFERROR(VLOOKUP($A203,[2]库存使用数据!$A:$E,5,0),0)+IFERROR(VLOOKUP($A203,[3]库存使用数据!$A:$E,5,0),0)+IFERROR(VLOOKUP($A203,[4]库存使用数据!$A:$E,5,0),0)+IFERROR(VLOOKUP($A203,[5]库存使用数据!$A:$E,5,0),0)</f>
        <v>852</v>
      </c>
      <c r="F203" s="1">
        <f ca="1">IFERROR(VLOOKUP($A203,[1]库存使用数据!$A:$F,6,0),0)+IFERROR(VLOOKUP($A203,[2]库存使用数据!$A:$F,6,0),0)+IFERROR(VLOOKUP($A203,[4]库存使用数据!$A:$F,6,0),0)+IFERROR(VLOOKUP($A203,[3]库存使用数据!$A:$F,6,0),0)+IFERROR(VLOOKUP($A203,[5]库存使用数据!$A:$F,6,0),0)</f>
        <v>8</v>
      </c>
      <c r="G203" s="1">
        <f ca="1">IFERROR(VLOOKUP($A203,[1]库存使用数据!$A:$G,7,0),0)+IFERROR(VLOOKUP($A203,[2]库存使用数据!$A:$G,7,0),0)+公式!$B$14*IFERROR(VLOOKUP($A203,[3]库存使用数据!$A:$G,7,0),0)+IFERROR(VLOOKUP($A203,[4]库存使用数据!$A:$G,7,0),0)+IFERROR(VLOOKUP($A203,[5]库存使用数据!$A:$G,7,0),0)</f>
        <v>1.3</v>
      </c>
      <c r="H203" s="1">
        <f ca="1">IFERROR(VLOOKUP($A203,[1]库存使用数据!$A:$H,8,0),0)+IFERROR(VLOOKUP($A203,[2]库存使用数据!$A:$H,8,0),0)+IFERROR(VLOOKUP($A203,[3]库存使用数据!$A:$H,8,0),0)+IFERROR(VLOOKUP($A203,[4]库存使用数据!$A:$H,8,0),0)+IFERROR(VLOOKUP($A203,[5]库存使用数据!$A:$H,8,0),0)</f>
        <v>4310</v>
      </c>
      <c r="I203" s="1">
        <f ca="1">IFERROR(VLOOKUP($A203,[1]库存使用数据!$A:$I,9,0),0)+IFERROR(VLOOKUP($A203,[2]库存使用数据!$A:$I,9,0),0)+IFERROR(VLOOKUP($A203,[3]库存使用数据!$A:$I,9,0),0)+IFERROR(VLOOKUP($A203,[4]库存使用数据!$A:$I,9,0),0)+IFERROR(VLOOKUP($A203,[5]库存使用数据!$A:$I,9,0),0)</f>
        <v>11</v>
      </c>
      <c r="J203" s="1">
        <f ca="1">IFERROR(VLOOKUP($A203,[1]库存使用数据!$A:$J,10,0),0)+IFERROR(VLOOKUP($A203,[2]库存使用数据!$A:$J,10,0),0)+公式!$B$14*IFERROR(VLOOKUP($A203,[3]库存使用数据!$A:$J,10,0),0)+IFERROR(VLOOKUP($A203,[4]库存使用数据!$A:$J,10,0),0)+IFERROR(VLOOKUP($A203,[5]库存使用数据!$A:$J,10,0),0)</f>
        <v>1.48</v>
      </c>
      <c r="K203" s="1">
        <f ca="1">IFERROR(VLOOKUP($A203,[1]库存使用数据!$A:$K,11,0),0)+IFERROR(VLOOKUP($A203,[2]库存使用数据!$A:$K,11,0),0)+IFERROR(VLOOKUP($A203,[3]库存使用数据!$A:$K,11,0),0)+IFERROR(VLOOKUP($A203,[4]库存使用数据!$A:$K,11,0),0)+IFERROR(VLOOKUP($A203,[5]库存使用数据!$A:$K,11,0),0)</f>
        <v>30322</v>
      </c>
      <c r="L203" s="1">
        <f ca="1">IFERROR(VLOOKUP($A203,[1]库存使用数据!$A:$L,12,0),0)+IFERROR(VLOOKUP($A203,[2]库存使用数据!$A:$L,12,0),0)+IFERROR(VLOOKUP($A203,[3]库存使用数据!$A:$L,12,0),0)+IFERROR(VLOOKUP($A203,[4]库存使用数据!$A:$L,12,0),0)+IFERROR(VLOOKUP($A203,[5]库存使用数据!$A:$L,12,0),0)</f>
        <v>48</v>
      </c>
      <c r="M203" s="1">
        <f ca="1">IFERROR(VLOOKUP($A203,[1]库存使用数据!$A:$M,13,0),0)+IFERROR(VLOOKUP($A203,[2]库存使用数据!$A:$M,13,0),0)+公式!$B$14*IFERROR(VLOOKUP($A203,[3]库存使用数据!$A:$M,13,0),0)+IFERROR(VLOOKUP($A203,[4]库存使用数据!$A:$M,13,0),0)+IFERROR(VLOOKUP($A203,[5]库存使用数据!$A:$M,13,0),0)</f>
        <v>5.94</v>
      </c>
    </row>
    <row r="204" spans="1:13">
      <c r="A204" s="5" t="s">
        <v>209</v>
      </c>
      <c r="B204" s="2">
        <f ca="1">IFERROR(VLOOKUP(A204,[1]库存使用数据!$A:$B,2,0),0)+IFERROR(VLOOKUP(A204,[2]库存使用数据!$A:$B,2,0),0)+IFERROR(VLOOKUP(,[3]库存使用数据!$A:$B,2,0),0)+IFERROR(VLOOKUP(A204,[4]库存使用数据!$A:$B,2,0),0)+IFERROR(VLOOKUP(A204,[5]库存使用数据!$A:$B,2,0),0)</f>
        <v>0</v>
      </c>
      <c r="C204" s="1">
        <f ca="1">IFERROR(VLOOKUP($A204,[1]库存使用数据!$A:$C,3,0),0)+IFERROR(VLOOKUP($A204,[2]库存使用数据!$A:$C,3,0),0)+IFERROR(VLOOKUP($A204,[3]库存使用数据!$A:$C,3,0),0)+IFERROR(VLOOKUP($A204,[4]库存使用数据!$A:$C,3,0),0)+IFERROR(VLOOKUP($A204,[5]库存使用数据!$A:$C,3,0),0)</f>
        <v>0</v>
      </c>
      <c r="D204" s="1">
        <f ca="1">IFERROR(VLOOKUP($A204,[1]库存使用数据!$A:$D,4,0),0)+IFERROR(VLOOKUP($A204,[2]库存使用数据!$A:$D,4,0),0)+公式!$B$1*IFERROR(VLOOKUP($A204,[3]库存使用数据!$A:$D,4,0),0)+IFERROR(VLOOKUP($A204,[4]库存使用数据!$A:$D,4,0),0)+IFERROR(VLOOKUP($A204,[5]库存使用数据!$A:$D,4,0),0)</f>
        <v>0</v>
      </c>
      <c r="E204" s="1">
        <f ca="1">IFERROR(VLOOKUP($A204,[1]库存使用数据!$A:$E,5,0),0)+IFERROR(VLOOKUP($A204,[2]库存使用数据!$A:$E,5,0),0)+IFERROR(VLOOKUP($A204,[3]库存使用数据!$A:$E,5,0),0)+IFERROR(VLOOKUP($A204,[4]库存使用数据!$A:$E,5,0),0)+IFERROR(VLOOKUP($A204,[5]库存使用数据!$A:$E,5,0),0)</f>
        <v>51136</v>
      </c>
      <c r="F204" s="1">
        <f ca="1">IFERROR(VLOOKUP($A204,[1]库存使用数据!$A:$F,6,0),0)+IFERROR(VLOOKUP($A204,[2]库存使用数据!$A:$F,6,0),0)+IFERROR(VLOOKUP($A204,[4]库存使用数据!$A:$F,6,0),0)+IFERROR(VLOOKUP($A204,[3]库存使用数据!$A:$F,6,0),0)+IFERROR(VLOOKUP($A204,[5]库存使用数据!$A:$F,6,0),0)</f>
        <v>190</v>
      </c>
      <c r="G204" s="1">
        <f ca="1">IFERROR(VLOOKUP($A204,[1]库存使用数据!$A:$G,7,0),0)+IFERROR(VLOOKUP($A204,[2]库存使用数据!$A:$G,7,0),0)+公式!$B$14*IFERROR(VLOOKUP($A204,[3]库存使用数据!$A:$G,7,0),0)+IFERROR(VLOOKUP($A204,[4]库存使用数据!$A:$G,7,0),0)+IFERROR(VLOOKUP($A204,[5]库存使用数据!$A:$G,7,0),0)</f>
        <v>28.54</v>
      </c>
      <c r="H204" s="1">
        <f ca="1">IFERROR(VLOOKUP($A204,[1]库存使用数据!$A:$H,8,0),0)+IFERROR(VLOOKUP($A204,[2]库存使用数据!$A:$H,8,0),0)+IFERROR(VLOOKUP($A204,[3]库存使用数据!$A:$H,8,0),0)+IFERROR(VLOOKUP($A204,[4]库存使用数据!$A:$H,8,0),0)+IFERROR(VLOOKUP($A204,[5]库存使用数据!$A:$H,8,0),0)</f>
        <v>4197</v>
      </c>
      <c r="I204" s="1">
        <f ca="1">IFERROR(VLOOKUP($A204,[1]库存使用数据!$A:$I,9,0),0)+IFERROR(VLOOKUP($A204,[2]库存使用数据!$A:$I,9,0),0)+IFERROR(VLOOKUP($A204,[3]库存使用数据!$A:$I,9,0),0)+IFERROR(VLOOKUP($A204,[4]库存使用数据!$A:$I,9,0),0)+IFERROR(VLOOKUP($A204,[5]库存使用数据!$A:$I,9,0),0)</f>
        <v>30</v>
      </c>
      <c r="J204" s="1">
        <f ca="1">IFERROR(VLOOKUP($A204,[1]库存使用数据!$A:$J,10,0),0)+IFERROR(VLOOKUP($A204,[2]库存使用数据!$A:$J,10,0),0)+公式!$B$14*IFERROR(VLOOKUP($A204,[3]库存使用数据!$A:$J,10,0),0)+IFERROR(VLOOKUP($A204,[4]库存使用数据!$A:$J,10,0),0)+IFERROR(VLOOKUP($A204,[5]库存使用数据!$A:$J,10,0),0)</f>
        <v>4.77</v>
      </c>
      <c r="K204" s="1">
        <f ca="1">IFERROR(VLOOKUP($A204,[1]库存使用数据!$A:$K,11,0),0)+IFERROR(VLOOKUP($A204,[2]库存使用数据!$A:$K,11,0),0)+IFERROR(VLOOKUP($A204,[3]库存使用数据!$A:$K,11,0),0)+IFERROR(VLOOKUP($A204,[4]库存使用数据!$A:$K,11,0),0)+IFERROR(VLOOKUP($A204,[5]库存使用数据!$A:$K,11,0),0)</f>
        <v>2134</v>
      </c>
      <c r="L204" s="1">
        <f ca="1">IFERROR(VLOOKUP($A204,[1]库存使用数据!$A:$L,12,0),0)+IFERROR(VLOOKUP($A204,[2]库存使用数据!$A:$L,12,0),0)+IFERROR(VLOOKUP($A204,[3]库存使用数据!$A:$L,12,0),0)+IFERROR(VLOOKUP($A204,[4]库存使用数据!$A:$L,12,0),0)+IFERROR(VLOOKUP($A204,[5]库存使用数据!$A:$L,12,0),0)</f>
        <v>20</v>
      </c>
      <c r="M204" s="1">
        <f ca="1">IFERROR(VLOOKUP($A204,[1]库存使用数据!$A:$M,13,0),0)+IFERROR(VLOOKUP($A204,[2]库存使用数据!$A:$M,13,0),0)+公式!$B$14*IFERROR(VLOOKUP($A204,[3]库存使用数据!$A:$M,13,0),0)+IFERROR(VLOOKUP($A204,[4]库存使用数据!$A:$M,13,0),0)+IFERROR(VLOOKUP($A204,[5]库存使用数据!$A:$M,13,0),0)</f>
        <v>2.96</v>
      </c>
    </row>
    <row r="205" spans="1:13">
      <c r="A205" s="5" t="s">
        <v>210</v>
      </c>
      <c r="B205" s="2">
        <f ca="1">IFERROR(VLOOKUP(A205,[1]库存使用数据!$A:$B,2,0),0)+IFERROR(VLOOKUP(A205,[2]库存使用数据!$A:$B,2,0),0)+IFERROR(VLOOKUP(,[3]库存使用数据!$A:$B,2,0),0)+IFERROR(VLOOKUP(A205,[4]库存使用数据!$A:$B,2,0),0)+IFERROR(VLOOKUP(A205,[5]库存使用数据!$A:$B,2,0),0)</f>
        <v>4</v>
      </c>
      <c r="C205" s="1">
        <f ca="1">IFERROR(VLOOKUP($A205,[1]库存使用数据!$A:$C,3,0),0)+IFERROR(VLOOKUP($A205,[2]库存使用数据!$A:$C,3,0),0)+IFERROR(VLOOKUP($A205,[3]库存使用数据!$A:$C,3,0),0)+IFERROR(VLOOKUP($A205,[4]库存使用数据!$A:$C,3,0),0)+IFERROR(VLOOKUP($A205,[5]库存使用数据!$A:$C,3,0),0)</f>
        <v>0</v>
      </c>
      <c r="D205" s="1">
        <f ca="1">IFERROR(VLOOKUP($A205,[1]库存使用数据!$A:$D,4,0),0)+IFERROR(VLOOKUP($A205,[2]库存使用数据!$A:$D,4,0),0)+公式!$B$1*IFERROR(VLOOKUP($A205,[3]库存使用数据!$A:$D,4,0),0)+IFERROR(VLOOKUP($A205,[4]库存使用数据!$A:$D,4,0),0)+IFERROR(VLOOKUP($A205,[5]库存使用数据!$A:$D,4,0),0)</f>
        <v>0</v>
      </c>
      <c r="E205" s="1">
        <f ca="1">IFERROR(VLOOKUP($A205,[1]库存使用数据!$A:$E,5,0),0)+IFERROR(VLOOKUP($A205,[2]库存使用数据!$A:$E,5,0),0)+IFERROR(VLOOKUP($A205,[3]库存使用数据!$A:$E,5,0),0)+IFERROR(VLOOKUP($A205,[4]库存使用数据!$A:$E,5,0),0)+IFERROR(VLOOKUP($A205,[5]库存使用数据!$A:$E,5,0),0)</f>
        <v>218</v>
      </c>
      <c r="F205" s="1">
        <f ca="1">IFERROR(VLOOKUP($A205,[1]库存使用数据!$A:$F,6,0),0)+IFERROR(VLOOKUP($A205,[2]库存使用数据!$A:$F,6,0),0)+IFERROR(VLOOKUP($A205,[4]库存使用数据!$A:$F,6,0),0)+IFERROR(VLOOKUP($A205,[3]库存使用数据!$A:$F,6,0),0)+IFERROR(VLOOKUP($A205,[5]库存使用数据!$A:$F,6,0),0)</f>
        <v>2</v>
      </c>
      <c r="G205" s="1">
        <f ca="1">IFERROR(VLOOKUP($A205,[1]库存使用数据!$A:$G,7,0),0)+IFERROR(VLOOKUP($A205,[2]库存使用数据!$A:$G,7,0),0)+公式!$B$14*IFERROR(VLOOKUP($A205,[3]库存使用数据!$A:$G,7,0),0)+IFERROR(VLOOKUP($A205,[4]库存使用数据!$A:$G,7,0),0)+IFERROR(VLOOKUP($A205,[5]库存使用数据!$A:$G,7,0),0)</f>
        <v>0.18</v>
      </c>
      <c r="H205" s="1">
        <f ca="1">IFERROR(VLOOKUP($A205,[1]库存使用数据!$A:$H,8,0),0)+IFERROR(VLOOKUP($A205,[2]库存使用数据!$A:$H,8,0),0)+IFERROR(VLOOKUP($A205,[3]库存使用数据!$A:$H,8,0),0)+IFERROR(VLOOKUP($A205,[4]库存使用数据!$A:$H,8,0),0)+IFERROR(VLOOKUP($A205,[5]库存使用数据!$A:$H,8,0),0)</f>
        <v>17654</v>
      </c>
      <c r="I205" s="1">
        <f ca="1">IFERROR(VLOOKUP($A205,[1]库存使用数据!$A:$I,9,0),0)+IFERROR(VLOOKUP($A205,[2]库存使用数据!$A:$I,9,0),0)+IFERROR(VLOOKUP($A205,[3]库存使用数据!$A:$I,9,0),0)+IFERROR(VLOOKUP($A205,[4]库存使用数据!$A:$I,9,0),0)+IFERROR(VLOOKUP($A205,[5]库存使用数据!$A:$I,9,0),0)</f>
        <v>142</v>
      </c>
      <c r="J205" s="1">
        <f ca="1">IFERROR(VLOOKUP($A205,[1]库存使用数据!$A:$J,10,0),0)+IFERROR(VLOOKUP($A205,[2]库存使用数据!$A:$J,10,0),0)+公式!$B$14*IFERROR(VLOOKUP($A205,[3]库存使用数据!$A:$J,10,0),0)+IFERROR(VLOOKUP($A205,[4]库存使用数据!$A:$J,10,0),0)+IFERROR(VLOOKUP($A205,[5]库存使用数据!$A:$J,10,0),0)</f>
        <v>21.06</v>
      </c>
      <c r="K205" s="1">
        <f ca="1">IFERROR(VLOOKUP($A205,[1]库存使用数据!$A:$K,11,0),0)+IFERROR(VLOOKUP($A205,[2]库存使用数据!$A:$K,11,0),0)+IFERROR(VLOOKUP($A205,[3]库存使用数据!$A:$K,11,0),0)+IFERROR(VLOOKUP($A205,[4]库存使用数据!$A:$K,11,0),0)+IFERROR(VLOOKUP($A205,[5]库存使用数据!$A:$K,11,0),0)</f>
        <v>18174</v>
      </c>
      <c r="L205" s="1">
        <f ca="1">IFERROR(VLOOKUP($A205,[1]库存使用数据!$A:$L,12,0),0)+IFERROR(VLOOKUP($A205,[2]库存使用数据!$A:$L,12,0),0)+IFERROR(VLOOKUP($A205,[3]库存使用数据!$A:$L,12,0),0)+IFERROR(VLOOKUP($A205,[4]库存使用数据!$A:$L,12,0),0)+IFERROR(VLOOKUP($A205,[5]库存使用数据!$A:$L,12,0),0)</f>
        <v>185</v>
      </c>
      <c r="M205" s="1">
        <f ca="1">IFERROR(VLOOKUP($A205,[1]库存使用数据!$A:$M,13,0),0)+IFERROR(VLOOKUP($A205,[2]库存使用数据!$A:$M,13,0),0)+公式!$B$14*IFERROR(VLOOKUP($A205,[3]库存使用数据!$A:$M,13,0),0)+IFERROR(VLOOKUP($A205,[4]库存使用数据!$A:$M,13,0),0)+IFERROR(VLOOKUP($A205,[5]库存使用数据!$A:$M,13,0),0)</f>
        <v>30.35</v>
      </c>
    </row>
    <row r="206" spans="1:13">
      <c r="A206" s="5" t="s">
        <v>211</v>
      </c>
      <c r="B206" s="2">
        <f ca="1">IFERROR(VLOOKUP(A206,[1]库存使用数据!$A:$B,2,0),0)+IFERROR(VLOOKUP(A206,[2]库存使用数据!$A:$B,2,0),0)+IFERROR(VLOOKUP(,[3]库存使用数据!$A:$B,2,0),0)+IFERROR(VLOOKUP(A206,[4]库存使用数据!$A:$B,2,0),0)+IFERROR(VLOOKUP(A206,[5]库存使用数据!$A:$B,2,0),0)</f>
        <v>0</v>
      </c>
      <c r="C206" s="1">
        <f ca="1">IFERROR(VLOOKUP($A206,[1]库存使用数据!$A:$C,3,0),0)+IFERROR(VLOOKUP($A206,[2]库存使用数据!$A:$C,3,0),0)+IFERROR(VLOOKUP($A206,[3]库存使用数据!$A:$C,3,0),0)+IFERROR(VLOOKUP($A206,[4]库存使用数据!$A:$C,3,0),0)+IFERROR(VLOOKUP($A206,[5]库存使用数据!$A:$C,3,0),0)</f>
        <v>0</v>
      </c>
      <c r="D206" s="1">
        <f ca="1">IFERROR(VLOOKUP($A206,[1]库存使用数据!$A:$D,4,0),0)+IFERROR(VLOOKUP($A206,[2]库存使用数据!$A:$D,4,0),0)+公式!$B$1*IFERROR(VLOOKUP($A206,[3]库存使用数据!$A:$D,4,0),0)+IFERROR(VLOOKUP($A206,[4]库存使用数据!$A:$D,4,0),0)+IFERROR(VLOOKUP($A206,[5]库存使用数据!$A:$D,4,0),0)</f>
        <v>0</v>
      </c>
      <c r="E206" s="1">
        <f ca="1">IFERROR(VLOOKUP($A206,[1]库存使用数据!$A:$E,5,0),0)+IFERROR(VLOOKUP($A206,[2]库存使用数据!$A:$E,5,0),0)+IFERROR(VLOOKUP($A206,[3]库存使用数据!$A:$E,5,0),0)+IFERROR(VLOOKUP($A206,[4]库存使用数据!$A:$E,5,0),0)+IFERROR(VLOOKUP($A206,[5]库存使用数据!$A:$E,5,0),0)</f>
        <v>5440</v>
      </c>
      <c r="F206" s="1">
        <f ca="1">IFERROR(VLOOKUP($A206,[1]库存使用数据!$A:$F,6,0),0)+IFERROR(VLOOKUP($A206,[2]库存使用数据!$A:$F,6,0),0)+IFERROR(VLOOKUP($A206,[4]库存使用数据!$A:$F,6,0),0)+IFERROR(VLOOKUP($A206,[3]库存使用数据!$A:$F,6,0),0)+IFERROR(VLOOKUP($A206,[5]库存使用数据!$A:$F,6,0),0)</f>
        <v>36</v>
      </c>
      <c r="G206" s="1">
        <f ca="1">IFERROR(VLOOKUP($A206,[1]库存使用数据!$A:$G,7,0),0)+IFERROR(VLOOKUP($A206,[2]库存使用数据!$A:$G,7,0),0)+公式!$B$14*IFERROR(VLOOKUP($A206,[3]库存使用数据!$A:$G,7,0),0)+IFERROR(VLOOKUP($A206,[4]库存使用数据!$A:$G,7,0),0)+IFERROR(VLOOKUP($A206,[5]库存使用数据!$A:$G,7,0),0)</f>
        <v>6.04</v>
      </c>
      <c r="H206" s="1">
        <f ca="1">IFERROR(VLOOKUP($A206,[1]库存使用数据!$A:$H,8,0),0)+IFERROR(VLOOKUP($A206,[2]库存使用数据!$A:$H,8,0),0)+IFERROR(VLOOKUP($A206,[3]库存使用数据!$A:$H,8,0),0)+IFERROR(VLOOKUP($A206,[4]库存使用数据!$A:$H,8,0),0)+IFERROR(VLOOKUP($A206,[5]库存使用数据!$A:$H,8,0),0)</f>
        <v>16786</v>
      </c>
      <c r="I206" s="1">
        <f ca="1">IFERROR(VLOOKUP($A206,[1]库存使用数据!$A:$I,9,0),0)+IFERROR(VLOOKUP($A206,[2]库存使用数据!$A:$I,9,0),0)+IFERROR(VLOOKUP($A206,[3]库存使用数据!$A:$I,9,0),0)+IFERROR(VLOOKUP($A206,[4]库存使用数据!$A:$I,9,0),0)+IFERROR(VLOOKUP($A206,[5]库存使用数据!$A:$I,9,0),0)</f>
        <v>38</v>
      </c>
      <c r="J206" s="1">
        <f ca="1">IFERROR(VLOOKUP($A206,[1]库存使用数据!$A:$J,10,0),0)+IFERROR(VLOOKUP($A206,[2]库存使用数据!$A:$J,10,0),0)+公式!$B$14*IFERROR(VLOOKUP($A206,[3]库存使用数据!$A:$J,10,0),0)+IFERROR(VLOOKUP($A206,[4]库存使用数据!$A:$J,10,0),0)+IFERROR(VLOOKUP($A206,[5]库存使用数据!$A:$J,10,0),0)</f>
        <v>5.09</v>
      </c>
      <c r="K206" s="1">
        <f ca="1">IFERROR(VLOOKUP($A206,[1]库存使用数据!$A:$K,11,0),0)+IFERROR(VLOOKUP($A206,[2]库存使用数据!$A:$K,11,0),0)+IFERROR(VLOOKUP($A206,[3]库存使用数据!$A:$K,11,0),0)+IFERROR(VLOOKUP($A206,[4]库存使用数据!$A:$K,11,0),0)+IFERROR(VLOOKUP($A206,[5]库存使用数据!$A:$K,11,0),0)</f>
        <v>65917</v>
      </c>
      <c r="L206" s="1">
        <f ca="1">IFERROR(VLOOKUP($A206,[1]库存使用数据!$A:$L,12,0),0)+IFERROR(VLOOKUP($A206,[2]库存使用数据!$A:$L,12,0),0)+IFERROR(VLOOKUP($A206,[3]库存使用数据!$A:$L,12,0),0)+IFERROR(VLOOKUP($A206,[4]库存使用数据!$A:$L,12,0),0)+IFERROR(VLOOKUP($A206,[5]库存使用数据!$A:$L,12,0),0)</f>
        <v>155</v>
      </c>
      <c r="M206" s="1">
        <f ca="1">IFERROR(VLOOKUP($A206,[1]库存使用数据!$A:$M,13,0),0)+IFERROR(VLOOKUP($A206,[2]库存使用数据!$A:$M,13,0),0)+公式!$B$14*IFERROR(VLOOKUP($A206,[3]库存使用数据!$A:$M,13,0),0)+IFERROR(VLOOKUP($A206,[4]库存使用数据!$A:$M,13,0),0)+IFERROR(VLOOKUP($A206,[5]库存使用数据!$A:$M,13,0),0)</f>
        <v>22.06</v>
      </c>
    </row>
    <row r="207" spans="1:13">
      <c r="A207" s="5" t="s">
        <v>212</v>
      </c>
      <c r="B207" s="2">
        <f ca="1">IFERROR(VLOOKUP(A207,[1]库存使用数据!$A:$B,2,0),0)+IFERROR(VLOOKUP(A207,[2]库存使用数据!$A:$B,2,0),0)+IFERROR(VLOOKUP(,[3]库存使用数据!$A:$B,2,0),0)+IFERROR(VLOOKUP(A207,[4]库存使用数据!$A:$B,2,0),0)+IFERROR(VLOOKUP(A207,[5]库存使用数据!$A:$B,2,0),0)</f>
        <v>20396</v>
      </c>
      <c r="C207" s="1">
        <f ca="1">IFERROR(VLOOKUP($A207,[1]库存使用数据!$A:$C,3,0),0)+IFERROR(VLOOKUP($A207,[2]库存使用数据!$A:$C,3,0),0)+IFERROR(VLOOKUP($A207,[3]库存使用数据!$A:$C,3,0),0)+IFERROR(VLOOKUP($A207,[4]库存使用数据!$A:$C,3,0),0)+IFERROR(VLOOKUP($A207,[5]库存使用数据!$A:$C,3,0),0)</f>
        <v>126</v>
      </c>
      <c r="D207" s="1">
        <f ca="1">IFERROR(VLOOKUP($A207,[1]库存使用数据!$A:$D,4,0),0)+IFERROR(VLOOKUP($A207,[2]库存使用数据!$A:$D,4,0),0)+公式!$B$1*IFERROR(VLOOKUP($A207,[3]库存使用数据!$A:$D,4,0),0)+IFERROR(VLOOKUP($A207,[4]库存使用数据!$A:$D,4,0),0)+IFERROR(VLOOKUP($A207,[5]库存使用数据!$A:$D,4,0),0)</f>
        <v>19.55</v>
      </c>
      <c r="E207" s="1">
        <f ca="1">IFERROR(VLOOKUP($A207,[1]库存使用数据!$A:$E,5,0),0)+IFERROR(VLOOKUP($A207,[2]库存使用数据!$A:$E,5,0),0)+IFERROR(VLOOKUP($A207,[3]库存使用数据!$A:$E,5,0),0)+IFERROR(VLOOKUP($A207,[4]库存使用数据!$A:$E,5,0),0)+IFERROR(VLOOKUP($A207,[5]库存使用数据!$A:$E,5,0),0)</f>
        <v>66531</v>
      </c>
      <c r="F207" s="1">
        <f ca="1">IFERROR(VLOOKUP($A207,[1]库存使用数据!$A:$F,6,0),0)+IFERROR(VLOOKUP($A207,[2]库存使用数据!$A:$F,6,0),0)+IFERROR(VLOOKUP($A207,[4]库存使用数据!$A:$F,6,0),0)+IFERROR(VLOOKUP($A207,[3]库存使用数据!$A:$F,6,0),0)+IFERROR(VLOOKUP($A207,[5]库存使用数据!$A:$F,6,0),0)</f>
        <v>404</v>
      </c>
      <c r="G207" s="1">
        <f ca="1">IFERROR(VLOOKUP($A207,[1]库存使用数据!$A:$G,7,0),0)+IFERROR(VLOOKUP($A207,[2]库存使用数据!$A:$G,7,0),0)+公式!$B$14*IFERROR(VLOOKUP($A207,[3]库存使用数据!$A:$G,7,0),0)+IFERROR(VLOOKUP($A207,[4]库存使用数据!$A:$G,7,0),0)+IFERROR(VLOOKUP($A207,[5]库存使用数据!$A:$G,7,0),0)</f>
        <v>92.27</v>
      </c>
      <c r="H207" s="1">
        <f ca="1">IFERROR(VLOOKUP($A207,[1]库存使用数据!$A:$H,8,0),0)+IFERROR(VLOOKUP($A207,[2]库存使用数据!$A:$H,8,0),0)+IFERROR(VLOOKUP($A207,[3]库存使用数据!$A:$H,8,0),0)+IFERROR(VLOOKUP($A207,[4]库存使用数据!$A:$H,8,0),0)+IFERROR(VLOOKUP($A207,[5]库存使用数据!$A:$H,8,0),0)</f>
        <v>0</v>
      </c>
      <c r="I207" s="1">
        <f ca="1">IFERROR(VLOOKUP($A207,[1]库存使用数据!$A:$I,9,0),0)+IFERROR(VLOOKUP($A207,[2]库存使用数据!$A:$I,9,0),0)+IFERROR(VLOOKUP($A207,[3]库存使用数据!$A:$I,9,0),0)+IFERROR(VLOOKUP($A207,[4]库存使用数据!$A:$I,9,0),0)+IFERROR(VLOOKUP($A207,[5]库存使用数据!$A:$I,9,0),0)</f>
        <v>0</v>
      </c>
      <c r="J207" s="1">
        <f ca="1">IFERROR(VLOOKUP($A207,[1]库存使用数据!$A:$J,10,0),0)+IFERROR(VLOOKUP($A207,[2]库存使用数据!$A:$J,10,0),0)+公式!$B$14*IFERROR(VLOOKUP($A207,[3]库存使用数据!$A:$J,10,0),0)+IFERROR(VLOOKUP($A207,[4]库存使用数据!$A:$J,10,0),0)+IFERROR(VLOOKUP($A207,[5]库存使用数据!$A:$J,10,0),0)</f>
        <v>0</v>
      </c>
      <c r="K207" s="1">
        <f ca="1">IFERROR(VLOOKUP($A207,[1]库存使用数据!$A:$K,11,0),0)+IFERROR(VLOOKUP($A207,[2]库存使用数据!$A:$K,11,0),0)+IFERROR(VLOOKUP($A207,[3]库存使用数据!$A:$K,11,0),0)+IFERROR(VLOOKUP($A207,[4]库存使用数据!$A:$K,11,0),0)+IFERROR(VLOOKUP($A207,[5]库存使用数据!$A:$K,11,0),0)</f>
        <v>10218</v>
      </c>
      <c r="L207" s="1">
        <f ca="1">IFERROR(VLOOKUP($A207,[1]库存使用数据!$A:$L,12,0),0)+IFERROR(VLOOKUP($A207,[2]库存使用数据!$A:$L,12,0),0)+IFERROR(VLOOKUP($A207,[3]库存使用数据!$A:$L,12,0),0)+IFERROR(VLOOKUP($A207,[4]库存使用数据!$A:$L,12,0),0)+IFERROR(VLOOKUP($A207,[5]库存使用数据!$A:$L,12,0),0)</f>
        <v>55</v>
      </c>
      <c r="M207" s="1">
        <f ca="1">IFERROR(VLOOKUP($A207,[1]库存使用数据!$A:$M,13,0),0)+IFERROR(VLOOKUP($A207,[2]库存使用数据!$A:$M,13,0),0)+公式!$B$14*IFERROR(VLOOKUP($A207,[3]库存使用数据!$A:$M,13,0),0)+IFERROR(VLOOKUP($A207,[4]库存使用数据!$A:$M,13,0),0)+IFERROR(VLOOKUP($A207,[5]库存使用数据!$A:$M,13,0),0)</f>
        <v>12.77</v>
      </c>
    </row>
    <row r="208" spans="1:13">
      <c r="A208" s="5" t="s">
        <v>213</v>
      </c>
      <c r="B208" s="2">
        <f ca="1">IFERROR(VLOOKUP(A208,[1]库存使用数据!$A:$B,2,0),0)+IFERROR(VLOOKUP(A208,[2]库存使用数据!$A:$B,2,0),0)+IFERROR(VLOOKUP(,[3]库存使用数据!$A:$B,2,0),0)+IFERROR(VLOOKUP(A208,[4]库存使用数据!$A:$B,2,0),0)+IFERROR(VLOOKUP(A208,[5]库存使用数据!$A:$B,2,0),0)</f>
        <v>0</v>
      </c>
      <c r="C208" s="1">
        <f ca="1">IFERROR(VLOOKUP($A208,[1]库存使用数据!$A:$C,3,0),0)+IFERROR(VLOOKUP($A208,[2]库存使用数据!$A:$C,3,0),0)+IFERROR(VLOOKUP($A208,[3]库存使用数据!$A:$C,3,0),0)+IFERROR(VLOOKUP($A208,[4]库存使用数据!$A:$C,3,0),0)+IFERROR(VLOOKUP($A208,[5]库存使用数据!$A:$C,3,0),0)</f>
        <v>0</v>
      </c>
      <c r="D208" s="1">
        <f ca="1">IFERROR(VLOOKUP($A208,[1]库存使用数据!$A:$D,4,0),0)+IFERROR(VLOOKUP($A208,[2]库存使用数据!$A:$D,4,0),0)+公式!$B$1*IFERROR(VLOOKUP($A208,[3]库存使用数据!$A:$D,4,0),0)+IFERROR(VLOOKUP($A208,[4]库存使用数据!$A:$D,4,0),0)+IFERROR(VLOOKUP($A208,[5]库存使用数据!$A:$D,4,0),0)</f>
        <v>0</v>
      </c>
      <c r="E208" s="1">
        <f ca="1">IFERROR(VLOOKUP($A208,[1]库存使用数据!$A:$E,5,0),0)+IFERROR(VLOOKUP($A208,[2]库存使用数据!$A:$E,5,0),0)+IFERROR(VLOOKUP($A208,[3]库存使用数据!$A:$E,5,0),0)+IFERROR(VLOOKUP($A208,[4]库存使用数据!$A:$E,5,0),0)+IFERROR(VLOOKUP($A208,[5]库存使用数据!$A:$E,5,0),0)</f>
        <v>22580</v>
      </c>
      <c r="F208" s="1">
        <f ca="1">IFERROR(VLOOKUP($A208,[1]库存使用数据!$A:$F,6,0),0)+IFERROR(VLOOKUP($A208,[2]库存使用数据!$A:$F,6,0),0)+IFERROR(VLOOKUP($A208,[4]库存使用数据!$A:$F,6,0),0)+IFERROR(VLOOKUP($A208,[3]库存使用数据!$A:$F,6,0),0)+IFERROR(VLOOKUP($A208,[5]库存使用数据!$A:$F,6,0),0)</f>
        <v>58</v>
      </c>
      <c r="G208" s="1">
        <f ca="1">IFERROR(VLOOKUP($A208,[1]库存使用数据!$A:$G,7,0),0)+IFERROR(VLOOKUP($A208,[2]库存使用数据!$A:$G,7,0),0)+公式!$B$14*IFERROR(VLOOKUP($A208,[3]库存使用数据!$A:$G,7,0),0)+IFERROR(VLOOKUP($A208,[4]库存使用数据!$A:$G,7,0),0)+IFERROR(VLOOKUP($A208,[5]库存使用数据!$A:$G,7,0),0)</f>
        <v>11.86</v>
      </c>
      <c r="H208" s="1">
        <f ca="1">IFERROR(VLOOKUP($A208,[1]库存使用数据!$A:$H,8,0),0)+IFERROR(VLOOKUP($A208,[2]库存使用数据!$A:$H,8,0),0)+IFERROR(VLOOKUP($A208,[3]库存使用数据!$A:$H,8,0),0)+IFERROR(VLOOKUP($A208,[4]库存使用数据!$A:$H,8,0),0)+IFERROR(VLOOKUP($A208,[5]库存使用数据!$A:$H,8,0),0)</f>
        <v>497</v>
      </c>
      <c r="I208" s="1">
        <f ca="1">IFERROR(VLOOKUP($A208,[1]库存使用数据!$A:$I,9,0),0)+IFERROR(VLOOKUP($A208,[2]库存使用数据!$A:$I,9,0),0)+IFERROR(VLOOKUP($A208,[3]库存使用数据!$A:$I,9,0),0)+IFERROR(VLOOKUP($A208,[4]库存使用数据!$A:$I,9,0),0)+IFERROR(VLOOKUP($A208,[5]库存使用数据!$A:$I,9,0),0)</f>
        <v>9</v>
      </c>
      <c r="J208" s="1">
        <f ca="1">IFERROR(VLOOKUP($A208,[1]库存使用数据!$A:$J,10,0),0)+IFERROR(VLOOKUP($A208,[2]库存使用数据!$A:$J,10,0),0)+公式!$B$14*IFERROR(VLOOKUP($A208,[3]库存使用数据!$A:$J,10,0),0)+IFERROR(VLOOKUP($A208,[4]库存使用数据!$A:$J,10,0),0)+IFERROR(VLOOKUP($A208,[5]库存使用数据!$A:$J,10,0),0)</f>
        <v>2.18</v>
      </c>
      <c r="K208" s="1">
        <f ca="1">IFERROR(VLOOKUP($A208,[1]库存使用数据!$A:$K,11,0),0)+IFERROR(VLOOKUP($A208,[2]库存使用数据!$A:$K,11,0),0)+IFERROR(VLOOKUP($A208,[3]库存使用数据!$A:$K,11,0),0)+IFERROR(VLOOKUP($A208,[4]库存使用数据!$A:$K,11,0),0)+IFERROR(VLOOKUP($A208,[5]库存使用数据!$A:$K,11,0),0)</f>
        <v>5436</v>
      </c>
      <c r="L208" s="1">
        <f ca="1">IFERROR(VLOOKUP($A208,[1]库存使用数据!$A:$L,12,0),0)+IFERROR(VLOOKUP($A208,[2]库存使用数据!$A:$L,12,0),0)+IFERROR(VLOOKUP($A208,[3]库存使用数据!$A:$L,12,0),0)+IFERROR(VLOOKUP($A208,[4]库存使用数据!$A:$L,12,0),0)+IFERROR(VLOOKUP($A208,[5]库存使用数据!$A:$L,12,0),0)</f>
        <v>131</v>
      </c>
      <c r="M208" s="1">
        <f ca="1">IFERROR(VLOOKUP($A208,[1]库存使用数据!$A:$M,13,0),0)+IFERROR(VLOOKUP($A208,[2]库存使用数据!$A:$M,13,0),0)+公式!$B$14*IFERROR(VLOOKUP($A208,[3]库存使用数据!$A:$M,13,0),0)+IFERROR(VLOOKUP($A208,[4]库存使用数据!$A:$M,13,0),0)+IFERROR(VLOOKUP($A208,[5]库存使用数据!$A:$M,13,0),0)</f>
        <v>31.66</v>
      </c>
    </row>
    <row r="209" spans="1:13">
      <c r="A209" s="5" t="s">
        <v>214</v>
      </c>
      <c r="B209" s="2">
        <f ca="1">IFERROR(VLOOKUP(A209,[1]库存使用数据!$A:$B,2,0),0)+IFERROR(VLOOKUP(A209,[2]库存使用数据!$A:$B,2,0),0)+IFERROR(VLOOKUP(,[3]库存使用数据!$A:$B,2,0),0)+IFERROR(VLOOKUP(A209,[4]库存使用数据!$A:$B,2,0),0)+IFERROR(VLOOKUP(A209,[5]库存使用数据!$A:$B,2,0),0)</f>
        <v>0</v>
      </c>
      <c r="C209" s="1">
        <f ca="1">IFERROR(VLOOKUP($A209,[1]库存使用数据!$A:$C,3,0),0)+IFERROR(VLOOKUP($A209,[2]库存使用数据!$A:$C,3,0),0)+IFERROR(VLOOKUP($A209,[3]库存使用数据!$A:$C,3,0),0)+IFERROR(VLOOKUP($A209,[4]库存使用数据!$A:$C,3,0),0)+IFERROR(VLOOKUP($A209,[5]库存使用数据!$A:$C,3,0),0)</f>
        <v>0</v>
      </c>
      <c r="D209" s="1">
        <f ca="1">IFERROR(VLOOKUP($A209,[1]库存使用数据!$A:$D,4,0),0)+IFERROR(VLOOKUP($A209,[2]库存使用数据!$A:$D,4,0),0)+公式!$B$1*IFERROR(VLOOKUP($A209,[3]库存使用数据!$A:$D,4,0),0)+IFERROR(VLOOKUP($A209,[4]库存使用数据!$A:$D,4,0),0)+IFERROR(VLOOKUP($A209,[5]库存使用数据!$A:$D,4,0),0)</f>
        <v>0</v>
      </c>
      <c r="E209" s="1">
        <f ca="1">IFERROR(VLOOKUP($A209,[1]库存使用数据!$A:$E,5,0),0)+IFERROR(VLOOKUP($A209,[2]库存使用数据!$A:$E,5,0),0)+IFERROR(VLOOKUP($A209,[3]库存使用数据!$A:$E,5,0),0)+IFERROR(VLOOKUP($A209,[4]库存使用数据!$A:$E,5,0),0)+IFERROR(VLOOKUP($A209,[5]库存使用数据!$A:$E,5,0),0)</f>
        <v>35282</v>
      </c>
      <c r="F209" s="1">
        <f ca="1">IFERROR(VLOOKUP($A209,[1]库存使用数据!$A:$F,6,0),0)+IFERROR(VLOOKUP($A209,[2]库存使用数据!$A:$F,6,0),0)+IFERROR(VLOOKUP($A209,[4]库存使用数据!$A:$F,6,0),0)+IFERROR(VLOOKUP($A209,[3]库存使用数据!$A:$F,6,0),0)+IFERROR(VLOOKUP($A209,[5]库存使用数据!$A:$F,6,0),0)</f>
        <v>110</v>
      </c>
      <c r="G209" s="1">
        <f ca="1">IFERROR(VLOOKUP($A209,[1]库存使用数据!$A:$G,7,0),0)+IFERROR(VLOOKUP($A209,[2]库存使用数据!$A:$G,7,0),0)+公式!$B$14*IFERROR(VLOOKUP($A209,[3]库存使用数据!$A:$G,7,0),0)+IFERROR(VLOOKUP($A209,[4]库存使用数据!$A:$G,7,0),0)+IFERROR(VLOOKUP($A209,[5]库存使用数据!$A:$G,7,0),0)</f>
        <v>22.92</v>
      </c>
      <c r="H209" s="1">
        <f ca="1">IFERROR(VLOOKUP($A209,[1]库存使用数据!$A:$H,8,0),0)+IFERROR(VLOOKUP($A209,[2]库存使用数据!$A:$H,8,0),0)+IFERROR(VLOOKUP($A209,[3]库存使用数据!$A:$H,8,0),0)+IFERROR(VLOOKUP($A209,[4]库存使用数据!$A:$H,8,0),0)+IFERROR(VLOOKUP($A209,[5]库存使用数据!$A:$H,8,0),0)</f>
        <v>6063</v>
      </c>
      <c r="I209" s="1">
        <f ca="1">IFERROR(VLOOKUP($A209,[1]库存使用数据!$A:$I,9,0),0)+IFERROR(VLOOKUP($A209,[2]库存使用数据!$A:$I,9,0),0)+IFERROR(VLOOKUP($A209,[3]库存使用数据!$A:$I,9,0),0)+IFERROR(VLOOKUP($A209,[4]库存使用数据!$A:$I,9,0),0)+IFERROR(VLOOKUP($A209,[5]库存使用数据!$A:$I,9,0),0)</f>
        <v>42</v>
      </c>
      <c r="J209" s="1">
        <f ca="1">IFERROR(VLOOKUP($A209,[1]库存使用数据!$A:$J,10,0),0)+IFERROR(VLOOKUP($A209,[2]库存使用数据!$A:$J,10,0),0)+公式!$B$14*IFERROR(VLOOKUP($A209,[3]库存使用数据!$A:$J,10,0),0)+IFERROR(VLOOKUP($A209,[4]库存使用数据!$A:$J,10,0),0)+IFERROR(VLOOKUP($A209,[5]库存使用数据!$A:$J,10,0),0)</f>
        <v>8.63</v>
      </c>
      <c r="K209" s="1">
        <f ca="1">IFERROR(VLOOKUP($A209,[1]库存使用数据!$A:$K,11,0),0)+IFERROR(VLOOKUP($A209,[2]库存使用数据!$A:$K,11,0),0)+IFERROR(VLOOKUP($A209,[3]库存使用数据!$A:$K,11,0),0)+IFERROR(VLOOKUP($A209,[4]库存使用数据!$A:$K,11,0),0)+IFERROR(VLOOKUP($A209,[5]库存使用数据!$A:$K,11,0),0)</f>
        <v>33916</v>
      </c>
      <c r="L209" s="1">
        <f ca="1">IFERROR(VLOOKUP($A209,[1]库存使用数据!$A:$L,12,0),0)+IFERROR(VLOOKUP($A209,[2]库存使用数据!$A:$L,12,0),0)+IFERROR(VLOOKUP($A209,[3]库存使用数据!$A:$L,12,0),0)+IFERROR(VLOOKUP($A209,[4]库存使用数据!$A:$L,12,0),0)+IFERROR(VLOOKUP($A209,[5]库存使用数据!$A:$L,12,0),0)</f>
        <v>215</v>
      </c>
      <c r="M209" s="1">
        <f ca="1">IFERROR(VLOOKUP($A209,[1]库存使用数据!$A:$M,13,0),0)+IFERROR(VLOOKUP($A209,[2]库存使用数据!$A:$M,13,0),0)+公式!$B$14*IFERROR(VLOOKUP($A209,[3]库存使用数据!$A:$M,13,0),0)+IFERROR(VLOOKUP($A209,[4]库存使用数据!$A:$M,13,0),0)+IFERROR(VLOOKUP($A209,[5]库存使用数据!$A:$M,13,0),0)</f>
        <v>43.67</v>
      </c>
    </row>
    <row r="210" spans="1:13">
      <c r="A210" s="5" t="s">
        <v>215</v>
      </c>
      <c r="B210" s="2">
        <f ca="1">IFERROR(VLOOKUP(A210,[1]库存使用数据!$A:$B,2,0),0)+IFERROR(VLOOKUP(A210,[2]库存使用数据!$A:$B,2,0),0)+IFERROR(VLOOKUP(,[3]库存使用数据!$A:$B,2,0),0)+IFERROR(VLOOKUP(A210,[4]库存使用数据!$A:$B,2,0),0)+IFERROR(VLOOKUP(A210,[5]库存使用数据!$A:$B,2,0),0)</f>
        <v>8201</v>
      </c>
      <c r="C210" s="1">
        <f ca="1">IFERROR(VLOOKUP($A210,[1]库存使用数据!$A:$C,3,0),0)+IFERROR(VLOOKUP($A210,[2]库存使用数据!$A:$C,3,0),0)+IFERROR(VLOOKUP($A210,[3]库存使用数据!$A:$C,3,0),0)+IFERROR(VLOOKUP($A210,[4]库存使用数据!$A:$C,3,0),0)+IFERROR(VLOOKUP($A210,[5]库存使用数据!$A:$C,3,0),0)</f>
        <v>35</v>
      </c>
      <c r="D210" s="1">
        <f ca="1">IFERROR(VLOOKUP($A210,[1]库存使用数据!$A:$D,4,0),0)+IFERROR(VLOOKUP($A210,[2]库存使用数据!$A:$D,4,0),0)+公式!$B$1*IFERROR(VLOOKUP($A210,[3]库存使用数据!$A:$D,4,0),0)+IFERROR(VLOOKUP($A210,[4]库存使用数据!$A:$D,4,0),0)+IFERROR(VLOOKUP($A210,[5]库存使用数据!$A:$D,4,0),0)</f>
        <v>6.51</v>
      </c>
      <c r="E210" s="1">
        <f ca="1">IFERROR(VLOOKUP($A210,[1]库存使用数据!$A:$E,5,0),0)+IFERROR(VLOOKUP($A210,[2]库存使用数据!$A:$E,5,0),0)+IFERROR(VLOOKUP($A210,[3]库存使用数据!$A:$E,5,0),0)+IFERROR(VLOOKUP($A210,[4]库存使用数据!$A:$E,5,0),0)+IFERROR(VLOOKUP($A210,[5]库存使用数据!$A:$E,5,0),0)</f>
        <v>43390</v>
      </c>
      <c r="F210" s="1">
        <f ca="1">IFERROR(VLOOKUP($A210,[1]库存使用数据!$A:$F,6,0),0)+IFERROR(VLOOKUP($A210,[2]库存使用数据!$A:$F,6,0),0)+IFERROR(VLOOKUP($A210,[4]库存使用数据!$A:$F,6,0),0)+IFERROR(VLOOKUP($A210,[3]库存使用数据!$A:$F,6,0),0)+IFERROR(VLOOKUP($A210,[5]库存使用数据!$A:$F,6,0),0)</f>
        <v>168</v>
      </c>
      <c r="G210" s="1">
        <f ca="1">IFERROR(VLOOKUP($A210,[1]库存使用数据!$A:$G,7,0),0)+IFERROR(VLOOKUP($A210,[2]库存使用数据!$A:$G,7,0),0)+公式!$B$14*IFERROR(VLOOKUP($A210,[3]库存使用数据!$A:$G,7,0),0)+IFERROR(VLOOKUP($A210,[4]库存使用数据!$A:$G,7,0),0)+IFERROR(VLOOKUP($A210,[5]库存使用数据!$A:$G,7,0),0)</f>
        <v>38.27</v>
      </c>
      <c r="H210" s="1">
        <f ca="1">IFERROR(VLOOKUP($A210,[1]库存使用数据!$A:$H,8,0),0)+IFERROR(VLOOKUP($A210,[2]库存使用数据!$A:$H,8,0),0)+IFERROR(VLOOKUP($A210,[3]库存使用数据!$A:$H,8,0),0)+IFERROR(VLOOKUP($A210,[4]库存使用数据!$A:$H,8,0),0)+IFERROR(VLOOKUP($A210,[5]库存使用数据!$A:$H,8,0),0)</f>
        <v>2140</v>
      </c>
      <c r="I210" s="1">
        <f ca="1">IFERROR(VLOOKUP($A210,[1]库存使用数据!$A:$I,9,0),0)+IFERROR(VLOOKUP($A210,[2]库存使用数据!$A:$I,9,0),0)+IFERROR(VLOOKUP($A210,[3]库存使用数据!$A:$I,9,0),0)+IFERROR(VLOOKUP($A210,[4]库存使用数据!$A:$I,9,0),0)+IFERROR(VLOOKUP($A210,[5]库存使用数据!$A:$I,9,0),0)</f>
        <v>15</v>
      </c>
      <c r="J210" s="1">
        <f ca="1">IFERROR(VLOOKUP($A210,[1]库存使用数据!$A:$J,10,0),0)+IFERROR(VLOOKUP($A210,[2]库存使用数据!$A:$J,10,0),0)+公式!$B$14*IFERROR(VLOOKUP($A210,[3]库存使用数据!$A:$J,10,0),0)+IFERROR(VLOOKUP($A210,[4]库存使用数据!$A:$J,10,0),0)+IFERROR(VLOOKUP($A210,[5]库存使用数据!$A:$J,10,0),0)</f>
        <v>2.99</v>
      </c>
      <c r="K210" s="1">
        <f ca="1">IFERROR(VLOOKUP($A210,[1]库存使用数据!$A:$K,11,0),0)+IFERROR(VLOOKUP($A210,[2]库存使用数据!$A:$K,11,0),0)+IFERROR(VLOOKUP($A210,[3]库存使用数据!$A:$K,11,0),0)+IFERROR(VLOOKUP($A210,[4]库存使用数据!$A:$K,11,0),0)+IFERROR(VLOOKUP($A210,[5]库存使用数据!$A:$K,11,0),0)</f>
        <v>5631</v>
      </c>
      <c r="L210" s="1">
        <f ca="1">IFERROR(VLOOKUP($A210,[1]库存使用数据!$A:$L,12,0),0)+IFERROR(VLOOKUP($A210,[2]库存使用数据!$A:$L,12,0),0)+IFERROR(VLOOKUP($A210,[3]库存使用数据!$A:$L,12,0),0)+IFERROR(VLOOKUP($A210,[4]库存使用数据!$A:$L,12,0),0)+IFERROR(VLOOKUP($A210,[5]库存使用数据!$A:$L,12,0),0)</f>
        <v>38</v>
      </c>
      <c r="M210" s="1">
        <f ca="1">IFERROR(VLOOKUP($A210,[1]库存使用数据!$A:$M,13,0),0)+IFERROR(VLOOKUP($A210,[2]库存使用数据!$A:$M,13,0),0)+公式!$B$14*IFERROR(VLOOKUP($A210,[3]库存使用数据!$A:$M,13,0),0)+IFERROR(VLOOKUP($A210,[4]库存使用数据!$A:$M,13,0),0)+IFERROR(VLOOKUP($A210,[5]库存使用数据!$A:$M,13,0),0)</f>
        <v>6.99</v>
      </c>
    </row>
    <row r="211" spans="1:13">
      <c r="A211" s="5" t="s">
        <v>216</v>
      </c>
      <c r="B211" s="2">
        <f ca="1">IFERROR(VLOOKUP(A211,[1]库存使用数据!$A:$B,2,0),0)+IFERROR(VLOOKUP(A211,[2]库存使用数据!$A:$B,2,0),0)+IFERROR(VLOOKUP(,[3]库存使用数据!$A:$B,2,0),0)+IFERROR(VLOOKUP(A211,[4]库存使用数据!$A:$B,2,0),0)+IFERROR(VLOOKUP(A211,[5]库存使用数据!$A:$B,2,0),0)</f>
        <v>0</v>
      </c>
      <c r="C211" s="1">
        <f ca="1">IFERROR(VLOOKUP($A211,[1]库存使用数据!$A:$C,3,0),0)+IFERROR(VLOOKUP($A211,[2]库存使用数据!$A:$C,3,0),0)+IFERROR(VLOOKUP($A211,[3]库存使用数据!$A:$C,3,0),0)+IFERROR(VLOOKUP($A211,[4]库存使用数据!$A:$C,3,0),0)+IFERROR(VLOOKUP($A211,[5]库存使用数据!$A:$C,3,0),0)</f>
        <v>0</v>
      </c>
      <c r="D211" s="1">
        <f ca="1">IFERROR(VLOOKUP($A211,[1]库存使用数据!$A:$D,4,0),0)+IFERROR(VLOOKUP($A211,[2]库存使用数据!$A:$D,4,0),0)+公式!$B$1*IFERROR(VLOOKUP($A211,[3]库存使用数据!$A:$D,4,0),0)+IFERROR(VLOOKUP($A211,[4]库存使用数据!$A:$D,4,0),0)+IFERROR(VLOOKUP($A211,[5]库存使用数据!$A:$D,4,0),0)</f>
        <v>0</v>
      </c>
      <c r="E211" s="1">
        <f ca="1">IFERROR(VLOOKUP($A211,[1]库存使用数据!$A:$E,5,0),0)+IFERROR(VLOOKUP($A211,[2]库存使用数据!$A:$E,5,0),0)+IFERROR(VLOOKUP($A211,[3]库存使用数据!$A:$E,5,0),0)+IFERROR(VLOOKUP($A211,[4]库存使用数据!$A:$E,5,0),0)+IFERROR(VLOOKUP($A211,[5]库存使用数据!$A:$E,5,0),0)</f>
        <v>914</v>
      </c>
      <c r="F211" s="1">
        <f ca="1">IFERROR(VLOOKUP($A211,[1]库存使用数据!$A:$F,6,0),0)+IFERROR(VLOOKUP($A211,[2]库存使用数据!$A:$F,6,0),0)+IFERROR(VLOOKUP($A211,[4]库存使用数据!$A:$F,6,0),0)+IFERROR(VLOOKUP($A211,[3]库存使用数据!$A:$F,6,0),0)+IFERROR(VLOOKUP($A211,[5]库存使用数据!$A:$F,6,0),0)</f>
        <v>2</v>
      </c>
      <c r="G211" s="1">
        <f ca="1">IFERROR(VLOOKUP($A211,[1]库存使用数据!$A:$G,7,0),0)+IFERROR(VLOOKUP($A211,[2]库存使用数据!$A:$G,7,0),0)+公式!$B$14*IFERROR(VLOOKUP($A211,[3]库存使用数据!$A:$G,7,0),0)+IFERROR(VLOOKUP($A211,[4]库存使用数据!$A:$G,7,0),0)+IFERROR(VLOOKUP($A211,[5]库存使用数据!$A:$G,7,0),0)</f>
        <v>0.52</v>
      </c>
      <c r="H211" s="1">
        <f ca="1">IFERROR(VLOOKUP($A211,[1]库存使用数据!$A:$H,8,0),0)+IFERROR(VLOOKUP($A211,[2]库存使用数据!$A:$H,8,0),0)+IFERROR(VLOOKUP($A211,[3]库存使用数据!$A:$H,8,0),0)+IFERROR(VLOOKUP($A211,[4]库存使用数据!$A:$H,8,0),0)+IFERROR(VLOOKUP($A211,[5]库存使用数据!$A:$H,8,0),0)</f>
        <v>384</v>
      </c>
      <c r="I211" s="1">
        <f ca="1">IFERROR(VLOOKUP($A211,[1]库存使用数据!$A:$I,9,0),0)+IFERROR(VLOOKUP($A211,[2]库存使用数据!$A:$I,9,0),0)+IFERROR(VLOOKUP($A211,[3]库存使用数据!$A:$I,9,0),0)+IFERROR(VLOOKUP($A211,[4]库存使用数据!$A:$I,9,0),0)+IFERROR(VLOOKUP($A211,[5]库存使用数据!$A:$I,9,0),0)</f>
        <v>3</v>
      </c>
      <c r="J211" s="1">
        <f ca="1">IFERROR(VLOOKUP($A211,[1]库存使用数据!$A:$J,10,0),0)+IFERROR(VLOOKUP($A211,[2]库存使用数据!$A:$J,10,0),0)+公式!$B$14*IFERROR(VLOOKUP($A211,[3]库存使用数据!$A:$J,10,0),0)+IFERROR(VLOOKUP($A211,[4]库存使用数据!$A:$J,10,0),0)+IFERROR(VLOOKUP($A211,[5]库存使用数据!$A:$J,10,0),0)</f>
        <v>0.86</v>
      </c>
      <c r="K211" s="1">
        <f ca="1">IFERROR(VLOOKUP($A211,[1]库存使用数据!$A:$K,11,0),0)+IFERROR(VLOOKUP($A211,[2]库存使用数据!$A:$K,11,0),0)+IFERROR(VLOOKUP($A211,[3]库存使用数据!$A:$K,11,0),0)+IFERROR(VLOOKUP($A211,[4]库存使用数据!$A:$K,11,0),0)+IFERROR(VLOOKUP($A211,[5]库存使用数据!$A:$K,11,0),0)</f>
        <v>373</v>
      </c>
      <c r="L211" s="1">
        <f ca="1">IFERROR(VLOOKUP($A211,[1]库存使用数据!$A:$L,12,0),0)+IFERROR(VLOOKUP($A211,[2]库存使用数据!$A:$L,12,0),0)+IFERROR(VLOOKUP($A211,[3]库存使用数据!$A:$L,12,0),0)+IFERROR(VLOOKUP($A211,[4]库存使用数据!$A:$L,12,0),0)+IFERROR(VLOOKUP($A211,[5]库存使用数据!$A:$L,12,0),0)</f>
        <v>2</v>
      </c>
      <c r="M211" s="1">
        <f ca="1">IFERROR(VLOOKUP($A211,[1]库存使用数据!$A:$M,13,0),0)+IFERROR(VLOOKUP($A211,[2]库存使用数据!$A:$M,13,0),0)+公式!$B$14*IFERROR(VLOOKUP($A211,[3]库存使用数据!$A:$M,13,0),0)+IFERROR(VLOOKUP($A211,[4]库存使用数据!$A:$M,13,0),0)+IFERROR(VLOOKUP($A211,[5]库存使用数据!$A:$M,13,0),0)</f>
        <v>0.56</v>
      </c>
    </row>
    <row r="212" spans="1:13">
      <c r="A212" s="5" t="s">
        <v>217</v>
      </c>
      <c r="B212" s="2">
        <f ca="1">IFERROR(VLOOKUP(A212,[1]库存使用数据!$A:$B,2,0),0)+IFERROR(VLOOKUP(A212,[2]库存使用数据!$A:$B,2,0),0)+IFERROR(VLOOKUP(,[3]库存使用数据!$A:$B,2,0),0)+IFERROR(VLOOKUP(A212,[4]库存使用数据!$A:$B,2,0),0)+IFERROR(VLOOKUP(A212,[5]库存使用数据!$A:$B,2,0),0)</f>
        <v>7909</v>
      </c>
      <c r="C212" s="1">
        <f ca="1">IFERROR(VLOOKUP($A212,[1]库存使用数据!$A:$C,3,0),0)+IFERROR(VLOOKUP($A212,[2]库存使用数据!$A:$C,3,0),0)+IFERROR(VLOOKUP($A212,[3]库存使用数据!$A:$C,3,0),0)+IFERROR(VLOOKUP($A212,[4]库存使用数据!$A:$C,3,0),0)+IFERROR(VLOOKUP($A212,[5]库存使用数据!$A:$C,3,0),0)</f>
        <v>45</v>
      </c>
      <c r="D212" s="1">
        <f ca="1">IFERROR(VLOOKUP($A212,[1]库存使用数据!$A:$D,4,0),0)+IFERROR(VLOOKUP($A212,[2]库存使用数据!$A:$D,4,0),0)+公式!$B$1*IFERROR(VLOOKUP($A212,[3]库存使用数据!$A:$D,4,0),0)+IFERROR(VLOOKUP($A212,[4]库存使用数据!$A:$D,4,0),0)+IFERROR(VLOOKUP($A212,[5]库存使用数据!$A:$D,4,0),0)</f>
        <v>7.66</v>
      </c>
      <c r="E212" s="1">
        <f ca="1">IFERROR(VLOOKUP($A212,[1]库存使用数据!$A:$E,5,0),0)+IFERROR(VLOOKUP($A212,[2]库存使用数据!$A:$E,5,0),0)+IFERROR(VLOOKUP($A212,[3]库存使用数据!$A:$E,5,0),0)+IFERROR(VLOOKUP($A212,[4]库存使用数据!$A:$E,5,0),0)+IFERROR(VLOOKUP($A212,[5]库存使用数据!$A:$E,5,0),0)</f>
        <v>6800</v>
      </c>
      <c r="F212" s="1">
        <f ca="1">IFERROR(VLOOKUP($A212,[1]库存使用数据!$A:$F,6,0),0)+IFERROR(VLOOKUP($A212,[2]库存使用数据!$A:$F,6,0),0)+IFERROR(VLOOKUP($A212,[4]库存使用数据!$A:$F,6,0),0)+IFERROR(VLOOKUP($A212,[3]库存使用数据!$A:$F,6,0),0)+IFERROR(VLOOKUP($A212,[5]库存使用数据!$A:$F,6,0),0)</f>
        <v>36</v>
      </c>
      <c r="G212" s="1">
        <f ca="1">IFERROR(VLOOKUP($A212,[1]库存使用数据!$A:$G,7,0),0)+IFERROR(VLOOKUP($A212,[2]库存使用数据!$A:$G,7,0),0)+公式!$B$14*IFERROR(VLOOKUP($A212,[3]库存使用数据!$A:$G,7,0),0)+IFERROR(VLOOKUP($A212,[4]库存使用数据!$A:$G,7,0),0)+IFERROR(VLOOKUP($A212,[5]库存使用数据!$A:$G,7,0),0)</f>
        <v>6.3</v>
      </c>
      <c r="H212" s="1">
        <f ca="1">IFERROR(VLOOKUP($A212,[1]库存使用数据!$A:$H,8,0),0)+IFERROR(VLOOKUP($A212,[2]库存使用数据!$A:$H,8,0),0)+IFERROR(VLOOKUP($A212,[3]库存使用数据!$A:$H,8,0),0)+IFERROR(VLOOKUP($A212,[4]库存使用数据!$A:$H,8,0),0)+IFERROR(VLOOKUP($A212,[5]库存使用数据!$A:$H,8,0),0)</f>
        <v>475</v>
      </c>
      <c r="I212" s="1">
        <f ca="1">IFERROR(VLOOKUP($A212,[1]库存使用数据!$A:$I,9,0),0)+IFERROR(VLOOKUP($A212,[2]库存使用数据!$A:$I,9,0),0)+IFERROR(VLOOKUP($A212,[3]库存使用数据!$A:$I,9,0),0)+IFERROR(VLOOKUP($A212,[4]库存使用数据!$A:$I,9,0),0)+IFERROR(VLOOKUP($A212,[5]库存使用数据!$A:$I,9,0),0)</f>
        <v>4</v>
      </c>
      <c r="J212" s="1">
        <f ca="1">IFERROR(VLOOKUP($A212,[1]库存使用数据!$A:$J,10,0),0)+IFERROR(VLOOKUP($A212,[2]库存使用数据!$A:$J,10,0),0)+公式!$B$14*IFERROR(VLOOKUP($A212,[3]库存使用数据!$A:$J,10,0),0)+IFERROR(VLOOKUP($A212,[4]库存使用数据!$A:$J,10,0),0)+IFERROR(VLOOKUP($A212,[5]库存使用数据!$A:$J,10,0),0)</f>
        <v>0.84</v>
      </c>
      <c r="K212" s="1">
        <f ca="1">IFERROR(VLOOKUP($A212,[1]库存使用数据!$A:$K,11,0),0)+IFERROR(VLOOKUP($A212,[2]库存使用数据!$A:$K,11,0),0)+IFERROR(VLOOKUP($A212,[3]库存使用数据!$A:$K,11,0),0)+IFERROR(VLOOKUP($A212,[4]库存使用数据!$A:$K,11,0),0)+IFERROR(VLOOKUP($A212,[5]库存使用数据!$A:$K,11,0),0)</f>
        <v>536</v>
      </c>
      <c r="L212" s="1">
        <f ca="1">IFERROR(VLOOKUP($A212,[1]库存使用数据!$A:$L,12,0),0)+IFERROR(VLOOKUP($A212,[2]库存使用数据!$A:$L,12,0),0)+IFERROR(VLOOKUP($A212,[3]库存使用数据!$A:$L,12,0),0)+IFERROR(VLOOKUP($A212,[4]库存使用数据!$A:$L,12,0),0)+IFERROR(VLOOKUP($A212,[5]库存使用数据!$A:$L,12,0),0)</f>
        <v>7</v>
      </c>
      <c r="M212" s="1">
        <f ca="1">IFERROR(VLOOKUP($A212,[1]库存使用数据!$A:$M,13,0),0)+IFERROR(VLOOKUP($A212,[2]库存使用数据!$A:$M,13,0),0)+公式!$B$14*IFERROR(VLOOKUP($A212,[3]库存使用数据!$A:$M,13,0),0)+IFERROR(VLOOKUP($A212,[4]库存使用数据!$A:$M,13,0),0)+IFERROR(VLOOKUP($A212,[5]库存使用数据!$A:$M,13,0),0)</f>
        <v>1.31</v>
      </c>
    </row>
    <row r="213" spans="1:13">
      <c r="A213" s="5" t="s">
        <v>218</v>
      </c>
      <c r="B213" s="2">
        <f ca="1">IFERROR(VLOOKUP(A213,[1]库存使用数据!$A:$B,2,0),0)+IFERROR(VLOOKUP(A213,[2]库存使用数据!$A:$B,2,0),0)+IFERROR(VLOOKUP(,[3]库存使用数据!$A:$B,2,0),0)+IFERROR(VLOOKUP(A213,[4]库存使用数据!$A:$B,2,0),0)+IFERROR(VLOOKUP(A213,[5]库存使用数据!$A:$B,2,0),0)</f>
        <v>0</v>
      </c>
      <c r="C213" s="1">
        <f ca="1">IFERROR(VLOOKUP($A213,[1]库存使用数据!$A:$C,3,0),0)+IFERROR(VLOOKUP($A213,[2]库存使用数据!$A:$C,3,0),0)+IFERROR(VLOOKUP($A213,[3]库存使用数据!$A:$C,3,0),0)+IFERROR(VLOOKUP($A213,[4]库存使用数据!$A:$C,3,0),0)+IFERROR(VLOOKUP($A213,[5]库存使用数据!$A:$C,3,0),0)</f>
        <v>0</v>
      </c>
      <c r="D213" s="1">
        <f ca="1">IFERROR(VLOOKUP($A213,[1]库存使用数据!$A:$D,4,0),0)+IFERROR(VLOOKUP($A213,[2]库存使用数据!$A:$D,4,0),0)+公式!$B$1*IFERROR(VLOOKUP($A213,[3]库存使用数据!$A:$D,4,0),0)+IFERROR(VLOOKUP($A213,[4]库存使用数据!$A:$D,4,0),0)+IFERROR(VLOOKUP($A213,[5]库存使用数据!$A:$D,4,0),0)</f>
        <v>0</v>
      </c>
      <c r="E213" s="1">
        <f ca="1">IFERROR(VLOOKUP($A213,[1]库存使用数据!$A:$E,5,0),0)+IFERROR(VLOOKUP($A213,[2]库存使用数据!$A:$E,5,0),0)+IFERROR(VLOOKUP($A213,[3]库存使用数据!$A:$E,5,0),0)+IFERROR(VLOOKUP($A213,[4]库存使用数据!$A:$E,5,0),0)+IFERROR(VLOOKUP($A213,[5]库存使用数据!$A:$E,5,0),0)</f>
        <v>544</v>
      </c>
      <c r="F213" s="1">
        <f ca="1">IFERROR(VLOOKUP($A213,[1]库存使用数据!$A:$F,6,0),0)+IFERROR(VLOOKUP($A213,[2]库存使用数据!$A:$F,6,0),0)+IFERROR(VLOOKUP($A213,[4]库存使用数据!$A:$F,6,0),0)+IFERROR(VLOOKUP($A213,[3]库存使用数据!$A:$F,6,0),0)+IFERROR(VLOOKUP($A213,[5]库存使用数据!$A:$F,6,0),0)</f>
        <v>2</v>
      </c>
      <c r="G213" s="1">
        <f ca="1">IFERROR(VLOOKUP($A213,[1]库存使用数据!$A:$G,7,0),0)+IFERROR(VLOOKUP($A213,[2]库存使用数据!$A:$G,7,0),0)+公式!$B$14*IFERROR(VLOOKUP($A213,[3]库存使用数据!$A:$G,7,0),0)+IFERROR(VLOOKUP($A213,[4]库存使用数据!$A:$G,7,0),0)+IFERROR(VLOOKUP($A213,[5]库存使用数据!$A:$G,7,0),0)</f>
        <v>0.6</v>
      </c>
      <c r="H213" s="1">
        <f ca="1">IFERROR(VLOOKUP($A213,[1]库存使用数据!$A:$H,8,0),0)+IFERROR(VLOOKUP($A213,[2]库存使用数据!$A:$H,8,0),0)+IFERROR(VLOOKUP($A213,[3]库存使用数据!$A:$H,8,0),0)+IFERROR(VLOOKUP($A213,[4]库存使用数据!$A:$H,8,0),0)+IFERROR(VLOOKUP($A213,[5]库存使用数据!$A:$H,8,0),0)</f>
        <v>341</v>
      </c>
      <c r="I213" s="1">
        <f ca="1">IFERROR(VLOOKUP($A213,[1]库存使用数据!$A:$I,9,0),0)+IFERROR(VLOOKUP($A213,[2]库存使用数据!$A:$I,9,0),0)+IFERROR(VLOOKUP($A213,[3]库存使用数据!$A:$I,9,0),0)+IFERROR(VLOOKUP($A213,[4]库存使用数据!$A:$I,9,0),0)+IFERROR(VLOOKUP($A213,[5]库存使用数据!$A:$I,9,0),0)</f>
        <v>1</v>
      </c>
      <c r="J213" s="1">
        <f ca="1">IFERROR(VLOOKUP($A213,[1]库存使用数据!$A:$J,10,0),0)+IFERROR(VLOOKUP($A213,[2]库存使用数据!$A:$J,10,0),0)+公式!$B$14*IFERROR(VLOOKUP($A213,[3]库存使用数据!$A:$J,10,0),0)+IFERROR(VLOOKUP($A213,[4]库存使用数据!$A:$J,10,0),0)+IFERROR(VLOOKUP($A213,[5]库存使用数据!$A:$J,10,0),0)</f>
        <v>0.26</v>
      </c>
      <c r="K213" s="1">
        <f ca="1">IFERROR(VLOOKUP($A213,[1]库存使用数据!$A:$K,11,0),0)+IFERROR(VLOOKUP($A213,[2]库存使用数据!$A:$K,11,0),0)+IFERROR(VLOOKUP($A213,[3]库存使用数据!$A:$K,11,0),0)+IFERROR(VLOOKUP($A213,[4]库存使用数据!$A:$K,11,0),0)+IFERROR(VLOOKUP($A213,[5]库存使用数据!$A:$K,11,0),0)</f>
        <v>357</v>
      </c>
      <c r="L213" s="1">
        <f ca="1">IFERROR(VLOOKUP($A213,[1]库存使用数据!$A:$L,12,0),0)+IFERROR(VLOOKUP($A213,[2]库存使用数据!$A:$L,12,0),0)+IFERROR(VLOOKUP($A213,[3]库存使用数据!$A:$L,12,0),0)+IFERROR(VLOOKUP($A213,[4]库存使用数据!$A:$L,12,0),0)+IFERROR(VLOOKUP($A213,[5]库存使用数据!$A:$L,12,0),0)</f>
        <v>0</v>
      </c>
      <c r="M213" s="1">
        <f ca="1">IFERROR(VLOOKUP($A213,[1]库存使用数据!$A:$M,13,0),0)+IFERROR(VLOOKUP($A213,[2]库存使用数据!$A:$M,13,0),0)+公式!$B$14*IFERROR(VLOOKUP($A213,[3]库存使用数据!$A:$M,13,0),0)+IFERROR(VLOOKUP($A213,[4]库存使用数据!$A:$M,13,0),0)+IFERROR(VLOOKUP($A213,[5]库存使用数据!$A:$M,13,0),0)</f>
        <v>0</v>
      </c>
    </row>
    <row r="214" spans="1:13">
      <c r="A214" s="5" t="s">
        <v>219</v>
      </c>
      <c r="B214" s="2">
        <f ca="1">IFERROR(VLOOKUP(A214,[1]库存使用数据!$A:$B,2,0),0)+IFERROR(VLOOKUP(A214,[2]库存使用数据!$A:$B,2,0),0)+IFERROR(VLOOKUP(,[3]库存使用数据!$A:$B,2,0),0)+IFERROR(VLOOKUP(A214,[4]库存使用数据!$A:$B,2,0),0)+IFERROR(VLOOKUP(A214,[5]库存使用数据!$A:$B,2,0),0)</f>
        <v>0</v>
      </c>
      <c r="C214" s="1">
        <f ca="1">IFERROR(VLOOKUP($A214,[1]库存使用数据!$A:$C,3,0),0)+IFERROR(VLOOKUP($A214,[2]库存使用数据!$A:$C,3,0),0)+IFERROR(VLOOKUP($A214,[3]库存使用数据!$A:$C,3,0),0)+IFERROR(VLOOKUP($A214,[4]库存使用数据!$A:$C,3,0),0)+IFERROR(VLOOKUP($A214,[5]库存使用数据!$A:$C,3,0),0)</f>
        <v>10</v>
      </c>
      <c r="D214" s="1">
        <f ca="1">IFERROR(VLOOKUP($A214,[1]库存使用数据!$A:$D,4,0),0)+IFERROR(VLOOKUP($A214,[2]库存使用数据!$A:$D,4,0),0)+公式!$B$1*IFERROR(VLOOKUP($A214,[3]库存使用数据!$A:$D,4,0),0)+IFERROR(VLOOKUP($A214,[4]库存使用数据!$A:$D,4,0),0)+IFERROR(VLOOKUP($A214,[5]库存使用数据!$A:$D,4,0),0)</f>
        <v>1.5525</v>
      </c>
      <c r="E214" s="1">
        <f ca="1">IFERROR(VLOOKUP($A214,[1]库存使用数据!$A:$E,5,0),0)+IFERROR(VLOOKUP($A214,[2]库存使用数据!$A:$E,5,0),0)+IFERROR(VLOOKUP($A214,[3]库存使用数据!$A:$E,5,0),0)+IFERROR(VLOOKUP($A214,[4]库存使用数据!$A:$E,5,0),0)+IFERROR(VLOOKUP($A214,[5]库存使用数据!$A:$E,5,0),0)</f>
        <v>3985</v>
      </c>
      <c r="F214" s="1">
        <f ca="1">IFERROR(VLOOKUP($A214,[1]库存使用数据!$A:$F,6,0),0)+IFERROR(VLOOKUP($A214,[2]库存使用数据!$A:$F,6,0),0)+IFERROR(VLOOKUP($A214,[4]库存使用数据!$A:$F,6,0),0)+IFERROR(VLOOKUP($A214,[3]库存使用数据!$A:$F,6,0),0)+IFERROR(VLOOKUP($A214,[5]库存使用数据!$A:$F,6,0),0)</f>
        <v>17</v>
      </c>
      <c r="G214" s="1">
        <f ca="1">IFERROR(VLOOKUP($A214,[1]库存使用数据!$A:$G,7,0),0)+IFERROR(VLOOKUP($A214,[2]库存使用数据!$A:$G,7,0),0)+公式!$B$14*IFERROR(VLOOKUP($A214,[3]库存使用数据!$A:$G,7,0),0)+IFERROR(VLOOKUP($A214,[4]库存使用数据!$A:$G,7,0),0)+IFERROR(VLOOKUP($A214,[5]库存使用数据!$A:$G,7,0),0)</f>
        <v>1.2</v>
      </c>
      <c r="H214" s="1">
        <f ca="1">IFERROR(VLOOKUP($A214,[1]库存使用数据!$A:$H,8,0),0)+IFERROR(VLOOKUP($A214,[2]库存使用数据!$A:$H,8,0),0)+IFERROR(VLOOKUP($A214,[3]库存使用数据!$A:$H,8,0),0)+IFERROR(VLOOKUP($A214,[4]库存使用数据!$A:$H,8,0),0)+IFERROR(VLOOKUP($A214,[5]库存使用数据!$A:$H,8,0),0)</f>
        <v>4130</v>
      </c>
      <c r="I214" s="1">
        <f ca="1">IFERROR(VLOOKUP($A214,[1]库存使用数据!$A:$I,9,0),0)+IFERROR(VLOOKUP($A214,[2]库存使用数据!$A:$I,9,0),0)+IFERROR(VLOOKUP($A214,[3]库存使用数据!$A:$I,9,0),0)+IFERROR(VLOOKUP($A214,[4]库存使用数据!$A:$I,9,0),0)+IFERROR(VLOOKUP($A214,[5]库存使用数据!$A:$I,9,0),0)</f>
        <v>14</v>
      </c>
      <c r="J214" s="1">
        <f ca="1">IFERROR(VLOOKUP($A214,[1]库存使用数据!$A:$J,10,0),0)+IFERROR(VLOOKUP($A214,[2]库存使用数据!$A:$J,10,0),0)+公式!$B$14*IFERROR(VLOOKUP($A214,[3]库存使用数据!$A:$J,10,0),0)+IFERROR(VLOOKUP($A214,[4]库存使用数据!$A:$J,10,0),0)+IFERROR(VLOOKUP($A214,[5]库存使用数据!$A:$J,10,0),0)</f>
        <v>1.91</v>
      </c>
      <c r="K214" s="1">
        <f ca="1">IFERROR(VLOOKUP($A214,[1]库存使用数据!$A:$K,11,0),0)+IFERROR(VLOOKUP($A214,[2]库存使用数据!$A:$K,11,0),0)+IFERROR(VLOOKUP($A214,[3]库存使用数据!$A:$K,11,0),0)+IFERROR(VLOOKUP($A214,[4]库存使用数据!$A:$K,11,0),0)+IFERROR(VLOOKUP($A214,[5]库存使用数据!$A:$K,11,0),0)</f>
        <v>11979</v>
      </c>
      <c r="L214" s="1">
        <f ca="1">IFERROR(VLOOKUP($A214,[1]库存使用数据!$A:$L,12,0),0)+IFERROR(VLOOKUP($A214,[2]库存使用数据!$A:$L,12,0),0)+IFERROR(VLOOKUP($A214,[3]库存使用数据!$A:$L,12,0),0)+IFERROR(VLOOKUP($A214,[4]库存使用数据!$A:$L,12,0),0)+IFERROR(VLOOKUP($A214,[5]库存使用数据!$A:$L,12,0),0)</f>
        <v>28</v>
      </c>
      <c r="M214" s="1">
        <f ca="1">IFERROR(VLOOKUP($A214,[1]库存使用数据!$A:$M,13,0),0)+IFERROR(VLOOKUP($A214,[2]库存使用数据!$A:$M,13,0),0)+公式!$B$14*IFERROR(VLOOKUP($A214,[3]库存使用数据!$A:$M,13,0),0)+IFERROR(VLOOKUP($A214,[4]库存使用数据!$A:$M,13,0),0)+IFERROR(VLOOKUP($A214,[5]库存使用数据!$A:$M,13,0),0)</f>
        <v>0.65</v>
      </c>
    </row>
    <row r="215" spans="1:13">
      <c r="A215" s="5" t="s">
        <v>220</v>
      </c>
      <c r="B215" s="2">
        <f ca="1">IFERROR(VLOOKUP(A215,[1]库存使用数据!$A:$B,2,0),0)+IFERROR(VLOOKUP(A215,[2]库存使用数据!$A:$B,2,0),0)+IFERROR(VLOOKUP(,[3]库存使用数据!$A:$B,2,0),0)+IFERROR(VLOOKUP(A215,[4]库存使用数据!$A:$B,2,0),0)+IFERROR(VLOOKUP(A215,[5]库存使用数据!$A:$B,2,0),0)</f>
        <v>0</v>
      </c>
      <c r="C215" s="1">
        <f ca="1">IFERROR(VLOOKUP($A215,[1]库存使用数据!$A:$C,3,0),0)+IFERROR(VLOOKUP($A215,[2]库存使用数据!$A:$C,3,0),0)+IFERROR(VLOOKUP($A215,[3]库存使用数据!$A:$C,3,0),0)+IFERROR(VLOOKUP($A215,[4]库存使用数据!$A:$C,3,0),0)+IFERROR(VLOOKUP($A215,[5]库存使用数据!$A:$C,3,0),0)</f>
        <v>0</v>
      </c>
      <c r="D215" s="1">
        <f ca="1">IFERROR(VLOOKUP($A215,[1]库存使用数据!$A:$D,4,0),0)+IFERROR(VLOOKUP($A215,[2]库存使用数据!$A:$D,4,0),0)+公式!$B$1*IFERROR(VLOOKUP($A215,[3]库存使用数据!$A:$D,4,0),0)+IFERROR(VLOOKUP($A215,[4]库存使用数据!$A:$D,4,0),0)+IFERROR(VLOOKUP($A215,[5]库存使用数据!$A:$D,4,0),0)</f>
        <v>0</v>
      </c>
      <c r="E215" s="1">
        <f ca="1">IFERROR(VLOOKUP($A215,[1]库存使用数据!$A:$E,5,0),0)+IFERROR(VLOOKUP($A215,[2]库存使用数据!$A:$E,5,0),0)+IFERROR(VLOOKUP($A215,[3]库存使用数据!$A:$E,5,0),0)+IFERROR(VLOOKUP($A215,[4]库存使用数据!$A:$E,5,0),0)+IFERROR(VLOOKUP($A215,[5]库存使用数据!$A:$E,5,0),0)</f>
        <v>1562</v>
      </c>
      <c r="F215" s="1">
        <f ca="1">IFERROR(VLOOKUP($A215,[1]库存使用数据!$A:$F,6,0),0)+IFERROR(VLOOKUP($A215,[2]库存使用数据!$A:$F,6,0),0)+IFERROR(VLOOKUP($A215,[4]库存使用数据!$A:$F,6,0),0)+IFERROR(VLOOKUP($A215,[3]库存使用数据!$A:$F,6,0),0)+IFERROR(VLOOKUP($A215,[5]库存使用数据!$A:$F,6,0),0)</f>
        <v>0</v>
      </c>
      <c r="G215" s="1">
        <f ca="1">IFERROR(VLOOKUP($A215,[1]库存使用数据!$A:$G,7,0),0)+IFERROR(VLOOKUP($A215,[2]库存使用数据!$A:$G,7,0),0)+公式!$B$14*IFERROR(VLOOKUP($A215,[3]库存使用数据!$A:$G,7,0),0)+IFERROR(VLOOKUP($A215,[4]库存使用数据!$A:$G,7,0),0)+IFERROR(VLOOKUP($A215,[5]库存使用数据!$A:$G,7,0),0)</f>
        <v>0</v>
      </c>
      <c r="H215" s="1">
        <f ca="1">IFERROR(VLOOKUP($A215,[1]库存使用数据!$A:$H,8,0),0)+IFERROR(VLOOKUP($A215,[2]库存使用数据!$A:$H,8,0),0)+IFERROR(VLOOKUP($A215,[3]库存使用数据!$A:$H,8,0),0)+IFERROR(VLOOKUP($A215,[4]库存使用数据!$A:$H,8,0),0)+IFERROR(VLOOKUP($A215,[5]库存使用数据!$A:$H,8,0),0)</f>
        <v>527</v>
      </c>
      <c r="I215" s="1">
        <f ca="1">IFERROR(VLOOKUP($A215,[1]库存使用数据!$A:$I,9,0),0)+IFERROR(VLOOKUP($A215,[2]库存使用数据!$A:$I,9,0),0)+IFERROR(VLOOKUP($A215,[3]库存使用数据!$A:$I,9,0),0)+IFERROR(VLOOKUP($A215,[4]库存使用数据!$A:$I,9,0),0)+IFERROR(VLOOKUP($A215,[5]库存使用数据!$A:$I,9,0),0)</f>
        <v>4</v>
      </c>
      <c r="J215" s="1">
        <f ca="1">IFERROR(VLOOKUP($A215,[1]库存使用数据!$A:$J,10,0),0)+IFERROR(VLOOKUP($A215,[2]库存使用数据!$A:$J,10,0),0)+公式!$B$14*IFERROR(VLOOKUP($A215,[3]库存使用数据!$A:$J,10,0),0)+IFERROR(VLOOKUP($A215,[4]库存使用数据!$A:$J,10,0),0)+IFERROR(VLOOKUP($A215,[5]库存使用数据!$A:$J,10,0),0)</f>
        <v>0.81</v>
      </c>
      <c r="K215" s="1">
        <f ca="1">IFERROR(VLOOKUP($A215,[1]库存使用数据!$A:$K,11,0),0)+IFERROR(VLOOKUP($A215,[2]库存使用数据!$A:$K,11,0),0)+IFERROR(VLOOKUP($A215,[3]库存使用数据!$A:$K,11,0),0)+IFERROR(VLOOKUP($A215,[4]库存使用数据!$A:$K,11,0),0)+IFERROR(VLOOKUP($A215,[5]库存使用数据!$A:$K,11,0),0)</f>
        <v>424</v>
      </c>
      <c r="L215" s="1">
        <f ca="1">IFERROR(VLOOKUP($A215,[1]库存使用数据!$A:$L,12,0),0)+IFERROR(VLOOKUP($A215,[2]库存使用数据!$A:$L,12,0),0)+IFERROR(VLOOKUP($A215,[3]库存使用数据!$A:$L,12,0),0)+IFERROR(VLOOKUP($A215,[4]库存使用数据!$A:$L,12,0),0)+IFERROR(VLOOKUP($A215,[5]库存使用数据!$A:$L,12,0),0)</f>
        <v>0</v>
      </c>
      <c r="M215" s="1">
        <f ca="1">IFERROR(VLOOKUP($A215,[1]库存使用数据!$A:$M,13,0),0)+IFERROR(VLOOKUP($A215,[2]库存使用数据!$A:$M,13,0),0)+公式!$B$14*IFERROR(VLOOKUP($A215,[3]库存使用数据!$A:$M,13,0),0)+IFERROR(VLOOKUP($A215,[4]库存使用数据!$A:$M,13,0),0)+IFERROR(VLOOKUP($A215,[5]库存使用数据!$A:$M,13,0),0)</f>
        <v>0</v>
      </c>
    </row>
    <row r="216" spans="1:13">
      <c r="A216" s="5" t="s">
        <v>221</v>
      </c>
      <c r="B216" s="2">
        <f ca="1">IFERROR(VLOOKUP(A216,[1]库存使用数据!$A:$B,2,0),0)+IFERROR(VLOOKUP(A216,[2]库存使用数据!$A:$B,2,0),0)+IFERROR(VLOOKUP(,[3]库存使用数据!$A:$B,2,0),0)+IFERROR(VLOOKUP(A216,[4]库存使用数据!$A:$B,2,0),0)+IFERROR(VLOOKUP(A216,[5]库存使用数据!$A:$B,2,0),0)</f>
        <v>0</v>
      </c>
      <c r="C216" s="1">
        <f ca="1">IFERROR(VLOOKUP($A216,[1]库存使用数据!$A:$C,3,0),0)+IFERROR(VLOOKUP($A216,[2]库存使用数据!$A:$C,3,0),0)+IFERROR(VLOOKUP($A216,[3]库存使用数据!$A:$C,3,0),0)+IFERROR(VLOOKUP($A216,[4]库存使用数据!$A:$C,3,0),0)+IFERROR(VLOOKUP($A216,[5]库存使用数据!$A:$C,3,0),0)</f>
        <v>0</v>
      </c>
      <c r="D216" s="1">
        <f ca="1">IFERROR(VLOOKUP($A216,[1]库存使用数据!$A:$D,4,0),0)+IFERROR(VLOOKUP($A216,[2]库存使用数据!$A:$D,4,0),0)+公式!$B$1*IFERROR(VLOOKUP($A216,[3]库存使用数据!$A:$D,4,0),0)+IFERROR(VLOOKUP($A216,[4]库存使用数据!$A:$D,4,0),0)+IFERROR(VLOOKUP($A216,[5]库存使用数据!$A:$D,4,0),0)</f>
        <v>0</v>
      </c>
      <c r="E216" s="1">
        <f ca="1">IFERROR(VLOOKUP($A216,[1]库存使用数据!$A:$E,5,0),0)+IFERROR(VLOOKUP($A216,[2]库存使用数据!$A:$E,5,0),0)+IFERROR(VLOOKUP($A216,[3]库存使用数据!$A:$E,5,0),0)+IFERROR(VLOOKUP($A216,[4]库存使用数据!$A:$E,5,0),0)+IFERROR(VLOOKUP($A216,[5]库存使用数据!$A:$E,5,0),0)</f>
        <v>5102</v>
      </c>
      <c r="F216" s="1">
        <f ca="1">IFERROR(VLOOKUP($A216,[1]库存使用数据!$A:$F,6,0),0)+IFERROR(VLOOKUP($A216,[2]库存使用数据!$A:$F,6,0),0)+IFERROR(VLOOKUP($A216,[4]库存使用数据!$A:$F,6,0),0)+IFERROR(VLOOKUP($A216,[3]库存使用数据!$A:$F,6,0),0)+IFERROR(VLOOKUP($A216,[5]库存使用数据!$A:$F,6,0),0)</f>
        <v>48</v>
      </c>
      <c r="G216" s="1">
        <f ca="1">IFERROR(VLOOKUP($A216,[1]库存使用数据!$A:$G,7,0),0)+IFERROR(VLOOKUP($A216,[2]库存使用数据!$A:$G,7,0),0)+公式!$B$14*IFERROR(VLOOKUP($A216,[3]库存使用数据!$A:$G,7,0),0)+IFERROR(VLOOKUP($A216,[4]库存使用数据!$A:$G,7,0),0)+IFERROR(VLOOKUP($A216,[5]库存使用数据!$A:$G,7,0),0)</f>
        <v>9.64</v>
      </c>
      <c r="H216" s="1">
        <f ca="1">IFERROR(VLOOKUP($A216,[1]库存使用数据!$A:$H,8,0),0)+IFERROR(VLOOKUP($A216,[2]库存使用数据!$A:$H,8,0),0)+IFERROR(VLOOKUP($A216,[3]库存使用数据!$A:$H,8,0),0)+IFERROR(VLOOKUP($A216,[4]库存使用数据!$A:$H,8,0),0)+IFERROR(VLOOKUP($A216,[5]库存使用数据!$A:$H,8,0),0)</f>
        <v>265</v>
      </c>
      <c r="I216" s="1">
        <f ca="1">IFERROR(VLOOKUP($A216,[1]库存使用数据!$A:$I,9,0),0)+IFERROR(VLOOKUP($A216,[2]库存使用数据!$A:$I,9,0),0)+IFERROR(VLOOKUP($A216,[3]库存使用数据!$A:$I,9,0),0)+IFERROR(VLOOKUP($A216,[4]库存使用数据!$A:$I,9,0),0)+IFERROR(VLOOKUP($A216,[5]库存使用数据!$A:$I,9,0),0)</f>
        <v>0</v>
      </c>
      <c r="J216" s="1">
        <f ca="1">IFERROR(VLOOKUP($A216,[1]库存使用数据!$A:$J,10,0),0)+IFERROR(VLOOKUP($A216,[2]库存使用数据!$A:$J,10,0),0)+公式!$B$14*IFERROR(VLOOKUP($A216,[3]库存使用数据!$A:$J,10,0),0)+IFERROR(VLOOKUP($A216,[4]库存使用数据!$A:$J,10,0),0)+IFERROR(VLOOKUP($A216,[5]库存使用数据!$A:$J,10,0),0)</f>
        <v>0</v>
      </c>
      <c r="K216" s="1">
        <f ca="1">IFERROR(VLOOKUP($A216,[1]库存使用数据!$A:$K,11,0),0)+IFERROR(VLOOKUP($A216,[2]库存使用数据!$A:$K,11,0),0)+IFERROR(VLOOKUP($A216,[3]库存使用数据!$A:$K,11,0),0)+IFERROR(VLOOKUP($A216,[4]库存使用数据!$A:$K,11,0),0)+IFERROR(VLOOKUP($A216,[5]库存使用数据!$A:$K,11,0),0)</f>
        <v>1439</v>
      </c>
      <c r="L216" s="1">
        <f ca="1">IFERROR(VLOOKUP($A216,[1]库存使用数据!$A:$L,12,0),0)+IFERROR(VLOOKUP($A216,[2]库存使用数据!$A:$L,12,0),0)+IFERROR(VLOOKUP($A216,[3]库存使用数据!$A:$L,12,0),0)+IFERROR(VLOOKUP($A216,[4]库存使用数据!$A:$L,12,0),0)+IFERROR(VLOOKUP($A216,[5]库存使用数据!$A:$L,12,0),0)</f>
        <v>22</v>
      </c>
      <c r="M216" s="1">
        <f ca="1">IFERROR(VLOOKUP($A216,[1]库存使用数据!$A:$M,13,0),0)+IFERROR(VLOOKUP($A216,[2]库存使用数据!$A:$M,13,0),0)+公式!$B$14*IFERROR(VLOOKUP($A216,[3]库存使用数据!$A:$M,13,0),0)+IFERROR(VLOOKUP($A216,[4]库存使用数据!$A:$M,13,0),0)+IFERROR(VLOOKUP($A216,[5]库存使用数据!$A:$M,13,0),0)</f>
        <v>4.94</v>
      </c>
    </row>
    <row r="217" spans="1:13">
      <c r="A217" s="5" t="s">
        <v>222</v>
      </c>
      <c r="B217" s="2">
        <f ca="1">IFERROR(VLOOKUP(A217,[1]库存使用数据!$A:$B,2,0),0)+IFERROR(VLOOKUP(A217,[2]库存使用数据!$A:$B,2,0),0)+IFERROR(VLOOKUP(,[3]库存使用数据!$A:$B,2,0),0)+IFERROR(VLOOKUP(A217,[4]库存使用数据!$A:$B,2,0),0)+IFERROR(VLOOKUP(A217,[5]库存使用数据!$A:$B,2,0),0)</f>
        <v>41</v>
      </c>
      <c r="C217" s="1">
        <f ca="1">IFERROR(VLOOKUP($A217,[1]库存使用数据!$A:$C,3,0),0)+IFERROR(VLOOKUP($A217,[2]库存使用数据!$A:$C,3,0),0)+IFERROR(VLOOKUP($A217,[3]库存使用数据!$A:$C,3,0),0)+IFERROR(VLOOKUP($A217,[4]库存使用数据!$A:$C,3,0),0)+IFERROR(VLOOKUP($A217,[5]库存使用数据!$A:$C,3,0),0)</f>
        <v>1</v>
      </c>
      <c r="D217" s="1">
        <f ca="1">IFERROR(VLOOKUP($A217,[1]库存使用数据!$A:$D,4,0),0)+IFERROR(VLOOKUP($A217,[2]库存使用数据!$A:$D,4,0),0)+公式!$B$1*IFERROR(VLOOKUP($A217,[3]库存使用数据!$A:$D,4,0),0)+IFERROR(VLOOKUP($A217,[4]库存使用数据!$A:$D,4,0),0)+IFERROR(VLOOKUP($A217,[5]库存使用数据!$A:$D,4,0),0)</f>
        <v>0.18</v>
      </c>
      <c r="E217" s="1">
        <f ca="1">IFERROR(VLOOKUP($A217,[1]库存使用数据!$A:$E,5,0),0)+IFERROR(VLOOKUP($A217,[2]库存使用数据!$A:$E,5,0),0)+IFERROR(VLOOKUP($A217,[3]库存使用数据!$A:$E,5,0),0)+IFERROR(VLOOKUP($A217,[4]库存使用数据!$A:$E,5,0),0)+IFERROR(VLOOKUP($A217,[5]库存使用数据!$A:$E,5,0),0)</f>
        <v>1888</v>
      </c>
      <c r="F217" s="1">
        <f ca="1">IFERROR(VLOOKUP($A217,[1]库存使用数据!$A:$F,6,0),0)+IFERROR(VLOOKUP($A217,[2]库存使用数据!$A:$F,6,0),0)+IFERROR(VLOOKUP($A217,[4]库存使用数据!$A:$F,6,0),0)+IFERROR(VLOOKUP($A217,[3]库存使用数据!$A:$F,6,0),0)+IFERROR(VLOOKUP($A217,[5]库存使用数据!$A:$F,6,0),0)</f>
        <v>10</v>
      </c>
      <c r="G217" s="1">
        <f ca="1">IFERROR(VLOOKUP($A217,[1]库存使用数据!$A:$G,7,0),0)+IFERROR(VLOOKUP($A217,[2]库存使用数据!$A:$G,7,0),0)+公式!$B$14*IFERROR(VLOOKUP($A217,[3]库存使用数据!$A:$G,7,0),0)+IFERROR(VLOOKUP($A217,[4]库存使用数据!$A:$G,7,0),0)+IFERROR(VLOOKUP($A217,[5]库存使用数据!$A:$G,7,0),0)</f>
        <v>2.45</v>
      </c>
      <c r="H217" s="1">
        <f ca="1">IFERROR(VLOOKUP($A217,[1]库存使用数据!$A:$H,8,0),0)+IFERROR(VLOOKUP($A217,[2]库存使用数据!$A:$H,8,0),0)+IFERROR(VLOOKUP($A217,[3]库存使用数据!$A:$H,8,0),0)+IFERROR(VLOOKUP($A217,[4]库存使用数据!$A:$H,8,0),0)+IFERROR(VLOOKUP($A217,[5]库存使用数据!$A:$H,8,0),0)</f>
        <v>64</v>
      </c>
      <c r="I217" s="1">
        <f ca="1">IFERROR(VLOOKUP($A217,[1]库存使用数据!$A:$I,9,0),0)+IFERROR(VLOOKUP($A217,[2]库存使用数据!$A:$I,9,0),0)+IFERROR(VLOOKUP($A217,[3]库存使用数据!$A:$I,9,0),0)+IFERROR(VLOOKUP($A217,[4]库存使用数据!$A:$I,9,0),0)+IFERROR(VLOOKUP($A217,[5]库存使用数据!$A:$I,9,0),0)</f>
        <v>0</v>
      </c>
      <c r="J217" s="1">
        <f ca="1">IFERROR(VLOOKUP($A217,[1]库存使用数据!$A:$J,10,0),0)+IFERROR(VLOOKUP($A217,[2]库存使用数据!$A:$J,10,0),0)+公式!$B$14*IFERROR(VLOOKUP($A217,[3]库存使用数据!$A:$J,10,0),0)+IFERROR(VLOOKUP($A217,[4]库存使用数据!$A:$J,10,0),0)+IFERROR(VLOOKUP($A217,[5]库存使用数据!$A:$J,10,0),0)</f>
        <v>0</v>
      </c>
      <c r="K217" s="1">
        <f ca="1">IFERROR(VLOOKUP($A217,[1]库存使用数据!$A:$K,11,0),0)+IFERROR(VLOOKUP($A217,[2]库存使用数据!$A:$K,11,0),0)+IFERROR(VLOOKUP($A217,[3]库存使用数据!$A:$K,11,0),0)+IFERROR(VLOOKUP($A217,[4]库存使用数据!$A:$K,11,0),0)+IFERROR(VLOOKUP($A217,[5]库存使用数据!$A:$K,11,0),0)</f>
        <v>72</v>
      </c>
      <c r="L217" s="1">
        <f ca="1">IFERROR(VLOOKUP($A217,[1]库存使用数据!$A:$L,12,0),0)+IFERROR(VLOOKUP($A217,[2]库存使用数据!$A:$L,12,0),0)+IFERROR(VLOOKUP($A217,[3]库存使用数据!$A:$L,12,0),0)+IFERROR(VLOOKUP($A217,[4]库存使用数据!$A:$L,12,0),0)+IFERROR(VLOOKUP($A217,[5]库存使用数据!$A:$L,12,0),0)</f>
        <v>1</v>
      </c>
      <c r="M217" s="1">
        <f ca="1">IFERROR(VLOOKUP($A217,[1]库存使用数据!$A:$M,13,0),0)+IFERROR(VLOOKUP($A217,[2]库存使用数据!$A:$M,13,0),0)+公式!$B$14*IFERROR(VLOOKUP($A217,[3]库存使用数据!$A:$M,13,0),0)+IFERROR(VLOOKUP($A217,[4]库存使用数据!$A:$M,13,0),0)+IFERROR(VLOOKUP($A217,[5]库存使用数据!$A:$M,13,0),0)</f>
        <v>0.14</v>
      </c>
    </row>
    <row r="218" spans="1:13">
      <c r="A218" s="5" t="s">
        <v>223</v>
      </c>
      <c r="B218" s="2">
        <f ca="1">IFERROR(VLOOKUP(A218,[1]库存使用数据!$A:$B,2,0),0)+IFERROR(VLOOKUP(A218,[2]库存使用数据!$A:$B,2,0),0)+IFERROR(VLOOKUP(,[3]库存使用数据!$A:$B,2,0),0)+IFERROR(VLOOKUP(A218,[4]库存使用数据!$A:$B,2,0),0)+IFERROR(VLOOKUP(A218,[5]库存使用数据!$A:$B,2,0),0)</f>
        <v>505</v>
      </c>
      <c r="C218" s="1">
        <f ca="1">IFERROR(VLOOKUP($A218,[1]库存使用数据!$A:$C,3,0),0)+IFERROR(VLOOKUP($A218,[2]库存使用数据!$A:$C,3,0),0)+IFERROR(VLOOKUP($A218,[3]库存使用数据!$A:$C,3,0),0)+IFERROR(VLOOKUP($A218,[4]库存使用数据!$A:$C,3,0),0)+IFERROR(VLOOKUP($A218,[5]库存使用数据!$A:$C,3,0),0)</f>
        <v>20</v>
      </c>
      <c r="D218" s="1">
        <f ca="1">IFERROR(VLOOKUP($A218,[1]库存使用数据!$A:$D,4,0),0)+IFERROR(VLOOKUP($A218,[2]库存使用数据!$A:$D,4,0),0)+公式!$B$1*IFERROR(VLOOKUP($A218,[3]库存使用数据!$A:$D,4,0),0)+IFERROR(VLOOKUP($A218,[4]库存使用数据!$A:$D,4,0),0)+IFERROR(VLOOKUP($A218,[5]库存使用数据!$A:$D,4,0),0)</f>
        <v>4.29</v>
      </c>
      <c r="E218" s="1">
        <f ca="1">IFERROR(VLOOKUP($A218,[1]库存使用数据!$A:$E,5,0),0)+IFERROR(VLOOKUP($A218,[2]库存使用数据!$A:$E,5,0),0)+IFERROR(VLOOKUP($A218,[3]库存使用数据!$A:$E,5,0),0)+IFERROR(VLOOKUP($A218,[4]库存使用数据!$A:$E,5,0),0)+IFERROR(VLOOKUP($A218,[5]库存使用数据!$A:$E,5,0),0)</f>
        <v>11873</v>
      </c>
      <c r="F218" s="1">
        <f ca="1">IFERROR(VLOOKUP($A218,[1]库存使用数据!$A:$F,6,0),0)+IFERROR(VLOOKUP($A218,[2]库存使用数据!$A:$F,6,0),0)+IFERROR(VLOOKUP($A218,[4]库存使用数据!$A:$F,6,0),0)+IFERROR(VLOOKUP($A218,[3]库存使用数据!$A:$F,6,0),0)+IFERROR(VLOOKUP($A218,[5]库存使用数据!$A:$F,6,0),0)</f>
        <v>53</v>
      </c>
      <c r="G218" s="1">
        <f ca="1">IFERROR(VLOOKUP($A218,[1]库存使用数据!$A:$G,7,0),0)+IFERROR(VLOOKUP($A218,[2]库存使用数据!$A:$G,7,0),0)+公式!$B$14*IFERROR(VLOOKUP($A218,[3]库存使用数据!$A:$G,7,0),0)+IFERROR(VLOOKUP($A218,[4]库存使用数据!$A:$G,7,0),0)+IFERROR(VLOOKUP($A218,[5]库存使用数据!$A:$G,7,0),0)</f>
        <v>9.57</v>
      </c>
      <c r="H218" s="1">
        <f ca="1">IFERROR(VLOOKUP($A218,[1]库存使用数据!$A:$H,8,0),0)+IFERROR(VLOOKUP($A218,[2]库存使用数据!$A:$H,8,0),0)+IFERROR(VLOOKUP($A218,[3]库存使用数据!$A:$H,8,0),0)+IFERROR(VLOOKUP($A218,[4]库存使用数据!$A:$H,8,0),0)+IFERROR(VLOOKUP($A218,[5]库存使用数据!$A:$H,8,0),0)</f>
        <v>1021</v>
      </c>
      <c r="I218" s="1">
        <f ca="1">IFERROR(VLOOKUP($A218,[1]库存使用数据!$A:$I,9,0),0)+IFERROR(VLOOKUP($A218,[2]库存使用数据!$A:$I,9,0),0)+IFERROR(VLOOKUP($A218,[3]库存使用数据!$A:$I,9,0),0)+IFERROR(VLOOKUP($A218,[4]库存使用数据!$A:$I,9,0),0)+IFERROR(VLOOKUP($A218,[5]库存使用数据!$A:$I,9,0),0)</f>
        <v>12</v>
      </c>
      <c r="J218" s="1">
        <f ca="1">IFERROR(VLOOKUP($A218,[1]库存使用数据!$A:$J,10,0),0)+IFERROR(VLOOKUP($A218,[2]库存使用数据!$A:$J,10,0),0)+公式!$B$14*IFERROR(VLOOKUP($A218,[3]库存使用数据!$A:$J,10,0),0)+IFERROR(VLOOKUP($A218,[4]库存使用数据!$A:$J,10,0),0)+IFERROR(VLOOKUP($A218,[5]库存使用数据!$A:$J,10,0),0)</f>
        <v>1.94</v>
      </c>
      <c r="K218" s="1">
        <f ca="1">IFERROR(VLOOKUP($A218,[1]库存使用数据!$A:$K,11,0),0)+IFERROR(VLOOKUP($A218,[2]库存使用数据!$A:$K,11,0),0)+IFERROR(VLOOKUP($A218,[3]库存使用数据!$A:$K,11,0),0)+IFERROR(VLOOKUP($A218,[4]库存使用数据!$A:$K,11,0),0)+IFERROR(VLOOKUP($A218,[5]库存使用数据!$A:$K,11,0),0)</f>
        <v>1015</v>
      </c>
      <c r="L218" s="1">
        <f ca="1">IFERROR(VLOOKUP($A218,[1]库存使用数据!$A:$L,12,0),0)+IFERROR(VLOOKUP($A218,[2]库存使用数据!$A:$L,12,0),0)+IFERROR(VLOOKUP($A218,[3]库存使用数据!$A:$L,12,0),0)+IFERROR(VLOOKUP($A218,[4]库存使用数据!$A:$L,12,0),0)+IFERROR(VLOOKUP($A218,[5]库存使用数据!$A:$L,12,0),0)</f>
        <v>12</v>
      </c>
      <c r="M218" s="1">
        <f ca="1">IFERROR(VLOOKUP($A218,[1]库存使用数据!$A:$M,13,0),0)+IFERROR(VLOOKUP($A218,[2]库存使用数据!$A:$M,13,0),0)+公式!$B$14*IFERROR(VLOOKUP($A218,[3]库存使用数据!$A:$M,13,0),0)+IFERROR(VLOOKUP($A218,[4]库存使用数据!$A:$M,13,0),0)+IFERROR(VLOOKUP($A218,[5]库存使用数据!$A:$M,13,0),0)</f>
        <v>1.24</v>
      </c>
    </row>
    <row r="219" spans="1:13">
      <c r="A219" s="5" t="s">
        <v>224</v>
      </c>
      <c r="B219" s="2">
        <f ca="1">IFERROR(VLOOKUP(A219,[1]库存使用数据!$A:$B,2,0),0)+IFERROR(VLOOKUP(A219,[2]库存使用数据!$A:$B,2,0),0)+IFERROR(VLOOKUP(,[3]库存使用数据!$A:$B,2,0),0)+IFERROR(VLOOKUP(A219,[4]库存使用数据!$A:$B,2,0),0)+IFERROR(VLOOKUP(A219,[5]库存使用数据!$A:$B,2,0),0)</f>
        <v>0</v>
      </c>
      <c r="C219" s="1">
        <f ca="1">IFERROR(VLOOKUP($A219,[1]库存使用数据!$A:$C,3,0),0)+IFERROR(VLOOKUP($A219,[2]库存使用数据!$A:$C,3,0),0)+IFERROR(VLOOKUP($A219,[3]库存使用数据!$A:$C,3,0),0)+IFERROR(VLOOKUP($A219,[4]库存使用数据!$A:$C,3,0),0)+IFERROR(VLOOKUP($A219,[5]库存使用数据!$A:$C,3,0),0)</f>
        <v>4</v>
      </c>
      <c r="D219" s="1">
        <f ca="1">IFERROR(VLOOKUP($A219,[1]库存使用数据!$A:$D,4,0),0)+IFERROR(VLOOKUP($A219,[2]库存使用数据!$A:$D,4,0),0)+公式!$B$1*IFERROR(VLOOKUP($A219,[3]库存使用数据!$A:$D,4,0),0)+IFERROR(VLOOKUP($A219,[4]库存使用数据!$A:$D,4,0),0)+IFERROR(VLOOKUP($A219,[5]库存使用数据!$A:$D,4,0),0)</f>
        <v>0.30375</v>
      </c>
      <c r="E219" s="1">
        <f ca="1">IFERROR(VLOOKUP($A219,[1]库存使用数据!$A:$E,5,0),0)+IFERROR(VLOOKUP($A219,[2]库存使用数据!$A:$E,5,0),0)+IFERROR(VLOOKUP($A219,[3]库存使用数据!$A:$E,5,0),0)+IFERROR(VLOOKUP($A219,[4]库存使用数据!$A:$E,5,0),0)+IFERROR(VLOOKUP($A219,[5]库存使用数据!$A:$E,5,0),0)</f>
        <v>20367</v>
      </c>
      <c r="F219" s="1">
        <f ca="1">IFERROR(VLOOKUP($A219,[1]库存使用数据!$A:$F,6,0),0)+IFERROR(VLOOKUP($A219,[2]库存使用数据!$A:$F,6,0),0)+IFERROR(VLOOKUP($A219,[4]库存使用数据!$A:$F,6,0),0)+IFERROR(VLOOKUP($A219,[3]库存使用数据!$A:$F,6,0),0)+IFERROR(VLOOKUP($A219,[5]库存使用数据!$A:$F,6,0),0)</f>
        <v>74</v>
      </c>
      <c r="G219" s="1">
        <f ca="1">IFERROR(VLOOKUP($A219,[1]库存使用数据!$A:$G,7,0),0)+IFERROR(VLOOKUP($A219,[2]库存使用数据!$A:$G,7,0),0)+公式!$B$14*IFERROR(VLOOKUP($A219,[3]库存使用数据!$A:$G,7,0),0)+IFERROR(VLOOKUP($A219,[4]库存使用数据!$A:$G,7,0),0)+IFERROR(VLOOKUP($A219,[5]库存使用数据!$A:$G,7,0),0)</f>
        <v>9.06</v>
      </c>
      <c r="H219" s="1">
        <f ca="1">IFERROR(VLOOKUP($A219,[1]库存使用数据!$A:$H,8,0),0)+IFERROR(VLOOKUP($A219,[2]库存使用数据!$A:$H,8,0),0)+IFERROR(VLOOKUP($A219,[3]库存使用数据!$A:$H,8,0),0)+IFERROR(VLOOKUP($A219,[4]库存使用数据!$A:$H,8,0),0)+IFERROR(VLOOKUP($A219,[5]库存使用数据!$A:$H,8,0),0)</f>
        <v>18707</v>
      </c>
      <c r="I219" s="1">
        <f ca="1">IFERROR(VLOOKUP($A219,[1]库存使用数据!$A:$I,9,0),0)+IFERROR(VLOOKUP($A219,[2]库存使用数据!$A:$I,9,0),0)+IFERROR(VLOOKUP($A219,[3]库存使用数据!$A:$I,9,0),0)+IFERROR(VLOOKUP($A219,[4]库存使用数据!$A:$I,9,0),0)+IFERROR(VLOOKUP($A219,[5]库存使用数据!$A:$I,9,0),0)</f>
        <v>88</v>
      </c>
      <c r="J219" s="1">
        <f ca="1">IFERROR(VLOOKUP($A219,[1]库存使用数据!$A:$J,10,0),0)+IFERROR(VLOOKUP($A219,[2]库存使用数据!$A:$J,10,0),0)+公式!$B$14*IFERROR(VLOOKUP($A219,[3]库存使用数据!$A:$J,10,0),0)+IFERROR(VLOOKUP($A219,[4]库存使用数据!$A:$J,10,0),0)+IFERROR(VLOOKUP($A219,[5]库存使用数据!$A:$J,10,0),0)</f>
        <v>12.29</v>
      </c>
      <c r="K219" s="1">
        <f ca="1">IFERROR(VLOOKUP($A219,[1]库存使用数据!$A:$K,11,0),0)+IFERROR(VLOOKUP($A219,[2]库存使用数据!$A:$K,11,0),0)+IFERROR(VLOOKUP($A219,[3]库存使用数据!$A:$K,11,0),0)+IFERROR(VLOOKUP($A219,[4]库存使用数据!$A:$K,11,0),0)+IFERROR(VLOOKUP($A219,[5]库存使用数据!$A:$K,11,0),0)</f>
        <v>972</v>
      </c>
      <c r="L219" s="1">
        <f ca="1">IFERROR(VLOOKUP($A219,[1]库存使用数据!$A:$L,12,0),0)+IFERROR(VLOOKUP($A219,[2]库存使用数据!$A:$L,12,0),0)+IFERROR(VLOOKUP($A219,[3]库存使用数据!$A:$L,12,0),0)+IFERROR(VLOOKUP($A219,[4]库存使用数据!$A:$L,12,0),0)+IFERROR(VLOOKUP($A219,[5]库存使用数据!$A:$L,12,0),0)</f>
        <v>11</v>
      </c>
      <c r="M219" s="1">
        <f ca="1">IFERROR(VLOOKUP($A219,[1]库存使用数据!$A:$M,13,0),0)+IFERROR(VLOOKUP($A219,[2]库存使用数据!$A:$M,13,0),0)+公式!$B$14*IFERROR(VLOOKUP($A219,[3]库存使用数据!$A:$M,13,0),0)+IFERROR(VLOOKUP($A219,[4]库存使用数据!$A:$M,13,0),0)+IFERROR(VLOOKUP($A219,[5]库存使用数据!$A:$M,13,0),0)</f>
        <v>1.09</v>
      </c>
    </row>
    <row r="220" spans="1:13">
      <c r="A220" s="5" t="s">
        <v>225</v>
      </c>
      <c r="B220" s="2">
        <f ca="1">IFERROR(VLOOKUP(A220,[1]库存使用数据!$A:$B,2,0),0)+IFERROR(VLOOKUP(A220,[2]库存使用数据!$A:$B,2,0),0)+IFERROR(VLOOKUP(,[3]库存使用数据!$A:$B,2,0),0)+IFERROR(VLOOKUP(A220,[4]库存使用数据!$A:$B,2,0),0)+IFERROR(VLOOKUP(A220,[5]库存使用数据!$A:$B,2,0),0)</f>
        <v>0</v>
      </c>
      <c r="C220" s="1">
        <f ca="1">IFERROR(VLOOKUP($A220,[1]库存使用数据!$A:$C,3,0),0)+IFERROR(VLOOKUP($A220,[2]库存使用数据!$A:$C,3,0),0)+IFERROR(VLOOKUP($A220,[3]库存使用数据!$A:$C,3,0),0)+IFERROR(VLOOKUP($A220,[4]库存使用数据!$A:$C,3,0),0)+IFERROR(VLOOKUP($A220,[5]库存使用数据!$A:$C,3,0),0)</f>
        <v>0</v>
      </c>
      <c r="D220" s="1">
        <f ca="1">IFERROR(VLOOKUP($A220,[1]库存使用数据!$A:$D,4,0),0)+IFERROR(VLOOKUP($A220,[2]库存使用数据!$A:$D,4,0),0)+公式!$B$1*IFERROR(VLOOKUP($A220,[3]库存使用数据!$A:$D,4,0),0)+IFERROR(VLOOKUP($A220,[4]库存使用数据!$A:$D,4,0),0)+IFERROR(VLOOKUP($A220,[5]库存使用数据!$A:$D,4,0),0)</f>
        <v>0</v>
      </c>
      <c r="E220" s="1">
        <f ca="1">IFERROR(VLOOKUP($A220,[1]库存使用数据!$A:$E,5,0),0)+IFERROR(VLOOKUP($A220,[2]库存使用数据!$A:$E,5,0),0)+IFERROR(VLOOKUP($A220,[3]库存使用数据!$A:$E,5,0),0)+IFERROR(VLOOKUP($A220,[4]库存使用数据!$A:$E,5,0),0)+IFERROR(VLOOKUP($A220,[5]库存使用数据!$A:$E,5,0),0)</f>
        <v>696</v>
      </c>
      <c r="F220" s="1">
        <f ca="1">IFERROR(VLOOKUP($A220,[1]库存使用数据!$A:$F,6,0),0)+IFERROR(VLOOKUP($A220,[2]库存使用数据!$A:$F,6,0),0)+IFERROR(VLOOKUP($A220,[4]库存使用数据!$A:$F,6,0),0)+IFERROR(VLOOKUP($A220,[3]库存使用数据!$A:$F,6,0),0)+IFERROR(VLOOKUP($A220,[5]库存使用数据!$A:$F,6,0),0)</f>
        <v>0</v>
      </c>
      <c r="G220" s="1">
        <f ca="1">IFERROR(VLOOKUP($A220,[1]库存使用数据!$A:$G,7,0),0)+IFERROR(VLOOKUP($A220,[2]库存使用数据!$A:$G,7,0),0)+公式!$B$14*IFERROR(VLOOKUP($A220,[3]库存使用数据!$A:$G,7,0),0)+IFERROR(VLOOKUP($A220,[4]库存使用数据!$A:$G,7,0),0)+IFERROR(VLOOKUP($A220,[5]库存使用数据!$A:$G,7,0),0)</f>
        <v>0</v>
      </c>
      <c r="H220" s="1">
        <f ca="1">IFERROR(VLOOKUP($A220,[1]库存使用数据!$A:$H,8,0),0)+IFERROR(VLOOKUP($A220,[2]库存使用数据!$A:$H,8,0),0)+IFERROR(VLOOKUP($A220,[3]库存使用数据!$A:$H,8,0),0)+IFERROR(VLOOKUP($A220,[4]库存使用数据!$A:$H,8,0),0)+IFERROR(VLOOKUP($A220,[5]库存使用数据!$A:$H,8,0),0)</f>
        <v>144</v>
      </c>
      <c r="I220" s="1">
        <f ca="1">IFERROR(VLOOKUP($A220,[1]库存使用数据!$A:$I,9,0),0)+IFERROR(VLOOKUP($A220,[2]库存使用数据!$A:$I,9,0),0)+IFERROR(VLOOKUP($A220,[3]库存使用数据!$A:$I,9,0),0)+IFERROR(VLOOKUP($A220,[4]库存使用数据!$A:$I,9,0),0)+IFERROR(VLOOKUP($A220,[5]库存使用数据!$A:$I,9,0),0)</f>
        <v>0</v>
      </c>
      <c r="J220" s="1">
        <f ca="1">IFERROR(VLOOKUP($A220,[1]库存使用数据!$A:$J,10,0),0)+IFERROR(VLOOKUP($A220,[2]库存使用数据!$A:$J,10,0),0)+公式!$B$14*IFERROR(VLOOKUP($A220,[3]库存使用数据!$A:$J,10,0),0)+IFERROR(VLOOKUP($A220,[4]库存使用数据!$A:$J,10,0),0)+IFERROR(VLOOKUP($A220,[5]库存使用数据!$A:$J,10,0),0)</f>
        <v>0</v>
      </c>
      <c r="K220" s="1">
        <f ca="1">IFERROR(VLOOKUP($A220,[1]库存使用数据!$A:$K,11,0),0)+IFERROR(VLOOKUP($A220,[2]库存使用数据!$A:$K,11,0),0)+IFERROR(VLOOKUP($A220,[3]库存使用数据!$A:$K,11,0),0)+IFERROR(VLOOKUP($A220,[4]库存使用数据!$A:$K,11,0),0)+IFERROR(VLOOKUP($A220,[5]库存使用数据!$A:$K,11,0),0)</f>
        <v>190</v>
      </c>
      <c r="L220" s="1">
        <f ca="1">IFERROR(VLOOKUP($A220,[1]库存使用数据!$A:$L,12,0),0)+IFERROR(VLOOKUP($A220,[2]库存使用数据!$A:$L,12,0),0)+IFERROR(VLOOKUP($A220,[3]库存使用数据!$A:$L,12,0),0)+IFERROR(VLOOKUP($A220,[4]库存使用数据!$A:$L,12,0),0)+IFERROR(VLOOKUP($A220,[5]库存使用数据!$A:$L,12,0),0)</f>
        <v>1</v>
      </c>
      <c r="M220" s="1">
        <f ca="1">IFERROR(VLOOKUP($A220,[1]库存使用数据!$A:$M,13,0),0)+IFERROR(VLOOKUP($A220,[2]库存使用数据!$A:$M,13,0),0)+公式!$B$14*IFERROR(VLOOKUP($A220,[3]库存使用数据!$A:$M,13,0),0)+IFERROR(VLOOKUP($A220,[4]库存使用数据!$A:$M,13,0),0)+IFERROR(VLOOKUP($A220,[5]库存使用数据!$A:$M,13,0),0)</f>
        <v>0.23</v>
      </c>
    </row>
    <row r="221" spans="1:13">
      <c r="A221" s="5" t="s">
        <v>226</v>
      </c>
      <c r="B221" s="2">
        <f ca="1">IFERROR(VLOOKUP(A221,[1]库存使用数据!$A:$B,2,0),0)+IFERROR(VLOOKUP(A221,[2]库存使用数据!$A:$B,2,0),0)+IFERROR(VLOOKUP(,[3]库存使用数据!$A:$B,2,0),0)+IFERROR(VLOOKUP(A221,[4]库存使用数据!$A:$B,2,0),0)+IFERROR(VLOOKUP(A221,[5]库存使用数据!$A:$B,2,0),0)</f>
        <v>0</v>
      </c>
      <c r="C221" s="1">
        <f ca="1">IFERROR(VLOOKUP($A221,[1]库存使用数据!$A:$C,3,0),0)+IFERROR(VLOOKUP($A221,[2]库存使用数据!$A:$C,3,0),0)+IFERROR(VLOOKUP($A221,[3]库存使用数据!$A:$C,3,0),0)+IFERROR(VLOOKUP($A221,[4]库存使用数据!$A:$C,3,0),0)+IFERROR(VLOOKUP($A221,[5]库存使用数据!$A:$C,3,0),0)</f>
        <v>13</v>
      </c>
      <c r="D221" s="1">
        <f ca="1">IFERROR(VLOOKUP($A221,[1]库存使用数据!$A:$D,4,0),0)+IFERROR(VLOOKUP($A221,[2]库存使用数据!$A:$D,4,0),0)+公式!$B$1*IFERROR(VLOOKUP($A221,[3]库存使用数据!$A:$D,4,0),0)+IFERROR(VLOOKUP($A221,[4]库存使用数据!$A:$D,4,0),0)+IFERROR(VLOOKUP($A221,[5]库存使用数据!$A:$D,4,0),0)</f>
        <v>3.0375</v>
      </c>
      <c r="E221" s="1">
        <f ca="1">IFERROR(VLOOKUP($A221,[1]库存使用数据!$A:$E,5,0),0)+IFERROR(VLOOKUP($A221,[2]库存使用数据!$A:$E,5,0),0)+IFERROR(VLOOKUP($A221,[3]库存使用数据!$A:$E,5,0),0)+IFERROR(VLOOKUP($A221,[4]库存使用数据!$A:$E,5,0),0)+IFERROR(VLOOKUP($A221,[5]库存使用数据!$A:$E,5,0),0)</f>
        <v>2947</v>
      </c>
      <c r="F221" s="1">
        <f ca="1">IFERROR(VLOOKUP($A221,[1]库存使用数据!$A:$F,6,0),0)+IFERROR(VLOOKUP($A221,[2]库存使用数据!$A:$F,6,0),0)+IFERROR(VLOOKUP($A221,[4]库存使用数据!$A:$F,6,0),0)+IFERROR(VLOOKUP($A221,[3]库存使用数据!$A:$F,6,0),0)+IFERROR(VLOOKUP($A221,[5]库存使用数据!$A:$F,6,0),0)</f>
        <v>9</v>
      </c>
      <c r="G221" s="1">
        <f ca="1">IFERROR(VLOOKUP($A221,[1]库存使用数据!$A:$G,7,0),0)+IFERROR(VLOOKUP($A221,[2]库存使用数据!$A:$G,7,0),0)+公式!$B$14*IFERROR(VLOOKUP($A221,[3]库存使用数据!$A:$G,7,0),0)+IFERROR(VLOOKUP($A221,[4]库存使用数据!$A:$G,7,0),0)+IFERROR(VLOOKUP($A221,[5]库存使用数据!$A:$G,7,0),0)</f>
        <v>0.84</v>
      </c>
      <c r="H221" s="1">
        <f ca="1">IFERROR(VLOOKUP($A221,[1]库存使用数据!$A:$H,8,0),0)+IFERROR(VLOOKUP($A221,[2]库存使用数据!$A:$H,8,0),0)+IFERROR(VLOOKUP($A221,[3]库存使用数据!$A:$H,8,0),0)+IFERROR(VLOOKUP($A221,[4]库存使用数据!$A:$H,8,0),0)+IFERROR(VLOOKUP($A221,[5]库存使用数据!$A:$H,8,0),0)</f>
        <v>0</v>
      </c>
      <c r="I221" s="1">
        <f ca="1">IFERROR(VLOOKUP($A221,[1]库存使用数据!$A:$I,9,0),0)+IFERROR(VLOOKUP($A221,[2]库存使用数据!$A:$I,9,0),0)+IFERROR(VLOOKUP($A221,[3]库存使用数据!$A:$I,9,0),0)+IFERROR(VLOOKUP($A221,[4]库存使用数据!$A:$I,9,0),0)+IFERROR(VLOOKUP($A221,[5]库存使用数据!$A:$I,9,0),0)</f>
        <v>0</v>
      </c>
      <c r="J221" s="1">
        <f ca="1">IFERROR(VLOOKUP($A221,[1]库存使用数据!$A:$J,10,0),0)+IFERROR(VLOOKUP($A221,[2]库存使用数据!$A:$J,10,0),0)+公式!$B$14*IFERROR(VLOOKUP($A221,[3]库存使用数据!$A:$J,10,0),0)+IFERROR(VLOOKUP($A221,[4]库存使用数据!$A:$J,10,0),0)+IFERROR(VLOOKUP($A221,[5]库存使用数据!$A:$J,10,0),0)</f>
        <v>0</v>
      </c>
      <c r="K221" s="1">
        <f ca="1">IFERROR(VLOOKUP($A221,[1]库存使用数据!$A:$K,11,0),0)+IFERROR(VLOOKUP($A221,[2]库存使用数据!$A:$K,11,0),0)+IFERROR(VLOOKUP($A221,[3]库存使用数据!$A:$K,11,0),0)+IFERROR(VLOOKUP($A221,[4]库存使用数据!$A:$K,11,0),0)+IFERROR(VLOOKUP($A221,[5]库存使用数据!$A:$K,11,0),0)</f>
        <v>0</v>
      </c>
      <c r="L221" s="1">
        <f ca="1">IFERROR(VLOOKUP($A221,[1]库存使用数据!$A:$L,12,0),0)+IFERROR(VLOOKUP($A221,[2]库存使用数据!$A:$L,12,0),0)+IFERROR(VLOOKUP($A221,[3]库存使用数据!$A:$L,12,0),0)+IFERROR(VLOOKUP($A221,[4]库存使用数据!$A:$L,12,0),0)+IFERROR(VLOOKUP($A221,[5]库存使用数据!$A:$L,12,0),0)</f>
        <v>0</v>
      </c>
      <c r="M221" s="1">
        <f ca="1">IFERROR(VLOOKUP($A221,[1]库存使用数据!$A:$M,13,0),0)+IFERROR(VLOOKUP($A221,[2]库存使用数据!$A:$M,13,0),0)+公式!$B$14*IFERROR(VLOOKUP($A221,[3]库存使用数据!$A:$M,13,0),0)+IFERROR(VLOOKUP($A221,[4]库存使用数据!$A:$M,13,0),0)+IFERROR(VLOOKUP($A221,[5]库存使用数据!$A:$M,13,0),0)</f>
        <v>0</v>
      </c>
    </row>
    <row r="222" spans="1:13">
      <c r="A222" s="5" t="s">
        <v>227</v>
      </c>
      <c r="B222" s="2">
        <f ca="1">IFERROR(VLOOKUP(A222,[1]库存使用数据!$A:$B,2,0),0)+IFERROR(VLOOKUP(A222,[2]库存使用数据!$A:$B,2,0),0)+IFERROR(VLOOKUP(,[3]库存使用数据!$A:$B,2,0),0)+IFERROR(VLOOKUP(A222,[4]库存使用数据!$A:$B,2,0),0)+IFERROR(VLOOKUP(A222,[5]库存使用数据!$A:$B,2,0),0)</f>
        <v>0</v>
      </c>
      <c r="C222" s="1">
        <f ca="1">IFERROR(VLOOKUP($A222,[1]库存使用数据!$A:$C,3,0),0)+IFERROR(VLOOKUP($A222,[2]库存使用数据!$A:$C,3,0),0)+IFERROR(VLOOKUP($A222,[3]库存使用数据!$A:$C,3,0),0)+IFERROR(VLOOKUP($A222,[4]库存使用数据!$A:$C,3,0),0)+IFERROR(VLOOKUP($A222,[5]库存使用数据!$A:$C,3,0),0)</f>
        <v>0</v>
      </c>
      <c r="D222" s="1">
        <f ca="1">IFERROR(VLOOKUP($A222,[1]库存使用数据!$A:$D,4,0),0)+IFERROR(VLOOKUP($A222,[2]库存使用数据!$A:$D,4,0),0)+公式!$B$1*IFERROR(VLOOKUP($A222,[3]库存使用数据!$A:$D,4,0),0)+IFERROR(VLOOKUP($A222,[4]库存使用数据!$A:$D,4,0),0)+IFERROR(VLOOKUP($A222,[5]库存使用数据!$A:$D,4,0),0)</f>
        <v>0</v>
      </c>
      <c r="E222" s="1">
        <f ca="1">IFERROR(VLOOKUP($A222,[1]库存使用数据!$A:$E,5,0),0)+IFERROR(VLOOKUP($A222,[2]库存使用数据!$A:$E,5,0),0)+IFERROR(VLOOKUP($A222,[3]库存使用数据!$A:$E,5,0),0)+IFERROR(VLOOKUP($A222,[4]库存使用数据!$A:$E,5,0),0)+IFERROR(VLOOKUP($A222,[5]库存使用数据!$A:$E,5,0),0)</f>
        <v>978</v>
      </c>
      <c r="F222" s="1">
        <f ca="1">IFERROR(VLOOKUP($A222,[1]库存使用数据!$A:$F,6,0),0)+IFERROR(VLOOKUP($A222,[2]库存使用数据!$A:$F,6,0),0)+IFERROR(VLOOKUP($A222,[4]库存使用数据!$A:$F,6,0),0)+IFERROR(VLOOKUP($A222,[3]库存使用数据!$A:$F,6,0),0)+IFERROR(VLOOKUP($A222,[5]库存使用数据!$A:$F,6,0),0)</f>
        <v>4</v>
      </c>
      <c r="G222" s="1">
        <f ca="1">IFERROR(VLOOKUP($A222,[1]库存使用数据!$A:$G,7,0),0)+IFERROR(VLOOKUP($A222,[2]库存使用数据!$A:$G,7,0),0)+公式!$B$14*IFERROR(VLOOKUP($A222,[3]库存使用数据!$A:$G,7,0),0)+IFERROR(VLOOKUP($A222,[4]库存使用数据!$A:$G,7,0),0)+IFERROR(VLOOKUP($A222,[5]库存使用数据!$A:$G,7,0),0)</f>
        <v>0.16</v>
      </c>
      <c r="H222" s="1">
        <f ca="1">IFERROR(VLOOKUP($A222,[1]库存使用数据!$A:$H,8,0),0)+IFERROR(VLOOKUP($A222,[2]库存使用数据!$A:$H,8,0),0)+IFERROR(VLOOKUP($A222,[3]库存使用数据!$A:$H,8,0),0)+IFERROR(VLOOKUP($A222,[4]库存使用数据!$A:$H,8,0),0)+IFERROR(VLOOKUP($A222,[5]库存使用数据!$A:$H,8,0),0)</f>
        <v>82</v>
      </c>
      <c r="I222" s="1">
        <f ca="1">IFERROR(VLOOKUP($A222,[1]库存使用数据!$A:$I,9,0),0)+IFERROR(VLOOKUP($A222,[2]库存使用数据!$A:$I,9,0),0)+IFERROR(VLOOKUP($A222,[3]库存使用数据!$A:$I,9,0),0)+IFERROR(VLOOKUP($A222,[4]库存使用数据!$A:$I,9,0),0)+IFERROR(VLOOKUP($A222,[5]库存使用数据!$A:$I,9,0),0)</f>
        <v>0</v>
      </c>
      <c r="J222" s="1">
        <f ca="1">IFERROR(VLOOKUP($A222,[1]库存使用数据!$A:$J,10,0),0)+IFERROR(VLOOKUP($A222,[2]库存使用数据!$A:$J,10,0),0)+公式!$B$14*IFERROR(VLOOKUP($A222,[3]库存使用数据!$A:$J,10,0),0)+IFERROR(VLOOKUP($A222,[4]库存使用数据!$A:$J,10,0),0)+IFERROR(VLOOKUP($A222,[5]库存使用数据!$A:$J,10,0),0)</f>
        <v>0</v>
      </c>
      <c r="K222" s="1">
        <f ca="1">IFERROR(VLOOKUP($A222,[1]库存使用数据!$A:$K,11,0),0)+IFERROR(VLOOKUP($A222,[2]库存使用数据!$A:$K,11,0),0)+IFERROR(VLOOKUP($A222,[3]库存使用数据!$A:$K,11,0),0)+IFERROR(VLOOKUP($A222,[4]库存使用数据!$A:$K,11,0),0)+IFERROR(VLOOKUP($A222,[5]库存使用数据!$A:$K,11,0),0)</f>
        <v>583</v>
      </c>
      <c r="L222" s="1">
        <f ca="1">IFERROR(VLOOKUP($A222,[1]库存使用数据!$A:$L,12,0),0)+IFERROR(VLOOKUP($A222,[2]库存使用数据!$A:$L,12,0),0)+IFERROR(VLOOKUP($A222,[3]库存使用数据!$A:$L,12,0),0)+IFERROR(VLOOKUP($A222,[4]库存使用数据!$A:$L,12,0),0)+IFERROR(VLOOKUP($A222,[5]库存使用数据!$A:$L,12,0),0)</f>
        <v>3</v>
      </c>
      <c r="M222" s="1">
        <f ca="1">IFERROR(VLOOKUP($A222,[1]库存使用数据!$A:$M,13,0),0)+IFERROR(VLOOKUP($A222,[2]库存使用数据!$A:$M,13,0),0)+公式!$B$14*IFERROR(VLOOKUP($A222,[3]库存使用数据!$A:$M,13,0),0)+IFERROR(VLOOKUP($A222,[4]库存使用数据!$A:$M,13,0),0)+IFERROR(VLOOKUP($A222,[5]库存使用数据!$A:$M,13,0),0)</f>
        <v>0.81</v>
      </c>
    </row>
    <row r="223" spans="1:13">
      <c r="A223" s="5" t="s">
        <v>228</v>
      </c>
      <c r="B223" s="2">
        <f ca="1">IFERROR(VLOOKUP(A223,[1]库存使用数据!$A:$B,2,0),0)+IFERROR(VLOOKUP(A223,[2]库存使用数据!$A:$B,2,0),0)+IFERROR(VLOOKUP(,[3]库存使用数据!$A:$B,2,0),0)+IFERROR(VLOOKUP(A223,[4]库存使用数据!$A:$B,2,0),0)+IFERROR(VLOOKUP(A223,[5]库存使用数据!$A:$B,2,0),0)</f>
        <v>0</v>
      </c>
      <c r="C223" s="1">
        <f ca="1">IFERROR(VLOOKUP($A223,[1]库存使用数据!$A:$C,3,0),0)+IFERROR(VLOOKUP($A223,[2]库存使用数据!$A:$C,3,0),0)+IFERROR(VLOOKUP($A223,[3]库存使用数据!$A:$C,3,0),0)+IFERROR(VLOOKUP($A223,[4]库存使用数据!$A:$C,3,0),0)+IFERROR(VLOOKUP($A223,[5]库存使用数据!$A:$C,3,0),0)</f>
        <v>0</v>
      </c>
      <c r="D223" s="1">
        <f ca="1">IFERROR(VLOOKUP($A223,[1]库存使用数据!$A:$D,4,0),0)+IFERROR(VLOOKUP($A223,[2]库存使用数据!$A:$D,4,0),0)+公式!$B$1*IFERROR(VLOOKUP($A223,[3]库存使用数据!$A:$D,4,0),0)+IFERROR(VLOOKUP($A223,[4]库存使用数据!$A:$D,4,0),0)+IFERROR(VLOOKUP($A223,[5]库存使用数据!$A:$D,4,0),0)</f>
        <v>0</v>
      </c>
      <c r="E223" s="1">
        <f ca="1">IFERROR(VLOOKUP($A223,[1]库存使用数据!$A:$E,5,0),0)+IFERROR(VLOOKUP($A223,[2]库存使用数据!$A:$E,5,0),0)+IFERROR(VLOOKUP($A223,[3]库存使用数据!$A:$E,5,0),0)+IFERROR(VLOOKUP($A223,[4]库存使用数据!$A:$E,5,0),0)+IFERROR(VLOOKUP($A223,[5]库存使用数据!$A:$E,5,0),0)</f>
        <v>4700</v>
      </c>
      <c r="F223" s="1">
        <f ca="1">IFERROR(VLOOKUP($A223,[1]库存使用数据!$A:$F,6,0),0)+IFERROR(VLOOKUP($A223,[2]库存使用数据!$A:$F,6,0),0)+IFERROR(VLOOKUP($A223,[4]库存使用数据!$A:$F,6,0),0)+IFERROR(VLOOKUP($A223,[3]库存使用数据!$A:$F,6,0),0)+IFERROR(VLOOKUP($A223,[5]库存使用数据!$A:$F,6,0),0)</f>
        <v>14</v>
      </c>
      <c r="G223" s="1">
        <f ca="1">IFERROR(VLOOKUP($A223,[1]库存使用数据!$A:$G,7,0),0)+IFERROR(VLOOKUP($A223,[2]库存使用数据!$A:$G,7,0),0)+公式!$B$14*IFERROR(VLOOKUP($A223,[3]库存使用数据!$A:$G,7,0),0)+IFERROR(VLOOKUP($A223,[4]库存使用数据!$A:$G,7,0),0)+IFERROR(VLOOKUP($A223,[5]库存使用数据!$A:$G,7,0),0)</f>
        <v>2.7</v>
      </c>
      <c r="H223" s="1">
        <f ca="1">IFERROR(VLOOKUP($A223,[1]库存使用数据!$A:$H,8,0),0)+IFERROR(VLOOKUP($A223,[2]库存使用数据!$A:$H,8,0),0)+IFERROR(VLOOKUP($A223,[3]库存使用数据!$A:$H,8,0),0)+IFERROR(VLOOKUP($A223,[4]库存使用数据!$A:$H,8,0),0)+IFERROR(VLOOKUP($A223,[5]库存使用数据!$A:$H,8,0),0)</f>
        <v>4990</v>
      </c>
      <c r="I223" s="1">
        <f ca="1">IFERROR(VLOOKUP($A223,[1]库存使用数据!$A:$I,9,0),0)+IFERROR(VLOOKUP($A223,[2]库存使用数据!$A:$I,9,0),0)+IFERROR(VLOOKUP($A223,[3]库存使用数据!$A:$I,9,0),0)+IFERROR(VLOOKUP($A223,[4]库存使用数据!$A:$I,9,0),0)+IFERROR(VLOOKUP($A223,[5]库存使用数据!$A:$I,9,0),0)</f>
        <v>18</v>
      </c>
      <c r="J223" s="1">
        <f ca="1">IFERROR(VLOOKUP($A223,[1]库存使用数据!$A:$J,10,0),0)+IFERROR(VLOOKUP($A223,[2]库存使用数据!$A:$J,10,0),0)+公式!$B$14*IFERROR(VLOOKUP($A223,[3]库存使用数据!$A:$J,10,0),0)+IFERROR(VLOOKUP($A223,[4]库存使用数据!$A:$J,10,0),0)+IFERROR(VLOOKUP($A223,[5]库存使用数据!$A:$J,10,0),0)</f>
        <v>3.45</v>
      </c>
      <c r="K223" s="1">
        <f ca="1">IFERROR(VLOOKUP($A223,[1]库存使用数据!$A:$K,11,0),0)+IFERROR(VLOOKUP($A223,[2]库存使用数据!$A:$K,11,0),0)+IFERROR(VLOOKUP($A223,[3]库存使用数据!$A:$K,11,0),0)+IFERROR(VLOOKUP($A223,[4]库存使用数据!$A:$K,11,0),0)+IFERROR(VLOOKUP($A223,[5]库存使用数据!$A:$K,11,0),0)</f>
        <v>322</v>
      </c>
      <c r="L223" s="1">
        <f ca="1">IFERROR(VLOOKUP($A223,[1]库存使用数据!$A:$L,12,0),0)+IFERROR(VLOOKUP($A223,[2]库存使用数据!$A:$L,12,0),0)+IFERROR(VLOOKUP($A223,[3]库存使用数据!$A:$L,12,0),0)+IFERROR(VLOOKUP($A223,[4]库存使用数据!$A:$L,12,0),0)+IFERROR(VLOOKUP($A223,[5]库存使用数据!$A:$L,12,0),0)</f>
        <v>2</v>
      </c>
      <c r="M223" s="1">
        <f ca="1">IFERROR(VLOOKUP($A223,[1]库存使用数据!$A:$M,13,0),0)+IFERROR(VLOOKUP($A223,[2]库存使用数据!$A:$M,13,0),0)+公式!$B$14*IFERROR(VLOOKUP($A223,[3]库存使用数据!$A:$M,13,0),0)+IFERROR(VLOOKUP($A223,[4]库存使用数据!$A:$M,13,0),0)+IFERROR(VLOOKUP($A223,[5]库存使用数据!$A:$M,13,0),0)</f>
        <v>0.52</v>
      </c>
    </row>
    <row r="224" spans="1:13">
      <c r="A224" s="5" t="s">
        <v>229</v>
      </c>
      <c r="B224" s="2">
        <f ca="1">IFERROR(VLOOKUP(A224,[1]库存使用数据!$A:$B,2,0),0)+IFERROR(VLOOKUP(A224,[2]库存使用数据!$A:$B,2,0),0)+IFERROR(VLOOKUP(,[3]库存使用数据!$A:$B,2,0),0)+IFERROR(VLOOKUP(A224,[4]库存使用数据!$A:$B,2,0),0)+IFERROR(VLOOKUP(A224,[5]库存使用数据!$A:$B,2,0),0)</f>
        <v>0</v>
      </c>
      <c r="C224" s="1">
        <f ca="1">IFERROR(VLOOKUP($A224,[1]库存使用数据!$A:$C,3,0),0)+IFERROR(VLOOKUP($A224,[2]库存使用数据!$A:$C,3,0),0)+IFERROR(VLOOKUP($A224,[3]库存使用数据!$A:$C,3,0),0)+IFERROR(VLOOKUP($A224,[4]库存使用数据!$A:$C,3,0),0)+IFERROR(VLOOKUP($A224,[5]库存使用数据!$A:$C,3,0),0)</f>
        <v>0</v>
      </c>
      <c r="D224" s="1">
        <f ca="1">IFERROR(VLOOKUP($A224,[1]库存使用数据!$A:$D,4,0),0)+IFERROR(VLOOKUP($A224,[2]库存使用数据!$A:$D,4,0),0)+公式!$B$1*IFERROR(VLOOKUP($A224,[3]库存使用数据!$A:$D,4,0),0)+IFERROR(VLOOKUP($A224,[4]库存使用数据!$A:$D,4,0),0)+IFERROR(VLOOKUP($A224,[5]库存使用数据!$A:$D,4,0),0)</f>
        <v>0</v>
      </c>
      <c r="E224" s="1">
        <f ca="1">IFERROR(VLOOKUP($A224,[1]库存使用数据!$A:$E,5,0),0)+IFERROR(VLOOKUP($A224,[2]库存使用数据!$A:$E,5,0),0)+IFERROR(VLOOKUP($A224,[3]库存使用数据!$A:$E,5,0),0)+IFERROR(VLOOKUP($A224,[4]库存使用数据!$A:$E,5,0),0)+IFERROR(VLOOKUP($A224,[5]库存使用数据!$A:$E,5,0),0)</f>
        <v>40289</v>
      </c>
      <c r="F224" s="1">
        <f ca="1">IFERROR(VLOOKUP($A224,[1]库存使用数据!$A:$F,6,0),0)+IFERROR(VLOOKUP($A224,[2]库存使用数据!$A:$F,6,0),0)+IFERROR(VLOOKUP($A224,[4]库存使用数据!$A:$F,6,0),0)+IFERROR(VLOOKUP($A224,[3]库存使用数据!$A:$F,6,0),0)+IFERROR(VLOOKUP($A224,[5]库存使用数据!$A:$F,6,0),0)</f>
        <v>139</v>
      </c>
      <c r="G224" s="1">
        <f ca="1">IFERROR(VLOOKUP($A224,[1]库存使用数据!$A:$G,7,0),0)+IFERROR(VLOOKUP($A224,[2]库存使用数据!$A:$G,7,0),0)+公式!$B$14*IFERROR(VLOOKUP($A224,[3]库存使用数据!$A:$G,7,0),0)+IFERROR(VLOOKUP($A224,[4]库存使用数据!$A:$G,7,0),0)+IFERROR(VLOOKUP($A224,[5]库存使用数据!$A:$G,7,0),0)</f>
        <v>31.96</v>
      </c>
      <c r="H224" s="1">
        <f ca="1">IFERROR(VLOOKUP($A224,[1]库存使用数据!$A:$H,8,0),0)+IFERROR(VLOOKUP($A224,[2]库存使用数据!$A:$H,8,0),0)+IFERROR(VLOOKUP($A224,[3]库存使用数据!$A:$H,8,0),0)+IFERROR(VLOOKUP($A224,[4]库存使用数据!$A:$H,8,0),0)+IFERROR(VLOOKUP($A224,[5]库存使用数据!$A:$H,8,0),0)</f>
        <v>6038</v>
      </c>
      <c r="I224" s="1">
        <f ca="1">IFERROR(VLOOKUP($A224,[1]库存使用数据!$A:$I,9,0),0)+IFERROR(VLOOKUP($A224,[2]库存使用数据!$A:$I,9,0),0)+IFERROR(VLOOKUP($A224,[3]库存使用数据!$A:$I,9,0),0)+IFERROR(VLOOKUP($A224,[4]库存使用数据!$A:$I,9,0),0)+IFERROR(VLOOKUP($A224,[5]库存使用数据!$A:$I,9,0),0)</f>
        <v>23</v>
      </c>
      <c r="J224" s="1">
        <f ca="1">IFERROR(VLOOKUP($A224,[1]库存使用数据!$A:$J,10,0),0)+IFERROR(VLOOKUP($A224,[2]库存使用数据!$A:$J,10,0),0)+公式!$B$14*IFERROR(VLOOKUP($A224,[3]库存使用数据!$A:$J,10,0),0)+IFERROR(VLOOKUP($A224,[4]库存使用数据!$A:$J,10,0),0)+IFERROR(VLOOKUP($A224,[5]库存使用数据!$A:$J,10,0),0)</f>
        <v>4.21</v>
      </c>
      <c r="K224" s="1">
        <f ca="1">IFERROR(VLOOKUP($A224,[1]库存使用数据!$A:$K,11,0),0)+IFERROR(VLOOKUP($A224,[2]库存使用数据!$A:$K,11,0),0)+IFERROR(VLOOKUP($A224,[3]库存使用数据!$A:$K,11,0),0)+IFERROR(VLOOKUP($A224,[4]库存使用数据!$A:$K,11,0),0)+IFERROR(VLOOKUP($A224,[5]库存使用数据!$A:$K,11,0),0)</f>
        <v>1644</v>
      </c>
      <c r="L224" s="1">
        <f ca="1">IFERROR(VLOOKUP($A224,[1]库存使用数据!$A:$L,12,0),0)+IFERROR(VLOOKUP($A224,[2]库存使用数据!$A:$L,12,0),0)+IFERROR(VLOOKUP($A224,[3]库存使用数据!$A:$L,12,0),0)+IFERROR(VLOOKUP($A224,[4]库存使用数据!$A:$L,12,0),0)+IFERROR(VLOOKUP($A224,[5]库存使用数据!$A:$L,12,0),0)</f>
        <v>7</v>
      </c>
      <c r="M224" s="1">
        <f ca="1">IFERROR(VLOOKUP($A224,[1]库存使用数据!$A:$M,13,0),0)+IFERROR(VLOOKUP($A224,[2]库存使用数据!$A:$M,13,0),0)+公式!$B$14*IFERROR(VLOOKUP($A224,[3]库存使用数据!$A:$M,13,0),0)+IFERROR(VLOOKUP($A224,[4]库存使用数据!$A:$M,13,0),0)+IFERROR(VLOOKUP($A224,[5]库存使用数据!$A:$M,13,0),0)</f>
        <v>1.59</v>
      </c>
    </row>
    <row r="225" spans="1:13">
      <c r="A225" s="5" t="s">
        <v>230</v>
      </c>
      <c r="B225" s="2">
        <f ca="1">IFERROR(VLOOKUP(A225,[1]库存使用数据!$A:$B,2,0),0)+IFERROR(VLOOKUP(A225,[2]库存使用数据!$A:$B,2,0),0)+IFERROR(VLOOKUP(,[3]库存使用数据!$A:$B,2,0),0)+IFERROR(VLOOKUP(A225,[4]库存使用数据!$A:$B,2,0),0)+IFERROR(VLOOKUP(A225,[5]库存使用数据!$A:$B,2,0),0)</f>
        <v>0</v>
      </c>
      <c r="C225" s="1">
        <f ca="1">IFERROR(VLOOKUP($A225,[1]库存使用数据!$A:$C,3,0),0)+IFERROR(VLOOKUP($A225,[2]库存使用数据!$A:$C,3,0),0)+IFERROR(VLOOKUP($A225,[3]库存使用数据!$A:$C,3,0),0)+IFERROR(VLOOKUP($A225,[4]库存使用数据!$A:$C,3,0),0)+IFERROR(VLOOKUP($A225,[5]库存使用数据!$A:$C,3,0),0)</f>
        <v>0</v>
      </c>
      <c r="D225" s="1">
        <f ca="1">IFERROR(VLOOKUP($A225,[1]库存使用数据!$A:$D,4,0),0)+IFERROR(VLOOKUP($A225,[2]库存使用数据!$A:$D,4,0),0)+公式!$B$1*IFERROR(VLOOKUP($A225,[3]库存使用数据!$A:$D,4,0),0)+IFERROR(VLOOKUP($A225,[4]库存使用数据!$A:$D,4,0),0)+IFERROR(VLOOKUP($A225,[5]库存使用数据!$A:$D,4,0),0)</f>
        <v>0</v>
      </c>
      <c r="E225" s="1">
        <f ca="1">IFERROR(VLOOKUP($A225,[1]库存使用数据!$A:$E,5,0),0)+IFERROR(VLOOKUP($A225,[2]库存使用数据!$A:$E,5,0),0)+IFERROR(VLOOKUP($A225,[3]库存使用数据!$A:$E,5,0),0)+IFERROR(VLOOKUP($A225,[4]库存使用数据!$A:$E,5,0),0)+IFERROR(VLOOKUP($A225,[5]库存使用数据!$A:$E,5,0),0)</f>
        <v>6639</v>
      </c>
      <c r="F225" s="1">
        <f ca="1">IFERROR(VLOOKUP($A225,[1]库存使用数据!$A:$F,6,0),0)+IFERROR(VLOOKUP($A225,[2]库存使用数据!$A:$F,6,0),0)+IFERROR(VLOOKUP($A225,[4]库存使用数据!$A:$F,6,0),0)+IFERROR(VLOOKUP($A225,[3]库存使用数据!$A:$F,6,0),0)+IFERROR(VLOOKUP($A225,[5]库存使用数据!$A:$F,6,0),0)</f>
        <v>35</v>
      </c>
      <c r="G225" s="1">
        <f ca="1">IFERROR(VLOOKUP($A225,[1]库存使用数据!$A:$G,7,0),0)+IFERROR(VLOOKUP($A225,[2]库存使用数据!$A:$G,7,0),0)+公式!$B$14*IFERROR(VLOOKUP($A225,[3]库存使用数据!$A:$G,7,0),0)+IFERROR(VLOOKUP($A225,[4]库存使用数据!$A:$G,7,0),0)+IFERROR(VLOOKUP($A225,[5]库存使用数据!$A:$G,7,0),0)</f>
        <v>4.18</v>
      </c>
      <c r="H225" s="1">
        <f ca="1">IFERROR(VLOOKUP($A225,[1]库存使用数据!$A:$H,8,0),0)+IFERROR(VLOOKUP($A225,[2]库存使用数据!$A:$H,8,0),0)+IFERROR(VLOOKUP($A225,[3]库存使用数据!$A:$H,8,0),0)+IFERROR(VLOOKUP($A225,[4]库存使用数据!$A:$H,8,0),0)+IFERROR(VLOOKUP($A225,[5]库存使用数据!$A:$H,8,0),0)</f>
        <v>2840</v>
      </c>
      <c r="I225" s="1">
        <f ca="1">IFERROR(VLOOKUP($A225,[1]库存使用数据!$A:$I,9,0),0)+IFERROR(VLOOKUP($A225,[2]库存使用数据!$A:$I,9,0),0)+IFERROR(VLOOKUP($A225,[3]库存使用数据!$A:$I,9,0),0)+IFERROR(VLOOKUP($A225,[4]库存使用数据!$A:$I,9,0),0)+IFERROR(VLOOKUP($A225,[5]库存使用数据!$A:$I,9,0),0)</f>
        <v>15</v>
      </c>
      <c r="J225" s="1">
        <f ca="1">IFERROR(VLOOKUP($A225,[1]库存使用数据!$A:$J,10,0),0)+IFERROR(VLOOKUP($A225,[2]库存使用数据!$A:$J,10,0),0)+公式!$B$14*IFERROR(VLOOKUP($A225,[3]库存使用数据!$A:$J,10,0),0)+IFERROR(VLOOKUP($A225,[4]库存使用数据!$A:$J,10,0),0)+IFERROR(VLOOKUP($A225,[5]库存使用数据!$A:$J,10,0),0)</f>
        <v>1.94</v>
      </c>
      <c r="K225" s="1">
        <f ca="1">IFERROR(VLOOKUP($A225,[1]库存使用数据!$A:$K,11,0),0)+IFERROR(VLOOKUP($A225,[2]库存使用数据!$A:$K,11,0),0)+IFERROR(VLOOKUP($A225,[3]库存使用数据!$A:$K,11,0),0)+IFERROR(VLOOKUP($A225,[4]库存使用数据!$A:$K,11,0),0)+IFERROR(VLOOKUP($A225,[5]库存使用数据!$A:$K,11,0),0)</f>
        <v>8500</v>
      </c>
      <c r="L225" s="1">
        <f ca="1">IFERROR(VLOOKUP($A225,[1]库存使用数据!$A:$L,12,0),0)+IFERROR(VLOOKUP($A225,[2]库存使用数据!$A:$L,12,0),0)+IFERROR(VLOOKUP($A225,[3]库存使用数据!$A:$L,12,0),0)+IFERROR(VLOOKUP($A225,[4]库存使用数据!$A:$L,12,0),0)+IFERROR(VLOOKUP($A225,[5]库存使用数据!$A:$L,12,0),0)</f>
        <v>19</v>
      </c>
      <c r="M225" s="1">
        <f ca="1">IFERROR(VLOOKUP($A225,[1]库存使用数据!$A:$M,13,0),0)+IFERROR(VLOOKUP($A225,[2]库存使用数据!$A:$M,13,0),0)+公式!$B$14*IFERROR(VLOOKUP($A225,[3]库存使用数据!$A:$M,13,0),0)+IFERROR(VLOOKUP($A225,[4]库存使用数据!$A:$M,13,0),0)+IFERROR(VLOOKUP($A225,[5]库存使用数据!$A:$M,13,0),0)</f>
        <v>2.22</v>
      </c>
    </row>
    <row r="226" spans="1:13">
      <c r="A226" s="5" t="s">
        <v>231</v>
      </c>
      <c r="B226" s="2">
        <f ca="1">IFERROR(VLOOKUP(A226,[1]库存使用数据!$A:$B,2,0),0)+IFERROR(VLOOKUP(A226,[2]库存使用数据!$A:$B,2,0),0)+IFERROR(VLOOKUP(,[3]库存使用数据!$A:$B,2,0),0)+IFERROR(VLOOKUP(A226,[4]库存使用数据!$A:$B,2,0),0)+IFERROR(VLOOKUP(A226,[5]库存使用数据!$A:$B,2,0),0)</f>
        <v>0</v>
      </c>
      <c r="C226" s="1">
        <f ca="1">IFERROR(VLOOKUP($A226,[1]库存使用数据!$A:$C,3,0),0)+IFERROR(VLOOKUP($A226,[2]库存使用数据!$A:$C,3,0),0)+IFERROR(VLOOKUP($A226,[3]库存使用数据!$A:$C,3,0),0)+IFERROR(VLOOKUP($A226,[4]库存使用数据!$A:$C,3,0),0)+IFERROR(VLOOKUP($A226,[5]库存使用数据!$A:$C,3,0),0)</f>
        <v>0</v>
      </c>
      <c r="D226" s="1">
        <f ca="1">IFERROR(VLOOKUP($A226,[1]库存使用数据!$A:$D,4,0),0)+IFERROR(VLOOKUP($A226,[2]库存使用数据!$A:$D,4,0),0)+公式!$B$1*IFERROR(VLOOKUP($A226,[3]库存使用数据!$A:$D,4,0),0)+IFERROR(VLOOKUP($A226,[4]库存使用数据!$A:$D,4,0),0)+IFERROR(VLOOKUP($A226,[5]库存使用数据!$A:$D,4,0),0)</f>
        <v>0</v>
      </c>
      <c r="E226" s="1">
        <f ca="1">IFERROR(VLOOKUP($A226,[1]库存使用数据!$A:$E,5,0),0)+IFERROR(VLOOKUP($A226,[2]库存使用数据!$A:$E,5,0),0)+IFERROR(VLOOKUP($A226,[3]库存使用数据!$A:$E,5,0),0)+IFERROR(VLOOKUP($A226,[4]库存使用数据!$A:$E,5,0),0)+IFERROR(VLOOKUP($A226,[5]库存使用数据!$A:$E,5,0),0)</f>
        <v>1215</v>
      </c>
      <c r="F226" s="1">
        <f ca="1">IFERROR(VLOOKUP($A226,[1]库存使用数据!$A:$F,6,0),0)+IFERROR(VLOOKUP($A226,[2]库存使用数据!$A:$F,6,0),0)+IFERROR(VLOOKUP($A226,[4]库存使用数据!$A:$F,6,0),0)+IFERROR(VLOOKUP($A226,[3]库存使用数据!$A:$F,6,0),0)+IFERROR(VLOOKUP($A226,[5]库存使用数据!$A:$F,6,0),0)</f>
        <v>11</v>
      </c>
      <c r="G226" s="1">
        <f ca="1">IFERROR(VLOOKUP($A226,[1]库存使用数据!$A:$G,7,0),0)+IFERROR(VLOOKUP($A226,[2]库存使用数据!$A:$G,7,0),0)+公式!$B$14*IFERROR(VLOOKUP($A226,[3]库存使用数据!$A:$G,7,0),0)+IFERROR(VLOOKUP($A226,[4]库存使用数据!$A:$G,7,0),0)+IFERROR(VLOOKUP($A226,[5]库存使用数据!$A:$G,7,0),0)</f>
        <v>3.74</v>
      </c>
      <c r="H226" s="1">
        <f ca="1">IFERROR(VLOOKUP($A226,[1]库存使用数据!$A:$H,8,0),0)+IFERROR(VLOOKUP($A226,[2]库存使用数据!$A:$H,8,0),0)+IFERROR(VLOOKUP($A226,[3]库存使用数据!$A:$H,8,0),0)+IFERROR(VLOOKUP($A226,[4]库存使用数据!$A:$H,8,0),0)+IFERROR(VLOOKUP($A226,[5]库存使用数据!$A:$H,8,0),0)</f>
        <v>2401</v>
      </c>
      <c r="I226" s="1">
        <f ca="1">IFERROR(VLOOKUP($A226,[1]库存使用数据!$A:$I,9,0),0)+IFERROR(VLOOKUP($A226,[2]库存使用数据!$A:$I,9,0),0)+IFERROR(VLOOKUP($A226,[3]库存使用数据!$A:$I,9,0),0)+IFERROR(VLOOKUP($A226,[4]库存使用数据!$A:$I,9,0),0)+IFERROR(VLOOKUP($A226,[5]库存使用数据!$A:$I,9,0),0)</f>
        <v>19</v>
      </c>
      <c r="J226" s="1">
        <f ca="1">IFERROR(VLOOKUP($A226,[1]库存使用数据!$A:$J,10,0),0)+IFERROR(VLOOKUP($A226,[2]库存使用数据!$A:$J,10,0),0)+公式!$B$14*IFERROR(VLOOKUP($A226,[3]库存使用数据!$A:$J,10,0),0)+IFERROR(VLOOKUP($A226,[4]库存使用数据!$A:$J,10,0),0)+IFERROR(VLOOKUP($A226,[5]库存使用数据!$A:$J,10,0),0)</f>
        <v>5.71</v>
      </c>
      <c r="K226" s="1">
        <f ca="1">IFERROR(VLOOKUP($A226,[1]库存使用数据!$A:$K,11,0),0)+IFERROR(VLOOKUP($A226,[2]库存使用数据!$A:$K,11,0),0)+IFERROR(VLOOKUP($A226,[3]库存使用数据!$A:$K,11,0),0)+IFERROR(VLOOKUP($A226,[4]库存使用数据!$A:$K,11,0),0)+IFERROR(VLOOKUP($A226,[5]库存使用数据!$A:$K,11,0),0)</f>
        <v>5423</v>
      </c>
      <c r="L226" s="1">
        <f ca="1">IFERROR(VLOOKUP($A226,[1]库存使用数据!$A:$L,12,0),0)+IFERROR(VLOOKUP($A226,[2]库存使用数据!$A:$L,12,0),0)+IFERROR(VLOOKUP($A226,[3]库存使用数据!$A:$L,12,0),0)+IFERROR(VLOOKUP($A226,[4]库存使用数据!$A:$L,12,0),0)+IFERROR(VLOOKUP($A226,[5]库存使用数据!$A:$L,12,0),0)</f>
        <v>84</v>
      </c>
      <c r="M226" s="1">
        <f ca="1">IFERROR(VLOOKUP($A226,[1]库存使用数据!$A:$M,13,0),0)+IFERROR(VLOOKUP($A226,[2]库存使用数据!$A:$M,13,0),0)+公式!$B$14*IFERROR(VLOOKUP($A226,[3]库存使用数据!$A:$M,13,0),0)+IFERROR(VLOOKUP($A226,[4]库存使用数据!$A:$M,13,0),0)+IFERROR(VLOOKUP($A226,[5]库存使用数据!$A:$M,13,0),0)</f>
        <v>20.38</v>
      </c>
    </row>
    <row r="227" spans="1:13">
      <c r="A227" s="5" t="s">
        <v>232</v>
      </c>
      <c r="B227" s="2">
        <f ca="1">IFERROR(VLOOKUP(A227,[1]库存使用数据!$A:$B,2,0),0)+IFERROR(VLOOKUP(A227,[2]库存使用数据!$A:$B,2,0),0)+IFERROR(VLOOKUP(,[3]库存使用数据!$A:$B,2,0),0)+IFERROR(VLOOKUP(A227,[4]库存使用数据!$A:$B,2,0),0)+IFERROR(VLOOKUP(A227,[5]库存使用数据!$A:$B,2,0),0)</f>
        <v>0</v>
      </c>
      <c r="C227" s="1">
        <f ca="1">IFERROR(VLOOKUP($A227,[1]库存使用数据!$A:$C,3,0),0)+IFERROR(VLOOKUP($A227,[2]库存使用数据!$A:$C,3,0),0)+IFERROR(VLOOKUP($A227,[3]库存使用数据!$A:$C,3,0),0)+IFERROR(VLOOKUP($A227,[4]库存使用数据!$A:$C,3,0),0)+IFERROR(VLOOKUP($A227,[5]库存使用数据!$A:$C,3,0),0)</f>
        <v>0</v>
      </c>
      <c r="D227" s="1">
        <f ca="1">IFERROR(VLOOKUP($A227,[1]库存使用数据!$A:$D,4,0),0)+IFERROR(VLOOKUP($A227,[2]库存使用数据!$A:$D,4,0),0)+公式!$B$1*IFERROR(VLOOKUP($A227,[3]库存使用数据!$A:$D,4,0),0)+IFERROR(VLOOKUP($A227,[4]库存使用数据!$A:$D,4,0),0)+IFERROR(VLOOKUP($A227,[5]库存使用数据!$A:$D,4,0),0)</f>
        <v>0</v>
      </c>
      <c r="E227" s="1">
        <f ca="1">IFERROR(VLOOKUP($A227,[1]库存使用数据!$A:$E,5,0),0)+IFERROR(VLOOKUP($A227,[2]库存使用数据!$A:$E,5,0),0)+IFERROR(VLOOKUP($A227,[3]库存使用数据!$A:$E,5,0),0)+IFERROR(VLOOKUP($A227,[4]库存使用数据!$A:$E,5,0),0)+IFERROR(VLOOKUP($A227,[5]库存使用数据!$A:$E,5,0),0)</f>
        <v>1938</v>
      </c>
      <c r="F227" s="1">
        <f ca="1">IFERROR(VLOOKUP($A227,[1]库存使用数据!$A:$F,6,0),0)+IFERROR(VLOOKUP($A227,[2]库存使用数据!$A:$F,6,0),0)+IFERROR(VLOOKUP($A227,[4]库存使用数据!$A:$F,6,0),0)+IFERROR(VLOOKUP($A227,[3]库存使用数据!$A:$F,6,0),0)+IFERROR(VLOOKUP($A227,[5]库存使用数据!$A:$F,6,0),0)</f>
        <v>8</v>
      </c>
      <c r="G227" s="1">
        <f ca="1">IFERROR(VLOOKUP($A227,[1]库存使用数据!$A:$G,7,0),0)+IFERROR(VLOOKUP($A227,[2]库存使用数据!$A:$G,7,0),0)+公式!$B$14*IFERROR(VLOOKUP($A227,[3]库存使用数据!$A:$G,7,0),0)+IFERROR(VLOOKUP($A227,[4]库存使用数据!$A:$G,7,0),0)+IFERROR(VLOOKUP($A227,[5]库存使用数据!$A:$G,7,0),0)</f>
        <v>1.92</v>
      </c>
      <c r="H227" s="1">
        <f ca="1">IFERROR(VLOOKUP($A227,[1]库存使用数据!$A:$H,8,0),0)+IFERROR(VLOOKUP($A227,[2]库存使用数据!$A:$H,8,0),0)+IFERROR(VLOOKUP($A227,[3]库存使用数据!$A:$H,8,0),0)+IFERROR(VLOOKUP($A227,[4]库存使用数据!$A:$H,8,0),0)+IFERROR(VLOOKUP($A227,[5]库存使用数据!$A:$H,8,0),0)</f>
        <v>2936</v>
      </c>
      <c r="I227" s="1">
        <f ca="1">IFERROR(VLOOKUP($A227,[1]库存使用数据!$A:$I,9,0),0)+IFERROR(VLOOKUP($A227,[2]库存使用数据!$A:$I,9,0),0)+IFERROR(VLOOKUP($A227,[3]库存使用数据!$A:$I,9,0),0)+IFERROR(VLOOKUP($A227,[4]库存使用数据!$A:$I,9,0),0)+IFERROR(VLOOKUP($A227,[5]库存使用数据!$A:$I,9,0),0)</f>
        <v>25</v>
      </c>
      <c r="J227" s="1">
        <f ca="1">IFERROR(VLOOKUP($A227,[1]库存使用数据!$A:$J,10,0),0)+IFERROR(VLOOKUP($A227,[2]库存使用数据!$A:$J,10,0),0)+公式!$B$14*IFERROR(VLOOKUP($A227,[3]库存使用数据!$A:$J,10,0),0)+IFERROR(VLOOKUP($A227,[4]库存使用数据!$A:$J,10,0),0)+IFERROR(VLOOKUP($A227,[5]库存使用数据!$A:$J,10,0),0)</f>
        <v>5.32</v>
      </c>
      <c r="K227" s="1">
        <f ca="1">IFERROR(VLOOKUP($A227,[1]库存使用数据!$A:$K,11,0),0)+IFERROR(VLOOKUP($A227,[2]库存使用数据!$A:$K,11,0),0)+IFERROR(VLOOKUP($A227,[3]库存使用数据!$A:$K,11,0),0)+IFERROR(VLOOKUP($A227,[4]库存使用数据!$A:$K,11,0),0)+IFERROR(VLOOKUP($A227,[5]库存使用数据!$A:$K,11,0),0)</f>
        <v>9204</v>
      </c>
      <c r="L227" s="1">
        <f ca="1">IFERROR(VLOOKUP($A227,[1]库存使用数据!$A:$L,12,0),0)+IFERROR(VLOOKUP($A227,[2]库存使用数据!$A:$L,12,0),0)+IFERROR(VLOOKUP($A227,[3]库存使用数据!$A:$L,12,0),0)+IFERROR(VLOOKUP($A227,[4]库存使用数据!$A:$L,12,0),0)+IFERROR(VLOOKUP($A227,[5]库存使用数据!$A:$L,12,0),0)</f>
        <v>33</v>
      </c>
      <c r="M227" s="1">
        <f ca="1">IFERROR(VLOOKUP($A227,[1]库存使用数据!$A:$M,13,0),0)+IFERROR(VLOOKUP($A227,[2]库存使用数据!$A:$M,13,0),0)+公式!$B$14*IFERROR(VLOOKUP($A227,[3]库存使用数据!$A:$M,13,0),0)+IFERROR(VLOOKUP($A227,[4]库存使用数据!$A:$M,13,0),0)+IFERROR(VLOOKUP($A227,[5]库存使用数据!$A:$M,13,0),0)</f>
        <v>6.69</v>
      </c>
    </row>
    <row r="228" spans="1:13">
      <c r="A228" s="5" t="s">
        <v>233</v>
      </c>
      <c r="B228" s="2">
        <f ca="1">IFERROR(VLOOKUP(A228,[1]库存使用数据!$A:$B,2,0),0)+IFERROR(VLOOKUP(A228,[2]库存使用数据!$A:$B,2,0),0)+IFERROR(VLOOKUP(,[3]库存使用数据!$A:$B,2,0),0)+IFERROR(VLOOKUP(A228,[4]库存使用数据!$A:$B,2,0),0)+IFERROR(VLOOKUP(A228,[5]库存使用数据!$A:$B,2,0),0)</f>
        <v>8025</v>
      </c>
      <c r="C228" s="1">
        <f ca="1">IFERROR(VLOOKUP($A228,[1]库存使用数据!$A:$C,3,0),0)+IFERROR(VLOOKUP($A228,[2]库存使用数据!$A:$C,3,0),0)+IFERROR(VLOOKUP($A228,[3]库存使用数据!$A:$C,3,0),0)+IFERROR(VLOOKUP($A228,[4]库存使用数据!$A:$C,3,0),0)+IFERROR(VLOOKUP($A228,[5]库存使用数据!$A:$C,3,0),0)</f>
        <v>44</v>
      </c>
      <c r="D228" s="1">
        <f ca="1">IFERROR(VLOOKUP($A228,[1]库存使用数据!$A:$D,4,0),0)+IFERROR(VLOOKUP($A228,[2]库存使用数据!$A:$D,4,0),0)+公式!$B$1*IFERROR(VLOOKUP($A228,[3]库存使用数据!$A:$D,4,0),0)+IFERROR(VLOOKUP($A228,[4]库存使用数据!$A:$D,4,0),0)+IFERROR(VLOOKUP($A228,[5]库存使用数据!$A:$D,4,0),0)</f>
        <v>9.2175</v>
      </c>
      <c r="E228" s="1">
        <f ca="1">IFERROR(VLOOKUP($A228,[1]库存使用数据!$A:$E,5,0),0)+IFERROR(VLOOKUP($A228,[2]库存使用数据!$A:$E,5,0),0)+IFERROR(VLOOKUP($A228,[3]库存使用数据!$A:$E,5,0),0)+IFERROR(VLOOKUP($A228,[4]库存使用数据!$A:$E,5,0),0)+IFERROR(VLOOKUP($A228,[5]库存使用数据!$A:$E,5,0),0)</f>
        <v>9908</v>
      </c>
      <c r="F228" s="1">
        <f ca="1">IFERROR(VLOOKUP($A228,[1]库存使用数据!$A:$F,6,0),0)+IFERROR(VLOOKUP($A228,[2]库存使用数据!$A:$F,6,0),0)+IFERROR(VLOOKUP($A228,[4]库存使用数据!$A:$F,6,0),0)+IFERROR(VLOOKUP($A228,[3]库存使用数据!$A:$F,6,0),0)+IFERROR(VLOOKUP($A228,[5]库存使用数据!$A:$F,6,0),0)</f>
        <v>68</v>
      </c>
      <c r="G228" s="1">
        <f ca="1">IFERROR(VLOOKUP($A228,[1]库存使用数据!$A:$G,7,0),0)+IFERROR(VLOOKUP($A228,[2]库存使用数据!$A:$G,7,0),0)+公式!$B$14*IFERROR(VLOOKUP($A228,[3]库存使用数据!$A:$G,7,0),0)+IFERROR(VLOOKUP($A228,[4]库存使用数据!$A:$G,7,0),0)+IFERROR(VLOOKUP($A228,[5]库存使用数据!$A:$G,7,0),0)</f>
        <v>12.48</v>
      </c>
      <c r="H228" s="1">
        <f ca="1">IFERROR(VLOOKUP($A228,[1]库存使用数据!$A:$H,8,0),0)+IFERROR(VLOOKUP($A228,[2]库存使用数据!$A:$H,8,0),0)+IFERROR(VLOOKUP($A228,[3]库存使用数据!$A:$H,8,0),0)+IFERROR(VLOOKUP($A228,[4]库存使用数据!$A:$H,8,0),0)+IFERROR(VLOOKUP($A228,[5]库存使用数据!$A:$H,8,0),0)</f>
        <v>2836</v>
      </c>
      <c r="I228" s="1">
        <f ca="1">IFERROR(VLOOKUP($A228,[1]库存使用数据!$A:$I,9,0),0)+IFERROR(VLOOKUP($A228,[2]库存使用数据!$A:$I,9,0),0)+IFERROR(VLOOKUP($A228,[3]库存使用数据!$A:$I,9,0),0)+IFERROR(VLOOKUP($A228,[4]库存使用数据!$A:$I,9,0),0)+IFERROR(VLOOKUP($A228,[5]库存使用数据!$A:$I,9,0),0)</f>
        <v>21</v>
      </c>
      <c r="J228" s="1">
        <f ca="1">IFERROR(VLOOKUP($A228,[1]库存使用数据!$A:$J,10,0),0)+IFERROR(VLOOKUP($A228,[2]库存使用数据!$A:$J,10,0),0)+公式!$B$14*IFERROR(VLOOKUP($A228,[3]库存使用数据!$A:$J,10,0),0)+IFERROR(VLOOKUP($A228,[4]库存使用数据!$A:$J,10,0),0)+IFERROR(VLOOKUP($A228,[5]库存使用数据!$A:$J,10,0),0)</f>
        <v>4.41</v>
      </c>
      <c r="K228" s="1">
        <f ca="1">IFERROR(VLOOKUP($A228,[1]库存使用数据!$A:$K,11,0),0)+IFERROR(VLOOKUP($A228,[2]库存使用数据!$A:$K,11,0),0)+IFERROR(VLOOKUP($A228,[3]库存使用数据!$A:$K,11,0),0)+IFERROR(VLOOKUP($A228,[4]库存使用数据!$A:$K,11,0),0)+IFERROR(VLOOKUP($A228,[5]库存使用数据!$A:$K,11,0),0)</f>
        <v>4560</v>
      </c>
      <c r="L228" s="1">
        <f ca="1">IFERROR(VLOOKUP($A228,[1]库存使用数据!$A:$L,12,0),0)+IFERROR(VLOOKUP($A228,[2]库存使用数据!$A:$L,12,0),0)+IFERROR(VLOOKUP($A228,[3]库存使用数据!$A:$L,12,0),0)+IFERROR(VLOOKUP($A228,[4]库存使用数据!$A:$L,12,0),0)+IFERROR(VLOOKUP($A228,[5]库存使用数据!$A:$L,12,0),0)</f>
        <v>19</v>
      </c>
      <c r="M228" s="1">
        <f ca="1">IFERROR(VLOOKUP($A228,[1]库存使用数据!$A:$M,13,0),0)+IFERROR(VLOOKUP($A228,[2]库存使用数据!$A:$M,13,0),0)+公式!$B$14*IFERROR(VLOOKUP($A228,[3]库存使用数据!$A:$M,13,0),0)+IFERROR(VLOOKUP($A228,[4]库存使用数据!$A:$M,13,0),0)+IFERROR(VLOOKUP($A228,[5]库存使用数据!$A:$M,13,0),0)</f>
        <v>3.68</v>
      </c>
    </row>
    <row r="229" spans="1:13">
      <c r="A229" s="5" t="s">
        <v>234</v>
      </c>
      <c r="B229" s="2">
        <f ca="1">IFERROR(VLOOKUP(A229,[1]库存使用数据!$A:$B,2,0),0)+IFERROR(VLOOKUP(A229,[2]库存使用数据!$A:$B,2,0),0)+IFERROR(VLOOKUP(,[3]库存使用数据!$A:$B,2,0),0)+IFERROR(VLOOKUP(A229,[4]库存使用数据!$A:$B,2,0),0)+IFERROR(VLOOKUP(A229,[5]库存使用数据!$A:$B,2,0),0)</f>
        <v>0</v>
      </c>
      <c r="C229" s="1">
        <f ca="1">IFERROR(VLOOKUP($A229,[1]库存使用数据!$A:$C,3,0),0)+IFERROR(VLOOKUP($A229,[2]库存使用数据!$A:$C,3,0),0)+IFERROR(VLOOKUP($A229,[3]库存使用数据!$A:$C,3,0),0)+IFERROR(VLOOKUP($A229,[4]库存使用数据!$A:$C,3,0),0)+IFERROR(VLOOKUP($A229,[5]库存使用数据!$A:$C,3,0),0)</f>
        <v>5</v>
      </c>
      <c r="D229" s="1">
        <f ca="1">IFERROR(VLOOKUP($A229,[1]库存使用数据!$A:$D,4,0),0)+IFERROR(VLOOKUP($A229,[2]库存使用数据!$A:$D,4,0),0)+公式!$B$1*IFERROR(VLOOKUP($A229,[3]库存使用数据!$A:$D,4,0),0)+IFERROR(VLOOKUP($A229,[4]库存使用数据!$A:$D,4,0),0)+IFERROR(VLOOKUP($A229,[5]库存使用数据!$A:$D,4,0),0)</f>
        <v>0.8775</v>
      </c>
      <c r="E229" s="1">
        <f ca="1">IFERROR(VLOOKUP($A229,[1]库存使用数据!$A:$E,5,0),0)+IFERROR(VLOOKUP($A229,[2]库存使用数据!$A:$E,5,0),0)+IFERROR(VLOOKUP($A229,[3]库存使用数据!$A:$E,5,0),0)+IFERROR(VLOOKUP($A229,[4]库存使用数据!$A:$E,5,0),0)+IFERROR(VLOOKUP($A229,[5]库存使用数据!$A:$E,5,0),0)</f>
        <v>3614</v>
      </c>
      <c r="F229" s="1">
        <f ca="1">IFERROR(VLOOKUP($A229,[1]库存使用数据!$A:$F,6,0),0)+IFERROR(VLOOKUP($A229,[2]库存使用数据!$A:$F,6,0),0)+IFERROR(VLOOKUP($A229,[4]库存使用数据!$A:$F,6,0),0)+IFERROR(VLOOKUP($A229,[3]库存使用数据!$A:$F,6,0),0)+IFERROR(VLOOKUP($A229,[5]库存使用数据!$A:$F,6,0),0)</f>
        <v>17</v>
      </c>
      <c r="G229" s="1">
        <f ca="1">IFERROR(VLOOKUP($A229,[1]库存使用数据!$A:$G,7,0),0)+IFERROR(VLOOKUP($A229,[2]库存使用数据!$A:$G,7,0),0)+公式!$B$14*IFERROR(VLOOKUP($A229,[3]库存使用数据!$A:$G,7,0),0)+IFERROR(VLOOKUP($A229,[4]库存使用数据!$A:$G,7,0),0)+IFERROR(VLOOKUP($A229,[5]库存使用数据!$A:$G,7,0),0)</f>
        <v>2.32</v>
      </c>
      <c r="H229" s="1">
        <f ca="1">IFERROR(VLOOKUP($A229,[1]库存使用数据!$A:$H,8,0),0)+IFERROR(VLOOKUP($A229,[2]库存使用数据!$A:$H,8,0),0)+IFERROR(VLOOKUP($A229,[3]库存使用数据!$A:$H,8,0),0)+IFERROR(VLOOKUP($A229,[4]库存使用数据!$A:$H,8,0),0)+IFERROR(VLOOKUP($A229,[5]库存使用数据!$A:$H,8,0),0)</f>
        <v>762</v>
      </c>
      <c r="I229" s="1">
        <f ca="1">IFERROR(VLOOKUP($A229,[1]库存使用数据!$A:$I,9,0),0)+IFERROR(VLOOKUP($A229,[2]库存使用数据!$A:$I,9,0),0)+IFERROR(VLOOKUP($A229,[3]库存使用数据!$A:$I,9,0),0)+IFERROR(VLOOKUP($A229,[4]库存使用数据!$A:$I,9,0),0)+IFERROR(VLOOKUP($A229,[5]库存使用数据!$A:$I,9,0),0)</f>
        <v>0</v>
      </c>
      <c r="J229" s="1">
        <f ca="1">IFERROR(VLOOKUP($A229,[1]库存使用数据!$A:$J,10,0),0)+IFERROR(VLOOKUP($A229,[2]库存使用数据!$A:$J,10,0),0)+公式!$B$14*IFERROR(VLOOKUP($A229,[3]库存使用数据!$A:$J,10,0),0)+IFERROR(VLOOKUP($A229,[4]库存使用数据!$A:$J,10,0),0)+IFERROR(VLOOKUP($A229,[5]库存使用数据!$A:$J,10,0),0)</f>
        <v>0</v>
      </c>
      <c r="K229" s="1">
        <f ca="1">IFERROR(VLOOKUP($A229,[1]库存使用数据!$A:$K,11,0),0)+IFERROR(VLOOKUP($A229,[2]库存使用数据!$A:$K,11,0),0)+IFERROR(VLOOKUP($A229,[3]库存使用数据!$A:$K,11,0),0)+IFERROR(VLOOKUP($A229,[4]库存使用数据!$A:$K,11,0),0)+IFERROR(VLOOKUP($A229,[5]库存使用数据!$A:$K,11,0),0)</f>
        <v>1370</v>
      </c>
      <c r="L229" s="1">
        <f ca="1">IFERROR(VLOOKUP($A229,[1]库存使用数据!$A:$L,12,0),0)+IFERROR(VLOOKUP($A229,[2]库存使用数据!$A:$L,12,0),0)+IFERROR(VLOOKUP($A229,[3]库存使用数据!$A:$L,12,0),0)+IFERROR(VLOOKUP($A229,[4]库存使用数据!$A:$L,12,0),0)+IFERROR(VLOOKUP($A229,[5]库存使用数据!$A:$L,12,0),0)</f>
        <v>4</v>
      </c>
      <c r="M229" s="1">
        <f ca="1">IFERROR(VLOOKUP($A229,[1]库存使用数据!$A:$M,13,0),0)+IFERROR(VLOOKUP($A229,[2]库存使用数据!$A:$M,13,0),0)+公式!$B$14*IFERROR(VLOOKUP($A229,[3]库存使用数据!$A:$M,13,0),0)+IFERROR(VLOOKUP($A229,[4]库存使用数据!$A:$M,13,0),0)+IFERROR(VLOOKUP($A229,[5]库存使用数据!$A:$M,13,0),0)</f>
        <v>1.05</v>
      </c>
    </row>
    <row r="230" spans="1:13">
      <c r="A230" s="5" t="s">
        <v>235</v>
      </c>
      <c r="B230" s="2">
        <f ca="1">IFERROR(VLOOKUP(A230,[1]库存使用数据!$A:$B,2,0),0)+IFERROR(VLOOKUP(A230,[2]库存使用数据!$A:$B,2,0),0)+IFERROR(VLOOKUP(,[3]库存使用数据!$A:$B,2,0),0)+IFERROR(VLOOKUP(A230,[4]库存使用数据!$A:$B,2,0),0)+IFERROR(VLOOKUP(A230,[5]库存使用数据!$A:$B,2,0),0)</f>
        <v>10970</v>
      </c>
      <c r="C230" s="1">
        <f ca="1">IFERROR(VLOOKUP($A230,[1]库存使用数据!$A:$C,3,0),0)+IFERROR(VLOOKUP($A230,[2]库存使用数据!$A:$C,3,0),0)+IFERROR(VLOOKUP($A230,[3]库存使用数据!$A:$C,3,0),0)+IFERROR(VLOOKUP($A230,[4]库存使用数据!$A:$C,3,0),0)+IFERROR(VLOOKUP($A230,[5]库存使用数据!$A:$C,3,0),0)</f>
        <v>86</v>
      </c>
      <c r="D230" s="1">
        <f ca="1">IFERROR(VLOOKUP($A230,[1]库存使用数据!$A:$D,4,0),0)+IFERROR(VLOOKUP($A230,[2]库存使用数据!$A:$D,4,0),0)+公式!$B$1*IFERROR(VLOOKUP($A230,[3]库存使用数据!$A:$D,4,0),0)+IFERROR(VLOOKUP($A230,[4]库存使用数据!$A:$D,4,0),0)+IFERROR(VLOOKUP($A230,[5]库存使用数据!$A:$D,4,0),0)</f>
        <v>13.875</v>
      </c>
      <c r="E230" s="1">
        <f ca="1">IFERROR(VLOOKUP($A230,[1]库存使用数据!$A:$E,5,0),0)+IFERROR(VLOOKUP($A230,[2]库存使用数据!$A:$E,5,0),0)+IFERROR(VLOOKUP($A230,[3]库存使用数据!$A:$E,5,0),0)+IFERROR(VLOOKUP($A230,[4]库存使用数据!$A:$E,5,0),0)+IFERROR(VLOOKUP($A230,[5]库存使用数据!$A:$E,5,0),0)</f>
        <v>19760</v>
      </c>
      <c r="F230" s="1">
        <f ca="1">IFERROR(VLOOKUP($A230,[1]库存使用数据!$A:$F,6,0),0)+IFERROR(VLOOKUP($A230,[2]库存使用数据!$A:$F,6,0),0)+IFERROR(VLOOKUP($A230,[4]库存使用数据!$A:$F,6,0),0)+IFERROR(VLOOKUP($A230,[3]库存使用数据!$A:$F,6,0),0)+IFERROR(VLOOKUP($A230,[5]库存使用数据!$A:$F,6,0),0)</f>
        <v>64</v>
      </c>
      <c r="G230" s="1">
        <f ca="1">IFERROR(VLOOKUP($A230,[1]库存使用数据!$A:$G,7,0),0)+IFERROR(VLOOKUP($A230,[2]库存使用数据!$A:$G,7,0),0)+公式!$B$14*IFERROR(VLOOKUP($A230,[3]库存使用数据!$A:$G,7,0),0)+IFERROR(VLOOKUP($A230,[4]库存使用数据!$A:$G,7,0),0)+IFERROR(VLOOKUP($A230,[5]库存使用数据!$A:$G,7,0),0)</f>
        <v>8.6</v>
      </c>
      <c r="H230" s="1">
        <f ca="1">IFERROR(VLOOKUP($A230,[1]库存使用数据!$A:$H,8,0),0)+IFERROR(VLOOKUP($A230,[2]库存使用数据!$A:$H,8,0),0)+IFERROR(VLOOKUP($A230,[3]库存使用数据!$A:$H,8,0),0)+IFERROR(VLOOKUP($A230,[4]库存使用数据!$A:$H,8,0),0)+IFERROR(VLOOKUP($A230,[5]库存使用数据!$A:$H,8,0),0)</f>
        <v>24844</v>
      </c>
      <c r="I230" s="1">
        <f ca="1">IFERROR(VLOOKUP($A230,[1]库存使用数据!$A:$I,9,0),0)+IFERROR(VLOOKUP($A230,[2]库存使用数据!$A:$I,9,0),0)+IFERROR(VLOOKUP($A230,[3]库存使用数据!$A:$I,9,0),0)+IFERROR(VLOOKUP($A230,[4]库存使用数据!$A:$I,9,0),0)+IFERROR(VLOOKUP($A230,[5]库存使用数据!$A:$I,9,0),0)</f>
        <v>57</v>
      </c>
      <c r="J230" s="1">
        <f ca="1">IFERROR(VLOOKUP($A230,[1]库存使用数据!$A:$J,10,0),0)+IFERROR(VLOOKUP($A230,[2]库存使用数据!$A:$J,10,0),0)+公式!$B$14*IFERROR(VLOOKUP($A230,[3]库存使用数据!$A:$J,10,0),0)+IFERROR(VLOOKUP($A230,[4]库存使用数据!$A:$J,10,0),0)+IFERROR(VLOOKUP($A230,[5]库存使用数据!$A:$J,10,0),0)</f>
        <v>6.02</v>
      </c>
      <c r="K230" s="1">
        <f ca="1">IFERROR(VLOOKUP($A230,[1]库存使用数据!$A:$K,11,0),0)+IFERROR(VLOOKUP($A230,[2]库存使用数据!$A:$K,11,0),0)+IFERROR(VLOOKUP($A230,[3]库存使用数据!$A:$K,11,0),0)+IFERROR(VLOOKUP($A230,[4]库存使用数据!$A:$K,11,0),0)+IFERROR(VLOOKUP($A230,[5]库存使用数据!$A:$K,11,0),0)</f>
        <v>21122</v>
      </c>
      <c r="L230" s="1">
        <f ca="1">IFERROR(VLOOKUP($A230,[1]库存使用数据!$A:$L,12,0),0)+IFERROR(VLOOKUP($A230,[2]库存使用数据!$A:$L,12,0),0)+IFERROR(VLOOKUP($A230,[3]库存使用数据!$A:$L,12,0),0)+IFERROR(VLOOKUP($A230,[4]库存使用数据!$A:$L,12,0),0)+IFERROR(VLOOKUP($A230,[5]库存使用数据!$A:$L,12,0),0)</f>
        <v>67</v>
      </c>
      <c r="M230" s="1">
        <f ca="1">IFERROR(VLOOKUP($A230,[1]库存使用数据!$A:$M,13,0),0)+IFERROR(VLOOKUP($A230,[2]库存使用数据!$A:$M,13,0),0)+公式!$B$14*IFERROR(VLOOKUP($A230,[3]库存使用数据!$A:$M,13,0),0)+IFERROR(VLOOKUP($A230,[4]库存使用数据!$A:$M,13,0),0)+IFERROR(VLOOKUP($A230,[5]库存使用数据!$A:$M,13,0),0)</f>
        <v>11.27</v>
      </c>
    </row>
    <row r="231" spans="1:13">
      <c r="A231" s="5" t="s">
        <v>236</v>
      </c>
      <c r="B231" s="2">
        <f ca="1">IFERROR(VLOOKUP(A231,[1]库存使用数据!$A:$B,2,0),0)+IFERROR(VLOOKUP(A231,[2]库存使用数据!$A:$B,2,0),0)+IFERROR(VLOOKUP(,[3]库存使用数据!$A:$B,2,0),0)+IFERROR(VLOOKUP(A231,[4]库存使用数据!$A:$B,2,0),0)+IFERROR(VLOOKUP(A231,[5]库存使用数据!$A:$B,2,0),0)</f>
        <v>0</v>
      </c>
      <c r="C231" s="1">
        <f ca="1">IFERROR(VLOOKUP($A231,[1]库存使用数据!$A:$C,3,0),0)+IFERROR(VLOOKUP($A231,[2]库存使用数据!$A:$C,3,0),0)+IFERROR(VLOOKUP($A231,[3]库存使用数据!$A:$C,3,0),0)+IFERROR(VLOOKUP($A231,[4]库存使用数据!$A:$C,3,0),0)+IFERROR(VLOOKUP($A231,[5]库存使用数据!$A:$C,3,0),0)</f>
        <v>0</v>
      </c>
      <c r="D231" s="1">
        <f ca="1">IFERROR(VLOOKUP($A231,[1]库存使用数据!$A:$D,4,0),0)+IFERROR(VLOOKUP($A231,[2]库存使用数据!$A:$D,4,0),0)+公式!$B$1*IFERROR(VLOOKUP($A231,[3]库存使用数据!$A:$D,4,0),0)+IFERROR(VLOOKUP($A231,[4]库存使用数据!$A:$D,4,0),0)+IFERROR(VLOOKUP($A231,[5]库存使用数据!$A:$D,4,0),0)</f>
        <v>0</v>
      </c>
      <c r="E231" s="1">
        <f ca="1">IFERROR(VLOOKUP($A231,[1]库存使用数据!$A:$E,5,0),0)+IFERROR(VLOOKUP($A231,[2]库存使用数据!$A:$E,5,0),0)+IFERROR(VLOOKUP($A231,[3]库存使用数据!$A:$E,5,0),0)+IFERROR(VLOOKUP($A231,[4]库存使用数据!$A:$E,5,0),0)+IFERROR(VLOOKUP($A231,[5]库存使用数据!$A:$E,5,0),0)</f>
        <v>15645</v>
      </c>
      <c r="F231" s="1">
        <f ca="1">IFERROR(VLOOKUP($A231,[1]库存使用数据!$A:$F,6,0),0)+IFERROR(VLOOKUP($A231,[2]库存使用数据!$A:$F,6,0),0)+IFERROR(VLOOKUP($A231,[4]库存使用数据!$A:$F,6,0),0)+IFERROR(VLOOKUP($A231,[3]库存使用数据!$A:$F,6,0),0)+IFERROR(VLOOKUP($A231,[5]库存使用数据!$A:$F,6,0),0)</f>
        <v>51</v>
      </c>
      <c r="G231" s="1">
        <f ca="1">IFERROR(VLOOKUP($A231,[1]库存使用数据!$A:$G,7,0),0)+IFERROR(VLOOKUP($A231,[2]库存使用数据!$A:$G,7,0),0)+公式!$B$14*IFERROR(VLOOKUP($A231,[3]库存使用数据!$A:$G,7,0),0)+IFERROR(VLOOKUP($A231,[4]库存使用数据!$A:$G,7,0),0)+IFERROR(VLOOKUP($A231,[5]库存使用数据!$A:$G,7,0),0)</f>
        <v>6.77</v>
      </c>
      <c r="H231" s="1">
        <f ca="1">IFERROR(VLOOKUP($A231,[1]库存使用数据!$A:$H,8,0),0)+IFERROR(VLOOKUP($A231,[2]库存使用数据!$A:$H,8,0),0)+IFERROR(VLOOKUP($A231,[3]库存使用数据!$A:$H,8,0),0)+IFERROR(VLOOKUP($A231,[4]库存使用数据!$A:$H,8,0),0)+IFERROR(VLOOKUP($A231,[5]库存使用数据!$A:$H,8,0),0)</f>
        <v>9922</v>
      </c>
      <c r="I231" s="1">
        <f ca="1">IFERROR(VLOOKUP($A231,[1]库存使用数据!$A:$I,9,0),0)+IFERROR(VLOOKUP($A231,[2]库存使用数据!$A:$I,9,0),0)+IFERROR(VLOOKUP($A231,[3]库存使用数据!$A:$I,9,0),0)+IFERROR(VLOOKUP($A231,[4]库存使用数据!$A:$I,9,0),0)+IFERROR(VLOOKUP($A231,[5]库存使用数据!$A:$I,9,0),0)</f>
        <v>33</v>
      </c>
      <c r="J231" s="1">
        <f ca="1">IFERROR(VLOOKUP($A231,[1]库存使用数据!$A:$J,10,0),0)+IFERROR(VLOOKUP($A231,[2]库存使用数据!$A:$J,10,0),0)+公式!$B$14*IFERROR(VLOOKUP($A231,[3]库存使用数据!$A:$J,10,0),0)+IFERROR(VLOOKUP($A231,[4]库存使用数据!$A:$J,10,0),0)+IFERROR(VLOOKUP($A231,[5]库存使用数据!$A:$J,10,0),0)</f>
        <v>4.16</v>
      </c>
      <c r="K231" s="1">
        <f ca="1">IFERROR(VLOOKUP($A231,[1]库存使用数据!$A:$K,11,0),0)+IFERROR(VLOOKUP($A231,[2]库存使用数据!$A:$K,11,0),0)+IFERROR(VLOOKUP($A231,[3]库存使用数据!$A:$K,11,0),0)+IFERROR(VLOOKUP($A231,[4]库存使用数据!$A:$K,11,0),0)+IFERROR(VLOOKUP($A231,[5]库存使用数据!$A:$K,11,0),0)</f>
        <v>6929</v>
      </c>
      <c r="L231" s="1">
        <f ca="1">IFERROR(VLOOKUP($A231,[1]库存使用数据!$A:$L,12,0),0)+IFERROR(VLOOKUP($A231,[2]库存使用数据!$A:$L,12,0),0)+IFERROR(VLOOKUP($A231,[3]库存使用数据!$A:$L,12,0),0)+IFERROR(VLOOKUP($A231,[4]库存使用数据!$A:$L,12,0),0)+IFERROR(VLOOKUP($A231,[5]库存使用数据!$A:$L,12,0),0)</f>
        <v>36</v>
      </c>
      <c r="M231" s="1">
        <f ca="1">IFERROR(VLOOKUP($A231,[1]库存使用数据!$A:$M,13,0),0)+IFERROR(VLOOKUP($A231,[2]库存使用数据!$A:$M,13,0),0)+公式!$B$14*IFERROR(VLOOKUP($A231,[3]库存使用数据!$A:$M,13,0),0)+IFERROR(VLOOKUP($A231,[4]库存使用数据!$A:$M,13,0),0)+IFERROR(VLOOKUP($A231,[5]库存使用数据!$A:$M,13,0),0)</f>
        <v>4.64</v>
      </c>
    </row>
    <row r="232" spans="1:13">
      <c r="A232" s="5" t="s">
        <v>237</v>
      </c>
      <c r="B232" s="2">
        <f ca="1">IFERROR(VLOOKUP(A232,[1]库存使用数据!$A:$B,2,0),0)+IFERROR(VLOOKUP(A232,[2]库存使用数据!$A:$B,2,0),0)+IFERROR(VLOOKUP(,[3]库存使用数据!$A:$B,2,0),0)+IFERROR(VLOOKUP(A232,[4]库存使用数据!$A:$B,2,0),0)+IFERROR(VLOOKUP(A232,[5]库存使用数据!$A:$B,2,0),0)</f>
        <v>0</v>
      </c>
      <c r="C232" s="1">
        <f ca="1">IFERROR(VLOOKUP($A232,[1]库存使用数据!$A:$C,3,0),0)+IFERROR(VLOOKUP($A232,[2]库存使用数据!$A:$C,3,0),0)+IFERROR(VLOOKUP($A232,[3]库存使用数据!$A:$C,3,0),0)+IFERROR(VLOOKUP($A232,[4]库存使用数据!$A:$C,3,0),0)+IFERROR(VLOOKUP($A232,[5]库存使用数据!$A:$C,3,0),0)</f>
        <v>45</v>
      </c>
      <c r="D232" s="1">
        <f ca="1">IFERROR(VLOOKUP($A232,[1]库存使用数据!$A:$D,4,0),0)+IFERROR(VLOOKUP($A232,[2]库存使用数据!$A:$D,4,0),0)+公式!$B$1*IFERROR(VLOOKUP($A232,[3]库存使用数据!$A:$D,4,0),0)+IFERROR(VLOOKUP($A232,[4]库存使用数据!$A:$D,4,0),0)+IFERROR(VLOOKUP($A232,[5]库存使用数据!$A:$D,4,0),0)</f>
        <v>5.3775</v>
      </c>
      <c r="E232" s="1">
        <f ca="1">IFERROR(VLOOKUP($A232,[1]库存使用数据!$A:$E,5,0),0)+IFERROR(VLOOKUP($A232,[2]库存使用数据!$A:$E,5,0),0)+IFERROR(VLOOKUP($A232,[3]库存使用数据!$A:$E,5,0),0)+IFERROR(VLOOKUP($A232,[4]库存使用数据!$A:$E,5,0),0)+IFERROR(VLOOKUP($A232,[5]库存使用数据!$A:$E,5,0),0)</f>
        <v>21736</v>
      </c>
      <c r="F232" s="1">
        <f ca="1">IFERROR(VLOOKUP($A232,[1]库存使用数据!$A:$F,6,0),0)+IFERROR(VLOOKUP($A232,[2]库存使用数据!$A:$F,6,0),0)+IFERROR(VLOOKUP($A232,[4]库存使用数据!$A:$F,6,0),0)+IFERROR(VLOOKUP($A232,[3]库存使用数据!$A:$F,6,0),0)+IFERROR(VLOOKUP($A232,[5]库存使用数据!$A:$F,6,0),0)</f>
        <v>134</v>
      </c>
      <c r="G232" s="1">
        <f ca="1">IFERROR(VLOOKUP($A232,[1]库存使用数据!$A:$G,7,0),0)+IFERROR(VLOOKUP($A232,[2]库存使用数据!$A:$G,7,0),0)+公式!$B$14*IFERROR(VLOOKUP($A232,[3]库存使用数据!$A:$G,7,0),0)+IFERROR(VLOOKUP($A232,[4]库存使用数据!$A:$G,7,0),0)+IFERROR(VLOOKUP($A232,[5]库存使用数据!$A:$G,7,0),0)</f>
        <v>6.82</v>
      </c>
      <c r="H232" s="1">
        <f ca="1">IFERROR(VLOOKUP($A232,[1]库存使用数据!$A:$H,8,0),0)+IFERROR(VLOOKUP($A232,[2]库存使用数据!$A:$H,8,0),0)+IFERROR(VLOOKUP($A232,[3]库存使用数据!$A:$H,8,0),0)+IFERROR(VLOOKUP($A232,[4]库存使用数据!$A:$H,8,0),0)+IFERROR(VLOOKUP($A232,[5]库存使用数据!$A:$H,8,0),0)</f>
        <v>17065</v>
      </c>
      <c r="I232" s="1">
        <f ca="1">IFERROR(VLOOKUP($A232,[1]库存使用数据!$A:$I,9,0),0)+IFERROR(VLOOKUP($A232,[2]库存使用数据!$A:$I,9,0),0)+IFERROR(VLOOKUP($A232,[3]库存使用数据!$A:$I,9,0),0)+IFERROR(VLOOKUP($A232,[4]库存使用数据!$A:$I,9,0),0)+IFERROR(VLOOKUP($A232,[5]库存使用数据!$A:$I,9,0),0)</f>
        <v>56</v>
      </c>
      <c r="J232" s="1">
        <f ca="1">IFERROR(VLOOKUP($A232,[1]库存使用数据!$A:$J,10,0),0)+IFERROR(VLOOKUP($A232,[2]库存使用数据!$A:$J,10,0),0)+公式!$B$14*IFERROR(VLOOKUP($A232,[3]库存使用数据!$A:$J,10,0),0)+IFERROR(VLOOKUP($A232,[4]库存使用数据!$A:$J,10,0),0)+IFERROR(VLOOKUP($A232,[5]库存使用数据!$A:$J,10,0),0)</f>
        <v>6.1</v>
      </c>
      <c r="K232" s="1">
        <f ca="1">IFERROR(VLOOKUP($A232,[1]库存使用数据!$A:$K,11,0),0)+IFERROR(VLOOKUP($A232,[2]库存使用数据!$A:$K,11,0),0)+IFERROR(VLOOKUP($A232,[3]库存使用数据!$A:$K,11,0),0)+IFERROR(VLOOKUP($A232,[4]库存使用数据!$A:$K,11,0),0)+IFERROR(VLOOKUP($A232,[5]库存使用数据!$A:$K,11,0),0)</f>
        <v>55295</v>
      </c>
      <c r="L232" s="1">
        <f ca="1">IFERROR(VLOOKUP($A232,[1]库存使用数据!$A:$L,12,0),0)+IFERROR(VLOOKUP($A232,[2]库存使用数据!$A:$L,12,0),0)+IFERROR(VLOOKUP($A232,[3]库存使用数据!$A:$L,12,0),0)+IFERROR(VLOOKUP($A232,[4]库存使用数据!$A:$L,12,0),0)+IFERROR(VLOOKUP($A232,[5]库存使用数据!$A:$L,12,0),0)</f>
        <v>103</v>
      </c>
      <c r="M232" s="1">
        <f ca="1">IFERROR(VLOOKUP($A232,[1]库存使用数据!$A:$M,13,0),0)+IFERROR(VLOOKUP($A232,[2]库存使用数据!$A:$M,13,0),0)+公式!$B$14*IFERROR(VLOOKUP($A232,[3]库存使用数据!$A:$M,13,0),0)+IFERROR(VLOOKUP($A232,[4]库存使用数据!$A:$M,13,0),0)+IFERROR(VLOOKUP($A232,[5]库存使用数据!$A:$M,13,0),0)</f>
        <v>20.71</v>
      </c>
    </row>
    <row r="233" spans="1:13">
      <c r="A233" s="5" t="s">
        <v>238</v>
      </c>
      <c r="B233" s="2">
        <f ca="1">IFERROR(VLOOKUP(A233,[1]库存使用数据!$A:$B,2,0),0)+IFERROR(VLOOKUP(A233,[2]库存使用数据!$A:$B,2,0),0)+IFERROR(VLOOKUP(,[3]库存使用数据!$A:$B,2,0),0)+IFERROR(VLOOKUP(A233,[4]库存使用数据!$A:$B,2,0),0)+IFERROR(VLOOKUP(A233,[5]库存使用数据!$A:$B,2,0),0)</f>
        <v>0</v>
      </c>
      <c r="C233" s="1">
        <f ca="1">IFERROR(VLOOKUP($A233,[1]库存使用数据!$A:$C,3,0),0)+IFERROR(VLOOKUP($A233,[2]库存使用数据!$A:$C,3,0),0)+IFERROR(VLOOKUP($A233,[3]库存使用数据!$A:$C,3,0),0)+IFERROR(VLOOKUP($A233,[4]库存使用数据!$A:$C,3,0),0)+IFERROR(VLOOKUP($A233,[5]库存使用数据!$A:$C,3,0),0)</f>
        <v>0</v>
      </c>
      <c r="D233" s="1">
        <f ca="1">IFERROR(VLOOKUP($A233,[1]库存使用数据!$A:$D,4,0),0)+IFERROR(VLOOKUP($A233,[2]库存使用数据!$A:$D,4,0),0)+公式!$B$1*IFERROR(VLOOKUP($A233,[3]库存使用数据!$A:$D,4,0),0)+IFERROR(VLOOKUP($A233,[4]库存使用数据!$A:$D,4,0),0)+IFERROR(VLOOKUP($A233,[5]库存使用数据!$A:$D,4,0),0)</f>
        <v>0</v>
      </c>
      <c r="E233" s="1">
        <f ca="1">IFERROR(VLOOKUP($A233,[1]库存使用数据!$A:$E,5,0),0)+IFERROR(VLOOKUP($A233,[2]库存使用数据!$A:$E,5,0),0)+IFERROR(VLOOKUP($A233,[3]库存使用数据!$A:$E,5,0),0)+IFERROR(VLOOKUP($A233,[4]库存使用数据!$A:$E,5,0),0)+IFERROR(VLOOKUP($A233,[5]库存使用数据!$A:$E,5,0),0)</f>
        <v>16662</v>
      </c>
      <c r="F233" s="1">
        <f ca="1">IFERROR(VLOOKUP($A233,[1]库存使用数据!$A:$F,6,0),0)+IFERROR(VLOOKUP($A233,[2]库存使用数据!$A:$F,6,0),0)+IFERROR(VLOOKUP($A233,[4]库存使用数据!$A:$F,6,0),0)+IFERROR(VLOOKUP($A233,[3]库存使用数据!$A:$F,6,0),0)+IFERROR(VLOOKUP($A233,[5]库存使用数据!$A:$F,6,0),0)</f>
        <v>77</v>
      </c>
      <c r="G233" s="1">
        <f ca="1">IFERROR(VLOOKUP($A233,[1]库存使用数据!$A:$G,7,0),0)+IFERROR(VLOOKUP($A233,[2]库存使用数据!$A:$G,7,0),0)+公式!$B$14*IFERROR(VLOOKUP($A233,[3]库存使用数据!$A:$G,7,0),0)+IFERROR(VLOOKUP($A233,[4]库存使用数据!$A:$G,7,0),0)+IFERROR(VLOOKUP($A233,[5]库存使用数据!$A:$G,7,0),0)</f>
        <v>10.85</v>
      </c>
      <c r="H233" s="1">
        <f ca="1">IFERROR(VLOOKUP($A233,[1]库存使用数据!$A:$H,8,0),0)+IFERROR(VLOOKUP($A233,[2]库存使用数据!$A:$H,8,0),0)+IFERROR(VLOOKUP($A233,[3]库存使用数据!$A:$H,8,0),0)+IFERROR(VLOOKUP($A233,[4]库存使用数据!$A:$H,8,0),0)+IFERROR(VLOOKUP($A233,[5]库存使用数据!$A:$H,8,0),0)</f>
        <v>7648</v>
      </c>
      <c r="I233" s="1">
        <f ca="1">IFERROR(VLOOKUP($A233,[1]库存使用数据!$A:$I,9,0),0)+IFERROR(VLOOKUP($A233,[2]库存使用数据!$A:$I,9,0),0)+IFERROR(VLOOKUP($A233,[3]库存使用数据!$A:$I,9,0),0)+IFERROR(VLOOKUP($A233,[4]库存使用数据!$A:$I,9,0),0)+IFERROR(VLOOKUP($A233,[5]库存使用数据!$A:$I,9,0),0)</f>
        <v>49</v>
      </c>
      <c r="J233" s="1">
        <f ca="1">IFERROR(VLOOKUP($A233,[1]库存使用数据!$A:$J,10,0),0)+IFERROR(VLOOKUP($A233,[2]库存使用数据!$A:$J,10,0),0)+公式!$B$14*IFERROR(VLOOKUP($A233,[3]库存使用数据!$A:$J,10,0),0)+IFERROR(VLOOKUP($A233,[4]库存使用数据!$A:$J,10,0),0)+IFERROR(VLOOKUP($A233,[5]库存使用数据!$A:$J,10,0),0)</f>
        <v>8.01</v>
      </c>
      <c r="K233" s="1">
        <f ca="1">IFERROR(VLOOKUP($A233,[1]库存使用数据!$A:$K,11,0),0)+IFERROR(VLOOKUP($A233,[2]库存使用数据!$A:$K,11,0),0)+IFERROR(VLOOKUP($A233,[3]库存使用数据!$A:$K,11,0),0)+IFERROR(VLOOKUP($A233,[4]库存使用数据!$A:$K,11,0),0)+IFERROR(VLOOKUP($A233,[5]库存使用数据!$A:$K,11,0),0)</f>
        <v>277</v>
      </c>
      <c r="L233" s="1">
        <f ca="1">IFERROR(VLOOKUP($A233,[1]库存使用数据!$A:$L,12,0),0)+IFERROR(VLOOKUP($A233,[2]库存使用数据!$A:$L,12,0),0)+IFERROR(VLOOKUP($A233,[3]库存使用数据!$A:$L,12,0),0)+IFERROR(VLOOKUP($A233,[4]库存使用数据!$A:$L,12,0),0)+IFERROR(VLOOKUP($A233,[5]库存使用数据!$A:$L,12,0),0)</f>
        <v>0</v>
      </c>
      <c r="M233" s="1">
        <f ca="1">IFERROR(VLOOKUP($A233,[1]库存使用数据!$A:$M,13,0),0)+IFERROR(VLOOKUP($A233,[2]库存使用数据!$A:$M,13,0),0)+公式!$B$14*IFERROR(VLOOKUP($A233,[3]库存使用数据!$A:$M,13,0),0)+IFERROR(VLOOKUP($A233,[4]库存使用数据!$A:$M,13,0),0)+IFERROR(VLOOKUP($A233,[5]库存使用数据!$A:$M,13,0),0)</f>
        <v>0</v>
      </c>
    </row>
    <row r="234" spans="1:13">
      <c r="A234" s="5" t="s">
        <v>239</v>
      </c>
      <c r="B234" s="2">
        <f ca="1">IFERROR(VLOOKUP(A234,[1]库存使用数据!$A:$B,2,0),0)+IFERROR(VLOOKUP(A234,[2]库存使用数据!$A:$B,2,0),0)+IFERROR(VLOOKUP(,[3]库存使用数据!$A:$B,2,0),0)+IFERROR(VLOOKUP(A234,[4]库存使用数据!$A:$B,2,0),0)+IFERROR(VLOOKUP(A234,[5]库存使用数据!$A:$B,2,0),0)</f>
        <v>0</v>
      </c>
      <c r="C234" s="1">
        <f ca="1">IFERROR(VLOOKUP($A234,[1]库存使用数据!$A:$C,3,0),0)+IFERROR(VLOOKUP($A234,[2]库存使用数据!$A:$C,3,0),0)+IFERROR(VLOOKUP($A234,[3]库存使用数据!$A:$C,3,0),0)+IFERROR(VLOOKUP($A234,[4]库存使用数据!$A:$C,3,0),0)+IFERROR(VLOOKUP($A234,[5]库存使用数据!$A:$C,3,0),0)</f>
        <v>2</v>
      </c>
      <c r="D234" s="1">
        <f ca="1">IFERROR(VLOOKUP($A234,[1]库存使用数据!$A:$D,4,0),0)+IFERROR(VLOOKUP($A234,[2]库存使用数据!$A:$D,4,0),0)+公式!$B$1*IFERROR(VLOOKUP($A234,[3]库存使用数据!$A:$D,4,0),0)+IFERROR(VLOOKUP($A234,[4]库存使用数据!$A:$D,4,0),0)+IFERROR(VLOOKUP($A234,[5]库存使用数据!$A:$D,4,0),0)</f>
        <v>0.3825</v>
      </c>
      <c r="E234" s="1">
        <f ca="1">IFERROR(VLOOKUP($A234,[1]库存使用数据!$A:$E,5,0),0)+IFERROR(VLOOKUP($A234,[2]库存使用数据!$A:$E,5,0),0)+IFERROR(VLOOKUP($A234,[3]库存使用数据!$A:$E,5,0),0)+IFERROR(VLOOKUP($A234,[4]库存使用数据!$A:$E,5,0),0)+IFERROR(VLOOKUP($A234,[5]库存使用数据!$A:$E,5,0),0)</f>
        <v>6603</v>
      </c>
      <c r="F234" s="1">
        <f ca="1">IFERROR(VLOOKUP($A234,[1]库存使用数据!$A:$F,6,0),0)+IFERROR(VLOOKUP($A234,[2]库存使用数据!$A:$F,6,0),0)+IFERROR(VLOOKUP($A234,[4]库存使用数据!$A:$F,6,0),0)+IFERROR(VLOOKUP($A234,[3]库存使用数据!$A:$F,6,0),0)+IFERROR(VLOOKUP($A234,[5]库存使用数据!$A:$F,6,0),0)</f>
        <v>21</v>
      </c>
      <c r="G234" s="1">
        <f ca="1">IFERROR(VLOOKUP($A234,[1]库存使用数据!$A:$G,7,0),0)+IFERROR(VLOOKUP($A234,[2]库存使用数据!$A:$G,7,0),0)+公式!$B$14*IFERROR(VLOOKUP($A234,[3]库存使用数据!$A:$G,7,0),0)+IFERROR(VLOOKUP($A234,[4]库存使用数据!$A:$G,7,0),0)+IFERROR(VLOOKUP($A234,[5]库存使用数据!$A:$G,7,0),0)</f>
        <v>3.88</v>
      </c>
      <c r="H234" s="1">
        <f ca="1">IFERROR(VLOOKUP($A234,[1]库存使用数据!$A:$H,8,0),0)+IFERROR(VLOOKUP($A234,[2]库存使用数据!$A:$H,8,0),0)+IFERROR(VLOOKUP($A234,[3]库存使用数据!$A:$H,8,0),0)+IFERROR(VLOOKUP($A234,[4]库存使用数据!$A:$H,8,0),0)+IFERROR(VLOOKUP($A234,[5]库存使用数据!$A:$H,8,0),0)</f>
        <v>969</v>
      </c>
      <c r="I234" s="1">
        <f ca="1">IFERROR(VLOOKUP($A234,[1]库存使用数据!$A:$I,9,0),0)+IFERROR(VLOOKUP($A234,[2]库存使用数据!$A:$I,9,0),0)+IFERROR(VLOOKUP($A234,[3]库存使用数据!$A:$I,9,0),0)+IFERROR(VLOOKUP($A234,[4]库存使用数据!$A:$I,9,0),0)+IFERROR(VLOOKUP($A234,[5]库存使用数据!$A:$I,9,0),0)</f>
        <v>7</v>
      </c>
      <c r="J234" s="1">
        <f ca="1">IFERROR(VLOOKUP($A234,[1]库存使用数据!$A:$J,10,0),0)+IFERROR(VLOOKUP($A234,[2]库存使用数据!$A:$J,10,0),0)+公式!$B$14*IFERROR(VLOOKUP($A234,[3]库存使用数据!$A:$J,10,0),0)+IFERROR(VLOOKUP($A234,[4]库存使用数据!$A:$J,10,0),0)+IFERROR(VLOOKUP($A234,[5]库存使用数据!$A:$J,10,0),0)</f>
        <v>1.24</v>
      </c>
      <c r="K234" s="1">
        <f ca="1">IFERROR(VLOOKUP($A234,[1]库存使用数据!$A:$K,11,0),0)+IFERROR(VLOOKUP($A234,[2]库存使用数据!$A:$K,11,0),0)+IFERROR(VLOOKUP($A234,[3]库存使用数据!$A:$K,11,0),0)+IFERROR(VLOOKUP($A234,[4]库存使用数据!$A:$K,11,0),0)+IFERROR(VLOOKUP($A234,[5]库存使用数据!$A:$K,11,0),0)</f>
        <v>0</v>
      </c>
      <c r="L234" s="1">
        <f ca="1">IFERROR(VLOOKUP($A234,[1]库存使用数据!$A:$L,12,0),0)+IFERROR(VLOOKUP($A234,[2]库存使用数据!$A:$L,12,0),0)+IFERROR(VLOOKUP($A234,[3]库存使用数据!$A:$L,12,0),0)+IFERROR(VLOOKUP($A234,[4]库存使用数据!$A:$L,12,0),0)+IFERROR(VLOOKUP($A234,[5]库存使用数据!$A:$L,12,0),0)</f>
        <v>0</v>
      </c>
      <c r="M234" s="1">
        <f ca="1">IFERROR(VLOOKUP($A234,[1]库存使用数据!$A:$M,13,0),0)+IFERROR(VLOOKUP($A234,[2]库存使用数据!$A:$M,13,0),0)+公式!$B$14*IFERROR(VLOOKUP($A234,[3]库存使用数据!$A:$M,13,0),0)+IFERROR(VLOOKUP($A234,[4]库存使用数据!$A:$M,13,0),0)+IFERROR(VLOOKUP($A234,[5]库存使用数据!$A:$M,13,0),0)</f>
        <v>0</v>
      </c>
    </row>
    <row r="235" spans="1:13">
      <c r="A235" s="5" t="s">
        <v>240</v>
      </c>
      <c r="B235" s="2">
        <f ca="1">IFERROR(VLOOKUP(A235,[1]库存使用数据!$A:$B,2,0),0)+IFERROR(VLOOKUP(A235,[2]库存使用数据!$A:$B,2,0),0)+IFERROR(VLOOKUP(,[3]库存使用数据!$A:$B,2,0),0)+IFERROR(VLOOKUP(A235,[4]库存使用数据!$A:$B,2,0),0)+IFERROR(VLOOKUP(A235,[5]库存使用数据!$A:$B,2,0),0)</f>
        <v>10414</v>
      </c>
      <c r="C235" s="1">
        <f ca="1">IFERROR(VLOOKUP($A235,[1]库存使用数据!$A:$C,3,0),0)+IFERROR(VLOOKUP($A235,[2]库存使用数据!$A:$C,3,0),0)+IFERROR(VLOOKUP($A235,[3]库存使用数据!$A:$C,3,0),0)+IFERROR(VLOOKUP($A235,[4]库存使用数据!$A:$C,3,0),0)+IFERROR(VLOOKUP($A235,[5]库存使用数据!$A:$C,3,0),0)</f>
        <v>87</v>
      </c>
      <c r="D235" s="1">
        <f ca="1">IFERROR(VLOOKUP($A235,[1]库存使用数据!$A:$D,4,0),0)+IFERROR(VLOOKUP($A235,[2]库存使用数据!$A:$D,4,0),0)+公式!$B$1*IFERROR(VLOOKUP($A235,[3]库存使用数据!$A:$D,4,0),0)+IFERROR(VLOOKUP($A235,[4]库存使用数据!$A:$D,4,0),0)+IFERROR(VLOOKUP($A235,[5]库存使用数据!$A:$D,4,0),0)</f>
        <v>15.115</v>
      </c>
      <c r="E235" s="1">
        <f ca="1">IFERROR(VLOOKUP($A235,[1]库存使用数据!$A:$E,5,0),0)+IFERROR(VLOOKUP($A235,[2]库存使用数据!$A:$E,5,0),0)+IFERROR(VLOOKUP($A235,[3]库存使用数据!$A:$E,5,0),0)+IFERROR(VLOOKUP($A235,[4]库存使用数据!$A:$E,5,0),0)+IFERROR(VLOOKUP($A235,[5]库存使用数据!$A:$E,5,0),0)</f>
        <v>32294</v>
      </c>
      <c r="F235" s="1">
        <f ca="1">IFERROR(VLOOKUP($A235,[1]库存使用数据!$A:$F,6,0),0)+IFERROR(VLOOKUP($A235,[2]库存使用数据!$A:$F,6,0),0)+IFERROR(VLOOKUP($A235,[4]库存使用数据!$A:$F,6,0),0)+IFERROR(VLOOKUP($A235,[3]库存使用数据!$A:$F,6,0),0)+IFERROR(VLOOKUP($A235,[5]库存使用数据!$A:$F,6,0),0)</f>
        <v>160</v>
      </c>
      <c r="G235" s="1">
        <f ca="1">IFERROR(VLOOKUP($A235,[1]库存使用数据!$A:$G,7,0),0)+IFERROR(VLOOKUP($A235,[2]库存使用数据!$A:$G,7,0),0)+公式!$B$14*IFERROR(VLOOKUP($A235,[3]库存使用数据!$A:$G,7,0),0)+IFERROR(VLOOKUP($A235,[4]库存使用数据!$A:$G,7,0),0)+IFERROR(VLOOKUP($A235,[5]库存使用数据!$A:$G,7,0),0)</f>
        <v>25.23</v>
      </c>
      <c r="H235" s="1">
        <f ca="1">IFERROR(VLOOKUP($A235,[1]库存使用数据!$A:$H,8,0),0)+IFERROR(VLOOKUP($A235,[2]库存使用数据!$A:$H,8,0),0)+IFERROR(VLOOKUP($A235,[3]库存使用数据!$A:$H,8,0),0)+IFERROR(VLOOKUP($A235,[4]库存使用数据!$A:$H,8,0),0)+IFERROR(VLOOKUP($A235,[5]库存使用数据!$A:$H,8,0),0)</f>
        <v>20247</v>
      </c>
      <c r="I235" s="1">
        <f ca="1">IFERROR(VLOOKUP($A235,[1]库存使用数据!$A:$I,9,0),0)+IFERROR(VLOOKUP($A235,[2]库存使用数据!$A:$I,9,0),0)+IFERROR(VLOOKUP($A235,[3]库存使用数据!$A:$I,9,0),0)+IFERROR(VLOOKUP($A235,[4]库存使用数据!$A:$I,9,0),0)+IFERROR(VLOOKUP($A235,[5]库存使用数据!$A:$I,9,0),0)</f>
        <v>72</v>
      </c>
      <c r="J235" s="1">
        <f ca="1">IFERROR(VLOOKUP($A235,[1]库存使用数据!$A:$J,10,0),0)+IFERROR(VLOOKUP($A235,[2]库存使用数据!$A:$J,10,0),0)+公式!$B$14*IFERROR(VLOOKUP($A235,[3]库存使用数据!$A:$J,10,0),0)+IFERROR(VLOOKUP($A235,[4]库存使用数据!$A:$J,10,0),0)+IFERROR(VLOOKUP($A235,[5]库存使用数据!$A:$J,10,0),0)</f>
        <v>10.48</v>
      </c>
      <c r="K235" s="1">
        <f ca="1">IFERROR(VLOOKUP($A235,[1]库存使用数据!$A:$K,11,0),0)+IFERROR(VLOOKUP($A235,[2]库存使用数据!$A:$K,11,0),0)+IFERROR(VLOOKUP($A235,[3]库存使用数据!$A:$K,11,0),0)+IFERROR(VLOOKUP($A235,[4]库存使用数据!$A:$K,11,0),0)+IFERROR(VLOOKUP($A235,[5]库存使用数据!$A:$K,11,0),0)</f>
        <v>961</v>
      </c>
      <c r="L235" s="1">
        <f ca="1">IFERROR(VLOOKUP($A235,[1]库存使用数据!$A:$L,12,0),0)+IFERROR(VLOOKUP($A235,[2]库存使用数据!$A:$L,12,0),0)+IFERROR(VLOOKUP($A235,[3]库存使用数据!$A:$L,12,0),0)+IFERROR(VLOOKUP($A235,[4]库存使用数据!$A:$L,12,0),0)+IFERROR(VLOOKUP($A235,[5]库存使用数据!$A:$L,12,0),0)</f>
        <v>13</v>
      </c>
      <c r="M235" s="1">
        <f ca="1">IFERROR(VLOOKUP($A235,[1]库存使用数据!$A:$M,13,0),0)+IFERROR(VLOOKUP($A235,[2]库存使用数据!$A:$M,13,0),0)+公式!$B$14*IFERROR(VLOOKUP($A235,[3]库存使用数据!$A:$M,13,0),0)+IFERROR(VLOOKUP($A235,[4]库存使用数据!$A:$M,13,0),0)+IFERROR(VLOOKUP($A235,[5]库存使用数据!$A:$M,13,0),0)</f>
        <v>3.09</v>
      </c>
    </row>
    <row r="236" spans="1:13">
      <c r="A236" s="5" t="s">
        <v>241</v>
      </c>
      <c r="B236" s="2">
        <f ca="1">IFERROR(VLOOKUP(A236,[1]库存使用数据!$A:$B,2,0),0)+IFERROR(VLOOKUP(A236,[2]库存使用数据!$A:$B,2,0),0)+IFERROR(VLOOKUP(,[3]库存使用数据!$A:$B,2,0),0)+IFERROR(VLOOKUP(A236,[4]库存使用数据!$A:$B,2,0),0)+IFERROR(VLOOKUP(A236,[5]库存使用数据!$A:$B,2,0),0)</f>
        <v>0</v>
      </c>
      <c r="C236" s="1">
        <f ca="1">IFERROR(VLOOKUP($A236,[1]库存使用数据!$A:$C,3,0),0)+IFERROR(VLOOKUP($A236,[2]库存使用数据!$A:$C,3,0),0)+IFERROR(VLOOKUP($A236,[3]库存使用数据!$A:$C,3,0),0)+IFERROR(VLOOKUP($A236,[4]库存使用数据!$A:$C,3,0),0)+IFERROR(VLOOKUP($A236,[5]库存使用数据!$A:$C,3,0),0)</f>
        <v>16</v>
      </c>
      <c r="D236" s="1">
        <f ca="1">IFERROR(VLOOKUP($A236,[1]库存使用数据!$A:$D,4,0),0)+IFERROR(VLOOKUP($A236,[2]库存使用数据!$A:$D,4,0),0)+公式!$B$1*IFERROR(VLOOKUP($A236,[3]库存使用数据!$A:$D,4,0),0)+IFERROR(VLOOKUP($A236,[4]库存使用数据!$A:$D,4,0),0)+IFERROR(VLOOKUP($A236,[5]库存使用数据!$A:$D,4,0),0)</f>
        <v>3.2175</v>
      </c>
      <c r="E236" s="1">
        <f ca="1">IFERROR(VLOOKUP($A236,[1]库存使用数据!$A:$E,5,0),0)+IFERROR(VLOOKUP($A236,[2]库存使用数据!$A:$E,5,0),0)+IFERROR(VLOOKUP($A236,[3]库存使用数据!$A:$E,5,0),0)+IFERROR(VLOOKUP($A236,[4]库存使用数据!$A:$E,5,0),0)+IFERROR(VLOOKUP($A236,[5]库存使用数据!$A:$E,5,0),0)</f>
        <v>27499</v>
      </c>
      <c r="F236" s="1">
        <f ca="1">IFERROR(VLOOKUP($A236,[1]库存使用数据!$A:$F,6,0),0)+IFERROR(VLOOKUP($A236,[2]库存使用数据!$A:$F,6,0),0)+IFERROR(VLOOKUP($A236,[4]库存使用数据!$A:$F,6,0),0)+IFERROR(VLOOKUP($A236,[3]库存使用数据!$A:$F,6,0),0)+IFERROR(VLOOKUP($A236,[5]库存使用数据!$A:$F,6,0),0)</f>
        <v>148</v>
      </c>
      <c r="G236" s="1">
        <f ca="1">IFERROR(VLOOKUP($A236,[1]库存使用数据!$A:$G,7,0),0)+IFERROR(VLOOKUP($A236,[2]库存使用数据!$A:$G,7,0),0)+公式!$B$14*IFERROR(VLOOKUP($A236,[3]库存使用数据!$A:$G,7,0),0)+IFERROR(VLOOKUP($A236,[4]库存使用数据!$A:$G,7,0),0)+IFERROR(VLOOKUP($A236,[5]库存使用数据!$A:$G,7,0),0)</f>
        <v>30.88</v>
      </c>
      <c r="H236" s="1">
        <f ca="1">IFERROR(VLOOKUP($A236,[1]库存使用数据!$A:$H,8,0),0)+IFERROR(VLOOKUP($A236,[2]库存使用数据!$A:$H,8,0),0)+IFERROR(VLOOKUP($A236,[3]库存使用数据!$A:$H,8,0),0)+IFERROR(VLOOKUP($A236,[4]库存使用数据!$A:$H,8,0),0)+IFERROR(VLOOKUP($A236,[5]库存使用数据!$A:$H,8,0),0)</f>
        <v>5816</v>
      </c>
      <c r="I236" s="1">
        <f ca="1">IFERROR(VLOOKUP($A236,[1]库存使用数据!$A:$I,9,0),0)+IFERROR(VLOOKUP($A236,[2]库存使用数据!$A:$I,9,0),0)+IFERROR(VLOOKUP($A236,[3]库存使用数据!$A:$I,9,0),0)+IFERROR(VLOOKUP($A236,[4]库存使用数据!$A:$I,9,0),0)+IFERROR(VLOOKUP($A236,[5]库存使用数据!$A:$I,9,0),0)</f>
        <v>32</v>
      </c>
      <c r="J236" s="1">
        <f ca="1">IFERROR(VLOOKUP($A236,[1]库存使用数据!$A:$J,10,0),0)+IFERROR(VLOOKUP($A236,[2]库存使用数据!$A:$J,10,0),0)+公式!$B$14*IFERROR(VLOOKUP($A236,[3]库存使用数据!$A:$J,10,0),0)+IFERROR(VLOOKUP($A236,[4]库存使用数据!$A:$J,10,0),0)+IFERROR(VLOOKUP($A236,[5]库存使用数据!$A:$J,10,0),0)</f>
        <v>6.36</v>
      </c>
      <c r="K236" s="1">
        <f ca="1">IFERROR(VLOOKUP($A236,[1]库存使用数据!$A:$K,11,0),0)+IFERROR(VLOOKUP($A236,[2]库存使用数据!$A:$K,11,0),0)+IFERROR(VLOOKUP($A236,[3]库存使用数据!$A:$K,11,0),0)+IFERROR(VLOOKUP($A236,[4]库存使用数据!$A:$K,11,0),0)+IFERROR(VLOOKUP($A236,[5]库存使用数据!$A:$K,11,0),0)</f>
        <v>8351</v>
      </c>
      <c r="L236" s="1">
        <f ca="1">IFERROR(VLOOKUP($A236,[1]库存使用数据!$A:$L,12,0),0)+IFERROR(VLOOKUP($A236,[2]库存使用数据!$A:$L,12,0),0)+IFERROR(VLOOKUP($A236,[3]库存使用数据!$A:$L,12,0),0)+IFERROR(VLOOKUP($A236,[4]库存使用数据!$A:$L,12,0),0)+IFERROR(VLOOKUP($A236,[5]库存使用数据!$A:$L,12,0),0)</f>
        <v>84</v>
      </c>
      <c r="M236" s="1">
        <f ca="1">IFERROR(VLOOKUP($A236,[1]库存使用数据!$A:$M,13,0),0)+IFERROR(VLOOKUP($A236,[2]库存使用数据!$A:$M,13,0),0)+公式!$B$14*IFERROR(VLOOKUP($A236,[3]库存使用数据!$A:$M,13,0),0)+IFERROR(VLOOKUP($A236,[4]库存使用数据!$A:$M,13,0),0)+IFERROR(VLOOKUP($A236,[5]库存使用数据!$A:$M,13,0),0)</f>
        <v>18.38</v>
      </c>
    </row>
    <row r="237" spans="1:13">
      <c r="A237" s="5" t="s">
        <v>242</v>
      </c>
      <c r="B237" s="2">
        <f ca="1">IFERROR(VLOOKUP(A237,[1]库存使用数据!$A:$B,2,0),0)+IFERROR(VLOOKUP(A237,[2]库存使用数据!$A:$B,2,0),0)+IFERROR(VLOOKUP(,[3]库存使用数据!$A:$B,2,0),0)+IFERROR(VLOOKUP(A237,[4]库存使用数据!$A:$B,2,0),0)+IFERROR(VLOOKUP(A237,[5]库存使用数据!$A:$B,2,0),0)</f>
        <v>13950</v>
      </c>
      <c r="C237" s="1">
        <f ca="1">IFERROR(VLOOKUP($A237,[1]库存使用数据!$A:$C,3,0),0)+IFERROR(VLOOKUP($A237,[2]库存使用数据!$A:$C,3,0),0)+IFERROR(VLOOKUP($A237,[3]库存使用数据!$A:$C,3,0),0)+IFERROR(VLOOKUP($A237,[4]库存使用数据!$A:$C,3,0),0)+IFERROR(VLOOKUP($A237,[5]库存使用数据!$A:$C,3,0),0)</f>
        <v>79</v>
      </c>
      <c r="D237" s="1">
        <f ca="1">IFERROR(VLOOKUP($A237,[1]库存使用数据!$A:$D,4,0),0)+IFERROR(VLOOKUP($A237,[2]库存使用数据!$A:$D,4,0),0)+公式!$B$1*IFERROR(VLOOKUP($A237,[3]库存使用数据!$A:$D,4,0),0)+IFERROR(VLOOKUP($A237,[4]库存使用数据!$A:$D,4,0),0)+IFERROR(VLOOKUP($A237,[5]库存使用数据!$A:$D,4,0),0)</f>
        <v>10.63125</v>
      </c>
      <c r="E237" s="1">
        <f ca="1">IFERROR(VLOOKUP($A237,[1]库存使用数据!$A:$E,5,0),0)+IFERROR(VLOOKUP($A237,[2]库存使用数据!$A:$E,5,0),0)+IFERROR(VLOOKUP($A237,[3]库存使用数据!$A:$E,5,0),0)+IFERROR(VLOOKUP($A237,[4]库存使用数据!$A:$E,5,0),0)+IFERROR(VLOOKUP($A237,[5]库存使用数据!$A:$E,5,0),0)</f>
        <v>16741</v>
      </c>
      <c r="F237" s="1">
        <f ca="1">IFERROR(VLOOKUP($A237,[1]库存使用数据!$A:$F,6,0),0)+IFERROR(VLOOKUP($A237,[2]库存使用数据!$A:$F,6,0),0)+IFERROR(VLOOKUP($A237,[4]库存使用数据!$A:$F,6,0),0)+IFERROR(VLOOKUP($A237,[3]库存使用数据!$A:$F,6,0),0)+IFERROR(VLOOKUP($A237,[5]库存使用数据!$A:$F,6,0),0)</f>
        <v>90</v>
      </c>
      <c r="G237" s="1">
        <f ca="1">IFERROR(VLOOKUP($A237,[1]库存使用数据!$A:$G,7,0),0)+IFERROR(VLOOKUP($A237,[2]库存使用数据!$A:$G,7,0),0)+公式!$B$14*IFERROR(VLOOKUP($A237,[3]库存使用数据!$A:$G,7,0),0)+IFERROR(VLOOKUP($A237,[4]库存使用数据!$A:$G,7,0),0)+IFERROR(VLOOKUP($A237,[5]库存使用数据!$A:$G,7,0),0)</f>
        <v>11.58</v>
      </c>
      <c r="H237" s="1">
        <f ca="1">IFERROR(VLOOKUP($A237,[1]库存使用数据!$A:$H,8,0),0)+IFERROR(VLOOKUP($A237,[2]库存使用数据!$A:$H,8,0),0)+IFERROR(VLOOKUP($A237,[3]库存使用数据!$A:$H,8,0),0)+IFERROR(VLOOKUP($A237,[4]库存使用数据!$A:$H,8,0),0)+IFERROR(VLOOKUP($A237,[5]库存使用数据!$A:$H,8,0),0)</f>
        <v>18133</v>
      </c>
      <c r="I237" s="1">
        <f ca="1">IFERROR(VLOOKUP($A237,[1]库存使用数据!$A:$I,9,0),0)+IFERROR(VLOOKUP($A237,[2]库存使用数据!$A:$I,9,0),0)+IFERROR(VLOOKUP($A237,[3]库存使用数据!$A:$I,9,0),0)+IFERROR(VLOOKUP($A237,[4]库存使用数据!$A:$I,9,0),0)+IFERROR(VLOOKUP($A237,[5]库存使用数据!$A:$I,9,0),0)</f>
        <v>70</v>
      </c>
      <c r="J237" s="1">
        <f ca="1">IFERROR(VLOOKUP($A237,[1]库存使用数据!$A:$J,10,0),0)+IFERROR(VLOOKUP($A237,[2]库存使用数据!$A:$J,10,0),0)+公式!$B$14*IFERROR(VLOOKUP($A237,[3]库存使用数据!$A:$J,10,0),0)+IFERROR(VLOOKUP($A237,[4]库存使用数据!$A:$J,10,0),0)+IFERROR(VLOOKUP($A237,[5]库存使用数据!$A:$J,10,0),0)</f>
        <v>9.47</v>
      </c>
      <c r="K237" s="1">
        <f ca="1">IFERROR(VLOOKUP($A237,[1]库存使用数据!$A:$K,11,0),0)+IFERROR(VLOOKUP($A237,[2]库存使用数据!$A:$K,11,0),0)+IFERROR(VLOOKUP($A237,[3]库存使用数据!$A:$K,11,0),0)+IFERROR(VLOOKUP($A237,[4]库存使用数据!$A:$K,11,0),0)+IFERROR(VLOOKUP($A237,[5]库存使用数据!$A:$K,11,0),0)</f>
        <v>47794</v>
      </c>
      <c r="L237" s="1">
        <f ca="1">IFERROR(VLOOKUP($A237,[1]库存使用数据!$A:$L,12,0),0)+IFERROR(VLOOKUP($A237,[2]库存使用数据!$A:$L,12,0),0)+IFERROR(VLOOKUP($A237,[3]库存使用数据!$A:$L,12,0),0)+IFERROR(VLOOKUP($A237,[4]库存使用数据!$A:$L,12,0),0)+IFERROR(VLOOKUP($A237,[5]库存使用数据!$A:$L,12,0),0)</f>
        <v>135</v>
      </c>
      <c r="M237" s="1">
        <f ca="1">IFERROR(VLOOKUP($A237,[1]库存使用数据!$A:$M,13,0),0)+IFERROR(VLOOKUP($A237,[2]库存使用数据!$A:$M,13,0),0)+公式!$B$14*IFERROR(VLOOKUP($A237,[3]库存使用数据!$A:$M,13,0),0)+IFERROR(VLOOKUP($A237,[4]库存使用数据!$A:$M,13,0),0)+IFERROR(VLOOKUP($A237,[5]库存使用数据!$A:$M,13,0),0)</f>
        <v>17.15</v>
      </c>
    </row>
    <row r="238" spans="1:13">
      <c r="A238" s="5" t="s">
        <v>243</v>
      </c>
      <c r="B238" s="2">
        <f ca="1">IFERROR(VLOOKUP(A238,[1]库存使用数据!$A:$B,2,0),0)+IFERROR(VLOOKUP(A238,[2]库存使用数据!$A:$B,2,0),0)+IFERROR(VLOOKUP(,[3]库存使用数据!$A:$B,2,0),0)+IFERROR(VLOOKUP(A238,[4]库存使用数据!$A:$B,2,0),0)+IFERROR(VLOOKUP(A238,[5]库存使用数据!$A:$B,2,0),0)</f>
        <v>0</v>
      </c>
      <c r="C238" s="1">
        <f ca="1">IFERROR(VLOOKUP($A238,[1]库存使用数据!$A:$C,3,0),0)+IFERROR(VLOOKUP($A238,[2]库存使用数据!$A:$C,3,0),0)+IFERROR(VLOOKUP($A238,[3]库存使用数据!$A:$C,3,0),0)+IFERROR(VLOOKUP($A238,[4]库存使用数据!$A:$C,3,0),0)+IFERROR(VLOOKUP($A238,[5]库存使用数据!$A:$C,3,0),0)</f>
        <v>0</v>
      </c>
      <c r="D238" s="1">
        <f ca="1">IFERROR(VLOOKUP($A238,[1]库存使用数据!$A:$D,4,0),0)+IFERROR(VLOOKUP($A238,[2]库存使用数据!$A:$D,4,0),0)+公式!$B$1*IFERROR(VLOOKUP($A238,[3]库存使用数据!$A:$D,4,0),0)+IFERROR(VLOOKUP($A238,[4]库存使用数据!$A:$D,4,0),0)+IFERROR(VLOOKUP($A238,[5]库存使用数据!$A:$D,4,0),0)</f>
        <v>0</v>
      </c>
      <c r="E238" s="1">
        <f ca="1">IFERROR(VLOOKUP($A238,[1]库存使用数据!$A:$E,5,0),0)+IFERROR(VLOOKUP($A238,[2]库存使用数据!$A:$E,5,0),0)+IFERROR(VLOOKUP($A238,[3]库存使用数据!$A:$E,5,0),0)+IFERROR(VLOOKUP($A238,[4]库存使用数据!$A:$E,5,0),0)+IFERROR(VLOOKUP($A238,[5]库存使用数据!$A:$E,5,0),0)</f>
        <v>14925</v>
      </c>
      <c r="F238" s="1">
        <f ca="1">IFERROR(VLOOKUP($A238,[1]库存使用数据!$A:$F,6,0),0)+IFERROR(VLOOKUP($A238,[2]库存使用数据!$A:$F,6,0),0)+IFERROR(VLOOKUP($A238,[4]库存使用数据!$A:$F,6,0),0)+IFERROR(VLOOKUP($A238,[3]库存使用数据!$A:$F,6,0),0)+IFERROR(VLOOKUP($A238,[5]库存使用数据!$A:$F,6,0),0)</f>
        <v>140</v>
      </c>
      <c r="G238" s="1">
        <f ca="1">IFERROR(VLOOKUP($A238,[1]库存使用数据!$A:$G,7,0),0)+IFERROR(VLOOKUP($A238,[2]库存使用数据!$A:$G,7,0),0)+公式!$B$14*IFERROR(VLOOKUP($A238,[3]库存使用数据!$A:$G,7,0),0)+IFERROR(VLOOKUP($A238,[4]库存使用数据!$A:$G,7,0),0)+IFERROR(VLOOKUP($A238,[5]库存使用数据!$A:$G,7,0),0)</f>
        <v>35.08</v>
      </c>
      <c r="H238" s="1">
        <f ca="1">IFERROR(VLOOKUP($A238,[1]库存使用数据!$A:$H,8,0),0)+IFERROR(VLOOKUP($A238,[2]库存使用数据!$A:$H,8,0),0)+IFERROR(VLOOKUP($A238,[3]库存使用数据!$A:$H,8,0),0)+IFERROR(VLOOKUP($A238,[4]库存使用数据!$A:$H,8,0),0)+IFERROR(VLOOKUP($A238,[5]库存使用数据!$A:$H,8,0),0)</f>
        <v>7231</v>
      </c>
      <c r="I238" s="1">
        <f ca="1">IFERROR(VLOOKUP($A238,[1]库存使用数据!$A:$I,9,0),0)+IFERROR(VLOOKUP($A238,[2]库存使用数据!$A:$I,9,0),0)+IFERROR(VLOOKUP($A238,[3]库存使用数据!$A:$I,9,0),0)+IFERROR(VLOOKUP($A238,[4]库存使用数据!$A:$I,9,0),0)+IFERROR(VLOOKUP($A238,[5]库存使用数据!$A:$I,9,0),0)</f>
        <v>59</v>
      </c>
      <c r="J238" s="1">
        <f ca="1">IFERROR(VLOOKUP($A238,[1]库存使用数据!$A:$J,10,0),0)+IFERROR(VLOOKUP($A238,[2]库存使用数据!$A:$J,10,0),0)+公式!$B$14*IFERROR(VLOOKUP($A238,[3]库存使用数据!$A:$J,10,0),0)+IFERROR(VLOOKUP($A238,[4]库存使用数据!$A:$J,10,0),0)+IFERROR(VLOOKUP($A238,[5]库存使用数据!$A:$J,10,0),0)</f>
        <v>13.34</v>
      </c>
      <c r="K238" s="1">
        <f ca="1">IFERROR(VLOOKUP($A238,[1]库存使用数据!$A:$K,11,0),0)+IFERROR(VLOOKUP($A238,[2]库存使用数据!$A:$K,11,0),0)+IFERROR(VLOOKUP($A238,[3]库存使用数据!$A:$K,11,0),0)+IFERROR(VLOOKUP($A238,[4]库存使用数据!$A:$K,11,0),0)+IFERROR(VLOOKUP($A238,[5]库存使用数据!$A:$K,11,0),0)</f>
        <v>12719</v>
      </c>
      <c r="L238" s="1">
        <f ca="1">IFERROR(VLOOKUP($A238,[1]库存使用数据!$A:$L,12,0),0)+IFERROR(VLOOKUP($A238,[2]库存使用数据!$A:$L,12,0),0)+IFERROR(VLOOKUP($A238,[3]库存使用数据!$A:$L,12,0),0)+IFERROR(VLOOKUP($A238,[4]库存使用数据!$A:$L,12,0),0)+IFERROR(VLOOKUP($A238,[5]库存使用数据!$A:$L,12,0),0)</f>
        <v>122</v>
      </c>
      <c r="M238" s="1">
        <f ca="1">IFERROR(VLOOKUP($A238,[1]库存使用数据!$A:$M,13,0),0)+IFERROR(VLOOKUP($A238,[2]库存使用数据!$A:$M,13,0),0)+公式!$B$14*IFERROR(VLOOKUP($A238,[3]库存使用数据!$A:$M,13,0),0)+IFERROR(VLOOKUP($A238,[4]库存使用数据!$A:$M,13,0),0)+IFERROR(VLOOKUP($A238,[5]库存使用数据!$A:$M,13,0),0)</f>
        <v>26.39</v>
      </c>
    </row>
    <row r="239" spans="1:13">
      <c r="A239" s="5" t="s">
        <v>244</v>
      </c>
      <c r="B239" s="2">
        <f ca="1">IFERROR(VLOOKUP(A239,[1]库存使用数据!$A:$B,2,0),0)+IFERROR(VLOOKUP(A239,[2]库存使用数据!$A:$B,2,0),0)+IFERROR(VLOOKUP(,[3]库存使用数据!$A:$B,2,0),0)+IFERROR(VLOOKUP(A239,[4]库存使用数据!$A:$B,2,0),0)+IFERROR(VLOOKUP(A239,[5]库存使用数据!$A:$B,2,0),0)</f>
        <v>0</v>
      </c>
      <c r="C239" s="1">
        <f ca="1">IFERROR(VLOOKUP($A239,[1]库存使用数据!$A:$C,3,0),0)+IFERROR(VLOOKUP($A239,[2]库存使用数据!$A:$C,3,0),0)+IFERROR(VLOOKUP($A239,[3]库存使用数据!$A:$C,3,0),0)+IFERROR(VLOOKUP($A239,[4]库存使用数据!$A:$C,3,0),0)+IFERROR(VLOOKUP($A239,[5]库存使用数据!$A:$C,3,0),0)</f>
        <v>3</v>
      </c>
      <c r="D239" s="1">
        <f ca="1">IFERROR(VLOOKUP($A239,[1]库存使用数据!$A:$D,4,0),0)+IFERROR(VLOOKUP($A239,[2]库存使用数据!$A:$D,4,0),0)+公式!$B$1*IFERROR(VLOOKUP($A239,[3]库存使用数据!$A:$D,4,0),0)+IFERROR(VLOOKUP($A239,[4]库存使用数据!$A:$D,4,0),0)+IFERROR(VLOOKUP($A239,[5]库存使用数据!$A:$D,4,0),0)</f>
        <v>0.37125</v>
      </c>
      <c r="E239" s="1">
        <f ca="1">IFERROR(VLOOKUP($A239,[1]库存使用数据!$A:$E,5,0),0)+IFERROR(VLOOKUP($A239,[2]库存使用数据!$A:$E,5,0),0)+IFERROR(VLOOKUP($A239,[3]库存使用数据!$A:$E,5,0),0)+IFERROR(VLOOKUP($A239,[4]库存使用数据!$A:$E,5,0),0)+IFERROR(VLOOKUP($A239,[5]库存使用数据!$A:$E,5,0),0)</f>
        <v>764</v>
      </c>
      <c r="F239" s="1">
        <f ca="1">IFERROR(VLOOKUP($A239,[1]库存使用数据!$A:$F,6,0),0)+IFERROR(VLOOKUP($A239,[2]库存使用数据!$A:$F,6,0),0)+IFERROR(VLOOKUP($A239,[4]库存使用数据!$A:$F,6,0),0)+IFERROR(VLOOKUP($A239,[3]库存使用数据!$A:$F,6,0),0)+IFERROR(VLOOKUP($A239,[5]库存使用数据!$A:$F,6,0),0)</f>
        <v>0</v>
      </c>
      <c r="G239" s="1">
        <f ca="1">IFERROR(VLOOKUP($A239,[1]库存使用数据!$A:$G,7,0),0)+IFERROR(VLOOKUP($A239,[2]库存使用数据!$A:$G,7,0),0)+公式!$B$14*IFERROR(VLOOKUP($A239,[3]库存使用数据!$A:$G,7,0),0)+IFERROR(VLOOKUP($A239,[4]库存使用数据!$A:$G,7,0),0)+IFERROR(VLOOKUP($A239,[5]库存使用数据!$A:$G,7,0),0)</f>
        <v>0</v>
      </c>
      <c r="H239" s="1">
        <f ca="1">IFERROR(VLOOKUP($A239,[1]库存使用数据!$A:$H,8,0),0)+IFERROR(VLOOKUP($A239,[2]库存使用数据!$A:$H,8,0),0)+IFERROR(VLOOKUP($A239,[3]库存使用数据!$A:$H,8,0),0)+IFERROR(VLOOKUP($A239,[4]库存使用数据!$A:$H,8,0),0)+IFERROR(VLOOKUP($A239,[5]库存使用数据!$A:$H,8,0),0)</f>
        <v>408</v>
      </c>
      <c r="I239" s="1">
        <f ca="1">IFERROR(VLOOKUP($A239,[1]库存使用数据!$A:$I,9,0),0)+IFERROR(VLOOKUP($A239,[2]库存使用数据!$A:$I,9,0),0)+IFERROR(VLOOKUP($A239,[3]库存使用数据!$A:$I,9,0),0)+IFERROR(VLOOKUP($A239,[4]库存使用数据!$A:$I,9,0),0)+IFERROR(VLOOKUP($A239,[5]库存使用数据!$A:$I,9,0),0)</f>
        <v>2</v>
      </c>
      <c r="J239" s="1">
        <f ca="1">IFERROR(VLOOKUP($A239,[1]库存使用数据!$A:$J,10,0),0)+IFERROR(VLOOKUP($A239,[2]库存使用数据!$A:$J,10,0),0)+公式!$B$14*IFERROR(VLOOKUP($A239,[3]库存使用数据!$A:$J,10,0),0)+IFERROR(VLOOKUP($A239,[4]库存使用数据!$A:$J,10,0),0)+IFERROR(VLOOKUP($A239,[5]库存使用数据!$A:$J,10,0),0)</f>
        <v>0</v>
      </c>
      <c r="K239" s="1">
        <f ca="1">IFERROR(VLOOKUP($A239,[1]库存使用数据!$A:$K,11,0),0)+IFERROR(VLOOKUP($A239,[2]库存使用数据!$A:$K,11,0),0)+IFERROR(VLOOKUP($A239,[3]库存使用数据!$A:$K,11,0),0)+IFERROR(VLOOKUP($A239,[4]库存使用数据!$A:$K,11,0),0)+IFERROR(VLOOKUP($A239,[5]库存使用数据!$A:$K,11,0),0)</f>
        <v>1778</v>
      </c>
      <c r="L239" s="1">
        <f ca="1">IFERROR(VLOOKUP($A239,[1]库存使用数据!$A:$L,12,0),0)+IFERROR(VLOOKUP($A239,[2]库存使用数据!$A:$L,12,0),0)+IFERROR(VLOOKUP($A239,[3]库存使用数据!$A:$L,12,0),0)+IFERROR(VLOOKUP($A239,[4]库存使用数据!$A:$L,12,0),0)+IFERROR(VLOOKUP($A239,[5]库存使用数据!$A:$L,12,0),0)</f>
        <v>11</v>
      </c>
      <c r="M239" s="1">
        <f ca="1">IFERROR(VLOOKUP($A239,[1]库存使用数据!$A:$M,13,0),0)+IFERROR(VLOOKUP($A239,[2]库存使用数据!$A:$M,13,0),0)+公式!$B$14*IFERROR(VLOOKUP($A239,[3]库存使用数据!$A:$M,13,0),0)+IFERROR(VLOOKUP($A239,[4]库存使用数据!$A:$M,13,0),0)+IFERROR(VLOOKUP($A239,[5]库存使用数据!$A:$M,13,0),0)</f>
        <v>1.8</v>
      </c>
    </row>
    <row r="240" spans="1:13">
      <c r="A240" s="5" t="s">
        <v>245</v>
      </c>
      <c r="B240" s="2">
        <f ca="1">IFERROR(VLOOKUP(A240,[1]库存使用数据!$A:$B,2,0),0)+IFERROR(VLOOKUP(A240,[2]库存使用数据!$A:$B,2,0),0)+IFERROR(VLOOKUP(,[3]库存使用数据!$A:$B,2,0),0)+IFERROR(VLOOKUP(A240,[4]库存使用数据!$A:$B,2,0),0)+IFERROR(VLOOKUP(A240,[5]库存使用数据!$A:$B,2,0),0)</f>
        <v>671</v>
      </c>
      <c r="C240" s="1">
        <f ca="1">IFERROR(VLOOKUP($A240,[1]库存使用数据!$A:$C,3,0),0)+IFERROR(VLOOKUP($A240,[2]库存使用数据!$A:$C,3,0),0)+IFERROR(VLOOKUP($A240,[3]库存使用数据!$A:$C,3,0),0)+IFERROR(VLOOKUP($A240,[4]库存使用数据!$A:$C,3,0),0)+IFERROR(VLOOKUP($A240,[5]库存使用数据!$A:$C,3,0),0)</f>
        <v>3</v>
      </c>
      <c r="D240" s="1">
        <f ca="1">IFERROR(VLOOKUP($A240,[1]库存使用数据!$A:$D,4,0),0)+IFERROR(VLOOKUP($A240,[2]库存使用数据!$A:$D,4,0),0)+公式!$B$1*IFERROR(VLOOKUP($A240,[3]库存使用数据!$A:$D,4,0),0)+IFERROR(VLOOKUP($A240,[4]库存使用数据!$A:$D,4,0),0)+IFERROR(VLOOKUP($A240,[5]库存使用数据!$A:$D,4,0),0)</f>
        <v>0.34</v>
      </c>
      <c r="E240" s="1">
        <f ca="1">IFERROR(VLOOKUP($A240,[1]库存使用数据!$A:$E,5,0),0)+IFERROR(VLOOKUP($A240,[2]库存使用数据!$A:$E,5,0),0)+IFERROR(VLOOKUP($A240,[3]库存使用数据!$A:$E,5,0),0)+IFERROR(VLOOKUP($A240,[4]库存使用数据!$A:$E,5,0),0)+IFERROR(VLOOKUP($A240,[5]库存使用数据!$A:$E,5,0),0)</f>
        <v>311</v>
      </c>
      <c r="F240" s="1">
        <f ca="1">IFERROR(VLOOKUP($A240,[1]库存使用数据!$A:$F,6,0),0)+IFERROR(VLOOKUP($A240,[2]库存使用数据!$A:$F,6,0),0)+IFERROR(VLOOKUP($A240,[4]库存使用数据!$A:$F,6,0),0)+IFERROR(VLOOKUP($A240,[3]库存使用数据!$A:$F,6,0),0)+IFERROR(VLOOKUP($A240,[5]库存使用数据!$A:$F,6,0),0)</f>
        <v>0</v>
      </c>
      <c r="G240" s="1">
        <f ca="1">IFERROR(VLOOKUP($A240,[1]库存使用数据!$A:$G,7,0),0)+IFERROR(VLOOKUP($A240,[2]库存使用数据!$A:$G,7,0),0)+公式!$B$14*IFERROR(VLOOKUP($A240,[3]库存使用数据!$A:$G,7,0),0)+IFERROR(VLOOKUP($A240,[4]库存使用数据!$A:$G,7,0),0)+IFERROR(VLOOKUP($A240,[5]库存使用数据!$A:$G,7,0),0)</f>
        <v>0</v>
      </c>
      <c r="H240" s="1">
        <f ca="1">IFERROR(VLOOKUP($A240,[1]库存使用数据!$A:$H,8,0),0)+IFERROR(VLOOKUP($A240,[2]库存使用数据!$A:$H,8,0),0)+IFERROR(VLOOKUP($A240,[3]库存使用数据!$A:$H,8,0),0)+IFERROR(VLOOKUP($A240,[4]库存使用数据!$A:$H,8,0),0)+IFERROR(VLOOKUP($A240,[5]库存使用数据!$A:$H,8,0),0)</f>
        <v>27</v>
      </c>
      <c r="I240" s="1">
        <f ca="1">IFERROR(VLOOKUP($A240,[1]库存使用数据!$A:$I,9,0),0)+IFERROR(VLOOKUP($A240,[2]库存使用数据!$A:$I,9,0),0)+IFERROR(VLOOKUP($A240,[3]库存使用数据!$A:$I,9,0),0)+IFERROR(VLOOKUP($A240,[4]库存使用数据!$A:$I,9,0),0)+IFERROR(VLOOKUP($A240,[5]库存使用数据!$A:$I,9,0),0)</f>
        <v>0</v>
      </c>
      <c r="J240" s="1">
        <f ca="1">IFERROR(VLOOKUP($A240,[1]库存使用数据!$A:$J,10,0),0)+IFERROR(VLOOKUP($A240,[2]库存使用数据!$A:$J,10,0),0)+公式!$B$14*IFERROR(VLOOKUP($A240,[3]库存使用数据!$A:$J,10,0),0)+IFERROR(VLOOKUP($A240,[4]库存使用数据!$A:$J,10,0),0)+IFERROR(VLOOKUP($A240,[5]库存使用数据!$A:$J,10,0),0)</f>
        <v>0</v>
      </c>
      <c r="K240" s="1">
        <f ca="1">IFERROR(VLOOKUP($A240,[1]库存使用数据!$A:$K,11,0),0)+IFERROR(VLOOKUP($A240,[2]库存使用数据!$A:$K,11,0),0)+IFERROR(VLOOKUP($A240,[3]库存使用数据!$A:$K,11,0),0)+IFERROR(VLOOKUP($A240,[4]库存使用数据!$A:$K,11,0),0)+IFERROR(VLOOKUP($A240,[5]库存使用数据!$A:$K,11,0),0)</f>
        <v>39</v>
      </c>
      <c r="L240" s="1">
        <f ca="1">IFERROR(VLOOKUP($A240,[1]库存使用数据!$A:$L,12,0),0)+IFERROR(VLOOKUP($A240,[2]库存使用数据!$A:$L,12,0),0)+IFERROR(VLOOKUP($A240,[3]库存使用数据!$A:$L,12,0),0)+IFERROR(VLOOKUP($A240,[4]库存使用数据!$A:$L,12,0),0)+IFERROR(VLOOKUP($A240,[5]库存使用数据!$A:$L,12,0),0)</f>
        <v>0</v>
      </c>
      <c r="M240" s="1">
        <f ca="1">IFERROR(VLOOKUP($A240,[1]库存使用数据!$A:$M,13,0),0)+IFERROR(VLOOKUP($A240,[2]库存使用数据!$A:$M,13,0),0)+公式!$B$14*IFERROR(VLOOKUP($A240,[3]库存使用数据!$A:$M,13,0),0)+IFERROR(VLOOKUP($A240,[4]库存使用数据!$A:$M,13,0),0)+IFERROR(VLOOKUP($A240,[5]库存使用数据!$A:$M,13,0),0)</f>
        <v>0</v>
      </c>
    </row>
    <row r="241" spans="1:13">
      <c r="A241" s="5" t="s">
        <v>246</v>
      </c>
      <c r="B241" s="2">
        <f ca="1">IFERROR(VLOOKUP(A241,[1]库存使用数据!$A:$B,2,0),0)+IFERROR(VLOOKUP(A241,[2]库存使用数据!$A:$B,2,0),0)+IFERROR(VLOOKUP(,[3]库存使用数据!$A:$B,2,0),0)+IFERROR(VLOOKUP(A241,[4]库存使用数据!$A:$B,2,0),0)+IFERROR(VLOOKUP(A241,[5]库存使用数据!$A:$B,2,0),0)</f>
        <v>26</v>
      </c>
      <c r="C241" s="1">
        <f ca="1">IFERROR(VLOOKUP($A241,[1]库存使用数据!$A:$C,3,0),0)+IFERROR(VLOOKUP($A241,[2]库存使用数据!$A:$C,3,0),0)+IFERROR(VLOOKUP($A241,[3]库存使用数据!$A:$C,3,0),0)+IFERROR(VLOOKUP($A241,[4]库存使用数据!$A:$C,3,0),0)+IFERROR(VLOOKUP($A241,[5]库存使用数据!$A:$C,3,0),0)</f>
        <v>0</v>
      </c>
      <c r="D241" s="1">
        <f ca="1">IFERROR(VLOOKUP($A241,[1]库存使用数据!$A:$D,4,0),0)+IFERROR(VLOOKUP($A241,[2]库存使用数据!$A:$D,4,0),0)+公式!$B$1*IFERROR(VLOOKUP($A241,[3]库存使用数据!$A:$D,4,0),0)+IFERROR(VLOOKUP($A241,[4]库存使用数据!$A:$D,4,0),0)+IFERROR(VLOOKUP($A241,[5]库存使用数据!$A:$D,4,0),0)</f>
        <v>0</v>
      </c>
      <c r="E241" s="1">
        <f ca="1">IFERROR(VLOOKUP($A241,[1]库存使用数据!$A:$E,5,0),0)+IFERROR(VLOOKUP($A241,[2]库存使用数据!$A:$E,5,0),0)+IFERROR(VLOOKUP($A241,[3]库存使用数据!$A:$E,5,0),0)+IFERROR(VLOOKUP($A241,[4]库存使用数据!$A:$E,5,0),0)+IFERROR(VLOOKUP($A241,[5]库存使用数据!$A:$E,5,0),0)</f>
        <v>47</v>
      </c>
      <c r="F241" s="1">
        <f ca="1">IFERROR(VLOOKUP($A241,[1]库存使用数据!$A:$F,6,0),0)+IFERROR(VLOOKUP($A241,[2]库存使用数据!$A:$F,6,0),0)+IFERROR(VLOOKUP($A241,[4]库存使用数据!$A:$F,6,0),0)+IFERROR(VLOOKUP($A241,[3]库存使用数据!$A:$F,6,0),0)+IFERROR(VLOOKUP($A241,[5]库存使用数据!$A:$F,6,0),0)</f>
        <v>0</v>
      </c>
      <c r="G241" s="1">
        <f ca="1">IFERROR(VLOOKUP($A241,[1]库存使用数据!$A:$G,7,0),0)+IFERROR(VLOOKUP($A241,[2]库存使用数据!$A:$G,7,0),0)+公式!$B$14*IFERROR(VLOOKUP($A241,[3]库存使用数据!$A:$G,7,0),0)+IFERROR(VLOOKUP($A241,[4]库存使用数据!$A:$G,7,0),0)+IFERROR(VLOOKUP($A241,[5]库存使用数据!$A:$G,7,0),0)</f>
        <v>0</v>
      </c>
      <c r="H241" s="1">
        <f ca="1">IFERROR(VLOOKUP($A241,[1]库存使用数据!$A:$H,8,0),0)+IFERROR(VLOOKUP($A241,[2]库存使用数据!$A:$H,8,0),0)+IFERROR(VLOOKUP($A241,[3]库存使用数据!$A:$H,8,0),0)+IFERROR(VLOOKUP($A241,[4]库存使用数据!$A:$H,8,0),0)+IFERROR(VLOOKUP($A241,[5]库存使用数据!$A:$H,8,0),0)</f>
        <v>17</v>
      </c>
      <c r="I241" s="1">
        <f ca="1">IFERROR(VLOOKUP($A241,[1]库存使用数据!$A:$I,9,0),0)+IFERROR(VLOOKUP($A241,[2]库存使用数据!$A:$I,9,0),0)+IFERROR(VLOOKUP($A241,[3]库存使用数据!$A:$I,9,0),0)+IFERROR(VLOOKUP($A241,[4]库存使用数据!$A:$I,9,0),0)+IFERROR(VLOOKUP($A241,[5]库存使用数据!$A:$I,9,0),0)</f>
        <v>0</v>
      </c>
      <c r="J241" s="1">
        <f ca="1">IFERROR(VLOOKUP($A241,[1]库存使用数据!$A:$J,10,0),0)+IFERROR(VLOOKUP($A241,[2]库存使用数据!$A:$J,10,0),0)+公式!$B$14*IFERROR(VLOOKUP($A241,[3]库存使用数据!$A:$J,10,0),0)+IFERROR(VLOOKUP($A241,[4]库存使用数据!$A:$J,10,0),0)+IFERROR(VLOOKUP($A241,[5]库存使用数据!$A:$J,10,0),0)</f>
        <v>0</v>
      </c>
      <c r="K241" s="1">
        <f ca="1">IFERROR(VLOOKUP($A241,[1]库存使用数据!$A:$K,11,0),0)+IFERROR(VLOOKUP($A241,[2]库存使用数据!$A:$K,11,0),0)+IFERROR(VLOOKUP($A241,[3]库存使用数据!$A:$K,11,0),0)+IFERROR(VLOOKUP($A241,[4]库存使用数据!$A:$K,11,0),0)+IFERROR(VLOOKUP($A241,[5]库存使用数据!$A:$K,11,0),0)</f>
        <v>16</v>
      </c>
      <c r="L241" s="1">
        <f ca="1">IFERROR(VLOOKUP($A241,[1]库存使用数据!$A:$L,12,0),0)+IFERROR(VLOOKUP($A241,[2]库存使用数据!$A:$L,12,0),0)+IFERROR(VLOOKUP($A241,[3]库存使用数据!$A:$L,12,0),0)+IFERROR(VLOOKUP($A241,[4]库存使用数据!$A:$L,12,0),0)+IFERROR(VLOOKUP($A241,[5]库存使用数据!$A:$L,12,0),0)</f>
        <v>0</v>
      </c>
      <c r="M241" s="1">
        <f ca="1">IFERROR(VLOOKUP($A241,[1]库存使用数据!$A:$M,13,0),0)+IFERROR(VLOOKUP($A241,[2]库存使用数据!$A:$M,13,0),0)+公式!$B$14*IFERROR(VLOOKUP($A241,[3]库存使用数据!$A:$M,13,0),0)+IFERROR(VLOOKUP($A241,[4]库存使用数据!$A:$M,13,0),0)+IFERROR(VLOOKUP($A241,[5]库存使用数据!$A:$M,13,0),0)</f>
        <v>0</v>
      </c>
    </row>
    <row r="242" spans="1:13">
      <c r="A242" s="5" t="s">
        <v>247</v>
      </c>
      <c r="B242" s="2">
        <f ca="1">IFERROR(VLOOKUP(A242,[1]库存使用数据!$A:$B,2,0),0)+IFERROR(VLOOKUP(A242,[2]库存使用数据!$A:$B,2,0),0)+IFERROR(VLOOKUP(,[3]库存使用数据!$A:$B,2,0),0)+IFERROR(VLOOKUP(A242,[4]库存使用数据!$A:$B,2,0),0)+IFERROR(VLOOKUP(A242,[5]库存使用数据!$A:$B,2,0),0)</f>
        <v>39</v>
      </c>
      <c r="C242" s="1">
        <f ca="1">IFERROR(VLOOKUP($A242,[1]库存使用数据!$A:$C,3,0),0)+IFERROR(VLOOKUP($A242,[2]库存使用数据!$A:$C,3,0),0)+IFERROR(VLOOKUP($A242,[3]库存使用数据!$A:$C,3,0),0)+IFERROR(VLOOKUP($A242,[4]库存使用数据!$A:$C,3,0),0)+IFERROR(VLOOKUP($A242,[5]库存使用数据!$A:$C,3,0),0)</f>
        <v>0</v>
      </c>
      <c r="D242" s="1">
        <f ca="1">IFERROR(VLOOKUP($A242,[1]库存使用数据!$A:$D,4,0),0)+IFERROR(VLOOKUP($A242,[2]库存使用数据!$A:$D,4,0),0)+公式!$B$1*IFERROR(VLOOKUP($A242,[3]库存使用数据!$A:$D,4,0),0)+IFERROR(VLOOKUP($A242,[4]库存使用数据!$A:$D,4,0),0)+IFERROR(VLOOKUP($A242,[5]库存使用数据!$A:$D,4,0),0)</f>
        <v>0</v>
      </c>
      <c r="E242" s="1">
        <f ca="1">IFERROR(VLOOKUP($A242,[1]库存使用数据!$A:$E,5,0),0)+IFERROR(VLOOKUP($A242,[2]库存使用数据!$A:$E,5,0),0)+IFERROR(VLOOKUP($A242,[3]库存使用数据!$A:$E,5,0),0)+IFERROR(VLOOKUP($A242,[4]库存使用数据!$A:$E,5,0),0)+IFERROR(VLOOKUP($A242,[5]库存使用数据!$A:$E,5,0),0)</f>
        <v>97</v>
      </c>
      <c r="F242" s="1">
        <f ca="1">IFERROR(VLOOKUP($A242,[1]库存使用数据!$A:$F,6,0),0)+IFERROR(VLOOKUP($A242,[2]库存使用数据!$A:$F,6,0),0)+IFERROR(VLOOKUP($A242,[4]库存使用数据!$A:$F,6,0),0)+IFERROR(VLOOKUP($A242,[3]库存使用数据!$A:$F,6,0),0)+IFERROR(VLOOKUP($A242,[5]库存使用数据!$A:$F,6,0),0)</f>
        <v>0</v>
      </c>
      <c r="G242" s="1">
        <f ca="1">IFERROR(VLOOKUP($A242,[1]库存使用数据!$A:$G,7,0),0)+IFERROR(VLOOKUP($A242,[2]库存使用数据!$A:$G,7,0),0)+公式!$B$14*IFERROR(VLOOKUP($A242,[3]库存使用数据!$A:$G,7,0),0)+IFERROR(VLOOKUP($A242,[4]库存使用数据!$A:$G,7,0),0)+IFERROR(VLOOKUP($A242,[5]库存使用数据!$A:$G,7,0),0)</f>
        <v>0</v>
      </c>
      <c r="H242" s="1">
        <f ca="1">IFERROR(VLOOKUP($A242,[1]库存使用数据!$A:$H,8,0),0)+IFERROR(VLOOKUP($A242,[2]库存使用数据!$A:$H,8,0),0)+IFERROR(VLOOKUP($A242,[3]库存使用数据!$A:$H,8,0),0)+IFERROR(VLOOKUP($A242,[4]库存使用数据!$A:$H,8,0),0)+IFERROR(VLOOKUP($A242,[5]库存使用数据!$A:$H,8,0),0)</f>
        <v>29</v>
      </c>
      <c r="I242" s="1">
        <f ca="1">IFERROR(VLOOKUP($A242,[1]库存使用数据!$A:$I,9,0),0)+IFERROR(VLOOKUP($A242,[2]库存使用数据!$A:$I,9,0),0)+IFERROR(VLOOKUP($A242,[3]库存使用数据!$A:$I,9,0),0)+IFERROR(VLOOKUP($A242,[4]库存使用数据!$A:$I,9,0),0)+IFERROR(VLOOKUP($A242,[5]库存使用数据!$A:$I,9,0),0)</f>
        <v>0</v>
      </c>
      <c r="J242" s="1">
        <f ca="1">IFERROR(VLOOKUP($A242,[1]库存使用数据!$A:$J,10,0),0)+IFERROR(VLOOKUP($A242,[2]库存使用数据!$A:$J,10,0),0)+公式!$B$14*IFERROR(VLOOKUP($A242,[3]库存使用数据!$A:$J,10,0),0)+IFERROR(VLOOKUP($A242,[4]库存使用数据!$A:$J,10,0),0)+IFERROR(VLOOKUP($A242,[5]库存使用数据!$A:$J,10,0),0)</f>
        <v>0</v>
      </c>
      <c r="K242" s="1">
        <f ca="1">IFERROR(VLOOKUP($A242,[1]库存使用数据!$A:$K,11,0),0)+IFERROR(VLOOKUP($A242,[2]库存使用数据!$A:$K,11,0),0)+IFERROR(VLOOKUP($A242,[3]库存使用数据!$A:$K,11,0),0)+IFERROR(VLOOKUP($A242,[4]库存使用数据!$A:$K,11,0),0)+IFERROR(VLOOKUP($A242,[5]库存使用数据!$A:$K,11,0),0)</f>
        <v>31</v>
      </c>
      <c r="L242" s="1">
        <f ca="1">IFERROR(VLOOKUP($A242,[1]库存使用数据!$A:$L,12,0),0)+IFERROR(VLOOKUP($A242,[2]库存使用数据!$A:$L,12,0),0)+IFERROR(VLOOKUP($A242,[3]库存使用数据!$A:$L,12,0),0)+IFERROR(VLOOKUP($A242,[4]库存使用数据!$A:$L,12,0),0)+IFERROR(VLOOKUP($A242,[5]库存使用数据!$A:$L,12,0),0)</f>
        <v>0</v>
      </c>
      <c r="M242" s="1">
        <f ca="1">IFERROR(VLOOKUP($A242,[1]库存使用数据!$A:$M,13,0),0)+IFERROR(VLOOKUP($A242,[2]库存使用数据!$A:$M,13,0),0)+公式!$B$14*IFERROR(VLOOKUP($A242,[3]库存使用数据!$A:$M,13,0),0)+IFERROR(VLOOKUP($A242,[4]库存使用数据!$A:$M,13,0),0)+IFERROR(VLOOKUP($A242,[5]库存使用数据!$A:$M,13,0),0)</f>
        <v>0</v>
      </c>
    </row>
    <row r="243" spans="1:13">
      <c r="A243" s="5" t="s">
        <v>248</v>
      </c>
      <c r="B243" s="2">
        <f ca="1">IFERROR(VLOOKUP(A243,[1]库存使用数据!$A:$B,2,0),0)+IFERROR(VLOOKUP(A243,[2]库存使用数据!$A:$B,2,0),0)+IFERROR(VLOOKUP(,[3]库存使用数据!$A:$B,2,0),0)+IFERROR(VLOOKUP(A243,[4]库存使用数据!$A:$B,2,0),0)+IFERROR(VLOOKUP(A243,[5]库存使用数据!$A:$B,2,0),0)</f>
        <v>0</v>
      </c>
      <c r="C243" s="1">
        <f ca="1">IFERROR(VLOOKUP($A243,[1]库存使用数据!$A:$C,3,0),0)+IFERROR(VLOOKUP($A243,[2]库存使用数据!$A:$C,3,0),0)+IFERROR(VLOOKUP($A243,[3]库存使用数据!$A:$C,3,0),0)+IFERROR(VLOOKUP($A243,[4]库存使用数据!$A:$C,3,0),0)+IFERROR(VLOOKUP($A243,[5]库存使用数据!$A:$C,3,0),0)</f>
        <v>0</v>
      </c>
      <c r="D243" s="1">
        <f ca="1">IFERROR(VLOOKUP($A243,[1]库存使用数据!$A:$D,4,0),0)+IFERROR(VLOOKUP($A243,[2]库存使用数据!$A:$D,4,0),0)+公式!$B$1*IFERROR(VLOOKUP($A243,[3]库存使用数据!$A:$D,4,0),0)+IFERROR(VLOOKUP($A243,[4]库存使用数据!$A:$D,4,0),0)+IFERROR(VLOOKUP($A243,[5]库存使用数据!$A:$D,4,0),0)</f>
        <v>0</v>
      </c>
      <c r="E243" s="1">
        <f ca="1">IFERROR(VLOOKUP($A243,[1]库存使用数据!$A:$E,5,0),0)+IFERROR(VLOOKUP($A243,[2]库存使用数据!$A:$E,5,0),0)+IFERROR(VLOOKUP($A243,[3]库存使用数据!$A:$E,5,0),0)+IFERROR(VLOOKUP($A243,[4]库存使用数据!$A:$E,5,0),0)+IFERROR(VLOOKUP($A243,[5]库存使用数据!$A:$E,5,0),0)</f>
        <v>25267</v>
      </c>
      <c r="F243" s="1">
        <f ca="1">IFERROR(VLOOKUP($A243,[1]库存使用数据!$A:$F,6,0),0)+IFERROR(VLOOKUP($A243,[2]库存使用数据!$A:$F,6,0),0)+IFERROR(VLOOKUP($A243,[4]库存使用数据!$A:$F,6,0),0)+IFERROR(VLOOKUP($A243,[3]库存使用数据!$A:$F,6,0),0)+IFERROR(VLOOKUP($A243,[5]库存使用数据!$A:$F,6,0),0)</f>
        <v>83</v>
      </c>
      <c r="G243" s="1">
        <f ca="1">IFERROR(VLOOKUP($A243,[1]库存使用数据!$A:$G,7,0),0)+IFERROR(VLOOKUP($A243,[2]库存使用数据!$A:$G,7,0),0)+公式!$B$14*IFERROR(VLOOKUP($A243,[3]库存使用数据!$A:$G,7,0),0)+IFERROR(VLOOKUP($A243,[4]库存使用数据!$A:$G,7,0),0)+IFERROR(VLOOKUP($A243,[5]库存使用数据!$A:$G,7,0),0)</f>
        <v>19.71</v>
      </c>
      <c r="H243" s="1">
        <f ca="1">IFERROR(VLOOKUP($A243,[1]库存使用数据!$A:$H,8,0),0)+IFERROR(VLOOKUP($A243,[2]库存使用数据!$A:$H,8,0),0)+IFERROR(VLOOKUP($A243,[3]库存使用数据!$A:$H,8,0),0)+IFERROR(VLOOKUP($A243,[4]库存使用数据!$A:$H,8,0),0)+IFERROR(VLOOKUP($A243,[5]库存使用数据!$A:$H,8,0),0)</f>
        <v>13710</v>
      </c>
      <c r="I243" s="1">
        <f ca="1">IFERROR(VLOOKUP($A243,[1]库存使用数据!$A:$I,9,0),0)+IFERROR(VLOOKUP($A243,[2]库存使用数据!$A:$I,9,0),0)+IFERROR(VLOOKUP($A243,[3]库存使用数据!$A:$I,9,0),0)+IFERROR(VLOOKUP($A243,[4]库存使用数据!$A:$I,9,0),0)+IFERROR(VLOOKUP($A243,[5]库存使用数据!$A:$I,9,0),0)</f>
        <v>50</v>
      </c>
      <c r="J243" s="1">
        <f ca="1">IFERROR(VLOOKUP($A243,[1]库存使用数据!$A:$J,10,0),0)+IFERROR(VLOOKUP($A243,[2]库存使用数据!$A:$J,10,0),0)+公式!$B$14*IFERROR(VLOOKUP($A243,[3]库存使用数据!$A:$J,10,0),0)+IFERROR(VLOOKUP($A243,[4]库存使用数据!$A:$J,10,0),0)+IFERROR(VLOOKUP($A243,[5]库存使用数据!$A:$J,10,0),0)</f>
        <v>10.48</v>
      </c>
      <c r="K243" s="1">
        <f ca="1">IFERROR(VLOOKUP($A243,[1]库存使用数据!$A:$K,11,0),0)+IFERROR(VLOOKUP($A243,[2]库存使用数据!$A:$K,11,0),0)+IFERROR(VLOOKUP($A243,[3]库存使用数据!$A:$K,11,0),0)+IFERROR(VLOOKUP($A243,[4]库存使用数据!$A:$K,11,0),0)+IFERROR(VLOOKUP($A243,[5]库存使用数据!$A:$K,11,0),0)</f>
        <v>1398</v>
      </c>
      <c r="L243" s="1">
        <f ca="1">IFERROR(VLOOKUP($A243,[1]库存使用数据!$A:$L,12,0),0)+IFERROR(VLOOKUP($A243,[2]库存使用数据!$A:$L,12,0),0)+IFERROR(VLOOKUP($A243,[3]库存使用数据!$A:$L,12,0),0)+IFERROR(VLOOKUP($A243,[4]库存使用数据!$A:$L,12,0),0)+IFERROR(VLOOKUP($A243,[5]库存使用数据!$A:$L,12,0),0)</f>
        <v>7</v>
      </c>
      <c r="M243" s="1">
        <f ca="1">IFERROR(VLOOKUP($A243,[1]库存使用数据!$A:$M,13,0),0)+IFERROR(VLOOKUP($A243,[2]库存使用数据!$A:$M,13,0),0)+公式!$B$14*IFERROR(VLOOKUP($A243,[3]库存使用数据!$A:$M,13,0),0)+IFERROR(VLOOKUP($A243,[4]库存使用数据!$A:$M,13,0),0)+IFERROR(VLOOKUP($A243,[5]库存使用数据!$A:$M,13,0),0)</f>
        <v>1.05</v>
      </c>
    </row>
    <row r="244" spans="1:13">
      <c r="A244" s="5" t="s">
        <v>249</v>
      </c>
      <c r="B244" s="2">
        <f ca="1">IFERROR(VLOOKUP(A244,[1]库存使用数据!$A:$B,2,0),0)+IFERROR(VLOOKUP(A244,[2]库存使用数据!$A:$B,2,0),0)+IFERROR(VLOOKUP(,[3]库存使用数据!$A:$B,2,0),0)+IFERROR(VLOOKUP(A244,[4]库存使用数据!$A:$B,2,0),0)+IFERROR(VLOOKUP(A244,[5]库存使用数据!$A:$B,2,0),0)</f>
        <v>4707</v>
      </c>
      <c r="C244" s="1">
        <f ca="1">IFERROR(VLOOKUP($A244,[1]库存使用数据!$A:$C,3,0),0)+IFERROR(VLOOKUP($A244,[2]库存使用数据!$A:$C,3,0),0)+IFERROR(VLOOKUP($A244,[3]库存使用数据!$A:$C,3,0),0)+IFERROR(VLOOKUP($A244,[4]库存使用数据!$A:$C,3,0),0)+IFERROR(VLOOKUP($A244,[5]库存使用数据!$A:$C,3,0),0)</f>
        <v>28</v>
      </c>
      <c r="D244" s="1">
        <f ca="1">IFERROR(VLOOKUP($A244,[1]库存使用数据!$A:$D,4,0),0)+IFERROR(VLOOKUP($A244,[2]库存使用数据!$A:$D,4,0),0)+公式!$B$1*IFERROR(VLOOKUP($A244,[3]库存使用数据!$A:$D,4,0),0)+IFERROR(VLOOKUP($A244,[4]库存使用数据!$A:$D,4,0),0)+IFERROR(VLOOKUP($A244,[5]库存使用数据!$A:$D,4,0),0)</f>
        <v>7.9775</v>
      </c>
      <c r="E244" s="1">
        <f ca="1">IFERROR(VLOOKUP($A244,[1]库存使用数据!$A:$E,5,0),0)+IFERROR(VLOOKUP($A244,[2]库存使用数据!$A:$E,5,0),0)+IFERROR(VLOOKUP($A244,[3]库存使用数据!$A:$E,5,0),0)+IFERROR(VLOOKUP($A244,[4]库存使用数据!$A:$E,5,0),0)+IFERROR(VLOOKUP($A244,[5]库存使用数据!$A:$E,5,0),0)</f>
        <v>59150</v>
      </c>
      <c r="F244" s="1">
        <f ca="1">IFERROR(VLOOKUP($A244,[1]库存使用数据!$A:$F,6,0),0)+IFERROR(VLOOKUP($A244,[2]库存使用数据!$A:$F,6,0),0)+IFERROR(VLOOKUP($A244,[4]库存使用数据!$A:$F,6,0),0)+IFERROR(VLOOKUP($A244,[3]库存使用数据!$A:$F,6,0),0)+IFERROR(VLOOKUP($A244,[5]库存使用数据!$A:$F,6,0),0)</f>
        <v>267</v>
      </c>
      <c r="G244" s="1">
        <f ca="1">IFERROR(VLOOKUP($A244,[1]库存使用数据!$A:$G,7,0),0)+IFERROR(VLOOKUP($A244,[2]库存使用数据!$A:$G,7,0),0)+公式!$B$14*IFERROR(VLOOKUP($A244,[3]库存使用数据!$A:$G,7,0),0)+IFERROR(VLOOKUP($A244,[4]库存使用数据!$A:$G,7,0),0)+IFERROR(VLOOKUP($A244,[5]库存使用数据!$A:$G,7,0),0)</f>
        <v>63.42</v>
      </c>
      <c r="H244" s="1">
        <f ca="1">IFERROR(VLOOKUP($A244,[1]库存使用数据!$A:$H,8,0),0)+IFERROR(VLOOKUP($A244,[2]库存使用数据!$A:$H,8,0),0)+IFERROR(VLOOKUP($A244,[3]库存使用数据!$A:$H,8,0),0)+IFERROR(VLOOKUP($A244,[4]库存使用数据!$A:$H,8,0),0)+IFERROR(VLOOKUP($A244,[5]库存使用数据!$A:$H,8,0),0)</f>
        <v>44735</v>
      </c>
      <c r="I244" s="1">
        <f ca="1">IFERROR(VLOOKUP($A244,[1]库存使用数据!$A:$I,9,0),0)+IFERROR(VLOOKUP($A244,[2]库存使用数据!$A:$I,9,0),0)+IFERROR(VLOOKUP($A244,[3]库存使用数据!$A:$I,9,0),0)+IFERROR(VLOOKUP($A244,[4]库存使用数据!$A:$I,9,0),0)+IFERROR(VLOOKUP($A244,[5]库存使用数据!$A:$I,9,0),0)</f>
        <v>220</v>
      </c>
      <c r="J244" s="1">
        <f ca="1">IFERROR(VLOOKUP($A244,[1]库存使用数据!$A:$J,10,0),0)+IFERROR(VLOOKUP($A244,[2]库存使用数据!$A:$J,10,0),0)+公式!$B$14*IFERROR(VLOOKUP($A244,[3]库存使用数据!$A:$J,10,0),0)+IFERROR(VLOOKUP($A244,[4]库存使用数据!$A:$J,10,0),0)+IFERROR(VLOOKUP($A244,[5]库存使用数据!$A:$J,10,0),0)</f>
        <v>60.77</v>
      </c>
      <c r="K244" s="1">
        <f ca="1">IFERROR(VLOOKUP($A244,[1]库存使用数据!$A:$K,11,0),0)+IFERROR(VLOOKUP($A244,[2]库存使用数据!$A:$K,11,0),0)+IFERROR(VLOOKUP($A244,[3]库存使用数据!$A:$K,11,0),0)+IFERROR(VLOOKUP($A244,[4]库存使用数据!$A:$K,11,0),0)+IFERROR(VLOOKUP($A244,[5]库存使用数据!$A:$K,11,0),0)</f>
        <v>6168</v>
      </c>
      <c r="L244" s="1">
        <f ca="1">IFERROR(VLOOKUP($A244,[1]库存使用数据!$A:$L,12,0),0)+IFERROR(VLOOKUP($A244,[2]库存使用数据!$A:$L,12,0),0)+IFERROR(VLOOKUP($A244,[3]库存使用数据!$A:$L,12,0),0)+IFERROR(VLOOKUP($A244,[4]库存使用数据!$A:$L,12,0),0)+IFERROR(VLOOKUP($A244,[5]库存使用数据!$A:$L,12,0),0)</f>
        <v>61</v>
      </c>
      <c r="M244" s="1">
        <f ca="1">IFERROR(VLOOKUP($A244,[1]库存使用数据!$A:$M,13,0),0)+IFERROR(VLOOKUP($A244,[2]库存使用数据!$A:$M,13,0),0)+公式!$B$14*IFERROR(VLOOKUP($A244,[3]库存使用数据!$A:$M,13,0),0)+IFERROR(VLOOKUP($A244,[4]库存使用数据!$A:$M,13,0),0)+IFERROR(VLOOKUP($A244,[5]库存使用数据!$A:$M,13,0),0)</f>
        <v>18.18</v>
      </c>
    </row>
    <row r="245" spans="1:13">
      <c r="A245" s="5" t="s">
        <v>250</v>
      </c>
      <c r="B245" s="2">
        <f ca="1">IFERROR(VLOOKUP(A245,[1]库存使用数据!$A:$B,2,0),0)+IFERROR(VLOOKUP(A245,[2]库存使用数据!$A:$B,2,0),0)+IFERROR(VLOOKUP(,[3]库存使用数据!$A:$B,2,0),0)+IFERROR(VLOOKUP(A245,[4]库存使用数据!$A:$B,2,0),0)+IFERROR(VLOOKUP(A245,[5]库存使用数据!$A:$B,2,0),0)</f>
        <v>2129</v>
      </c>
      <c r="C245" s="1">
        <f ca="1">IFERROR(VLOOKUP($A245,[1]库存使用数据!$A:$C,3,0),0)+IFERROR(VLOOKUP($A245,[2]库存使用数据!$A:$C,3,0),0)+IFERROR(VLOOKUP($A245,[3]库存使用数据!$A:$C,3,0),0)+IFERROR(VLOOKUP($A245,[4]库存使用数据!$A:$C,3,0),0)+IFERROR(VLOOKUP($A245,[5]库存使用数据!$A:$C,3,0),0)</f>
        <v>13</v>
      </c>
      <c r="D245" s="1">
        <f ca="1">IFERROR(VLOOKUP($A245,[1]库存使用数据!$A:$D,4,0),0)+IFERROR(VLOOKUP($A245,[2]库存使用数据!$A:$D,4,0),0)+公式!$B$1*IFERROR(VLOOKUP($A245,[3]库存使用数据!$A:$D,4,0),0)+IFERROR(VLOOKUP($A245,[4]库存使用数据!$A:$D,4,0),0)+IFERROR(VLOOKUP($A245,[5]库存使用数据!$A:$D,4,0),0)</f>
        <v>1.95625</v>
      </c>
      <c r="E245" s="1">
        <f ca="1">IFERROR(VLOOKUP($A245,[1]库存使用数据!$A:$E,5,0),0)+IFERROR(VLOOKUP($A245,[2]库存使用数据!$A:$E,5,0),0)+IFERROR(VLOOKUP($A245,[3]库存使用数据!$A:$E,5,0),0)+IFERROR(VLOOKUP($A245,[4]库存使用数据!$A:$E,5,0),0)+IFERROR(VLOOKUP($A245,[5]库存使用数据!$A:$E,5,0),0)</f>
        <v>10923</v>
      </c>
      <c r="F245" s="1">
        <f ca="1">IFERROR(VLOOKUP($A245,[1]库存使用数据!$A:$F,6,0),0)+IFERROR(VLOOKUP($A245,[2]库存使用数据!$A:$F,6,0),0)+IFERROR(VLOOKUP($A245,[4]库存使用数据!$A:$F,6,0),0)+IFERROR(VLOOKUP($A245,[3]库存使用数据!$A:$F,6,0),0)+IFERROR(VLOOKUP($A245,[5]库存使用数据!$A:$F,6,0),0)</f>
        <v>25</v>
      </c>
      <c r="G245" s="1">
        <f ca="1">IFERROR(VLOOKUP($A245,[1]库存使用数据!$A:$G,7,0),0)+IFERROR(VLOOKUP($A245,[2]库存使用数据!$A:$G,7,0),0)+公式!$B$14*IFERROR(VLOOKUP($A245,[3]库存使用数据!$A:$G,7,0),0)+IFERROR(VLOOKUP($A245,[4]库存使用数据!$A:$G,7,0),0)+IFERROR(VLOOKUP($A245,[5]库存使用数据!$A:$G,7,0),0)</f>
        <v>0.59</v>
      </c>
      <c r="H245" s="1">
        <f ca="1">IFERROR(VLOOKUP($A245,[1]库存使用数据!$A:$H,8,0),0)+IFERROR(VLOOKUP($A245,[2]库存使用数据!$A:$H,8,0),0)+IFERROR(VLOOKUP($A245,[3]库存使用数据!$A:$H,8,0),0)+IFERROR(VLOOKUP($A245,[4]库存使用数据!$A:$H,8,0),0)+IFERROR(VLOOKUP($A245,[5]库存使用数据!$A:$H,8,0),0)</f>
        <v>1518</v>
      </c>
      <c r="I245" s="1">
        <f ca="1">IFERROR(VLOOKUP($A245,[1]库存使用数据!$A:$I,9,0),0)+IFERROR(VLOOKUP($A245,[2]库存使用数据!$A:$I,9,0),0)+IFERROR(VLOOKUP($A245,[3]库存使用数据!$A:$I,9,0),0)+IFERROR(VLOOKUP($A245,[4]库存使用数据!$A:$I,9,0),0)+IFERROR(VLOOKUP($A245,[5]库存使用数据!$A:$I,9,0),0)</f>
        <v>4</v>
      </c>
      <c r="J245" s="1">
        <f ca="1">IFERROR(VLOOKUP($A245,[1]库存使用数据!$A:$J,10,0),0)+IFERROR(VLOOKUP($A245,[2]库存使用数据!$A:$J,10,0),0)+公式!$B$14*IFERROR(VLOOKUP($A245,[3]库存使用数据!$A:$J,10,0),0)+IFERROR(VLOOKUP($A245,[4]库存使用数据!$A:$J,10,0),0)+IFERROR(VLOOKUP($A245,[5]库存使用数据!$A:$J,10,0),0)</f>
        <v>0.05</v>
      </c>
      <c r="K245" s="1">
        <f ca="1">IFERROR(VLOOKUP($A245,[1]库存使用数据!$A:$K,11,0),0)+IFERROR(VLOOKUP($A245,[2]库存使用数据!$A:$K,11,0),0)+IFERROR(VLOOKUP($A245,[3]库存使用数据!$A:$K,11,0),0)+IFERROR(VLOOKUP($A245,[4]库存使用数据!$A:$K,11,0),0)+IFERROR(VLOOKUP($A245,[5]库存使用数据!$A:$K,11,0),0)</f>
        <v>6404</v>
      </c>
      <c r="L245" s="1">
        <f ca="1">IFERROR(VLOOKUP($A245,[1]库存使用数据!$A:$L,12,0),0)+IFERROR(VLOOKUP($A245,[2]库存使用数据!$A:$L,12,0),0)+IFERROR(VLOOKUP($A245,[3]库存使用数据!$A:$L,12,0),0)+IFERROR(VLOOKUP($A245,[4]库存使用数据!$A:$L,12,0),0)+IFERROR(VLOOKUP($A245,[5]库存使用数据!$A:$L,12,0),0)</f>
        <v>24</v>
      </c>
      <c r="M245" s="1">
        <f ca="1">IFERROR(VLOOKUP($A245,[1]库存使用数据!$A:$M,13,0),0)+IFERROR(VLOOKUP($A245,[2]库存使用数据!$A:$M,13,0),0)+公式!$B$14*IFERROR(VLOOKUP($A245,[3]库存使用数据!$A:$M,13,0),0)+IFERROR(VLOOKUP($A245,[4]库存使用数据!$A:$M,13,0),0)+IFERROR(VLOOKUP($A245,[5]库存使用数据!$A:$M,13,0),0)</f>
        <v>2.3</v>
      </c>
    </row>
    <row r="246" spans="1:13">
      <c r="A246" s="5" t="s">
        <v>251</v>
      </c>
      <c r="B246" s="2">
        <f ca="1">IFERROR(VLOOKUP(A246,[1]库存使用数据!$A:$B,2,0),0)+IFERROR(VLOOKUP(A246,[2]库存使用数据!$A:$B,2,0),0)+IFERROR(VLOOKUP(,[3]库存使用数据!$A:$B,2,0),0)+IFERROR(VLOOKUP(A246,[4]库存使用数据!$A:$B,2,0),0)+IFERROR(VLOOKUP(A246,[5]库存使用数据!$A:$B,2,0),0)</f>
        <v>0</v>
      </c>
      <c r="C246" s="1">
        <f ca="1">IFERROR(VLOOKUP($A246,[1]库存使用数据!$A:$C,3,0),0)+IFERROR(VLOOKUP($A246,[2]库存使用数据!$A:$C,3,0),0)+IFERROR(VLOOKUP($A246,[3]库存使用数据!$A:$C,3,0),0)+IFERROR(VLOOKUP($A246,[4]库存使用数据!$A:$C,3,0),0)+IFERROR(VLOOKUP($A246,[5]库存使用数据!$A:$C,3,0),0)</f>
        <v>5</v>
      </c>
      <c r="D246" s="1">
        <f ca="1">IFERROR(VLOOKUP($A246,[1]库存使用数据!$A:$D,4,0),0)+IFERROR(VLOOKUP($A246,[2]库存使用数据!$A:$D,4,0),0)+公式!$B$1*IFERROR(VLOOKUP($A246,[3]库存使用数据!$A:$D,4,0),0)+IFERROR(VLOOKUP($A246,[4]库存使用数据!$A:$D,4,0),0)+IFERROR(VLOOKUP($A246,[5]库存使用数据!$A:$D,4,0),0)</f>
        <v>0.6525</v>
      </c>
      <c r="E246" s="1">
        <f ca="1">IFERROR(VLOOKUP($A246,[1]库存使用数据!$A:$E,5,0),0)+IFERROR(VLOOKUP($A246,[2]库存使用数据!$A:$E,5,0),0)+IFERROR(VLOOKUP($A246,[3]库存使用数据!$A:$E,5,0),0)+IFERROR(VLOOKUP($A246,[4]库存使用数据!$A:$E,5,0),0)+IFERROR(VLOOKUP($A246,[5]库存使用数据!$A:$E,5,0),0)</f>
        <v>486</v>
      </c>
      <c r="F246" s="1">
        <f ca="1">IFERROR(VLOOKUP($A246,[1]库存使用数据!$A:$F,6,0),0)+IFERROR(VLOOKUP($A246,[2]库存使用数据!$A:$F,6,0),0)+IFERROR(VLOOKUP($A246,[4]库存使用数据!$A:$F,6,0),0)+IFERROR(VLOOKUP($A246,[3]库存使用数据!$A:$F,6,0),0)+IFERROR(VLOOKUP($A246,[5]库存使用数据!$A:$F,6,0),0)</f>
        <v>3</v>
      </c>
      <c r="G246" s="1">
        <f ca="1">IFERROR(VLOOKUP($A246,[1]库存使用数据!$A:$G,7,0),0)+IFERROR(VLOOKUP($A246,[2]库存使用数据!$A:$G,7,0),0)+公式!$B$14*IFERROR(VLOOKUP($A246,[3]库存使用数据!$A:$G,7,0),0)+IFERROR(VLOOKUP($A246,[4]库存使用数据!$A:$G,7,0),0)+IFERROR(VLOOKUP($A246,[5]库存使用数据!$A:$G,7,0),0)</f>
        <v>0</v>
      </c>
      <c r="H246" s="1">
        <f ca="1">IFERROR(VLOOKUP($A246,[1]库存使用数据!$A:$H,8,0),0)+IFERROR(VLOOKUP($A246,[2]库存使用数据!$A:$H,8,0),0)+IFERROR(VLOOKUP($A246,[3]库存使用数据!$A:$H,8,0),0)+IFERROR(VLOOKUP($A246,[4]库存使用数据!$A:$H,8,0),0)+IFERROR(VLOOKUP($A246,[5]库存使用数据!$A:$H,8,0),0)</f>
        <v>142</v>
      </c>
      <c r="I246" s="1">
        <f ca="1">IFERROR(VLOOKUP($A246,[1]库存使用数据!$A:$I,9,0),0)+IFERROR(VLOOKUP($A246,[2]库存使用数据!$A:$I,9,0),0)+IFERROR(VLOOKUP($A246,[3]库存使用数据!$A:$I,9,0),0)+IFERROR(VLOOKUP($A246,[4]库存使用数据!$A:$I,9,0),0)+IFERROR(VLOOKUP($A246,[5]库存使用数据!$A:$I,9,0),0)</f>
        <v>1</v>
      </c>
      <c r="J246" s="1">
        <f ca="1">IFERROR(VLOOKUP($A246,[1]库存使用数据!$A:$J,10,0),0)+IFERROR(VLOOKUP($A246,[2]库存使用数据!$A:$J,10,0),0)+公式!$B$14*IFERROR(VLOOKUP($A246,[3]库存使用数据!$A:$J,10,0),0)+IFERROR(VLOOKUP($A246,[4]库存使用数据!$A:$J,10,0),0)+IFERROR(VLOOKUP($A246,[5]库存使用数据!$A:$J,10,0),0)</f>
        <v>0</v>
      </c>
      <c r="K246" s="1">
        <f ca="1">IFERROR(VLOOKUP($A246,[1]库存使用数据!$A:$K,11,0),0)+IFERROR(VLOOKUP($A246,[2]库存使用数据!$A:$K,11,0),0)+IFERROR(VLOOKUP($A246,[3]库存使用数据!$A:$K,11,0),0)+IFERROR(VLOOKUP($A246,[4]库存使用数据!$A:$K,11,0),0)+IFERROR(VLOOKUP($A246,[5]库存使用数据!$A:$K,11,0),0)</f>
        <v>22573</v>
      </c>
      <c r="L246" s="1">
        <f ca="1">IFERROR(VLOOKUP($A246,[1]库存使用数据!$A:$L,12,0),0)+IFERROR(VLOOKUP($A246,[2]库存使用数据!$A:$L,12,0),0)+IFERROR(VLOOKUP($A246,[3]库存使用数据!$A:$L,12,0),0)+IFERROR(VLOOKUP($A246,[4]库存使用数据!$A:$L,12,0),0)+IFERROR(VLOOKUP($A246,[5]库存使用数据!$A:$L,12,0),0)</f>
        <v>75</v>
      </c>
      <c r="M246" s="1">
        <f ca="1">IFERROR(VLOOKUP($A246,[1]库存使用数据!$A:$M,13,0),0)+IFERROR(VLOOKUP($A246,[2]库存使用数据!$A:$M,13,0),0)+公式!$B$14*IFERROR(VLOOKUP($A246,[3]库存使用数据!$A:$M,13,0),0)+IFERROR(VLOOKUP($A246,[4]库存使用数据!$A:$M,13,0),0)+IFERROR(VLOOKUP($A246,[5]库存使用数据!$A:$M,13,0),0)</f>
        <v>1.19</v>
      </c>
    </row>
    <row r="247" spans="1:13">
      <c r="A247" s="5" t="s">
        <v>252</v>
      </c>
      <c r="B247" s="2">
        <f ca="1">IFERROR(VLOOKUP(A247,[1]库存使用数据!$A:$B,2,0),0)+IFERROR(VLOOKUP(A247,[2]库存使用数据!$A:$B,2,0),0)+IFERROR(VLOOKUP(,[3]库存使用数据!$A:$B,2,0),0)+IFERROR(VLOOKUP(A247,[4]库存使用数据!$A:$B,2,0),0)+IFERROR(VLOOKUP(A247,[5]库存使用数据!$A:$B,2,0),0)</f>
        <v>0</v>
      </c>
      <c r="C247" s="1">
        <f ca="1">IFERROR(VLOOKUP($A247,[1]库存使用数据!$A:$C,3,0),0)+IFERROR(VLOOKUP($A247,[2]库存使用数据!$A:$C,3,0),0)+IFERROR(VLOOKUP($A247,[3]库存使用数据!$A:$C,3,0),0)+IFERROR(VLOOKUP($A247,[4]库存使用数据!$A:$C,3,0),0)+IFERROR(VLOOKUP($A247,[5]库存使用数据!$A:$C,3,0),0)</f>
        <v>2</v>
      </c>
      <c r="D247" s="1">
        <f ca="1">IFERROR(VLOOKUP($A247,[1]库存使用数据!$A:$D,4,0),0)+IFERROR(VLOOKUP($A247,[2]库存使用数据!$A:$D,4,0),0)+公式!$B$1*IFERROR(VLOOKUP($A247,[3]库存使用数据!$A:$D,4,0),0)+IFERROR(VLOOKUP($A247,[4]库存使用数据!$A:$D,4,0),0)+IFERROR(VLOOKUP($A247,[5]库存使用数据!$A:$D,4,0),0)</f>
        <v>0.315</v>
      </c>
      <c r="E247" s="1">
        <f ca="1">IFERROR(VLOOKUP($A247,[1]库存使用数据!$A:$E,5,0),0)+IFERROR(VLOOKUP($A247,[2]库存使用数据!$A:$E,5,0),0)+IFERROR(VLOOKUP($A247,[3]库存使用数据!$A:$E,5,0),0)+IFERROR(VLOOKUP($A247,[4]库存使用数据!$A:$E,5,0),0)+IFERROR(VLOOKUP($A247,[5]库存使用数据!$A:$E,5,0),0)</f>
        <v>288</v>
      </c>
      <c r="F247" s="1">
        <f ca="1">IFERROR(VLOOKUP($A247,[1]库存使用数据!$A:$F,6,0),0)+IFERROR(VLOOKUP($A247,[2]库存使用数据!$A:$F,6,0),0)+IFERROR(VLOOKUP($A247,[4]库存使用数据!$A:$F,6,0),0)+IFERROR(VLOOKUP($A247,[3]库存使用数据!$A:$F,6,0),0)+IFERROR(VLOOKUP($A247,[5]库存使用数据!$A:$F,6,0),0)</f>
        <v>2</v>
      </c>
      <c r="G247" s="1">
        <f ca="1">IFERROR(VLOOKUP($A247,[1]库存使用数据!$A:$G,7,0),0)+IFERROR(VLOOKUP($A247,[2]库存使用数据!$A:$G,7,0),0)+公式!$B$14*IFERROR(VLOOKUP($A247,[3]库存使用数据!$A:$G,7,0),0)+IFERROR(VLOOKUP($A247,[4]库存使用数据!$A:$G,7,0),0)+IFERROR(VLOOKUP($A247,[5]库存使用数据!$A:$G,7,0),0)</f>
        <v>0</v>
      </c>
      <c r="H247" s="1">
        <f ca="1">IFERROR(VLOOKUP($A247,[1]库存使用数据!$A:$H,8,0),0)+IFERROR(VLOOKUP($A247,[2]库存使用数据!$A:$H,8,0),0)+IFERROR(VLOOKUP($A247,[3]库存使用数据!$A:$H,8,0),0)+IFERROR(VLOOKUP($A247,[4]库存使用数据!$A:$H,8,0),0)+IFERROR(VLOOKUP($A247,[5]库存使用数据!$A:$H,8,0),0)</f>
        <v>180</v>
      </c>
      <c r="I247" s="1">
        <f ca="1">IFERROR(VLOOKUP($A247,[1]库存使用数据!$A:$I,9,0),0)+IFERROR(VLOOKUP($A247,[2]库存使用数据!$A:$I,9,0),0)+IFERROR(VLOOKUP($A247,[3]库存使用数据!$A:$I,9,0),0)+IFERROR(VLOOKUP($A247,[4]库存使用数据!$A:$I,9,0),0)+IFERROR(VLOOKUP($A247,[5]库存使用数据!$A:$I,9,0),0)</f>
        <v>0</v>
      </c>
      <c r="J247" s="1">
        <f ca="1">IFERROR(VLOOKUP($A247,[1]库存使用数据!$A:$J,10,0),0)+IFERROR(VLOOKUP($A247,[2]库存使用数据!$A:$J,10,0),0)+公式!$B$14*IFERROR(VLOOKUP($A247,[3]库存使用数据!$A:$J,10,0),0)+IFERROR(VLOOKUP($A247,[4]库存使用数据!$A:$J,10,0),0)+IFERROR(VLOOKUP($A247,[5]库存使用数据!$A:$J,10,0),0)</f>
        <v>0</v>
      </c>
      <c r="K247" s="1">
        <f ca="1">IFERROR(VLOOKUP($A247,[1]库存使用数据!$A:$K,11,0),0)+IFERROR(VLOOKUP($A247,[2]库存使用数据!$A:$K,11,0),0)+IFERROR(VLOOKUP($A247,[3]库存使用数据!$A:$K,11,0),0)+IFERROR(VLOOKUP($A247,[4]库存使用数据!$A:$K,11,0),0)+IFERROR(VLOOKUP($A247,[5]库存使用数据!$A:$K,11,0),0)</f>
        <v>502</v>
      </c>
      <c r="L247" s="1">
        <f ca="1">IFERROR(VLOOKUP($A247,[1]库存使用数据!$A:$L,12,0),0)+IFERROR(VLOOKUP($A247,[2]库存使用数据!$A:$L,12,0),0)+IFERROR(VLOOKUP($A247,[3]库存使用数据!$A:$L,12,0),0)+IFERROR(VLOOKUP($A247,[4]库存使用数据!$A:$L,12,0),0)+IFERROR(VLOOKUP($A247,[5]库存使用数据!$A:$L,12,0),0)</f>
        <v>4</v>
      </c>
      <c r="M247" s="1">
        <f ca="1">IFERROR(VLOOKUP($A247,[1]库存使用数据!$A:$M,13,0),0)+IFERROR(VLOOKUP($A247,[2]库存使用数据!$A:$M,13,0),0)+公式!$B$14*IFERROR(VLOOKUP($A247,[3]库存使用数据!$A:$M,13,0),0)+IFERROR(VLOOKUP($A247,[4]库存使用数据!$A:$M,13,0),0)+IFERROR(VLOOKUP($A247,[5]库存使用数据!$A:$M,13,0),0)</f>
        <v>0.43</v>
      </c>
    </row>
    <row r="248" spans="1:13">
      <c r="A248" s="5" t="s">
        <v>253</v>
      </c>
      <c r="B248" s="2">
        <f ca="1">IFERROR(VLOOKUP(A248,[1]库存使用数据!$A:$B,2,0),0)+IFERROR(VLOOKUP(A248,[2]库存使用数据!$A:$B,2,0),0)+IFERROR(VLOOKUP(,[3]库存使用数据!$A:$B,2,0),0)+IFERROR(VLOOKUP(A248,[4]库存使用数据!$A:$B,2,0),0)+IFERROR(VLOOKUP(A248,[5]库存使用数据!$A:$B,2,0),0)</f>
        <v>0</v>
      </c>
      <c r="C248" s="1">
        <f ca="1">IFERROR(VLOOKUP($A248,[1]库存使用数据!$A:$C,3,0),0)+IFERROR(VLOOKUP($A248,[2]库存使用数据!$A:$C,3,0),0)+IFERROR(VLOOKUP($A248,[3]库存使用数据!$A:$C,3,0),0)+IFERROR(VLOOKUP($A248,[4]库存使用数据!$A:$C,3,0),0)+IFERROR(VLOOKUP($A248,[5]库存使用数据!$A:$C,3,0),0)</f>
        <v>0</v>
      </c>
      <c r="D248" s="1">
        <f ca="1">IFERROR(VLOOKUP($A248,[1]库存使用数据!$A:$D,4,0),0)+IFERROR(VLOOKUP($A248,[2]库存使用数据!$A:$D,4,0),0)+公式!$B$1*IFERROR(VLOOKUP($A248,[3]库存使用数据!$A:$D,4,0),0)+IFERROR(VLOOKUP($A248,[4]库存使用数据!$A:$D,4,0),0)+IFERROR(VLOOKUP($A248,[5]库存使用数据!$A:$D,4,0),0)</f>
        <v>0</v>
      </c>
      <c r="E248" s="1">
        <f ca="1">IFERROR(VLOOKUP($A248,[1]库存使用数据!$A:$E,5,0),0)+IFERROR(VLOOKUP($A248,[2]库存使用数据!$A:$E,5,0),0)+IFERROR(VLOOKUP($A248,[3]库存使用数据!$A:$E,5,0),0)+IFERROR(VLOOKUP($A248,[4]库存使用数据!$A:$E,5,0),0)+IFERROR(VLOOKUP($A248,[5]库存使用数据!$A:$E,5,0),0)</f>
        <v>4887</v>
      </c>
      <c r="F248" s="1">
        <f ca="1">IFERROR(VLOOKUP($A248,[1]库存使用数据!$A:$F,6,0),0)+IFERROR(VLOOKUP($A248,[2]库存使用数据!$A:$F,6,0),0)+IFERROR(VLOOKUP($A248,[4]库存使用数据!$A:$F,6,0),0)+IFERROR(VLOOKUP($A248,[3]库存使用数据!$A:$F,6,0),0)+IFERROR(VLOOKUP($A248,[5]库存使用数据!$A:$F,6,0),0)</f>
        <v>10</v>
      </c>
      <c r="G248" s="1">
        <f ca="1">IFERROR(VLOOKUP($A248,[1]库存使用数据!$A:$G,7,0),0)+IFERROR(VLOOKUP($A248,[2]库存使用数据!$A:$G,7,0),0)+公式!$B$14*IFERROR(VLOOKUP($A248,[3]库存使用数据!$A:$G,7,0),0)+IFERROR(VLOOKUP($A248,[4]库存使用数据!$A:$G,7,0),0)+IFERROR(VLOOKUP($A248,[5]库存使用数据!$A:$G,7,0),0)</f>
        <v>1.62</v>
      </c>
      <c r="H248" s="1">
        <f ca="1">IFERROR(VLOOKUP($A248,[1]库存使用数据!$A:$H,8,0),0)+IFERROR(VLOOKUP($A248,[2]库存使用数据!$A:$H,8,0),0)+IFERROR(VLOOKUP($A248,[3]库存使用数据!$A:$H,8,0),0)+IFERROR(VLOOKUP($A248,[4]库存使用数据!$A:$H,8,0),0)+IFERROR(VLOOKUP($A248,[5]库存使用数据!$A:$H,8,0),0)</f>
        <v>2142</v>
      </c>
      <c r="I248" s="1">
        <f ca="1">IFERROR(VLOOKUP($A248,[1]库存使用数据!$A:$I,9,0),0)+IFERROR(VLOOKUP($A248,[2]库存使用数据!$A:$I,9,0),0)+IFERROR(VLOOKUP($A248,[3]库存使用数据!$A:$I,9,0),0)+IFERROR(VLOOKUP($A248,[4]库存使用数据!$A:$I,9,0),0)+IFERROR(VLOOKUP($A248,[5]库存使用数据!$A:$I,9,0),0)</f>
        <v>8</v>
      </c>
      <c r="J248" s="1">
        <f ca="1">IFERROR(VLOOKUP($A248,[1]库存使用数据!$A:$J,10,0),0)+IFERROR(VLOOKUP($A248,[2]库存使用数据!$A:$J,10,0),0)+公式!$B$14*IFERROR(VLOOKUP($A248,[3]库存使用数据!$A:$J,10,0),0)+IFERROR(VLOOKUP($A248,[4]库存使用数据!$A:$J,10,0),0)+IFERROR(VLOOKUP($A248,[5]库存使用数据!$A:$J,10,0),0)</f>
        <v>0.96</v>
      </c>
      <c r="K248" s="1">
        <f ca="1">IFERROR(VLOOKUP($A248,[1]库存使用数据!$A:$K,11,0),0)+IFERROR(VLOOKUP($A248,[2]库存使用数据!$A:$K,11,0),0)+IFERROR(VLOOKUP($A248,[3]库存使用数据!$A:$K,11,0),0)+IFERROR(VLOOKUP($A248,[4]库存使用数据!$A:$K,11,0),0)+IFERROR(VLOOKUP($A248,[5]库存使用数据!$A:$K,11,0),0)</f>
        <v>1758</v>
      </c>
      <c r="L248" s="1">
        <f ca="1">IFERROR(VLOOKUP($A248,[1]库存使用数据!$A:$L,12,0),0)+IFERROR(VLOOKUP($A248,[2]库存使用数据!$A:$L,12,0),0)+IFERROR(VLOOKUP($A248,[3]库存使用数据!$A:$L,12,0),0)+IFERROR(VLOOKUP($A248,[4]库存使用数据!$A:$L,12,0),0)+IFERROR(VLOOKUP($A248,[5]库存使用数据!$A:$L,12,0),0)</f>
        <v>3</v>
      </c>
      <c r="M248" s="1">
        <f ca="1">IFERROR(VLOOKUP($A248,[1]库存使用数据!$A:$M,13,0),0)+IFERROR(VLOOKUP($A248,[2]库存使用数据!$A:$M,13,0),0)+公式!$B$14*IFERROR(VLOOKUP($A248,[3]库存使用数据!$A:$M,13,0),0)+IFERROR(VLOOKUP($A248,[4]库存使用数据!$A:$M,13,0),0)+IFERROR(VLOOKUP($A248,[5]库存使用数据!$A:$M,13,0),0)</f>
        <v>0.5</v>
      </c>
    </row>
    <row r="249" spans="1:13">
      <c r="A249" s="5" t="s">
        <v>254</v>
      </c>
      <c r="B249" s="2">
        <f ca="1">IFERROR(VLOOKUP(A249,[1]库存使用数据!$A:$B,2,0),0)+IFERROR(VLOOKUP(A249,[2]库存使用数据!$A:$B,2,0),0)+IFERROR(VLOOKUP(,[3]库存使用数据!$A:$B,2,0),0)+IFERROR(VLOOKUP(A249,[4]库存使用数据!$A:$B,2,0),0)+IFERROR(VLOOKUP(A249,[5]库存使用数据!$A:$B,2,0),0)</f>
        <v>0</v>
      </c>
      <c r="C249" s="1">
        <f ca="1">IFERROR(VLOOKUP($A249,[1]库存使用数据!$A:$C,3,0),0)+IFERROR(VLOOKUP($A249,[2]库存使用数据!$A:$C,3,0),0)+IFERROR(VLOOKUP($A249,[3]库存使用数据!$A:$C,3,0),0)+IFERROR(VLOOKUP($A249,[4]库存使用数据!$A:$C,3,0),0)+IFERROR(VLOOKUP($A249,[5]库存使用数据!$A:$C,3,0),0)</f>
        <v>5</v>
      </c>
      <c r="D249" s="1">
        <f ca="1">IFERROR(VLOOKUP($A249,[1]库存使用数据!$A:$D,4,0),0)+IFERROR(VLOOKUP($A249,[2]库存使用数据!$A:$D,4,0),0)+公式!$B$1*IFERROR(VLOOKUP($A249,[3]库存使用数据!$A:$D,4,0),0)+IFERROR(VLOOKUP($A249,[4]库存使用数据!$A:$D,4,0),0)+IFERROR(VLOOKUP($A249,[5]库存使用数据!$A:$D,4,0),0)</f>
        <v>0.52875</v>
      </c>
      <c r="E249" s="1">
        <f ca="1">IFERROR(VLOOKUP($A249,[1]库存使用数据!$A:$E,5,0),0)+IFERROR(VLOOKUP($A249,[2]库存使用数据!$A:$E,5,0),0)+IFERROR(VLOOKUP($A249,[3]库存使用数据!$A:$E,5,0),0)+IFERROR(VLOOKUP($A249,[4]库存使用数据!$A:$E,5,0),0)+IFERROR(VLOOKUP($A249,[5]库存使用数据!$A:$E,5,0),0)</f>
        <v>2781</v>
      </c>
      <c r="F249" s="1">
        <f ca="1">IFERROR(VLOOKUP($A249,[1]库存使用数据!$A:$F,6,0),0)+IFERROR(VLOOKUP($A249,[2]库存使用数据!$A:$F,6,0),0)+IFERROR(VLOOKUP($A249,[4]库存使用数据!$A:$F,6,0),0)+IFERROR(VLOOKUP($A249,[3]库存使用数据!$A:$F,6,0),0)+IFERROR(VLOOKUP($A249,[5]库存使用数据!$A:$F,6,0),0)</f>
        <v>5</v>
      </c>
      <c r="G249" s="1">
        <f ca="1">IFERROR(VLOOKUP($A249,[1]库存使用数据!$A:$G,7,0),0)+IFERROR(VLOOKUP($A249,[2]库存使用数据!$A:$G,7,0),0)+公式!$B$14*IFERROR(VLOOKUP($A249,[3]库存使用数据!$A:$G,7,0),0)+IFERROR(VLOOKUP($A249,[4]库存使用数据!$A:$G,7,0),0)+IFERROR(VLOOKUP($A249,[5]库存使用数据!$A:$G,7,0),0)</f>
        <v>0</v>
      </c>
      <c r="H249" s="1">
        <f ca="1">IFERROR(VLOOKUP($A249,[1]库存使用数据!$A:$H,8,0),0)+IFERROR(VLOOKUP($A249,[2]库存使用数据!$A:$H,8,0),0)+IFERROR(VLOOKUP($A249,[3]库存使用数据!$A:$H,8,0),0)+IFERROR(VLOOKUP($A249,[4]库存使用数据!$A:$H,8,0),0)+IFERROR(VLOOKUP($A249,[5]库存使用数据!$A:$H,8,0),0)</f>
        <v>608</v>
      </c>
      <c r="I249" s="1">
        <f ca="1">IFERROR(VLOOKUP($A249,[1]库存使用数据!$A:$I,9,0),0)+IFERROR(VLOOKUP($A249,[2]库存使用数据!$A:$I,9,0),0)+IFERROR(VLOOKUP($A249,[3]库存使用数据!$A:$I,9,0),0)+IFERROR(VLOOKUP($A249,[4]库存使用数据!$A:$I,9,0),0)+IFERROR(VLOOKUP($A249,[5]库存使用数据!$A:$I,9,0),0)</f>
        <v>1</v>
      </c>
      <c r="J249" s="1">
        <f ca="1">IFERROR(VLOOKUP($A249,[1]库存使用数据!$A:$J,10,0),0)+IFERROR(VLOOKUP($A249,[2]库存使用数据!$A:$J,10,0),0)+公式!$B$14*IFERROR(VLOOKUP($A249,[3]库存使用数据!$A:$J,10,0),0)+IFERROR(VLOOKUP($A249,[4]库存使用数据!$A:$J,10,0),0)+IFERROR(VLOOKUP($A249,[5]库存使用数据!$A:$J,10,0),0)</f>
        <v>0</v>
      </c>
      <c r="K249" s="1">
        <f ca="1">IFERROR(VLOOKUP($A249,[1]库存使用数据!$A:$K,11,0),0)+IFERROR(VLOOKUP($A249,[2]库存使用数据!$A:$K,11,0),0)+IFERROR(VLOOKUP($A249,[3]库存使用数据!$A:$K,11,0),0)+IFERROR(VLOOKUP($A249,[4]库存使用数据!$A:$K,11,0),0)+IFERROR(VLOOKUP($A249,[5]库存使用数据!$A:$K,11,0),0)</f>
        <v>49</v>
      </c>
      <c r="L249" s="1">
        <f ca="1">IFERROR(VLOOKUP($A249,[1]库存使用数据!$A:$L,12,0),0)+IFERROR(VLOOKUP($A249,[2]库存使用数据!$A:$L,12,0),0)+IFERROR(VLOOKUP($A249,[3]库存使用数据!$A:$L,12,0),0)+IFERROR(VLOOKUP($A249,[4]库存使用数据!$A:$L,12,0),0)+IFERROR(VLOOKUP($A249,[5]库存使用数据!$A:$L,12,0),0)</f>
        <v>0</v>
      </c>
      <c r="M249" s="1">
        <f ca="1">IFERROR(VLOOKUP($A249,[1]库存使用数据!$A:$M,13,0),0)+IFERROR(VLOOKUP($A249,[2]库存使用数据!$A:$M,13,0),0)+公式!$B$14*IFERROR(VLOOKUP($A249,[3]库存使用数据!$A:$M,13,0),0)+IFERROR(VLOOKUP($A249,[4]库存使用数据!$A:$M,13,0),0)+IFERROR(VLOOKUP($A249,[5]库存使用数据!$A:$M,13,0),0)</f>
        <v>0</v>
      </c>
    </row>
    <row r="250" spans="1:13">
      <c r="A250" s="5" t="s">
        <v>255</v>
      </c>
      <c r="B250" s="2">
        <f ca="1">IFERROR(VLOOKUP(A250,[1]库存使用数据!$A:$B,2,0),0)+IFERROR(VLOOKUP(A250,[2]库存使用数据!$A:$B,2,0),0)+IFERROR(VLOOKUP(,[3]库存使用数据!$A:$B,2,0),0)+IFERROR(VLOOKUP(A250,[4]库存使用数据!$A:$B,2,0),0)+IFERROR(VLOOKUP(A250,[5]库存使用数据!$A:$B,2,0),0)</f>
        <v>0</v>
      </c>
      <c r="C250" s="1">
        <f ca="1">IFERROR(VLOOKUP($A250,[1]库存使用数据!$A:$C,3,0),0)+IFERROR(VLOOKUP($A250,[2]库存使用数据!$A:$C,3,0),0)+IFERROR(VLOOKUP($A250,[3]库存使用数据!$A:$C,3,0),0)+IFERROR(VLOOKUP($A250,[4]库存使用数据!$A:$C,3,0),0)+IFERROR(VLOOKUP($A250,[5]库存使用数据!$A:$C,3,0),0)</f>
        <v>1</v>
      </c>
      <c r="D250" s="1">
        <f ca="1">IFERROR(VLOOKUP($A250,[1]库存使用数据!$A:$D,4,0),0)+IFERROR(VLOOKUP($A250,[2]库存使用数据!$A:$D,4,0),0)+公式!$B$1*IFERROR(VLOOKUP($A250,[3]库存使用数据!$A:$D,4,0),0)+IFERROR(VLOOKUP($A250,[4]库存使用数据!$A:$D,4,0),0)+IFERROR(VLOOKUP($A250,[5]库存使用数据!$A:$D,4,0),0)</f>
        <v>0.32625</v>
      </c>
      <c r="E250" s="1">
        <f ca="1">IFERROR(VLOOKUP($A250,[1]库存使用数据!$A:$E,5,0),0)+IFERROR(VLOOKUP($A250,[2]库存使用数据!$A:$E,5,0),0)+IFERROR(VLOOKUP($A250,[3]库存使用数据!$A:$E,5,0),0)+IFERROR(VLOOKUP($A250,[4]库存使用数据!$A:$E,5,0),0)+IFERROR(VLOOKUP($A250,[5]库存使用数据!$A:$E,5,0),0)</f>
        <v>451</v>
      </c>
      <c r="F250" s="1">
        <f ca="1">IFERROR(VLOOKUP($A250,[1]库存使用数据!$A:$F,6,0),0)+IFERROR(VLOOKUP($A250,[2]库存使用数据!$A:$F,6,0),0)+IFERROR(VLOOKUP($A250,[4]库存使用数据!$A:$F,6,0),0)+IFERROR(VLOOKUP($A250,[3]库存使用数据!$A:$F,6,0),0)+IFERROR(VLOOKUP($A250,[5]库存使用数据!$A:$F,6,0),0)</f>
        <v>2</v>
      </c>
      <c r="G250" s="1">
        <f ca="1">IFERROR(VLOOKUP($A250,[1]库存使用数据!$A:$G,7,0),0)+IFERROR(VLOOKUP($A250,[2]库存使用数据!$A:$G,7,0),0)+公式!$B$14*IFERROR(VLOOKUP($A250,[3]库存使用数据!$A:$G,7,0),0)+IFERROR(VLOOKUP($A250,[4]库存使用数据!$A:$G,7,0),0)+IFERROR(VLOOKUP($A250,[5]库存使用数据!$A:$G,7,0),0)</f>
        <v>0</v>
      </c>
      <c r="H250" s="1">
        <f ca="1">IFERROR(VLOOKUP($A250,[1]库存使用数据!$A:$H,8,0),0)+IFERROR(VLOOKUP($A250,[2]库存使用数据!$A:$H,8,0),0)+IFERROR(VLOOKUP($A250,[3]库存使用数据!$A:$H,8,0),0)+IFERROR(VLOOKUP($A250,[4]库存使用数据!$A:$H,8,0),0)+IFERROR(VLOOKUP($A250,[5]库存使用数据!$A:$H,8,0),0)</f>
        <v>406</v>
      </c>
      <c r="I250" s="1">
        <f ca="1">IFERROR(VLOOKUP($A250,[1]库存使用数据!$A:$I,9,0),0)+IFERROR(VLOOKUP($A250,[2]库存使用数据!$A:$I,9,0),0)+IFERROR(VLOOKUP($A250,[3]库存使用数据!$A:$I,9,0),0)+IFERROR(VLOOKUP($A250,[4]库存使用数据!$A:$I,9,0),0)+IFERROR(VLOOKUP($A250,[5]库存使用数据!$A:$I,9,0),0)</f>
        <v>0</v>
      </c>
      <c r="J250" s="1">
        <f ca="1">IFERROR(VLOOKUP($A250,[1]库存使用数据!$A:$J,10,0),0)+IFERROR(VLOOKUP($A250,[2]库存使用数据!$A:$J,10,0),0)+公式!$B$14*IFERROR(VLOOKUP($A250,[3]库存使用数据!$A:$J,10,0),0)+IFERROR(VLOOKUP($A250,[4]库存使用数据!$A:$J,10,0),0)+IFERROR(VLOOKUP($A250,[5]库存使用数据!$A:$J,10,0),0)</f>
        <v>0</v>
      </c>
      <c r="K250" s="1">
        <f ca="1">IFERROR(VLOOKUP($A250,[1]库存使用数据!$A:$K,11,0),0)+IFERROR(VLOOKUP($A250,[2]库存使用数据!$A:$K,11,0),0)+IFERROR(VLOOKUP($A250,[3]库存使用数据!$A:$K,11,0),0)+IFERROR(VLOOKUP($A250,[4]库存使用数据!$A:$K,11,0),0)+IFERROR(VLOOKUP($A250,[5]库存使用数据!$A:$K,11,0),0)</f>
        <v>449</v>
      </c>
      <c r="L250" s="1">
        <f ca="1">IFERROR(VLOOKUP($A250,[1]库存使用数据!$A:$L,12,0),0)+IFERROR(VLOOKUP($A250,[2]库存使用数据!$A:$L,12,0),0)+IFERROR(VLOOKUP($A250,[3]库存使用数据!$A:$L,12,0),0)+IFERROR(VLOOKUP($A250,[4]库存使用数据!$A:$L,12,0),0)+IFERROR(VLOOKUP($A250,[5]库存使用数据!$A:$L,12,0),0)</f>
        <v>1</v>
      </c>
      <c r="M250" s="1">
        <f ca="1">IFERROR(VLOOKUP($A250,[1]库存使用数据!$A:$M,13,0),0)+IFERROR(VLOOKUP($A250,[2]库存使用数据!$A:$M,13,0),0)+公式!$B$14*IFERROR(VLOOKUP($A250,[3]库存使用数据!$A:$M,13,0),0)+IFERROR(VLOOKUP($A250,[4]库存使用数据!$A:$M,13,0),0)+IFERROR(VLOOKUP($A250,[5]库存使用数据!$A:$M,13,0),0)</f>
        <v>0.2</v>
      </c>
    </row>
    <row r="251" spans="1:13">
      <c r="A251" s="5" t="s">
        <v>256</v>
      </c>
      <c r="B251" s="2">
        <f ca="1">IFERROR(VLOOKUP(A251,[1]库存使用数据!$A:$B,2,0),0)+IFERROR(VLOOKUP(A251,[2]库存使用数据!$A:$B,2,0),0)+IFERROR(VLOOKUP(,[3]库存使用数据!$A:$B,2,0),0)+IFERROR(VLOOKUP(A251,[4]库存使用数据!$A:$B,2,0),0)+IFERROR(VLOOKUP(A251,[5]库存使用数据!$A:$B,2,0),0)</f>
        <v>48383</v>
      </c>
      <c r="C251" s="1">
        <f ca="1">IFERROR(VLOOKUP($A251,[1]库存使用数据!$A:$C,3,0),0)+IFERROR(VLOOKUP($A251,[2]库存使用数据!$A:$C,3,0),0)+IFERROR(VLOOKUP($A251,[3]库存使用数据!$A:$C,3,0),0)+IFERROR(VLOOKUP($A251,[4]库存使用数据!$A:$C,3,0),0)+IFERROR(VLOOKUP($A251,[5]库存使用数据!$A:$C,3,0),0)</f>
        <v>123</v>
      </c>
      <c r="D251" s="1">
        <f ca="1">IFERROR(VLOOKUP($A251,[1]库存使用数据!$A:$D,4,0),0)+IFERROR(VLOOKUP($A251,[2]库存使用数据!$A:$D,4,0),0)+公式!$B$1*IFERROR(VLOOKUP($A251,[3]库存使用数据!$A:$D,4,0),0)+IFERROR(VLOOKUP($A251,[4]库存使用数据!$A:$D,4,0),0)+IFERROR(VLOOKUP($A251,[5]库存使用数据!$A:$D,4,0),0)</f>
        <v>33.5025</v>
      </c>
      <c r="E251" s="1">
        <f ca="1">IFERROR(VLOOKUP($A251,[1]库存使用数据!$A:$E,5,0),0)+IFERROR(VLOOKUP($A251,[2]库存使用数据!$A:$E,5,0),0)+IFERROR(VLOOKUP($A251,[3]库存使用数据!$A:$E,5,0),0)+IFERROR(VLOOKUP($A251,[4]库存使用数据!$A:$E,5,0),0)+IFERROR(VLOOKUP($A251,[5]库存使用数据!$A:$E,5,0),0)</f>
        <v>17538</v>
      </c>
      <c r="F251" s="1">
        <f ca="1">IFERROR(VLOOKUP($A251,[1]库存使用数据!$A:$F,6,0),0)+IFERROR(VLOOKUP($A251,[2]库存使用数据!$A:$F,6,0),0)+IFERROR(VLOOKUP($A251,[4]库存使用数据!$A:$F,6,0),0)+IFERROR(VLOOKUP($A251,[3]库存使用数据!$A:$F,6,0),0)+IFERROR(VLOOKUP($A251,[5]库存使用数据!$A:$F,6,0),0)</f>
        <v>65</v>
      </c>
      <c r="G251" s="1">
        <f ca="1">IFERROR(VLOOKUP($A251,[1]库存使用数据!$A:$G,7,0),0)+IFERROR(VLOOKUP($A251,[2]库存使用数据!$A:$G,7,0),0)+公式!$B$14*IFERROR(VLOOKUP($A251,[3]库存使用数据!$A:$G,7,0),0)+IFERROR(VLOOKUP($A251,[4]库存使用数据!$A:$G,7,0),0)+IFERROR(VLOOKUP($A251,[5]库存使用数据!$A:$G,7,0),0)</f>
        <v>16.2</v>
      </c>
      <c r="H251" s="1">
        <f ca="1">IFERROR(VLOOKUP($A251,[1]库存使用数据!$A:$H,8,0),0)+IFERROR(VLOOKUP($A251,[2]库存使用数据!$A:$H,8,0),0)+IFERROR(VLOOKUP($A251,[3]库存使用数据!$A:$H,8,0),0)+IFERROR(VLOOKUP($A251,[4]库存使用数据!$A:$H,8,0),0)+IFERROR(VLOOKUP($A251,[5]库存使用数据!$A:$H,8,0),0)</f>
        <v>4933</v>
      </c>
      <c r="I251" s="1">
        <f ca="1">IFERROR(VLOOKUP($A251,[1]库存使用数据!$A:$I,9,0),0)+IFERROR(VLOOKUP($A251,[2]库存使用数据!$A:$I,9,0),0)+IFERROR(VLOOKUP($A251,[3]库存使用数据!$A:$I,9,0),0)+IFERROR(VLOOKUP($A251,[4]库存使用数据!$A:$I,9,0),0)+IFERROR(VLOOKUP($A251,[5]库存使用数据!$A:$I,9,0),0)</f>
        <v>32</v>
      </c>
      <c r="J251" s="1">
        <f ca="1">IFERROR(VLOOKUP($A251,[1]库存使用数据!$A:$J,10,0),0)+IFERROR(VLOOKUP($A251,[2]库存使用数据!$A:$J,10,0),0)+公式!$B$14*IFERROR(VLOOKUP($A251,[3]库存使用数据!$A:$J,10,0),0)+IFERROR(VLOOKUP($A251,[4]库存使用数据!$A:$J,10,0),0)+IFERROR(VLOOKUP($A251,[5]库存使用数据!$A:$J,10,0),0)</f>
        <v>8.78</v>
      </c>
      <c r="K251" s="1">
        <f ca="1">IFERROR(VLOOKUP($A251,[1]库存使用数据!$A:$K,11,0),0)+IFERROR(VLOOKUP($A251,[2]库存使用数据!$A:$K,11,0),0)+IFERROR(VLOOKUP($A251,[3]库存使用数据!$A:$K,11,0),0)+IFERROR(VLOOKUP($A251,[4]库存使用数据!$A:$K,11,0),0)+IFERROR(VLOOKUP($A251,[5]库存使用数据!$A:$K,11,0),0)</f>
        <v>9694</v>
      </c>
      <c r="L251" s="1">
        <f ca="1">IFERROR(VLOOKUP($A251,[1]库存使用数据!$A:$L,12,0),0)+IFERROR(VLOOKUP($A251,[2]库存使用数据!$A:$L,12,0),0)+IFERROR(VLOOKUP($A251,[3]库存使用数据!$A:$L,12,0),0)+IFERROR(VLOOKUP($A251,[4]库存使用数据!$A:$L,12,0),0)+IFERROR(VLOOKUP($A251,[5]库存使用数据!$A:$L,12,0),0)</f>
        <v>107</v>
      </c>
      <c r="M251" s="1">
        <f ca="1">IFERROR(VLOOKUP($A251,[1]库存使用数据!$A:$M,13,0),0)+IFERROR(VLOOKUP($A251,[2]库存使用数据!$A:$M,13,0),0)+公式!$B$14*IFERROR(VLOOKUP($A251,[3]库存使用数据!$A:$M,13,0),0)+IFERROR(VLOOKUP($A251,[4]库存使用数据!$A:$M,13,0),0)+IFERROR(VLOOKUP($A251,[5]库存使用数据!$A:$M,13,0),0)</f>
        <v>32.37</v>
      </c>
    </row>
    <row r="252" spans="1:13">
      <c r="A252" s="5" t="s">
        <v>257</v>
      </c>
      <c r="B252" s="2">
        <f ca="1">IFERROR(VLOOKUP(A252,[1]库存使用数据!$A:$B,2,0),0)+IFERROR(VLOOKUP(A252,[2]库存使用数据!$A:$B,2,0),0)+IFERROR(VLOOKUP(,[3]库存使用数据!$A:$B,2,0),0)+IFERROR(VLOOKUP(A252,[4]库存使用数据!$A:$B,2,0),0)+IFERROR(VLOOKUP(A252,[5]库存使用数据!$A:$B,2,0),0)</f>
        <v>0</v>
      </c>
      <c r="C252" s="1">
        <f ca="1">IFERROR(VLOOKUP($A252,[1]库存使用数据!$A:$C,3,0),0)+IFERROR(VLOOKUP($A252,[2]库存使用数据!$A:$C,3,0),0)+IFERROR(VLOOKUP($A252,[3]库存使用数据!$A:$C,3,0),0)+IFERROR(VLOOKUP($A252,[4]库存使用数据!$A:$C,3,0),0)+IFERROR(VLOOKUP($A252,[5]库存使用数据!$A:$C,3,0),0)</f>
        <v>8</v>
      </c>
      <c r="D252" s="1">
        <f ca="1">IFERROR(VLOOKUP($A252,[1]库存使用数据!$A:$D,4,0),0)+IFERROR(VLOOKUP($A252,[2]库存使用数据!$A:$D,4,0),0)+公式!$B$1*IFERROR(VLOOKUP($A252,[3]库存使用数据!$A:$D,4,0),0)+IFERROR(VLOOKUP($A252,[4]库存使用数据!$A:$D,4,0),0)+IFERROR(VLOOKUP($A252,[5]库存使用数据!$A:$D,4,0),0)</f>
        <v>0.9225</v>
      </c>
      <c r="E252" s="1">
        <f ca="1">IFERROR(VLOOKUP($A252,[1]库存使用数据!$A:$E,5,0),0)+IFERROR(VLOOKUP($A252,[2]库存使用数据!$A:$E,5,0),0)+IFERROR(VLOOKUP($A252,[3]库存使用数据!$A:$E,5,0),0)+IFERROR(VLOOKUP($A252,[4]库存使用数据!$A:$E,5,0),0)+IFERROR(VLOOKUP($A252,[5]库存使用数据!$A:$E,5,0),0)</f>
        <v>3084</v>
      </c>
      <c r="F252" s="1">
        <f ca="1">IFERROR(VLOOKUP($A252,[1]库存使用数据!$A:$F,6,0),0)+IFERROR(VLOOKUP($A252,[2]库存使用数据!$A:$F,6,0),0)+IFERROR(VLOOKUP($A252,[4]库存使用数据!$A:$F,6,0),0)+IFERROR(VLOOKUP($A252,[3]库存使用数据!$A:$F,6,0),0)+IFERROR(VLOOKUP($A252,[5]库存使用数据!$A:$F,6,0),0)</f>
        <v>15</v>
      </c>
      <c r="G252" s="1">
        <f ca="1">IFERROR(VLOOKUP($A252,[1]库存使用数据!$A:$G,7,0),0)+IFERROR(VLOOKUP($A252,[2]库存使用数据!$A:$G,7,0),0)+公式!$B$14*IFERROR(VLOOKUP($A252,[3]库存使用数据!$A:$G,7,0),0)+IFERROR(VLOOKUP($A252,[4]库存使用数据!$A:$G,7,0),0)+IFERROR(VLOOKUP($A252,[5]库存使用数据!$A:$G,7,0),0)</f>
        <v>0</v>
      </c>
      <c r="H252" s="1">
        <f ca="1">IFERROR(VLOOKUP($A252,[1]库存使用数据!$A:$H,8,0),0)+IFERROR(VLOOKUP($A252,[2]库存使用数据!$A:$H,8,0),0)+IFERROR(VLOOKUP($A252,[3]库存使用数据!$A:$H,8,0),0)+IFERROR(VLOOKUP($A252,[4]库存使用数据!$A:$H,8,0),0)+IFERROR(VLOOKUP($A252,[5]库存使用数据!$A:$H,8,0),0)</f>
        <v>4891</v>
      </c>
      <c r="I252" s="1">
        <f ca="1">IFERROR(VLOOKUP($A252,[1]库存使用数据!$A:$I,9,0),0)+IFERROR(VLOOKUP($A252,[2]库存使用数据!$A:$I,9,0),0)+IFERROR(VLOOKUP($A252,[3]库存使用数据!$A:$I,9,0),0)+IFERROR(VLOOKUP($A252,[4]库存使用数据!$A:$I,9,0),0)+IFERROR(VLOOKUP($A252,[5]库存使用数据!$A:$I,9,0),0)</f>
        <v>24</v>
      </c>
      <c r="J252" s="1">
        <f ca="1">IFERROR(VLOOKUP($A252,[1]库存使用数据!$A:$J,10,0),0)+IFERROR(VLOOKUP($A252,[2]库存使用数据!$A:$J,10,0),0)+公式!$B$14*IFERROR(VLOOKUP($A252,[3]库存使用数据!$A:$J,10,0),0)+IFERROR(VLOOKUP($A252,[4]库存使用数据!$A:$J,10,0),0)+IFERROR(VLOOKUP($A252,[5]库存使用数据!$A:$J,10,0),0)</f>
        <v>0</v>
      </c>
      <c r="K252" s="1">
        <f ca="1">IFERROR(VLOOKUP($A252,[1]库存使用数据!$A:$K,11,0),0)+IFERROR(VLOOKUP($A252,[2]库存使用数据!$A:$K,11,0),0)+IFERROR(VLOOKUP($A252,[3]库存使用数据!$A:$K,11,0),0)+IFERROR(VLOOKUP($A252,[4]库存使用数据!$A:$K,11,0),0)+IFERROR(VLOOKUP($A252,[5]库存使用数据!$A:$K,11,0),0)</f>
        <v>15131</v>
      </c>
      <c r="L252" s="1">
        <f ca="1">IFERROR(VLOOKUP($A252,[1]库存使用数据!$A:$L,12,0),0)+IFERROR(VLOOKUP($A252,[2]库存使用数据!$A:$L,12,0),0)+IFERROR(VLOOKUP($A252,[3]库存使用数据!$A:$L,12,0),0)+IFERROR(VLOOKUP($A252,[4]库存使用数据!$A:$L,12,0),0)+IFERROR(VLOOKUP($A252,[5]库存使用数据!$A:$L,12,0),0)</f>
        <v>50</v>
      </c>
      <c r="M252" s="1">
        <f ca="1">IFERROR(VLOOKUP($A252,[1]库存使用数据!$A:$M,13,0),0)+IFERROR(VLOOKUP($A252,[2]库存使用数据!$A:$M,13,0),0)+公式!$B$14*IFERROR(VLOOKUP($A252,[3]库存使用数据!$A:$M,13,0),0)+IFERROR(VLOOKUP($A252,[4]库存使用数据!$A:$M,13,0),0)+IFERROR(VLOOKUP($A252,[5]库存使用数据!$A:$M,13,0),0)</f>
        <v>0.19</v>
      </c>
    </row>
    <row r="253" spans="1:13">
      <c r="A253" s="5" t="s">
        <v>258</v>
      </c>
      <c r="B253" s="2">
        <f ca="1">IFERROR(VLOOKUP(A253,[1]库存使用数据!$A:$B,2,0),0)+IFERROR(VLOOKUP(A253,[2]库存使用数据!$A:$B,2,0),0)+IFERROR(VLOOKUP(,[3]库存使用数据!$A:$B,2,0),0)+IFERROR(VLOOKUP(A253,[4]库存使用数据!$A:$B,2,0),0)+IFERROR(VLOOKUP(A253,[5]库存使用数据!$A:$B,2,0),0)</f>
        <v>2723</v>
      </c>
      <c r="C253" s="1">
        <f ca="1">IFERROR(VLOOKUP($A253,[1]库存使用数据!$A:$C,3,0),0)+IFERROR(VLOOKUP($A253,[2]库存使用数据!$A:$C,3,0),0)+IFERROR(VLOOKUP($A253,[3]库存使用数据!$A:$C,3,0),0)+IFERROR(VLOOKUP($A253,[4]库存使用数据!$A:$C,3,0),0)+IFERROR(VLOOKUP($A253,[5]库存使用数据!$A:$C,3,0),0)</f>
        <v>37</v>
      </c>
      <c r="D253" s="1">
        <f ca="1">IFERROR(VLOOKUP($A253,[1]库存使用数据!$A:$D,4,0),0)+IFERROR(VLOOKUP($A253,[2]库存使用数据!$A:$D,4,0),0)+公式!$B$1*IFERROR(VLOOKUP($A253,[3]库存使用数据!$A:$D,4,0),0)+IFERROR(VLOOKUP($A253,[4]库存使用数据!$A:$D,4,0),0)+IFERROR(VLOOKUP($A253,[5]库存使用数据!$A:$D,4,0),0)</f>
        <v>4.89125</v>
      </c>
      <c r="E253" s="1">
        <f ca="1">IFERROR(VLOOKUP($A253,[1]库存使用数据!$A:$E,5,0),0)+IFERROR(VLOOKUP($A253,[2]库存使用数据!$A:$E,5,0),0)+IFERROR(VLOOKUP($A253,[3]库存使用数据!$A:$E,5,0),0)+IFERROR(VLOOKUP($A253,[4]库存使用数据!$A:$E,5,0),0)+IFERROR(VLOOKUP($A253,[5]库存使用数据!$A:$E,5,0),0)</f>
        <v>46442</v>
      </c>
      <c r="F253" s="1">
        <f ca="1">IFERROR(VLOOKUP($A253,[1]库存使用数据!$A:$F,6,0),0)+IFERROR(VLOOKUP($A253,[2]库存使用数据!$A:$F,6,0),0)+IFERROR(VLOOKUP($A253,[4]库存使用数据!$A:$F,6,0),0)+IFERROR(VLOOKUP($A253,[3]库存使用数据!$A:$F,6,0),0)+IFERROR(VLOOKUP($A253,[5]库存使用数据!$A:$F,6,0),0)</f>
        <v>590</v>
      </c>
      <c r="G253" s="1">
        <f ca="1">IFERROR(VLOOKUP($A253,[1]库存使用数据!$A:$G,7,0),0)+IFERROR(VLOOKUP($A253,[2]库存使用数据!$A:$G,7,0),0)+公式!$B$14*IFERROR(VLOOKUP($A253,[3]库存使用数据!$A:$G,7,0),0)+IFERROR(VLOOKUP($A253,[4]库存使用数据!$A:$G,7,0),0)+IFERROR(VLOOKUP($A253,[5]库存使用数据!$A:$G,7,0),0)</f>
        <v>87.59</v>
      </c>
      <c r="H253" s="1">
        <f ca="1">IFERROR(VLOOKUP($A253,[1]库存使用数据!$A:$H,8,0),0)+IFERROR(VLOOKUP($A253,[2]库存使用数据!$A:$H,8,0),0)+IFERROR(VLOOKUP($A253,[3]库存使用数据!$A:$H,8,0),0)+IFERROR(VLOOKUP($A253,[4]库存使用数据!$A:$H,8,0),0)+IFERROR(VLOOKUP($A253,[5]库存使用数据!$A:$H,8,0),0)</f>
        <v>16280</v>
      </c>
      <c r="I253" s="1">
        <f ca="1">IFERROR(VLOOKUP($A253,[1]库存使用数据!$A:$I,9,0),0)+IFERROR(VLOOKUP($A253,[2]库存使用数据!$A:$I,9,0),0)+IFERROR(VLOOKUP($A253,[3]库存使用数据!$A:$I,9,0),0)+IFERROR(VLOOKUP($A253,[4]库存使用数据!$A:$I,9,0),0)+IFERROR(VLOOKUP($A253,[5]库存使用数据!$A:$I,9,0),0)</f>
        <v>85</v>
      </c>
      <c r="J253" s="1">
        <f ca="1">IFERROR(VLOOKUP($A253,[1]库存使用数据!$A:$J,10,0),0)+IFERROR(VLOOKUP($A253,[2]库存使用数据!$A:$J,10,0),0)+公式!$B$14*IFERROR(VLOOKUP($A253,[3]库存使用数据!$A:$J,10,0),0)+IFERROR(VLOOKUP($A253,[4]库存使用数据!$A:$J,10,0),0)+IFERROR(VLOOKUP($A253,[5]库存使用数据!$A:$J,10,0),0)</f>
        <v>9.18</v>
      </c>
      <c r="K253" s="1">
        <f ca="1">IFERROR(VLOOKUP($A253,[1]库存使用数据!$A:$K,11,0),0)+IFERROR(VLOOKUP($A253,[2]库存使用数据!$A:$K,11,0),0)+IFERROR(VLOOKUP($A253,[3]库存使用数据!$A:$K,11,0),0)+IFERROR(VLOOKUP($A253,[4]库存使用数据!$A:$K,11,0),0)+IFERROR(VLOOKUP($A253,[5]库存使用数据!$A:$K,11,0),0)</f>
        <v>3990</v>
      </c>
      <c r="L253" s="1">
        <f ca="1">IFERROR(VLOOKUP($A253,[1]库存使用数据!$A:$L,12,0),0)+IFERROR(VLOOKUP($A253,[2]库存使用数据!$A:$L,12,0),0)+IFERROR(VLOOKUP($A253,[3]库存使用数据!$A:$L,12,0),0)+IFERROR(VLOOKUP($A253,[4]库存使用数据!$A:$L,12,0),0)+IFERROR(VLOOKUP($A253,[5]库存使用数据!$A:$L,12,0),0)</f>
        <v>29</v>
      </c>
      <c r="M253" s="1">
        <f ca="1">IFERROR(VLOOKUP($A253,[1]库存使用数据!$A:$M,13,0),0)+IFERROR(VLOOKUP($A253,[2]库存使用数据!$A:$M,13,0),0)+公式!$B$14*IFERROR(VLOOKUP($A253,[3]库存使用数据!$A:$M,13,0),0)+IFERROR(VLOOKUP($A253,[4]库存使用数据!$A:$M,13,0),0)+IFERROR(VLOOKUP($A253,[5]库存使用数据!$A:$M,13,0),0)</f>
        <v>2.28</v>
      </c>
    </row>
    <row r="254" spans="1:13">
      <c r="A254" s="5" t="s">
        <v>259</v>
      </c>
      <c r="B254" s="2">
        <f ca="1">IFERROR(VLOOKUP(A254,[1]库存使用数据!$A:$B,2,0),0)+IFERROR(VLOOKUP(A254,[2]库存使用数据!$A:$B,2,0),0)+IFERROR(VLOOKUP(,[3]库存使用数据!$A:$B,2,0),0)+IFERROR(VLOOKUP(A254,[4]库存使用数据!$A:$B,2,0),0)+IFERROR(VLOOKUP(A254,[5]库存使用数据!$A:$B,2,0),0)</f>
        <v>0</v>
      </c>
      <c r="C254" s="1">
        <f ca="1">IFERROR(VLOOKUP($A254,[1]库存使用数据!$A:$C,3,0),0)+IFERROR(VLOOKUP($A254,[2]库存使用数据!$A:$C,3,0),0)+IFERROR(VLOOKUP($A254,[3]库存使用数据!$A:$C,3,0),0)+IFERROR(VLOOKUP($A254,[4]库存使用数据!$A:$C,3,0),0)+IFERROR(VLOOKUP($A254,[5]库存使用数据!$A:$C,3,0),0)</f>
        <v>26</v>
      </c>
      <c r="D254" s="1">
        <f ca="1">IFERROR(VLOOKUP($A254,[1]库存使用数据!$A:$D,4,0),0)+IFERROR(VLOOKUP($A254,[2]库存使用数据!$A:$D,4,0),0)+公式!$B$1*IFERROR(VLOOKUP($A254,[3]库存使用数据!$A:$D,4,0),0)+IFERROR(VLOOKUP($A254,[4]库存使用数据!$A:$D,4,0),0)+IFERROR(VLOOKUP($A254,[5]库存使用数据!$A:$D,4,0),0)</f>
        <v>4.5225</v>
      </c>
      <c r="E254" s="1">
        <f ca="1">IFERROR(VLOOKUP($A254,[1]库存使用数据!$A:$E,5,0),0)+IFERROR(VLOOKUP($A254,[2]库存使用数据!$A:$E,5,0),0)+IFERROR(VLOOKUP($A254,[3]库存使用数据!$A:$E,5,0),0)+IFERROR(VLOOKUP($A254,[4]库存使用数据!$A:$E,5,0),0)+IFERROR(VLOOKUP($A254,[5]库存使用数据!$A:$E,5,0),0)</f>
        <v>4056</v>
      </c>
      <c r="F254" s="1">
        <f ca="1">IFERROR(VLOOKUP($A254,[1]库存使用数据!$A:$F,6,0),0)+IFERROR(VLOOKUP($A254,[2]库存使用数据!$A:$F,6,0),0)+IFERROR(VLOOKUP($A254,[4]库存使用数据!$A:$F,6,0),0)+IFERROR(VLOOKUP($A254,[3]库存使用数据!$A:$F,6,0),0)+IFERROR(VLOOKUP($A254,[5]库存使用数据!$A:$F,6,0),0)</f>
        <v>45</v>
      </c>
      <c r="G254" s="1">
        <f ca="1">IFERROR(VLOOKUP($A254,[1]库存使用数据!$A:$G,7,0),0)+IFERROR(VLOOKUP($A254,[2]库存使用数据!$A:$G,7,0),0)+公式!$B$14*IFERROR(VLOOKUP($A254,[3]库存使用数据!$A:$G,7,0),0)+IFERROR(VLOOKUP($A254,[4]库存使用数据!$A:$G,7,0),0)+IFERROR(VLOOKUP($A254,[5]库存使用数据!$A:$G,7,0),0)</f>
        <v>2.39</v>
      </c>
      <c r="H254" s="1">
        <f ca="1">IFERROR(VLOOKUP($A254,[1]库存使用数据!$A:$H,8,0),0)+IFERROR(VLOOKUP($A254,[2]库存使用数据!$A:$H,8,0),0)+IFERROR(VLOOKUP($A254,[3]库存使用数据!$A:$H,8,0),0)+IFERROR(VLOOKUP($A254,[4]库存使用数据!$A:$H,8,0),0)+IFERROR(VLOOKUP($A254,[5]库存使用数据!$A:$H,8,0),0)</f>
        <v>6252</v>
      </c>
      <c r="I254" s="1">
        <f ca="1">IFERROR(VLOOKUP($A254,[1]库存使用数据!$A:$I,9,0),0)+IFERROR(VLOOKUP($A254,[2]库存使用数据!$A:$I,9,0),0)+IFERROR(VLOOKUP($A254,[3]库存使用数据!$A:$I,9,0),0)+IFERROR(VLOOKUP($A254,[4]库存使用数据!$A:$I,9,0),0)+IFERROR(VLOOKUP($A254,[5]库存使用数据!$A:$I,9,0),0)</f>
        <v>57</v>
      </c>
      <c r="J254" s="1">
        <f ca="1">IFERROR(VLOOKUP($A254,[1]库存使用数据!$A:$J,10,0),0)+IFERROR(VLOOKUP($A254,[2]库存使用数据!$A:$J,10,0),0)+公式!$B$14*IFERROR(VLOOKUP($A254,[3]库存使用数据!$A:$J,10,0),0)+IFERROR(VLOOKUP($A254,[4]库存使用数据!$A:$J,10,0),0)+IFERROR(VLOOKUP($A254,[5]库存使用数据!$A:$J,10,0),0)</f>
        <v>3.78</v>
      </c>
      <c r="K254" s="1">
        <f ca="1">IFERROR(VLOOKUP($A254,[1]库存使用数据!$A:$K,11,0),0)+IFERROR(VLOOKUP($A254,[2]库存使用数据!$A:$K,11,0),0)+IFERROR(VLOOKUP($A254,[3]库存使用数据!$A:$K,11,0),0)+IFERROR(VLOOKUP($A254,[4]库存使用数据!$A:$K,11,0),0)+IFERROR(VLOOKUP($A254,[5]库存使用数据!$A:$K,11,0),0)</f>
        <v>3967</v>
      </c>
      <c r="L254" s="1">
        <f ca="1">IFERROR(VLOOKUP($A254,[1]库存使用数据!$A:$L,12,0),0)+IFERROR(VLOOKUP($A254,[2]库存使用数据!$A:$L,12,0),0)+IFERROR(VLOOKUP($A254,[3]库存使用数据!$A:$L,12,0),0)+IFERROR(VLOOKUP($A254,[4]库存使用数据!$A:$L,12,0),0)+IFERROR(VLOOKUP($A254,[5]库存使用数据!$A:$L,12,0),0)</f>
        <v>27</v>
      </c>
      <c r="M254" s="1">
        <f ca="1">IFERROR(VLOOKUP($A254,[1]库存使用数据!$A:$M,13,0),0)+IFERROR(VLOOKUP($A254,[2]库存使用数据!$A:$M,13,0),0)+公式!$B$14*IFERROR(VLOOKUP($A254,[3]库存使用数据!$A:$M,13,0),0)+IFERROR(VLOOKUP($A254,[4]库存使用数据!$A:$M,13,0),0)+IFERROR(VLOOKUP($A254,[5]库存使用数据!$A:$M,13,0),0)</f>
        <v>1.52</v>
      </c>
    </row>
    <row r="255" spans="1:13">
      <c r="A255" s="5" t="s">
        <v>260</v>
      </c>
      <c r="B255" s="2">
        <f ca="1">IFERROR(VLOOKUP(A255,[1]库存使用数据!$A:$B,2,0),0)+IFERROR(VLOOKUP(A255,[2]库存使用数据!$A:$B,2,0),0)+IFERROR(VLOOKUP(,[3]库存使用数据!$A:$B,2,0),0)+IFERROR(VLOOKUP(A255,[4]库存使用数据!$A:$B,2,0),0)+IFERROR(VLOOKUP(A255,[5]库存使用数据!$A:$B,2,0),0)</f>
        <v>0</v>
      </c>
      <c r="C255" s="1">
        <f ca="1">IFERROR(VLOOKUP($A255,[1]库存使用数据!$A:$C,3,0),0)+IFERROR(VLOOKUP($A255,[2]库存使用数据!$A:$C,3,0),0)+IFERROR(VLOOKUP($A255,[3]库存使用数据!$A:$C,3,0),0)+IFERROR(VLOOKUP($A255,[4]库存使用数据!$A:$C,3,0),0)+IFERROR(VLOOKUP($A255,[5]库存使用数据!$A:$C,3,0),0)</f>
        <v>11</v>
      </c>
      <c r="D255" s="1">
        <f ca="1">IFERROR(VLOOKUP($A255,[1]库存使用数据!$A:$D,4,0),0)+IFERROR(VLOOKUP($A255,[2]库存使用数据!$A:$D,4,0),0)+公式!$B$1*IFERROR(VLOOKUP($A255,[3]库存使用数据!$A:$D,4,0),0)+IFERROR(VLOOKUP($A255,[4]库存使用数据!$A:$D,4,0),0)+IFERROR(VLOOKUP($A255,[5]库存使用数据!$A:$D,4,0),0)</f>
        <v>0.93375</v>
      </c>
      <c r="E255" s="1">
        <f ca="1">IFERROR(VLOOKUP($A255,[1]库存使用数据!$A:$E,5,0),0)+IFERROR(VLOOKUP($A255,[2]库存使用数据!$A:$E,5,0),0)+IFERROR(VLOOKUP($A255,[3]库存使用数据!$A:$E,5,0),0)+IFERROR(VLOOKUP($A255,[4]库存使用数据!$A:$E,5,0),0)+IFERROR(VLOOKUP($A255,[5]库存使用数据!$A:$E,5,0),0)</f>
        <v>114266</v>
      </c>
      <c r="F255" s="1">
        <f ca="1">IFERROR(VLOOKUP($A255,[1]库存使用数据!$A:$F,6,0),0)+IFERROR(VLOOKUP($A255,[2]库存使用数据!$A:$F,6,0),0)+IFERROR(VLOOKUP($A255,[4]库存使用数据!$A:$F,6,0),0)+IFERROR(VLOOKUP($A255,[3]库存使用数据!$A:$F,6,0),0)+IFERROR(VLOOKUP($A255,[5]库存使用数据!$A:$F,6,0),0)</f>
        <v>864</v>
      </c>
      <c r="G255" s="1">
        <f ca="1">IFERROR(VLOOKUP($A255,[1]库存使用数据!$A:$G,7,0),0)+IFERROR(VLOOKUP($A255,[2]库存使用数据!$A:$G,7,0),0)+公式!$B$14*IFERROR(VLOOKUP($A255,[3]库存使用数据!$A:$G,7,0),0)+IFERROR(VLOOKUP($A255,[4]库存使用数据!$A:$G,7,0),0)+IFERROR(VLOOKUP($A255,[5]库存使用数据!$A:$G,7,0),0)</f>
        <v>129.26</v>
      </c>
      <c r="H255" s="1">
        <f ca="1">IFERROR(VLOOKUP($A255,[1]库存使用数据!$A:$H,8,0),0)+IFERROR(VLOOKUP($A255,[2]库存使用数据!$A:$H,8,0),0)+IFERROR(VLOOKUP($A255,[3]库存使用数据!$A:$H,8,0),0)+IFERROR(VLOOKUP($A255,[4]库存使用数据!$A:$H,8,0),0)+IFERROR(VLOOKUP($A255,[5]库存使用数据!$A:$H,8,0),0)</f>
        <v>34109</v>
      </c>
      <c r="I255" s="1">
        <f ca="1">IFERROR(VLOOKUP($A255,[1]库存使用数据!$A:$I,9,0),0)+IFERROR(VLOOKUP($A255,[2]库存使用数据!$A:$I,9,0),0)+IFERROR(VLOOKUP($A255,[3]库存使用数据!$A:$I,9,0),0)+IFERROR(VLOOKUP($A255,[4]库存使用数据!$A:$I,9,0),0)+IFERROR(VLOOKUP($A255,[5]库存使用数据!$A:$I,9,0),0)</f>
        <v>302</v>
      </c>
      <c r="J255" s="1">
        <f ca="1">IFERROR(VLOOKUP($A255,[1]库存使用数据!$A:$J,10,0),0)+IFERROR(VLOOKUP($A255,[2]库存使用数据!$A:$J,10,0),0)+公式!$B$14*IFERROR(VLOOKUP($A255,[3]库存使用数据!$A:$J,10,0),0)+IFERROR(VLOOKUP($A255,[4]库存使用数据!$A:$J,10,0),0)+IFERROR(VLOOKUP($A255,[5]库存使用数据!$A:$J,10,0),0)</f>
        <v>43.23</v>
      </c>
      <c r="K255" s="1">
        <f ca="1">IFERROR(VLOOKUP($A255,[1]库存使用数据!$A:$K,11,0),0)+IFERROR(VLOOKUP($A255,[2]库存使用数据!$A:$K,11,0),0)+IFERROR(VLOOKUP($A255,[3]库存使用数据!$A:$K,11,0),0)+IFERROR(VLOOKUP($A255,[4]库存使用数据!$A:$K,11,0),0)+IFERROR(VLOOKUP($A255,[5]库存使用数据!$A:$K,11,0),0)</f>
        <v>32035</v>
      </c>
      <c r="L255" s="1">
        <f ca="1">IFERROR(VLOOKUP($A255,[1]库存使用数据!$A:$L,12,0),0)+IFERROR(VLOOKUP($A255,[2]库存使用数据!$A:$L,12,0),0)+IFERROR(VLOOKUP($A255,[3]库存使用数据!$A:$L,12,0),0)+IFERROR(VLOOKUP($A255,[4]库存使用数据!$A:$L,12,0),0)+IFERROR(VLOOKUP($A255,[5]库存使用数据!$A:$L,12,0),0)</f>
        <v>483</v>
      </c>
      <c r="M255" s="1">
        <f ca="1">IFERROR(VLOOKUP($A255,[1]库存使用数据!$A:$M,13,0),0)+IFERROR(VLOOKUP($A255,[2]库存使用数据!$A:$M,13,0),0)+公式!$B$14*IFERROR(VLOOKUP($A255,[3]库存使用数据!$A:$M,13,0),0)+IFERROR(VLOOKUP($A255,[4]库存使用数据!$A:$M,13,0),0)+IFERROR(VLOOKUP($A255,[5]库存使用数据!$A:$M,13,0),0)</f>
        <v>67.88</v>
      </c>
    </row>
    <row r="256" spans="1:13">
      <c r="A256" s="5" t="s">
        <v>261</v>
      </c>
      <c r="B256" s="2">
        <f ca="1">IFERROR(VLOOKUP(A256,[1]库存使用数据!$A:$B,2,0),0)+IFERROR(VLOOKUP(A256,[2]库存使用数据!$A:$B,2,0),0)+IFERROR(VLOOKUP(,[3]库存使用数据!$A:$B,2,0),0)+IFERROR(VLOOKUP(A256,[4]库存使用数据!$A:$B,2,0),0)+IFERROR(VLOOKUP(A256,[5]库存使用数据!$A:$B,2,0),0)</f>
        <v>0</v>
      </c>
      <c r="C256" s="1">
        <f ca="1">IFERROR(VLOOKUP($A256,[1]库存使用数据!$A:$C,3,0),0)+IFERROR(VLOOKUP($A256,[2]库存使用数据!$A:$C,3,0),0)+IFERROR(VLOOKUP($A256,[3]库存使用数据!$A:$C,3,0),0)+IFERROR(VLOOKUP($A256,[4]库存使用数据!$A:$C,3,0),0)+IFERROR(VLOOKUP($A256,[5]库存使用数据!$A:$C,3,0),0)</f>
        <v>0</v>
      </c>
      <c r="D256" s="1">
        <f ca="1">IFERROR(VLOOKUP($A256,[1]库存使用数据!$A:$D,4,0),0)+IFERROR(VLOOKUP($A256,[2]库存使用数据!$A:$D,4,0),0)+公式!$B$1*IFERROR(VLOOKUP($A256,[3]库存使用数据!$A:$D,4,0),0)+IFERROR(VLOOKUP($A256,[4]库存使用数据!$A:$D,4,0),0)+IFERROR(VLOOKUP($A256,[5]库存使用数据!$A:$D,4,0),0)</f>
        <v>0</v>
      </c>
      <c r="E256" s="1">
        <f ca="1">IFERROR(VLOOKUP($A256,[1]库存使用数据!$A:$E,5,0),0)+IFERROR(VLOOKUP($A256,[2]库存使用数据!$A:$E,5,0),0)+IFERROR(VLOOKUP($A256,[3]库存使用数据!$A:$E,5,0),0)+IFERROR(VLOOKUP($A256,[4]库存使用数据!$A:$E,5,0),0)+IFERROR(VLOOKUP($A256,[5]库存使用数据!$A:$E,5,0),0)</f>
        <v>2722</v>
      </c>
      <c r="F256" s="1">
        <f ca="1">IFERROR(VLOOKUP($A256,[1]库存使用数据!$A:$F,6,0),0)+IFERROR(VLOOKUP($A256,[2]库存使用数据!$A:$F,6,0),0)+IFERROR(VLOOKUP($A256,[4]库存使用数据!$A:$F,6,0),0)+IFERROR(VLOOKUP($A256,[3]库存使用数据!$A:$F,6,0),0)+IFERROR(VLOOKUP($A256,[5]库存使用数据!$A:$F,6,0),0)</f>
        <v>10</v>
      </c>
      <c r="G256" s="1">
        <f ca="1">IFERROR(VLOOKUP($A256,[1]库存使用数据!$A:$G,7,0),0)+IFERROR(VLOOKUP($A256,[2]库存使用数据!$A:$G,7,0),0)+公式!$B$14*IFERROR(VLOOKUP($A256,[3]库存使用数据!$A:$G,7,0),0)+IFERROR(VLOOKUP($A256,[4]库存使用数据!$A:$G,7,0),0)+IFERROR(VLOOKUP($A256,[5]库存使用数据!$A:$G,7,0),0)</f>
        <v>1.82</v>
      </c>
      <c r="H256" s="1">
        <f ca="1">IFERROR(VLOOKUP($A256,[1]库存使用数据!$A:$H,8,0),0)+IFERROR(VLOOKUP($A256,[2]库存使用数据!$A:$H,8,0),0)+IFERROR(VLOOKUP($A256,[3]库存使用数据!$A:$H,8,0),0)+IFERROR(VLOOKUP($A256,[4]库存使用数据!$A:$H,8,0),0)+IFERROR(VLOOKUP($A256,[5]库存使用数据!$A:$H,8,0),0)</f>
        <v>495</v>
      </c>
      <c r="I256" s="1">
        <f ca="1">IFERROR(VLOOKUP($A256,[1]库存使用数据!$A:$I,9,0),0)+IFERROR(VLOOKUP($A256,[2]库存使用数据!$A:$I,9,0),0)+IFERROR(VLOOKUP($A256,[3]库存使用数据!$A:$I,9,0),0)+IFERROR(VLOOKUP($A256,[4]库存使用数据!$A:$I,9,0),0)+IFERROR(VLOOKUP($A256,[5]库存使用数据!$A:$I,9,0),0)</f>
        <v>2</v>
      </c>
      <c r="J256" s="1">
        <f ca="1">IFERROR(VLOOKUP($A256,[1]库存使用数据!$A:$J,10,0),0)+IFERROR(VLOOKUP($A256,[2]库存使用数据!$A:$J,10,0),0)+公式!$B$14*IFERROR(VLOOKUP($A256,[3]库存使用数据!$A:$J,10,0),0)+IFERROR(VLOOKUP($A256,[4]库存使用数据!$A:$J,10,0),0)+IFERROR(VLOOKUP($A256,[5]库存使用数据!$A:$J,10,0),0)</f>
        <v>0.43</v>
      </c>
      <c r="K256" s="1">
        <f ca="1">IFERROR(VLOOKUP($A256,[1]库存使用数据!$A:$K,11,0),0)+IFERROR(VLOOKUP($A256,[2]库存使用数据!$A:$K,11,0),0)+IFERROR(VLOOKUP($A256,[3]库存使用数据!$A:$K,11,0),0)+IFERROR(VLOOKUP($A256,[4]库存使用数据!$A:$K,11,0),0)+IFERROR(VLOOKUP($A256,[5]库存使用数据!$A:$K,11,0),0)</f>
        <v>210</v>
      </c>
      <c r="L256" s="1">
        <f ca="1">IFERROR(VLOOKUP($A256,[1]库存使用数据!$A:$L,12,0),0)+IFERROR(VLOOKUP($A256,[2]库存使用数据!$A:$L,12,0),0)+IFERROR(VLOOKUP($A256,[3]库存使用数据!$A:$L,12,0),0)+IFERROR(VLOOKUP($A256,[4]库存使用数据!$A:$L,12,0),0)+IFERROR(VLOOKUP($A256,[5]库存使用数据!$A:$L,12,0),0)</f>
        <v>2</v>
      </c>
      <c r="M256" s="1">
        <f ca="1">IFERROR(VLOOKUP($A256,[1]库存使用数据!$A:$M,13,0),0)+IFERROR(VLOOKUP($A256,[2]库存使用数据!$A:$M,13,0),0)+公式!$B$14*IFERROR(VLOOKUP($A256,[3]库存使用数据!$A:$M,13,0),0)+IFERROR(VLOOKUP($A256,[4]库存使用数据!$A:$M,13,0),0)+IFERROR(VLOOKUP($A256,[5]库存使用数据!$A:$M,13,0),0)</f>
        <v>0.25</v>
      </c>
    </row>
    <row r="257" spans="1:13">
      <c r="A257" s="5" t="s">
        <v>262</v>
      </c>
      <c r="B257" s="2">
        <f ca="1">IFERROR(VLOOKUP(A257,[1]库存使用数据!$A:$B,2,0),0)+IFERROR(VLOOKUP(A257,[2]库存使用数据!$A:$B,2,0),0)+IFERROR(VLOOKUP(,[3]库存使用数据!$A:$B,2,0),0)+IFERROR(VLOOKUP(A257,[4]库存使用数据!$A:$B,2,0),0)+IFERROR(VLOOKUP(A257,[5]库存使用数据!$A:$B,2,0),0)</f>
        <v>0</v>
      </c>
      <c r="C257" s="1">
        <f ca="1">IFERROR(VLOOKUP($A257,[1]库存使用数据!$A:$C,3,0),0)+IFERROR(VLOOKUP($A257,[2]库存使用数据!$A:$C,3,0),0)+IFERROR(VLOOKUP($A257,[3]库存使用数据!$A:$C,3,0),0)+IFERROR(VLOOKUP($A257,[4]库存使用数据!$A:$C,3,0),0)+IFERROR(VLOOKUP($A257,[5]库存使用数据!$A:$C,3,0),0)</f>
        <v>0</v>
      </c>
      <c r="D257" s="1">
        <f ca="1">IFERROR(VLOOKUP($A257,[1]库存使用数据!$A:$D,4,0),0)+IFERROR(VLOOKUP($A257,[2]库存使用数据!$A:$D,4,0),0)+公式!$B$1*IFERROR(VLOOKUP($A257,[3]库存使用数据!$A:$D,4,0),0)+IFERROR(VLOOKUP($A257,[4]库存使用数据!$A:$D,4,0),0)+IFERROR(VLOOKUP($A257,[5]库存使用数据!$A:$D,4,0),0)</f>
        <v>0</v>
      </c>
      <c r="E257" s="1">
        <f ca="1">IFERROR(VLOOKUP($A257,[1]库存使用数据!$A:$E,5,0),0)+IFERROR(VLOOKUP($A257,[2]库存使用数据!$A:$E,5,0),0)+IFERROR(VLOOKUP($A257,[3]库存使用数据!$A:$E,5,0),0)+IFERROR(VLOOKUP($A257,[4]库存使用数据!$A:$E,5,0),0)+IFERROR(VLOOKUP($A257,[5]库存使用数据!$A:$E,5,0),0)</f>
        <v>290</v>
      </c>
      <c r="F257" s="1">
        <f ca="1">IFERROR(VLOOKUP($A257,[1]库存使用数据!$A:$F,6,0),0)+IFERROR(VLOOKUP($A257,[2]库存使用数据!$A:$F,6,0),0)+IFERROR(VLOOKUP($A257,[4]库存使用数据!$A:$F,6,0),0)+IFERROR(VLOOKUP($A257,[3]库存使用数据!$A:$F,6,0),0)+IFERROR(VLOOKUP($A257,[5]库存使用数据!$A:$F,6,0),0)</f>
        <v>0</v>
      </c>
      <c r="G257" s="1">
        <f ca="1">IFERROR(VLOOKUP($A257,[1]库存使用数据!$A:$G,7,0),0)+IFERROR(VLOOKUP($A257,[2]库存使用数据!$A:$G,7,0),0)+公式!$B$14*IFERROR(VLOOKUP($A257,[3]库存使用数据!$A:$G,7,0),0)+IFERROR(VLOOKUP($A257,[4]库存使用数据!$A:$G,7,0),0)+IFERROR(VLOOKUP($A257,[5]库存使用数据!$A:$G,7,0),0)</f>
        <v>0</v>
      </c>
      <c r="H257" s="1">
        <f ca="1">IFERROR(VLOOKUP($A257,[1]库存使用数据!$A:$H,8,0),0)+IFERROR(VLOOKUP($A257,[2]库存使用数据!$A:$H,8,0),0)+IFERROR(VLOOKUP($A257,[3]库存使用数据!$A:$H,8,0),0)+IFERROR(VLOOKUP($A257,[4]库存使用数据!$A:$H,8,0),0)+IFERROR(VLOOKUP($A257,[5]库存使用数据!$A:$H,8,0),0)</f>
        <v>235</v>
      </c>
      <c r="I257" s="1">
        <f ca="1">IFERROR(VLOOKUP($A257,[1]库存使用数据!$A:$I,9,0),0)+IFERROR(VLOOKUP($A257,[2]库存使用数据!$A:$I,9,0),0)+IFERROR(VLOOKUP($A257,[3]库存使用数据!$A:$I,9,0),0)+IFERROR(VLOOKUP($A257,[4]库存使用数据!$A:$I,9,0),0)+IFERROR(VLOOKUP($A257,[5]库存使用数据!$A:$I,9,0),0)</f>
        <v>0</v>
      </c>
      <c r="J257" s="1">
        <f ca="1">IFERROR(VLOOKUP($A257,[1]库存使用数据!$A:$J,10,0),0)+IFERROR(VLOOKUP($A257,[2]库存使用数据!$A:$J,10,0),0)+公式!$B$14*IFERROR(VLOOKUP($A257,[3]库存使用数据!$A:$J,10,0),0)+IFERROR(VLOOKUP($A257,[4]库存使用数据!$A:$J,10,0),0)+IFERROR(VLOOKUP($A257,[5]库存使用数据!$A:$J,10,0),0)</f>
        <v>0</v>
      </c>
      <c r="K257" s="1">
        <f ca="1">IFERROR(VLOOKUP($A257,[1]库存使用数据!$A:$K,11,0),0)+IFERROR(VLOOKUP($A257,[2]库存使用数据!$A:$K,11,0),0)+IFERROR(VLOOKUP($A257,[3]库存使用数据!$A:$K,11,0),0)+IFERROR(VLOOKUP($A257,[4]库存使用数据!$A:$K,11,0),0)+IFERROR(VLOOKUP($A257,[5]库存使用数据!$A:$K,11,0),0)</f>
        <v>394</v>
      </c>
      <c r="L257" s="1">
        <f ca="1">IFERROR(VLOOKUP($A257,[1]库存使用数据!$A:$L,12,0),0)+IFERROR(VLOOKUP($A257,[2]库存使用数据!$A:$L,12,0),0)+IFERROR(VLOOKUP($A257,[3]库存使用数据!$A:$L,12,0),0)+IFERROR(VLOOKUP($A257,[4]库存使用数据!$A:$L,12,0),0)+IFERROR(VLOOKUP($A257,[5]库存使用数据!$A:$L,12,0),0)</f>
        <v>0</v>
      </c>
      <c r="M257" s="1">
        <f ca="1">IFERROR(VLOOKUP($A257,[1]库存使用数据!$A:$M,13,0),0)+IFERROR(VLOOKUP($A257,[2]库存使用数据!$A:$M,13,0),0)+公式!$B$14*IFERROR(VLOOKUP($A257,[3]库存使用数据!$A:$M,13,0),0)+IFERROR(VLOOKUP($A257,[4]库存使用数据!$A:$M,13,0),0)+IFERROR(VLOOKUP($A257,[5]库存使用数据!$A:$M,13,0),0)</f>
        <v>0</v>
      </c>
    </row>
    <row r="258" spans="1:13">
      <c r="A258" s="5" t="s">
        <v>263</v>
      </c>
      <c r="B258" s="2">
        <f ca="1">IFERROR(VLOOKUP(A258,[1]库存使用数据!$A:$B,2,0),0)+IFERROR(VLOOKUP(A258,[2]库存使用数据!$A:$B,2,0),0)+IFERROR(VLOOKUP(,[3]库存使用数据!$A:$B,2,0),0)+IFERROR(VLOOKUP(A258,[4]库存使用数据!$A:$B,2,0),0)+IFERROR(VLOOKUP(A258,[5]库存使用数据!$A:$B,2,0),0)</f>
        <v>0</v>
      </c>
      <c r="C258" s="1">
        <f ca="1">IFERROR(VLOOKUP($A258,[1]库存使用数据!$A:$C,3,0),0)+IFERROR(VLOOKUP($A258,[2]库存使用数据!$A:$C,3,0),0)+IFERROR(VLOOKUP($A258,[3]库存使用数据!$A:$C,3,0),0)+IFERROR(VLOOKUP($A258,[4]库存使用数据!$A:$C,3,0),0)+IFERROR(VLOOKUP($A258,[5]库存使用数据!$A:$C,3,0),0)</f>
        <v>0</v>
      </c>
      <c r="D258" s="1">
        <f ca="1">IFERROR(VLOOKUP($A258,[1]库存使用数据!$A:$D,4,0),0)+IFERROR(VLOOKUP($A258,[2]库存使用数据!$A:$D,4,0),0)+公式!$B$1*IFERROR(VLOOKUP($A258,[3]库存使用数据!$A:$D,4,0),0)+IFERROR(VLOOKUP($A258,[4]库存使用数据!$A:$D,4,0),0)+IFERROR(VLOOKUP($A258,[5]库存使用数据!$A:$D,4,0),0)</f>
        <v>0</v>
      </c>
      <c r="E258" s="1">
        <f ca="1">IFERROR(VLOOKUP($A258,[1]库存使用数据!$A:$E,5,0),0)+IFERROR(VLOOKUP($A258,[2]库存使用数据!$A:$E,5,0),0)+IFERROR(VLOOKUP($A258,[3]库存使用数据!$A:$E,5,0),0)+IFERROR(VLOOKUP($A258,[4]库存使用数据!$A:$E,5,0),0)+IFERROR(VLOOKUP($A258,[5]库存使用数据!$A:$E,5,0),0)</f>
        <v>106194</v>
      </c>
      <c r="F258" s="1">
        <f ca="1">IFERROR(VLOOKUP($A258,[1]库存使用数据!$A:$F,6,0),0)+IFERROR(VLOOKUP($A258,[2]库存使用数据!$A:$F,6,0),0)+IFERROR(VLOOKUP($A258,[4]库存使用数据!$A:$F,6,0),0)+IFERROR(VLOOKUP($A258,[3]库存使用数据!$A:$F,6,0),0)+IFERROR(VLOOKUP($A258,[5]库存使用数据!$A:$F,6,0),0)</f>
        <v>464</v>
      </c>
      <c r="G258" s="1">
        <f ca="1">IFERROR(VLOOKUP($A258,[1]库存使用数据!$A:$G,7,0),0)+IFERROR(VLOOKUP($A258,[2]库存使用数据!$A:$G,7,0),0)+公式!$B$14*IFERROR(VLOOKUP($A258,[3]库存使用数据!$A:$G,7,0),0)+IFERROR(VLOOKUP($A258,[4]库存使用数据!$A:$G,7,0),0)+IFERROR(VLOOKUP($A258,[5]库存使用数据!$A:$G,7,0),0)</f>
        <v>87.58</v>
      </c>
      <c r="H258" s="1">
        <f ca="1">IFERROR(VLOOKUP($A258,[1]库存使用数据!$A:$H,8,0),0)+IFERROR(VLOOKUP($A258,[2]库存使用数据!$A:$H,8,0),0)+IFERROR(VLOOKUP($A258,[3]库存使用数据!$A:$H,8,0),0)+IFERROR(VLOOKUP($A258,[4]库存使用数据!$A:$H,8,0),0)+IFERROR(VLOOKUP($A258,[5]库存使用数据!$A:$H,8,0),0)</f>
        <v>2737</v>
      </c>
      <c r="I258" s="1">
        <f ca="1">IFERROR(VLOOKUP($A258,[1]库存使用数据!$A:$I,9,0),0)+IFERROR(VLOOKUP($A258,[2]库存使用数据!$A:$I,9,0),0)+IFERROR(VLOOKUP($A258,[3]库存使用数据!$A:$I,9,0),0)+IFERROR(VLOOKUP($A258,[4]库存使用数据!$A:$I,9,0),0)+IFERROR(VLOOKUP($A258,[5]库存使用数据!$A:$I,9,0),0)</f>
        <v>53</v>
      </c>
      <c r="J258" s="1">
        <f ca="1">IFERROR(VLOOKUP($A258,[1]库存使用数据!$A:$J,10,0),0)+IFERROR(VLOOKUP($A258,[2]库存使用数据!$A:$J,10,0),0)+公式!$B$14*IFERROR(VLOOKUP($A258,[3]库存使用数据!$A:$J,10,0),0)+IFERROR(VLOOKUP($A258,[4]库存使用数据!$A:$J,10,0),0)+IFERROR(VLOOKUP($A258,[5]库存使用数据!$A:$J,10,0),0)</f>
        <v>11.07</v>
      </c>
      <c r="K258" s="1">
        <f ca="1">IFERROR(VLOOKUP($A258,[1]库存使用数据!$A:$K,11,0),0)+IFERROR(VLOOKUP($A258,[2]库存使用数据!$A:$K,11,0),0)+IFERROR(VLOOKUP($A258,[3]库存使用数据!$A:$K,11,0),0)+IFERROR(VLOOKUP($A258,[4]库存使用数据!$A:$K,11,0),0)+IFERROR(VLOOKUP($A258,[5]库存使用数据!$A:$K,11,0),0)</f>
        <v>9947</v>
      </c>
      <c r="L258" s="1">
        <f ca="1">IFERROR(VLOOKUP($A258,[1]库存使用数据!$A:$L,12,0),0)+IFERROR(VLOOKUP($A258,[2]库存使用数据!$A:$L,12,0),0)+IFERROR(VLOOKUP($A258,[3]库存使用数据!$A:$L,12,0),0)+IFERROR(VLOOKUP($A258,[4]库存使用数据!$A:$L,12,0),0)+IFERROR(VLOOKUP($A258,[5]库存使用数据!$A:$L,12,0),0)</f>
        <v>98</v>
      </c>
      <c r="M258" s="1">
        <f ca="1">IFERROR(VLOOKUP($A258,[1]库存使用数据!$A:$M,13,0),0)+IFERROR(VLOOKUP($A258,[2]库存使用数据!$A:$M,13,0),0)+公式!$B$14*IFERROR(VLOOKUP($A258,[3]库存使用数据!$A:$M,13,0),0)+IFERROR(VLOOKUP($A258,[4]库存使用数据!$A:$M,13,0),0)+IFERROR(VLOOKUP($A258,[5]库存使用数据!$A:$M,13,0),0)</f>
        <v>21.59</v>
      </c>
    </row>
    <row r="259" spans="1:13">
      <c r="A259" s="5" t="s">
        <v>264</v>
      </c>
      <c r="B259" s="2">
        <f ca="1">IFERROR(VLOOKUP(A259,[1]库存使用数据!$A:$B,2,0),0)+IFERROR(VLOOKUP(A259,[2]库存使用数据!$A:$B,2,0),0)+IFERROR(VLOOKUP(,[3]库存使用数据!$A:$B,2,0),0)+IFERROR(VLOOKUP(A259,[4]库存使用数据!$A:$B,2,0),0)+IFERROR(VLOOKUP(A259,[5]库存使用数据!$A:$B,2,0),0)</f>
        <v>0</v>
      </c>
      <c r="C259" s="1">
        <f ca="1">IFERROR(VLOOKUP($A259,[1]库存使用数据!$A:$C,3,0),0)+IFERROR(VLOOKUP($A259,[2]库存使用数据!$A:$C,3,0),0)+IFERROR(VLOOKUP($A259,[3]库存使用数据!$A:$C,3,0),0)+IFERROR(VLOOKUP($A259,[4]库存使用数据!$A:$C,3,0),0)+IFERROR(VLOOKUP($A259,[5]库存使用数据!$A:$C,3,0),0)</f>
        <v>0</v>
      </c>
      <c r="D259" s="1">
        <f ca="1">IFERROR(VLOOKUP($A259,[1]库存使用数据!$A:$D,4,0),0)+IFERROR(VLOOKUP($A259,[2]库存使用数据!$A:$D,4,0),0)+公式!$B$1*IFERROR(VLOOKUP($A259,[3]库存使用数据!$A:$D,4,0),0)+IFERROR(VLOOKUP($A259,[4]库存使用数据!$A:$D,4,0),0)+IFERROR(VLOOKUP($A259,[5]库存使用数据!$A:$D,4,0),0)</f>
        <v>0</v>
      </c>
      <c r="E259" s="1">
        <f ca="1">IFERROR(VLOOKUP($A259,[1]库存使用数据!$A:$E,5,0),0)+IFERROR(VLOOKUP($A259,[2]库存使用数据!$A:$E,5,0),0)+IFERROR(VLOOKUP($A259,[3]库存使用数据!$A:$E,5,0),0)+IFERROR(VLOOKUP($A259,[4]库存使用数据!$A:$E,5,0),0)+IFERROR(VLOOKUP($A259,[5]库存使用数据!$A:$E,5,0),0)</f>
        <v>86826</v>
      </c>
      <c r="F259" s="1">
        <f ca="1">IFERROR(VLOOKUP($A259,[1]库存使用数据!$A:$F,6,0),0)+IFERROR(VLOOKUP($A259,[2]库存使用数据!$A:$F,6,0),0)+IFERROR(VLOOKUP($A259,[4]库存使用数据!$A:$F,6,0),0)+IFERROR(VLOOKUP($A259,[3]库存使用数据!$A:$F,6,0),0)+IFERROR(VLOOKUP($A259,[5]库存使用数据!$A:$F,6,0),0)</f>
        <v>288</v>
      </c>
      <c r="G259" s="1">
        <f ca="1">IFERROR(VLOOKUP($A259,[1]库存使用数据!$A:$G,7,0),0)+IFERROR(VLOOKUP($A259,[2]库存使用数据!$A:$G,7,0),0)+公式!$B$14*IFERROR(VLOOKUP($A259,[3]库存使用数据!$A:$G,7,0),0)+IFERROR(VLOOKUP($A259,[4]库存使用数据!$A:$G,7,0),0)+IFERROR(VLOOKUP($A259,[5]库存使用数据!$A:$G,7,0),0)</f>
        <v>46.7</v>
      </c>
      <c r="H259" s="1">
        <f ca="1">IFERROR(VLOOKUP($A259,[1]库存使用数据!$A:$H,8,0),0)+IFERROR(VLOOKUP($A259,[2]库存使用数据!$A:$H,8,0),0)+IFERROR(VLOOKUP($A259,[3]库存使用数据!$A:$H,8,0),0)+IFERROR(VLOOKUP($A259,[4]库存使用数据!$A:$H,8,0),0)+IFERROR(VLOOKUP($A259,[5]库存使用数据!$A:$H,8,0),0)</f>
        <v>555</v>
      </c>
      <c r="I259" s="1">
        <f ca="1">IFERROR(VLOOKUP($A259,[1]库存使用数据!$A:$I,9,0),0)+IFERROR(VLOOKUP($A259,[2]库存使用数据!$A:$I,9,0),0)+IFERROR(VLOOKUP($A259,[3]库存使用数据!$A:$I,9,0),0)+IFERROR(VLOOKUP($A259,[4]库存使用数据!$A:$I,9,0),0)+IFERROR(VLOOKUP($A259,[5]库存使用数据!$A:$I,9,0),0)</f>
        <v>6</v>
      </c>
      <c r="J259" s="1">
        <f ca="1">IFERROR(VLOOKUP($A259,[1]库存使用数据!$A:$J,10,0),0)+IFERROR(VLOOKUP($A259,[2]库存使用数据!$A:$J,10,0),0)+公式!$B$14*IFERROR(VLOOKUP($A259,[3]库存使用数据!$A:$J,10,0),0)+IFERROR(VLOOKUP($A259,[4]库存使用数据!$A:$J,10,0),0)+IFERROR(VLOOKUP($A259,[5]库存使用数据!$A:$J,10,0),0)</f>
        <v>0.89</v>
      </c>
      <c r="K259" s="1">
        <f ca="1">IFERROR(VLOOKUP($A259,[1]库存使用数据!$A:$K,11,0),0)+IFERROR(VLOOKUP($A259,[2]库存使用数据!$A:$K,11,0),0)+IFERROR(VLOOKUP($A259,[3]库存使用数据!$A:$K,11,0),0)+IFERROR(VLOOKUP($A259,[4]库存使用数据!$A:$K,11,0),0)+IFERROR(VLOOKUP($A259,[5]库存使用数据!$A:$K,11,0),0)</f>
        <v>813</v>
      </c>
      <c r="L259" s="1">
        <f ca="1">IFERROR(VLOOKUP($A259,[1]库存使用数据!$A:$L,12,0),0)+IFERROR(VLOOKUP($A259,[2]库存使用数据!$A:$L,12,0),0)+IFERROR(VLOOKUP($A259,[3]库存使用数据!$A:$L,12,0),0)+IFERROR(VLOOKUP($A259,[4]库存使用数据!$A:$L,12,0),0)+IFERROR(VLOOKUP($A259,[5]库存使用数据!$A:$L,12,0),0)</f>
        <v>5</v>
      </c>
      <c r="M259" s="1">
        <f ca="1">IFERROR(VLOOKUP($A259,[1]库存使用数据!$A:$M,13,0),0)+IFERROR(VLOOKUP($A259,[2]库存使用数据!$A:$M,13,0),0)+公式!$B$14*IFERROR(VLOOKUP($A259,[3]库存使用数据!$A:$M,13,0),0)+IFERROR(VLOOKUP($A259,[4]库存使用数据!$A:$M,13,0),0)+IFERROR(VLOOKUP($A259,[5]库存使用数据!$A:$M,13,0),0)</f>
        <v>0.82</v>
      </c>
    </row>
    <row r="260" spans="1:13">
      <c r="A260" s="5" t="s">
        <v>265</v>
      </c>
      <c r="B260" s="2">
        <f ca="1">IFERROR(VLOOKUP(A260,[1]库存使用数据!$A:$B,2,0),0)+IFERROR(VLOOKUP(A260,[2]库存使用数据!$A:$B,2,0),0)+IFERROR(VLOOKUP(,[3]库存使用数据!$A:$B,2,0),0)+IFERROR(VLOOKUP(A260,[4]库存使用数据!$A:$B,2,0),0)+IFERROR(VLOOKUP(A260,[5]库存使用数据!$A:$B,2,0),0)</f>
        <v>0</v>
      </c>
      <c r="C260" s="1">
        <f ca="1">IFERROR(VLOOKUP($A260,[1]库存使用数据!$A:$C,3,0),0)+IFERROR(VLOOKUP($A260,[2]库存使用数据!$A:$C,3,0),0)+IFERROR(VLOOKUP($A260,[3]库存使用数据!$A:$C,3,0),0)+IFERROR(VLOOKUP($A260,[4]库存使用数据!$A:$C,3,0),0)+IFERROR(VLOOKUP($A260,[5]库存使用数据!$A:$C,3,0),0)</f>
        <v>0</v>
      </c>
      <c r="D260" s="1">
        <f ca="1">IFERROR(VLOOKUP($A260,[1]库存使用数据!$A:$D,4,0),0)+IFERROR(VLOOKUP($A260,[2]库存使用数据!$A:$D,4,0),0)+公式!$B$1*IFERROR(VLOOKUP($A260,[3]库存使用数据!$A:$D,4,0),0)+IFERROR(VLOOKUP($A260,[4]库存使用数据!$A:$D,4,0),0)+IFERROR(VLOOKUP($A260,[5]库存使用数据!$A:$D,4,0),0)</f>
        <v>0</v>
      </c>
      <c r="E260" s="1">
        <f ca="1">IFERROR(VLOOKUP($A260,[1]库存使用数据!$A:$E,5,0),0)+IFERROR(VLOOKUP($A260,[2]库存使用数据!$A:$E,5,0),0)+IFERROR(VLOOKUP($A260,[3]库存使用数据!$A:$E,5,0),0)+IFERROR(VLOOKUP($A260,[4]库存使用数据!$A:$E,5,0),0)+IFERROR(VLOOKUP($A260,[5]库存使用数据!$A:$E,5,0),0)</f>
        <v>68784</v>
      </c>
      <c r="F260" s="1">
        <f ca="1">IFERROR(VLOOKUP($A260,[1]库存使用数据!$A:$F,6,0),0)+IFERROR(VLOOKUP($A260,[2]库存使用数据!$A:$F,6,0),0)+IFERROR(VLOOKUP($A260,[4]库存使用数据!$A:$F,6,0),0)+IFERROR(VLOOKUP($A260,[3]库存使用数据!$A:$F,6,0),0)+IFERROR(VLOOKUP($A260,[5]库存使用数据!$A:$F,6,0),0)</f>
        <v>364</v>
      </c>
      <c r="G260" s="1">
        <f ca="1">IFERROR(VLOOKUP($A260,[1]库存使用数据!$A:$G,7,0),0)+IFERROR(VLOOKUP($A260,[2]库存使用数据!$A:$G,7,0),0)+公式!$B$14*IFERROR(VLOOKUP($A260,[3]库存使用数据!$A:$G,7,0),0)+IFERROR(VLOOKUP($A260,[4]库存使用数据!$A:$G,7,0),0)+IFERROR(VLOOKUP($A260,[5]库存使用数据!$A:$G,7,0),0)</f>
        <v>65</v>
      </c>
      <c r="H260" s="1">
        <f ca="1">IFERROR(VLOOKUP($A260,[1]库存使用数据!$A:$H,8,0),0)+IFERROR(VLOOKUP($A260,[2]库存使用数据!$A:$H,8,0),0)+IFERROR(VLOOKUP($A260,[3]库存使用数据!$A:$H,8,0),0)+IFERROR(VLOOKUP($A260,[4]库存使用数据!$A:$H,8,0),0)+IFERROR(VLOOKUP($A260,[5]库存使用数据!$A:$H,8,0),0)</f>
        <v>4131</v>
      </c>
      <c r="I260" s="1">
        <f ca="1">IFERROR(VLOOKUP($A260,[1]库存使用数据!$A:$I,9,0),0)+IFERROR(VLOOKUP($A260,[2]库存使用数据!$A:$I,9,0),0)+IFERROR(VLOOKUP($A260,[3]库存使用数据!$A:$I,9,0),0)+IFERROR(VLOOKUP($A260,[4]库存使用数据!$A:$I,9,0),0)+IFERROR(VLOOKUP($A260,[5]库存使用数据!$A:$I,9,0),0)</f>
        <v>24</v>
      </c>
      <c r="J260" s="1">
        <f ca="1">IFERROR(VLOOKUP($A260,[1]库存使用数据!$A:$J,10,0),0)+IFERROR(VLOOKUP($A260,[2]库存使用数据!$A:$J,10,0),0)+公式!$B$14*IFERROR(VLOOKUP($A260,[3]库存使用数据!$A:$J,10,0),0)+IFERROR(VLOOKUP($A260,[4]库存使用数据!$A:$J,10,0),0)+IFERROR(VLOOKUP($A260,[5]库存使用数据!$A:$J,10,0),0)</f>
        <v>3.96</v>
      </c>
      <c r="K260" s="1">
        <f ca="1">IFERROR(VLOOKUP($A260,[1]库存使用数据!$A:$K,11,0),0)+IFERROR(VLOOKUP($A260,[2]库存使用数据!$A:$K,11,0),0)+IFERROR(VLOOKUP($A260,[3]库存使用数据!$A:$K,11,0),0)+IFERROR(VLOOKUP($A260,[4]库存使用数据!$A:$K,11,0),0)+IFERROR(VLOOKUP($A260,[5]库存使用数据!$A:$K,11,0),0)</f>
        <v>9791</v>
      </c>
      <c r="L260" s="1">
        <f ca="1">IFERROR(VLOOKUP($A260,[1]库存使用数据!$A:$L,12,0),0)+IFERROR(VLOOKUP($A260,[2]库存使用数据!$A:$L,12,0),0)+IFERROR(VLOOKUP($A260,[3]库存使用数据!$A:$L,12,0),0)+IFERROR(VLOOKUP($A260,[4]库存使用数据!$A:$L,12,0),0)+IFERROR(VLOOKUP($A260,[5]库存使用数据!$A:$L,12,0),0)</f>
        <v>51</v>
      </c>
      <c r="M260" s="1">
        <f ca="1">IFERROR(VLOOKUP($A260,[1]库存使用数据!$A:$M,13,0),0)+IFERROR(VLOOKUP($A260,[2]库存使用数据!$A:$M,13,0),0)+公式!$B$14*IFERROR(VLOOKUP($A260,[3]库存使用数据!$A:$M,13,0),0)+IFERROR(VLOOKUP($A260,[4]库存使用数据!$A:$M,13,0),0)+IFERROR(VLOOKUP($A260,[5]库存使用数据!$A:$M,13,0),0)</f>
        <v>9.69</v>
      </c>
    </row>
    <row r="261" spans="1:13">
      <c r="A261" s="5" t="s">
        <v>266</v>
      </c>
      <c r="B261" s="2">
        <f ca="1">IFERROR(VLOOKUP(A261,[1]库存使用数据!$A:$B,2,0),0)+IFERROR(VLOOKUP(A261,[2]库存使用数据!$A:$B,2,0),0)+IFERROR(VLOOKUP(,[3]库存使用数据!$A:$B,2,0),0)+IFERROR(VLOOKUP(A261,[4]库存使用数据!$A:$B,2,0),0)+IFERROR(VLOOKUP(A261,[5]库存使用数据!$A:$B,2,0),0)</f>
        <v>0</v>
      </c>
      <c r="C261" s="1">
        <f ca="1">IFERROR(VLOOKUP($A261,[1]库存使用数据!$A:$C,3,0),0)+IFERROR(VLOOKUP($A261,[2]库存使用数据!$A:$C,3,0),0)+IFERROR(VLOOKUP($A261,[3]库存使用数据!$A:$C,3,0),0)+IFERROR(VLOOKUP($A261,[4]库存使用数据!$A:$C,3,0),0)+IFERROR(VLOOKUP($A261,[5]库存使用数据!$A:$C,3,0),0)</f>
        <v>0</v>
      </c>
      <c r="D261" s="1">
        <f ca="1">IFERROR(VLOOKUP($A261,[1]库存使用数据!$A:$D,4,0),0)+IFERROR(VLOOKUP($A261,[2]库存使用数据!$A:$D,4,0),0)+公式!$B$1*IFERROR(VLOOKUP($A261,[3]库存使用数据!$A:$D,4,0),0)+IFERROR(VLOOKUP($A261,[4]库存使用数据!$A:$D,4,0),0)+IFERROR(VLOOKUP($A261,[5]库存使用数据!$A:$D,4,0),0)</f>
        <v>0</v>
      </c>
      <c r="E261" s="1">
        <f ca="1">IFERROR(VLOOKUP($A261,[1]库存使用数据!$A:$E,5,0),0)+IFERROR(VLOOKUP($A261,[2]库存使用数据!$A:$E,5,0),0)+IFERROR(VLOOKUP($A261,[3]库存使用数据!$A:$E,5,0),0)+IFERROR(VLOOKUP($A261,[4]库存使用数据!$A:$E,5,0),0)+IFERROR(VLOOKUP($A261,[5]库存使用数据!$A:$E,5,0),0)</f>
        <v>0</v>
      </c>
      <c r="F261" s="1">
        <f ca="1">IFERROR(VLOOKUP($A261,[1]库存使用数据!$A:$F,6,0),0)+IFERROR(VLOOKUP($A261,[2]库存使用数据!$A:$F,6,0),0)+IFERROR(VLOOKUP($A261,[4]库存使用数据!$A:$F,6,0),0)+IFERROR(VLOOKUP($A261,[3]库存使用数据!$A:$F,6,0),0)+IFERROR(VLOOKUP($A261,[5]库存使用数据!$A:$F,6,0),0)</f>
        <v>0</v>
      </c>
      <c r="G261" s="1">
        <f ca="1">IFERROR(VLOOKUP($A261,[1]库存使用数据!$A:$G,7,0),0)+IFERROR(VLOOKUP($A261,[2]库存使用数据!$A:$G,7,0),0)+公式!$B$14*IFERROR(VLOOKUP($A261,[3]库存使用数据!$A:$G,7,0),0)+IFERROR(VLOOKUP($A261,[4]库存使用数据!$A:$G,7,0),0)+IFERROR(VLOOKUP($A261,[5]库存使用数据!$A:$G,7,0),0)</f>
        <v>0</v>
      </c>
      <c r="H261" s="1">
        <f ca="1">IFERROR(VLOOKUP($A261,[1]库存使用数据!$A:$H,8,0),0)+IFERROR(VLOOKUP($A261,[2]库存使用数据!$A:$H,8,0),0)+IFERROR(VLOOKUP($A261,[3]库存使用数据!$A:$H,8,0),0)+IFERROR(VLOOKUP($A261,[4]库存使用数据!$A:$H,8,0),0)+IFERROR(VLOOKUP($A261,[5]库存使用数据!$A:$H,8,0),0)</f>
        <v>4856</v>
      </c>
      <c r="I261" s="1">
        <f ca="1">IFERROR(VLOOKUP($A261,[1]库存使用数据!$A:$I,9,0),0)+IFERROR(VLOOKUP($A261,[2]库存使用数据!$A:$I,9,0),0)+IFERROR(VLOOKUP($A261,[3]库存使用数据!$A:$I,9,0),0)+IFERROR(VLOOKUP($A261,[4]库存使用数据!$A:$I,9,0),0)+IFERROR(VLOOKUP($A261,[5]库存使用数据!$A:$I,9,0),0)</f>
        <v>30</v>
      </c>
      <c r="J261" s="1">
        <f ca="1">IFERROR(VLOOKUP($A261,[1]库存使用数据!$A:$J,10,0),0)+IFERROR(VLOOKUP($A261,[2]库存使用数据!$A:$J,10,0),0)+公式!$B$14*IFERROR(VLOOKUP($A261,[3]库存使用数据!$A:$J,10,0),0)+IFERROR(VLOOKUP($A261,[4]库存使用数据!$A:$J,10,0),0)+IFERROR(VLOOKUP($A261,[5]库存使用数据!$A:$J,10,0),0)</f>
        <v>5.76</v>
      </c>
      <c r="K261" s="1">
        <f ca="1">IFERROR(VLOOKUP($A261,[1]库存使用数据!$A:$K,11,0),0)+IFERROR(VLOOKUP($A261,[2]库存使用数据!$A:$K,11,0),0)+IFERROR(VLOOKUP($A261,[3]库存使用数据!$A:$K,11,0),0)+IFERROR(VLOOKUP($A261,[4]库存使用数据!$A:$K,11,0),0)+IFERROR(VLOOKUP($A261,[5]库存使用数据!$A:$K,11,0),0)</f>
        <v>6926</v>
      </c>
      <c r="L261" s="1">
        <f ca="1">IFERROR(VLOOKUP($A261,[1]库存使用数据!$A:$L,12,0),0)+IFERROR(VLOOKUP($A261,[2]库存使用数据!$A:$L,12,0),0)+IFERROR(VLOOKUP($A261,[3]库存使用数据!$A:$L,12,0),0)+IFERROR(VLOOKUP($A261,[4]库存使用数据!$A:$L,12,0),0)+IFERROR(VLOOKUP($A261,[5]库存使用数据!$A:$L,12,0),0)</f>
        <v>42</v>
      </c>
      <c r="M261" s="1">
        <f ca="1">IFERROR(VLOOKUP($A261,[1]库存使用数据!$A:$M,13,0),0)+IFERROR(VLOOKUP($A261,[2]库存使用数据!$A:$M,13,0),0)+公式!$B$14*IFERROR(VLOOKUP($A261,[3]库存使用数据!$A:$M,13,0),0)+IFERROR(VLOOKUP($A261,[4]库存使用数据!$A:$M,13,0),0)+IFERROR(VLOOKUP($A261,[5]库存使用数据!$A:$M,13,0),0)</f>
        <v>7.3</v>
      </c>
    </row>
    <row r="262" spans="1:13">
      <c r="A262" s="5" t="s">
        <v>267</v>
      </c>
      <c r="B262" s="2">
        <f ca="1">IFERROR(VLOOKUP(A262,[1]库存使用数据!$A:$B,2,0),0)+IFERROR(VLOOKUP(A262,[2]库存使用数据!$A:$B,2,0),0)+IFERROR(VLOOKUP(,[3]库存使用数据!$A:$B,2,0),0)+IFERROR(VLOOKUP(A262,[4]库存使用数据!$A:$B,2,0),0)+IFERROR(VLOOKUP(A262,[5]库存使用数据!$A:$B,2,0),0)</f>
        <v>8</v>
      </c>
      <c r="C262" s="1">
        <f ca="1">IFERROR(VLOOKUP($A262,[1]库存使用数据!$A:$C,3,0),0)+IFERROR(VLOOKUP($A262,[2]库存使用数据!$A:$C,3,0),0)+IFERROR(VLOOKUP($A262,[3]库存使用数据!$A:$C,3,0),0)+IFERROR(VLOOKUP($A262,[4]库存使用数据!$A:$C,3,0),0)+IFERROR(VLOOKUP($A262,[5]库存使用数据!$A:$C,3,0),0)</f>
        <v>0</v>
      </c>
      <c r="D262" s="1">
        <f ca="1">IFERROR(VLOOKUP($A262,[1]库存使用数据!$A:$D,4,0),0)+IFERROR(VLOOKUP($A262,[2]库存使用数据!$A:$D,4,0),0)+公式!$B$1*IFERROR(VLOOKUP($A262,[3]库存使用数据!$A:$D,4,0),0)+IFERROR(VLOOKUP($A262,[4]库存使用数据!$A:$D,4,0),0)+IFERROR(VLOOKUP($A262,[5]库存使用数据!$A:$D,4,0),0)</f>
        <v>0</v>
      </c>
      <c r="E262" s="1">
        <f ca="1">IFERROR(VLOOKUP($A262,[1]库存使用数据!$A:$E,5,0),0)+IFERROR(VLOOKUP($A262,[2]库存使用数据!$A:$E,5,0),0)+IFERROR(VLOOKUP($A262,[3]库存使用数据!$A:$E,5,0),0)+IFERROR(VLOOKUP($A262,[4]库存使用数据!$A:$E,5,0),0)+IFERROR(VLOOKUP($A262,[5]库存使用数据!$A:$E,5,0),0)</f>
        <v>6838</v>
      </c>
      <c r="F262" s="1">
        <f ca="1">IFERROR(VLOOKUP($A262,[1]库存使用数据!$A:$F,6,0),0)+IFERROR(VLOOKUP($A262,[2]库存使用数据!$A:$F,6,0),0)+IFERROR(VLOOKUP($A262,[4]库存使用数据!$A:$F,6,0),0)+IFERROR(VLOOKUP($A262,[3]库存使用数据!$A:$F,6,0),0)+IFERROR(VLOOKUP($A262,[5]库存使用数据!$A:$F,6,0),0)</f>
        <v>142</v>
      </c>
      <c r="G262" s="1">
        <f ca="1">IFERROR(VLOOKUP($A262,[1]库存使用数据!$A:$G,7,0),0)+IFERROR(VLOOKUP($A262,[2]库存使用数据!$A:$G,7,0),0)+公式!$B$14*IFERROR(VLOOKUP($A262,[3]库存使用数据!$A:$G,7,0),0)+IFERROR(VLOOKUP($A262,[4]库存使用数据!$A:$G,7,0),0)+IFERROR(VLOOKUP($A262,[5]库存使用数据!$A:$G,7,0),0)</f>
        <v>22.04</v>
      </c>
      <c r="H262" s="1">
        <f ca="1">IFERROR(VLOOKUP($A262,[1]库存使用数据!$A:$H,8,0),0)+IFERROR(VLOOKUP($A262,[2]库存使用数据!$A:$H,8,0),0)+IFERROR(VLOOKUP($A262,[3]库存使用数据!$A:$H,8,0),0)+IFERROR(VLOOKUP($A262,[4]库存使用数据!$A:$H,8,0),0)+IFERROR(VLOOKUP($A262,[5]库存使用数据!$A:$H,8,0),0)</f>
        <v>1068</v>
      </c>
      <c r="I262" s="1">
        <f ca="1">IFERROR(VLOOKUP($A262,[1]库存使用数据!$A:$I,9,0),0)+IFERROR(VLOOKUP($A262,[2]库存使用数据!$A:$I,9,0),0)+IFERROR(VLOOKUP($A262,[3]库存使用数据!$A:$I,9,0),0)+IFERROR(VLOOKUP($A262,[4]库存使用数据!$A:$I,9,0),0)+IFERROR(VLOOKUP($A262,[5]库存使用数据!$A:$I,9,0),0)</f>
        <v>22</v>
      </c>
      <c r="J262" s="1">
        <f ca="1">IFERROR(VLOOKUP($A262,[1]库存使用数据!$A:$J,10,0),0)+IFERROR(VLOOKUP($A262,[2]库存使用数据!$A:$J,10,0),0)+公式!$B$14*IFERROR(VLOOKUP($A262,[3]库存使用数据!$A:$J,10,0),0)+IFERROR(VLOOKUP($A262,[4]库存使用数据!$A:$J,10,0),0)+IFERROR(VLOOKUP($A262,[5]库存使用数据!$A:$J,10,0),0)</f>
        <v>2.28</v>
      </c>
      <c r="K262" s="1">
        <f ca="1">IFERROR(VLOOKUP($A262,[1]库存使用数据!$A:$K,11,0),0)+IFERROR(VLOOKUP($A262,[2]库存使用数据!$A:$K,11,0),0)+IFERROR(VLOOKUP($A262,[3]库存使用数据!$A:$K,11,0),0)+IFERROR(VLOOKUP($A262,[4]库存使用数据!$A:$K,11,0),0)+IFERROR(VLOOKUP($A262,[5]库存使用数据!$A:$K,11,0),0)</f>
        <v>65226</v>
      </c>
      <c r="L262" s="1">
        <f ca="1">IFERROR(VLOOKUP($A262,[1]库存使用数据!$A:$L,12,0),0)+IFERROR(VLOOKUP($A262,[2]库存使用数据!$A:$L,12,0),0)+IFERROR(VLOOKUP($A262,[3]库存使用数据!$A:$L,12,0),0)+IFERROR(VLOOKUP($A262,[4]库存使用数据!$A:$L,12,0),0)+IFERROR(VLOOKUP($A262,[5]库存使用数据!$A:$L,12,0),0)</f>
        <v>262</v>
      </c>
      <c r="M262" s="1">
        <f ca="1">IFERROR(VLOOKUP($A262,[1]库存使用数据!$A:$M,13,0),0)+IFERROR(VLOOKUP($A262,[2]库存使用数据!$A:$M,13,0),0)+公式!$B$14*IFERROR(VLOOKUP($A262,[3]库存使用数据!$A:$M,13,0),0)+IFERROR(VLOOKUP($A262,[4]库存使用数据!$A:$M,13,0),0)+IFERROR(VLOOKUP($A262,[5]库存使用数据!$A:$M,13,0),0)</f>
        <v>44</v>
      </c>
    </row>
    <row r="263" spans="1:13">
      <c r="A263" s="5" t="s">
        <v>268</v>
      </c>
      <c r="B263" s="2">
        <f ca="1">IFERROR(VLOOKUP(A263,[1]库存使用数据!$A:$B,2,0),0)+IFERROR(VLOOKUP(A263,[2]库存使用数据!$A:$B,2,0),0)+IFERROR(VLOOKUP(,[3]库存使用数据!$A:$B,2,0),0)+IFERROR(VLOOKUP(A263,[4]库存使用数据!$A:$B,2,0),0)+IFERROR(VLOOKUP(A263,[5]库存使用数据!$A:$B,2,0),0)</f>
        <v>0</v>
      </c>
      <c r="C263" s="1">
        <f ca="1">IFERROR(VLOOKUP($A263,[1]库存使用数据!$A:$C,3,0),0)+IFERROR(VLOOKUP($A263,[2]库存使用数据!$A:$C,3,0),0)+IFERROR(VLOOKUP($A263,[3]库存使用数据!$A:$C,3,0),0)+IFERROR(VLOOKUP($A263,[4]库存使用数据!$A:$C,3,0),0)+IFERROR(VLOOKUP($A263,[5]库存使用数据!$A:$C,3,0),0)</f>
        <v>0</v>
      </c>
      <c r="D263" s="1">
        <f ca="1">IFERROR(VLOOKUP($A263,[1]库存使用数据!$A:$D,4,0),0)+IFERROR(VLOOKUP($A263,[2]库存使用数据!$A:$D,4,0),0)+公式!$B$1*IFERROR(VLOOKUP($A263,[3]库存使用数据!$A:$D,4,0),0)+IFERROR(VLOOKUP($A263,[4]库存使用数据!$A:$D,4,0),0)+IFERROR(VLOOKUP($A263,[5]库存使用数据!$A:$D,4,0),0)</f>
        <v>0</v>
      </c>
      <c r="E263" s="1">
        <f ca="1">IFERROR(VLOOKUP($A263,[1]库存使用数据!$A:$E,5,0),0)+IFERROR(VLOOKUP($A263,[2]库存使用数据!$A:$E,5,0),0)+IFERROR(VLOOKUP($A263,[3]库存使用数据!$A:$E,5,0),0)+IFERROR(VLOOKUP($A263,[4]库存使用数据!$A:$E,5,0),0)+IFERROR(VLOOKUP($A263,[5]库存使用数据!$A:$E,5,0),0)</f>
        <v>674</v>
      </c>
      <c r="F263" s="1">
        <f ca="1">IFERROR(VLOOKUP($A263,[1]库存使用数据!$A:$F,6,0),0)+IFERROR(VLOOKUP($A263,[2]库存使用数据!$A:$F,6,0),0)+IFERROR(VLOOKUP($A263,[4]库存使用数据!$A:$F,6,0),0)+IFERROR(VLOOKUP($A263,[3]库存使用数据!$A:$F,6,0),0)+IFERROR(VLOOKUP($A263,[5]库存使用数据!$A:$F,6,0),0)</f>
        <v>16</v>
      </c>
      <c r="G263" s="1">
        <f ca="1">IFERROR(VLOOKUP($A263,[1]库存使用数据!$A:$G,7,0),0)+IFERROR(VLOOKUP($A263,[2]库存使用数据!$A:$G,7,0),0)+公式!$B$14*IFERROR(VLOOKUP($A263,[3]库存使用数据!$A:$G,7,0),0)+IFERROR(VLOOKUP($A263,[4]库存使用数据!$A:$G,7,0),0)+IFERROR(VLOOKUP($A263,[5]库存使用数据!$A:$G,7,0),0)</f>
        <v>3</v>
      </c>
      <c r="H263" s="1">
        <f ca="1">IFERROR(VLOOKUP($A263,[1]库存使用数据!$A:$H,8,0),0)+IFERROR(VLOOKUP($A263,[2]库存使用数据!$A:$H,8,0),0)+IFERROR(VLOOKUP($A263,[3]库存使用数据!$A:$H,8,0),0)+IFERROR(VLOOKUP($A263,[4]库存使用数据!$A:$H,8,0),0)+IFERROR(VLOOKUP($A263,[5]库存使用数据!$A:$H,8,0),0)</f>
        <v>789</v>
      </c>
      <c r="I263" s="1">
        <f ca="1">IFERROR(VLOOKUP($A263,[1]库存使用数据!$A:$I,9,0),0)+IFERROR(VLOOKUP($A263,[2]库存使用数据!$A:$I,9,0),0)+IFERROR(VLOOKUP($A263,[3]库存使用数据!$A:$I,9,0),0)+IFERROR(VLOOKUP($A263,[4]库存使用数据!$A:$I,9,0),0)+IFERROR(VLOOKUP($A263,[5]库存使用数据!$A:$I,9,0),0)</f>
        <v>24</v>
      </c>
      <c r="J263" s="1">
        <f ca="1">IFERROR(VLOOKUP($A263,[1]库存使用数据!$A:$J,10,0),0)+IFERROR(VLOOKUP($A263,[2]库存使用数据!$A:$J,10,0),0)+公式!$B$14*IFERROR(VLOOKUP($A263,[3]库存使用数据!$A:$J,10,0),0)+IFERROR(VLOOKUP($A263,[4]库存使用数据!$A:$J,10,0),0)+IFERROR(VLOOKUP($A263,[5]库存使用数据!$A:$J,10,0),0)</f>
        <v>4.21</v>
      </c>
      <c r="K263" s="1">
        <f ca="1">IFERROR(VLOOKUP($A263,[1]库存使用数据!$A:$K,11,0),0)+IFERROR(VLOOKUP($A263,[2]库存使用数据!$A:$K,11,0),0)+IFERROR(VLOOKUP($A263,[3]库存使用数据!$A:$K,11,0),0)+IFERROR(VLOOKUP($A263,[4]库存使用数据!$A:$K,11,0),0)+IFERROR(VLOOKUP($A263,[5]库存使用数据!$A:$K,11,0),0)</f>
        <v>2606</v>
      </c>
      <c r="L263" s="1">
        <f ca="1">IFERROR(VLOOKUP($A263,[1]库存使用数据!$A:$L,12,0),0)+IFERROR(VLOOKUP($A263,[2]库存使用数据!$A:$L,12,0),0)+IFERROR(VLOOKUP($A263,[3]库存使用数据!$A:$L,12,0),0)+IFERROR(VLOOKUP($A263,[4]库存使用数据!$A:$L,12,0),0)+IFERROR(VLOOKUP($A263,[5]库存使用数据!$A:$L,12,0),0)</f>
        <v>25</v>
      </c>
      <c r="M263" s="1">
        <f ca="1">IFERROR(VLOOKUP($A263,[1]库存使用数据!$A:$M,13,0),0)+IFERROR(VLOOKUP($A263,[2]库存使用数据!$A:$M,13,0),0)+公式!$B$14*IFERROR(VLOOKUP($A263,[3]库存使用数据!$A:$M,13,0),0)+IFERROR(VLOOKUP($A263,[4]库存使用数据!$A:$M,13,0),0)+IFERROR(VLOOKUP($A263,[5]库存使用数据!$A:$M,13,0),0)</f>
        <v>3.16</v>
      </c>
    </row>
    <row r="264" spans="1:13">
      <c r="A264" s="5" t="s">
        <v>269</v>
      </c>
      <c r="B264" s="2">
        <f ca="1">IFERROR(VLOOKUP(A264,[1]库存使用数据!$A:$B,2,0),0)+IFERROR(VLOOKUP(A264,[2]库存使用数据!$A:$B,2,0),0)+IFERROR(VLOOKUP(,[3]库存使用数据!$A:$B,2,0),0)+IFERROR(VLOOKUP(A264,[4]库存使用数据!$A:$B,2,0),0)+IFERROR(VLOOKUP(A264,[5]库存使用数据!$A:$B,2,0),0)</f>
        <v>0</v>
      </c>
      <c r="C264" s="1">
        <f ca="1">IFERROR(VLOOKUP($A264,[1]库存使用数据!$A:$C,3,0),0)+IFERROR(VLOOKUP($A264,[2]库存使用数据!$A:$C,3,0),0)+IFERROR(VLOOKUP($A264,[3]库存使用数据!$A:$C,3,0),0)+IFERROR(VLOOKUP($A264,[4]库存使用数据!$A:$C,3,0),0)+IFERROR(VLOOKUP($A264,[5]库存使用数据!$A:$C,3,0),0)</f>
        <v>0</v>
      </c>
      <c r="D264" s="1">
        <f ca="1">IFERROR(VLOOKUP($A264,[1]库存使用数据!$A:$D,4,0),0)+IFERROR(VLOOKUP($A264,[2]库存使用数据!$A:$D,4,0),0)+公式!$B$1*IFERROR(VLOOKUP($A264,[3]库存使用数据!$A:$D,4,0),0)+IFERROR(VLOOKUP($A264,[4]库存使用数据!$A:$D,4,0),0)+IFERROR(VLOOKUP($A264,[5]库存使用数据!$A:$D,4,0),0)</f>
        <v>0</v>
      </c>
      <c r="E264" s="1">
        <f ca="1">IFERROR(VLOOKUP($A264,[1]库存使用数据!$A:$E,5,0),0)+IFERROR(VLOOKUP($A264,[2]库存使用数据!$A:$E,5,0),0)+IFERROR(VLOOKUP($A264,[3]库存使用数据!$A:$E,5,0),0)+IFERROR(VLOOKUP($A264,[4]库存使用数据!$A:$E,5,0),0)+IFERROR(VLOOKUP($A264,[5]库存使用数据!$A:$E,5,0),0)</f>
        <v>0</v>
      </c>
      <c r="F264" s="1">
        <f ca="1">IFERROR(VLOOKUP($A264,[1]库存使用数据!$A:$F,6,0),0)+IFERROR(VLOOKUP($A264,[2]库存使用数据!$A:$F,6,0),0)+IFERROR(VLOOKUP($A264,[4]库存使用数据!$A:$F,6,0),0)+IFERROR(VLOOKUP($A264,[3]库存使用数据!$A:$F,6,0),0)+IFERROR(VLOOKUP($A264,[5]库存使用数据!$A:$F,6,0),0)</f>
        <v>0</v>
      </c>
      <c r="G264" s="1">
        <f ca="1">IFERROR(VLOOKUP($A264,[1]库存使用数据!$A:$G,7,0),0)+IFERROR(VLOOKUP($A264,[2]库存使用数据!$A:$G,7,0),0)+公式!$B$14*IFERROR(VLOOKUP($A264,[3]库存使用数据!$A:$G,7,0),0)+IFERROR(VLOOKUP($A264,[4]库存使用数据!$A:$G,7,0),0)+IFERROR(VLOOKUP($A264,[5]库存使用数据!$A:$G,7,0),0)</f>
        <v>0</v>
      </c>
      <c r="H264" s="1">
        <f ca="1">IFERROR(VLOOKUP($A264,[1]库存使用数据!$A:$H,8,0),0)+IFERROR(VLOOKUP($A264,[2]库存使用数据!$A:$H,8,0),0)+IFERROR(VLOOKUP($A264,[3]库存使用数据!$A:$H,8,0),0)+IFERROR(VLOOKUP($A264,[4]库存使用数据!$A:$H,8,0),0)+IFERROR(VLOOKUP($A264,[5]库存使用数据!$A:$H,8,0),0)</f>
        <v>0</v>
      </c>
      <c r="I264" s="1">
        <f ca="1">IFERROR(VLOOKUP($A264,[1]库存使用数据!$A:$I,9,0),0)+IFERROR(VLOOKUP($A264,[2]库存使用数据!$A:$I,9,0),0)+IFERROR(VLOOKUP($A264,[3]库存使用数据!$A:$I,9,0),0)+IFERROR(VLOOKUP($A264,[4]库存使用数据!$A:$I,9,0),0)+IFERROR(VLOOKUP($A264,[5]库存使用数据!$A:$I,9,0),0)</f>
        <v>0</v>
      </c>
      <c r="J264" s="1">
        <f ca="1">IFERROR(VLOOKUP($A264,[1]库存使用数据!$A:$J,10,0),0)+IFERROR(VLOOKUP($A264,[2]库存使用数据!$A:$J,10,0),0)+公式!$B$14*IFERROR(VLOOKUP($A264,[3]库存使用数据!$A:$J,10,0),0)+IFERROR(VLOOKUP($A264,[4]库存使用数据!$A:$J,10,0),0)+IFERROR(VLOOKUP($A264,[5]库存使用数据!$A:$J,10,0),0)</f>
        <v>0</v>
      </c>
      <c r="K264" s="1">
        <f ca="1">IFERROR(VLOOKUP($A264,[1]库存使用数据!$A:$K,11,0),0)+IFERROR(VLOOKUP($A264,[2]库存使用数据!$A:$K,11,0),0)+IFERROR(VLOOKUP($A264,[3]库存使用数据!$A:$K,11,0),0)+IFERROR(VLOOKUP($A264,[4]库存使用数据!$A:$K,11,0),0)+IFERROR(VLOOKUP($A264,[5]库存使用数据!$A:$K,11,0),0)</f>
        <v>2</v>
      </c>
      <c r="L264" s="1">
        <f ca="1">IFERROR(VLOOKUP($A264,[1]库存使用数据!$A:$L,12,0),0)+IFERROR(VLOOKUP($A264,[2]库存使用数据!$A:$L,12,0),0)+IFERROR(VLOOKUP($A264,[3]库存使用数据!$A:$L,12,0),0)+IFERROR(VLOOKUP($A264,[4]库存使用数据!$A:$L,12,0),0)+IFERROR(VLOOKUP($A264,[5]库存使用数据!$A:$L,12,0),0)</f>
        <v>0</v>
      </c>
      <c r="M264" s="1">
        <f ca="1">IFERROR(VLOOKUP($A264,[1]库存使用数据!$A:$M,13,0),0)+IFERROR(VLOOKUP($A264,[2]库存使用数据!$A:$M,13,0),0)+公式!$B$14*IFERROR(VLOOKUP($A264,[3]库存使用数据!$A:$M,13,0),0)+IFERROR(VLOOKUP($A264,[4]库存使用数据!$A:$M,13,0),0)+IFERROR(VLOOKUP($A264,[5]库存使用数据!$A:$M,13,0),0)</f>
        <v>0</v>
      </c>
    </row>
    <row r="265" spans="1:13">
      <c r="A265" s="5" t="s">
        <v>270</v>
      </c>
      <c r="B265" s="2">
        <f ca="1">IFERROR(VLOOKUP(A265,[1]库存使用数据!$A:$B,2,0),0)+IFERROR(VLOOKUP(A265,[2]库存使用数据!$A:$B,2,0),0)+IFERROR(VLOOKUP(,[3]库存使用数据!$A:$B,2,0),0)+IFERROR(VLOOKUP(A265,[4]库存使用数据!$A:$B,2,0),0)+IFERROR(VLOOKUP(A265,[5]库存使用数据!$A:$B,2,0),0)</f>
        <v>95</v>
      </c>
      <c r="C265" s="1">
        <f ca="1">IFERROR(VLOOKUP($A265,[1]库存使用数据!$A:$C,3,0),0)+IFERROR(VLOOKUP($A265,[2]库存使用数据!$A:$C,3,0),0)+IFERROR(VLOOKUP($A265,[3]库存使用数据!$A:$C,3,0),0)+IFERROR(VLOOKUP($A265,[4]库存使用数据!$A:$C,3,0),0)+IFERROR(VLOOKUP($A265,[5]库存使用数据!$A:$C,3,0),0)</f>
        <v>2</v>
      </c>
      <c r="D265" s="1">
        <f ca="1">IFERROR(VLOOKUP($A265,[1]库存使用数据!$A:$D,4,0),0)+IFERROR(VLOOKUP($A265,[2]库存使用数据!$A:$D,4,0),0)+公式!$B$1*IFERROR(VLOOKUP($A265,[3]库存使用数据!$A:$D,4,0),0)+IFERROR(VLOOKUP($A265,[4]库存使用数据!$A:$D,4,0),0)+IFERROR(VLOOKUP($A265,[5]库存使用数据!$A:$D,4,0),0)</f>
        <v>0.2025</v>
      </c>
      <c r="E265" s="1">
        <f ca="1">IFERROR(VLOOKUP($A265,[1]库存使用数据!$A:$E,5,0),0)+IFERROR(VLOOKUP($A265,[2]库存使用数据!$A:$E,5,0),0)+IFERROR(VLOOKUP($A265,[3]库存使用数据!$A:$E,5,0),0)+IFERROR(VLOOKUP($A265,[4]库存使用数据!$A:$E,5,0),0)+IFERROR(VLOOKUP($A265,[5]库存使用数据!$A:$E,5,0),0)</f>
        <v>14745</v>
      </c>
      <c r="F265" s="1">
        <f ca="1">IFERROR(VLOOKUP($A265,[1]库存使用数据!$A:$F,6,0),0)+IFERROR(VLOOKUP($A265,[2]库存使用数据!$A:$F,6,0),0)+IFERROR(VLOOKUP($A265,[4]库存使用数据!$A:$F,6,0),0)+IFERROR(VLOOKUP($A265,[3]库存使用数据!$A:$F,6,0),0)+IFERROR(VLOOKUP($A265,[5]库存使用数据!$A:$F,6,0),0)</f>
        <v>61</v>
      </c>
      <c r="G265" s="1">
        <f ca="1">IFERROR(VLOOKUP($A265,[1]库存使用数据!$A:$G,7,0),0)+IFERROR(VLOOKUP($A265,[2]库存使用数据!$A:$G,7,0),0)+公式!$B$14*IFERROR(VLOOKUP($A265,[3]库存使用数据!$A:$G,7,0),0)+IFERROR(VLOOKUP($A265,[4]库存使用数据!$A:$G,7,0),0)+IFERROR(VLOOKUP($A265,[5]库存使用数据!$A:$G,7,0),0)</f>
        <v>7.48</v>
      </c>
      <c r="H265" s="1">
        <f ca="1">IFERROR(VLOOKUP($A265,[1]库存使用数据!$A:$H,8,0),0)+IFERROR(VLOOKUP($A265,[2]库存使用数据!$A:$H,8,0),0)+IFERROR(VLOOKUP($A265,[3]库存使用数据!$A:$H,8,0),0)+IFERROR(VLOOKUP($A265,[4]库存使用数据!$A:$H,8,0),0)+IFERROR(VLOOKUP($A265,[5]库存使用数据!$A:$H,8,0),0)</f>
        <v>871</v>
      </c>
      <c r="I265" s="1">
        <f ca="1">IFERROR(VLOOKUP($A265,[1]库存使用数据!$A:$I,9,0),0)+IFERROR(VLOOKUP($A265,[2]库存使用数据!$A:$I,9,0),0)+IFERROR(VLOOKUP($A265,[3]库存使用数据!$A:$I,9,0),0)+IFERROR(VLOOKUP($A265,[4]库存使用数据!$A:$I,9,0),0)+IFERROR(VLOOKUP($A265,[5]库存使用数据!$A:$I,9,0),0)</f>
        <v>11</v>
      </c>
      <c r="J265" s="1">
        <f ca="1">IFERROR(VLOOKUP($A265,[1]库存使用数据!$A:$J,10,0),0)+IFERROR(VLOOKUP($A265,[2]库存使用数据!$A:$J,10,0),0)+公式!$B$14*IFERROR(VLOOKUP($A265,[3]库存使用数据!$A:$J,10,0),0)+IFERROR(VLOOKUP($A265,[4]库存使用数据!$A:$J,10,0),0)+IFERROR(VLOOKUP($A265,[5]库存使用数据!$A:$J,10,0),0)</f>
        <v>1.73</v>
      </c>
      <c r="K265" s="1">
        <f ca="1">IFERROR(VLOOKUP($A265,[1]库存使用数据!$A:$K,11,0),0)+IFERROR(VLOOKUP($A265,[2]库存使用数据!$A:$K,11,0),0)+IFERROR(VLOOKUP($A265,[3]库存使用数据!$A:$K,11,0),0)+IFERROR(VLOOKUP($A265,[4]库存使用数据!$A:$K,11,0),0)+IFERROR(VLOOKUP($A265,[5]库存使用数据!$A:$K,11,0),0)</f>
        <v>321</v>
      </c>
      <c r="L265" s="1">
        <f ca="1">IFERROR(VLOOKUP($A265,[1]库存使用数据!$A:$L,12,0),0)+IFERROR(VLOOKUP($A265,[2]库存使用数据!$A:$L,12,0),0)+IFERROR(VLOOKUP($A265,[3]库存使用数据!$A:$L,12,0),0)+IFERROR(VLOOKUP($A265,[4]库存使用数据!$A:$L,12,0),0)+IFERROR(VLOOKUP($A265,[5]库存使用数据!$A:$L,12,0),0)</f>
        <v>2</v>
      </c>
      <c r="M265" s="1">
        <f ca="1">IFERROR(VLOOKUP($A265,[1]库存使用数据!$A:$M,13,0),0)+IFERROR(VLOOKUP($A265,[2]库存使用数据!$A:$M,13,0),0)+公式!$B$14*IFERROR(VLOOKUP($A265,[3]库存使用数据!$A:$M,13,0),0)+IFERROR(VLOOKUP($A265,[4]库存使用数据!$A:$M,13,0),0)+IFERROR(VLOOKUP($A265,[5]库存使用数据!$A:$M,13,0),0)</f>
        <v>0.28</v>
      </c>
    </row>
    <row r="266" spans="1:13">
      <c r="A266" s="5" t="s">
        <v>271</v>
      </c>
      <c r="B266" s="2">
        <f ca="1">IFERROR(VLOOKUP(A266,[1]库存使用数据!$A:$B,2,0),0)+IFERROR(VLOOKUP(A266,[2]库存使用数据!$A:$B,2,0),0)+IFERROR(VLOOKUP(,[3]库存使用数据!$A:$B,2,0),0)+IFERROR(VLOOKUP(A266,[4]库存使用数据!$A:$B,2,0),0)+IFERROR(VLOOKUP(A266,[5]库存使用数据!$A:$B,2,0),0)</f>
        <v>0</v>
      </c>
      <c r="C266" s="1">
        <f ca="1">IFERROR(VLOOKUP($A266,[1]库存使用数据!$A:$C,3,0),0)+IFERROR(VLOOKUP($A266,[2]库存使用数据!$A:$C,3,0),0)+IFERROR(VLOOKUP($A266,[3]库存使用数据!$A:$C,3,0),0)+IFERROR(VLOOKUP($A266,[4]库存使用数据!$A:$C,3,0),0)+IFERROR(VLOOKUP($A266,[5]库存使用数据!$A:$C,3,0),0)</f>
        <v>0</v>
      </c>
      <c r="D266" s="1">
        <f ca="1">IFERROR(VLOOKUP($A266,[1]库存使用数据!$A:$D,4,0),0)+IFERROR(VLOOKUP($A266,[2]库存使用数据!$A:$D,4,0),0)+公式!$B$1*IFERROR(VLOOKUP($A266,[3]库存使用数据!$A:$D,4,0),0)+IFERROR(VLOOKUP($A266,[4]库存使用数据!$A:$D,4,0),0)+IFERROR(VLOOKUP($A266,[5]库存使用数据!$A:$D,4,0),0)</f>
        <v>0</v>
      </c>
      <c r="E266" s="1">
        <f ca="1">IFERROR(VLOOKUP($A266,[1]库存使用数据!$A:$E,5,0),0)+IFERROR(VLOOKUP($A266,[2]库存使用数据!$A:$E,5,0),0)+IFERROR(VLOOKUP($A266,[3]库存使用数据!$A:$E,5,0),0)+IFERROR(VLOOKUP($A266,[4]库存使用数据!$A:$E,5,0),0)+IFERROR(VLOOKUP($A266,[5]库存使用数据!$A:$E,5,0),0)</f>
        <v>12080</v>
      </c>
      <c r="F266" s="1">
        <f ca="1">IFERROR(VLOOKUP($A266,[1]库存使用数据!$A:$F,6,0),0)+IFERROR(VLOOKUP($A266,[2]库存使用数据!$A:$F,6,0),0)+IFERROR(VLOOKUP($A266,[4]库存使用数据!$A:$F,6,0),0)+IFERROR(VLOOKUP($A266,[3]库存使用数据!$A:$F,6,0),0)+IFERROR(VLOOKUP($A266,[5]库存使用数据!$A:$F,6,0),0)</f>
        <v>42</v>
      </c>
      <c r="G266" s="1">
        <f ca="1">IFERROR(VLOOKUP($A266,[1]库存使用数据!$A:$G,7,0),0)+IFERROR(VLOOKUP($A266,[2]库存使用数据!$A:$G,7,0),0)+公式!$B$14*IFERROR(VLOOKUP($A266,[3]库存使用数据!$A:$G,7,0),0)+IFERROR(VLOOKUP($A266,[4]库存使用数据!$A:$G,7,0),0)+IFERROR(VLOOKUP($A266,[5]库存使用数据!$A:$G,7,0),0)</f>
        <v>9.28</v>
      </c>
      <c r="H266" s="1">
        <f ca="1">IFERROR(VLOOKUP($A266,[1]库存使用数据!$A:$H,8,0),0)+IFERROR(VLOOKUP($A266,[2]库存使用数据!$A:$H,8,0),0)+IFERROR(VLOOKUP($A266,[3]库存使用数据!$A:$H,8,0),0)+IFERROR(VLOOKUP($A266,[4]库存使用数据!$A:$H,8,0),0)+IFERROR(VLOOKUP($A266,[5]库存使用数据!$A:$H,8,0),0)</f>
        <v>2265</v>
      </c>
      <c r="I266" s="1">
        <f ca="1">IFERROR(VLOOKUP($A266,[1]库存使用数据!$A:$I,9,0),0)+IFERROR(VLOOKUP($A266,[2]库存使用数据!$A:$I,9,0),0)+IFERROR(VLOOKUP($A266,[3]库存使用数据!$A:$I,9,0),0)+IFERROR(VLOOKUP($A266,[4]库存使用数据!$A:$I,9,0),0)+IFERROR(VLOOKUP($A266,[5]库存使用数据!$A:$I,9,0),0)</f>
        <v>16</v>
      </c>
      <c r="J266" s="1">
        <f ca="1">IFERROR(VLOOKUP($A266,[1]库存使用数据!$A:$J,10,0),0)+IFERROR(VLOOKUP($A266,[2]库存使用数据!$A:$J,10,0),0)+公式!$B$14*IFERROR(VLOOKUP($A266,[3]库存使用数据!$A:$J,10,0),0)+IFERROR(VLOOKUP($A266,[4]库存使用数据!$A:$J,10,0),0)+IFERROR(VLOOKUP($A266,[5]库存使用数据!$A:$J,10,0),0)</f>
        <v>3.52</v>
      </c>
      <c r="K266" s="1">
        <f ca="1">IFERROR(VLOOKUP($A266,[1]库存使用数据!$A:$K,11,0),0)+IFERROR(VLOOKUP($A266,[2]库存使用数据!$A:$K,11,0),0)+IFERROR(VLOOKUP($A266,[3]库存使用数据!$A:$K,11,0),0)+IFERROR(VLOOKUP($A266,[4]库存使用数据!$A:$K,11,0),0)+IFERROR(VLOOKUP($A266,[5]库存使用数据!$A:$K,11,0),0)</f>
        <v>3671</v>
      </c>
      <c r="L266" s="1">
        <f ca="1">IFERROR(VLOOKUP($A266,[1]库存使用数据!$A:$L,12,0),0)+IFERROR(VLOOKUP($A266,[2]库存使用数据!$A:$L,12,0),0)+IFERROR(VLOOKUP($A266,[3]库存使用数据!$A:$L,12,0),0)+IFERROR(VLOOKUP($A266,[4]库存使用数据!$A:$L,12,0),0)+IFERROR(VLOOKUP($A266,[5]库存使用数据!$A:$L,12,0),0)</f>
        <v>44</v>
      </c>
      <c r="M266" s="1">
        <f ca="1">IFERROR(VLOOKUP($A266,[1]库存使用数据!$A:$M,13,0),0)+IFERROR(VLOOKUP($A266,[2]库存使用数据!$A:$M,13,0),0)+公式!$B$14*IFERROR(VLOOKUP($A266,[3]库存使用数据!$A:$M,13,0),0)+IFERROR(VLOOKUP($A266,[4]库存使用数据!$A:$M,13,0),0)+IFERROR(VLOOKUP($A266,[5]库存使用数据!$A:$M,13,0),0)</f>
        <v>9.7</v>
      </c>
    </row>
    <row r="267" spans="1:13">
      <c r="A267" s="5" t="s">
        <v>272</v>
      </c>
      <c r="B267" s="2">
        <f ca="1">IFERROR(VLOOKUP(A267,[1]库存使用数据!$A:$B,2,0),0)+IFERROR(VLOOKUP(A267,[2]库存使用数据!$A:$B,2,0),0)+IFERROR(VLOOKUP(,[3]库存使用数据!$A:$B,2,0),0)+IFERROR(VLOOKUP(A267,[4]库存使用数据!$A:$B,2,0),0)+IFERROR(VLOOKUP(A267,[5]库存使用数据!$A:$B,2,0),0)</f>
        <v>0</v>
      </c>
      <c r="C267" s="1">
        <f ca="1">IFERROR(VLOOKUP($A267,[1]库存使用数据!$A:$C,3,0),0)+IFERROR(VLOOKUP($A267,[2]库存使用数据!$A:$C,3,0),0)+IFERROR(VLOOKUP($A267,[3]库存使用数据!$A:$C,3,0),0)+IFERROR(VLOOKUP($A267,[4]库存使用数据!$A:$C,3,0),0)+IFERROR(VLOOKUP($A267,[5]库存使用数据!$A:$C,3,0),0)</f>
        <v>0</v>
      </c>
      <c r="D267" s="1">
        <f ca="1">IFERROR(VLOOKUP($A267,[1]库存使用数据!$A:$D,4,0),0)+IFERROR(VLOOKUP($A267,[2]库存使用数据!$A:$D,4,0),0)+公式!$B$1*IFERROR(VLOOKUP($A267,[3]库存使用数据!$A:$D,4,0),0)+IFERROR(VLOOKUP($A267,[4]库存使用数据!$A:$D,4,0),0)+IFERROR(VLOOKUP($A267,[5]库存使用数据!$A:$D,4,0),0)</f>
        <v>0</v>
      </c>
      <c r="E267" s="1">
        <f ca="1">IFERROR(VLOOKUP($A267,[1]库存使用数据!$A:$E,5,0),0)+IFERROR(VLOOKUP($A267,[2]库存使用数据!$A:$E,5,0),0)+IFERROR(VLOOKUP($A267,[3]库存使用数据!$A:$E,5,0),0)+IFERROR(VLOOKUP($A267,[4]库存使用数据!$A:$E,5,0),0)+IFERROR(VLOOKUP($A267,[5]库存使用数据!$A:$E,5,0),0)</f>
        <v>8407</v>
      </c>
      <c r="F267" s="1">
        <f ca="1">IFERROR(VLOOKUP($A267,[1]库存使用数据!$A:$F,6,0),0)+IFERROR(VLOOKUP($A267,[2]库存使用数据!$A:$F,6,0),0)+IFERROR(VLOOKUP($A267,[4]库存使用数据!$A:$F,6,0),0)+IFERROR(VLOOKUP($A267,[3]库存使用数据!$A:$F,6,0),0)+IFERROR(VLOOKUP($A267,[5]库存使用数据!$A:$F,6,0),0)</f>
        <v>61</v>
      </c>
      <c r="G267" s="1">
        <f ca="1">IFERROR(VLOOKUP($A267,[1]库存使用数据!$A:$G,7,0),0)+IFERROR(VLOOKUP($A267,[2]库存使用数据!$A:$G,7,0),0)+公式!$B$14*IFERROR(VLOOKUP($A267,[3]库存使用数据!$A:$G,7,0),0)+IFERROR(VLOOKUP($A267,[4]库存使用数据!$A:$G,7,0),0)+IFERROR(VLOOKUP($A267,[5]库存使用数据!$A:$G,7,0),0)</f>
        <v>13.4</v>
      </c>
      <c r="H267" s="1">
        <f ca="1">IFERROR(VLOOKUP($A267,[1]库存使用数据!$A:$H,8,0),0)+IFERROR(VLOOKUP($A267,[2]库存使用数据!$A:$H,8,0),0)+IFERROR(VLOOKUP($A267,[3]库存使用数据!$A:$H,8,0),0)+IFERROR(VLOOKUP($A267,[4]库存使用数据!$A:$H,8,0),0)+IFERROR(VLOOKUP($A267,[5]库存使用数据!$A:$H,8,0),0)</f>
        <v>2993</v>
      </c>
      <c r="I267" s="1">
        <f ca="1">IFERROR(VLOOKUP($A267,[1]库存使用数据!$A:$I,9,0),0)+IFERROR(VLOOKUP($A267,[2]库存使用数据!$A:$I,9,0),0)+IFERROR(VLOOKUP($A267,[3]库存使用数据!$A:$I,9,0),0)+IFERROR(VLOOKUP($A267,[4]库存使用数据!$A:$I,9,0),0)+IFERROR(VLOOKUP($A267,[5]库存使用数据!$A:$I,9,0),0)</f>
        <v>23</v>
      </c>
      <c r="J267" s="1">
        <f ca="1">IFERROR(VLOOKUP($A267,[1]库存使用数据!$A:$J,10,0),0)+IFERROR(VLOOKUP($A267,[2]库存使用数据!$A:$J,10,0),0)+公式!$B$14*IFERROR(VLOOKUP($A267,[3]库存使用数据!$A:$J,10,0),0)+IFERROR(VLOOKUP($A267,[4]库存使用数据!$A:$J,10,0),0)+IFERROR(VLOOKUP($A267,[5]库存使用数据!$A:$J,10,0),0)</f>
        <v>4.76</v>
      </c>
      <c r="K267" s="1">
        <f ca="1">IFERROR(VLOOKUP($A267,[1]库存使用数据!$A:$K,11,0),0)+IFERROR(VLOOKUP($A267,[2]库存使用数据!$A:$K,11,0),0)+IFERROR(VLOOKUP($A267,[3]库存使用数据!$A:$K,11,0),0)+IFERROR(VLOOKUP($A267,[4]库存使用数据!$A:$K,11,0),0)+IFERROR(VLOOKUP($A267,[5]库存使用数据!$A:$K,11,0),0)</f>
        <v>84</v>
      </c>
      <c r="L267" s="1">
        <f ca="1">IFERROR(VLOOKUP($A267,[1]库存使用数据!$A:$L,12,0),0)+IFERROR(VLOOKUP($A267,[2]库存使用数据!$A:$L,12,0),0)+IFERROR(VLOOKUP($A267,[3]库存使用数据!$A:$L,12,0),0)+IFERROR(VLOOKUP($A267,[4]库存使用数据!$A:$L,12,0),0)+IFERROR(VLOOKUP($A267,[5]库存使用数据!$A:$L,12,0),0)</f>
        <v>0</v>
      </c>
      <c r="M267" s="1">
        <f ca="1">IFERROR(VLOOKUP($A267,[1]库存使用数据!$A:$M,13,0),0)+IFERROR(VLOOKUP($A267,[2]库存使用数据!$A:$M,13,0),0)+公式!$B$14*IFERROR(VLOOKUP($A267,[3]库存使用数据!$A:$M,13,0),0)+IFERROR(VLOOKUP($A267,[4]库存使用数据!$A:$M,13,0),0)+IFERROR(VLOOKUP($A267,[5]库存使用数据!$A:$M,13,0),0)</f>
        <v>0</v>
      </c>
    </row>
    <row r="268" spans="1:13">
      <c r="A268" s="5" t="s">
        <v>273</v>
      </c>
      <c r="B268" s="2">
        <f ca="1">IFERROR(VLOOKUP(A268,[1]库存使用数据!$A:$B,2,0),0)+IFERROR(VLOOKUP(A268,[2]库存使用数据!$A:$B,2,0),0)+IFERROR(VLOOKUP(,[3]库存使用数据!$A:$B,2,0),0)+IFERROR(VLOOKUP(A268,[4]库存使用数据!$A:$B,2,0),0)+IFERROR(VLOOKUP(A268,[5]库存使用数据!$A:$B,2,0),0)</f>
        <v>0</v>
      </c>
      <c r="C268" s="1">
        <f ca="1">IFERROR(VLOOKUP($A268,[1]库存使用数据!$A:$C,3,0),0)+IFERROR(VLOOKUP($A268,[2]库存使用数据!$A:$C,3,0),0)+IFERROR(VLOOKUP($A268,[3]库存使用数据!$A:$C,3,0),0)+IFERROR(VLOOKUP($A268,[4]库存使用数据!$A:$C,3,0),0)+IFERROR(VLOOKUP($A268,[5]库存使用数据!$A:$C,3,0),0)</f>
        <v>0</v>
      </c>
      <c r="D268" s="1">
        <f ca="1">IFERROR(VLOOKUP($A268,[1]库存使用数据!$A:$D,4,0),0)+IFERROR(VLOOKUP($A268,[2]库存使用数据!$A:$D,4,0),0)+公式!$B$1*IFERROR(VLOOKUP($A268,[3]库存使用数据!$A:$D,4,0),0)+IFERROR(VLOOKUP($A268,[4]库存使用数据!$A:$D,4,0),0)+IFERROR(VLOOKUP($A268,[5]库存使用数据!$A:$D,4,0),0)</f>
        <v>0</v>
      </c>
      <c r="E268" s="1">
        <f ca="1">IFERROR(VLOOKUP($A268,[1]库存使用数据!$A:$E,5,0),0)+IFERROR(VLOOKUP($A268,[2]库存使用数据!$A:$E,5,0),0)+IFERROR(VLOOKUP($A268,[3]库存使用数据!$A:$E,5,0),0)+IFERROR(VLOOKUP($A268,[4]库存使用数据!$A:$E,5,0),0)+IFERROR(VLOOKUP($A268,[5]库存使用数据!$A:$E,5,0),0)</f>
        <v>0</v>
      </c>
      <c r="F268" s="1">
        <f ca="1">IFERROR(VLOOKUP($A268,[1]库存使用数据!$A:$F,6,0),0)+IFERROR(VLOOKUP($A268,[2]库存使用数据!$A:$F,6,0),0)+IFERROR(VLOOKUP($A268,[4]库存使用数据!$A:$F,6,0),0)+IFERROR(VLOOKUP($A268,[3]库存使用数据!$A:$F,6,0),0)+IFERROR(VLOOKUP($A268,[5]库存使用数据!$A:$F,6,0),0)</f>
        <v>0</v>
      </c>
      <c r="G268" s="1">
        <f ca="1">IFERROR(VLOOKUP($A268,[1]库存使用数据!$A:$G,7,0),0)+IFERROR(VLOOKUP($A268,[2]库存使用数据!$A:$G,7,0),0)+公式!$B$14*IFERROR(VLOOKUP($A268,[3]库存使用数据!$A:$G,7,0),0)+IFERROR(VLOOKUP($A268,[4]库存使用数据!$A:$G,7,0),0)+IFERROR(VLOOKUP($A268,[5]库存使用数据!$A:$G,7,0),0)</f>
        <v>0</v>
      </c>
      <c r="H268" s="1">
        <f ca="1">IFERROR(VLOOKUP($A268,[1]库存使用数据!$A:$H,8,0),0)+IFERROR(VLOOKUP($A268,[2]库存使用数据!$A:$H,8,0),0)+IFERROR(VLOOKUP($A268,[3]库存使用数据!$A:$H,8,0),0)+IFERROR(VLOOKUP($A268,[4]库存使用数据!$A:$H,8,0),0)+IFERROR(VLOOKUP($A268,[5]库存使用数据!$A:$H,8,0),0)</f>
        <v>0</v>
      </c>
      <c r="I268" s="1">
        <f ca="1">IFERROR(VLOOKUP($A268,[1]库存使用数据!$A:$I,9,0),0)+IFERROR(VLOOKUP($A268,[2]库存使用数据!$A:$I,9,0),0)+IFERROR(VLOOKUP($A268,[3]库存使用数据!$A:$I,9,0),0)+IFERROR(VLOOKUP($A268,[4]库存使用数据!$A:$I,9,0),0)+IFERROR(VLOOKUP($A268,[5]库存使用数据!$A:$I,9,0),0)</f>
        <v>0</v>
      </c>
      <c r="J268" s="1">
        <f ca="1">IFERROR(VLOOKUP($A268,[1]库存使用数据!$A:$J,10,0),0)+IFERROR(VLOOKUP($A268,[2]库存使用数据!$A:$J,10,0),0)+公式!$B$14*IFERROR(VLOOKUP($A268,[3]库存使用数据!$A:$J,10,0),0)+IFERROR(VLOOKUP($A268,[4]库存使用数据!$A:$J,10,0),0)+IFERROR(VLOOKUP($A268,[5]库存使用数据!$A:$J,10,0),0)</f>
        <v>0</v>
      </c>
      <c r="K268" s="1">
        <f ca="1">IFERROR(VLOOKUP($A268,[1]库存使用数据!$A:$K,11,0),0)+IFERROR(VLOOKUP($A268,[2]库存使用数据!$A:$K,11,0),0)+IFERROR(VLOOKUP($A268,[3]库存使用数据!$A:$K,11,0),0)+IFERROR(VLOOKUP($A268,[4]库存使用数据!$A:$K,11,0),0)+IFERROR(VLOOKUP($A268,[5]库存使用数据!$A:$K,11,0),0)</f>
        <v>2</v>
      </c>
      <c r="L268" s="1">
        <f ca="1">IFERROR(VLOOKUP($A268,[1]库存使用数据!$A:$L,12,0),0)+IFERROR(VLOOKUP($A268,[2]库存使用数据!$A:$L,12,0),0)+IFERROR(VLOOKUP($A268,[3]库存使用数据!$A:$L,12,0),0)+IFERROR(VLOOKUP($A268,[4]库存使用数据!$A:$L,12,0),0)+IFERROR(VLOOKUP($A268,[5]库存使用数据!$A:$L,12,0),0)</f>
        <v>0</v>
      </c>
      <c r="M268" s="1">
        <f ca="1">IFERROR(VLOOKUP($A268,[1]库存使用数据!$A:$M,13,0),0)+IFERROR(VLOOKUP($A268,[2]库存使用数据!$A:$M,13,0),0)+公式!$B$14*IFERROR(VLOOKUP($A268,[3]库存使用数据!$A:$M,13,0),0)+IFERROR(VLOOKUP($A268,[4]库存使用数据!$A:$M,13,0),0)+IFERROR(VLOOKUP($A268,[5]库存使用数据!$A:$M,13,0),0)</f>
        <v>0</v>
      </c>
    </row>
    <row r="269" spans="1:13">
      <c r="A269" s="5" t="s">
        <v>274</v>
      </c>
      <c r="B269" s="2">
        <f ca="1">IFERROR(VLOOKUP(A269,[1]库存使用数据!$A:$B,2,0),0)+IFERROR(VLOOKUP(A269,[2]库存使用数据!$A:$B,2,0),0)+IFERROR(VLOOKUP(,[3]库存使用数据!$A:$B,2,0),0)+IFERROR(VLOOKUP(A269,[4]库存使用数据!$A:$B,2,0),0)+IFERROR(VLOOKUP(A269,[5]库存使用数据!$A:$B,2,0),0)</f>
        <v>0</v>
      </c>
      <c r="C269" s="1">
        <f ca="1">IFERROR(VLOOKUP($A269,[1]库存使用数据!$A:$C,3,0),0)+IFERROR(VLOOKUP($A269,[2]库存使用数据!$A:$C,3,0),0)+IFERROR(VLOOKUP($A269,[3]库存使用数据!$A:$C,3,0),0)+IFERROR(VLOOKUP($A269,[4]库存使用数据!$A:$C,3,0),0)+IFERROR(VLOOKUP($A269,[5]库存使用数据!$A:$C,3,0),0)</f>
        <v>0</v>
      </c>
      <c r="D269" s="1">
        <f ca="1">IFERROR(VLOOKUP($A269,[1]库存使用数据!$A:$D,4,0),0)+IFERROR(VLOOKUP($A269,[2]库存使用数据!$A:$D,4,0),0)+公式!$B$1*IFERROR(VLOOKUP($A269,[3]库存使用数据!$A:$D,4,0),0)+IFERROR(VLOOKUP($A269,[4]库存使用数据!$A:$D,4,0),0)+IFERROR(VLOOKUP($A269,[5]库存使用数据!$A:$D,4,0),0)</f>
        <v>0</v>
      </c>
      <c r="E269" s="1">
        <f ca="1">IFERROR(VLOOKUP($A269,[1]库存使用数据!$A:$E,5,0),0)+IFERROR(VLOOKUP($A269,[2]库存使用数据!$A:$E,5,0),0)+IFERROR(VLOOKUP($A269,[3]库存使用数据!$A:$E,5,0),0)+IFERROR(VLOOKUP($A269,[4]库存使用数据!$A:$E,5,0),0)+IFERROR(VLOOKUP($A269,[5]库存使用数据!$A:$E,5,0),0)</f>
        <v>19992</v>
      </c>
      <c r="F269" s="1">
        <f ca="1">IFERROR(VLOOKUP($A269,[1]库存使用数据!$A:$F,6,0),0)+IFERROR(VLOOKUP($A269,[2]库存使用数据!$A:$F,6,0),0)+IFERROR(VLOOKUP($A269,[4]库存使用数据!$A:$F,6,0),0)+IFERROR(VLOOKUP($A269,[3]库存使用数据!$A:$F,6,0),0)+IFERROR(VLOOKUP($A269,[5]库存使用数据!$A:$F,6,0),0)</f>
        <v>110</v>
      </c>
      <c r="G269" s="1">
        <f ca="1">IFERROR(VLOOKUP($A269,[1]库存使用数据!$A:$G,7,0),0)+IFERROR(VLOOKUP($A269,[2]库存使用数据!$A:$G,7,0),0)+公式!$B$14*IFERROR(VLOOKUP($A269,[3]库存使用数据!$A:$G,7,0),0)+IFERROR(VLOOKUP($A269,[4]库存使用数据!$A:$G,7,0),0)+IFERROR(VLOOKUP($A269,[5]库存使用数据!$A:$G,7,0),0)</f>
        <v>18.88</v>
      </c>
      <c r="H269" s="1">
        <f ca="1">IFERROR(VLOOKUP($A269,[1]库存使用数据!$A:$H,8,0),0)+IFERROR(VLOOKUP($A269,[2]库存使用数据!$A:$H,8,0),0)+IFERROR(VLOOKUP($A269,[3]库存使用数据!$A:$H,8,0),0)+IFERROR(VLOOKUP($A269,[4]库存使用数据!$A:$H,8,0),0)+IFERROR(VLOOKUP($A269,[5]库存使用数据!$A:$H,8,0),0)</f>
        <v>572</v>
      </c>
      <c r="I269" s="1">
        <f ca="1">IFERROR(VLOOKUP($A269,[1]库存使用数据!$A:$I,9,0),0)+IFERROR(VLOOKUP($A269,[2]库存使用数据!$A:$I,9,0),0)+IFERROR(VLOOKUP($A269,[3]库存使用数据!$A:$I,9,0),0)+IFERROR(VLOOKUP($A269,[4]库存使用数据!$A:$I,9,0),0)+IFERROR(VLOOKUP($A269,[5]库存使用数据!$A:$I,9,0),0)</f>
        <v>1</v>
      </c>
      <c r="J269" s="1">
        <f ca="1">IFERROR(VLOOKUP($A269,[1]库存使用数据!$A:$J,10,0),0)+IFERROR(VLOOKUP($A269,[2]库存使用数据!$A:$J,10,0),0)+公式!$B$14*IFERROR(VLOOKUP($A269,[3]库存使用数据!$A:$J,10,0),0)+IFERROR(VLOOKUP($A269,[4]库存使用数据!$A:$J,10,0),0)+IFERROR(VLOOKUP($A269,[5]库存使用数据!$A:$J,10,0),0)</f>
        <v>0.3</v>
      </c>
      <c r="K269" s="1">
        <f ca="1">IFERROR(VLOOKUP($A269,[1]库存使用数据!$A:$K,11,0),0)+IFERROR(VLOOKUP($A269,[2]库存使用数据!$A:$K,11,0),0)+IFERROR(VLOOKUP($A269,[3]库存使用数据!$A:$K,11,0),0)+IFERROR(VLOOKUP($A269,[4]库存使用数据!$A:$K,11,0),0)+IFERROR(VLOOKUP($A269,[5]库存使用数据!$A:$K,11,0),0)</f>
        <v>2874</v>
      </c>
      <c r="L269" s="1">
        <f ca="1">IFERROR(VLOOKUP($A269,[1]库存使用数据!$A:$L,12,0),0)+IFERROR(VLOOKUP($A269,[2]库存使用数据!$A:$L,12,0),0)+IFERROR(VLOOKUP($A269,[3]库存使用数据!$A:$L,12,0),0)+IFERROR(VLOOKUP($A269,[4]库存使用数据!$A:$L,12,0),0)+IFERROR(VLOOKUP($A269,[5]库存使用数据!$A:$L,12,0),0)</f>
        <v>30</v>
      </c>
      <c r="M269" s="1">
        <f ca="1">IFERROR(VLOOKUP($A269,[1]库存使用数据!$A:$M,13,0),0)+IFERROR(VLOOKUP($A269,[2]库存使用数据!$A:$M,13,0),0)+公式!$B$14*IFERROR(VLOOKUP($A269,[3]库存使用数据!$A:$M,13,0),0)+IFERROR(VLOOKUP($A269,[4]库存使用数据!$A:$M,13,0),0)+IFERROR(VLOOKUP($A269,[5]库存使用数据!$A:$M,13,0),0)</f>
        <v>5.39</v>
      </c>
    </row>
    <row r="270" spans="1:13">
      <c r="A270" s="5" t="s">
        <v>275</v>
      </c>
      <c r="B270" s="2">
        <f ca="1">IFERROR(VLOOKUP(A270,[1]库存使用数据!$A:$B,2,0),0)+IFERROR(VLOOKUP(A270,[2]库存使用数据!$A:$B,2,0),0)+IFERROR(VLOOKUP(,[3]库存使用数据!$A:$B,2,0),0)+IFERROR(VLOOKUP(A270,[4]库存使用数据!$A:$B,2,0),0)+IFERROR(VLOOKUP(A270,[5]库存使用数据!$A:$B,2,0),0)</f>
        <v>0</v>
      </c>
      <c r="C270" s="1">
        <f ca="1">IFERROR(VLOOKUP($A270,[1]库存使用数据!$A:$C,3,0),0)+IFERROR(VLOOKUP($A270,[2]库存使用数据!$A:$C,3,0),0)+IFERROR(VLOOKUP($A270,[3]库存使用数据!$A:$C,3,0),0)+IFERROR(VLOOKUP($A270,[4]库存使用数据!$A:$C,3,0),0)+IFERROR(VLOOKUP($A270,[5]库存使用数据!$A:$C,3,0),0)</f>
        <v>0</v>
      </c>
      <c r="D270" s="1">
        <f ca="1">IFERROR(VLOOKUP($A270,[1]库存使用数据!$A:$D,4,0),0)+IFERROR(VLOOKUP($A270,[2]库存使用数据!$A:$D,4,0),0)+公式!$B$1*IFERROR(VLOOKUP($A270,[3]库存使用数据!$A:$D,4,0),0)+IFERROR(VLOOKUP($A270,[4]库存使用数据!$A:$D,4,0),0)+IFERROR(VLOOKUP($A270,[5]库存使用数据!$A:$D,4,0),0)</f>
        <v>0</v>
      </c>
      <c r="E270" s="1">
        <f ca="1">IFERROR(VLOOKUP($A270,[1]库存使用数据!$A:$E,5,0),0)+IFERROR(VLOOKUP($A270,[2]库存使用数据!$A:$E,5,0),0)+IFERROR(VLOOKUP($A270,[3]库存使用数据!$A:$E,5,0),0)+IFERROR(VLOOKUP($A270,[4]库存使用数据!$A:$E,5,0),0)+IFERROR(VLOOKUP($A270,[5]库存使用数据!$A:$E,5,0),0)</f>
        <v>33252</v>
      </c>
      <c r="F270" s="1">
        <f ca="1">IFERROR(VLOOKUP($A270,[1]库存使用数据!$A:$F,6,0),0)+IFERROR(VLOOKUP($A270,[2]库存使用数据!$A:$F,6,0),0)+IFERROR(VLOOKUP($A270,[4]库存使用数据!$A:$F,6,0),0)+IFERROR(VLOOKUP($A270,[3]库存使用数据!$A:$F,6,0),0)+IFERROR(VLOOKUP($A270,[5]库存使用数据!$A:$F,6,0),0)</f>
        <v>122</v>
      </c>
      <c r="G270" s="1">
        <f ca="1">IFERROR(VLOOKUP($A270,[1]库存使用数据!$A:$G,7,0),0)+IFERROR(VLOOKUP($A270,[2]库存使用数据!$A:$G,7,0),0)+公式!$B$14*IFERROR(VLOOKUP($A270,[3]库存使用数据!$A:$G,7,0),0)+IFERROR(VLOOKUP($A270,[4]库存使用数据!$A:$G,7,0),0)+IFERROR(VLOOKUP($A270,[5]库存使用数据!$A:$G,7,0),0)</f>
        <v>22.16</v>
      </c>
      <c r="H270" s="1">
        <f ca="1">IFERROR(VLOOKUP($A270,[1]库存使用数据!$A:$H,8,0),0)+IFERROR(VLOOKUP($A270,[2]库存使用数据!$A:$H,8,0),0)+IFERROR(VLOOKUP($A270,[3]库存使用数据!$A:$H,8,0),0)+IFERROR(VLOOKUP($A270,[4]库存使用数据!$A:$H,8,0),0)+IFERROR(VLOOKUP($A270,[5]库存使用数据!$A:$H,8,0),0)</f>
        <v>2190</v>
      </c>
      <c r="I270" s="1">
        <f ca="1">IFERROR(VLOOKUP($A270,[1]库存使用数据!$A:$I,9,0),0)+IFERROR(VLOOKUP($A270,[2]库存使用数据!$A:$I,9,0),0)+IFERROR(VLOOKUP($A270,[3]库存使用数据!$A:$I,9,0),0)+IFERROR(VLOOKUP($A270,[4]库存使用数据!$A:$I,9,0),0)+IFERROR(VLOOKUP($A270,[5]库存使用数据!$A:$I,9,0),0)</f>
        <v>12</v>
      </c>
      <c r="J270" s="1">
        <f ca="1">IFERROR(VLOOKUP($A270,[1]库存使用数据!$A:$J,10,0),0)+IFERROR(VLOOKUP($A270,[2]库存使用数据!$A:$J,10,0),0)+公式!$B$14*IFERROR(VLOOKUP($A270,[3]库存使用数据!$A:$J,10,0),0)+IFERROR(VLOOKUP($A270,[4]库存使用数据!$A:$J,10,0),0)+IFERROR(VLOOKUP($A270,[5]库存使用数据!$A:$J,10,0),0)</f>
        <v>1.67</v>
      </c>
      <c r="K270" s="1">
        <f ca="1">IFERROR(VLOOKUP($A270,[1]库存使用数据!$A:$K,11,0),0)+IFERROR(VLOOKUP($A270,[2]库存使用数据!$A:$K,11,0),0)+IFERROR(VLOOKUP($A270,[3]库存使用数据!$A:$K,11,0),0)+IFERROR(VLOOKUP($A270,[4]库存使用数据!$A:$K,11,0),0)+IFERROR(VLOOKUP($A270,[5]库存使用数据!$A:$K,11,0),0)</f>
        <v>3888</v>
      </c>
      <c r="L270" s="1">
        <f ca="1">IFERROR(VLOOKUP($A270,[1]库存使用数据!$A:$L,12,0),0)+IFERROR(VLOOKUP($A270,[2]库存使用数据!$A:$L,12,0),0)+IFERROR(VLOOKUP($A270,[3]库存使用数据!$A:$L,12,0),0)+IFERROR(VLOOKUP($A270,[4]库存使用数据!$A:$L,12,0),0)+IFERROR(VLOOKUP($A270,[5]库存使用数据!$A:$L,12,0),0)</f>
        <v>20</v>
      </c>
      <c r="M270" s="1">
        <f ca="1">IFERROR(VLOOKUP($A270,[1]库存使用数据!$A:$M,13,0),0)+IFERROR(VLOOKUP($A270,[2]库存使用数据!$A:$M,13,0),0)+公式!$B$14*IFERROR(VLOOKUP($A270,[3]库存使用数据!$A:$M,13,0),0)+IFERROR(VLOOKUP($A270,[4]库存使用数据!$A:$M,13,0),0)+IFERROR(VLOOKUP($A270,[5]库存使用数据!$A:$M,13,0),0)</f>
        <v>3.81</v>
      </c>
    </row>
    <row r="271" spans="1:13">
      <c r="A271" s="5" t="s">
        <v>276</v>
      </c>
      <c r="B271" s="2">
        <f ca="1">IFERROR(VLOOKUP(A271,[1]库存使用数据!$A:$B,2,0),0)+IFERROR(VLOOKUP(A271,[2]库存使用数据!$A:$B,2,0),0)+IFERROR(VLOOKUP(,[3]库存使用数据!$A:$B,2,0),0)+IFERROR(VLOOKUP(A271,[4]库存使用数据!$A:$B,2,0),0)+IFERROR(VLOOKUP(A271,[5]库存使用数据!$A:$B,2,0),0)</f>
        <v>0</v>
      </c>
      <c r="C271" s="1">
        <f ca="1">IFERROR(VLOOKUP($A271,[1]库存使用数据!$A:$C,3,0),0)+IFERROR(VLOOKUP($A271,[2]库存使用数据!$A:$C,3,0),0)+IFERROR(VLOOKUP($A271,[3]库存使用数据!$A:$C,3,0),0)+IFERROR(VLOOKUP($A271,[4]库存使用数据!$A:$C,3,0),0)+IFERROR(VLOOKUP($A271,[5]库存使用数据!$A:$C,3,0),0)</f>
        <v>0</v>
      </c>
      <c r="D271" s="1">
        <f ca="1">IFERROR(VLOOKUP($A271,[1]库存使用数据!$A:$D,4,0),0)+IFERROR(VLOOKUP($A271,[2]库存使用数据!$A:$D,4,0),0)+公式!$B$1*IFERROR(VLOOKUP($A271,[3]库存使用数据!$A:$D,4,0),0)+IFERROR(VLOOKUP($A271,[4]库存使用数据!$A:$D,4,0),0)+IFERROR(VLOOKUP($A271,[5]库存使用数据!$A:$D,4,0),0)</f>
        <v>0</v>
      </c>
      <c r="E271" s="1">
        <f ca="1">IFERROR(VLOOKUP($A271,[1]库存使用数据!$A:$E,5,0),0)+IFERROR(VLOOKUP($A271,[2]库存使用数据!$A:$E,5,0),0)+IFERROR(VLOOKUP($A271,[3]库存使用数据!$A:$E,5,0),0)+IFERROR(VLOOKUP($A271,[4]库存使用数据!$A:$E,5,0),0)+IFERROR(VLOOKUP($A271,[5]库存使用数据!$A:$E,5,0),0)</f>
        <v>11594</v>
      </c>
      <c r="F271" s="1">
        <f ca="1">IFERROR(VLOOKUP($A271,[1]库存使用数据!$A:$F,6,0),0)+IFERROR(VLOOKUP($A271,[2]库存使用数据!$A:$F,6,0),0)+IFERROR(VLOOKUP($A271,[4]库存使用数据!$A:$F,6,0),0)+IFERROR(VLOOKUP($A271,[3]库存使用数据!$A:$F,6,0),0)+IFERROR(VLOOKUP($A271,[5]库存使用数据!$A:$F,6,0),0)</f>
        <v>92</v>
      </c>
      <c r="G271" s="1">
        <f ca="1">IFERROR(VLOOKUP($A271,[1]库存使用数据!$A:$G,7,0),0)+IFERROR(VLOOKUP($A271,[2]库存使用数据!$A:$G,7,0),0)+公式!$B$14*IFERROR(VLOOKUP($A271,[3]库存使用数据!$A:$G,7,0),0)+IFERROR(VLOOKUP($A271,[4]库存使用数据!$A:$G,7,0),0)+IFERROR(VLOOKUP($A271,[5]库存使用数据!$A:$G,7,0),0)</f>
        <v>20.16</v>
      </c>
      <c r="H271" s="1">
        <f ca="1">IFERROR(VLOOKUP($A271,[1]库存使用数据!$A:$H,8,0),0)+IFERROR(VLOOKUP($A271,[2]库存使用数据!$A:$H,8,0),0)+IFERROR(VLOOKUP($A271,[3]库存使用数据!$A:$H,8,0),0)+IFERROR(VLOOKUP($A271,[4]库存使用数据!$A:$H,8,0),0)+IFERROR(VLOOKUP($A271,[5]库存使用数据!$A:$H,8,0),0)</f>
        <v>2023</v>
      </c>
      <c r="I271" s="1">
        <f ca="1">IFERROR(VLOOKUP($A271,[1]库存使用数据!$A:$I,9,0),0)+IFERROR(VLOOKUP($A271,[2]库存使用数据!$A:$I,9,0),0)+IFERROR(VLOOKUP($A271,[3]库存使用数据!$A:$I,9,0),0)+IFERROR(VLOOKUP($A271,[4]库存使用数据!$A:$I,9,0),0)+IFERROR(VLOOKUP($A271,[5]库存使用数据!$A:$I,9,0),0)</f>
        <v>4</v>
      </c>
      <c r="J271" s="1">
        <f ca="1">IFERROR(VLOOKUP($A271,[1]库存使用数据!$A:$J,10,0),0)+IFERROR(VLOOKUP($A271,[2]库存使用数据!$A:$J,10,0),0)+公式!$B$14*IFERROR(VLOOKUP($A271,[3]库存使用数据!$A:$J,10,0),0)+IFERROR(VLOOKUP($A271,[4]库存使用数据!$A:$J,10,0),0)+IFERROR(VLOOKUP($A271,[5]库存使用数据!$A:$J,10,0),0)</f>
        <v>0.54</v>
      </c>
      <c r="K271" s="1">
        <f ca="1">IFERROR(VLOOKUP($A271,[1]库存使用数据!$A:$K,11,0),0)+IFERROR(VLOOKUP($A271,[2]库存使用数据!$A:$K,11,0),0)+IFERROR(VLOOKUP($A271,[3]库存使用数据!$A:$K,11,0),0)+IFERROR(VLOOKUP($A271,[4]库存使用数据!$A:$K,11,0),0)+IFERROR(VLOOKUP($A271,[5]库存使用数据!$A:$K,11,0),0)</f>
        <v>6259</v>
      </c>
      <c r="L271" s="1">
        <f ca="1">IFERROR(VLOOKUP($A271,[1]库存使用数据!$A:$L,12,0),0)+IFERROR(VLOOKUP($A271,[2]库存使用数据!$A:$L,12,0),0)+IFERROR(VLOOKUP($A271,[3]库存使用数据!$A:$L,12,0),0)+IFERROR(VLOOKUP($A271,[4]库存使用数据!$A:$L,12,0),0)+IFERROR(VLOOKUP($A271,[5]库存使用数据!$A:$L,12,0),0)</f>
        <v>27</v>
      </c>
      <c r="M271" s="1">
        <f ca="1">IFERROR(VLOOKUP($A271,[1]库存使用数据!$A:$M,13,0),0)+IFERROR(VLOOKUP($A271,[2]库存使用数据!$A:$M,13,0),0)+公式!$B$14*IFERROR(VLOOKUP($A271,[3]库存使用数据!$A:$M,13,0),0)+IFERROR(VLOOKUP($A271,[4]库存使用数据!$A:$M,13,0),0)+IFERROR(VLOOKUP($A271,[5]库存使用数据!$A:$M,13,0),0)</f>
        <v>5.2</v>
      </c>
    </row>
    <row r="272" spans="1:13">
      <c r="A272" s="5" t="s">
        <v>277</v>
      </c>
      <c r="B272" s="2">
        <f ca="1">IFERROR(VLOOKUP(A272,[1]库存使用数据!$A:$B,2,0),0)+IFERROR(VLOOKUP(A272,[2]库存使用数据!$A:$B,2,0),0)+IFERROR(VLOOKUP(,[3]库存使用数据!$A:$B,2,0),0)+IFERROR(VLOOKUP(A272,[4]库存使用数据!$A:$B,2,0),0)+IFERROR(VLOOKUP(A272,[5]库存使用数据!$A:$B,2,0),0)</f>
        <v>0</v>
      </c>
      <c r="C272" s="1">
        <f ca="1">IFERROR(VLOOKUP($A272,[1]库存使用数据!$A:$C,3,0),0)+IFERROR(VLOOKUP($A272,[2]库存使用数据!$A:$C,3,0),0)+IFERROR(VLOOKUP($A272,[3]库存使用数据!$A:$C,3,0),0)+IFERROR(VLOOKUP($A272,[4]库存使用数据!$A:$C,3,0),0)+IFERROR(VLOOKUP($A272,[5]库存使用数据!$A:$C,3,0),0)</f>
        <v>0</v>
      </c>
      <c r="D272" s="1">
        <f ca="1">IFERROR(VLOOKUP($A272,[1]库存使用数据!$A:$D,4,0),0)+IFERROR(VLOOKUP($A272,[2]库存使用数据!$A:$D,4,0),0)+公式!$B$1*IFERROR(VLOOKUP($A272,[3]库存使用数据!$A:$D,4,0),0)+IFERROR(VLOOKUP($A272,[4]库存使用数据!$A:$D,4,0),0)+IFERROR(VLOOKUP($A272,[5]库存使用数据!$A:$D,4,0),0)</f>
        <v>0</v>
      </c>
      <c r="E272" s="1">
        <f ca="1">IFERROR(VLOOKUP($A272,[1]库存使用数据!$A:$E,5,0),0)+IFERROR(VLOOKUP($A272,[2]库存使用数据!$A:$E,5,0),0)+IFERROR(VLOOKUP($A272,[3]库存使用数据!$A:$E,5,0),0)+IFERROR(VLOOKUP($A272,[4]库存使用数据!$A:$E,5,0),0)+IFERROR(VLOOKUP($A272,[5]库存使用数据!$A:$E,5,0),0)</f>
        <v>3252</v>
      </c>
      <c r="F272" s="1">
        <f ca="1">IFERROR(VLOOKUP($A272,[1]库存使用数据!$A:$F,6,0),0)+IFERROR(VLOOKUP($A272,[2]库存使用数据!$A:$F,6,0),0)+IFERROR(VLOOKUP($A272,[4]库存使用数据!$A:$F,6,0),0)+IFERROR(VLOOKUP($A272,[3]库存使用数据!$A:$F,6,0),0)+IFERROR(VLOOKUP($A272,[5]库存使用数据!$A:$F,6,0),0)</f>
        <v>6</v>
      </c>
      <c r="G272" s="1">
        <f ca="1">IFERROR(VLOOKUP($A272,[1]库存使用数据!$A:$G,7,0),0)+IFERROR(VLOOKUP($A272,[2]库存使用数据!$A:$G,7,0),0)+公式!$B$14*IFERROR(VLOOKUP($A272,[3]库存使用数据!$A:$G,7,0),0)+IFERROR(VLOOKUP($A272,[4]库存使用数据!$A:$G,7,0),0)+IFERROR(VLOOKUP($A272,[5]库存使用数据!$A:$G,7,0),0)</f>
        <v>0.48</v>
      </c>
      <c r="H272" s="1">
        <f ca="1">IFERROR(VLOOKUP($A272,[1]库存使用数据!$A:$H,8,0),0)+IFERROR(VLOOKUP($A272,[2]库存使用数据!$A:$H,8,0),0)+IFERROR(VLOOKUP($A272,[3]库存使用数据!$A:$H,8,0),0)+IFERROR(VLOOKUP($A272,[4]库存使用数据!$A:$H,8,0),0)+IFERROR(VLOOKUP($A272,[5]库存使用数据!$A:$H,8,0),0)</f>
        <v>1470</v>
      </c>
      <c r="I272" s="1">
        <f ca="1">IFERROR(VLOOKUP($A272,[1]库存使用数据!$A:$I,9,0),0)+IFERROR(VLOOKUP($A272,[2]库存使用数据!$A:$I,9,0),0)+IFERROR(VLOOKUP($A272,[3]库存使用数据!$A:$I,9,0),0)+IFERROR(VLOOKUP($A272,[4]库存使用数据!$A:$I,9,0),0)+IFERROR(VLOOKUP($A272,[5]库存使用数据!$A:$I,9,0),0)</f>
        <v>6</v>
      </c>
      <c r="J272" s="1">
        <f ca="1">IFERROR(VLOOKUP($A272,[1]库存使用数据!$A:$J,10,0),0)+IFERROR(VLOOKUP($A272,[2]库存使用数据!$A:$J,10,0),0)+公式!$B$14*IFERROR(VLOOKUP($A272,[3]库存使用数据!$A:$J,10,0),0)+IFERROR(VLOOKUP($A272,[4]库存使用数据!$A:$J,10,0),0)+IFERROR(VLOOKUP($A272,[5]库存使用数据!$A:$J,10,0),0)</f>
        <v>0.96</v>
      </c>
      <c r="K272" s="1">
        <f ca="1">IFERROR(VLOOKUP($A272,[1]库存使用数据!$A:$K,11,0),0)+IFERROR(VLOOKUP($A272,[2]库存使用数据!$A:$K,11,0),0)+IFERROR(VLOOKUP($A272,[3]库存使用数据!$A:$K,11,0),0)+IFERROR(VLOOKUP($A272,[4]库存使用数据!$A:$K,11,0),0)+IFERROR(VLOOKUP($A272,[5]库存使用数据!$A:$K,11,0),0)</f>
        <v>3879</v>
      </c>
      <c r="L272" s="1">
        <f ca="1">IFERROR(VLOOKUP($A272,[1]库存使用数据!$A:$L,12,0),0)+IFERROR(VLOOKUP($A272,[2]库存使用数据!$A:$L,12,0),0)+IFERROR(VLOOKUP($A272,[3]库存使用数据!$A:$L,12,0),0)+IFERROR(VLOOKUP($A272,[4]库存使用数据!$A:$L,12,0),0)+IFERROR(VLOOKUP($A272,[5]库存使用数据!$A:$L,12,0),0)</f>
        <v>12</v>
      </c>
      <c r="M272" s="1">
        <f ca="1">IFERROR(VLOOKUP($A272,[1]库存使用数据!$A:$M,13,0),0)+IFERROR(VLOOKUP($A272,[2]库存使用数据!$A:$M,13,0),0)+公式!$B$14*IFERROR(VLOOKUP($A272,[3]库存使用数据!$A:$M,13,0),0)+IFERROR(VLOOKUP($A272,[4]库存使用数据!$A:$M,13,0),0)+IFERROR(VLOOKUP($A272,[5]库存使用数据!$A:$M,13,0),0)</f>
        <v>2.33</v>
      </c>
    </row>
    <row r="273" spans="1:13">
      <c r="A273" s="5" t="s">
        <v>278</v>
      </c>
      <c r="B273" s="2">
        <f ca="1">IFERROR(VLOOKUP(A273,[1]库存使用数据!$A:$B,2,0),0)+IFERROR(VLOOKUP(A273,[2]库存使用数据!$A:$B,2,0),0)+IFERROR(VLOOKUP(,[3]库存使用数据!$A:$B,2,0),0)+IFERROR(VLOOKUP(A273,[4]库存使用数据!$A:$B,2,0),0)+IFERROR(VLOOKUP(A273,[5]库存使用数据!$A:$B,2,0),0)</f>
        <v>0</v>
      </c>
      <c r="C273" s="1">
        <f ca="1">IFERROR(VLOOKUP($A273,[1]库存使用数据!$A:$C,3,0),0)+IFERROR(VLOOKUP($A273,[2]库存使用数据!$A:$C,3,0),0)+IFERROR(VLOOKUP($A273,[3]库存使用数据!$A:$C,3,0),0)+IFERROR(VLOOKUP($A273,[4]库存使用数据!$A:$C,3,0),0)+IFERROR(VLOOKUP($A273,[5]库存使用数据!$A:$C,3,0),0)</f>
        <v>0</v>
      </c>
      <c r="D273" s="1">
        <f ca="1">IFERROR(VLOOKUP($A273,[1]库存使用数据!$A:$D,4,0),0)+IFERROR(VLOOKUP($A273,[2]库存使用数据!$A:$D,4,0),0)+公式!$B$1*IFERROR(VLOOKUP($A273,[3]库存使用数据!$A:$D,4,0),0)+IFERROR(VLOOKUP($A273,[4]库存使用数据!$A:$D,4,0),0)+IFERROR(VLOOKUP($A273,[5]库存使用数据!$A:$D,4,0),0)</f>
        <v>0</v>
      </c>
      <c r="E273" s="1">
        <f ca="1">IFERROR(VLOOKUP($A273,[1]库存使用数据!$A:$E,5,0),0)+IFERROR(VLOOKUP($A273,[2]库存使用数据!$A:$E,5,0),0)+IFERROR(VLOOKUP($A273,[3]库存使用数据!$A:$E,5,0),0)+IFERROR(VLOOKUP($A273,[4]库存使用数据!$A:$E,5,0),0)+IFERROR(VLOOKUP($A273,[5]库存使用数据!$A:$E,5,0),0)</f>
        <v>0</v>
      </c>
      <c r="F273" s="1">
        <f ca="1">IFERROR(VLOOKUP($A273,[1]库存使用数据!$A:$F,6,0),0)+IFERROR(VLOOKUP($A273,[2]库存使用数据!$A:$F,6,0),0)+IFERROR(VLOOKUP($A273,[4]库存使用数据!$A:$F,6,0),0)+IFERROR(VLOOKUP($A273,[3]库存使用数据!$A:$F,6,0),0)+IFERROR(VLOOKUP($A273,[5]库存使用数据!$A:$F,6,0),0)</f>
        <v>0</v>
      </c>
      <c r="G273" s="1">
        <f ca="1">IFERROR(VLOOKUP($A273,[1]库存使用数据!$A:$G,7,0),0)+IFERROR(VLOOKUP($A273,[2]库存使用数据!$A:$G,7,0),0)+公式!$B$14*IFERROR(VLOOKUP($A273,[3]库存使用数据!$A:$G,7,0),0)+IFERROR(VLOOKUP($A273,[4]库存使用数据!$A:$G,7,0),0)+IFERROR(VLOOKUP($A273,[5]库存使用数据!$A:$G,7,0),0)</f>
        <v>0</v>
      </c>
      <c r="H273" s="1">
        <f ca="1">IFERROR(VLOOKUP($A273,[1]库存使用数据!$A:$H,8,0),0)+IFERROR(VLOOKUP($A273,[2]库存使用数据!$A:$H,8,0),0)+IFERROR(VLOOKUP($A273,[3]库存使用数据!$A:$H,8,0),0)+IFERROR(VLOOKUP($A273,[4]库存使用数据!$A:$H,8,0),0)+IFERROR(VLOOKUP($A273,[5]库存使用数据!$A:$H,8,0),0)</f>
        <v>2509</v>
      </c>
      <c r="I273" s="1">
        <f ca="1">IFERROR(VLOOKUP($A273,[1]库存使用数据!$A:$I,9,0),0)+IFERROR(VLOOKUP($A273,[2]库存使用数据!$A:$I,9,0),0)+IFERROR(VLOOKUP($A273,[3]库存使用数据!$A:$I,9,0),0)+IFERROR(VLOOKUP($A273,[4]库存使用数据!$A:$I,9,0),0)+IFERROR(VLOOKUP($A273,[5]库存使用数据!$A:$I,9,0),0)</f>
        <v>9</v>
      </c>
      <c r="J273" s="1">
        <f ca="1">IFERROR(VLOOKUP($A273,[1]库存使用数据!$A:$J,10,0),0)+IFERROR(VLOOKUP($A273,[2]库存使用数据!$A:$J,10,0),0)+公式!$B$14*IFERROR(VLOOKUP($A273,[3]库存使用数据!$A:$J,10,0),0)+IFERROR(VLOOKUP($A273,[4]库存使用数据!$A:$J,10,0),0)+IFERROR(VLOOKUP($A273,[5]库存使用数据!$A:$J,10,0),0)</f>
        <v>1.79</v>
      </c>
      <c r="K273" s="1">
        <f ca="1">IFERROR(VLOOKUP($A273,[1]库存使用数据!$A:$K,11,0),0)+IFERROR(VLOOKUP($A273,[2]库存使用数据!$A:$K,11,0),0)+IFERROR(VLOOKUP($A273,[3]库存使用数据!$A:$K,11,0),0)+IFERROR(VLOOKUP($A273,[4]库存使用数据!$A:$K,11,0),0)+IFERROR(VLOOKUP($A273,[5]库存使用数据!$A:$K,11,0),0)</f>
        <v>7583</v>
      </c>
      <c r="L273" s="1">
        <f ca="1">IFERROR(VLOOKUP($A273,[1]库存使用数据!$A:$L,12,0),0)+IFERROR(VLOOKUP($A273,[2]库存使用数据!$A:$L,12,0),0)+IFERROR(VLOOKUP($A273,[3]库存使用数据!$A:$L,12,0),0)+IFERROR(VLOOKUP($A273,[4]库存使用数据!$A:$L,12,0),0)+IFERROR(VLOOKUP($A273,[5]库存使用数据!$A:$L,12,0),0)</f>
        <v>18</v>
      </c>
      <c r="M273" s="1">
        <f ca="1">IFERROR(VLOOKUP($A273,[1]库存使用数据!$A:$M,13,0),0)+IFERROR(VLOOKUP($A273,[2]库存使用数据!$A:$M,13,0),0)+公式!$B$14*IFERROR(VLOOKUP($A273,[3]库存使用数据!$A:$M,13,0),0)+IFERROR(VLOOKUP($A273,[4]库存使用数据!$A:$M,13,0),0)+IFERROR(VLOOKUP($A273,[5]库存使用数据!$A:$M,13,0),0)</f>
        <v>3.62</v>
      </c>
    </row>
    <row r="274" spans="1:13">
      <c r="A274" s="5" t="s">
        <v>279</v>
      </c>
      <c r="B274" s="2">
        <f ca="1">IFERROR(VLOOKUP(A274,[1]库存使用数据!$A:$B,2,0),0)+IFERROR(VLOOKUP(A274,[2]库存使用数据!$A:$B,2,0),0)+IFERROR(VLOOKUP(,[3]库存使用数据!$A:$B,2,0),0)+IFERROR(VLOOKUP(A274,[4]库存使用数据!$A:$B,2,0),0)+IFERROR(VLOOKUP(A274,[5]库存使用数据!$A:$B,2,0),0)</f>
        <v>55</v>
      </c>
      <c r="C274" s="1">
        <f ca="1">IFERROR(VLOOKUP($A274,[1]库存使用数据!$A:$C,3,0),0)+IFERROR(VLOOKUP($A274,[2]库存使用数据!$A:$C,3,0),0)+IFERROR(VLOOKUP($A274,[3]库存使用数据!$A:$C,3,0),0)+IFERROR(VLOOKUP($A274,[4]库存使用数据!$A:$C,3,0),0)+IFERROR(VLOOKUP($A274,[5]库存使用数据!$A:$C,3,0),0)</f>
        <v>0</v>
      </c>
      <c r="D274" s="1">
        <f ca="1">IFERROR(VLOOKUP($A274,[1]库存使用数据!$A:$D,4,0),0)+IFERROR(VLOOKUP($A274,[2]库存使用数据!$A:$D,4,0),0)+公式!$B$1*IFERROR(VLOOKUP($A274,[3]库存使用数据!$A:$D,4,0),0)+IFERROR(VLOOKUP($A274,[4]库存使用数据!$A:$D,4,0),0)+IFERROR(VLOOKUP($A274,[5]库存使用数据!$A:$D,4,0),0)</f>
        <v>0</v>
      </c>
      <c r="E274" s="1">
        <f ca="1">IFERROR(VLOOKUP($A274,[1]库存使用数据!$A:$E,5,0),0)+IFERROR(VLOOKUP($A274,[2]库存使用数据!$A:$E,5,0),0)+IFERROR(VLOOKUP($A274,[3]库存使用数据!$A:$E,5,0),0)+IFERROR(VLOOKUP($A274,[4]库存使用数据!$A:$E,5,0),0)+IFERROR(VLOOKUP($A274,[5]库存使用数据!$A:$E,5,0),0)</f>
        <v>77</v>
      </c>
      <c r="F274" s="1">
        <f ca="1">IFERROR(VLOOKUP($A274,[1]库存使用数据!$A:$F,6,0),0)+IFERROR(VLOOKUP($A274,[2]库存使用数据!$A:$F,6,0),0)+IFERROR(VLOOKUP($A274,[4]库存使用数据!$A:$F,6,0),0)+IFERROR(VLOOKUP($A274,[3]库存使用数据!$A:$F,6,0),0)+IFERROR(VLOOKUP($A274,[5]库存使用数据!$A:$F,6,0),0)</f>
        <v>0</v>
      </c>
      <c r="G274" s="1">
        <f ca="1">IFERROR(VLOOKUP($A274,[1]库存使用数据!$A:$G,7,0),0)+IFERROR(VLOOKUP($A274,[2]库存使用数据!$A:$G,7,0),0)+公式!$B$14*IFERROR(VLOOKUP($A274,[3]库存使用数据!$A:$G,7,0),0)+IFERROR(VLOOKUP($A274,[4]库存使用数据!$A:$G,7,0),0)+IFERROR(VLOOKUP($A274,[5]库存使用数据!$A:$G,7,0),0)</f>
        <v>0</v>
      </c>
      <c r="H274" s="1">
        <f ca="1">IFERROR(VLOOKUP($A274,[1]库存使用数据!$A:$H,8,0),0)+IFERROR(VLOOKUP($A274,[2]库存使用数据!$A:$H,8,0),0)+IFERROR(VLOOKUP($A274,[3]库存使用数据!$A:$H,8,0),0)+IFERROR(VLOOKUP($A274,[4]库存使用数据!$A:$H,8,0),0)+IFERROR(VLOOKUP($A274,[5]库存使用数据!$A:$H,8,0),0)</f>
        <v>858</v>
      </c>
      <c r="I274" s="1">
        <f ca="1">IFERROR(VLOOKUP($A274,[1]库存使用数据!$A:$I,9,0),0)+IFERROR(VLOOKUP($A274,[2]库存使用数据!$A:$I,9,0),0)+IFERROR(VLOOKUP($A274,[3]库存使用数据!$A:$I,9,0),0)+IFERROR(VLOOKUP($A274,[4]库存使用数据!$A:$I,9,0),0)+IFERROR(VLOOKUP($A274,[5]库存使用数据!$A:$I,9,0),0)</f>
        <v>3</v>
      </c>
      <c r="J274" s="1">
        <f ca="1">IFERROR(VLOOKUP($A274,[1]库存使用数据!$A:$J,10,0),0)+IFERROR(VLOOKUP($A274,[2]库存使用数据!$A:$J,10,0),0)+公式!$B$14*IFERROR(VLOOKUP($A274,[3]库存使用数据!$A:$J,10,0),0)+IFERROR(VLOOKUP($A274,[4]库存使用数据!$A:$J,10,0),0)+IFERROR(VLOOKUP($A274,[5]库存使用数据!$A:$J,10,0),0)</f>
        <v>0.51</v>
      </c>
      <c r="K274" s="1">
        <f ca="1">IFERROR(VLOOKUP($A274,[1]库存使用数据!$A:$K,11,0),0)+IFERROR(VLOOKUP($A274,[2]库存使用数据!$A:$K,11,0),0)+IFERROR(VLOOKUP($A274,[3]库存使用数据!$A:$K,11,0),0)+IFERROR(VLOOKUP($A274,[4]库存使用数据!$A:$K,11,0),0)+IFERROR(VLOOKUP($A274,[5]库存使用数据!$A:$K,11,0),0)</f>
        <v>2695</v>
      </c>
      <c r="L274" s="1">
        <f ca="1">IFERROR(VLOOKUP($A274,[1]库存使用数据!$A:$L,12,0),0)+IFERROR(VLOOKUP($A274,[2]库存使用数据!$A:$L,12,0),0)+IFERROR(VLOOKUP($A274,[3]库存使用数据!$A:$L,12,0),0)+IFERROR(VLOOKUP($A274,[4]库存使用数据!$A:$L,12,0),0)+IFERROR(VLOOKUP($A274,[5]库存使用数据!$A:$L,12,0),0)</f>
        <v>9</v>
      </c>
      <c r="M274" s="1">
        <f ca="1">IFERROR(VLOOKUP($A274,[1]库存使用数据!$A:$M,13,0),0)+IFERROR(VLOOKUP($A274,[2]库存使用数据!$A:$M,13,0),0)+公式!$B$14*IFERROR(VLOOKUP($A274,[3]库存使用数据!$A:$M,13,0),0)+IFERROR(VLOOKUP($A274,[4]库存使用数据!$A:$M,13,0),0)+IFERROR(VLOOKUP($A274,[5]库存使用数据!$A:$M,13,0),0)</f>
        <v>1.7</v>
      </c>
    </row>
    <row r="275" spans="1:13">
      <c r="A275" s="5" t="s">
        <v>280</v>
      </c>
      <c r="B275" s="2">
        <f ca="1">IFERROR(VLOOKUP(A275,[1]库存使用数据!$A:$B,2,0),0)+IFERROR(VLOOKUP(A275,[2]库存使用数据!$A:$B,2,0),0)+IFERROR(VLOOKUP(,[3]库存使用数据!$A:$B,2,0),0)+IFERROR(VLOOKUP(A275,[4]库存使用数据!$A:$B,2,0),0)+IFERROR(VLOOKUP(A275,[5]库存使用数据!$A:$B,2,0),0)</f>
        <v>0</v>
      </c>
      <c r="C275" s="1">
        <f ca="1">IFERROR(VLOOKUP($A275,[1]库存使用数据!$A:$C,3,0),0)+IFERROR(VLOOKUP($A275,[2]库存使用数据!$A:$C,3,0),0)+IFERROR(VLOOKUP($A275,[3]库存使用数据!$A:$C,3,0),0)+IFERROR(VLOOKUP($A275,[4]库存使用数据!$A:$C,3,0),0)+IFERROR(VLOOKUP($A275,[5]库存使用数据!$A:$C,3,0),0)</f>
        <v>2</v>
      </c>
      <c r="D275" s="1">
        <f ca="1">IFERROR(VLOOKUP($A275,[1]库存使用数据!$A:$D,4,0),0)+IFERROR(VLOOKUP($A275,[2]库存使用数据!$A:$D,4,0),0)+公式!$B$1*IFERROR(VLOOKUP($A275,[3]库存使用数据!$A:$D,4,0),0)+IFERROR(VLOOKUP($A275,[4]库存使用数据!$A:$D,4,0),0)+IFERROR(VLOOKUP($A275,[5]库存使用数据!$A:$D,4,0),0)</f>
        <v>0.2025</v>
      </c>
      <c r="E275" s="1">
        <f ca="1">IFERROR(VLOOKUP($A275,[1]库存使用数据!$A:$E,5,0),0)+IFERROR(VLOOKUP($A275,[2]库存使用数据!$A:$E,5,0),0)+IFERROR(VLOOKUP($A275,[3]库存使用数据!$A:$E,5,0),0)+IFERROR(VLOOKUP($A275,[4]库存使用数据!$A:$E,5,0),0)+IFERROR(VLOOKUP($A275,[5]库存使用数据!$A:$E,5,0),0)</f>
        <v>1604</v>
      </c>
      <c r="F275" s="1">
        <f ca="1">IFERROR(VLOOKUP($A275,[1]库存使用数据!$A:$F,6,0),0)+IFERROR(VLOOKUP($A275,[2]库存使用数据!$A:$F,6,0),0)+IFERROR(VLOOKUP($A275,[4]库存使用数据!$A:$F,6,0),0)+IFERROR(VLOOKUP($A275,[3]库存使用数据!$A:$F,6,0),0)+IFERROR(VLOOKUP($A275,[5]库存使用数据!$A:$F,6,0),0)</f>
        <v>15</v>
      </c>
      <c r="G275" s="1">
        <f ca="1">IFERROR(VLOOKUP($A275,[1]库存使用数据!$A:$G,7,0),0)+IFERROR(VLOOKUP($A275,[2]库存使用数据!$A:$G,7,0),0)+公式!$B$14*IFERROR(VLOOKUP($A275,[3]库存使用数据!$A:$G,7,0),0)+IFERROR(VLOOKUP($A275,[4]库存使用数据!$A:$G,7,0),0)+IFERROR(VLOOKUP($A275,[5]库存使用数据!$A:$G,7,0),0)</f>
        <v>2.79</v>
      </c>
      <c r="H275" s="1">
        <f ca="1">IFERROR(VLOOKUP($A275,[1]库存使用数据!$A:$H,8,0),0)+IFERROR(VLOOKUP($A275,[2]库存使用数据!$A:$H,8,0),0)+IFERROR(VLOOKUP($A275,[3]库存使用数据!$A:$H,8,0),0)+IFERROR(VLOOKUP($A275,[4]库存使用数据!$A:$H,8,0),0)+IFERROR(VLOOKUP($A275,[5]库存使用数据!$A:$H,8,0),0)</f>
        <v>332</v>
      </c>
      <c r="I275" s="1">
        <f ca="1">IFERROR(VLOOKUP($A275,[1]库存使用数据!$A:$I,9,0),0)+IFERROR(VLOOKUP($A275,[2]库存使用数据!$A:$I,9,0),0)+IFERROR(VLOOKUP($A275,[3]库存使用数据!$A:$I,9,0),0)+IFERROR(VLOOKUP($A275,[4]库存使用数据!$A:$I,9,0),0)+IFERROR(VLOOKUP($A275,[5]库存使用数据!$A:$I,9,0),0)</f>
        <v>2</v>
      </c>
      <c r="J275" s="1">
        <f ca="1">IFERROR(VLOOKUP($A275,[1]库存使用数据!$A:$J,10,0),0)+IFERROR(VLOOKUP($A275,[2]库存使用数据!$A:$J,10,0),0)+公式!$B$14*IFERROR(VLOOKUP($A275,[3]库存使用数据!$A:$J,10,0),0)+IFERROR(VLOOKUP($A275,[4]库存使用数据!$A:$J,10,0),0)+IFERROR(VLOOKUP($A275,[5]库存使用数据!$A:$J,10,0),0)</f>
        <v>0.36</v>
      </c>
      <c r="K275" s="1">
        <f ca="1">IFERROR(VLOOKUP($A275,[1]库存使用数据!$A:$K,11,0),0)+IFERROR(VLOOKUP($A275,[2]库存使用数据!$A:$K,11,0),0)+IFERROR(VLOOKUP($A275,[3]库存使用数据!$A:$K,11,0),0)+IFERROR(VLOOKUP($A275,[4]库存使用数据!$A:$K,11,0),0)+IFERROR(VLOOKUP($A275,[5]库存使用数据!$A:$K,11,0),0)</f>
        <v>0</v>
      </c>
      <c r="L275" s="1">
        <f ca="1">IFERROR(VLOOKUP($A275,[1]库存使用数据!$A:$L,12,0),0)+IFERROR(VLOOKUP($A275,[2]库存使用数据!$A:$L,12,0),0)+IFERROR(VLOOKUP($A275,[3]库存使用数据!$A:$L,12,0),0)+IFERROR(VLOOKUP($A275,[4]库存使用数据!$A:$L,12,0),0)+IFERROR(VLOOKUP($A275,[5]库存使用数据!$A:$L,12,0),0)</f>
        <v>0</v>
      </c>
      <c r="M275" s="1">
        <f ca="1">IFERROR(VLOOKUP($A275,[1]库存使用数据!$A:$M,13,0),0)+IFERROR(VLOOKUP($A275,[2]库存使用数据!$A:$M,13,0),0)+公式!$B$14*IFERROR(VLOOKUP($A275,[3]库存使用数据!$A:$M,13,0),0)+IFERROR(VLOOKUP($A275,[4]库存使用数据!$A:$M,13,0),0)+IFERROR(VLOOKUP($A275,[5]库存使用数据!$A:$M,13,0),0)</f>
        <v>0</v>
      </c>
    </row>
    <row r="276" spans="1:13">
      <c r="A276" s="5" t="s">
        <v>281</v>
      </c>
      <c r="B276" s="2">
        <f ca="1">IFERROR(VLOOKUP(A276,[1]库存使用数据!$A:$B,2,0),0)+IFERROR(VLOOKUP(A276,[2]库存使用数据!$A:$B,2,0),0)+IFERROR(VLOOKUP(,[3]库存使用数据!$A:$B,2,0),0)+IFERROR(VLOOKUP(A276,[4]库存使用数据!$A:$B,2,0),0)+IFERROR(VLOOKUP(A276,[5]库存使用数据!$A:$B,2,0),0)</f>
        <v>0</v>
      </c>
      <c r="C276" s="1">
        <f ca="1">IFERROR(VLOOKUP($A276,[1]库存使用数据!$A:$C,3,0),0)+IFERROR(VLOOKUP($A276,[2]库存使用数据!$A:$C,3,0),0)+IFERROR(VLOOKUP($A276,[3]库存使用数据!$A:$C,3,0),0)+IFERROR(VLOOKUP($A276,[4]库存使用数据!$A:$C,3,0),0)+IFERROR(VLOOKUP($A276,[5]库存使用数据!$A:$C,3,0),0)</f>
        <v>315</v>
      </c>
      <c r="D276" s="1">
        <f ca="1">IFERROR(VLOOKUP($A276,[1]库存使用数据!$A:$D,4,0),0)+IFERROR(VLOOKUP($A276,[2]库存使用数据!$A:$D,4,0),0)+公式!$B$1*IFERROR(VLOOKUP($A276,[3]库存使用数据!$A:$D,4,0),0)+IFERROR(VLOOKUP($A276,[4]库存使用数据!$A:$D,4,0),0)+IFERROR(VLOOKUP($A276,[5]库存使用数据!$A:$D,4,0),0)</f>
        <v>65.91375</v>
      </c>
      <c r="E276" s="1">
        <f ca="1">IFERROR(VLOOKUP($A276,[1]库存使用数据!$A:$E,5,0),0)+IFERROR(VLOOKUP($A276,[2]库存使用数据!$A:$E,5,0),0)+IFERROR(VLOOKUP($A276,[3]库存使用数据!$A:$E,5,0),0)+IFERROR(VLOOKUP($A276,[4]库存使用数据!$A:$E,5,0),0)+IFERROR(VLOOKUP($A276,[5]库存使用数据!$A:$E,5,0),0)</f>
        <v>13370</v>
      </c>
      <c r="F276" s="1">
        <f ca="1">IFERROR(VLOOKUP($A276,[1]库存使用数据!$A:$F,6,0),0)+IFERROR(VLOOKUP($A276,[2]库存使用数据!$A:$F,6,0),0)+IFERROR(VLOOKUP($A276,[4]库存使用数据!$A:$F,6,0),0)+IFERROR(VLOOKUP($A276,[3]库存使用数据!$A:$F,6,0),0)+IFERROR(VLOOKUP($A276,[5]库存使用数据!$A:$F,6,0),0)</f>
        <v>93</v>
      </c>
      <c r="G276" s="1">
        <f ca="1">IFERROR(VLOOKUP($A276,[1]库存使用数据!$A:$G,7,0),0)+IFERROR(VLOOKUP($A276,[2]库存使用数据!$A:$G,7,0),0)+公式!$B$14*IFERROR(VLOOKUP($A276,[3]库存使用数据!$A:$G,7,0),0)+IFERROR(VLOOKUP($A276,[4]库存使用数据!$A:$G,7,0),0)+IFERROR(VLOOKUP($A276,[5]库存使用数据!$A:$G,7,0),0)</f>
        <v>0</v>
      </c>
      <c r="H276" s="1">
        <f ca="1">IFERROR(VLOOKUP($A276,[1]库存使用数据!$A:$H,8,0),0)+IFERROR(VLOOKUP($A276,[2]库存使用数据!$A:$H,8,0),0)+IFERROR(VLOOKUP($A276,[3]库存使用数据!$A:$H,8,0),0)+IFERROR(VLOOKUP($A276,[4]库存使用数据!$A:$H,8,0),0)+IFERROR(VLOOKUP($A276,[5]库存使用数据!$A:$H,8,0),0)</f>
        <v>6581</v>
      </c>
      <c r="I276" s="1">
        <f ca="1">IFERROR(VLOOKUP($A276,[1]库存使用数据!$A:$I,9,0),0)+IFERROR(VLOOKUP($A276,[2]库存使用数据!$A:$I,9,0),0)+IFERROR(VLOOKUP($A276,[3]库存使用数据!$A:$I,9,0),0)+IFERROR(VLOOKUP($A276,[4]库存使用数据!$A:$I,9,0),0)+IFERROR(VLOOKUP($A276,[5]库存使用数据!$A:$I,9,0),0)</f>
        <v>145</v>
      </c>
      <c r="J276" s="1">
        <f ca="1">IFERROR(VLOOKUP($A276,[1]库存使用数据!$A:$J,10,0),0)+IFERROR(VLOOKUP($A276,[2]库存使用数据!$A:$J,10,0),0)+公式!$B$14*IFERROR(VLOOKUP($A276,[3]库存使用数据!$A:$J,10,0),0)+IFERROR(VLOOKUP($A276,[4]库存使用数据!$A:$J,10,0),0)+IFERROR(VLOOKUP($A276,[5]库存使用数据!$A:$J,10,0),0)</f>
        <v>13.33</v>
      </c>
      <c r="K276" s="1">
        <f ca="1">IFERROR(VLOOKUP($A276,[1]库存使用数据!$A:$K,11,0),0)+IFERROR(VLOOKUP($A276,[2]库存使用数据!$A:$K,11,0),0)+IFERROR(VLOOKUP($A276,[3]库存使用数据!$A:$K,11,0),0)+IFERROR(VLOOKUP($A276,[4]库存使用数据!$A:$K,11,0),0)+IFERROR(VLOOKUP($A276,[5]库存使用数据!$A:$K,11,0),0)</f>
        <v>0</v>
      </c>
      <c r="L276" s="1">
        <f ca="1">IFERROR(VLOOKUP($A276,[1]库存使用数据!$A:$L,12,0),0)+IFERROR(VLOOKUP($A276,[2]库存使用数据!$A:$L,12,0),0)+IFERROR(VLOOKUP($A276,[3]库存使用数据!$A:$L,12,0),0)+IFERROR(VLOOKUP($A276,[4]库存使用数据!$A:$L,12,0),0)+IFERROR(VLOOKUP($A276,[5]库存使用数据!$A:$L,12,0),0)</f>
        <v>0</v>
      </c>
      <c r="M276" s="1">
        <f ca="1">IFERROR(VLOOKUP($A276,[1]库存使用数据!$A:$M,13,0),0)+IFERROR(VLOOKUP($A276,[2]库存使用数据!$A:$M,13,0),0)+公式!$B$14*IFERROR(VLOOKUP($A276,[3]库存使用数据!$A:$M,13,0),0)+IFERROR(VLOOKUP($A276,[4]库存使用数据!$A:$M,13,0),0)+IFERROR(VLOOKUP($A276,[5]库存使用数据!$A:$M,13,0),0)</f>
        <v>0</v>
      </c>
    </row>
    <row r="277" spans="1:13">
      <c r="A277" s="5" t="s">
        <v>282</v>
      </c>
      <c r="B277" s="2">
        <f ca="1">IFERROR(VLOOKUP(A277,[1]库存使用数据!$A:$B,2,0),0)+IFERROR(VLOOKUP(A277,[2]库存使用数据!$A:$B,2,0),0)+IFERROR(VLOOKUP(,[3]库存使用数据!$A:$B,2,0),0)+IFERROR(VLOOKUP(A277,[4]库存使用数据!$A:$B,2,0),0)+IFERROR(VLOOKUP(A277,[5]库存使用数据!$A:$B,2,0),0)</f>
        <v>0</v>
      </c>
      <c r="C277" s="1">
        <f ca="1">IFERROR(VLOOKUP($A277,[1]库存使用数据!$A:$C,3,0),0)+IFERROR(VLOOKUP($A277,[2]库存使用数据!$A:$C,3,0),0)+IFERROR(VLOOKUP($A277,[3]库存使用数据!$A:$C,3,0),0)+IFERROR(VLOOKUP($A277,[4]库存使用数据!$A:$C,3,0),0)+IFERROR(VLOOKUP($A277,[5]库存使用数据!$A:$C,3,0),0)</f>
        <v>18</v>
      </c>
      <c r="D277" s="1">
        <f ca="1">IFERROR(VLOOKUP($A277,[1]库存使用数据!$A:$D,4,0),0)+IFERROR(VLOOKUP($A277,[2]库存使用数据!$A:$D,4,0),0)+公式!$B$1*IFERROR(VLOOKUP($A277,[3]库存使用数据!$A:$D,4,0),0)+IFERROR(VLOOKUP($A277,[4]库存使用数据!$A:$D,4,0),0)+IFERROR(VLOOKUP($A277,[5]库存使用数据!$A:$D,4,0),0)</f>
        <v>2.52</v>
      </c>
      <c r="E277" s="1">
        <f ca="1">IFERROR(VLOOKUP($A277,[1]库存使用数据!$A:$E,5,0),0)+IFERROR(VLOOKUP($A277,[2]库存使用数据!$A:$E,5,0),0)+IFERROR(VLOOKUP($A277,[3]库存使用数据!$A:$E,5,0),0)+IFERROR(VLOOKUP($A277,[4]库存使用数据!$A:$E,5,0),0)+IFERROR(VLOOKUP($A277,[5]库存使用数据!$A:$E,5,0),0)</f>
        <v>3601</v>
      </c>
      <c r="F277" s="1">
        <f ca="1">IFERROR(VLOOKUP($A277,[1]库存使用数据!$A:$F,6,0),0)+IFERROR(VLOOKUP($A277,[2]库存使用数据!$A:$F,6,0),0)+IFERROR(VLOOKUP($A277,[4]库存使用数据!$A:$F,6,0),0)+IFERROR(VLOOKUP($A277,[3]库存使用数据!$A:$F,6,0),0)+IFERROR(VLOOKUP($A277,[5]库存使用数据!$A:$F,6,0),0)</f>
        <v>15</v>
      </c>
      <c r="G277" s="1">
        <f ca="1">IFERROR(VLOOKUP($A277,[1]库存使用数据!$A:$G,7,0),0)+IFERROR(VLOOKUP($A277,[2]库存使用数据!$A:$G,7,0),0)+公式!$B$14*IFERROR(VLOOKUP($A277,[3]库存使用数据!$A:$G,7,0),0)+IFERROR(VLOOKUP($A277,[4]库存使用数据!$A:$G,7,0),0)+IFERROR(VLOOKUP($A277,[5]库存使用数据!$A:$G,7,0),0)</f>
        <v>0</v>
      </c>
      <c r="H277" s="1">
        <f ca="1">IFERROR(VLOOKUP($A277,[1]库存使用数据!$A:$H,8,0),0)+IFERROR(VLOOKUP($A277,[2]库存使用数据!$A:$H,8,0),0)+IFERROR(VLOOKUP($A277,[3]库存使用数据!$A:$H,8,0),0)+IFERROR(VLOOKUP($A277,[4]库存使用数据!$A:$H,8,0),0)+IFERROR(VLOOKUP($A277,[5]库存使用数据!$A:$H,8,0),0)</f>
        <v>2879</v>
      </c>
      <c r="I277" s="1">
        <f ca="1">IFERROR(VLOOKUP($A277,[1]库存使用数据!$A:$I,9,0),0)+IFERROR(VLOOKUP($A277,[2]库存使用数据!$A:$I,9,0),0)+IFERROR(VLOOKUP($A277,[3]库存使用数据!$A:$I,9,0),0)+IFERROR(VLOOKUP($A277,[4]库存使用数据!$A:$I,9,0),0)+IFERROR(VLOOKUP($A277,[5]库存使用数据!$A:$I,9,0),0)</f>
        <v>19</v>
      </c>
      <c r="J277" s="1">
        <f ca="1">IFERROR(VLOOKUP($A277,[1]库存使用数据!$A:$J,10,0),0)+IFERROR(VLOOKUP($A277,[2]库存使用数据!$A:$J,10,0),0)+公式!$B$14*IFERROR(VLOOKUP($A277,[3]库存使用数据!$A:$J,10,0),0)+IFERROR(VLOOKUP($A277,[4]库存使用数据!$A:$J,10,0),0)+IFERROR(VLOOKUP($A277,[5]库存使用数据!$A:$J,10,0),0)</f>
        <v>0</v>
      </c>
      <c r="K277" s="1">
        <f ca="1">IFERROR(VLOOKUP($A277,[1]库存使用数据!$A:$K,11,0),0)+IFERROR(VLOOKUP($A277,[2]库存使用数据!$A:$K,11,0),0)+IFERROR(VLOOKUP($A277,[3]库存使用数据!$A:$K,11,0),0)+IFERROR(VLOOKUP($A277,[4]库存使用数据!$A:$K,11,0),0)+IFERROR(VLOOKUP($A277,[5]库存使用数据!$A:$K,11,0),0)</f>
        <v>1879</v>
      </c>
      <c r="L277" s="1">
        <f ca="1">IFERROR(VLOOKUP($A277,[1]库存使用数据!$A:$L,12,0),0)+IFERROR(VLOOKUP($A277,[2]库存使用数据!$A:$L,12,0),0)+IFERROR(VLOOKUP($A277,[3]库存使用数据!$A:$L,12,0),0)+IFERROR(VLOOKUP($A277,[4]库存使用数据!$A:$L,12,0),0)+IFERROR(VLOOKUP($A277,[5]库存使用数据!$A:$L,12,0),0)</f>
        <v>12</v>
      </c>
      <c r="M277" s="1">
        <f ca="1">IFERROR(VLOOKUP($A277,[1]库存使用数据!$A:$M,13,0),0)+IFERROR(VLOOKUP($A277,[2]库存使用数据!$A:$M,13,0),0)+公式!$B$14*IFERROR(VLOOKUP($A277,[3]库存使用数据!$A:$M,13,0),0)+IFERROR(VLOOKUP($A277,[4]库存使用数据!$A:$M,13,0),0)+IFERROR(VLOOKUP($A277,[5]库存使用数据!$A:$M,13,0),0)</f>
        <v>0</v>
      </c>
    </row>
    <row r="278" spans="1:13">
      <c r="A278" s="5" t="s">
        <v>283</v>
      </c>
      <c r="B278" s="2">
        <f ca="1">IFERROR(VLOOKUP(A278,[1]库存使用数据!$A:$B,2,0),0)+IFERROR(VLOOKUP(A278,[2]库存使用数据!$A:$B,2,0),0)+IFERROR(VLOOKUP(,[3]库存使用数据!$A:$B,2,0),0)+IFERROR(VLOOKUP(A278,[4]库存使用数据!$A:$B,2,0),0)+IFERROR(VLOOKUP(A278,[5]库存使用数据!$A:$B,2,0),0)</f>
        <v>5</v>
      </c>
      <c r="C278" s="1">
        <f ca="1">IFERROR(VLOOKUP($A278,[1]库存使用数据!$A:$C,3,0),0)+IFERROR(VLOOKUP($A278,[2]库存使用数据!$A:$C,3,0),0)+IFERROR(VLOOKUP($A278,[3]库存使用数据!$A:$C,3,0),0)+IFERROR(VLOOKUP($A278,[4]库存使用数据!$A:$C,3,0),0)+IFERROR(VLOOKUP($A278,[5]库存使用数据!$A:$C,3,0),0)</f>
        <v>5</v>
      </c>
      <c r="D278" s="1">
        <f ca="1">IFERROR(VLOOKUP($A278,[1]库存使用数据!$A:$D,4,0),0)+IFERROR(VLOOKUP($A278,[2]库存使用数据!$A:$D,4,0),0)+公式!$B$1*IFERROR(VLOOKUP($A278,[3]库存使用数据!$A:$D,4,0),0)+IFERROR(VLOOKUP($A278,[4]库存使用数据!$A:$D,4,0),0)+IFERROR(VLOOKUP($A278,[5]库存使用数据!$A:$D,4,0),0)</f>
        <v>0.64125</v>
      </c>
      <c r="E278" s="1">
        <f ca="1">IFERROR(VLOOKUP($A278,[1]库存使用数据!$A:$E,5,0),0)+IFERROR(VLOOKUP($A278,[2]库存使用数据!$A:$E,5,0),0)+IFERROR(VLOOKUP($A278,[3]库存使用数据!$A:$E,5,0),0)+IFERROR(VLOOKUP($A278,[4]库存使用数据!$A:$E,5,0),0)+IFERROR(VLOOKUP($A278,[5]库存使用数据!$A:$E,5,0),0)</f>
        <v>17794</v>
      </c>
      <c r="F278" s="1">
        <f ca="1">IFERROR(VLOOKUP($A278,[1]库存使用数据!$A:$F,6,0),0)+IFERROR(VLOOKUP($A278,[2]库存使用数据!$A:$F,6,0),0)+IFERROR(VLOOKUP($A278,[4]库存使用数据!$A:$F,6,0),0)+IFERROR(VLOOKUP($A278,[3]库存使用数据!$A:$F,6,0),0)+IFERROR(VLOOKUP($A278,[5]库存使用数据!$A:$F,6,0),0)</f>
        <v>95</v>
      </c>
      <c r="G278" s="1">
        <f ca="1">IFERROR(VLOOKUP($A278,[1]库存使用数据!$A:$G,7,0),0)+IFERROR(VLOOKUP($A278,[2]库存使用数据!$A:$G,7,0),0)+公式!$B$14*IFERROR(VLOOKUP($A278,[3]库存使用数据!$A:$G,7,0),0)+IFERROR(VLOOKUP($A278,[4]库存使用数据!$A:$G,7,0),0)+IFERROR(VLOOKUP($A278,[5]库存使用数据!$A:$G,7,0),0)</f>
        <v>10.12</v>
      </c>
      <c r="H278" s="1">
        <f ca="1">IFERROR(VLOOKUP($A278,[1]库存使用数据!$A:$H,8,0),0)+IFERROR(VLOOKUP($A278,[2]库存使用数据!$A:$H,8,0),0)+IFERROR(VLOOKUP($A278,[3]库存使用数据!$A:$H,8,0),0)+IFERROR(VLOOKUP($A278,[4]库存使用数据!$A:$H,8,0),0)+IFERROR(VLOOKUP($A278,[5]库存使用数据!$A:$H,8,0),0)</f>
        <v>58</v>
      </c>
      <c r="I278" s="1">
        <f ca="1">IFERROR(VLOOKUP($A278,[1]库存使用数据!$A:$I,9,0),0)+IFERROR(VLOOKUP($A278,[2]库存使用数据!$A:$I,9,0),0)+IFERROR(VLOOKUP($A278,[3]库存使用数据!$A:$I,9,0),0)+IFERROR(VLOOKUP($A278,[4]库存使用数据!$A:$I,9,0),0)+IFERROR(VLOOKUP($A278,[5]库存使用数据!$A:$I,9,0),0)</f>
        <v>0</v>
      </c>
      <c r="J278" s="1">
        <f ca="1">IFERROR(VLOOKUP($A278,[1]库存使用数据!$A:$J,10,0),0)+IFERROR(VLOOKUP($A278,[2]库存使用数据!$A:$J,10,0),0)+公式!$B$14*IFERROR(VLOOKUP($A278,[3]库存使用数据!$A:$J,10,0),0)+IFERROR(VLOOKUP($A278,[4]库存使用数据!$A:$J,10,0),0)+IFERROR(VLOOKUP($A278,[5]库存使用数据!$A:$J,10,0),0)</f>
        <v>0</v>
      </c>
      <c r="K278" s="1">
        <f ca="1">IFERROR(VLOOKUP($A278,[1]库存使用数据!$A:$K,11,0),0)+IFERROR(VLOOKUP($A278,[2]库存使用数据!$A:$K,11,0),0)+IFERROR(VLOOKUP($A278,[3]库存使用数据!$A:$K,11,0),0)+IFERROR(VLOOKUP($A278,[4]库存使用数据!$A:$K,11,0),0)+IFERROR(VLOOKUP($A278,[5]库存使用数据!$A:$K,11,0),0)</f>
        <v>0</v>
      </c>
      <c r="L278" s="1">
        <f ca="1">IFERROR(VLOOKUP($A278,[1]库存使用数据!$A:$L,12,0),0)+IFERROR(VLOOKUP($A278,[2]库存使用数据!$A:$L,12,0),0)+IFERROR(VLOOKUP($A278,[3]库存使用数据!$A:$L,12,0),0)+IFERROR(VLOOKUP($A278,[4]库存使用数据!$A:$L,12,0),0)+IFERROR(VLOOKUP($A278,[5]库存使用数据!$A:$L,12,0),0)</f>
        <v>0</v>
      </c>
      <c r="M278" s="1">
        <f ca="1">IFERROR(VLOOKUP($A278,[1]库存使用数据!$A:$M,13,0),0)+IFERROR(VLOOKUP($A278,[2]库存使用数据!$A:$M,13,0),0)+公式!$B$14*IFERROR(VLOOKUP($A278,[3]库存使用数据!$A:$M,13,0),0)+IFERROR(VLOOKUP($A278,[4]库存使用数据!$A:$M,13,0),0)+IFERROR(VLOOKUP($A278,[5]库存使用数据!$A:$M,13,0),0)</f>
        <v>0</v>
      </c>
    </row>
    <row r="279" spans="1:13">
      <c r="A279" s="5" t="s">
        <v>284</v>
      </c>
      <c r="B279" s="2">
        <f ca="1">IFERROR(VLOOKUP(A279,[1]库存使用数据!$A:$B,2,0),0)+IFERROR(VLOOKUP(A279,[2]库存使用数据!$A:$B,2,0),0)+IFERROR(VLOOKUP(,[3]库存使用数据!$A:$B,2,0),0)+IFERROR(VLOOKUP(A279,[4]库存使用数据!$A:$B,2,0),0)+IFERROR(VLOOKUP(A279,[5]库存使用数据!$A:$B,2,0),0)</f>
        <v>19189</v>
      </c>
      <c r="C279" s="1">
        <f ca="1">IFERROR(VLOOKUP($A279,[1]库存使用数据!$A:$C,3,0),0)+IFERROR(VLOOKUP($A279,[2]库存使用数据!$A:$C,3,0),0)+IFERROR(VLOOKUP($A279,[3]库存使用数据!$A:$C,3,0),0)+IFERROR(VLOOKUP($A279,[4]库存使用数据!$A:$C,3,0),0)+IFERROR(VLOOKUP($A279,[5]库存使用数据!$A:$C,3,0),0)</f>
        <v>175</v>
      </c>
      <c r="D279" s="1">
        <f ca="1">IFERROR(VLOOKUP($A279,[1]库存使用数据!$A:$D,4,0),0)+IFERROR(VLOOKUP($A279,[2]库存使用数据!$A:$D,4,0),0)+公式!$B$1*IFERROR(VLOOKUP($A279,[3]库存使用数据!$A:$D,4,0),0)+IFERROR(VLOOKUP($A279,[4]库存使用数据!$A:$D,4,0),0)+IFERROR(VLOOKUP($A279,[5]库存使用数据!$A:$D,4,0),0)</f>
        <v>29.85</v>
      </c>
      <c r="E279" s="1">
        <f ca="1">IFERROR(VLOOKUP($A279,[1]库存使用数据!$A:$E,5,0),0)+IFERROR(VLOOKUP($A279,[2]库存使用数据!$A:$E,5,0),0)+IFERROR(VLOOKUP($A279,[3]库存使用数据!$A:$E,5,0),0)+IFERROR(VLOOKUP($A279,[4]库存使用数据!$A:$E,5,0),0)+IFERROR(VLOOKUP($A279,[5]库存使用数据!$A:$E,5,0),0)</f>
        <v>14563</v>
      </c>
      <c r="F279" s="1">
        <f ca="1">IFERROR(VLOOKUP($A279,[1]库存使用数据!$A:$F,6,0),0)+IFERROR(VLOOKUP($A279,[2]库存使用数据!$A:$F,6,0),0)+IFERROR(VLOOKUP($A279,[4]库存使用数据!$A:$F,6,0),0)+IFERROR(VLOOKUP($A279,[3]库存使用数据!$A:$F,6,0),0)+IFERROR(VLOOKUP($A279,[5]库存使用数据!$A:$F,6,0),0)</f>
        <v>105</v>
      </c>
      <c r="G279" s="1">
        <f ca="1">IFERROR(VLOOKUP($A279,[1]库存使用数据!$A:$G,7,0),0)+IFERROR(VLOOKUP($A279,[2]库存使用数据!$A:$G,7,0),0)+公式!$B$14*IFERROR(VLOOKUP($A279,[3]库存使用数据!$A:$G,7,0),0)+IFERROR(VLOOKUP($A279,[4]库存使用数据!$A:$G,7,0),0)+IFERROR(VLOOKUP($A279,[5]库存使用数据!$A:$G,7,0),0)</f>
        <v>17.82</v>
      </c>
      <c r="H279" s="1">
        <f ca="1">IFERROR(VLOOKUP($A279,[1]库存使用数据!$A:$H,8,0),0)+IFERROR(VLOOKUP($A279,[2]库存使用数据!$A:$H,8,0),0)+IFERROR(VLOOKUP($A279,[3]库存使用数据!$A:$H,8,0),0)+IFERROR(VLOOKUP($A279,[4]库存使用数据!$A:$H,8,0),0)+IFERROR(VLOOKUP($A279,[5]库存使用数据!$A:$H,8,0),0)</f>
        <v>3453</v>
      </c>
      <c r="I279" s="1">
        <f ca="1">IFERROR(VLOOKUP($A279,[1]库存使用数据!$A:$I,9,0),0)+IFERROR(VLOOKUP($A279,[2]库存使用数据!$A:$I,9,0),0)+IFERROR(VLOOKUP($A279,[3]库存使用数据!$A:$I,9,0),0)+IFERROR(VLOOKUP($A279,[4]库存使用数据!$A:$I,9,0),0)+IFERROR(VLOOKUP($A279,[5]库存使用数据!$A:$I,9,0),0)</f>
        <v>33</v>
      </c>
      <c r="J279" s="1">
        <f ca="1">IFERROR(VLOOKUP($A279,[1]库存使用数据!$A:$J,10,0),0)+IFERROR(VLOOKUP($A279,[2]库存使用数据!$A:$J,10,0),0)+公式!$B$14*IFERROR(VLOOKUP($A279,[3]库存使用数据!$A:$J,10,0),0)+IFERROR(VLOOKUP($A279,[4]库存使用数据!$A:$J,10,0),0)+IFERROR(VLOOKUP($A279,[5]库存使用数据!$A:$J,10,0),0)</f>
        <v>5.46</v>
      </c>
      <c r="K279" s="1">
        <f ca="1">IFERROR(VLOOKUP($A279,[1]库存使用数据!$A:$K,11,0),0)+IFERROR(VLOOKUP($A279,[2]库存使用数据!$A:$K,11,0),0)+IFERROR(VLOOKUP($A279,[3]库存使用数据!$A:$K,11,0),0)+IFERROR(VLOOKUP($A279,[4]库存使用数据!$A:$K,11,0),0)+IFERROR(VLOOKUP($A279,[5]库存使用数据!$A:$K,11,0),0)</f>
        <v>13304</v>
      </c>
      <c r="L279" s="1">
        <f ca="1">IFERROR(VLOOKUP($A279,[1]库存使用数据!$A:$L,12,0),0)+IFERROR(VLOOKUP($A279,[2]库存使用数据!$A:$L,12,0),0)+IFERROR(VLOOKUP($A279,[3]库存使用数据!$A:$L,12,0),0)+IFERROR(VLOOKUP($A279,[4]库存使用数据!$A:$L,12,0),0)+IFERROR(VLOOKUP($A279,[5]库存使用数据!$A:$L,12,0),0)</f>
        <v>85</v>
      </c>
      <c r="M279" s="1">
        <f ca="1">IFERROR(VLOOKUP($A279,[1]库存使用数据!$A:$M,13,0),0)+IFERROR(VLOOKUP($A279,[2]库存使用数据!$A:$M,13,0),0)+公式!$B$14*IFERROR(VLOOKUP($A279,[3]库存使用数据!$A:$M,13,0),0)+IFERROR(VLOOKUP($A279,[4]库存使用数据!$A:$M,13,0),0)+IFERROR(VLOOKUP($A279,[5]库存使用数据!$A:$M,13,0),0)</f>
        <v>14.36</v>
      </c>
    </row>
    <row r="280" spans="1:13">
      <c r="A280" s="5" t="s">
        <v>285</v>
      </c>
      <c r="B280" s="2">
        <f ca="1">IFERROR(VLOOKUP(A280,[1]库存使用数据!$A:$B,2,0),0)+IFERROR(VLOOKUP(A280,[2]库存使用数据!$A:$B,2,0),0)+IFERROR(VLOOKUP(,[3]库存使用数据!$A:$B,2,0),0)+IFERROR(VLOOKUP(A280,[4]库存使用数据!$A:$B,2,0),0)+IFERROR(VLOOKUP(A280,[5]库存使用数据!$A:$B,2,0),0)</f>
        <v>0</v>
      </c>
      <c r="C280" s="1">
        <f ca="1">IFERROR(VLOOKUP($A280,[1]库存使用数据!$A:$C,3,0),0)+IFERROR(VLOOKUP($A280,[2]库存使用数据!$A:$C,3,0),0)+IFERROR(VLOOKUP($A280,[3]库存使用数据!$A:$C,3,0),0)+IFERROR(VLOOKUP($A280,[4]库存使用数据!$A:$C,3,0),0)+IFERROR(VLOOKUP($A280,[5]库存使用数据!$A:$C,3,0),0)</f>
        <v>7</v>
      </c>
      <c r="D280" s="1">
        <f ca="1">IFERROR(VLOOKUP($A280,[1]库存使用数据!$A:$D,4,0),0)+IFERROR(VLOOKUP($A280,[2]库存使用数据!$A:$D,4,0),0)+公式!$B$1*IFERROR(VLOOKUP($A280,[3]库存使用数据!$A:$D,4,0),0)+IFERROR(VLOOKUP($A280,[4]库存使用数据!$A:$D,4,0),0)+IFERROR(VLOOKUP($A280,[5]库存使用数据!$A:$D,4,0),0)</f>
        <v>1.845</v>
      </c>
      <c r="E280" s="1">
        <f ca="1">IFERROR(VLOOKUP($A280,[1]库存使用数据!$A:$E,5,0),0)+IFERROR(VLOOKUP($A280,[2]库存使用数据!$A:$E,5,0),0)+IFERROR(VLOOKUP($A280,[3]库存使用数据!$A:$E,5,0),0)+IFERROR(VLOOKUP($A280,[4]库存使用数据!$A:$E,5,0),0)+IFERROR(VLOOKUP($A280,[5]库存使用数据!$A:$E,5,0),0)</f>
        <v>15128</v>
      </c>
      <c r="F280" s="1">
        <f ca="1">IFERROR(VLOOKUP($A280,[1]库存使用数据!$A:$F,6,0),0)+IFERROR(VLOOKUP($A280,[2]库存使用数据!$A:$F,6,0),0)+IFERROR(VLOOKUP($A280,[4]库存使用数据!$A:$F,6,0),0)+IFERROR(VLOOKUP($A280,[3]库存使用数据!$A:$F,6,0),0)+IFERROR(VLOOKUP($A280,[5]库存使用数据!$A:$F,6,0),0)</f>
        <v>83</v>
      </c>
      <c r="G280" s="1">
        <f ca="1">IFERROR(VLOOKUP($A280,[1]库存使用数据!$A:$G,7,0),0)+IFERROR(VLOOKUP($A280,[2]库存使用数据!$A:$G,7,0),0)+公式!$B$14*IFERROR(VLOOKUP($A280,[3]库存使用数据!$A:$G,7,0),0)+IFERROR(VLOOKUP($A280,[4]库存使用数据!$A:$G,7,0),0)+IFERROR(VLOOKUP($A280,[5]库存使用数据!$A:$G,7,0),0)</f>
        <v>7.14</v>
      </c>
      <c r="H280" s="1">
        <f ca="1">IFERROR(VLOOKUP($A280,[1]库存使用数据!$A:$H,8,0),0)+IFERROR(VLOOKUP($A280,[2]库存使用数据!$A:$H,8,0),0)+IFERROR(VLOOKUP($A280,[3]库存使用数据!$A:$H,8,0),0)+IFERROR(VLOOKUP($A280,[4]库存使用数据!$A:$H,8,0),0)+IFERROR(VLOOKUP($A280,[5]库存使用数据!$A:$H,8,0),0)</f>
        <v>35705</v>
      </c>
      <c r="I280" s="1">
        <f ca="1">IFERROR(VLOOKUP($A280,[1]库存使用数据!$A:$I,9,0),0)+IFERROR(VLOOKUP($A280,[2]库存使用数据!$A:$I,9,0),0)+IFERROR(VLOOKUP($A280,[3]库存使用数据!$A:$I,9,0),0)+IFERROR(VLOOKUP($A280,[4]库存使用数据!$A:$I,9,0),0)+IFERROR(VLOOKUP($A280,[5]库存使用数据!$A:$I,9,0),0)</f>
        <v>98</v>
      </c>
      <c r="J280" s="1">
        <f ca="1">IFERROR(VLOOKUP($A280,[1]库存使用数据!$A:$J,10,0),0)+IFERROR(VLOOKUP($A280,[2]库存使用数据!$A:$J,10,0),0)+公式!$B$14*IFERROR(VLOOKUP($A280,[3]库存使用数据!$A:$J,10,0),0)+IFERROR(VLOOKUP($A280,[4]库存使用数据!$A:$J,10,0),0)+IFERROR(VLOOKUP($A280,[5]库存使用数据!$A:$J,10,0),0)</f>
        <v>9.49</v>
      </c>
      <c r="K280" s="1">
        <f ca="1">IFERROR(VLOOKUP($A280,[1]库存使用数据!$A:$K,11,0),0)+IFERROR(VLOOKUP($A280,[2]库存使用数据!$A:$K,11,0),0)+IFERROR(VLOOKUP($A280,[3]库存使用数据!$A:$K,11,0),0)+IFERROR(VLOOKUP($A280,[4]库存使用数据!$A:$K,11,0),0)+IFERROR(VLOOKUP($A280,[5]库存使用数据!$A:$K,11,0),0)</f>
        <v>96173</v>
      </c>
      <c r="L280" s="1">
        <f ca="1">IFERROR(VLOOKUP($A280,[1]库存使用数据!$A:$L,12,0),0)+IFERROR(VLOOKUP($A280,[2]库存使用数据!$A:$L,12,0),0)+IFERROR(VLOOKUP($A280,[3]库存使用数据!$A:$L,12,0),0)+IFERROR(VLOOKUP($A280,[4]库存使用数据!$A:$L,12,0),0)+IFERROR(VLOOKUP($A280,[5]库存使用数据!$A:$L,12,0),0)</f>
        <v>199</v>
      </c>
      <c r="M280" s="1">
        <f ca="1">IFERROR(VLOOKUP($A280,[1]库存使用数据!$A:$M,13,0),0)+IFERROR(VLOOKUP($A280,[2]库存使用数据!$A:$M,13,0),0)+公式!$B$14*IFERROR(VLOOKUP($A280,[3]库存使用数据!$A:$M,13,0),0)+IFERROR(VLOOKUP($A280,[4]库存使用数据!$A:$M,13,0),0)+IFERROR(VLOOKUP($A280,[5]库存使用数据!$A:$M,13,0),0)</f>
        <v>15.93</v>
      </c>
    </row>
    <row r="281" spans="1:13">
      <c r="A281" s="5" t="s">
        <v>286</v>
      </c>
      <c r="B281" s="2">
        <f ca="1">IFERROR(VLOOKUP(A281,[1]库存使用数据!$A:$B,2,0),0)+IFERROR(VLOOKUP(A281,[2]库存使用数据!$A:$B,2,0),0)+IFERROR(VLOOKUP(,[3]库存使用数据!$A:$B,2,0),0)+IFERROR(VLOOKUP(A281,[4]库存使用数据!$A:$B,2,0),0)+IFERROR(VLOOKUP(A281,[5]库存使用数据!$A:$B,2,0),0)</f>
        <v>0</v>
      </c>
      <c r="C281" s="1">
        <f ca="1">IFERROR(VLOOKUP($A281,[1]库存使用数据!$A:$C,3,0),0)+IFERROR(VLOOKUP($A281,[2]库存使用数据!$A:$C,3,0),0)+IFERROR(VLOOKUP($A281,[3]库存使用数据!$A:$C,3,0),0)+IFERROR(VLOOKUP($A281,[4]库存使用数据!$A:$C,3,0),0)+IFERROR(VLOOKUP($A281,[5]库存使用数据!$A:$C,3,0),0)</f>
        <v>0</v>
      </c>
      <c r="D281" s="1">
        <f ca="1">IFERROR(VLOOKUP($A281,[1]库存使用数据!$A:$D,4,0),0)+IFERROR(VLOOKUP($A281,[2]库存使用数据!$A:$D,4,0),0)+公式!$B$1*IFERROR(VLOOKUP($A281,[3]库存使用数据!$A:$D,4,0),0)+IFERROR(VLOOKUP($A281,[4]库存使用数据!$A:$D,4,0),0)+IFERROR(VLOOKUP($A281,[5]库存使用数据!$A:$D,4,0),0)</f>
        <v>0</v>
      </c>
      <c r="E281" s="1">
        <f ca="1">IFERROR(VLOOKUP($A281,[1]库存使用数据!$A:$E,5,0),0)+IFERROR(VLOOKUP($A281,[2]库存使用数据!$A:$E,5,0),0)+IFERROR(VLOOKUP($A281,[3]库存使用数据!$A:$E,5,0),0)+IFERROR(VLOOKUP($A281,[4]库存使用数据!$A:$E,5,0),0)+IFERROR(VLOOKUP($A281,[5]库存使用数据!$A:$E,5,0),0)</f>
        <v>4</v>
      </c>
      <c r="F281" s="1">
        <f ca="1">IFERROR(VLOOKUP($A281,[1]库存使用数据!$A:$F,6,0),0)+IFERROR(VLOOKUP($A281,[2]库存使用数据!$A:$F,6,0),0)+IFERROR(VLOOKUP($A281,[4]库存使用数据!$A:$F,6,0),0)+IFERROR(VLOOKUP($A281,[3]库存使用数据!$A:$F,6,0),0)+IFERROR(VLOOKUP($A281,[5]库存使用数据!$A:$F,6,0),0)</f>
        <v>2</v>
      </c>
      <c r="G281" s="1">
        <f ca="1">IFERROR(VLOOKUP($A281,[1]库存使用数据!$A:$G,7,0),0)+IFERROR(VLOOKUP($A281,[2]库存使用数据!$A:$G,7,0),0)+公式!$B$14*IFERROR(VLOOKUP($A281,[3]库存使用数据!$A:$G,7,0),0)+IFERROR(VLOOKUP($A281,[4]库存使用数据!$A:$G,7,0),0)+IFERROR(VLOOKUP($A281,[5]库存使用数据!$A:$G,7,0),0)</f>
        <v>0.56</v>
      </c>
      <c r="H281" s="1">
        <f ca="1">IFERROR(VLOOKUP($A281,[1]库存使用数据!$A:$H,8,0),0)+IFERROR(VLOOKUP($A281,[2]库存使用数据!$A:$H,8,0),0)+IFERROR(VLOOKUP($A281,[3]库存使用数据!$A:$H,8,0),0)+IFERROR(VLOOKUP($A281,[4]库存使用数据!$A:$H,8,0),0)+IFERROR(VLOOKUP($A281,[5]库存使用数据!$A:$H,8,0),0)</f>
        <v>0</v>
      </c>
      <c r="I281" s="1">
        <f ca="1">IFERROR(VLOOKUP($A281,[1]库存使用数据!$A:$I,9,0),0)+IFERROR(VLOOKUP($A281,[2]库存使用数据!$A:$I,9,0),0)+IFERROR(VLOOKUP($A281,[3]库存使用数据!$A:$I,9,0),0)+IFERROR(VLOOKUP($A281,[4]库存使用数据!$A:$I,9,0),0)+IFERROR(VLOOKUP($A281,[5]库存使用数据!$A:$I,9,0),0)</f>
        <v>0</v>
      </c>
      <c r="J281" s="1">
        <f ca="1">IFERROR(VLOOKUP($A281,[1]库存使用数据!$A:$J,10,0),0)+IFERROR(VLOOKUP($A281,[2]库存使用数据!$A:$J,10,0),0)+公式!$B$14*IFERROR(VLOOKUP($A281,[3]库存使用数据!$A:$J,10,0),0)+IFERROR(VLOOKUP($A281,[4]库存使用数据!$A:$J,10,0),0)+IFERROR(VLOOKUP($A281,[5]库存使用数据!$A:$J,10,0),0)</f>
        <v>0</v>
      </c>
      <c r="K281" s="1">
        <f ca="1">IFERROR(VLOOKUP($A281,[1]库存使用数据!$A:$K,11,0),0)+IFERROR(VLOOKUP($A281,[2]库存使用数据!$A:$K,11,0),0)+IFERROR(VLOOKUP($A281,[3]库存使用数据!$A:$K,11,0),0)+IFERROR(VLOOKUP($A281,[4]库存使用数据!$A:$K,11,0),0)+IFERROR(VLOOKUP($A281,[5]库存使用数据!$A:$K,11,0),0)</f>
        <v>0</v>
      </c>
      <c r="L281" s="1">
        <f ca="1">IFERROR(VLOOKUP($A281,[1]库存使用数据!$A:$L,12,0),0)+IFERROR(VLOOKUP($A281,[2]库存使用数据!$A:$L,12,0),0)+IFERROR(VLOOKUP($A281,[3]库存使用数据!$A:$L,12,0),0)+IFERROR(VLOOKUP($A281,[4]库存使用数据!$A:$L,12,0),0)+IFERROR(VLOOKUP($A281,[5]库存使用数据!$A:$L,12,0),0)</f>
        <v>0</v>
      </c>
      <c r="M281" s="1">
        <f ca="1">IFERROR(VLOOKUP($A281,[1]库存使用数据!$A:$M,13,0),0)+IFERROR(VLOOKUP($A281,[2]库存使用数据!$A:$M,13,0),0)+公式!$B$14*IFERROR(VLOOKUP($A281,[3]库存使用数据!$A:$M,13,0),0)+IFERROR(VLOOKUP($A281,[4]库存使用数据!$A:$M,13,0),0)+IFERROR(VLOOKUP($A281,[5]库存使用数据!$A:$M,13,0),0)</f>
        <v>0</v>
      </c>
    </row>
    <row r="282" spans="1:13">
      <c r="A282" s="5" t="s">
        <v>287</v>
      </c>
      <c r="B282" s="2">
        <f ca="1">IFERROR(VLOOKUP(A282,[1]库存使用数据!$A:$B,2,0),0)+IFERROR(VLOOKUP(A282,[2]库存使用数据!$A:$B,2,0),0)+IFERROR(VLOOKUP(,[3]库存使用数据!$A:$B,2,0),0)+IFERROR(VLOOKUP(A282,[4]库存使用数据!$A:$B,2,0),0)+IFERROR(VLOOKUP(A282,[5]库存使用数据!$A:$B,2,0),0)</f>
        <v>768</v>
      </c>
      <c r="C282" s="1">
        <f ca="1">IFERROR(VLOOKUP($A282,[1]库存使用数据!$A:$C,3,0),0)+IFERROR(VLOOKUP($A282,[2]库存使用数据!$A:$C,3,0),0)+IFERROR(VLOOKUP($A282,[3]库存使用数据!$A:$C,3,0),0)+IFERROR(VLOOKUP($A282,[4]库存使用数据!$A:$C,3,0),0)+IFERROR(VLOOKUP($A282,[5]库存使用数据!$A:$C,3,0),0)</f>
        <v>3</v>
      </c>
      <c r="D282" s="1">
        <f ca="1">IFERROR(VLOOKUP($A282,[1]库存使用数据!$A:$D,4,0),0)+IFERROR(VLOOKUP($A282,[2]库存使用数据!$A:$D,4,0),0)+公式!$B$1*IFERROR(VLOOKUP($A282,[3]库存使用数据!$A:$D,4,0),0)+IFERROR(VLOOKUP($A282,[4]库存使用数据!$A:$D,4,0),0)+IFERROR(VLOOKUP($A282,[5]库存使用数据!$A:$D,4,0),0)</f>
        <v>0.53</v>
      </c>
      <c r="E282" s="1">
        <f ca="1">IFERROR(VLOOKUP($A282,[1]库存使用数据!$A:$E,5,0),0)+IFERROR(VLOOKUP($A282,[2]库存使用数据!$A:$E,5,0),0)+IFERROR(VLOOKUP($A282,[3]库存使用数据!$A:$E,5,0),0)+IFERROR(VLOOKUP($A282,[4]库存使用数据!$A:$E,5,0),0)+IFERROR(VLOOKUP($A282,[5]库存使用数据!$A:$E,5,0),0)</f>
        <v>1934</v>
      </c>
      <c r="F282" s="1">
        <f ca="1">IFERROR(VLOOKUP($A282,[1]库存使用数据!$A:$F,6,0),0)+IFERROR(VLOOKUP($A282,[2]库存使用数据!$A:$F,6,0),0)+IFERROR(VLOOKUP($A282,[4]库存使用数据!$A:$F,6,0),0)+IFERROR(VLOOKUP($A282,[3]库存使用数据!$A:$F,6,0),0)+IFERROR(VLOOKUP($A282,[5]库存使用数据!$A:$F,6,0),0)</f>
        <v>14</v>
      </c>
      <c r="G282" s="1">
        <f ca="1">IFERROR(VLOOKUP($A282,[1]库存使用数据!$A:$G,7,0),0)+IFERROR(VLOOKUP($A282,[2]库存使用数据!$A:$G,7,0),0)+公式!$B$14*IFERROR(VLOOKUP($A282,[3]库存使用数据!$A:$G,7,0),0)+IFERROR(VLOOKUP($A282,[4]库存使用数据!$A:$G,7,0),0)+IFERROR(VLOOKUP($A282,[5]库存使用数据!$A:$G,7,0),0)</f>
        <v>2.43</v>
      </c>
      <c r="H282" s="1">
        <f ca="1">IFERROR(VLOOKUP($A282,[1]库存使用数据!$A:$H,8,0),0)+IFERROR(VLOOKUP($A282,[2]库存使用数据!$A:$H,8,0),0)+IFERROR(VLOOKUP($A282,[3]库存使用数据!$A:$H,8,0),0)+IFERROR(VLOOKUP($A282,[4]库存使用数据!$A:$H,8,0),0)+IFERROR(VLOOKUP($A282,[5]库存使用数据!$A:$H,8,0),0)</f>
        <v>1920</v>
      </c>
      <c r="I282" s="1">
        <f ca="1">IFERROR(VLOOKUP($A282,[1]库存使用数据!$A:$I,9,0),0)+IFERROR(VLOOKUP($A282,[2]库存使用数据!$A:$I,9,0),0)+IFERROR(VLOOKUP($A282,[3]库存使用数据!$A:$I,9,0),0)+IFERROR(VLOOKUP($A282,[4]库存使用数据!$A:$I,9,0),0)+IFERROR(VLOOKUP($A282,[5]库存使用数据!$A:$I,9,0),0)</f>
        <v>13</v>
      </c>
      <c r="J282" s="1">
        <f ca="1">IFERROR(VLOOKUP($A282,[1]库存使用数据!$A:$J,10,0),0)+IFERROR(VLOOKUP($A282,[2]库存使用数据!$A:$J,10,0),0)+公式!$B$14*IFERROR(VLOOKUP($A282,[3]库存使用数据!$A:$J,10,0),0)+IFERROR(VLOOKUP($A282,[4]库存使用数据!$A:$J,10,0),0)+IFERROR(VLOOKUP($A282,[5]库存使用数据!$A:$J,10,0),0)</f>
        <v>2.55</v>
      </c>
      <c r="K282" s="1">
        <f ca="1">IFERROR(VLOOKUP($A282,[1]库存使用数据!$A:$K,11,0),0)+IFERROR(VLOOKUP($A282,[2]库存使用数据!$A:$K,11,0),0)+IFERROR(VLOOKUP($A282,[3]库存使用数据!$A:$K,11,0),0)+IFERROR(VLOOKUP($A282,[4]库存使用数据!$A:$K,11,0),0)+IFERROR(VLOOKUP($A282,[5]库存使用数据!$A:$K,11,0),0)</f>
        <v>1434</v>
      </c>
      <c r="L282" s="1">
        <f ca="1">IFERROR(VLOOKUP($A282,[1]库存使用数据!$A:$L,12,0),0)+IFERROR(VLOOKUP($A282,[2]库存使用数据!$A:$L,12,0),0)+IFERROR(VLOOKUP($A282,[3]库存使用数据!$A:$L,12,0),0)+IFERROR(VLOOKUP($A282,[4]库存使用数据!$A:$L,12,0),0)+IFERROR(VLOOKUP($A282,[5]库存使用数据!$A:$L,12,0),0)</f>
        <v>19</v>
      </c>
      <c r="M282" s="1">
        <f ca="1">IFERROR(VLOOKUP($A282,[1]库存使用数据!$A:$M,13,0),0)+IFERROR(VLOOKUP($A282,[2]库存使用数据!$A:$M,13,0),0)+公式!$B$14*IFERROR(VLOOKUP($A282,[3]库存使用数据!$A:$M,13,0),0)+IFERROR(VLOOKUP($A282,[4]库存使用数据!$A:$M,13,0),0)+IFERROR(VLOOKUP($A282,[5]库存使用数据!$A:$M,13,0),0)</f>
        <v>3.12</v>
      </c>
    </row>
    <row r="283" spans="1:13">
      <c r="A283" s="5" t="s">
        <v>288</v>
      </c>
      <c r="B283" s="2">
        <f ca="1">IFERROR(VLOOKUP(A283,[1]库存使用数据!$A:$B,2,0),0)+IFERROR(VLOOKUP(A283,[2]库存使用数据!$A:$B,2,0),0)+IFERROR(VLOOKUP(,[3]库存使用数据!$A:$B,2,0),0)+IFERROR(VLOOKUP(A283,[4]库存使用数据!$A:$B,2,0),0)+IFERROR(VLOOKUP(A283,[5]库存使用数据!$A:$B,2,0),0)</f>
        <v>0</v>
      </c>
      <c r="C283" s="1">
        <f ca="1">IFERROR(VLOOKUP($A283,[1]库存使用数据!$A:$C,3,0),0)+IFERROR(VLOOKUP($A283,[2]库存使用数据!$A:$C,3,0),0)+IFERROR(VLOOKUP($A283,[3]库存使用数据!$A:$C,3,0),0)+IFERROR(VLOOKUP($A283,[4]库存使用数据!$A:$C,3,0),0)+IFERROR(VLOOKUP($A283,[5]库存使用数据!$A:$C,3,0),0)</f>
        <v>0</v>
      </c>
      <c r="D283" s="1">
        <f ca="1">IFERROR(VLOOKUP($A283,[1]库存使用数据!$A:$D,4,0),0)+IFERROR(VLOOKUP($A283,[2]库存使用数据!$A:$D,4,0),0)+公式!$B$1*IFERROR(VLOOKUP($A283,[3]库存使用数据!$A:$D,4,0),0)+IFERROR(VLOOKUP($A283,[4]库存使用数据!$A:$D,4,0),0)+IFERROR(VLOOKUP($A283,[5]库存使用数据!$A:$D,4,0),0)</f>
        <v>0</v>
      </c>
      <c r="E283" s="1">
        <f ca="1">IFERROR(VLOOKUP($A283,[1]库存使用数据!$A:$E,5,0),0)+IFERROR(VLOOKUP($A283,[2]库存使用数据!$A:$E,5,0),0)+IFERROR(VLOOKUP($A283,[3]库存使用数据!$A:$E,5,0),0)+IFERROR(VLOOKUP($A283,[4]库存使用数据!$A:$E,5,0),0)+IFERROR(VLOOKUP($A283,[5]库存使用数据!$A:$E,5,0),0)</f>
        <v>4</v>
      </c>
      <c r="F283" s="1">
        <f ca="1">IFERROR(VLOOKUP($A283,[1]库存使用数据!$A:$F,6,0),0)+IFERROR(VLOOKUP($A283,[2]库存使用数据!$A:$F,6,0),0)+IFERROR(VLOOKUP($A283,[4]库存使用数据!$A:$F,6,0),0)+IFERROR(VLOOKUP($A283,[3]库存使用数据!$A:$F,6,0),0)+IFERROR(VLOOKUP($A283,[5]库存使用数据!$A:$F,6,0),0)</f>
        <v>0</v>
      </c>
      <c r="G283" s="1">
        <f ca="1">IFERROR(VLOOKUP($A283,[1]库存使用数据!$A:$G,7,0),0)+IFERROR(VLOOKUP($A283,[2]库存使用数据!$A:$G,7,0),0)+公式!$B$14*IFERROR(VLOOKUP($A283,[3]库存使用数据!$A:$G,7,0),0)+IFERROR(VLOOKUP($A283,[4]库存使用数据!$A:$G,7,0),0)+IFERROR(VLOOKUP($A283,[5]库存使用数据!$A:$G,7,0),0)</f>
        <v>0</v>
      </c>
      <c r="H283" s="1">
        <f ca="1">IFERROR(VLOOKUP($A283,[1]库存使用数据!$A:$H,8,0),0)+IFERROR(VLOOKUP($A283,[2]库存使用数据!$A:$H,8,0),0)+IFERROR(VLOOKUP($A283,[3]库存使用数据!$A:$H,8,0),0)+IFERROR(VLOOKUP($A283,[4]库存使用数据!$A:$H,8,0),0)+IFERROR(VLOOKUP($A283,[5]库存使用数据!$A:$H,8,0),0)</f>
        <v>0</v>
      </c>
      <c r="I283" s="1">
        <f ca="1">IFERROR(VLOOKUP($A283,[1]库存使用数据!$A:$I,9,0),0)+IFERROR(VLOOKUP($A283,[2]库存使用数据!$A:$I,9,0),0)+IFERROR(VLOOKUP($A283,[3]库存使用数据!$A:$I,9,0),0)+IFERROR(VLOOKUP($A283,[4]库存使用数据!$A:$I,9,0),0)+IFERROR(VLOOKUP($A283,[5]库存使用数据!$A:$I,9,0),0)</f>
        <v>0</v>
      </c>
      <c r="J283" s="1">
        <f ca="1">IFERROR(VLOOKUP($A283,[1]库存使用数据!$A:$J,10,0),0)+IFERROR(VLOOKUP($A283,[2]库存使用数据!$A:$J,10,0),0)+公式!$B$14*IFERROR(VLOOKUP($A283,[3]库存使用数据!$A:$J,10,0),0)+IFERROR(VLOOKUP($A283,[4]库存使用数据!$A:$J,10,0),0)+IFERROR(VLOOKUP($A283,[5]库存使用数据!$A:$J,10,0),0)</f>
        <v>0</v>
      </c>
      <c r="K283" s="1">
        <f ca="1">IFERROR(VLOOKUP($A283,[1]库存使用数据!$A:$K,11,0),0)+IFERROR(VLOOKUP($A283,[2]库存使用数据!$A:$K,11,0),0)+IFERROR(VLOOKUP($A283,[3]库存使用数据!$A:$K,11,0),0)+IFERROR(VLOOKUP($A283,[4]库存使用数据!$A:$K,11,0),0)+IFERROR(VLOOKUP($A283,[5]库存使用数据!$A:$K,11,0),0)</f>
        <v>0</v>
      </c>
      <c r="L283" s="1">
        <f ca="1">IFERROR(VLOOKUP($A283,[1]库存使用数据!$A:$L,12,0),0)+IFERROR(VLOOKUP($A283,[2]库存使用数据!$A:$L,12,0),0)+IFERROR(VLOOKUP($A283,[3]库存使用数据!$A:$L,12,0),0)+IFERROR(VLOOKUP($A283,[4]库存使用数据!$A:$L,12,0),0)+IFERROR(VLOOKUP($A283,[5]库存使用数据!$A:$L,12,0),0)</f>
        <v>0</v>
      </c>
      <c r="M283" s="1">
        <f ca="1">IFERROR(VLOOKUP($A283,[1]库存使用数据!$A:$M,13,0),0)+IFERROR(VLOOKUP($A283,[2]库存使用数据!$A:$M,13,0),0)+公式!$B$14*IFERROR(VLOOKUP($A283,[3]库存使用数据!$A:$M,13,0),0)+IFERROR(VLOOKUP($A283,[4]库存使用数据!$A:$M,13,0),0)+IFERROR(VLOOKUP($A283,[5]库存使用数据!$A:$M,13,0),0)</f>
        <v>0</v>
      </c>
    </row>
    <row r="284" spans="1:13">
      <c r="A284" s="5" t="s">
        <v>289</v>
      </c>
      <c r="B284" s="2">
        <f ca="1">IFERROR(VLOOKUP(A284,[1]库存使用数据!$A:$B,2,0),0)+IFERROR(VLOOKUP(A284,[2]库存使用数据!$A:$B,2,0),0)+IFERROR(VLOOKUP(,[3]库存使用数据!$A:$B,2,0),0)+IFERROR(VLOOKUP(A284,[4]库存使用数据!$A:$B,2,0),0)+IFERROR(VLOOKUP(A284,[5]库存使用数据!$A:$B,2,0),0)</f>
        <v>0</v>
      </c>
      <c r="C284" s="1">
        <f ca="1">IFERROR(VLOOKUP($A284,[1]库存使用数据!$A:$C,3,0),0)+IFERROR(VLOOKUP($A284,[2]库存使用数据!$A:$C,3,0),0)+IFERROR(VLOOKUP($A284,[3]库存使用数据!$A:$C,3,0),0)+IFERROR(VLOOKUP($A284,[4]库存使用数据!$A:$C,3,0),0)+IFERROR(VLOOKUP($A284,[5]库存使用数据!$A:$C,3,0),0)</f>
        <v>4</v>
      </c>
      <c r="D284" s="1">
        <f ca="1">IFERROR(VLOOKUP($A284,[1]库存使用数据!$A:$D,4,0),0)+IFERROR(VLOOKUP($A284,[2]库存使用数据!$A:$D,4,0),0)+公式!$B$1*IFERROR(VLOOKUP($A284,[3]库存使用数据!$A:$D,4,0),0)+IFERROR(VLOOKUP($A284,[4]库存使用数据!$A:$D,4,0),0)+IFERROR(VLOOKUP($A284,[5]库存使用数据!$A:$D,4,0),0)</f>
        <v>0.52875</v>
      </c>
      <c r="E284" s="1">
        <f ca="1">IFERROR(VLOOKUP($A284,[1]库存使用数据!$A:$E,5,0),0)+IFERROR(VLOOKUP($A284,[2]库存使用数据!$A:$E,5,0),0)+IFERROR(VLOOKUP($A284,[3]库存使用数据!$A:$E,5,0),0)+IFERROR(VLOOKUP($A284,[4]库存使用数据!$A:$E,5,0),0)+IFERROR(VLOOKUP($A284,[5]库存使用数据!$A:$E,5,0),0)</f>
        <v>751</v>
      </c>
      <c r="F284" s="1">
        <f ca="1">IFERROR(VLOOKUP($A284,[1]库存使用数据!$A:$F,6,0),0)+IFERROR(VLOOKUP($A284,[2]库存使用数据!$A:$F,6,0),0)+IFERROR(VLOOKUP($A284,[4]库存使用数据!$A:$F,6,0),0)+IFERROR(VLOOKUP($A284,[3]库存使用数据!$A:$F,6,0),0)+IFERROR(VLOOKUP($A284,[5]库存使用数据!$A:$F,6,0),0)</f>
        <v>2</v>
      </c>
      <c r="G284" s="1">
        <f ca="1">IFERROR(VLOOKUP($A284,[1]库存使用数据!$A:$G,7,0),0)+IFERROR(VLOOKUP($A284,[2]库存使用数据!$A:$G,7,0),0)+公式!$B$14*IFERROR(VLOOKUP($A284,[3]库存使用数据!$A:$G,7,0),0)+IFERROR(VLOOKUP($A284,[4]库存使用数据!$A:$G,7,0),0)+IFERROR(VLOOKUP($A284,[5]库存使用数据!$A:$G,7,0),0)</f>
        <v>0</v>
      </c>
      <c r="H284" s="1">
        <f ca="1">IFERROR(VLOOKUP($A284,[1]库存使用数据!$A:$H,8,0),0)+IFERROR(VLOOKUP($A284,[2]库存使用数据!$A:$H,8,0),0)+IFERROR(VLOOKUP($A284,[3]库存使用数据!$A:$H,8,0),0)+IFERROR(VLOOKUP($A284,[4]库存使用数据!$A:$H,8,0),0)+IFERROR(VLOOKUP($A284,[5]库存使用数据!$A:$H,8,0),0)</f>
        <v>283</v>
      </c>
      <c r="I284" s="1">
        <f ca="1">IFERROR(VLOOKUP($A284,[1]库存使用数据!$A:$I,9,0),0)+IFERROR(VLOOKUP($A284,[2]库存使用数据!$A:$I,9,0),0)+IFERROR(VLOOKUP($A284,[3]库存使用数据!$A:$I,9,0),0)+IFERROR(VLOOKUP($A284,[4]库存使用数据!$A:$I,9,0),0)+IFERROR(VLOOKUP($A284,[5]库存使用数据!$A:$I,9,0),0)</f>
        <v>0</v>
      </c>
      <c r="J284" s="1">
        <f ca="1">IFERROR(VLOOKUP($A284,[1]库存使用数据!$A:$J,10,0),0)+IFERROR(VLOOKUP($A284,[2]库存使用数据!$A:$J,10,0),0)+公式!$B$14*IFERROR(VLOOKUP($A284,[3]库存使用数据!$A:$J,10,0),0)+IFERROR(VLOOKUP($A284,[4]库存使用数据!$A:$J,10,0),0)+IFERROR(VLOOKUP($A284,[5]库存使用数据!$A:$J,10,0),0)</f>
        <v>0</v>
      </c>
      <c r="K284" s="1">
        <f ca="1">IFERROR(VLOOKUP($A284,[1]库存使用数据!$A:$K,11,0),0)+IFERROR(VLOOKUP($A284,[2]库存使用数据!$A:$K,11,0),0)+IFERROR(VLOOKUP($A284,[3]库存使用数据!$A:$K,11,0),0)+IFERROR(VLOOKUP($A284,[4]库存使用数据!$A:$K,11,0),0)+IFERROR(VLOOKUP($A284,[5]库存使用数据!$A:$K,11,0),0)</f>
        <v>125</v>
      </c>
      <c r="L284" s="1">
        <f ca="1">IFERROR(VLOOKUP($A284,[1]库存使用数据!$A:$L,12,0),0)+IFERROR(VLOOKUP($A284,[2]库存使用数据!$A:$L,12,0),0)+IFERROR(VLOOKUP($A284,[3]库存使用数据!$A:$L,12,0),0)+IFERROR(VLOOKUP($A284,[4]库存使用数据!$A:$L,12,0),0)+IFERROR(VLOOKUP($A284,[5]库存使用数据!$A:$L,12,0),0)</f>
        <v>0</v>
      </c>
      <c r="M284" s="1">
        <f ca="1">IFERROR(VLOOKUP($A284,[1]库存使用数据!$A:$M,13,0),0)+IFERROR(VLOOKUP($A284,[2]库存使用数据!$A:$M,13,0),0)+公式!$B$14*IFERROR(VLOOKUP($A284,[3]库存使用数据!$A:$M,13,0),0)+IFERROR(VLOOKUP($A284,[4]库存使用数据!$A:$M,13,0),0)+IFERROR(VLOOKUP($A284,[5]库存使用数据!$A:$M,13,0),0)</f>
        <v>0</v>
      </c>
    </row>
    <row r="285" spans="1:13">
      <c r="A285" s="5" t="s">
        <v>290</v>
      </c>
      <c r="B285" s="2">
        <f ca="1">IFERROR(VLOOKUP(A285,[1]库存使用数据!$A:$B,2,0),0)+IFERROR(VLOOKUP(A285,[2]库存使用数据!$A:$B,2,0),0)+IFERROR(VLOOKUP(,[3]库存使用数据!$A:$B,2,0),0)+IFERROR(VLOOKUP(A285,[4]库存使用数据!$A:$B,2,0),0)+IFERROR(VLOOKUP(A285,[5]库存使用数据!$A:$B,2,0),0)</f>
        <v>0</v>
      </c>
      <c r="C285" s="1">
        <f ca="1">IFERROR(VLOOKUP($A285,[1]库存使用数据!$A:$C,3,0),0)+IFERROR(VLOOKUP($A285,[2]库存使用数据!$A:$C,3,0),0)+IFERROR(VLOOKUP($A285,[3]库存使用数据!$A:$C,3,0),0)+IFERROR(VLOOKUP($A285,[4]库存使用数据!$A:$C,3,0),0)+IFERROR(VLOOKUP($A285,[5]库存使用数据!$A:$C,3,0),0)</f>
        <v>23</v>
      </c>
      <c r="D285" s="1">
        <f ca="1">IFERROR(VLOOKUP($A285,[1]库存使用数据!$A:$D,4,0),0)+IFERROR(VLOOKUP($A285,[2]库存使用数据!$A:$D,4,0),0)+公式!$B$1*IFERROR(VLOOKUP($A285,[3]库存使用数据!$A:$D,4,0),0)+IFERROR(VLOOKUP($A285,[4]库存使用数据!$A:$D,4,0),0)+IFERROR(VLOOKUP($A285,[5]库存使用数据!$A:$D,4,0),0)</f>
        <v>2.50875</v>
      </c>
      <c r="E285" s="1">
        <f ca="1">IFERROR(VLOOKUP($A285,[1]库存使用数据!$A:$E,5,0),0)+IFERROR(VLOOKUP($A285,[2]库存使用数据!$A:$E,5,0),0)+IFERROR(VLOOKUP($A285,[3]库存使用数据!$A:$E,5,0),0)+IFERROR(VLOOKUP($A285,[4]库存使用数据!$A:$E,5,0),0)+IFERROR(VLOOKUP($A285,[5]库存使用数据!$A:$E,5,0),0)</f>
        <v>3272</v>
      </c>
      <c r="F285" s="1">
        <f ca="1">IFERROR(VLOOKUP($A285,[1]库存使用数据!$A:$F,6,0),0)+IFERROR(VLOOKUP($A285,[2]库存使用数据!$A:$F,6,0),0)+IFERROR(VLOOKUP($A285,[4]库存使用数据!$A:$F,6,0),0)+IFERROR(VLOOKUP($A285,[3]库存使用数据!$A:$F,6,0),0)+IFERROR(VLOOKUP($A285,[5]库存使用数据!$A:$F,6,0),0)</f>
        <v>39</v>
      </c>
      <c r="G285" s="1">
        <f ca="1">IFERROR(VLOOKUP($A285,[1]库存使用数据!$A:$G,7,0),0)+IFERROR(VLOOKUP($A285,[2]库存使用数据!$A:$G,7,0),0)+公式!$B$14*IFERROR(VLOOKUP($A285,[3]库存使用数据!$A:$G,7,0),0)+IFERROR(VLOOKUP($A285,[4]库存使用数据!$A:$G,7,0),0)+IFERROR(VLOOKUP($A285,[5]库存使用数据!$A:$G,7,0),0)</f>
        <v>7.6</v>
      </c>
      <c r="H285" s="1">
        <f ca="1">IFERROR(VLOOKUP($A285,[1]库存使用数据!$A:$H,8,0),0)+IFERROR(VLOOKUP($A285,[2]库存使用数据!$A:$H,8,0),0)+IFERROR(VLOOKUP($A285,[3]库存使用数据!$A:$H,8,0),0)+IFERROR(VLOOKUP($A285,[4]库存使用数据!$A:$H,8,0),0)+IFERROR(VLOOKUP($A285,[5]库存使用数据!$A:$H,8,0),0)</f>
        <v>0</v>
      </c>
      <c r="I285" s="1">
        <f ca="1">IFERROR(VLOOKUP($A285,[1]库存使用数据!$A:$I,9,0),0)+IFERROR(VLOOKUP($A285,[2]库存使用数据!$A:$I,9,0),0)+IFERROR(VLOOKUP($A285,[3]库存使用数据!$A:$I,9,0),0)+IFERROR(VLOOKUP($A285,[4]库存使用数据!$A:$I,9,0),0)+IFERROR(VLOOKUP($A285,[5]库存使用数据!$A:$I,9,0),0)</f>
        <v>0</v>
      </c>
      <c r="J285" s="1">
        <f ca="1">IFERROR(VLOOKUP($A285,[1]库存使用数据!$A:$J,10,0),0)+IFERROR(VLOOKUP($A285,[2]库存使用数据!$A:$J,10,0),0)+公式!$B$14*IFERROR(VLOOKUP($A285,[3]库存使用数据!$A:$J,10,0),0)+IFERROR(VLOOKUP($A285,[4]库存使用数据!$A:$J,10,0),0)+IFERROR(VLOOKUP($A285,[5]库存使用数据!$A:$J,10,0),0)</f>
        <v>0</v>
      </c>
      <c r="K285" s="1">
        <f ca="1">IFERROR(VLOOKUP($A285,[1]库存使用数据!$A:$K,11,0),0)+IFERROR(VLOOKUP($A285,[2]库存使用数据!$A:$K,11,0),0)+IFERROR(VLOOKUP($A285,[3]库存使用数据!$A:$K,11,0),0)+IFERROR(VLOOKUP($A285,[4]库存使用数据!$A:$K,11,0),0)+IFERROR(VLOOKUP($A285,[5]库存使用数据!$A:$K,11,0),0)</f>
        <v>0</v>
      </c>
      <c r="L285" s="1">
        <f ca="1">IFERROR(VLOOKUP($A285,[1]库存使用数据!$A:$L,12,0),0)+IFERROR(VLOOKUP($A285,[2]库存使用数据!$A:$L,12,0),0)+IFERROR(VLOOKUP($A285,[3]库存使用数据!$A:$L,12,0),0)+IFERROR(VLOOKUP($A285,[4]库存使用数据!$A:$L,12,0),0)+IFERROR(VLOOKUP($A285,[5]库存使用数据!$A:$L,12,0),0)</f>
        <v>0</v>
      </c>
      <c r="M285" s="1">
        <f ca="1">IFERROR(VLOOKUP($A285,[1]库存使用数据!$A:$M,13,0),0)+IFERROR(VLOOKUP($A285,[2]库存使用数据!$A:$M,13,0),0)+公式!$B$14*IFERROR(VLOOKUP($A285,[3]库存使用数据!$A:$M,13,0),0)+IFERROR(VLOOKUP($A285,[4]库存使用数据!$A:$M,13,0),0)+IFERROR(VLOOKUP($A285,[5]库存使用数据!$A:$M,13,0),0)</f>
        <v>0</v>
      </c>
    </row>
    <row r="286" spans="1:13">
      <c r="A286" s="5" t="s">
        <v>291</v>
      </c>
      <c r="B286" s="2">
        <f ca="1">IFERROR(VLOOKUP(A286,[1]库存使用数据!$A:$B,2,0),0)+IFERROR(VLOOKUP(A286,[2]库存使用数据!$A:$B,2,0),0)+IFERROR(VLOOKUP(,[3]库存使用数据!$A:$B,2,0),0)+IFERROR(VLOOKUP(A286,[4]库存使用数据!$A:$B,2,0),0)+IFERROR(VLOOKUP(A286,[5]库存使用数据!$A:$B,2,0),0)</f>
        <v>0</v>
      </c>
      <c r="C286" s="1">
        <f ca="1">IFERROR(VLOOKUP($A286,[1]库存使用数据!$A:$C,3,0),0)+IFERROR(VLOOKUP($A286,[2]库存使用数据!$A:$C,3,0),0)+IFERROR(VLOOKUP($A286,[3]库存使用数据!$A:$C,3,0),0)+IFERROR(VLOOKUP($A286,[4]库存使用数据!$A:$C,3,0),0)+IFERROR(VLOOKUP($A286,[5]库存使用数据!$A:$C,3,0),0)</f>
        <v>0</v>
      </c>
      <c r="D286" s="1">
        <f ca="1">IFERROR(VLOOKUP($A286,[1]库存使用数据!$A:$D,4,0),0)+IFERROR(VLOOKUP($A286,[2]库存使用数据!$A:$D,4,0),0)+公式!$B$1*IFERROR(VLOOKUP($A286,[3]库存使用数据!$A:$D,4,0),0)+IFERROR(VLOOKUP($A286,[4]库存使用数据!$A:$D,4,0),0)+IFERROR(VLOOKUP($A286,[5]库存使用数据!$A:$D,4,0),0)</f>
        <v>0</v>
      </c>
      <c r="E286" s="1">
        <f ca="1">IFERROR(VLOOKUP($A286,[1]库存使用数据!$A:$E,5,0),0)+IFERROR(VLOOKUP($A286,[2]库存使用数据!$A:$E,5,0),0)+IFERROR(VLOOKUP($A286,[3]库存使用数据!$A:$E,5,0),0)+IFERROR(VLOOKUP($A286,[4]库存使用数据!$A:$E,5,0),0)+IFERROR(VLOOKUP($A286,[5]库存使用数据!$A:$E,5,0),0)</f>
        <v>1432</v>
      </c>
      <c r="F286" s="1">
        <f ca="1">IFERROR(VLOOKUP($A286,[1]库存使用数据!$A:$F,6,0),0)+IFERROR(VLOOKUP($A286,[2]库存使用数据!$A:$F,6,0),0)+IFERROR(VLOOKUP($A286,[4]库存使用数据!$A:$F,6,0),0)+IFERROR(VLOOKUP($A286,[3]库存使用数据!$A:$F,6,0),0)+IFERROR(VLOOKUP($A286,[5]库存使用数据!$A:$F,6,0),0)</f>
        <v>4</v>
      </c>
      <c r="G286" s="1">
        <f ca="1">IFERROR(VLOOKUP($A286,[1]库存使用数据!$A:$G,7,0),0)+IFERROR(VLOOKUP($A286,[2]库存使用数据!$A:$G,7,0),0)+公式!$B$14*IFERROR(VLOOKUP($A286,[3]库存使用数据!$A:$G,7,0),0)+IFERROR(VLOOKUP($A286,[4]库存使用数据!$A:$G,7,0),0)+IFERROR(VLOOKUP($A286,[5]库存使用数据!$A:$G,7,0),0)</f>
        <v>0.86</v>
      </c>
      <c r="H286" s="1">
        <f ca="1">IFERROR(VLOOKUP($A286,[1]库存使用数据!$A:$H,8,0),0)+IFERROR(VLOOKUP($A286,[2]库存使用数据!$A:$H,8,0),0)+IFERROR(VLOOKUP($A286,[3]库存使用数据!$A:$H,8,0),0)+IFERROR(VLOOKUP($A286,[4]库存使用数据!$A:$H,8,0),0)+IFERROR(VLOOKUP($A286,[5]库存使用数据!$A:$H,8,0),0)</f>
        <v>0</v>
      </c>
      <c r="I286" s="1">
        <f ca="1">IFERROR(VLOOKUP($A286,[1]库存使用数据!$A:$I,9,0),0)+IFERROR(VLOOKUP($A286,[2]库存使用数据!$A:$I,9,0),0)+IFERROR(VLOOKUP($A286,[3]库存使用数据!$A:$I,9,0),0)+IFERROR(VLOOKUP($A286,[4]库存使用数据!$A:$I,9,0),0)+IFERROR(VLOOKUP($A286,[5]库存使用数据!$A:$I,9,0),0)</f>
        <v>0</v>
      </c>
      <c r="J286" s="1">
        <f ca="1">IFERROR(VLOOKUP($A286,[1]库存使用数据!$A:$J,10,0),0)+IFERROR(VLOOKUP($A286,[2]库存使用数据!$A:$J,10,0),0)+公式!$B$14*IFERROR(VLOOKUP($A286,[3]库存使用数据!$A:$J,10,0),0)+IFERROR(VLOOKUP($A286,[4]库存使用数据!$A:$J,10,0),0)+IFERROR(VLOOKUP($A286,[5]库存使用数据!$A:$J,10,0),0)</f>
        <v>0</v>
      </c>
      <c r="K286" s="1">
        <f ca="1">IFERROR(VLOOKUP($A286,[1]库存使用数据!$A:$K,11,0),0)+IFERROR(VLOOKUP($A286,[2]库存使用数据!$A:$K,11,0),0)+IFERROR(VLOOKUP($A286,[3]库存使用数据!$A:$K,11,0),0)+IFERROR(VLOOKUP($A286,[4]库存使用数据!$A:$K,11,0),0)+IFERROR(VLOOKUP($A286,[5]库存使用数据!$A:$K,11,0),0)</f>
        <v>0</v>
      </c>
      <c r="L286" s="1">
        <f ca="1">IFERROR(VLOOKUP($A286,[1]库存使用数据!$A:$L,12,0),0)+IFERROR(VLOOKUP($A286,[2]库存使用数据!$A:$L,12,0),0)+IFERROR(VLOOKUP($A286,[3]库存使用数据!$A:$L,12,0),0)+IFERROR(VLOOKUP($A286,[4]库存使用数据!$A:$L,12,0),0)+IFERROR(VLOOKUP($A286,[5]库存使用数据!$A:$L,12,0),0)</f>
        <v>0</v>
      </c>
      <c r="M286" s="1">
        <f ca="1">IFERROR(VLOOKUP($A286,[1]库存使用数据!$A:$M,13,0),0)+IFERROR(VLOOKUP($A286,[2]库存使用数据!$A:$M,13,0),0)+公式!$B$14*IFERROR(VLOOKUP($A286,[3]库存使用数据!$A:$M,13,0),0)+IFERROR(VLOOKUP($A286,[4]库存使用数据!$A:$M,13,0),0)+IFERROR(VLOOKUP($A286,[5]库存使用数据!$A:$M,13,0),0)</f>
        <v>0</v>
      </c>
    </row>
    <row r="287" spans="1:13">
      <c r="A287" s="5" t="s">
        <v>292</v>
      </c>
      <c r="B287" s="2">
        <f ca="1">IFERROR(VLOOKUP(A287,[1]库存使用数据!$A:$B,2,0),0)+IFERROR(VLOOKUP(A287,[2]库存使用数据!$A:$B,2,0),0)+IFERROR(VLOOKUP(,[3]库存使用数据!$A:$B,2,0),0)+IFERROR(VLOOKUP(A287,[4]库存使用数据!$A:$B,2,0),0)+IFERROR(VLOOKUP(A287,[5]库存使用数据!$A:$B,2,0),0)</f>
        <v>0</v>
      </c>
      <c r="C287" s="1">
        <f ca="1">IFERROR(VLOOKUP($A287,[1]库存使用数据!$A:$C,3,0),0)+IFERROR(VLOOKUP($A287,[2]库存使用数据!$A:$C,3,0),0)+IFERROR(VLOOKUP($A287,[3]库存使用数据!$A:$C,3,0),0)+IFERROR(VLOOKUP($A287,[4]库存使用数据!$A:$C,3,0),0)+IFERROR(VLOOKUP($A287,[5]库存使用数据!$A:$C,3,0),0)</f>
        <v>0</v>
      </c>
      <c r="D287" s="1">
        <f ca="1">IFERROR(VLOOKUP($A287,[1]库存使用数据!$A:$D,4,0),0)+IFERROR(VLOOKUP($A287,[2]库存使用数据!$A:$D,4,0),0)+公式!$B$1*IFERROR(VLOOKUP($A287,[3]库存使用数据!$A:$D,4,0),0)+IFERROR(VLOOKUP($A287,[4]库存使用数据!$A:$D,4,0),0)+IFERROR(VLOOKUP($A287,[5]库存使用数据!$A:$D,4,0),0)</f>
        <v>0</v>
      </c>
      <c r="E287" s="1">
        <f ca="1">IFERROR(VLOOKUP($A287,[1]库存使用数据!$A:$E,5,0),0)+IFERROR(VLOOKUP($A287,[2]库存使用数据!$A:$E,5,0),0)+IFERROR(VLOOKUP($A287,[3]库存使用数据!$A:$E,5,0),0)+IFERROR(VLOOKUP($A287,[4]库存使用数据!$A:$E,5,0),0)+IFERROR(VLOOKUP($A287,[5]库存使用数据!$A:$E,5,0),0)</f>
        <v>38</v>
      </c>
      <c r="F287" s="1">
        <f ca="1">IFERROR(VLOOKUP($A287,[1]库存使用数据!$A:$F,6,0),0)+IFERROR(VLOOKUP($A287,[2]库存使用数据!$A:$F,6,0),0)+IFERROR(VLOOKUP($A287,[4]库存使用数据!$A:$F,6,0),0)+IFERROR(VLOOKUP($A287,[3]库存使用数据!$A:$F,6,0),0)+IFERROR(VLOOKUP($A287,[5]库存使用数据!$A:$F,6,0),0)</f>
        <v>0</v>
      </c>
      <c r="G287" s="1">
        <f ca="1">IFERROR(VLOOKUP($A287,[1]库存使用数据!$A:$G,7,0),0)+IFERROR(VLOOKUP($A287,[2]库存使用数据!$A:$G,7,0),0)+公式!$B$14*IFERROR(VLOOKUP($A287,[3]库存使用数据!$A:$G,7,0),0)+IFERROR(VLOOKUP($A287,[4]库存使用数据!$A:$G,7,0),0)+IFERROR(VLOOKUP($A287,[5]库存使用数据!$A:$G,7,0),0)</f>
        <v>0</v>
      </c>
      <c r="H287" s="1">
        <f ca="1">IFERROR(VLOOKUP($A287,[1]库存使用数据!$A:$H,8,0),0)+IFERROR(VLOOKUP($A287,[2]库存使用数据!$A:$H,8,0),0)+IFERROR(VLOOKUP($A287,[3]库存使用数据!$A:$H,8,0),0)+IFERROR(VLOOKUP($A287,[4]库存使用数据!$A:$H,8,0),0)+IFERROR(VLOOKUP($A287,[5]库存使用数据!$A:$H,8,0),0)</f>
        <v>0</v>
      </c>
      <c r="I287" s="1">
        <f ca="1">IFERROR(VLOOKUP($A287,[1]库存使用数据!$A:$I,9,0),0)+IFERROR(VLOOKUP($A287,[2]库存使用数据!$A:$I,9,0),0)+IFERROR(VLOOKUP($A287,[3]库存使用数据!$A:$I,9,0),0)+IFERROR(VLOOKUP($A287,[4]库存使用数据!$A:$I,9,0),0)+IFERROR(VLOOKUP($A287,[5]库存使用数据!$A:$I,9,0),0)</f>
        <v>0</v>
      </c>
      <c r="J287" s="1">
        <f ca="1">IFERROR(VLOOKUP($A287,[1]库存使用数据!$A:$J,10,0),0)+IFERROR(VLOOKUP($A287,[2]库存使用数据!$A:$J,10,0),0)+公式!$B$14*IFERROR(VLOOKUP($A287,[3]库存使用数据!$A:$J,10,0),0)+IFERROR(VLOOKUP($A287,[4]库存使用数据!$A:$J,10,0),0)+IFERROR(VLOOKUP($A287,[5]库存使用数据!$A:$J,10,0),0)</f>
        <v>0</v>
      </c>
      <c r="K287" s="1">
        <f ca="1">IFERROR(VLOOKUP($A287,[1]库存使用数据!$A:$K,11,0),0)+IFERROR(VLOOKUP($A287,[2]库存使用数据!$A:$K,11,0),0)+IFERROR(VLOOKUP($A287,[3]库存使用数据!$A:$K,11,0),0)+IFERROR(VLOOKUP($A287,[4]库存使用数据!$A:$K,11,0),0)+IFERROR(VLOOKUP($A287,[5]库存使用数据!$A:$K,11,0),0)</f>
        <v>0</v>
      </c>
      <c r="L287" s="1">
        <f ca="1">IFERROR(VLOOKUP($A287,[1]库存使用数据!$A:$L,12,0),0)+IFERROR(VLOOKUP($A287,[2]库存使用数据!$A:$L,12,0),0)+IFERROR(VLOOKUP($A287,[3]库存使用数据!$A:$L,12,0),0)+IFERROR(VLOOKUP($A287,[4]库存使用数据!$A:$L,12,0),0)+IFERROR(VLOOKUP($A287,[5]库存使用数据!$A:$L,12,0),0)</f>
        <v>0</v>
      </c>
      <c r="M287" s="1">
        <f ca="1">IFERROR(VLOOKUP($A287,[1]库存使用数据!$A:$M,13,0),0)+IFERROR(VLOOKUP($A287,[2]库存使用数据!$A:$M,13,0),0)+公式!$B$14*IFERROR(VLOOKUP($A287,[3]库存使用数据!$A:$M,13,0),0)+IFERROR(VLOOKUP($A287,[4]库存使用数据!$A:$M,13,0),0)+IFERROR(VLOOKUP($A287,[5]库存使用数据!$A:$M,13,0),0)</f>
        <v>0</v>
      </c>
    </row>
    <row r="288" spans="1:13">
      <c r="A288" s="5" t="s">
        <v>293</v>
      </c>
      <c r="B288" s="2">
        <f ca="1">IFERROR(VLOOKUP(A288,[1]库存使用数据!$A:$B,2,0),0)+IFERROR(VLOOKUP(A288,[2]库存使用数据!$A:$B,2,0),0)+IFERROR(VLOOKUP(,[3]库存使用数据!$A:$B,2,0),0)+IFERROR(VLOOKUP(A288,[4]库存使用数据!$A:$B,2,0),0)+IFERROR(VLOOKUP(A288,[5]库存使用数据!$A:$B,2,0),0)</f>
        <v>0</v>
      </c>
      <c r="C288" s="1">
        <f ca="1">IFERROR(VLOOKUP($A288,[1]库存使用数据!$A:$C,3,0),0)+IFERROR(VLOOKUP($A288,[2]库存使用数据!$A:$C,3,0),0)+IFERROR(VLOOKUP($A288,[3]库存使用数据!$A:$C,3,0),0)+IFERROR(VLOOKUP($A288,[4]库存使用数据!$A:$C,3,0),0)+IFERROR(VLOOKUP($A288,[5]库存使用数据!$A:$C,3,0),0)</f>
        <v>0</v>
      </c>
      <c r="D288" s="1">
        <f ca="1">IFERROR(VLOOKUP($A288,[1]库存使用数据!$A:$D,4,0),0)+IFERROR(VLOOKUP($A288,[2]库存使用数据!$A:$D,4,0),0)+公式!$B$1*IFERROR(VLOOKUP($A288,[3]库存使用数据!$A:$D,4,0),0)+IFERROR(VLOOKUP($A288,[4]库存使用数据!$A:$D,4,0),0)+IFERROR(VLOOKUP($A288,[5]库存使用数据!$A:$D,4,0),0)</f>
        <v>0</v>
      </c>
      <c r="E288" s="1">
        <f ca="1">IFERROR(VLOOKUP($A288,[1]库存使用数据!$A:$E,5,0),0)+IFERROR(VLOOKUP($A288,[2]库存使用数据!$A:$E,5,0),0)+IFERROR(VLOOKUP($A288,[3]库存使用数据!$A:$E,5,0),0)+IFERROR(VLOOKUP($A288,[4]库存使用数据!$A:$E,5,0),0)+IFERROR(VLOOKUP($A288,[5]库存使用数据!$A:$E,5,0),0)</f>
        <v>24</v>
      </c>
      <c r="F288" s="1">
        <f ca="1">IFERROR(VLOOKUP($A288,[1]库存使用数据!$A:$F,6,0),0)+IFERROR(VLOOKUP($A288,[2]库存使用数据!$A:$F,6,0),0)+IFERROR(VLOOKUP($A288,[4]库存使用数据!$A:$F,6,0),0)+IFERROR(VLOOKUP($A288,[3]库存使用数据!$A:$F,6,0),0)+IFERROR(VLOOKUP($A288,[5]库存使用数据!$A:$F,6,0),0)</f>
        <v>0</v>
      </c>
      <c r="G288" s="1">
        <f ca="1">IFERROR(VLOOKUP($A288,[1]库存使用数据!$A:$G,7,0),0)+IFERROR(VLOOKUP($A288,[2]库存使用数据!$A:$G,7,0),0)+公式!$B$14*IFERROR(VLOOKUP($A288,[3]库存使用数据!$A:$G,7,0),0)+IFERROR(VLOOKUP($A288,[4]库存使用数据!$A:$G,7,0),0)+IFERROR(VLOOKUP($A288,[5]库存使用数据!$A:$G,7,0),0)</f>
        <v>0</v>
      </c>
      <c r="H288" s="1">
        <f ca="1">IFERROR(VLOOKUP($A288,[1]库存使用数据!$A:$H,8,0),0)+IFERROR(VLOOKUP($A288,[2]库存使用数据!$A:$H,8,0),0)+IFERROR(VLOOKUP($A288,[3]库存使用数据!$A:$H,8,0),0)+IFERROR(VLOOKUP($A288,[4]库存使用数据!$A:$H,8,0),0)+IFERROR(VLOOKUP($A288,[5]库存使用数据!$A:$H,8,0),0)</f>
        <v>0</v>
      </c>
      <c r="I288" s="1">
        <f ca="1">IFERROR(VLOOKUP($A288,[1]库存使用数据!$A:$I,9,0),0)+IFERROR(VLOOKUP($A288,[2]库存使用数据!$A:$I,9,0),0)+IFERROR(VLOOKUP($A288,[3]库存使用数据!$A:$I,9,0),0)+IFERROR(VLOOKUP($A288,[4]库存使用数据!$A:$I,9,0),0)+IFERROR(VLOOKUP($A288,[5]库存使用数据!$A:$I,9,0),0)</f>
        <v>0</v>
      </c>
      <c r="J288" s="1">
        <f ca="1">IFERROR(VLOOKUP($A288,[1]库存使用数据!$A:$J,10,0),0)+IFERROR(VLOOKUP($A288,[2]库存使用数据!$A:$J,10,0),0)+公式!$B$14*IFERROR(VLOOKUP($A288,[3]库存使用数据!$A:$J,10,0),0)+IFERROR(VLOOKUP($A288,[4]库存使用数据!$A:$J,10,0),0)+IFERROR(VLOOKUP($A288,[5]库存使用数据!$A:$J,10,0),0)</f>
        <v>0</v>
      </c>
      <c r="K288" s="1">
        <f ca="1">IFERROR(VLOOKUP($A288,[1]库存使用数据!$A:$K,11,0),0)+IFERROR(VLOOKUP($A288,[2]库存使用数据!$A:$K,11,0),0)+IFERROR(VLOOKUP($A288,[3]库存使用数据!$A:$K,11,0),0)+IFERROR(VLOOKUP($A288,[4]库存使用数据!$A:$K,11,0),0)+IFERROR(VLOOKUP($A288,[5]库存使用数据!$A:$K,11,0),0)</f>
        <v>0</v>
      </c>
      <c r="L288" s="1">
        <f ca="1">IFERROR(VLOOKUP($A288,[1]库存使用数据!$A:$L,12,0),0)+IFERROR(VLOOKUP($A288,[2]库存使用数据!$A:$L,12,0),0)+IFERROR(VLOOKUP($A288,[3]库存使用数据!$A:$L,12,0),0)+IFERROR(VLOOKUP($A288,[4]库存使用数据!$A:$L,12,0),0)+IFERROR(VLOOKUP($A288,[5]库存使用数据!$A:$L,12,0),0)</f>
        <v>0</v>
      </c>
      <c r="M288" s="1">
        <f ca="1">IFERROR(VLOOKUP($A288,[1]库存使用数据!$A:$M,13,0),0)+IFERROR(VLOOKUP($A288,[2]库存使用数据!$A:$M,13,0),0)+公式!$B$14*IFERROR(VLOOKUP($A288,[3]库存使用数据!$A:$M,13,0),0)+IFERROR(VLOOKUP($A288,[4]库存使用数据!$A:$M,13,0),0)+IFERROR(VLOOKUP($A288,[5]库存使用数据!$A:$M,13,0),0)</f>
        <v>0</v>
      </c>
    </row>
    <row r="289" spans="1:13">
      <c r="A289" s="5" t="s">
        <v>294</v>
      </c>
      <c r="B289" s="2">
        <f ca="1">IFERROR(VLOOKUP(A289,[1]库存使用数据!$A:$B,2,0),0)+IFERROR(VLOOKUP(A289,[2]库存使用数据!$A:$B,2,0),0)+IFERROR(VLOOKUP(,[3]库存使用数据!$A:$B,2,0),0)+IFERROR(VLOOKUP(A289,[4]库存使用数据!$A:$B,2,0),0)+IFERROR(VLOOKUP(A289,[5]库存使用数据!$A:$B,2,0),0)</f>
        <v>0</v>
      </c>
      <c r="C289" s="1">
        <f ca="1">IFERROR(VLOOKUP($A289,[1]库存使用数据!$A:$C,3,0),0)+IFERROR(VLOOKUP($A289,[2]库存使用数据!$A:$C,3,0),0)+IFERROR(VLOOKUP($A289,[3]库存使用数据!$A:$C,3,0),0)+IFERROR(VLOOKUP($A289,[4]库存使用数据!$A:$C,3,0),0)+IFERROR(VLOOKUP($A289,[5]库存使用数据!$A:$C,3,0),0)</f>
        <v>0</v>
      </c>
      <c r="D289" s="1">
        <f ca="1">IFERROR(VLOOKUP($A289,[1]库存使用数据!$A:$D,4,0),0)+IFERROR(VLOOKUP($A289,[2]库存使用数据!$A:$D,4,0),0)+公式!$B$1*IFERROR(VLOOKUP($A289,[3]库存使用数据!$A:$D,4,0),0)+IFERROR(VLOOKUP($A289,[4]库存使用数据!$A:$D,4,0),0)+IFERROR(VLOOKUP($A289,[5]库存使用数据!$A:$D,4,0),0)</f>
        <v>0</v>
      </c>
      <c r="E289" s="1">
        <f ca="1">IFERROR(VLOOKUP($A289,[1]库存使用数据!$A:$E,5,0),0)+IFERROR(VLOOKUP($A289,[2]库存使用数据!$A:$E,5,0),0)+IFERROR(VLOOKUP($A289,[3]库存使用数据!$A:$E,5,0),0)+IFERROR(VLOOKUP($A289,[4]库存使用数据!$A:$E,5,0),0)+IFERROR(VLOOKUP($A289,[5]库存使用数据!$A:$E,5,0),0)</f>
        <v>86</v>
      </c>
      <c r="F289" s="1">
        <f ca="1">IFERROR(VLOOKUP($A289,[1]库存使用数据!$A:$F,6,0),0)+IFERROR(VLOOKUP($A289,[2]库存使用数据!$A:$F,6,0),0)+IFERROR(VLOOKUP($A289,[4]库存使用数据!$A:$F,6,0),0)+IFERROR(VLOOKUP($A289,[3]库存使用数据!$A:$F,6,0),0)+IFERROR(VLOOKUP($A289,[5]库存使用数据!$A:$F,6,0),0)</f>
        <v>0</v>
      </c>
      <c r="G289" s="1">
        <f ca="1">IFERROR(VLOOKUP($A289,[1]库存使用数据!$A:$G,7,0),0)+IFERROR(VLOOKUP($A289,[2]库存使用数据!$A:$G,7,0),0)+公式!$B$14*IFERROR(VLOOKUP($A289,[3]库存使用数据!$A:$G,7,0),0)+IFERROR(VLOOKUP($A289,[4]库存使用数据!$A:$G,7,0),0)+IFERROR(VLOOKUP($A289,[5]库存使用数据!$A:$G,7,0),0)</f>
        <v>0</v>
      </c>
      <c r="H289" s="1">
        <f ca="1">IFERROR(VLOOKUP($A289,[1]库存使用数据!$A:$H,8,0),0)+IFERROR(VLOOKUP($A289,[2]库存使用数据!$A:$H,8,0),0)+IFERROR(VLOOKUP($A289,[3]库存使用数据!$A:$H,8,0),0)+IFERROR(VLOOKUP($A289,[4]库存使用数据!$A:$H,8,0),0)+IFERROR(VLOOKUP($A289,[5]库存使用数据!$A:$H,8,0),0)</f>
        <v>0</v>
      </c>
      <c r="I289" s="1">
        <f ca="1">IFERROR(VLOOKUP($A289,[1]库存使用数据!$A:$I,9,0),0)+IFERROR(VLOOKUP($A289,[2]库存使用数据!$A:$I,9,0),0)+IFERROR(VLOOKUP($A289,[3]库存使用数据!$A:$I,9,0),0)+IFERROR(VLOOKUP($A289,[4]库存使用数据!$A:$I,9,0),0)+IFERROR(VLOOKUP($A289,[5]库存使用数据!$A:$I,9,0),0)</f>
        <v>0</v>
      </c>
      <c r="J289" s="1">
        <f ca="1">IFERROR(VLOOKUP($A289,[1]库存使用数据!$A:$J,10,0),0)+IFERROR(VLOOKUP($A289,[2]库存使用数据!$A:$J,10,0),0)+公式!$B$14*IFERROR(VLOOKUP($A289,[3]库存使用数据!$A:$J,10,0),0)+IFERROR(VLOOKUP($A289,[4]库存使用数据!$A:$J,10,0),0)+IFERROR(VLOOKUP($A289,[5]库存使用数据!$A:$J,10,0),0)</f>
        <v>0</v>
      </c>
      <c r="K289" s="1">
        <f ca="1">IFERROR(VLOOKUP($A289,[1]库存使用数据!$A:$K,11,0),0)+IFERROR(VLOOKUP($A289,[2]库存使用数据!$A:$K,11,0),0)+IFERROR(VLOOKUP($A289,[3]库存使用数据!$A:$K,11,0),0)+IFERROR(VLOOKUP($A289,[4]库存使用数据!$A:$K,11,0),0)+IFERROR(VLOOKUP($A289,[5]库存使用数据!$A:$K,11,0),0)</f>
        <v>0</v>
      </c>
      <c r="L289" s="1">
        <f ca="1">IFERROR(VLOOKUP($A289,[1]库存使用数据!$A:$L,12,0),0)+IFERROR(VLOOKUP($A289,[2]库存使用数据!$A:$L,12,0),0)+IFERROR(VLOOKUP($A289,[3]库存使用数据!$A:$L,12,0),0)+IFERROR(VLOOKUP($A289,[4]库存使用数据!$A:$L,12,0),0)+IFERROR(VLOOKUP($A289,[5]库存使用数据!$A:$L,12,0),0)</f>
        <v>0</v>
      </c>
      <c r="M289" s="1">
        <f ca="1">IFERROR(VLOOKUP($A289,[1]库存使用数据!$A:$M,13,0),0)+IFERROR(VLOOKUP($A289,[2]库存使用数据!$A:$M,13,0),0)+公式!$B$14*IFERROR(VLOOKUP($A289,[3]库存使用数据!$A:$M,13,0),0)+IFERROR(VLOOKUP($A289,[4]库存使用数据!$A:$M,13,0),0)+IFERROR(VLOOKUP($A289,[5]库存使用数据!$A:$M,13,0),0)</f>
        <v>0</v>
      </c>
    </row>
    <row r="290" spans="1:13">
      <c r="A290" s="5" t="s">
        <v>295</v>
      </c>
      <c r="B290" s="2">
        <f ca="1">IFERROR(VLOOKUP(A290,[1]库存使用数据!$A:$B,2,0),0)+IFERROR(VLOOKUP(A290,[2]库存使用数据!$A:$B,2,0),0)+IFERROR(VLOOKUP(,[3]库存使用数据!$A:$B,2,0),0)+IFERROR(VLOOKUP(A290,[4]库存使用数据!$A:$B,2,0),0)+IFERROR(VLOOKUP(A290,[5]库存使用数据!$A:$B,2,0),0)</f>
        <v>0</v>
      </c>
      <c r="C290" s="1">
        <f ca="1">IFERROR(VLOOKUP($A290,[1]库存使用数据!$A:$C,3,0),0)+IFERROR(VLOOKUP($A290,[2]库存使用数据!$A:$C,3,0),0)+IFERROR(VLOOKUP($A290,[3]库存使用数据!$A:$C,3,0),0)+IFERROR(VLOOKUP($A290,[4]库存使用数据!$A:$C,3,0),0)+IFERROR(VLOOKUP($A290,[5]库存使用数据!$A:$C,3,0),0)</f>
        <v>0</v>
      </c>
      <c r="D290" s="1">
        <f ca="1">IFERROR(VLOOKUP($A290,[1]库存使用数据!$A:$D,4,0),0)+IFERROR(VLOOKUP($A290,[2]库存使用数据!$A:$D,4,0),0)+公式!$B$1*IFERROR(VLOOKUP($A290,[3]库存使用数据!$A:$D,4,0),0)+IFERROR(VLOOKUP($A290,[4]库存使用数据!$A:$D,4,0),0)+IFERROR(VLOOKUP($A290,[5]库存使用数据!$A:$D,4,0),0)</f>
        <v>0</v>
      </c>
      <c r="E290" s="1">
        <f ca="1">IFERROR(VLOOKUP($A290,[1]库存使用数据!$A:$E,5,0),0)+IFERROR(VLOOKUP($A290,[2]库存使用数据!$A:$E,5,0),0)+IFERROR(VLOOKUP($A290,[3]库存使用数据!$A:$E,5,0),0)+IFERROR(VLOOKUP($A290,[4]库存使用数据!$A:$E,5,0),0)+IFERROR(VLOOKUP($A290,[5]库存使用数据!$A:$E,5,0),0)</f>
        <v>72</v>
      </c>
      <c r="F290" s="1">
        <f ca="1">IFERROR(VLOOKUP($A290,[1]库存使用数据!$A:$F,6,0),0)+IFERROR(VLOOKUP($A290,[2]库存使用数据!$A:$F,6,0),0)+IFERROR(VLOOKUP($A290,[4]库存使用数据!$A:$F,6,0),0)+IFERROR(VLOOKUP($A290,[3]库存使用数据!$A:$F,6,0),0)+IFERROR(VLOOKUP($A290,[5]库存使用数据!$A:$F,6,0),0)</f>
        <v>2</v>
      </c>
      <c r="G290" s="1">
        <f ca="1">IFERROR(VLOOKUP($A290,[1]库存使用数据!$A:$G,7,0),0)+IFERROR(VLOOKUP($A290,[2]库存使用数据!$A:$G,7,0),0)+公式!$B$14*IFERROR(VLOOKUP($A290,[3]库存使用数据!$A:$G,7,0),0)+IFERROR(VLOOKUP($A290,[4]库存使用数据!$A:$G,7,0),0)+IFERROR(VLOOKUP($A290,[5]库存使用数据!$A:$G,7,0),0)</f>
        <v>0.34</v>
      </c>
      <c r="H290" s="1">
        <f ca="1">IFERROR(VLOOKUP($A290,[1]库存使用数据!$A:$H,8,0),0)+IFERROR(VLOOKUP($A290,[2]库存使用数据!$A:$H,8,0),0)+IFERROR(VLOOKUP($A290,[3]库存使用数据!$A:$H,8,0),0)+IFERROR(VLOOKUP($A290,[4]库存使用数据!$A:$H,8,0),0)+IFERROR(VLOOKUP($A290,[5]库存使用数据!$A:$H,8,0),0)</f>
        <v>0</v>
      </c>
      <c r="I290" s="1">
        <f ca="1">IFERROR(VLOOKUP($A290,[1]库存使用数据!$A:$I,9,0),0)+IFERROR(VLOOKUP($A290,[2]库存使用数据!$A:$I,9,0),0)+IFERROR(VLOOKUP($A290,[3]库存使用数据!$A:$I,9,0),0)+IFERROR(VLOOKUP($A290,[4]库存使用数据!$A:$I,9,0),0)+IFERROR(VLOOKUP($A290,[5]库存使用数据!$A:$I,9,0),0)</f>
        <v>0</v>
      </c>
      <c r="J290" s="1">
        <f ca="1">IFERROR(VLOOKUP($A290,[1]库存使用数据!$A:$J,10,0),0)+IFERROR(VLOOKUP($A290,[2]库存使用数据!$A:$J,10,0),0)+公式!$B$14*IFERROR(VLOOKUP($A290,[3]库存使用数据!$A:$J,10,0),0)+IFERROR(VLOOKUP($A290,[4]库存使用数据!$A:$J,10,0),0)+IFERROR(VLOOKUP($A290,[5]库存使用数据!$A:$J,10,0),0)</f>
        <v>0</v>
      </c>
      <c r="K290" s="1">
        <f ca="1">IFERROR(VLOOKUP($A290,[1]库存使用数据!$A:$K,11,0),0)+IFERROR(VLOOKUP($A290,[2]库存使用数据!$A:$K,11,0),0)+IFERROR(VLOOKUP($A290,[3]库存使用数据!$A:$K,11,0),0)+IFERROR(VLOOKUP($A290,[4]库存使用数据!$A:$K,11,0),0)+IFERROR(VLOOKUP($A290,[5]库存使用数据!$A:$K,11,0),0)</f>
        <v>0</v>
      </c>
      <c r="L290" s="1">
        <f ca="1">IFERROR(VLOOKUP($A290,[1]库存使用数据!$A:$L,12,0),0)+IFERROR(VLOOKUP($A290,[2]库存使用数据!$A:$L,12,0),0)+IFERROR(VLOOKUP($A290,[3]库存使用数据!$A:$L,12,0),0)+IFERROR(VLOOKUP($A290,[4]库存使用数据!$A:$L,12,0),0)+IFERROR(VLOOKUP($A290,[5]库存使用数据!$A:$L,12,0),0)</f>
        <v>0</v>
      </c>
      <c r="M290" s="1">
        <f ca="1">IFERROR(VLOOKUP($A290,[1]库存使用数据!$A:$M,13,0),0)+IFERROR(VLOOKUP($A290,[2]库存使用数据!$A:$M,13,0),0)+公式!$B$14*IFERROR(VLOOKUP($A290,[3]库存使用数据!$A:$M,13,0),0)+IFERROR(VLOOKUP($A290,[4]库存使用数据!$A:$M,13,0),0)+IFERROR(VLOOKUP($A290,[5]库存使用数据!$A:$M,13,0),0)</f>
        <v>0</v>
      </c>
    </row>
    <row r="291" spans="1:13">
      <c r="A291" s="5" t="s">
        <v>296</v>
      </c>
      <c r="B291" s="2">
        <f ca="1">IFERROR(VLOOKUP(A291,[1]库存使用数据!$A:$B,2,0),0)+IFERROR(VLOOKUP(A291,[2]库存使用数据!$A:$B,2,0),0)+IFERROR(VLOOKUP(,[3]库存使用数据!$A:$B,2,0),0)+IFERROR(VLOOKUP(A291,[4]库存使用数据!$A:$B,2,0),0)+IFERROR(VLOOKUP(A291,[5]库存使用数据!$A:$B,2,0),0)</f>
        <v>0</v>
      </c>
      <c r="C291" s="1">
        <f ca="1">IFERROR(VLOOKUP($A291,[1]库存使用数据!$A:$C,3,0),0)+IFERROR(VLOOKUP($A291,[2]库存使用数据!$A:$C,3,0),0)+IFERROR(VLOOKUP($A291,[3]库存使用数据!$A:$C,3,0),0)+IFERROR(VLOOKUP($A291,[4]库存使用数据!$A:$C,3,0),0)+IFERROR(VLOOKUP($A291,[5]库存使用数据!$A:$C,3,0),0)</f>
        <v>0</v>
      </c>
      <c r="D291" s="1">
        <f ca="1">IFERROR(VLOOKUP($A291,[1]库存使用数据!$A:$D,4,0),0)+IFERROR(VLOOKUP($A291,[2]库存使用数据!$A:$D,4,0),0)+公式!$B$1*IFERROR(VLOOKUP($A291,[3]库存使用数据!$A:$D,4,0),0)+IFERROR(VLOOKUP($A291,[4]库存使用数据!$A:$D,4,0),0)+IFERROR(VLOOKUP($A291,[5]库存使用数据!$A:$D,4,0),0)</f>
        <v>0</v>
      </c>
      <c r="E291" s="1">
        <f ca="1">IFERROR(VLOOKUP($A291,[1]库存使用数据!$A:$E,5,0),0)+IFERROR(VLOOKUP($A291,[2]库存使用数据!$A:$E,5,0),0)+IFERROR(VLOOKUP($A291,[3]库存使用数据!$A:$E,5,0),0)+IFERROR(VLOOKUP($A291,[4]库存使用数据!$A:$E,5,0),0)+IFERROR(VLOOKUP($A291,[5]库存使用数据!$A:$E,5,0),0)</f>
        <v>50</v>
      </c>
      <c r="F291" s="1">
        <f ca="1">IFERROR(VLOOKUP($A291,[1]库存使用数据!$A:$F,6,0),0)+IFERROR(VLOOKUP($A291,[2]库存使用数据!$A:$F,6,0),0)+IFERROR(VLOOKUP($A291,[4]库存使用数据!$A:$F,6,0),0)+IFERROR(VLOOKUP($A291,[3]库存使用数据!$A:$F,6,0),0)+IFERROR(VLOOKUP($A291,[5]库存使用数据!$A:$F,6,0),0)</f>
        <v>2</v>
      </c>
      <c r="G291" s="1">
        <f ca="1">IFERROR(VLOOKUP($A291,[1]库存使用数据!$A:$G,7,0),0)+IFERROR(VLOOKUP($A291,[2]库存使用数据!$A:$G,7,0),0)+公式!$B$14*IFERROR(VLOOKUP($A291,[3]库存使用数据!$A:$G,7,0),0)+IFERROR(VLOOKUP($A291,[4]库存使用数据!$A:$G,7,0),0)+IFERROR(VLOOKUP($A291,[5]库存使用数据!$A:$G,7,0),0)</f>
        <v>0.18</v>
      </c>
      <c r="H291" s="1">
        <f ca="1">IFERROR(VLOOKUP($A291,[1]库存使用数据!$A:$H,8,0),0)+IFERROR(VLOOKUP($A291,[2]库存使用数据!$A:$H,8,0),0)+IFERROR(VLOOKUP($A291,[3]库存使用数据!$A:$H,8,0),0)+IFERROR(VLOOKUP($A291,[4]库存使用数据!$A:$H,8,0),0)+IFERROR(VLOOKUP($A291,[5]库存使用数据!$A:$H,8,0),0)</f>
        <v>0</v>
      </c>
      <c r="I291" s="1">
        <f ca="1">IFERROR(VLOOKUP($A291,[1]库存使用数据!$A:$I,9,0),0)+IFERROR(VLOOKUP($A291,[2]库存使用数据!$A:$I,9,0),0)+IFERROR(VLOOKUP($A291,[3]库存使用数据!$A:$I,9,0),0)+IFERROR(VLOOKUP($A291,[4]库存使用数据!$A:$I,9,0),0)+IFERROR(VLOOKUP($A291,[5]库存使用数据!$A:$I,9,0),0)</f>
        <v>0</v>
      </c>
      <c r="J291" s="1">
        <f ca="1">IFERROR(VLOOKUP($A291,[1]库存使用数据!$A:$J,10,0),0)+IFERROR(VLOOKUP($A291,[2]库存使用数据!$A:$J,10,0),0)+公式!$B$14*IFERROR(VLOOKUP($A291,[3]库存使用数据!$A:$J,10,0),0)+IFERROR(VLOOKUP($A291,[4]库存使用数据!$A:$J,10,0),0)+IFERROR(VLOOKUP($A291,[5]库存使用数据!$A:$J,10,0),0)</f>
        <v>0</v>
      </c>
      <c r="K291" s="1">
        <f ca="1">IFERROR(VLOOKUP($A291,[1]库存使用数据!$A:$K,11,0),0)+IFERROR(VLOOKUP($A291,[2]库存使用数据!$A:$K,11,0),0)+IFERROR(VLOOKUP($A291,[3]库存使用数据!$A:$K,11,0),0)+IFERROR(VLOOKUP($A291,[4]库存使用数据!$A:$K,11,0),0)+IFERROR(VLOOKUP($A291,[5]库存使用数据!$A:$K,11,0),0)</f>
        <v>0</v>
      </c>
      <c r="L291" s="1">
        <f ca="1">IFERROR(VLOOKUP($A291,[1]库存使用数据!$A:$L,12,0),0)+IFERROR(VLOOKUP($A291,[2]库存使用数据!$A:$L,12,0),0)+IFERROR(VLOOKUP($A291,[3]库存使用数据!$A:$L,12,0),0)+IFERROR(VLOOKUP($A291,[4]库存使用数据!$A:$L,12,0),0)+IFERROR(VLOOKUP($A291,[5]库存使用数据!$A:$L,12,0),0)</f>
        <v>0</v>
      </c>
      <c r="M291" s="1">
        <f ca="1">IFERROR(VLOOKUP($A291,[1]库存使用数据!$A:$M,13,0),0)+IFERROR(VLOOKUP($A291,[2]库存使用数据!$A:$M,13,0),0)+公式!$B$14*IFERROR(VLOOKUP($A291,[3]库存使用数据!$A:$M,13,0),0)+IFERROR(VLOOKUP($A291,[4]库存使用数据!$A:$M,13,0),0)+IFERROR(VLOOKUP($A291,[5]库存使用数据!$A:$M,13,0),0)</f>
        <v>0</v>
      </c>
    </row>
    <row r="292" spans="1:13">
      <c r="A292" s="5" t="s">
        <v>297</v>
      </c>
      <c r="B292" s="2">
        <f ca="1">IFERROR(VLOOKUP(A292,[1]库存使用数据!$A:$B,2,0),0)+IFERROR(VLOOKUP(A292,[2]库存使用数据!$A:$B,2,0),0)+IFERROR(VLOOKUP(,[3]库存使用数据!$A:$B,2,0),0)+IFERROR(VLOOKUP(A292,[4]库存使用数据!$A:$B,2,0),0)+IFERROR(VLOOKUP(A292,[5]库存使用数据!$A:$B,2,0),0)</f>
        <v>0</v>
      </c>
      <c r="C292" s="1">
        <f ca="1">IFERROR(VLOOKUP($A292,[1]库存使用数据!$A:$C,3,0),0)+IFERROR(VLOOKUP($A292,[2]库存使用数据!$A:$C,3,0),0)+IFERROR(VLOOKUP($A292,[3]库存使用数据!$A:$C,3,0),0)+IFERROR(VLOOKUP($A292,[4]库存使用数据!$A:$C,3,0),0)+IFERROR(VLOOKUP($A292,[5]库存使用数据!$A:$C,3,0),0)</f>
        <v>0</v>
      </c>
      <c r="D292" s="1">
        <f ca="1">IFERROR(VLOOKUP($A292,[1]库存使用数据!$A:$D,4,0),0)+IFERROR(VLOOKUP($A292,[2]库存使用数据!$A:$D,4,0),0)+公式!$B$1*IFERROR(VLOOKUP($A292,[3]库存使用数据!$A:$D,4,0),0)+IFERROR(VLOOKUP($A292,[4]库存使用数据!$A:$D,4,0),0)+IFERROR(VLOOKUP($A292,[5]库存使用数据!$A:$D,4,0),0)</f>
        <v>0</v>
      </c>
      <c r="E292" s="1">
        <f ca="1">IFERROR(VLOOKUP($A292,[1]库存使用数据!$A:$E,5,0),0)+IFERROR(VLOOKUP($A292,[2]库存使用数据!$A:$E,5,0),0)+IFERROR(VLOOKUP($A292,[3]库存使用数据!$A:$E,5,0),0)+IFERROR(VLOOKUP($A292,[4]库存使用数据!$A:$E,5,0),0)+IFERROR(VLOOKUP($A292,[5]库存使用数据!$A:$E,5,0),0)</f>
        <v>36</v>
      </c>
      <c r="F292" s="1">
        <f ca="1">IFERROR(VLOOKUP($A292,[1]库存使用数据!$A:$F,6,0),0)+IFERROR(VLOOKUP($A292,[2]库存使用数据!$A:$F,6,0),0)+IFERROR(VLOOKUP($A292,[4]库存使用数据!$A:$F,6,0),0)+IFERROR(VLOOKUP($A292,[3]库存使用数据!$A:$F,6,0),0)+IFERROR(VLOOKUP($A292,[5]库存使用数据!$A:$F,6,0),0)</f>
        <v>0</v>
      </c>
      <c r="G292" s="1">
        <f ca="1">IFERROR(VLOOKUP($A292,[1]库存使用数据!$A:$G,7,0),0)+IFERROR(VLOOKUP($A292,[2]库存使用数据!$A:$G,7,0),0)+公式!$B$14*IFERROR(VLOOKUP($A292,[3]库存使用数据!$A:$G,7,0),0)+IFERROR(VLOOKUP($A292,[4]库存使用数据!$A:$G,7,0),0)+IFERROR(VLOOKUP($A292,[5]库存使用数据!$A:$G,7,0),0)</f>
        <v>0</v>
      </c>
      <c r="H292" s="1">
        <f ca="1">IFERROR(VLOOKUP($A292,[1]库存使用数据!$A:$H,8,0),0)+IFERROR(VLOOKUP($A292,[2]库存使用数据!$A:$H,8,0),0)+IFERROR(VLOOKUP($A292,[3]库存使用数据!$A:$H,8,0),0)+IFERROR(VLOOKUP($A292,[4]库存使用数据!$A:$H,8,0),0)+IFERROR(VLOOKUP($A292,[5]库存使用数据!$A:$H,8,0),0)</f>
        <v>0</v>
      </c>
      <c r="I292" s="1">
        <f ca="1">IFERROR(VLOOKUP($A292,[1]库存使用数据!$A:$I,9,0),0)+IFERROR(VLOOKUP($A292,[2]库存使用数据!$A:$I,9,0),0)+IFERROR(VLOOKUP($A292,[3]库存使用数据!$A:$I,9,0),0)+IFERROR(VLOOKUP($A292,[4]库存使用数据!$A:$I,9,0),0)+IFERROR(VLOOKUP($A292,[5]库存使用数据!$A:$I,9,0),0)</f>
        <v>0</v>
      </c>
      <c r="J292" s="1">
        <f ca="1">IFERROR(VLOOKUP($A292,[1]库存使用数据!$A:$J,10,0),0)+IFERROR(VLOOKUP($A292,[2]库存使用数据!$A:$J,10,0),0)+公式!$B$14*IFERROR(VLOOKUP($A292,[3]库存使用数据!$A:$J,10,0),0)+IFERROR(VLOOKUP($A292,[4]库存使用数据!$A:$J,10,0),0)+IFERROR(VLOOKUP($A292,[5]库存使用数据!$A:$J,10,0),0)</f>
        <v>0</v>
      </c>
      <c r="K292" s="1">
        <f ca="1">IFERROR(VLOOKUP($A292,[1]库存使用数据!$A:$K,11,0),0)+IFERROR(VLOOKUP($A292,[2]库存使用数据!$A:$K,11,0),0)+IFERROR(VLOOKUP($A292,[3]库存使用数据!$A:$K,11,0),0)+IFERROR(VLOOKUP($A292,[4]库存使用数据!$A:$K,11,0),0)+IFERROR(VLOOKUP($A292,[5]库存使用数据!$A:$K,11,0),0)</f>
        <v>0</v>
      </c>
      <c r="L292" s="1">
        <f ca="1">IFERROR(VLOOKUP($A292,[1]库存使用数据!$A:$L,12,0),0)+IFERROR(VLOOKUP($A292,[2]库存使用数据!$A:$L,12,0),0)+IFERROR(VLOOKUP($A292,[3]库存使用数据!$A:$L,12,0),0)+IFERROR(VLOOKUP($A292,[4]库存使用数据!$A:$L,12,0),0)+IFERROR(VLOOKUP($A292,[5]库存使用数据!$A:$L,12,0),0)</f>
        <v>0</v>
      </c>
      <c r="M292" s="1">
        <f ca="1">IFERROR(VLOOKUP($A292,[1]库存使用数据!$A:$M,13,0),0)+IFERROR(VLOOKUP($A292,[2]库存使用数据!$A:$M,13,0),0)+公式!$B$14*IFERROR(VLOOKUP($A292,[3]库存使用数据!$A:$M,13,0),0)+IFERROR(VLOOKUP($A292,[4]库存使用数据!$A:$M,13,0),0)+IFERROR(VLOOKUP($A292,[5]库存使用数据!$A:$M,13,0),0)</f>
        <v>0</v>
      </c>
    </row>
    <row r="293" spans="1:13">
      <c r="A293" s="5" t="s">
        <v>298</v>
      </c>
      <c r="B293" s="2">
        <f ca="1">IFERROR(VLOOKUP(A293,[1]库存使用数据!$A:$B,2,0),0)+IFERROR(VLOOKUP(A293,[2]库存使用数据!$A:$B,2,0),0)+IFERROR(VLOOKUP(,[3]库存使用数据!$A:$B,2,0),0)+IFERROR(VLOOKUP(A293,[4]库存使用数据!$A:$B,2,0),0)+IFERROR(VLOOKUP(A293,[5]库存使用数据!$A:$B,2,0),0)</f>
        <v>0</v>
      </c>
      <c r="C293" s="1">
        <f ca="1">IFERROR(VLOOKUP($A293,[1]库存使用数据!$A:$C,3,0),0)+IFERROR(VLOOKUP($A293,[2]库存使用数据!$A:$C,3,0),0)+IFERROR(VLOOKUP($A293,[3]库存使用数据!$A:$C,3,0),0)+IFERROR(VLOOKUP($A293,[4]库存使用数据!$A:$C,3,0),0)+IFERROR(VLOOKUP($A293,[5]库存使用数据!$A:$C,3,0),0)</f>
        <v>0</v>
      </c>
      <c r="D293" s="1">
        <f ca="1">IFERROR(VLOOKUP($A293,[1]库存使用数据!$A:$D,4,0),0)+IFERROR(VLOOKUP($A293,[2]库存使用数据!$A:$D,4,0),0)+公式!$B$1*IFERROR(VLOOKUP($A293,[3]库存使用数据!$A:$D,4,0),0)+IFERROR(VLOOKUP($A293,[4]库存使用数据!$A:$D,4,0),0)+IFERROR(VLOOKUP($A293,[5]库存使用数据!$A:$D,4,0),0)</f>
        <v>0</v>
      </c>
      <c r="E293" s="1">
        <f ca="1">IFERROR(VLOOKUP($A293,[1]库存使用数据!$A:$E,5,0),0)+IFERROR(VLOOKUP($A293,[2]库存使用数据!$A:$E,5,0),0)+IFERROR(VLOOKUP($A293,[3]库存使用数据!$A:$E,5,0),0)+IFERROR(VLOOKUP($A293,[4]库存使用数据!$A:$E,5,0),0)+IFERROR(VLOOKUP($A293,[5]库存使用数据!$A:$E,5,0),0)</f>
        <v>96</v>
      </c>
      <c r="F293" s="1">
        <f ca="1">IFERROR(VLOOKUP($A293,[1]库存使用数据!$A:$F,6,0),0)+IFERROR(VLOOKUP($A293,[2]库存使用数据!$A:$F,6,0),0)+IFERROR(VLOOKUP($A293,[4]库存使用数据!$A:$F,6,0),0)+IFERROR(VLOOKUP($A293,[3]库存使用数据!$A:$F,6,0),0)+IFERROR(VLOOKUP($A293,[5]库存使用数据!$A:$F,6,0),0)</f>
        <v>0</v>
      </c>
      <c r="G293" s="1">
        <f ca="1">IFERROR(VLOOKUP($A293,[1]库存使用数据!$A:$G,7,0),0)+IFERROR(VLOOKUP($A293,[2]库存使用数据!$A:$G,7,0),0)+公式!$B$14*IFERROR(VLOOKUP($A293,[3]库存使用数据!$A:$G,7,0),0)+IFERROR(VLOOKUP($A293,[4]库存使用数据!$A:$G,7,0),0)+IFERROR(VLOOKUP($A293,[5]库存使用数据!$A:$G,7,0),0)</f>
        <v>0</v>
      </c>
      <c r="H293" s="1">
        <f ca="1">IFERROR(VLOOKUP($A293,[1]库存使用数据!$A:$H,8,0),0)+IFERROR(VLOOKUP($A293,[2]库存使用数据!$A:$H,8,0),0)+IFERROR(VLOOKUP($A293,[3]库存使用数据!$A:$H,8,0),0)+IFERROR(VLOOKUP($A293,[4]库存使用数据!$A:$H,8,0),0)+IFERROR(VLOOKUP($A293,[5]库存使用数据!$A:$H,8,0),0)</f>
        <v>0</v>
      </c>
      <c r="I293" s="1">
        <f ca="1">IFERROR(VLOOKUP($A293,[1]库存使用数据!$A:$I,9,0),0)+IFERROR(VLOOKUP($A293,[2]库存使用数据!$A:$I,9,0),0)+IFERROR(VLOOKUP($A293,[3]库存使用数据!$A:$I,9,0),0)+IFERROR(VLOOKUP($A293,[4]库存使用数据!$A:$I,9,0),0)+IFERROR(VLOOKUP($A293,[5]库存使用数据!$A:$I,9,0),0)</f>
        <v>0</v>
      </c>
      <c r="J293" s="1">
        <f ca="1">IFERROR(VLOOKUP($A293,[1]库存使用数据!$A:$J,10,0),0)+IFERROR(VLOOKUP($A293,[2]库存使用数据!$A:$J,10,0),0)+公式!$B$14*IFERROR(VLOOKUP($A293,[3]库存使用数据!$A:$J,10,0),0)+IFERROR(VLOOKUP($A293,[4]库存使用数据!$A:$J,10,0),0)+IFERROR(VLOOKUP($A293,[5]库存使用数据!$A:$J,10,0),0)</f>
        <v>0</v>
      </c>
      <c r="K293" s="1">
        <f ca="1">IFERROR(VLOOKUP($A293,[1]库存使用数据!$A:$K,11,0),0)+IFERROR(VLOOKUP($A293,[2]库存使用数据!$A:$K,11,0),0)+IFERROR(VLOOKUP($A293,[3]库存使用数据!$A:$K,11,0),0)+IFERROR(VLOOKUP($A293,[4]库存使用数据!$A:$K,11,0),0)+IFERROR(VLOOKUP($A293,[5]库存使用数据!$A:$K,11,0),0)</f>
        <v>0</v>
      </c>
      <c r="L293" s="1">
        <f ca="1">IFERROR(VLOOKUP($A293,[1]库存使用数据!$A:$L,12,0),0)+IFERROR(VLOOKUP($A293,[2]库存使用数据!$A:$L,12,0),0)+IFERROR(VLOOKUP($A293,[3]库存使用数据!$A:$L,12,0),0)+IFERROR(VLOOKUP($A293,[4]库存使用数据!$A:$L,12,0),0)+IFERROR(VLOOKUP($A293,[5]库存使用数据!$A:$L,12,0),0)</f>
        <v>0</v>
      </c>
      <c r="M293" s="1">
        <f ca="1">IFERROR(VLOOKUP($A293,[1]库存使用数据!$A:$M,13,0),0)+IFERROR(VLOOKUP($A293,[2]库存使用数据!$A:$M,13,0),0)+公式!$B$14*IFERROR(VLOOKUP($A293,[3]库存使用数据!$A:$M,13,0),0)+IFERROR(VLOOKUP($A293,[4]库存使用数据!$A:$M,13,0),0)+IFERROR(VLOOKUP($A293,[5]库存使用数据!$A:$M,13,0),0)</f>
        <v>0</v>
      </c>
    </row>
    <row r="294" spans="1:13">
      <c r="A294" s="5" t="s">
        <v>299</v>
      </c>
      <c r="B294" s="2">
        <f ca="1">IFERROR(VLOOKUP(A294,[1]库存使用数据!$A:$B,2,0),0)+IFERROR(VLOOKUP(A294,[2]库存使用数据!$A:$B,2,0),0)+IFERROR(VLOOKUP(,[3]库存使用数据!$A:$B,2,0),0)+IFERROR(VLOOKUP(A294,[4]库存使用数据!$A:$B,2,0),0)+IFERROR(VLOOKUP(A294,[5]库存使用数据!$A:$B,2,0),0)</f>
        <v>0</v>
      </c>
      <c r="C294" s="1">
        <f ca="1">IFERROR(VLOOKUP($A294,[1]库存使用数据!$A:$C,3,0),0)+IFERROR(VLOOKUP($A294,[2]库存使用数据!$A:$C,3,0),0)+IFERROR(VLOOKUP($A294,[3]库存使用数据!$A:$C,3,0),0)+IFERROR(VLOOKUP($A294,[4]库存使用数据!$A:$C,3,0),0)+IFERROR(VLOOKUP($A294,[5]库存使用数据!$A:$C,3,0),0)</f>
        <v>0</v>
      </c>
      <c r="D294" s="1">
        <f ca="1">IFERROR(VLOOKUP($A294,[1]库存使用数据!$A:$D,4,0),0)+IFERROR(VLOOKUP($A294,[2]库存使用数据!$A:$D,4,0),0)+公式!$B$1*IFERROR(VLOOKUP($A294,[3]库存使用数据!$A:$D,4,0),0)+IFERROR(VLOOKUP($A294,[4]库存使用数据!$A:$D,4,0),0)+IFERROR(VLOOKUP($A294,[5]库存使用数据!$A:$D,4,0),0)</f>
        <v>0</v>
      </c>
      <c r="E294" s="1">
        <f ca="1">IFERROR(VLOOKUP($A294,[1]库存使用数据!$A:$E,5,0),0)+IFERROR(VLOOKUP($A294,[2]库存使用数据!$A:$E,5,0),0)+IFERROR(VLOOKUP($A294,[3]库存使用数据!$A:$E,5,0),0)+IFERROR(VLOOKUP($A294,[4]库存使用数据!$A:$E,5,0),0)+IFERROR(VLOOKUP($A294,[5]库存使用数据!$A:$E,5,0),0)</f>
        <v>130</v>
      </c>
      <c r="F294" s="1">
        <f ca="1">IFERROR(VLOOKUP($A294,[1]库存使用数据!$A:$F,6,0),0)+IFERROR(VLOOKUP($A294,[2]库存使用数据!$A:$F,6,0),0)+IFERROR(VLOOKUP($A294,[4]库存使用数据!$A:$F,6,0),0)+IFERROR(VLOOKUP($A294,[3]库存使用数据!$A:$F,6,0),0)+IFERROR(VLOOKUP($A294,[5]库存使用数据!$A:$F,6,0),0)</f>
        <v>0</v>
      </c>
      <c r="G294" s="1">
        <f ca="1">IFERROR(VLOOKUP($A294,[1]库存使用数据!$A:$G,7,0),0)+IFERROR(VLOOKUP($A294,[2]库存使用数据!$A:$G,7,0),0)+公式!$B$14*IFERROR(VLOOKUP($A294,[3]库存使用数据!$A:$G,7,0),0)+IFERROR(VLOOKUP($A294,[4]库存使用数据!$A:$G,7,0),0)+IFERROR(VLOOKUP($A294,[5]库存使用数据!$A:$G,7,0),0)</f>
        <v>0</v>
      </c>
      <c r="H294" s="1">
        <f ca="1">IFERROR(VLOOKUP($A294,[1]库存使用数据!$A:$H,8,0),0)+IFERROR(VLOOKUP($A294,[2]库存使用数据!$A:$H,8,0),0)+IFERROR(VLOOKUP($A294,[3]库存使用数据!$A:$H,8,0),0)+IFERROR(VLOOKUP($A294,[4]库存使用数据!$A:$H,8,0),0)+IFERROR(VLOOKUP($A294,[5]库存使用数据!$A:$H,8,0),0)</f>
        <v>0</v>
      </c>
      <c r="I294" s="1">
        <f ca="1">IFERROR(VLOOKUP($A294,[1]库存使用数据!$A:$I,9,0),0)+IFERROR(VLOOKUP($A294,[2]库存使用数据!$A:$I,9,0),0)+IFERROR(VLOOKUP($A294,[3]库存使用数据!$A:$I,9,0),0)+IFERROR(VLOOKUP($A294,[4]库存使用数据!$A:$I,9,0),0)+IFERROR(VLOOKUP($A294,[5]库存使用数据!$A:$I,9,0),0)</f>
        <v>0</v>
      </c>
      <c r="J294" s="1">
        <f ca="1">IFERROR(VLOOKUP($A294,[1]库存使用数据!$A:$J,10,0),0)+IFERROR(VLOOKUP($A294,[2]库存使用数据!$A:$J,10,0),0)+公式!$B$14*IFERROR(VLOOKUP($A294,[3]库存使用数据!$A:$J,10,0),0)+IFERROR(VLOOKUP($A294,[4]库存使用数据!$A:$J,10,0),0)+IFERROR(VLOOKUP($A294,[5]库存使用数据!$A:$J,10,0),0)</f>
        <v>0</v>
      </c>
      <c r="K294" s="1">
        <f ca="1">IFERROR(VLOOKUP($A294,[1]库存使用数据!$A:$K,11,0),0)+IFERROR(VLOOKUP($A294,[2]库存使用数据!$A:$K,11,0),0)+IFERROR(VLOOKUP($A294,[3]库存使用数据!$A:$K,11,0),0)+IFERROR(VLOOKUP($A294,[4]库存使用数据!$A:$K,11,0),0)+IFERROR(VLOOKUP($A294,[5]库存使用数据!$A:$K,11,0),0)</f>
        <v>0</v>
      </c>
      <c r="L294" s="1">
        <f ca="1">IFERROR(VLOOKUP($A294,[1]库存使用数据!$A:$L,12,0),0)+IFERROR(VLOOKUP($A294,[2]库存使用数据!$A:$L,12,0),0)+IFERROR(VLOOKUP($A294,[3]库存使用数据!$A:$L,12,0),0)+IFERROR(VLOOKUP($A294,[4]库存使用数据!$A:$L,12,0),0)+IFERROR(VLOOKUP($A294,[5]库存使用数据!$A:$L,12,0),0)</f>
        <v>0</v>
      </c>
      <c r="M294" s="1">
        <f ca="1">IFERROR(VLOOKUP($A294,[1]库存使用数据!$A:$M,13,0),0)+IFERROR(VLOOKUP($A294,[2]库存使用数据!$A:$M,13,0),0)+公式!$B$14*IFERROR(VLOOKUP($A294,[3]库存使用数据!$A:$M,13,0),0)+IFERROR(VLOOKUP($A294,[4]库存使用数据!$A:$M,13,0),0)+IFERROR(VLOOKUP($A294,[5]库存使用数据!$A:$M,13,0),0)</f>
        <v>0</v>
      </c>
    </row>
    <row r="295" spans="1:13">
      <c r="A295" s="5" t="s">
        <v>300</v>
      </c>
      <c r="B295" s="2">
        <f ca="1">IFERROR(VLOOKUP(A295,[1]库存使用数据!$A:$B,2,0),0)+IFERROR(VLOOKUP(A295,[2]库存使用数据!$A:$B,2,0),0)+IFERROR(VLOOKUP(,[3]库存使用数据!$A:$B,2,0),0)+IFERROR(VLOOKUP(A295,[4]库存使用数据!$A:$B,2,0),0)+IFERROR(VLOOKUP(A295,[5]库存使用数据!$A:$B,2,0),0)</f>
        <v>0</v>
      </c>
      <c r="C295" s="1">
        <f ca="1">IFERROR(VLOOKUP($A295,[1]库存使用数据!$A:$C,3,0),0)+IFERROR(VLOOKUP($A295,[2]库存使用数据!$A:$C,3,0),0)+IFERROR(VLOOKUP($A295,[3]库存使用数据!$A:$C,3,0),0)+IFERROR(VLOOKUP($A295,[4]库存使用数据!$A:$C,3,0),0)+IFERROR(VLOOKUP($A295,[5]库存使用数据!$A:$C,3,0),0)</f>
        <v>0</v>
      </c>
      <c r="D295" s="1">
        <f ca="1">IFERROR(VLOOKUP($A295,[1]库存使用数据!$A:$D,4,0),0)+IFERROR(VLOOKUP($A295,[2]库存使用数据!$A:$D,4,0),0)+公式!$B$1*IFERROR(VLOOKUP($A295,[3]库存使用数据!$A:$D,4,0),0)+IFERROR(VLOOKUP($A295,[4]库存使用数据!$A:$D,4,0),0)+IFERROR(VLOOKUP($A295,[5]库存使用数据!$A:$D,4,0),0)</f>
        <v>0</v>
      </c>
      <c r="E295" s="1">
        <f ca="1">IFERROR(VLOOKUP($A295,[1]库存使用数据!$A:$E,5,0),0)+IFERROR(VLOOKUP($A295,[2]库存使用数据!$A:$E,5,0),0)+IFERROR(VLOOKUP($A295,[3]库存使用数据!$A:$E,5,0),0)+IFERROR(VLOOKUP($A295,[4]库存使用数据!$A:$E,5,0),0)+IFERROR(VLOOKUP($A295,[5]库存使用数据!$A:$E,5,0),0)</f>
        <v>58</v>
      </c>
      <c r="F295" s="1">
        <f ca="1">IFERROR(VLOOKUP($A295,[1]库存使用数据!$A:$F,6,0),0)+IFERROR(VLOOKUP($A295,[2]库存使用数据!$A:$F,6,0),0)+IFERROR(VLOOKUP($A295,[4]库存使用数据!$A:$F,6,0),0)+IFERROR(VLOOKUP($A295,[3]库存使用数据!$A:$F,6,0),0)+IFERROR(VLOOKUP($A295,[5]库存使用数据!$A:$F,6,0),0)</f>
        <v>0</v>
      </c>
      <c r="G295" s="1">
        <f ca="1">IFERROR(VLOOKUP($A295,[1]库存使用数据!$A:$G,7,0),0)+IFERROR(VLOOKUP($A295,[2]库存使用数据!$A:$G,7,0),0)+公式!$B$14*IFERROR(VLOOKUP($A295,[3]库存使用数据!$A:$G,7,0),0)+IFERROR(VLOOKUP($A295,[4]库存使用数据!$A:$G,7,0),0)+IFERROR(VLOOKUP($A295,[5]库存使用数据!$A:$G,7,0),0)</f>
        <v>0</v>
      </c>
      <c r="H295" s="1">
        <f ca="1">IFERROR(VLOOKUP($A295,[1]库存使用数据!$A:$H,8,0),0)+IFERROR(VLOOKUP($A295,[2]库存使用数据!$A:$H,8,0),0)+IFERROR(VLOOKUP($A295,[3]库存使用数据!$A:$H,8,0),0)+IFERROR(VLOOKUP($A295,[4]库存使用数据!$A:$H,8,0),0)+IFERROR(VLOOKUP($A295,[5]库存使用数据!$A:$H,8,0),0)</f>
        <v>0</v>
      </c>
      <c r="I295" s="1">
        <f ca="1">IFERROR(VLOOKUP($A295,[1]库存使用数据!$A:$I,9,0),0)+IFERROR(VLOOKUP($A295,[2]库存使用数据!$A:$I,9,0),0)+IFERROR(VLOOKUP($A295,[3]库存使用数据!$A:$I,9,0),0)+IFERROR(VLOOKUP($A295,[4]库存使用数据!$A:$I,9,0),0)+IFERROR(VLOOKUP($A295,[5]库存使用数据!$A:$I,9,0),0)</f>
        <v>0</v>
      </c>
      <c r="J295" s="1">
        <f ca="1">IFERROR(VLOOKUP($A295,[1]库存使用数据!$A:$J,10,0),0)+IFERROR(VLOOKUP($A295,[2]库存使用数据!$A:$J,10,0),0)+公式!$B$14*IFERROR(VLOOKUP($A295,[3]库存使用数据!$A:$J,10,0),0)+IFERROR(VLOOKUP($A295,[4]库存使用数据!$A:$J,10,0),0)+IFERROR(VLOOKUP($A295,[5]库存使用数据!$A:$J,10,0),0)</f>
        <v>0</v>
      </c>
      <c r="K295" s="1">
        <f ca="1">IFERROR(VLOOKUP($A295,[1]库存使用数据!$A:$K,11,0),0)+IFERROR(VLOOKUP($A295,[2]库存使用数据!$A:$K,11,0),0)+IFERROR(VLOOKUP($A295,[3]库存使用数据!$A:$K,11,0),0)+IFERROR(VLOOKUP($A295,[4]库存使用数据!$A:$K,11,0),0)+IFERROR(VLOOKUP($A295,[5]库存使用数据!$A:$K,11,0),0)</f>
        <v>0</v>
      </c>
      <c r="L295" s="1">
        <f ca="1">IFERROR(VLOOKUP($A295,[1]库存使用数据!$A:$L,12,0),0)+IFERROR(VLOOKUP($A295,[2]库存使用数据!$A:$L,12,0),0)+IFERROR(VLOOKUP($A295,[3]库存使用数据!$A:$L,12,0),0)+IFERROR(VLOOKUP($A295,[4]库存使用数据!$A:$L,12,0),0)+IFERROR(VLOOKUP($A295,[5]库存使用数据!$A:$L,12,0),0)</f>
        <v>0</v>
      </c>
      <c r="M295" s="1">
        <f ca="1">IFERROR(VLOOKUP($A295,[1]库存使用数据!$A:$M,13,0),0)+IFERROR(VLOOKUP($A295,[2]库存使用数据!$A:$M,13,0),0)+公式!$B$14*IFERROR(VLOOKUP($A295,[3]库存使用数据!$A:$M,13,0),0)+IFERROR(VLOOKUP($A295,[4]库存使用数据!$A:$M,13,0),0)+IFERROR(VLOOKUP($A295,[5]库存使用数据!$A:$M,13,0),0)</f>
        <v>0</v>
      </c>
    </row>
    <row r="296" spans="1:13">
      <c r="A296" s="5" t="s">
        <v>301</v>
      </c>
      <c r="B296" s="2">
        <f ca="1">IFERROR(VLOOKUP(A296,[1]库存使用数据!$A:$B,2,0),0)+IFERROR(VLOOKUP(A296,[2]库存使用数据!$A:$B,2,0),0)+IFERROR(VLOOKUP(,[3]库存使用数据!$A:$B,2,0),0)+IFERROR(VLOOKUP(A296,[4]库存使用数据!$A:$B,2,0),0)+IFERROR(VLOOKUP(A296,[5]库存使用数据!$A:$B,2,0),0)</f>
        <v>0</v>
      </c>
      <c r="C296" s="1">
        <f ca="1">IFERROR(VLOOKUP($A296,[1]库存使用数据!$A:$C,3,0),0)+IFERROR(VLOOKUP($A296,[2]库存使用数据!$A:$C,3,0),0)+IFERROR(VLOOKUP($A296,[3]库存使用数据!$A:$C,3,0),0)+IFERROR(VLOOKUP($A296,[4]库存使用数据!$A:$C,3,0),0)+IFERROR(VLOOKUP($A296,[5]库存使用数据!$A:$C,3,0),0)</f>
        <v>0</v>
      </c>
      <c r="D296" s="1">
        <f ca="1">IFERROR(VLOOKUP($A296,[1]库存使用数据!$A:$D,4,0),0)+IFERROR(VLOOKUP($A296,[2]库存使用数据!$A:$D,4,0),0)+公式!$B$1*IFERROR(VLOOKUP($A296,[3]库存使用数据!$A:$D,4,0),0)+IFERROR(VLOOKUP($A296,[4]库存使用数据!$A:$D,4,0),0)+IFERROR(VLOOKUP($A296,[5]库存使用数据!$A:$D,4,0),0)</f>
        <v>0</v>
      </c>
      <c r="E296" s="1">
        <f ca="1">IFERROR(VLOOKUP($A296,[1]库存使用数据!$A:$E,5,0),0)+IFERROR(VLOOKUP($A296,[2]库存使用数据!$A:$E,5,0),0)+IFERROR(VLOOKUP($A296,[3]库存使用数据!$A:$E,5,0),0)+IFERROR(VLOOKUP($A296,[4]库存使用数据!$A:$E,5,0),0)+IFERROR(VLOOKUP($A296,[5]库存使用数据!$A:$E,5,0),0)</f>
        <v>38</v>
      </c>
      <c r="F296" s="1">
        <f ca="1">IFERROR(VLOOKUP($A296,[1]库存使用数据!$A:$F,6,0),0)+IFERROR(VLOOKUP($A296,[2]库存使用数据!$A:$F,6,0),0)+IFERROR(VLOOKUP($A296,[4]库存使用数据!$A:$F,6,0),0)+IFERROR(VLOOKUP($A296,[3]库存使用数据!$A:$F,6,0),0)+IFERROR(VLOOKUP($A296,[5]库存使用数据!$A:$F,6,0),0)</f>
        <v>0</v>
      </c>
      <c r="G296" s="1">
        <f ca="1">IFERROR(VLOOKUP($A296,[1]库存使用数据!$A:$G,7,0),0)+IFERROR(VLOOKUP($A296,[2]库存使用数据!$A:$G,7,0),0)+公式!$B$14*IFERROR(VLOOKUP($A296,[3]库存使用数据!$A:$G,7,0),0)+IFERROR(VLOOKUP($A296,[4]库存使用数据!$A:$G,7,0),0)+IFERROR(VLOOKUP($A296,[5]库存使用数据!$A:$G,7,0),0)</f>
        <v>0</v>
      </c>
      <c r="H296" s="1">
        <f ca="1">IFERROR(VLOOKUP($A296,[1]库存使用数据!$A:$H,8,0),0)+IFERROR(VLOOKUP($A296,[2]库存使用数据!$A:$H,8,0),0)+IFERROR(VLOOKUP($A296,[3]库存使用数据!$A:$H,8,0),0)+IFERROR(VLOOKUP($A296,[4]库存使用数据!$A:$H,8,0),0)+IFERROR(VLOOKUP($A296,[5]库存使用数据!$A:$H,8,0),0)</f>
        <v>0</v>
      </c>
      <c r="I296" s="1">
        <f ca="1">IFERROR(VLOOKUP($A296,[1]库存使用数据!$A:$I,9,0),0)+IFERROR(VLOOKUP($A296,[2]库存使用数据!$A:$I,9,0),0)+IFERROR(VLOOKUP($A296,[3]库存使用数据!$A:$I,9,0),0)+IFERROR(VLOOKUP($A296,[4]库存使用数据!$A:$I,9,0),0)+IFERROR(VLOOKUP($A296,[5]库存使用数据!$A:$I,9,0),0)</f>
        <v>0</v>
      </c>
      <c r="J296" s="1">
        <f ca="1">IFERROR(VLOOKUP($A296,[1]库存使用数据!$A:$J,10,0),0)+IFERROR(VLOOKUP($A296,[2]库存使用数据!$A:$J,10,0),0)+公式!$B$14*IFERROR(VLOOKUP($A296,[3]库存使用数据!$A:$J,10,0),0)+IFERROR(VLOOKUP($A296,[4]库存使用数据!$A:$J,10,0),0)+IFERROR(VLOOKUP($A296,[5]库存使用数据!$A:$J,10,0),0)</f>
        <v>0</v>
      </c>
      <c r="K296" s="1">
        <f ca="1">IFERROR(VLOOKUP($A296,[1]库存使用数据!$A:$K,11,0),0)+IFERROR(VLOOKUP($A296,[2]库存使用数据!$A:$K,11,0),0)+IFERROR(VLOOKUP($A296,[3]库存使用数据!$A:$K,11,0),0)+IFERROR(VLOOKUP($A296,[4]库存使用数据!$A:$K,11,0),0)+IFERROR(VLOOKUP($A296,[5]库存使用数据!$A:$K,11,0),0)</f>
        <v>0</v>
      </c>
      <c r="L296" s="1">
        <f ca="1">IFERROR(VLOOKUP($A296,[1]库存使用数据!$A:$L,12,0),0)+IFERROR(VLOOKUP($A296,[2]库存使用数据!$A:$L,12,0),0)+IFERROR(VLOOKUP($A296,[3]库存使用数据!$A:$L,12,0),0)+IFERROR(VLOOKUP($A296,[4]库存使用数据!$A:$L,12,0),0)+IFERROR(VLOOKUP($A296,[5]库存使用数据!$A:$L,12,0),0)</f>
        <v>0</v>
      </c>
      <c r="M296" s="1">
        <f ca="1">IFERROR(VLOOKUP($A296,[1]库存使用数据!$A:$M,13,0),0)+IFERROR(VLOOKUP($A296,[2]库存使用数据!$A:$M,13,0),0)+公式!$B$14*IFERROR(VLOOKUP($A296,[3]库存使用数据!$A:$M,13,0),0)+IFERROR(VLOOKUP($A296,[4]库存使用数据!$A:$M,13,0),0)+IFERROR(VLOOKUP($A296,[5]库存使用数据!$A:$M,13,0),0)</f>
        <v>0</v>
      </c>
    </row>
    <row r="297" spans="1:13">
      <c r="A297" s="5" t="s">
        <v>302</v>
      </c>
      <c r="B297" s="2">
        <f ca="1">IFERROR(VLOOKUP(A297,[1]库存使用数据!$A:$B,2,0),0)+IFERROR(VLOOKUP(A297,[2]库存使用数据!$A:$B,2,0),0)+IFERROR(VLOOKUP(,[3]库存使用数据!$A:$B,2,0),0)+IFERROR(VLOOKUP(A297,[4]库存使用数据!$A:$B,2,0),0)+IFERROR(VLOOKUP(A297,[5]库存使用数据!$A:$B,2,0),0)</f>
        <v>0</v>
      </c>
      <c r="C297" s="1">
        <f ca="1">IFERROR(VLOOKUP($A297,[1]库存使用数据!$A:$C,3,0),0)+IFERROR(VLOOKUP($A297,[2]库存使用数据!$A:$C,3,0),0)+IFERROR(VLOOKUP($A297,[3]库存使用数据!$A:$C,3,0),0)+IFERROR(VLOOKUP($A297,[4]库存使用数据!$A:$C,3,0),0)+IFERROR(VLOOKUP($A297,[5]库存使用数据!$A:$C,3,0),0)</f>
        <v>0</v>
      </c>
      <c r="D297" s="1">
        <f ca="1">IFERROR(VLOOKUP($A297,[1]库存使用数据!$A:$D,4,0),0)+IFERROR(VLOOKUP($A297,[2]库存使用数据!$A:$D,4,0),0)+公式!$B$1*IFERROR(VLOOKUP($A297,[3]库存使用数据!$A:$D,4,0),0)+IFERROR(VLOOKUP($A297,[4]库存使用数据!$A:$D,4,0),0)+IFERROR(VLOOKUP($A297,[5]库存使用数据!$A:$D,4,0),0)</f>
        <v>0</v>
      </c>
      <c r="E297" s="1">
        <f ca="1">IFERROR(VLOOKUP($A297,[1]库存使用数据!$A:$E,5,0),0)+IFERROR(VLOOKUP($A297,[2]库存使用数据!$A:$E,5,0),0)+IFERROR(VLOOKUP($A297,[3]库存使用数据!$A:$E,5,0),0)+IFERROR(VLOOKUP($A297,[4]库存使用数据!$A:$E,5,0),0)+IFERROR(VLOOKUP($A297,[5]库存使用数据!$A:$E,5,0),0)</f>
        <v>40</v>
      </c>
      <c r="F297" s="1">
        <f ca="1">IFERROR(VLOOKUP($A297,[1]库存使用数据!$A:$F,6,0),0)+IFERROR(VLOOKUP($A297,[2]库存使用数据!$A:$F,6,0),0)+IFERROR(VLOOKUP($A297,[4]库存使用数据!$A:$F,6,0),0)+IFERROR(VLOOKUP($A297,[3]库存使用数据!$A:$F,6,0),0)+IFERROR(VLOOKUP($A297,[5]库存使用数据!$A:$F,6,0),0)</f>
        <v>0</v>
      </c>
      <c r="G297" s="1">
        <f ca="1">IFERROR(VLOOKUP($A297,[1]库存使用数据!$A:$G,7,0),0)+IFERROR(VLOOKUP($A297,[2]库存使用数据!$A:$G,7,0),0)+公式!$B$14*IFERROR(VLOOKUP($A297,[3]库存使用数据!$A:$G,7,0),0)+IFERROR(VLOOKUP($A297,[4]库存使用数据!$A:$G,7,0),0)+IFERROR(VLOOKUP($A297,[5]库存使用数据!$A:$G,7,0),0)</f>
        <v>0</v>
      </c>
      <c r="H297" s="1">
        <f ca="1">IFERROR(VLOOKUP($A297,[1]库存使用数据!$A:$H,8,0),0)+IFERROR(VLOOKUP($A297,[2]库存使用数据!$A:$H,8,0),0)+IFERROR(VLOOKUP($A297,[3]库存使用数据!$A:$H,8,0),0)+IFERROR(VLOOKUP($A297,[4]库存使用数据!$A:$H,8,0),0)+IFERROR(VLOOKUP($A297,[5]库存使用数据!$A:$H,8,0),0)</f>
        <v>0</v>
      </c>
      <c r="I297" s="1">
        <f ca="1">IFERROR(VLOOKUP($A297,[1]库存使用数据!$A:$I,9,0),0)+IFERROR(VLOOKUP($A297,[2]库存使用数据!$A:$I,9,0),0)+IFERROR(VLOOKUP($A297,[3]库存使用数据!$A:$I,9,0),0)+IFERROR(VLOOKUP($A297,[4]库存使用数据!$A:$I,9,0),0)+IFERROR(VLOOKUP($A297,[5]库存使用数据!$A:$I,9,0),0)</f>
        <v>0</v>
      </c>
      <c r="J297" s="1">
        <f ca="1">IFERROR(VLOOKUP($A297,[1]库存使用数据!$A:$J,10,0),0)+IFERROR(VLOOKUP($A297,[2]库存使用数据!$A:$J,10,0),0)+公式!$B$14*IFERROR(VLOOKUP($A297,[3]库存使用数据!$A:$J,10,0),0)+IFERROR(VLOOKUP($A297,[4]库存使用数据!$A:$J,10,0),0)+IFERROR(VLOOKUP($A297,[5]库存使用数据!$A:$J,10,0),0)</f>
        <v>0</v>
      </c>
      <c r="K297" s="1">
        <f ca="1">IFERROR(VLOOKUP($A297,[1]库存使用数据!$A:$K,11,0),0)+IFERROR(VLOOKUP($A297,[2]库存使用数据!$A:$K,11,0),0)+IFERROR(VLOOKUP($A297,[3]库存使用数据!$A:$K,11,0),0)+IFERROR(VLOOKUP($A297,[4]库存使用数据!$A:$K,11,0),0)+IFERROR(VLOOKUP($A297,[5]库存使用数据!$A:$K,11,0),0)</f>
        <v>0</v>
      </c>
      <c r="L297" s="1">
        <f ca="1">IFERROR(VLOOKUP($A297,[1]库存使用数据!$A:$L,12,0),0)+IFERROR(VLOOKUP($A297,[2]库存使用数据!$A:$L,12,0),0)+IFERROR(VLOOKUP($A297,[3]库存使用数据!$A:$L,12,0),0)+IFERROR(VLOOKUP($A297,[4]库存使用数据!$A:$L,12,0),0)+IFERROR(VLOOKUP($A297,[5]库存使用数据!$A:$L,12,0),0)</f>
        <v>0</v>
      </c>
      <c r="M297" s="1">
        <f ca="1">IFERROR(VLOOKUP($A297,[1]库存使用数据!$A:$M,13,0),0)+IFERROR(VLOOKUP($A297,[2]库存使用数据!$A:$M,13,0),0)+公式!$B$14*IFERROR(VLOOKUP($A297,[3]库存使用数据!$A:$M,13,0),0)+IFERROR(VLOOKUP($A297,[4]库存使用数据!$A:$M,13,0),0)+IFERROR(VLOOKUP($A297,[5]库存使用数据!$A:$M,13,0),0)</f>
        <v>0</v>
      </c>
    </row>
    <row r="298" spans="1:13">
      <c r="A298" s="5" t="s">
        <v>303</v>
      </c>
      <c r="B298" s="2">
        <f ca="1">IFERROR(VLOOKUP(A298,[1]库存使用数据!$A:$B,2,0),0)+IFERROR(VLOOKUP(A298,[2]库存使用数据!$A:$B,2,0),0)+IFERROR(VLOOKUP(,[3]库存使用数据!$A:$B,2,0),0)+IFERROR(VLOOKUP(A298,[4]库存使用数据!$A:$B,2,0),0)+IFERROR(VLOOKUP(A298,[5]库存使用数据!$A:$B,2,0),0)</f>
        <v>0</v>
      </c>
      <c r="C298" s="1">
        <f ca="1">IFERROR(VLOOKUP($A298,[1]库存使用数据!$A:$C,3,0),0)+IFERROR(VLOOKUP($A298,[2]库存使用数据!$A:$C,3,0),0)+IFERROR(VLOOKUP($A298,[3]库存使用数据!$A:$C,3,0),0)+IFERROR(VLOOKUP($A298,[4]库存使用数据!$A:$C,3,0),0)+IFERROR(VLOOKUP($A298,[5]库存使用数据!$A:$C,3,0),0)</f>
        <v>0</v>
      </c>
      <c r="D298" s="1">
        <f ca="1">IFERROR(VLOOKUP($A298,[1]库存使用数据!$A:$D,4,0),0)+IFERROR(VLOOKUP($A298,[2]库存使用数据!$A:$D,4,0),0)+公式!$B$1*IFERROR(VLOOKUP($A298,[3]库存使用数据!$A:$D,4,0),0)+IFERROR(VLOOKUP($A298,[4]库存使用数据!$A:$D,4,0),0)+IFERROR(VLOOKUP($A298,[5]库存使用数据!$A:$D,4,0),0)</f>
        <v>0</v>
      </c>
      <c r="E298" s="1">
        <f ca="1">IFERROR(VLOOKUP($A298,[1]库存使用数据!$A:$E,5,0),0)+IFERROR(VLOOKUP($A298,[2]库存使用数据!$A:$E,5,0),0)+IFERROR(VLOOKUP($A298,[3]库存使用数据!$A:$E,5,0),0)+IFERROR(VLOOKUP($A298,[4]库存使用数据!$A:$E,5,0),0)+IFERROR(VLOOKUP($A298,[5]库存使用数据!$A:$E,5,0),0)</f>
        <v>2</v>
      </c>
      <c r="F298" s="1">
        <f ca="1">IFERROR(VLOOKUP($A298,[1]库存使用数据!$A:$F,6,0),0)+IFERROR(VLOOKUP($A298,[2]库存使用数据!$A:$F,6,0),0)+IFERROR(VLOOKUP($A298,[4]库存使用数据!$A:$F,6,0),0)+IFERROR(VLOOKUP($A298,[3]库存使用数据!$A:$F,6,0),0)+IFERROR(VLOOKUP($A298,[5]库存使用数据!$A:$F,6,0),0)</f>
        <v>0</v>
      </c>
      <c r="G298" s="1">
        <f ca="1">IFERROR(VLOOKUP($A298,[1]库存使用数据!$A:$G,7,0),0)+IFERROR(VLOOKUP($A298,[2]库存使用数据!$A:$G,7,0),0)+公式!$B$14*IFERROR(VLOOKUP($A298,[3]库存使用数据!$A:$G,7,0),0)+IFERROR(VLOOKUP($A298,[4]库存使用数据!$A:$G,7,0),0)+IFERROR(VLOOKUP($A298,[5]库存使用数据!$A:$G,7,0),0)</f>
        <v>0</v>
      </c>
      <c r="H298" s="1">
        <f ca="1">IFERROR(VLOOKUP($A298,[1]库存使用数据!$A:$H,8,0),0)+IFERROR(VLOOKUP($A298,[2]库存使用数据!$A:$H,8,0),0)+IFERROR(VLOOKUP($A298,[3]库存使用数据!$A:$H,8,0),0)+IFERROR(VLOOKUP($A298,[4]库存使用数据!$A:$H,8,0),0)+IFERROR(VLOOKUP($A298,[5]库存使用数据!$A:$H,8,0),0)</f>
        <v>0</v>
      </c>
      <c r="I298" s="1">
        <f ca="1">IFERROR(VLOOKUP($A298,[1]库存使用数据!$A:$I,9,0),0)+IFERROR(VLOOKUP($A298,[2]库存使用数据!$A:$I,9,0),0)+IFERROR(VLOOKUP($A298,[3]库存使用数据!$A:$I,9,0),0)+IFERROR(VLOOKUP($A298,[4]库存使用数据!$A:$I,9,0),0)+IFERROR(VLOOKUP($A298,[5]库存使用数据!$A:$I,9,0),0)</f>
        <v>0</v>
      </c>
      <c r="J298" s="1">
        <f ca="1">IFERROR(VLOOKUP($A298,[1]库存使用数据!$A:$J,10,0),0)+IFERROR(VLOOKUP($A298,[2]库存使用数据!$A:$J,10,0),0)+公式!$B$14*IFERROR(VLOOKUP($A298,[3]库存使用数据!$A:$J,10,0),0)+IFERROR(VLOOKUP($A298,[4]库存使用数据!$A:$J,10,0),0)+IFERROR(VLOOKUP($A298,[5]库存使用数据!$A:$J,10,0),0)</f>
        <v>0</v>
      </c>
      <c r="K298" s="1">
        <f ca="1">IFERROR(VLOOKUP($A298,[1]库存使用数据!$A:$K,11,0),0)+IFERROR(VLOOKUP($A298,[2]库存使用数据!$A:$K,11,0),0)+IFERROR(VLOOKUP($A298,[3]库存使用数据!$A:$K,11,0),0)+IFERROR(VLOOKUP($A298,[4]库存使用数据!$A:$K,11,0),0)+IFERROR(VLOOKUP($A298,[5]库存使用数据!$A:$K,11,0),0)</f>
        <v>0</v>
      </c>
      <c r="L298" s="1">
        <f ca="1">IFERROR(VLOOKUP($A298,[1]库存使用数据!$A:$L,12,0),0)+IFERROR(VLOOKUP($A298,[2]库存使用数据!$A:$L,12,0),0)+IFERROR(VLOOKUP($A298,[3]库存使用数据!$A:$L,12,0),0)+IFERROR(VLOOKUP($A298,[4]库存使用数据!$A:$L,12,0),0)+IFERROR(VLOOKUP($A298,[5]库存使用数据!$A:$L,12,0),0)</f>
        <v>0</v>
      </c>
      <c r="M298" s="1">
        <f ca="1">IFERROR(VLOOKUP($A298,[1]库存使用数据!$A:$M,13,0),0)+IFERROR(VLOOKUP($A298,[2]库存使用数据!$A:$M,13,0),0)+公式!$B$14*IFERROR(VLOOKUP($A298,[3]库存使用数据!$A:$M,13,0),0)+IFERROR(VLOOKUP($A298,[4]库存使用数据!$A:$M,13,0),0)+IFERROR(VLOOKUP($A298,[5]库存使用数据!$A:$M,13,0),0)</f>
        <v>0</v>
      </c>
    </row>
    <row r="299" spans="1:13">
      <c r="A299" s="5" t="s">
        <v>304</v>
      </c>
      <c r="B299" s="2">
        <f ca="1">IFERROR(VLOOKUP(A299,[1]库存使用数据!$A:$B,2,0),0)+IFERROR(VLOOKUP(A299,[2]库存使用数据!$A:$B,2,0),0)+IFERROR(VLOOKUP(,[3]库存使用数据!$A:$B,2,0),0)+IFERROR(VLOOKUP(A299,[4]库存使用数据!$A:$B,2,0),0)+IFERROR(VLOOKUP(A299,[5]库存使用数据!$A:$B,2,0),0)</f>
        <v>0</v>
      </c>
      <c r="C299" s="1">
        <f ca="1">IFERROR(VLOOKUP($A299,[1]库存使用数据!$A:$C,3,0),0)+IFERROR(VLOOKUP($A299,[2]库存使用数据!$A:$C,3,0),0)+IFERROR(VLOOKUP($A299,[3]库存使用数据!$A:$C,3,0),0)+IFERROR(VLOOKUP($A299,[4]库存使用数据!$A:$C,3,0),0)+IFERROR(VLOOKUP($A299,[5]库存使用数据!$A:$C,3,0),0)</f>
        <v>0</v>
      </c>
      <c r="D299" s="1">
        <f ca="1">IFERROR(VLOOKUP($A299,[1]库存使用数据!$A:$D,4,0),0)+IFERROR(VLOOKUP($A299,[2]库存使用数据!$A:$D,4,0),0)+公式!$B$1*IFERROR(VLOOKUP($A299,[3]库存使用数据!$A:$D,4,0),0)+IFERROR(VLOOKUP($A299,[4]库存使用数据!$A:$D,4,0),0)+IFERROR(VLOOKUP($A299,[5]库存使用数据!$A:$D,4,0),0)</f>
        <v>0</v>
      </c>
      <c r="E299" s="1">
        <f ca="1">IFERROR(VLOOKUP($A299,[1]库存使用数据!$A:$E,5,0),0)+IFERROR(VLOOKUP($A299,[2]库存使用数据!$A:$E,5,0),0)+IFERROR(VLOOKUP($A299,[3]库存使用数据!$A:$E,5,0),0)+IFERROR(VLOOKUP($A299,[4]库存使用数据!$A:$E,5,0),0)+IFERROR(VLOOKUP($A299,[5]库存使用数据!$A:$E,5,0),0)</f>
        <v>148</v>
      </c>
      <c r="F299" s="1">
        <f ca="1">IFERROR(VLOOKUP($A299,[1]库存使用数据!$A:$F,6,0),0)+IFERROR(VLOOKUP($A299,[2]库存使用数据!$A:$F,6,0),0)+IFERROR(VLOOKUP($A299,[4]库存使用数据!$A:$F,6,0),0)+IFERROR(VLOOKUP($A299,[3]库存使用数据!$A:$F,6,0),0)+IFERROR(VLOOKUP($A299,[5]库存使用数据!$A:$F,6,0),0)</f>
        <v>0</v>
      </c>
      <c r="G299" s="1">
        <f ca="1">IFERROR(VLOOKUP($A299,[1]库存使用数据!$A:$G,7,0),0)+IFERROR(VLOOKUP($A299,[2]库存使用数据!$A:$G,7,0),0)+公式!$B$14*IFERROR(VLOOKUP($A299,[3]库存使用数据!$A:$G,7,0),0)+IFERROR(VLOOKUP($A299,[4]库存使用数据!$A:$G,7,0),0)+IFERROR(VLOOKUP($A299,[5]库存使用数据!$A:$G,7,0),0)</f>
        <v>0</v>
      </c>
      <c r="H299" s="1">
        <f ca="1">IFERROR(VLOOKUP($A299,[1]库存使用数据!$A:$H,8,0),0)+IFERROR(VLOOKUP($A299,[2]库存使用数据!$A:$H,8,0),0)+IFERROR(VLOOKUP($A299,[3]库存使用数据!$A:$H,8,0),0)+IFERROR(VLOOKUP($A299,[4]库存使用数据!$A:$H,8,0),0)+IFERROR(VLOOKUP($A299,[5]库存使用数据!$A:$H,8,0),0)</f>
        <v>0</v>
      </c>
      <c r="I299" s="1">
        <f ca="1">IFERROR(VLOOKUP($A299,[1]库存使用数据!$A:$I,9,0),0)+IFERROR(VLOOKUP($A299,[2]库存使用数据!$A:$I,9,0),0)+IFERROR(VLOOKUP($A299,[3]库存使用数据!$A:$I,9,0),0)+IFERROR(VLOOKUP($A299,[4]库存使用数据!$A:$I,9,0),0)+IFERROR(VLOOKUP($A299,[5]库存使用数据!$A:$I,9,0),0)</f>
        <v>0</v>
      </c>
      <c r="J299" s="1">
        <f ca="1">IFERROR(VLOOKUP($A299,[1]库存使用数据!$A:$J,10,0),0)+IFERROR(VLOOKUP($A299,[2]库存使用数据!$A:$J,10,0),0)+公式!$B$14*IFERROR(VLOOKUP($A299,[3]库存使用数据!$A:$J,10,0),0)+IFERROR(VLOOKUP($A299,[4]库存使用数据!$A:$J,10,0),0)+IFERROR(VLOOKUP($A299,[5]库存使用数据!$A:$J,10,0),0)</f>
        <v>0</v>
      </c>
      <c r="K299" s="1">
        <f ca="1">IFERROR(VLOOKUP($A299,[1]库存使用数据!$A:$K,11,0),0)+IFERROR(VLOOKUP($A299,[2]库存使用数据!$A:$K,11,0),0)+IFERROR(VLOOKUP($A299,[3]库存使用数据!$A:$K,11,0),0)+IFERROR(VLOOKUP($A299,[4]库存使用数据!$A:$K,11,0),0)+IFERROR(VLOOKUP($A299,[5]库存使用数据!$A:$K,11,0),0)</f>
        <v>0</v>
      </c>
      <c r="L299" s="1">
        <f ca="1">IFERROR(VLOOKUP($A299,[1]库存使用数据!$A:$L,12,0),0)+IFERROR(VLOOKUP($A299,[2]库存使用数据!$A:$L,12,0),0)+IFERROR(VLOOKUP($A299,[3]库存使用数据!$A:$L,12,0),0)+IFERROR(VLOOKUP($A299,[4]库存使用数据!$A:$L,12,0),0)+IFERROR(VLOOKUP($A299,[5]库存使用数据!$A:$L,12,0),0)</f>
        <v>0</v>
      </c>
      <c r="M299" s="1">
        <f ca="1">IFERROR(VLOOKUP($A299,[1]库存使用数据!$A:$M,13,0),0)+IFERROR(VLOOKUP($A299,[2]库存使用数据!$A:$M,13,0),0)+公式!$B$14*IFERROR(VLOOKUP($A299,[3]库存使用数据!$A:$M,13,0),0)+IFERROR(VLOOKUP($A299,[4]库存使用数据!$A:$M,13,0),0)+IFERROR(VLOOKUP($A299,[5]库存使用数据!$A:$M,13,0),0)</f>
        <v>0</v>
      </c>
    </row>
    <row r="300" spans="1:13">
      <c r="A300" s="5" t="s">
        <v>305</v>
      </c>
      <c r="B300" s="2">
        <f ca="1">IFERROR(VLOOKUP(A300,[1]库存使用数据!$A:$B,2,0),0)+IFERROR(VLOOKUP(A300,[2]库存使用数据!$A:$B,2,0),0)+IFERROR(VLOOKUP(,[3]库存使用数据!$A:$B,2,0),0)+IFERROR(VLOOKUP(A300,[4]库存使用数据!$A:$B,2,0),0)+IFERROR(VLOOKUP(A300,[5]库存使用数据!$A:$B,2,0),0)</f>
        <v>0</v>
      </c>
      <c r="C300" s="1">
        <f ca="1">IFERROR(VLOOKUP($A300,[1]库存使用数据!$A:$C,3,0),0)+IFERROR(VLOOKUP($A300,[2]库存使用数据!$A:$C,3,0),0)+IFERROR(VLOOKUP($A300,[3]库存使用数据!$A:$C,3,0),0)+IFERROR(VLOOKUP($A300,[4]库存使用数据!$A:$C,3,0),0)+IFERROR(VLOOKUP($A300,[5]库存使用数据!$A:$C,3,0),0)</f>
        <v>0</v>
      </c>
      <c r="D300" s="1">
        <f ca="1">IFERROR(VLOOKUP($A300,[1]库存使用数据!$A:$D,4,0),0)+IFERROR(VLOOKUP($A300,[2]库存使用数据!$A:$D,4,0),0)+公式!$B$1*IFERROR(VLOOKUP($A300,[3]库存使用数据!$A:$D,4,0),0)+IFERROR(VLOOKUP($A300,[4]库存使用数据!$A:$D,4,0),0)+IFERROR(VLOOKUP($A300,[5]库存使用数据!$A:$D,4,0),0)</f>
        <v>0</v>
      </c>
      <c r="E300" s="1">
        <f ca="1">IFERROR(VLOOKUP($A300,[1]库存使用数据!$A:$E,5,0),0)+IFERROR(VLOOKUP($A300,[2]库存使用数据!$A:$E,5,0),0)+IFERROR(VLOOKUP($A300,[3]库存使用数据!$A:$E,5,0),0)+IFERROR(VLOOKUP($A300,[4]库存使用数据!$A:$E,5,0),0)+IFERROR(VLOOKUP($A300,[5]库存使用数据!$A:$E,5,0),0)</f>
        <v>28</v>
      </c>
      <c r="F300" s="1">
        <f ca="1">IFERROR(VLOOKUP($A300,[1]库存使用数据!$A:$F,6,0),0)+IFERROR(VLOOKUP($A300,[2]库存使用数据!$A:$F,6,0),0)+IFERROR(VLOOKUP($A300,[4]库存使用数据!$A:$F,6,0),0)+IFERROR(VLOOKUP($A300,[3]库存使用数据!$A:$F,6,0),0)+IFERROR(VLOOKUP($A300,[5]库存使用数据!$A:$F,6,0),0)</f>
        <v>0</v>
      </c>
      <c r="G300" s="1">
        <f ca="1">IFERROR(VLOOKUP($A300,[1]库存使用数据!$A:$G,7,0),0)+IFERROR(VLOOKUP($A300,[2]库存使用数据!$A:$G,7,0),0)+公式!$B$14*IFERROR(VLOOKUP($A300,[3]库存使用数据!$A:$G,7,0),0)+IFERROR(VLOOKUP($A300,[4]库存使用数据!$A:$G,7,0),0)+IFERROR(VLOOKUP($A300,[5]库存使用数据!$A:$G,7,0),0)</f>
        <v>0</v>
      </c>
      <c r="H300" s="1">
        <f ca="1">IFERROR(VLOOKUP($A300,[1]库存使用数据!$A:$H,8,0),0)+IFERROR(VLOOKUP($A300,[2]库存使用数据!$A:$H,8,0),0)+IFERROR(VLOOKUP($A300,[3]库存使用数据!$A:$H,8,0),0)+IFERROR(VLOOKUP($A300,[4]库存使用数据!$A:$H,8,0),0)+IFERROR(VLOOKUP($A300,[5]库存使用数据!$A:$H,8,0),0)</f>
        <v>0</v>
      </c>
      <c r="I300" s="1">
        <f ca="1">IFERROR(VLOOKUP($A300,[1]库存使用数据!$A:$I,9,0),0)+IFERROR(VLOOKUP($A300,[2]库存使用数据!$A:$I,9,0),0)+IFERROR(VLOOKUP($A300,[3]库存使用数据!$A:$I,9,0),0)+IFERROR(VLOOKUP($A300,[4]库存使用数据!$A:$I,9,0),0)+IFERROR(VLOOKUP($A300,[5]库存使用数据!$A:$I,9,0),0)</f>
        <v>0</v>
      </c>
      <c r="J300" s="1">
        <f ca="1">IFERROR(VLOOKUP($A300,[1]库存使用数据!$A:$J,10,0),0)+IFERROR(VLOOKUP($A300,[2]库存使用数据!$A:$J,10,0),0)+公式!$B$14*IFERROR(VLOOKUP($A300,[3]库存使用数据!$A:$J,10,0),0)+IFERROR(VLOOKUP($A300,[4]库存使用数据!$A:$J,10,0),0)+IFERROR(VLOOKUP($A300,[5]库存使用数据!$A:$J,10,0),0)</f>
        <v>0</v>
      </c>
      <c r="K300" s="1">
        <f ca="1">IFERROR(VLOOKUP($A300,[1]库存使用数据!$A:$K,11,0),0)+IFERROR(VLOOKUP($A300,[2]库存使用数据!$A:$K,11,0),0)+IFERROR(VLOOKUP($A300,[3]库存使用数据!$A:$K,11,0),0)+IFERROR(VLOOKUP($A300,[4]库存使用数据!$A:$K,11,0),0)+IFERROR(VLOOKUP($A300,[5]库存使用数据!$A:$K,11,0),0)</f>
        <v>0</v>
      </c>
      <c r="L300" s="1">
        <f ca="1">IFERROR(VLOOKUP($A300,[1]库存使用数据!$A:$L,12,0),0)+IFERROR(VLOOKUP($A300,[2]库存使用数据!$A:$L,12,0),0)+IFERROR(VLOOKUP($A300,[3]库存使用数据!$A:$L,12,0),0)+IFERROR(VLOOKUP($A300,[4]库存使用数据!$A:$L,12,0),0)+IFERROR(VLOOKUP($A300,[5]库存使用数据!$A:$L,12,0),0)</f>
        <v>0</v>
      </c>
      <c r="M300" s="1">
        <f ca="1">IFERROR(VLOOKUP($A300,[1]库存使用数据!$A:$M,13,0),0)+IFERROR(VLOOKUP($A300,[2]库存使用数据!$A:$M,13,0),0)+公式!$B$14*IFERROR(VLOOKUP($A300,[3]库存使用数据!$A:$M,13,0),0)+IFERROR(VLOOKUP($A300,[4]库存使用数据!$A:$M,13,0),0)+IFERROR(VLOOKUP($A300,[5]库存使用数据!$A:$M,13,0),0)</f>
        <v>0</v>
      </c>
    </row>
    <row r="301" spans="1:13">
      <c r="A301" s="5" t="s">
        <v>306</v>
      </c>
      <c r="B301" s="2">
        <f ca="1">IFERROR(VLOOKUP(A301,[1]库存使用数据!$A:$B,2,0),0)+IFERROR(VLOOKUP(A301,[2]库存使用数据!$A:$B,2,0),0)+IFERROR(VLOOKUP(,[3]库存使用数据!$A:$B,2,0),0)+IFERROR(VLOOKUP(A301,[4]库存使用数据!$A:$B,2,0),0)+IFERROR(VLOOKUP(A301,[5]库存使用数据!$A:$B,2,0),0)</f>
        <v>0</v>
      </c>
      <c r="C301" s="1">
        <f ca="1">IFERROR(VLOOKUP($A301,[1]库存使用数据!$A:$C,3,0),0)+IFERROR(VLOOKUP($A301,[2]库存使用数据!$A:$C,3,0),0)+IFERROR(VLOOKUP($A301,[3]库存使用数据!$A:$C,3,0),0)+IFERROR(VLOOKUP($A301,[4]库存使用数据!$A:$C,3,0),0)+IFERROR(VLOOKUP($A301,[5]库存使用数据!$A:$C,3,0),0)</f>
        <v>0</v>
      </c>
      <c r="D301" s="1">
        <f ca="1">IFERROR(VLOOKUP($A301,[1]库存使用数据!$A:$D,4,0),0)+IFERROR(VLOOKUP($A301,[2]库存使用数据!$A:$D,4,0),0)+公式!$B$1*IFERROR(VLOOKUP($A301,[3]库存使用数据!$A:$D,4,0),0)+IFERROR(VLOOKUP($A301,[4]库存使用数据!$A:$D,4,0),0)+IFERROR(VLOOKUP($A301,[5]库存使用数据!$A:$D,4,0),0)</f>
        <v>0</v>
      </c>
      <c r="E301" s="1">
        <f ca="1">IFERROR(VLOOKUP($A301,[1]库存使用数据!$A:$E,5,0),0)+IFERROR(VLOOKUP($A301,[2]库存使用数据!$A:$E,5,0),0)+IFERROR(VLOOKUP($A301,[3]库存使用数据!$A:$E,5,0),0)+IFERROR(VLOOKUP($A301,[4]库存使用数据!$A:$E,5,0),0)+IFERROR(VLOOKUP($A301,[5]库存使用数据!$A:$E,5,0),0)</f>
        <v>100</v>
      </c>
      <c r="F301" s="1">
        <f ca="1">IFERROR(VLOOKUP($A301,[1]库存使用数据!$A:$F,6,0),0)+IFERROR(VLOOKUP($A301,[2]库存使用数据!$A:$F,6,0),0)+IFERROR(VLOOKUP($A301,[4]库存使用数据!$A:$F,6,0),0)+IFERROR(VLOOKUP($A301,[3]库存使用数据!$A:$F,6,0),0)+IFERROR(VLOOKUP($A301,[5]库存使用数据!$A:$F,6,0),0)</f>
        <v>8</v>
      </c>
      <c r="G301" s="1">
        <f ca="1">IFERROR(VLOOKUP($A301,[1]库存使用数据!$A:$G,7,0),0)+IFERROR(VLOOKUP($A301,[2]库存使用数据!$A:$G,7,0),0)+公式!$B$14*IFERROR(VLOOKUP($A301,[3]库存使用数据!$A:$G,7,0),0)+IFERROR(VLOOKUP($A301,[4]库存使用数据!$A:$G,7,0),0)+IFERROR(VLOOKUP($A301,[5]库存使用数据!$A:$G,7,0),0)</f>
        <v>0.92</v>
      </c>
      <c r="H301" s="1">
        <f ca="1">IFERROR(VLOOKUP($A301,[1]库存使用数据!$A:$H,8,0),0)+IFERROR(VLOOKUP($A301,[2]库存使用数据!$A:$H,8,0),0)+IFERROR(VLOOKUP($A301,[3]库存使用数据!$A:$H,8,0),0)+IFERROR(VLOOKUP($A301,[4]库存使用数据!$A:$H,8,0),0)+IFERROR(VLOOKUP($A301,[5]库存使用数据!$A:$H,8,0),0)</f>
        <v>0</v>
      </c>
      <c r="I301" s="1">
        <f ca="1">IFERROR(VLOOKUP($A301,[1]库存使用数据!$A:$I,9,0),0)+IFERROR(VLOOKUP($A301,[2]库存使用数据!$A:$I,9,0),0)+IFERROR(VLOOKUP($A301,[3]库存使用数据!$A:$I,9,0),0)+IFERROR(VLOOKUP($A301,[4]库存使用数据!$A:$I,9,0),0)+IFERROR(VLOOKUP($A301,[5]库存使用数据!$A:$I,9,0),0)</f>
        <v>0</v>
      </c>
      <c r="J301" s="1">
        <f ca="1">IFERROR(VLOOKUP($A301,[1]库存使用数据!$A:$J,10,0),0)+IFERROR(VLOOKUP($A301,[2]库存使用数据!$A:$J,10,0),0)+公式!$B$14*IFERROR(VLOOKUP($A301,[3]库存使用数据!$A:$J,10,0),0)+IFERROR(VLOOKUP($A301,[4]库存使用数据!$A:$J,10,0),0)+IFERROR(VLOOKUP($A301,[5]库存使用数据!$A:$J,10,0),0)</f>
        <v>0</v>
      </c>
      <c r="K301" s="1">
        <f ca="1">IFERROR(VLOOKUP($A301,[1]库存使用数据!$A:$K,11,0),0)+IFERROR(VLOOKUP($A301,[2]库存使用数据!$A:$K,11,0),0)+IFERROR(VLOOKUP($A301,[3]库存使用数据!$A:$K,11,0),0)+IFERROR(VLOOKUP($A301,[4]库存使用数据!$A:$K,11,0),0)+IFERROR(VLOOKUP($A301,[5]库存使用数据!$A:$K,11,0),0)</f>
        <v>0</v>
      </c>
      <c r="L301" s="1">
        <f ca="1">IFERROR(VLOOKUP($A301,[1]库存使用数据!$A:$L,12,0),0)+IFERROR(VLOOKUP($A301,[2]库存使用数据!$A:$L,12,0),0)+IFERROR(VLOOKUP($A301,[3]库存使用数据!$A:$L,12,0),0)+IFERROR(VLOOKUP($A301,[4]库存使用数据!$A:$L,12,0),0)+IFERROR(VLOOKUP($A301,[5]库存使用数据!$A:$L,12,0),0)</f>
        <v>0</v>
      </c>
      <c r="M301" s="1">
        <f ca="1">IFERROR(VLOOKUP($A301,[1]库存使用数据!$A:$M,13,0),0)+IFERROR(VLOOKUP($A301,[2]库存使用数据!$A:$M,13,0),0)+公式!$B$14*IFERROR(VLOOKUP($A301,[3]库存使用数据!$A:$M,13,0),0)+IFERROR(VLOOKUP($A301,[4]库存使用数据!$A:$M,13,0),0)+IFERROR(VLOOKUP($A301,[5]库存使用数据!$A:$M,13,0),0)</f>
        <v>0</v>
      </c>
    </row>
    <row r="302" spans="1:13">
      <c r="A302" s="5" t="s">
        <v>307</v>
      </c>
      <c r="B302" s="2">
        <f ca="1">IFERROR(VLOOKUP(A302,[1]库存使用数据!$A:$B,2,0),0)+IFERROR(VLOOKUP(A302,[2]库存使用数据!$A:$B,2,0),0)+IFERROR(VLOOKUP(,[3]库存使用数据!$A:$B,2,0),0)+IFERROR(VLOOKUP(A302,[4]库存使用数据!$A:$B,2,0),0)+IFERROR(VLOOKUP(A302,[5]库存使用数据!$A:$B,2,0),0)</f>
        <v>0</v>
      </c>
      <c r="C302" s="1">
        <f ca="1">IFERROR(VLOOKUP($A302,[1]库存使用数据!$A:$C,3,0),0)+IFERROR(VLOOKUP($A302,[2]库存使用数据!$A:$C,3,0),0)+IFERROR(VLOOKUP($A302,[3]库存使用数据!$A:$C,3,0),0)+IFERROR(VLOOKUP($A302,[4]库存使用数据!$A:$C,3,0),0)+IFERROR(VLOOKUP($A302,[5]库存使用数据!$A:$C,3,0),0)</f>
        <v>0</v>
      </c>
      <c r="D302" s="1">
        <f ca="1">IFERROR(VLOOKUP($A302,[1]库存使用数据!$A:$D,4,0),0)+IFERROR(VLOOKUP($A302,[2]库存使用数据!$A:$D,4,0),0)+公式!$B$1*IFERROR(VLOOKUP($A302,[3]库存使用数据!$A:$D,4,0),0)+IFERROR(VLOOKUP($A302,[4]库存使用数据!$A:$D,4,0),0)+IFERROR(VLOOKUP($A302,[5]库存使用数据!$A:$D,4,0),0)</f>
        <v>0</v>
      </c>
      <c r="E302" s="1">
        <f ca="1">IFERROR(VLOOKUP($A302,[1]库存使用数据!$A:$E,5,0),0)+IFERROR(VLOOKUP($A302,[2]库存使用数据!$A:$E,5,0),0)+IFERROR(VLOOKUP($A302,[3]库存使用数据!$A:$E,5,0),0)+IFERROR(VLOOKUP($A302,[4]库存使用数据!$A:$E,5,0),0)+IFERROR(VLOOKUP($A302,[5]库存使用数据!$A:$E,5,0),0)</f>
        <v>32</v>
      </c>
      <c r="F302" s="1">
        <f ca="1">IFERROR(VLOOKUP($A302,[1]库存使用数据!$A:$F,6,0),0)+IFERROR(VLOOKUP($A302,[2]库存使用数据!$A:$F,6,0),0)+IFERROR(VLOOKUP($A302,[4]库存使用数据!$A:$F,6,0),0)+IFERROR(VLOOKUP($A302,[3]库存使用数据!$A:$F,6,0),0)+IFERROR(VLOOKUP($A302,[5]库存使用数据!$A:$F,6,0),0)</f>
        <v>2</v>
      </c>
      <c r="G302" s="1">
        <f ca="1">IFERROR(VLOOKUP($A302,[1]库存使用数据!$A:$G,7,0),0)+IFERROR(VLOOKUP($A302,[2]库存使用数据!$A:$G,7,0),0)+公式!$B$14*IFERROR(VLOOKUP($A302,[3]库存使用数据!$A:$G,7,0),0)+IFERROR(VLOOKUP($A302,[4]库存使用数据!$A:$G,7,0),0)+IFERROR(VLOOKUP($A302,[5]库存使用数据!$A:$G,7,0),0)</f>
        <v>0.26</v>
      </c>
      <c r="H302" s="1">
        <f ca="1">IFERROR(VLOOKUP($A302,[1]库存使用数据!$A:$H,8,0),0)+IFERROR(VLOOKUP($A302,[2]库存使用数据!$A:$H,8,0),0)+IFERROR(VLOOKUP($A302,[3]库存使用数据!$A:$H,8,0),0)+IFERROR(VLOOKUP($A302,[4]库存使用数据!$A:$H,8,0),0)+IFERROR(VLOOKUP($A302,[5]库存使用数据!$A:$H,8,0),0)</f>
        <v>0</v>
      </c>
      <c r="I302" s="1">
        <f ca="1">IFERROR(VLOOKUP($A302,[1]库存使用数据!$A:$I,9,0),0)+IFERROR(VLOOKUP($A302,[2]库存使用数据!$A:$I,9,0),0)+IFERROR(VLOOKUP($A302,[3]库存使用数据!$A:$I,9,0),0)+IFERROR(VLOOKUP($A302,[4]库存使用数据!$A:$I,9,0),0)+IFERROR(VLOOKUP($A302,[5]库存使用数据!$A:$I,9,0),0)</f>
        <v>0</v>
      </c>
      <c r="J302" s="1">
        <f ca="1">IFERROR(VLOOKUP($A302,[1]库存使用数据!$A:$J,10,0),0)+IFERROR(VLOOKUP($A302,[2]库存使用数据!$A:$J,10,0),0)+公式!$B$14*IFERROR(VLOOKUP($A302,[3]库存使用数据!$A:$J,10,0),0)+IFERROR(VLOOKUP($A302,[4]库存使用数据!$A:$J,10,0),0)+IFERROR(VLOOKUP($A302,[5]库存使用数据!$A:$J,10,0),0)</f>
        <v>0</v>
      </c>
      <c r="K302" s="1">
        <f ca="1">IFERROR(VLOOKUP($A302,[1]库存使用数据!$A:$K,11,0),0)+IFERROR(VLOOKUP($A302,[2]库存使用数据!$A:$K,11,0),0)+IFERROR(VLOOKUP($A302,[3]库存使用数据!$A:$K,11,0),0)+IFERROR(VLOOKUP($A302,[4]库存使用数据!$A:$K,11,0),0)+IFERROR(VLOOKUP($A302,[5]库存使用数据!$A:$K,11,0),0)</f>
        <v>0</v>
      </c>
      <c r="L302" s="1">
        <f ca="1">IFERROR(VLOOKUP($A302,[1]库存使用数据!$A:$L,12,0),0)+IFERROR(VLOOKUP($A302,[2]库存使用数据!$A:$L,12,0),0)+IFERROR(VLOOKUP($A302,[3]库存使用数据!$A:$L,12,0),0)+IFERROR(VLOOKUP($A302,[4]库存使用数据!$A:$L,12,0),0)+IFERROR(VLOOKUP($A302,[5]库存使用数据!$A:$L,12,0),0)</f>
        <v>0</v>
      </c>
      <c r="M302" s="1">
        <f ca="1">IFERROR(VLOOKUP($A302,[1]库存使用数据!$A:$M,13,0),0)+IFERROR(VLOOKUP($A302,[2]库存使用数据!$A:$M,13,0),0)+公式!$B$14*IFERROR(VLOOKUP($A302,[3]库存使用数据!$A:$M,13,0),0)+IFERROR(VLOOKUP($A302,[4]库存使用数据!$A:$M,13,0),0)+IFERROR(VLOOKUP($A302,[5]库存使用数据!$A:$M,13,0),0)</f>
        <v>0</v>
      </c>
    </row>
    <row r="303" spans="1:13">
      <c r="A303" s="5" t="s">
        <v>308</v>
      </c>
      <c r="B303" s="2">
        <f ca="1">IFERROR(VLOOKUP(A303,[1]库存使用数据!$A:$B,2,0),0)+IFERROR(VLOOKUP(A303,[2]库存使用数据!$A:$B,2,0),0)+IFERROR(VLOOKUP(,[3]库存使用数据!$A:$B,2,0),0)+IFERROR(VLOOKUP(A303,[4]库存使用数据!$A:$B,2,0),0)+IFERROR(VLOOKUP(A303,[5]库存使用数据!$A:$B,2,0),0)</f>
        <v>0</v>
      </c>
      <c r="C303" s="1">
        <f ca="1">IFERROR(VLOOKUP($A303,[1]库存使用数据!$A:$C,3,0),0)+IFERROR(VLOOKUP($A303,[2]库存使用数据!$A:$C,3,0),0)+IFERROR(VLOOKUP($A303,[3]库存使用数据!$A:$C,3,0),0)+IFERROR(VLOOKUP($A303,[4]库存使用数据!$A:$C,3,0),0)+IFERROR(VLOOKUP($A303,[5]库存使用数据!$A:$C,3,0),0)</f>
        <v>0</v>
      </c>
      <c r="D303" s="1">
        <f ca="1">IFERROR(VLOOKUP($A303,[1]库存使用数据!$A:$D,4,0),0)+IFERROR(VLOOKUP($A303,[2]库存使用数据!$A:$D,4,0),0)+公式!$B$1*IFERROR(VLOOKUP($A303,[3]库存使用数据!$A:$D,4,0),0)+IFERROR(VLOOKUP($A303,[4]库存使用数据!$A:$D,4,0),0)+IFERROR(VLOOKUP($A303,[5]库存使用数据!$A:$D,4,0),0)</f>
        <v>0</v>
      </c>
      <c r="E303" s="1">
        <f ca="1">IFERROR(VLOOKUP($A303,[1]库存使用数据!$A:$E,5,0),0)+IFERROR(VLOOKUP($A303,[2]库存使用数据!$A:$E,5,0),0)+IFERROR(VLOOKUP($A303,[3]库存使用数据!$A:$E,5,0),0)+IFERROR(VLOOKUP($A303,[4]库存使用数据!$A:$E,5,0),0)+IFERROR(VLOOKUP($A303,[5]库存使用数据!$A:$E,5,0),0)</f>
        <v>16</v>
      </c>
      <c r="F303" s="1">
        <f ca="1">IFERROR(VLOOKUP($A303,[1]库存使用数据!$A:$F,6,0),0)+IFERROR(VLOOKUP($A303,[2]库存使用数据!$A:$F,6,0),0)+IFERROR(VLOOKUP($A303,[4]库存使用数据!$A:$F,6,0),0)+IFERROR(VLOOKUP($A303,[3]库存使用数据!$A:$F,6,0),0)+IFERROR(VLOOKUP($A303,[5]库存使用数据!$A:$F,6,0),0)</f>
        <v>0</v>
      </c>
      <c r="G303" s="1">
        <f ca="1">IFERROR(VLOOKUP($A303,[1]库存使用数据!$A:$G,7,0),0)+IFERROR(VLOOKUP($A303,[2]库存使用数据!$A:$G,7,0),0)+公式!$B$14*IFERROR(VLOOKUP($A303,[3]库存使用数据!$A:$G,7,0),0)+IFERROR(VLOOKUP($A303,[4]库存使用数据!$A:$G,7,0),0)+IFERROR(VLOOKUP($A303,[5]库存使用数据!$A:$G,7,0),0)</f>
        <v>0</v>
      </c>
      <c r="H303" s="1">
        <f ca="1">IFERROR(VLOOKUP($A303,[1]库存使用数据!$A:$H,8,0),0)+IFERROR(VLOOKUP($A303,[2]库存使用数据!$A:$H,8,0),0)+IFERROR(VLOOKUP($A303,[3]库存使用数据!$A:$H,8,0),0)+IFERROR(VLOOKUP($A303,[4]库存使用数据!$A:$H,8,0),0)+IFERROR(VLOOKUP($A303,[5]库存使用数据!$A:$H,8,0),0)</f>
        <v>0</v>
      </c>
      <c r="I303" s="1">
        <f ca="1">IFERROR(VLOOKUP($A303,[1]库存使用数据!$A:$I,9,0),0)+IFERROR(VLOOKUP($A303,[2]库存使用数据!$A:$I,9,0),0)+IFERROR(VLOOKUP($A303,[3]库存使用数据!$A:$I,9,0),0)+IFERROR(VLOOKUP($A303,[4]库存使用数据!$A:$I,9,0),0)+IFERROR(VLOOKUP($A303,[5]库存使用数据!$A:$I,9,0),0)</f>
        <v>0</v>
      </c>
      <c r="J303" s="1">
        <f ca="1">IFERROR(VLOOKUP($A303,[1]库存使用数据!$A:$J,10,0),0)+IFERROR(VLOOKUP($A303,[2]库存使用数据!$A:$J,10,0),0)+公式!$B$14*IFERROR(VLOOKUP($A303,[3]库存使用数据!$A:$J,10,0),0)+IFERROR(VLOOKUP($A303,[4]库存使用数据!$A:$J,10,0),0)+IFERROR(VLOOKUP($A303,[5]库存使用数据!$A:$J,10,0),0)</f>
        <v>0</v>
      </c>
      <c r="K303" s="1">
        <f ca="1">IFERROR(VLOOKUP($A303,[1]库存使用数据!$A:$K,11,0),0)+IFERROR(VLOOKUP($A303,[2]库存使用数据!$A:$K,11,0),0)+IFERROR(VLOOKUP($A303,[3]库存使用数据!$A:$K,11,0),0)+IFERROR(VLOOKUP($A303,[4]库存使用数据!$A:$K,11,0),0)+IFERROR(VLOOKUP($A303,[5]库存使用数据!$A:$K,11,0),0)</f>
        <v>0</v>
      </c>
      <c r="L303" s="1">
        <f ca="1">IFERROR(VLOOKUP($A303,[1]库存使用数据!$A:$L,12,0),0)+IFERROR(VLOOKUP($A303,[2]库存使用数据!$A:$L,12,0),0)+IFERROR(VLOOKUP($A303,[3]库存使用数据!$A:$L,12,0),0)+IFERROR(VLOOKUP($A303,[4]库存使用数据!$A:$L,12,0),0)+IFERROR(VLOOKUP($A303,[5]库存使用数据!$A:$L,12,0),0)</f>
        <v>0</v>
      </c>
      <c r="M303" s="1">
        <f ca="1">IFERROR(VLOOKUP($A303,[1]库存使用数据!$A:$M,13,0),0)+IFERROR(VLOOKUP($A303,[2]库存使用数据!$A:$M,13,0),0)+公式!$B$14*IFERROR(VLOOKUP($A303,[3]库存使用数据!$A:$M,13,0),0)+IFERROR(VLOOKUP($A303,[4]库存使用数据!$A:$M,13,0),0)+IFERROR(VLOOKUP($A303,[5]库存使用数据!$A:$M,13,0),0)</f>
        <v>0</v>
      </c>
    </row>
    <row r="304" spans="1:13">
      <c r="A304" s="5" t="s">
        <v>309</v>
      </c>
      <c r="B304" s="2">
        <f ca="1">IFERROR(VLOOKUP(A304,[1]库存使用数据!$A:$B,2,0),0)+IFERROR(VLOOKUP(A304,[2]库存使用数据!$A:$B,2,0),0)+IFERROR(VLOOKUP(,[3]库存使用数据!$A:$B,2,0),0)+IFERROR(VLOOKUP(A304,[4]库存使用数据!$A:$B,2,0),0)+IFERROR(VLOOKUP(A304,[5]库存使用数据!$A:$B,2,0),0)</f>
        <v>0</v>
      </c>
      <c r="C304" s="1">
        <f ca="1">IFERROR(VLOOKUP($A304,[1]库存使用数据!$A:$C,3,0),0)+IFERROR(VLOOKUP($A304,[2]库存使用数据!$A:$C,3,0),0)+IFERROR(VLOOKUP($A304,[3]库存使用数据!$A:$C,3,0),0)+IFERROR(VLOOKUP($A304,[4]库存使用数据!$A:$C,3,0),0)+IFERROR(VLOOKUP($A304,[5]库存使用数据!$A:$C,3,0),0)</f>
        <v>0</v>
      </c>
      <c r="D304" s="1">
        <f ca="1">IFERROR(VLOOKUP($A304,[1]库存使用数据!$A:$D,4,0),0)+IFERROR(VLOOKUP($A304,[2]库存使用数据!$A:$D,4,0),0)+公式!$B$1*IFERROR(VLOOKUP($A304,[3]库存使用数据!$A:$D,4,0),0)+IFERROR(VLOOKUP($A304,[4]库存使用数据!$A:$D,4,0),0)+IFERROR(VLOOKUP($A304,[5]库存使用数据!$A:$D,4,0),0)</f>
        <v>0</v>
      </c>
      <c r="E304" s="1">
        <f ca="1">IFERROR(VLOOKUP($A304,[1]库存使用数据!$A:$E,5,0),0)+IFERROR(VLOOKUP($A304,[2]库存使用数据!$A:$E,5,0),0)+IFERROR(VLOOKUP($A304,[3]库存使用数据!$A:$E,5,0),0)+IFERROR(VLOOKUP($A304,[4]库存使用数据!$A:$E,5,0),0)+IFERROR(VLOOKUP($A304,[5]库存使用数据!$A:$E,5,0),0)</f>
        <v>152</v>
      </c>
      <c r="F304" s="1">
        <f ca="1">IFERROR(VLOOKUP($A304,[1]库存使用数据!$A:$F,6,0),0)+IFERROR(VLOOKUP($A304,[2]库存使用数据!$A:$F,6,0),0)+IFERROR(VLOOKUP($A304,[4]库存使用数据!$A:$F,6,0),0)+IFERROR(VLOOKUP($A304,[3]库存使用数据!$A:$F,6,0),0)+IFERROR(VLOOKUP($A304,[5]库存使用数据!$A:$F,6,0),0)</f>
        <v>0</v>
      </c>
      <c r="G304" s="1">
        <f ca="1">IFERROR(VLOOKUP($A304,[1]库存使用数据!$A:$G,7,0),0)+IFERROR(VLOOKUP($A304,[2]库存使用数据!$A:$G,7,0),0)+公式!$B$14*IFERROR(VLOOKUP($A304,[3]库存使用数据!$A:$G,7,0),0)+IFERROR(VLOOKUP($A304,[4]库存使用数据!$A:$G,7,0),0)+IFERROR(VLOOKUP($A304,[5]库存使用数据!$A:$G,7,0),0)</f>
        <v>0</v>
      </c>
      <c r="H304" s="1">
        <f ca="1">IFERROR(VLOOKUP($A304,[1]库存使用数据!$A:$H,8,0),0)+IFERROR(VLOOKUP($A304,[2]库存使用数据!$A:$H,8,0),0)+IFERROR(VLOOKUP($A304,[3]库存使用数据!$A:$H,8,0),0)+IFERROR(VLOOKUP($A304,[4]库存使用数据!$A:$H,8,0),0)+IFERROR(VLOOKUP($A304,[5]库存使用数据!$A:$H,8,0),0)</f>
        <v>0</v>
      </c>
      <c r="I304" s="1">
        <f ca="1">IFERROR(VLOOKUP($A304,[1]库存使用数据!$A:$I,9,0),0)+IFERROR(VLOOKUP($A304,[2]库存使用数据!$A:$I,9,0),0)+IFERROR(VLOOKUP($A304,[3]库存使用数据!$A:$I,9,0),0)+IFERROR(VLOOKUP($A304,[4]库存使用数据!$A:$I,9,0),0)+IFERROR(VLOOKUP($A304,[5]库存使用数据!$A:$I,9,0),0)</f>
        <v>0</v>
      </c>
      <c r="J304" s="1">
        <f ca="1">IFERROR(VLOOKUP($A304,[1]库存使用数据!$A:$J,10,0),0)+IFERROR(VLOOKUP($A304,[2]库存使用数据!$A:$J,10,0),0)+公式!$B$14*IFERROR(VLOOKUP($A304,[3]库存使用数据!$A:$J,10,0),0)+IFERROR(VLOOKUP($A304,[4]库存使用数据!$A:$J,10,0),0)+IFERROR(VLOOKUP($A304,[5]库存使用数据!$A:$J,10,0),0)</f>
        <v>0</v>
      </c>
      <c r="K304" s="1">
        <f ca="1">IFERROR(VLOOKUP($A304,[1]库存使用数据!$A:$K,11,0),0)+IFERROR(VLOOKUP($A304,[2]库存使用数据!$A:$K,11,0),0)+IFERROR(VLOOKUP($A304,[3]库存使用数据!$A:$K,11,0),0)+IFERROR(VLOOKUP($A304,[4]库存使用数据!$A:$K,11,0),0)+IFERROR(VLOOKUP($A304,[5]库存使用数据!$A:$K,11,0),0)</f>
        <v>0</v>
      </c>
      <c r="L304" s="1">
        <f ca="1">IFERROR(VLOOKUP($A304,[1]库存使用数据!$A:$L,12,0),0)+IFERROR(VLOOKUP($A304,[2]库存使用数据!$A:$L,12,0),0)+IFERROR(VLOOKUP($A304,[3]库存使用数据!$A:$L,12,0),0)+IFERROR(VLOOKUP($A304,[4]库存使用数据!$A:$L,12,0),0)+IFERROR(VLOOKUP($A304,[5]库存使用数据!$A:$L,12,0),0)</f>
        <v>0</v>
      </c>
      <c r="M304" s="1">
        <f ca="1">IFERROR(VLOOKUP($A304,[1]库存使用数据!$A:$M,13,0),0)+IFERROR(VLOOKUP($A304,[2]库存使用数据!$A:$M,13,0),0)+公式!$B$14*IFERROR(VLOOKUP($A304,[3]库存使用数据!$A:$M,13,0),0)+IFERROR(VLOOKUP($A304,[4]库存使用数据!$A:$M,13,0),0)+IFERROR(VLOOKUP($A304,[5]库存使用数据!$A:$M,13,0),0)</f>
        <v>0</v>
      </c>
    </row>
    <row r="305" spans="1:13">
      <c r="A305" s="5" t="s">
        <v>310</v>
      </c>
      <c r="B305" s="2">
        <f ca="1">IFERROR(VLOOKUP(A305,[1]库存使用数据!$A:$B,2,0),0)+IFERROR(VLOOKUP(A305,[2]库存使用数据!$A:$B,2,0),0)+IFERROR(VLOOKUP(,[3]库存使用数据!$A:$B,2,0),0)+IFERROR(VLOOKUP(A305,[4]库存使用数据!$A:$B,2,0),0)+IFERROR(VLOOKUP(A305,[5]库存使用数据!$A:$B,2,0),0)</f>
        <v>0</v>
      </c>
      <c r="C305" s="1">
        <f ca="1">IFERROR(VLOOKUP($A305,[1]库存使用数据!$A:$C,3,0),0)+IFERROR(VLOOKUP($A305,[2]库存使用数据!$A:$C,3,0),0)+IFERROR(VLOOKUP($A305,[3]库存使用数据!$A:$C,3,0),0)+IFERROR(VLOOKUP($A305,[4]库存使用数据!$A:$C,3,0),0)+IFERROR(VLOOKUP($A305,[5]库存使用数据!$A:$C,3,0),0)</f>
        <v>0</v>
      </c>
      <c r="D305" s="1">
        <f ca="1">IFERROR(VLOOKUP($A305,[1]库存使用数据!$A:$D,4,0),0)+IFERROR(VLOOKUP($A305,[2]库存使用数据!$A:$D,4,0),0)+公式!$B$1*IFERROR(VLOOKUP($A305,[3]库存使用数据!$A:$D,4,0),0)+IFERROR(VLOOKUP($A305,[4]库存使用数据!$A:$D,4,0),0)+IFERROR(VLOOKUP($A305,[5]库存使用数据!$A:$D,4,0),0)</f>
        <v>0</v>
      </c>
      <c r="E305" s="1">
        <f ca="1">IFERROR(VLOOKUP($A305,[1]库存使用数据!$A:$E,5,0),0)+IFERROR(VLOOKUP($A305,[2]库存使用数据!$A:$E,5,0),0)+IFERROR(VLOOKUP($A305,[3]库存使用数据!$A:$E,5,0),0)+IFERROR(VLOOKUP($A305,[4]库存使用数据!$A:$E,5,0),0)+IFERROR(VLOOKUP($A305,[5]库存使用数据!$A:$E,5,0),0)</f>
        <v>26</v>
      </c>
      <c r="F305" s="1">
        <f ca="1">IFERROR(VLOOKUP($A305,[1]库存使用数据!$A:$F,6,0),0)+IFERROR(VLOOKUP($A305,[2]库存使用数据!$A:$F,6,0),0)+IFERROR(VLOOKUP($A305,[4]库存使用数据!$A:$F,6,0),0)+IFERROR(VLOOKUP($A305,[3]库存使用数据!$A:$F,6,0),0)+IFERROR(VLOOKUP($A305,[5]库存使用数据!$A:$F,6,0),0)</f>
        <v>0</v>
      </c>
      <c r="G305" s="1">
        <f ca="1">IFERROR(VLOOKUP($A305,[1]库存使用数据!$A:$G,7,0),0)+IFERROR(VLOOKUP($A305,[2]库存使用数据!$A:$G,7,0),0)+公式!$B$14*IFERROR(VLOOKUP($A305,[3]库存使用数据!$A:$G,7,0),0)+IFERROR(VLOOKUP($A305,[4]库存使用数据!$A:$G,7,0),0)+IFERROR(VLOOKUP($A305,[5]库存使用数据!$A:$G,7,0),0)</f>
        <v>0</v>
      </c>
      <c r="H305" s="1">
        <f ca="1">IFERROR(VLOOKUP($A305,[1]库存使用数据!$A:$H,8,0),0)+IFERROR(VLOOKUP($A305,[2]库存使用数据!$A:$H,8,0),0)+IFERROR(VLOOKUP($A305,[3]库存使用数据!$A:$H,8,0),0)+IFERROR(VLOOKUP($A305,[4]库存使用数据!$A:$H,8,0),0)+IFERROR(VLOOKUP($A305,[5]库存使用数据!$A:$H,8,0),0)</f>
        <v>0</v>
      </c>
      <c r="I305" s="1">
        <f ca="1">IFERROR(VLOOKUP($A305,[1]库存使用数据!$A:$I,9,0),0)+IFERROR(VLOOKUP($A305,[2]库存使用数据!$A:$I,9,0),0)+IFERROR(VLOOKUP($A305,[3]库存使用数据!$A:$I,9,0),0)+IFERROR(VLOOKUP($A305,[4]库存使用数据!$A:$I,9,0),0)+IFERROR(VLOOKUP($A305,[5]库存使用数据!$A:$I,9,0),0)</f>
        <v>0</v>
      </c>
      <c r="J305" s="1">
        <f ca="1">IFERROR(VLOOKUP($A305,[1]库存使用数据!$A:$J,10,0),0)+IFERROR(VLOOKUP($A305,[2]库存使用数据!$A:$J,10,0),0)+公式!$B$14*IFERROR(VLOOKUP($A305,[3]库存使用数据!$A:$J,10,0),0)+IFERROR(VLOOKUP($A305,[4]库存使用数据!$A:$J,10,0),0)+IFERROR(VLOOKUP($A305,[5]库存使用数据!$A:$J,10,0),0)</f>
        <v>0</v>
      </c>
      <c r="K305" s="1">
        <f ca="1">IFERROR(VLOOKUP($A305,[1]库存使用数据!$A:$K,11,0),0)+IFERROR(VLOOKUP($A305,[2]库存使用数据!$A:$K,11,0),0)+IFERROR(VLOOKUP($A305,[3]库存使用数据!$A:$K,11,0),0)+IFERROR(VLOOKUP($A305,[4]库存使用数据!$A:$K,11,0),0)+IFERROR(VLOOKUP($A305,[5]库存使用数据!$A:$K,11,0),0)</f>
        <v>0</v>
      </c>
      <c r="L305" s="1">
        <f ca="1">IFERROR(VLOOKUP($A305,[1]库存使用数据!$A:$L,12,0),0)+IFERROR(VLOOKUP($A305,[2]库存使用数据!$A:$L,12,0),0)+IFERROR(VLOOKUP($A305,[3]库存使用数据!$A:$L,12,0),0)+IFERROR(VLOOKUP($A305,[4]库存使用数据!$A:$L,12,0),0)+IFERROR(VLOOKUP($A305,[5]库存使用数据!$A:$L,12,0),0)</f>
        <v>0</v>
      </c>
      <c r="M305" s="1">
        <f ca="1">IFERROR(VLOOKUP($A305,[1]库存使用数据!$A:$M,13,0),0)+IFERROR(VLOOKUP($A305,[2]库存使用数据!$A:$M,13,0),0)+公式!$B$14*IFERROR(VLOOKUP($A305,[3]库存使用数据!$A:$M,13,0),0)+IFERROR(VLOOKUP($A305,[4]库存使用数据!$A:$M,13,0),0)+IFERROR(VLOOKUP($A305,[5]库存使用数据!$A:$M,13,0),0)</f>
        <v>0</v>
      </c>
    </row>
    <row r="306" spans="1:13">
      <c r="A306" s="5" t="s">
        <v>311</v>
      </c>
      <c r="B306" s="2">
        <f ca="1">IFERROR(VLOOKUP(A306,[1]库存使用数据!$A:$B,2,0),0)+IFERROR(VLOOKUP(A306,[2]库存使用数据!$A:$B,2,0),0)+IFERROR(VLOOKUP(,[3]库存使用数据!$A:$B,2,0),0)+IFERROR(VLOOKUP(A306,[4]库存使用数据!$A:$B,2,0),0)+IFERROR(VLOOKUP(A306,[5]库存使用数据!$A:$B,2,0),0)</f>
        <v>0</v>
      </c>
      <c r="C306" s="1">
        <f ca="1">IFERROR(VLOOKUP($A306,[1]库存使用数据!$A:$C,3,0),0)+IFERROR(VLOOKUP($A306,[2]库存使用数据!$A:$C,3,0),0)+IFERROR(VLOOKUP($A306,[3]库存使用数据!$A:$C,3,0),0)+IFERROR(VLOOKUP($A306,[4]库存使用数据!$A:$C,3,0),0)+IFERROR(VLOOKUP($A306,[5]库存使用数据!$A:$C,3,0),0)</f>
        <v>0</v>
      </c>
      <c r="D306" s="1">
        <f ca="1">IFERROR(VLOOKUP($A306,[1]库存使用数据!$A:$D,4,0),0)+IFERROR(VLOOKUP($A306,[2]库存使用数据!$A:$D,4,0),0)+公式!$B$1*IFERROR(VLOOKUP($A306,[3]库存使用数据!$A:$D,4,0),0)+IFERROR(VLOOKUP($A306,[4]库存使用数据!$A:$D,4,0),0)+IFERROR(VLOOKUP($A306,[5]库存使用数据!$A:$D,4,0),0)</f>
        <v>0</v>
      </c>
      <c r="E306" s="1">
        <f ca="1">IFERROR(VLOOKUP($A306,[1]库存使用数据!$A:$E,5,0),0)+IFERROR(VLOOKUP($A306,[2]库存使用数据!$A:$E,5,0),0)+IFERROR(VLOOKUP($A306,[3]库存使用数据!$A:$E,5,0),0)+IFERROR(VLOOKUP($A306,[4]库存使用数据!$A:$E,5,0),0)+IFERROR(VLOOKUP($A306,[5]库存使用数据!$A:$E,5,0),0)</f>
        <v>32</v>
      </c>
      <c r="F306" s="1">
        <f ca="1">IFERROR(VLOOKUP($A306,[1]库存使用数据!$A:$F,6,0),0)+IFERROR(VLOOKUP($A306,[2]库存使用数据!$A:$F,6,0),0)+IFERROR(VLOOKUP($A306,[4]库存使用数据!$A:$F,6,0),0)+IFERROR(VLOOKUP($A306,[3]库存使用数据!$A:$F,6,0),0)+IFERROR(VLOOKUP($A306,[5]库存使用数据!$A:$F,6,0),0)</f>
        <v>0</v>
      </c>
      <c r="G306" s="1">
        <f ca="1">IFERROR(VLOOKUP($A306,[1]库存使用数据!$A:$G,7,0),0)+IFERROR(VLOOKUP($A306,[2]库存使用数据!$A:$G,7,0),0)+公式!$B$14*IFERROR(VLOOKUP($A306,[3]库存使用数据!$A:$G,7,0),0)+IFERROR(VLOOKUP($A306,[4]库存使用数据!$A:$G,7,0),0)+IFERROR(VLOOKUP($A306,[5]库存使用数据!$A:$G,7,0),0)</f>
        <v>0</v>
      </c>
      <c r="H306" s="1">
        <f ca="1">IFERROR(VLOOKUP($A306,[1]库存使用数据!$A:$H,8,0),0)+IFERROR(VLOOKUP($A306,[2]库存使用数据!$A:$H,8,0),0)+IFERROR(VLOOKUP($A306,[3]库存使用数据!$A:$H,8,0),0)+IFERROR(VLOOKUP($A306,[4]库存使用数据!$A:$H,8,0),0)+IFERROR(VLOOKUP($A306,[5]库存使用数据!$A:$H,8,0),0)</f>
        <v>0</v>
      </c>
      <c r="I306" s="1">
        <f ca="1">IFERROR(VLOOKUP($A306,[1]库存使用数据!$A:$I,9,0),0)+IFERROR(VLOOKUP($A306,[2]库存使用数据!$A:$I,9,0),0)+IFERROR(VLOOKUP($A306,[3]库存使用数据!$A:$I,9,0),0)+IFERROR(VLOOKUP($A306,[4]库存使用数据!$A:$I,9,0),0)+IFERROR(VLOOKUP($A306,[5]库存使用数据!$A:$I,9,0),0)</f>
        <v>0</v>
      </c>
      <c r="J306" s="1">
        <f ca="1">IFERROR(VLOOKUP($A306,[1]库存使用数据!$A:$J,10,0),0)+IFERROR(VLOOKUP($A306,[2]库存使用数据!$A:$J,10,0),0)+公式!$B$14*IFERROR(VLOOKUP($A306,[3]库存使用数据!$A:$J,10,0),0)+IFERROR(VLOOKUP($A306,[4]库存使用数据!$A:$J,10,0),0)+IFERROR(VLOOKUP($A306,[5]库存使用数据!$A:$J,10,0),0)</f>
        <v>0</v>
      </c>
      <c r="K306" s="1">
        <f ca="1">IFERROR(VLOOKUP($A306,[1]库存使用数据!$A:$K,11,0),0)+IFERROR(VLOOKUP($A306,[2]库存使用数据!$A:$K,11,0),0)+IFERROR(VLOOKUP($A306,[3]库存使用数据!$A:$K,11,0),0)+IFERROR(VLOOKUP($A306,[4]库存使用数据!$A:$K,11,0),0)+IFERROR(VLOOKUP($A306,[5]库存使用数据!$A:$K,11,0),0)</f>
        <v>0</v>
      </c>
      <c r="L306" s="1">
        <f ca="1">IFERROR(VLOOKUP($A306,[1]库存使用数据!$A:$L,12,0),0)+IFERROR(VLOOKUP($A306,[2]库存使用数据!$A:$L,12,0),0)+IFERROR(VLOOKUP($A306,[3]库存使用数据!$A:$L,12,0),0)+IFERROR(VLOOKUP($A306,[4]库存使用数据!$A:$L,12,0),0)+IFERROR(VLOOKUP($A306,[5]库存使用数据!$A:$L,12,0),0)</f>
        <v>0</v>
      </c>
      <c r="M306" s="1">
        <f ca="1">IFERROR(VLOOKUP($A306,[1]库存使用数据!$A:$M,13,0),0)+IFERROR(VLOOKUP($A306,[2]库存使用数据!$A:$M,13,0),0)+公式!$B$14*IFERROR(VLOOKUP($A306,[3]库存使用数据!$A:$M,13,0),0)+IFERROR(VLOOKUP($A306,[4]库存使用数据!$A:$M,13,0),0)+IFERROR(VLOOKUP($A306,[5]库存使用数据!$A:$M,13,0),0)</f>
        <v>0</v>
      </c>
    </row>
    <row r="307" spans="1:13">
      <c r="A307" s="5" t="s">
        <v>312</v>
      </c>
      <c r="B307" s="2">
        <f ca="1">IFERROR(VLOOKUP(A307,[1]库存使用数据!$A:$B,2,0),0)+IFERROR(VLOOKUP(A307,[2]库存使用数据!$A:$B,2,0),0)+IFERROR(VLOOKUP(,[3]库存使用数据!$A:$B,2,0),0)+IFERROR(VLOOKUP(A307,[4]库存使用数据!$A:$B,2,0),0)+IFERROR(VLOOKUP(A307,[5]库存使用数据!$A:$B,2,0),0)</f>
        <v>0</v>
      </c>
      <c r="C307" s="1">
        <f ca="1">IFERROR(VLOOKUP($A307,[1]库存使用数据!$A:$C,3,0),0)+IFERROR(VLOOKUP($A307,[2]库存使用数据!$A:$C,3,0),0)+IFERROR(VLOOKUP($A307,[3]库存使用数据!$A:$C,3,0),0)+IFERROR(VLOOKUP($A307,[4]库存使用数据!$A:$C,3,0),0)+IFERROR(VLOOKUP($A307,[5]库存使用数据!$A:$C,3,0),0)</f>
        <v>0</v>
      </c>
      <c r="D307" s="1">
        <f ca="1">IFERROR(VLOOKUP($A307,[1]库存使用数据!$A:$D,4,0),0)+IFERROR(VLOOKUP($A307,[2]库存使用数据!$A:$D,4,0),0)+公式!$B$1*IFERROR(VLOOKUP($A307,[3]库存使用数据!$A:$D,4,0),0)+IFERROR(VLOOKUP($A307,[4]库存使用数据!$A:$D,4,0),0)+IFERROR(VLOOKUP($A307,[5]库存使用数据!$A:$D,4,0),0)</f>
        <v>0</v>
      </c>
      <c r="E307" s="1">
        <f ca="1">IFERROR(VLOOKUP($A307,[1]库存使用数据!$A:$E,5,0),0)+IFERROR(VLOOKUP($A307,[2]库存使用数据!$A:$E,5,0),0)+IFERROR(VLOOKUP($A307,[3]库存使用数据!$A:$E,5,0),0)+IFERROR(VLOOKUP($A307,[4]库存使用数据!$A:$E,5,0),0)+IFERROR(VLOOKUP($A307,[5]库存使用数据!$A:$E,5,0),0)</f>
        <v>44</v>
      </c>
      <c r="F307" s="1">
        <f ca="1">IFERROR(VLOOKUP($A307,[1]库存使用数据!$A:$F,6,0),0)+IFERROR(VLOOKUP($A307,[2]库存使用数据!$A:$F,6,0),0)+IFERROR(VLOOKUP($A307,[4]库存使用数据!$A:$F,6,0),0)+IFERROR(VLOOKUP($A307,[3]库存使用数据!$A:$F,6,0),0)+IFERROR(VLOOKUP($A307,[5]库存使用数据!$A:$F,6,0),0)</f>
        <v>2</v>
      </c>
      <c r="G307" s="1">
        <f ca="1">IFERROR(VLOOKUP($A307,[1]库存使用数据!$A:$G,7,0),0)+IFERROR(VLOOKUP($A307,[2]库存使用数据!$A:$G,7,0),0)+公式!$B$14*IFERROR(VLOOKUP($A307,[3]库存使用数据!$A:$G,7,0),0)+IFERROR(VLOOKUP($A307,[4]库存使用数据!$A:$G,7,0),0)+IFERROR(VLOOKUP($A307,[5]库存使用数据!$A:$G,7,0),0)</f>
        <v>0.34</v>
      </c>
      <c r="H307" s="1">
        <f ca="1">IFERROR(VLOOKUP($A307,[1]库存使用数据!$A:$H,8,0),0)+IFERROR(VLOOKUP($A307,[2]库存使用数据!$A:$H,8,0),0)+IFERROR(VLOOKUP($A307,[3]库存使用数据!$A:$H,8,0),0)+IFERROR(VLOOKUP($A307,[4]库存使用数据!$A:$H,8,0),0)+IFERROR(VLOOKUP($A307,[5]库存使用数据!$A:$H,8,0),0)</f>
        <v>0</v>
      </c>
      <c r="I307" s="1">
        <f ca="1">IFERROR(VLOOKUP($A307,[1]库存使用数据!$A:$I,9,0),0)+IFERROR(VLOOKUP($A307,[2]库存使用数据!$A:$I,9,0),0)+IFERROR(VLOOKUP($A307,[3]库存使用数据!$A:$I,9,0),0)+IFERROR(VLOOKUP($A307,[4]库存使用数据!$A:$I,9,0),0)+IFERROR(VLOOKUP($A307,[5]库存使用数据!$A:$I,9,0),0)</f>
        <v>0</v>
      </c>
      <c r="J307" s="1">
        <f ca="1">IFERROR(VLOOKUP($A307,[1]库存使用数据!$A:$J,10,0),0)+IFERROR(VLOOKUP($A307,[2]库存使用数据!$A:$J,10,0),0)+公式!$B$14*IFERROR(VLOOKUP($A307,[3]库存使用数据!$A:$J,10,0),0)+IFERROR(VLOOKUP($A307,[4]库存使用数据!$A:$J,10,0),0)+IFERROR(VLOOKUP($A307,[5]库存使用数据!$A:$J,10,0),0)</f>
        <v>0</v>
      </c>
      <c r="K307" s="1">
        <f ca="1">IFERROR(VLOOKUP($A307,[1]库存使用数据!$A:$K,11,0),0)+IFERROR(VLOOKUP($A307,[2]库存使用数据!$A:$K,11,0),0)+IFERROR(VLOOKUP($A307,[3]库存使用数据!$A:$K,11,0),0)+IFERROR(VLOOKUP($A307,[4]库存使用数据!$A:$K,11,0),0)+IFERROR(VLOOKUP($A307,[5]库存使用数据!$A:$K,11,0),0)</f>
        <v>0</v>
      </c>
      <c r="L307" s="1">
        <f ca="1">IFERROR(VLOOKUP($A307,[1]库存使用数据!$A:$L,12,0),0)+IFERROR(VLOOKUP($A307,[2]库存使用数据!$A:$L,12,0),0)+IFERROR(VLOOKUP($A307,[3]库存使用数据!$A:$L,12,0),0)+IFERROR(VLOOKUP($A307,[4]库存使用数据!$A:$L,12,0),0)+IFERROR(VLOOKUP($A307,[5]库存使用数据!$A:$L,12,0),0)</f>
        <v>0</v>
      </c>
      <c r="M307" s="1">
        <f ca="1">IFERROR(VLOOKUP($A307,[1]库存使用数据!$A:$M,13,0),0)+IFERROR(VLOOKUP($A307,[2]库存使用数据!$A:$M,13,0),0)+公式!$B$14*IFERROR(VLOOKUP($A307,[3]库存使用数据!$A:$M,13,0),0)+IFERROR(VLOOKUP($A307,[4]库存使用数据!$A:$M,13,0),0)+IFERROR(VLOOKUP($A307,[5]库存使用数据!$A:$M,13,0),0)</f>
        <v>0</v>
      </c>
    </row>
    <row r="308" spans="1:13">
      <c r="A308" s="5" t="s">
        <v>313</v>
      </c>
      <c r="B308" s="2">
        <f ca="1">IFERROR(VLOOKUP(A308,[1]库存使用数据!$A:$B,2,0),0)+IFERROR(VLOOKUP(A308,[2]库存使用数据!$A:$B,2,0),0)+IFERROR(VLOOKUP(,[3]库存使用数据!$A:$B,2,0),0)+IFERROR(VLOOKUP(A308,[4]库存使用数据!$A:$B,2,0),0)+IFERROR(VLOOKUP(A308,[5]库存使用数据!$A:$B,2,0),0)</f>
        <v>0</v>
      </c>
      <c r="C308" s="1">
        <f ca="1">IFERROR(VLOOKUP($A308,[1]库存使用数据!$A:$C,3,0),0)+IFERROR(VLOOKUP($A308,[2]库存使用数据!$A:$C,3,0),0)+IFERROR(VLOOKUP($A308,[3]库存使用数据!$A:$C,3,0),0)+IFERROR(VLOOKUP($A308,[4]库存使用数据!$A:$C,3,0),0)+IFERROR(VLOOKUP($A308,[5]库存使用数据!$A:$C,3,0),0)</f>
        <v>0</v>
      </c>
      <c r="D308" s="1">
        <f ca="1">IFERROR(VLOOKUP($A308,[1]库存使用数据!$A:$D,4,0),0)+IFERROR(VLOOKUP($A308,[2]库存使用数据!$A:$D,4,0),0)+公式!$B$1*IFERROR(VLOOKUP($A308,[3]库存使用数据!$A:$D,4,0),0)+IFERROR(VLOOKUP($A308,[4]库存使用数据!$A:$D,4,0),0)+IFERROR(VLOOKUP($A308,[5]库存使用数据!$A:$D,4,0),0)</f>
        <v>0</v>
      </c>
      <c r="E308" s="1">
        <f ca="1">IFERROR(VLOOKUP($A308,[1]库存使用数据!$A:$E,5,0),0)+IFERROR(VLOOKUP($A308,[2]库存使用数据!$A:$E,5,0),0)+IFERROR(VLOOKUP($A308,[3]库存使用数据!$A:$E,5,0),0)+IFERROR(VLOOKUP($A308,[4]库存使用数据!$A:$E,5,0),0)+IFERROR(VLOOKUP($A308,[5]库存使用数据!$A:$E,5,0),0)</f>
        <v>50</v>
      </c>
      <c r="F308" s="1">
        <f ca="1">IFERROR(VLOOKUP($A308,[1]库存使用数据!$A:$F,6,0),0)+IFERROR(VLOOKUP($A308,[2]库存使用数据!$A:$F,6,0),0)+IFERROR(VLOOKUP($A308,[4]库存使用数据!$A:$F,6,0),0)+IFERROR(VLOOKUP($A308,[3]库存使用数据!$A:$F,6,0),0)+IFERROR(VLOOKUP($A308,[5]库存使用数据!$A:$F,6,0),0)</f>
        <v>2</v>
      </c>
      <c r="G308" s="1">
        <f ca="1">IFERROR(VLOOKUP($A308,[1]库存使用数据!$A:$G,7,0),0)+IFERROR(VLOOKUP($A308,[2]库存使用数据!$A:$G,7,0),0)+公式!$B$14*IFERROR(VLOOKUP($A308,[3]库存使用数据!$A:$G,7,0),0)+IFERROR(VLOOKUP($A308,[4]库存使用数据!$A:$G,7,0),0)+IFERROR(VLOOKUP($A308,[5]库存使用数据!$A:$G,7,0),0)</f>
        <v>0.18</v>
      </c>
      <c r="H308" s="1">
        <f ca="1">IFERROR(VLOOKUP($A308,[1]库存使用数据!$A:$H,8,0),0)+IFERROR(VLOOKUP($A308,[2]库存使用数据!$A:$H,8,0),0)+IFERROR(VLOOKUP($A308,[3]库存使用数据!$A:$H,8,0),0)+IFERROR(VLOOKUP($A308,[4]库存使用数据!$A:$H,8,0),0)+IFERROR(VLOOKUP($A308,[5]库存使用数据!$A:$H,8,0),0)</f>
        <v>0</v>
      </c>
      <c r="I308" s="1">
        <f ca="1">IFERROR(VLOOKUP($A308,[1]库存使用数据!$A:$I,9,0),0)+IFERROR(VLOOKUP($A308,[2]库存使用数据!$A:$I,9,0),0)+IFERROR(VLOOKUP($A308,[3]库存使用数据!$A:$I,9,0),0)+IFERROR(VLOOKUP($A308,[4]库存使用数据!$A:$I,9,0),0)+IFERROR(VLOOKUP($A308,[5]库存使用数据!$A:$I,9,0),0)</f>
        <v>0</v>
      </c>
      <c r="J308" s="1">
        <f ca="1">IFERROR(VLOOKUP($A308,[1]库存使用数据!$A:$J,10,0),0)+IFERROR(VLOOKUP($A308,[2]库存使用数据!$A:$J,10,0),0)+公式!$B$14*IFERROR(VLOOKUP($A308,[3]库存使用数据!$A:$J,10,0),0)+IFERROR(VLOOKUP($A308,[4]库存使用数据!$A:$J,10,0),0)+IFERROR(VLOOKUP($A308,[5]库存使用数据!$A:$J,10,0),0)</f>
        <v>0</v>
      </c>
      <c r="K308" s="1">
        <f ca="1">IFERROR(VLOOKUP($A308,[1]库存使用数据!$A:$K,11,0),0)+IFERROR(VLOOKUP($A308,[2]库存使用数据!$A:$K,11,0),0)+IFERROR(VLOOKUP($A308,[3]库存使用数据!$A:$K,11,0),0)+IFERROR(VLOOKUP($A308,[4]库存使用数据!$A:$K,11,0),0)+IFERROR(VLOOKUP($A308,[5]库存使用数据!$A:$K,11,0),0)</f>
        <v>0</v>
      </c>
      <c r="L308" s="1">
        <f ca="1">IFERROR(VLOOKUP($A308,[1]库存使用数据!$A:$L,12,0),0)+IFERROR(VLOOKUP($A308,[2]库存使用数据!$A:$L,12,0),0)+IFERROR(VLOOKUP($A308,[3]库存使用数据!$A:$L,12,0),0)+IFERROR(VLOOKUP($A308,[4]库存使用数据!$A:$L,12,0),0)+IFERROR(VLOOKUP($A308,[5]库存使用数据!$A:$L,12,0),0)</f>
        <v>0</v>
      </c>
      <c r="M308" s="1">
        <f ca="1">IFERROR(VLOOKUP($A308,[1]库存使用数据!$A:$M,13,0),0)+IFERROR(VLOOKUP($A308,[2]库存使用数据!$A:$M,13,0),0)+公式!$B$14*IFERROR(VLOOKUP($A308,[3]库存使用数据!$A:$M,13,0),0)+IFERROR(VLOOKUP($A308,[4]库存使用数据!$A:$M,13,0),0)+IFERROR(VLOOKUP($A308,[5]库存使用数据!$A:$M,13,0),0)</f>
        <v>0</v>
      </c>
    </row>
    <row r="309" spans="1:13">
      <c r="A309" s="5" t="s">
        <v>314</v>
      </c>
      <c r="B309" s="2">
        <f ca="1">IFERROR(VLOOKUP(A309,[1]库存使用数据!$A:$B,2,0),0)+IFERROR(VLOOKUP(A309,[2]库存使用数据!$A:$B,2,0),0)+IFERROR(VLOOKUP(,[3]库存使用数据!$A:$B,2,0),0)+IFERROR(VLOOKUP(A309,[4]库存使用数据!$A:$B,2,0),0)+IFERROR(VLOOKUP(A309,[5]库存使用数据!$A:$B,2,0),0)</f>
        <v>0</v>
      </c>
      <c r="C309" s="1">
        <f ca="1">IFERROR(VLOOKUP($A309,[1]库存使用数据!$A:$C,3,0),0)+IFERROR(VLOOKUP($A309,[2]库存使用数据!$A:$C,3,0),0)+IFERROR(VLOOKUP($A309,[3]库存使用数据!$A:$C,3,0),0)+IFERROR(VLOOKUP($A309,[4]库存使用数据!$A:$C,3,0),0)+IFERROR(VLOOKUP($A309,[5]库存使用数据!$A:$C,3,0),0)</f>
        <v>0</v>
      </c>
      <c r="D309" s="1">
        <f ca="1">IFERROR(VLOOKUP($A309,[1]库存使用数据!$A:$D,4,0),0)+IFERROR(VLOOKUP($A309,[2]库存使用数据!$A:$D,4,0),0)+公式!$B$1*IFERROR(VLOOKUP($A309,[3]库存使用数据!$A:$D,4,0),0)+IFERROR(VLOOKUP($A309,[4]库存使用数据!$A:$D,4,0),0)+IFERROR(VLOOKUP($A309,[5]库存使用数据!$A:$D,4,0),0)</f>
        <v>0</v>
      </c>
      <c r="E309" s="1">
        <f ca="1">IFERROR(VLOOKUP($A309,[1]库存使用数据!$A:$E,5,0),0)+IFERROR(VLOOKUP($A309,[2]库存使用数据!$A:$E,5,0),0)+IFERROR(VLOOKUP($A309,[3]库存使用数据!$A:$E,5,0),0)+IFERROR(VLOOKUP($A309,[4]库存使用数据!$A:$E,5,0),0)+IFERROR(VLOOKUP($A309,[5]库存使用数据!$A:$E,5,0),0)</f>
        <v>14</v>
      </c>
      <c r="F309" s="1">
        <f ca="1">IFERROR(VLOOKUP($A309,[1]库存使用数据!$A:$F,6,0),0)+IFERROR(VLOOKUP($A309,[2]库存使用数据!$A:$F,6,0),0)+IFERROR(VLOOKUP($A309,[4]库存使用数据!$A:$F,6,0),0)+IFERROR(VLOOKUP($A309,[3]库存使用数据!$A:$F,6,0),0)+IFERROR(VLOOKUP($A309,[5]库存使用数据!$A:$F,6,0),0)</f>
        <v>0</v>
      </c>
      <c r="G309" s="1">
        <f ca="1">IFERROR(VLOOKUP($A309,[1]库存使用数据!$A:$G,7,0),0)+IFERROR(VLOOKUP($A309,[2]库存使用数据!$A:$G,7,0),0)+公式!$B$14*IFERROR(VLOOKUP($A309,[3]库存使用数据!$A:$G,7,0),0)+IFERROR(VLOOKUP($A309,[4]库存使用数据!$A:$G,7,0),0)+IFERROR(VLOOKUP($A309,[5]库存使用数据!$A:$G,7,0),0)</f>
        <v>0</v>
      </c>
      <c r="H309" s="1">
        <f ca="1">IFERROR(VLOOKUP($A309,[1]库存使用数据!$A:$H,8,0),0)+IFERROR(VLOOKUP($A309,[2]库存使用数据!$A:$H,8,0),0)+IFERROR(VLOOKUP($A309,[3]库存使用数据!$A:$H,8,0),0)+IFERROR(VLOOKUP($A309,[4]库存使用数据!$A:$H,8,0),0)+IFERROR(VLOOKUP($A309,[5]库存使用数据!$A:$H,8,0),0)</f>
        <v>0</v>
      </c>
      <c r="I309" s="1">
        <f ca="1">IFERROR(VLOOKUP($A309,[1]库存使用数据!$A:$I,9,0),0)+IFERROR(VLOOKUP($A309,[2]库存使用数据!$A:$I,9,0),0)+IFERROR(VLOOKUP($A309,[3]库存使用数据!$A:$I,9,0),0)+IFERROR(VLOOKUP($A309,[4]库存使用数据!$A:$I,9,0),0)+IFERROR(VLOOKUP($A309,[5]库存使用数据!$A:$I,9,0),0)</f>
        <v>0</v>
      </c>
      <c r="J309" s="1">
        <f ca="1">IFERROR(VLOOKUP($A309,[1]库存使用数据!$A:$J,10,0),0)+IFERROR(VLOOKUP($A309,[2]库存使用数据!$A:$J,10,0),0)+公式!$B$14*IFERROR(VLOOKUP($A309,[3]库存使用数据!$A:$J,10,0),0)+IFERROR(VLOOKUP($A309,[4]库存使用数据!$A:$J,10,0),0)+IFERROR(VLOOKUP($A309,[5]库存使用数据!$A:$J,10,0),0)</f>
        <v>0</v>
      </c>
      <c r="K309" s="1">
        <f ca="1">IFERROR(VLOOKUP($A309,[1]库存使用数据!$A:$K,11,0),0)+IFERROR(VLOOKUP($A309,[2]库存使用数据!$A:$K,11,0),0)+IFERROR(VLOOKUP($A309,[3]库存使用数据!$A:$K,11,0),0)+IFERROR(VLOOKUP($A309,[4]库存使用数据!$A:$K,11,0),0)+IFERROR(VLOOKUP($A309,[5]库存使用数据!$A:$K,11,0),0)</f>
        <v>0</v>
      </c>
      <c r="L309" s="1">
        <f ca="1">IFERROR(VLOOKUP($A309,[1]库存使用数据!$A:$L,12,0),0)+IFERROR(VLOOKUP($A309,[2]库存使用数据!$A:$L,12,0),0)+IFERROR(VLOOKUP($A309,[3]库存使用数据!$A:$L,12,0),0)+IFERROR(VLOOKUP($A309,[4]库存使用数据!$A:$L,12,0),0)+IFERROR(VLOOKUP($A309,[5]库存使用数据!$A:$L,12,0),0)</f>
        <v>0</v>
      </c>
      <c r="M309" s="1">
        <f ca="1">IFERROR(VLOOKUP($A309,[1]库存使用数据!$A:$M,13,0),0)+IFERROR(VLOOKUP($A309,[2]库存使用数据!$A:$M,13,0),0)+公式!$B$14*IFERROR(VLOOKUP($A309,[3]库存使用数据!$A:$M,13,0),0)+IFERROR(VLOOKUP($A309,[4]库存使用数据!$A:$M,13,0),0)+IFERROR(VLOOKUP($A309,[5]库存使用数据!$A:$M,13,0),0)</f>
        <v>0</v>
      </c>
    </row>
    <row r="310" spans="1:13">
      <c r="A310" s="5" t="s">
        <v>315</v>
      </c>
      <c r="B310" s="2">
        <f ca="1">IFERROR(VLOOKUP(A310,[1]库存使用数据!$A:$B,2,0),0)+IFERROR(VLOOKUP(A310,[2]库存使用数据!$A:$B,2,0),0)+IFERROR(VLOOKUP(,[3]库存使用数据!$A:$B,2,0),0)+IFERROR(VLOOKUP(A310,[4]库存使用数据!$A:$B,2,0),0)+IFERROR(VLOOKUP(A310,[5]库存使用数据!$A:$B,2,0),0)</f>
        <v>0</v>
      </c>
      <c r="C310" s="1">
        <f ca="1">IFERROR(VLOOKUP($A310,[1]库存使用数据!$A:$C,3,0),0)+IFERROR(VLOOKUP($A310,[2]库存使用数据!$A:$C,3,0),0)+IFERROR(VLOOKUP($A310,[3]库存使用数据!$A:$C,3,0),0)+IFERROR(VLOOKUP($A310,[4]库存使用数据!$A:$C,3,0),0)+IFERROR(VLOOKUP($A310,[5]库存使用数据!$A:$C,3,0),0)</f>
        <v>0</v>
      </c>
      <c r="D310" s="1">
        <f ca="1">IFERROR(VLOOKUP($A310,[1]库存使用数据!$A:$D,4,0),0)+IFERROR(VLOOKUP($A310,[2]库存使用数据!$A:$D,4,0),0)+公式!$B$1*IFERROR(VLOOKUP($A310,[3]库存使用数据!$A:$D,4,0),0)+IFERROR(VLOOKUP($A310,[4]库存使用数据!$A:$D,4,0),0)+IFERROR(VLOOKUP($A310,[5]库存使用数据!$A:$D,4,0),0)</f>
        <v>0</v>
      </c>
      <c r="E310" s="1">
        <f ca="1">IFERROR(VLOOKUP($A310,[1]库存使用数据!$A:$E,5,0),0)+IFERROR(VLOOKUP($A310,[2]库存使用数据!$A:$E,5,0),0)+IFERROR(VLOOKUP($A310,[3]库存使用数据!$A:$E,5,0),0)+IFERROR(VLOOKUP($A310,[4]库存使用数据!$A:$E,5,0),0)+IFERROR(VLOOKUP($A310,[5]库存使用数据!$A:$E,5,0),0)</f>
        <v>6</v>
      </c>
      <c r="F310" s="1">
        <f ca="1">IFERROR(VLOOKUP($A310,[1]库存使用数据!$A:$F,6,0),0)+IFERROR(VLOOKUP($A310,[2]库存使用数据!$A:$F,6,0),0)+IFERROR(VLOOKUP($A310,[4]库存使用数据!$A:$F,6,0),0)+IFERROR(VLOOKUP($A310,[3]库存使用数据!$A:$F,6,0),0)+IFERROR(VLOOKUP($A310,[5]库存使用数据!$A:$F,6,0),0)</f>
        <v>0</v>
      </c>
      <c r="G310" s="1">
        <f ca="1">IFERROR(VLOOKUP($A310,[1]库存使用数据!$A:$G,7,0),0)+IFERROR(VLOOKUP($A310,[2]库存使用数据!$A:$G,7,0),0)+公式!$B$14*IFERROR(VLOOKUP($A310,[3]库存使用数据!$A:$G,7,0),0)+IFERROR(VLOOKUP($A310,[4]库存使用数据!$A:$G,7,0),0)+IFERROR(VLOOKUP($A310,[5]库存使用数据!$A:$G,7,0),0)</f>
        <v>0</v>
      </c>
      <c r="H310" s="1">
        <f ca="1">IFERROR(VLOOKUP($A310,[1]库存使用数据!$A:$H,8,0),0)+IFERROR(VLOOKUP($A310,[2]库存使用数据!$A:$H,8,0),0)+IFERROR(VLOOKUP($A310,[3]库存使用数据!$A:$H,8,0),0)+IFERROR(VLOOKUP($A310,[4]库存使用数据!$A:$H,8,0),0)+IFERROR(VLOOKUP($A310,[5]库存使用数据!$A:$H,8,0),0)</f>
        <v>0</v>
      </c>
      <c r="I310" s="1">
        <f ca="1">IFERROR(VLOOKUP($A310,[1]库存使用数据!$A:$I,9,0),0)+IFERROR(VLOOKUP($A310,[2]库存使用数据!$A:$I,9,0),0)+IFERROR(VLOOKUP($A310,[3]库存使用数据!$A:$I,9,0),0)+IFERROR(VLOOKUP($A310,[4]库存使用数据!$A:$I,9,0),0)+IFERROR(VLOOKUP($A310,[5]库存使用数据!$A:$I,9,0),0)</f>
        <v>0</v>
      </c>
      <c r="J310" s="1">
        <f ca="1">IFERROR(VLOOKUP($A310,[1]库存使用数据!$A:$J,10,0),0)+IFERROR(VLOOKUP($A310,[2]库存使用数据!$A:$J,10,0),0)+公式!$B$14*IFERROR(VLOOKUP($A310,[3]库存使用数据!$A:$J,10,0),0)+IFERROR(VLOOKUP($A310,[4]库存使用数据!$A:$J,10,0),0)+IFERROR(VLOOKUP($A310,[5]库存使用数据!$A:$J,10,0),0)</f>
        <v>0</v>
      </c>
      <c r="K310" s="1">
        <f ca="1">IFERROR(VLOOKUP($A310,[1]库存使用数据!$A:$K,11,0),0)+IFERROR(VLOOKUP($A310,[2]库存使用数据!$A:$K,11,0),0)+IFERROR(VLOOKUP($A310,[3]库存使用数据!$A:$K,11,0),0)+IFERROR(VLOOKUP($A310,[4]库存使用数据!$A:$K,11,0),0)+IFERROR(VLOOKUP($A310,[5]库存使用数据!$A:$K,11,0),0)</f>
        <v>0</v>
      </c>
      <c r="L310" s="1">
        <f ca="1">IFERROR(VLOOKUP($A310,[1]库存使用数据!$A:$L,12,0),0)+IFERROR(VLOOKUP($A310,[2]库存使用数据!$A:$L,12,0),0)+IFERROR(VLOOKUP($A310,[3]库存使用数据!$A:$L,12,0),0)+IFERROR(VLOOKUP($A310,[4]库存使用数据!$A:$L,12,0),0)+IFERROR(VLOOKUP($A310,[5]库存使用数据!$A:$L,12,0),0)</f>
        <v>0</v>
      </c>
      <c r="M310" s="1">
        <f ca="1">IFERROR(VLOOKUP($A310,[1]库存使用数据!$A:$M,13,0),0)+IFERROR(VLOOKUP($A310,[2]库存使用数据!$A:$M,13,0),0)+公式!$B$14*IFERROR(VLOOKUP($A310,[3]库存使用数据!$A:$M,13,0),0)+IFERROR(VLOOKUP($A310,[4]库存使用数据!$A:$M,13,0),0)+IFERROR(VLOOKUP($A310,[5]库存使用数据!$A:$M,13,0),0)</f>
        <v>0</v>
      </c>
    </row>
    <row r="311" spans="1:13">
      <c r="A311" s="5" t="s">
        <v>316</v>
      </c>
      <c r="B311" s="2">
        <f ca="1">IFERROR(VLOOKUP(A311,[1]库存使用数据!$A:$B,2,0),0)+IFERROR(VLOOKUP(A311,[2]库存使用数据!$A:$B,2,0),0)+IFERROR(VLOOKUP(,[3]库存使用数据!$A:$B,2,0),0)+IFERROR(VLOOKUP(A311,[4]库存使用数据!$A:$B,2,0),0)+IFERROR(VLOOKUP(A311,[5]库存使用数据!$A:$B,2,0),0)</f>
        <v>0</v>
      </c>
      <c r="C311" s="1">
        <f ca="1">IFERROR(VLOOKUP($A311,[1]库存使用数据!$A:$C,3,0),0)+IFERROR(VLOOKUP($A311,[2]库存使用数据!$A:$C,3,0),0)+IFERROR(VLOOKUP($A311,[3]库存使用数据!$A:$C,3,0),0)+IFERROR(VLOOKUP($A311,[4]库存使用数据!$A:$C,3,0),0)+IFERROR(VLOOKUP($A311,[5]库存使用数据!$A:$C,3,0),0)</f>
        <v>0</v>
      </c>
      <c r="D311" s="1">
        <f ca="1">IFERROR(VLOOKUP($A311,[1]库存使用数据!$A:$D,4,0),0)+IFERROR(VLOOKUP($A311,[2]库存使用数据!$A:$D,4,0),0)+公式!$B$1*IFERROR(VLOOKUP($A311,[3]库存使用数据!$A:$D,4,0),0)+IFERROR(VLOOKUP($A311,[4]库存使用数据!$A:$D,4,0),0)+IFERROR(VLOOKUP($A311,[5]库存使用数据!$A:$D,4,0),0)</f>
        <v>0</v>
      </c>
      <c r="E311" s="1">
        <f ca="1">IFERROR(VLOOKUP($A311,[1]库存使用数据!$A:$E,5,0),0)+IFERROR(VLOOKUP($A311,[2]库存使用数据!$A:$E,5,0),0)+IFERROR(VLOOKUP($A311,[3]库存使用数据!$A:$E,5,0),0)+IFERROR(VLOOKUP($A311,[4]库存使用数据!$A:$E,5,0),0)+IFERROR(VLOOKUP($A311,[5]库存使用数据!$A:$E,5,0),0)</f>
        <v>36</v>
      </c>
      <c r="F311" s="1">
        <f ca="1">IFERROR(VLOOKUP($A311,[1]库存使用数据!$A:$F,6,0),0)+IFERROR(VLOOKUP($A311,[2]库存使用数据!$A:$F,6,0),0)+IFERROR(VLOOKUP($A311,[4]库存使用数据!$A:$F,6,0),0)+IFERROR(VLOOKUP($A311,[3]库存使用数据!$A:$F,6,0),0)+IFERROR(VLOOKUP($A311,[5]库存使用数据!$A:$F,6,0),0)</f>
        <v>0</v>
      </c>
      <c r="G311" s="1">
        <f ca="1">IFERROR(VLOOKUP($A311,[1]库存使用数据!$A:$G,7,0),0)+IFERROR(VLOOKUP($A311,[2]库存使用数据!$A:$G,7,0),0)+公式!$B$14*IFERROR(VLOOKUP($A311,[3]库存使用数据!$A:$G,7,0),0)+IFERROR(VLOOKUP($A311,[4]库存使用数据!$A:$G,7,0),0)+IFERROR(VLOOKUP($A311,[5]库存使用数据!$A:$G,7,0),0)</f>
        <v>0</v>
      </c>
      <c r="H311" s="1">
        <f ca="1">IFERROR(VLOOKUP($A311,[1]库存使用数据!$A:$H,8,0),0)+IFERROR(VLOOKUP($A311,[2]库存使用数据!$A:$H,8,0),0)+IFERROR(VLOOKUP($A311,[3]库存使用数据!$A:$H,8,0),0)+IFERROR(VLOOKUP($A311,[4]库存使用数据!$A:$H,8,0),0)+IFERROR(VLOOKUP($A311,[5]库存使用数据!$A:$H,8,0),0)</f>
        <v>0</v>
      </c>
      <c r="I311" s="1">
        <f ca="1">IFERROR(VLOOKUP($A311,[1]库存使用数据!$A:$I,9,0),0)+IFERROR(VLOOKUP($A311,[2]库存使用数据!$A:$I,9,0),0)+IFERROR(VLOOKUP($A311,[3]库存使用数据!$A:$I,9,0),0)+IFERROR(VLOOKUP($A311,[4]库存使用数据!$A:$I,9,0),0)+IFERROR(VLOOKUP($A311,[5]库存使用数据!$A:$I,9,0),0)</f>
        <v>0</v>
      </c>
      <c r="J311" s="1">
        <f ca="1">IFERROR(VLOOKUP($A311,[1]库存使用数据!$A:$J,10,0),0)+IFERROR(VLOOKUP($A311,[2]库存使用数据!$A:$J,10,0),0)+公式!$B$14*IFERROR(VLOOKUP($A311,[3]库存使用数据!$A:$J,10,0),0)+IFERROR(VLOOKUP($A311,[4]库存使用数据!$A:$J,10,0),0)+IFERROR(VLOOKUP($A311,[5]库存使用数据!$A:$J,10,0),0)</f>
        <v>0</v>
      </c>
      <c r="K311" s="1">
        <f ca="1">IFERROR(VLOOKUP($A311,[1]库存使用数据!$A:$K,11,0),0)+IFERROR(VLOOKUP($A311,[2]库存使用数据!$A:$K,11,0),0)+IFERROR(VLOOKUP($A311,[3]库存使用数据!$A:$K,11,0),0)+IFERROR(VLOOKUP($A311,[4]库存使用数据!$A:$K,11,0),0)+IFERROR(VLOOKUP($A311,[5]库存使用数据!$A:$K,11,0),0)</f>
        <v>0</v>
      </c>
      <c r="L311" s="1">
        <f ca="1">IFERROR(VLOOKUP($A311,[1]库存使用数据!$A:$L,12,0),0)+IFERROR(VLOOKUP($A311,[2]库存使用数据!$A:$L,12,0),0)+IFERROR(VLOOKUP($A311,[3]库存使用数据!$A:$L,12,0),0)+IFERROR(VLOOKUP($A311,[4]库存使用数据!$A:$L,12,0),0)+IFERROR(VLOOKUP($A311,[5]库存使用数据!$A:$L,12,0),0)</f>
        <v>0</v>
      </c>
      <c r="M311" s="1">
        <f ca="1">IFERROR(VLOOKUP($A311,[1]库存使用数据!$A:$M,13,0),0)+IFERROR(VLOOKUP($A311,[2]库存使用数据!$A:$M,13,0),0)+公式!$B$14*IFERROR(VLOOKUP($A311,[3]库存使用数据!$A:$M,13,0),0)+IFERROR(VLOOKUP($A311,[4]库存使用数据!$A:$M,13,0),0)+IFERROR(VLOOKUP($A311,[5]库存使用数据!$A:$M,13,0),0)</f>
        <v>0</v>
      </c>
    </row>
    <row r="312" spans="1:13">
      <c r="A312" s="5" t="s">
        <v>317</v>
      </c>
      <c r="B312" s="2">
        <f ca="1">IFERROR(VLOOKUP(A312,[1]库存使用数据!$A:$B,2,0),0)+IFERROR(VLOOKUP(A312,[2]库存使用数据!$A:$B,2,0),0)+IFERROR(VLOOKUP(,[3]库存使用数据!$A:$B,2,0),0)+IFERROR(VLOOKUP(A312,[4]库存使用数据!$A:$B,2,0),0)+IFERROR(VLOOKUP(A312,[5]库存使用数据!$A:$B,2,0),0)</f>
        <v>0</v>
      </c>
      <c r="C312" s="1">
        <f ca="1">IFERROR(VLOOKUP($A312,[1]库存使用数据!$A:$C,3,0),0)+IFERROR(VLOOKUP($A312,[2]库存使用数据!$A:$C,3,0),0)+IFERROR(VLOOKUP($A312,[3]库存使用数据!$A:$C,3,0),0)+IFERROR(VLOOKUP($A312,[4]库存使用数据!$A:$C,3,0),0)+IFERROR(VLOOKUP($A312,[5]库存使用数据!$A:$C,3,0),0)</f>
        <v>0</v>
      </c>
      <c r="D312" s="1">
        <f ca="1">IFERROR(VLOOKUP($A312,[1]库存使用数据!$A:$D,4,0),0)+IFERROR(VLOOKUP($A312,[2]库存使用数据!$A:$D,4,0),0)+公式!$B$1*IFERROR(VLOOKUP($A312,[3]库存使用数据!$A:$D,4,0),0)+IFERROR(VLOOKUP($A312,[4]库存使用数据!$A:$D,4,0),0)+IFERROR(VLOOKUP($A312,[5]库存使用数据!$A:$D,4,0),0)</f>
        <v>0</v>
      </c>
      <c r="E312" s="1">
        <f ca="1">IFERROR(VLOOKUP($A312,[1]库存使用数据!$A:$E,5,0),0)+IFERROR(VLOOKUP($A312,[2]库存使用数据!$A:$E,5,0),0)+IFERROR(VLOOKUP($A312,[3]库存使用数据!$A:$E,5,0),0)+IFERROR(VLOOKUP($A312,[4]库存使用数据!$A:$E,5,0),0)+IFERROR(VLOOKUP($A312,[5]库存使用数据!$A:$E,5,0),0)</f>
        <v>44</v>
      </c>
      <c r="F312" s="1">
        <f ca="1">IFERROR(VLOOKUP($A312,[1]库存使用数据!$A:$F,6,0),0)+IFERROR(VLOOKUP($A312,[2]库存使用数据!$A:$F,6,0),0)+IFERROR(VLOOKUP($A312,[4]库存使用数据!$A:$F,6,0),0)+IFERROR(VLOOKUP($A312,[3]库存使用数据!$A:$F,6,0),0)+IFERROR(VLOOKUP($A312,[5]库存使用数据!$A:$F,6,0),0)</f>
        <v>0</v>
      </c>
      <c r="G312" s="1">
        <f ca="1">IFERROR(VLOOKUP($A312,[1]库存使用数据!$A:$G,7,0),0)+IFERROR(VLOOKUP($A312,[2]库存使用数据!$A:$G,7,0),0)+公式!$B$14*IFERROR(VLOOKUP($A312,[3]库存使用数据!$A:$G,7,0),0)+IFERROR(VLOOKUP($A312,[4]库存使用数据!$A:$G,7,0),0)+IFERROR(VLOOKUP($A312,[5]库存使用数据!$A:$G,7,0),0)</f>
        <v>0</v>
      </c>
      <c r="H312" s="1">
        <f ca="1">IFERROR(VLOOKUP($A312,[1]库存使用数据!$A:$H,8,0),0)+IFERROR(VLOOKUP($A312,[2]库存使用数据!$A:$H,8,0),0)+IFERROR(VLOOKUP($A312,[3]库存使用数据!$A:$H,8,0),0)+IFERROR(VLOOKUP($A312,[4]库存使用数据!$A:$H,8,0),0)+IFERROR(VLOOKUP($A312,[5]库存使用数据!$A:$H,8,0),0)</f>
        <v>0</v>
      </c>
      <c r="I312" s="1">
        <f ca="1">IFERROR(VLOOKUP($A312,[1]库存使用数据!$A:$I,9,0),0)+IFERROR(VLOOKUP($A312,[2]库存使用数据!$A:$I,9,0),0)+IFERROR(VLOOKUP($A312,[3]库存使用数据!$A:$I,9,0),0)+IFERROR(VLOOKUP($A312,[4]库存使用数据!$A:$I,9,0),0)+IFERROR(VLOOKUP($A312,[5]库存使用数据!$A:$I,9,0),0)</f>
        <v>0</v>
      </c>
      <c r="J312" s="1">
        <f ca="1">IFERROR(VLOOKUP($A312,[1]库存使用数据!$A:$J,10,0),0)+IFERROR(VLOOKUP($A312,[2]库存使用数据!$A:$J,10,0),0)+公式!$B$14*IFERROR(VLOOKUP($A312,[3]库存使用数据!$A:$J,10,0),0)+IFERROR(VLOOKUP($A312,[4]库存使用数据!$A:$J,10,0),0)+IFERROR(VLOOKUP($A312,[5]库存使用数据!$A:$J,10,0),0)</f>
        <v>0</v>
      </c>
      <c r="K312" s="1">
        <f ca="1">IFERROR(VLOOKUP($A312,[1]库存使用数据!$A:$K,11,0),0)+IFERROR(VLOOKUP($A312,[2]库存使用数据!$A:$K,11,0),0)+IFERROR(VLOOKUP($A312,[3]库存使用数据!$A:$K,11,0),0)+IFERROR(VLOOKUP($A312,[4]库存使用数据!$A:$K,11,0),0)+IFERROR(VLOOKUP($A312,[5]库存使用数据!$A:$K,11,0),0)</f>
        <v>0</v>
      </c>
      <c r="L312" s="1">
        <f ca="1">IFERROR(VLOOKUP($A312,[1]库存使用数据!$A:$L,12,0),0)+IFERROR(VLOOKUP($A312,[2]库存使用数据!$A:$L,12,0),0)+IFERROR(VLOOKUP($A312,[3]库存使用数据!$A:$L,12,0),0)+IFERROR(VLOOKUP($A312,[4]库存使用数据!$A:$L,12,0),0)+IFERROR(VLOOKUP($A312,[5]库存使用数据!$A:$L,12,0),0)</f>
        <v>0</v>
      </c>
      <c r="M312" s="1">
        <f ca="1">IFERROR(VLOOKUP($A312,[1]库存使用数据!$A:$M,13,0),0)+IFERROR(VLOOKUP($A312,[2]库存使用数据!$A:$M,13,0),0)+公式!$B$14*IFERROR(VLOOKUP($A312,[3]库存使用数据!$A:$M,13,0),0)+IFERROR(VLOOKUP($A312,[4]库存使用数据!$A:$M,13,0),0)+IFERROR(VLOOKUP($A312,[5]库存使用数据!$A:$M,13,0),0)</f>
        <v>0</v>
      </c>
    </row>
    <row r="313" spans="1:13">
      <c r="A313" s="5" t="s">
        <v>318</v>
      </c>
      <c r="B313" s="2">
        <f ca="1">IFERROR(VLOOKUP(A313,[1]库存使用数据!$A:$B,2,0),0)+IFERROR(VLOOKUP(A313,[2]库存使用数据!$A:$B,2,0),0)+IFERROR(VLOOKUP(,[3]库存使用数据!$A:$B,2,0),0)+IFERROR(VLOOKUP(A313,[4]库存使用数据!$A:$B,2,0),0)+IFERROR(VLOOKUP(A313,[5]库存使用数据!$A:$B,2,0),0)</f>
        <v>0</v>
      </c>
      <c r="C313" s="1">
        <f ca="1">IFERROR(VLOOKUP($A313,[1]库存使用数据!$A:$C,3,0),0)+IFERROR(VLOOKUP($A313,[2]库存使用数据!$A:$C,3,0),0)+IFERROR(VLOOKUP($A313,[3]库存使用数据!$A:$C,3,0),0)+IFERROR(VLOOKUP($A313,[4]库存使用数据!$A:$C,3,0),0)+IFERROR(VLOOKUP($A313,[5]库存使用数据!$A:$C,3,0),0)</f>
        <v>0</v>
      </c>
      <c r="D313" s="1">
        <f ca="1">IFERROR(VLOOKUP($A313,[1]库存使用数据!$A:$D,4,0),0)+IFERROR(VLOOKUP($A313,[2]库存使用数据!$A:$D,4,0),0)+公式!$B$1*IFERROR(VLOOKUP($A313,[3]库存使用数据!$A:$D,4,0),0)+IFERROR(VLOOKUP($A313,[4]库存使用数据!$A:$D,4,0),0)+IFERROR(VLOOKUP($A313,[5]库存使用数据!$A:$D,4,0),0)</f>
        <v>0</v>
      </c>
      <c r="E313" s="1">
        <f ca="1">IFERROR(VLOOKUP($A313,[1]库存使用数据!$A:$E,5,0),0)+IFERROR(VLOOKUP($A313,[2]库存使用数据!$A:$E,5,0),0)+IFERROR(VLOOKUP($A313,[3]库存使用数据!$A:$E,5,0),0)+IFERROR(VLOOKUP($A313,[4]库存使用数据!$A:$E,5,0),0)+IFERROR(VLOOKUP($A313,[5]库存使用数据!$A:$E,5,0),0)</f>
        <v>8</v>
      </c>
      <c r="F313" s="1">
        <f ca="1">IFERROR(VLOOKUP($A313,[1]库存使用数据!$A:$F,6,0),0)+IFERROR(VLOOKUP($A313,[2]库存使用数据!$A:$F,6,0),0)+IFERROR(VLOOKUP($A313,[4]库存使用数据!$A:$F,6,0),0)+IFERROR(VLOOKUP($A313,[3]库存使用数据!$A:$F,6,0),0)+IFERROR(VLOOKUP($A313,[5]库存使用数据!$A:$F,6,0),0)</f>
        <v>2</v>
      </c>
      <c r="G313" s="1">
        <f ca="1">IFERROR(VLOOKUP($A313,[1]库存使用数据!$A:$G,7,0),0)+IFERROR(VLOOKUP($A313,[2]库存使用数据!$A:$G,7,0),0)+公式!$B$14*IFERROR(VLOOKUP($A313,[3]库存使用数据!$A:$G,7,0),0)+IFERROR(VLOOKUP($A313,[4]库存使用数据!$A:$G,7,0),0)+IFERROR(VLOOKUP($A313,[5]库存使用数据!$A:$G,7,0),0)</f>
        <v>0.26</v>
      </c>
      <c r="H313" s="1">
        <f ca="1">IFERROR(VLOOKUP($A313,[1]库存使用数据!$A:$H,8,0),0)+IFERROR(VLOOKUP($A313,[2]库存使用数据!$A:$H,8,0),0)+IFERROR(VLOOKUP($A313,[3]库存使用数据!$A:$H,8,0),0)+IFERROR(VLOOKUP($A313,[4]库存使用数据!$A:$H,8,0),0)+IFERROR(VLOOKUP($A313,[5]库存使用数据!$A:$H,8,0),0)</f>
        <v>0</v>
      </c>
      <c r="I313" s="1">
        <f ca="1">IFERROR(VLOOKUP($A313,[1]库存使用数据!$A:$I,9,0),0)+IFERROR(VLOOKUP($A313,[2]库存使用数据!$A:$I,9,0),0)+IFERROR(VLOOKUP($A313,[3]库存使用数据!$A:$I,9,0),0)+IFERROR(VLOOKUP($A313,[4]库存使用数据!$A:$I,9,0),0)+IFERROR(VLOOKUP($A313,[5]库存使用数据!$A:$I,9,0),0)</f>
        <v>0</v>
      </c>
      <c r="J313" s="1">
        <f ca="1">IFERROR(VLOOKUP($A313,[1]库存使用数据!$A:$J,10,0),0)+IFERROR(VLOOKUP($A313,[2]库存使用数据!$A:$J,10,0),0)+公式!$B$14*IFERROR(VLOOKUP($A313,[3]库存使用数据!$A:$J,10,0),0)+IFERROR(VLOOKUP($A313,[4]库存使用数据!$A:$J,10,0),0)+IFERROR(VLOOKUP($A313,[5]库存使用数据!$A:$J,10,0),0)</f>
        <v>0</v>
      </c>
      <c r="K313" s="1">
        <f ca="1">IFERROR(VLOOKUP($A313,[1]库存使用数据!$A:$K,11,0),0)+IFERROR(VLOOKUP($A313,[2]库存使用数据!$A:$K,11,0),0)+IFERROR(VLOOKUP($A313,[3]库存使用数据!$A:$K,11,0),0)+IFERROR(VLOOKUP($A313,[4]库存使用数据!$A:$K,11,0),0)+IFERROR(VLOOKUP($A313,[5]库存使用数据!$A:$K,11,0),0)</f>
        <v>0</v>
      </c>
      <c r="L313" s="1">
        <f ca="1">IFERROR(VLOOKUP($A313,[1]库存使用数据!$A:$L,12,0),0)+IFERROR(VLOOKUP($A313,[2]库存使用数据!$A:$L,12,0),0)+IFERROR(VLOOKUP($A313,[3]库存使用数据!$A:$L,12,0),0)+IFERROR(VLOOKUP($A313,[4]库存使用数据!$A:$L,12,0),0)+IFERROR(VLOOKUP($A313,[5]库存使用数据!$A:$L,12,0),0)</f>
        <v>0</v>
      </c>
      <c r="M313" s="1">
        <f ca="1">IFERROR(VLOOKUP($A313,[1]库存使用数据!$A:$M,13,0),0)+IFERROR(VLOOKUP($A313,[2]库存使用数据!$A:$M,13,0),0)+公式!$B$14*IFERROR(VLOOKUP($A313,[3]库存使用数据!$A:$M,13,0),0)+IFERROR(VLOOKUP($A313,[4]库存使用数据!$A:$M,13,0),0)+IFERROR(VLOOKUP($A313,[5]库存使用数据!$A:$M,13,0),0)</f>
        <v>0</v>
      </c>
    </row>
    <row r="314" spans="1:13">
      <c r="A314" s="5" t="s">
        <v>319</v>
      </c>
      <c r="B314" s="2">
        <f ca="1">IFERROR(VLOOKUP(A314,[1]库存使用数据!$A:$B,2,0),0)+IFERROR(VLOOKUP(A314,[2]库存使用数据!$A:$B,2,0),0)+IFERROR(VLOOKUP(,[3]库存使用数据!$A:$B,2,0),0)+IFERROR(VLOOKUP(A314,[4]库存使用数据!$A:$B,2,0),0)+IFERROR(VLOOKUP(A314,[5]库存使用数据!$A:$B,2,0),0)</f>
        <v>0</v>
      </c>
      <c r="C314" s="1">
        <f ca="1">IFERROR(VLOOKUP($A314,[1]库存使用数据!$A:$C,3,0),0)+IFERROR(VLOOKUP($A314,[2]库存使用数据!$A:$C,3,0),0)+IFERROR(VLOOKUP($A314,[3]库存使用数据!$A:$C,3,0),0)+IFERROR(VLOOKUP($A314,[4]库存使用数据!$A:$C,3,0),0)+IFERROR(VLOOKUP($A314,[5]库存使用数据!$A:$C,3,0),0)</f>
        <v>0</v>
      </c>
      <c r="D314" s="1">
        <f ca="1">IFERROR(VLOOKUP($A314,[1]库存使用数据!$A:$D,4,0),0)+IFERROR(VLOOKUP($A314,[2]库存使用数据!$A:$D,4,0),0)+公式!$B$1*IFERROR(VLOOKUP($A314,[3]库存使用数据!$A:$D,4,0),0)+IFERROR(VLOOKUP($A314,[4]库存使用数据!$A:$D,4,0),0)+IFERROR(VLOOKUP($A314,[5]库存使用数据!$A:$D,4,0),0)</f>
        <v>0</v>
      </c>
      <c r="E314" s="1">
        <f ca="1">IFERROR(VLOOKUP($A314,[1]库存使用数据!$A:$E,5,0),0)+IFERROR(VLOOKUP($A314,[2]库存使用数据!$A:$E,5,0),0)+IFERROR(VLOOKUP($A314,[3]库存使用数据!$A:$E,5,0),0)+IFERROR(VLOOKUP($A314,[4]库存使用数据!$A:$E,5,0),0)+IFERROR(VLOOKUP($A314,[5]库存使用数据!$A:$E,5,0),0)</f>
        <v>2</v>
      </c>
      <c r="F314" s="1">
        <f ca="1">IFERROR(VLOOKUP($A314,[1]库存使用数据!$A:$F,6,0),0)+IFERROR(VLOOKUP($A314,[2]库存使用数据!$A:$F,6,0),0)+IFERROR(VLOOKUP($A314,[4]库存使用数据!$A:$F,6,0),0)+IFERROR(VLOOKUP($A314,[3]库存使用数据!$A:$F,6,0),0)+IFERROR(VLOOKUP($A314,[5]库存使用数据!$A:$F,6,0),0)</f>
        <v>0</v>
      </c>
      <c r="G314" s="1">
        <f ca="1">IFERROR(VLOOKUP($A314,[1]库存使用数据!$A:$G,7,0),0)+IFERROR(VLOOKUP($A314,[2]库存使用数据!$A:$G,7,0),0)+公式!$B$14*IFERROR(VLOOKUP($A314,[3]库存使用数据!$A:$G,7,0),0)+IFERROR(VLOOKUP($A314,[4]库存使用数据!$A:$G,7,0),0)+IFERROR(VLOOKUP($A314,[5]库存使用数据!$A:$G,7,0),0)</f>
        <v>0</v>
      </c>
      <c r="H314" s="1">
        <f ca="1">IFERROR(VLOOKUP($A314,[1]库存使用数据!$A:$H,8,0),0)+IFERROR(VLOOKUP($A314,[2]库存使用数据!$A:$H,8,0),0)+IFERROR(VLOOKUP($A314,[3]库存使用数据!$A:$H,8,0),0)+IFERROR(VLOOKUP($A314,[4]库存使用数据!$A:$H,8,0),0)+IFERROR(VLOOKUP($A314,[5]库存使用数据!$A:$H,8,0),0)</f>
        <v>0</v>
      </c>
      <c r="I314" s="1">
        <f ca="1">IFERROR(VLOOKUP($A314,[1]库存使用数据!$A:$I,9,0),0)+IFERROR(VLOOKUP($A314,[2]库存使用数据!$A:$I,9,0),0)+IFERROR(VLOOKUP($A314,[3]库存使用数据!$A:$I,9,0),0)+IFERROR(VLOOKUP($A314,[4]库存使用数据!$A:$I,9,0),0)+IFERROR(VLOOKUP($A314,[5]库存使用数据!$A:$I,9,0),0)</f>
        <v>0</v>
      </c>
      <c r="J314" s="1">
        <f ca="1">IFERROR(VLOOKUP($A314,[1]库存使用数据!$A:$J,10,0),0)+IFERROR(VLOOKUP($A314,[2]库存使用数据!$A:$J,10,0),0)+公式!$B$14*IFERROR(VLOOKUP($A314,[3]库存使用数据!$A:$J,10,0),0)+IFERROR(VLOOKUP($A314,[4]库存使用数据!$A:$J,10,0),0)+IFERROR(VLOOKUP($A314,[5]库存使用数据!$A:$J,10,0),0)</f>
        <v>0</v>
      </c>
      <c r="K314" s="1">
        <f ca="1">IFERROR(VLOOKUP($A314,[1]库存使用数据!$A:$K,11,0),0)+IFERROR(VLOOKUP($A314,[2]库存使用数据!$A:$K,11,0),0)+IFERROR(VLOOKUP($A314,[3]库存使用数据!$A:$K,11,0),0)+IFERROR(VLOOKUP($A314,[4]库存使用数据!$A:$K,11,0),0)+IFERROR(VLOOKUP($A314,[5]库存使用数据!$A:$K,11,0),0)</f>
        <v>0</v>
      </c>
      <c r="L314" s="1">
        <f ca="1">IFERROR(VLOOKUP($A314,[1]库存使用数据!$A:$L,12,0),0)+IFERROR(VLOOKUP($A314,[2]库存使用数据!$A:$L,12,0),0)+IFERROR(VLOOKUP($A314,[3]库存使用数据!$A:$L,12,0),0)+IFERROR(VLOOKUP($A314,[4]库存使用数据!$A:$L,12,0),0)+IFERROR(VLOOKUP($A314,[5]库存使用数据!$A:$L,12,0),0)</f>
        <v>0</v>
      </c>
      <c r="M314" s="1">
        <f ca="1">IFERROR(VLOOKUP($A314,[1]库存使用数据!$A:$M,13,0),0)+IFERROR(VLOOKUP($A314,[2]库存使用数据!$A:$M,13,0),0)+公式!$B$14*IFERROR(VLOOKUP($A314,[3]库存使用数据!$A:$M,13,0),0)+IFERROR(VLOOKUP($A314,[4]库存使用数据!$A:$M,13,0),0)+IFERROR(VLOOKUP($A314,[5]库存使用数据!$A:$M,13,0),0)</f>
        <v>0</v>
      </c>
    </row>
    <row r="315" spans="1:13">
      <c r="A315" s="5" t="s">
        <v>320</v>
      </c>
      <c r="B315" s="2">
        <f ca="1">IFERROR(VLOOKUP(A315,[1]库存使用数据!$A:$B,2,0),0)+IFERROR(VLOOKUP(A315,[2]库存使用数据!$A:$B,2,0),0)+IFERROR(VLOOKUP(,[3]库存使用数据!$A:$B,2,0),0)+IFERROR(VLOOKUP(A315,[4]库存使用数据!$A:$B,2,0),0)+IFERROR(VLOOKUP(A315,[5]库存使用数据!$A:$B,2,0),0)</f>
        <v>0</v>
      </c>
      <c r="C315" s="1">
        <f ca="1">IFERROR(VLOOKUP($A315,[1]库存使用数据!$A:$C,3,0),0)+IFERROR(VLOOKUP($A315,[2]库存使用数据!$A:$C,3,0),0)+IFERROR(VLOOKUP($A315,[3]库存使用数据!$A:$C,3,0),0)+IFERROR(VLOOKUP($A315,[4]库存使用数据!$A:$C,3,0),0)+IFERROR(VLOOKUP($A315,[5]库存使用数据!$A:$C,3,0),0)</f>
        <v>0</v>
      </c>
      <c r="D315" s="1">
        <f ca="1">IFERROR(VLOOKUP($A315,[1]库存使用数据!$A:$D,4,0),0)+IFERROR(VLOOKUP($A315,[2]库存使用数据!$A:$D,4,0),0)+公式!$B$1*IFERROR(VLOOKUP($A315,[3]库存使用数据!$A:$D,4,0),0)+IFERROR(VLOOKUP($A315,[4]库存使用数据!$A:$D,4,0),0)+IFERROR(VLOOKUP($A315,[5]库存使用数据!$A:$D,4,0),0)</f>
        <v>0</v>
      </c>
      <c r="E315" s="1">
        <f ca="1">IFERROR(VLOOKUP($A315,[1]库存使用数据!$A:$E,5,0),0)+IFERROR(VLOOKUP($A315,[2]库存使用数据!$A:$E,5,0),0)+IFERROR(VLOOKUP($A315,[3]库存使用数据!$A:$E,5,0),0)+IFERROR(VLOOKUP($A315,[4]库存使用数据!$A:$E,5,0),0)+IFERROR(VLOOKUP($A315,[5]库存使用数据!$A:$E,5,0),0)</f>
        <v>30</v>
      </c>
      <c r="F315" s="1">
        <f ca="1">IFERROR(VLOOKUP($A315,[1]库存使用数据!$A:$F,6,0),0)+IFERROR(VLOOKUP($A315,[2]库存使用数据!$A:$F,6,0),0)+IFERROR(VLOOKUP($A315,[4]库存使用数据!$A:$F,6,0),0)+IFERROR(VLOOKUP($A315,[3]库存使用数据!$A:$F,6,0),0)+IFERROR(VLOOKUP($A315,[5]库存使用数据!$A:$F,6,0),0)</f>
        <v>0</v>
      </c>
      <c r="G315" s="1">
        <f ca="1">IFERROR(VLOOKUP($A315,[1]库存使用数据!$A:$G,7,0),0)+IFERROR(VLOOKUP($A315,[2]库存使用数据!$A:$G,7,0),0)+公式!$B$14*IFERROR(VLOOKUP($A315,[3]库存使用数据!$A:$G,7,0),0)+IFERROR(VLOOKUP($A315,[4]库存使用数据!$A:$G,7,0),0)+IFERROR(VLOOKUP($A315,[5]库存使用数据!$A:$G,7,0),0)</f>
        <v>0</v>
      </c>
      <c r="H315" s="1">
        <f ca="1">IFERROR(VLOOKUP($A315,[1]库存使用数据!$A:$H,8,0),0)+IFERROR(VLOOKUP($A315,[2]库存使用数据!$A:$H,8,0),0)+IFERROR(VLOOKUP($A315,[3]库存使用数据!$A:$H,8,0),0)+IFERROR(VLOOKUP($A315,[4]库存使用数据!$A:$H,8,0),0)+IFERROR(VLOOKUP($A315,[5]库存使用数据!$A:$H,8,0),0)</f>
        <v>0</v>
      </c>
      <c r="I315" s="1">
        <f ca="1">IFERROR(VLOOKUP($A315,[1]库存使用数据!$A:$I,9,0),0)+IFERROR(VLOOKUP($A315,[2]库存使用数据!$A:$I,9,0),0)+IFERROR(VLOOKUP($A315,[3]库存使用数据!$A:$I,9,0),0)+IFERROR(VLOOKUP($A315,[4]库存使用数据!$A:$I,9,0),0)+IFERROR(VLOOKUP($A315,[5]库存使用数据!$A:$I,9,0),0)</f>
        <v>0</v>
      </c>
      <c r="J315" s="1">
        <f ca="1">IFERROR(VLOOKUP($A315,[1]库存使用数据!$A:$J,10,0),0)+IFERROR(VLOOKUP($A315,[2]库存使用数据!$A:$J,10,0),0)+公式!$B$14*IFERROR(VLOOKUP($A315,[3]库存使用数据!$A:$J,10,0),0)+IFERROR(VLOOKUP($A315,[4]库存使用数据!$A:$J,10,0),0)+IFERROR(VLOOKUP($A315,[5]库存使用数据!$A:$J,10,0),0)</f>
        <v>0</v>
      </c>
      <c r="K315" s="1">
        <f ca="1">IFERROR(VLOOKUP($A315,[1]库存使用数据!$A:$K,11,0),0)+IFERROR(VLOOKUP($A315,[2]库存使用数据!$A:$K,11,0),0)+IFERROR(VLOOKUP($A315,[3]库存使用数据!$A:$K,11,0),0)+IFERROR(VLOOKUP($A315,[4]库存使用数据!$A:$K,11,0),0)+IFERROR(VLOOKUP($A315,[5]库存使用数据!$A:$K,11,0),0)</f>
        <v>0</v>
      </c>
      <c r="L315" s="1">
        <f ca="1">IFERROR(VLOOKUP($A315,[1]库存使用数据!$A:$L,12,0),0)+IFERROR(VLOOKUP($A315,[2]库存使用数据!$A:$L,12,0),0)+IFERROR(VLOOKUP($A315,[3]库存使用数据!$A:$L,12,0),0)+IFERROR(VLOOKUP($A315,[4]库存使用数据!$A:$L,12,0),0)+IFERROR(VLOOKUP($A315,[5]库存使用数据!$A:$L,12,0),0)</f>
        <v>0</v>
      </c>
      <c r="M315" s="1">
        <f ca="1">IFERROR(VLOOKUP($A315,[1]库存使用数据!$A:$M,13,0),0)+IFERROR(VLOOKUP($A315,[2]库存使用数据!$A:$M,13,0),0)+公式!$B$14*IFERROR(VLOOKUP($A315,[3]库存使用数据!$A:$M,13,0),0)+IFERROR(VLOOKUP($A315,[4]库存使用数据!$A:$M,13,0),0)+IFERROR(VLOOKUP($A315,[5]库存使用数据!$A:$M,13,0),0)</f>
        <v>0</v>
      </c>
    </row>
    <row r="316" spans="1:13">
      <c r="A316" s="5" t="s">
        <v>321</v>
      </c>
      <c r="B316" s="2">
        <f ca="1">IFERROR(VLOOKUP(A316,[1]库存使用数据!$A:$B,2,0),0)+IFERROR(VLOOKUP(A316,[2]库存使用数据!$A:$B,2,0),0)+IFERROR(VLOOKUP(,[3]库存使用数据!$A:$B,2,0),0)+IFERROR(VLOOKUP(A316,[4]库存使用数据!$A:$B,2,0),0)+IFERROR(VLOOKUP(A316,[5]库存使用数据!$A:$B,2,0),0)</f>
        <v>0</v>
      </c>
      <c r="C316" s="1">
        <f ca="1">IFERROR(VLOOKUP($A316,[1]库存使用数据!$A:$C,3,0),0)+IFERROR(VLOOKUP($A316,[2]库存使用数据!$A:$C,3,0),0)+IFERROR(VLOOKUP($A316,[3]库存使用数据!$A:$C,3,0),0)+IFERROR(VLOOKUP($A316,[4]库存使用数据!$A:$C,3,0),0)+IFERROR(VLOOKUP($A316,[5]库存使用数据!$A:$C,3,0),0)</f>
        <v>0</v>
      </c>
      <c r="D316" s="1">
        <f ca="1">IFERROR(VLOOKUP($A316,[1]库存使用数据!$A:$D,4,0),0)+IFERROR(VLOOKUP($A316,[2]库存使用数据!$A:$D,4,0),0)+公式!$B$1*IFERROR(VLOOKUP($A316,[3]库存使用数据!$A:$D,4,0),0)+IFERROR(VLOOKUP($A316,[4]库存使用数据!$A:$D,4,0),0)+IFERROR(VLOOKUP($A316,[5]库存使用数据!$A:$D,4,0),0)</f>
        <v>0</v>
      </c>
      <c r="E316" s="1">
        <f ca="1">IFERROR(VLOOKUP($A316,[1]库存使用数据!$A:$E,5,0),0)+IFERROR(VLOOKUP($A316,[2]库存使用数据!$A:$E,5,0),0)+IFERROR(VLOOKUP($A316,[3]库存使用数据!$A:$E,5,0),0)+IFERROR(VLOOKUP($A316,[4]库存使用数据!$A:$E,5,0),0)+IFERROR(VLOOKUP($A316,[5]库存使用数据!$A:$E,5,0),0)</f>
        <v>14</v>
      </c>
      <c r="F316" s="1">
        <f ca="1">IFERROR(VLOOKUP($A316,[1]库存使用数据!$A:$F,6,0),0)+IFERROR(VLOOKUP($A316,[2]库存使用数据!$A:$F,6,0),0)+IFERROR(VLOOKUP($A316,[4]库存使用数据!$A:$F,6,0),0)+IFERROR(VLOOKUP($A316,[3]库存使用数据!$A:$F,6,0),0)+IFERROR(VLOOKUP($A316,[5]库存使用数据!$A:$F,6,0),0)</f>
        <v>0</v>
      </c>
      <c r="G316" s="1">
        <f ca="1">IFERROR(VLOOKUP($A316,[1]库存使用数据!$A:$G,7,0),0)+IFERROR(VLOOKUP($A316,[2]库存使用数据!$A:$G,7,0),0)+公式!$B$14*IFERROR(VLOOKUP($A316,[3]库存使用数据!$A:$G,7,0),0)+IFERROR(VLOOKUP($A316,[4]库存使用数据!$A:$G,7,0),0)+IFERROR(VLOOKUP($A316,[5]库存使用数据!$A:$G,7,0),0)</f>
        <v>0</v>
      </c>
      <c r="H316" s="1">
        <f ca="1">IFERROR(VLOOKUP($A316,[1]库存使用数据!$A:$H,8,0),0)+IFERROR(VLOOKUP($A316,[2]库存使用数据!$A:$H,8,0),0)+IFERROR(VLOOKUP($A316,[3]库存使用数据!$A:$H,8,0),0)+IFERROR(VLOOKUP($A316,[4]库存使用数据!$A:$H,8,0),0)+IFERROR(VLOOKUP($A316,[5]库存使用数据!$A:$H,8,0),0)</f>
        <v>0</v>
      </c>
      <c r="I316" s="1">
        <f ca="1">IFERROR(VLOOKUP($A316,[1]库存使用数据!$A:$I,9,0),0)+IFERROR(VLOOKUP($A316,[2]库存使用数据!$A:$I,9,0),0)+IFERROR(VLOOKUP($A316,[3]库存使用数据!$A:$I,9,0),0)+IFERROR(VLOOKUP($A316,[4]库存使用数据!$A:$I,9,0),0)+IFERROR(VLOOKUP($A316,[5]库存使用数据!$A:$I,9,0),0)</f>
        <v>0</v>
      </c>
      <c r="J316" s="1">
        <f ca="1">IFERROR(VLOOKUP($A316,[1]库存使用数据!$A:$J,10,0),0)+IFERROR(VLOOKUP($A316,[2]库存使用数据!$A:$J,10,0),0)+公式!$B$14*IFERROR(VLOOKUP($A316,[3]库存使用数据!$A:$J,10,0),0)+IFERROR(VLOOKUP($A316,[4]库存使用数据!$A:$J,10,0),0)+IFERROR(VLOOKUP($A316,[5]库存使用数据!$A:$J,10,0),0)</f>
        <v>0</v>
      </c>
      <c r="K316" s="1">
        <f ca="1">IFERROR(VLOOKUP($A316,[1]库存使用数据!$A:$K,11,0),0)+IFERROR(VLOOKUP($A316,[2]库存使用数据!$A:$K,11,0),0)+IFERROR(VLOOKUP($A316,[3]库存使用数据!$A:$K,11,0),0)+IFERROR(VLOOKUP($A316,[4]库存使用数据!$A:$K,11,0),0)+IFERROR(VLOOKUP($A316,[5]库存使用数据!$A:$K,11,0),0)</f>
        <v>0</v>
      </c>
      <c r="L316" s="1">
        <f ca="1">IFERROR(VLOOKUP($A316,[1]库存使用数据!$A:$L,12,0),0)+IFERROR(VLOOKUP($A316,[2]库存使用数据!$A:$L,12,0),0)+IFERROR(VLOOKUP($A316,[3]库存使用数据!$A:$L,12,0),0)+IFERROR(VLOOKUP($A316,[4]库存使用数据!$A:$L,12,0),0)+IFERROR(VLOOKUP($A316,[5]库存使用数据!$A:$L,12,0),0)</f>
        <v>0</v>
      </c>
      <c r="M316" s="1">
        <f ca="1">IFERROR(VLOOKUP($A316,[1]库存使用数据!$A:$M,13,0),0)+IFERROR(VLOOKUP($A316,[2]库存使用数据!$A:$M,13,0),0)+公式!$B$14*IFERROR(VLOOKUP($A316,[3]库存使用数据!$A:$M,13,0),0)+IFERROR(VLOOKUP($A316,[4]库存使用数据!$A:$M,13,0),0)+IFERROR(VLOOKUP($A316,[5]库存使用数据!$A:$M,13,0),0)</f>
        <v>0</v>
      </c>
    </row>
    <row r="317" spans="1:13">
      <c r="A317" s="5" t="s">
        <v>322</v>
      </c>
      <c r="B317" s="2">
        <f ca="1">IFERROR(VLOOKUP(A317,[1]库存使用数据!$A:$B,2,0),0)+IFERROR(VLOOKUP(A317,[2]库存使用数据!$A:$B,2,0),0)+IFERROR(VLOOKUP(,[3]库存使用数据!$A:$B,2,0),0)+IFERROR(VLOOKUP(A317,[4]库存使用数据!$A:$B,2,0),0)+IFERROR(VLOOKUP(A317,[5]库存使用数据!$A:$B,2,0),0)</f>
        <v>0</v>
      </c>
      <c r="C317" s="1">
        <f ca="1">IFERROR(VLOOKUP($A317,[1]库存使用数据!$A:$C,3,0),0)+IFERROR(VLOOKUP($A317,[2]库存使用数据!$A:$C,3,0),0)+IFERROR(VLOOKUP($A317,[3]库存使用数据!$A:$C,3,0),0)+IFERROR(VLOOKUP($A317,[4]库存使用数据!$A:$C,3,0),0)+IFERROR(VLOOKUP($A317,[5]库存使用数据!$A:$C,3,0),0)</f>
        <v>0</v>
      </c>
      <c r="D317" s="1">
        <f ca="1">IFERROR(VLOOKUP($A317,[1]库存使用数据!$A:$D,4,0),0)+IFERROR(VLOOKUP($A317,[2]库存使用数据!$A:$D,4,0),0)+公式!$B$1*IFERROR(VLOOKUP($A317,[3]库存使用数据!$A:$D,4,0),0)+IFERROR(VLOOKUP($A317,[4]库存使用数据!$A:$D,4,0),0)+IFERROR(VLOOKUP($A317,[5]库存使用数据!$A:$D,4,0),0)</f>
        <v>0</v>
      </c>
      <c r="E317" s="1">
        <f ca="1">IFERROR(VLOOKUP($A317,[1]库存使用数据!$A:$E,5,0),0)+IFERROR(VLOOKUP($A317,[2]库存使用数据!$A:$E,5,0),0)+IFERROR(VLOOKUP($A317,[3]库存使用数据!$A:$E,5,0),0)+IFERROR(VLOOKUP($A317,[4]库存使用数据!$A:$E,5,0),0)+IFERROR(VLOOKUP($A317,[5]库存使用数据!$A:$E,5,0),0)</f>
        <v>96</v>
      </c>
      <c r="F317" s="1">
        <f ca="1">IFERROR(VLOOKUP($A317,[1]库存使用数据!$A:$F,6,0),0)+IFERROR(VLOOKUP($A317,[2]库存使用数据!$A:$F,6,0),0)+IFERROR(VLOOKUP($A317,[4]库存使用数据!$A:$F,6,0),0)+IFERROR(VLOOKUP($A317,[3]库存使用数据!$A:$F,6,0),0)+IFERROR(VLOOKUP($A317,[5]库存使用数据!$A:$F,6,0),0)</f>
        <v>0</v>
      </c>
      <c r="G317" s="1">
        <f ca="1">IFERROR(VLOOKUP($A317,[1]库存使用数据!$A:$G,7,0),0)+IFERROR(VLOOKUP($A317,[2]库存使用数据!$A:$G,7,0),0)+公式!$B$14*IFERROR(VLOOKUP($A317,[3]库存使用数据!$A:$G,7,0),0)+IFERROR(VLOOKUP($A317,[4]库存使用数据!$A:$G,7,0),0)+IFERROR(VLOOKUP($A317,[5]库存使用数据!$A:$G,7,0),0)</f>
        <v>0</v>
      </c>
      <c r="H317" s="1">
        <f ca="1">IFERROR(VLOOKUP($A317,[1]库存使用数据!$A:$H,8,0),0)+IFERROR(VLOOKUP($A317,[2]库存使用数据!$A:$H,8,0),0)+IFERROR(VLOOKUP($A317,[3]库存使用数据!$A:$H,8,0),0)+IFERROR(VLOOKUP($A317,[4]库存使用数据!$A:$H,8,0),0)+IFERROR(VLOOKUP($A317,[5]库存使用数据!$A:$H,8,0),0)</f>
        <v>0</v>
      </c>
      <c r="I317" s="1">
        <f ca="1">IFERROR(VLOOKUP($A317,[1]库存使用数据!$A:$I,9,0),0)+IFERROR(VLOOKUP($A317,[2]库存使用数据!$A:$I,9,0),0)+IFERROR(VLOOKUP($A317,[3]库存使用数据!$A:$I,9,0),0)+IFERROR(VLOOKUP($A317,[4]库存使用数据!$A:$I,9,0),0)+IFERROR(VLOOKUP($A317,[5]库存使用数据!$A:$I,9,0),0)</f>
        <v>0</v>
      </c>
      <c r="J317" s="1">
        <f ca="1">IFERROR(VLOOKUP($A317,[1]库存使用数据!$A:$J,10,0),0)+IFERROR(VLOOKUP($A317,[2]库存使用数据!$A:$J,10,0),0)+公式!$B$14*IFERROR(VLOOKUP($A317,[3]库存使用数据!$A:$J,10,0),0)+IFERROR(VLOOKUP($A317,[4]库存使用数据!$A:$J,10,0),0)+IFERROR(VLOOKUP($A317,[5]库存使用数据!$A:$J,10,0),0)</f>
        <v>0</v>
      </c>
      <c r="K317" s="1">
        <f ca="1">IFERROR(VLOOKUP($A317,[1]库存使用数据!$A:$K,11,0),0)+IFERROR(VLOOKUP($A317,[2]库存使用数据!$A:$K,11,0),0)+IFERROR(VLOOKUP($A317,[3]库存使用数据!$A:$K,11,0),0)+IFERROR(VLOOKUP($A317,[4]库存使用数据!$A:$K,11,0),0)+IFERROR(VLOOKUP($A317,[5]库存使用数据!$A:$K,11,0),0)</f>
        <v>0</v>
      </c>
      <c r="L317" s="1">
        <f ca="1">IFERROR(VLOOKUP($A317,[1]库存使用数据!$A:$L,12,0),0)+IFERROR(VLOOKUP($A317,[2]库存使用数据!$A:$L,12,0),0)+IFERROR(VLOOKUP($A317,[3]库存使用数据!$A:$L,12,0),0)+IFERROR(VLOOKUP($A317,[4]库存使用数据!$A:$L,12,0),0)+IFERROR(VLOOKUP($A317,[5]库存使用数据!$A:$L,12,0),0)</f>
        <v>0</v>
      </c>
      <c r="M317" s="1">
        <f ca="1">IFERROR(VLOOKUP($A317,[1]库存使用数据!$A:$M,13,0),0)+IFERROR(VLOOKUP($A317,[2]库存使用数据!$A:$M,13,0),0)+公式!$B$14*IFERROR(VLOOKUP($A317,[3]库存使用数据!$A:$M,13,0),0)+IFERROR(VLOOKUP($A317,[4]库存使用数据!$A:$M,13,0),0)+IFERROR(VLOOKUP($A317,[5]库存使用数据!$A:$M,13,0),0)</f>
        <v>0</v>
      </c>
    </row>
    <row r="318" spans="1:13">
      <c r="A318" s="5" t="s">
        <v>323</v>
      </c>
      <c r="B318" s="2">
        <f ca="1">IFERROR(VLOOKUP(A318,[1]库存使用数据!$A:$B,2,0),0)+IFERROR(VLOOKUP(A318,[2]库存使用数据!$A:$B,2,0),0)+IFERROR(VLOOKUP(,[3]库存使用数据!$A:$B,2,0),0)+IFERROR(VLOOKUP(A318,[4]库存使用数据!$A:$B,2,0),0)+IFERROR(VLOOKUP(A318,[5]库存使用数据!$A:$B,2,0),0)</f>
        <v>0</v>
      </c>
      <c r="C318" s="1">
        <f ca="1">IFERROR(VLOOKUP($A318,[1]库存使用数据!$A:$C,3,0),0)+IFERROR(VLOOKUP($A318,[2]库存使用数据!$A:$C,3,0),0)+IFERROR(VLOOKUP($A318,[3]库存使用数据!$A:$C,3,0),0)+IFERROR(VLOOKUP($A318,[4]库存使用数据!$A:$C,3,0),0)+IFERROR(VLOOKUP($A318,[5]库存使用数据!$A:$C,3,0),0)</f>
        <v>0</v>
      </c>
      <c r="D318" s="1">
        <f ca="1">IFERROR(VLOOKUP($A318,[1]库存使用数据!$A:$D,4,0),0)+IFERROR(VLOOKUP($A318,[2]库存使用数据!$A:$D,4,0),0)+公式!$B$1*IFERROR(VLOOKUP($A318,[3]库存使用数据!$A:$D,4,0),0)+IFERROR(VLOOKUP($A318,[4]库存使用数据!$A:$D,4,0),0)+IFERROR(VLOOKUP($A318,[5]库存使用数据!$A:$D,4,0),0)</f>
        <v>0</v>
      </c>
      <c r="E318" s="1">
        <f ca="1">IFERROR(VLOOKUP($A318,[1]库存使用数据!$A:$E,5,0),0)+IFERROR(VLOOKUP($A318,[2]库存使用数据!$A:$E,5,0),0)+IFERROR(VLOOKUP($A318,[3]库存使用数据!$A:$E,5,0),0)+IFERROR(VLOOKUP($A318,[4]库存使用数据!$A:$E,5,0),0)+IFERROR(VLOOKUP($A318,[5]库存使用数据!$A:$E,5,0),0)</f>
        <v>102</v>
      </c>
      <c r="F318" s="1">
        <f ca="1">IFERROR(VLOOKUP($A318,[1]库存使用数据!$A:$F,6,0),0)+IFERROR(VLOOKUP($A318,[2]库存使用数据!$A:$F,6,0),0)+IFERROR(VLOOKUP($A318,[4]库存使用数据!$A:$F,6,0),0)+IFERROR(VLOOKUP($A318,[3]库存使用数据!$A:$F,6,0),0)+IFERROR(VLOOKUP($A318,[5]库存使用数据!$A:$F,6,0),0)</f>
        <v>0</v>
      </c>
      <c r="G318" s="1">
        <f ca="1">IFERROR(VLOOKUP($A318,[1]库存使用数据!$A:$G,7,0),0)+IFERROR(VLOOKUP($A318,[2]库存使用数据!$A:$G,7,0),0)+公式!$B$14*IFERROR(VLOOKUP($A318,[3]库存使用数据!$A:$G,7,0),0)+IFERROR(VLOOKUP($A318,[4]库存使用数据!$A:$G,7,0),0)+IFERROR(VLOOKUP($A318,[5]库存使用数据!$A:$G,7,0),0)</f>
        <v>0</v>
      </c>
      <c r="H318" s="1">
        <f ca="1">IFERROR(VLOOKUP($A318,[1]库存使用数据!$A:$H,8,0),0)+IFERROR(VLOOKUP($A318,[2]库存使用数据!$A:$H,8,0),0)+IFERROR(VLOOKUP($A318,[3]库存使用数据!$A:$H,8,0),0)+IFERROR(VLOOKUP($A318,[4]库存使用数据!$A:$H,8,0),0)+IFERROR(VLOOKUP($A318,[5]库存使用数据!$A:$H,8,0),0)</f>
        <v>0</v>
      </c>
      <c r="I318" s="1">
        <f ca="1">IFERROR(VLOOKUP($A318,[1]库存使用数据!$A:$I,9,0),0)+IFERROR(VLOOKUP($A318,[2]库存使用数据!$A:$I,9,0),0)+IFERROR(VLOOKUP($A318,[3]库存使用数据!$A:$I,9,0),0)+IFERROR(VLOOKUP($A318,[4]库存使用数据!$A:$I,9,0),0)+IFERROR(VLOOKUP($A318,[5]库存使用数据!$A:$I,9,0),0)</f>
        <v>0</v>
      </c>
      <c r="J318" s="1">
        <f ca="1">IFERROR(VLOOKUP($A318,[1]库存使用数据!$A:$J,10,0),0)+IFERROR(VLOOKUP($A318,[2]库存使用数据!$A:$J,10,0),0)+公式!$B$14*IFERROR(VLOOKUP($A318,[3]库存使用数据!$A:$J,10,0),0)+IFERROR(VLOOKUP($A318,[4]库存使用数据!$A:$J,10,0),0)+IFERROR(VLOOKUP($A318,[5]库存使用数据!$A:$J,10,0),0)</f>
        <v>0</v>
      </c>
      <c r="K318" s="1">
        <f ca="1">IFERROR(VLOOKUP($A318,[1]库存使用数据!$A:$K,11,0),0)+IFERROR(VLOOKUP($A318,[2]库存使用数据!$A:$K,11,0),0)+IFERROR(VLOOKUP($A318,[3]库存使用数据!$A:$K,11,0),0)+IFERROR(VLOOKUP($A318,[4]库存使用数据!$A:$K,11,0),0)+IFERROR(VLOOKUP($A318,[5]库存使用数据!$A:$K,11,0),0)</f>
        <v>0</v>
      </c>
      <c r="L318" s="1">
        <f ca="1">IFERROR(VLOOKUP($A318,[1]库存使用数据!$A:$L,12,0),0)+IFERROR(VLOOKUP($A318,[2]库存使用数据!$A:$L,12,0),0)+IFERROR(VLOOKUP($A318,[3]库存使用数据!$A:$L,12,0),0)+IFERROR(VLOOKUP($A318,[4]库存使用数据!$A:$L,12,0),0)+IFERROR(VLOOKUP($A318,[5]库存使用数据!$A:$L,12,0),0)</f>
        <v>0</v>
      </c>
      <c r="M318" s="1">
        <f ca="1">IFERROR(VLOOKUP($A318,[1]库存使用数据!$A:$M,13,0),0)+IFERROR(VLOOKUP($A318,[2]库存使用数据!$A:$M,13,0),0)+公式!$B$14*IFERROR(VLOOKUP($A318,[3]库存使用数据!$A:$M,13,0),0)+IFERROR(VLOOKUP($A318,[4]库存使用数据!$A:$M,13,0),0)+IFERROR(VLOOKUP($A318,[5]库存使用数据!$A:$M,13,0),0)</f>
        <v>0</v>
      </c>
    </row>
    <row r="319" spans="1:13">
      <c r="A319" s="5" t="s">
        <v>324</v>
      </c>
      <c r="B319" s="2">
        <f ca="1">IFERROR(VLOOKUP(A319,[1]库存使用数据!$A:$B,2,0),0)+IFERROR(VLOOKUP(A319,[2]库存使用数据!$A:$B,2,0),0)+IFERROR(VLOOKUP(,[3]库存使用数据!$A:$B,2,0),0)+IFERROR(VLOOKUP(A319,[4]库存使用数据!$A:$B,2,0),0)+IFERROR(VLOOKUP(A319,[5]库存使用数据!$A:$B,2,0),0)</f>
        <v>0</v>
      </c>
      <c r="C319" s="1">
        <f ca="1">IFERROR(VLOOKUP($A319,[1]库存使用数据!$A:$C,3,0),0)+IFERROR(VLOOKUP($A319,[2]库存使用数据!$A:$C,3,0),0)+IFERROR(VLOOKUP($A319,[3]库存使用数据!$A:$C,3,0),0)+IFERROR(VLOOKUP($A319,[4]库存使用数据!$A:$C,3,0),0)+IFERROR(VLOOKUP($A319,[5]库存使用数据!$A:$C,3,0),0)</f>
        <v>0</v>
      </c>
      <c r="D319" s="1">
        <f ca="1">IFERROR(VLOOKUP($A319,[1]库存使用数据!$A:$D,4,0),0)+IFERROR(VLOOKUP($A319,[2]库存使用数据!$A:$D,4,0),0)+公式!$B$1*IFERROR(VLOOKUP($A319,[3]库存使用数据!$A:$D,4,0),0)+IFERROR(VLOOKUP($A319,[4]库存使用数据!$A:$D,4,0),0)+IFERROR(VLOOKUP($A319,[5]库存使用数据!$A:$D,4,0),0)</f>
        <v>0</v>
      </c>
      <c r="E319" s="1">
        <f ca="1">IFERROR(VLOOKUP($A319,[1]库存使用数据!$A:$E,5,0),0)+IFERROR(VLOOKUP($A319,[2]库存使用数据!$A:$E,5,0),0)+IFERROR(VLOOKUP($A319,[3]库存使用数据!$A:$E,5,0),0)+IFERROR(VLOOKUP($A319,[4]库存使用数据!$A:$E,5,0),0)+IFERROR(VLOOKUP($A319,[5]库存使用数据!$A:$E,5,0),0)</f>
        <v>50</v>
      </c>
      <c r="F319" s="1">
        <f ca="1">IFERROR(VLOOKUP($A319,[1]库存使用数据!$A:$F,6,0),0)+IFERROR(VLOOKUP($A319,[2]库存使用数据!$A:$F,6,0),0)+IFERROR(VLOOKUP($A319,[4]库存使用数据!$A:$F,6,0),0)+IFERROR(VLOOKUP($A319,[3]库存使用数据!$A:$F,6,0),0)+IFERROR(VLOOKUP($A319,[5]库存使用数据!$A:$F,6,0),0)</f>
        <v>6</v>
      </c>
      <c r="G319" s="1">
        <f ca="1">IFERROR(VLOOKUP($A319,[1]库存使用数据!$A:$G,7,0),0)+IFERROR(VLOOKUP($A319,[2]库存使用数据!$A:$G,7,0),0)+公式!$B$14*IFERROR(VLOOKUP($A319,[3]库存使用数据!$A:$G,7,0),0)+IFERROR(VLOOKUP($A319,[4]库存使用数据!$A:$G,7,0),0)+IFERROR(VLOOKUP($A319,[5]库存使用数据!$A:$G,7,0),0)</f>
        <v>0.64</v>
      </c>
      <c r="H319" s="1">
        <f ca="1">IFERROR(VLOOKUP($A319,[1]库存使用数据!$A:$H,8,0),0)+IFERROR(VLOOKUP($A319,[2]库存使用数据!$A:$H,8,0),0)+IFERROR(VLOOKUP($A319,[3]库存使用数据!$A:$H,8,0),0)+IFERROR(VLOOKUP($A319,[4]库存使用数据!$A:$H,8,0),0)+IFERROR(VLOOKUP($A319,[5]库存使用数据!$A:$H,8,0),0)</f>
        <v>0</v>
      </c>
      <c r="I319" s="1">
        <f ca="1">IFERROR(VLOOKUP($A319,[1]库存使用数据!$A:$I,9,0),0)+IFERROR(VLOOKUP($A319,[2]库存使用数据!$A:$I,9,0),0)+IFERROR(VLOOKUP($A319,[3]库存使用数据!$A:$I,9,0),0)+IFERROR(VLOOKUP($A319,[4]库存使用数据!$A:$I,9,0),0)+IFERROR(VLOOKUP($A319,[5]库存使用数据!$A:$I,9,0),0)</f>
        <v>0</v>
      </c>
      <c r="J319" s="1">
        <f ca="1">IFERROR(VLOOKUP($A319,[1]库存使用数据!$A:$J,10,0),0)+IFERROR(VLOOKUP($A319,[2]库存使用数据!$A:$J,10,0),0)+公式!$B$14*IFERROR(VLOOKUP($A319,[3]库存使用数据!$A:$J,10,0),0)+IFERROR(VLOOKUP($A319,[4]库存使用数据!$A:$J,10,0),0)+IFERROR(VLOOKUP($A319,[5]库存使用数据!$A:$J,10,0),0)</f>
        <v>0</v>
      </c>
      <c r="K319" s="1">
        <f ca="1">IFERROR(VLOOKUP($A319,[1]库存使用数据!$A:$K,11,0),0)+IFERROR(VLOOKUP($A319,[2]库存使用数据!$A:$K,11,0),0)+IFERROR(VLOOKUP($A319,[3]库存使用数据!$A:$K,11,0),0)+IFERROR(VLOOKUP($A319,[4]库存使用数据!$A:$K,11,0),0)+IFERROR(VLOOKUP($A319,[5]库存使用数据!$A:$K,11,0),0)</f>
        <v>0</v>
      </c>
      <c r="L319" s="1">
        <f ca="1">IFERROR(VLOOKUP($A319,[1]库存使用数据!$A:$L,12,0),0)+IFERROR(VLOOKUP($A319,[2]库存使用数据!$A:$L,12,0),0)+IFERROR(VLOOKUP($A319,[3]库存使用数据!$A:$L,12,0),0)+IFERROR(VLOOKUP($A319,[4]库存使用数据!$A:$L,12,0),0)+IFERROR(VLOOKUP($A319,[5]库存使用数据!$A:$L,12,0),0)</f>
        <v>0</v>
      </c>
      <c r="M319" s="1">
        <f ca="1">IFERROR(VLOOKUP($A319,[1]库存使用数据!$A:$M,13,0),0)+IFERROR(VLOOKUP($A319,[2]库存使用数据!$A:$M,13,0),0)+公式!$B$14*IFERROR(VLOOKUP($A319,[3]库存使用数据!$A:$M,13,0),0)+IFERROR(VLOOKUP($A319,[4]库存使用数据!$A:$M,13,0),0)+IFERROR(VLOOKUP($A319,[5]库存使用数据!$A:$M,13,0),0)</f>
        <v>0</v>
      </c>
    </row>
    <row r="320" spans="1:13">
      <c r="A320" s="5" t="s">
        <v>325</v>
      </c>
      <c r="B320" s="2">
        <f ca="1">IFERROR(VLOOKUP(A320,[1]库存使用数据!$A:$B,2,0),0)+IFERROR(VLOOKUP(A320,[2]库存使用数据!$A:$B,2,0),0)+IFERROR(VLOOKUP(,[3]库存使用数据!$A:$B,2,0),0)+IFERROR(VLOOKUP(A320,[4]库存使用数据!$A:$B,2,0),0)+IFERROR(VLOOKUP(A320,[5]库存使用数据!$A:$B,2,0),0)</f>
        <v>0</v>
      </c>
      <c r="C320" s="1">
        <f ca="1">IFERROR(VLOOKUP($A320,[1]库存使用数据!$A:$C,3,0),0)+IFERROR(VLOOKUP($A320,[2]库存使用数据!$A:$C,3,0),0)+IFERROR(VLOOKUP($A320,[3]库存使用数据!$A:$C,3,0),0)+IFERROR(VLOOKUP($A320,[4]库存使用数据!$A:$C,3,0),0)+IFERROR(VLOOKUP($A320,[5]库存使用数据!$A:$C,3,0),0)</f>
        <v>0</v>
      </c>
      <c r="D320" s="1">
        <f ca="1">IFERROR(VLOOKUP($A320,[1]库存使用数据!$A:$D,4,0),0)+IFERROR(VLOOKUP($A320,[2]库存使用数据!$A:$D,4,0),0)+公式!$B$1*IFERROR(VLOOKUP($A320,[3]库存使用数据!$A:$D,4,0),0)+IFERROR(VLOOKUP($A320,[4]库存使用数据!$A:$D,4,0),0)+IFERROR(VLOOKUP($A320,[5]库存使用数据!$A:$D,4,0),0)</f>
        <v>0</v>
      </c>
      <c r="E320" s="1">
        <f ca="1">IFERROR(VLOOKUP($A320,[1]库存使用数据!$A:$E,5,0),0)+IFERROR(VLOOKUP($A320,[2]库存使用数据!$A:$E,5,0),0)+IFERROR(VLOOKUP($A320,[3]库存使用数据!$A:$E,5,0),0)+IFERROR(VLOOKUP($A320,[4]库存使用数据!$A:$E,5,0),0)+IFERROR(VLOOKUP($A320,[5]库存使用数据!$A:$E,5,0),0)</f>
        <v>116</v>
      </c>
      <c r="F320" s="1">
        <f ca="1">IFERROR(VLOOKUP($A320,[1]库存使用数据!$A:$F,6,0),0)+IFERROR(VLOOKUP($A320,[2]库存使用数据!$A:$F,6,0),0)+IFERROR(VLOOKUP($A320,[4]库存使用数据!$A:$F,6,0),0)+IFERROR(VLOOKUP($A320,[3]库存使用数据!$A:$F,6,0),0)+IFERROR(VLOOKUP($A320,[5]库存使用数据!$A:$F,6,0),0)</f>
        <v>0</v>
      </c>
      <c r="G320" s="1">
        <f ca="1">IFERROR(VLOOKUP($A320,[1]库存使用数据!$A:$G,7,0),0)+IFERROR(VLOOKUP($A320,[2]库存使用数据!$A:$G,7,0),0)+公式!$B$14*IFERROR(VLOOKUP($A320,[3]库存使用数据!$A:$G,7,0),0)+IFERROR(VLOOKUP($A320,[4]库存使用数据!$A:$G,7,0),0)+IFERROR(VLOOKUP($A320,[5]库存使用数据!$A:$G,7,0),0)</f>
        <v>0</v>
      </c>
      <c r="H320" s="1">
        <f ca="1">IFERROR(VLOOKUP($A320,[1]库存使用数据!$A:$H,8,0),0)+IFERROR(VLOOKUP($A320,[2]库存使用数据!$A:$H,8,0),0)+IFERROR(VLOOKUP($A320,[3]库存使用数据!$A:$H,8,0),0)+IFERROR(VLOOKUP($A320,[4]库存使用数据!$A:$H,8,0),0)+IFERROR(VLOOKUP($A320,[5]库存使用数据!$A:$H,8,0),0)</f>
        <v>0</v>
      </c>
      <c r="I320" s="1">
        <f ca="1">IFERROR(VLOOKUP($A320,[1]库存使用数据!$A:$I,9,0),0)+IFERROR(VLOOKUP($A320,[2]库存使用数据!$A:$I,9,0),0)+IFERROR(VLOOKUP($A320,[3]库存使用数据!$A:$I,9,0),0)+IFERROR(VLOOKUP($A320,[4]库存使用数据!$A:$I,9,0),0)+IFERROR(VLOOKUP($A320,[5]库存使用数据!$A:$I,9,0),0)</f>
        <v>0</v>
      </c>
      <c r="J320" s="1">
        <f ca="1">IFERROR(VLOOKUP($A320,[1]库存使用数据!$A:$J,10,0),0)+IFERROR(VLOOKUP($A320,[2]库存使用数据!$A:$J,10,0),0)+公式!$B$14*IFERROR(VLOOKUP($A320,[3]库存使用数据!$A:$J,10,0),0)+IFERROR(VLOOKUP($A320,[4]库存使用数据!$A:$J,10,0),0)+IFERROR(VLOOKUP($A320,[5]库存使用数据!$A:$J,10,0),0)</f>
        <v>0</v>
      </c>
      <c r="K320" s="1">
        <f ca="1">IFERROR(VLOOKUP($A320,[1]库存使用数据!$A:$K,11,0),0)+IFERROR(VLOOKUP($A320,[2]库存使用数据!$A:$K,11,0),0)+IFERROR(VLOOKUP($A320,[3]库存使用数据!$A:$K,11,0),0)+IFERROR(VLOOKUP($A320,[4]库存使用数据!$A:$K,11,0),0)+IFERROR(VLOOKUP($A320,[5]库存使用数据!$A:$K,11,0),0)</f>
        <v>0</v>
      </c>
      <c r="L320" s="1">
        <f ca="1">IFERROR(VLOOKUP($A320,[1]库存使用数据!$A:$L,12,0),0)+IFERROR(VLOOKUP($A320,[2]库存使用数据!$A:$L,12,0),0)+IFERROR(VLOOKUP($A320,[3]库存使用数据!$A:$L,12,0),0)+IFERROR(VLOOKUP($A320,[4]库存使用数据!$A:$L,12,0),0)+IFERROR(VLOOKUP($A320,[5]库存使用数据!$A:$L,12,0),0)</f>
        <v>0</v>
      </c>
      <c r="M320" s="1">
        <f ca="1">IFERROR(VLOOKUP($A320,[1]库存使用数据!$A:$M,13,0),0)+IFERROR(VLOOKUP($A320,[2]库存使用数据!$A:$M,13,0),0)+公式!$B$14*IFERROR(VLOOKUP($A320,[3]库存使用数据!$A:$M,13,0),0)+IFERROR(VLOOKUP($A320,[4]库存使用数据!$A:$M,13,0),0)+IFERROR(VLOOKUP($A320,[5]库存使用数据!$A:$M,13,0),0)</f>
        <v>0</v>
      </c>
    </row>
    <row r="321" spans="1:13">
      <c r="A321" s="5" t="s">
        <v>326</v>
      </c>
      <c r="B321" s="2">
        <f ca="1">IFERROR(VLOOKUP(A321,[1]库存使用数据!$A:$B,2,0),0)+IFERROR(VLOOKUP(A321,[2]库存使用数据!$A:$B,2,0),0)+IFERROR(VLOOKUP(,[3]库存使用数据!$A:$B,2,0),0)+IFERROR(VLOOKUP(A321,[4]库存使用数据!$A:$B,2,0),0)+IFERROR(VLOOKUP(A321,[5]库存使用数据!$A:$B,2,0),0)</f>
        <v>0</v>
      </c>
      <c r="C321" s="1">
        <f ca="1">IFERROR(VLOOKUP($A321,[1]库存使用数据!$A:$C,3,0),0)+IFERROR(VLOOKUP($A321,[2]库存使用数据!$A:$C,3,0),0)+IFERROR(VLOOKUP($A321,[3]库存使用数据!$A:$C,3,0),0)+IFERROR(VLOOKUP($A321,[4]库存使用数据!$A:$C,3,0),0)+IFERROR(VLOOKUP($A321,[5]库存使用数据!$A:$C,3,0),0)</f>
        <v>0</v>
      </c>
      <c r="D321" s="1">
        <f ca="1">IFERROR(VLOOKUP($A321,[1]库存使用数据!$A:$D,4,0),0)+IFERROR(VLOOKUP($A321,[2]库存使用数据!$A:$D,4,0),0)+公式!$B$1*IFERROR(VLOOKUP($A321,[3]库存使用数据!$A:$D,4,0),0)+IFERROR(VLOOKUP($A321,[4]库存使用数据!$A:$D,4,0),0)+IFERROR(VLOOKUP($A321,[5]库存使用数据!$A:$D,4,0),0)</f>
        <v>0</v>
      </c>
      <c r="E321" s="1">
        <f ca="1">IFERROR(VLOOKUP($A321,[1]库存使用数据!$A:$E,5,0),0)+IFERROR(VLOOKUP($A321,[2]库存使用数据!$A:$E,5,0),0)+IFERROR(VLOOKUP($A321,[3]库存使用数据!$A:$E,5,0),0)+IFERROR(VLOOKUP($A321,[4]库存使用数据!$A:$E,5,0),0)+IFERROR(VLOOKUP($A321,[5]库存使用数据!$A:$E,5,0),0)</f>
        <v>42</v>
      </c>
      <c r="F321" s="1">
        <f ca="1">IFERROR(VLOOKUP($A321,[1]库存使用数据!$A:$F,6,0),0)+IFERROR(VLOOKUP($A321,[2]库存使用数据!$A:$F,6,0),0)+IFERROR(VLOOKUP($A321,[4]库存使用数据!$A:$F,6,0),0)+IFERROR(VLOOKUP($A321,[3]库存使用数据!$A:$F,6,0),0)+IFERROR(VLOOKUP($A321,[5]库存使用数据!$A:$F,6,0),0)</f>
        <v>0</v>
      </c>
      <c r="G321" s="1">
        <f ca="1">IFERROR(VLOOKUP($A321,[1]库存使用数据!$A:$G,7,0),0)+IFERROR(VLOOKUP($A321,[2]库存使用数据!$A:$G,7,0),0)+公式!$B$14*IFERROR(VLOOKUP($A321,[3]库存使用数据!$A:$G,7,0),0)+IFERROR(VLOOKUP($A321,[4]库存使用数据!$A:$G,7,0),0)+IFERROR(VLOOKUP($A321,[5]库存使用数据!$A:$G,7,0),0)</f>
        <v>0</v>
      </c>
      <c r="H321" s="1">
        <f ca="1">IFERROR(VLOOKUP($A321,[1]库存使用数据!$A:$H,8,0),0)+IFERROR(VLOOKUP($A321,[2]库存使用数据!$A:$H,8,0),0)+IFERROR(VLOOKUP($A321,[3]库存使用数据!$A:$H,8,0),0)+IFERROR(VLOOKUP($A321,[4]库存使用数据!$A:$H,8,0),0)+IFERROR(VLOOKUP($A321,[5]库存使用数据!$A:$H,8,0),0)</f>
        <v>0</v>
      </c>
      <c r="I321" s="1">
        <f ca="1">IFERROR(VLOOKUP($A321,[1]库存使用数据!$A:$I,9,0),0)+IFERROR(VLOOKUP($A321,[2]库存使用数据!$A:$I,9,0),0)+IFERROR(VLOOKUP($A321,[3]库存使用数据!$A:$I,9,0),0)+IFERROR(VLOOKUP($A321,[4]库存使用数据!$A:$I,9,0),0)+IFERROR(VLOOKUP($A321,[5]库存使用数据!$A:$I,9,0),0)</f>
        <v>0</v>
      </c>
      <c r="J321" s="1">
        <f ca="1">IFERROR(VLOOKUP($A321,[1]库存使用数据!$A:$J,10,0),0)+IFERROR(VLOOKUP($A321,[2]库存使用数据!$A:$J,10,0),0)+公式!$B$14*IFERROR(VLOOKUP($A321,[3]库存使用数据!$A:$J,10,0),0)+IFERROR(VLOOKUP($A321,[4]库存使用数据!$A:$J,10,0),0)+IFERROR(VLOOKUP($A321,[5]库存使用数据!$A:$J,10,0),0)</f>
        <v>0</v>
      </c>
      <c r="K321" s="1">
        <f ca="1">IFERROR(VLOOKUP($A321,[1]库存使用数据!$A:$K,11,0),0)+IFERROR(VLOOKUP($A321,[2]库存使用数据!$A:$K,11,0),0)+IFERROR(VLOOKUP($A321,[3]库存使用数据!$A:$K,11,0),0)+IFERROR(VLOOKUP($A321,[4]库存使用数据!$A:$K,11,0),0)+IFERROR(VLOOKUP($A321,[5]库存使用数据!$A:$K,11,0),0)</f>
        <v>0</v>
      </c>
      <c r="L321" s="1">
        <f ca="1">IFERROR(VLOOKUP($A321,[1]库存使用数据!$A:$L,12,0),0)+IFERROR(VLOOKUP($A321,[2]库存使用数据!$A:$L,12,0),0)+IFERROR(VLOOKUP($A321,[3]库存使用数据!$A:$L,12,0),0)+IFERROR(VLOOKUP($A321,[4]库存使用数据!$A:$L,12,0),0)+IFERROR(VLOOKUP($A321,[5]库存使用数据!$A:$L,12,0),0)</f>
        <v>0</v>
      </c>
      <c r="M321" s="1">
        <f ca="1">IFERROR(VLOOKUP($A321,[1]库存使用数据!$A:$M,13,0),0)+IFERROR(VLOOKUP($A321,[2]库存使用数据!$A:$M,13,0),0)+公式!$B$14*IFERROR(VLOOKUP($A321,[3]库存使用数据!$A:$M,13,0),0)+IFERROR(VLOOKUP($A321,[4]库存使用数据!$A:$M,13,0),0)+IFERROR(VLOOKUP($A321,[5]库存使用数据!$A:$M,13,0),0)</f>
        <v>0</v>
      </c>
    </row>
    <row r="322" spans="1:13">
      <c r="A322" s="5" t="s">
        <v>327</v>
      </c>
      <c r="B322" s="2">
        <f ca="1">IFERROR(VLOOKUP(A322,[1]库存使用数据!$A:$B,2,0),0)+IFERROR(VLOOKUP(A322,[2]库存使用数据!$A:$B,2,0),0)+IFERROR(VLOOKUP(,[3]库存使用数据!$A:$B,2,0),0)+IFERROR(VLOOKUP(A322,[4]库存使用数据!$A:$B,2,0),0)+IFERROR(VLOOKUP(A322,[5]库存使用数据!$A:$B,2,0),0)</f>
        <v>0</v>
      </c>
      <c r="C322" s="1">
        <f ca="1">IFERROR(VLOOKUP($A322,[1]库存使用数据!$A:$C,3,0),0)+IFERROR(VLOOKUP($A322,[2]库存使用数据!$A:$C,3,0),0)+IFERROR(VLOOKUP($A322,[3]库存使用数据!$A:$C,3,0),0)+IFERROR(VLOOKUP($A322,[4]库存使用数据!$A:$C,3,0),0)+IFERROR(VLOOKUP($A322,[5]库存使用数据!$A:$C,3,0),0)</f>
        <v>0</v>
      </c>
      <c r="D322" s="1">
        <f ca="1">IFERROR(VLOOKUP($A322,[1]库存使用数据!$A:$D,4,0),0)+IFERROR(VLOOKUP($A322,[2]库存使用数据!$A:$D,4,0),0)+公式!$B$1*IFERROR(VLOOKUP($A322,[3]库存使用数据!$A:$D,4,0),0)+IFERROR(VLOOKUP($A322,[4]库存使用数据!$A:$D,4,0),0)+IFERROR(VLOOKUP($A322,[5]库存使用数据!$A:$D,4,0),0)</f>
        <v>0</v>
      </c>
      <c r="E322" s="1">
        <f ca="1">IFERROR(VLOOKUP($A322,[1]库存使用数据!$A:$E,5,0),0)+IFERROR(VLOOKUP($A322,[2]库存使用数据!$A:$E,5,0),0)+IFERROR(VLOOKUP($A322,[3]库存使用数据!$A:$E,5,0),0)+IFERROR(VLOOKUP($A322,[4]库存使用数据!$A:$E,5,0),0)+IFERROR(VLOOKUP($A322,[5]库存使用数据!$A:$E,5,0),0)</f>
        <v>36</v>
      </c>
      <c r="F322" s="1">
        <f ca="1">IFERROR(VLOOKUP($A322,[1]库存使用数据!$A:$F,6,0),0)+IFERROR(VLOOKUP($A322,[2]库存使用数据!$A:$F,6,0),0)+IFERROR(VLOOKUP($A322,[4]库存使用数据!$A:$F,6,0),0)+IFERROR(VLOOKUP($A322,[3]库存使用数据!$A:$F,6,0),0)+IFERROR(VLOOKUP($A322,[5]库存使用数据!$A:$F,6,0),0)</f>
        <v>0</v>
      </c>
      <c r="G322" s="1">
        <f ca="1">IFERROR(VLOOKUP($A322,[1]库存使用数据!$A:$G,7,0),0)+IFERROR(VLOOKUP($A322,[2]库存使用数据!$A:$G,7,0),0)+公式!$B$14*IFERROR(VLOOKUP($A322,[3]库存使用数据!$A:$G,7,0),0)+IFERROR(VLOOKUP($A322,[4]库存使用数据!$A:$G,7,0),0)+IFERROR(VLOOKUP($A322,[5]库存使用数据!$A:$G,7,0),0)</f>
        <v>0</v>
      </c>
      <c r="H322" s="1">
        <f ca="1">IFERROR(VLOOKUP($A322,[1]库存使用数据!$A:$H,8,0),0)+IFERROR(VLOOKUP($A322,[2]库存使用数据!$A:$H,8,0),0)+IFERROR(VLOOKUP($A322,[3]库存使用数据!$A:$H,8,0),0)+IFERROR(VLOOKUP($A322,[4]库存使用数据!$A:$H,8,0),0)+IFERROR(VLOOKUP($A322,[5]库存使用数据!$A:$H,8,0),0)</f>
        <v>0</v>
      </c>
      <c r="I322" s="1">
        <f ca="1">IFERROR(VLOOKUP($A322,[1]库存使用数据!$A:$I,9,0),0)+IFERROR(VLOOKUP($A322,[2]库存使用数据!$A:$I,9,0),0)+IFERROR(VLOOKUP($A322,[3]库存使用数据!$A:$I,9,0),0)+IFERROR(VLOOKUP($A322,[4]库存使用数据!$A:$I,9,0),0)+IFERROR(VLOOKUP($A322,[5]库存使用数据!$A:$I,9,0),0)</f>
        <v>0</v>
      </c>
      <c r="J322" s="1">
        <f ca="1">IFERROR(VLOOKUP($A322,[1]库存使用数据!$A:$J,10,0),0)+IFERROR(VLOOKUP($A322,[2]库存使用数据!$A:$J,10,0),0)+公式!$B$14*IFERROR(VLOOKUP($A322,[3]库存使用数据!$A:$J,10,0),0)+IFERROR(VLOOKUP($A322,[4]库存使用数据!$A:$J,10,0),0)+IFERROR(VLOOKUP($A322,[5]库存使用数据!$A:$J,10,0),0)</f>
        <v>0</v>
      </c>
      <c r="K322" s="1">
        <f ca="1">IFERROR(VLOOKUP($A322,[1]库存使用数据!$A:$K,11,0),0)+IFERROR(VLOOKUP($A322,[2]库存使用数据!$A:$K,11,0),0)+IFERROR(VLOOKUP($A322,[3]库存使用数据!$A:$K,11,0),0)+IFERROR(VLOOKUP($A322,[4]库存使用数据!$A:$K,11,0),0)+IFERROR(VLOOKUP($A322,[5]库存使用数据!$A:$K,11,0),0)</f>
        <v>0</v>
      </c>
      <c r="L322" s="1">
        <f ca="1">IFERROR(VLOOKUP($A322,[1]库存使用数据!$A:$L,12,0),0)+IFERROR(VLOOKUP($A322,[2]库存使用数据!$A:$L,12,0),0)+IFERROR(VLOOKUP($A322,[3]库存使用数据!$A:$L,12,0),0)+IFERROR(VLOOKUP($A322,[4]库存使用数据!$A:$L,12,0),0)+IFERROR(VLOOKUP($A322,[5]库存使用数据!$A:$L,12,0),0)</f>
        <v>0</v>
      </c>
      <c r="M322" s="1">
        <f ca="1">IFERROR(VLOOKUP($A322,[1]库存使用数据!$A:$M,13,0),0)+IFERROR(VLOOKUP($A322,[2]库存使用数据!$A:$M,13,0),0)+公式!$B$14*IFERROR(VLOOKUP($A322,[3]库存使用数据!$A:$M,13,0),0)+IFERROR(VLOOKUP($A322,[4]库存使用数据!$A:$M,13,0),0)+IFERROR(VLOOKUP($A322,[5]库存使用数据!$A:$M,13,0),0)</f>
        <v>0</v>
      </c>
    </row>
    <row r="323" spans="1:13">
      <c r="A323" s="5" t="s">
        <v>328</v>
      </c>
      <c r="B323" s="2">
        <f ca="1">IFERROR(VLOOKUP(A323,[1]库存使用数据!$A:$B,2,0),0)+IFERROR(VLOOKUP(A323,[2]库存使用数据!$A:$B,2,0),0)+IFERROR(VLOOKUP(,[3]库存使用数据!$A:$B,2,0),0)+IFERROR(VLOOKUP(A323,[4]库存使用数据!$A:$B,2,0),0)+IFERROR(VLOOKUP(A323,[5]库存使用数据!$A:$B,2,0),0)</f>
        <v>0</v>
      </c>
      <c r="C323" s="1">
        <f ca="1">IFERROR(VLOOKUP($A323,[1]库存使用数据!$A:$C,3,0),0)+IFERROR(VLOOKUP($A323,[2]库存使用数据!$A:$C,3,0),0)+IFERROR(VLOOKUP($A323,[3]库存使用数据!$A:$C,3,0),0)+IFERROR(VLOOKUP($A323,[4]库存使用数据!$A:$C,3,0),0)+IFERROR(VLOOKUP($A323,[5]库存使用数据!$A:$C,3,0),0)</f>
        <v>148</v>
      </c>
      <c r="D323" s="1">
        <f ca="1">IFERROR(VLOOKUP($A323,[1]库存使用数据!$A:$D,4,0),0)+IFERROR(VLOOKUP($A323,[2]库存使用数据!$A:$D,4,0),0)+公式!$B$1*IFERROR(VLOOKUP($A323,[3]库存使用数据!$A:$D,4,0),0)+IFERROR(VLOOKUP($A323,[4]库存使用数据!$A:$D,4,0),0)+IFERROR(VLOOKUP($A323,[5]库存使用数据!$A:$D,4,0),0)</f>
        <v>21.85875</v>
      </c>
      <c r="E323" s="1">
        <f ca="1">IFERROR(VLOOKUP($A323,[1]库存使用数据!$A:$E,5,0),0)+IFERROR(VLOOKUP($A323,[2]库存使用数据!$A:$E,5,0),0)+IFERROR(VLOOKUP($A323,[3]库存使用数据!$A:$E,5,0),0)+IFERROR(VLOOKUP($A323,[4]库存使用数据!$A:$E,5,0),0)+IFERROR(VLOOKUP($A323,[5]库存使用数据!$A:$E,5,0),0)</f>
        <v>11652</v>
      </c>
      <c r="F323" s="1">
        <f ca="1">IFERROR(VLOOKUP($A323,[1]库存使用数据!$A:$F,6,0),0)+IFERROR(VLOOKUP($A323,[2]库存使用数据!$A:$F,6,0),0)+IFERROR(VLOOKUP($A323,[4]库存使用数据!$A:$F,6,0),0)+IFERROR(VLOOKUP($A323,[3]库存使用数据!$A:$F,6,0),0)+IFERROR(VLOOKUP($A323,[5]库存使用数据!$A:$F,6,0),0)</f>
        <v>65</v>
      </c>
      <c r="G323" s="1">
        <f ca="1">IFERROR(VLOOKUP($A323,[1]库存使用数据!$A:$G,7,0),0)+IFERROR(VLOOKUP($A323,[2]库存使用数据!$A:$G,7,0),0)+公式!$B$14*IFERROR(VLOOKUP($A323,[3]库存使用数据!$A:$G,7,0),0)+IFERROR(VLOOKUP($A323,[4]库存使用数据!$A:$G,7,0),0)+IFERROR(VLOOKUP($A323,[5]库存使用数据!$A:$G,7,0),0)</f>
        <v>0</v>
      </c>
      <c r="H323" s="1">
        <f ca="1">IFERROR(VLOOKUP($A323,[1]库存使用数据!$A:$H,8,0),0)+IFERROR(VLOOKUP($A323,[2]库存使用数据!$A:$H,8,0),0)+IFERROR(VLOOKUP($A323,[3]库存使用数据!$A:$H,8,0),0)+IFERROR(VLOOKUP($A323,[4]库存使用数据!$A:$H,8,0),0)+IFERROR(VLOOKUP($A323,[5]库存使用数据!$A:$H,8,0),0)</f>
        <v>5349</v>
      </c>
      <c r="I323" s="1">
        <f ca="1">IFERROR(VLOOKUP($A323,[1]库存使用数据!$A:$I,9,0),0)+IFERROR(VLOOKUP($A323,[2]库存使用数据!$A:$I,9,0),0)+IFERROR(VLOOKUP($A323,[3]库存使用数据!$A:$I,9,0),0)+IFERROR(VLOOKUP($A323,[4]库存使用数据!$A:$I,9,0),0)+IFERROR(VLOOKUP($A323,[5]库存使用数据!$A:$I,9,0),0)</f>
        <v>52</v>
      </c>
      <c r="J323" s="1">
        <f ca="1">IFERROR(VLOOKUP($A323,[1]库存使用数据!$A:$J,10,0),0)+IFERROR(VLOOKUP($A323,[2]库存使用数据!$A:$J,10,0),0)+公式!$B$14*IFERROR(VLOOKUP($A323,[3]库存使用数据!$A:$J,10,0),0)+IFERROR(VLOOKUP($A323,[4]库存使用数据!$A:$J,10,0),0)+IFERROR(VLOOKUP($A323,[5]库存使用数据!$A:$J,10,0),0)</f>
        <v>0</v>
      </c>
      <c r="K323" s="1">
        <f ca="1">IFERROR(VLOOKUP($A323,[1]库存使用数据!$A:$K,11,0),0)+IFERROR(VLOOKUP($A323,[2]库存使用数据!$A:$K,11,0),0)+IFERROR(VLOOKUP($A323,[3]库存使用数据!$A:$K,11,0),0)+IFERROR(VLOOKUP($A323,[4]库存使用数据!$A:$K,11,0),0)+IFERROR(VLOOKUP($A323,[5]库存使用数据!$A:$K,11,0),0)</f>
        <v>7923</v>
      </c>
      <c r="L323" s="1">
        <f ca="1">IFERROR(VLOOKUP($A323,[1]库存使用数据!$A:$L,12,0),0)+IFERROR(VLOOKUP($A323,[2]库存使用数据!$A:$L,12,0),0)+IFERROR(VLOOKUP($A323,[3]库存使用数据!$A:$L,12,0),0)+IFERROR(VLOOKUP($A323,[4]库存使用数据!$A:$L,12,0),0)+IFERROR(VLOOKUP($A323,[5]库存使用数据!$A:$L,12,0),0)</f>
        <v>40</v>
      </c>
      <c r="M323" s="1">
        <f ca="1">IFERROR(VLOOKUP($A323,[1]库存使用数据!$A:$M,13,0),0)+IFERROR(VLOOKUP($A323,[2]库存使用数据!$A:$M,13,0),0)+公式!$B$14*IFERROR(VLOOKUP($A323,[3]库存使用数据!$A:$M,13,0),0)+IFERROR(VLOOKUP($A323,[4]库存使用数据!$A:$M,13,0),0)+IFERROR(VLOOKUP($A323,[5]库存使用数据!$A:$M,13,0),0)</f>
        <v>0</v>
      </c>
    </row>
    <row r="324" spans="1:13">
      <c r="A324" s="5" t="s">
        <v>329</v>
      </c>
      <c r="B324" s="2">
        <f ca="1">IFERROR(VLOOKUP(A324,[1]库存使用数据!$A:$B,2,0),0)+IFERROR(VLOOKUP(A324,[2]库存使用数据!$A:$B,2,0),0)+IFERROR(VLOOKUP(,[3]库存使用数据!$A:$B,2,0),0)+IFERROR(VLOOKUP(A324,[4]库存使用数据!$A:$B,2,0),0)+IFERROR(VLOOKUP(A324,[5]库存使用数据!$A:$B,2,0),0)</f>
        <v>0</v>
      </c>
      <c r="C324" s="1">
        <f ca="1">IFERROR(VLOOKUP($A324,[1]库存使用数据!$A:$C,3,0),0)+IFERROR(VLOOKUP($A324,[2]库存使用数据!$A:$C,3,0),0)+IFERROR(VLOOKUP($A324,[3]库存使用数据!$A:$C,3,0),0)+IFERROR(VLOOKUP($A324,[4]库存使用数据!$A:$C,3,0),0)+IFERROR(VLOOKUP($A324,[5]库存使用数据!$A:$C,3,0),0)</f>
        <v>2</v>
      </c>
      <c r="D324" s="1">
        <f ca="1">IFERROR(VLOOKUP($A324,[1]库存使用数据!$A:$D,4,0),0)+IFERROR(VLOOKUP($A324,[2]库存使用数据!$A:$D,4,0),0)+公式!$B$1*IFERROR(VLOOKUP($A324,[3]库存使用数据!$A:$D,4,0),0)+IFERROR(VLOOKUP($A324,[4]库存使用数据!$A:$D,4,0),0)+IFERROR(VLOOKUP($A324,[5]库存使用数据!$A:$D,4,0),0)</f>
        <v>0.2475</v>
      </c>
      <c r="E324" s="1">
        <f ca="1">IFERROR(VLOOKUP($A324,[1]库存使用数据!$A:$E,5,0),0)+IFERROR(VLOOKUP($A324,[2]库存使用数据!$A:$E,5,0),0)+IFERROR(VLOOKUP($A324,[3]库存使用数据!$A:$E,5,0),0)+IFERROR(VLOOKUP($A324,[4]库存使用数据!$A:$E,5,0),0)+IFERROR(VLOOKUP($A324,[5]库存使用数据!$A:$E,5,0),0)</f>
        <v>43932</v>
      </c>
      <c r="F324" s="1">
        <f ca="1">IFERROR(VLOOKUP($A324,[1]库存使用数据!$A:$F,6,0),0)+IFERROR(VLOOKUP($A324,[2]库存使用数据!$A:$F,6,0),0)+IFERROR(VLOOKUP($A324,[4]库存使用数据!$A:$F,6,0),0)+IFERROR(VLOOKUP($A324,[3]库存使用数据!$A:$F,6,0),0)+IFERROR(VLOOKUP($A324,[5]库存使用数据!$A:$F,6,0),0)</f>
        <v>142</v>
      </c>
      <c r="G324" s="1">
        <f ca="1">IFERROR(VLOOKUP($A324,[1]库存使用数据!$A:$G,7,0),0)+IFERROR(VLOOKUP($A324,[2]库存使用数据!$A:$G,7,0),0)+公式!$B$14*IFERROR(VLOOKUP($A324,[3]库存使用数据!$A:$G,7,0),0)+IFERROR(VLOOKUP($A324,[4]库存使用数据!$A:$G,7,0),0)+IFERROR(VLOOKUP($A324,[5]库存使用数据!$A:$G,7,0),0)</f>
        <v>8.41</v>
      </c>
      <c r="H324" s="1">
        <f ca="1">IFERROR(VLOOKUP($A324,[1]库存使用数据!$A:$H,8,0),0)+IFERROR(VLOOKUP($A324,[2]库存使用数据!$A:$H,8,0),0)+IFERROR(VLOOKUP($A324,[3]库存使用数据!$A:$H,8,0),0)+IFERROR(VLOOKUP($A324,[4]库存使用数据!$A:$H,8,0),0)+IFERROR(VLOOKUP($A324,[5]库存使用数据!$A:$H,8,0),0)</f>
        <v>16140</v>
      </c>
      <c r="I324" s="1">
        <f ca="1">IFERROR(VLOOKUP($A324,[1]库存使用数据!$A:$I,9,0),0)+IFERROR(VLOOKUP($A324,[2]库存使用数据!$A:$I,9,0),0)+IFERROR(VLOOKUP($A324,[3]库存使用数据!$A:$I,9,0),0)+IFERROR(VLOOKUP($A324,[4]库存使用数据!$A:$I,9,0),0)+IFERROR(VLOOKUP($A324,[5]库存使用数据!$A:$I,9,0),0)</f>
        <v>77</v>
      </c>
      <c r="J324" s="1">
        <f ca="1">IFERROR(VLOOKUP($A324,[1]库存使用数据!$A:$J,10,0),0)+IFERROR(VLOOKUP($A324,[2]库存使用数据!$A:$J,10,0),0)+公式!$B$14*IFERROR(VLOOKUP($A324,[3]库存使用数据!$A:$J,10,0),0)+IFERROR(VLOOKUP($A324,[4]库存使用数据!$A:$J,10,0),0)+IFERROR(VLOOKUP($A324,[5]库存使用数据!$A:$J,10,0),0)</f>
        <v>6.89</v>
      </c>
      <c r="K324" s="1">
        <f ca="1">IFERROR(VLOOKUP($A324,[1]库存使用数据!$A:$K,11,0),0)+IFERROR(VLOOKUP($A324,[2]库存使用数据!$A:$K,11,0),0)+IFERROR(VLOOKUP($A324,[3]库存使用数据!$A:$K,11,0),0)+IFERROR(VLOOKUP($A324,[4]库存使用数据!$A:$K,11,0),0)+IFERROR(VLOOKUP($A324,[5]库存使用数据!$A:$K,11,0),0)</f>
        <v>3099</v>
      </c>
      <c r="L324" s="1">
        <f ca="1">IFERROR(VLOOKUP($A324,[1]库存使用数据!$A:$L,12,0),0)+IFERROR(VLOOKUP($A324,[2]库存使用数据!$A:$L,12,0),0)+IFERROR(VLOOKUP($A324,[3]库存使用数据!$A:$L,12,0),0)+IFERROR(VLOOKUP($A324,[4]库存使用数据!$A:$L,12,0),0)+IFERROR(VLOOKUP($A324,[5]库存使用数据!$A:$L,12,0),0)</f>
        <v>32</v>
      </c>
      <c r="M324" s="1">
        <f ca="1">IFERROR(VLOOKUP($A324,[1]库存使用数据!$A:$M,13,0),0)+IFERROR(VLOOKUP($A324,[2]库存使用数据!$A:$M,13,0),0)+公式!$B$14*IFERROR(VLOOKUP($A324,[3]库存使用数据!$A:$M,13,0),0)+IFERROR(VLOOKUP($A324,[4]库存使用数据!$A:$M,13,0),0)+IFERROR(VLOOKUP($A324,[5]库存使用数据!$A:$M,13,0),0)</f>
        <v>1.38</v>
      </c>
    </row>
    <row r="325" spans="1:13">
      <c r="A325" s="5" t="s">
        <v>330</v>
      </c>
      <c r="B325" s="2">
        <f ca="1">IFERROR(VLOOKUP(A325,[1]库存使用数据!$A:$B,2,0),0)+IFERROR(VLOOKUP(A325,[2]库存使用数据!$A:$B,2,0),0)+IFERROR(VLOOKUP(,[3]库存使用数据!$A:$B,2,0),0)+IFERROR(VLOOKUP(A325,[4]库存使用数据!$A:$B,2,0),0)+IFERROR(VLOOKUP(A325,[5]库存使用数据!$A:$B,2,0),0)</f>
        <v>0</v>
      </c>
      <c r="C325" s="1">
        <f ca="1">IFERROR(VLOOKUP($A325,[1]库存使用数据!$A:$C,3,0),0)+IFERROR(VLOOKUP($A325,[2]库存使用数据!$A:$C,3,0),0)+IFERROR(VLOOKUP($A325,[3]库存使用数据!$A:$C,3,0),0)+IFERROR(VLOOKUP($A325,[4]库存使用数据!$A:$C,3,0),0)+IFERROR(VLOOKUP($A325,[5]库存使用数据!$A:$C,3,0),0)</f>
        <v>61</v>
      </c>
      <c r="D325" s="1">
        <f ca="1">IFERROR(VLOOKUP($A325,[1]库存使用数据!$A:$D,4,0),0)+IFERROR(VLOOKUP($A325,[2]库存使用数据!$A:$D,4,0),0)+公式!$B$1*IFERROR(VLOOKUP($A325,[3]库存使用数据!$A:$D,4,0),0)+IFERROR(VLOOKUP($A325,[4]库存使用数据!$A:$D,4,0),0)+IFERROR(VLOOKUP($A325,[5]库存使用数据!$A:$D,4,0),0)</f>
        <v>9.3375</v>
      </c>
      <c r="E325" s="1">
        <f ca="1">IFERROR(VLOOKUP($A325,[1]库存使用数据!$A:$E,5,0),0)+IFERROR(VLOOKUP($A325,[2]库存使用数据!$A:$E,5,0),0)+IFERROR(VLOOKUP($A325,[3]库存使用数据!$A:$E,5,0),0)+IFERROR(VLOOKUP($A325,[4]库存使用数据!$A:$E,5,0),0)+IFERROR(VLOOKUP($A325,[5]库存使用数据!$A:$E,5,0),0)</f>
        <v>15906</v>
      </c>
      <c r="F325" s="1">
        <f ca="1">IFERROR(VLOOKUP($A325,[1]库存使用数据!$A:$F,6,0),0)+IFERROR(VLOOKUP($A325,[2]库存使用数据!$A:$F,6,0),0)+IFERROR(VLOOKUP($A325,[4]库存使用数据!$A:$F,6,0),0)+IFERROR(VLOOKUP($A325,[3]库存使用数据!$A:$F,6,0),0)+IFERROR(VLOOKUP($A325,[5]库存使用数据!$A:$F,6,0),0)</f>
        <v>170</v>
      </c>
      <c r="G325" s="1">
        <f ca="1">IFERROR(VLOOKUP($A325,[1]库存使用数据!$A:$G,7,0),0)+IFERROR(VLOOKUP($A325,[2]库存使用数据!$A:$G,7,0),0)+公式!$B$14*IFERROR(VLOOKUP($A325,[3]库存使用数据!$A:$G,7,0),0)+IFERROR(VLOOKUP($A325,[4]库存使用数据!$A:$G,7,0),0)+IFERROR(VLOOKUP($A325,[5]库存使用数据!$A:$G,7,0),0)</f>
        <v>0</v>
      </c>
      <c r="H325" s="1">
        <f ca="1">IFERROR(VLOOKUP($A325,[1]库存使用数据!$A:$H,8,0),0)+IFERROR(VLOOKUP($A325,[2]库存使用数据!$A:$H,8,0),0)+IFERROR(VLOOKUP($A325,[3]库存使用数据!$A:$H,8,0),0)+IFERROR(VLOOKUP($A325,[4]库存使用数据!$A:$H,8,0),0)+IFERROR(VLOOKUP($A325,[5]库存使用数据!$A:$H,8,0),0)</f>
        <v>9568</v>
      </c>
      <c r="I325" s="1">
        <f ca="1">IFERROR(VLOOKUP($A325,[1]库存使用数据!$A:$I,9,0),0)+IFERROR(VLOOKUP($A325,[2]库存使用数据!$A:$I,9,0),0)+IFERROR(VLOOKUP($A325,[3]库存使用数据!$A:$I,9,0),0)+IFERROR(VLOOKUP($A325,[4]库存使用数据!$A:$I,9,0),0)+IFERROR(VLOOKUP($A325,[5]库存使用数据!$A:$I,9,0),0)</f>
        <v>107</v>
      </c>
      <c r="J325" s="1">
        <f ca="1">IFERROR(VLOOKUP($A325,[1]库存使用数据!$A:$J,10,0),0)+IFERROR(VLOOKUP($A325,[2]库存使用数据!$A:$J,10,0),0)+公式!$B$14*IFERROR(VLOOKUP($A325,[3]库存使用数据!$A:$J,10,0),0)+IFERROR(VLOOKUP($A325,[4]库存使用数据!$A:$J,10,0),0)+IFERROR(VLOOKUP($A325,[5]库存使用数据!$A:$J,10,0),0)</f>
        <v>0</v>
      </c>
      <c r="K325" s="1">
        <f ca="1">IFERROR(VLOOKUP($A325,[1]库存使用数据!$A:$K,11,0),0)+IFERROR(VLOOKUP($A325,[2]库存使用数据!$A:$K,11,0),0)+IFERROR(VLOOKUP($A325,[3]库存使用数据!$A:$K,11,0),0)+IFERROR(VLOOKUP($A325,[4]库存使用数据!$A:$K,11,0),0)+IFERROR(VLOOKUP($A325,[5]库存使用数据!$A:$K,11,0),0)</f>
        <v>20337</v>
      </c>
      <c r="L325" s="1">
        <f ca="1">IFERROR(VLOOKUP($A325,[1]库存使用数据!$A:$L,12,0),0)+IFERROR(VLOOKUP($A325,[2]库存使用数据!$A:$L,12,0),0)+IFERROR(VLOOKUP($A325,[3]库存使用数据!$A:$L,12,0),0)+IFERROR(VLOOKUP($A325,[4]库存使用数据!$A:$L,12,0),0)+IFERROR(VLOOKUP($A325,[5]库存使用数据!$A:$L,12,0),0)</f>
        <v>90</v>
      </c>
      <c r="M325" s="1">
        <f ca="1">IFERROR(VLOOKUP($A325,[1]库存使用数据!$A:$M,13,0),0)+IFERROR(VLOOKUP($A325,[2]库存使用数据!$A:$M,13,0),0)+公式!$B$14*IFERROR(VLOOKUP($A325,[3]库存使用数据!$A:$M,13,0),0)+IFERROR(VLOOKUP($A325,[4]库存使用数据!$A:$M,13,0),0)+IFERROR(VLOOKUP($A325,[5]库存使用数据!$A:$M,13,0),0)</f>
        <v>0</v>
      </c>
    </row>
    <row r="326" spans="1:13">
      <c r="A326" s="5" t="s">
        <v>331</v>
      </c>
      <c r="B326" s="2">
        <f ca="1">IFERROR(VLOOKUP(A326,[1]库存使用数据!$A:$B,2,0),0)+IFERROR(VLOOKUP(A326,[2]库存使用数据!$A:$B,2,0),0)+IFERROR(VLOOKUP(,[3]库存使用数据!$A:$B,2,0),0)+IFERROR(VLOOKUP(A326,[4]库存使用数据!$A:$B,2,0),0)+IFERROR(VLOOKUP(A326,[5]库存使用数据!$A:$B,2,0),0)</f>
        <v>9523</v>
      </c>
      <c r="C326" s="1">
        <f ca="1">IFERROR(VLOOKUP($A326,[1]库存使用数据!$A:$C,3,0),0)+IFERROR(VLOOKUP($A326,[2]库存使用数据!$A:$C,3,0),0)+IFERROR(VLOOKUP($A326,[3]库存使用数据!$A:$C,3,0),0)+IFERROR(VLOOKUP($A326,[4]库存使用数据!$A:$C,3,0),0)+IFERROR(VLOOKUP($A326,[5]库存使用数据!$A:$C,3,0),0)</f>
        <v>238</v>
      </c>
      <c r="D326" s="1">
        <f ca="1">IFERROR(VLOOKUP($A326,[1]库存使用数据!$A:$D,4,0),0)+IFERROR(VLOOKUP($A326,[2]库存使用数据!$A:$D,4,0),0)+公式!$B$1*IFERROR(VLOOKUP($A326,[3]库存使用数据!$A:$D,4,0),0)+IFERROR(VLOOKUP($A326,[4]库存使用数据!$A:$D,4,0),0)+IFERROR(VLOOKUP($A326,[5]库存使用数据!$A:$D,4,0),0)</f>
        <v>34.07875</v>
      </c>
      <c r="E326" s="1">
        <f ca="1">IFERROR(VLOOKUP($A326,[1]库存使用数据!$A:$E,5,0),0)+IFERROR(VLOOKUP($A326,[2]库存使用数据!$A:$E,5,0),0)+IFERROR(VLOOKUP($A326,[3]库存使用数据!$A:$E,5,0),0)+IFERROR(VLOOKUP($A326,[4]库存使用数据!$A:$E,5,0),0)+IFERROR(VLOOKUP($A326,[5]库存使用数据!$A:$E,5,0),0)</f>
        <v>21742</v>
      </c>
      <c r="F326" s="1">
        <f ca="1">IFERROR(VLOOKUP($A326,[1]库存使用数据!$A:$F,6,0),0)+IFERROR(VLOOKUP($A326,[2]库存使用数据!$A:$F,6,0),0)+IFERROR(VLOOKUP($A326,[4]库存使用数据!$A:$F,6,0),0)+IFERROR(VLOOKUP($A326,[3]库存使用数据!$A:$F,6,0),0)+IFERROR(VLOOKUP($A326,[5]库存使用数据!$A:$F,6,0),0)</f>
        <v>129</v>
      </c>
      <c r="G326" s="1">
        <f ca="1">IFERROR(VLOOKUP($A326,[1]库存使用数据!$A:$G,7,0),0)+IFERROR(VLOOKUP($A326,[2]库存使用数据!$A:$G,7,0),0)+公式!$B$14*IFERROR(VLOOKUP($A326,[3]库存使用数据!$A:$G,7,0),0)+IFERROR(VLOOKUP($A326,[4]库存使用数据!$A:$G,7,0),0)+IFERROR(VLOOKUP($A326,[5]库存使用数据!$A:$G,7,0),0)</f>
        <v>2.73</v>
      </c>
      <c r="H326" s="1">
        <f ca="1">IFERROR(VLOOKUP($A326,[1]库存使用数据!$A:$H,8,0),0)+IFERROR(VLOOKUP($A326,[2]库存使用数据!$A:$H,8,0),0)+IFERROR(VLOOKUP($A326,[3]库存使用数据!$A:$H,8,0),0)+IFERROR(VLOOKUP($A326,[4]库存使用数据!$A:$H,8,0),0)+IFERROR(VLOOKUP($A326,[5]库存使用数据!$A:$H,8,0),0)</f>
        <v>26629</v>
      </c>
      <c r="I326" s="1">
        <f ca="1">IFERROR(VLOOKUP($A326,[1]库存使用数据!$A:$I,9,0),0)+IFERROR(VLOOKUP($A326,[2]库存使用数据!$A:$I,9,0),0)+IFERROR(VLOOKUP($A326,[3]库存使用数据!$A:$I,9,0),0)+IFERROR(VLOOKUP($A326,[4]库存使用数据!$A:$I,9,0),0)+IFERROR(VLOOKUP($A326,[5]库存使用数据!$A:$I,9,0),0)</f>
        <v>103</v>
      </c>
      <c r="J326" s="1">
        <f ca="1">IFERROR(VLOOKUP($A326,[1]库存使用数据!$A:$J,10,0),0)+IFERROR(VLOOKUP($A326,[2]库存使用数据!$A:$J,10,0),0)+公式!$B$14*IFERROR(VLOOKUP($A326,[3]库存使用数据!$A:$J,10,0),0)+IFERROR(VLOOKUP($A326,[4]库存使用数据!$A:$J,10,0),0)+IFERROR(VLOOKUP($A326,[5]库存使用数据!$A:$J,10,0),0)</f>
        <v>3.08</v>
      </c>
      <c r="K326" s="1">
        <f ca="1">IFERROR(VLOOKUP($A326,[1]库存使用数据!$A:$K,11,0),0)+IFERROR(VLOOKUP($A326,[2]库存使用数据!$A:$K,11,0),0)+IFERROR(VLOOKUP($A326,[3]库存使用数据!$A:$K,11,0),0)+IFERROR(VLOOKUP($A326,[4]库存使用数据!$A:$K,11,0),0)+IFERROR(VLOOKUP($A326,[5]库存使用数据!$A:$K,11,0),0)</f>
        <v>10283</v>
      </c>
      <c r="L326" s="1">
        <f ca="1">IFERROR(VLOOKUP($A326,[1]库存使用数据!$A:$L,12,0),0)+IFERROR(VLOOKUP($A326,[2]库存使用数据!$A:$L,12,0),0)+IFERROR(VLOOKUP($A326,[3]库存使用数据!$A:$L,12,0),0)+IFERROR(VLOOKUP($A326,[4]库存使用数据!$A:$L,12,0),0)+IFERROR(VLOOKUP($A326,[5]库存使用数据!$A:$L,12,0),0)</f>
        <v>64</v>
      </c>
      <c r="M326" s="1">
        <f ca="1">IFERROR(VLOOKUP($A326,[1]库存使用数据!$A:$M,13,0),0)+IFERROR(VLOOKUP($A326,[2]库存使用数据!$A:$M,13,0),0)+公式!$B$14*IFERROR(VLOOKUP($A326,[3]库存使用数据!$A:$M,13,0),0)+IFERROR(VLOOKUP($A326,[4]库存使用数据!$A:$M,13,0),0)+IFERROR(VLOOKUP($A326,[5]库存使用数据!$A:$M,13,0),0)</f>
        <v>5.19</v>
      </c>
    </row>
    <row r="327" spans="1:13">
      <c r="A327" s="5" t="s">
        <v>332</v>
      </c>
      <c r="B327" s="2">
        <f ca="1">IFERROR(VLOOKUP(A327,[1]库存使用数据!$A:$B,2,0),0)+IFERROR(VLOOKUP(A327,[2]库存使用数据!$A:$B,2,0),0)+IFERROR(VLOOKUP(,[3]库存使用数据!$A:$B,2,0),0)+IFERROR(VLOOKUP(A327,[4]库存使用数据!$A:$B,2,0),0)+IFERROR(VLOOKUP(A327,[5]库存使用数据!$A:$B,2,0),0)</f>
        <v>0</v>
      </c>
      <c r="C327" s="1">
        <f ca="1">IFERROR(VLOOKUP($A327,[1]库存使用数据!$A:$C,3,0),0)+IFERROR(VLOOKUP($A327,[2]库存使用数据!$A:$C,3,0),0)+IFERROR(VLOOKUP($A327,[3]库存使用数据!$A:$C,3,0),0)+IFERROR(VLOOKUP($A327,[4]库存使用数据!$A:$C,3,0),0)+IFERROR(VLOOKUP($A327,[5]库存使用数据!$A:$C,3,0),0)</f>
        <v>0</v>
      </c>
      <c r="D327" s="1">
        <f ca="1">IFERROR(VLOOKUP($A327,[1]库存使用数据!$A:$D,4,0),0)+IFERROR(VLOOKUP($A327,[2]库存使用数据!$A:$D,4,0),0)+公式!$B$1*IFERROR(VLOOKUP($A327,[3]库存使用数据!$A:$D,4,0),0)+IFERROR(VLOOKUP($A327,[4]库存使用数据!$A:$D,4,0),0)+IFERROR(VLOOKUP($A327,[5]库存使用数据!$A:$D,4,0),0)</f>
        <v>0</v>
      </c>
      <c r="E327" s="1">
        <f ca="1">IFERROR(VLOOKUP($A327,[1]库存使用数据!$A:$E,5,0),0)+IFERROR(VLOOKUP($A327,[2]库存使用数据!$A:$E,5,0),0)+IFERROR(VLOOKUP($A327,[3]库存使用数据!$A:$E,5,0),0)+IFERROR(VLOOKUP($A327,[4]库存使用数据!$A:$E,5,0),0)+IFERROR(VLOOKUP($A327,[5]库存使用数据!$A:$E,5,0),0)</f>
        <v>14592</v>
      </c>
      <c r="F327" s="1">
        <f ca="1">IFERROR(VLOOKUP($A327,[1]库存使用数据!$A:$F,6,0),0)+IFERROR(VLOOKUP($A327,[2]库存使用数据!$A:$F,6,0),0)+IFERROR(VLOOKUP($A327,[4]库存使用数据!$A:$F,6,0),0)+IFERROR(VLOOKUP($A327,[3]库存使用数据!$A:$F,6,0),0)+IFERROR(VLOOKUP($A327,[5]库存使用数据!$A:$F,6,0),0)</f>
        <v>76</v>
      </c>
      <c r="G327" s="1">
        <f ca="1">IFERROR(VLOOKUP($A327,[1]库存使用数据!$A:$G,7,0),0)+IFERROR(VLOOKUP($A327,[2]库存使用数据!$A:$G,7,0),0)+公式!$B$14*IFERROR(VLOOKUP($A327,[3]库存使用数据!$A:$G,7,0),0)+IFERROR(VLOOKUP($A327,[4]库存使用数据!$A:$G,7,0),0)+IFERROR(VLOOKUP($A327,[5]库存使用数据!$A:$G,7,0),0)</f>
        <v>0.29</v>
      </c>
      <c r="H327" s="1">
        <f ca="1">IFERROR(VLOOKUP($A327,[1]库存使用数据!$A:$H,8,0),0)+IFERROR(VLOOKUP($A327,[2]库存使用数据!$A:$H,8,0),0)+IFERROR(VLOOKUP($A327,[3]库存使用数据!$A:$H,8,0),0)+IFERROR(VLOOKUP($A327,[4]库存使用数据!$A:$H,8,0),0)+IFERROR(VLOOKUP($A327,[5]库存使用数据!$A:$H,8,0),0)</f>
        <v>6619</v>
      </c>
      <c r="I327" s="1">
        <f ca="1">IFERROR(VLOOKUP($A327,[1]库存使用数据!$A:$I,9,0),0)+IFERROR(VLOOKUP($A327,[2]库存使用数据!$A:$I,9,0),0)+IFERROR(VLOOKUP($A327,[3]库存使用数据!$A:$I,9,0),0)+IFERROR(VLOOKUP($A327,[4]库存使用数据!$A:$I,9,0),0)+IFERROR(VLOOKUP($A327,[5]库存使用数据!$A:$I,9,0),0)</f>
        <v>68</v>
      </c>
      <c r="J327" s="1">
        <f ca="1">IFERROR(VLOOKUP($A327,[1]库存使用数据!$A:$J,10,0),0)+IFERROR(VLOOKUP($A327,[2]库存使用数据!$A:$J,10,0),0)+公式!$B$14*IFERROR(VLOOKUP($A327,[3]库存使用数据!$A:$J,10,0),0)+IFERROR(VLOOKUP($A327,[4]库存使用数据!$A:$J,10,0),0)+IFERROR(VLOOKUP($A327,[5]库存使用数据!$A:$J,10,0),0)</f>
        <v>0</v>
      </c>
      <c r="K327" s="1">
        <f ca="1">IFERROR(VLOOKUP($A327,[1]库存使用数据!$A:$K,11,0),0)+IFERROR(VLOOKUP($A327,[2]库存使用数据!$A:$K,11,0),0)+IFERROR(VLOOKUP($A327,[3]库存使用数据!$A:$K,11,0),0)+IFERROR(VLOOKUP($A327,[4]库存使用数据!$A:$K,11,0),0)+IFERROR(VLOOKUP($A327,[5]库存使用数据!$A:$K,11,0),0)</f>
        <v>9655</v>
      </c>
      <c r="L327" s="1">
        <f ca="1">IFERROR(VLOOKUP($A327,[1]库存使用数据!$A:$L,12,0),0)+IFERROR(VLOOKUP($A327,[2]库存使用数据!$A:$L,12,0),0)+IFERROR(VLOOKUP($A327,[3]库存使用数据!$A:$L,12,0),0)+IFERROR(VLOOKUP($A327,[4]库存使用数据!$A:$L,12,0),0)+IFERROR(VLOOKUP($A327,[5]库存使用数据!$A:$L,12,0),0)</f>
        <v>34</v>
      </c>
      <c r="M327" s="1">
        <f ca="1">IFERROR(VLOOKUP($A327,[1]库存使用数据!$A:$M,13,0),0)+IFERROR(VLOOKUP($A327,[2]库存使用数据!$A:$M,13,0),0)+公式!$B$14*IFERROR(VLOOKUP($A327,[3]库存使用数据!$A:$M,13,0),0)+IFERROR(VLOOKUP($A327,[4]库存使用数据!$A:$M,13,0),0)+IFERROR(VLOOKUP($A327,[5]库存使用数据!$A:$M,13,0),0)</f>
        <v>0</v>
      </c>
    </row>
    <row r="328" spans="1:13">
      <c r="A328" s="5" t="s">
        <v>333</v>
      </c>
      <c r="B328" s="2">
        <f ca="1">IFERROR(VLOOKUP(A328,[1]库存使用数据!$A:$B,2,0),0)+IFERROR(VLOOKUP(A328,[2]库存使用数据!$A:$B,2,0),0)+IFERROR(VLOOKUP(,[3]库存使用数据!$A:$B,2,0),0)+IFERROR(VLOOKUP(A328,[4]库存使用数据!$A:$B,2,0),0)+IFERROR(VLOOKUP(A328,[5]库存使用数据!$A:$B,2,0),0)</f>
        <v>0</v>
      </c>
      <c r="C328" s="1">
        <f ca="1">IFERROR(VLOOKUP($A328,[1]库存使用数据!$A:$C,3,0),0)+IFERROR(VLOOKUP($A328,[2]库存使用数据!$A:$C,3,0),0)+IFERROR(VLOOKUP($A328,[3]库存使用数据!$A:$C,3,0),0)+IFERROR(VLOOKUP($A328,[4]库存使用数据!$A:$C,3,0),0)+IFERROR(VLOOKUP($A328,[5]库存使用数据!$A:$C,3,0),0)</f>
        <v>13</v>
      </c>
      <c r="D328" s="1">
        <f ca="1">IFERROR(VLOOKUP($A328,[1]库存使用数据!$A:$D,4,0),0)+IFERROR(VLOOKUP($A328,[2]库存使用数据!$A:$D,4,0),0)+公式!$B$1*IFERROR(VLOOKUP($A328,[3]库存使用数据!$A:$D,4,0),0)+IFERROR(VLOOKUP($A328,[4]库存使用数据!$A:$D,4,0),0)+IFERROR(VLOOKUP($A328,[5]库存使用数据!$A:$D,4,0),0)</f>
        <v>1.5525</v>
      </c>
      <c r="E328" s="1">
        <f ca="1">IFERROR(VLOOKUP($A328,[1]库存使用数据!$A:$E,5,0),0)+IFERROR(VLOOKUP($A328,[2]库存使用数据!$A:$E,5,0),0)+IFERROR(VLOOKUP($A328,[3]库存使用数据!$A:$E,5,0),0)+IFERROR(VLOOKUP($A328,[4]库存使用数据!$A:$E,5,0),0)+IFERROR(VLOOKUP($A328,[5]库存使用数据!$A:$E,5,0),0)</f>
        <v>4242</v>
      </c>
      <c r="F328" s="1">
        <f ca="1">IFERROR(VLOOKUP($A328,[1]库存使用数据!$A:$F,6,0),0)+IFERROR(VLOOKUP($A328,[2]库存使用数据!$A:$F,6,0),0)+IFERROR(VLOOKUP($A328,[4]库存使用数据!$A:$F,6,0),0)+IFERROR(VLOOKUP($A328,[3]库存使用数据!$A:$F,6,0),0)+IFERROR(VLOOKUP($A328,[5]库存使用数据!$A:$F,6,0),0)</f>
        <v>11</v>
      </c>
      <c r="G328" s="1">
        <f ca="1">IFERROR(VLOOKUP($A328,[1]库存使用数据!$A:$G,7,0),0)+IFERROR(VLOOKUP($A328,[2]库存使用数据!$A:$G,7,0),0)+公式!$B$14*IFERROR(VLOOKUP($A328,[3]库存使用数据!$A:$G,7,0),0)+IFERROR(VLOOKUP($A328,[4]库存使用数据!$A:$G,7,0),0)+IFERROR(VLOOKUP($A328,[5]库存使用数据!$A:$G,7,0),0)</f>
        <v>0</v>
      </c>
      <c r="H328" s="1">
        <f ca="1">IFERROR(VLOOKUP($A328,[1]库存使用数据!$A:$H,8,0),0)+IFERROR(VLOOKUP($A328,[2]库存使用数据!$A:$H,8,0),0)+IFERROR(VLOOKUP($A328,[3]库存使用数据!$A:$H,8,0),0)+IFERROR(VLOOKUP($A328,[4]库存使用数据!$A:$H,8,0),0)+IFERROR(VLOOKUP($A328,[5]库存使用数据!$A:$H,8,0),0)</f>
        <v>1621</v>
      </c>
      <c r="I328" s="1">
        <f ca="1">IFERROR(VLOOKUP($A328,[1]库存使用数据!$A:$I,9,0),0)+IFERROR(VLOOKUP($A328,[2]库存使用数据!$A:$I,9,0),0)+IFERROR(VLOOKUP($A328,[3]库存使用数据!$A:$I,9,0),0)+IFERROR(VLOOKUP($A328,[4]库存使用数据!$A:$I,9,0),0)+IFERROR(VLOOKUP($A328,[5]库存使用数据!$A:$I,9,0),0)</f>
        <v>10</v>
      </c>
      <c r="J328" s="1">
        <f ca="1">IFERROR(VLOOKUP($A328,[1]库存使用数据!$A:$J,10,0),0)+IFERROR(VLOOKUP($A328,[2]库存使用数据!$A:$J,10,0),0)+公式!$B$14*IFERROR(VLOOKUP($A328,[3]库存使用数据!$A:$J,10,0),0)+IFERROR(VLOOKUP($A328,[4]库存使用数据!$A:$J,10,0),0)+IFERROR(VLOOKUP($A328,[5]库存使用数据!$A:$J,10,0),0)</f>
        <v>0</v>
      </c>
      <c r="K328" s="1">
        <f ca="1">IFERROR(VLOOKUP($A328,[1]库存使用数据!$A:$K,11,0),0)+IFERROR(VLOOKUP($A328,[2]库存使用数据!$A:$K,11,0),0)+IFERROR(VLOOKUP($A328,[3]库存使用数据!$A:$K,11,0),0)+IFERROR(VLOOKUP($A328,[4]库存使用数据!$A:$K,11,0),0)+IFERROR(VLOOKUP($A328,[5]库存使用数据!$A:$K,11,0),0)</f>
        <v>1411</v>
      </c>
      <c r="L328" s="1">
        <f ca="1">IFERROR(VLOOKUP($A328,[1]库存使用数据!$A:$L,12,0),0)+IFERROR(VLOOKUP($A328,[2]库存使用数据!$A:$L,12,0),0)+IFERROR(VLOOKUP($A328,[3]库存使用数据!$A:$L,12,0),0)+IFERROR(VLOOKUP($A328,[4]库存使用数据!$A:$L,12,0),0)+IFERROR(VLOOKUP($A328,[5]库存使用数据!$A:$L,12,0),0)</f>
        <v>6</v>
      </c>
      <c r="M328" s="1">
        <f ca="1">IFERROR(VLOOKUP($A328,[1]库存使用数据!$A:$M,13,0),0)+IFERROR(VLOOKUP($A328,[2]库存使用数据!$A:$M,13,0),0)+公式!$B$14*IFERROR(VLOOKUP($A328,[3]库存使用数据!$A:$M,13,0),0)+IFERROR(VLOOKUP($A328,[4]库存使用数据!$A:$M,13,0),0)+IFERROR(VLOOKUP($A328,[5]库存使用数据!$A:$M,13,0),0)</f>
        <v>0</v>
      </c>
    </row>
    <row r="329" spans="1:13">
      <c r="A329" s="5" t="s">
        <v>334</v>
      </c>
      <c r="B329" s="2">
        <f ca="1">IFERROR(VLOOKUP(A329,[1]库存使用数据!$A:$B,2,0),0)+IFERROR(VLOOKUP(A329,[2]库存使用数据!$A:$B,2,0),0)+IFERROR(VLOOKUP(,[3]库存使用数据!$A:$B,2,0),0)+IFERROR(VLOOKUP(A329,[4]库存使用数据!$A:$B,2,0),0)+IFERROR(VLOOKUP(A329,[5]库存使用数据!$A:$B,2,0),0)</f>
        <v>0</v>
      </c>
      <c r="C329" s="1">
        <f ca="1">IFERROR(VLOOKUP($A329,[1]库存使用数据!$A:$C,3,0),0)+IFERROR(VLOOKUP($A329,[2]库存使用数据!$A:$C,3,0),0)+IFERROR(VLOOKUP($A329,[3]库存使用数据!$A:$C,3,0),0)+IFERROR(VLOOKUP($A329,[4]库存使用数据!$A:$C,3,0),0)+IFERROR(VLOOKUP($A329,[5]库存使用数据!$A:$C,3,0),0)</f>
        <v>156</v>
      </c>
      <c r="D329" s="1">
        <f ca="1">IFERROR(VLOOKUP($A329,[1]库存使用数据!$A:$D,4,0),0)+IFERROR(VLOOKUP($A329,[2]库存使用数据!$A:$D,4,0),0)+公式!$B$1*IFERROR(VLOOKUP($A329,[3]库存使用数据!$A:$D,4,0),0)+IFERROR(VLOOKUP($A329,[4]库存使用数据!$A:$D,4,0),0)+IFERROR(VLOOKUP($A329,[5]库存使用数据!$A:$D,4,0),0)</f>
        <v>26.02125</v>
      </c>
      <c r="E329" s="1">
        <f ca="1">IFERROR(VLOOKUP($A329,[1]库存使用数据!$A:$E,5,0),0)+IFERROR(VLOOKUP($A329,[2]库存使用数据!$A:$E,5,0),0)+IFERROR(VLOOKUP($A329,[3]库存使用数据!$A:$E,5,0),0)+IFERROR(VLOOKUP($A329,[4]库存使用数据!$A:$E,5,0),0)+IFERROR(VLOOKUP($A329,[5]库存使用数据!$A:$E,5,0),0)</f>
        <v>21386</v>
      </c>
      <c r="F329" s="1">
        <f ca="1">IFERROR(VLOOKUP($A329,[1]库存使用数据!$A:$F,6,0),0)+IFERROR(VLOOKUP($A329,[2]库存使用数据!$A:$F,6,0),0)+IFERROR(VLOOKUP($A329,[4]库存使用数据!$A:$F,6,0),0)+IFERROR(VLOOKUP($A329,[3]库存使用数据!$A:$F,6,0),0)+IFERROR(VLOOKUP($A329,[5]库存使用数据!$A:$F,6,0),0)</f>
        <v>103</v>
      </c>
      <c r="G329" s="1">
        <f ca="1">IFERROR(VLOOKUP($A329,[1]库存使用数据!$A:$G,7,0),0)+IFERROR(VLOOKUP($A329,[2]库存使用数据!$A:$G,7,0),0)+公式!$B$14*IFERROR(VLOOKUP($A329,[3]库存使用数据!$A:$G,7,0),0)+IFERROR(VLOOKUP($A329,[4]库存使用数据!$A:$G,7,0),0)+IFERROR(VLOOKUP($A329,[5]库存使用数据!$A:$G,7,0),0)</f>
        <v>0</v>
      </c>
      <c r="H329" s="1">
        <f ca="1">IFERROR(VLOOKUP($A329,[1]库存使用数据!$A:$H,8,0),0)+IFERROR(VLOOKUP($A329,[2]库存使用数据!$A:$H,8,0),0)+IFERROR(VLOOKUP($A329,[3]库存使用数据!$A:$H,8,0),0)+IFERROR(VLOOKUP($A329,[4]库存使用数据!$A:$H,8,0),0)+IFERROR(VLOOKUP($A329,[5]库存使用数据!$A:$H,8,0),0)</f>
        <v>10264</v>
      </c>
      <c r="I329" s="1">
        <f ca="1">IFERROR(VLOOKUP($A329,[1]库存使用数据!$A:$I,9,0),0)+IFERROR(VLOOKUP($A329,[2]库存使用数据!$A:$I,9,0),0)+IFERROR(VLOOKUP($A329,[3]库存使用数据!$A:$I,9,0),0)+IFERROR(VLOOKUP($A329,[4]库存使用数据!$A:$I,9,0),0)+IFERROR(VLOOKUP($A329,[5]库存使用数据!$A:$I,9,0),0)</f>
        <v>47</v>
      </c>
      <c r="J329" s="1">
        <f ca="1">IFERROR(VLOOKUP($A329,[1]库存使用数据!$A:$J,10,0),0)+IFERROR(VLOOKUP($A329,[2]库存使用数据!$A:$J,10,0),0)+公式!$B$14*IFERROR(VLOOKUP($A329,[3]库存使用数据!$A:$J,10,0),0)+IFERROR(VLOOKUP($A329,[4]库存使用数据!$A:$J,10,0),0)+IFERROR(VLOOKUP($A329,[5]库存使用数据!$A:$J,10,0),0)</f>
        <v>0</v>
      </c>
      <c r="K329" s="1">
        <f ca="1">IFERROR(VLOOKUP($A329,[1]库存使用数据!$A:$K,11,0),0)+IFERROR(VLOOKUP($A329,[2]库存使用数据!$A:$K,11,0),0)+IFERROR(VLOOKUP($A329,[3]库存使用数据!$A:$K,11,0),0)+IFERROR(VLOOKUP($A329,[4]库存使用数据!$A:$K,11,0),0)+IFERROR(VLOOKUP($A329,[5]库存使用数据!$A:$K,11,0),0)</f>
        <v>13532</v>
      </c>
      <c r="L329" s="1">
        <f ca="1">IFERROR(VLOOKUP($A329,[1]库存使用数据!$A:$L,12,0),0)+IFERROR(VLOOKUP($A329,[2]库存使用数据!$A:$L,12,0),0)+IFERROR(VLOOKUP($A329,[3]库存使用数据!$A:$L,12,0),0)+IFERROR(VLOOKUP($A329,[4]库存使用数据!$A:$L,12,0),0)+IFERROR(VLOOKUP($A329,[5]库存使用数据!$A:$L,12,0),0)</f>
        <v>52</v>
      </c>
      <c r="M329" s="1">
        <f ca="1">IFERROR(VLOOKUP($A329,[1]库存使用数据!$A:$M,13,0),0)+IFERROR(VLOOKUP($A329,[2]库存使用数据!$A:$M,13,0),0)+公式!$B$14*IFERROR(VLOOKUP($A329,[3]库存使用数据!$A:$M,13,0),0)+IFERROR(VLOOKUP($A329,[4]库存使用数据!$A:$M,13,0),0)+IFERROR(VLOOKUP($A329,[5]库存使用数据!$A:$M,13,0),0)</f>
        <v>0</v>
      </c>
    </row>
    <row r="330" spans="1:13">
      <c r="A330" s="6" t="s">
        <v>335</v>
      </c>
      <c r="B330" s="2">
        <f ca="1">IFERROR(VLOOKUP(A330,[1]库存使用数据!$A:$B,2,0),0)+IFERROR(VLOOKUP(A330,[2]库存使用数据!$A:$B,2,0),0)+IFERROR(VLOOKUP(,[3]库存使用数据!$A:$B,2,0),0)+IFERROR(VLOOKUP(A330,[4]库存使用数据!$A:$B,2,0),0)+IFERROR(VLOOKUP(A330,[5]库存使用数据!$A:$B,2,0),0)</f>
        <v>0</v>
      </c>
      <c r="C330" s="1">
        <f ca="1">IFERROR(VLOOKUP($A330,[1]库存使用数据!$A:$C,3,0),0)+IFERROR(VLOOKUP($A330,[2]库存使用数据!$A:$C,3,0),0)+IFERROR(VLOOKUP($A330,[3]库存使用数据!$A:$C,3,0),0)+IFERROR(VLOOKUP($A330,[4]库存使用数据!$A:$C,3,0),0)+IFERROR(VLOOKUP($A330,[5]库存使用数据!$A:$C,3,0),0)</f>
        <v>0</v>
      </c>
      <c r="D330" s="1">
        <f ca="1">IFERROR(VLOOKUP($A330,[1]库存使用数据!$A:$D,4,0),0)+IFERROR(VLOOKUP($A330,[2]库存使用数据!$A:$D,4,0),0)+公式!$B$1*IFERROR(VLOOKUP($A330,[3]库存使用数据!$A:$D,4,0),0)+IFERROR(VLOOKUP($A330,[4]库存使用数据!$A:$D,4,0),0)+IFERROR(VLOOKUP($A330,[5]库存使用数据!$A:$D,4,0),0)</f>
        <v>0</v>
      </c>
      <c r="E330" s="1">
        <f ca="1">IFERROR(VLOOKUP($A330,[1]库存使用数据!$A:$E,5,0),0)+IFERROR(VLOOKUP($A330,[2]库存使用数据!$A:$E,5,0),0)+IFERROR(VLOOKUP($A330,[3]库存使用数据!$A:$E,5,0),0)+IFERROR(VLOOKUP($A330,[4]库存使用数据!$A:$E,5,0),0)+IFERROR(VLOOKUP($A330,[5]库存使用数据!$A:$E,5,0),0)</f>
        <v>0</v>
      </c>
      <c r="F330" s="1">
        <f ca="1">IFERROR(VLOOKUP($A330,[1]库存使用数据!$A:$F,6,0),0)+IFERROR(VLOOKUP($A330,[2]库存使用数据!$A:$F,6,0),0)+IFERROR(VLOOKUP($A330,[4]库存使用数据!$A:$F,6,0),0)+IFERROR(VLOOKUP($A330,[3]库存使用数据!$A:$F,6,0),0)+IFERROR(VLOOKUP($A330,[5]库存使用数据!$A:$F,6,0),0)</f>
        <v>0</v>
      </c>
      <c r="G330" s="1">
        <f ca="1">IFERROR(VLOOKUP($A330,[1]库存使用数据!$A:$G,7,0),0)+IFERROR(VLOOKUP($A330,[2]库存使用数据!$A:$G,7,0),0)+公式!$B$14*IFERROR(VLOOKUP($A330,[3]库存使用数据!$A:$G,7,0),0)+IFERROR(VLOOKUP($A330,[4]库存使用数据!$A:$G,7,0),0)+IFERROR(VLOOKUP($A330,[5]库存使用数据!$A:$G,7,0),0)</f>
        <v>0</v>
      </c>
      <c r="H330" s="1">
        <f ca="1">IFERROR(VLOOKUP($A330,[1]库存使用数据!$A:$H,8,0),0)+IFERROR(VLOOKUP($A330,[2]库存使用数据!$A:$H,8,0),0)+IFERROR(VLOOKUP($A330,[3]库存使用数据!$A:$H,8,0),0)+IFERROR(VLOOKUP($A330,[4]库存使用数据!$A:$H,8,0),0)+IFERROR(VLOOKUP($A330,[5]库存使用数据!$A:$H,8,0),0)</f>
        <v>222</v>
      </c>
      <c r="I330" s="1">
        <f ca="1">IFERROR(VLOOKUP($A330,[1]库存使用数据!$A:$I,9,0),0)+IFERROR(VLOOKUP($A330,[2]库存使用数据!$A:$I,9,0),0)+IFERROR(VLOOKUP($A330,[3]库存使用数据!$A:$I,9,0),0)+IFERROR(VLOOKUP($A330,[4]库存使用数据!$A:$I,9,0),0)+IFERROR(VLOOKUP($A330,[5]库存使用数据!$A:$I,9,0),0)</f>
        <v>0</v>
      </c>
      <c r="J330" s="1">
        <f ca="1">IFERROR(VLOOKUP($A330,[1]库存使用数据!$A:$J,10,0),0)+IFERROR(VLOOKUP($A330,[2]库存使用数据!$A:$J,10,0),0)+公式!$B$14*IFERROR(VLOOKUP($A330,[3]库存使用数据!$A:$J,10,0),0)+IFERROR(VLOOKUP($A330,[4]库存使用数据!$A:$J,10,0),0)+IFERROR(VLOOKUP($A330,[5]库存使用数据!$A:$J,10,0),0)</f>
        <v>0</v>
      </c>
      <c r="K330" s="1">
        <f ca="1">IFERROR(VLOOKUP($A330,[1]库存使用数据!$A:$K,11,0),0)+IFERROR(VLOOKUP($A330,[2]库存使用数据!$A:$K,11,0),0)+IFERROR(VLOOKUP($A330,[3]库存使用数据!$A:$K,11,0),0)+IFERROR(VLOOKUP($A330,[4]库存使用数据!$A:$K,11,0),0)+IFERROR(VLOOKUP($A330,[5]库存使用数据!$A:$K,11,0),0)</f>
        <v>358</v>
      </c>
      <c r="L330" s="1">
        <f ca="1">IFERROR(VLOOKUP($A330,[1]库存使用数据!$A:$L,12,0),0)+IFERROR(VLOOKUP($A330,[2]库存使用数据!$A:$L,12,0),0)+IFERROR(VLOOKUP($A330,[3]库存使用数据!$A:$L,12,0),0)+IFERROR(VLOOKUP($A330,[4]库存使用数据!$A:$L,12,0),0)+IFERROR(VLOOKUP($A330,[5]库存使用数据!$A:$L,12,0),0)</f>
        <v>0</v>
      </c>
      <c r="M330" s="1">
        <f ca="1">IFERROR(VLOOKUP($A330,[1]库存使用数据!$A:$M,13,0),0)+IFERROR(VLOOKUP($A330,[2]库存使用数据!$A:$M,13,0),0)+公式!$B$14*IFERROR(VLOOKUP($A330,[3]库存使用数据!$A:$M,13,0),0)+IFERROR(VLOOKUP($A330,[4]库存使用数据!$A:$M,13,0),0)+IFERROR(VLOOKUP($A330,[5]库存使用数据!$A:$M,13,0),0)</f>
        <v>0</v>
      </c>
    </row>
    <row r="331" spans="1:13">
      <c r="A331" s="6" t="s">
        <v>336</v>
      </c>
      <c r="B331" s="2">
        <f ca="1">IFERROR(VLOOKUP(A331,[1]库存使用数据!$A:$B,2,0),0)+IFERROR(VLOOKUP(A331,[2]库存使用数据!$A:$B,2,0),0)+IFERROR(VLOOKUP(,[3]库存使用数据!$A:$B,2,0),0)+IFERROR(VLOOKUP(A331,[4]库存使用数据!$A:$B,2,0),0)+IFERROR(VLOOKUP(A331,[5]库存使用数据!$A:$B,2,0),0)</f>
        <v>0</v>
      </c>
      <c r="C331" s="1">
        <f ca="1">IFERROR(VLOOKUP($A331,[1]库存使用数据!$A:$C,3,0),0)+IFERROR(VLOOKUP($A331,[2]库存使用数据!$A:$C,3,0),0)+IFERROR(VLOOKUP($A331,[3]库存使用数据!$A:$C,3,0),0)+IFERROR(VLOOKUP($A331,[4]库存使用数据!$A:$C,3,0),0)+IFERROR(VLOOKUP($A331,[5]库存使用数据!$A:$C,3,0),0)</f>
        <v>1</v>
      </c>
      <c r="D331" s="1">
        <f ca="1">IFERROR(VLOOKUP($A331,[1]库存使用数据!$A:$D,4,0),0)+IFERROR(VLOOKUP($A331,[2]库存使用数据!$A:$D,4,0),0)+公式!$B$1*IFERROR(VLOOKUP($A331,[3]库存使用数据!$A:$D,4,0),0)+IFERROR(VLOOKUP($A331,[4]库存使用数据!$A:$D,4,0),0)+IFERROR(VLOOKUP($A331,[5]库存使用数据!$A:$D,4,0),0)</f>
        <v>0.0675</v>
      </c>
      <c r="E331" s="1">
        <f ca="1">IFERROR(VLOOKUP($A331,[1]库存使用数据!$A:$E,5,0),0)+IFERROR(VLOOKUP($A331,[2]库存使用数据!$A:$E,5,0),0)+IFERROR(VLOOKUP($A331,[3]库存使用数据!$A:$E,5,0),0)+IFERROR(VLOOKUP($A331,[4]库存使用数据!$A:$E,5,0),0)+IFERROR(VLOOKUP($A331,[5]库存使用数据!$A:$E,5,0),0)</f>
        <v>586</v>
      </c>
      <c r="F331" s="1">
        <f ca="1">IFERROR(VLOOKUP($A331,[1]库存使用数据!$A:$F,6,0),0)+IFERROR(VLOOKUP($A331,[2]库存使用数据!$A:$F,6,0),0)+IFERROR(VLOOKUP($A331,[4]库存使用数据!$A:$F,6,0),0)+IFERROR(VLOOKUP($A331,[3]库存使用数据!$A:$F,6,0),0)+IFERROR(VLOOKUP($A331,[5]库存使用数据!$A:$F,6,0),0)</f>
        <v>4</v>
      </c>
      <c r="G331" s="1">
        <f ca="1">IFERROR(VLOOKUP($A331,[1]库存使用数据!$A:$G,7,0),0)+IFERROR(VLOOKUP($A331,[2]库存使用数据!$A:$G,7,0),0)+公式!$B$14*IFERROR(VLOOKUP($A331,[3]库存使用数据!$A:$G,7,0),0)+IFERROR(VLOOKUP($A331,[4]库存使用数据!$A:$G,7,0),0)+IFERROR(VLOOKUP($A331,[5]库存使用数据!$A:$G,7,0),0)</f>
        <v>0</v>
      </c>
      <c r="H331" s="1">
        <f ca="1">IFERROR(VLOOKUP($A331,[1]库存使用数据!$A:$H,8,0),0)+IFERROR(VLOOKUP($A331,[2]库存使用数据!$A:$H,8,0),0)+IFERROR(VLOOKUP($A331,[3]库存使用数据!$A:$H,8,0),0)+IFERROR(VLOOKUP($A331,[4]库存使用数据!$A:$H,8,0),0)+IFERROR(VLOOKUP($A331,[5]库存使用数据!$A:$H,8,0),0)</f>
        <v>224</v>
      </c>
      <c r="I331" s="1">
        <f ca="1">IFERROR(VLOOKUP($A331,[1]库存使用数据!$A:$I,9,0),0)+IFERROR(VLOOKUP($A331,[2]库存使用数据!$A:$I,9,0),0)+IFERROR(VLOOKUP($A331,[3]库存使用数据!$A:$I,9,0),0)+IFERROR(VLOOKUP($A331,[4]库存使用数据!$A:$I,9,0),0)+IFERROR(VLOOKUP($A331,[5]库存使用数据!$A:$I,9,0),0)</f>
        <v>1</v>
      </c>
      <c r="J331" s="1">
        <f ca="1">IFERROR(VLOOKUP($A331,[1]库存使用数据!$A:$J,10,0),0)+IFERROR(VLOOKUP($A331,[2]库存使用数据!$A:$J,10,0),0)+公式!$B$14*IFERROR(VLOOKUP($A331,[3]库存使用数据!$A:$J,10,0),0)+IFERROR(VLOOKUP($A331,[4]库存使用数据!$A:$J,10,0),0)+IFERROR(VLOOKUP($A331,[5]库存使用数据!$A:$J,10,0),0)</f>
        <v>0</v>
      </c>
      <c r="K331" s="1">
        <f ca="1">IFERROR(VLOOKUP($A331,[1]库存使用数据!$A:$K,11,0),0)+IFERROR(VLOOKUP($A331,[2]库存使用数据!$A:$K,11,0),0)+IFERROR(VLOOKUP($A331,[3]库存使用数据!$A:$K,11,0),0)+IFERROR(VLOOKUP($A331,[4]库存使用数据!$A:$K,11,0),0)+IFERROR(VLOOKUP($A331,[5]库存使用数据!$A:$K,11,0),0)</f>
        <v>152</v>
      </c>
      <c r="L331" s="1">
        <f ca="1">IFERROR(VLOOKUP($A331,[1]库存使用数据!$A:$L,12,0),0)+IFERROR(VLOOKUP($A331,[2]库存使用数据!$A:$L,12,0),0)+IFERROR(VLOOKUP($A331,[3]库存使用数据!$A:$L,12,0),0)+IFERROR(VLOOKUP($A331,[4]库存使用数据!$A:$L,12,0),0)+IFERROR(VLOOKUP($A331,[5]库存使用数据!$A:$L,12,0),0)</f>
        <v>0</v>
      </c>
      <c r="M331" s="1">
        <f ca="1">IFERROR(VLOOKUP($A331,[1]库存使用数据!$A:$M,13,0),0)+IFERROR(VLOOKUP($A331,[2]库存使用数据!$A:$M,13,0),0)+公式!$B$14*IFERROR(VLOOKUP($A331,[3]库存使用数据!$A:$M,13,0),0)+IFERROR(VLOOKUP($A331,[4]库存使用数据!$A:$M,13,0),0)+IFERROR(VLOOKUP($A331,[5]库存使用数据!$A:$M,13,0),0)</f>
        <v>0</v>
      </c>
    </row>
    <row r="332" spans="1:13">
      <c r="A332" s="6" t="s">
        <v>337</v>
      </c>
      <c r="B332" s="2">
        <f ca="1">IFERROR(VLOOKUP(A332,[1]库存使用数据!$A:$B,2,0),0)+IFERROR(VLOOKUP(A332,[2]库存使用数据!$A:$B,2,0),0)+IFERROR(VLOOKUP(,[3]库存使用数据!$A:$B,2,0),0)+IFERROR(VLOOKUP(A332,[4]库存使用数据!$A:$B,2,0),0)+IFERROR(VLOOKUP(A332,[5]库存使用数据!$A:$B,2,0),0)</f>
        <v>0</v>
      </c>
      <c r="C332" s="1">
        <f ca="1">IFERROR(VLOOKUP($A332,[1]库存使用数据!$A:$C,3,0),0)+IFERROR(VLOOKUP($A332,[2]库存使用数据!$A:$C,3,0),0)+IFERROR(VLOOKUP($A332,[3]库存使用数据!$A:$C,3,0),0)+IFERROR(VLOOKUP($A332,[4]库存使用数据!$A:$C,3,0),0)+IFERROR(VLOOKUP($A332,[5]库存使用数据!$A:$C,3,0),0)</f>
        <v>0</v>
      </c>
      <c r="D332" s="1">
        <f ca="1">IFERROR(VLOOKUP($A332,[1]库存使用数据!$A:$D,4,0),0)+IFERROR(VLOOKUP($A332,[2]库存使用数据!$A:$D,4,0),0)+公式!$B$1*IFERROR(VLOOKUP($A332,[3]库存使用数据!$A:$D,4,0),0)+IFERROR(VLOOKUP($A332,[4]库存使用数据!$A:$D,4,0),0)+IFERROR(VLOOKUP($A332,[5]库存使用数据!$A:$D,4,0),0)</f>
        <v>0</v>
      </c>
      <c r="E332" s="1">
        <f ca="1">IFERROR(VLOOKUP($A332,[1]库存使用数据!$A:$E,5,0),0)+IFERROR(VLOOKUP($A332,[2]库存使用数据!$A:$E,5,0),0)+IFERROR(VLOOKUP($A332,[3]库存使用数据!$A:$E,5,0),0)+IFERROR(VLOOKUP($A332,[4]库存使用数据!$A:$E,5,0),0)+IFERROR(VLOOKUP($A332,[5]库存使用数据!$A:$E,5,0),0)</f>
        <v>0</v>
      </c>
      <c r="F332" s="1">
        <f ca="1">IFERROR(VLOOKUP($A332,[1]库存使用数据!$A:$F,6,0),0)+IFERROR(VLOOKUP($A332,[2]库存使用数据!$A:$F,6,0),0)+IFERROR(VLOOKUP($A332,[4]库存使用数据!$A:$F,6,0),0)+IFERROR(VLOOKUP($A332,[3]库存使用数据!$A:$F,6,0),0)+IFERROR(VLOOKUP($A332,[5]库存使用数据!$A:$F,6,0),0)</f>
        <v>0</v>
      </c>
      <c r="G332" s="1">
        <f ca="1">IFERROR(VLOOKUP($A332,[1]库存使用数据!$A:$G,7,0),0)+IFERROR(VLOOKUP($A332,[2]库存使用数据!$A:$G,7,0),0)+公式!$B$14*IFERROR(VLOOKUP($A332,[3]库存使用数据!$A:$G,7,0),0)+IFERROR(VLOOKUP($A332,[4]库存使用数据!$A:$G,7,0),0)+IFERROR(VLOOKUP($A332,[5]库存使用数据!$A:$G,7,0),0)</f>
        <v>0</v>
      </c>
      <c r="H332" s="1">
        <f ca="1">IFERROR(VLOOKUP($A332,[1]库存使用数据!$A:$H,8,0),0)+IFERROR(VLOOKUP($A332,[2]库存使用数据!$A:$H,8,0),0)+IFERROR(VLOOKUP($A332,[3]库存使用数据!$A:$H,8,0),0)+IFERROR(VLOOKUP($A332,[4]库存使用数据!$A:$H,8,0),0)+IFERROR(VLOOKUP($A332,[5]库存使用数据!$A:$H,8,0),0)</f>
        <v>659</v>
      </c>
      <c r="I332" s="1">
        <f ca="1">IFERROR(VLOOKUP($A332,[1]库存使用数据!$A:$I,9,0),0)+IFERROR(VLOOKUP($A332,[2]库存使用数据!$A:$I,9,0),0)+IFERROR(VLOOKUP($A332,[3]库存使用数据!$A:$I,9,0),0)+IFERROR(VLOOKUP($A332,[4]库存使用数据!$A:$I,9,0),0)+IFERROR(VLOOKUP($A332,[5]库存使用数据!$A:$I,9,0),0)</f>
        <v>1</v>
      </c>
      <c r="J332" s="1">
        <f ca="1">IFERROR(VLOOKUP($A332,[1]库存使用数据!$A:$J,10,0),0)+IFERROR(VLOOKUP($A332,[2]库存使用数据!$A:$J,10,0),0)+公式!$B$14*IFERROR(VLOOKUP($A332,[3]库存使用数据!$A:$J,10,0),0)+IFERROR(VLOOKUP($A332,[4]库存使用数据!$A:$J,10,0),0)+IFERROR(VLOOKUP($A332,[5]库存使用数据!$A:$J,10,0),0)</f>
        <v>0</v>
      </c>
      <c r="K332" s="1">
        <f ca="1">IFERROR(VLOOKUP($A332,[1]库存使用数据!$A:$K,11,0),0)+IFERROR(VLOOKUP($A332,[2]库存使用数据!$A:$K,11,0),0)+IFERROR(VLOOKUP($A332,[3]库存使用数据!$A:$K,11,0),0)+IFERROR(VLOOKUP($A332,[4]库存使用数据!$A:$K,11,0),0)+IFERROR(VLOOKUP($A332,[5]库存使用数据!$A:$K,11,0),0)</f>
        <v>211</v>
      </c>
      <c r="L332" s="1">
        <f ca="1">IFERROR(VLOOKUP($A332,[1]库存使用数据!$A:$L,12,0),0)+IFERROR(VLOOKUP($A332,[2]库存使用数据!$A:$L,12,0),0)+IFERROR(VLOOKUP($A332,[3]库存使用数据!$A:$L,12,0),0)+IFERROR(VLOOKUP($A332,[4]库存使用数据!$A:$L,12,0),0)+IFERROR(VLOOKUP($A332,[5]库存使用数据!$A:$L,12,0),0)</f>
        <v>3</v>
      </c>
      <c r="M332" s="1">
        <f ca="1">IFERROR(VLOOKUP($A332,[1]库存使用数据!$A:$M,13,0),0)+IFERROR(VLOOKUP($A332,[2]库存使用数据!$A:$M,13,0),0)+公式!$B$14*IFERROR(VLOOKUP($A332,[3]库存使用数据!$A:$M,13,0),0)+IFERROR(VLOOKUP($A332,[4]库存使用数据!$A:$M,13,0),0)+IFERROR(VLOOKUP($A332,[5]库存使用数据!$A:$M,13,0),0)</f>
        <v>0</v>
      </c>
    </row>
    <row r="333" spans="1:13">
      <c r="A333" s="6" t="s">
        <v>338</v>
      </c>
      <c r="B333" s="2">
        <f ca="1">IFERROR(VLOOKUP(A333,[1]库存使用数据!$A:$B,2,0),0)+IFERROR(VLOOKUP(A333,[2]库存使用数据!$A:$B,2,0),0)+IFERROR(VLOOKUP(,[3]库存使用数据!$A:$B,2,0),0)+IFERROR(VLOOKUP(A333,[4]库存使用数据!$A:$B,2,0),0)+IFERROR(VLOOKUP(A333,[5]库存使用数据!$A:$B,2,0),0)</f>
        <v>0</v>
      </c>
      <c r="C333" s="1">
        <f ca="1">IFERROR(VLOOKUP($A333,[1]库存使用数据!$A:$C,3,0),0)+IFERROR(VLOOKUP($A333,[2]库存使用数据!$A:$C,3,0),0)+IFERROR(VLOOKUP($A333,[3]库存使用数据!$A:$C,3,0),0)+IFERROR(VLOOKUP($A333,[4]库存使用数据!$A:$C,3,0),0)+IFERROR(VLOOKUP($A333,[5]库存使用数据!$A:$C,3,0),0)</f>
        <v>0</v>
      </c>
      <c r="D333" s="1">
        <f ca="1">IFERROR(VLOOKUP($A333,[1]库存使用数据!$A:$D,4,0),0)+IFERROR(VLOOKUP($A333,[2]库存使用数据!$A:$D,4,0),0)+公式!$B$1*IFERROR(VLOOKUP($A333,[3]库存使用数据!$A:$D,4,0),0)+IFERROR(VLOOKUP($A333,[4]库存使用数据!$A:$D,4,0),0)+IFERROR(VLOOKUP($A333,[5]库存使用数据!$A:$D,4,0),0)</f>
        <v>0</v>
      </c>
      <c r="E333" s="1">
        <f ca="1">IFERROR(VLOOKUP($A333,[1]库存使用数据!$A:$E,5,0),0)+IFERROR(VLOOKUP($A333,[2]库存使用数据!$A:$E,5,0),0)+IFERROR(VLOOKUP($A333,[3]库存使用数据!$A:$E,5,0),0)+IFERROR(VLOOKUP($A333,[4]库存使用数据!$A:$E,5,0),0)+IFERROR(VLOOKUP($A333,[5]库存使用数据!$A:$E,5,0),0)</f>
        <v>240</v>
      </c>
      <c r="F333" s="1">
        <f ca="1">IFERROR(VLOOKUP($A333,[1]库存使用数据!$A:$F,6,0),0)+IFERROR(VLOOKUP($A333,[2]库存使用数据!$A:$F,6,0),0)+IFERROR(VLOOKUP($A333,[4]库存使用数据!$A:$F,6,0),0)+IFERROR(VLOOKUP($A333,[3]库存使用数据!$A:$F,6,0),0)+IFERROR(VLOOKUP($A333,[5]库存使用数据!$A:$F,6,0),0)</f>
        <v>0</v>
      </c>
      <c r="G333" s="1">
        <f ca="1">IFERROR(VLOOKUP($A333,[1]库存使用数据!$A:$G,7,0),0)+IFERROR(VLOOKUP($A333,[2]库存使用数据!$A:$G,7,0),0)+公式!$B$14*IFERROR(VLOOKUP($A333,[3]库存使用数据!$A:$G,7,0),0)+IFERROR(VLOOKUP($A333,[4]库存使用数据!$A:$G,7,0),0)+IFERROR(VLOOKUP($A333,[5]库存使用数据!$A:$G,7,0),0)</f>
        <v>0</v>
      </c>
      <c r="H333" s="1">
        <f ca="1">IFERROR(VLOOKUP($A333,[1]库存使用数据!$A:$H,8,0),0)+IFERROR(VLOOKUP($A333,[2]库存使用数据!$A:$H,8,0),0)+IFERROR(VLOOKUP($A333,[3]库存使用数据!$A:$H,8,0),0)+IFERROR(VLOOKUP($A333,[4]库存使用数据!$A:$H,8,0),0)+IFERROR(VLOOKUP($A333,[5]库存使用数据!$A:$H,8,0),0)</f>
        <v>77</v>
      </c>
      <c r="I333" s="1">
        <f ca="1">IFERROR(VLOOKUP($A333,[1]库存使用数据!$A:$I,9,0),0)+IFERROR(VLOOKUP($A333,[2]库存使用数据!$A:$I,9,0),0)+IFERROR(VLOOKUP($A333,[3]库存使用数据!$A:$I,9,0),0)+IFERROR(VLOOKUP($A333,[4]库存使用数据!$A:$I,9,0),0)+IFERROR(VLOOKUP($A333,[5]库存使用数据!$A:$I,9,0),0)</f>
        <v>1</v>
      </c>
      <c r="J333" s="1">
        <f ca="1">IFERROR(VLOOKUP($A333,[1]库存使用数据!$A:$J,10,0),0)+IFERROR(VLOOKUP($A333,[2]库存使用数据!$A:$J,10,0),0)+公式!$B$14*IFERROR(VLOOKUP($A333,[3]库存使用数据!$A:$J,10,0),0)+IFERROR(VLOOKUP($A333,[4]库存使用数据!$A:$J,10,0),0)+IFERROR(VLOOKUP($A333,[5]库存使用数据!$A:$J,10,0),0)</f>
        <v>0</v>
      </c>
      <c r="K333" s="1">
        <f ca="1">IFERROR(VLOOKUP($A333,[1]库存使用数据!$A:$K,11,0),0)+IFERROR(VLOOKUP($A333,[2]库存使用数据!$A:$K,11,0),0)+IFERROR(VLOOKUP($A333,[3]库存使用数据!$A:$K,11,0),0)+IFERROR(VLOOKUP($A333,[4]库存使用数据!$A:$K,11,0),0)+IFERROR(VLOOKUP($A333,[5]库存使用数据!$A:$K,11,0),0)</f>
        <v>69</v>
      </c>
      <c r="L333" s="1">
        <f ca="1">IFERROR(VLOOKUP($A333,[1]库存使用数据!$A:$L,12,0),0)+IFERROR(VLOOKUP($A333,[2]库存使用数据!$A:$L,12,0),0)+IFERROR(VLOOKUP($A333,[3]库存使用数据!$A:$L,12,0),0)+IFERROR(VLOOKUP($A333,[4]库存使用数据!$A:$L,12,0),0)+IFERROR(VLOOKUP($A333,[5]库存使用数据!$A:$L,12,0),0)</f>
        <v>1</v>
      </c>
      <c r="M333" s="1">
        <f ca="1">IFERROR(VLOOKUP($A333,[1]库存使用数据!$A:$M,13,0),0)+IFERROR(VLOOKUP($A333,[2]库存使用数据!$A:$M,13,0),0)+公式!$B$14*IFERROR(VLOOKUP($A333,[3]库存使用数据!$A:$M,13,0),0)+IFERROR(VLOOKUP($A333,[4]库存使用数据!$A:$M,13,0),0)+IFERROR(VLOOKUP($A333,[5]库存使用数据!$A:$M,13,0),0)</f>
        <v>0</v>
      </c>
    </row>
    <row r="334" spans="1:13">
      <c r="A334" s="6" t="s">
        <v>339</v>
      </c>
      <c r="B334" s="2">
        <f ca="1">IFERROR(VLOOKUP(A334,[1]库存使用数据!$A:$B,2,0),0)+IFERROR(VLOOKUP(A334,[2]库存使用数据!$A:$B,2,0),0)+IFERROR(VLOOKUP(,[3]库存使用数据!$A:$B,2,0),0)+IFERROR(VLOOKUP(A334,[4]库存使用数据!$A:$B,2,0),0)+IFERROR(VLOOKUP(A334,[5]库存使用数据!$A:$B,2,0),0)</f>
        <v>0</v>
      </c>
      <c r="C334" s="1">
        <f ca="1">IFERROR(VLOOKUP($A334,[1]库存使用数据!$A:$C,3,0),0)+IFERROR(VLOOKUP($A334,[2]库存使用数据!$A:$C,3,0),0)+IFERROR(VLOOKUP($A334,[3]库存使用数据!$A:$C,3,0),0)+IFERROR(VLOOKUP($A334,[4]库存使用数据!$A:$C,3,0),0)+IFERROR(VLOOKUP($A334,[5]库存使用数据!$A:$C,3,0),0)</f>
        <v>1</v>
      </c>
      <c r="D334" s="1">
        <f ca="1">IFERROR(VLOOKUP($A334,[1]库存使用数据!$A:$D,4,0),0)+IFERROR(VLOOKUP($A334,[2]库存使用数据!$A:$D,4,0),0)+公式!$B$1*IFERROR(VLOOKUP($A334,[3]库存使用数据!$A:$D,4,0),0)+IFERROR(VLOOKUP($A334,[4]库存使用数据!$A:$D,4,0),0)+IFERROR(VLOOKUP($A334,[5]库存使用数据!$A:$D,4,0),0)</f>
        <v>0.12375</v>
      </c>
      <c r="E334" s="1">
        <f ca="1">IFERROR(VLOOKUP($A334,[1]库存使用数据!$A:$E,5,0),0)+IFERROR(VLOOKUP($A334,[2]库存使用数据!$A:$E,5,0),0)+IFERROR(VLOOKUP($A334,[3]库存使用数据!$A:$E,5,0),0)+IFERROR(VLOOKUP($A334,[4]库存使用数据!$A:$E,5,0),0)+IFERROR(VLOOKUP($A334,[5]库存使用数据!$A:$E,5,0),0)</f>
        <v>1233</v>
      </c>
      <c r="F334" s="1">
        <f ca="1">IFERROR(VLOOKUP($A334,[1]库存使用数据!$A:$F,6,0),0)+IFERROR(VLOOKUP($A334,[2]库存使用数据!$A:$F,6,0),0)+IFERROR(VLOOKUP($A334,[4]库存使用数据!$A:$F,6,0),0)+IFERROR(VLOOKUP($A334,[3]库存使用数据!$A:$F,6,0),0)+IFERROR(VLOOKUP($A334,[5]库存使用数据!$A:$F,6,0),0)</f>
        <v>1</v>
      </c>
      <c r="G334" s="1">
        <f ca="1">IFERROR(VLOOKUP($A334,[1]库存使用数据!$A:$G,7,0),0)+IFERROR(VLOOKUP($A334,[2]库存使用数据!$A:$G,7,0),0)+公式!$B$14*IFERROR(VLOOKUP($A334,[3]库存使用数据!$A:$G,7,0),0)+IFERROR(VLOOKUP($A334,[4]库存使用数据!$A:$G,7,0),0)+IFERROR(VLOOKUP($A334,[5]库存使用数据!$A:$G,7,0),0)</f>
        <v>0</v>
      </c>
      <c r="H334" s="1">
        <f ca="1">IFERROR(VLOOKUP($A334,[1]库存使用数据!$A:$H,8,0),0)+IFERROR(VLOOKUP($A334,[2]库存使用数据!$A:$H,8,0),0)+IFERROR(VLOOKUP($A334,[3]库存使用数据!$A:$H,8,0),0)+IFERROR(VLOOKUP($A334,[4]库存使用数据!$A:$H,8,0),0)+IFERROR(VLOOKUP($A334,[5]库存使用数据!$A:$H,8,0),0)</f>
        <v>2125</v>
      </c>
      <c r="I334" s="1">
        <f ca="1">IFERROR(VLOOKUP($A334,[1]库存使用数据!$A:$I,9,0),0)+IFERROR(VLOOKUP($A334,[2]库存使用数据!$A:$I,9,0),0)+IFERROR(VLOOKUP($A334,[3]库存使用数据!$A:$I,9,0),0)+IFERROR(VLOOKUP($A334,[4]库存使用数据!$A:$I,9,0),0)+IFERROR(VLOOKUP($A334,[5]库存使用数据!$A:$I,9,0),0)</f>
        <v>8</v>
      </c>
      <c r="J334" s="1">
        <f ca="1">IFERROR(VLOOKUP($A334,[1]库存使用数据!$A:$J,10,0),0)+IFERROR(VLOOKUP($A334,[2]库存使用数据!$A:$J,10,0),0)+公式!$B$14*IFERROR(VLOOKUP($A334,[3]库存使用数据!$A:$J,10,0),0)+IFERROR(VLOOKUP($A334,[4]库存使用数据!$A:$J,10,0),0)+IFERROR(VLOOKUP($A334,[5]库存使用数据!$A:$J,10,0),0)</f>
        <v>0</v>
      </c>
      <c r="K334" s="1">
        <f ca="1">IFERROR(VLOOKUP($A334,[1]库存使用数据!$A:$K,11,0),0)+IFERROR(VLOOKUP($A334,[2]库存使用数据!$A:$K,11,0),0)+IFERROR(VLOOKUP($A334,[3]库存使用数据!$A:$K,11,0),0)+IFERROR(VLOOKUP($A334,[4]库存使用数据!$A:$K,11,0),0)+IFERROR(VLOOKUP($A334,[5]库存使用数据!$A:$K,11,0),0)</f>
        <v>711</v>
      </c>
      <c r="L334" s="1">
        <f ca="1">IFERROR(VLOOKUP($A334,[1]库存使用数据!$A:$L,12,0),0)+IFERROR(VLOOKUP($A334,[2]库存使用数据!$A:$L,12,0),0)+IFERROR(VLOOKUP($A334,[3]库存使用数据!$A:$L,12,0),0)+IFERROR(VLOOKUP($A334,[4]库存使用数据!$A:$L,12,0),0)+IFERROR(VLOOKUP($A334,[5]库存使用数据!$A:$L,12,0),0)</f>
        <v>2</v>
      </c>
      <c r="M334" s="1">
        <f ca="1">IFERROR(VLOOKUP($A334,[1]库存使用数据!$A:$M,13,0),0)+IFERROR(VLOOKUP($A334,[2]库存使用数据!$A:$M,13,0),0)+公式!$B$14*IFERROR(VLOOKUP($A334,[3]库存使用数据!$A:$M,13,0),0)+IFERROR(VLOOKUP($A334,[4]库存使用数据!$A:$M,13,0),0)+IFERROR(VLOOKUP($A334,[5]库存使用数据!$A:$M,13,0),0)</f>
        <v>0</v>
      </c>
    </row>
    <row r="335" spans="1:13">
      <c r="A335" s="6" t="s">
        <v>340</v>
      </c>
      <c r="B335" s="2">
        <f ca="1">IFERROR(VLOOKUP(A335,[1]库存使用数据!$A:$B,2,0),0)+IFERROR(VLOOKUP(A335,[2]库存使用数据!$A:$B,2,0),0)+IFERROR(VLOOKUP(,[3]库存使用数据!$A:$B,2,0),0)+IFERROR(VLOOKUP(A335,[4]库存使用数据!$A:$B,2,0),0)+IFERROR(VLOOKUP(A335,[5]库存使用数据!$A:$B,2,0),0)</f>
        <v>0</v>
      </c>
      <c r="C335" s="1">
        <f ca="1">IFERROR(VLOOKUP($A335,[1]库存使用数据!$A:$C,3,0),0)+IFERROR(VLOOKUP($A335,[2]库存使用数据!$A:$C,3,0),0)+IFERROR(VLOOKUP($A335,[3]库存使用数据!$A:$C,3,0),0)+IFERROR(VLOOKUP($A335,[4]库存使用数据!$A:$C,3,0),0)+IFERROR(VLOOKUP($A335,[5]库存使用数据!$A:$C,3,0),0)</f>
        <v>0</v>
      </c>
      <c r="D335" s="1">
        <f ca="1">IFERROR(VLOOKUP($A335,[1]库存使用数据!$A:$D,4,0),0)+IFERROR(VLOOKUP($A335,[2]库存使用数据!$A:$D,4,0),0)+公式!$B$1*IFERROR(VLOOKUP($A335,[3]库存使用数据!$A:$D,4,0),0)+IFERROR(VLOOKUP($A335,[4]库存使用数据!$A:$D,4,0),0)+IFERROR(VLOOKUP($A335,[5]库存使用数据!$A:$D,4,0),0)</f>
        <v>0</v>
      </c>
      <c r="E335" s="1">
        <f ca="1">IFERROR(VLOOKUP($A335,[1]库存使用数据!$A:$E,5,0),0)+IFERROR(VLOOKUP($A335,[2]库存使用数据!$A:$E,5,0),0)+IFERROR(VLOOKUP($A335,[3]库存使用数据!$A:$E,5,0),0)+IFERROR(VLOOKUP($A335,[4]库存使用数据!$A:$E,5,0),0)+IFERROR(VLOOKUP($A335,[5]库存使用数据!$A:$E,5,0),0)</f>
        <v>859</v>
      </c>
      <c r="F335" s="1">
        <f ca="1">IFERROR(VLOOKUP($A335,[1]库存使用数据!$A:$F,6,0),0)+IFERROR(VLOOKUP($A335,[2]库存使用数据!$A:$F,6,0),0)+IFERROR(VLOOKUP($A335,[4]库存使用数据!$A:$F,6,0),0)+IFERROR(VLOOKUP($A335,[3]库存使用数据!$A:$F,6,0),0)+IFERROR(VLOOKUP($A335,[5]库存使用数据!$A:$F,6,0),0)</f>
        <v>5</v>
      </c>
      <c r="G335" s="1">
        <f ca="1">IFERROR(VLOOKUP($A335,[1]库存使用数据!$A:$G,7,0),0)+IFERROR(VLOOKUP($A335,[2]库存使用数据!$A:$G,7,0),0)+公式!$B$14*IFERROR(VLOOKUP($A335,[3]库存使用数据!$A:$G,7,0),0)+IFERROR(VLOOKUP($A335,[4]库存使用数据!$A:$G,7,0),0)+IFERROR(VLOOKUP($A335,[5]库存使用数据!$A:$G,7,0),0)</f>
        <v>0</v>
      </c>
      <c r="H335" s="1">
        <f ca="1">IFERROR(VLOOKUP($A335,[1]库存使用数据!$A:$H,8,0),0)+IFERROR(VLOOKUP($A335,[2]库存使用数据!$A:$H,8,0),0)+IFERROR(VLOOKUP($A335,[3]库存使用数据!$A:$H,8,0),0)+IFERROR(VLOOKUP($A335,[4]库存使用数据!$A:$H,8,0),0)+IFERROR(VLOOKUP($A335,[5]库存使用数据!$A:$H,8,0),0)</f>
        <v>1070</v>
      </c>
      <c r="I335" s="1">
        <f ca="1">IFERROR(VLOOKUP($A335,[1]库存使用数据!$A:$I,9,0),0)+IFERROR(VLOOKUP($A335,[2]库存使用数据!$A:$I,9,0),0)+IFERROR(VLOOKUP($A335,[3]库存使用数据!$A:$I,9,0),0)+IFERROR(VLOOKUP($A335,[4]库存使用数据!$A:$I,9,0),0)+IFERROR(VLOOKUP($A335,[5]库存使用数据!$A:$I,9,0),0)</f>
        <v>3</v>
      </c>
      <c r="J335" s="1">
        <f ca="1">IFERROR(VLOOKUP($A335,[1]库存使用数据!$A:$J,10,0),0)+IFERROR(VLOOKUP($A335,[2]库存使用数据!$A:$J,10,0),0)+公式!$B$14*IFERROR(VLOOKUP($A335,[3]库存使用数据!$A:$J,10,0),0)+IFERROR(VLOOKUP($A335,[4]库存使用数据!$A:$J,10,0),0)+IFERROR(VLOOKUP($A335,[5]库存使用数据!$A:$J,10,0),0)</f>
        <v>0</v>
      </c>
      <c r="K335" s="1">
        <f ca="1">IFERROR(VLOOKUP($A335,[1]库存使用数据!$A:$K,11,0),0)+IFERROR(VLOOKUP($A335,[2]库存使用数据!$A:$K,11,0),0)+IFERROR(VLOOKUP($A335,[3]库存使用数据!$A:$K,11,0),0)+IFERROR(VLOOKUP($A335,[4]库存使用数据!$A:$K,11,0),0)+IFERROR(VLOOKUP($A335,[5]库存使用数据!$A:$K,11,0),0)</f>
        <v>3565</v>
      </c>
      <c r="L335" s="1">
        <f ca="1">IFERROR(VLOOKUP($A335,[1]库存使用数据!$A:$L,12,0),0)+IFERROR(VLOOKUP($A335,[2]库存使用数据!$A:$L,12,0),0)+IFERROR(VLOOKUP($A335,[3]库存使用数据!$A:$L,12,0),0)+IFERROR(VLOOKUP($A335,[4]库存使用数据!$A:$L,12,0),0)+IFERROR(VLOOKUP($A335,[5]库存使用数据!$A:$L,12,0),0)</f>
        <v>5</v>
      </c>
      <c r="M335" s="1">
        <f ca="1">IFERROR(VLOOKUP($A335,[1]库存使用数据!$A:$M,13,0),0)+IFERROR(VLOOKUP($A335,[2]库存使用数据!$A:$M,13,0),0)+公式!$B$14*IFERROR(VLOOKUP($A335,[3]库存使用数据!$A:$M,13,0),0)+IFERROR(VLOOKUP($A335,[4]库存使用数据!$A:$M,13,0),0)+IFERROR(VLOOKUP($A335,[5]库存使用数据!$A:$M,13,0),0)</f>
        <v>0</v>
      </c>
    </row>
    <row r="336" spans="1:13">
      <c r="A336" s="6" t="s">
        <v>341</v>
      </c>
      <c r="B336" s="2">
        <f ca="1">IFERROR(VLOOKUP(A336,[1]库存使用数据!$A:$B,2,0),0)+IFERROR(VLOOKUP(A336,[2]库存使用数据!$A:$B,2,0),0)+IFERROR(VLOOKUP(,[3]库存使用数据!$A:$B,2,0),0)+IFERROR(VLOOKUP(A336,[4]库存使用数据!$A:$B,2,0),0)+IFERROR(VLOOKUP(A336,[5]库存使用数据!$A:$B,2,0),0)</f>
        <v>12</v>
      </c>
      <c r="C336" s="1">
        <f ca="1">IFERROR(VLOOKUP($A336,[1]库存使用数据!$A:$C,3,0),0)+IFERROR(VLOOKUP($A336,[2]库存使用数据!$A:$C,3,0),0)+IFERROR(VLOOKUP($A336,[3]库存使用数据!$A:$C,3,0),0)+IFERROR(VLOOKUP($A336,[4]库存使用数据!$A:$C,3,0),0)+IFERROR(VLOOKUP($A336,[5]库存使用数据!$A:$C,3,0),0)</f>
        <v>2</v>
      </c>
      <c r="D336" s="1">
        <f ca="1">IFERROR(VLOOKUP($A336,[1]库存使用数据!$A:$D,4,0),0)+IFERROR(VLOOKUP($A336,[2]库存使用数据!$A:$D,4,0),0)+公式!$B$1*IFERROR(VLOOKUP($A336,[3]库存使用数据!$A:$D,4,0),0)+IFERROR(VLOOKUP($A336,[4]库存使用数据!$A:$D,4,0),0)+IFERROR(VLOOKUP($A336,[5]库存使用数据!$A:$D,4,0),0)</f>
        <v>0.32625</v>
      </c>
      <c r="E336" s="1">
        <f ca="1">IFERROR(VLOOKUP($A336,[1]库存使用数据!$A:$E,5,0),0)+IFERROR(VLOOKUP($A336,[2]库存使用数据!$A:$E,5,0),0)+IFERROR(VLOOKUP($A336,[3]库存使用数据!$A:$E,5,0),0)+IFERROR(VLOOKUP($A336,[4]库存使用数据!$A:$E,5,0),0)+IFERROR(VLOOKUP($A336,[5]库存使用数据!$A:$E,5,0),0)</f>
        <v>811</v>
      </c>
      <c r="F336" s="1">
        <f ca="1">IFERROR(VLOOKUP($A336,[1]库存使用数据!$A:$F,6,0),0)+IFERROR(VLOOKUP($A336,[2]库存使用数据!$A:$F,6,0),0)+IFERROR(VLOOKUP($A336,[4]库存使用数据!$A:$F,6,0),0)+IFERROR(VLOOKUP($A336,[3]库存使用数据!$A:$F,6,0),0)+IFERROR(VLOOKUP($A336,[5]库存使用数据!$A:$F,6,0),0)</f>
        <v>0</v>
      </c>
      <c r="G336" s="1">
        <f ca="1">IFERROR(VLOOKUP($A336,[1]库存使用数据!$A:$G,7,0),0)+IFERROR(VLOOKUP($A336,[2]库存使用数据!$A:$G,7,0),0)+公式!$B$14*IFERROR(VLOOKUP($A336,[3]库存使用数据!$A:$G,7,0),0)+IFERROR(VLOOKUP($A336,[4]库存使用数据!$A:$G,7,0),0)+IFERROR(VLOOKUP($A336,[5]库存使用数据!$A:$G,7,0),0)</f>
        <v>0</v>
      </c>
      <c r="H336" s="1">
        <f ca="1">IFERROR(VLOOKUP($A336,[1]库存使用数据!$A:$H,8,0),0)+IFERROR(VLOOKUP($A336,[2]库存使用数据!$A:$H,8,0),0)+IFERROR(VLOOKUP($A336,[3]库存使用数据!$A:$H,8,0),0)+IFERROR(VLOOKUP($A336,[4]库存使用数据!$A:$H,8,0),0)+IFERROR(VLOOKUP($A336,[5]库存使用数据!$A:$H,8,0),0)</f>
        <v>441</v>
      </c>
      <c r="I336" s="1">
        <f ca="1">IFERROR(VLOOKUP($A336,[1]库存使用数据!$A:$I,9,0),0)+IFERROR(VLOOKUP($A336,[2]库存使用数据!$A:$I,9,0),0)+IFERROR(VLOOKUP($A336,[3]库存使用数据!$A:$I,9,0),0)+IFERROR(VLOOKUP($A336,[4]库存使用数据!$A:$I,9,0),0)+IFERROR(VLOOKUP($A336,[5]库存使用数据!$A:$I,9,0),0)</f>
        <v>3</v>
      </c>
      <c r="J336" s="1">
        <f ca="1">IFERROR(VLOOKUP($A336,[1]库存使用数据!$A:$J,10,0),0)+IFERROR(VLOOKUP($A336,[2]库存使用数据!$A:$J,10,0),0)+公式!$B$14*IFERROR(VLOOKUP($A336,[3]库存使用数据!$A:$J,10,0),0)+IFERROR(VLOOKUP($A336,[4]库存使用数据!$A:$J,10,0),0)+IFERROR(VLOOKUP($A336,[5]库存使用数据!$A:$J,10,0),0)</f>
        <v>0</v>
      </c>
      <c r="K336" s="1">
        <f ca="1">IFERROR(VLOOKUP($A336,[1]库存使用数据!$A:$K,11,0),0)+IFERROR(VLOOKUP($A336,[2]库存使用数据!$A:$K,11,0),0)+IFERROR(VLOOKUP($A336,[3]库存使用数据!$A:$K,11,0),0)+IFERROR(VLOOKUP($A336,[4]库存使用数据!$A:$K,11,0),0)+IFERROR(VLOOKUP($A336,[5]库存使用数据!$A:$K,11,0),0)</f>
        <v>1412</v>
      </c>
      <c r="L336" s="1">
        <f ca="1">IFERROR(VLOOKUP($A336,[1]库存使用数据!$A:$L,12,0),0)+IFERROR(VLOOKUP($A336,[2]库存使用数据!$A:$L,12,0),0)+IFERROR(VLOOKUP($A336,[3]库存使用数据!$A:$L,12,0),0)+IFERROR(VLOOKUP($A336,[4]库存使用数据!$A:$L,12,0),0)+IFERROR(VLOOKUP($A336,[5]库存使用数据!$A:$L,12,0),0)</f>
        <v>5</v>
      </c>
      <c r="M336" s="1">
        <f ca="1">IFERROR(VLOOKUP($A336,[1]库存使用数据!$A:$M,13,0),0)+IFERROR(VLOOKUP($A336,[2]库存使用数据!$A:$M,13,0),0)+公式!$B$14*IFERROR(VLOOKUP($A336,[3]库存使用数据!$A:$M,13,0),0)+IFERROR(VLOOKUP($A336,[4]库存使用数据!$A:$M,13,0),0)+IFERROR(VLOOKUP($A336,[5]库存使用数据!$A:$M,13,0),0)</f>
        <v>0</v>
      </c>
    </row>
    <row r="337" spans="1:13">
      <c r="A337" s="6" t="s">
        <v>342</v>
      </c>
      <c r="B337" s="2">
        <f ca="1">IFERROR(VLOOKUP(A337,[1]库存使用数据!$A:$B,2,0),0)+IFERROR(VLOOKUP(A337,[2]库存使用数据!$A:$B,2,0),0)+IFERROR(VLOOKUP(,[3]库存使用数据!$A:$B,2,0),0)+IFERROR(VLOOKUP(A337,[4]库存使用数据!$A:$B,2,0),0)+IFERROR(VLOOKUP(A337,[5]库存使用数据!$A:$B,2,0),0)</f>
        <v>21</v>
      </c>
      <c r="C337" s="1">
        <f ca="1">IFERROR(VLOOKUP($A337,[1]库存使用数据!$A:$C,3,0),0)+IFERROR(VLOOKUP($A337,[2]库存使用数据!$A:$C,3,0),0)+IFERROR(VLOOKUP($A337,[3]库存使用数据!$A:$C,3,0),0)+IFERROR(VLOOKUP($A337,[4]库存使用数据!$A:$C,3,0),0)+IFERROR(VLOOKUP($A337,[5]库存使用数据!$A:$C,3,0),0)</f>
        <v>18</v>
      </c>
      <c r="D337" s="1">
        <f ca="1">IFERROR(VLOOKUP($A337,[1]库存使用数据!$A:$D,4,0),0)+IFERROR(VLOOKUP($A337,[2]库存使用数据!$A:$D,4,0),0)+公式!$B$1*IFERROR(VLOOKUP($A337,[3]库存使用数据!$A:$D,4,0),0)+IFERROR(VLOOKUP($A337,[4]库存使用数据!$A:$D,4,0),0)+IFERROR(VLOOKUP($A337,[5]库存使用数据!$A:$D,4,0),0)</f>
        <v>3.45375</v>
      </c>
      <c r="E337" s="1">
        <f ca="1">IFERROR(VLOOKUP($A337,[1]库存使用数据!$A:$E,5,0),0)+IFERROR(VLOOKUP($A337,[2]库存使用数据!$A:$E,5,0),0)+IFERROR(VLOOKUP($A337,[3]库存使用数据!$A:$E,5,0),0)+IFERROR(VLOOKUP($A337,[4]库存使用数据!$A:$E,5,0),0)+IFERROR(VLOOKUP($A337,[5]库存使用数据!$A:$E,5,0),0)</f>
        <v>3220</v>
      </c>
      <c r="F337" s="1">
        <f ca="1">IFERROR(VLOOKUP($A337,[1]库存使用数据!$A:$F,6,0),0)+IFERROR(VLOOKUP($A337,[2]库存使用数据!$A:$F,6,0),0)+IFERROR(VLOOKUP($A337,[4]库存使用数据!$A:$F,6,0),0)+IFERROR(VLOOKUP($A337,[3]库存使用数据!$A:$F,6,0),0)+IFERROR(VLOOKUP($A337,[5]库存使用数据!$A:$F,6,0),0)</f>
        <v>26</v>
      </c>
      <c r="G337" s="1">
        <f ca="1">IFERROR(VLOOKUP($A337,[1]库存使用数据!$A:$G,7,0),0)+IFERROR(VLOOKUP($A337,[2]库存使用数据!$A:$G,7,0),0)+公式!$B$14*IFERROR(VLOOKUP($A337,[3]库存使用数据!$A:$G,7,0),0)+IFERROR(VLOOKUP($A337,[4]库存使用数据!$A:$G,7,0),0)+IFERROR(VLOOKUP($A337,[5]库存使用数据!$A:$G,7,0),0)</f>
        <v>0</v>
      </c>
      <c r="H337" s="1">
        <f ca="1">IFERROR(VLOOKUP($A337,[1]库存使用数据!$A:$H,8,0),0)+IFERROR(VLOOKUP($A337,[2]库存使用数据!$A:$H,8,0),0)+IFERROR(VLOOKUP($A337,[3]库存使用数据!$A:$H,8,0),0)+IFERROR(VLOOKUP($A337,[4]库存使用数据!$A:$H,8,0),0)+IFERROR(VLOOKUP($A337,[5]库存使用数据!$A:$H,8,0),0)</f>
        <v>1186</v>
      </c>
      <c r="I337" s="1">
        <f ca="1">IFERROR(VLOOKUP($A337,[1]库存使用数据!$A:$I,9,0),0)+IFERROR(VLOOKUP($A337,[2]库存使用数据!$A:$I,9,0),0)+IFERROR(VLOOKUP($A337,[3]库存使用数据!$A:$I,9,0),0)+IFERROR(VLOOKUP($A337,[4]库存使用数据!$A:$I,9,0),0)+IFERROR(VLOOKUP($A337,[5]库存使用数据!$A:$I,9,0),0)</f>
        <v>15</v>
      </c>
      <c r="J337" s="1">
        <f ca="1">IFERROR(VLOOKUP($A337,[1]库存使用数据!$A:$J,10,0),0)+IFERROR(VLOOKUP($A337,[2]库存使用数据!$A:$J,10,0),0)+公式!$B$14*IFERROR(VLOOKUP($A337,[3]库存使用数据!$A:$J,10,0),0)+IFERROR(VLOOKUP($A337,[4]库存使用数据!$A:$J,10,0),0)+IFERROR(VLOOKUP($A337,[5]库存使用数据!$A:$J,10,0),0)</f>
        <v>0</v>
      </c>
      <c r="K337" s="1">
        <f ca="1">IFERROR(VLOOKUP($A337,[1]库存使用数据!$A:$K,11,0),0)+IFERROR(VLOOKUP($A337,[2]库存使用数据!$A:$K,11,0),0)+IFERROR(VLOOKUP($A337,[3]库存使用数据!$A:$K,11,0),0)+IFERROR(VLOOKUP($A337,[4]库存使用数据!$A:$K,11,0),0)+IFERROR(VLOOKUP($A337,[5]库存使用数据!$A:$K,11,0),0)</f>
        <v>1153</v>
      </c>
      <c r="L337" s="1">
        <f ca="1">IFERROR(VLOOKUP($A337,[1]库存使用数据!$A:$L,12,0),0)+IFERROR(VLOOKUP($A337,[2]库存使用数据!$A:$L,12,0),0)+IFERROR(VLOOKUP($A337,[3]库存使用数据!$A:$L,12,0),0)+IFERROR(VLOOKUP($A337,[4]库存使用数据!$A:$L,12,0),0)+IFERROR(VLOOKUP($A337,[5]库存使用数据!$A:$L,12,0),0)</f>
        <v>11</v>
      </c>
      <c r="M337" s="1">
        <f ca="1">IFERROR(VLOOKUP($A337,[1]库存使用数据!$A:$M,13,0),0)+IFERROR(VLOOKUP($A337,[2]库存使用数据!$A:$M,13,0),0)+公式!$B$14*IFERROR(VLOOKUP($A337,[3]库存使用数据!$A:$M,13,0),0)+IFERROR(VLOOKUP($A337,[4]库存使用数据!$A:$M,13,0),0)+IFERROR(VLOOKUP($A337,[5]库存使用数据!$A:$M,13,0),0)</f>
        <v>0.07</v>
      </c>
    </row>
    <row r="338" spans="1:13">
      <c r="A338" s="6" t="s">
        <v>343</v>
      </c>
      <c r="B338" s="2">
        <f ca="1">IFERROR(VLOOKUP(A338,[1]库存使用数据!$A:$B,2,0),0)+IFERROR(VLOOKUP(A338,[2]库存使用数据!$A:$B,2,0),0)+IFERROR(VLOOKUP(,[3]库存使用数据!$A:$B,2,0),0)+IFERROR(VLOOKUP(A338,[4]库存使用数据!$A:$B,2,0),0)+IFERROR(VLOOKUP(A338,[5]库存使用数据!$A:$B,2,0),0)</f>
        <v>0</v>
      </c>
      <c r="C338" s="1">
        <f ca="1">IFERROR(VLOOKUP($A338,[1]库存使用数据!$A:$C,3,0),0)+IFERROR(VLOOKUP($A338,[2]库存使用数据!$A:$C,3,0),0)+IFERROR(VLOOKUP($A338,[3]库存使用数据!$A:$C,3,0),0)+IFERROR(VLOOKUP($A338,[4]库存使用数据!$A:$C,3,0),0)+IFERROR(VLOOKUP($A338,[5]库存使用数据!$A:$C,3,0),0)</f>
        <v>0</v>
      </c>
      <c r="D338" s="1">
        <f ca="1">IFERROR(VLOOKUP($A338,[1]库存使用数据!$A:$D,4,0),0)+IFERROR(VLOOKUP($A338,[2]库存使用数据!$A:$D,4,0),0)+公式!$B$1*IFERROR(VLOOKUP($A338,[3]库存使用数据!$A:$D,4,0),0)+IFERROR(VLOOKUP($A338,[4]库存使用数据!$A:$D,4,0),0)+IFERROR(VLOOKUP($A338,[5]库存使用数据!$A:$D,4,0),0)</f>
        <v>0</v>
      </c>
      <c r="E338" s="1">
        <f ca="1">IFERROR(VLOOKUP($A338,[1]库存使用数据!$A:$E,5,0),0)+IFERROR(VLOOKUP($A338,[2]库存使用数据!$A:$E,5,0),0)+IFERROR(VLOOKUP($A338,[3]库存使用数据!$A:$E,5,0),0)+IFERROR(VLOOKUP($A338,[4]库存使用数据!$A:$E,5,0),0)+IFERROR(VLOOKUP($A338,[5]库存使用数据!$A:$E,5,0),0)</f>
        <v>375</v>
      </c>
      <c r="F338" s="1">
        <f ca="1">IFERROR(VLOOKUP($A338,[1]库存使用数据!$A:$F,6,0),0)+IFERROR(VLOOKUP($A338,[2]库存使用数据!$A:$F,6,0),0)+IFERROR(VLOOKUP($A338,[4]库存使用数据!$A:$F,6,0),0)+IFERROR(VLOOKUP($A338,[3]库存使用数据!$A:$F,6,0),0)+IFERROR(VLOOKUP($A338,[5]库存使用数据!$A:$F,6,0),0)</f>
        <v>0</v>
      </c>
      <c r="G338" s="1">
        <f ca="1">IFERROR(VLOOKUP($A338,[1]库存使用数据!$A:$G,7,0),0)+IFERROR(VLOOKUP($A338,[2]库存使用数据!$A:$G,7,0),0)+公式!$B$14*IFERROR(VLOOKUP($A338,[3]库存使用数据!$A:$G,7,0),0)+IFERROR(VLOOKUP($A338,[4]库存使用数据!$A:$G,7,0),0)+IFERROR(VLOOKUP($A338,[5]库存使用数据!$A:$G,7,0),0)</f>
        <v>0</v>
      </c>
      <c r="H338" s="1">
        <f ca="1">IFERROR(VLOOKUP($A338,[1]库存使用数据!$A:$H,8,0),0)+IFERROR(VLOOKUP($A338,[2]库存使用数据!$A:$H,8,0),0)+IFERROR(VLOOKUP($A338,[3]库存使用数据!$A:$H,8,0),0)+IFERROR(VLOOKUP($A338,[4]库存使用数据!$A:$H,8,0),0)+IFERROR(VLOOKUP($A338,[5]库存使用数据!$A:$H,8,0),0)</f>
        <v>224</v>
      </c>
      <c r="I338" s="1">
        <f ca="1">IFERROR(VLOOKUP($A338,[1]库存使用数据!$A:$I,9,0),0)+IFERROR(VLOOKUP($A338,[2]库存使用数据!$A:$I,9,0),0)+IFERROR(VLOOKUP($A338,[3]库存使用数据!$A:$I,9,0),0)+IFERROR(VLOOKUP($A338,[4]库存使用数据!$A:$I,9,0),0)+IFERROR(VLOOKUP($A338,[5]库存使用数据!$A:$I,9,0),0)</f>
        <v>5</v>
      </c>
      <c r="J338" s="1">
        <f ca="1">IFERROR(VLOOKUP($A338,[1]库存使用数据!$A:$J,10,0),0)+IFERROR(VLOOKUP($A338,[2]库存使用数据!$A:$J,10,0),0)+公式!$B$14*IFERROR(VLOOKUP($A338,[3]库存使用数据!$A:$J,10,0),0)+IFERROR(VLOOKUP($A338,[4]库存使用数据!$A:$J,10,0),0)+IFERROR(VLOOKUP($A338,[5]库存使用数据!$A:$J,10,0),0)</f>
        <v>0</v>
      </c>
      <c r="K338" s="1">
        <f ca="1">IFERROR(VLOOKUP($A338,[1]库存使用数据!$A:$K,11,0),0)+IFERROR(VLOOKUP($A338,[2]库存使用数据!$A:$K,11,0),0)+IFERROR(VLOOKUP($A338,[3]库存使用数据!$A:$K,11,0),0)+IFERROR(VLOOKUP($A338,[4]库存使用数据!$A:$K,11,0),0)+IFERROR(VLOOKUP($A338,[5]库存使用数据!$A:$K,11,0),0)</f>
        <v>362</v>
      </c>
      <c r="L338" s="1">
        <f ca="1">IFERROR(VLOOKUP($A338,[1]库存使用数据!$A:$L,12,0),0)+IFERROR(VLOOKUP($A338,[2]库存使用数据!$A:$L,12,0),0)+IFERROR(VLOOKUP($A338,[3]库存使用数据!$A:$L,12,0),0)+IFERROR(VLOOKUP($A338,[4]库存使用数据!$A:$L,12,0),0)+IFERROR(VLOOKUP($A338,[5]库存使用数据!$A:$L,12,0),0)</f>
        <v>1</v>
      </c>
      <c r="M338" s="1">
        <f ca="1">IFERROR(VLOOKUP($A338,[1]库存使用数据!$A:$M,13,0),0)+IFERROR(VLOOKUP($A338,[2]库存使用数据!$A:$M,13,0),0)+公式!$B$14*IFERROR(VLOOKUP($A338,[3]库存使用数据!$A:$M,13,0),0)+IFERROR(VLOOKUP($A338,[4]库存使用数据!$A:$M,13,0),0)+IFERROR(VLOOKUP($A338,[5]库存使用数据!$A:$M,13,0),0)</f>
        <v>0</v>
      </c>
    </row>
    <row r="339" spans="1:13">
      <c r="A339" s="6" t="s">
        <v>344</v>
      </c>
      <c r="B339" s="2">
        <f ca="1">IFERROR(VLOOKUP(A339,[1]库存使用数据!$A:$B,2,0),0)+IFERROR(VLOOKUP(A339,[2]库存使用数据!$A:$B,2,0),0)+IFERROR(VLOOKUP(,[3]库存使用数据!$A:$B,2,0),0)+IFERROR(VLOOKUP(A339,[4]库存使用数据!$A:$B,2,0),0)+IFERROR(VLOOKUP(A339,[5]库存使用数据!$A:$B,2,0),0)</f>
        <v>125</v>
      </c>
      <c r="C339" s="1">
        <f ca="1">IFERROR(VLOOKUP($A339,[1]库存使用数据!$A:$C,3,0),0)+IFERROR(VLOOKUP($A339,[2]库存使用数据!$A:$C,3,0),0)+IFERROR(VLOOKUP($A339,[3]库存使用数据!$A:$C,3,0),0)+IFERROR(VLOOKUP($A339,[4]库存使用数据!$A:$C,3,0),0)+IFERROR(VLOOKUP($A339,[5]库存使用数据!$A:$C,3,0),0)</f>
        <v>4</v>
      </c>
      <c r="D339" s="1">
        <f ca="1">IFERROR(VLOOKUP($A339,[1]库存使用数据!$A:$D,4,0),0)+IFERROR(VLOOKUP($A339,[2]库存使用数据!$A:$D,4,0),0)+公式!$B$1*IFERROR(VLOOKUP($A339,[3]库存使用数据!$A:$D,4,0),0)+IFERROR(VLOOKUP($A339,[4]库存使用数据!$A:$D,4,0),0)+IFERROR(VLOOKUP($A339,[5]库存使用数据!$A:$D,4,0),0)</f>
        <v>0.44375</v>
      </c>
      <c r="E339" s="1">
        <f ca="1">IFERROR(VLOOKUP($A339,[1]库存使用数据!$A:$E,5,0),0)+IFERROR(VLOOKUP($A339,[2]库存使用数据!$A:$E,5,0),0)+IFERROR(VLOOKUP($A339,[3]库存使用数据!$A:$E,5,0),0)+IFERROR(VLOOKUP($A339,[4]库存使用数据!$A:$E,5,0),0)+IFERROR(VLOOKUP($A339,[5]库存使用数据!$A:$E,5,0),0)</f>
        <v>535</v>
      </c>
      <c r="F339" s="1">
        <f ca="1">IFERROR(VLOOKUP($A339,[1]库存使用数据!$A:$F,6,0),0)+IFERROR(VLOOKUP($A339,[2]库存使用数据!$A:$F,6,0),0)+IFERROR(VLOOKUP($A339,[4]库存使用数据!$A:$F,6,0),0)+IFERROR(VLOOKUP($A339,[3]库存使用数据!$A:$F,6,0),0)+IFERROR(VLOOKUP($A339,[5]库存使用数据!$A:$F,6,0),0)</f>
        <v>1</v>
      </c>
      <c r="G339" s="1">
        <f ca="1">IFERROR(VLOOKUP($A339,[1]库存使用数据!$A:$G,7,0),0)+IFERROR(VLOOKUP($A339,[2]库存使用数据!$A:$G,7,0),0)+公式!$B$14*IFERROR(VLOOKUP($A339,[3]库存使用数据!$A:$G,7,0),0)+IFERROR(VLOOKUP($A339,[4]库存使用数据!$A:$G,7,0),0)+IFERROR(VLOOKUP($A339,[5]库存使用数据!$A:$G,7,0),0)</f>
        <v>0</v>
      </c>
      <c r="H339" s="1">
        <f ca="1">IFERROR(VLOOKUP($A339,[1]库存使用数据!$A:$H,8,0),0)+IFERROR(VLOOKUP($A339,[2]库存使用数据!$A:$H,8,0),0)+IFERROR(VLOOKUP($A339,[3]库存使用数据!$A:$H,8,0),0)+IFERROR(VLOOKUP($A339,[4]库存使用数据!$A:$H,8,0),0)+IFERROR(VLOOKUP($A339,[5]库存使用数据!$A:$H,8,0),0)</f>
        <v>872</v>
      </c>
      <c r="I339" s="1">
        <f ca="1">IFERROR(VLOOKUP($A339,[1]库存使用数据!$A:$I,9,0),0)+IFERROR(VLOOKUP($A339,[2]库存使用数据!$A:$I,9,0),0)+IFERROR(VLOOKUP($A339,[3]库存使用数据!$A:$I,9,0),0)+IFERROR(VLOOKUP($A339,[4]库存使用数据!$A:$I,9,0),0)+IFERROR(VLOOKUP($A339,[5]库存使用数据!$A:$I,9,0),0)</f>
        <v>5</v>
      </c>
      <c r="J339" s="1">
        <f ca="1">IFERROR(VLOOKUP($A339,[1]库存使用数据!$A:$J,10,0),0)+IFERROR(VLOOKUP($A339,[2]库存使用数据!$A:$J,10,0),0)+公式!$B$14*IFERROR(VLOOKUP($A339,[3]库存使用数据!$A:$J,10,0),0)+IFERROR(VLOOKUP($A339,[4]库存使用数据!$A:$J,10,0),0)+IFERROR(VLOOKUP($A339,[5]库存使用数据!$A:$J,10,0),0)</f>
        <v>0.06</v>
      </c>
      <c r="K339" s="1">
        <f ca="1">IFERROR(VLOOKUP($A339,[1]库存使用数据!$A:$K,11,0),0)+IFERROR(VLOOKUP($A339,[2]库存使用数据!$A:$K,11,0),0)+IFERROR(VLOOKUP($A339,[3]库存使用数据!$A:$K,11,0),0)+IFERROR(VLOOKUP($A339,[4]库存使用数据!$A:$K,11,0),0)+IFERROR(VLOOKUP($A339,[5]库存使用数据!$A:$K,11,0),0)</f>
        <v>836</v>
      </c>
      <c r="L339" s="1">
        <f ca="1">IFERROR(VLOOKUP($A339,[1]库存使用数据!$A:$L,12,0),0)+IFERROR(VLOOKUP($A339,[2]库存使用数据!$A:$L,12,0),0)+IFERROR(VLOOKUP($A339,[3]库存使用数据!$A:$L,12,0),0)+IFERROR(VLOOKUP($A339,[4]库存使用数据!$A:$L,12,0),0)+IFERROR(VLOOKUP($A339,[5]库存使用数据!$A:$L,12,0),0)</f>
        <v>6</v>
      </c>
      <c r="M339" s="1">
        <f ca="1">IFERROR(VLOOKUP($A339,[1]库存使用数据!$A:$M,13,0),0)+IFERROR(VLOOKUP($A339,[2]库存使用数据!$A:$M,13,0),0)+公式!$B$14*IFERROR(VLOOKUP($A339,[3]库存使用数据!$A:$M,13,0),0)+IFERROR(VLOOKUP($A339,[4]库存使用数据!$A:$M,13,0),0)+IFERROR(VLOOKUP($A339,[5]库存使用数据!$A:$M,13,0),0)</f>
        <v>0.05</v>
      </c>
    </row>
    <row r="340" spans="1:13">
      <c r="A340" s="6" t="s">
        <v>345</v>
      </c>
      <c r="B340" s="2">
        <f ca="1">IFERROR(VLOOKUP(A340,[1]库存使用数据!$A:$B,2,0),0)+IFERROR(VLOOKUP(A340,[2]库存使用数据!$A:$B,2,0),0)+IFERROR(VLOOKUP(,[3]库存使用数据!$A:$B,2,0),0)+IFERROR(VLOOKUP(A340,[4]库存使用数据!$A:$B,2,0),0)+IFERROR(VLOOKUP(A340,[5]库存使用数据!$A:$B,2,0),0)</f>
        <v>12593</v>
      </c>
      <c r="C340" s="1">
        <f ca="1">IFERROR(VLOOKUP($A340,[1]库存使用数据!$A:$C,3,0),0)+IFERROR(VLOOKUP($A340,[2]库存使用数据!$A:$C,3,0),0)+IFERROR(VLOOKUP($A340,[3]库存使用数据!$A:$C,3,0),0)+IFERROR(VLOOKUP($A340,[4]库存使用数据!$A:$C,3,0),0)+IFERROR(VLOOKUP($A340,[5]库存使用数据!$A:$C,3,0),0)</f>
        <v>34</v>
      </c>
      <c r="D340" s="1">
        <f ca="1">IFERROR(VLOOKUP($A340,[1]库存使用数据!$A:$D,4,0),0)+IFERROR(VLOOKUP($A340,[2]库存使用数据!$A:$D,4,0),0)+公式!$B$1*IFERROR(VLOOKUP($A340,[3]库存使用数据!$A:$D,4,0),0)+IFERROR(VLOOKUP($A340,[4]库存使用数据!$A:$D,4,0),0)+IFERROR(VLOOKUP($A340,[5]库存使用数据!$A:$D,4,0),0)</f>
        <v>8.87625</v>
      </c>
      <c r="E340" s="1">
        <f ca="1">IFERROR(VLOOKUP($A340,[1]库存使用数据!$A:$E,5,0),0)+IFERROR(VLOOKUP($A340,[2]库存使用数据!$A:$E,5,0),0)+IFERROR(VLOOKUP($A340,[3]库存使用数据!$A:$E,5,0),0)+IFERROR(VLOOKUP($A340,[4]库存使用数据!$A:$E,5,0),0)+IFERROR(VLOOKUP($A340,[5]库存使用数据!$A:$E,5,0),0)</f>
        <v>13809</v>
      </c>
      <c r="F340" s="1">
        <f ca="1">IFERROR(VLOOKUP($A340,[1]库存使用数据!$A:$F,6,0),0)+IFERROR(VLOOKUP($A340,[2]库存使用数据!$A:$F,6,0),0)+IFERROR(VLOOKUP($A340,[4]库存使用数据!$A:$F,6,0),0)+IFERROR(VLOOKUP($A340,[3]库存使用数据!$A:$F,6,0),0)+IFERROR(VLOOKUP($A340,[5]库存使用数据!$A:$F,6,0),0)</f>
        <v>24</v>
      </c>
      <c r="G340" s="1">
        <f ca="1">IFERROR(VLOOKUP($A340,[1]库存使用数据!$A:$G,7,0),0)+IFERROR(VLOOKUP($A340,[2]库存使用数据!$A:$G,7,0),0)+公式!$B$14*IFERROR(VLOOKUP($A340,[3]库存使用数据!$A:$G,7,0),0)+IFERROR(VLOOKUP($A340,[4]库存使用数据!$A:$G,7,0),0)+IFERROR(VLOOKUP($A340,[5]库存使用数据!$A:$G,7,0),0)</f>
        <v>5.1</v>
      </c>
      <c r="H340" s="1">
        <f ca="1">IFERROR(VLOOKUP($A340,[1]库存使用数据!$A:$H,8,0),0)+IFERROR(VLOOKUP($A340,[2]库存使用数据!$A:$H,8,0),0)+IFERROR(VLOOKUP($A340,[3]库存使用数据!$A:$H,8,0),0)+IFERROR(VLOOKUP($A340,[4]库存使用数据!$A:$H,8,0),0)+IFERROR(VLOOKUP($A340,[5]库存使用数据!$A:$H,8,0),0)</f>
        <v>16054</v>
      </c>
      <c r="I340" s="1">
        <f ca="1">IFERROR(VLOOKUP($A340,[1]库存使用数据!$A:$I,9,0),0)+IFERROR(VLOOKUP($A340,[2]库存使用数据!$A:$I,9,0),0)+IFERROR(VLOOKUP($A340,[3]库存使用数据!$A:$I,9,0),0)+IFERROR(VLOOKUP($A340,[4]库存使用数据!$A:$I,9,0),0)+IFERROR(VLOOKUP($A340,[5]库存使用数据!$A:$I,9,0),0)</f>
        <v>29</v>
      </c>
      <c r="J340" s="1">
        <f ca="1">IFERROR(VLOOKUP($A340,[1]库存使用数据!$A:$J,10,0),0)+IFERROR(VLOOKUP($A340,[2]库存使用数据!$A:$J,10,0),0)+公式!$B$14*IFERROR(VLOOKUP($A340,[3]库存使用数据!$A:$J,10,0),0)+IFERROR(VLOOKUP($A340,[4]库存使用数据!$A:$J,10,0),0)+IFERROR(VLOOKUP($A340,[5]库存使用数据!$A:$J,10,0),0)</f>
        <v>6.13</v>
      </c>
      <c r="K340" s="1">
        <f ca="1">IFERROR(VLOOKUP($A340,[1]库存使用数据!$A:$K,11,0),0)+IFERROR(VLOOKUP($A340,[2]库存使用数据!$A:$K,11,0),0)+IFERROR(VLOOKUP($A340,[3]库存使用数据!$A:$K,11,0),0)+IFERROR(VLOOKUP($A340,[4]库存使用数据!$A:$K,11,0),0)+IFERROR(VLOOKUP($A340,[5]库存使用数据!$A:$K,11,0),0)</f>
        <v>11477</v>
      </c>
      <c r="L340" s="1">
        <f ca="1">IFERROR(VLOOKUP($A340,[1]库存使用数据!$A:$L,12,0),0)+IFERROR(VLOOKUP($A340,[2]库存使用数据!$A:$L,12,0),0)+IFERROR(VLOOKUP($A340,[3]库存使用数据!$A:$L,12,0),0)+IFERROR(VLOOKUP($A340,[4]库存使用数据!$A:$L,12,0),0)+IFERROR(VLOOKUP($A340,[5]库存使用数据!$A:$L,12,0),0)</f>
        <v>21</v>
      </c>
      <c r="M340" s="1">
        <f ca="1">IFERROR(VLOOKUP($A340,[1]库存使用数据!$A:$M,13,0),0)+IFERROR(VLOOKUP($A340,[2]库存使用数据!$A:$M,13,0),0)+公式!$B$14*IFERROR(VLOOKUP($A340,[3]库存使用数据!$A:$M,13,0),0)+IFERROR(VLOOKUP($A340,[4]库存使用数据!$A:$M,13,0),0)+IFERROR(VLOOKUP($A340,[5]库存使用数据!$A:$M,13,0),0)</f>
        <v>5.16</v>
      </c>
    </row>
    <row r="341" spans="1:13">
      <c r="A341" s="6" t="s">
        <v>346</v>
      </c>
      <c r="B341" s="2">
        <f ca="1">IFERROR(VLOOKUP(A341,[1]库存使用数据!$A:$B,2,0),0)+IFERROR(VLOOKUP(A341,[2]库存使用数据!$A:$B,2,0),0)+IFERROR(VLOOKUP(,[3]库存使用数据!$A:$B,2,0),0)+IFERROR(VLOOKUP(A341,[4]库存使用数据!$A:$B,2,0),0)+IFERROR(VLOOKUP(A341,[5]库存使用数据!$A:$B,2,0),0)</f>
        <v>3244</v>
      </c>
      <c r="C341" s="1">
        <f ca="1">IFERROR(VLOOKUP($A341,[1]库存使用数据!$A:$C,3,0),0)+IFERROR(VLOOKUP($A341,[2]库存使用数据!$A:$C,3,0),0)+IFERROR(VLOOKUP($A341,[3]库存使用数据!$A:$C,3,0),0)+IFERROR(VLOOKUP($A341,[4]库存使用数据!$A:$C,3,0),0)+IFERROR(VLOOKUP($A341,[5]库存使用数据!$A:$C,3,0),0)</f>
        <v>7</v>
      </c>
      <c r="D341" s="1">
        <f ca="1">IFERROR(VLOOKUP($A341,[1]库存使用数据!$A:$D,4,0),0)+IFERROR(VLOOKUP($A341,[2]库存使用数据!$A:$D,4,0),0)+公式!$B$1*IFERROR(VLOOKUP($A341,[3]库存使用数据!$A:$D,4,0),0)+IFERROR(VLOOKUP($A341,[4]库存使用数据!$A:$D,4,0),0)+IFERROR(VLOOKUP($A341,[5]库存使用数据!$A:$D,4,0),0)</f>
        <v>1.49</v>
      </c>
      <c r="E341" s="1">
        <f ca="1">IFERROR(VLOOKUP($A341,[1]库存使用数据!$A:$E,5,0),0)+IFERROR(VLOOKUP($A341,[2]库存使用数据!$A:$E,5,0),0)+IFERROR(VLOOKUP($A341,[3]库存使用数据!$A:$E,5,0),0)+IFERROR(VLOOKUP($A341,[4]库存使用数据!$A:$E,5,0),0)+IFERROR(VLOOKUP($A341,[5]库存使用数据!$A:$E,5,0),0)</f>
        <v>5066</v>
      </c>
      <c r="F341" s="1">
        <f ca="1">IFERROR(VLOOKUP($A341,[1]库存使用数据!$A:$F,6,0),0)+IFERROR(VLOOKUP($A341,[2]库存使用数据!$A:$F,6,0),0)+IFERROR(VLOOKUP($A341,[4]库存使用数据!$A:$F,6,0),0)+IFERROR(VLOOKUP($A341,[3]库存使用数据!$A:$F,6,0),0)+IFERROR(VLOOKUP($A341,[5]库存使用数据!$A:$F,6,0),0)</f>
        <v>9</v>
      </c>
      <c r="G341" s="1">
        <f ca="1">IFERROR(VLOOKUP($A341,[1]库存使用数据!$A:$G,7,0),0)+IFERROR(VLOOKUP($A341,[2]库存使用数据!$A:$G,7,0),0)+公式!$B$14*IFERROR(VLOOKUP($A341,[3]库存使用数据!$A:$G,7,0),0)+IFERROR(VLOOKUP($A341,[4]库存使用数据!$A:$G,7,0),0)+IFERROR(VLOOKUP($A341,[5]库存使用数据!$A:$G,7,0),0)</f>
        <v>1.23</v>
      </c>
      <c r="H341" s="1">
        <f ca="1">IFERROR(VLOOKUP($A341,[1]库存使用数据!$A:$H,8,0),0)+IFERROR(VLOOKUP($A341,[2]库存使用数据!$A:$H,8,0),0)+IFERROR(VLOOKUP($A341,[3]库存使用数据!$A:$H,8,0),0)+IFERROR(VLOOKUP($A341,[4]库存使用数据!$A:$H,8,0),0)+IFERROR(VLOOKUP($A341,[5]库存使用数据!$A:$H,8,0),0)</f>
        <v>2588</v>
      </c>
      <c r="I341" s="1">
        <f ca="1">IFERROR(VLOOKUP($A341,[1]库存使用数据!$A:$I,9,0),0)+IFERROR(VLOOKUP($A341,[2]库存使用数据!$A:$I,9,0),0)+IFERROR(VLOOKUP($A341,[3]库存使用数据!$A:$I,9,0),0)+IFERROR(VLOOKUP($A341,[4]库存使用数据!$A:$I,9,0),0)+IFERROR(VLOOKUP($A341,[5]库存使用数据!$A:$I,9,0),0)</f>
        <v>9</v>
      </c>
      <c r="J341" s="1">
        <f ca="1">IFERROR(VLOOKUP($A341,[1]库存使用数据!$A:$J,10,0),0)+IFERROR(VLOOKUP($A341,[2]库存使用数据!$A:$J,10,0),0)+公式!$B$14*IFERROR(VLOOKUP($A341,[3]库存使用数据!$A:$J,10,0),0)+IFERROR(VLOOKUP($A341,[4]库存使用数据!$A:$J,10,0),0)+IFERROR(VLOOKUP($A341,[5]库存使用数据!$A:$J,10,0),0)</f>
        <v>2.68</v>
      </c>
      <c r="K341" s="1">
        <f ca="1">IFERROR(VLOOKUP($A341,[1]库存使用数据!$A:$K,11,0),0)+IFERROR(VLOOKUP($A341,[2]库存使用数据!$A:$K,11,0),0)+IFERROR(VLOOKUP($A341,[3]库存使用数据!$A:$K,11,0),0)+IFERROR(VLOOKUP($A341,[4]库存使用数据!$A:$K,11,0),0)+IFERROR(VLOOKUP($A341,[5]库存使用数据!$A:$K,11,0),0)</f>
        <v>2595</v>
      </c>
      <c r="L341" s="1">
        <f ca="1">IFERROR(VLOOKUP($A341,[1]库存使用数据!$A:$L,12,0),0)+IFERROR(VLOOKUP($A341,[2]库存使用数据!$A:$L,12,0),0)+IFERROR(VLOOKUP($A341,[3]库存使用数据!$A:$L,12,0),0)+IFERROR(VLOOKUP($A341,[4]库存使用数据!$A:$L,12,0),0)+IFERROR(VLOOKUP($A341,[5]库存使用数据!$A:$L,12,0),0)</f>
        <v>3</v>
      </c>
      <c r="M341" s="1">
        <f ca="1">IFERROR(VLOOKUP($A341,[1]库存使用数据!$A:$M,13,0),0)+IFERROR(VLOOKUP($A341,[2]库存使用数据!$A:$M,13,0),0)+公式!$B$14*IFERROR(VLOOKUP($A341,[3]库存使用数据!$A:$M,13,0),0)+IFERROR(VLOOKUP($A341,[4]库存使用数据!$A:$M,13,0),0)+IFERROR(VLOOKUP($A341,[5]库存使用数据!$A:$M,13,0),0)</f>
        <v>0.84</v>
      </c>
    </row>
    <row r="342" spans="1:13">
      <c r="A342" s="6" t="s">
        <v>347</v>
      </c>
      <c r="B342" s="2">
        <f ca="1">IFERROR(VLOOKUP(A342,[1]库存使用数据!$A:$B,2,0),0)+IFERROR(VLOOKUP(A342,[2]库存使用数据!$A:$B,2,0),0)+IFERROR(VLOOKUP(,[3]库存使用数据!$A:$B,2,0),0)+IFERROR(VLOOKUP(A342,[4]库存使用数据!$A:$B,2,0),0)+IFERROR(VLOOKUP(A342,[5]库存使用数据!$A:$B,2,0),0)</f>
        <v>0</v>
      </c>
      <c r="C342" s="1">
        <f ca="1">IFERROR(VLOOKUP($A342,[1]库存使用数据!$A:$C,3,0),0)+IFERROR(VLOOKUP($A342,[2]库存使用数据!$A:$C,3,0),0)+IFERROR(VLOOKUP($A342,[3]库存使用数据!$A:$C,3,0),0)+IFERROR(VLOOKUP($A342,[4]库存使用数据!$A:$C,3,0),0)+IFERROR(VLOOKUP($A342,[5]库存使用数据!$A:$C,3,0),0)</f>
        <v>0</v>
      </c>
      <c r="D342" s="1">
        <f ca="1">IFERROR(VLOOKUP($A342,[1]库存使用数据!$A:$D,4,0),0)+IFERROR(VLOOKUP($A342,[2]库存使用数据!$A:$D,4,0),0)+公式!$B$1*IFERROR(VLOOKUP($A342,[3]库存使用数据!$A:$D,4,0),0)+IFERROR(VLOOKUP($A342,[4]库存使用数据!$A:$D,4,0),0)+IFERROR(VLOOKUP($A342,[5]库存使用数据!$A:$D,4,0),0)</f>
        <v>0</v>
      </c>
      <c r="E342" s="1">
        <f ca="1">IFERROR(VLOOKUP($A342,[1]库存使用数据!$A:$E,5,0),0)+IFERROR(VLOOKUP($A342,[2]库存使用数据!$A:$E,5,0),0)+IFERROR(VLOOKUP($A342,[3]库存使用数据!$A:$E,5,0),0)+IFERROR(VLOOKUP($A342,[4]库存使用数据!$A:$E,5,0),0)+IFERROR(VLOOKUP($A342,[5]库存使用数据!$A:$E,5,0),0)</f>
        <v>1324</v>
      </c>
      <c r="F342" s="1">
        <f ca="1">IFERROR(VLOOKUP($A342,[1]库存使用数据!$A:$F,6,0),0)+IFERROR(VLOOKUP($A342,[2]库存使用数据!$A:$F,6,0),0)+IFERROR(VLOOKUP($A342,[4]库存使用数据!$A:$F,6,0),0)+IFERROR(VLOOKUP($A342,[3]库存使用数据!$A:$F,6,0),0)+IFERROR(VLOOKUP($A342,[5]库存使用数据!$A:$F,6,0),0)</f>
        <v>4</v>
      </c>
      <c r="G342" s="1">
        <f ca="1">IFERROR(VLOOKUP($A342,[1]库存使用数据!$A:$G,7,0),0)+IFERROR(VLOOKUP($A342,[2]库存使用数据!$A:$G,7,0),0)+公式!$B$14*IFERROR(VLOOKUP($A342,[3]库存使用数据!$A:$G,7,0),0)+IFERROR(VLOOKUP($A342,[4]库存使用数据!$A:$G,7,0),0)+IFERROR(VLOOKUP($A342,[5]库存使用数据!$A:$G,7,0),0)</f>
        <v>0.24</v>
      </c>
      <c r="H342" s="1">
        <f ca="1">IFERROR(VLOOKUP($A342,[1]库存使用数据!$A:$H,8,0),0)+IFERROR(VLOOKUP($A342,[2]库存使用数据!$A:$H,8,0),0)+IFERROR(VLOOKUP($A342,[3]库存使用数据!$A:$H,8,0),0)+IFERROR(VLOOKUP($A342,[4]库存使用数据!$A:$H,8,0),0)+IFERROR(VLOOKUP($A342,[5]库存使用数据!$A:$H,8,0),0)</f>
        <v>3492</v>
      </c>
      <c r="I342" s="1">
        <f ca="1">IFERROR(VLOOKUP($A342,[1]库存使用数据!$A:$I,9,0),0)+IFERROR(VLOOKUP($A342,[2]库存使用数据!$A:$I,9,0),0)+IFERROR(VLOOKUP($A342,[3]库存使用数据!$A:$I,9,0),0)+IFERROR(VLOOKUP($A342,[4]库存使用数据!$A:$I,9,0),0)+IFERROR(VLOOKUP($A342,[5]库存使用数据!$A:$I,9,0),0)</f>
        <v>4</v>
      </c>
      <c r="J342" s="1">
        <f ca="1">IFERROR(VLOOKUP($A342,[1]库存使用数据!$A:$J,10,0),0)+IFERROR(VLOOKUP($A342,[2]库存使用数据!$A:$J,10,0),0)+公式!$B$14*IFERROR(VLOOKUP($A342,[3]库存使用数据!$A:$J,10,0),0)+IFERROR(VLOOKUP($A342,[4]库存使用数据!$A:$J,10,0),0)+IFERROR(VLOOKUP($A342,[5]库存使用数据!$A:$J,10,0),0)</f>
        <v>0.39</v>
      </c>
      <c r="K342" s="1">
        <f ca="1">IFERROR(VLOOKUP($A342,[1]库存使用数据!$A:$K,11,0),0)+IFERROR(VLOOKUP($A342,[2]库存使用数据!$A:$K,11,0),0)+IFERROR(VLOOKUP($A342,[3]库存使用数据!$A:$K,11,0),0)+IFERROR(VLOOKUP($A342,[4]库存使用数据!$A:$K,11,0),0)+IFERROR(VLOOKUP($A342,[5]库存使用数据!$A:$K,11,0),0)</f>
        <v>402</v>
      </c>
      <c r="L342" s="1">
        <f ca="1">IFERROR(VLOOKUP($A342,[1]库存使用数据!$A:$L,12,0),0)+IFERROR(VLOOKUP($A342,[2]库存使用数据!$A:$L,12,0),0)+IFERROR(VLOOKUP($A342,[3]库存使用数据!$A:$L,12,0),0)+IFERROR(VLOOKUP($A342,[4]库存使用数据!$A:$L,12,0),0)+IFERROR(VLOOKUP($A342,[5]库存使用数据!$A:$L,12,0),0)</f>
        <v>2</v>
      </c>
      <c r="M342" s="1">
        <f ca="1">IFERROR(VLOOKUP($A342,[1]库存使用数据!$A:$M,13,0),0)+IFERROR(VLOOKUP($A342,[2]库存使用数据!$A:$M,13,0),0)+公式!$B$14*IFERROR(VLOOKUP($A342,[3]库存使用数据!$A:$M,13,0),0)+IFERROR(VLOOKUP($A342,[4]库存使用数据!$A:$M,13,0),0)+IFERROR(VLOOKUP($A342,[5]库存使用数据!$A:$M,13,0),0)</f>
        <v>0.18</v>
      </c>
    </row>
    <row r="343" spans="1:13">
      <c r="A343" s="6" t="s">
        <v>348</v>
      </c>
      <c r="B343" s="2">
        <f ca="1">IFERROR(VLOOKUP(A343,[1]库存使用数据!$A:$B,2,0),0)+IFERROR(VLOOKUP(A343,[2]库存使用数据!$A:$B,2,0),0)+IFERROR(VLOOKUP(,[3]库存使用数据!$A:$B,2,0),0)+IFERROR(VLOOKUP(A343,[4]库存使用数据!$A:$B,2,0),0)+IFERROR(VLOOKUP(A343,[5]库存使用数据!$A:$B,2,0),0)</f>
        <v>0</v>
      </c>
      <c r="C343" s="1">
        <f ca="1">IFERROR(VLOOKUP($A343,[1]库存使用数据!$A:$C,3,0),0)+IFERROR(VLOOKUP($A343,[2]库存使用数据!$A:$C,3,0),0)+IFERROR(VLOOKUP($A343,[3]库存使用数据!$A:$C,3,0),0)+IFERROR(VLOOKUP($A343,[4]库存使用数据!$A:$C,3,0),0)+IFERROR(VLOOKUP($A343,[5]库存使用数据!$A:$C,3,0),0)</f>
        <v>0</v>
      </c>
      <c r="D343" s="1">
        <f ca="1">IFERROR(VLOOKUP($A343,[1]库存使用数据!$A:$D,4,0),0)+IFERROR(VLOOKUP($A343,[2]库存使用数据!$A:$D,4,0),0)+公式!$B$1*IFERROR(VLOOKUP($A343,[3]库存使用数据!$A:$D,4,0),0)+IFERROR(VLOOKUP($A343,[4]库存使用数据!$A:$D,4,0),0)+IFERROR(VLOOKUP($A343,[5]库存使用数据!$A:$D,4,0),0)</f>
        <v>0</v>
      </c>
      <c r="E343" s="1">
        <f ca="1">IFERROR(VLOOKUP($A343,[1]库存使用数据!$A:$E,5,0),0)+IFERROR(VLOOKUP($A343,[2]库存使用数据!$A:$E,5,0),0)+IFERROR(VLOOKUP($A343,[3]库存使用数据!$A:$E,5,0),0)+IFERROR(VLOOKUP($A343,[4]库存使用数据!$A:$E,5,0),0)+IFERROR(VLOOKUP($A343,[5]库存使用数据!$A:$E,5,0),0)</f>
        <v>47</v>
      </c>
      <c r="F343" s="1">
        <f ca="1">IFERROR(VLOOKUP($A343,[1]库存使用数据!$A:$F,6,0),0)+IFERROR(VLOOKUP($A343,[2]库存使用数据!$A:$F,6,0),0)+IFERROR(VLOOKUP($A343,[4]库存使用数据!$A:$F,6,0),0)+IFERROR(VLOOKUP($A343,[3]库存使用数据!$A:$F,6,0),0)+IFERROR(VLOOKUP($A343,[5]库存使用数据!$A:$F,6,0),0)</f>
        <v>0</v>
      </c>
      <c r="G343" s="1">
        <f ca="1">IFERROR(VLOOKUP($A343,[1]库存使用数据!$A:$G,7,0),0)+IFERROR(VLOOKUP($A343,[2]库存使用数据!$A:$G,7,0),0)+公式!$B$14*IFERROR(VLOOKUP($A343,[3]库存使用数据!$A:$G,7,0),0)+IFERROR(VLOOKUP($A343,[4]库存使用数据!$A:$G,7,0),0)+IFERROR(VLOOKUP($A343,[5]库存使用数据!$A:$G,7,0),0)</f>
        <v>0</v>
      </c>
      <c r="H343" s="1">
        <f ca="1">IFERROR(VLOOKUP($A343,[1]库存使用数据!$A:$H,8,0),0)+IFERROR(VLOOKUP($A343,[2]库存使用数据!$A:$H,8,0),0)+IFERROR(VLOOKUP($A343,[3]库存使用数据!$A:$H,8,0),0)+IFERROR(VLOOKUP($A343,[4]库存使用数据!$A:$H,8,0),0)+IFERROR(VLOOKUP($A343,[5]库存使用数据!$A:$H,8,0),0)</f>
        <v>46</v>
      </c>
      <c r="I343" s="1">
        <f ca="1">IFERROR(VLOOKUP($A343,[1]库存使用数据!$A:$I,9,0),0)+IFERROR(VLOOKUP($A343,[2]库存使用数据!$A:$I,9,0),0)+IFERROR(VLOOKUP($A343,[3]库存使用数据!$A:$I,9,0),0)+IFERROR(VLOOKUP($A343,[4]库存使用数据!$A:$I,9,0),0)+IFERROR(VLOOKUP($A343,[5]库存使用数据!$A:$I,9,0),0)</f>
        <v>1</v>
      </c>
      <c r="J343" s="1">
        <f ca="1">IFERROR(VLOOKUP($A343,[1]库存使用数据!$A:$J,10,0),0)+IFERROR(VLOOKUP($A343,[2]库存使用数据!$A:$J,10,0),0)+公式!$B$14*IFERROR(VLOOKUP($A343,[3]库存使用数据!$A:$J,10,0),0)+IFERROR(VLOOKUP($A343,[4]库存使用数据!$A:$J,10,0),0)+IFERROR(VLOOKUP($A343,[5]库存使用数据!$A:$J,10,0),0)</f>
        <v>0</v>
      </c>
      <c r="K343" s="1">
        <f ca="1">IFERROR(VLOOKUP($A343,[1]库存使用数据!$A:$K,11,0),0)+IFERROR(VLOOKUP($A343,[2]库存使用数据!$A:$K,11,0),0)+IFERROR(VLOOKUP($A343,[3]库存使用数据!$A:$K,11,0),0)+IFERROR(VLOOKUP($A343,[4]库存使用数据!$A:$K,11,0),0)+IFERROR(VLOOKUP($A343,[5]库存使用数据!$A:$K,11,0),0)</f>
        <v>63</v>
      </c>
      <c r="L343" s="1">
        <f ca="1">IFERROR(VLOOKUP($A343,[1]库存使用数据!$A:$L,12,0),0)+IFERROR(VLOOKUP($A343,[2]库存使用数据!$A:$L,12,0),0)+IFERROR(VLOOKUP($A343,[3]库存使用数据!$A:$L,12,0),0)+IFERROR(VLOOKUP($A343,[4]库存使用数据!$A:$L,12,0),0)+IFERROR(VLOOKUP($A343,[5]库存使用数据!$A:$L,12,0),0)</f>
        <v>0</v>
      </c>
      <c r="M343" s="1">
        <f ca="1">IFERROR(VLOOKUP($A343,[1]库存使用数据!$A:$M,13,0),0)+IFERROR(VLOOKUP($A343,[2]库存使用数据!$A:$M,13,0),0)+公式!$B$14*IFERROR(VLOOKUP($A343,[3]库存使用数据!$A:$M,13,0),0)+IFERROR(VLOOKUP($A343,[4]库存使用数据!$A:$M,13,0),0)+IFERROR(VLOOKUP($A343,[5]库存使用数据!$A:$M,13,0),0)</f>
        <v>0</v>
      </c>
    </row>
    <row r="344" spans="1:13">
      <c r="A344" s="6" t="s">
        <v>349</v>
      </c>
      <c r="B344" s="2">
        <f ca="1">IFERROR(VLOOKUP(A344,[1]库存使用数据!$A:$B,2,0),0)+IFERROR(VLOOKUP(A344,[2]库存使用数据!$A:$B,2,0),0)+IFERROR(VLOOKUP(,[3]库存使用数据!$A:$B,2,0),0)+IFERROR(VLOOKUP(A344,[4]库存使用数据!$A:$B,2,0),0)+IFERROR(VLOOKUP(A344,[5]库存使用数据!$A:$B,2,0),0)</f>
        <v>660</v>
      </c>
      <c r="C344" s="1">
        <f ca="1">IFERROR(VLOOKUP($A344,[1]库存使用数据!$A:$C,3,0),0)+IFERROR(VLOOKUP($A344,[2]库存使用数据!$A:$C,3,0),0)+IFERROR(VLOOKUP($A344,[3]库存使用数据!$A:$C,3,0),0)+IFERROR(VLOOKUP($A344,[4]库存使用数据!$A:$C,3,0),0)+IFERROR(VLOOKUP($A344,[5]库存使用数据!$A:$C,3,0),0)</f>
        <v>13</v>
      </c>
      <c r="D344" s="1">
        <f ca="1">IFERROR(VLOOKUP($A344,[1]库存使用数据!$A:$D,4,0),0)+IFERROR(VLOOKUP($A344,[2]库存使用数据!$A:$D,4,0),0)+公式!$B$1*IFERROR(VLOOKUP($A344,[3]库存使用数据!$A:$D,4,0),0)+IFERROR(VLOOKUP($A344,[4]库存使用数据!$A:$D,4,0),0)+IFERROR(VLOOKUP($A344,[5]库存使用数据!$A:$D,4,0),0)</f>
        <v>2.32625</v>
      </c>
      <c r="E344" s="1">
        <f ca="1">IFERROR(VLOOKUP($A344,[1]库存使用数据!$A:$E,5,0),0)+IFERROR(VLOOKUP($A344,[2]库存使用数据!$A:$E,5,0),0)+IFERROR(VLOOKUP($A344,[3]库存使用数据!$A:$E,5,0),0)+IFERROR(VLOOKUP($A344,[4]库存使用数据!$A:$E,5,0),0)+IFERROR(VLOOKUP($A344,[5]库存使用数据!$A:$E,5,0),0)</f>
        <v>26336</v>
      </c>
      <c r="F344" s="1">
        <f ca="1">IFERROR(VLOOKUP($A344,[1]库存使用数据!$A:$F,6,0),0)+IFERROR(VLOOKUP($A344,[2]库存使用数据!$A:$F,6,0),0)+IFERROR(VLOOKUP($A344,[4]库存使用数据!$A:$F,6,0),0)+IFERROR(VLOOKUP($A344,[3]库存使用数据!$A:$F,6,0),0)+IFERROR(VLOOKUP($A344,[5]库存使用数据!$A:$F,6,0),0)</f>
        <v>35</v>
      </c>
      <c r="G344" s="1">
        <f ca="1">IFERROR(VLOOKUP($A344,[1]库存使用数据!$A:$G,7,0),0)+IFERROR(VLOOKUP($A344,[2]库存使用数据!$A:$G,7,0),0)+公式!$B$14*IFERROR(VLOOKUP($A344,[3]库存使用数据!$A:$G,7,0),0)+IFERROR(VLOOKUP($A344,[4]库存使用数据!$A:$G,7,0),0)+IFERROR(VLOOKUP($A344,[5]库存使用数据!$A:$G,7,0),0)</f>
        <v>5.36</v>
      </c>
      <c r="H344" s="1">
        <f ca="1">IFERROR(VLOOKUP($A344,[1]库存使用数据!$A:$H,8,0),0)+IFERROR(VLOOKUP($A344,[2]库存使用数据!$A:$H,8,0),0)+IFERROR(VLOOKUP($A344,[3]库存使用数据!$A:$H,8,0),0)+IFERROR(VLOOKUP($A344,[4]库存使用数据!$A:$H,8,0),0)+IFERROR(VLOOKUP($A344,[5]库存使用数据!$A:$H,8,0),0)</f>
        <v>26272</v>
      </c>
      <c r="I344" s="1">
        <f ca="1">IFERROR(VLOOKUP($A344,[1]库存使用数据!$A:$I,9,0),0)+IFERROR(VLOOKUP($A344,[2]库存使用数据!$A:$I,9,0),0)+IFERROR(VLOOKUP($A344,[3]库存使用数据!$A:$I,9,0),0)+IFERROR(VLOOKUP($A344,[4]库存使用数据!$A:$I,9,0),0)+IFERROR(VLOOKUP($A344,[5]库存使用数据!$A:$I,9,0),0)</f>
        <v>31</v>
      </c>
      <c r="J344" s="1">
        <f ca="1">IFERROR(VLOOKUP($A344,[1]库存使用数据!$A:$J,10,0),0)+IFERROR(VLOOKUP($A344,[2]库存使用数据!$A:$J,10,0),0)+公式!$B$14*IFERROR(VLOOKUP($A344,[3]库存使用数据!$A:$J,10,0),0)+IFERROR(VLOOKUP($A344,[4]库存使用数据!$A:$J,10,0),0)+IFERROR(VLOOKUP($A344,[5]库存使用数据!$A:$J,10,0),0)</f>
        <v>3.39</v>
      </c>
      <c r="K344" s="1">
        <f ca="1">IFERROR(VLOOKUP($A344,[1]库存使用数据!$A:$K,11,0),0)+IFERROR(VLOOKUP($A344,[2]库存使用数据!$A:$K,11,0),0)+IFERROR(VLOOKUP($A344,[3]库存使用数据!$A:$K,11,0),0)+IFERROR(VLOOKUP($A344,[4]库存使用数据!$A:$K,11,0),0)+IFERROR(VLOOKUP($A344,[5]库存使用数据!$A:$K,11,0),0)</f>
        <v>143788</v>
      </c>
      <c r="L344" s="1">
        <f ca="1">IFERROR(VLOOKUP($A344,[1]库存使用数据!$A:$L,12,0),0)+IFERROR(VLOOKUP($A344,[2]库存使用数据!$A:$L,12,0),0)+IFERROR(VLOOKUP($A344,[3]库存使用数据!$A:$L,12,0),0)+IFERROR(VLOOKUP($A344,[4]库存使用数据!$A:$L,12,0),0)+IFERROR(VLOOKUP($A344,[5]库存使用数据!$A:$L,12,0),0)</f>
        <v>82</v>
      </c>
      <c r="M344" s="1">
        <f ca="1">IFERROR(VLOOKUP($A344,[1]库存使用数据!$A:$M,13,0),0)+IFERROR(VLOOKUP($A344,[2]库存使用数据!$A:$M,13,0),0)+公式!$B$14*IFERROR(VLOOKUP($A344,[3]库存使用数据!$A:$M,13,0),0)+IFERROR(VLOOKUP($A344,[4]库存使用数据!$A:$M,13,0),0)+IFERROR(VLOOKUP($A344,[5]库存使用数据!$A:$M,13,0),0)</f>
        <v>14.29</v>
      </c>
    </row>
    <row r="345" spans="1:13">
      <c r="A345" s="6" t="s">
        <v>350</v>
      </c>
      <c r="B345" s="2">
        <f ca="1">IFERROR(VLOOKUP(A345,[1]库存使用数据!$A:$B,2,0),0)+IFERROR(VLOOKUP(A345,[2]库存使用数据!$A:$B,2,0),0)+IFERROR(VLOOKUP(,[3]库存使用数据!$A:$B,2,0),0)+IFERROR(VLOOKUP(A345,[4]库存使用数据!$A:$B,2,0),0)+IFERROR(VLOOKUP(A345,[5]库存使用数据!$A:$B,2,0),0)</f>
        <v>318</v>
      </c>
      <c r="C345" s="1">
        <f ca="1">IFERROR(VLOOKUP($A345,[1]库存使用数据!$A:$C,3,0),0)+IFERROR(VLOOKUP($A345,[2]库存使用数据!$A:$C,3,0),0)+IFERROR(VLOOKUP($A345,[3]库存使用数据!$A:$C,3,0),0)+IFERROR(VLOOKUP($A345,[4]库存使用数据!$A:$C,3,0),0)+IFERROR(VLOOKUP($A345,[5]库存使用数据!$A:$C,3,0),0)</f>
        <v>1</v>
      </c>
      <c r="D345" s="1">
        <f ca="1">IFERROR(VLOOKUP($A345,[1]库存使用数据!$A:$D,4,0),0)+IFERROR(VLOOKUP($A345,[2]库存使用数据!$A:$D,4,0),0)+公式!$B$1*IFERROR(VLOOKUP($A345,[3]库存使用数据!$A:$D,4,0),0)+IFERROR(VLOOKUP($A345,[4]库存使用数据!$A:$D,4,0),0)+IFERROR(VLOOKUP($A345,[5]库存使用数据!$A:$D,4,0),0)</f>
        <v>0.19</v>
      </c>
      <c r="E345" s="1">
        <f ca="1">IFERROR(VLOOKUP($A345,[1]库存使用数据!$A:$E,5,0),0)+IFERROR(VLOOKUP($A345,[2]库存使用数据!$A:$E,5,0),0)+IFERROR(VLOOKUP($A345,[3]库存使用数据!$A:$E,5,0),0)+IFERROR(VLOOKUP($A345,[4]库存使用数据!$A:$E,5,0),0)+IFERROR(VLOOKUP($A345,[5]库存使用数据!$A:$E,5,0),0)</f>
        <v>27507</v>
      </c>
      <c r="F345" s="1">
        <f ca="1">IFERROR(VLOOKUP($A345,[1]库存使用数据!$A:$F,6,0),0)+IFERROR(VLOOKUP($A345,[2]库存使用数据!$A:$F,6,0),0)+IFERROR(VLOOKUP($A345,[4]库存使用数据!$A:$F,6,0),0)+IFERROR(VLOOKUP($A345,[3]库存使用数据!$A:$F,6,0),0)+IFERROR(VLOOKUP($A345,[5]库存使用数据!$A:$F,6,0),0)</f>
        <v>17</v>
      </c>
      <c r="G345" s="1">
        <f ca="1">IFERROR(VLOOKUP($A345,[1]库存使用数据!$A:$G,7,0),0)+IFERROR(VLOOKUP($A345,[2]库存使用数据!$A:$G,7,0),0)+公式!$B$14*IFERROR(VLOOKUP($A345,[3]库存使用数据!$A:$G,7,0),0)+IFERROR(VLOOKUP($A345,[4]库存使用数据!$A:$G,7,0),0)+IFERROR(VLOOKUP($A345,[5]库存使用数据!$A:$G,7,0),0)</f>
        <v>2.64</v>
      </c>
      <c r="H345" s="1">
        <f ca="1">IFERROR(VLOOKUP($A345,[1]库存使用数据!$A:$H,8,0),0)+IFERROR(VLOOKUP($A345,[2]库存使用数据!$A:$H,8,0),0)+IFERROR(VLOOKUP($A345,[3]库存使用数据!$A:$H,8,0),0)+IFERROR(VLOOKUP($A345,[4]库存使用数据!$A:$H,8,0),0)+IFERROR(VLOOKUP($A345,[5]库存使用数据!$A:$H,8,0),0)</f>
        <v>28706</v>
      </c>
      <c r="I345" s="1">
        <f ca="1">IFERROR(VLOOKUP($A345,[1]库存使用数据!$A:$I,9,0),0)+IFERROR(VLOOKUP($A345,[2]库存使用数据!$A:$I,9,0),0)+IFERROR(VLOOKUP($A345,[3]库存使用数据!$A:$I,9,0),0)+IFERROR(VLOOKUP($A345,[4]库存使用数据!$A:$I,9,0),0)+IFERROR(VLOOKUP($A345,[5]库存使用数据!$A:$I,9,0),0)</f>
        <v>15</v>
      </c>
      <c r="J345" s="1">
        <f ca="1">IFERROR(VLOOKUP($A345,[1]库存使用数据!$A:$J,10,0),0)+IFERROR(VLOOKUP($A345,[2]库存使用数据!$A:$J,10,0),0)+公式!$B$14*IFERROR(VLOOKUP($A345,[3]库存使用数据!$A:$J,10,0),0)+IFERROR(VLOOKUP($A345,[4]库存使用数据!$A:$J,10,0),0)+IFERROR(VLOOKUP($A345,[5]库存使用数据!$A:$J,10,0),0)</f>
        <v>2.64</v>
      </c>
      <c r="K345" s="1">
        <f ca="1">IFERROR(VLOOKUP($A345,[1]库存使用数据!$A:$K,11,0),0)+IFERROR(VLOOKUP($A345,[2]库存使用数据!$A:$K,11,0),0)+IFERROR(VLOOKUP($A345,[3]库存使用数据!$A:$K,11,0),0)+IFERROR(VLOOKUP($A345,[4]库存使用数据!$A:$K,11,0),0)+IFERROR(VLOOKUP($A345,[5]库存使用数据!$A:$K,11,0),0)</f>
        <v>9504</v>
      </c>
      <c r="L345" s="1">
        <f ca="1">IFERROR(VLOOKUP($A345,[1]库存使用数据!$A:$L,12,0),0)+IFERROR(VLOOKUP($A345,[2]库存使用数据!$A:$L,12,0),0)+IFERROR(VLOOKUP($A345,[3]库存使用数据!$A:$L,12,0),0)+IFERROR(VLOOKUP($A345,[4]库存使用数据!$A:$L,12,0),0)+IFERROR(VLOOKUP($A345,[5]库存使用数据!$A:$L,12,0),0)</f>
        <v>25</v>
      </c>
      <c r="M345" s="1">
        <f ca="1">IFERROR(VLOOKUP($A345,[1]库存使用数据!$A:$M,13,0),0)+IFERROR(VLOOKUP($A345,[2]库存使用数据!$A:$M,13,0),0)+公式!$B$14*IFERROR(VLOOKUP($A345,[3]库存使用数据!$A:$M,13,0),0)+IFERROR(VLOOKUP($A345,[4]库存使用数据!$A:$M,13,0),0)+IFERROR(VLOOKUP($A345,[5]库存使用数据!$A:$M,13,0),0)</f>
        <v>2.2</v>
      </c>
    </row>
    <row r="346" spans="1:13">
      <c r="A346" s="6" t="s">
        <v>351</v>
      </c>
      <c r="B346" s="2">
        <f ca="1">IFERROR(VLOOKUP(A346,[1]库存使用数据!$A:$B,2,0),0)+IFERROR(VLOOKUP(A346,[2]库存使用数据!$A:$B,2,0),0)+IFERROR(VLOOKUP(,[3]库存使用数据!$A:$B,2,0),0)+IFERROR(VLOOKUP(A346,[4]库存使用数据!$A:$B,2,0),0)+IFERROR(VLOOKUP(A346,[5]库存使用数据!$A:$B,2,0),0)</f>
        <v>1980</v>
      </c>
      <c r="C346" s="1">
        <f ca="1">IFERROR(VLOOKUP($A346,[1]库存使用数据!$A:$C,3,0),0)+IFERROR(VLOOKUP($A346,[2]库存使用数据!$A:$C,3,0),0)+IFERROR(VLOOKUP($A346,[3]库存使用数据!$A:$C,3,0),0)+IFERROR(VLOOKUP($A346,[4]库存使用数据!$A:$C,3,0),0)+IFERROR(VLOOKUP($A346,[5]库存使用数据!$A:$C,3,0),0)</f>
        <v>11</v>
      </c>
      <c r="D346" s="1">
        <f ca="1">IFERROR(VLOOKUP($A346,[1]库存使用数据!$A:$D,4,0),0)+IFERROR(VLOOKUP($A346,[2]库存使用数据!$A:$D,4,0),0)+公式!$B$1*IFERROR(VLOOKUP($A346,[3]库存使用数据!$A:$D,4,0),0)+IFERROR(VLOOKUP($A346,[4]库存使用数据!$A:$D,4,0),0)+IFERROR(VLOOKUP($A346,[5]库存使用数据!$A:$D,4,0),0)</f>
        <v>1.325</v>
      </c>
      <c r="E346" s="1">
        <f ca="1">IFERROR(VLOOKUP($A346,[1]库存使用数据!$A:$E,5,0),0)+IFERROR(VLOOKUP($A346,[2]库存使用数据!$A:$E,5,0),0)+IFERROR(VLOOKUP($A346,[3]库存使用数据!$A:$E,5,0),0)+IFERROR(VLOOKUP($A346,[4]库存使用数据!$A:$E,5,0),0)+IFERROR(VLOOKUP($A346,[5]库存使用数据!$A:$E,5,0),0)</f>
        <v>13911</v>
      </c>
      <c r="F346" s="1">
        <f ca="1">IFERROR(VLOOKUP($A346,[1]库存使用数据!$A:$F,6,0),0)+IFERROR(VLOOKUP($A346,[2]库存使用数据!$A:$F,6,0),0)+IFERROR(VLOOKUP($A346,[4]库存使用数据!$A:$F,6,0),0)+IFERROR(VLOOKUP($A346,[3]库存使用数据!$A:$F,6,0),0)+IFERROR(VLOOKUP($A346,[5]库存使用数据!$A:$F,6,0),0)</f>
        <v>13</v>
      </c>
      <c r="G346" s="1">
        <f ca="1">IFERROR(VLOOKUP($A346,[1]库存使用数据!$A:$G,7,0),0)+IFERROR(VLOOKUP($A346,[2]库存使用数据!$A:$G,7,0),0)+公式!$B$14*IFERROR(VLOOKUP($A346,[3]库存使用数据!$A:$G,7,0),0)+IFERROR(VLOOKUP($A346,[4]库存使用数据!$A:$G,7,0),0)+IFERROR(VLOOKUP($A346,[5]库存使用数据!$A:$G,7,0),0)</f>
        <v>0.96</v>
      </c>
      <c r="H346" s="1">
        <f ca="1">IFERROR(VLOOKUP($A346,[1]库存使用数据!$A:$H,8,0),0)+IFERROR(VLOOKUP($A346,[2]库存使用数据!$A:$H,8,0),0)+IFERROR(VLOOKUP($A346,[3]库存使用数据!$A:$H,8,0),0)+IFERROR(VLOOKUP($A346,[4]库存使用数据!$A:$H,8,0),0)+IFERROR(VLOOKUP($A346,[5]库存使用数据!$A:$H,8,0),0)</f>
        <v>1468</v>
      </c>
      <c r="I346" s="1">
        <f ca="1">IFERROR(VLOOKUP($A346,[1]库存使用数据!$A:$I,9,0),0)+IFERROR(VLOOKUP($A346,[2]库存使用数据!$A:$I,9,0),0)+IFERROR(VLOOKUP($A346,[3]库存使用数据!$A:$I,9,0),0)+IFERROR(VLOOKUP($A346,[4]库存使用数据!$A:$I,9,0),0)+IFERROR(VLOOKUP($A346,[5]库存使用数据!$A:$I,9,0),0)</f>
        <v>6</v>
      </c>
      <c r="J346" s="1">
        <f ca="1">IFERROR(VLOOKUP($A346,[1]库存使用数据!$A:$J,10,0),0)+IFERROR(VLOOKUP($A346,[2]库存使用数据!$A:$J,10,0),0)+公式!$B$14*IFERROR(VLOOKUP($A346,[3]库存使用数据!$A:$J,10,0),0)+IFERROR(VLOOKUP($A346,[4]库存使用数据!$A:$J,10,0),0)+IFERROR(VLOOKUP($A346,[5]库存使用数据!$A:$J,10,0),0)</f>
        <v>0.27</v>
      </c>
      <c r="K346" s="1">
        <f ca="1">IFERROR(VLOOKUP($A346,[1]库存使用数据!$A:$K,11,0),0)+IFERROR(VLOOKUP($A346,[2]库存使用数据!$A:$K,11,0),0)+IFERROR(VLOOKUP($A346,[3]库存使用数据!$A:$K,11,0),0)+IFERROR(VLOOKUP($A346,[4]库存使用数据!$A:$K,11,0),0)+IFERROR(VLOOKUP($A346,[5]库存使用数据!$A:$K,11,0),0)</f>
        <v>1449</v>
      </c>
      <c r="L346" s="1">
        <f ca="1">IFERROR(VLOOKUP($A346,[1]库存使用数据!$A:$L,12,0),0)+IFERROR(VLOOKUP($A346,[2]库存使用数据!$A:$L,12,0),0)+IFERROR(VLOOKUP($A346,[3]库存使用数据!$A:$L,12,0),0)+IFERROR(VLOOKUP($A346,[4]库存使用数据!$A:$L,12,0),0)+IFERROR(VLOOKUP($A346,[5]库存使用数据!$A:$L,12,0),0)</f>
        <v>9</v>
      </c>
      <c r="M346" s="1">
        <f ca="1">IFERROR(VLOOKUP($A346,[1]库存使用数据!$A:$M,13,0),0)+IFERROR(VLOOKUP($A346,[2]库存使用数据!$A:$M,13,0),0)+公式!$B$14*IFERROR(VLOOKUP($A346,[3]库存使用数据!$A:$M,13,0),0)+IFERROR(VLOOKUP($A346,[4]库存使用数据!$A:$M,13,0),0)+IFERROR(VLOOKUP($A346,[5]库存使用数据!$A:$M,13,0),0)</f>
        <v>0.25</v>
      </c>
    </row>
    <row r="347" spans="1:13">
      <c r="A347" s="6" t="s">
        <v>352</v>
      </c>
      <c r="B347" s="2">
        <f ca="1">IFERROR(VLOOKUP(A347,[1]库存使用数据!$A:$B,2,0),0)+IFERROR(VLOOKUP(A347,[2]库存使用数据!$A:$B,2,0),0)+IFERROR(VLOOKUP(,[3]库存使用数据!$A:$B,2,0),0)+IFERROR(VLOOKUP(A347,[4]库存使用数据!$A:$B,2,0),0)+IFERROR(VLOOKUP(A347,[5]库存使用数据!$A:$B,2,0),0)</f>
        <v>12256</v>
      </c>
      <c r="C347" s="1">
        <f ca="1">IFERROR(VLOOKUP($A347,[1]库存使用数据!$A:$C,3,0),0)+IFERROR(VLOOKUP($A347,[2]库存使用数据!$A:$C,3,0),0)+IFERROR(VLOOKUP($A347,[3]库存使用数据!$A:$C,3,0),0)+IFERROR(VLOOKUP($A347,[4]库存使用数据!$A:$C,3,0),0)+IFERROR(VLOOKUP($A347,[5]库存使用数据!$A:$C,3,0),0)</f>
        <v>8</v>
      </c>
      <c r="D347" s="1">
        <f ca="1">IFERROR(VLOOKUP($A347,[1]库存使用数据!$A:$D,4,0),0)+IFERROR(VLOOKUP($A347,[2]库存使用数据!$A:$D,4,0),0)+公式!$B$1*IFERROR(VLOOKUP($A347,[3]库存使用数据!$A:$D,4,0),0)+IFERROR(VLOOKUP($A347,[4]库存使用数据!$A:$D,4,0),0)+IFERROR(VLOOKUP($A347,[5]库存使用数据!$A:$D,4,0),0)</f>
        <v>1.12875</v>
      </c>
      <c r="E347" s="1">
        <f ca="1">IFERROR(VLOOKUP($A347,[1]库存使用数据!$A:$E,5,0),0)+IFERROR(VLOOKUP($A347,[2]库存使用数据!$A:$E,5,0),0)+IFERROR(VLOOKUP($A347,[3]库存使用数据!$A:$E,5,0),0)+IFERROR(VLOOKUP($A347,[4]库存使用数据!$A:$E,5,0),0)+IFERROR(VLOOKUP($A347,[5]库存使用数据!$A:$E,5,0),0)</f>
        <v>10963</v>
      </c>
      <c r="F347" s="1">
        <f ca="1">IFERROR(VLOOKUP($A347,[1]库存使用数据!$A:$F,6,0),0)+IFERROR(VLOOKUP($A347,[2]库存使用数据!$A:$F,6,0),0)+IFERROR(VLOOKUP($A347,[4]库存使用数据!$A:$F,6,0),0)+IFERROR(VLOOKUP($A347,[3]库存使用数据!$A:$F,6,0),0)+IFERROR(VLOOKUP($A347,[5]库存使用数据!$A:$F,6,0),0)</f>
        <v>19</v>
      </c>
      <c r="G347" s="1">
        <f ca="1">IFERROR(VLOOKUP($A347,[1]库存使用数据!$A:$G,7,0),0)+IFERROR(VLOOKUP($A347,[2]库存使用数据!$A:$G,7,0),0)+公式!$B$14*IFERROR(VLOOKUP($A347,[3]库存使用数据!$A:$G,7,0),0)+IFERROR(VLOOKUP($A347,[4]库存使用数据!$A:$G,7,0),0)+IFERROR(VLOOKUP($A347,[5]库存使用数据!$A:$G,7,0),0)</f>
        <v>3.06</v>
      </c>
      <c r="H347" s="1">
        <f ca="1">IFERROR(VLOOKUP($A347,[1]库存使用数据!$A:$H,8,0),0)+IFERROR(VLOOKUP($A347,[2]库存使用数据!$A:$H,8,0),0)+IFERROR(VLOOKUP($A347,[3]库存使用数据!$A:$H,8,0),0)+IFERROR(VLOOKUP($A347,[4]库存使用数据!$A:$H,8,0),0)+IFERROR(VLOOKUP($A347,[5]库存使用数据!$A:$H,8,0),0)</f>
        <v>9906</v>
      </c>
      <c r="I347" s="1">
        <f ca="1">IFERROR(VLOOKUP($A347,[1]库存使用数据!$A:$I,9,0),0)+IFERROR(VLOOKUP($A347,[2]库存使用数据!$A:$I,9,0),0)+IFERROR(VLOOKUP($A347,[3]库存使用数据!$A:$I,9,0),0)+IFERROR(VLOOKUP($A347,[4]库存使用数据!$A:$I,9,0),0)+IFERROR(VLOOKUP($A347,[5]库存使用数据!$A:$I,9,0),0)</f>
        <v>16</v>
      </c>
      <c r="J347" s="1">
        <f ca="1">IFERROR(VLOOKUP($A347,[1]库存使用数据!$A:$J,10,0),0)+IFERROR(VLOOKUP($A347,[2]库存使用数据!$A:$J,10,0),0)+公式!$B$14*IFERROR(VLOOKUP($A347,[3]库存使用数据!$A:$J,10,0),0)+IFERROR(VLOOKUP($A347,[4]库存使用数据!$A:$J,10,0),0)+IFERROR(VLOOKUP($A347,[5]库存使用数据!$A:$J,10,0),0)</f>
        <v>2.3</v>
      </c>
      <c r="K347" s="1">
        <f ca="1">IFERROR(VLOOKUP($A347,[1]库存使用数据!$A:$K,11,0),0)+IFERROR(VLOOKUP($A347,[2]库存使用数据!$A:$K,11,0),0)+IFERROR(VLOOKUP($A347,[3]库存使用数据!$A:$K,11,0),0)+IFERROR(VLOOKUP($A347,[4]库存使用数据!$A:$K,11,0),0)+IFERROR(VLOOKUP($A347,[5]库存使用数据!$A:$K,11,0),0)</f>
        <v>3323</v>
      </c>
      <c r="L347" s="1">
        <f ca="1">IFERROR(VLOOKUP($A347,[1]库存使用数据!$A:$L,12,0),0)+IFERROR(VLOOKUP($A347,[2]库存使用数据!$A:$L,12,0),0)+IFERROR(VLOOKUP($A347,[3]库存使用数据!$A:$L,12,0),0)+IFERROR(VLOOKUP($A347,[4]库存使用数据!$A:$L,12,0),0)+IFERROR(VLOOKUP($A347,[5]库存使用数据!$A:$L,12,0),0)</f>
        <v>17</v>
      </c>
      <c r="M347" s="1">
        <f ca="1">IFERROR(VLOOKUP($A347,[1]库存使用数据!$A:$M,13,0),0)+IFERROR(VLOOKUP($A347,[2]库存使用数据!$A:$M,13,0),0)+公式!$B$14*IFERROR(VLOOKUP($A347,[3]库存使用数据!$A:$M,13,0),0)+IFERROR(VLOOKUP($A347,[4]库存使用数据!$A:$M,13,0),0)+IFERROR(VLOOKUP($A347,[5]库存使用数据!$A:$M,13,0),0)</f>
        <v>2.35</v>
      </c>
    </row>
    <row r="348" spans="1:13">
      <c r="A348" s="6" t="s">
        <v>353</v>
      </c>
      <c r="B348" s="2">
        <f ca="1">IFERROR(VLOOKUP(A348,[1]库存使用数据!$A:$B,2,0),0)+IFERROR(VLOOKUP(A348,[2]库存使用数据!$A:$B,2,0),0)+IFERROR(VLOOKUP(,[3]库存使用数据!$A:$B,2,0),0)+IFERROR(VLOOKUP(A348,[4]库存使用数据!$A:$B,2,0),0)+IFERROR(VLOOKUP(A348,[5]库存使用数据!$A:$B,2,0),0)</f>
        <v>92</v>
      </c>
      <c r="C348" s="1">
        <f ca="1">IFERROR(VLOOKUP($A348,[1]库存使用数据!$A:$C,3,0),0)+IFERROR(VLOOKUP($A348,[2]库存使用数据!$A:$C,3,0),0)+IFERROR(VLOOKUP($A348,[3]库存使用数据!$A:$C,3,0),0)+IFERROR(VLOOKUP($A348,[4]库存使用数据!$A:$C,3,0),0)+IFERROR(VLOOKUP($A348,[5]库存使用数据!$A:$C,3,0),0)</f>
        <v>2</v>
      </c>
      <c r="D348" s="1">
        <f ca="1">IFERROR(VLOOKUP($A348,[1]库存使用数据!$A:$D,4,0),0)+IFERROR(VLOOKUP($A348,[2]库存使用数据!$A:$D,4,0),0)+公式!$B$1*IFERROR(VLOOKUP($A348,[3]库存使用数据!$A:$D,4,0),0)+IFERROR(VLOOKUP($A348,[4]库存使用数据!$A:$D,4,0),0)+IFERROR(VLOOKUP($A348,[5]库存使用数据!$A:$D,4,0),0)</f>
        <v>0.27</v>
      </c>
      <c r="E348" s="1">
        <f ca="1">IFERROR(VLOOKUP($A348,[1]库存使用数据!$A:$E,5,0),0)+IFERROR(VLOOKUP($A348,[2]库存使用数据!$A:$E,5,0),0)+IFERROR(VLOOKUP($A348,[3]库存使用数据!$A:$E,5,0),0)+IFERROR(VLOOKUP($A348,[4]库存使用数据!$A:$E,5,0),0)+IFERROR(VLOOKUP($A348,[5]库存使用数据!$A:$E,5,0),0)</f>
        <v>7137</v>
      </c>
      <c r="F348" s="1">
        <f ca="1">IFERROR(VLOOKUP($A348,[1]库存使用数据!$A:$F,6,0),0)+IFERROR(VLOOKUP($A348,[2]库存使用数据!$A:$F,6,0),0)+IFERROR(VLOOKUP($A348,[4]库存使用数据!$A:$F,6,0),0)+IFERROR(VLOOKUP($A348,[3]库存使用数据!$A:$F,6,0),0)+IFERROR(VLOOKUP($A348,[5]库存使用数据!$A:$F,6,0),0)</f>
        <v>6</v>
      </c>
      <c r="G348" s="1">
        <f ca="1">IFERROR(VLOOKUP($A348,[1]库存使用数据!$A:$G,7,0),0)+IFERROR(VLOOKUP($A348,[2]库存使用数据!$A:$G,7,0),0)+公式!$B$14*IFERROR(VLOOKUP($A348,[3]库存使用数据!$A:$G,7,0),0)+IFERROR(VLOOKUP($A348,[4]库存使用数据!$A:$G,7,0),0)+IFERROR(VLOOKUP($A348,[5]库存使用数据!$A:$G,7,0),0)</f>
        <v>0.63</v>
      </c>
      <c r="H348" s="1">
        <f ca="1">IFERROR(VLOOKUP($A348,[1]库存使用数据!$A:$H,8,0),0)+IFERROR(VLOOKUP($A348,[2]库存使用数据!$A:$H,8,0),0)+IFERROR(VLOOKUP($A348,[3]库存使用数据!$A:$H,8,0),0)+IFERROR(VLOOKUP($A348,[4]库存使用数据!$A:$H,8,0),0)+IFERROR(VLOOKUP($A348,[5]库存使用数据!$A:$H,8,0),0)</f>
        <v>1435</v>
      </c>
      <c r="I348" s="1">
        <f ca="1">IFERROR(VLOOKUP($A348,[1]库存使用数据!$A:$I,9,0),0)+IFERROR(VLOOKUP($A348,[2]库存使用数据!$A:$I,9,0),0)+IFERROR(VLOOKUP($A348,[3]库存使用数据!$A:$I,9,0),0)+IFERROR(VLOOKUP($A348,[4]库存使用数据!$A:$I,9,0),0)+IFERROR(VLOOKUP($A348,[5]库存使用数据!$A:$I,9,0),0)</f>
        <v>5</v>
      </c>
      <c r="J348" s="1">
        <f ca="1">IFERROR(VLOOKUP($A348,[1]库存使用数据!$A:$J,10,0),0)+IFERROR(VLOOKUP($A348,[2]库存使用数据!$A:$J,10,0),0)+公式!$B$14*IFERROR(VLOOKUP($A348,[3]库存使用数据!$A:$J,10,0),0)+IFERROR(VLOOKUP($A348,[4]库存使用数据!$A:$J,10,0),0)+IFERROR(VLOOKUP($A348,[5]库存使用数据!$A:$J,10,0),0)</f>
        <v>0.47</v>
      </c>
      <c r="K348" s="1">
        <f ca="1">IFERROR(VLOOKUP($A348,[1]库存使用数据!$A:$K,11,0),0)+IFERROR(VLOOKUP($A348,[2]库存使用数据!$A:$K,11,0),0)+IFERROR(VLOOKUP($A348,[3]库存使用数据!$A:$K,11,0),0)+IFERROR(VLOOKUP($A348,[4]库存使用数据!$A:$K,11,0),0)+IFERROR(VLOOKUP($A348,[5]库存使用数据!$A:$K,11,0),0)</f>
        <v>1219</v>
      </c>
      <c r="L348" s="1">
        <f ca="1">IFERROR(VLOOKUP($A348,[1]库存使用数据!$A:$L,12,0),0)+IFERROR(VLOOKUP($A348,[2]库存使用数据!$A:$L,12,0),0)+IFERROR(VLOOKUP($A348,[3]库存使用数据!$A:$L,12,0),0)+IFERROR(VLOOKUP($A348,[4]库存使用数据!$A:$L,12,0),0)+IFERROR(VLOOKUP($A348,[5]库存使用数据!$A:$L,12,0),0)</f>
        <v>4</v>
      </c>
      <c r="M348" s="1">
        <f ca="1">IFERROR(VLOOKUP($A348,[1]库存使用数据!$A:$M,13,0),0)+IFERROR(VLOOKUP($A348,[2]库存使用数据!$A:$M,13,0),0)+公式!$B$14*IFERROR(VLOOKUP($A348,[3]库存使用数据!$A:$M,13,0),0)+IFERROR(VLOOKUP($A348,[4]库存使用数据!$A:$M,13,0),0)+IFERROR(VLOOKUP($A348,[5]库存使用数据!$A:$M,13,0),0)</f>
        <v>0.5</v>
      </c>
    </row>
    <row r="349" spans="1:13">
      <c r="A349" s="6" t="s">
        <v>354</v>
      </c>
      <c r="B349" s="2">
        <f ca="1">IFERROR(VLOOKUP(A349,[1]库存使用数据!$A:$B,2,0),0)+IFERROR(VLOOKUP(A349,[2]库存使用数据!$A:$B,2,0),0)+IFERROR(VLOOKUP(,[3]库存使用数据!$A:$B,2,0),0)+IFERROR(VLOOKUP(A349,[4]库存使用数据!$A:$B,2,0),0)+IFERROR(VLOOKUP(A349,[5]库存使用数据!$A:$B,2,0),0)</f>
        <v>0</v>
      </c>
      <c r="C349" s="1">
        <f ca="1">IFERROR(VLOOKUP($A349,[1]库存使用数据!$A:$C,3,0),0)+IFERROR(VLOOKUP($A349,[2]库存使用数据!$A:$C,3,0),0)+IFERROR(VLOOKUP($A349,[3]库存使用数据!$A:$C,3,0),0)+IFERROR(VLOOKUP($A349,[4]库存使用数据!$A:$C,3,0),0)+IFERROR(VLOOKUP($A349,[5]库存使用数据!$A:$C,3,0),0)</f>
        <v>1</v>
      </c>
      <c r="D349" s="1">
        <f ca="1">IFERROR(VLOOKUP($A349,[1]库存使用数据!$A:$D,4,0),0)+IFERROR(VLOOKUP($A349,[2]库存使用数据!$A:$D,4,0),0)+公式!$B$1*IFERROR(VLOOKUP($A349,[3]库存使用数据!$A:$D,4,0),0)+IFERROR(VLOOKUP($A349,[4]库存使用数据!$A:$D,4,0),0)+IFERROR(VLOOKUP($A349,[5]库存使用数据!$A:$D,4,0),0)</f>
        <v>0.045</v>
      </c>
      <c r="E349" s="1">
        <f ca="1">IFERROR(VLOOKUP($A349,[1]库存使用数据!$A:$E,5,0),0)+IFERROR(VLOOKUP($A349,[2]库存使用数据!$A:$E,5,0),0)+IFERROR(VLOOKUP($A349,[3]库存使用数据!$A:$E,5,0),0)+IFERROR(VLOOKUP($A349,[4]库存使用数据!$A:$E,5,0),0)+IFERROR(VLOOKUP($A349,[5]库存使用数据!$A:$E,5,0),0)</f>
        <v>95</v>
      </c>
      <c r="F349" s="1">
        <f ca="1">IFERROR(VLOOKUP($A349,[1]库存使用数据!$A:$F,6,0),0)+IFERROR(VLOOKUP($A349,[2]库存使用数据!$A:$F,6,0),0)+IFERROR(VLOOKUP($A349,[4]库存使用数据!$A:$F,6,0),0)+IFERROR(VLOOKUP($A349,[3]库存使用数据!$A:$F,6,0),0)+IFERROR(VLOOKUP($A349,[5]库存使用数据!$A:$F,6,0),0)</f>
        <v>0</v>
      </c>
      <c r="G349" s="1">
        <f ca="1">IFERROR(VLOOKUP($A349,[1]库存使用数据!$A:$G,7,0),0)+IFERROR(VLOOKUP($A349,[2]库存使用数据!$A:$G,7,0),0)+公式!$B$14*IFERROR(VLOOKUP($A349,[3]库存使用数据!$A:$G,7,0),0)+IFERROR(VLOOKUP($A349,[4]库存使用数据!$A:$G,7,0),0)+IFERROR(VLOOKUP($A349,[5]库存使用数据!$A:$G,7,0),0)</f>
        <v>0</v>
      </c>
      <c r="H349" s="1">
        <f ca="1">IFERROR(VLOOKUP($A349,[1]库存使用数据!$A:$H,8,0),0)+IFERROR(VLOOKUP($A349,[2]库存使用数据!$A:$H,8,0),0)+IFERROR(VLOOKUP($A349,[3]库存使用数据!$A:$H,8,0),0)+IFERROR(VLOOKUP($A349,[4]库存使用数据!$A:$H,8,0),0)+IFERROR(VLOOKUP($A349,[5]库存使用数据!$A:$H,8,0),0)</f>
        <v>66</v>
      </c>
      <c r="I349" s="1">
        <f ca="1">IFERROR(VLOOKUP($A349,[1]库存使用数据!$A:$I,9,0),0)+IFERROR(VLOOKUP($A349,[2]库存使用数据!$A:$I,9,0),0)+IFERROR(VLOOKUP($A349,[3]库存使用数据!$A:$I,9,0),0)+IFERROR(VLOOKUP($A349,[4]库存使用数据!$A:$I,9,0),0)+IFERROR(VLOOKUP($A349,[5]库存使用数据!$A:$I,9,0),0)</f>
        <v>0</v>
      </c>
      <c r="J349" s="1">
        <f ca="1">IFERROR(VLOOKUP($A349,[1]库存使用数据!$A:$J,10,0),0)+IFERROR(VLOOKUP($A349,[2]库存使用数据!$A:$J,10,0),0)+公式!$B$14*IFERROR(VLOOKUP($A349,[3]库存使用数据!$A:$J,10,0),0)+IFERROR(VLOOKUP($A349,[4]库存使用数据!$A:$J,10,0),0)+IFERROR(VLOOKUP($A349,[5]库存使用数据!$A:$J,10,0),0)</f>
        <v>0</v>
      </c>
      <c r="K349" s="1">
        <f ca="1">IFERROR(VLOOKUP($A349,[1]库存使用数据!$A:$K,11,0),0)+IFERROR(VLOOKUP($A349,[2]库存使用数据!$A:$K,11,0),0)+IFERROR(VLOOKUP($A349,[3]库存使用数据!$A:$K,11,0),0)+IFERROR(VLOOKUP($A349,[4]库存使用数据!$A:$K,11,0),0)+IFERROR(VLOOKUP($A349,[5]库存使用数据!$A:$K,11,0),0)</f>
        <v>146</v>
      </c>
      <c r="L349" s="1">
        <f ca="1">IFERROR(VLOOKUP($A349,[1]库存使用数据!$A:$L,12,0),0)+IFERROR(VLOOKUP($A349,[2]库存使用数据!$A:$L,12,0),0)+IFERROR(VLOOKUP($A349,[3]库存使用数据!$A:$L,12,0),0)+IFERROR(VLOOKUP($A349,[4]库存使用数据!$A:$L,12,0),0)+IFERROR(VLOOKUP($A349,[5]库存使用数据!$A:$L,12,0),0)</f>
        <v>0</v>
      </c>
      <c r="M349" s="1">
        <f ca="1">IFERROR(VLOOKUP($A349,[1]库存使用数据!$A:$M,13,0),0)+IFERROR(VLOOKUP($A349,[2]库存使用数据!$A:$M,13,0),0)+公式!$B$14*IFERROR(VLOOKUP($A349,[3]库存使用数据!$A:$M,13,0),0)+IFERROR(VLOOKUP($A349,[4]库存使用数据!$A:$M,13,0),0)+IFERROR(VLOOKUP($A349,[5]库存使用数据!$A:$M,13,0),0)</f>
        <v>0</v>
      </c>
    </row>
    <row r="350" spans="1:13">
      <c r="A350" s="6" t="s">
        <v>355</v>
      </c>
      <c r="B350" s="2">
        <f ca="1">IFERROR(VLOOKUP(A350,[1]库存使用数据!$A:$B,2,0),0)+IFERROR(VLOOKUP(A350,[2]库存使用数据!$A:$B,2,0),0)+IFERROR(VLOOKUP(,[3]库存使用数据!$A:$B,2,0),0)+IFERROR(VLOOKUP(A350,[4]库存使用数据!$A:$B,2,0),0)+IFERROR(VLOOKUP(A350,[5]库存使用数据!$A:$B,2,0),0)</f>
        <v>0</v>
      </c>
      <c r="C350" s="1">
        <f ca="1">IFERROR(VLOOKUP($A350,[1]库存使用数据!$A:$C,3,0),0)+IFERROR(VLOOKUP($A350,[2]库存使用数据!$A:$C,3,0),0)+IFERROR(VLOOKUP($A350,[3]库存使用数据!$A:$C,3,0),0)+IFERROR(VLOOKUP($A350,[4]库存使用数据!$A:$C,3,0),0)+IFERROR(VLOOKUP($A350,[5]库存使用数据!$A:$C,3,0),0)</f>
        <v>4</v>
      </c>
      <c r="D350" s="1">
        <f ca="1">IFERROR(VLOOKUP($A350,[1]库存使用数据!$A:$D,4,0),0)+IFERROR(VLOOKUP($A350,[2]库存使用数据!$A:$D,4,0),0)+公式!$B$1*IFERROR(VLOOKUP($A350,[3]库存使用数据!$A:$D,4,0),0)+IFERROR(VLOOKUP($A350,[4]库存使用数据!$A:$D,4,0),0)+IFERROR(VLOOKUP($A350,[5]库存使用数据!$A:$D,4,0),0)</f>
        <v>0.68625</v>
      </c>
      <c r="E350" s="1">
        <f ca="1">IFERROR(VLOOKUP($A350,[1]库存使用数据!$A:$E,5,0),0)+IFERROR(VLOOKUP($A350,[2]库存使用数据!$A:$E,5,0),0)+IFERROR(VLOOKUP($A350,[3]库存使用数据!$A:$E,5,0),0)+IFERROR(VLOOKUP($A350,[4]库存使用数据!$A:$E,5,0),0)+IFERROR(VLOOKUP($A350,[5]库存使用数据!$A:$E,5,0),0)</f>
        <v>320</v>
      </c>
      <c r="F350" s="1">
        <f ca="1">IFERROR(VLOOKUP($A350,[1]库存使用数据!$A:$F,6,0),0)+IFERROR(VLOOKUP($A350,[2]库存使用数据!$A:$F,6,0),0)+IFERROR(VLOOKUP($A350,[4]库存使用数据!$A:$F,6,0),0)+IFERROR(VLOOKUP($A350,[3]库存使用数据!$A:$F,6,0),0)+IFERROR(VLOOKUP($A350,[5]库存使用数据!$A:$F,6,0),0)</f>
        <v>3</v>
      </c>
      <c r="G350" s="1">
        <f ca="1">IFERROR(VLOOKUP($A350,[1]库存使用数据!$A:$G,7,0),0)+IFERROR(VLOOKUP($A350,[2]库存使用数据!$A:$G,7,0),0)+公式!$B$14*IFERROR(VLOOKUP($A350,[3]库存使用数据!$A:$G,7,0),0)+IFERROR(VLOOKUP($A350,[4]库存使用数据!$A:$G,7,0),0)+IFERROR(VLOOKUP($A350,[5]库存使用数据!$A:$G,7,0),0)</f>
        <v>0</v>
      </c>
      <c r="H350" s="1">
        <f ca="1">IFERROR(VLOOKUP($A350,[1]库存使用数据!$A:$H,8,0),0)+IFERROR(VLOOKUP($A350,[2]库存使用数据!$A:$H,8,0),0)+IFERROR(VLOOKUP($A350,[3]库存使用数据!$A:$H,8,0),0)+IFERROR(VLOOKUP($A350,[4]库存使用数据!$A:$H,8,0),0)+IFERROR(VLOOKUP($A350,[5]库存使用数据!$A:$H,8,0),0)</f>
        <v>921</v>
      </c>
      <c r="I350" s="1">
        <f ca="1">IFERROR(VLOOKUP($A350,[1]库存使用数据!$A:$I,9,0),0)+IFERROR(VLOOKUP($A350,[2]库存使用数据!$A:$I,9,0),0)+IFERROR(VLOOKUP($A350,[3]库存使用数据!$A:$I,9,0),0)+IFERROR(VLOOKUP($A350,[4]库存使用数据!$A:$I,9,0),0)+IFERROR(VLOOKUP($A350,[5]库存使用数据!$A:$I,9,0),0)</f>
        <v>1</v>
      </c>
      <c r="J350" s="1">
        <f ca="1">IFERROR(VLOOKUP($A350,[1]库存使用数据!$A:$J,10,0),0)+IFERROR(VLOOKUP($A350,[2]库存使用数据!$A:$J,10,0),0)+公式!$B$14*IFERROR(VLOOKUP($A350,[3]库存使用数据!$A:$J,10,0),0)+IFERROR(VLOOKUP($A350,[4]库存使用数据!$A:$J,10,0),0)+IFERROR(VLOOKUP($A350,[5]库存使用数据!$A:$J,10,0),0)</f>
        <v>0</v>
      </c>
      <c r="K350" s="1">
        <f ca="1">IFERROR(VLOOKUP($A350,[1]库存使用数据!$A:$K,11,0),0)+IFERROR(VLOOKUP($A350,[2]库存使用数据!$A:$K,11,0),0)+IFERROR(VLOOKUP($A350,[3]库存使用数据!$A:$K,11,0),0)+IFERROR(VLOOKUP($A350,[4]库存使用数据!$A:$K,11,0),0)+IFERROR(VLOOKUP($A350,[5]库存使用数据!$A:$K,11,0),0)</f>
        <v>5203</v>
      </c>
      <c r="L350" s="1">
        <f ca="1">IFERROR(VLOOKUP($A350,[1]库存使用数据!$A:$L,12,0),0)+IFERROR(VLOOKUP($A350,[2]库存使用数据!$A:$L,12,0),0)+IFERROR(VLOOKUP($A350,[3]库存使用数据!$A:$L,12,0),0)+IFERROR(VLOOKUP($A350,[4]库存使用数据!$A:$L,12,0),0)+IFERROR(VLOOKUP($A350,[5]库存使用数据!$A:$L,12,0),0)</f>
        <v>4</v>
      </c>
      <c r="M350" s="1">
        <f ca="1">IFERROR(VLOOKUP($A350,[1]库存使用数据!$A:$M,13,0),0)+IFERROR(VLOOKUP($A350,[2]库存使用数据!$A:$M,13,0),0)+公式!$B$14*IFERROR(VLOOKUP($A350,[3]库存使用数据!$A:$M,13,0),0)+IFERROR(VLOOKUP($A350,[4]库存使用数据!$A:$M,13,0),0)+IFERROR(VLOOKUP($A350,[5]库存使用数据!$A:$M,13,0),0)</f>
        <v>0</v>
      </c>
    </row>
    <row r="351" spans="1:13">
      <c r="A351" s="6" t="s">
        <v>356</v>
      </c>
      <c r="B351" s="2">
        <f ca="1">IFERROR(VLOOKUP(A351,[1]库存使用数据!$A:$B,2,0),0)+IFERROR(VLOOKUP(A351,[2]库存使用数据!$A:$B,2,0),0)+IFERROR(VLOOKUP(,[3]库存使用数据!$A:$B,2,0),0)+IFERROR(VLOOKUP(A351,[4]库存使用数据!$A:$B,2,0),0)+IFERROR(VLOOKUP(A351,[5]库存使用数据!$A:$B,2,0),0)</f>
        <v>0</v>
      </c>
      <c r="C351" s="1">
        <f ca="1">IFERROR(VLOOKUP($A351,[1]库存使用数据!$A:$C,3,0),0)+IFERROR(VLOOKUP($A351,[2]库存使用数据!$A:$C,3,0),0)+IFERROR(VLOOKUP($A351,[3]库存使用数据!$A:$C,3,0),0)+IFERROR(VLOOKUP($A351,[4]库存使用数据!$A:$C,3,0),0)+IFERROR(VLOOKUP($A351,[5]库存使用数据!$A:$C,3,0),0)</f>
        <v>0</v>
      </c>
      <c r="D351" s="1">
        <f ca="1">IFERROR(VLOOKUP($A351,[1]库存使用数据!$A:$D,4,0),0)+IFERROR(VLOOKUP($A351,[2]库存使用数据!$A:$D,4,0),0)+公式!$B$1*IFERROR(VLOOKUP($A351,[3]库存使用数据!$A:$D,4,0),0)+IFERROR(VLOOKUP($A351,[4]库存使用数据!$A:$D,4,0),0)+IFERROR(VLOOKUP($A351,[5]库存使用数据!$A:$D,4,0),0)</f>
        <v>0</v>
      </c>
      <c r="E351" s="1">
        <f ca="1">IFERROR(VLOOKUP($A351,[1]库存使用数据!$A:$E,5,0),0)+IFERROR(VLOOKUP($A351,[2]库存使用数据!$A:$E,5,0),0)+IFERROR(VLOOKUP($A351,[3]库存使用数据!$A:$E,5,0),0)+IFERROR(VLOOKUP($A351,[4]库存使用数据!$A:$E,5,0),0)+IFERROR(VLOOKUP($A351,[5]库存使用数据!$A:$E,5,0),0)</f>
        <v>366</v>
      </c>
      <c r="F351" s="1">
        <f ca="1">IFERROR(VLOOKUP($A351,[1]库存使用数据!$A:$F,6,0),0)+IFERROR(VLOOKUP($A351,[2]库存使用数据!$A:$F,6,0),0)+IFERROR(VLOOKUP($A351,[4]库存使用数据!$A:$F,6,0),0)+IFERROR(VLOOKUP($A351,[3]库存使用数据!$A:$F,6,0),0)+IFERROR(VLOOKUP($A351,[5]库存使用数据!$A:$F,6,0),0)</f>
        <v>0</v>
      </c>
      <c r="G351" s="1">
        <f ca="1">IFERROR(VLOOKUP($A351,[1]库存使用数据!$A:$G,7,0),0)+IFERROR(VLOOKUP($A351,[2]库存使用数据!$A:$G,7,0),0)+公式!$B$14*IFERROR(VLOOKUP($A351,[3]库存使用数据!$A:$G,7,0),0)+IFERROR(VLOOKUP($A351,[4]库存使用数据!$A:$G,7,0),0)+IFERROR(VLOOKUP($A351,[5]库存使用数据!$A:$G,7,0),0)</f>
        <v>0</v>
      </c>
      <c r="H351" s="1">
        <f ca="1">IFERROR(VLOOKUP($A351,[1]库存使用数据!$A:$H,8,0),0)+IFERROR(VLOOKUP($A351,[2]库存使用数据!$A:$H,8,0),0)+IFERROR(VLOOKUP($A351,[3]库存使用数据!$A:$H,8,0),0)+IFERROR(VLOOKUP($A351,[4]库存使用数据!$A:$H,8,0),0)+IFERROR(VLOOKUP($A351,[5]库存使用数据!$A:$H,8,0),0)</f>
        <v>241</v>
      </c>
      <c r="I351" s="1">
        <f ca="1">IFERROR(VLOOKUP($A351,[1]库存使用数据!$A:$I,9,0),0)+IFERROR(VLOOKUP($A351,[2]库存使用数据!$A:$I,9,0),0)+IFERROR(VLOOKUP($A351,[3]库存使用数据!$A:$I,9,0),0)+IFERROR(VLOOKUP($A351,[4]库存使用数据!$A:$I,9,0),0)+IFERROR(VLOOKUP($A351,[5]库存使用数据!$A:$I,9,0),0)</f>
        <v>0</v>
      </c>
      <c r="J351" s="1">
        <f ca="1">IFERROR(VLOOKUP($A351,[1]库存使用数据!$A:$J,10,0),0)+IFERROR(VLOOKUP($A351,[2]库存使用数据!$A:$J,10,0),0)+公式!$B$14*IFERROR(VLOOKUP($A351,[3]库存使用数据!$A:$J,10,0),0)+IFERROR(VLOOKUP($A351,[4]库存使用数据!$A:$J,10,0),0)+IFERROR(VLOOKUP($A351,[5]库存使用数据!$A:$J,10,0),0)</f>
        <v>0</v>
      </c>
      <c r="K351" s="1">
        <f ca="1">IFERROR(VLOOKUP($A351,[1]库存使用数据!$A:$K,11,0),0)+IFERROR(VLOOKUP($A351,[2]库存使用数据!$A:$K,11,0),0)+IFERROR(VLOOKUP($A351,[3]库存使用数据!$A:$K,11,0),0)+IFERROR(VLOOKUP($A351,[4]库存使用数据!$A:$K,11,0),0)+IFERROR(VLOOKUP($A351,[5]库存使用数据!$A:$K,11,0),0)</f>
        <v>209</v>
      </c>
      <c r="L351" s="1">
        <f ca="1">IFERROR(VLOOKUP($A351,[1]库存使用数据!$A:$L,12,0),0)+IFERROR(VLOOKUP($A351,[2]库存使用数据!$A:$L,12,0),0)+IFERROR(VLOOKUP($A351,[3]库存使用数据!$A:$L,12,0),0)+IFERROR(VLOOKUP($A351,[4]库存使用数据!$A:$L,12,0),0)+IFERROR(VLOOKUP($A351,[5]库存使用数据!$A:$L,12,0),0)</f>
        <v>0</v>
      </c>
      <c r="M351" s="1">
        <f ca="1">IFERROR(VLOOKUP($A351,[1]库存使用数据!$A:$M,13,0),0)+IFERROR(VLOOKUP($A351,[2]库存使用数据!$A:$M,13,0),0)+公式!$B$14*IFERROR(VLOOKUP($A351,[3]库存使用数据!$A:$M,13,0),0)+IFERROR(VLOOKUP($A351,[4]库存使用数据!$A:$M,13,0),0)+IFERROR(VLOOKUP($A351,[5]库存使用数据!$A:$M,13,0),0)</f>
        <v>0</v>
      </c>
    </row>
    <row r="352" spans="1:13">
      <c r="A352" s="6" t="s">
        <v>357</v>
      </c>
      <c r="B352" s="2">
        <f ca="1">IFERROR(VLOOKUP(A352,[1]库存使用数据!$A:$B,2,0),0)+IFERROR(VLOOKUP(A352,[2]库存使用数据!$A:$B,2,0),0)+IFERROR(VLOOKUP(,[3]库存使用数据!$A:$B,2,0),0)+IFERROR(VLOOKUP(A352,[4]库存使用数据!$A:$B,2,0),0)+IFERROR(VLOOKUP(A352,[5]库存使用数据!$A:$B,2,0),0)</f>
        <v>0</v>
      </c>
      <c r="C352" s="1">
        <f ca="1">IFERROR(VLOOKUP($A352,[1]库存使用数据!$A:$C,3,0),0)+IFERROR(VLOOKUP($A352,[2]库存使用数据!$A:$C,3,0),0)+IFERROR(VLOOKUP($A352,[3]库存使用数据!$A:$C,3,0),0)+IFERROR(VLOOKUP($A352,[4]库存使用数据!$A:$C,3,0),0)+IFERROR(VLOOKUP($A352,[5]库存使用数据!$A:$C,3,0),0)</f>
        <v>0</v>
      </c>
      <c r="D352" s="1">
        <f ca="1">IFERROR(VLOOKUP($A352,[1]库存使用数据!$A:$D,4,0),0)+IFERROR(VLOOKUP($A352,[2]库存使用数据!$A:$D,4,0),0)+公式!$B$1*IFERROR(VLOOKUP($A352,[3]库存使用数据!$A:$D,4,0),0)+IFERROR(VLOOKUP($A352,[4]库存使用数据!$A:$D,4,0),0)+IFERROR(VLOOKUP($A352,[5]库存使用数据!$A:$D,4,0),0)</f>
        <v>0</v>
      </c>
      <c r="E352" s="1">
        <f ca="1">IFERROR(VLOOKUP($A352,[1]库存使用数据!$A:$E,5,0),0)+IFERROR(VLOOKUP($A352,[2]库存使用数据!$A:$E,5,0),0)+IFERROR(VLOOKUP($A352,[3]库存使用数据!$A:$E,5,0),0)+IFERROR(VLOOKUP($A352,[4]库存使用数据!$A:$E,5,0),0)+IFERROR(VLOOKUP($A352,[5]库存使用数据!$A:$E,5,0),0)</f>
        <v>229</v>
      </c>
      <c r="F352" s="1">
        <f ca="1">IFERROR(VLOOKUP($A352,[1]库存使用数据!$A:$F,6,0),0)+IFERROR(VLOOKUP($A352,[2]库存使用数据!$A:$F,6,0),0)+IFERROR(VLOOKUP($A352,[4]库存使用数据!$A:$F,6,0),0)+IFERROR(VLOOKUP($A352,[3]库存使用数据!$A:$F,6,0),0)+IFERROR(VLOOKUP($A352,[5]库存使用数据!$A:$F,6,0),0)</f>
        <v>0</v>
      </c>
      <c r="G352" s="1">
        <f ca="1">IFERROR(VLOOKUP($A352,[1]库存使用数据!$A:$G,7,0),0)+IFERROR(VLOOKUP($A352,[2]库存使用数据!$A:$G,7,0),0)+公式!$B$14*IFERROR(VLOOKUP($A352,[3]库存使用数据!$A:$G,7,0),0)+IFERROR(VLOOKUP($A352,[4]库存使用数据!$A:$G,7,0),0)+IFERROR(VLOOKUP($A352,[5]库存使用数据!$A:$G,7,0),0)</f>
        <v>0</v>
      </c>
      <c r="H352" s="1">
        <f ca="1">IFERROR(VLOOKUP($A352,[1]库存使用数据!$A:$H,8,0),0)+IFERROR(VLOOKUP($A352,[2]库存使用数据!$A:$H,8,0),0)+IFERROR(VLOOKUP($A352,[3]库存使用数据!$A:$H,8,0),0)+IFERROR(VLOOKUP($A352,[4]库存使用数据!$A:$H,8,0),0)+IFERROR(VLOOKUP($A352,[5]库存使用数据!$A:$H,8,0),0)</f>
        <v>3629</v>
      </c>
      <c r="I352" s="1">
        <f ca="1">IFERROR(VLOOKUP($A352,[1]库存使用数据!$A:$I,9,0),0)+IFERROR(VLOOKUP($A352,[2]库存使用数据!$A:$I,9,0),0)+IFERROR(VLOOKUP($A352,[3]库存使用数据!$A:$I,9,0),0)+IFERROR(VLOOKUP($A352,[4]库存使用数据!$A:$I,9,0),0)+IFERROR(VLOOKUP($A352,[5]库存使用数据!$A:$I,9,0),0)</f>
        <v>2</v>
      </c>
      <c r="J352" s="1">
        <f ca="1">IFERROR(VLOOKUP($A352,[1]库存使用数据!$A:$J,10,0),0)+IFERROR(VLOOKUP($A352,[2]库存使用数据!$A:$J,10,0),0)+公式!$B$14*IFERROR(VLOOKUP($A352,[3]库存使用数据!$A:$J,10,0),0)+IFERROR(VLOOKUP($A352,[4]库存使用数据!$A:$J,10,0),0)+IFERROR(VLOOKUP($A352,[5]库存使用数据!$A:$J,10,0),0)</f>
        <v>0</v>
      </c>
      <c r="K352" s="1">
        <f ca="1">IFERROR(VLOOKUP($A352,[1]库存使用数据!$A:$K,11,0),0)+IFERROR(VLOOKUP($A352,[2]库存使用数据!$A:$K,11,0),0)+IFERROR(VLOOKUP($A352,[3]库存使用数据!$A:$K,11,0),0)+IFERROR(VLOOKUP($A352,[4]库存使用数据!$A:$K,11,0),0)+IFERROR(VLOOKUP($A352,[5]库存使用数据!$A:$K,11,0),0)</f>
        <v>2485</v>
      </c>
      <c r="L352" s="1">
        <f ca="1">IFERROR(VLOOKUP($A352,[1]库存使用数据!$A:$L,12,0),0)+IFERROR(VLOOKUP($A352,[2]库存使用数据!$A:$L,12,0),0)+IFERROR(VLOOKUP($A352,[3]库存使用数据!$A:$L,12,0),0)+IFERROR(VLOOKUP($A352,[4]库存使用数据!$A:$L,12,0),0)+IFERROR(VLOOKUP($A352,[5]库存使用数据!$A:$L,12,0),0)</f>
        <v>3</v>
      </c>
      <c r="M352" s="1">
        <f ca="1">IFERROR(VLOOKUP($A352,[1]库存使用数据!$A:$M,13,0),0)+IFERROR(VLOOKUP($A352,[2]库存使用数据!$A:$M,13,0),0)+公式!$B$14*IFERROR(VLOOKUP($A352,[3]库存使用数据!$A:$M,13,0),0)+IFERROR(VLOOKUP($A352,[4]库存使用数据!$A:$M,13,0),0)+IFERROR(VLOOKUP($A352,[5]库存使用数据!$A:$M,13,0),0)</f>
        <v>0</v>
      </c>
    </row>
    <row r="353" spans="1:13">
      <c r="A353" s="6" t="s">
        <v>358</v>
      </c>
      <c r="B353" s="2">
        <f ca="1">IFERROR(VLOOKUP(A353,[1]库存使用数据!$A:$B,2,0),0)+IFERROR(VLOOKUP(A353,[2]库存使用数据!$A:$B,2,0),0)+IFERROR(VLOOKUP(,[3]库存使用数据!$A:$B,2,0),0)+IFERROR(VLOOKUP(A353,[4]库存使用数据!$A:$B,2,0),0)+IFERROR(VLOOKUP(A353,[5]库存使用数据!$A:$B,2,0),0)</f>
        <v>0</v>
      </c>
      <c r="C353" s="1">
        <f ca="1">IFERROR(VLOOKUP($A353,[1]库存使用数据!$A:$C,3,0),0)+IFERROR(VLOOKUP($A353,[2]库存使用数据!$A:$C,3,0),0)+IFERROR(VLOOKUP($A353,[3]库存使用数据!$A:$C,3,0),0)+IFERROR(VLOOKUP($A353,[4]库存使用数据!$A:$C,3,0),0)+IFERROR(VLOOKUP($A353,[5]库存使用数据!$A:$C,3,0),0)</f>
        <v>1</v>
      </c>
      <c r="D353" s="1">
        <f ca="1">IFERROR(VLOOKUP($A353,[1]库存使用数据!$A:$D,4,0),0)+IFERROR(VLOOKUP($A353,[2]库存使用数据!$A:$D,4,0),0)+公式!$B$1*IFERROR(VLOOKUP($A353,[3]库存使用数据!$A:$D,4,0),0)+IFERROR(VLOOKUP($A353,[4]库存使用数据!$A:$D,4,0),0)+IFERROR(VLOOKUP($A353,[5]库存使用数据!$A:$D,4,0),0)</f>
        <v>0.2475</v>
      </c>
      <c r="E353" s="1">
        <f ca="1">IFERROR(VLOOKUP($A353,[1]库存使用数据!$A:$E,5,0),0)+IFERROR(VLOOKUP($A353,[2]库存使用数据!$A:$E,5,0),0)+IFERROR(VLOOKUP($A353,[3]库存使用数据!$A:$E,5,0),0)+IFERROR(VLOOKUP($A353,[4]库存使用数据!$A:$E,5,0),0)+IFERROR(VLOOKUP($A353,[5]库存使用数据!$A:$E,5,0),0)</f>
        <v>172</v>
      </c>
      <c r="F353" s="1">
        <f ca="1">IFERROR(VLOOKUP($A353,[1]库存使用数据!$A:$F,6,0),0)+IFERROR(VLOOKUP($A353,[2]库存使用数据!$A:$F,6,0),0)+IFERROR(VLOOKUP($A353,[4]库存使用数据!$A:$F,6,0),0)+IFERROR(VLOOKUP($A353,[3]库存使用数据!$A:$F,6,0),0)+IFERROR(VLOOKUP($A353,[5]库存使用数据!$A:$F,6,0),0)</f>
        <v>1</v>
      </c>
      <c r="G353" s="1">
        <f ca="1">IFERROR(VLOOKUP($A353,[1]库存使用数据!$A:$G,7,0),0)+IFERROR(VLOOKUP($A353,[2]库存使用数据!$A:$G,7,0),0)+公式!$B$14*IFERROR(VLOOKUP($A353,[3]库存使用数据!$A:$G,7,0),0)+IFERROR(VLOOKUP($A353,[4]库存使用数据!$A:$G,7,0),0)+IFERROR(VLOOKUP($A353,[5]库存使用数据!$A:$G,7,0),0)</f>
        <v>0</v>
      </c>
      <c r="H353" s="1">
        <f ca="1">IFERROR(VLOOKUP($A353,[1]库存使用数据!$A:$H,8,0),0)+IFERROR(VLOOKUP($A353,[2]库存使用数据!$A:$H,8,0),0)+IFERROR(VLOOKUP($A353,[3]库存使用数据!$A:$H,8,0),0)+IFERROR(VLOOKUP($A353,[4]库存使用数据!$A:$H,8,0),0)+IFERROR(VLOOKUP($A353,[5]库存使用数据!$A:$H,8,0),0)</f>
        <v>84</v>
      </c>
      <c r="I353" s="1">
        <f ca="1">IFERROR(VLOOKUP($A353,[1]库存使用数据!$A:$I,9,0),0)+IFERROR(VLOOKUP($A353,[2]库存使用数据!$A:$I,9,0),0)+IFERROR(VLOOKUP($A353,[3]库存使用数据!$A:$I,9,0),0)+IFERROR(VLOOKUP($A353,[4]库存使用数据!$A:$I,9,0),0)+IFERROR(VLOOKUP($A353,[5]库存使用数据!$A:$I,9,0),0)</f>
        <v>0</v>
      </c>
      <c r="J353" s="1">
        <f ca="1">IFERROR(VLOOKUP($A353,[1]库存使用数据!$A:$J,10,0),0)+IFERROR(VLOOKUP($A353,[2]库存使用数据!$A:$J,10,0),0)+公式!$B$14*IFERROR(VLOOKUP($A353,[3]库存使用数据!$A:$J,10,0),0)+IFERROR(VLOOKUP($A353,[4]库存使用数据!$A:$J,10,0),0)+IFERROR(VLOOKUP($A353,[5]库存使用数据!$A:$J,10,0),0)</f>
        <v>0</v>
      </c>
      <c r="K353" s="1">
        <f ca="1">IFERROR(VLOOKUP($A353,[1]库存使用数据!$A:$K,11,0),0)+IFERROR(VLOOKUP($A353,[2]库存使用数据!$A:$K,11,0),0)+IFERROR(VLOOKUP($A353,[3]库存使用数据!$A:$K,11,0),0)+IFERROR(VLOOKUP($A353,[4]库存使用数据!$A:$K,11,0),0)+IFERROR(VLOOKUP($A353,[5]库存使用数据!$A:$K,11,0),0)</f>
        <v>81</v>
      </c>
      <c r="L353" s="1">
        <f ca="1">IFERROR(VLOOKUP($A353,[1]库存使用数据!$A:$L,12,0),0)+IFERROR(VLOOKUP($A353,[2]库存使用数据!$A:$L,12,0),0)+IFERROR(VLOOKUP($A353,[3]库存使用数据!$A:$L,12,0),0)+IFERROR(VLOOKUP($A353,[4]库存使用数据!$A:$L,12,0),0)+IFERROR(VLOOKUP($A353,[5]库存使用数据!$A:$L,12,0),0)</f>
        <v>0</v>
      </c>
      <c r="M353" s="1">
        <f ca="1">IFERROR(VLOOKUP($A353,[1]库存使用数据!$A:$M,13,0),0)+IFERROR(VLOOKUP($A353,[2]库存使用数据!$A:$M,13,0),0)+公式!$B$14*IFERROR(VLOOKUP($A353,[3]库存使用数据!$A:$M,13,0),0)+IFERROR(VLOOKUP($A353,[4]库存使用数据!$A:$M,13,0),0)+IFERROR(VLOOKUP($A353,[5]库存使用数据!$A:$M,13,0),0)</f>
        <v>0</v>
      </c>
    </row>
    <row r="354" spans="1:13">
      <c r="A354" s="6" t="s">
        <v>359</v>
      </c>
      <c r="B354" s="2">
        <f ca="1">IFERROR(VLOOKUP(A354,[1]库存使用数据!$A:$B,2,0),0)+IFERROR(VLOOKUP(A354,[2]库存使用数据!$A:$B,2,0),0)+IFERROR(VLOOKUP(,[3]库存使用数据!$A:$B,2,0),0)+IFERROR(VLOOKUP(A354,[4]库存使用数据!$A:$B,2,0),0)+IFERROR(VLOOKUP(A354,[5]库存使用数据!$A:$B,2,0),0)</f>
        <v>0</v>
      </c>
      <c r="C354" s="1">
        <f ca="1">IFERROR(VLOOKUP($A354,[1]库存使用数据!$A:$C,3,0),0)+IFERROR(VLOOKUP($A354,[2]库存使用数据!$A:$C,3,0),0)+IFERROR(VLOOKUP($A354,[3]库存使用数据!$A:$C,3,0),0)+IFERROR(VLOOKUP($A354,[4]库存使用数据!$A:$C,3,0),0)+IFERROR(VLOOKUP($A354,[5]库存使用数据!$A:$C,3,0),0)</f>
        <v>0</v>
      </c>
      <c r="D354" s="1">
        <f ca="1">IFERROR(VLOOKUP($A354,[1]库存使用数据!$A:$D,4,0),0)+IFERROR(VLOOKUP($A354,[2]库存使用数据!$A:$D,4,0),0)+公式!$B$1*IFERROR(VLOOKUP($A354,[3]库存使用数据!$A:$D,4,0),0)+IFERROR(VLOOKUP($A354,[4]库存使用数据!$A:$D,4,0),0)+IFERROR(VLOOKUP($A354,[5]库存使用数据!$A:$D,4,0),0)</f>
        <v>0</v>
      </c>
      <c r="E354" s="1">
        <f ca="1">IFERROR(VLOOKUP($A354,[1]库存使用数据!$A:$E,5,0),0)+IFERROR(VLOOKUP($A354,[2]库存使用数据!$A:$E,5,0),0)+IFERROR(VLOOKUP($A354,[3]库存使用数据!$A:$E,5,0),0)+IFERROR(VLOOKUP($A354,[4]库存使用数据!$A:$E,5,0),0)+IFERROR(VLOOKUP($A354,[5]库存使用数据!$A:$E,5,0),0)</f>
        <v>0</v>
      </c>
      <c r="F354" s="1">
        <f ca="1">IFERROR(VLOOKUP($A354,[1]库存使用数据!$A:$F,6,0),0)+IFERROR(VLOOKUP($A354,[2]库存使用数据!$A:$F,6,0),0)+IFERROR(VLOOKUP($A354,[4]库存使用数据!$A:$F,6,0),0)+IFERROR(VLOOKUP($A354,[3]库存使用数据!$A:$F,6,0),0)+IFERROR(VLOOKUP($A354,[5]库存使用数据!$A:$F,6,0),0)</f>
        <v>0</v>
      </c>
      <c r="G354" s="1">
        <f ca="1">IFERROR(VLOOKUP($A354,[1]库存使用数据!$A:$G,7,0),0)+IFERROR(VLOOKUP($A354,[2]库存使用数据!$A:$G,7,0),0)+公式!$B$14*IFERROR(VLOOKUP($A354,[3]库存使用数据!$A:$G,7,0),0)+IFERROR(VLOOKUP($A354,[4]库存使用数据!$A:$G,7,0),0)+IFERROR(VLOOKUP($A354,[5]库存使用数据!$A:$G,7,0),0)</f>
        <v>0</v>
      </c>
      <c r="H354" s="1">
        <f ca="1">IFERROR(VLOOKUP($A354,[1]库存使用数据!$A:$H,8,0),0)+IFERROR(VLOOKUP($A354,[2]库存使用数据!$A:$H,8,0),0)+IFERROR(VLOOKUP($A354,[3]库存使用数据!$A:$H,8,0),0)+IFERROR(VLOOKUP($A354,[4]库存使用数据!$A:$H,8,0),0)+IFERROR(VLOOKUP($A354,[5]库存使用数据!$A:$H,8,0),0)</f>
        <v>0</v>
      </c>
      <c r="I354" s="1">
        <f ca="1">IFERROR(VLOOKUP($A354,[1]库存使用数据!$A:$I,9,0),0)+IFERROR(VLOOKUP($A354,[2]库存使用数据!$A:$I,9,0),0)+IFERROR(VLOOKUP($A354,[3]库存使用数据!$A:$I,9,0),0)+IFERROR(VLOOKUP($A354,[4]库存使用数据!$A:$I,9,0),0)+IFERROR(VLOOKUP($A354,[5]库存使用数据!$A:$I,9,0),0)</f>
        <v>0</v>
      </c>
      <c r="J354" s="1">
        <f ca="1">IFERROR(VLOOKUP($A354,[1]库存使用数据!$A:$J,10,0),0)+IFERROR(VLOOKUP($A354,[2]库存使用数据!$A:$J,10,0),0)+公式!$B$14*IFERROR(VLOOKUP($A354,[3]库存使用数据!$A:$J,10,0),0)+IFERROR(VLOOKUP($A354,[4]库存使用数据!$A:$J,10,0),0)+IFERROR(VLOOKUP($A354,[5]库存使用数据!$A:$J,10,0),0)</f>
        <v>0</v>
      </c>
      <c r="K354" s="1">
        <f ca="1">IFERROR(VLOOKUP($A354,[1]库存使用数据!$A:$K,11,0),0)+IFERROR(VLOOKUP($A354,[2]库存使用数据!$A:$K,11,0),0)+IFERROR(VLOOKUP($A354,[3]库存使用数据!$A:$K,11,0),0)+IFERROR(VLOOKUP($A354,[4]库存使用数据!$A:$K,11,0),0)+IFERROR(VLOOKUP($A354,[5]库存使用数据!$A:$K,11,0),0)</f>
        <v>689</v>
      </c>
      <c r="L354" s="1">
        <f ca="1">IFERROR(VLOOKUP($A354,[1]库存使用数据!$A:$L,12,0),0)+IFERROR(VLOOKUP($A354,[2]库存使用数据!$A:$L,12,0),0)+IFERROR(VLOOKUP($A354,[3]库存使用数据!$A:$L,12,0),0)+IFERROR(VLOOKUP($A354,[4]库存使用数据!$A:$L,12,0),0)+IFERROR(VLOOKUP($A354,[5]库存使用数据!$A:$L,12,0),0)</f>
        <v>3</v>
      </c>
      <c r="M354" s="1">
        <f ca="1">IFERROR(VLOOKUP($A354,[1]库存使用数据!$A:$M,13,0),0)+IFERROR(VLOOKUP($A354,[2]库存使用数据!$A:$M,13,0),0)+公式!$B$14*IFERROR(VLOOKUP($A354,[3]库存使用数据!$A:$M,13,0),0)+IFERROR(VLOOKUP($A354,[4]库存使用数据!$A:$M,13,0),0)+IFERROR(VLOOKUP($A354,[5]库存使用数据!$A:$M,13,0),0)</f>
        <v>0</v>
      </c>
    </row>
    <row r="355" spans="1:13">
      <c r="A355" s="6" t="s">
        <v>360</v>
      </c>
      <c r="B355" s="2">
        <f ca="1">IFERROR(VLOOKUP(A355,[1]库存使用数据!$A:$B,2,0),0)+IFERROR(VLOOKUP(A355,[2]库存使用数据!$A:$B,2,0),0)+IFERROR(VLOOKUP(,[3]库存使用数据!$A:$B,2,0),0)+IFERROR(VLOOKUP(A355,[4]库存使用数据!$A:$B,2,0),0)+IFERROR(VLOOKUP(A355,[5]库存使用数据!$A:$B,2,0),0)</f>
        <v>0</v>
      </c>
      <c r="C355" s="1">
        <f ca="1">IFERROR(VLOOKUP($A355,[1]库存使用数据!$A:$C,3,0),0)+IFERROR(VLOOKUP($A355,[2]库存使用数据!$A:$C,3,0),0)+IFERROR(VLOOKUP($A355,[3]库存使用数据!$A:$C,3,0),0)+IFERROR(VLOOKUP($A355,[4]库存使用数据!$A:$C,3,0),0)+IFERROR(VLOOKUP($A355,[5]库存使用数据!$A:$C,3,0),0)</f>
        <v>0</v>
      </c>
      <c r="D355" s="1">
        <f ca="1">IFERROR(VLOOKUP($A355,[1]库存使用数据!$A:$D,4,0),0)+IFERROR(VLOOKUP($A355,[2]库存使用数据!$A:$D,4,0),0)+公式!$B$1*IFERROR(VLOOKUP($A355,[3]库存使用数据!$A:$D,4,0),0)+IFERROR(VLOOKUP($A355,[4]库存使用数据!$A:$D,4,0),0)+IFERROR(VLOOKUP($A355,[5]库存使用数据!$A:$D,4,0),0)</f>
        <v>0</v>
      </c>
      <c r="E355" s="1">
        <f ca="1">IFERROR(VLOOKUP($A355,[1]库存使用数据!$A:$E,5,0),0)+IFERROR(VLOOKUP($A355,[2]库存使用数据!$A:$E,5,0),0)+IFERROR(VLOOKUP($A355,[3]库存使用数据!$A:$E,5,0),0)+IFERROR(VLOOKUP($A355,[4]库存使用数据!$A:$E,5,0),0)+IFERROR(VLOOKUP($A355,[5]库存使用数据!$A:$E,5,0),0)</f>
        <v>0</v>
      </c>
      <c r="F355" s="1">
        <f ca="1">IFERROR(VLOOKUP($A355,[1]库存使用数据!$A:$F,6,0),0)+IFERROR(VLOOKUP($A355,[2]库存使用数据!$A:$F,6,0),0)+IFERROR(VLOOKUP($A355,[4]库存使用数据!$A:$F,6,0),0)+IFERROR(VLOOKUP($A355,[3]库存使用数据!$A:$F,6,0),0)+IFERROR(VLOOKUP($A355,[5]库存使用数据!$A:$F,6,0),0)</f>
        <v>0</v>
      </c>
      <c r="G355" s="1">
        <f ca="1">IFERROR(VLOOKUP($A355,[1]库存使用数据!$A:$G,7,0),0)+IFERROR(VLOOKUP($A355,[2]库存使用数据!$A:$G,7,0),0)+公式!$B$14*IFERROR(VLOOKUP($A355,[3]库存使用数据!$A:$G,7,0),0)+IFERROR(VLOOKUP($A355,[4]库存使用数据!$A:$G,7,0),0)+IFERROR(VLOOKUP($A355,[5]库存使用数据!$A:$G,7,0),0)</f>
        <v>0</v>
      </c>
      <c r="H355" s="1">
        <f ca="1">IFERROR(VLOOKUP($A355,[1]库存使用数据!$A:$H,8,0),0)+IFERROR(VLOOKUP($A355,[2]库存使用数据!$A:$H,8,0),0)+IFERROR(VLOOKUP($A355,[3]库存使用数据!$A:$H,8,0),0)+IFERROR(VLOOKUP($A355,[4]库存使用数据!$A:$H,8,0),0)+IFERROR(VLOOKUP($A355,[5]库存使用数据!$A:$H,8,0),0)</f>
        <v>586</v>
      </c>
      <c r="I355" s="1">
        <f ca="1">IFERROR(VLOOKUP($A355,[1]库存使用数据!$A:$I,9,0),0)+IFERROR(VLOOKUP($A355,[2]库存使用数据!$A:$I,9,0),0)+IFERROR(VLOOKUP($A355,[3]库存使用数据!$A:$I,9,0),0)+IFERROR(VLOOKUP($A355,[4]库存使用数据!$A:$I,9,0),0)+IFERROR(VLOOKUP($A355,[5]库存使用数据!$A:$I,9,0),0)</f>
        <v>5</v>
      </c>
      <c r="J355" s="1">
        <f ca="1">IFERROR(VLOOKUP($A355,[1]库存使用数据!$A:$J,10,0),0)+IFERROR(VLOOKUP($A355,[2]库存使用数据!$A:$J,10,0),0)+公式!$B$14*IFERROR(VLOOKUP($A355,[3]库存使用数据!$A:$J,10,0),0)+IFERROR(VLOOKUP($A355,[4]库存使用数据!$A:$J,10,0),0)+IFERROR(VLOOKUP($A355,[5]库存使用数据!$A:$J,10,0),0)</f>
        <v>0</v>
      </c>
      <c r="K355" s="1">
        <f ca="1">IFERROR(VLOOKUP($A355,[1]库存使用数据!$A:$K,11,0),0)+IFERROR(VLOOKUP($A355,[2]库存使用数据!$A:$K,11,0),0)+IFERROR(VLOOKUP($A355,[3]库存使用数据!$A:$K,11,0),0)+IFERROR(VLOOKUP($A355,[4]库存使用数据!$A:$K,11,0),0)+IFERROR(VLOOKUP($A355,[5]库存使用数据!$A:$K,11,0),0)</f>
        <v>472</v>
      </c>
      <c r="L355" s="1">
        <f ca="1">IFERROR(VLOOKUP($A355,[1]库存使用数据!$A:$L,12,0),0)+IFERROR(VLOOKUP($A355,[2]库存使用数据!$A:$L,12,0),0)+IFERROR(VLOOKUP($A355,[3]库存使用数据!$A:$L,12,0),0)+IFERROR(VLOOKUP($A355,[4]库存使用数据!$A:$L,12,0),0)+IFERROR(VLOOKUP($A355,[5]库存使用数据!$A:$L,12,0),0)</f>
        <v>0</v>
      </c>
      <c r="M355" s="1">
        <f ca="1">IFERROR(VLOOKUP($A355,[1]库存使用数据!$A:$M,13,0),0)+IFERROR(VLOOKUP($A355,[2]库存使用数据!$A:$M,13,0),0)+公式!$B$14*IFERROR(VLOOKUP($A355,[3]库存使用数据!$A:$M,13,0),0)+IFERROR(VLOOKUP($A355,[4]库存使用数据!$A:$M,13,0),0)+IFERROR(VLOOKUP($A355,[5]库存使用数据!$A:$M,13,0),0)</f>
        <v>0</v>
      </c>
    </row>
    <row r="356" spans="1:13">
      <c r="A356" s="6" t="s">
        <v>361</v>
      </c>
      <c r="B356" s="2">
        <f ca="1">IFERROR(VLOOKUP(A356,[1]库存使用数据!$A:$B,2,0),0)+IFERROR(VLOOKUP(A356,[2]库存使用数据!$A:$B,2,0),0)+IFERROR(VLOOKUP(,[3]库存使用数据!$A:$B,2,0),0)+IFERROR(VLOOKUP(A356,[4]库存使用数据!$A:$B,2,0),0)+IFERROR(VLOOKUP(A356,[5]库存使用数据!$A:$B,2,0),0)</f>
        <v>0</v>
      </c>
      <c r="C356" s="1">
        <f ca="1">IFERROR(VLOOKUP($A356,[1]库存使用数据!$A:$C,3,0),0)+IFERROR(VLOOKUP($A356,[2]库存使用数据!$A:$C,3,0),0)+IFERROR(VLOOKUP($A356,[3]库存使用数据!$A:$C,3,0),0)+IFERROR(VLOOKUP($A356,[4]库存使用数据!$A:$C,3,0),0)+IFERROR(VLOOKUP($A356,[5]库存使用数据!$A:$C,3,0),0)</f>
        <v>1</v>
      </c>
      <c r="D356" s="1">
        <f ca="1">IFERROR(VLOOKUP($A356,[1]库存使用数据!$A:$D,4,0),0)+IFERROR(VLOOKUP($A356,[2]库存使用数据!$A:$D,4,0),0)+公式!$B$1*IFERROR(VLOOKUP($A356,[3]库存使用数据!$A:$D,4,0),0)+IFERROR(VLOOKUP($A356,[4]库存使用数据!$A:$D,4,0),0)+IFERROR(VLOOKUP($A356,[5]库存使用数据!$A:$D,4,0),0)</f>
        <v>0.21375</v>
      </c>
      <c r="E356" s="1">
        <f ca="1">IFERROR(VLOOKUP($A356,[1]库存使用数据!$A:$E,5,0),0)+IFERROR(VLOOKUP($A356,[2]库存使用数据!$A:$E,5,0),0)+IFERROR(VLOOKUP($A356,[3]库存使用数据!$A:$E,5,0),0)+IFERROR(VLOOKUP($A356,[4]库存使用数据!$A:$E,5,0),0)+IFERROR(VLOOKUP($A356,[5]库存使用数据!$A:$E,5,0),0)</f>
        <v>828</v>
      </c>
      <c r="F356" s="1">
        <f ca="1">IFERROR(VLOOKUP($A356,[1]库存使用数据!$A:$F,6,0),0)+IFERROR(VLOOKUP($A356,[2]库存使用数据!$A:$F,6,0),0)+IFERROR(VLOOKUP($A356,[4]库存使用数据!$A:$F,6,0),0)+IFERROR(VLOOKUP($A356,[3]库存使用数据!$A:$F,6,0),0)+IFERROR(VLOOKUP($A356,[5]库存使用数据!$A:$F,6,0),0)</f>
        <v>1</v>
      </c>
      <c r="G356" s="1">
        <f ca="1">IFERROR(VLOOKUP($A356,[1]库存使用数据!$A:$G,7,0),0)+IFERROR(VLOOKUP($A356,[2]库存使用数据!$A:$G,7,0),0)+公式!$B$14*IFERROR(VLOOKUP($A356,[3]库存使用数据!$A:$G,7,0),0)+IFERROR(VLOOKUP($A356,[4]库存使用数据!$A:$G,7,0),0)+IFERROR(VLOOKUP($A356,[5]库存使用数据!$A:$G,7,0),0)</f>
        <v>0</v>
      </c>
      <c r="H356" s="1">
        <f ca="1">IFERROR(VLOOKUP($A356,[1]库存使用数据!$A:$H,8,0),0)+IFERROR(VLOOKUP($A356,[2]库存使用数据!$A:$H,8,0),0)+IFERROR(VLOOKUP($A356,[3]库存使用数据!$A:$H,8,0),0)+IFERROR(VLOOKUP($A356,[4]库存使用数据!$A:$H,8,0),0)+IFERROR(VLOOKUP($A356,[5]库存使用数据!$A:$H,8,0),0)</f>
        <v>648</v>
      </c>
      <c r="I356" s="1">
        <f ca="1">IFERROR(VLOOKUP($A356,[1]库存使用数据!$A:$I,9,0),0)+IFERROR(VLOOKUP($A356,[2]库存使用数据!$A:$I,9,0),0)+IFERROR(VLOOKUP($A356,[3]库存使用数据!$A:$I,9,0),0)+IFERROR(VLOOKUP($A356,[4]库存使用数据!$A:$I,9,0),0)+IFERROR(VLOOKUP($A356,[5]库存使用数据!$A:$I,9,0),0)</f>
        <v>0</v>
      </c>
      <c r="J356" s="1">
        <f ca="1">IFERROR(VLOOKUP($A356,[1]库存使用数据!$A:$J,10,0),0)+IFERROR(VLOOKUP($A356,[2]库存使用数据!$A:$J,10,0),0)+公式!$B$14*IFERROR(VLOOKUP($A356,[3]库存使用数据!$A:$J,10,0),0)+IFERROR(VLOOKUP($A356,[4]库存使用数据!$A:$J,10,0),0)+IFERROR(VLOOKUP($A356,[5]库存使用数据!$A:$J,10,0),0)</f>
        <v>0</v>
      </c>
      <c r="K356" s="1">
        <f ca="1">IFERROR(VLOOKUP($A356,[1]库存使用数据!$A:$K,11,0),0)+IFERROR(VLOOKUP($A356,[2]库存使用数据!$A:$K,11,0),0)+IFERROR(VLOOKUP($A356,[3]库存使用数据!$A:$K,11,0),0)+IFERROR(VLOOKUP($A356,[4]库存使用数据!$A:$K,11,0),0)+IFERROR(VLOOKUP($A356,[5]库存使用数据!$A:$K,11,0),0)</f>
        <v>690</v>
      </c>
      <c r="L356" s="1">
        <f ca="1">IFERROR(VLOOKUP($A356,[1]库存使用数据!$A:$L,12,0),0)+IFERROR(VLOOKUP($A356,[2]库存使用数据!$A:$L,12,0),0)+IFERROR(VLOOKUP($A356,[3]库存使用数据!$A:$L,12,0),0)+IFERROR(VLOOKUP($A356,[4]库存使用数据!$A:$L,12,0),0)+IFERROR(VLOOKUP($A356,[5]库存使用数据!$A:$L,12,0),0)</f>
        <v>2</v>
      </c>
      <c r="M356" s="1">
        <f ca="1">IFERROR(VLOOKUP($A356,[1]库存使用数据!$A:$M,13,0),0)+IFERROR(VLOOKUP($A356,[2]库存使用数据!$A:$M,13,0),0)+公式!$B$14*IFERROR(VLOOKUP($A356,[3]库存使用数据!$A:$M,13,0),0)+IFERROR(VLOOKUP($A356,[4]库存使用数据!$A:$M,13,0),0)+IFERROR(VLOOKUP($A356,[5]库存使用数据!$A:$M,13,0),0)</f>
        <v>0</v>
      </c>
    </row>
    <row r="357" spans="1:13">
      <c r="A357" s="6" t="s">
        <v>362</v>
      </c>
      <c r="B357" s="2">
        <f ca="1">IFERROR(VLOOKUP(A357,[1]库存使用数据!$A:$B,2,0),0)+IFERROR(VLOOKUP(A357,[2]库存使用数据!$A:$B,2,0),0)+IFERROR(VLOOKUP(,[3]库存使用数据!$A:$B,2,0),0)+IFERROR(VLOOKUP(A357,[4]库存使用数据!$A:$B,2,0),0)+IFERROR(VLOOKUP(A357,[5]库存使用数据!$A:$B,2,0),0)</f>
        <v>0</v>
      </c>
      <c r="C357" s="1">
        <f ca="1">IFERROR(VLOOKUP($A357,[1]库存使用数据!$A:$C,3,0),0)+IFERROR(VLOOKUP($A357,[2]库存使用数据!$A:$C,3,0),0)+IFERROR(VLOOKUP($A357,[3]库存使用数据!$A:$C,3,0),0)+IFERROR(VLOOKUP($A357,[4]库存使用数据!$A:$C,3,0),0)+IFERROR(VLOOKUP($A357,[5]库存使用数据!$A:$C,3,0),0)</f>
        <v>0</v>
      </c>
      <c r="D357" s="1">
        <f ca="1">IFERROR(VLOOKUP($A357,[1]库存使用数据!$A:$D,4,0),0)+IFERROR(VLOOKUP($A357,[2]库存使用数据!$A:$D,4,0),0)+公式!$B$1*IFERROR(VLOOKUP($A357,[3]库存使用数据!$A:$D,4,0),0)+IFERROR(VLOOKUP($A357,[4]库存使用数据!$A:$D,4,0),0)+IFERROR(VLOOKUP($A357,[5]库存使用数据!$A:$D,4,0),0)</f>
        <v>0</v>
      </c>
      <c r="E357" s="1">
        <f ca="1">IFERROR(VLOOKUP($A357,[1]库存使用数据!$A:$E,5,0),0)+IFERROR(VLOOKUP($A357,[2]库存使用数据!$A:$E,5,0),0)+IFERROR(VLOOKUP($A357,[3]库存使用数据!$A:$E,5,0),0)+IFERROR(VLOOKUP($A357,[4]库存使用数据!$A:$E,5,0),0)+IFERROR(VLOOKUP($A357,[5]库存使用数据!$A:$E,5,0),0)</f>
        <v>2809</v>
      </c>
      <c r="F357" s="1">
        <f ca="1">IFERROR(VLOOKUP($A357,[1]库存使用数据!$A:$F,6,0),0)+IFERROR(VLOOKUP($A357,[2]库存使用数据!$A:$F,6,0),0)+IFERROR(VLOOKUP($A357,[4]库存使用数据!$A:$F,6,0),0)+IFERROR(VLOOKUP($A357,[3]库存使用数据!$A:$F,6,0),0)+IFERROR(VLOOKUP($A357,[5]库存使用数据!$A:$F,6,0),0)</f>
        <v>7</v>
      </c>
      <c r="G357" s="1">
        <f ca="1">IFERROR(VLOOKUP($A357,[1]库存使用数据!$A:$G,7,0),0)+IFERROR(VLOOKUP($A357,[2]库存使用数据!$A:$G,7,0),0)+公式!$B$14*IFERROR(VLOOKUP($A357,[3]库存使用数据!$A:$G,7,0),0)+IFERROR(VLOOKUP($A357,[4]库存使用数据!$A:$G,7,0),0)+IFERROR(VLOOKUP($A357,[5]库存使用数据!$A:$G,7,0),0)</f>
        <v>0</v>
      </c>
      <c r="H357" s="1">
        <f ca="1">IFERROR(VLOOKUP($A357,[1]库存使用数据!$A:$H,8,0),0)+IFERROR(VLOOKUP($A357,[2]库存使用数据!$A:$H,8,0),0)+IFERROR(VLOOKUP($A357,[3]库存使用数据!$A:$H,8,0),0)+IFERROR(VLOOKUP($A357,[4]库存使用数据!$A:$H,8,0),0)+IFERROR(VLOOKUP($A357,[5]库存使用数据!$A:$H,8,0),0)</f>
        <v>3520</v>
      </c>
      <c r="I357" s="1">
        <f ca="1">IFERROR(VLOOKUP($A357,[1]库存使用数据!$A:$I,9,0),0)+IFERROR(VLOOKUP($A357,[2]库存使用数据!$A:$I,9,0),0)+IFERROR(VLOOKUP($A357,[3]库存使用数据!$A:$I,9,0),0)+IFERROR(VLOOKUP($A357,[4]库存使用数据!$A:$I,9,0),0)+IFERROR(VLOOKUP($A357,[5]库存使用数据!$A:$I,9,0),0)</f>
        <v>12</v>
      </c>
      <c r="J357" s="1">
        <f ca="1">IFERROR(VLOOKUP($A357,[1]库存使用数据!$A:$J,10,0),0)+IFERROR(VLOOKUP($A357,[2]库存使用数据!$A:$J,10,0),0)+公式!$B$14*IFERROR(VLOOKUP($A357,[3]库存使用数据!$A:$J,10,0),0)+IFERROR(VLOOKUP($A357,[4]库存使用数据!$A:$J,10,0),0)+IFERROR(VLOOKUP($A357,[5]库存使用数据!$A:$J,10,0),0)</f>
        <v>0</v>
      </c>
      <c r="K357" s="1">
        <f ca="1">IFERROR(VLOOKUP($A357,[1]库存使用数据!$A:$K,11,0),0)+IFERROR(VLOOKUP($A357,[2]库存使用数据!$A:$K,11,0),0)+IFERROR(VLOOKUP($A357,[3]库存使用数据!$A:$K,11,0),0)+IFERROR(VLOOKUP($A357,[4]库存使用数据!$A:$K,11,0),0)+IFERROR(VLOOKUP($A357,[5]库存使用数据!$A:$K,11,0),0)</f>
        <v>4296</v>
      </c>
      <c r="L357" s="1">
        <f ca="1">IFERROR(VLOOKUP($A357,[1]库存使用数据!$A:$L,12,0),0)+IFERROR(VLOOKUP($A357,[2]库存使用数据!$A:$L,12,0),0)+IFERROR(VLOOKUP($A357,[3]库存使用数据!$A:$L,12,0),0)+IFERROR(VLOOKUP($A357,[4]库存使用数据!$A:$L,12,0),0)+IFERROR(VLOOKUP($A357,[5]库存使用数据!$A:$L,12,0),0)</f>
        <v>15</v>
      </c>
      <c r="M357" s="1">
        <f ca="1">IFERROR(VLOOKUP($A357,[1]库存使用数据!$A:$M,13,0),0)+IFERROR(VLOOKUP($A357,[2]库存使用数据!$A:$M,13,0),0)+公式!$B$14*IFERROR(VLOOKUP($A357,[3]库存使用数据!$A:$M,13,0),0)+IFERROR(VLOOKUP($A357,[4]库存使用数据!$A:$M,13,0),0)+IFERROR(VLOOKUP($A357,[5]库存使用数据!$A:$M,13,0),0)</f>
        <v>0</v>
      </c>
    </row>
    <row r="358" spans="1:13">
      <c r="A358" s="6" t="s">
        <v>363</v>
      </c>
      <c r="B358" s="2">
        <f ca="1">IFERROR(VLOOKUP(A358,[1]库存使用数据!$A:$B,2,0),0)+IFERROR(VLOOKUP(A358,[2]库存使用数据!$A:$B,2,0),0)+IFERROR(VLOOKUP(,[3]库存使用数据!$A:$B,2,0),0)+IFERROR(VLOOKUP(A358,[4]库存使用数据!$A:$B,2,0),0)+IFERROR(VLOOKUP(A358,[5]库存使用数据!$A:$B,2,0),0)</f>
        <v>102</v>
      </c>
      <c r="C358" s="1">
        <f ca="1">IFERROR(VLOOKUP($A358,[1]库存使用数据!$A:$C,3,0),0)+IFERROR(VLOOKUP($A358,[2]库存使用数据!$A:$C,3,0),0)+IFERROR(VLOOKUP($A358,[3]库存使用数据!$A:$C,3,0),0)+IFERROR(VLOOKUP($A358,[4]库存使用数据!$A:$C,3,0),0)+IFERROR(VLOOKUP($A358,[5]库存使用数据!$A:$C,3,0),0)</f>
        <v>1</v>
      </c>
      <c r="D358" s="1">
        <f ca="1">IFERROR(VLOOKUP($A358,[1]库存使用数据!$A:$D,4,0),0)+IFERROR(VLOOKUP($A358,[2]库存使用数据!$A:$D,4,0),0)+公式!$B$1*IFERROR(VLOOKUP($A358,[3]库存使用数据!$A:$D,4,0),0)+IFERROR(VLOOKUP($A358,[4]库存使用数据!$A:$D,4,0),0)+IFERROR(VLOOKUP($A358,[5]库存使用数据!$A:$D,4,0),0)</f>
        <v>0.50625</v>
      </c>
      <c r="E358" s="1">
        <f ca="1">IFERROR(VLOOKUP($A358,[1]库存使用数据!$A:$E,5,0),0)+IFERROR(VLOOKUP($A358,[2]库存使用数据!$A:$E,5,0),0)+IFERROR(VLOOKUP($A358,[3]库存使用数据!$A:$E,5,0),0)+IFERROR(VLOOKUP($A358,[4]库存使用数据!$A:$E,5,0),0)+IFERROR(VLOOKUP($A358,[5]库存使用数据!$A:$E,5,0),0)</f>
        <v>1230</v>
      </c>
      <c r="F358" s="1">
        <f ca="1">IFERROR(VLOOKUP($A358,[1]库存使用数据!$A:$F,6,0),0)+IFERROR(VLOOKUP($A358,[2]库存使用数据!$A:$F,6,0),0)+IFERROR(VLOOKUP($A358,[4]库存使用数据!$A:$F,6,0),0)+IFERROR(VLOOKUP($A358,[3]库存使用数据!$A:$F,6,0),0)+IFERROR(VLOOKUP($A358,[5]库存使用数据!$A:$F,6,0),0)</f>
        <v>3</v>
      </c>
      <c r="G358" s="1">
        <f ca="1">IFERROR(VLOOKUP($A358,[1]库存使用数据!$A:$G,7,0),0)+IFERROR(VLOOKUP($A358,[2]库存使用数据!$A:$G,7,0),0)+公式!$B$14*IFERROR(VLOOKUP($A358,[3]库存使用数据!$A:$G,7,0),0)+IFERROR(VLOOKUP($A358,[4]库存使用数据!$A:$G,7,0),0)+IFERROR(VLOOKUP($A358,[5]库存使用数据!$A:$G,7,0),0)</f>
        <v>0</v>
      </c>
      <c r="H358" s="1">
        <f ca="1">IFERROR(VLOOKUP($A358,[1]库存使用数据!$A:$H,8,0),0)+IFERROR(VLOOKUP($A358,[2]库存使用数据!$A:$H,8,0),0)+IFERROR(VLOOKUP($A358,[3]库存使用数据!$A:$H,8,0),0)+IFERROR(VLOOKUP($A358,[4]库存使用数据!$A:$H,8,0),0)+IFERROR(VLOOKUP($A358,[5]库存使用数据!$A:$H,8,0),0)</f>
        <v>857</v>
      </c>
      <c r="I358" s="1">
        <f ca="1">IFERROR(VLOOKUP($A358,[1]库存使用数据!$A:$I,9,0),0)+IFERROR(VLOOKUP($A358,[2]库存使用数据!$A:$I,9,0),0)+IFERROR(VLOOKUP($A358,[3]库存使用数据!$A:$I,9,0),0)+IFERROR(VLOOKUP($A358,[4]库存使用数据!$A:$I,9,0),0)+IFERROR(VLOOKUP($A358,[5]库存使用数据!$A:$I,9,0),0)</f>
        <v>2</v>
      </c>
      <c r="J358" s="1">
        <f ca="1">IFERROR(VLOOKUP($A358,[1]库存使用数据!$A:$J,10,0),0)+IFERROR(VLOOKUP($A358,[2]库存使用数据!$A:$J,10,0),0)+公式!$B$14*IFERROR(VLOOKUP($A358,[3]库存使用数据!$A:$J,10,0),0)+IFERROR(VLOOKUP($A358,[4]库存使用数据!$A:$J,10,0),0)+IFERROR(VLOOKUP($A358,[5]库存使用数据!$A:$J,10,0),0)</f>
        <v>0</v>
      </c>
      <c r="K358" s="1">
        <f ca="1">IFERROR(VLOOKUP($A358,[1]库存使用数据!$A:$K,11,0),0)+IFERROR(VLOOKUP($A358,[2]库存使用数据!$A:$K,11,0),0)+IFERROR(VLOOKUP($A358,[3]库存使用数据!$A:$K,11,0),0)+IFERROR(VLOOKUP($A358,[4]库存使用数据!$A:$K,11,0),0)+IFERROR(VLOOKUP($A358,[5]库存使用数据!$A:$K,11,0),0)</f>
        <v>1862</v>
      </c>
      <c r="L358" s="1">
        <f ca="1">IFERROR(VLOOKUP($A358,[1]库存使用数据!$A:$L,12,0),0)+IFERROR(VLOOKUP($A358,[2]库存使用数据!$A:$L,12,0),0)+IFERROR(VLOOKUP($A358,[3]库存使用数据!$A:$L,12,0),0)+IFERROR(VLOOKUP($A358,[4]库存使用数据!$A:$L,12,0),0)+IFERROR(VLOOKUP($A358,[5]库存使用数据!$A:$L,12,0),0)</f>
        <v>2</v>
      </c>
      <c r="M358" s="1">
        <f ca="1">IFERROR(VLOOKUP($A358,[1]库存使用数据!$A:$M,13,0),0)+IFERROR(VLOOKUP($A358,[2]库存使用数据!$A:$M,13,0),0)+公式!$B$14*IFERROR(VLOOKUP($A358,[3]库存使用数据!$A:$M,13,0),0)+IFERROR(VLOOKUP($A358,[4]库存使用数据!$A:$M,13,0),0)+IFERROR(VLOOKUP($A358,[5]库存使用数据!$A:$M,13,0),0)</f>
        <v>0.05</v>
      </c>
    </row>
    <row r="359" spans="1:13">
      <c r="A359" s="6" t="s">
        <v>364</v>
      </c>
      <c r="B359" s="2">
        <f ca="1">IFERROR(VLOOKUP(A359,[1]库存使用数据!$A:$B,2,0),0)+IFERROR(VLOOKUP(A359,[2]库存使用数据!$A:$B,2,0),0)+IFERROR(VLOOKUP(,[3]库存使用数据!$A:$B,2,0),0)+IFERROR(VLOOKUP(A359,[4]库存使用数据!$A:$B,2,0),0)+IFERROR(VLOOKUP(A359,[5]库存使用数据!$A:$B,2,0),0)</f>
        <v>428</v>
      </c>
      <c r="C359" s="1">
        <f ca="1">IFERROR(VLOOKUP($A359,[1]库存使用数据!$A:$C,3,0),0)+IFERROR(VLOOKUP($A359,[2]库存使用数据!$A:$C,3,0),0)+IFERROR(VLOOKUP($A359,[3]库存使用数据!$A:$C,3,0),0)+IFERROR(VLOOKUP($A359,[4]库存使用数据!$A:$C,3,0),0)+IFERROR(VLOOKUP($A359,[5]库存使用数据!$A:$C,3,0),0)</f>
        <v>11</v>
      </c>
      <c r="D359" s="1">
        <f ca="1">IFERROR(VLOOKUP($A359,[1]库存使用数据!$A:$D,4,0),0)+IFERROR(VLOOKUP($A359,[2]库存使用数据!$A:$D,4,0),0)+公式!$B$1*IFERROR(VLOOKUP($A359,[3]库存使用数据!$A:$D,4,0),0)+IFERROR(VLOOKUP($A359,[4]库存使用数据!$A:$D,4,0),0)+IFERROR(VLOOKUP($A359,[5]库存使用数据!$A:$D,4,0),0)</f>
        <v>3.40625</v>
      </c>
      <c r="E359" s="1">
        <f ca="1">IFERROR(VLOOKUP($A359,[1]库存使用数据!$A:$E,5,0),0)+IFERROR(VLOOKUP($A359,[2]库存使用数据!$A:$E,5,0),0)+IFERROR(VLOOKUP($A359,[3]库存使用数据!$A:$E,5,0),0)+IFERROR(VLOOKUP($A359,[4]库存使用数据!$A:$E,5,0),0)+IFERROR(VLOOKUP($A359,[5]库存使用数据!$A:$E,5,0),0)</f>
        <v>4335</v>
      </c>
      <c r="F359" s="1">
        <f ca="1">IFERROR(VLOOKUP($A359,[1]库存使用数据!$A:$F,6,0),0)+IFERROR(VLOOKUP($A359,[2]库存使用数据!$A:$F,6,0),0)+IFERROR(VLOOKUP($A359,[4]库存使用数据!$A:$F,6,0),0)+IFERROR(VLOOKUP($A359,[3]库存使用数据!$A:$F,6,0),0)+IFERROR(VLOOKUP($A359,[5]库存使用数据!$A:$F,6,0),0)</f>
        <v>10</v>
      </c>
      <c r="G359" s="1">
        <f ca="1">IFERROR(VLOOKUP($A359,[1]库存使用数据!$A:$G,7,0),0)+IFERROR(VLOOKUP($A359,[2]库存使用数据!$A:$G,7,0),0)+公式!$B$14*IFERROR(VLOOKUP($A359,[3]库存使用数据!$A:$G,7,0),0)+IFERROR(VLOOKUP($A359,[4]库存使用数据!$A:$G,7,0),0)+IFERROR(VLOOKUP($A359,[5]库存使用数据!$A:$G,7,0),0)</f>
        <v>0</v>
      </c>
      <c r="H359" s="1">
        <f ca="1">IFERROR(VLOOKUP($A359,[1]库存使用数据!$A:$H,8,0),0)+IFERROR(VLOOKUP($A359,[2]库存使用数据!$A:$H,8,0),0)+IFERROR(VLOOKUP($A359,[3]库存使用数据!$A:$H,8,0),0)+IFERROR(VLOOKUP($A359,[4]库存使用数据!$A:$H,8,0),0)+IFERROR(VLOOKUP($A359,[5]库存使用数据!$A:$H,8,0),0)</f>
        <v>10233</v>
      </c>
      <c r="I359" s="1">
        <f ca="1">IFERROR(VLOOKUP($A359,[1]库存使用数据!$A:$I,9,0),0)+IFERROR(VLOOKUP($A359,[2]库存使用数据!$A:$I,9,0),0)+IFERROR(VLOOKUP($A359,[3]库存使用数据!$A:$I,9,0),0)+IFERROR(VLOOKUP($A359,[4]库存使用数据!$A:$I,9,0),0)+IFERROR(VLOOKUP($A359,[5]库存使用数据!$A:$I,9,0),0)</f>
        <v>20</v>
      </c>
      <c r="J359" s="1">
        <f ca="1">IFERROR(VLOOKUP($A359,[1]库存使用数据!$A:$J,10,0),0)+IFERROR(VLOOKUP($A359,[2]库存使用数据!$A:$J,10,0),0)+公式!$B$14*IFERROR(VLOOKUP($A359,[3]库存使用数据!$A:$J,10,0),0)+IFERROR(VLOOKUP($A359,[4]库存使用数据!$A:$J,10,0),0)+IFERROR(VLOOKUP($A359,[5]库存使用数据!$A:$J,10,0),0)</f>
        <v>0.11</v>
      </c>
      <c r="K359" s="1">
        <f ca="1">IFERROR(VLOOKUP($A359,[1]库存使用数据!$A:$K,11,0),0)+IFERROR(VLOOKUP($A359,[2]库存使用数据!$A:$K,11,0),0)+IFERROR(VLOOKUP($A359,[3]库存使用数据!$A:$K,11,0),0)+IFERROR(VLOOKUP($A359,[4]库存使用数据!$A:$K,11,0),0)+IFERROR(VLOOKUP($A359,[5]库存使用数据!$A:$K,11,0),0)</f>
        <v>1314</v>
      </c>
      <c r="L359" s="1">
        <f ca="1">IFERROR(VLOOKUP($A359,[1]库存使用数据!$A:$L,12,0),0)+IFERROR(VLOOKUP($A359,[2]库存使用数据!$A:$L,12,0),0)+IFERROR(VLOOKUP($A359,[3]库存使用数据!$A:$L,12,0),0)+IFERROR(VLOOKUP($A359,[4]库存使用数据!$A:$L,12,0),0)+IFERROR(VLOOKUP($A359,[5]库存使用数据!$A:$L,12,0),0)</f>
        <v>1</v>
      </c>
      <c r="M359" s="1">
        <f ca="1">IFERROR(VLOOKUP($A359,[1]库存使用数据!$A:$M,13,0),0)+IFERROR(VLOOKUP($A359,[2]库存使用数据!$A:$M,13,0),0)+公式!$B$14*IFERROR(VLOOKUP($A359,[3]库存使用数据!$A:$M,13,0),0)+IFERROR(VLOOKUP($A359,[4]库存使用数据!$A:$M,13,0),0)+IFERROR(VLOOKUP($A359,[5]库存使用数据!$A:$M,13,0),0)</f>
        <v>0</v>
      </c>
    </row>
    <row r="360" spans="1:13">
      <c r="A360" s="6" t="s">
        <v>365</v>
      </c>
      <c r="B360" s="2">
        <f ca="1">IFERROR(VLOOKUP(A360,[1]库存使用数据!$A:$B,2,0),0)+IFERROR(VLOOKUP(A360,[2]库存使用数据!$A:$B,2,0),0)+IFERROR(VLOOKUP(,[3]库存使用数据!$A:$B,2,0),0)+IFERROR(VLOOKUP(A360,[4]库存使用数据!$A:$B,2,0),0)+IFERROR(VLOOKUP(A360,[5]库存使用数据!$A:$B,2,0),0)</f>
        <v>0</v>
      </c>
      <c r="C360" s="1">
        <f ca="1">IFERROR(VLOOKUP($A360,[1]库存使用数据!$A:$C,3,0),0)+IFERROR(VLOOKUP($A360,[2]库存使用数据!$A:$C,3,0),0)+IFERROR(VLOOKUP($A360,[3]库存使用数据!$A:$C,3,0),0)+IFERROR(VLOOKUP($A360,[4]库存使用数据!$A:$C,3,0),0)+IFERROR(VLOOKUP($A360,[5]库存使用数据!$A:$C,3,0),0)</f>
        <v>4</v>
      </c>
      <c r="D360" s="1">
        <f ca="1">IFERROR(VLOOKUP($A360,[1]库存使用数据!$A:$D,4,0),0)+IFERROR(VLOOKUP($A360,[2]库存使用数据!$A:$D,4,0),0)+公式!$B$1*IFERROR(VLOOKUP($A360,[3]库存使用数据!$A:$D,4,0),0)+IFERROR(VLOOKUP($A360,[4]库存使用数据!$A:$D,4,0),0)+IFERROR(VLOOKUP($A360,[5]库存使用数据!$A:$D,4,0),0)</f>
        <v>1.27125</v>
      </c>
      <c r="E360" s="1">
        <f ca="1">IFERROR(VLOOKUP($A360,[1]库存使用数据!$A:$E,5,0),0)+IFERROR(VLOOKUP($A360,[2]库存使用数据!$A:$E,5,0),0)+IFERROR(VLOOKUP($A360,[3]库存使用数据!$A:$E,5,0),0)+IFERROR(VLOOKUP($A360,[4]库存使用数据!$A:$E,5,0),0)+IFERROR(VLOOKUP($A360,[5]库存使用数据!$A:$E,5,0),0)</f>
        <v>1227</v>
      </c>
      <c r="F360" s="1">
        <f ca="1">IFERROR(VLOOKUP($A360,[1]库存使用数据!$A:$F,6,0),0)+IFERROR(VLOOKUP($A360,[2]库存使用数据!$A:$F,6,0),0)+IFERROR(VLOOKUP($A360,[4]库存使用数据!$A:$F,6,0),0)+IFERROR(VLOOKUP($A360,[3]库存使用数据!$A:$F,6,0),0)+IFERROR(VLOOKUP($A360,[5]库存使用数据!$A:$F,6,0),0)</f>
        <v>7</v>
      </c>
      <c r="G360" s="1">
        <f ca="1">IFERROR(VLOOKUP($A360,[1]库存使用数据!$A:$G,7,0),0)+IFERROR(VLOOKUP($A360,[2]库存使用数据!$A:$G,7,0),0)+公式!$B$14*IFERROR(VLOOKUP($A360,[3]库存使用数据!$A:$G,7,0),0)+IFERROR(VLOOKUP($A360,[4]库存使用数据!$A:$G,7,0),0)+IFERROR(VLOOKUP($A360,[5]库存使用数据!$A:$G,7,0),0)</f>
        <v>0</v>
      </c>
      <c r="H360" s="1">
        <f ca="1">IFERROR(VLOOKUP($A360,[1]库存使用数据!$A:$H,8,0),0)+IFERROR(VLOOKUP($A360,[2]库存使用数据!$A:$H,8,0),0)+IFERROR(VLOOKUP($A360,[3]库存使用数据!$A:$H,8,0),0)+IFERROR(VLOOKUP($A360,[4]库存使用数据!$A:$H,8,0),0)+IFERROR(VLOOKUP($A360,[5]库存使用数据!$A:$H,8,0),0)</f>
        <v>2204</v>
      </c>
      <c r="I360" s="1">
        <f ca="1">IFERROR(VLOOKUP($A360,[1]库存使用数据!$A:$I,9,0),0)+IFERROR(VLOOKUP($A360,[2]库存使用数据!$A:$I,9,0),0)+IFERROR(VLOOKUP($A360,[3]库存使用数据!$A:$I,9,0),0)+IFERROR(VLOOKUP($A360,[4]库存使用数据!$A:$I,9,0),0)+IFERROR(VLOOKUP($A360,[5]库存使用数据!$A:$I,9,0),0)</f>
        <v>4</v>
      </c>
      <c r="J360" s="1">
        <f ca="1">IFERROR(VLOOKUP($A360,[1]库存使用数据!$A:$J,10,0),0)+IFERROR(VLOOKUP($A360,[2]库存使用数据!$A:$J,10,0),0)+公式!$B$14*IFERROR(VLOOKUP($A360,[3]库存使用数据!$A:$J,10,0),0)+IFERROR(VLOOKUP($A360,[4]库存使用数据!$A:$J,10,0),0)+IFERROR(VLOOKUP($A360,[5]库存使用数据!$A:$J,10,0),0)</f>
        <v>0</v>
      </c>
      <c r="K360" s="1">
        <f ca="1">IFERROR(VLOOKUP($A360,[1]库存使用数据!$A:$K,11,0),0)+IFERROR(VLOOKUP($A360,[2]库存使用数据!$A:$K,11,0),0)+IFERROR(VLOOKUP($A360,[3]库存使用数据!$A:$K,11,0),0)+IFERROR(VLOOKUP($A360,[4]库存使用数据!$A:$K,11,0),0)+IFERROR(VLOOKUP($A360,[5]库存使用数据!$A:$K,11,0),0)</f>
        <v>5898</v>
      </c>
      <c r="L360" s="1">
        <f ca="1">IFERROR(VLOOKUP($A360,[1]库存使用数据!$A:$L,12,0),0)+IFERROR(VLOOKUP($A360,[2]库存使用数据!$A:$L,12,0),0)+IFERROR(VLOOKUP($A360,[3]库存使用数据!$A:$L,12,0),0)+IFERROR(VLOOKUP($A360,[4]库存使用数据!$A:$L,12,0),0)+IFERROR(VLOOKUP($A360,[5]库存使用数据!$A:$L,12,0),0)</f>
        <v>19</v>
      </c>
      <c r="M360" s="1">
        <f ca="1">IFERROR(VLOOKUP($A360,[1]库存使用数据!$A:$M,13,0),0)+IFERROR(VLOOKUP($A360,[2]库存使用数据!$A:$M,13,0),0)+公式!$B$14*IFERROR(VLOOKUP($A360,[3]库存使用数据!$A:$M,13,0),0)+IFERROR(VLOOKUP($A360,[4]库存使用数据!$A:$M,13,0),0)+IFERROR(VLOOKUP($A360,[5]库存使用数据!$A:$M,13,0),0)</f>
        <v>0</v>
      </c>
    </row>
    <row r="361" spans="1:13">
      <c r="A361" s="6" t="s">
        <v>366</v>
      </c>
      <c r="B361" s="2">
        <f ca="1">IFERROR(VLOOKUP(A361,[1]库存使用数据!$A:$B,2,0),0)+IFERROR(VLOOKUP(A361,[2]库存使用数据!$A:$B,2,0),0)+IFERROR(VLOOKUP(,[3]库存使用数据!$A:$B,2,0),0)+IFERROR(VLOOKUP(A361,[4]库存使用数据!$A:$B,2,0),0)+IFERROR(VLOOKUP(A361,[5]库存使用数据!$A:$B,2,0),0)</f>
        <v>0</v>
      </c>
      <c r="C361" s="1">
        <f ca="1">IFERROR(VLOOKUP($A361,[1]库存使用数据!$A:$C,3,0),0)+IFERROR(VLOOKUP($A361,[2]库存使用数据!$A:$C,3,0),0)+IFERROR(VLOOKUP($A361,[3]库存使用数据!$A:$C,3,0),0)+IFERROR(VLOOKUP($A361,[4]库存使用数据!$A:$C,3,0),0)+IFERROR(VLOOKUP($A361,[5]库存使用数据!$A:$C,3,0),0)</f>
        <v>0</v>
      </c>
      <c r="D361" s="1">
        <f ca="1">IFERROR(VLOOKUP($A361,[1]库存使用数据!$A:$D,4,0),0)+IFERROR(VLOOKUP($A361,[2]库存使用数据!$A:$D,4,0),0)+公式!$B$1*IFERROR(VLOOKUP($A361,[3]库存使用数据!$A:$D,4,0),0)+IFERROR(VLOOKUP($A361,[4]库存使用数据!$A:$D,4,0),0)+IFERROR(VLOOKUP($A361,[5]库存使用数据!$A:$D,4,0),0)</f>
        <v>0</v>
      </c>
      <c r="E361" s="1">
        <f ca="1">IFERROR(VLOOKUP($A361,[1]库存使用数据!$A:$E,5,0),0)+IFERROR(VLOOKUP($A361,[2]库存使用数据!$A:$E,5,0),0)+IFERROR(VLOOKUP($A361,[3]库存使用数据!$A:$E,5,0),0)+IFERROR(VLOOKUP($A361,[4]库存使用数据!$A:$E,5,0),0)+IFERROR(VLOOKUP($A361,[5]库存使用数据!$A:$E,5,0),0)</f>
        <v>0</v>
      </c>
      <c r="F361" s="1">
        <f ca="1">IFERROR(VLOOKUP($A361,[1]库存使用数据!$A:$F,6,0),0)+IFERROR(VLOOKUP($A361,[2]库存使用数据!$A:$F,6,0),0)+IFERROR(VLOOKUP($A361,[4]库存使用数据!$A:$F,6,0),0)+IFERROR(VLOOKUP($A361,[3]库存使用数据!$A:$F,6,0),0)+IFERROR(VLOOKUP($A361,[5]库存使用数据!$A:$F,6,0),0)</f>
        <v>0</v>
      </c>
      <c r="G361" s="1">
        <f ca="1">IFERROR(VLOOKUP($A361,[1]库存使用数据!$A:$G,7,0),0)+IFERROR(VLOOKUP($A361,[2]库存使用数据!$A:$G,7,0),0)+公式!$B$14*IFERROR(VLOOKUP($A361,[3]库存使用数据!$A:$G,7,0),0)+IFERROR(VLOOKUP($A361,[4]库存使用数据!$A:$G,7,0),0)+IFERROR(VLOOKUP($A361,[5]库存使用数据!$A:$G,7,0),0)</f>
        <v>0</v>
      </c>
      <c r="H361" s="1">
        <f ca="1">IFERROR(VLOOKUP($A361,[1]库存使用数据!$A:$H,8,0),0)+IFERROR(VLOOKUP($A361,[2]库存使用数据!$A:$H,8,0),0)+IFERROR(VLOOKUP($A361,[3]库存使用数据!$A:$H,8,0),0)+IFERROR(VLOOKUP($A361,[4]库存使用数据!$A:$H,8,0),0)+IFERROR(VLOOKUP($A361,[5]库存使用数据!$A:$H,8,0),0)</f>
        <v>0</v>
      </c>
      <c r="I361" s="1">
        <f ca="1">IFERROR(VLOOKUP($A361,[1]库存使用数据!$A:$I,9,0),0)+IFERROR(VLOOKUP($A361,[2]库存使用数据!$A:$I,9,0),0)+IFERROR(VLOOKUP($A361,[3]库存使用数据!$A:$I,9,0),0)+IFERROR(VLOOKUP($A361,[4]库存使用数据!$A:$I,9,0),0)+IFERROR(VLOOKUP($A361,[5]库存使用数据!$A:$I,9,0),0)</f>
        <v>0</v>
      </c>
      <c r="J361" s="1">
        <f ca="1">IFERROR(VLOOKUP($A361,[1]库存使用数据!$A:$J,10,0),0)+IFERROR(VLOOKUP($A361,[2]库存使用数据!$A:$J,10,0),0)+公式!$B$14*IFERROR(VLOOKUP($A361,[3]库存使用数据!$A:$J,10,0),0)+IFERROR(VLOOKUP($A361,[4]库存使用数据!$A:$J,10,0),0)+IFERROR(VLOOKUP($A361,[5]库存使用数据!$A:$J,10,0),0)</f>
        <v>0</v>
      </c>
      <c r="K361" s="1">
        <f ca="1">IFERROR(VLOOKUP($A361,[1]库存使用数据!$A:$K,11,0),0)+IFERROR(VLOOKUP($A361,[2]库存使用数据!$A:$K,11,0),0)+IFERROR(VLOOKUP($A361,[3]库存使用数据!$A:$K,11,0),0)+IFERROR(VLOOKUP($A361,[4]库存使用数据!$A:$K,11,0),0)+IFERROR(VLOOKUP($A361,[5]库存使用数据!$A:$K,11,0),0)</f>
        <v>8706</v>
      </c>
      <c r="L361" s="1">
        <f ca="1">IFERROR(VLOOKUP($A361,[1]库存使用数据!$A:$L,12,0),0)+IFERROR(VLOOKUP($A361,[2]库存使用数据!$A:$L,12,0),0)+IFERROR(VLOOKUP($A361,[3]库存使用数据!$A:$L,12,0),0)+IFERROR(VLOOKUP($A361,[4]库存使用数据!$A:$L,12,0),0)+IFERROR(VLOOKUP($A361,[5]库存使用数据!$A:$L,12,0),0)</f>
        <v>15</v>
      </c>
      <c r="M361" s="1">
        <f ca="1">IFERROR(VLOOKUP($A361,[1]库存使用数据!$A:$M,13,0),0)+IFERROR(VLOOKUP($A361,[2]库存使用数据!$A:$M,13,0),0)+公式!$B$14*IFERROR(VLOOKUP($A361,[3]库存使用数据!$A:$M,13,0),0)+IFERROR(VLOOKUP($A361,[4]库存使用数据!$A:$M,13,0),0)+IFERROR(VLOOKUP($A361,[5]库存使用数据!$A:$M,13,0),0)</f>
        <v>0.9</v>
      </c>
    </row>
    <row r="362" spans="1:13">
      <c r="A362" s="6" t="s">
        <v>367</v>
      </c>
      <c r="B362" s="2">
        <f ca="1">IFERROR(VLOOKUP(A362,[1]库存使用数据!$A:$B,2,0),0)+IFERROR(VLOOKUP(A362,[2]库存使用数据!$A:$B,2,0),0)+IFERROR(VLOOKUP(,[3]库存使用数据!$A:$B,2,0),0)+IFERROR(VLOOKUP(A362,[4]库存使用数据!$A:$B,2,0),0)+IFERROR(VLOOKUP(A362,[5]库存使用数据!$A:$B,2,0),0)</f>
        <v>0</v>
      </c>
      <c r="C362" s="1">
        <f ca="1">IFERROR(VLOOKUP($A362,[1]库存使用数据!$A:$C,3,0),0)+IFERROR(VLOOKUP($A362,[2]库存使用数据!$A:$C,3,0),0)+IFERROR(VLOOKUP($A362,[3]库存使用数据!$A:$C,3,0),0)+IFERROR(VLOOKUP($A362,[4]库存使用数据!$A:$C,3,0),0)+IFERROR(VLOOKUP($A362,[5]库存使用数据!$A:$C,3,0),0)</f>
        <v>12</v>
      </c>
      <c r="D362" s="1">
        <f ca="1">IFERROR(VLOOKUP($A362,[1]库存使用数据!$A:$D,4,0),0)+IFERROR(VLOOKUP($A362,[2]库存使用数据!$A:$D,4,0),0)+公式!$B$1*IFERROR(VLOOKUP($A362,[3]库存使用数据!$A:$D,4,0),0)+IFERROR(VLOOKUP($A362,[4]库存使用数据!$A:$D,4,0),0)+IFERROR(VLOOKUP($A362,[5]库存使用数据!$A:$D,4,0),0)</f>
        <v>1.8675</v>
      </c>
      <c r="E362" s="1">
        <f ca="1">IFERROR(VLOOKUP($A362,[1]库存使用数据!$A:$E,5,0),0)+IFERROR(VLOOKUP($A362,[2]库存使用数据!$A:$E,5,0),0)+IFERROR(VLOOKUP($A362,[3]库存使用数据!$A:$E,5,0),0)+IFERROR(VLOOKUP($A362,[4]库存使用数据!$A:$E,5,0),0)+IFERROR(VLOOKUP($A362,[5]库存使用数据!$A:$E,5,0),0)</f>
        <v>4715</v>
      </c>
      <c r="F362" s="1">
        <f ca="1">IFERROR(VLOOKUP($A362,[1]库存使用数据!$A:$F,6,0),0)+IFERROR(VLOOKUP($A362,[2]库存使用数据!$A:$F,6,0),0)+IFERROR(VLOOKUP($A362,[4]库存使用数据!$A:$F,6,0),0)+IFERROR(VLOOKUP($A362,[3]库存使用数据!$A:$F,6,0),0)+IFERROR(VLOOKUP($A362,[5]库存使用数据!$A:$F,6,0),0)</f>
        <v>15</v>
      </c>
      <c r="G362" s="1">
        <f ca="1">IFERROR(VLOOKUP($A362,[1]库存使用数据!$A:$G,7,0),0)+IFERROR(VLOOKUP($A362,[2]库存使用数据!$A:$G,7,0),0)+公式!$B$14*IFERROR(VLOOKUP($A362,[3]库存使用数据!$A:$G,7,0),0)+IFERROR(VLOOKUP($A362,[4]库存使用数据!$A:$G,7,0),0)+IFERROR(VLOOKUP($A362,[5]库存使用数据!$A:$G,7,0),0)</f>
        <v>0.51</v>
      </c>
      <c r="H362" s="1">
        <f ca="1">IFERROR(VLOOKUP($A362,[1]库存使用数据!$A:$H,8,0),0)+IFERROR(VLOOKUP($A362,[2]库存使用数据!$A:$H,8,0),0)+IFERROR(VLOOKUP($A362,[3]库存使用数据!$A:$H,8,0),0)+IFERROR(VLOOKUP($A362,[4]库存使用数据!$A:$H,8,0),0)+IFERROR(VLOOKUP($A362,[5]库存使用数据!$A:$H,8,0),0)</f>
        <v>4915</v>
      </c>
      <c r="I362" s="1">
        <f ca="1">IFERROR(VLOOKUP($A362,[1]库存使用数据!$A:$I,9,0),0)+IFERROR(VLOOKUP($A362,[2]库存使用数据!$A:$I,9,0),0)+IFERROR(VLOOKUP($A362,[3]库存使用数据!$A:$I,9,0),0)+IFERROR(VLOOKUP($A362,[4]库存使用数据!$A:$I,9,0),0)+IFERROR(VLOOKUP($A362,[5]库存使用数据!$A:$I,9,0),0)</f>
        <v>12</v>
      </c>
      <c r="J362" s="1">
        <f ca="1">IFERROR(VLOOKUP($A362,[1]库存使用数据!$A:$J,10,0),0)+IFERROR(VLOOKUP($A362,[2]库存使用数据!$A:$J,10,0),0)+公式!$B$14*IFERROR(VLOOKUP($A362,[3]库存使用数据!$A:$J,10,0),0)+IFERROR(VLOOKUP($A362,[4]库存使用数据!$A:$J,10,0),0)+IFERROR(VLOOKUP($A362,[5]库存使用数据!$A:$J,10,0),0)</f>
        <v>1.37</v>
      </c>
      <c r="K362" s="1">
        <f ca="1">IFERROR(VLOOKUP($A362,[1]库存使用数据!$A:$K,11,0),0)+IFERROR(VLOOKUP($A362,[2]库存使用数据!$A:$K,11,0),0)+IFERROR(VLOOKUP($A362,[3]库存使用数据!$A:$K,11,0),0)+IFERROR(VLOOKUP($A362,[4]库存使用数据!$A:$K,11,0),0)+IFERROR(VLOOKUP($A362,[5]库存使用数据!$A:$K,11,0),0)</f>
        <v>6695</v>
      </c>
      <c r="L362" s="1">
        <f ca="1">IFERROR(VLOOKUP($A362,[1]库存使用数据!$A:$L,12,0),0)+IFERROR(VLOOKUP($A362,[2]库存使用数据!$A:$L,12,0),0)+IFERROR(VLOOKUP($A362,[3]库存使用数据!$A:$L,12,0),0)+IFERROR(VLOOKUP($A362,[4]库存使用数据!$A:$L,12,0),0)+IFERROR(VLOOKUP($A362,[5]库存使用数据!$A:$L,12,0),0)</f>
        <v>16</v>
      </c>
      <c r="M362" s="1">
        <f ca="1">IFERROR(VLOOKUP($A362,[1]库存使用数据!$A:$M,13,0),0)+IFERROR(VLOOKUP($A362,[2]库存使用数据!$A:$M,13,0),0)+公式!$B$14*IFERROR(VLOOKUP($A362,[3]库存使用数据!$A:$M,13,0),0)+IFERROR(VLOOKUP($A362,[4]库存使用数据!$A:$M,13,0),0)+IFERROR(VLOOKUP($A362,[5]库存使用数据!$A:$M,13,0),0)</f>
        <v>1.5</v>
      </c>
    </row>
    <row r="363" spans="1:13">
      <c r="A363" s="6" t="s">
        <v>368</v>
      </c>
      <c r="B363" s="2">
        <f ca="1">IFERROR(VLOOKUP(A363,[1]库存使用数据!$A:$B,2,0),0)+IFERROR(VLOOKUP(A363,[2]库存使用数据!$A:$B,2,0),0)+IFERROR(VLOOKUP(,[3]库存使用数据!$A:$B,2,0),0)+IFERROR(VLOOKUP(A363,[4]库存使用数据!$A:$B,2,0),0)+IFERROR(VLOOKUP(A363,[5]库存使用数据!$A:$B,2,0),0)</f>
        <v>0</v>
      </c>
      <c r="C363" s="1">
        <f ca="1">IFERROR(VLOOKUP($A363,[1]库存使用数据!$A:$C,3,0),0)+IFERROR(VLOOKUP($A363,[2]库存使用数据!$A:$C,3,0),0)+IFERROR(VLOOKUP($A363,[3]库存使用数据!$A:$C,3,0),0)+IFERROR(VLOOKUP($A363,[4]库存使用数据!$A:$C,3,0),0)+IFERROR(VLOOKUP($A363,[5]库存使用数据!$A:$C,3,0),0)</f>
        <v>8</v>
      </c>
      <c r="D363" s="1">
        <f ca="1">IFERROR(VLOOKUP($A363,[1]库存使用数据!$A:$D,4,0),0)+IFERROR(VLOOKUP($A363,[2]库存使用数据!$A:$D,4,0),0)+公式!$B$1*IFERROR(VLOOKUP($A363,[3]库存使用数据!$A:$D,4,0),0)+IFERROR(VLOOKUP($A363,[4]库存使用数据!$A:$D,4,0),0)+IFERROR(VLOOKUP($A363,[5]库存使用数据!$A:$D,4,0),0)</f>
        <v>2.0475</v>
      </c>
      <c r="E363" s="1">
        <f ca="1">IFERROR(VLOOKUP($A363,[1]库存使用数据!$A:$E,5,0),0)+IFERROR(VLOOKUP($A363,[2]库存使用数据!$A:$E,5,0),0)+IFERROR(VLOOKUP($A363,[3]库存使用数据!$A:$E,5,0),0)+IFERROR(VLOOKUP($A363,[4]库存使用数据!$A:$E,5,0),0)+IFERROR(VLOOKUP($A363,[5]库存使用数据!$A:$E,5,0),0)</f>
        <v>3850</v>
      </c>
      <c r="F363" s="1">
        <f ca="1">IFERROR(VLOOKUP($A363,[1]库存使用数据!$A:$F,6,0),0)+IFERROR(VLOOKUP($A363,[2]库存使用数据!$A:$F,6,0),0)+IFERROR(VLOOKUP($A363,[4]库存使用数据!$A:$F,6,0),0)+IFERROR(VLOOKUP($A363,[3]库存使用数据!$A:$F,6,0),0)+IFERROR(VLOOKUP($A363,[5]库存使用数据!$A:$F,6,0),0)</f>
        <v>6</v>
      </c>
      <c r="G363" s="1">
        <f ca="1">IFERROR(VLOOKUP($A363,[1]库存使用数据!$A:$G,7,0),0)+IFERROR(VLOOKUP($A363,[2]库存使用数据!$A:$G,7,0),0)+公式!$B$14*IFERROR(VLOOKUP($A363,[3]库存使用数据!$A:$G,7,0),0)+IFERROR(VLOOKUP($A363,[4]库存使用数据!$A:$G,7,0),0)+IFERROR(VLOOKUP($A363,[5]库存使用数据!$A:$G,7,0),0)</f>
        <v>0</v>
      </c>
      <c r="H363" s="1">
        <f ca="1">IFERROR(VLOOKUP($A363,[1]库存使用数据!$A:$H,8,0),0)+IFERROR(VLOOKUP($A363,[2]库存使用数据!$A:$H,8,0),0)+IFERROR(VLOOKUP($A363,[3]库存使用数据!$A:$H,8,0),0)+IFERROR(VLOOKUP($A363,[4]库存使用数据!$A:$H,8,0),0)+IFERROR(VLOOKUP($A363,[5]库存使用数据!$A:$H,8,0),0)</f>
        <v>3264</v>
      </c>
      <c r="I363" s="1">
        <f ca="1">IFERROR(VLOOKUP($A363,[1]库存使用数据!$A:$I,9,0),0)+IFERROR(VLOOKUP($A363,[2]库存使用数据!$A:$I,9,0),0)+IFERROR(VLOOKUP($A363,[3]库存使用数据!$A:$I,9,0),0)+IFERROR(VLOOKUP($A363,[4]库存使用数据!$A:$I,9,0),0)+IFERROR(VLOOKUP($A363,[5]库存使用数据!$A:$I,9,0),0)</f>
        <v>12</v>
      </c>
      <c r="J363" s="1">
        <f ca="1">IFERROR(VLOOKUP($A363,[1]库存使用数据!$A:$J,10,0),0)+IFERROR(VLOOKUP($A363,[2]库存使用数据!$A:$J,10,0),0)+公式!$B$14*IFERROR(VLOOKUP($A363,[3]库存使用数据!$A:$J,10,0),0)+IFERROR(VLOOKUP($A363,[4]库存使用数据!$A:$J,10,0),0)+IFERROR(VLOOKUP($A363,[5]库存使用数据!$A:$J,10,0),0)</f>
        <v>0</v>
      </c>
      <c r="K363" s="1">
        <f ca="1">IFERROR(VLOOKUP($A363,[1]库存使用数据!$A:$K,11,0),0)+IFERROR(VLOOKUP($A363,[2]库存使用数据!$A:$K,11,0),0)+IFERROR(VLOOKUP($A363,[3]库存使用数据!$A:$K,11,0),0)+IFERROR(VLOOKUP($A363,[4]库存使用数据!$A:$K,11,0),0)+IFERROR(VLOOKUP($A363,[5]库存使用数据!$A:$K,11,0),0)</f>
        <v>7365</v>
      </c>
      <c r="L363" s="1">
        <f ca="1">IFERROR(VLOOKUP($A363,[1]库存使用数据!$A:$L,12,0),0)+IFERROR(VLOOKUP($A363,[2]库存使用数据!$A:$L,12,0),0)+IFERROR(VLOOKUP($A363,[3]库存使用数据!$A:$L,12,0),0)+IFERROR(VLOOKUP($A363,[4]库存使用数据!$A:$L,12,0),0)+IFERROR(VLOOKUP($A363,[5]库存使用数据!$A:$L,12,0),0)</f>
        <v>12</v>
      </c>
      <c r="M363" s="1">
        <f ca="1">IFERROR(VLOOKUP($A363,[1]库存使用数据!$A:$M,13,0),0)+IFERROR(VLOOKUP($A363,[2]库存使用数据!$A:$M,13,0),0)+公式!$B$14*IFERROR(VLOOKUP($A363,[3]库存使用数据!$A:$M,13,0),0)+IFERROR(VLOOKUP($A363,[4]库存使用数据!$A:$M,13,0),0)+IFERROR(VLOOKUP($A363,[5]库存使用数据!$A:$M,13,0),0)</f>
        <v>0</v>
      </c>
    </row>
    <row r="364" spans="1:13">
      <c r="A364" s="6" t="s">
        <v>369</v>
      </c>
      <c r="B364" s="2">
        <f ca="1">IFERROR(VLOOKUP(A364,[1]库存使用数据!$A:$B,2,0),0)+IFERROR(VLOOKUP(A364,[2]库存使用数据!$A:$B,2,0),0)+IFERROR(VLOOKUP(,[3]库存使用数据!$A:$B,2,0),0)+IFERROR(VLOOKUP(A364,[4]库存使用数据!$A:$B,2,0),0)+IFERROR(VLOOKUP(A364,[5]库存使用数据!$A:$B,2,0),0)</f>
        <v>15</v>
      </c>
      <c r="C364" s="1">
        <f ca="1">IFERROR(VLOOKUP($A364,[1]库存使用数据!$A:$C,3,0),0)+IFERROR(VLOOKUP($A364,[2]库存使用数据!$A:$C,3,0),0)+IFERROR(VLOOKUP($A364,[3]库存使用数据!$A:$C,3,0),0)+IFERROR(VLOOKUP($A364,[4]库存使用数据!$A:$C,3,0),0)+IFERROR(VLOOKUP($A364,[5]库存使用数据!$A:$C,3,0),0)</f>
        <v>7</v>
      </c>
      <c r="D364" s="1">
        <f ca="1">IFERROR(VLOOKUP($A364,[1]库存使用数据!$A:$D,4,0),0)+IFERROR(VLOOKUP($A364,[2]库存使用数据!$A:$D,4,0),0)+公式!$B$1*IFERROR(VLOOKUP($A364,[3]库存使用数据!$A:$D,4,0),0)+IFERROR(VLOOKUP($A364,[4]库存使用数据!$A:$D,4,0),0)+IFERROR(VLOOKUP($A364,[5]库存使用数据!$A:$D,4,0),0)</f>
        <v>0.86625</v>
      </c>
      <c r="E364" s="1">
        <f ca="1">IFERROR(VLOOKUP($A364,[1]库存使用数据!$A:$E,5,0),0)+IFERROR(VLOOKUP($A364,[2]库存使用数据!$A:$E,5,0),0)+IFERROR(VLOOKUP($A364,[3]库存使用数据!$A:$E,5,0),0)+IFERROR(VLOOKUP($A364,[4]库存使用数据!$A:$E,5,0),0)+IFERROR(VLOOKUP($A364,[5]库存使用数据!$A:$E,5,0),0)</f>
        <v>2194</v>
      </c>
      <c r="F364" s="1">
        <f ca="1">IFERROR(VLOOKUP($A364,[1]库存使用数据!$A:$F,6,0),0)+IFERROR(VLOOKUP($A364,[2]库存使用数据!$A:$F,6,0),0)+IFERROR(VLOOKUP($A364,[4]库存使用数据!$A:$F,6,0),0)+IFERROR(VLOOKUP($A364,[3]库存使用数据!$A:$F,6,0),0)+IFERROR(VLOOKUP($A364,[5]库存使用数据!$A:$F,6,0),0)</f>
        <v>8</v>
      </c>
      <c r="G364" s="1">
        <f ca="1">IFERROR(VLOOKUP($A364,[1]库存使用数据!$A:$G,7,0),0)+IFERROR(VLOOKUP($A364,[2]库存使用数据!$A:$G,7,0),0)+公式!$B$14*IFERROR(VLOOKUP($A364,[3]库存使用数据!$A:$G,7,0),0)+IFERROR(VLOOKUP($A364,[4]库存使用数据!$A:$G,7,0),0)+IFERROR(VLOOKUP($A364,[5]库存使用数据!$A:$G,7,0),0)</f>
        <v>0.21</v>
      </c>
      <c r="H364" s="1">
        <f ca="1">IFERROR(VLOOKUP($A364,[1]库存使用数据!$A:$H,8,0),0)+IFERROR(VLOOKUP($A364,[2]库存使用数据!$A:$H,8,0),0)+IFERROR(VLOOKUP($A364,[3]库存使用数据!$A:$H,8,0),0)+IFERROR(VLOOKUP($A364,[4]库存使用数据!$A:$H,8,0),0)+IFERROR(VLOOKUP($A364,[5]库存使用数据!$A:$H,8,0),0)</f>
        <v>822</v>
      </c>
      <c r="I364" s="1">
        <f ca="1">IFERROR(VLOOKUP($A364,[1]库存使用数据!$A:$I,9,0),0)+IFERROR(VLOOKUP($A364,[2]库存使用数据!$A:$I,9,0),0)+IFERROR(VLOOKUP($A364,[3]库存使用数据!$A:$I,9,0),0)+IFERROR(VLOOKUP($A364,[4]库存使用数据!$A:$I,9,0),0)+IFERROR(VLOOKUP($A364,[5]库存使用数据!$A:$I,9,0),0)</f>
        <v>2</v>
      </c>
      <c r="J364" s="1">
        <f ca="1">IFERROR(VLOOKUP($A364,[1]库存使用数据!$A:$J,10,0),0)+IFERROR(VLOOKUP($A364,[2]库存使用数据!$A:$J,10,0),0)+公式!$B$14*IFERROR(VLOOKUP($A364,[3]库存使用数据!$A:$J,10,0),0)+IFERROR(VLOOKUP($A364,[4]库存使用数据!$A:$J,10,0),0)+IFERROR(VLOOKUP($A364,[5]库存使用数据!$A:$J,10,0),0)</f>
        <v>0.21</v>
      </c>
      <c r="K364" s="1">
        <f ca="1">IFERROR(VLOOKUP($A364,[1]库存使用数据!$A:$K,11,0),0)+IFERROR(VLOOKUP($A364,[2]库存使用数据!$A:$K,11,0),0)+IFERROR(VLOOKUP($A364,[3]库存使用数据!$A:$K,11,0),0)+IFERROR(VLOOKUP($A364,[4]库存使用数据!$A:$K,11,0),0)+IFERROR(VLOOKUP($A364,[5]库存使用数据!$A:$K,11,0),0)</f>
        <v>299</v>
      </c>
      <c r="L364" s="1">
        <f ca="1">IFERROR(VLOOKUP($A364,[1]库存使用数据!$A:$L,12,0),0)+IFERROR(VLOOKUP($A364,[2]库存使用数据!$A:$L,12,0),0)+IFERROR(VLOOKUP($A364,[3]库存使用数据!$A:$L,12,0),0)+IFERROR(VLOOKUP($A364,[4]库存使用数据!$A:$L,12,0),0)+IFERROR(VLOOKUP($A364,[5]库存使用数据!$A:$L,12,0),0)</f>
        <v>4</v>
      </c>
      <c r="M364" s="1">
        <f ca="1">IFERROR(VLOOKUP($A364,[1]库存使用数据!$A:$M,13,0),0)+IFERROR(VLOOKUP($A364,[2]库存使用数据!$A:$M,13,0),0)+公式!$B$14*IFERROR(VLOOKUP($A364,[3]库存使用数据!$A:$M,13,0),0)+IFERROR(VLOOKUP($A364,[4]库存使用数据!$A:$M,13,0),0)+IFERROR(VLOOKUP($A364,[5]库存使用数据!$A:$M,13,0),0)</f>
        <v>0</v>
      </c>
    </row>
    <row r="365" spans="1:13">
      <c r="A365" s="6" t="s">
        <v>370</v>
      </c>
      <c r="B365" s="2">
        <f ca="1">IFERROR(VLOOKUP(A365,[1]库存使用数据!$A:$B,2,0),0)+IFERROR(VLOOKUP(A365,[2]库存使用数据!$A:$B,2,0),0)+IFERROR(VLOOKUP(,[3]库存使用数据!$A:$B,2,0),0)+IFERROR(VLOOKUP(A365,[4]库存使用数据!$A:$B,2,0),0)+IFERROR(VLOOKUP(A365,[5]库存使用数据!$A:$B,2,0),0)</f>
        <v>0</v>
      </c>
      <c r="C365" s="1">
        <f ca="1">IFERROR(VLOOKUP($A365,[1]库存使用数据!$A:$C,3,0),0)+IFERROR(VLOOKUP($A365,[2]库存使用数据!$A:$C,3,0),0)+IFERROR(VLOOKUP($A365,[3]库存使用数据!$A:$C,3,0),0)+IFERROR(VLOOKUP($A365,[4]库存使用数据!$A:$C,3,0),0)+IFERROR(VLOOKUP($A365,[5]库存使用数据!$A:$C,3,0),0)</f>
        <v>0</v>
      </c>
      <c r="D365" s="1">
        <f ca="1">IFERROR(VLOOKUP($A365,[1]库存使用数据!$A:$D,4,0),0)+IFERROR(VLOOKUP($A365,[2]库存使用数据!$A:$D,4,0),0)+公式!$B$1*IFERROR(VLOOKUP($A365,[3]库存使用数据!$A:$D,4,0),0)+IFERROR(VLOOKUP($A365,[4]库存使用数据!$A:$D,4,0),0)+IFERROR(VLOOKUP($A365,[5]库存使用数据!$A:$D,4,0),0)</f>
        <v>0</v>
      </c>
      <c r="E365" s="1">
        <f ca="1">IFERROR(VLOOKUP($A365,[1]库存使用数据!$A:$E,5,0),0)+IFERROR(VLOOKUP($A365,[2]库存使用数据!$A:$E,5,0),0)+IFERROR(VLOOKUP($A365,[3]库存使用数据!$A:$E,5,0),0)+IFERROR(VLOOKUP($A365,[4]库存使用数据!$A:$E,5,0),0)+IFERROR(VLOOKUP($A365,[5]库存使用数据!$A:$E,5,0),0)</f>
        <v>1981</v>
      </c>
      <c r="F365" s="1">
        <f ca="1">IFERROR(VLOOKUP($A365,[1]库存使用数据!$A:$F,6,0),0)+IFERROR(VLOOKUP($A365,[2]库存使用数据!$A:$F,6,0),0)+IFERROR(VLOOKUP($A365,[4]库存使用数据!$A:$F,6,0),0)+IFERROR(VLOOKUP($A365,[3]库存使用数据!$A:$F,6,0),0)+IFERROR(VLOOKUP($A365,[5]库存使用数据!$A:$F,6,0),0)</f>
        <v>10</v>
      </c>
      <c r="G365" s="1">
        <f ca="1">IFERROR(VLOOKUP($A365,[1]库存使用数据!$A:$G,7,0),0)+IFERROR(VLOOKUP($A365,[2]库存使用数据!$A:$G,7,0),0)+公式!$B$14*IFERROR(VLOOKUP($A365,[3]库存使用数据!$A:$G,7,0),0)+IFERROR(VLOOKUP($A365,[4]库存使用数据!$A:$G,7,0),0)+IFERROR(VLOOKUP($A365,[5]库存使用数据!$A:$G,7,0),0)</f>
        <v>0.09</v>
      </c>
      <c r="H365" s="1">
        <f ca="1">IFERROR(VLOOKUP($A365,[1]库存使用数据!$A:$H,8,0),0)+IFERROR(VLOOKUP($A365,[2]库存使用数据!$A:$H,8,0),0)+IFERROR(VLOOKUP($A365,[3]库存使用数据!$A:$H,8,0),0)+IFERROR(VLOOKUP($A365,[4]库存使用数据!$A:$H,8,0),0)+IFERROR(VLOOKUP($A365,[5]库存使用数据!$A:$H,8,0),0)</f>
        <v>1416</v>
      </c>
      <c r="I365" s="1">
        <f ca="1">IFERROR(VLOOKUP($A365,[1]库存使用数据!$A:$I,9,0),0)+IFERROR(VLOOKUP($A365,[2]库存使用数据!$A:$I,9,0),0)+IFERROR(VLOOKUP($A365,[3]库存使用数据!$A:$I,9,0),0)+IFERROR(VLOOKUP($A365,[4]库存使用数据!$A:$I,9,0),0)+IFERROR(VLOOKUP($A365,[5]库存使用数据!$A:$I,9,0),0)</f>
        <v>3</v>
      </c>
      <c r="J365" s="1">
        <f ca="1">IFERROR(VLOOKUP($A365,[1]库存使用数据!$A:$J,10,0),0)+IFERROR(VLOOKUP($A365,[2]库存使用数据!$A:$J,10,0),0)+公式!$B$14*IFERROR(VLOOKUP($A365,[3]库存使用数据!$A:$J,10,0),0)+IFERROR(VLOOKUP($A365,[4]库存使用数据!$A:$J,10,0),0)+IFERROR(VLOOKUP($A365,[5]库存使用数据!$A:$J,10,0),0)</f>
        <v>0.09</v>
      </c>
      <c r="K365" s="1">
        <f ca="1">IFERROR(VLOOKUP($A365,[1]库存使用数据!$A:$K,11,0),0)+IFERROR(VLOOKUP($A365,[2]库存使用数据!$A:$K,11,0),0)+IFERROR(VLOOKUP($A365,[3]库存使用数据!$A:$K,11,0),0)+IFERROR(VLOOKUP($A365,[4]库存使用数据!$A:$K,11,0),0)+IFERROR(VLOOKUP($A365,[5]库存使用数据!$A:$K,11,0),0)</f>
        <v>1931</v>
      </c>
      <c r="L365" s="1">
        <f ca="1">IFERROR(VLOOKUP($A365,[1]库存使用数据!$A:$L,12,0),0)+IFERROR(VLOOKUP($A365,[2]库存使用数据!$A:$L,12,0),0)+IFERROR(VLOOKUP($A365,[3]库存使用数据!$A:$L,12,0),0)+IFERROR(VLOOKUP($A365,[4]库存使用数据!$A:$L,12,0),0)+IFERROR(VLOOKUP($A365,[5]库存使用数据!$A:$L,12,0),0)</f>
        <v>7</v>
      </c>
      <c r="M365" s="1">
        <f ca="1">IFERROR(VLOOKUP($A365,[1]库存使用数据!$A:$M,13,0),0)+IFERROR(VLOOKUP($A365,[2]库存使用数据!$A:$M,13,0),0)+公式!$B$14*IFERROR(VLOOKUP($A365,[3]库存使用数据!$A:$M,13,0),0)+IFERROR(VLOOKUP($A365,[4]库存使用数据!$A:$M,13,0),0)+IFERROR(VLOOKUP($A365,[5]库存使用数据!$A:$M,13,0),0)</f>
        <v>0</v>
      </c>
    </row>
    <row r="366" spans="1:13">
      <c r="A366" s="6" t="s">
        <v>371</v>
      </c>
      <c r="B366" s="2">
        <f ca="1">IFERROR(VLOOKUP(A366,[1]库存使用数据!$A:$B,2,0),0)+IFERROR(VLOOKUP(A366,[2]库存使用数据!$A:$B,2,0),0)+IFERROR(VLOOKUP(,[3]库存使用数据!$A:$B,2,0),0)+IFERROR(VLOOKUP(A366,[4]库存使用数据!$A:$B,2,0),0)+IFERROR(VLOOKUP(A366,[5]库存使用数据!$A:$B,2,0),0)</f>
        <v>1</v>
      </c>
      <c r="C366" s="1">
        <f ca="1">IFERROR(VLOOKUP($A366,[1]库存使用数据!$A:$C,3,0),0)+IFERROR(VLOOKUP($A366,[2]库存使用数据!$A:$C,3,0),0)+IFERROR(VLOOKUP($A366,[3]库存使用数据!$A:$C,3,0),0)+IFERROR(VLOOKUP($A366,[4]库存使用数据!$A:$C,3,0),0)+IFERROR(VLOOKUP($A366,[5]库存使用数据!$A:$C,3,0),0)</f>
        <v>4</v>
      </c>
      <c r="D366" s="1">
        <f ca="1">IFERROR(VLOOKUP($A366,[1]库存使用数据!$A:$D,4,0),0)+IFERROR(VLOOKUP($A366,[2]库存使用数据!$A:$D,4,0),0)+公式!$B$1*IFERROR(VLOOKUP($A366,[3]库存使用数据!$A:$D,4,0),0)+IFERROR(VLOOKUP($A366,[4]库存使用数据!$A:$D,4,0),0)+IFERROR(VLOOKUP($A366,[5]库存使用数据!$A:$D,4,0),0)</f>
        <v>0.50625</v>
      </c>
      <c r="E366" s="1">
        <f ca="1">IFERROR(VLOOKUP($A366,[1]库存使用数据!$A:$E,5,0),0)+IFERROR(VLOOKUP($A366,[2]库存使用数据!$A:$E,5,0),0)+IFERROR(VLOOKUP($A366,[3]库存使用数据!$A:$E,5,0),0)+IFERROR(VLOOKUP($A366,[4]库存使用数据!$A:$E,5,0),0)+IFERROR(VLOOKUP($A366,[5]库存使用数据!$A:$E,5,0),0)</f>
        <v>966</v>
      </c>
      <c r="F366" s="1">
        <f ca="1">IFERROR(VLOOKUP($A366,[1]库存使用数据!$A:$F,6,0),0)+IFERROR(VLOOKUP($A366,[2]库存使用数据!$A:$F,6,0),0)+IFERROR(VLOOKUP($A366,[4]库存使用数据!$A:$F,6,0),0)+IFERROR(VLOOKUP($A366,[3]库存使用数据!$A:$F,6,0),0)+IFERROR(VLOOKUP($A366,[5]库存使用数据!$A:$F,6,0),0)</f>
        <v>1</v>
      </c>
      <c r="G366" s="1">
        <f ca="1">IFERROR(VLOOKUP($A366,[1]库存使用数据!$A:$G,7,0),0)+IFERROR(VLOOKUP($A366,[2]库存使用数据!$A:$G,7,0),0)+公式!$B$14*IFERROR(VLOOKUP($A366,[3]库存使用数据!$A:$G,7,0),0)+IFERROR(VLOOKUP($A366,[4]库存使用数据!$A:$G,7,0),0)+IFERROR(VLOOKUP($A366,[5]库存使用数据!$A:$G,7,0),0)</f>
        <v>0</v>
      </c>
      <c r="H366" s="1">
        <f ca="1">IFERROR(VLOOKUP($A366,[1]库存使用数据!$A:$H,8,0),0)+IFERROR(VLOOKUP($A366,[2]库存使用数据!$A:$H,8,0),0)+IFERROR(VLOOKUP($A366,[3]库存使用数据!$A:$H,8,0),0)+IFERROR(VLOOKUP($A366,[4]库存使用数据!$A:$H,8,0),0)+IFERROR(VLOOKUP($A366,[5]库存使用数据!$A:$H,8,0),0)</f>
        <v>704</v>
      </c>
      <c r="I366" s="1">
        <f ca="1">IFERROR(VLOOKUP($A366,[1]库存使用数据!$A:$I,9,0),0)+IFERROR(VLOOKUP($A366,[2]库存使用数据!$A:$I,9,0),0)+IFERROR(VLOOKUP($A366,[3]库存使用数据!$A:$I,9,0),0)+IFERROR(VLOOKUP($A366,[4]库存使用数据!$A:$I,9,0),0)+IFERROR(VLOOKUP($A366,[5]库存使用数据!$A:$I,9,0),0)</f>
        <v>0</v>
      </c>
      <c r="J366" s="1">
        <f ca="1">IFERROR(VLOOKUP($A366,[1]库存使用数据!$A:$J,10,0),0)+IFERROR(VLOOKUP($A366,[2]库存使用数据!$A:$J,10,0),0)+公式!$B$14*IFERROR(VLOOKUP($A366,[3]库存使用数据!$A:$J,10,0),0)+IFERROR(VLOOKUP($A366,[4]库存使用数据!$A:$J,10,0),0)+IFERROR(VLOOKUP($A366,[5]库存使用数据!$A:$J,10,0),0)</f>
        <v>0</v>
      </c>
      <c r="K366" s="1">
        <f ca="1">IFERROR(VLOOKUP($A366,[1]库存使用数据!$A:$K,11,0),0)+IFERROR(VLOOKUP($A366,[2]库存使用数据!$A:$K,11,0),0)+IFERROR(VLOOKUP($A366,[3]库存使用数据!$A:$K,11,0),0)+IFERROR(VLOOKUP($A366,[4]库存使用数据!$A:$K,11,0),0)+IFERROR(VLOOKUP($A366,[5]库存使用数据!$A:$K,11,0),0)</f>
        <v>1014</v>
      </c>
      <c r="L366" s="1">
        <f ca="1">IFERROR(VLOOKUP($A366,[1]库存使用数据!$A:$L,12,0),0)+IFERROR(VLOOKUP($A366,[2]库存使用数据!$A:$L,12,0),0)+IFERROR(VLOOKUP($A366,[3]库存使用数据!$A:$L,12,0),0)+IFERROR(VLOOKUP($A366,[4]库存使用数据!$A:$L,12,0),0)+IFERROR(VLOOKUP($A366,[5]库存使用数据!$A:$L,12,0),0)</f>
        <v>5</v>
      </c>
      <c r="M366" s="1">
        <f ca="1">IFERROR(VLOOKUP($A366,[1]库存使用数据!$A:$M,13,0),0)+IFERROR(VLOOKUP($A366,[2]库存使用数据!$A:$M,13,0),0)+公式!$B$14*IFERROR(VLOOKUP($A366,[3]库存使用数据!$A:$M,13,0),0)+IFERROR(VLOOKUP($A366,[4]库存使用数据!$A:$M,13,0),0)+IFERROR(VLOOKUP($A366,[5]库存使用数据!$A:$M,13,0),0)</f>
        <v>0</v>
      </c>
    </row>
    <row r="367" spans="1:13">
      <c r="A367" s="6" t="s">
        <v>372</v>
      </c>
      <c r="B367" s="2">
        <f ca="1">IFERROR(VLOOKUP(A367,[1]库存使用数据!$A:$B,2,0),0)+IFERROR(VLOOKUP(A367,[2]库存使用数据!$A:$B,2,0),0)+IFERROR(VLOOKUP(,[3]库存使用数据!$A:$B,2,0),0)+IFERROR(VLOOKUP(A367,[4]库存使用数据!$A:$B,2,0),0)+IFERROR(VLOOKUP(A367,[5]库存使用数据!$A:$B,2,0),0)</f>
        <v>383</v>
      </c>
      <c r="C367" s="1">
        <f ca="1">IFERROR(VLOOKUP($A367,[1]库存使用数据!$A:$C,3,0),0)+IFERROR(VLOOKUP($A367,[2]库存使用数据!$A:$C,3,0),0)+IFERROR(VLOOKUP($A367,[3]库存使用数据!$A:$C,3,0),0)+IFERROR(VLOOKUP($A367,[4]库存使用数据!$A:$C,3,0),0)+IFERROR(VLOOKUP($A367,[5]库存使用数据!$A:$C,3,0),0)</f>
        <v>3</v>
      </c>
      <c r="D367" s="1">
        <f ca="1">IFERROR(VLOOKUP($A367,[1]库存使用数据!$A:$D,4,0),0)+IFERROR(VLOOKUP($A367,[2]库存使用数据!$A:$D,4,0),0)+公式!$B$1*IFERROR(VLOOKUP($A367,[3]库存使用数据!$A:$D,4,0),0)+IFERROR(VLOOKUP($A367,[4]库存使用数据!$A:$D,4,0),0)+IFERROR(VLOOKUP($A367,[5]库存使用数据!$A:$D,4,0),0)</f>
        <v>0.54</v>
      </c>
      <c r="E367" s="1">
        <f ca="1">IFERROR(VLOOKUP($A367,[1]库存使用数据!$A:$E,5,0),0)+IFERROR(VLOOKUP($A367,[2]库存使用数据!$A:$E,5,0),0)+IFERROR(VLOOKUP($A367,[3]库存使用数据!$A:$E,5,0),0)+IFERROR(VLOOKUP($A367,[4]库存使用数据!$A:$E,5,0),0)+IFERROR(VLOOKUP($A367,[5]库存使用数据!$A:$E,5,0),0)</f>
        <v>1037</v>
      </c>
      <c r="F367" s="1">
        <f ca="1">IFERROR(VLOOKUP($A367,[1]库存使用数据!$A:$F,6,0),0)+IFERROR(VLOOKUP($A367,[2]库存使用数据!$A:$F,6,0),0)+IFERROR(VLOOKUP($A367,[4]库存使用数据!$A:$F,6,0),0)+IFERROR(VLOOKUP($A367,[3]库存使用数据!$A:$F,6,0),0)+IFERROR(VLOOKUP($A367,[5]库存使用数据!$A:$F,6,0),0)</f>
        <v>8</v>
      </c>
      <c r="G367" s="1">
        <f ca="1">IFERROR(VLOOKUP($A367,[1]库存使用数据!$A:$G,7,0),0)+IFERROR(VLOOKUP($A367,[2]库存使用数据!$A:$G,7,0),0)+公式!$B$14*IFERROR(VLOOKUP($A367,[3]库存使用数据!$A:$G,7,0),0)+IFERROR(VLOOKUP($A367,[4]库存使用数据!$A:$G,7,0),0)+IFERROR(VLOOKUP($A367,[5]库存使用数据!$A:$G,7,0),0)</f>
        <v>0.69</v>
      </c>
      <c r="H367" s="1">
        <f ca="1">IFERROR(VLOOKUP($A367,[1]库存使用数据!$A:$H,8,0),0)+IFERROR(VLOOKUP($A367,[2]库存使用数据!$A:$H,8,0),0)+IFERROR(VLOOKUP($A367,[3]库存使用数据!$A:$H,8,0),0)+IFERROR(VLOOKUP($A367,[4]库存使用数据!$A:$H,8,0),0)+IFERROR(VLOOKUP($A367,[5]库存使用数据!$A:$H,8,0),0)</f>
        <v>611</v>
      </c>
      <c r="I367" s="1">
        <f ca="1">IFERROR(VLOOKUP($A367,[1]库存使用数据!$A:$I,9,0),0)+IFERROR(VLOOKUP($A367,[2]库存使用数据!$A:$I,9,0),0)+IFERROR(VLOOKUP($A367,[3]库存使用数据!$A:$I,9,0),0)+IFERROR(VLOOKUP($A367,[4]库存使用数据!$A:$I,9,0),0)+IFERROR(VLOOKUP($A367,[5]库存使用数据!$A:$I,9,0),0)</f>
        <v>4</v>
      </c>
      <c r="J367" s="1">
        <f ca="1">IFERROR(VLOOKUP($A367,[1]库存使用数据!$A:$J,10,0),0)+IFERROR(VLOOKUP($A367,[2]库存使用数据!$A:$J,10,0),0)+公式!$B$14*IFERROR(VLOOKUP($A367,[3]库存使用数据!$A:$J,10,0),0)+IFERROR(VLOOKUP($A367,[4]库存使用数据!$A:$J,10,0),0)+IFERROR(VLOOKUP($A367,[5]库存使用数据!$A:$J,10,0),0)</f>
        <v>0.4</v>
      </c>
      <c r="K367" s="1">
        <f ca="1">IFERROR(VLOOKUP($A367,[1]库存使用数据!$A:$K,11,0),0)+IFERROR(VLOOKUP($A367,[2]库存使用数据!$A:$K,11,0),0)+IFERROR(VLOOKUP($A367,[3]库存使用数据!$A:$K,11,0),0)+IFERROR(VLOOKUP($A367,[4]库存使用数据!$A:$K,11,0),0)+IFERROR(VLOOKUP($A367,[5]库存使用数据!$A:$K,11,0),0)</f>
        <v>723</v>
      </c>
      <c r="L367" s="1">
        <f ca="1">IFERROR(VLOOKUP($A367,[1]库存使用数据!$A:$L,12,0),0)+IFERROR(VLOOKUP($A367,[2]库存使用数据!$A:$L,12,0),0)+IFERROR(VLOOKUP($A367,[3]库存使用数据!$A:$L,12,0),0)+IFERROR(VLOOKUP($A367,[4]库存使用数据!$A:$L,12,0),0)+IFERROR(VLOOKUP($A367,[5]库存使用数据!$A:$L,12,0),0)</f>
        <v>2</v>
      </c>
      <c r="M367" s="1">
        <f ca="1">IFERROR(VLOOKUP($A367,[1]库存使用数据!$A:$M,13,0),0)+IFERROR(VLOOKUP($A367,[2]库存使用数据!$A:$M,13,0),0)+公式!$B$14*IFERROR(VLOOKUP($A367,[3]库存使用数据!$A:$M,13,0),0)+IFERROR(VLOOKUP($A367,[4]库存使用数据!$A:$M,13,0),0)+IFERROR(VLOOKUP($A367,[5]库存使用数据!$A:$M,13,0),0)</f>
        <v>0</v>
      </c>
    </row>
    <row r="368" spans="1:13">
      <c r="A368" s="6" t="s">
        <v>373</v>
      </c>
      <c r="B368" s="2">
        <f ca="1">IFERROR(VLOOKUP(A368,[1]库存使用数据!$A:$B,2,0),0)+IFERROR(VLOOKUP(A368,[2]库存使用数据!$A:$B,2,0),0)+IFERROR(VLOOKUP(,[3]库存使用数据!$A:$B,2,0),0)+IFERROR(VLOOKUP(A368,[4]库存使用数据!$A:$B,2,0),0)+IFERROR(VLOOKUP(A368,[5]库存使用数据!$A:$B,2,0),0)</f>
        <v>291</v>
      </c>
      <c r="C368" s="1">
        <f ca="1">IFERROR(VLOOKUP($A368,[1]库存使用数据!$A:$C,3,0),0)+IFERROR(VLOOKUP($A368,[2]库存使用数据!$A:$C,3,0),0)+IFERROR(VLOOKUP($A368,[3]库存使用数据!$A:$C,3,0),0)+IFERROR(VLOOKUP($A368,[4]库存使用数据!$A:$C,3,0),0)+IFERROR(VLOOKUP($A368,[5]库存使用数据!$A:$C,3,0),0)</f>
        <v>11</v>
      </c>
      <c r="D368" s="1">
        <f ca="1">IFERROR(VLOOKUP($A368,[1]库存使用数据!$A:$D,4,0),0)+IFERROR(VLOOKUP($A368,[2]库存使用数据!$A:$D,4,0),0)+公式!$B$1*IFERROR(VLOOKUP($A368,[3]库存使用数据!$A:$D,4,0),0)+IFERROR(VLOOKUP($A368,[4]库存使用数据!$A:$D,4,0),0)+IFERROR(VLOOKUP($A368,[5]库存使用数据!$A:$D,4,0),0)</f>
        <v>2.4275</v>
      </c>
      <c r="E368" s="1">
        <f ca="1">IFERROR(VLOOKUP($A368,[1]库存使用数据!$A:$E,5,0),0)+IFERROR(VLOOKUP($A368,[2]库存使用数据!$A:$E,5,0),0)+IFERROR(VLOOKUP($A368,[3]库存使用数据!$A:$E,5,0),0)+IFERROR(VLOOKUP($A368,[4]库存使用数据!$A:$E,5,0),0)+IFERROR(VLOOKUP($A368,[5]库存使用数据!$A:$E,5,0),0)</f>
        <v>3443</v>
      </c>
      <c r="F368" s="1">
        <f ca="1">IFERROR(VLOOKUP($A368,[1]库存使用数据!$A:$F,6,0),0)+IFERROR(VLOOKUP($A368,[2]库存使用数据!$A:$F,6,0),0)+IFERROR(VLOOKUP($A368,[4]库存使用数据!$A:$F,6,0),0)+IFERROR(VLOOKUP($A368,[3]库存使用数据!$A:$F,6,0),0)+IFERROR(VLOOKUP($A368,[5]库存使用数据!$A:$F,6,0),0)</f>
        <v>14</v>
      </c>
      <c r="G368" s="1">
        <f ca="1">IFERROR(VLOOKUP($A368,[1]库存使用数据!$A:$G,7,0),0)+IFERROR(VLOOKUP($A368,[2]库存使用数据!$A:$G,7,0),0)+公式!$B$14*IFERROR(VLOOKUP($A368,[3]库存使用数据!$A:$G,7,0),0)+IFERROR(VLOOKUP($A368,[4]库存使用数据!$A:$G,7,0),0)+IFERROR(VLOOKUP($A368,[5]库存使用数据!$A:$G,7,0),0)</f>
        <v>0.43</v>
      </c>
      <c r="H368" s="1">
        <f ca="1">IFERROR(VLOOKUP($A368,[1]库存使用数据!$A:$H,8,0),0)+IFERROR(VLOOKUP($A368,[2]库存使用数据!$A:$H,8,0),0)+IFERROR(VLOOKUP($A368,[3]库存使用数据!$A:$H,8,0),0)+IFERROR(VLOOKUP($A368,[4]库存使用数据!$A:$H,8,0),0)+IFERROR(VLOOKUP($A368,[5]库存使用数据!$A:$H,8,0),0)</f>
        <v>2431</v>
      </c>
      <c r="I368" s="1">
        <f ca="1">IFERROR(VLOOKUP($A368,[1]库存使用数据!$A:$I,9,0),0)+IFERROR(VLOOKUP($A368,[2]库存使用数据!$A:$I,9,0),0)+IFERROR(VLOOKUP($A368,[3]库存使用数据!$A:$I,9,0),0)+IFERROR(VLOOKUP($A368,[4]库存使用数据!$A:$I,9,0),0)+IFERROR(VLOOKUP($A368,[5]库存使用数据!$A:$I,9,0),0)</f>
        <v>7</v>
      </c>
      <c r="J368" s="1">
        <f ca="1">IFERROR(VLOOKUP($A368,[1]库存使用数据!$A:$J,10,0),0)+IFERROR(VLOOKUP($A368,[2]库存使用数据!$A:$J,10,0),0)+公式!$B$14*IFERROR(VLOOKUP($A368,[3]库存使用数据!$A:$J,10,0),0)+IFERROR(VLOOKUP($A368,[4]库存使用数据!$A:$J,10,0),0)+IFERROR(VLOOKUP($A368,[5]库存使用数据!$A:$J,10,0),0)</f>
        <v>0.23</v>
      </c>
      <c r="K368" s="1">
        <f ca="1">IFERROR(VLOOKUP($A368,[1]库存使用数据!$A:$K,11,0),0)+IFERROR(VLOOKUP($A368,[2]库存使用数据!$A:$K,11,0),0)+IFERROR(VLOOKUP($A368,[3]库存使用数据!$A:$K,11,0),0)+IFERROR(VLOOKUP($A368,[4]库存使用数据!$A:$K,11,0),0)+IFERROR(VLOOKUP($A368,[5]库存使用数据!$A:$K,11,0),0)</f>
        <v>2488</v>
      </c>
      <c r="L368" s="1">
        <f ca="1">IFERROR(VLOOKUP($A368,[1]库存使用数据!$A:$L,12,0),0)+IFERROR(VLOOKUP($A368,[2]库存使用数据!$A:$L,12,0),0)+IFERROR(VLOOKUP($A368,[3]库存使用数据!$A:$L,12,0),0)+IFERROR(VLOOKUP($A368,[4]库存使用数据!$A:$L,12,0),0)+IFERROR(VLOOKUP($A368,[5]库存使用数据!$A:$L,12,0),0)</f>
        <v>19</v>
      </c>
      <c r="M368" s="1">
        <f ca="1">IFERROR(VLOOKUP($A368,[1]库存使用数据!$A:$M,13,0),0)+IFERROR(VLOOKUP($A368,[2]库存使用数据!$A:$M,13,0),0)+公式!$B$14*IFERROR(VLOOKUP($A368,[3]库存使用数据!$A:$M,13,0),0)+IFERROR(VLOOKUP($A368,[4]库存使用数据!$A:$M,13,0),0)+IFERROR(VLOOKUP($A368,[5]库存使用数据!$A:$M,13,0),0)</f>
        <v>0.46</v>
      </c>
    </row>
    <row r="369" spans="1:13">
      <c r="A369" s="6" t="s">
        <v>374</v>
      </c>
      <c r="B369" s="2">
        <f ca="1">IFERROR(VLOOKUP(A369,[1]库存使用数据!$A:$B,2,0),0)+IFERROR(VLOOKUP(A369,[2]库存使用数据!$A:$B,2,0),0)+IFERROR(VLOOKUP(,[3]库存使用数据!$A:$B,2,0),0)+IFERROR(VLOOKUP(A369,[4]库存使用数据!$A:$B,2,0),0)+IFERROR(VLOOKUP(A369,[5]库存使用数据!$A:$B,2,0),0)</f>
        <v>585</v>
      </c>
      <c r="C369" s="1">
        <f ca="1">IFERROR(VLOOKUP($A369,[1]库存使用数据!$A:$C,3,0),0)+IFERROR(VLOOKUP($A369,[2]库存使用数据!$A:$C,3,0),0)+IFERROR(VLOOKUP($A369,[3]库存使用数据!$A:$C,3,0),0)+IFERROR(VLOOKUP($A369,[4]库存使用数据!$A:$C,3,0),0)+IFERROR(VLOOKUP($A369,[5]库存使用数据!$A:$C,3,0),0)</f>
        <v>3</v>
      </c>
      <c r="D369" s="1">
        <f ca="1">IFERROR(VLOOKUP($A369,[1]库存使用数据!$A:$D,4,0),0)+IFERROR(VLOOKUP($A369,[2]库存使用数据!$A:$D,4,0),0)+公式!$B$1*IFERROR(VLOOKUP($A369,[3]库存使用数据!$A:$D,4,0),0)+IFERROR(VLOOKUP($A369,[4]库存使用数据!$A:$D,4,0),0)+IFERROR(VLOOKUP($A369,[5]库存使用数据!$A:$D,4,0),0)</f>
        <v>0.365</v>
      </c>
      <c r="E369" s="1">
        <f ca="1">IFERROR(VLOOKUP($A369,[1]库存使用数据!$A:$E,5,0),0)+IFERROR(VLOOKUP($A369,[2]库存使用数据!$A:$E,5,0),0)+IFERROR(VLOOKUP($A369,[3]库存使用数据!$A:$E,5,0),0)+IFERROR(VLOOKUP($A369,[4]库存使用数据!$A:$E,5,0),0)+IFERROR(VLOOKUP($A369,[5]库存使用数据!$A:$E,5,0),0)</f>
        <v>636</v>
      </c>
      <c r="F369" s="1">
        <f ca="1">IFERROR(VLOOKUP($A369,[1]库存使用数据!$A:$F,6,0),0)+IFERROR(VLOOKUP($A369,[2]库存使用数据!$A:$F,6,0),0)+IFERROR(VLOOKUP($A369,[4]库存使用数据!$A:$F,6,0),0)+IFERROR(VLOOKUP($A369,[3]库存使用数据!$A:$F,6,0),0)+IFERROR(VLOOKUP($A369,[5]库存使用数据!$A:$F,6,0),0)</f>
        <v>2</v>
      </c>
      <c r="G369" s="1">
        <f ca="1">IFERROR(VLOOKUP($A369,[1]库存使用数据!$A:$G,7,0),0)+IFERROR(VLOOKUP($A369,[2]库存使用数据!$A:$G,7,0),0)+公式!$B$14*IFERROR(VLOOKUP($A369,[3]库存使用数据!$A:$G,7,0),0)+IFERROR(VLOOKUP($A369,[4]库存使用数据!$A:$G,7,0),0)+IFERROR(VLOOKUP($A369,[5]库存使用数据!$A:$G,7,0),0)</f>
        <v>0</v>
      </c>
      <c r="H369" s="1">
        <f ca="1">IFERROR(VLOOKUP($A369,[1]库存使用数据!$A:$H,8,0),0)+IFERROR(VLOOKUP($A369,[2]库存使用数据!$A:$H,8,0),0)+IFERROR(VLOOKUP($A369,[3]库存使用数据!$A:$H,8,0),0)+IFERROR(VLOOKUP($A369,[4]库存使用数据!$A:$H,8,0),0)+IFERROR(VLOOKUP($A369,[5]库存使用数据!$A:$H,8,0),0)</f>
        <v>152</v>
      </c>
      <c r="I369" s="1">
        <f ca="1">IFERROR(VLOOKUP($A369,[1]库存使用数据!$A:$I,9,0),0)+IFERROR(VLOOKUP($A369,[2]库存使用数据!$A:$I,9,0),0)+IFERROR(VLOOKUP($A369,[3]库存使用数据!$A:$I,9,0),0)+IFERROR(VLOOKUP($A369,[4]库存使用数据!$A:$I,9,0),0)+IFERROR(VLOOKUP($A369,[5]库存使用数据!$A:$I,9,0),0)</f>
        <v>1</v>
      </c>
      <c r="J369" s="1">
        <f ca="1">IFERROR(VLOOKUP($A369,[1]库存使用数据!$A:$J,10,0),0)+IFERROR(VLOOKUP($A369,[2]库存使用数据!$A:$J,10,0),0)+公式!$B$14*IFERROR(VLOOKUP($A369,[3]库存使用数据!$A:$J,10,0),0)+IFERROR(VLOOKUP($A369,[4]库存使用数据!$A:$J,10,0),0)+IFERROR(VLOOKUP($A369,[5]库存使用数据!$A:$J,10,0),0)</f>
        <v>0</v>
      </c>
      <c r="K369" s="1">
        <f ca="1">IFERROR(VLOOKUP($A369,[1]库存使用数据!$A:$K,11,0),0)+IFERROR(VLOOKUP($A369,[2]库存使用数据!$A:$K,11,0),0)+IFERROR(VLOOKUP($A369,[3]库存使用数据!$A:$K,11,0),0)+IFERROR(VLOOKUP($A369,[4]库存使用数据!$A:$K,11,0),0)+IFERROR(VLOOKUP($A369,[5]库存使用数据!$A:$K,11,0),0)</f>
        <v>143</v>
      </c>
      <c r="L369" s="1">
        <f ca="1">IFERROR(VLOOKUP($A369,[1]库存使用数据!$A:$L,12,0),0)+IFERROR(VLOOKUP($A369,[2]库存使用数据!$A:$L,12,0),0)+IFERROR(VLOOKUP($A369,[3]库存使用数据!$A:$L,12,0),0)+IFERROR(VLOOKUP($A369,[4]库存使用数据!$A:$L,12,0),0)+IFERROR(VLOOKUP($A369,[5]库存使用数据!$A:$L,12,0),0)</f>
        <v>1</v>
      </c>
      <c r="M369" s="1">
        <f ca="1">IFERROR(VLOOKUP($A369,[1]库存使用数据!$A:$M,13,0),0)+IFERROR(VLOOKUP($A369,[2]库存使用数据!$A:$M,13,0),0)+公式!$B$14*IFERROR(VLOOKUP($A369,[3]库存使用数据!$A:$M,13,0),0)+IFERROR(VLOOKUP($A369,[4]库存使用数据!$A:$M,13,0),0)+IFERROR(VLOOKUP($A369,[5]库存使用数据!$A:$M,13,0),0)</f>
        <v>0</v>
      </c>
    </row>
    <row r="370" spans="1:13">
      <c r="A370" s="6" t="s">
        <v>375</v>
      </c>
      <c r="B370" s="2">
        <f ca="1">IFERROR(VLOOKUP(A370,[1]库存使用数据!$A:$B,2,0),0)+IFERROR(VLOOKUP(A370,[2]库存使用数据!$A:$B,2,0),0)+IFERROR(VLOOKUP(,[3]库存使用数据!$A:$B,2,0),0)+IFERROR(VLOOKUP(A370,[4]库存使用数据!$A:$B,2,0),0)+IFERROR(VLOOKUP(A370,[5]库存使用数据!$A:$B,2,0),0)</f>
        <v>1197</v>
      </c>
      <c r="C370" s="1">
        <f ca="1">IFERROR(VLOOKUP($A370,[1]库存使用数据!$A:$C,3,0),0)+IFERROR(VLOOKUP($A370,[2]库存使用数据!$A:$C,3,0),0)+IFERROR(VLOOKUP($A370,[3]库存使用数据!$A:$C,3,0),0)+IFERROR(VLOOKUP($A370,[4]库存使用数据!$A:$C,3,0),0)+IFERROR(VLOOKUP($A370,[5]库存使用数据!$A:$C,3,0),0)</f>
        <v>11</v>
      </c>
      <c r="D370" s="1">
        <f ca="1">IFERROR(VLOOKUP($A370,[1]库存使用数据!$A:$D,4,0),0)+IFERROR(VLOOKUP($A370,[2]库存使用数据!$A:$D,4,0),0)+公式!$B$1*IFERROR(VLOOKUP($A370,[3]库存使用数据!$A:$D,4,0),0)+IFERROR(VLOOKUP($A370,[4]库存使用数据!$A:$D,4,0),0)+IFERROR(VLOOKUP($A370,[5]库存使用数据!$A:$D,4,0),0)</f>
        <v>1.62625</v>
      </c>
      <c r="E370" s="1">
        <f ca="1">IFERROR(VLOOKUP($A370,[1]库存使用数据!$A:$E,5,0),0)+IFERROR(VLOOKUP($A370,[2]库存使用数据!$A:$E,5,0),0)+IFERROR(VLOOKUP($A370,[3]库存使用数据!$A:$E,5,0),0)+IFERROR(VLOOKUP($A370,[4]库存使用数据!$A:$E,5,0),0)+IFERROR(VLOOKUP($A370,[5]库存使用数据!$A:$E,5,0),0)</f>
        <v>1684</v>
      </c>
      <c r="F370" s="1">
        <f ca="1">IFERROR(VLOOKUP($A370,[1]库存使用数据!$A:$F,6,0),0)+IFERROR(VLOOKUP($A370,[2]库存使用数据!$A:$F,6,0),0)+IFERROR(VLOOKUP($A370,[4]库存使用数据!$A:$F,6,0),0)+IFERROR(VLOOKUP($A370,[3]库存使用数据!$A:$F,6,0),0)+IFERROR(VLOOKUP($A370,[5]库存使用数据!$A:$F,6,0),0)</f>
        <v>14</v>
      </c>
      <c r="G370" s="1">
        <f ca="1">IFERROR(VLOOKUP($A370,[1]库存使用数据!$A:$G,7,0),0)+IFERROR(VLOOKUP($A370,[2]库存使用数据!$A:$G,7,0),0)+公式!$B$14*IFERROR(VLOOKUP($A370,[3]库存使用数据!$A:$G,7,0),0)+IFERROR(VLOOKUP($A370,[4]库存使用数据!$A:$G,7,0),0)+IFERROR(VLOOKUP($A370,[5]库存使用数据!$A:$G,7,0),0)</f>
        <v>0</v>
      </c>
      <c r="H370" s="1">
        <f ca="1">IFERROR(VLOOKUP($A370,[1]库存使用数据!$A:$H,8,0),0)+IFERROR(VLOOKUP($A370,[2]库存使用数据!$A:$H,8,0),0)+IFERROR(VLOOKUP($A370,[3]库存使用数据!$A:$H,8,0),0)+IFERROR(VLOOKUP($A370,[4]库存使用数据!$A:$H,8,0),0)+IFERROR(VLOOKUP($A370,[5]库存使用数据!$A:$H,8,0),0)</f>
        <v>1715</v>
      </c>
      <c r="I370" s="1">
        <f ca="1">IFERROR(VLOOKUP($A370,[1]库存使用数据!$A:$I,9,0),0)+IFERROR(VLOOKUP($A370,[2]库存使用数据!$A:$I,9,0),0)+IFERROR(VLOOKUP($A370,[3]库存使用数据!$A:$I,9,0),0)+IFERROR(VLOOKUP($A370,[4]库存使用数据!$A:$I,9,0),0)+IFERROR(VLOOKUP($A370,[5]库存使用数据!$A:$I,9,0),0)</f>
        <v>4</v>
      </c>
      <c r="J370" s="1">
        <f ca="1">IFERROR(VLOOKUP($A370,[1]库存使用数据!$A:$J,10,0),0)+IFERROR(VLOOKUP($A370,[2]库存使用数据!$A:$J,10,0),0)+公式!$B$14*IFERROR(VLOOKUP($A370,[3]库存使用数据!$A:$J,10,0),0)+IFERROR(VLOOKUP($A370,[4]库存使用数据!$A:$J,10,0),0)+IFERROR(VLOOKUP($A370,[5]库存使用数据!$A:$J,10,0),0)</f>
        <v>0</v>
      </c>
      <c r="K370" s="1">
        <f ca="1">IFERROR(VLOOKUP($A370,[1]库存使用数据!$A:$K,11,0),0)+IFERROR(VLOOKUP($A370,[2]库存使用数据!$A:$K,11,0),0)+IFERROR(VLOOKUP($A370,[3]库存使用数据!$A:$K,11,0),0)+IFERROR(VLOOKUP($A370,[4]库存使用数据!$A:$K,11,0),0)+IFERROR(VLOOKUP($A370,[5]库存使用数据!$A:$K,11,0),0)</f>
        <v>2069</v>
      </c>
      <c r="L370" s="1">
        <f ca="1">IFERROR(VLOOKUP($A370,[1]库存使用数据!$A:$L,12,0),0)+IFERROR(VLOOKUP($A370,[2]库存使用数据!$A:$L,12,0),0)+IFERROR(VLOOKUP($A370,[3]库存使用数据!$A:$L,12,0),0)+IFERROR(VLOOKUP($A370,[4]库存使用数据!$A:$L,12,0),0)+IFERROR(VLOOKUP($A370,[5]库存使用数据!$A:$L,12,0),0)</f>
        <v>14</v>
      </c>
      <c r="M370" s="1">
        <f ca="1">IFERROR(VLOOKUP($A370,[1]库存使用数据!$A:$M,13,0),0)+IFERROR(VLOOKUP($A370,[2]库存使用数据!$A:$M,13,0),0)+公式!$B$14*IFERROR(VLOOKUP($A370,[3]库存使用数据!$A:$M,13,0),0)+IFERROR(VLOOKUP($A370,[4]库存使用数据!$A:$M,13,0),0)+IFERROR(VLOOKUP($A370,[5]库存使用数据!$A:$M,13,0),0)</f>
        <v>0</v>
      </c>
    </row>
    <row r="371" spans="1:13">
      <c r="A371" s="6" t="s">
        <v>376</v>
      </c>
      <c r="B371" s="2">
        <f ca="1">IFERROR(VLOOKUP(A371,[1]库存使用数据!$A:$B,2,0),0)+IFERROR(VLOOKUP(A371,[2]库存使用数据!$A:$B,2,0),0)+IFERROR(VLOOKUP(,[3]库存使用数据!$A:$B,2,0),0)+IFERROR(VLOOKUP(A371,[4]库存使用数据!$A:$B,2,0),0)+IFERROR(VLOOKUP(A371,[5]库存使用数据!$A:$B,2,0),0)</f>
        <v>0</v>
      </c>
      <c r="C371" s="1">
        <f ca="1">IFERROR(VLOOKUP($A371,[1]库存使用数据!$A:$C,3,0),0)+IFERROR(VLOOKUP($A371,[2]库存使用数据!$A:$C,3,0),0)+IFERROR(VLOOKUP($A371,[3]库存使用数据!$A:$C,3,0),0)+IFERROR(VLOOKUP($A371,[4]库存使用数据!$A:$C,3,0),0)+IFERROR(VLOOKUP($A371,[5]库存使用数据!$A:$C,3,0),0)</f>
        <v>39</v>
      </c>
      <c r="D371" s="1">
        <f ca="1">IFERROR(VLOOKUP($A371,[1]库存使用数据!$A:$D,4,0),0)+IFERROR(VLOOKUP($A371,[2]库存使用数据!$A:$D,4,0),0)+公式!$B$1*IFERROR(VLOOKUP($A371,[3]库存使用数据!$A:$D,4,0),0)+IFERROR(VLOOKUP($A371,[4]库存使用数据!$A:$D,4,0),0)+IFERROR(VLOOKUP($A371,[5]库存使用数据!$A:$D,4,0),0)</f>
        <v>5.83875</v>
      </c>
      <c r="E371" s="1">
        <f ca="1">IFERROR(VLOOKUP($A371,[1]库存使用数据!$A:$E,5,0),0)+IFERROR(VLOOKUP($A371,[2]库存使用数据!$A:$E,5,0),0)+IFERROR(VLOOKUP($A371,[3]库存使用数据!$A:$E,5,0),0)+IFERROR(VLOOKUP($A371,[4]库存使用数据!$A:$E,5,0),0)+IFERROR(VLOOKUP($A371,[5]库存使用数据!$A:$E,5,0),0)</f>
        <v>8175</v>
      </c>
      <c r="F371" s="1">
        <f ca="1">IFERROR(VLOOKUP($A371,[1]库存使用数据!$A:$F,6,0),0)+IFERROR(VLOOKUP($A371,[2]库存使用数据!$A:$F,6,0),0)+IFERROR(VLOOKUP($A371,[4]库存使用数据!$A:$F,6,0),0)+IFERROR(VLOOKUP($A371,[3]库存使用数据!$A:$F,6,0),0)+IFERROR(VLOOKUP($A371,[5]库存使用数据!$A:$F,6,0),0)</f>
        <v>43</v>
      </c>
      <c r="G371" s="1">
        <f ca="1">IFERROR(VLOOKUP($A371,[1]库存使用数据!$A:$G,7,0),0)+IFERROR(VLOOKUP($A371,[2]库存使用数据!$A:$G,7,0),0)+公式!$B$14*IFERROR(VLOOKUP($A371,[3]库存使用数据!$A:$G,7,0),0)+IFERROR(VLOOKUP($A371,[4]库存使用数据!$A:$G,7,0),0)+IFERROR(VLOOKUP($A371,[5]库存使用数据!$A:$G,7,0),0)</f>
        <v>0</v>
      </c>
      <c r="H371" s="1">
        <f ca="1">IFERROR(VLOOKUP($A371,[1]库存使用数据!$A:$H,8,0),0)+IFERROR(VLOOKUP($A371,[2]库存使用数据!$A:$H,8,0),0)+IFERROR(VLOOKUP($A371,[3]库存使用数据!$A:$H,8,0),0)+IFERROR(VLOOKUP($A371,[4]库存使用数据!$A:$H,8,0),0)+IFERROR(VLOOKUP($A371,[5]库存使用数据!$A:$H,8,0),0)</f>
        <v>8613</v>
      </c>
      <c r="I371" s="1">
        <f ca="1">IFERROR(VLOOKUP($A371,[1]库存使用数据!$A:$I,9,0),0)+IFERROR(VLOOKUP($A371,[2]库存使用数据!$A:$I,9,0),0)+IFERROR(VLOOKUP($A371,[3]库存使用数据!$A:$I,9,0),0)+IFERROR(VLOOKUP($A371,[4]库存使用数据!$A:$I,9,0),0)+IFERROR(VLOOKUP($A371,[5]库存使用数据!$A:$I,9,0),0)</f>
        <v>38</v>
      </c>
      <c r="J371" s="1">
        <f ca="1">IFERROR(VLOOKUP($A371,[1]库存使用数据!$A:$J,10,0),0)+IFERROR(VLOOKUP($A371,[2]库存使用数据!$A:$J,10,0),0)+公式!$B$14*IFERROR(VLOOKUP($A371,[3]库存使用数据!$A:$J,10,0),0)+IFERROR(VLOOKUP($A371,[4]库存使用数据!$A:$J,10,0),0)+IFERROR(VLOOKUP($A371,[5]库存使用数据!$A:$J,10,0),0)</f>
        <v>0</v>
      </c>
      <c r="K371" s="1">
        <f ca="1">IFERROR(VLOOKUP($A371,[1]库存使用数据!$A:$K,11,0),0)+IFERROR(VLOOKUP($A371,[2]库存使用数据!$A:$K,11,0),0)+IFERROR(VLOOKUP($A371,[3]库存使用数据!$A:$K,11,0),0)+IFERROR(VLOOKUP($A371,[4]库存使用数据!$A:$K,11,0),0)+IFERROR(VLOOKUP($A371,[5]库存使用数据!$A:$K,11,0),0)</f>
        <v>7256</v>
      </c>
      <c r="L371" s="1">
        <f ca="1">IFERROR(VLOOKUP($A371,[1]库存使用数据!$A:$L,12,0),0)+IFERROR(VLOOKUP($A371,[2]库存使用数据!$A:$L,12,0),0)+IFERROR(VLOOKUP($A371,[3]库存使用数据!$A:$L,12,0),0)+IFERROR(VLOOKUP($A371,[4]库存使用数据!$A:$L,12,0),0)+IFERROR(VLOOKUP($A371,[5]库存使用数据!$A:$L,12,0),0)</f>
        <v>30</v>
      </c>
      <c r="M371" s="1">
        <f ca="1">IFERROR(VLOOKUP($A371,[1]库存使用数据!$A:$M,13,0),0)+IFERROR(VLOOKUP($A371,[2]库存使用数据!$A:$M,13,0),0)+公式!$B$14*IFERROR(VLOOKUP($A371,[3]库存使用数据!$A:$M,13,0),0)+IFERROR(VLOOKUP($A371,[4]库存使用数据!$A:$M,13,0),0)+IFERROR(VLOOKUP($A371,[5]库存使用数据!$A:$M,13,0),0)</f>
        <v>0</v>
      </c>
    </row>
    <row r="372" spans="1:13">
      <c r="A372" s="6" t="s">
        <v>377</v>
      </c>
      <c r="B372" s="2">
        <f ca="1">IFERROR(VLOOKUP(A372,[1]库存使用数据!$A:$B,2,0),0)+IFERROR(VLOOKUP(A372,[2]库存使用数据!$A:$B,2,0),0)+IFERROR(VLOOKUP(,[3]库存使用数据!$A:$B,2,0),0)+IFERROR(VLOOKUP(A372,[4]库存使用数据!$A:$B,2,0),0)+IFERROR(VLOOKUP(A372,[5]库存使用数据!$A:$B,2,0),0)</f>
        <v>0</v>
      </c>
      <c r="C372" s="1">
        <f ca="1">IFERROR(VLOOKUP($A372,[1]库存使用数据!$A:$C,3,0),0)+IFERROR(VLOOKUP($A372,[2]库存使用数据!$A:$C,3,0),0)+IFERROR(VLOOKUP($A372,[3]库存使用数据!$A:$C,3,0),0)+IFERROR(VLOOKUP($A372,[4]库存使用数据!$A:$C,3,0),0)+IFERROR(VLOOKUP($A372,[5]库存使用数据!$A:$C,3,0),0)</f>
        <v>177</v>
      </c>
      <c r="D372" s="1">
        <f ca="1">IFERROR(VLOOKUP($A372,[1]库存使用数据!$A:$D,4,0),0)+IFERROR(VLOOKUP($A372,[2]库存使用数据!$A:$D,4,0),0)+公式!$B$1*IFERROR(VLOOKUP($A372,[3]库存使用数据!$A:$D,4,0),0)+IFERROR(VLOOKUP($A372,[4]库存使用数据!$A:$D,4,0),0)+IFERROR(VLOOKUP($A372,[5]库存使用数据!$A:$D,4,0),0)</f>
        <v>26.2125</v>
      </c>
      <c r="E372" s="1">
        <f ca="1">IFERROR(VLOOKUP($A372,[1]库存使用数据!$A:$E,5,0),0)+IFERROR(VLOOKUP($A372,[2]库存使用数据!$A:$E,5,0),0)+IFERROR(VLOOKUP($A372,[3]库存使用数据!$A:$E,5,0),0)+IFERROR(VLOOKUP($A372,[4]库存使用数据!$A:$E,5,0),0)+IFERROR(VLOOKUP($A372,[5]库存使用数据!$A:$E,5,0),0)</f>
        <v>29719</v>
      </c>
      <c r="F372" s="1">
        <f ca="1">IFERROR(VLOOKUP($A372,[1]库存使用数据!$A:$F,6,0),0)+IFERROR(VLOOKUP($A372,[2]库存使用数据!$A:$F,6,0),0)+IFERROR(VLOOKUP($A372,[4]库存使用数据!$A:$F,6,0),0)+IFERROR(VLOOKUP($A372,[3]库存使用数据!$A:$F,6,0),0)+IFERROR(VLOOKUP($A372,[5]库存使用数据!$A:$F,6,0),0)</f>
        <v>175</v>
      </c>
      <c r="G372" s="1">
        <f ca="1">IFERROR(VLOOKUP($A372,[1]库存使用数据!$A:$G,7,0),0)+IFERROR(VLOOKUP($A372,[2]库存使用数据!$A:$G,7,0),0)+公式!$B$14*IFERROR(VLOOKUP($A372,[3]库存使用数据!$A:$G,7,0),0)+IFERROR(VLOOKUP($A372,[4]库存使用数据!$A:$G,7,0),0)+IFERROR(VLOOKUP($A372,[5]库存使用数据!$A:$G,7,0),0)</f>
        <v>0</v>
      </c>
      <c r="H372" s="1">
        <f ca="1">IFERROR(VLOOKUP($A372,[1]库存使用数据!$A:$H,8,0),0)+IFERROR(VLOOKUP($A372,[2]库存使用数据!$A:$H,8,0),0)+IFERROR(VLOOKUP($A372,[3]库存使用数据!$A:$H,8,0),0)+IFERROR(VLOOKUP($A372,[4]库存使用数据!$A:$H,8,0),0)+IFERROR(VLOOKUP($A372,[5]库存使用数据!$A:$H,8,0),0)</f>
        <v>15332</v>
      </c>
      <c r="I372" s="1">
        <f ca="1">IFERROR(VLOOKUP($A372,[1]库存使用数据!$A:$I,9,0),0)+IFERROR(VLOOKUP($A372,[2]库存使用数据!$A:$I,9,0),0)+IFERROR(VLOOKUP($A372,[3]库存使用数据!$A:$I,9,0),0)+IFERROR(VLOOKUP($A372,[4]库存使用数据!$A:$I,9,0),0)+IFERROR(VLOOKUP($A372,[5]库存使用数据!$A:$I,9,0),0)</f>
        <v>86</v>
      </c>
      <c r="J372" s="1">
        <f ca="1">IFERROR(VLOOKUP($A372,[1]库存使用数据!$A:$J,10,0),0)+IFERROR(VLOOKUP($A372,[2]库存使用数据!$A:$J,10,0),0)+公式!$B$14*IFERROR(VLOOKUP($A372,[3]库存使用数据!$A:$J,10,0),0)+IFERROR(VLOOKUP($A372,[4]库存使用数据!$A:$J,10,0),0)+IFERROR(VLOOKUP($A372,[5]库存使用数据!$A:$J,10,0),0)</f>
        <v>0</v>
      </c>
      <c r="K372" s="1">
        <f ca="1">IFERROR(VLOOKUP($A372,[1]库存使用数据!$A:$K,11,0),0)+IFERROR(VLOOKUP($A372,[2]库存使用数据!$A:$K,11,0),0)+IFERROR(VLOOKUP($A372,[3]库存使用数据!$A:$K,11,0),0)+IFERROR(VLOOKUP($A372,[4]库存使用数据!$A:$K,11,0),0)+IFERROR(VLOOKUP($A372,[5]库存使用数据!$A:$K,11,0),0)</f>
        <v>14576</v>
      </c>
      <c r="L372" s="1">
        <f ca="1">IFERROR(VLOOKUP($A372,[1]库存使用数据!$A:$L,12,0),0)+IFERROR(VLOOKUP($A372,[2]库存使用数据!$A:$L,12,0),0)+IFERROR(VLOOKUP($A372,[3]库存使用数据!$A:$L,12,0),0)+IFERROR(VLOOKUP($A372,[4]库存使用数据!$A:$L,12,0),0)+IFERROR(VLOOKUP($A372,[5]库存使用数据!$A:$L,12,0),0)</f>
        <v>56</v>
      </c>
      <c r="M372" s="1">
        <f ca="1">IFERROR(VLOOKUP($A372,[1]库存使用数据!$A:$M,13,0),0)+IFERROR(VLOOKUP($A372,[2]库存使用数据!$A:$M,13,0),0)+公式!$B$14*IFERROR(VLOOKUP($A372,[3]库存使用数据!$A:$M,13,0),0)+IFERROR(VLOOKUP($A372,[4]库存使用数据!$A:$M,13,0),0)+IFERROR(VLOOKUP($A372,[5]库存使用数据!$A:$M,13,0),0)</f>
        <v>0</v>
      </c>
    </row>
    <row r="373" spans="1:13">
      <c r="A373" s="6" t="s">
        <v>378</v>
      </c>
      <c r="B373" s="2">
        <f ca="1">IFERROR(VLOOKUP(A373,[1]库存使用数据!$A:$B,2,0),0)+IFERROR(VLOOKUP(A373,[2]库存使用数据!$A:$B,2,0),0)+IFERROR(VLOOKUP(,[3]库存使用数据!$A:$B,2,0),0)+IFERROR(VLOOKUP(A373,[4]库存使用数据!$A:$B,2,0),0)+IFERROR(VLOOKUP(A373,[5]库存使用数据!$A:$B,2,0),0)</f>
        <v>0</v>
      </c>
      <c r="C373" s="1">
        <f ca="1">IFERROR(VLOOKUP($A373,[1]库存使用数据!$A:$C,3,0),0)+IFERROR(VLOOKUP($A373,[2]库存使用数据!$A:$C,3,0),0)+IFERROR(VLOOKUP($A373,[3]库存使用数据!$A:$C,3,0),0)+IFERROR(VLOOKUP($A373,[4]库存使用数据!$A:$C,3,0),0)+IFERROR(VLOOKUP($A373,[5]库存使用数据!$A:$C,3,0),0)</f>
        <v>2</v>
      </c>
      <c r="D373" s="1">
        <f ca="1">IFERROR(VLOOKUP($A373,[1]库存使用数据!$A:$D,4,0),0)+IFERROR(VLOOKUP($A373,[2]库存使用数据!$A:$D,4,0),0)+公式!$B$1*IFERROR(VLOOKUP($A373,[3]库存使用数据!$A:$D,4,0),0)+IFERROR(VLOOKUP($A373,[4]库存使用数据!$A:$D,4,0),0)+IFERROR(VLOOKUP($A373,[5]库存使用数据!$A:$D,4,0),0)</f>
        <v>0.3825</v>
      </c>
      <c r="E373" s="1">
        <f ca="1">IFERROR(VLOOKUP($A373,[1]库存使用数据!$A:$E,5,0),0)+IFERROR(VLOOKUP($A373,[2]库存使用数据!$A:$E,5,0),0)+IFERROR(VLOOKUP($A373,[3]库存使用数据!$A:$E,5,0),0)+IFERROR(VLOOKUP($A373,[4]库存使用数据!$A:$E,5,0),0)+IFERROR(VLOOKUP($A373,[5]库存使用数据!$A:$E,5,0),0)</f>
        <v>2186</v>
      </c>
      <c r="F373" s="1">
        <f ca="1">IFERROR(VLOOKUP($A373,[1]库存使用数据!$A:$F,6,0),0)+IFERROR(VLOOKUP($A373,[2]库存使用数据!$A:$F,6,0),0)+IFERROR(VLOOKUP($A373,[4]库存使用数据!$A:$F,6,0),0)+IFERROR(VLOOKUP($A373,[3]库存使用数据!$A:$F,6,0),0)+IFERROR(VLOOKUP($A373,[5]库存使用数据!$A:$F,6,0),0)</f>
        <v>3</v>
      </c>
      <c r="G373" s="1">
        <f ca="1">IFERROR(VLOOKUP($A373,[1]库存使用数据!$A:$G,7,0),0)+IFERROR(VLOOKUP($A373,[2]库存使用数据!$A:$G,7,0),0)+公式!$B$14*IFERROR(VLOOKUP($A373,[3]库存使用数据!$A:$G,7,0),0)+IFERROR(VLOOKUP($A373,[4]库存使用数据!$A:$G,7,0),0)+IFERROR(VLOOKUP($A373,[5]库存使用数据!$A:$G,7,0),0)</f>
        <v>0</v>
      </c>
      <c r="H373" s="1">
        <f ca="1">IFERROR(VLOOKUP($A373,[1]库存使用数据!$A:$H,8,0),0)+IFERROR(VLOOKUP($A373,[2]库存使用数据!$A:$H,8,0),0)+IFERROR(VLOOKUP($A373,[3]库存使用数据!$A:$H,8,0),0)+IFERROR(VLOOKUP($A373,[4]库存使用数据!$A:$H,8,0),0)+IFERROR(VLOOKUP($A373,[5]库存使用数据!$A:$H,8,0),0)</f>
        <v>2118</v>
      </c>
      <c r="I373" s="1">
        <f ca="1">IFERROR(VLOOKUP($A373,[1]库存使用数据!$A:$I,9,0),0)+IFERROR(VLOOKUP($A373,[2]库存使用数据!$A:$I,9,0),0)+IFERROR(VLOOKUP($A373,[3]库存使用数据!$A:$I,9,0),0)+IFERROR(VLOOKUP($A373,[4]库存使用数据!$A:$I,9,0),0)+IFERROR(VLOOKUP($A373,[5]库存使用数据!$A:$I,9,0),0)</f>
        <v>2</v>
      </c>
      <c r="J373" s="1">
        <f ca="1">IFERROR(VLOOKUP($A373,[1]库存使用数据!$A:$J,10,0),0)+IFERROR(VLOOKUP($A373,[2]库存使用数据!$A:$J,10,0),0)+公式!$B$14*IFERROR(VLOOKUP($A373,[3]库存使用数据!$A:$J,10,0),0)+IFERROR(VLOOKUP($A373,[4]库存使用数据!$A:$J,10,0),0)+IFERROR(VLOOKUP($A373,[5]库存使用数据!$A:$J,10,0),0)</f>
        <v>0</v>
      </c>
      <c r="K373" s="1">
        <f ca="1">IFERROR(VLOOKUP($A373,[1]库存使用数据!$A:$K,11,0),0)+IFERROR(VLOOKUP($A373,[2]库存使用数据!$A:$K,11,0),0)+IFERROR(VLOOKUP($A373,[3]库存使用数据!$A:$K,11,0),0)+IFERROR(VLOOKUP($A373,[4]库存使用数据!$A:$K,11,0),0)+IFERROR(VLOOKUP($A373,[5]库存使用数据!$A:$K,11,0),0)</f>
        <v>2403</v>
      </c>
      <c r="L373" s="1">
        <f ca="1">IFERROR(VLOOKUP($A373,[1]库存使用数据!$A:$L,12,0),0)+IFERROR(VLOOKUP($A373,[2]库存使用数据!$A:$L,12,0),0)+IFERROR(VLOOKUP($A373,[3]库存使用数据!$A:$L,12,0),0)+IFERROR(VLOOKUP($A373,[4]库存使用数据!$A:$L,12,0),0)+IFERROR(VLOOKUP($A373,[5]库存使用数据!$A:$L,12,0),0)</f>
        <v>6</v>
      </c>
      <c r="M373" s="1">
        <f ca="1">IFERROR(VLOOKUP($A373,[1]库存使用数据!$A:$M,13,0),0)+IFERROR(VLOOKUP($A373,[2]库存使用数据!$A:$M,13,0),0)+公式!$B$14*IFERROR(VLOOKUP($A373,[3]库存使用数据!$A:$M,13,0),0)+IFERROR(VLOOKUP($A373,[4]库存使用数据!$A:$M,13,0),0)+IFERROR(VLOOKUP($A373,[5]库存使用数据!$A:$M,13,0),0)</f>
        <v>0</v>
      </c>
    </row>
    <row r="374" spans="1:13">
      <c r="A374" s="6" t="s">
        <v>379</v>
      </c>
      <c r="B374" s="2">
        <f ca="1">IFERROR(VLOOKUP(A374,[1]库存使用数据!$A:$B,2,0),0)+IFERROR(VLOOKUP(A374,[2]库存使用数据!$A:$B,2,0),0)+IFERROR(VLOOKUP(,[3]库存使用数据!$A:$B,2,0),0)+IFERROR(VLOOKUP(A374,[4]库存使用数据!$A:$B,2,0),0)+IFERROR(VLOOKUP(A374,[5]库存使用数据!$A:$B,2,0),0)</f>
        <v>0</v>
      </c>
      <c r="C374" s="1">
        <f ca="1">IFERROR(VLOOKUP($A374,[1]库存使用数据!$A:$C,3,0),0)+IFERROR(VLOOKUP($A374,[2]库存使用数据!$A:$C,3,0),0)+IFERROR(VLOOKUP($A374,[3]库存使用数据!$A:$C,3,0),0)+IFERROR(VLOOKUP($A374,[4]库存使用数据!$A:$C,3,0),0)+IFERROR(VLOOKUP($A374,[5]库存使用数据!$A:$C,3,0),0)</f>
        <v>0</v>
      </c>
      <c r="D374" s="1">
        <f ca="1">IFERROR(VLOOKUP($A374,[1]库存使用数据!$A:$D,4,0),0)+IFERROR(VLOOKUP($A374,[2]库存使用数据!$A:$D,4,0),0)+公式!$B$1*IFERROR(VLOOKUP($A374,[3]库存使用数据!$A:$D,4,0),0)+IFERROR(VLOOKUP($A374,[4]库存使用数据!$A:$D,4,0),0)+IFERROR(VLOOKUP($A374,[5]库存使用数据!$A:$D,4,0),0)</f>
        <v>0</v>
      </c>
      <c r="E374" s="1">
        <f ca="1">IFERROR(VLOOKUP($A374,[1]库存使用数据!$A:$E,5,0),0)+IFERROR(VLOOKUP($A374,[2]库存使用数据!$A:$E,5,0),0)+IFERROR(VLOOKUP($A374,[3]库存使用数据!$A:$E,5,0),0)+IFERROR(VLOOKUP($A374,[4]库存使用数据!$A:$E,5,0),0)+IFERROR(VLOOKUP($A374,[5]库存使用数据!$A:$E,5,0),0)</f>
        <v>1183</v>
      </c>
      <c r="F374" s="1">
        <f ca="1">IFERROR(VLOOKUP($A374,[1]库存使用数据!$A:$F,6,0),0)+IFERROR(VLOOKUP($A374,[2]库存使用数据!$A:$F,6,0),0)+IFERROR(VLOOKUP($A374,[4]库存使用数据!$A:$F,6,0),0)+IFERROR(VLOOKUP($A374,[3]库存使用数据!$A:$F,6,0),0)+IFERROR(VLOOKUP($A374,[5]库存使用数据!$A:$F,6,0),0)</f>
        <v>0</v>
      </c>
      <c r="G374" s="1">
        <f ca="1">IFERROR(VLOOKUP($A374,[1]库存使用数据!$A:$G,7,0),0)+IFERROR(VLOOKUP($A374,[2]库存使用数据!$A:$G,7,0),0)+公式!$B$14*IFERROR(VLOOKUP($A374,[3]库存使用数据!$A:$G,7,0),0)+IFERROR(VLOOKUP($A374,[4]库存使用数据!$A:$G,7,0),0)+IFERROR(VLOOKUP($A374,[5]库存使用数据!$A:$G,7,0),0)</f>
        <v>0</v>
      </c>
      <c r="H374" s="1">
        <f ca="1">IFERROR(VLOOKUP($A374,[1]库存使用数据!$A:$H,8,0),0)+IFERROR(VLOOKUP($A374,[2]库存使用数据!$A:$H,8,0),0)+IFERROR(VLOOKUP($A374,[3]库存使用数据!$A:$H,8,0),0)+IFERROR(VLOOKUP($A374,[4]库存使用数据!$A:$H,8,0),0)+IFERROR(VLOOKUP($A374,[5]库存使用数据!$A:$H,8,0),0)</f>
        <v>994</v>
      </c>
      <c r="I374" s="1">
        <f ca="1">IFERROR(VLOOKUP($A374,[1]库存使用数据!$A:$I,9,0),0)+IFERROR(VLOOKUP($A374,[2]库存使用数据!$A:$I,9,0),0)+IFERROR(VLOOKUP($A374,[3]库存使用数据!$A:$I,9,0),0)+IFERROR(VLOOKUP($A374,[4]库存使用数据!$A:$I,9,0),0)+IFERROR(VLOOKUP($A374,[5]库存使用数据!$A:$I,9,0),0)</f>
        <v>0</v>
      </c>
      <c r="J374" s="1">
        <f ca="1">IFERROR(VLOOKUP($A374,[1]库存使用数据!$A:$J,10,0),0)+IFERROR(VLOOKUP($A374,[2]库存使用数据!$A:$J,10,0),0)+公式!$B$14*IFERROR(VLOOKUP($A374,[3]库存使用数据!$A:$J,10,0),0)+IFERROR(VLOOKUP($A374,[4]库存使用数据!$A:$J,10,0),0)+IFERROR(VLOOKUP($A374,[5]库存使用数据!$A:$J,10,0),0)</f>
        <v>0</v>
      </c>
      <c r="K374" s="1">
        <f ca="1">IFERROR(VLOOKUP($A374,[1]库存使用数据!$A:$K,11,0),0)+IFERROR(VLOOKUP($A374,[2]库存使用数据!$A:$K,11,0),0)+IFERROR(VLOOKUP($A374,[3]库存使用数据!$A:$K,11,0),0)+IFERROR(VLOOKUP($A374,[4]库存使用数据!$A:$K,11,0),0)+IFERROR(VLOOKUP($A374,[5]库存使用数据!$A:$K,11,0),0)</f>
        <v>687</v>
      </c>
      <c r="L374" s="1">
        <f ca="1">IFERROR(VLOOKUP($A374,[1]库存使用数据!$A:$L,12,0),0)+IFERROR(VLOOKUP($A374,[2]库存使用数据!$A:$L,12,0),0)+IFERROR(VLOOKUP($A374,[3]库存使用数据!$A:$L,12,0),0)+IFERROR(VLOOKUP($A374,[4]库存使用数据!$A:$L,12,0),0)+IFERROR(VLOOKUP($A374,[5]库存使用数据!$A:$L,12,0),0)</f>
        <v>3</v>
      </c>
      <c r="M374" s="1">
        <f ca="1">IFERROR(VLOOKUP($A374,[1]库存使用数据!$A:$M,13,0),0)+IFERROR(VLOOKUP($A374,[2]库存使用数据!$A:$M,13,0),0)+公式!$B$14*IFERROR(VLOOKUP($A374,[3]库存使用数据!$A:$M,13,0),0)+IFERROR(VLOOKUP($A374,[4]库存使用数据!$A:$M,13,0),0)+IFERROR(VLOOKUP($A374,[5]库存使用数据!$A:$M,13,0),0)</f>
        <v>0</v>
      </c>
    </row>
    <row r="375" spans="1:13">
      <c r="A375" s="6" t="s">
        <v>380</v>
      </c>
      <c r="B375" s="2">
        <f ca="1">IFERROR(VLOOKUP(A375,[1]库存使用数据!$A:$B,2,0),0)+IFERROR(VLOOKUP(A375,[2]库存使用数据!$A:$B,2,0),0)+IFERROR(VLOOKUP(,[3]库存使用数据!$A:$B,2,0),0)+IFERROR(VLOOKUP(A375,[4]库存使用数据!$A:$B,2,0),0)+IFERROR(VLOOKUP(A375,[5]库存使用数据!$A:$B,2,0),0)</f>
        <v>0</v>
      </c>
      <c r="C375" s="1">
        <f ca="1">IFERROR(VLOOKUP($A375,[1]库存使用数据!$A:$C,3,0),0)+IFERROR(VLOOKUP($A375,[2]库存使用数据!$A:$C,3,0),0)+IFERROR(VLOOKUP($A375,[3]库存使用数据!$A:$C,3,0),0)+IFERROR(VLOOKUP($A375,[4]库存使用数据!$A:$C,3,0),0)+IFERROR(VLOOKUP($A375,[5]库存使用数据!$A:$C,3,0),0)</f>
        <v>0</v>
      </c>
      <c r="D375" s="1">
        <f ca="1">IFERROR(VLOOKUP($A375,[1]库存使用数据!$A:$D,4,0),0)+IFERROR(VLOOKUP($A375,[2]库存使用数据!$A:$D,4,0),0)+公式!$B$1*IFERROR(VLOOKUP($A375,[3]库存使用数据!$A:$D,4,0),0)+IFERROR(VLOOKUP($A375,[4]库存使用数据!$A:$D,4,0),0)+IFERROR(VLOOKUP($A375,[5]库存使用数据!$A:$D,4,0),0)</f>
        <v>0</v>
      </c>
      <c r="E375" s="1">
        <f ca="1">IFERROR(VLOOKUP($A375,[1]库存使用数据!$A:$E,5,0),0)+IFERROR(VLOOKUP($A375,[2]库存使用数据!$A:$E,5,0),0)+IFERROR(VLOOKUP($A375,[3]库存使用数据!$A:$E,5,0),0)+IFERROR(VLOOKUP($A375,[4]库存使用数据!$A:$E,5,0),0)+IFERROR(VLOOKUP($A375,[5]库存使用数据!$A:$E,5,0),0)</f>
        <v>0</v>
      </c>
      <c r="F375" s="1">
        <f ca="1">IFERROR(VLOOKUP($A375,[1]库存使用数据!$A:$F,6,0),0)+IFERROR(VLOOKUP($A375,[2]库存使用数据!$A:$F,6,0),0)+IFERROR(VLOOKUP($A375,[4]库存使用数据!$A:$F,6,0),0)+IFERROR(VLOOKUP($A375,[3]库存使用数据!$A:$F,6,0),0)+IFERROR(VLOOKUP($A375,[5]库存使用数据!$A:$F,6,0),0)</f>
        <v>0</v>
      </c>
      <c r="G375" s="1">
        <f ca="1">IFERROR(VLOOKUP($A375,[1]库存使用数据!$A:$G,7,0),0)+IFERROR(VLOOKUP($A375,[2]库存使用数据!$A:$G,7,0),0)+公式!$B$14*IFERROR(VLOOKUP($A375,[3]库存使用数据!$A:$G,7,0),0)+IFERROR(VLOOKUP($A375,[4]库存使用数据!$A:$G,7,0),0)+IFERROR(VLOOKUP($A375,[5]库存使用数据!$A:$G,7,0),0)</f>
        <v>0</v>
      </c>
      <c r="H375" s="1">
        <f ca="1">IFERROR(VLOOKUP($A375,[1]库存使用数据!$A:$H,8,0),0)+IFERROR(VLOOKUP($A375,[2]库存使用数据!$A:$H,8,0),0)+IFERROR(VLOOKUP($A375,[3]库存使用数据!$A:$H,8,0),0)+IFERROR(VLOOKUP($A375,[4]库存使用数据!$A:$H,8,0),0)+IFERROR(VLOOKUP($A375,[5]库存使用数据!$A:$H,8,0),0)</f>
        <v>0</v>
      </c>
      <c r="I375" s="1">
        <f ca="1">IFERROR(VLOOKUP($A375,[1]库存使用数据!$A:$I,9,0),0)+IFERROR(VLOOKUP($A375,[2]库存使用数据!$A:$I,9,0),0)+IFERROR(VLOOKUP($A375,[3]库存使用数据!$A:$I,9,0),0)+IFERROR(VLOOKUP($A375,[4]库存使用数据!$A:$I,9,0),0)+IFERROR(VLOOKUP($A375,[5]库存使用数据!$A:$I,9,0),0)</f>
        <v>0</v>
      </c>
      <c r="J375" s="1">
        <f ca="1">IFERROR(VLOOKUP($A375,[1]库存使用数据!$A:$J,10,0),0)+IFERROR(VLOOKUP($A375,[2]库存使用数据!$A:$J,10,0),0)+公式!$B$14*IFERROR(VLOOKUP($A375,[3]库存使用数据!$A:$J,10,0),0)+IFERROR(VLOOKUP($A375,[4]库存使用数据!$A:$J,10,0),0)+IFERROR(VLOOKUP($A375,[5]库存使用数据!$A:$J,10,0),0)</f>
        <v>0</v>
      </c>
      <c r="K375" s="1">
        <f ca="1">IFERROR(VLOOKUP($A375,[1]库存使用数据!$A:$K,11,0),0)+IFERROR(VLOOKUP($A375,[2]库存使用数据!$A:$K,11,0),0)+IFERROR(VLOOKUP($A375,[3]库存使用数据!$A:$K,11,0),0)+IFERROR(VLOOKUP($A375,[4]库存使用数据!$A:$K,11,0),0)+IFERROR(VLOOKUP($A375,[5]库存使用数据!$A:$K,11,0),0)</f>
        <v>448</v>
      </c>
      <c r="L375" s="1">
        <f ca="1">IFERROR(VLOOKUP($A375,[1]库存使用数据!$A:$L,12,0),0)+IFERROR(VLOOKUP($A375,[2]库存使用数据!$A:$L,12,0),0)+IFERROR(VLOOKUP($A375,[3]库存使用数据!$A:$L,12,0),0)+IFERROR(VLOOKUP($A375,[4]库存使用数据!$A:$L,12,0),0)+IFERROR(VLOOKUP($A375,[5]库存使用数据!$A:$L,12,0),0)</f>
        <v>3</v>
      </c>
      <c r="M375" s="1">
        <f ca="1">IFERROR(VLOOKUP($A375,[1]库存使用数据!$A:$M,13,0),0)+IFERROR(VLOOKUP($A375,[2]库存使用数据!$A:$M,13,0),0)+公式!$B$14*IFERROR(VLOOKUP($A375,[3]库存使用数据!$A:$M,13,0),0)+IFERROR(VLOOKUP($A375,[4]库存使用数据!$A:$M,13,0),0)+IFERROR(VLOOKUP($A375,[5]库存使用数据!$A:$M,13,0),0)</f>
        <v>0.39</v>
      </c>
    </row>
    <row r="376" spans="1:13">
      <c r="A376" s="6" t="s">
        <v>381</v>
      </c>
      <c r="B376" s="2">
        <f ca="1">IFERROR(VLOOKUP(A376,[1]库存使用数据!$A:$B,2,0),0)+IFERROR(VLOOKUP(A376,[2]库存使用数据!$A:$B,2,0),0)+IFERROR(VLOOKUP(,[3]库存使用数据!$A:$B,2,0),0)+IFERROR(VLOOKUP(A376,[4]库存使用数据!$A:$B,2,0),0)+IFERROR(VLOOKUP(A376,[5]库存使用数据!$A:$B,2,0),0)</f>
        <v>0</v>
      </c>
      <c r="C376" s="1">
        <f ca="1">IFERROR(VLOOKUP($A376,[1]库存使用数据!$A:$C,3,0),0)+IFERROR(VLOOKUP($A376,[2]库存使用数据!$A:$C,3,0),0)+IFERROR(VLOOKUP($A376,[3]库存使用数据!$A:$C,3,0),0)+IFERROR(VLOOKUP($A376,[4]库存使用数据!$A:$C,3,0),0)+IFERROR(VLOOKUP($A376,[5]库存使用数据!$A:$C,3,0),0)</f>
        <v>4</v>
      </c>
      <c r="D376" s="1">
        <f ca="1">IFERROR(VLOOKUP($A376,[1]库存使用数据!$A:$D,4,0),0)+IFERROR(VLOOKUP($A376,[2]库存使用数据!$A:$D,4,0),0)+公式!$B$1*IFERROR(VLOOKUP($A376,[3]库存使用数据!$A:$D,4,0),0)+IFERROR(VLOOKUP($A376,[4]库存使用数据!$A:$D,4,0),0)+IFERROR(VLOOKUP($A376,[5]库存使用数据!$A:$D,4,0),0)</f>
        <v>0.91125</v>
      </c>
      <c r="E376" s="1">
        <f ca="1">IFERROR(VLOOKUP($A376,[1]库存使用数据!$A:$E,5,0),0)+IFERROR(VLOOKUP($A376,[2]库存使用数据!$A:$E,5,0),0)+IFERROR(VLOOKUP($A376,[3]库存使用数据!$A:$E,5,0),0)+IFERROR(VLOOKUP($A376,[4]库存使用数据!$A:$E,5,0),0)+IFERROR(VLOOKUP($A376,[5]库存使用数据!$A:$E,5,0),0)</f>
        <v>1607</v>
      </c>
      <c r="F376" s="1">
        <f ca="1">IFERROR(VLOOKUP($A376,[1]库存使用数据!$A:$F,6,0),0)+IFERROR(VLOOKUP($A376,[2]库存使用数据!$A:$F,6,0),0)+IFERROR(VLOOKUP($A376,[4]库存使用数据!$A:$F,6,0),0)+IFERROR(VLOOKUP($A376,[3]库存使用数据!$A:$F,6,0),0)+IFERROR(VLOOKUP($A376,[5]库存使用数据!$A:$F,6,0),0)</f>
        <v>15</v>
      </c>
      <c r="G376" s="1">
        <f ca="1">IFERROR(VLOOKUP($A376,[1]库存使用数据!$A:$G,7,0),0)+IFERROR(VLOOKUP($A376,[2]库存使用数据!$A:$G,7,0),0)+公式!$B$14*IFERROR(VLOOKUP($A376,[3]库存使用数据!$A:$G,7,0),0)+IFERROR(VLOOKUP($A376,[4]库存使用数据!$A:$G,7,0),0)+IFERROR(VLOOKUP($A376,[5]库存使用数据!$A:$G,7,0),0)</f>
        <v>0</v>
      </c>
      <c r="H376" s="1">
        <f ca="1">IFERROR(VLOOKUP($A376,[1]库存使用数据!$A:$H,8,0),0)+IFERROR(VLOOKUP($A376,[2]库存使用数据!$A:$H,8,0),0)+IFERROR(VLOOKUP($A376,[3]库存使用数据!$A:$H,8,0),0)+IFERROR(VLOOKUP($A376,[4]库存使用数据!$A:$H,8,0),0)+IFERROR(VLOOKUP($A376,[5]库存使用数据!$A:$H,8,0),0)</f>
        <v>1481</v>
      </c>
      <c r="I376" s="1">
        <f ca="1">IFERROR(VLOOKUP($A376,[1]库存使用数据!$A:$I,9,0),0)+IFERROR(VLOOKUP($A376,[2]库存使用数据!$A:$I,9,0),0)+IFERROR(VLOOKUP($A376,[3]库存使用数据!$A:$I,9,0),0)+IFERROR(VLOOKUP($A376,[4]库存使用数据!$A:$I,9,0),0)+IFERROR(VLOOKUP($A376,[5]库存使用数据!$A:$I,9,0),0)</f>
        <v>10</v>
      </c>
      <c r="J376" s="1">
        <f ca="1">IFERROR(VLOOKUP($A376,[1]库存使用数据!$A:$J,10,0),0)+IFERROR(VLOOKUP($A376,[2]库存使用数据!$A:$J,10,0),0)+公式!$B$14*IFERROR(VLOOKUP($A376,[3]库存使用数据!$A:$J,10,0),0)+IFERROR(VLOOKUP($A376,[4]库存使用数据!$A:$J,10,0),0)+IFERROR(VLOOKUP($A376,[5]库存使用数据!$A:$J,10,0),0)</f>
        <v>0</v>
      </c>
      <c r="K376" s="1">
        <f ca="1">IFERROR(VLOOKUP($A376,[1]库存使用数据!$A:$K,11,0),0)+IFERROR(VLOOKUP($A376,[2]库存使用数据!$A:$K,11,0),0)+IFERROR(VLOOKUP($A376,[3]库存使用数据!$A:$K,11,0),0)+IFERROR(VLOOKUP($A376,[4]库存使用数据!$A:$K,11,0),0)+IFERROR(VLOOKUP($A376,[5]库存使用数据!$A:$K,11,0),0)</f>
        <v>1145</v>
      </c>
      <c r="L376" s="1">
        <f ca="1">IFERROR(VLOOKUP($A376,[1]库存使用数据!$A:$L,12,0),0)+IFERROR(VLOOKUP($A376,[2]库存使用数据!$A:$L,12,0),0)+IFERROR(VLOOKUP($A376,[3]库存使用数据!$A:$L,12,0),0)+IFERROR(VLOOKUP($A376,[4]库存使用数据!$A:$L,12,0),0)+IFERROR(VLOOKUP($A376,[5]库存使用数据!$A:$L,12,0),0)</f>
        <v>8</v>
      </c>
      <c r="M376" s="1">
        <f ca="1">IFERROR(VLOOKUP($A376,[1]库存使用数据!$A:$M,13,0),0)+IFERROR(VLOOKUP($A376,[2]库存使用数据!$A:$M,13,0),0)+公式!$B$14*IFERROR(VLOOKUP($A376,[3]库存使用数据!$A:$M,13,0),0)+IFERROR(VLOOKUP($A376,[4]库存使用数据!$A:$M,13,0),0)+IFERROR(VLOOKUP($A376,[5]库存使用数据!$A:$M,13,0),0)</f>
        <v>0</v>
      </c>
    </row>
    <row r="377" spans="1:13">
      <c r="A377" s="6" t="s">
        <v>382</v>
      </c>
      <c r="B377" s="2">
        <f ca="1">IFERROR(VLOOKUP(A377,[1]库存使用数据!$A:$B,2,0),0)+IFERROR(VLOOKUP(A377,[2]库存使用数据!$A:$B,2,0),0)+IFERROR(VLOOKUP(,[3]库存使用数据!$A:$B,2,0),0)+IFERROR(VLOOKUP(A377,[4]库存使用数据!$A:$B,2,0),0)+IFERROR(VLOOKUP(A377,[5]库存使用数据!$A:$B,2,0),0)</f>
        <v>0</v>
      </c>
      <c r="C377" s="1">
        <f ca="1">IFERROR(VLOOKUP($A377,[1]库存使用数据!$A:$C,3,0),0)+IFERROR(VLOOKUP($A377,[2]库存使用数据!$A:$C,3,0),0)+IFERROR(VLOOKUP($A377,[3]库存使用数据!$A:$C,3,0),0)+IFERROR(VLOOKUP($A377,[4]库存使用数据!$A:$C,3,0),0)+IFERROR(VLOOKUP($A377,[5]库存使用数据!$A:$C,3,0),0)</f>
        <v>10</v>
      </c>
      <c r="D377" s="1">
        <f ca="1">IFERROR(VLOOKUP($A377,[1]库存使用数据!$A:$D,4,0),0)+IFERROR(VLOOKUP($A377,[2]库存使用数据!$A:$D,4,0),0)+公式!$B$1*IFERROR(VLOOKUP($A377,[3]库存使用数据!$A:$D,4,0),0)+IFERROR(VLOOKUP($A377,[4]库存使用数据!$A:$D,4,0),0)+IFERROR(VLOOKUP($A377,[5]库存使用数据!$A:$D,4,0),0)</f>
        <v>2.6775</v>
      </c>
      <c r="E377" s="1">
        <f ca="1">IFERROR(VLOOKUP($A377,[1]库存使用数据!$A:$E,5,0),0)+IFERROR(VLOOKUP($A377,[2]库存使用数据!$A:$E,5,0),0)+IFERROR(VLOOKUP($A377,[3]库存使用数据!$A:$E,5,0),0)+IFERROR(VLOOKUP($A377,[4]库存使用数据!$A:$E,5,0),0)+IFERROR(VLOOKUP($A377,[5]库存使用数据!$A:$E,5,0),0)</f>
        <v>1887</v>
      </c>
      <c r="F377" s="1">
        <f ca="1">IFERROR(VLOOKUP($A377,[1]库存使用数据!$A:$F,6,0),0)+IFERROR(VLOOKUP($A377,[2]库存使用数据!$A:$F,6,0),0)+IFERROR(VLOOKUP($A377,[4]库存使用数据!$A:$F,6,0),0)+IFERROR(VLOOKUP($A377,[3]库存使用数据!$A:$F,6,0),0)+IFERROR(VLOOKUP($A377,[5]库存使用数据!$A:$F,6,0),0)</f>
        <v>4</v>
      </c>
      <c r="G377" s="1">
        <f ca="1">IFERROR(VLOOKUP($A377,[1]库存使用数据!$A:$G,7,0),0)+IFERROR(VLOOKUP($A377,[2]库存使用数据!$A:$G,7,0),0)+公式!$B$14*IFERROR(VLOOKUP($A377,[3]库存使用数据!$A:$G,7,0),0)+IFERROR(VLOOKUP($A377,[4]库存使用数据!$A:$G,7,0),0)+IFERROR(VLOOKUP($A377,[5]库存使用数据!$A:$G,7,0),0)</f>
        <v>0</v>
      </c>
      <c r="H377" s="1">
        <f ca="1">IFERROR(VLOOKUP($A377,[1]库存使用数据!$A:$H,8,0),0)+IFERROR(VLOOKUP($A377,[2]库存使用数据!$A:$H,8,0),0)+IFERROR(VLOOKUP($A377,[3]库存使用数据!$A:$H,8,0),0)+IFERROR(VLOOKUP($A377,[4]库存使用数据!$A:$H,8,0),0)+IFERROR(VLOOKUP($A377,[5]库存使用数据!$A:$H,8,0),0)</f>
        <v>417</v>
      </c>
      <c r="I377" s="1">
        <f ca="1">IFERROR(VLOOKUP($A377,[1]库存使用数据!$A:$I,9,0),0)+IFERROR(VLOOKUP($A377,[2]库存使用数据!$A:$I,9,0),0)+IFERROR(VLOOKUP($A377,[3]库存使用数据!$A:$I,9,0),0)+IFERROR(VLOOKUP($A377,[4]库存使用数据!$A:$I,9,0),0)+IFERROR(VLOOKUP($A377,[5]库存使用数据!$A:$I,9,0),0)</f>
        <v>3</v>
      </c>
      <c r="J377" s="1">
        <f ca="1">IFERROR(VLOOKUP($A377,[1]库存使用数据!$A:$J,10,0),0)+IFERROR(VLOOKUP($A377,[2]库存使用数据!$A:$J,10,0),0)+公式!$B$14*IFERROR(VLOOKUP($A377,[3]库存使用数据!$A:$J,10,0),0)+IFERROR(VLOOKUP($A377,[4]库存使用数据!$A:$J,10,0),0)+IFERROR(VLOOKUP($A377,[5]库存使用数据!$A:$J,10,0),0)</f>
        <v>0</v>
      </c>
      <c r="K377" s="1">
        <f ca="1">IFERROR(VLOOKUP($A377,[1]库存使用数据!$A:$K,11,0),0)+IFERROR(VLOOKUP($A377,[2]库存使用数据!$A:$K,11,0),0)+IFERROR(VLOOKUP($A377,[3]库存使用数据!$A:$K,11,0),0)+IFERROR(VLOOKUP($A377,[4]库存使用数据!$A:$K,11,0),0)+IFERROR(VLOOKUP($A377,[5]库存使用数据!$A:$K,11,0),0)</f>
        <v>299</v>
      </c>
      <c r="L377" s="1">
        <f ca="1">IFERROR(VLOOKUP($A377,[1]库存使用数据!$A:$L,12,0),0)+IFERROR(VLOOKUP($A377,[2]库存使用数据!$A:$L,12,0),0)+IFERROR(VLOOKUP($A377,[3]库存使用数据!$A:$L,12,0),0)+IFERROR(VLOOKUP($A377,[4]库存使用数据!$A:$L,12,0),0)+IFERROR(VLOOKUP($A377,[5]库存使用数据!$A:$L,12,0),0)</f>
        <v>2</v>
      </c>
      <c r="M377" s="1">
        <f ca="1">IFERROR(VLOOKUP($A377,[1]库存使用数据!$A:$M,13,0),0)+IFERROR(VLOOKUP($A377,[2]库存使用数据!$A:$M,13,0),0)+公式!$B$14*IFERROR(VLOOKUP($A377,[3]库存使用数据!$A:$M,13,0),0)+IFERROR(VLOOKUP($A377,[4]库存使用数据!$A:$M,13,0),0)+IFERROR(VLOOKUP($A377,[5]库存使用数据!$A:$M,13,0),0)</f>
        <v>0</v>
      </c>
    </row>
    <row r="378" spans="1:13">
      <c r="A378" s="6" t="s">
        <v>383</v>
      </c>
      <c r="B378" s="2">
        <f ca="1">IFERROR(VLOOKUP(A378,[1]库存使用数据!$A:$B,2,0),0)+IFERROR(VLOOKUP(A378,[2]库存使用数据!$A:$B,2,0),0)+IFERROR(VLOOKUP(,[3]库存使用数据!$A:$B,2,0),0)+IFERROR(VLOOKUP(A378,[4]库存使用数据!$A:$B,2,0),0)+IFERROR(VLOOKUP(A378,[5]库存使用数据!$A:$B,2,0),0)</f>
        <v>194</v>
      </c>
      <c r="C378" s="1">
        <f ca="1">IFERROR(VLOOKUP($A378,[1]库存使用数据!$A:$C,3,0),0)+IFERROR(VLOOKUP($A378,[2]库存使用数据!$A:$C,3,0),0)+IFERROR(VLOOKUP($A378,[3]库存使用数据!$A:$C,3,0),0)+IFERROR(VLOOKUP($A378,[4]库存使用数据!$A:$C,3,0),0)+IFERROR(VLOOKUP($A378,[5]库存使用数据!$A:$C,3,0),0)</f>
        <v>4</v>
      </c>
      <c r="D378" s="1">
        <f ca="1">IFERROR(VLOOKUP($A378,[1]库存使用数据!$A:$D,4,0),0)+IFERROR(VLOOKUP($A378,[2]库存使用数据!$A:$D,4,0),0)+公式!$B$1*IFERROR(VLOOKUP($A378,[3]库存使用数据!$A:$D,4,0),0)+IFERROR(VLOOKUP($A378,[4]库存使用数据!$A:$D,4,0),0)+IFERROR(VLOOKUP($A378,[5]库存使用数据!$A:$D,4,0),0)</f>
        <v>1.31625</v>
      </c>
      <c r="E378" s="1">
        <f ca="1">IFERROR(VLOOKUP($A378,[1]库存使用数据!$A:$E,5,0),0)+IFERROR(VLOOKUP($A378,[2]库存使用数据!$A:$E,5,0),0)+IFERROR(VLOOKUP($A378,[3]库存使用数据!$A:$E,5,0),0)+IFERROR(VLOOKUP($A378,[4]库存使用数据!$A:$E,5,0),0)+IFERROR(VLOOKUP($A378,[5]库存使用数据!$A:$E,5,0),0)</f>
        <v>5001</v>
      </c>
      <c r="F378" s="1">
        <f ca="1">IFERROR(VLOOKUP($A378,[1]库存使用数据!$A:$F,6,0),0)+IFERROR(VLOOKUP($A378,[2]库存使用数据!$A:$F,6,0),0)+IFERROR(VLOOKUP($A378,[4]库存使用数据!$A:$F,6,0),0)+IFERROR(VLOOKUP($A378,[3]库存使用数据!$A:$F,6,0),0)+IFERROR(VLOOKUP($A378,[5]库存使用数据!$A:$F,6,0),0)</f>
        <v>5</v>
      </c>
      <c r="G378" s="1">
        <f ca="1">IFERROR(VLOOKUP($A378,[1]库存使用数据!$A:$G,7,0),0)+IFERROR(VLOOKUP($A378,[2]库存使用数据!$A:$G,7,0),0)+公式!$B$14*IFERROR(VLOOKUP($A378,[3]库存使用数据!$A:$G,7,0),0)+IFERROR(VLOOKUP($A378,[4]库存使用数据!$A:$G,7,0),0)+IFERROR(VLOOKUP($A378,[5]库存使用数据!$A:$G,7,0),0)</f>
        <v>0</v>
      </c>
      <c r="H378" s="1">
        <f ca="1">IFERROR(VLOOKUP($A378,[1]库存使用数据!$A:$H,8,0),0)+IFERROR(VLOOKUP($A378,[2]库存使用数据!$A:$H,8,0),0)+IFERROR(VLOOKUP($A378,[3]库存使用数据!$A:$H,8,0),0)+IFERROR(VLOOKUP($A378,[4]库存使用数据!$A:$H,8,0),0)+IFERROR(VLOOKUP($A378,[5]库存使用数据!$A:$H,8,0),0)</f>
        <v>5792</v>
      </c>
      <c r="I378" s="1">
        <f ca="1">IFERROR(VLOOKUP($A378,[1]库存使用数据!$A:$I,9,0),0)+IFERROR(VLOOKUP($A378,[2]库存使用数据!$A:$I,9,0),0)+IFERROR(VLOOKUP($A378,[3]库存使用数据!$A:$I,9,0),0)+IFERROR(VLOOKUP($A378,[4]库存使用数据!$A:$I,9,0),0)+IFERROR(VLOOKUP($A378,[5]库存使用数据!$A:$I,9,0),0)</f>
        <v>8</v>
      </c>
      <c r="J378" s="1">
        <f ca="1">IFERROR(VLOOKUP($A378,[1]库存使用数据!$A:$J,10,0),0)+IFERROR(VLOOKUP($A378,[2]库存使用数据!$A:$J,10,0),0)+公式!$B$14*IFERROR(VLOOKUP($A378,[3]库存使用数据!$A:$J,10,0),0)+IFERROR(VLOOKUP($A378,[4]库存使用数据!$A:$J,10,0),0)+IFERROR(VLOOKUP($A378,[5]库存使用数据!$A:$J,10,0),0)</f>
        <v>0</v>
      </c>
      <c r="K378" s="1">
        <f ca="1">IFERROR(VLOOKUP($A378,[1]库存使用数据!$A:$K,11,0),0)+IFERROR(VLOOKUP($A378,[2]库存使用数据!$A:$K,11,0),0)+IFERROR(VLOOKUP($A378,[3]库存使用数据!$A:$K,11,0),0)+IFERROR(VLOOKUP($A378,[4]库存使用数据!$A:$K,11,0),0)+IFERROR(VLOOKUP($A378,[5]库存使用数据!$A:$K,11,0),0)</f>
        <v>15689</v>
      </c>
      <c r="L378" s="1">
        <f ca="1">IFERROR(VLOOKUP($A378,[1]库存使用数据!$A:$L,12,0),0)+IFERROR(VLOOKUP($A378,[2]库存使用数据!$A:$L,12,0),0)+IFERROR(VLOOKUP($A378,[3]库存使用数据!$A:$L,12,0),0)+IFERROR(VLOOKUP($A378,[4]库存使用数据!$A:$L,12,0),0)+IFERROR(VLOOKUP($A378,[5]库存使用数据!$A:$L,12,0),0)</f>
        <v>22</v>
      </c>
      <c r="M378" s="1">
        <f ca="1">IFERROR(VLOOKUP($A378,[1]库存使用数据!$A:$M,13,0),0)+IFERROR(VLOOKUP($A378,[2]库存使用数据!$A:$M,13,0),0)+公式!$B$14*IFERROR(VLOOKUP($A378,[3]库存使用数据!$A:$M,13,0),0)+IFERROR(VLOOKUP($A378,[4]库存使用数据!$A:$M,13,0),0)+IFERROR(VLOOKUP($A378,[5]库存使用数据!$A:$M,13,0),0)</f>
        <v>0.3</v>
      </c>
    </row>
    <row r="379" spans="1:13">
      <c r="A379" s="6" t="s">
        <v>384</v>
      </c>
      <c r="B379" s="2">
        <f ca="1">IFERROR(VLOOKUP(A379,[1]库存使用数据!$A:$B,2,0),0)+IFERROR(VLOOKUP(A379,[2]库存使用数据!$A:$B,2,0),0)+IFERROR(VLOOKUP(,[3]库存使用数据!$A:$B,2,0),0)+IFERROR(VLOOKUP(A379,[4]库存使用数据!$A:$B,2,0),0)+IFERROR(VLOOKUP(A379,[5]库存使用数据!$A:$B,2,0),0)</f>
        <v>0</v>
      </c>
      <c r="C379" s="1">
        <f ca="1">IFERROR(VLOOKUP($A379,[1]库存使用数据!$A:$C,3,0),0)+IFERROR(VLOOKUP($A379,[2]库存使用数据!$A:$C,3,0),0)+IFERROR(VLOOKUP($A379,[3]库存使用数据!$A:$C,3,0),0)+IFERROR(VLOOKUP($A379,[4]库存使用数据!$A:$C,3,0),0)+IFERROR(VLOOKUP($A379,[5]库存使用数据!$A:$C,3,0),0)</f>
        <v>7</v>
      </c>
      <c r="D379" s="1">
        <f ca="1">IFERROR(VLOOKUP($A379,[1]库存使用数据!$A:$D,4,0),0)+IFERROR(VLOOKUP($A379,[2]库存使用数据!$A:$D,4,0),0)+公式!$B$1*IFERROR(VLOOKUP($A379,[3]库存使用数据!$A:$D,4,0),0)+IFERROR(VLOOKUP($A379,[4]库存使用数据!$A:$D,4,0),0)+IFERROR(VLOOKUP($A379,[5]库存使用数据!$A:$D,4,0),0)</f>
        <v>1.02375</v>
      </c>
      <c r="E379" s="1">
        <f ca="1">IFERROR(VLOOKUP($A379,[1]库存使用数据!$A:$E,5,0),0)+IFERROR(VLOOKUP($A379,[2]库存使用数据!$A:$E,5,0),0)+IFERROR(VLOOKUP($A379,[3]库存使用数据!$A:$E,5,0),0)+IFERROR(VLOOKUP($A379,[4]库存使用数据!$A:$E,5,0),0)+IFERROR(VLOOKUP($A379,[5]库存使用数据!$A:$E,5,0),0)</f>
        <v>3160</v>
      </c>
      <c r="F379" s="1">
        <f ca="1">IFERROR(VLOOKUP($A379,[1]库存使用数据!$A:$F,6,0),0)+IFERROR(VLOOKUP($A379,[2]库存使用数据!$A:$F,6,0),0)+IFERROR(VLOOKUP($A379,[4]库存使用数据!$A:$F,6,0),0)+IFERROR(VLOOKUP($A379,[3]库存使用数据!$A:$F,6,0),0)+IFERROR(VLOOKUP($A379,[5]库存使用数据!$A:$F,6,0),0)</f>
        <v>8</v>
      </c>
      <c r="G379" s="1">
        <f ca="1">IFERROR(VLOOKUP($A379,[1]库存使用数据!$A:$G,7,0),0)+IFERROR(VLOOKUP($A379,[2]库存使用数据!$A:$G,7,0),0)+公式!$B$14*IFERROR(VLOOKUP($A379,[3]库存使用数据!$A:$G,7,0),0)+IFERROR(VLOOKUP($A379,[4]库存使用数据!$A:$G,7,0),0)+IFERROR(VLOOKUP($A379,[5]库存使用数据!$A:$G,7,0),0)</f>
        <v>0.16</v>
      </c>
      <c r="H379" s="1">
        <f ca="1">IFERROR(VLOOKUP($A379,[1]库存使用数据!$A:$H,8,0),0)+IFERROR(VLOOKUP($A379,[2]库存使用数据!$A:$H,8,0),0)+IFERROR(VLOOKUP($A379,[3]库存使用数据!$A:$H,8,0),0)+IFERROR(VLOOKUP($A379,[4]库存使用数据!$A:$H,8,0),0)+IFERROR(VLOOKUP($A379,[5]库存使用数据!$A:$H,8,0),0)</f>
        <v>1414</v>
      </c>
      <c r="I379" s="1">
        <f ca="1">IFERROR(VLOOKUP($A379,[1]库存使用数据!$A:$I,9,0),0)+IFERROR(VLOOKUP($A379,[2]库存使用数据!$A:$I,9,0),0)+IFERROR(VLOOKUP($A379,[3]库存使用数据!$A:$I,9,0),0)+IFERROR(VLOOKUP($A379,[4]库存使用数据!$A:$I,9,0),0)+IFERROR(VLOOKUP($A379,[5]库存使用数据!$A:$I,9,0),0)</f>
        <v>4</v>
      </c>
      <c r="J379" s="1">
        <f ca="1">IFERROR(VLOOKUP($A379,[1]库存使用数据!$A:$J,10,0),0)+IFERROR(VLOOKUP($A379,[2]库存使用数据!$A:$J,10,0),0)+公式!$B$14*IFERROR(VLOOKUP($A379,[3]库存使用数据!$A:$J,10,0),0)+IFERROR(VLOOKUP($A379,[4]库存使用数据!$A:$J,10,0),0)+IFERROR(VLOOKUP($A379,[5]库存使用数据!$A:$J,10,0),0)</f>
        <v>0.15</v>
      </c>
      <c r="K379" s="1">
        <f ca="1">IFERROR(VLOOKUP($A379,[1]库存使用数据!$A:$K,11,0),0)+IFERROR(VLOOKUP($A379,[2]库存使用数据!$A:$K,11,0),0)+IFERROR(VLOOKUP($A379,[3]库存使用数据!$A:$K,11,0),0)+IFERROR(VLOOKUP($A379,[4]库存使用数据!$A:$K,11,0),0)+IFERROR(VLOOKUP($A379,[5]库存使用数据!$A:$K,11,0),0)</f>
        <v>1603</v>
      </c>
      <c r="L379" s="1">
        <f ca="1">IFERROR(VLOOKUP($A379,[1]库存使用数据!$A:$L,12,0),0)+IFERROR(VLOOKUP($A379,[2]库存使用数据!$A:$L,12,0),0)+IFERROR(VLOOKUP($A379,[3]库存使用数据!$A:$L,12,0),0)+IFERROR(VLOOKUP($A379,[4]库存使用数据!$A:$L,12,0),0)+IFERROR(VLOOKUP($A379,[5]库存使用数据!$A:$L,12,0),0)</f>
        <v>7</v>
      </c>
      <c r="M379" s="1">
        <f ca="1">IFERROR(VLOOKUP($A379,[1]库存使用数据!$A:$M,13,0),0)+IFERROR(VLOOKUP($A379,[2]库存使用数据!$A:$M,13,0),0)+公式!$B$14*IFERROR(VLOOKUP($A379,[3]库存使用数据!$A:$M,13,0),0)+IFERROR(VLOOKUP($A379,[4]库存使用数据!$A:$M,13,0),0)+IFERROR(VLOOKUP($A379,[5]库存使用数据!$A:$M,13,0),0)</f>
        <v>0</v>
      </c>
    </row>
    <row r="380" spans="1:13">
      <c r="A380" s="6" t="s">
        <v>385</v>
      </c>
      <c r="B380" s="2">
        <f ca="1">IFERROR(VLOOKUP(A380,[1]库存使用数据!$A:$B,2,0),0)+IFERROR(VLOOKUP(A380,[2]库存使用数据!$A:$B,2,0),0)+IFERROR(VLOOKUP(,[3]库存使用数据!$A:$B,2,0),0)+IFERROR(VLOOKUP(A380,[4]库存使用数据!$A:$B,2,0),0)+IFERROR(VLOOKUP(A380,[5]库存使用数据!$A:$B,2,0),0)</f>
        <v>0</v>
      </c>
      <c r="C380" s="1">
        <f ca="1">IFERROR(VLOOKUP($A380,[1]库存使用数据!$A:$C,3,0),0)+IFERROR(VLOOKUP($A380,[2]库存使用数据!$A:$C,3,0),0)+IFERROR(VLOOKUP($A380,[3]库存使用数据!$A:$C,3,0),0)+IFERROR(VLOOKUP($A380,[4]库存使用数据!$A:$C,3,0),0)+IFERROR(VLOOKUP($A380,[5]库存使用数据!$A:$C,3,0),0)</f>
        <v>0</v>
      </c>
      <c r="D380" s="1">
        <f ca="1">IFERROR(VLOOKUP($A380,[1]库存使用数据!$A:$D,4,0),0)+IFERROR(VLOOKUP($A380,[2]库存使用数据!$A:$D,4,0),0)+公式!$B$1*IFERROR(VLOOKUP($A380,[3]库存使用数据!$A:$D,4,0),0)+IFERROR(VLOOKUP($A380,[4]库存使用数据!$A:$D,4,0),0)+IFERROR(VLOOKUP($A380,[5]库存使用数据!$A:$D,4,0),0)</f>
        <v>0</v>
      </c>
      <c r="E380" s="1">
        <f ca="1">IFERROR(VLOOKUP($A380,[1]库存使用数据!$A:$E,5,0),0)+IFERROR(VLOOKUP($A380,[2]库存使用数据!$A:$E,5,0),0)+IFERROR(VLOOKUP($A380,[3]库存使用数据!$A:$E,5,0),0)+IFERROR(VLOOKUP($A380,[4]库存使用数据!$A:$E,5,0),0)+IFERROR(VLOOKUP($A380,[5]库存使用数据!$A:$E,5,0),0)</f>
        <v>0</v>
      </c>
      <c r="F380" s="1">
        <f ca="1">IFERROR(VLOOKUP($A380,[1]库存使用数据!$A:$F,6,0),0)+IFERROR(VLOOKUP($A380,[2]库存使用数据!$A:$F,6,0),0)+IFERROR(VLOOKUP($A380,[4]库存使用数据!$A:$F,6,0),0)+IFERROR(VLOOKUP($A380,[3]库存使用数据!$A:$F,6,0),0)+IFERROR(VLOOKUP($A380,[5]库存使用数据!$A:$F,6,0),0)</f>
        <v>0</v>
      </c>
      <c r="G380" s="1">
        <f ca="1">IFERROR(VLOOKUP($A380,[1]库存使用数据!$A:$G,7,0),0)+IFERROR(VLOOKUP($A380,[2]库存使用数据!$A:$G,7,0),0)+公式!$B$14*IFERROR(VLOOKUP($A380,[3]库存使用数据!$A:$G,7,0),0)+IFERROR(VLOOKUP($A380,[4]库存使用数据!$A:$G,7,0),0)+IFERROR(VLOOKUP($A380,[5]库存使用数据!$A:$G,7,0),0)</f>
        <v>0</v>
      </c>
      <c r="H380" s="1">
        <f ca="1">IFERROR(VLOOKUP($A380,[1]库存使用数据!$A:$H,8,0),0)+IFERROR(VLOOKUP($A380,[2]库存使用数据!$A:$H,8,0),0)+IFERROR(VLOOKUP($A380,[3]库存使用数据!$A:$H,8,0),0)+IFERROR(VLOOKUP($A380,[4]库存使用数据!$A:$H,8,0),0)+IFERROR(VLOOKUP($A380,[5]库存使用数据!$A:$H,8,0),0)</f>
        <v>116</v>
      </c>
      <c r="I380" s="1">
        <f ca="1">IFERROR(VLOOKUP($A380,[1]库存使用数据!$A:$I,9,0),0)+IFERROR(VLOOKUP($A380,[2]库存使用数据!$A:$I,9,0),0)+IFERROR(VLOOKUP($A380,[3]库存使用数据!$A:$I,9,0),0)+IFERROR(VLOOKUP($A380,[4]库存使用数据!$A:$I,9,0),0)+IFERROR(VLOOKUP($A380,[5]库存使用数据!$A:$I,9,0),0)</f>
        <v>1</v>
      </c>
      <c r="J380" s="1">
        <f ca="1">IFERROR(VLOOKUP($A380,[1]库存使用数据!$A:$J,10,0),0)+IFERROR(VLOOKUP($A380,[2]库存使用数据!$A:$J,10,0),0)+公式!$B$14*IFERROR(VLOOKUP($A380,[3]库存使用数据!$A:$J,10,0),0)+IFERROR(VLOOKUP($A380,[4]库存使用数据!$A:$J,10,0),0)+IFERROR(VLOOKUP($A380,[5]库存使用数据!$A:$J,10,0),0)</f>
        <v>0</v>
      </c>
      <c r="K380" s="1">
        <f ca="1">IFERROR(VLOOKUP($A380,[1]库存使用数据!$A:$K,11,0),0)+IFERROR(VLOOKUP($A380,[2]库存使用数据!$A:$K,11,0),0)+IFERROR(VLOOKUP($A380,[3]库存使用数据!$A:$K,11,0),0)+IFERROR(VLOOKUP($A380,[4]库存使用数据!$A:$K,11,0),0)+IFERROR(VLOOKUP($A380,[5]库存使用数据!$A:$K,11,0),0)</f>
        <v>3229</v>
      </c>
      <c r="L380" s="1">
        <f ca="1">IFERROR(VLOOKUP($A380,[1]库存使用数据!$A:$L,12,0),0)+IFERROR(VLOOKUP($A380,[2]库存使用数据!$A:$L,12,0),0)+IFERROR(VLOOKUP($A380,[3]库存使用数据!$A:$L,12,0),0)+IFERROR(VLOOKUP($A380,[4]库存使用数据!$A:$L,12,0),0)+IFERROR(VLOOKUP($A380,[5]库存使用数据!$A:$L,12,0),0)</f>
        <v>34</v>
      </c>
      <c r="M380" s="1">
        <f ca="1">IFERROR(VLOOKUP($A380,[1]库存使用数据!$A:$M,13,0),0)+IFERROR(VLOOKUP($A380,[2]库存使用数据!$A:$M,13,0),0)+公式!$B$14*IFERROR(VLOOKUP($A380,[3]库存使用数据!$A:$M,13,0),0)+IFERROR(VLOOKUP($A380,[4]库存使用数据!$A:$M,13,0),0)+IFERROR(VLOOKUP($A380,[5]库存使用数据!$A:$M,13,0),0)</f>
        <v>0</v>
      </c>
    </row>
    <row r="381" spans="1:13">
      <c r="A381" s="6" t="s">
        <v>386</v>
      </c>
      <c r="B381" s="2">
        <f ca="1">IFERROR(VLOOKUP(A381,[1]库存使用数据!$A:$B,2,0),0)+IFERROR(VLOOKUP(A381,[2]库存使用数据!$A:$B,2,0),0)+IFERROR(VLOOKUP(,[3]库存使用数据!$A:$B,2,0),0)+IFERROR(VLOOKUP(A381,[4]库存使用数据!$A:$B,2,0),0)+IFERROR(VLOOKUP(A381,[5]库存使用数据!$A:$B,2,0),0)</f>
        <v>0</v>
      </c>
      <c r="C381" s="1">
        <f ca="1">IFERROR(VLOOKUP($A381,[1]库存使用数据!$A:$C,3,0),0)+IFERROR(VLOOKUP($A381,[2]库存使用数据!$A:$C,3,0),0)+IFERROR(VLOOKUP($A381,[3]库存使用数据!$A:$C,3,0),0)+IFERROR(VLOOKUP($A381,[4]库存使用数据!$A:$C,3,0),0)+IFERROR(VLOOKUP($A381,[5]库存使用数据!$A:$C,3,0),0)</f>
        <v>0</v>
      </c>
      <c r="D381" s="1">
        <f ca="1">IFERROR(VLOOKUP($A381,[1]库存使用数据!$A:$D,4,0),0)+IFERROR(VLOOKUP($A381,[2]库存使用数据!$A:$D,4,0),0)+公式!$B$1*IFERROR(VLOOKUP($A381,[3]库存使用数据!$A:$D,4,0),0)+IFERROR(VLOOKUP($A381,[4]库存使用数据!$A:$D,4,0),0)+IFERROR(VLOOKUP($A381,[5]库存使用数据!$A:$D,4,0),0)</f>
        <v>0</v>
      </c>
      <c r="E381" s="1">
        <f ca="1">IFERROR(VLOOKUP($A381,[1]库存使用数据!$A:$E,5,0),0)+IFERROR(VLOOKUP($A381,[2]库存使用数据!$A:$E,5,0),0)+IFERROR(VLOOKUP($A381,[3]库存使用数据!$A:$E,5,0),0)+IFERROR(VLOOKUP($A381,[4]库存使用数据!$A:$E,5,0),0)+IFERROR(VLOOKUP($A381,[5]库存使用数据!$A:$E,5,0),0)</f>
        <v>0</v>
      </c>
      <c r="F381" s="1">
        <f ca="1">IFERROR(VLOOKUP($A381,[1]库存使用数据!$A:$F,6,0),0)+IFERROR(VLOOKUP($A381,[2]库存使用数据!$A:$F,6,0),0)+IFERROR(VLOOKUP($A381,[4]库存使用数据!$A:$F,6,0),0)+IFERROR(VLOOKUP($A381,[3]库存使用数据!$A:$F,6,0),0)+IFERROR(VLOOKUP($A381,[5]库存使用数据!$A:$F,6,0),0)</f>
        <v>0</v>
      </c>
      <c r="G381" s="1">
        <f ca="1">IFERROR(VLOOKUP($A381,[1]库存使用数据!$A:$G,7,0),0)+IFERROR(VLOOKUP($A381,[2]库存使用数据!$A:$G,7,0),0)+公式!$B$14*IFERROR(VLOOKUP($A381,[3]库存使用数据!$A:$G,7,0),0)+IFERROR(VLOOKUP($A381,[4]库存使用数据!$A:$G,7,0),0)+IFERROR(VLOOKUP($A381,[5]库存使用数据!$A:$G,7,0),0)</f>
        <v>0</v>
      </c>
      <c r="H381" s="1">
        <f ca="1">IFERROR(VLOOKUP($A381,[1]库存使用数据!$A:$H,8,0),0)+IFERROR(VLOOKUP($A381,[2]库存使用数据!$A:$H,8,0),0)+IFERROR(VLOOKUP($A381,[3]库存使用数据!$A:$H,8,0),0)+IFERROR(VLOOKUP($A381,[4]库存使用数据!$A:$H,8,0),0)+IFERROR(VLOOKUP($A381,[5]库存使用数据!$A:$H,8,0),0)</f>
        <v>11063</v>
      </c>
      <c r="I381" s="1">
        <f ca="1">IFERROR(VLOOKUP($A381,[1]库存使用数据!$A:$I,9,0),0)+IFERROR(VLOOKUP($A381,[2]库存使用数据!$A:$I,9,0),0)+IFERROR(VLOOKUP($A381,[3]库存使用数据!$A:$I,9,0),0)+IFERROR(VLOOKUP($A381,[4]库存使用数据!$A:$I,9,0),0)+IFERROR(VLOOKUP($A381,[5]库存使用数据!$A:$I,9,0),0)</f>
        <v>135</v>
      </c>
      <c r="J381" s="1">
        <f ca="1">IFERROR(VLOOKUP($A381,[1]库存使用数据!$A:$J,10,0),0)+IFERROR(VLOOKUP($A381,[2]库存使用数据!$A:$J,10,0),0)+公式!$B$14*IFERROR(VLOOKUP($A381,[3]库存使用数据!$A:$J,10,0),0)+IFERROR(VLOOKUP($A381,[4]库存使用数据!$A:$J,10,0),0)+IFERROR(VLOOKUP($A381,[5]库存使用数据!$A:$J,10,0),0)</f>
        <v>0</v>
      </c>
      <c r="K381" s="1">
        <f ca="1">IFERROR(VLOOKUP($A381,[1]库存使用数据!$A:$K,11,0),0)+IFERROR(VLOOKUP($A381,[2]库存使用数据!$A:$K,11,0),0)+IFERROR(VLOOKUP($A381,[3]库存使用数据!$A:$K,11,0),0)+IFERROR(VLOOKUP($A381,[4]库存使用数据!$A:$K,11,0),0)+IFERROR(VLOOKUP($A381,[5]库存使用数据!$A:$K,11,0),0)</f>
        <v>3763</v>
      </c>
      <c r="L381" s="1">
        <f ca="1">IFERROR(VLOOKUP($A381,[1]库存使用数据!$A:$L,12,0),0)+IFERROR(VLOOKUP($A381,[2]库存使用数据!$A:$L,12,0),0)+IFERROR(VLOOKUP($A381,[3]库存使用数据!$A:$L,12,0),0)+IFERROR(VLOOKUP($A381,[4]库存使用数据!$A:$L,12,0),0)+IFERROR(VLOOKUP($A381,[5]库存使用数据!$A:$L,12,0),0)</f>
        <v>78</v>
      </c>
      <c r="M381" s="1">
        <f ca="1">IFERROR(VLOOKUP($A381,[1]库存使用数据!$A:$M,13,0),0)+IFERROR(VLOOKUP($A381,[2]库存使用数据!$A:$M,13,0),0)+公式!$B$14*IFERROR(VLOOKUP($A381,[3]库存使用数据!$A:$M,13,0),0)+IFERROR(VLOOKUP($A381,[4]库存使用数据!$A:$M,13,0),0)+IFERROR(VLOOKUP($A381,[5]库存使用数据!$A:$M,13,0),0)</f>
        <v>0</v>
      </c>
    </row>
    <row r="382" spans="1:13">
      <c r="A382" s="6" t="s">
        <v>387</v>
      </c>
      <c r="B382" s="2">
        <f ca="1">IFERROR(VLOOKUP(A382,[1]库存使用数据!$A:$B,2,0),0)+IFERROR(VLOOKUP(A382,[2]库存使用数据!$A:$B,2,0),0)+IFERROR(VLOOKUP(,[3]库存使用数据!$A:$B,2,0),0)+IFERROR(VLOOKUP(A382,[4]库存使用数据!$A:$B,2,0),0)+IFERROR(VLOOKUP(A382,[5]库存使用数据!$A:$B,2,0),0)</f>
        <v>0</v>
      </c>
      <c r="C382" s="1">
        <f ca="1">IFERROR(VLOOKUP($A382,[1]库存使用数据!$A:$C,3,0),0)+IFERROR(VLOOKUP($A382,[2]库存使用数据!$A:$C,3,0),0)+IFERROR(VLOOKUP($A382,[3]库存使用数据!$A:$C,3,0),0)+IFERROR(VLOOKUP($A382,[4]库存使用数据!$A:$C,3,0),0)+IFERROR(VLOOKUP($A382,[5]库存使用数据!$A:$C,3,0),0)</f>
        <v>0</v>
      </c>
      <c r="D382" s="1">
        <f ca="1">IFERROR(VLOOKUP($A382,[1]库存使用数据!$A:$D,4,0),0)+IFERROR(VLOOKUP($A382,[2]库存使用数据!$A:$D,4,0),0)+公式!$B$1*IFERROR(VLOOKUP($A382,[3]库存使用数据!$A:$D,4,0),0)+IFERROR(VLOOKUP($A382,[4]库存使用数据!$A:$D,4,0),0)+IFERROR(VLOOKUP($A382,[5]库存使用数据!$A:$D,4,0),0)</f>
        <v>0</v>
      </c>
      <c r="E382" s="1">
        <f ca="1">IFERROR(VLOOKUP($A382,[1]库存使用数据!$A:$E,5,0),0)+IFERROR(VLOOKUP($A382,[2]库存使用数据!$A:$E,5,0),0)+IFERROR(VLOOKUP($A382,[3]库存使用数据!$A:$E,5,0),0)+IFERROR(VLOOKUP($A382,[4]库存使用数据!$A:$E,5,0),0)+IFERROR(VLOOKUP($A382,[5]库存使用数据!$A:$E,5,0),0)</f>
        <v>95</v>
      </c>
      <c r="F382" s="1">
        <f ca="1">IFERROR(VLOOKUP($A382,[1]库存使用数据!$A:$F,6,0),0)+IFERROR(VLOOKUP($A382,[2]库存使用数据!$A:$F,6,0),0)+IFERROR(VLOOKUP($A382,[4]库存使用数据!$A:$F,6,0),0)+IFERROR(VLOOKUP($A382,[3]库存使用数据!$A:$F,6,0),0)+IFERROR(VLOOKUP($A382,[5]库存使用数据!$A:$F,6,0),0)</f>
        <v>0</v>
      </c>
      <c r="G382" s="1">
        <f ca="1">IFERROR(VLOOKUP($A382,[1]库存使用数据!$A:$G,7,0),0)+IFERROR(VLOOKUP($A382,[2]库存使用数据!$A:$G,7,0),0)+公式!$B$14*IFERROR(VLOOKUP($A382,[3]库存使用数据!$A:$G,7,0),0)+IFERROR(VLOOKUP($A382,[4]库存使用数据!$A:$G,7,0),0)+IFERROR(VLOOKUP($A382,[5]库存使用数据!$A:$G,7,0),0)</f>
        <v>0</v>
      </c>
      <c r="H382" s="1">
        <f ca="1">IFERROR(VLOOKUP($A382,[1]库存使用数据!$A:$H,8,0),0)+IFERROR(VLOOKUP($A382,[2]库存使用数据!$A:$H,8,0),0)+IFERROR(VLOOKUP($A382,[3]库存使用数据!$A:$H,8,0),0)+IFERROR(VLOOKUP($A382,[4]库存使用数据!$A:$H,8,0),0)+IFERROR(VLOOKUP($A382,[5]库存使用数据!$A:$H,8,0),0)</f>
        <v>84</v>
      </c>
      <c r="I382" s="1">
        <f ca="1">IFERROR(VLOOKUP($A382,[1]库存使用数据!$A:$I,9,0),0)+IFERROR(VLOOKUP($A382,[2]库存使用数据!$A:$I,9,0),0)+IFERROR(VLOOKUP($A382,[3]库存使用数据!$A:$I,9,0),0)+IFERROR(VLOOKUP($A382,[4]库存使用数据!$A:$I,9,0),0)+IFERROR(VLOOKUP($A382,[5]库存使用数据!$A:$I,9,0),0)</f>
        <v>0</v>
      </c>
      <c r="J382" s="1">
        <f ca="1">IFERROR(VLOOKUP($A382,[1]库存使用数据!$A:$J,10,0),0)+IFERROR(VLOOKUP($A382,[2]库存使用数据!$A:$J,10,0),0)+公式!$B$14*IFERROR(VLOOKUP($A382,[3]库存使用数据!$A:$J,10,0),0)+IFERROR(VLOOKUP($A382,[4]库存使用数据!$A:$J,10,0),0)+IFERROR(VLOOKUP($A382,[5]库存使用数据!$A:$J,10,0),0)</f>
        <v>0</v>
      </c>
      <c r="K382" s="1">
        <f ca="1">IFERROR(VLOOKUP($A382,[1]库存使用数据!$A:$K,11,0),0)+IFERROR(VLOOKUP($A382,[2]库存使用数据!$A:$K,11,0),0)+IFERROR(VLOOKUP($A382,[3]库存使用数据!$A:$K,11,0),0)+IFERROR(VLOOKUP($A382,[4]库存使用数据!$A:$K,11,0),0)+IFERROR(VLOOKUP($A382,[5]库存使用数据!$A:$K,11,0),0)</f>
        <v>107</v>
      </c>
      <c r="L382" s="1">
        <f ca="1">IFERROR(VLOOKUP($A382,[1]库存使用数据!$A:$L,12,0),0)+IFERROR(VLOOKUP($A382,[2]库存使用数据!$A:$L,12,0),0)+IFERROR(VLOOKUP($A382,[3]库存使用数据!$A:$L,12,0),0)+IFERROR(VLOOKUP($A382,[4]库存使用数据!$A:$L,12,0),0)+IFERROR(VLOOKUP($A382,[5]库存使用数据!$A:$L,12,0),0)</f>
        <v>0</v>
      </c>
      <c r="M382" s="1">
        <f ca="1">IFERROR(VLOOKUP($A382,[1]库存使用数据!$A:$M,13,0),0)+IFERROR(VLOOKUP($A382,[2]库存使用数据!$A:$M,13,0),0)+公式!$B$14*IFERROR(VLOOKUP($A382,[3]库存使用数据!$A:$M,13,0),0)+IFERROR(VLOOKUP($A382,[4]库存使用数据!$A:$M,13,0),0)+IFERROR(VLOOKUP($A382,[5]库存使用数据!$A:$M,13,0),0)</f>
        <v>0</v>
      </c>
    </row>
    <row r="383" spans="1:13">
      <c r="A383" s="6" t="s">
        <v>388</v>
      </c>
      <c r="B383" s="2">
        <f ca="1">IFERROR(VLOOKUP(A383,[1]库存使用数据!$A:$B,2,0),0)+IFERROR(VLOOKUP(A383,[2]库存使用数据!$A:$B,2,0),0)+IFERROR(VLOOKUP(,[3]库存使用数据!$A:$B,2,0),0)+IFERROR(VLOOKUP(A383,[4]库存使用数据!$A:$B,2,0),0)+IFERROR(VLOOKUP(A383,[5]库存使用数据!$A:$B,2,0),0)</f>
        <v>0</v>
      </c>
      <c r="C383" s="1">
        <f ca="1">IFERROR(VLOOKUP($A383,[1]库存使用数据!$A:$C,3,0),0)+IFERROR(VLOOKUP($A383,[2]库存使用数据!$A:$C,3,0),0)+IFERROR(VLOOKUP($A383,[3]库存使用数据!$A:$C,3,0),0)+IFERROR(VLOOKUP($A383,[4]库存使用数据!$A:$C,3,0),0)+IFERROR(VLOOKUP($A383,[5]库存使用数据!$A:$C,3,0),0)</f>
        <v>0</v>
      </c>
      <c r="D383" s="1">
        <f ca="1">IFERROR(VLOOKUP($A383,[1]库存使用数据!$A:$D,4,0),0)+IFERROR(VLOOKUP($A383,[2]库存使用数据!$A:$D,4,0),0)+公式!$B$1*IFERROR(VLOOKUP($A383,[3]库存使用数据!$A:$D,4,0),0)+IFERROR(VLOOKUP($A383,[4]库存使用数据!$A:$D,4,0),0)+IFERROR(VLOOKUP($A383,[5]库存使用数据!$A:$D,4,0),0)</f>
        <v>0</v>
      </c>
      <c r="E383" s="1">
        <f ca="1">IFERROR(VLOOKUP($A383,[1]库存使用数据!$A:$E,5,0),0)+IFERROR(VLOOKUP($A383,[2]库存使用数据!$A:$E,5,0),0)+IFERROR(VLOOKUP($A383,[3]库存使用数据!$A:$E,5,0),0)+IFERROR(VLOOKUP($A383,[4]库存使用数据!$A:$E,5,0),0)+IFERROR(VLOOKUP($A383,[5]库存使用数据!$A:$E,5,0),0)</f>
        <v>132</v>
      </c>
      <c r="F383" s="1">
        <f ca="1">IFERROR(VLOOKUP($A383,[1]库存使用数据!$A:$F,6,0),0)+IFERROR(VLOOKUP($A383,[2]库存使用数据!$A:$F,6,0),0)+IFERROR(VLOOKUP($A383,[4]库存使用数据!$A:$F,6,0),0)+IFERROR(VLOOKUP($A383,[3]库存使用数据!$A:$F,6,0),0)+IFERROR(VLOOKUP($A383,[5]库存使用数据!$A:$F,6,0),0)</f>
        <v>2</v>
      </c>
      <c r="G383" s="1">
        <f ca="1">IFERROR(VLOOKUP($A383,[1]库存使用数据!$A:$G,7,0),0)+IFERROR(VLOOKUP($A383,[2]库存使用数据!$A:$G,7,0),0)+公式!$B$14*IFERROR(VLOOKUP($A383,[3]库存使用数据!$A:$G,7,0),0)+IFERROR(VLOOKUP($A383,[4]库存使用数据!$A:$G,7,0),0)+IFERROR(VLOOKUP($A383,[5]库存使用数据!$A:$G,7,0),0)</f>
        <v>0</v>
      </c>
      <c r="H383" s="1">
        <f ca="1">IFERROR(VLOOKUP($A383,[1]库存使用数据!$A:$H,8,0),0)+IFERROR(VLOOKUP($A383,[2]库存使用数据!$A:$H,8,0),0)+IFERROR(VLOOKUP($A383,[3]库存使用数据!$A:$H,8,0),0)+IFERROR(VLOOKUP($A383,[4]库存使用数据!$A:$H,8,0),0)+IFERROR(VLOOKUP($A383,[5]库存使用数据!$A:$H,8,0),0)</f>
        <v>77</v>
      </c>
      <c r="I383" s="1">
        <f ca="1">IFERROR(VLOOKUP($A383,[1]库存使用数据!$A:$I,9,0),0)+IFERROR(VLOOKUP($A383,[2]库存使用数据!$A:$I,9,0),0)+IFERROR(VLOOKUP($A383,[3]库存使用数据!$A:$I,9,0),0)+IFERROR(VLOOKUP($A383,[4]库存使用数据!$A:$I,9,0),0)+IFERROR(VLOOKUP($A383,[5]库存使用数据!$A:$I,9,0),0)</f>
        <v>1</v>
      </c>
      <c r="J383" s="1">
        <f ca="1">IFERROR(VLOOKUP($A383,[1]库存使用数据!$A:$J,10,0),0)+IFERROR(VLOOKUP($A383,[2]库存使用数据!$A:$J,10,0),0)+公式!$B$14*IFERROR(VLOOKUP($A383,[3]库存使用数据!$A:$J,10,0),0)+IFERROR(VLOOKUP($A383,[4]库存使用数据!$A:$J,10,0),0)+IFERROR(VLOOKUP($A383,[5]库存使用数据!$A:$J,10,0),0)</f>
        <v>0</v>
      </c>
      <c r="K383" s="1">
        <f ca="1">IFERROR(VLOOKUP($A383,[1]库存使用数据!$A:$K,11,0),0)+IFERROR(VLOOKUP($A383,[2]库存使用数据!$A:$K,11,0),0)+IFERROR(VLOOKUP($A383,[3]库存使用数据!$A:$K,11,0),0)+IFERROR(VLOOKUP($A383,[4]库存使用数据!$A:$K,11,0),0)+IFERROR(VLOOKUP($A383,[5]库存使用数据!$A:$K,11,0),0)</f>
        <v>74</v>
      </c>
      <c r="L383" s="1">
        <f ca="1">IFERROR(VLOOKUP($A383,[1]库存使用数据!$A:$L,12,0),0)+IFERROR(VLOOKUP($A383,[2]库存使用数据!$A:$L,12,0),0)+IFERROR(VLOOKUP($A383,[3]库存使用数据!$A:$L,12,0),0)+IFERROR(VLOOKUP($A383,[4]库存使用数据!$A:$L,12,0),0)+IFERROR(VLOOKUP($A383,[5]库存使用数据!$A:$L,12,0),0)</f>
        <v>0</v>
      </c>
      <c r="M383" s="1">
        <f ca="1">IFERROR(VLOOKUP($A383,[1]库存使用数据!$A:$M,13,0),0)+IFERROR(VLOOKUP($A383,[2]库存使用数据!$A:$M,13,0),0)+公式!$B$14*IFERROR(VLOOKUP($A383,[3]库存使用数据!$A:$M,13,0),0)+IFERROR(VLOOKUP($A383,[4]库存使用数据!$A:$M,13,0),0)+IFERROR(VLOOKUP($A383,[5]库存使用数据!$A:$M,13,0),0)</f>
        <v>0</v>
      </c>
    </row>
    <row r="384" spans="1:13">
      <c r="A384" s="6" t="s">
        <v>389</v>
      </c>
      <c r="B384" s="2">
        <f ca="1">IFERROR(VLOOKUP(A384,[1]库存使用数据!$A:$B,2,0),0)+IFERROR(VLOOKUP(A384,[2]库存使用数据!$A:$B,2,0),0)+IFERROR(VLOOKUP(,[3]库存使用数据!$A:$B,2,0),0)+IFERROR(VLOOKUP(A384,[4]库存使用数据!$A:$B,2,0),0)+IFERROR(VLOOKUP(A384,[5]库存使用数据!$A:$B,2,0),0)</f>
        <v>0</v>
      </c>
      <c r="C384" s="1">
        <f ca="1">IFERROR(VLOOKUP($A384,[1]库存使用数据!$A:$C,3,0),0)+IFERROR(VLOOKUP($A384,[2]库存使用数据!$A:$C,3,0),0)+IFERROR(VLOOKUP($A384,[3]库存使用数据!$A:$C,3,0),0)+IFERROR(VLOOKUP($A384,[4]库存使用数据!$A:$C,3,0),0)+IFERROR(VLOOKUP($A384,[5]库存使用数据!$A:$C,3,0),0)</f>
        <v>2</v>
      </c>
      <c r="D384" s="1">
        <f ca="1">IFERROR(VLOOKUP($A384,[1]库存使用数据!$A:$D,4,0),0)+IFERROR(VLOOKUP($A384,[2]库存使用数据!$A:$D,4,0),0)+公式!$B$1*IFERROR(VLOOKUP($A384,[3]库存使用数据!$A:$D,4,0),0)+IFERROR(VLOOKUP($A384,[4]库存使用数据!$A:$D,4,0),0)+IFERROR(VLOOKUP($A384,[5]库存使用数据!$A:$D,4,0),0)</f>
        <v>0.41625</v>
      </c>
      <c r="E384" s="1">
        <f ca="1">IFERROR(VLOOKUP($A384,[1]库存使用数据!$A:$E,5,0),0)+IFERROR(VLOOKUP($A384,[2]库存使用数据!$A:$E,5,0),0)+IFERROR(VLOOKUP($A384,[3]库存使用数据!$A:$E,5,0),0)+IFERROR(VLOOKUP($A384,[4]库存使用数据!$A:$E,5,0),0)+IFERROR(VLOOKUP($A384,[5]库存使用数据!$A:$E,5,0),0)</f>
        <v>134</v>
      </c>
      <c r="F384" s="1">
        <f ca="1">IFERROR(VLOOKUP($A384,[1]库存使用数据!$A:$F,6,0),0)+IFERROR(VLOOKUP($A384,[2]库存使用数据!$A:$F,6,0),0)+IFERROR(VLOOKUP($A384,[4]库存使用数据!$A:$F,6,0),0)+IFERROR(VLOOKUP($A384,[3]库存使用数据!$A:$F,6,0),0)+IFERROR(VLOOKUP($A384,[5]库存使用数据!$A:$F,6,0),0)</f>
        <v>1</v>
      </c>
      <c r="G384" s="1">
        <f ca="1">IFERROR(VLOOKUP($A384,[1]库存使用数据!$A:$G,7,0),0)+IFERROR(VLOOKUP($A384,[2]库存使用数据!$A:$G,7,0),0)+公式!$B$14*IFERROR(VLOOKUP($A384,[3]库存使用数据!$A:$G,7,0),0)+IFERROR(VLOOKUP($A384,[4]库存使用数据!$A:$G,7,0),0)+IFERROR(VLOOKUP($A384,[5]库存使用数据!$A:$G,7,0),0)</f>
        <v>0</v>
      </c>
      <c r="H384" s="1">
        <f ca="1">IFERROR(VLOOKUP($A384,[1]库存使用数据!$A:$H,8,0),0)+IFERROR(VLOOKUP($A384,[2]库存使用数据!$A:$H,8,0),0)+IFERROR(VLOOKUP($A384,[3]库存使用数据!$A:$H,8,0),0)+IFERROR(VLOOKUP($A384,[4]库存使用数据!$A:$H,8,0),0)+IFERROR(VLOOKUP($A384,[5]库存使用数据!$A:$H,8,0),0)</f>
        <v>32</v>
      </c>
      <c r="I384" s="1">
        <f ca="1">IFERROR(VLOOKUP($A384,[1]库存使用数据!$A:$I,9,0),0)+IFERROR(VLOOKUP($A384,[2]库存使用数据!$A:$I,9,0),0)+IFERROR(VLOOKUP($A384,[3]库存使用数据!$A:$I,9,0),0)+IFERROR(VLOOKUP($A384,[4]库存使用数据!$A:$I,9,0),0)+IFERROR(VLOOKUP($A384,[5]库存使用数据!$A:$I,9,0),0)</f>
        <v>0</v>
      </c>
      <c r="J384" s="1">
        <f ca="1">IFERROR(VLOOKUP($A384,[1]库存使用数据!$A:$J,10,0),0)+IFERROR(VLOOKUP($A384,[2]库存使用数据!$A:$J,10,0),0)+公式!$B$14*IFERROR(VLOOKUP($A384,[3]库存使用数据!$A:$J,10,0),0)+IFERROR(VLOOKUP($A384,[4]库存使用数据!$A:$J,10,0),0)+IFERROR(VLOOKUP($A384,[5]库存使用数据!$A:$J,10,0),0)</f>
        <v>0</v>
      </c>
      <c r="K384" s="1">
        <f ca="1">IFERROR(VLOOKUP($A384,[1]库存使用数据!$A:$K,11,0),0)+IFERROR(VLOOKUP($A384,[2]库存使用数据!$A:$K,11,0),0)+IFERROR(VLOOKUP($A384,[3]库存使用数据!$A:$K,11,0),0)+IFERROR(VLOOKUP($A384,[4]库存使用数据!$A:$K,11,0),0)+IFERROR(VLOOKUP($A384,[5]库存使用数据!$A:$K,11,0),0)</f>
        <v>33</v>
      </c>
      <c r="L384" s="1">
        <f ca="1">IFERROR(VLOOKUP($A384,[1]库存使用数据!$A:$L,12,0),0)+IFERROR(VLOOKUP($A384,[2]库存使用数据!$A:$L,12,0),0)+IFERROR(VLOOKUP($A384,[3]库存使用数据!$A:$L,12,0),0)+IFERROR(VLOOKUP($A384,[4]库存使用数据!$A:$L,12,0),0)+IFERROR(VLOOKUP($A384,[5]库存使用数据!$A:$L,12,0),0)</f>
        <v>1</v>
      </c>
      <c r="M384" s="1">
        <f ca="1">IFERROR(VLOOKUP($A384,[1]库存使用数据!$A:$M,13,0),0)+IFERROR(VLOOKUP($A384,[2]库存使用数据!$A:$M,13,0),0)+公式!$B$14*IFERROR(VLOOKUP($A384,[3]库存使用数据!$A:$M,13,0),0)+IFERROR(VLOOKUP($A384,[4]库存使用数据!$A:$M,13,0),0)+IFERROR(VLOOKUP($A384,[5]库存使用数据!$A:$M,13,0),0)</f>
        <v>0</v>
      </c>
    </row>
    <row r="385" spans="1:13">
      <c r="A385" s="6" t="s">
        <v>390</v>
      </c>
      <c r="B385" s="2">
        <f ca="1">IFERROR(VLOOKUP(A385,[1]库存使用数据!$A:$B,2,0),0)+IFERROR(VLOOKUP(A385,[2]库存使用数据!$A:$B,2,0),0)+IFERROR(VLOOKUP(,[3]库存使用数据!$A:$B,2,0),0)+IFERROR(VLOOKUP(A385,[4]库存使用数据!$A:$B,2,0),0)+IFERROR(VLOOKUP(A385,[5]库存使用数据!$A:$B,2,0),0)</f>
        <v>0</v>
      </c>
      <c r="C385" s="1">
        <f ca="1">IFERROR(VLOOKUP($A385,[1]库存使用数据!$A:$C,3,0),0)+IFERROR(VLOOKUP($A385,[2]库存使用数据!$A:$C,3,0),0)+IFERROR(VLOOKUP($A385,[3]库存使用数据!$A:$C,3,0),0)+IFERROR(VLOOKUP($A385,[4]库存使用数据!$A:$C,3,0),0)+IFERROR(VLOOKUP($A385,[5]库存使用数据!$A:$C,3,0),0)</f>
        <v>1</v>
      </c>
      <c r="D385" s="1">
        <f ca="1">IFERROR(VLOOKUP($A385,[1]库存使用数据!$A:$D,4,0),0)+IFERROR(VLOOKUP($A385,[2]库存使用数据!$A:$D,4,0),0)+公式!$B$1*IFERROR(VLOOKUP($A385,[3]库存使用数据!$A:$D,4,0),0)+IFERROR(VLOOKUP($A385,[4]库存使用数据!$A:$D,4,0),0)+IFERROR(VLOOKUP($A385,[5]库存使用数据!$A:$D,4,0),0)</f>
        <v>0.19125</v>
      </c>
      <c r="E385" s="1">
        <f ca="1">IFERROR(VLOOKUP($A385,[1]库存使用数据!$A:$E,5,0),0)+IFERROR(VLOOKUP($A385,[2]库存使用数据!$A:$E,5,0),0)+IFERROR(VLOOKUP($A385,[3]库存使用数据!$A:$E,5,0),0)+IFERROR(VLOOKUP($A385,[4]库存使用数据!$A:$E,5,0),0)+IFERROR(VLOOKUP($A385,[5]库存使用数据!$A:$E,5,0),0)</f>
        <v>79</v>
      </c>
      <c r="F385" s="1">
        <f ca="1">IFERROR(VLOOKUP($A385,[1]库存使用数据!$A:$F,6,0),0)+IFERROR(VLOOKUP($A385,[2]库存使用数据!$A:$F,6,0),0)+IFERROR(VLOOKUP($A385,[4]库存使用数据!$A:$F,6,0),0)+IFERROR(VLOOKUP($A385,[3]库存使用数据!$A:$F,6,0),0)+IFERROR(VLOOKUP($A385,[5]库存使用数据!$A:$F,6,0),0)</f>
        <v>2</v>
      </c>
      <c r="G385" s="1">
        <f ca="1">IFERROR(VLOOKUP($A385,[1]库存使用数据!$A:$G,7,0),0)+IFERROR(VLOOKUP($A385,[2]库存使用数据!$A:$G,7,0),0)+公式!$B$14*IFERROR(VLOOKUP($A385,[3]库存使用数据!$A:$G,7,0),0)+IFERROR(VLOOKUP($A385,[4]库存使用数据!$A:$G,7,0),0)+IFERROR(VLOOKUP($A385,[5]库存使用数据!$A:$G,7,0),0)</f>
        <v>0</v>
      </c>
      <c r="H385" s="1">
        <f ca="1">IFERROR(VLOOKUP($A385,[1]库存使用数据!$A:$H,8,0),0)+IFERROR(VLOOKUP($A385,[2]库存使用数据!$A:$H,8,0),0)+IFERROR(VLOOKUP($A385,[3]库存使用数据!$A:$H,8,0),0)+IFERROR(VLOOKUP($A385,[4]库存使用数据!$A:$H,8,0),0)+IFERROR(VLOOKUP($A385,[5]库存使用数据!$A:$H,8,0),0)</f>
        <v>26</v>
      </c>
      <c r="I385" s="1">
        <f ca="1">IFERROR(VLOOKUP($A385,[1]库存使用数据!$A:$I,9,0),0)+IFERROR(VLOOKUP($A385,[2]库存使用数据!$A:$I,9,0),0)+IFERROR(VLOOKUP($A385,[3]库存使用数据!$A:$I,9,0),0)+IFERROR(VLOOKUP($A385,[4]库存使用数据!$A:$I,9,0),0)+IFERROR(VLOOKUP($A385,[5]库存使用数据!$A:$I,9,0),0)</f>
        <v>0</v>
      </c>
      <c r="J385" s="1">
        <f ca="1">IFERROR(VLOOKUP($A385,[1]库存使用数据!$A:$J,10,0),0)+IFERROR(VLOOKUP($A385,[2]库存使用数据!$A:$J,10,0),0)+公式!$B$14*IFERROR(VLOOKUP($A385,[3]库存使用数据!$A:$J,10,0),0)+IFERROR(VLOOKUP($A385,[4]库存使用数据!$A:$J,10,0),0)+IFERROR(VLOOKUP($A385,[5]库存使用数据!$A:$J,10,0),0)</f>
        <v>0</v>
      </c>
      <c r="K385" s="1">
        <f ca="1">IFERROR(VLOOKUP($A385,[1]库存使用数据!$A:$K,11,0),0)+IFERROR(VLOOKUP($A385,[2]库存使用数据!$A:$K,11,0),0)+IFERROR(VLOOKUP($A385,[3]库存使用数据!$A:$K,11,0),0)+IFERROR(VLOOKUP($A385,[4]库存使用数据!$A:$K,11,0),0)+IFERROR(VLOOKUP($A385,[5]库存使用数据!$A:$K,11,0),0)</f>
        <v>18</v>
      </c>
      <c r="L385" s="1">
        <f ca="1">IFERROR(VLOOKUP($A385,[1]库存使用数据!$A:$L,12,0),0)+IFERROR(VLOOKUP($A385,[2]库存使用数据!$A:$L,12,0),0)+IFERROR(VLOOKUP($A385,[3]库存使用数据!$A:$L,12,0),0)+IFERROR(VLOOKUP($A385,[4]库存使用数据!$A:$L,12,0),0)+IFERROR(VLOOKUP($A385,[5]库存使用数据!$A:$L,12,0),0)</f>
        <v>0</v>
      </c>
      <c r="M385" s="1">
        <f ca="1">IFERROR(VLOOKUP($A385,[1]库存使用数据!$A:$M,13,0),0)+IFERROR(VLOOKUP($A385,[2]库存使用数据!$A:$M,13,0),0)+公式!$B$14*IFERROR(VLOOKUP($A385,[3]库存使用数据!$A:$M,13,0),0)+IFERROR(VLOOKUP($A385,[4]库存使用数据!$A:$M,13,0),0)+IFERROR(VLOOKUP($A385,[5]库存使用数据!$A:$M,13,0),0)</f>
        <v>0</v>
      </c>
    </row>
    <row r="386" spans="1:13">
      <c r="A386" s="6" t="s">
        <v>391</v>
      </c>
      <c r="B386" s="2">
        <f ca="1">IFERROR(VLOOKUP(A386,[1]库存使用数据!$A:$B,2,0),0)+IFERROR(VLOOKUP(A386,[2]库存使用数据!$A:$B,2,0),0)+IFERROR(VLOOKUP(,[3]库存使用数据!$A:$B,2,0),0)+IFERROR(VLOOKUP(A386,[4]库存使用数据!$A:$B,2,0),0)+IFERROR(VLOOKUP(A386,[5]库存使用数据!$A:$B,2,0),0)</f>
        <v>0</v>
      </c>
      <c r="C386" s="1">
        <f ca="1">IFERROR(VLOOKUP($A386,[1]库存使用数据!$A:$C,3,0),0)+IFERROR(VLOOKUP($A386,[2]库存使用数据!$A:$C,3,0),0)+IFERROR(VLOOKUP($A386,[3]库存使用数据!$A:$C,3,0),0)+IFERROR(VLOOKUP($A386,[4]库存使用数据!$A:$C,3,0),0)+IFERROR(VLOOKUP($A386,[5]库存使用数据!$A:$C,3,0),0)</f>
        <v>1</v>
      </c>
      <c r="D386" s="1">
        <f ca="1">IFERROR(VLOOKUP($A386,[1]库存使用数据!$A:$D,4,0),0)+IFERROR(VLOOKUP($A386,[2]库存使用数据!$A:$D,4,0),0)+公式!$B$1*IFERROR(VLOOKUP($A386,[3]库存使用数据!$A:$D,4,0),0)+IFERROR(VLOOKUP($A386,[4]库存使用数据!$A:$D,4,0),0)+IFERROR(VLOOKUP($A386,[5]库存使用数据!$A:$D,4,0),0)</f>
        <v>0.10125</v>
      </c>
      <c r="E386" s="1">
        <f ca="1">IFERROR(VLOOKUP($A386,[1]库存使用数据!$A:$E,5,0),0)+IFERROR(VLOOKUP($A386,[2]库存使用数据!$A:$E,5,0),0)+IFERROR(VLOOKUP($A386,[3]库存使用数据!$A:$E,5,0),0)+IFERROR(VLOOKUP($A386,[4]库存使用数据!$A:$E,5,0),0)+IFERROR(VLOOKUP($A386,[5]库存使用数据!$A:$E,5,0),0)</f>
        <v>175</v>
      </c>
      <c r="F386" s="1">
        <f ca="1">IFERROR(VLOOKUP($A386,[1]库存使用数据!$A:$F,6,0),0)+IFERROR(VLOOKUP($A386,[2]库存使用数据!$A:$F,6,0),0)+IFERROR(VLOOKUP($A386,[4]库存使用数据!$A:$F,6,0),0)+IFERROR(VLOOKUP($A386,[3]库存使用数据!$A:$F,6,0),0)+IFERROR(VLOOKUP($A386,[5]库存使用数据!$A:$F,6,0),0)</f>
        <v>1</v>
      </c>
      <c r="G386" s="1">
        <f ca="1">IFERROR(VLOOKUP($A386,[1]库存使用数据!$A:$G,7,0),0)+IFERROR(VLOOKUP($A386,[2]库存使用数据!$A:$G,7,0),0)+公式!$B$14*IFERROR(VLOOKUP($A386,[3]库存使用数据!$A:$G,7,0),0)+IFERROR(VLOOKUP($A386,[4]库存使用数据!$A:$G,7,0),0)+IFERROR(VLOOKUP($A386,[5]库存使用数据!$A:$G,7,0),0)</f>
        <v>0</v>
      </c>
      <c r="H386" s="1">
        <f ca="1">IFERROR(VLOOKUP($A386,[1]库存使用数据!$A:$H,8,0),0)+IFERROR(VLOOKUP($A386,[2]库存使用数据!$A:$H,8,0),0)+IFERROR(VLOOKUP($A386,[3]库存使用数据!$A:$H,8,0),0)+IFERROR(VLOOKUP($A386,[4]库存使用数据!$A:$H,8,0),0)+IFERROR(VLOOKUP($A386,[5]库存使用数据!$A:$H,8,0),0)</f>
        <v>51</v>
      </c>
      <c r="I386" s="1">
        <f ca="1">IFERROR(VLOOKUP($A386,[1]库存使用数据!$A:$I,9,0),0)+IFERROR(VLOOKUP($A386,[2]库存使用数据!$A:$I,9,0),0)+IFERROR(VLOOKUP($A386,[3]库存使用数据!$A:$I,9,0),0)+IFERROR(VLOOKUP($A386,[4]库存使用数据!$A:$I,9,0),0)+IFERROR(VLOOKUP($A386,[5]库存使用数据!$A:$I,9,0),0)</f>
        <v>1</v>
      </c>
      <c r="J386" s="1">
        <f ca="1">IFERROR(VLOOKUP($A386,[1]库存使用数据!$A:$J,10,0),0)+IFERROR(VLOOKUP($A386,[2]库存使用数据!$A:$J,10,0),0)+公式!$B$14*IFERROR(VLOOKUP($A386,[3]库存使用数据!$A:$J,10,0),0)+IFERROR(VLOOKUP($A386,[4]库存使用数据!$A:$J,10,0),0)+IFERROR(VLOOKUP($A386,[5]库存使用数据!$A:$J,10,0),0)</f>
        <v>0</v>
      </c>
      <c r="K386" s="1">
        <f ca="1">IFERROR(VLOOKUP($A386,[1]库存使用数据!$A:$K,11,0),0)+IFERROR(VLOOKUP($A386,[2]库存使用数据!$A:$K,11,0),0)+IFERROR(VLOOKUP($A386,[3]库存使用数据!$A:$K,11,0),0)+IFERROR(VLOOKUP($A386,[4]库存使用数据!$A:$K,11,0),0)+IFERROR(VLOOKUP($A386,[5]库存使用数据!$A:$K,11,0),0)</f>
        <v>40</v>
      </c>
      <c r="L386" s="1">
        <f ca="1">IFERROR(VLOOKUP($A386,[1]库存使用数据!$A:$L,12,0),0)+IFERROR(VLOOKUP($A386,[2]库存使用数据!$A:$L,12,0),0)+IFERROR(VLOOKUP($A386,[3]库存使用数据!$A:$L,12,0),0)+IFERROR(VLOOKUP($A386,[4]库存使用数据!$A:$L,12,0),0)+IFERROR(VLOOKUP($A386,[5]库存使用数据!$A:$L,12,0),0)</f>
        <v>0</v>
      </c>
      <c r="M386" s="1">
        <f ca="1">IFERROR(VLOOKUP($A386,[1]库存使用数据!$A:$M,13,0),0)+IFERROR(VLOOKUP($A386,[2]库存使用数据!$A:$M,13,0),0)+公式!$B$14*IFERROR(VLOOKUP($A386,[3]库存使用数据!$A:$M,13,0),0)+IFERROR(VLOOKUP($A386,[4]库存使用数据!$A:$M,13,0),0)+IFERROR(VLOOKUP($A386,[5]库存使用数据!$A:$M,13,0),0)</f>
        <v>0</v>
      </c>
    </row>
    <row r="387" spans="1:13">
      <c r="A387" s="6" t="s">
        <v>392</v>
      </c>
      <c r="B387" s="2">
        <f ca="1">IFERROR(VLOOKUP(A387,[1]库存使用数据!$A:$B,2,0),0)+IFERROR(VLOOKUP(A387,[2]库存使用数据!$A:$B,2,0),0)+IFERROR(VLOOKUP(,[3]库存使用数据!$A:$B,2,0),0)+IFERROR(VLOOKUP(A387,[4]库存使用数据!$A:$B,2,0),0)+IFERROR(VLOOKUP(A387,[5]库存使用数据!$A:$B,2,0),0)</f>
        <v>0</v>
      </c>
      <c r="C387" s="1">
        <f ca="1">IFERROR(VLOOKUP($A387,[1]库存使用数据!$A:$C,3,0),0)+IFERROR(VLOOKUP($A387,[2]库存使用数据!$A:$C,3,0),0)+IFERROR(VLOOKUP($A387,[3]库存使用数据!$A:$C,3,0),0)+IFERROR(VLOOKUP($A387,[4]库存使用数据!$A:$C,3,0),0)+IFERROR(VLOOKUP($A387,[5]库存使用数据!$A:$C,3,0),0)</f>
        <v>0</v>
      </c>
      <c r="D387" s="1">
        <f ca="1">IFERROR(VLOOKUP($A387,[1]库存使用数据!$A:$D,4,0),0)+IFERROR(VLOOKUP($A387,[2]库存使用数据!$A:$D,4,0),0)+公式!$B$1*IFERROR(VLOOKUP($A387,[3]库存使用数据!$A:$D,4,0),0)+IFERROR(VLOOKUP($A387,[4]库存使用数据!$A:$D,4,0),0)+IFERROR(VLOOKUP($A387,[5]库存使用数据!$A:$D,4,0),0)</f>
        <v>0</v>
      </c>
      <c r="E387" s="1">
        <f ca="1">IFERROR(VLOOKUP($A387,[1]库存使用数据!$A:$E,5,0),0)+IFERROR(VLOOKUP($A387,[2]库存使用数据!$A:$E,5,0),0)+IFERROR(VLOOKUP($A387,[3]库存使用数据!$A:$E,5,0),0)+IFERROR(VLOOKUP($A387,[4]库存使用数据!$A:$E,5,0),0)+IFERROR(VLOOKUP($A387,[5]库存使用数据!$A:$E,5,0),0)</f>
        <v>136</v>
      </c>
      <c r="F387" s="1">
        <f ca="1">IFERROR(VLOOKUP($A387,[1]库存使用数据!$A:$F,6,0),0)+IFERROR(VLOOKUP($A387,[2]库存使用数据!$A:$F,6,0),0)+IFERROR(VLOOKUP($A387,[4]库存使用数据!$A:$F,6,0),0)+IFERROR(VLOOKUP($A387,[3]库存使用数据!$A:$F,6,0),0)+IFERROR(VLOOKUP($A387,[5]库存使用数据!$A:$F,6,0),0)</f>
        <v>0</v>
      </c>
      <c r="G387" s="1">
        <f ca="1">IFERROR(VLOOKUP($A387,[1]库存使用数据!$A:$G,7,0),0)+IFERROR(VLOOKUP($A387,[2]库存使用数据!$A:$G,7,0),0)+公式!$B$14*IFERROR(VLOOKUP($A387,[3]库存使用数据!$A:$G,7,0),0)+IFERROR(VLOOKUP($A387,[4]库存使用数据!$A:$G,7,0),0)+IFERROR(VLOOKUP($A387,[5]库存使用数据!$A:$G,7,0),0)</f>
        <v>0</v>
      </c>
      <c r="H387" s="1">
        <f ca="1">IFERROR(VLOOKUP($A387,[1]库存使用数据!$A:$H,8,0),0)+IFERROR(VLOOKUP($A387,[2]库存使用数据!$A:$H,8,0),0)+IFERROR(VLOOKUP($A387,[3]库存使用数据!$A:$H,8,0),0)+IFERROR(VLOOKUP($A387,[4]库存使用数据!$A:$H,8,0),0)+IFERROR(VLOOKUP($A387,[5]库存使用数据!$A:$H,8,0),0)</f>
        <v>85</v>
      </c>
      <c r="I387" s="1">
        <f ca="1">IFERROR(VLOOKUP($A387,[1]库存使用数据!$A:$I,9,0),0)+IFERROR(VLOOKUP($A387,[2]库存使用数据!$A:$I,9,0),0)+IFERROR(VLOOKUP($A387,[3]库存使用数据!$A:$I,9,0),0)+IFERROR(VLOOKUP($A387,[4]库存使用数据!$A:$I,9,0),0)+IFERROR(VLOOKUP($A387,[5]库存使用数据!$A:$I,9,0),0)</f>
        <v>1</v>
      </c>
      <c r="J387" s="1">
        <f ca="1">IFERROR(VLOOKUP($A387,[1]库存使用数据!$A:$J,10,0),0)+IFERROR(VLOOKUP($A387,[2]库存使用数据!$A:$J,10,0),0)+公式!$B$14*IFERROR(VLOOKUP($A387,[3]库存使用数据!$A:$J,10,0),0)+IFERROR(VLOOKUP($A387,[4]库存使用数据!$A:$J,10,0),0)+IFERROR(VLOOKUP($A387,[5]库存使用数据!$A:$J,10,0),0)</f>
        <v>0</v>
      </c>
      <c r="K387" s="1">
        <f ca="1">IFERROR(VLOOKUP($A387,[1]库存使用数据!$A:$K,11,0),0)+IFERROR(VLOOKUP($A387,[2]库存使用数据!$A:$K,11,0),0)+IFERROR(VLOOKUP($A387,[3]库存使用数据!$A:$K,11,0),0)+IFERROR(VLOOKUP($A387,[4]库存使用数据!$A:$K,11,0),0)+IFERROR(VLOOKUP($A387,[5]库存使用数据!$A:$K,11,0),0)</f>
        <v>105</v>
      </c>
      <c r="L387" s="1">
        <f ca="1">IFERROR(VLOOKUP($A387,[1]库存使用数据!$A:$L,12,0),0)+IFERROR(VLOOKUP($A387,[2]库存使用数据!$A:$L,12,0),0)+IFERROR(VLOOKUP($A387,[3]库存使用数据!$A:$L,12,0),0)+IFERROR(VLOOKUP($A387,[4]库存使用数据!$A:$L,12,0),0)+IFERROR(VLOOKUP($A387,[5]库存使用数据!$A:$L,12,0),0)</f>
        <v>0</v>
      </c>
      <c r="M387" s="1">
        <f ca="1">IFERROR(VLOOKUP($A387,[1]库存使用数据!$A:$M,13,0),0)+IFERROR(VLOOKUP($A387,[2]库存使用数据!$A:$M,13,0),0)+公式!$B$14*IFERROR(VLOOKUP($A387,[3]库存使用数据!$A:$M,13,0),0)+IFERROR(VLOOKUP($A387,[4]库存使用数据!$A:$M,13,0),0)+IFERROR(VLOOKUP($A387,[5]库存使用数据!$A:$M,13,0),0)</f>
        <v>0</v>
      </c>
    </row>
    <row r="388" spans="1:13">
      <c r="A388" s="6" t="s">
        <v>393</v>
      </c>
      <c r="B388" s="2">
        <f ca="1">IFERROR(VLOOKUP(A388,[1]库存使用数据!$A:$B,2,0),0)+IFERROR(VLOOKUP(A388,[2]库存使用数据!$A:$B,2,0),0)+IFERROR(VLOOKUP(,[3]库存使用数据!$A:$B,2,0),0)+IFERROR(VLOOKUP(A388,[4]库存使用数据!$A:$B,2,0),0)+IFERROR(VLOOKUP(A388,[5]库存使用数据!$A:$B,2,0),0)</f>
        <v>0</v>
      </c>
      <c r="C388" s="1">
        <f ca="1">IFERROR(VLOOKUP($A388,[1]库存使用数据!$A:$C,3,0),0)+IFERROR(VLOOKUP($A388,[2]库存使用数据!$A:$C,3,0),0)+IFERROR(VLOOKUP($A388,[3]库存使用数据!$A:$C,3,0),0)+IFERROR(VLOOKUP($A388,[4]库存使用数据!$A:$C,3,0),0)+IFERROR(VLOOKUP($A388,[5]库存使用数据!$A:$C,3,0),0)</f>
        <v>0</v>
      </c>
      <c r="D388" s="1">
        <f ca="1">IFERROR(VLOOKUP($A388,[1]库存使用数据!$A:$D,4,0),0)+IFERROR(VLOOKUP($A388,[2]库存使用数据!$A:$D,4,0),0)+公式!$B$1*IFERROR(VLOOKUP($A388,[3]库存使用数据!$A:$D,4,0),0)+IFERROR(VLOOKUP($A388,[4]库存使用数据!$A:$D,4,0),0)+IFERROR(VLOOKUP($A388,[5]库存使用数据!$A:$D,4,0),0)</f>
        <v>0</v>
      </c>
      <c r="E388" s="1">
        <f ca="1">IFERROR(VLOOKUP($A388,[1]库存使用数据!$A:$E,5,0),0)+IFERROR(VLOOKUP($A388,[2]库存使用数据!$A:$E,5,0),0)+IFERROR(VLOOKUP($A388,[3]库存使用数据!$A:$E,5,0),0)+IFERROR(VLOOKUP($A388,[4]库存使用数据!$A:$E,5,0),0)+IFERROR(VLOOKUP($A388,[5]库存使用数据!$A:$E,5,0),0)</f>
        <v>242</v>
      </c>
      <c r="F388" s="1">
        <f ca="1">IFERROR(VLOOKUP($A388,[1]库存使用数据!$A:$F,6,0),0)+IFERROR(VLOOKUP($A388,[2]库存使用数据!$A:$F,6,0),0)+IFERROR(VLOOKUP($A388,[4]库存使用数据!$A:$F,6,0),0)+IFERROR(VLOOKUP($A388,[3]库存使用数据!$A:$F,6,0),0)+IFERROR(VLOOKUP($A388,[5]库存使用数据!$A:$F,6,0),0)</f>
        <v>2</v>
      </c>
      <c r="G388" s="1">
        <f ca="1">IFERROR(VLOOKUP($A388,[1]库存使用数据!$A:$G,7,0),0)+IFERROR(VLOOKUP($A388,[2]库存使用数据!$A:$G,7,0),0)+公式!$B$14*IFERROR(VLOOKUP($A388,[3]库存使用数据!$A:$G,7,0),0)+IFERROR(VLOOKUP($A388,[4]库存使用数据!$A:$G,7,0),0)+IFERROR(VLOOKUP($A388,[5]库存使用数据!$A:$G,7,0),0)</f>
        <v>0</v>
      </c>
      <c r="H388" s="1">
        <f ca="1">IFERROR(VLOOKUP($A388,[1]库存使用数据!$A:$H,8,0),0)+IFERROR(VLOOKUP($A388,[2]库存使用数据!$A:$H,8,0),0)+IFERROR(VLOOKUP($A388,[3]库存使用数据!$A:$H,8,0),0)+IFERROR(VLOOKUP($A388,[4]库存使用数据!$A:$H,8,0),0)+IFERROR(VLOOKUP($A388,[5]库存使用数据!$A:$H,8,0),0)</f>
        <v>145</v>
      </c>
      <c r="I388" s="1">
        <f ca="1">IFERROR(VLOOKUP($A388,[1]库存使用数据!$A:$I,9,0),0)+IFERROR(VLOOKUP($A388,[2]库存使用数据!$A:$I,9,0),0)+IFERROR(VLOOKUP($A388,[3]库存使用数据!$A:$I,9,0),0)+IFERROR(VLOOKUP($A388,[4]库存使用数据!$A:$I,9,0),0)+IFERROR(VLOOKUP($A388,[5]库存使用数据!$A:$I,9,0),0)</f>
        <v>1</v>
      </c>
      <c r="J388" s="1">
        <f ca="1">IFERROR(VLOOKUP($A388,[1]库存使用数据!$A:$J,10,0),0)+IFERROR(VLOOKUP($A388,[2]库存使用数据!$A:$J,10,0),0)+公式!$B$14*IFERROR(VLOOKUP($A388,[3]库存使用数据!$A:$J,10,0),0)+IFERROR(VLOOKUP($A388,[4]库存使用数据!$A:$J,10,0),0)+IFERROR(VLOOKUP($A388,[5]库存使用数据!$A:$J,10,0),0)</f>
        <v>0</v>
      </c>
      <c r="K388" s="1">
        <f ca="1">IFERROR(VLOOKUP($A388,[1]库存使用数据!$A:$K,11,0),0)+IFERROR(VLOOKUP($A388,[2]库存使用数据!$A:$K,11,0),0)+IFERROR(VLOOKUP($A388,[3]库存使用数据!$A:$K,11,0),0)+IFERROR(VLOOKUP($A388,[4]库存使用数据!$A:$K,11,0),0)+IFERROR(VLOOKUP($A388,[5]库存使用数据!$A:$K,11,0),0)</f>
        <v>122</v>
      </c>
      <c r="L388" s="1">
        <f ca="1">IFERROR(VLOOKUP($A388,[1]库存使用数据!$A:$L,12,0),0)+IFERROR(VLOOKUP($A388,[2]库存使用数据!$A:$L,12,0),0)+IFERROR(VLOOKUP($A388,[3]库存使用数据!$A:$L,12,0),0)+IFERROR(VLOOKUP($A388,[4]库存使用数据!$A:$L,12,0),0)+IFERROR(VLOOKUP($A388,[5]库存使用数据!$A:$L,12,0),0)</f>
        <v>1</v>
      </c>
      <c r="M388" s="1">
        <f ca="1">IFERROR(VLOOKUP($A388,[1]库存使用数据!$A:$M,13,0),0)+IFERROR(VLOOKUP($A388,[2]库存使用数据!$A:$M,13,0),0)+公式!$B$14*IFERROR(VLOOKUP($A388,[3]库存使用数据!$A:$M,13,0),0)+IFERROR(VLOOKUP($A388,[4]库存使用数据!$A:$M,13,0),0)+IFERROR(VLOOKUP($A388,[5]库存使用数据!$A:$M,13,0),0)</f>
        <v>0</v>
      </c>
    </row>
    <row r="389" spans="1:13">
      <c r="A389" s="6" t="s">
        <v>394</v>
      </c>
      <c r="B389" s="2">
        <f ca="1">IFERROR(VLOOKUP(A389,[1]库存使用数据!$A:$B,2,0),0)+IFERROR(VLOOKUP(A389,[2]库存使用数据!$A:$B,2,0),0)+IFERROR(VLOOKUP(,[3]库存使用数据!$A:$B,2,0),0)+IFERROR(VLOOKUP(A389,[4]库存使用数据!$A:$B,2,0),0)+IFERROR(VLOOKUP(A389,[5]库存使用数据!$A:$B,2,0),0)</f>
        <v>0</v>
      </c>
      <c r="C389" s="1">
        <f ca="1">IFERROR(VLOOKUP($A389,[1]库存使用数据!$A:$C,3,0),0)+IFERROR(VLOOKUP($A389,[2]库存使用数据!$A:$C,3,0),0)+IFERROR(VLOOKUP($A389,[3]库存使用数据!$A:$C,3,0),0)+IFERROR(VLOOKUP($A389,[4]库存使用数据!$A:$C,3,0),0)+IFERROR(VLOOKUP($A389,[5]库存使用数据!$A:$C,3,0),0)</f>
        <v>1</v>
      </c>
      <c r="D389" s="1">
        <f ca="1">IFERROR(VLOOKUP($A389,[1]库存使用数据!$A:$D,4,0),0)+IFERROR(VLOOKUP($A389,[2]库存使用数据!$A:$D,4,0),0)+公式!$B$1*IFERROR(VLOOKUP($A389,[3]库存使用数据!$A:$D,4,0),0)+IFERROR(VLOOKUP($A389,[4]库存使用数据!$A:$D,4,0),0)+IFERROR(VLOOKUP($A389,[5]库存使用数据!$A:$D,4,0),0)</f>
        <v>0.21375</v>
      </c>
      <c r="E389" s="1">
        <f ca="1">IFERROR(VLOOKUP($A389,[1]库存使用数据!$A:$E,5,0),0)+IFERROR(VLOOKUP($A389,[2]库存使用数据!$A:$E,5,0),0)+IFERROR(VLOOKUP($A389,[3]库存使用数据!$A:$E,5,0),0)+IFERROR(VLOOKUP($A389,[4]库存使用数据!$A:$E,5,0),0)+IFERROR(VLOOKUP($A389,[5]库存使用数据!$A:$E,5,0),0)</f>
        <v>59</v>
      </c>
      <c r="F389" s="1">
        <f ca="1">IFERROR(VLOOKUP($A389,[1]库存使用数据!$A:$F,6,0),0)+IFERROR(VLOOKUP($A389,[2]库存使用数据!$A:$F,6,0),0)+IFERROR(VLOOKUP($A389,[4]库存使用数据!$A:$F,6,0),0)+IFERROR(VLOOKUP($A389,[3]库存使用数据!$A:$F,6,0),0)+IFERROR(VLOOKUP($A389,[5]库存使用数据!$A:$F,6,0),0)</f>
        <v>0</v>
      </c>
      <c r="G389" s="1">
        <f ca="1">IFERROR(VLOOKUP($A389,[1]库存使用数据!$A:$G,7,0),0)+IFERROR(VLOOKUP($A389,[2]库存使用数据!$A:$G,7,0),0)+公式!$B$14*IFERROR(VLOOKUP($A389,[3]库存使用数据!$A:$G,7,0),0)+IFERROR(VLOOKUP($A389,[4]库存使用数据!$A:$G,7,0),0)+IFERROR(VLOOKUP($A389,[5]库存使用数据!$A:$G,7,0),0)</f>
        <v>0</v>
      </c>
      <c r="H389" s="1">
        <f ca="1">IFERROR(VLOOKUP($A389,[1]库存使用数据!$A:$H,8,0),0)+IFERROR(VLOOKUP($A389,[2]库存使用数据!$A:$H,8,0),0)+IFERROR(VLOOKUP($A389,[3]库存使用数据!$A:$H,8,0),0)+IFERROR(VLOOKUP($A389,[4]库存使用数据!$A:$H,8,0),0)+IFERROR(VLOOKUP($A389,[5]库存使用数据!$A:$H,8,0),0)</f>
        <v>24</v>
      </c>
      <c r="I389" s="1">
        <f ca="1">IFERROR(VLOOKUP($A389,[1]库存使用数据!$A:$I,9,0),0)+IFERROR(VLOOKUP($A389,[2]库存使用数据!$A:$I,9,0),0)+IFERROR(VLOOKUP($A389,[3]库存使用数据!$A:$I,9,0),0)+IFERROR(VLOOKUP($A389,[4]库存使用数据!$A:$I,9,0),0)+IFERROR(VLOOKUP($A389,[5]库存使用数据!$A:$I,9,0),0)</f>
        <v>0</v>
      </c>
      <c r="J389" s="1">
        <f ca="1">IFERROR(VLOOKUP($A389,[1]库存使用数据!$A:$J,10,0),0)+IFERROR(VLOOKUP($A389,[2]库存使用数据!$A:$J,10,0),0)+公式!$B$14*IFERROR(VLOOKUP($A389,[3]库存使用数据!$A:$J,10,0),0)+IFERROR(VLOOKUP($A389,[4]库存使用数据!$A:$J,10,0),0)+IFERROR(VLOOKUP($A389,[5]库存使用数据!$A:$J,10,0),0)</f>
        <v>0</v>
      </c>
      <c r="K389" s="1">
        <f ca="1">IFERROR(VLOOKUP($A389,[1]库存使用数据!$A:$K,11,0),0)+IFERROR(VLOOKUP($A389,[2]库存使用数据!$A:$K,11,0),0)+IFERROR(VLOOKUP($A389,[3]库存使用数据!$A:$K,11,0),0)+IFERROR(VLOOKUP($A389,[4]库存使用数据!$A:$K,11,0),0)+IFERROR(VLOOKUP($A389,[5]库存使用数据!$A:$K,11,0),0)</f>
        <v>22</v>
      </c>
      <c r="L389" s="1">
        <f ca="1">IFERROR(VLOOKUP($A389,[1]库存使用数据!$A:$L,12,0),0)+IFERROR(VLOOKUP($A389,[2]库存使用数据!$A:$L,12,0),0)+IFERROR(VLOOKUP($A389,[3]库存使用数据!$A:$L,12,0),0)+IFERROR(VLOOKUP($A389,[4]库存使用数据!$A:$L,12,0),0)+IFERROR(VLOOKUP($A389,[5]库存使用数据!$A:$L,12,0),0)</f>
        <v>0</v>
      </c>
      <c r="M389" s="1">
        <f ca="1">IFERROR(VLOOKUP($A389,[1]库存使用数据!$A:$M,13,0),0)+IFERROR(VLOOKUP($A389,[2]库存使用数据!$A:$M,13,0),0)+公式!$B$14*IFERROR(VLOOKUP($A389,[3]库存使用数据!$A:$M,13,0),0)+IFERROR(VLOOKUP($A389,[4]库存使用数据!$A:$M,13,0),0)+IFERROR(VLOOKUP($A389,[5]库存使用数据!$A:$M,13,0),0)</f>
        <v>0</v>
      </c>
    </row>
    <row r="390" spans="1:13">
      <c r="A390" s="6" t="s">
        <v>395</v>
      </c>
      <c r="B390" s="2">
        <f ca="1">IFERROR(VLOOKUP(A390,[1]库存使用数据!$A:$B,2,0),0)+IFERROR(VLOOKUP(A390,[2]库存使用数据!$A:$B,2,0),0)+IFERROR(VLOOKUP(,[3]库存使用数据!$A:$B,2,0),0)+IFERROR(VLOOKUP(A390,[4]库存使用数据!$A:$B,2,0),0)+IFERROR(VLOOKUP(A390,[5]库存使用数据!$A:$B,2,0),0)</f>
        <v>0</v>
      </c>
      <c r="C390" s="1">
        <f ca="1">IFERROR(VLOOKUP($A390,[1]库存使用数据!$A:$C,3,0),0)+IFERROR(VLOOKUP($A390,[2]库存使用数据!$A:$C,3,0),0)+IFERROR(VLOOKUP($A390,[3]库存使用数据!$A:$C,3,0),0)+IFERROR(VLOOKUP($A390,[4]库存使用数据!$A:$C,3,0),0)+IFERROR(VLOOKUP($A390,[5]库存使用数据!$A:$C,3,0),0)</f>
        <v>5</v>
      </c>
      <c r="D390" s="1">
        <f ca="1">IFERROR(VLOOKUP($A390,[1]库存使用数据!$A:$D,4,0),0)+IFERROR(VLOOKUP($A390,[2]库存使用数据!$A:$D,4,0),0)+公式!$B$1*IFERROR(VLOOKUP($A390,[3]库存使用数据!$A:$D,4,0),0)+IFERROR(VLOOKUP($A390,[4]库存使用数据!$A:$D,4,0),0)+IFERROR(VLOOKUP($A390,[5]库存使用数据!$A:$D,4,0),0)</f>
        <v>1.0575</v>
      </c>
      <c r="E390" s="1">
        <f ca="1">IFERROR(VLOOKUP($A390,[1]库存使用数据!$A:$E,5,0),0)+IFERROR(VLOOKUP($A390,[2]库存使用数据!$A:$E,5,0),0)+IFERROR(VLOOKUP($A390,[3]库存使用数据!$A:$E,5,0),0)+IFERROR(VLOOKUP($A390,[4]库存使用数据!$A:$E,5,0),0)+IFERROR(VLOOKUP($A390,[5]库存使用数据!$A:$E,5,0),0)</f>
        <v>390</v>
      </c>
      <c r="F390" s="1">
        <f ca="1">IFERROR(VLOOKUP($A390,[1]库存使用数据!$A:$F,6,0),0)+IFERROR(VLOOKUP($A390,[2]库存使用数据!$A:$F,6,0),0)+IFERROR(VLOOKUP($A390,[4]库存使用数据!$A:$F,6,0),0)+IFERROR(VLOOKUP($A390,[3]库存使用数据!$A:$F,6,0),0)+IFERROR(VLOOKUP($A390,[5]库存使用数据!$A:$F,6,0),0)</f>
        <v>2</v>
      </c>
      <c r="G390" s="1">
        <f ca="1">IFERROR(VLOOKUP($A390,[1]库存使用数据!$A:$G,7,0),0)+IFERROR(VLOOKUP($A390,[2]库存使用数据!$A:$G,7,0),0)+公式!$B$14*IFERROR(VLOOKUP($A390,[3]库存使用数据!$A:$G,7,0),0)+IFERROR(VLOOKUP($A390,[4]库存使用数据!$A:$G,7,0),0)+IFERROR(VLOOKUP($A390,[5]库存使用数据!$A:$G,7,0),0)</f>
        <v>0</v>
      </c>
      <c r="H390" s="1">
        <f ca="1">IFERROR(VLOOKUP($A390,[1]库存使用数据!$A:$H,8,0),0)+IFERROR(VLOOKUP($A390,[2]库存使用数据!$A:$H,8,0),0)+IFERROR(VLOOKUP($A390,[3]库存使用数据!$A:$H,8,0),0)+IFERROR(VLOOKUP($A390,[4]库存使用数据!$A:$H,8,0),0)+IFERROR(VLOOKUP($A390,[5]库存使用数据!$A:$H,8,0),0)</f>
        <v>248</v>
      </c>
      <c r="I390" s="1">
        <f ca="1">IFERROR(VLOOKUP($A390,[1]库存使用数据!$A:$I,9,0),0)+IFERROR(VLOOKUP($A390,[2]库存使用数据!$A:$I,9,0),0)+IFERROR(VLOOKUP($A390,[3]库存使用数据!$A:$I,9,0),0)+IFERROR(VLOOKUP($A390,[4]库存使用数据!$A:$I,9,0),0)+IFERROR(VLOOKUP($A390,[5]库存使用数据!$A:$I,9,0),0)</f>
        <v>3</v>
      </c>
      <c r="J390" s="1">
        <f ca="1">IFERROR(VLOOKUP($A390,[1]库存使用数据!$A:$J,10,0),0)+IFERROR(VLOOKUP($A390,[2]库存使用数据!$A:$J,10,0),0)+公式!$B$14*IFERROR(VLOOKUP($A390,[3]库存使用数据!$A:$J,10,0),0)+IFERROR(VLOOKUP($A390,[4]库存使用数据!$A:$J,10,0),0)+IFERROR(VLOOKUP($A390,[5]库存使用数据!$A:$J,10,0),0)</f>
        <v>0</v>
      </c>
      <c r="K390" s="1">
        <f ca="1">IFERROR(VLOOKUP($A390,[1]库存使用数据!$A:$K,11,0),0)+IFERROR(VLOOKUP($A390,[2]库存使用数据!$A:$K,11,0),0)+IFERROR(VLOOKUP($A390,[3]库存使用数据!$A:$K,11,0),0)+IFERROR(VLOOKUP($A390,[4]库存使用数据!$A:$K,11,0),0)+IFERROR(VLOOKUP($A390,[5]库存使用数据!$A:$K,11,0),0)</f>
        <v>165</v>
      </c>
      <c r="L390" s="1">
        <f ca="1">IFERROR(VLOOKUP($A390,[1]库存使用数据!$A:$L,12,0),0)+IFERROR(VLOOKUP($A390,[2]库存使用数据!$A:$L,12,0),0)+IFERROR(VLOOKUP($A390,[3]库存使用数据!$A:$L,12,0),0)+IFERROR(VLOOKUP($A390,[4]库存使用数据!$A:$L,12,0),0)+IFERROR(VLOOKUP($A390,[5]库存使用数据!$A:$L,12,0),0)</f>
        <v>0</v>
      </c>
      <c r="M390" s="1">
        <f ca="1">IFERROR(VLOOKUP($A390,[1]库存使用数据!$A:$M,13,0),0)+IFERROR(VLOOKUP($A390,[2]库存使用数据!$A:$M,13,0),0)+公式!$B$14*IFERROR(VLOOKUP($A390,[3]库存使用数据!$A:$M,13,0),0)+IFERROR(VLOOKUP($A390,[4]库存使用数据!$A:$M,13,0),0)+IFERROR(VLOOKUP($A390,[5]库存使用数据!$A:$M,13,0),0)</f>
        <v>0</v>
      </c>
    </row>
    <row r="391" spans="1:13">
      <c r="A391" s="6" t="s">
        <v>396</v>
      </c>
      <c r="B391" s="2">
        <f ca="1">IFERROR(VLOOKUP(A391,[1]库存使用数据!$A:$B,2,0),0)+IFERROR(VLOOKUP(A391,[2]库存使用数据!$A:$B,2,0),0)+IFERROR(VLOOKUP(,[3]库存使用数据!$A:$B,2,0),0)+IFERROR(VLOOKUP(A391,[4]库存使用数据!$A:$B,2,0),0)+IFERROR(VLOOKUP(A391,[5]库存使用数据!$A:$B,2,0),0)</f>
        <v>0</v>
      </c>
      <c r="C391" s="1">
        <f ca="1">IFERROR(VLOOKUP($A391,[1]库存使用数据!$A:$C,3,0),0)+IFERROR(VLOOKUP($A391,[2]库存使用数据!$A:$C,3,0),0)+IFERROR(VLOOKUP($A391,[3]库存使用数据!$A:$C,3,0),0)+IFERROR(VLOOKUP($A391,[4]库存使用数据!$A:$C,3,0),0)+IFERROR(VLOOKUP($A391,[5]库存使用数据!$A:$C,3,0),0)</f>
        <v>0</v>
      </c>
      <c r="D391" s="1">
        <f ca="1">IFERROR(VLOOKUP($A391,[1]库存使用数据!$A:$D,4,0),0)+IFERROR(VLOOKUP($A391,[2]库存使用数据!$A:$D,4,0),0)+公式!$B$1*IFERROR(VLOOKUP($A391,[3]库存使用数据!$A:$D,4,0),0)+IFERROR(VLOOKUP($A391,[4]库存使用数据!$A:$D,4,0),0)+IFERROR(VLOOKUP($A391,[5]库存使用数据!$A:$D,4,0),0)</f>
        <v>0</v>
      </c>
      <c r="E391" s="1">
        <f ca="1">IFERROR(VLOOKUP($A391,[1]库存使用数据!$A:$E,5,0),0)+IFERROR(VLOOKUP($A391,[2]库存使用数据!$A:$E,5,0),0)+IFERROR(VLOOKUP($A391,[3]库存使用数据!$A:$E,5,0),0)+IFERROR(VLOOKUP($A391,[4]库存使用数据!$A:$E,5,0),0)+IFERROR(VLOOKUP($A391,[5]库存使用数据!$A:$E,5,0),0)</f>
        <v>64</v>
      </c>
      <c r="F391" s="1">
        <f ca="1">IFERROR(VLOOKUP($A391,[1]库存使用数据!$A:$F,6,0),0)+IFERROR(VLOOKUP($A391,[2]库存使用数据!$A:$F,6,0),0)+IFERROR(VLOOKUP($A391,[4]库存使用数据!$A:$F,6,0),0)+IFERROR(VLOOKUP($A391,[3]库存使用数据!$A:$F,6,0),0)+IFERROR(VLOOKUP($A391,[5]库存使用数据!$A:$F,6,0),0)</f>
        <v>0</v>
      </c>
      <c r="G391" s="1">
        <f ca="1">IFERROR(VLOOKUP($A391,[1]库存使用数据!$A:$G,7,0),0)+IFERROR(VLOOKUP($A391,[2]库存使用数据!$A:$G,7,0),0)+公式!$B$14*IFERROR(VLOOKUP($A391,[3]库存使用数据!$A:$G,7,0),0)+IFERROR(VLOOKUP($A391,[4]库存使用数据!$A:$G,7,0),0)+IFERROR(VLOOKUP($A391,[5]库存使用数据!$A:$G,7,0),0)</f>
        <v>0</v>
      </c>
      <c r="H391" s="1">
        <f ca="1">IFERROR(VLOOKUP($A391,[1]库存使用数据!$A:$H,8,0),0)+IFERROR(VLOOKUP($A391,[2]库存使用数据!$A:$H,8,0),0)+IFERROR(VLOOKUP($A391,[3]库存使用数据!$A:$H,8,0),0)+IFERROR(VLOOKUP($A391,[4]库存使用数据!$A:$H,8,0),0)+IFERROR(VLOOKUP($A391,[5]库存使用数据!$A:$H,8,0),0)</f>
        <v>25</v>
      </c>
      <c r="I391" s="1">
        <f ca="1">IFERROR(VLOOKUP($A391,[1]库存使用数据!$A:$I,9,0),0)+IFERROR(VLOOKUP($A391,[2]库存使用数据!$A:$I,9,0),0)+IFERROR(VLOOKUP($A391,[3]库存使用数据!$A:$I,9,0),0)+IFERROR(VLOOKUP($A391,[4]库存使用数据!$A:$I,9,0),0)+IFERROR(VLOOKUP($A391,[5]库存使用数据!$A:$I,9,0),0)</f>
        <v>0</v>
      </c>
      <c r="J391" s="1">
        <f ca="1">IFERROR(VLOOKUP($A391,[1]库存使用数据!$A:$J,10,0),0)+IFERROR(VLOOKUP($A391,[2]库存使用数据!$A:$J,10,0),0)+公式!$B$14*IFERROR(VLOOKUP($A391,[3]库存使用数据!$A:$J,10,0),0)+IFERROR(VLOOKUP($A391,[4]库存使用数据!$A:$J,10,0),0)+IFERROR(VLOOKUP($A391,[5]库存使用数据!$A:$J,10,0),0)</f>
        <v>0</v>
      </c>
      <c r="K391" s="1">
        <f ca="1">IFERROR(VLOOKUP($A391,[1]库存使用数据!$A:$K,11,0),0)+IFERROR(VLOOKUP($A391,[2]库存使用数据!$A:$K,11,0),0)+IFERROR(VLOOKUP($A391,[3]库存使用数据!$A:$K,11,0),0)+IFERROR(VLOOKUP($A391,[4]库存使用数据!$A:$K,11,0),0)+IFERROR(VLOOKUP($A391,[5]库存使用数据!$A:$K,11,0),0)</f>
        <v>26</v>
      </c>
      <c r="L391" s="1">
        <f ca="1">IFERROR(VLOOKUP($A391,[1]库存使用数据!$A:$L,12,0),0)+IFERROR(VLOOKUP($A391,[2]库存使用数据!$A:$L,12,0),0)+IFERROR(VLOOKUP($A391,[3]库存使用数据!$A:$L,12,0),0)+IFERROR(VLOOKUP($A391,[4]库存使用数据!$A:$L,12,0),0)+IFERROR(VLOOKUP($A391,[5]库存使用数据!$A:$L,12,0),0)</f>
        <v>0</v>
      </c>
      <c r="M391" s="1">
        <f ca="1">IFERROR(VLOOKUP($A391,[1]库存使用数据!$A:$M,13,0),0)+IFERROR(VLOOKUP($A391,[2]库存使用数据!$A:$M,13,0),0)+公式!$B$14*IFERROR(VLOOKUP($A391,[3]库存使用数据!$A:$M,13,0),0)+IFERROR(VLOOKUP($A391,[4]库存使用数据!$A:$M,13,0),0)+IFERROR(VLOOKUP($A391,[5]库存使用数据!$A:$M,13,0),0)</f>
        <v>0</v>
      </c>
    </row>
    <row r="392" spans="1:13">
      <c r="A392" s="6" t="s">
        <v>397</v>
      </c>
      <c r="B392" s="2">
        <f ca="1">IFERROR(VLOOKUP(A392,[1]库存使用数据!$A:$B,2,0),0)+IFERROR(VLOOKUP(A392,[2]库存使用数据!$A:$B,2,0),0)+IFERROR(VLOOKUP(,[3]库存使用数据!$A:$B,2,0),0)+IFERROR(VLOOKUP(A392,[4]库存使用数据!$A:$B,2,0),0)+IFERROR(VLOOKUP(A392,[5]库存使用数据!$A:$B,2,0),0)</f>
        <v>0</v>
      </c>
      <c r="C392" s="1">
        <f ca="1">IFERROR(VLOOKUP($A392,[1]库存使用数据!$A:$C,3,0),0)+IFERROR(VLOOKUP($A392,[2]库存使用数据!$A:$C,3,0),0)+IFERROR(VLOOKUP($A392,[3]库存使用数据!$A:$C,3,0),0)+IFERROR(VLOOKUP($A392,[4]库存使用数据!$A:$C,3,0),0)+IFERROR(VLOOKUP($A392,[5]库存使用数据!$A:$C,3,0),0)</f>
        <v>2</v>
      </c>
      <c r="D392" s="1">
        <f ca="1">IFERROR(VLOOKUP($A392,[1]库存使用数据!$A:$D,4,0),0)+IFERROR(VLOOKUP($A392,[2]库存使用数据!$A:$D,4,0),0)+公式!$B$1*IFERROR(VLOOKUP($A392,[3]库存使用数据!$A:$D,4,0),0)+IFERROR(VLOOKUP($A392,[4]库存使用数据!$A:$D,4,0),0)+IFERROR(VLOOKUP($A392,[5]库存使用数据!$A:$D,4,0),0)</f>
        <v>0.43875</v>
      </c>
      <c r="E392" s="1">
        <f ca="1">IFERROR(VLOOKUP($A392,[1]库存使用数据!$A:$E,5,0),0)+IFERROR(VLOOKUP($A392,[2]库存使用数据!$A:$E,5,0),0)+IFERROR(VLOOKUP($A392,[3]库存使用数据!$A:$E,5,0),0)+IFERROR(VLOOKUP($A392,[4]库存使用数据!$A:$E,5,0),0)+IFERROR(VLOOKUP($A392,[5]库存使用数据!$A:$E,5,0),0)</f>
        <v>2625</v>
      </c>
      <c r="F392" s="1">
        <f ca="1">IFERROR(VLOOKUP($A392,[1]库存使用数据!$A:$F,6,0),0)+IFERROR(VLOOKUP($A392,[2]库存使用数据!$A:$F,6,0),0)+IFERROR(VLOOKUP($A392,[4]库存使用数据!$A:$F,6,0),0)+IFERROR(VLOOKUP($A392,[3]库存使用数据!$A:$F,6,0),0)+IFERROR(VLOOKUP($A392,[5]库存使用数据!$A:$F,6,0),0)</f>
        <v>1</v>
      </c>
      <c r="G392" s="1">
        <f ca="1">IFERROR(VLOOKUP($A392,[1]库存使用数据!$A:$G,7,0),0)+IFERROR(VLOOKUP($A392,[2]库存使用数据!$A:$G,7,0),0)+公式!$B$14*IFERROR(VLOOKUP($A392,[3]库存使用数据!$A:$G,7,0),0)+IFERROR(VLOOKUP($A392,[4]库存使用数据!$A:$G,7,0),0)+IFERROR(VLOOKUP($A392,[5]库存使用数据!$A:$G,7,0),0)</f>
        <v>0</v>
      </c>
      <c r="H392" s="1">
        <f ca="1">IFERROR(VLOOKUP($A392,[1]库存使用数据!$A:$H,8,0),0)+IFERROR(VLOOKUP($A392,[2]库存使用数据!$A:$H,8,0),0)+IFERROR(VLOOKUP($A392,[3]库存使用数据!$A:$H,8,0),0)+IFERROR(VLOOKUP($A392,[4]库存使用数据!$A:$H,8,0),0)+IFERROR(VLOOKUP($A392,[5]库存使用数据!$A:$H,8,0),0)</f>
        <v>190</v>
      </c>
      <c r="I392" s="1">
        <f ca="1">IFERROR(VLOOKUP($A392,[1]库存使用数据!$A:$I,9,0),0)+IFERROR(VLOOKUP($A392,[2]库存使用数据!$A:$I,9,0),0)+IFERROR(VLOOKUP($A392,[3]库存使用数据!$A:$I,9,0),0)+IFERROR(VLOOKUP($A392,[4]库存使用数据!$A:$I,9,0),0)+IFERROR(VLOOKUP($A392,[5]库存使用数据!$A:$I,9,0),0)</f>
        <v>0</v>
      </c>
      <c r="J392" s="1">
        <f ca="1">IFERROR(VLOOKUP($A392,[1]库存使用数据!$A:$J,10,0),0)+IFERROR(VLOOKUP($A392,[2]库存使用数据!$A:$J,10,0),0)+公式!$B$14*IFERROR(VLOOKUP($A392,[3]库存使用数据!$A:$J,10,0),0)+IFERROR(VLOOKUP($A392,[4]库存使用数据!$A:$J,10,0),0)+IFERROR(VLOOKUP($A392,[5]库存使用数据!$A:$J,10,0),0)</f>
        <v>0</v>
      </c>
      <c r="K392" s="1">
        <f ca="1">IFERROR(VLOOKUP($A392,[1]库存使用数据!$A:$K,11,0),0)+IFERROR(VLOOKUP($A392,[2]库存使用数据!$A:$K,11,0),0)+IFERROR(VLOOKUP($A392,[3]库存使用数据!$A:$K,11,0),0)+IFERROR(VLOOKUP($A392,[4]库存使用数据!$A:$K,11,0),0)+IFERROR(VLOOKUP($A392,[5]库存使用数据!$A:$K,11,0),0)</f>
        <v>240</v>
      </c>
      <c r="L392" s="1">
        <f ca="1">IFERROR(VLOOKUP($A392,[1]库存使用数据!$A:$L,12,0),0)+IFERROR(VLOOKUP($A392,[2]库存使用数据!$A:$L,12,0),0)+IFERROR(VLOOKUP($A392,[3]库存使用数据!$A:$L,12,0),0)+IFERROR(VLOOKUP($A392,[4]库存使用数据!$A:$L,12,0),0)+IFERROR(VLOOKUP($A392,[5]库存使用数据!$A:$L,12,0),0)</f>
        <v>0</v>
      </c>
      <c r="M392" s="1">
        <f ca="1">IFERROR(VLOOKUP($A392,[1]库存使用数据!$A:$M,13,0),0)+IFERROR(VLOOKUP($A392,[2]库存使用数据!$A:$M,13,0),0)+公式!$B$14*IFERROR(VLOOKUP($A392,[3]库存使用数据!$A:$M,13,0),0)+IFERROR(VLOOKUP($A392,[4]库存使用数据!$A:$M,13,0),0)+IFERROR(VLOOKUP($A392,[5]库存使用数据!$A:$M,13,0),0)</f>
        <v>0</v>
      </c>
    </row>
    <row r="393" spans="1:13">
      <c r="A393" s="6" t="s">
        <v>398</v>
      </c>
      <c r="B393" s="2">
        <f ca="1">IFERROR(VLOOKUP(A393,[1]库存使用数据!$A:$B,2,0),0)+IFERROR(VLOOKUP(A393,[2]库存使用数据!$A:$B,2,0),0)+IFERROR(VLOOKUP(,[3]库存使用数据!$A:$B,2,0),0)+IFERROR(VLOOKUP(A393,[4]库存使用数据!$A:$B,2,0),0)+IFERROR(VLOOKUP(A393,[5]库存使用数据!$A:$B,2,0),0)</f>
        <v>0</v>
      </c>
      <c r="C393" s="1">
        <f ca="1">IFERROR(VLOOKUP($A393,[1]库存使用数据!$A:$C,3,0),0)+IFERROR(VLOOKUP($A393,[2]库存使用数据!$A:$C,3,0),0)+IFERROR(VLOOKUP($A393,[3]库存使用数据!$A:$C,3,0),0)+IFERROR(VLOOKUP($A393,[4]库存使用数据!$A:$C,3,0),0)+IFERROR(VLOOKUP($A393,[5]库存使用数据!$A:$C,3,0),0)</f>
        <v>1</v>
      </c>
      <c r="D393" s="1">
        <f ca="1">IFERROR(VLOOKUP($A393,[1]库存使用数据!$A:$D,4,0),0)+IFERROR(VLOOKUP($A393,[2]库存使用数据!$A:$D,4,0),0)+公式!$B$1*IFERROR(VLOOKUP($A393,[3]库存使用数据!$A:$D,4,0),0)+IFERROR(VLOOKUP($A393,[4]库存使用数据!$A:$D,4,0),0)+IFERROR(VLOOKUP($A393,[5]库存使用数据!$A:$D,4,0),0)</f>
        <v>0.25875</v>
      </c>
      <c r="E393" s="1">
        <f ca="1">IFERROR(VLOOKUP($A393,[1]库存使用数据!$A:$E,5,0),0)+IFERROR(VLOOKUP($A393,[2]库存使用数据!$A:$E,5,0),0)+IFERROR(VLOOKUP($A393,[3]库存使用数据!$A:$E,5,0),0)+IFERROR(VLOOKUP($A393,[4]库存使用数据!$A:$E,5,0),0)+IFERROR(VLOOKUP($A393,[5]库存使用数据!$A:$E,5,0),0)</f>
        <v>1041</v>
      </c>
      <c r="F393" s="1">
        <f ca="1">IFERROR(VLOOKUP($A393,[1]库存使用数据!$A:$F,6,0),0)+IFERROR(VLOOKUP($A393,[2]库存使用数据!$A:$F,6,0),0)+IFERROR(VLOOKUP($A393,[4]库存使用数据!$A:$F,6,0),0)+IFERROR(VLOOKUP($A393,[3]库存使用数据!$A:$F,6,0),0)+IFERROR(VLOOKUP($A393,[5]库存使用数据!$A:$F,6,0),0)</f>
        <v>0</v>
      </c>
      <c r="G393" s="1">
        <f ca="1">IFERROR(VLOOKUP($A393,[1]库存使用数据!$A:$G,7,0),0)+IFERROR(VLOOKUP($A393,[2]库存使用数据!$A:$G,7,0),0)+公式!$B$14*IFERROR(VLOOKUP($A393,[3]库存使用数据!$A:$G,7,0),0)+IFERROR(VLOOKUP($A393,[4]库存使用数据!$A:$G,7,0),0)+IFERROR(VLOOKUP($A393,[5]库存使用数据!$A:$G,7,0),0)</f>
        <v>0</v>
      </c>
      <c r="H393" s="1">
        <f ca="1">IFERROR(VLOOKUP($A393,[1]库存使用数据!$A:$H,8,0),0)+IFERROR(VLOOKUP($A393,[2]库存使用数据!$A:$H,8,0),0)+IFERROR(VLOOKUP($A393,[3]库存使用数据!$A:$H,8,0),0)+IFERROR(VLOOKUP($A393,[4]库存使用数据!$A:$H,8,0),0)+IFERROR(VLOOKUP($A393,[5]库存使用数据!$A:$H,8,0),0)</f>
        <v>61</v>
      </c>
      <c r="I393" s="1">
        <f ca="1">IFERROR(VLOOKUP($A393,[1]库存使用数据!$A:$I,9,0),0)+IFERROR(VLOOKUP($A393,[2]库存使用数据!$A:$I,9,0),0)+IFERROR(VLOOKUP($A393,[3]库存使用数据!$A:$I,9,0),0)+IFERROR(VLOOKUP($A393,[4]库存使用数据!$A:$I,9,0),0)+IFERROR(VLOOKUP($A393,[5]库存使用数据!$A:$I,9,0),0)</f>
        <v>0</v>
      </c>
      <c r="J393" s="1">
        <f ca="1">IFERROR(VLOOKUP($A393,[1]库存使用数据!$A:$J,10,0),0)+IFERROR(VLOOKUP($A393,[2]库存使用数据!$A:$J,10,0),0)+公式!$B$14*IFERROR(VLOOKUP($A393,[3]库存使用数据!$A:$J,10,0),0)+IFERROR(VLOOKUP($A393,[4]库存使用数据!$A:$J,10,0),0)+IFERROR(VLOOKUP($A393,[5]库存使用数据!$A:$J,10,0),0)</f>
        <v>0</v>
      </c>
      <c r="K393" s="1">
        <f ca="1">IFERROR(VLOOKUP($A393,[1]库存使用数据!$A:$K,11,0),0)+IFERROR(VLOOKUP($A393,[2]库存使用数据!$A:$K,11,0),0)+IFERROR(VLOOKUP($A393,[3]库存使用数据!$A:$K,11,0),0)+IFERROR(VLOOKUP($A393,[4]库存使用数据!$A:$K,11,0),0)+IFERROR(VLOOKUP($A393,[5]库存使用数据!$A:$K,11,0),0)</f>
        <v>39</v>
      </c>
      <c r="L393" s="1">
        <f ca="1">IFERROR(VLOOKUP($A393,[1]库存使用数据!$A:$L,12,0),0)+IFERROR(VLOOKUP($A393,[2]库存使用数据!$A:$L,12,0),0)+IFERROR(VLOOKUP($A393,[3]库存使用数据!$A:$L,12,0),0)+IFERROR(VLOOKUP($A393,[4]库存使用数据!$A:$L,12,0),0)+IFERROR(VLOOKUP($A393,[5]库存使用数据!$A:$L,12,0),0)</f>
        <v>0</v>
      </c>
      <c r="M393" s="1">
        <f ca="1">IFERROR(VLOOKUP($A393,[1]库存使用数据!$A:$M,13,0),0)+IFERROR(VLOOKUP($A393,[2]库存使用数据!$A:$M,13,0),0)+公式!$B$14*IFERROR(VLOOKUP($A393,[3]库存使用数据!$A:$M,13,0),0)+IFERROR(VLOOKUP($A393,[4]库存使用数据!$A:$M,13,0),0)+IFERROR(VLOOKUP($A393,[5]库存使用数据!$A:$M,13,0),0)</f>
        <v>0</v>
      </c>
    </row>
    <row r="394" spans="1:13">
      <c r="A394" s="6" t="s">
        <v>399</v>
      </c>
      <c r="B394" s="2">
        <f ca="1">IFERROR(VLOOKUP(A394,[1]库存使用数据!$A:$B,2,0),0)+IFERROR(VLOOKUP(A394,[2]库存使用数据!$A:$B,2,0),0)+IFERROR(VLOOKUP(,[3]库存使用数据!$A:$B,2,0),0)+IFERROR(VLOOKUP(A394,[4]库存使用数据!$A:$B,2,0),0)+IFERROR(VLOOKUP(A394,[5]库存使用数据!$A:$B,2,0),0)</f>
        <v>0</v>
      </c>
      <c r="C394" s="1">
        <f ca="1">IFERROR(VLOOKUP($A394,[1]库存使用数据!$A:$C,3,0),0)+IFERROR(VLOOKUP($A394,[2]库存使用数据!$A:$C,3,0),0)+IFERROR(VLOOKUP($A394,[3]库存使用数据!$A:$C,3,0),0)+IFERROR(VLOOKUP($A394,[4]库存使用数据!$A:$C,3,0),0)+IFERROR(VLOOKUP($A394,[5]库存使用数据!$A:$C,3,0),0)</f>
        <v>0</v>
      </c>
      <c r="D394" s="1">
        <f ca="1">IFERROR(VLOOKUP($A394,[1]库存使用数据!$A:$D,4,0),0)+IFERROR(VLOOKUP($A394,[2]库存使用数据!$A:$D,4,0),0)+公式!$B$1*IFERROR(VLOOKUP($A394,[3]库存使用数据!$A:$D,4,0),0)+IFERROR(VLOOKUP($A394,[4]库存使用数据!$A:$D,4,0),0)+IFERROR(VLOOKUP($A394,[5]库存使用数据!$A:$D,4,0),0)</f>
        <v>0</v>
      </c>
      <c r="E394" s="1">
        <f ca="1">IFERROR(VLOOKUP($A394,[1]库存使用数据!$A:$E,5,0),0)+IFERROR(VLOOKUP($A394,[2]库存使用数据!$A:$E,5,0),0)+IFERROR(VLOOKUP($A394,[3]库存使用数据!$A:$E,5,0),0)+IFERROR(VLOOKUP($A394,[4]库存使用数据!$A:$E,5,0),0)+IFERROR(VLOOKUP($A394,[5]库存使用数据!$A:$E,5,0),0)</f>
        <v>444</v>
      </c>
      <c r="F394" s="1">
        <f ca="1">IFERROR(VLOOKUP($A394,[1]库存使用数据!$A:$F,6,0),0)+IFERROR(VLOOKUP($A394,[2]库存使用数据!$A:$F,6,0),0)+IFERROR(VLOOKUP($A394,[4]库存使用数据!$A:$F,6,0),0)+IFERROR(VLOOKUP($A394,[3]库存使用数据!$A:$F,6,0),0)+IFERROR(VLOOKUP($A394,[5]库存使用数据!$A:$F,6,0),0)</f>
        <v>1</v>
      </c>
      <c r="G394" s="1">
        <f ca="1">IFERROR(VLOOKUP($A394,[1]库存使用数据!$A:$G,7,0),0)+IFERROR(VLOOKUP($A394,[2]库存使用数据!$A:$G,7,0),0)+公式!$B$14*IFERROR(VLOOKUP($A394,[3]库存使用数据!$A:$G,7,0),0)+IFERROR(VLOOKUP($A394,[4]库存使用数据!$A:$G,7,0),0)+IFERROR(VLOOKUP($A394,[5]库存使用数据!$A:$G,7,0),0)</f>
        <v>0</v>
      </c>
      <c r="H394" s="1">
        <f ca="1">IFERROR(VLOOKUP($A394,[1]库存使用数据!$A:$H,8,0),0)+IFERROR(VLOOKUP($A394,[2]库存使用数据!$A:$H,8,0),0)+IFERROR(VLOOKUP($A394,[3]库存使用数据!$A:$H,8,0),0)+IFERROR(VLOOKUP($A394,[4]库存使用数据!$A:$H,8,0),0)+IFERROR(VLOOKUP($A394,[5]库存使用数据!$A:$H,8,0),0)</f>
        <v>220</v>
      </c>
      <c r="I394" s="1">
        <f ca="1">IFERROR(VLOOKUP($A394,[1]库存使用数据!$A:$I,9,0),0)+IFERROR(VLOOKUP($A394,[2]库存使用数据!$A:$I,9,0),0)+IFERROR(VLOOKUP($A394,[3]库存使用数据!$A:$I,9,0),0)+IFERROR(VLOOKUP($A394,[4]库存使用数据!$A:$I,9,0),0)+IFERROR(VLOOKUP($A394,[5]库存使用数据!$A:$I,9,0),0)</f>
        <v>0</v>
      </c>
      <c r="J394" s="1">
        <f ca="1">IFERROR(VLOOKUP($A394,[1]库存使用数据!$A:$J,10,0),0)+IFERROR(VLOOKUP($A394,[2]库存使用数据!$A:$J,10,0),0)+公式!$B$14*IFERROR(VLOOKUP($A394,[3]库存使用数据!$A:$J,10,0),0)+IFERROR(VLOOKUP($A394,[4]库存使用数据!$A:$J,10,0),0)+IFERROR(VLOOKUP($A394,[5]库存使用数据!$A:$J,10,0),0)</f>
        <v>0</v>
      </c>
      <c r="K394" s="1">
        <f ca="1">IFERROR(VLOOKUP($A394,[1]库存使用数据!$A:$K,11,0),0)+IFERROR(VLOOKUP($A394,[2]库存使用数据!$A:$K,11,0),0)+IFERROR(VLOOKUP($A394,[3]库存使用数据!$A:$K,11,0),0)+IFERROR(VLOOKUP($A394,[4]库存使用数据!$A:$K,11,0),0)+IFERROR(VLOOKUP($A394,[5]库存使用数据!$A:$K,11,0),0)</f>
        <v>363</v>
      </c>
      <c r="L394" s="1">
        <f ca="1">IFERROR(VLOOKUP($A394,[1]库存使用数据!$A:$L,12,0),0)+IFERROR(VLOOKUP($A394,[2]库存使用数据!$A:$L,12,0),0)+IFERROR(VLOOKUP($A394,[3]库存使用数据!$A:$L,12,0),0)+IFERROR(VLOOKUP($A394,[4]库存使用数据!$A:$L,12,0),0)+IFERROR(VLOOKUP($A394,[5]库存使用数据!$A:$L,12,0),0)</f>
        <v>0</v>
      </c>
      <c r="M394" s="1">
        <f ca="1">IFERROR(VLOOKUP($A394,[1]库存使用数据!$A:$M,13,0),0)+IFERROR(VLOOKUP($A394,[2]库存使用数据!$A:$M,13,0),0)+公式!$B$14*IFERROR(VLOOKUP($A394,[3]库存使用数据!$A:$M,13,0),0)+IFERROR(VLOOKUP($A394,[4]库存使用数据!$A:$M,13,0),0)+IFERROR(VLOOKUP($A394,[5]库存使用数据!$A:$M,13,0),0)</f>
        <v>0</v>
      </c>
    </row>
    <row r="395" spans="1:13">
      <c r="A395" s="6" t="s">
        <v>400</v>
      </c>
      <c r="B395" s="2">
        <f ca="1">IFERROR(VLOOKUP(A395,[1]库存使用数据!$A:$B,2,0),0)+IFERROR(VLOOKUP(A395,[2]库存使用数据!$A:$B,2,0),0)+IFERROR(VLOOKUP(,[3]库存使用数据!$A:$B,2,0),0)+IFERROR(VLOOKUP(A395,[4]库存使用数据!$A:$B,2,0),0)+IFERROR(VLOOKUP(A395,[5]库存使用数据!$A:$B,2,0),0)</f>
        <v>0</v>
      </c>
      <c r="C395" s="1">
        <f ca="1">IFERROR(VLOOKUP($A395,[1]库存使用数据!$A:$C,3,0),0)+IFERROR(VLOOKUP($A395,[2]库存使用数据!$A:$C,3,0),0)+IFERROR(VLOOKUP($A395,[3]库存使用数据!$A:$C,3,0),0)+IFERROR(VLOOKUP($A395,[4]库存使用数据!$A:$C,3,0),0)+IFERROR(VLOOKUP($A395,[5]库存使用数据!$A:$C,3,0),0)</f>
        <v>1</v>
      </c>
      <c r="D395" s="1">
        <f ca="1">IFERROR(VLOOKUP($A395,[1]库存使用数据!$A:$D,4,0),0)+IFERROR(VLOOKUP($A395,[2]库存使用数据!$A:$D,4,0),0)+公式!$B$1*IFERROR(VLOOKUP($A395,[3]库存使用数据!$A:$D,4,0),0)+IFERROR(VLOOKUP($A395,[4]库存使用数据!$A:$D,4,0),0)+IFERROR(VLOOKUP($A395,[5]库存使用数据!$A:$D,4,0),0)</f>
        <v>0.19125</v>
      </c>
      <c r="E395" s="1">
        <f ca="1">IFERROR(VLOOKUP($A395,[1]库存使用数据!$A:$E,5,0),0)+IFERROR(VLOOKUP($A395,[2]库存使用数据!$A:$E,5,0),0)+IFERROR(VLOOKUP($A395,[3]库存使用数据!$A:$E,5,0),0)+IFERROR(VLOOKUP($A395,[4]库存使用数据!$A:$E,5,0),0)+IFERROR(VLOOKUP($A395,[5]库存使用数据!$A:$E,5,0),0)</f>
        <v>448</v>
      </c>
      <c r="F395" s="1">
        <f ca="1">IFERROR(VLOOKUP($A395,[1]库存使用数据!$A:$F,6,0),0)+IFERROR(VLOOKUP($A395,[2]库存使用数据!$A:$F,6,0),0)+IFERROR(VLOOKUP($A395,[4]库存使用数据!$A:$F,6,0),0)+IFERROR(VLOOKUP($A395,[3]库存使用数据!$A:$F,6,0),0)+IFERROR(VLOOKUP($A395,[5]库存使用数据!$A:$F,6,0),0)</f>
        <v>0</v>
      </c>
      <c r="G395" s="1">
        <f ca="1">IFERROR(VLOOKUP($A395,[1]库存使用数据!$A:$G,7,0),0)+IFERROR(VLOOKUP($A395,[2]库存使用数据!$A:$G,7,0),0)+公式!$B$14*IFERROR(VLOOKUP($A395,[3]库存使用数据!$A:$G,7,0),0)+IFERROR(VLOOKUP($A395,[4]库存使用数据!$A:$G,7,0),0)+IFERROR(VLOOKUP($A395,[5]库存使用数据!$A:$G,7,0),0)</f>
        <v>0</v>
      </c>
      <c r="H395" s="1">
        <f ca="1">IFERROR(VLOOKUP($A395,[1]库存使用数据!$A:$H,8,0),0)+IFERROR(VLOOKUP($A395,[2]库存使用数据!$A:$H,8,0),0)+IFERROR(VLOOKUP($A395,[3]库存使用数据!$A:$H,8,0),0)+IFERROR(VLOOKUP($A395,[4]库存使用数据!$A:$H,8,0),0)+IFERROR(VLOOKUP($A395,[5]库存使用数据!$A:$H,8,0),0)</f>
        <v>2568</v>
      </c>
      <c r="I395" s="1">
        <f ca="1">IFERROR(VLOOKUP($A395,[1]库存使用数据!$A:$I,9,0),0)+IFERROR(VLOOKUP($A395,[2]库存使用数据!$A:$I,9,0),0)+IFERROR(VLOOKUP($A395,[3]库存使用数据!$A:$I,9,0),0)+IFERROR(VLOOKUP($A395,[4]库存使用数据!$A:$I,9,0),0)+IFERROR(VLOOKUP($A395,[5]库存使用数据!$A:$I,9,0),0)</f>
        <v>1</v>
      </c>
      <c r="J395" s="1">
        <f ca="1">IFERROR(VLOOKUP($A395,[1]库存使用数据!$A:$J,10,0),0)+IFERROR(VLOOKUP($A395,[2]库存使用数据!$A:$J,10,0),0)+公式!$B$14*IFERROR(VLOOKUP($A395,[3]库存使用数据!$A:$J,10,0),0)+IFERROR(VLOOKUP($A395,[4]库存使用数据!$A:$J,10,0),0)+IFERROR(VLOOKUP($A395,[5]库存使用数据!$A:$J,10,0),0)</f>
        <v>0</v>
      </c>
      <c r="K395" s="1">
        <f ca="1">IFERROR(VLOOKUP($A395,[1]库存使用数据!$A:$K,11,0),0)+IFERROR(VLOOKUP($A395,[2]库存使用数据!$A:$K,11,0),0)+IFERROR(VLOOKUP($A395,[3]库存使用数据!$A:$K,11,0),0)+IFERROR(VLOOKUP($A395,[4]库存使用数据!$A:$K,11,0),0)+IFERROR(VLOOKUP($A395,[5]库存使用数据!$A:$K,11,0),0)</f>
        <v>401</v>
      </c>
      <c r="L395" s="1">
        <f ca="1">IFERROR(VLOOKUP($A395,[1]库存使用数据!$A:$L,12,0),0)+IFERROR(VLOOKUP($A395,[2]库存使用数据!$A:$L,12,0),0)+IFERROR(VLOOKUP($A395,[3]库存使用数据!$A:$L,12,0),0)+IFERROR(VLOOKUP($A395,[4]库存使用数据!$A:$L,12,0),0)+IFERROR(VLOOKUP($A395,[5]库存使用数据!$A:$L,12,0),0)</f>
        <v>1</v>
      </c>
      <c r="M395" s="1">
        <f ca="1">IFERROR(VLOOKUP($A395,[1]库存使用数据!$A:$M,13,0),0)+IFERROR(VLOOKUP($A395,[2]库存使用数据!$A:$M,13,0),0)+公式!$B$14*IFERROR(VLOOKUP($A395,[3]库存使用数据!$A:$M,13,0),0)+IFERROR(VLOOKUP($A395,[4]库存使用数据!$A:$M,13,0),0)+IFERROR(VLOOKUP($A395,[5]库存使用数据!$A:$M,13,0),0)</f>
        <v>0</v>
      </c>
    </row>
    <row r="396" spans="1:13">
      <c r="A396" s="6" t="s">
        <v>401</v>
      </c>
      <c r="B396" s="2">
        <f ca="1">IFERROR(VLOOKUP(A396,[1]库存使用数据!$A:$B,2,0),0)+IFERROR(VLOOKUP(A396,[2]库存使用数据!$A:$B,2,0),0)+IFERROR(VLOOKUP(,[3]库存使用数据!$A:$B,2,0),0)+IFERROR(VLOOKUP(A396,[4]库存使用数据!$A:$B,2,0),0)+IFERROR(VLOOKUP(A396,[5]库存使用数据!$A:$B,2,0),0)</f>
        <v>0</v>
      </c>
      <c r="C396" s="1">
        <f ca="1">IFERROR(VLOOKUP($A396,[1]库存使用数据!$A:$C,3,0),0)+IFERROR(VLOOKUP($A396,[2]库存使用数据!$A:$C,3,0),0)+IFERROR(VLOOKUP($A396,[3]库存使用数据!$A:$C,3,0),0)+IFERROR(VLOOKUP($A396,[4]库存使用数据!$A:$C,3,0),0)+IFERROR(VLOOKUP($A396,[5]库存使用数据!$A:$C,3,0),0)</f>
        <v>1</v>
      </c>
      <c r="D396" s="1">
        <f ca="1">IFERROR(VLOOKUP($A396,[1]库存使用数据!$A:$D,4,0),0)+IFERROR(VLOOKUP($A396,[2]库存使用数据!$A:$D,4,0),0)+公式!$B$1*IFERROR(VLOOKUP($A396,[3]库存使用数据!$A:$D,4,0),0)+IFERROR(VLOOKUP($A396,[4]库存使用数据!$A:$D,4,0),0)+IFERROR(VLOOKUP($A396,[5]库存使用数据!$A:$D,4,0),0)</f>
        <v>0.19125</v>
      </c>
      <c r="E396" s="1">
        <f ca="1">IFERROR(VLOOKUP($A396,[1]库存使用数据!$A:$E,5,0),0)+IFERROR(VLOOKUP($A396,[2]库存使用数据!$A:$E,5,0),0)+IFERROR(VLOOKUP($A396,[3]库存使用数据!$A:$E,5,0),0)+IFERROR(VLOOKUP($A396,[4]库存使用数据!$A:$E,5,0),0)+IFERROR(VLOOKUP($A396,[5]库存使用数据!$A:$E,5,0),0)</f>
        <v>1575</v>
      </c>
      <c r="F396" s="1">
        <f ca="1">IFERROR(VLOOKUP($A396,[1]库存使用数据!$A:$F,6,0),0)+IFERROR(VLOOKUP($A396,[2]库存使用数据!$A:$F,6,0),0)+IFERROR(VLOOKUP($A396,[4]库存使用数据!$A:$F,6,0),0)+IFERROR(VLOOKUP($A396,[3]库存使用数据!$A:$F,6,0),0)+IFERROR(VLOOKUP($A396,[5]库存使用数据!$A:$F,6,0),0)</f>
        <v>3</v>
      </c>
      <c r="G396" s="1">
        <f ca="1">IFERROR(VLOOKUP($A396,[1]库存使用数据!$A:$G,7,0),0)+IFERROR(VLOOKUP($A396,[2]库存使用数据!$A:$G,7,0),0)+公式!$B$14*IFERROR(VLOOKUP($A396,[3]库存使用数据!$A:$G,7,0),0)+IFERROR(VLOOKUP($A396,[4]库存使用数据!$A:$G,7,0),0)+IFERROR(VLOOKUP($A396,[5]库存使用数据!$A:$G,7,0),0)</f>
        <v>0</v>
      </c>
      <c r="H396" s="1">
        <f ca="1">IFERROR(VLOOKUP($A396,[1]库存使用数据!$A:$H,8,0),0)+IFERROR(VLOOKUP($A396,[2]库存使用数据!$A:$H,8,0),0)+IFERROR(VLOOKUP($A396,[3]库存使用数据!$A:$H,8,0),0)+IFERROR(VLOOKUP($A396,[4]库存使用数据!$A:$H,8,0),0)+IFERROR(VLOOKUP($A396,[5]库存使用数据!$A:$H,8,0),0)</f>
        <v>668</v>
      </c>
      <c r="I396" s="1">
        <f ca="1">IFERROR(VLOOKUP($A396,[1]库存使用数据!$A:$I,9,0),0)+IFERROR(VLOOKUP($A396,[2]库存使用数据!$A:$I,9,0),0)+IFERROR(VLOOKUP($A396,[3]库存使用数据!$A:$I,9,0),0)+IFERROR(VLOOKUP($A396,[4]库存使用数据!$A:$I,9,0),0)+IFERROR(VLOOKUP($A396,[5]库存使用数据!$A:$I,9,0),0)</f>
        <v>1</v>
      </c>
      <c r="J396" s="1">
        <f ca="1">IFERROR(VLOOKUP($A396,[1]库存使用数据!$A:$J,10,0),0)+IFERROR(VLOOKUP($A396,[2]库存使用数据!$A:$J,10,0),0)+公式!$B$14*IFERROR(VLOOKUP($A396,[3]库存使用数据!$A:$J,10,0),0)+IFERROR(VLOOKUP($A396,[4]库存使用数据!$A:$J,10,0),0)+IFERROR(VLOOKUP($A396,[5]库存使用数据!$A:$J,10,0),0)</f>
        <v>0</v>
      </c>
      <c r="K396" s="1">
        <f ca="1">IFERROR(VLOOKUP($A396,[1]库存使用数据!$A:$K,11,0),0)+IFERROR(VLOOKUP($A396,[2]库存使用数据!$A:$K,11,0),0)+IFERROR(VLOOKUP($A396,[3]库存使用数据!$A:$K,11,0),0)+IFERROR(VLOOKUP($A396,[4]库存使用数据!$A:$K,11,0),0)+IFERROR(VLOOKUP($A396,[5]库存使用数据!$A:$K,11,0),0)</f>
        <v>480</v>
      </c>
      <c r="L396" s="1">
        <f ca="1">IFERROR(VLOOKUP($A396,[1]库存使用数据!$A:$L,12,0),0)+IFERROR(VLOOKUP($A396,[2]库存使用数据!$A:$L,12,0),0)+IFERROR(VLOOKUP($A396,[3]库存使用数据!$A:$L,12,0),0)+IFERROR(VLOOKUP($A396,[4]库存使用数据!$A:$L,12,0),0)+IFERROR(VLOOKUP($A396,[5]库存使用数据!$A:$L,12,0),0)</f>
        <v>8</v>
      </c>
      <c r="M396" s="1">
        <f ca="1">IFERROR(VLOOKUP($A396,[1]库存使用数据!$A:$M,13,0),0)+IFERROR(VLOOKUP($A396,[2]库存使用数据!$A:$M,13,0),0)+公式!$B$14*IFERROR(VLOOKUP($A396,[3]库存使用数据!$A:$M,13,0),0)+IFERROR(VLOOKUP($A396,[4]库存使用数据!$A:$M,13,0),0)+IFERROR(VLOOKUP($A396,[5]库存使用数据!$A:$M,13,0),0)</f>
        <v>0</v>
      </c>
    </row>
    <row r="397" spans="1:13">
      <c r="A397" s="6" t="s">
        <v>402</v>
      </c>
      <c r="B397" s="2">
        <f ca="1">IFERROR(VLOOKUP(A397,[1]库存使用数据!$A:$B,2,0),0)+IFERROR(VLOOKUP(A397,[2]库存使用数据!$A:$B,2,0),0)+IFERROR(VLOOKUP(,[3]库存使用数据!$A:$B,2,0),0)+IFERROR(VLOOKUP(A397,[4]库存使用数据!$A:$B,2,0),0)+IFERROR(VLOOKUP(A397,[5]库存使用数据!$A:$B,2,0),0)</f>
        <v>0</v>
      </c>
      <c r="C397" s="1">
        <f ca="1">IFERROR(VLOOKUP($A397,[1]库存使用数据!$A:$C,3,0),0)+IFERROR(VLOOKUP($A397,[2]库存使用数据!$A:$C,3,0),0)+IFERROR(VLOOKUP($A397,[3]库存使用数据!$A:$C,3,0),0)+IFERROR(VLOOKUP($A397,[4]库存使用数据!$A:$C,3,0),0)+IFERROR(VLOOKUP($A397,[5]库存使用数据!$A:$C,3,0),0)</f>
        <v>2</v>
      </c>
      <c r="D397" s="1">
        <f ca="1">IFERROR(VLOOKUP($A397,[1]库存使用数据!$A:$D,4,0),0)+IFERROR(VLOOKUP($A397,[2]库存使用数据!$A:$D,4,0),0)+公式!$B$1*IFERROR(VLOOKUP($A397,[3]库存使用数据!$A:$D,4,0),0)+IFERROR(VLOOKUP($A397,[4]库存使用数据!$A:$D,4,0),0)+IFERROR(VLOOKUP($A397,[5]库存使用数据!$A:$D,4,0),0)</f>
        <v>0.315</v>
      </c>
      <c r="E397" s="1">
        <f ca="1">IFERROR(VLOOKUP($A397,[1]库存使用数据!$A:$E,5,0),0)+IFERROR(VLOOKUP($A397,[2]库存使用数据!$A:$E,5,0),0)+IFERROR(VLOOKUP($A397,[3]库存使用数据!$A:$E,5,0),0)+IFERROR(VLOOKUP($A397,[4]库存使用数据!$A:$E,5,0),0)+IFERROR(VLOOKUP($A397,[5]库存使用数据!$A:$E,5,0),0)</f>
        <v>974</v>
      </c>
      <c r="F397" s="1">
        <f ca="1">IFERROR(VLOOKUP($A397,[1]库存使用数据!$A:$F,6,0),0)+IFERROR(VLOOKUP($A397,[2]库存使用数据!$A:$F,6,0),0)+IFERROR(VLOOKUP($A397,[4]库存使用数据!$A:$F,6,0),0)+IFERROR(VLOOKUP($A397,[3]库存使用数据!$A:$F,6,0),0)+IFERROR(VLOOKUP($A397,[5]库存使用数据!$A:$F,6,0),0)</f>
        <v>1</v>
      </c>
      <c r="G397" s="1">
        <f ca="1">IFERROR(VLOOKUP($A397,[1]库存使用数据!$A:$G,7,0),0)+IFERROR(VLOOKUP($A397,[2]库存使用数据!$A:$G,7,0),0)+公式!$B$14*IFERROR(VLOOKUP($A397,[3]库存使用数据!$A:$G,7,0),0)+IFERROR(VLOOKUP($A397,[4]库存使用数据!$A:$G,7,0),0)+IFERROR(VLOOKUP($A397,[5]库存使用数据!$A:$G,7,0),0)</f>
        <v>0</v>
      </c>
      <c r="H397" s="1">
        <f ca="1">IFERROR(VLOOKUP($A397,[1]库存使用数据!$A:$H,8,0),0)+IFERROR(VLOOKUP($A397,[2]库存使用数据!$A:$H,8,0),0)+IFERROR(VLOOKUP($A397,[3]库存使用数据!$A:$H,8,0),0)+IFERROR(VLOOKUP($A397,[4]库存使用数据!$A:$H,8,0),0)+IFERROR(VLOOKUP($A397,[5]库存使用数据!$A:$H,8,0),0)</f>
        <v>895</v>
      </c>
      <c r="I397" s="1">
        <f ca="1">IFERROR(VLOOKUP($A397,[1]库存使用数据!$A:$I,9,0),0)+IFERROR(VLOOKUP($A397,[2]库存使用数据!$A:$I,9,0),0)+IFERROR(VLOOKUP($A397,[3]库存使用数据!$A:$I,9,0),0)+IFERROR(VLOOKUP($A397,[4]库存使用数据!$A:$I,9,0),0)+IFERROR(VLOOKUP($A397,[5]库存使用数据!$A:$I,9,0),0)</f>
        <v>1</v>
      </c>
      <c r="J397" s="1">
        <f ca="1">IFERROR(VLOOKUP($A397,[1]库存使用数据!$A:$J,10,0),0)+IFERROR(VLOOKUP($A397,[2]库存使用数据!$A:$J,10,0),0)+公式!$B$14*IFERROR(VLOOKUP($A397,[3]库存使用数据!$A:$J,10,0),0)+IFERROR(VLOOKUP($A397,[4]库存使用数据!$A:$J,10,0),0)+IFERROR(VLOOKUP($A397,[5]库存使用数据!$A:$J,10,0),0)</f>
        <v>0</v>
      </c>
      <c r="K397" s="1">
        <f ca="1">IFERROR(VLOOKUP($A397,[1]库存使用数据!$A:$K,11,0),0)+IFERROR(VLOOKUP($A397,[2]库存使用数据!$A:$K,11,0),0)+IFERROR(VLOOKUP($A397,[3]库存使用数据!$A:$K,11,0),0)+IFERROR(VLOOKUP($A397,[4]库存使用数据!$A:$K,11,0),0)+IFERROR(VLOOKUP($A397,[5]库存使用数据!$A:$K,11,0),0)</f>
        <v>2467</v>
      </c>
      <c r="L397" s="1">
        <f ca="1">IFERROR(VLOOKUP($A397,[1]库存使用数据!$A:$L,12,0),0)+IFERROR(VLOOKUP($A397,[2]库存使用数据!$A:$L,12,0),0)+IFERROR(VLOOKUP($A397,[3]库存使用数据!$A:$L,12,0),0)+IFERROR(VLOOKUP($A397,[4]库存使用数据!$A:$L,12,0),0)+IFERROR(VLOOKUP($A397,[5]库存使用数据!$A:$L,12,0),0)</f>
        <v>2</v>
      </c>
      <c r="M397" s="1">
        <f ca="1">IFERROR(VLOOKUP($A397,[1]库存使用数据!$A:$M,13,0),0)+IFERROR(VLOOKUP($A397,[2]库存使用数据!$A:$M,13,0),0)+公式!$B$14*IFERROR(VLOOKUP($A397,[3]库存使用数据!$A:$M,13,0),0)+IFERROR(VLOOKUP($A397,[4]库存使用数据!$A:$M,13,0),0)+IFERROR(VLOOKUP($A397,[5]库存使用数据!$A:$M,13,0),0)</f>
        <v>0</v>
      </c>
    </row>
    <row r="398" spans="1:13">
      <c r="A398" s="6" t="s">
        <v>403</v>
      </c>
      <c r="B398" s="2">
        <f ca="1">IFERROR(VLOOKUP(A398,[1]库存使用数据!$A:$B,2,0),0)+IFERROR(VLOOKUP(A398,[2]库存使用数据!$A:$B,2,0),0)+IFERROR(VLOOKUP(,[3]库存使用数据!$A:$B,2,0),0)+IFERROR(VLOOKUP(A398,[4]库存使用数据!$A:$B,2,0),0)+IFERROR(VLOOKUP(A398,[5]库存使用数据!$A:$B,2,0),0)</f>
        <v>0</v>
      </c>
      <c r="C398" s="1">
        <f ca="1">IFERROR(VLOOKUP($A398,[1]库存使用数据!$A:$C,3,0),0)+IFERROR(VLOOKUP($A398,[2]库存使用数据!$A:$C,3,0),0)+IFERROR(VLOOKUP($A398,[3]库存使用数据!$A:$C,3,0),0)+IFERROR(VLOOKUP($A398,[4]库存使用数据!$A:$C,3,0),0)+IFERROR(VLOOKUP($A398,[5]库存使用数据!$A:$C,3,0),0)</f>
        <v>0</v>
      </c>
      <c r="D398" s="1">
        <f ca="1">IFERROR(VLOOKUP($A398,[1]库存使用数据!$A:$D,4,0),0)+IFERROR(VLOOKUP($A398,[2]库存使用数据!$A:$D,4,0),0)+公式!$B$1*IFERROR(VLOOKUP($A398,[3]库存使用数据!$A:$D,4,0),0)+IFERROR(VLOOKUP($A398,[4]库存使用数据!$A:$D,4,0),0)+IFERROR(VLOOKUP($A398,[5]库存使用数据!$A:$D,4,0),0)</f>
        <v>0</v>
      </c>
      <c r="E398" s="1">
        <f ca="1">IFERROR(VLOOKUP($A398,[1]库存使用数据!$A:$E,5,0),0)+IFERROR(VLOOKUP($A398,[2]库存使用数据!$A:$E,5,0),0)+IFERROR(VLOOKUP($A398,[3]库存使用数据!$A:$E,5,0),0)+IFERROR(VLOOKUP($A398,[4]库存使用数据!$A:$E,5,0),0)+IFERROR(VLOOKUP($A398,[5]库存使用数据!$A:$E,5,0),0)</f>
        <v>650</v>
      </c>
      <c r="F398" s="1">
        <f ca="1">IFERROR(VLOOKUP($A398,[1]库存使用数据!$A:$F,6,0),0)+IFERROR(VLOOKUP($A398,[2]库存使用数据!$A:$F,6,0),0)+IFERROR(VLOOKUP($A398,[4]库存使用数据!$A:$F,6,0),0)+IFERROR(VLOOKUP($A398,[3]库存使用数据!$A:$F,6,0),0)+IFERROR(VLOOKUP($A398,[5]库存使用数据!$A:$F,6,0),0)</f>
        <v>0</v>
      </c>
      <c r="G398" s="1">
        <f ca="1">IFERROR(VLOOKUP($A398,[1]库存使用数据!$A:$G,7,0),0)+IFERROR(VLOOKUP($A398,[2]库存使用数据!$A:$G,7,0),0)+公式!$B$14*IFERROR(VLOOKUP($A398,[3]库存使用数据!$A:$G,7,0),0)+IFERROR(VLOOKUP($A398,[4]库存使用数据!$A:$G,7,0),0)+IFERROR(VLOOKUP($A398,[5]库存使用数据!$A:$G,7,0),0)</f>
        <v>0</v>
      </c>
      <c r="H398" s="1">
        <f ca="1">IFERROR(VLOOKUP($A398,[1]库存使用数据!$A:$H,8,0),0)+IFERROR(VLOOKUP($A398,[2]库存使用数据!$A:$H,8,0),0)+IFERROR(VLOOKUP($A398,[3]库存使用数据!$A:$H,8,0),0)+IFERROR(VLOOKUP($A398,[4]库存使用数据!$A:$H,8,0),0)+IFERROR(VLOOKUP($A398,[5]库存使用数据!$A:$H,8,0),0)</f>
        <v>139</v>
      </c>
      <c r="I398" s="1">
        <f ca="1">IFERROR(VLOOKUP($A398,[1]库存使用数据!$A:$I,9,0),0)+IFERROR(VLOOKUP($A398,[2]库存使用数据!$A:$I,9,0),0)+IFERROR(VLOOKUP($A398,[3]库存使用数据!$A:$I,9,0),0)+IFERROR(VLOOKUP($A398,[4]库存使用数据!$A:$I,9,0),0)+IFERROR(VLOOKUP($A398,[5]库存使用数据!$A:$I,9,0),0)</f>
        <v>0</v>
      </c>
      <c r="J398" s="1">
        <f ca="1">IFERROR(VLOOKUP($A398,[1]库存使用数据!$A:$J,10,0),0)+IFERROR(VLOOKUP($A398,[2]库存使用数据!$A:$J,10,0),0)+公式!$B$14*IFERROR(VLOOKUP($A398,[3]库存使用数据!$A:$J,10,0),0)+IFERROR(VLOOKUP($A398,[4]库存使用数据!$A:$J,10,0),0)+IFERROR(VLOOKUP($A398,[5]库存使用数据!$A:$J,10,0),0)</f>
        <v>0</v>
      </c>
      <c r="K398" s="1">
        <f ca="1">IFERROR(VLOOKUP($A398,[1]库存使用数据!$A:$K,11,0),0)+IFERROR(VLOOKUP($A398,[2]库存使用数据!$A:$K,11,0),0)+IFERROR(VLOOKUP($A398,[3]库存使用数据!$A:$K,11,0),0)+IFERROR(VLOOKUP($A398,[4]库存使用数据!$A:$K,11,0),0)+IFERROR(VLOOKUP($A398,[5]库存使用数据!$A:$K,11,0),0)</f>
        <v>102</v>
      </c>
      <c r="L398" s="1">
        <f ca="1">IFERROR(VLOOKUP($A398,[1]库存使用数据!$A:$L,12,0),0)+IFERROR(VLOOKUP($A398,[2]库存使用数据!$A:$L,12,0),0)+IFERROR(VLOOKUP($A398,[3]库存使用数据!$A:$L,12,0),0)+IFERROR(VLOOKUP($A398,[4]库存使用数据!$A:$L,12,0),0)+IFERROR(VLOOKUP($A398,[5]库存使用数据!$A:$L,12,0),0)</f>
        <v>1</v>
      </c>
      <c r="M398" s="1">
        <f ca="1">IFERROR(VLOOKUP($A398,[1]库存使用数据!$A:$M,13,0),0)+IFERROR(VLOOKUP($A398,[2]库存使用数据!$A:$M,13,0),0)+公式!$B$14*IFERROR(VLOOKUP($A398,[3]库存使用数据!$A:$M,13,0),0)+IFERROR(VLOOKUP($A398,[4]库存使用数据!$A:$M,13,0),0)+IFERROR(VLOOKUP($A398,[5]库存使用数据!$A:$M,13,0),0)</f>
        <v>0</v>
      </c>
    </row>
    <row r="399" spans="1:13">
      <c r="A399" s="6" t="s">
        <v>404</v>
      </c>
      <c r="B399" s="2">
        <f ca="1">IFERROR(VLOOKUP(A399,[1]库存使用数据!$A:$B,2,0),0)+IFERROR(VLOOKUP(A399,[2]库存使用数据!$A:$B,2,0),0)+IFERROR(VLOOKUP(,[3]库存使用数据!$A:$B,2,0),0)+IFERROR(VLOOKUP(A399,[4]库存使用数据!$A:$B,2,0),0)+IFERROR(VLOOKUP(A399,[5]库存使用数据!$A:$B,2,0),0)</f>
        <v>0</v>
      </c>
      <c r="C399" s="1">
        <f ca="1">IFERROR(VLOOKUP($A399,[1]库存使用数据!$A:$C,3,0),0)+IFERROR(VLOOKUP($A399,[2]库存使用数据!$A:$C,3,0),0)+IFERROR(VLOOKUP($A399,[3]库存使用数据!$A:$C,3,0),0)+IFERROR(VLOOKUP($A399,[4]库存使用数据!$A:$C,3,0),0)+IFERROR(VLOOKUP($A399,[5]库存使用数据!$A:$C,3,0),0)</f>
        <v>6</v>
      </c>
      <c r="D399" s="1">
        <f ca="1">IFERROR(VLOOKUP($A399,[1]库存使用数据!$A:$D,4,0),0)+IFERROR(VLOOKUP($A399,[2]库存使用数据!$A:$D,4,0),0)+公式!$B$1*IFERROR(VLOOKUP($A399,[3]库存使用数据!$A:$D,4,0),0)+IFERROR(VLOOKUP($A399,[4]库存使用数据!$A:$D,4,0),0)+IFERROR(VLOOKUP($A399,[5]库存使用数据!$A:$D,4,0),0)</f>
        <v>1.02375</v>
      </c>
      <c r="E399" s="1">
        <f ca="1">IFERROR(VLOOKUP($A399,[1]库存使用数据!$A:$E,5,0),0)+IFERROR(VLOOKUP($A399,[2]库存使用数据!$A:$E,5,0),0)+IFERROR(VLOOKUP($A399,[3]库存使用数据!$A:$E,5,0),0)+IFERROR(VLOOKUP($A399,[4]库存使用数据!$A:$E,5,0),0)+IFERROR(VLOOKUP($A399,[5]库存使用数据!$A:$E,5,0),0)</f>
        <v>1259</v>
      </c>
      <c r="F399" s="1">
        <f ca="1">IFERROR(VLOOKUP($A399,[1]库存使用数据!$A:$F,6,0),0)+IFERROR(VLOOKUP($A399,[2]库存使用数据!$A:$F,6,0),0)+IFERROR(VLOOKUP($A399,[4]库存使用数据!$A:$F,6,0),0)+IFERROR(VLOOKUP($A399,[3]库存使用数据!$A:$F,6,0),0)+IFERROR(VLOOKUP($A399,[5]库存使用数据!$A:$F,6,0),0)</f>
        <v>3</v>
      </c>
      <c r="G399" s="1">
        <f ca="1">IFERROR(VLOOKUP($A399,[1]库存使用数据!$A:$G,7,0),0)+IFERROR(VLOOKUP($A399,[2]库存使用数据!$A:$G,7,0),0)+公式!$B$14*IFERROR(VLOOKUP($A399,[3]库存使用数据!$A:$G,7,0),0)+IFERROR(VLOOKUP($A399,[4]库存使用数据!$A:$G,7,0),0)+IFERROR(VLOOKUP($A399,[5]库存使用数据!$A:$G,7,0),0)</f>
        <v>0</v>
      </c>
      <c r="H399" s="1">
        <f ca="1">IFERROR(VLOOKUP($A399,[1]库存使用数据!$A:$H,8,0),0)+IFERROR(VLOOKUP($A399,[2]库存使用数据!$A:$H,8,0),0)+IFERROR(VLOOKUP($A399,[3]库存使用数据!$A:$H,8,0),0)+IFERROR(VLOOKUP($A399,[4]库存使用数据!$A:$H,8,0),0)+IFERROR(VLOOKUP($A399,[5]库存使用数据!$A:$H,8,0),0)</f>
        <v>600</v>
      </c>
      <c r="I399" s="1">
        <f ca="1">IFERROR(VLOOKUP($A399,[1]库存使用数据!$A:$I,9,0),0)+IFERROR(VLOOKUP($A399,[2]库存使用数据!$A:$I,9,0),0)+IFERROR(VLOOKUP($A399,[3]库存使用数据!$A:$I,9,0),0)+IFERROR(VLOOKUP($A399,[4]库存使用数据!$A:$I,9,0),0)+IFERROR(VLOOKUP($A399,[5]库存使用数据!$A:$I,9,0),0)</f>
        <v>5</v>
      </c>
      <c r="J399" s="1">
        <f ca="1">IFERROR(VLOOKUP($A399,[1]库存使用数据!$A:$J,10,0),0)+IFERROR(VLOOKUP($A399,[2]库存使用数据!$A:$J,10,0),0)+公式!$B$14*IFERROR(VLOOKUP($A399,[3]库存使用数据!$A:$J,10,0),0)+IFERROR(VLOOKUP($A399,[4]库存使用数据!$A:$J,10,0),0)+IFERROR(VLOOKUP($A399,[5]库存使用数据!$A:$J,10,0),0)</f>
        <v>0</v>
      </c>
      <c r="K399" s="1">
        <f ca="1">IFERROR(VLOOKUP($A399,[1]库存使用数据!$A:$K,11,0),0)+IFERROR(VLOOKUP($A399,[2]库存使用数据!$A:$K,11,0),0)+IFERROR(VLOOKUP($A399,[3]库存使用数据!$A:$K,11,0),0)+IFERROR(VLOOKUP($A399,[4]库存使用数据!$A:$K,11,0),0)+IFERROR(VLOOKUP($A399,[5]库存使用数据!$A:$K,11,0),0)</f>
        <v>1830</v>
      </c>
      <c r="L399" s="1">
        <f ca="1">IFERROR(VLOOKUP($A399,[1]库存使用数据!$A:$L,12,0),0)+IFERROR(VLOOKUP($A399,[2]库存使用数据!$A:$L,12,0),0)+IFERROR(VLOOKUP($A399,[3]库存使用数据!$A:$L,12,0),0)+IFERROR(VLOOKUP($A399,[4]库存使用数据!$A:$L,12,0),0)+IFERROR(VLOOKUP($A399,[5]库存使用数据!$A:$L,12,0),0)</f>
        <v>6</v>
      </c>
      <c r="M399" s="1">
        <f ca="1">IFERROR(VLOOKUP($A399,[1]库存使用数据!$A:$M,13,0),0)+IFERROR(VLOOKUP($A399,[2]库存使用数据!$A:$M,13,0),0)+公式!$B$14*IFERROR(VLOOKUP($A399,[3]库存使用数据!$A:$M,13,0),0)+IFERROR(VLOOKUP($A399,[4]库存使用数据!$A:$M,13,0),0)+IFERROR(VLOOKUP($A399,[5]库存使用数据!$A:$M,13,0),0)</f>
        <v>0</v>
      </c>
    </row>
    <row r="400" spans="1:13">
      <c r="A400" s="6" t="s">
        <v>405</v>
      </c>
      <c r="B400" s="2">
        <f ca="1">IFERROR(VLOOKUP(A400,[1]库存使用数据!$A:$B,2,0),0)+IFERROR(VLOOKUP(A400,[2]库存使用数据!$A:$B,2,0),0)+IFERROR(VLOOKUP(,[3]库存使用数据!$A:$B,2,0),0)+IFERROR(VLOOKUP(A400,[4]库存使用数据!$A:$B,2,0),0)+IFERROR(VLOOKUP(A400,[5]库存使用数据!$A:$B,2,0),0)</f>
        <v>0</v>
      </c>
      <c r="C400" s="1">
        <f ca="1">IFERROR(VLOOKUP($A400,[1]库存使用数据!$A:$C,3,0),0)+IFERROR(VLOOKUP($A400,[2]库存使用数据!$A:$C,3,0),0)+IFERROR(VLOOKUP($A400,[3]库存使用数据!$A:$C,3,0),0)+IFERROR(VLOOKUP($A400,[4]库存使用数据!$A:$C,3,0),0)+IFERROR(VLOOKUP($A400,[5]库存使用数据!$A:$C,3,0),0)</f>
        <v>4</v>
      </c>
      <c r="D400" s="1">
        <f ca="1">IFERROR(VLOOKUP($A400,[1]库存使用数据!$A:$D,4,0),0)+IFERROR(VLOOKUP($A400,[2]库存使用数据!$A:$D,4,0),0)+公式!$B$1*IFERROR(VLOOKUP($A400,[3]库存使用数据!$A:$D,4,0),0)+IFERROR(VLOOKUP($A400,[4]库存使用数据!$A:$D,4,0),0)+IFERROR(VLOOKUP($A400,[5]库存使用数据!$A:$D,4,0),0)</f>
        <v>0.675</v>
      </c>
      <c r="E400" s="1">
        <f ca="1">IFERROR(VLOOKUP($A400,[1]库存使用数据!$A:$E,5,0),0)+IFERROR(VLOOKUP($A400,[2]库存使用数据!$A:$E,5,0),0)+IFERROR(VLOOKUP($A400,[3]库存使用数据!$A:$E,5,0),0)+IFERROR(VLOOKUP($A400,[4]库存使用数据!$A:$E,5,0),0)+IFERROR(VLOOKUP($A400,[5]库存使用数据!$A:$E,5,0),0)</f>
        <v>2185</v>
      </c>
      <c r="F400" s="1">
        <f ca="1">IFERROR(VLOOKUP($A400,[1]库存使用数据!$A:$F,6,0),0)+IFERROR(VLOOKUP($A400,[2]库存使用数据!$A:$F,6,0),0)+IFERROR(VLOOKUP($A400,[4]库存使用数据!$A:$F,6,0),0)+IFERROR(VLOOKUP($A400,[3]库存使用数据!$A:$F,6,0),0)+IFERROR(VLOOKUP($A400,[5]库存使用数据!$A:$F,6,0),0)</f>
        <v>8</v>
      </c>
      <c r="G400" s="1">
        <f ca="1">IFERROR(VLOOKUP($A400,[1]库存使用数据!$A:$G,7,0),0)+IFERROR(VLOOKUP($A400,[2]库存使用数据!$A:$G,7,0),0)+公式!$B$14*IFERROR(VLOOKUP($A400,[3]库存使用数据!$A:$G,7,0),0)+IFERROR(VLOOKUP($A400,[4]库存使用数据!$A:$G,7,0),0)+IFERROR(VLOOKUP($A400,[5]库存使用数据!$A:$G,7,0),0)</f>
        <v>0</v>
      </c>
      <c r="H400" s="1">
        <f ca="1">IFERROR(VLOOKUP($A400,[1]库存使用数据!$A:$H,8,0),0)+IFERROR(VLOOKUP($A400,[2]库存使用数据!$A:$H,8,0),0)+IFERROR(VLOOKUP($A400,[3]库存使用数据!$A:$H,8,0),0)+IFERROR(VLOOKUP($A400,[4]库存使用数据!$A:$H,8,0),0)+IFERROR(VLOOKUP($A400,[5]库存使用数据!$A:$H,8,0),0)</f>
        <v>376</v>
      </c>
      <c r="I400" s="1">
        <f ca="1">IFERROR(VLOOKUP($A400,[1]库存使用数据!$A:$I,9,0),0)+IFERROR(VLOOKUP($A400,[2]库存使用数据!$A:$I,9,0),0)+IFERROR(VLOOKUP($A400,[3]库存使用数据!$A:$I,9,0),0)+IFERROR(VLOOKUP($A400,[4]库存使用数据!$A:$I,9,0),0)+IFERROR(VLOOKUP($A400,[5]库存使用数据!$A:$I,9,0),0)</f>
        <v>3</v>
      </c>
      <c r="J400" s="1">
        <f ca="1">IFERROR(VLOOKUP($A400,[1]库存使用数据!$A:$J,10,0),0)+IFERROR(VLOOKUP($A400,[2]库存使用数据!$A:$J,10,0),0)+公式!$B$14*IFERROR(VLOOKUP($A400,[3]库存使用数据!$A:$J,10,0),0)+IFERROR(VLOOKUP($A400,[4]库存使用数据!$A:$J,10,0),0)+IFERROR(VLOOKUP($A400,[5]库存使用数据!$A:$J,10,0),0)</f>
        <v>0</v>
      </c>
      <c r="K400" s="1">
        <f ca="1">IFERROR(VLOOKUP($A400,[1]库存使用数据!$A:$K,11,0),0)+IFERROR(VLOOKUP($A400,[2]库存使用数据!$A:$K,11,0),0)+IFERROR(VLOOKUP($A400,[3]库存使用数据!$A:$K,11,0),0)+IFERROR(VLOOKUP($A400,[4]库存使用数据!$A:$K,11,0),0)+IFERROR(VLOOKUP($A400,[5]库存使用数据!$A:$K,11,0),0)</f>
        <v>416</v>
      </c>
      <c r="L400" s="1">
        <f ca="1">IFERROR(VLOOKUP($A400,[1]库存使用数据!$A:$L,12,0),0)+IFERROR(VLOOKUP($A400,[2]库存使用数据!$A:$L,12,0),0)+IFERROR(VLOOKUP($A400,[3]库存使用数据!$A:$L,12,0),0)+IFERROR(VLOOKUP($A400,[4]库存使用数据!$A:$L,12,0),0)+IFERROR(VLOOKUP($A400,[5]库存使用数据!$A:$L,12,0),0)</f>
        <v>5</v>
      </c>
      <c r="M400" s="1">
        <f ca="1">IFERROR(VLOOKUP($A400,[1]库存使用数据!$A:$M,13,0),0)+IFERROR(VLOOKUP($A400,[2]库存使用数据!$A:$M,13,0),0)+公式!$B$14*IFERROR(VLOOKUP($A400,[3]库存使用数据!$A:$M,13,0),0)+IFERROR(VLOOKUP($A400,[4]库存使用数据!$A:$M,13,0),0)+IFERROR(VLOOKUP($A400,[5]库存使用数据!$A:$M,13,0),0)</f>
        <v>0</v>
      </c>
    </row>
    <row r="401" spans="1:13">
      <c r="A401" s="6" t="s">
        <v>406</v>
      </c>
      <c r="B401" s="2">
        <f ca="1">IFERROR(VLOOKUP(A401,[1]库存使用数据!$A:$B,2,0),0)+IFERROR(VLOOKUP(A401,[2]库存使用数据!$A:$B,2,0),0)+IFERROR(VLOOKUP(,[3]库存使用数据!$A:$B,2,0),0)+IFERROR(VLOOKUP(A401,[4]库存使用数据!$A:$B,2,0),0)+IFERROR(VLOOKUP(A401,[5]库存使用数据!$A:$B,2,0),0)</f>
        <v>0</v>
      </c>
      <c r="C401" s="1">
        <f ca="1">IFERROR(VLOOKUP($A401,[1]库存使用数据!$A:$C,3,0),0)+IFERROR(VLOOKUP($A401,[2]库存使用数据!$A:$C,3,0),0)+IFERROR(VLOOKUP($A401,[3]库存使用数据!$A:$C,3,0),0)+IFERROR(VLOOKUP($A401,[4]库存使用数据!$A:$C,3,0),0)+IFERROR(VLOOKUP($A401,[5]库存使用数据!$A:$C,3,0),0)</f>
        <v>0</v>
      </c>
      <c r="D401" s="1">
        <f ca="1">IFERROR(VLOOKUP($A401,[1]库存使用数据!$A:$D,4,0),0)+IFERROR(VLOOKUP($A401,[2]库存使用数据!$A:$D,4,0),0)+公式!$B$1*IFERROR(VLOOKUP($A401,[3]库存使用数据!$A:$D,4,0),0)+IFERROR(VLOOKUP($A401,[4]库存使用数据!$A:$D,4,0),0)+IFERROR(VLOOKUP($A401,[5]库存使用数据!$A:$D,4,0),0)</f>
        <v>0</v>
      </c>
      <c r="E401" s="1">
        <f ca="1">IFERROR(VLOOKUP($A401,[1]库存使用数据!$A:$E,5,0),0)+IFERROR(VLOOKUP($A401,[2]库存使用数据!$A:$E,5,0),0)+IFERROR(VLOOKUP($A401,[3]库存使用数据!$A:$E,5,0),0)+IFERROR(VLOOKUP($A401,[4]库存使用数据!$A:$E,5,0),0)+IFERROR(VLOOKUP($A401,[5]库存使用数据!$A:$E,5,0),0)</f>
        <v>0</v>
      </c>
      <c r="F401" s="1">
        <f ca="1">IFERROR(VLOOKUP($A401,[1]库存使用数据!$A:$F,6,0),0)+IFERROR(VLOOKUP($A401,[2]库存使用数据!$A:$F,6,0),0)+IFERROR(VLOOKUP($A401,[4]库存使用数据!$A:$F,6,0),0)+IFERROR(VLOOKUP($A401,[3]库存使用数据!$A:$F,6,0),0)+IFERROR(VLOOKUP($A401,[5]库存使用数据!$A:$F,6,0),0)</f>
        <v>0</v>
      </c>
      <c r="G401" s="1">
        <f ca="1">IFERROR(VLOOKUP($A401,[1]库存使用数据!$A:$G,7,0),0)+IFERROR(VLOOKUP($A401,[2]库存使用数据!$A:$G,7,0),0)+公式!$B$14*IFERROR(VLOOKUP($A401,[3]库存使用数据!$A:$G,7,0),0)+IFERROR(VLOOKUP($A401,[4]库存使用数据!$A:$G,7,0),0)+IFERROR(VLOOKUP($A401,[5]库存使用数据!$A:$G,7,0),0)</f>
        <v>0</v>
      </c>
      <c r="H401" s="1">
        <f ca="1">IFERROR(VLOOKUP($A401,[1]库存使用数据!$A:$H,8,0),0)+IFERROR(VLOOKUP($A401,[2]库存使用数据!$A:$H,8,0),0)+IFERROR(VLOOKUP($A401,[3]库存使用数据!$A:$H,8,0),0)+IFERROR(VLOOKUP($A401,[4]库存使用数据!$A:$H,8,0),0)+IFERROR(VLOOKUP($A401,[5]库存使用数据!$A:$H,8,0),0)</f>
        <v>0</v>
      </c>
      <c r="I401" s="1">
        <f ca="1">IFERROR(VLOOKUP($A401,[1]库存使用数据!$A:$I,9,0),0)+IFERROR(VLOOKUP($A401,[2]库存使用数据!$A:$I,9,0),0)+IFERROR(VLOOKUP($A401,[3]库存使用数据!$A:$I,9,0),0)+IFERROR(VLOOKUP($A401,[4]库存使用数据!$A:$I,9,0),0)+IFERROR(VLOOKUP($A401,[5]库存使用数据!$A:$I,9,0),0)</f>
        <v>0</v>
      </c>
      <c r="J401" s="1">
        <f ca="1">IFERROR(VLOOKUP($A401,[1]库存使用数据!$A:$J,10,0),0)+IFERROR(VLOOKUP($A401,[2]库存使用数据!$A:$J,10,0),0)+公式!$B$14*IFERROR(VLOOKUP($A401,[3]库存使用数据!$A:$J,10,0),0)+IFERROR(VLOOKUP($A401,[4]库存使用数据!$A:$J,10,0),0)+IFERROR(VLOOKUP($A401,[5]库存使用数据!$A:$J,10,0),0)</f>
        <v>0</v>
      </c>
      <c r="K401" s="1">
        <f ca="1">IFERROR(VLOOKUP($A401,[1]库存使用数据!$A:$K,11,0),0)+IFERROR(VLOOKUP($A401,[2]库存使用数据!$A:$K,11,0),0)+IFERROR(VLOOKUP($A401,[3]库存使用数据!$A:$K,11,0),0)+IFERROR(VLOOKUP($A401,[4]库存使用数据!$A:$K,11,0),0)+IFERROR(VLOOKUP($A401,[5]库存使用数据!$A:$K,11,0),0)</f>
        <v>275</v>
      </c>
      <c r="L401" s="1">
        <f ca="1">IFERROR(VLOOKUP($A401,[1]库存使用数据!$A:$L,12,0),0)+IFERROR(VLOOKUP($A401,[2]库存使用数据!$A:$L,12,0),0)+IFERROR(VLOOKUP($A401,[3]库存使用数据!$A:$L,12,0),0)+IFERROR(VLOOKUP($A401,[4]库存使用数据!$A:$L,12,0),0)+IFERROR(VLOOKUP($A401,[5]库存使用数据!$A:$L,12,0),0)</f>
        <v>0</v>
      </c>
      <c r="M401" s="1">
        <f ca="1">IFERROR(VLOOKUP($A401,[1]库存使用数据!$A:$M,13,0),0)+IFERROR(VLOOKUP($A401,[2]库存使用数据!$A:$M,13,0),0)+公式!$B$14*IFERROR(VLOOKUP($A401,[3]库存使用数据!$A:$M,13,0),0)+IFERROR(VLOOKUP($A401,[4]库存使用数据!$A:$M,13,0),0)+IFERROR(VLOOKUP($A401,[5]库存使用数据!$A:$M,13,0),0)</f>
        <v>0</v>
      </c>
    </row>
    <row r="402" spans="1:13">
      <c r="A402" s="6" t="s">
        <v>407</v>
      </c>
      <c r="B402" s="2">
        <f ca="1">IFERROR(VLOOKUP(A402,[1]库存使用数据!$A:$B,2,0),0)+IFERROR(VLOOKUP(A402,[2]库存使用数据!$A:$B,2,0),0)+IFERROR(VLOOKUP(,[3]库存使用数据!$A:$B,2,0),0)+IFERROR(VLOOKUP(A402,[4]库存使用数据!$A:$B,2,0),0)+IFERROR(VLOOKUP(A402,[5]库存使用数据!$A:$B,2,0),0)</f>
        <v>0</v>
      </c>
      <c r="C402" s="1">
        <f ca="1">IFERROR(VLOOKUP($A402,[1]库存使用数据!$A:$C,3,0),0)+IFERROR(VLOOKUP($A402,[2]库存使用数据!$A:$C,3,0),0)+IFERROR(VLOOKUP($A402,[3]库存使用数据!$A:$C,3,0),0)+IFERROR(VLOOKUP($A402,[4]库存使用数据!$A:$C,3,0),0)+IFERROR(VLOOKUP($A402,[5]库存使用数据!$A:$C,3,0),0)</f>
        <v>56</v>
      </c>
      <c r="D402" s="1">
        <f ca="1">IFERROR(VLOOKUP($A402,[1]库存使用数据!$A:$D,4,0),0)+IFERROR(VLOOKUP($A402,[2]库存使用数据!$A:$D,4,0),0)+公式!$B$1*IFERROR(VLOOKUP($A402,[3]库存使用数据!$A:$D,4,0),0)+IFERROR(VLOOKUP($A402,[4]库存使用数据!$A:$D,4,0),0)+IFERROR(VLOOKUP($A402,[5]库存使用数据!$A:$D,4,0),0)</f>
        <v>7.72875</v>
      </c>
      <c r="E402" s="1">
        <f ca="1">IFERROR(VLOOKUP($A402,[1]库存使用数据!$A:$E,5,0),0)+IFERROR(VLOOKUP($A402,[2]库存使用数据!$A:$E,5,0),0)+IFERROR(VLOOKUP($A402,[3]库存使用数据!$A:$E,5,0),0)+IFERROR(VLOOKUP($A402,[4]库存使用数据!$A:$E,5,0),0)+IFERROR(VLOOKUP($A402,[5]库存使用数据!$A:$E,5,0),0)</f>
        <v>13985</v>
      </c>
      <c r="F402" s="1">
        <f ca="1">IFERROR(VLOOKUP($A402,[1]库存使用数据!$A:$F,6,0),0)+IFERROR(VLOOKUP($A402,[2]库存使用数据!$A:$F,6,0),0)+IFERROR(VLOOKUP($A402,[4]库存使用数据!$A:$F,6,0),0)+IFERROR(VLOOKUP($A402,[3]库存使用数据!$A:$F,6,0),0)+IFERROR(VLOOKUP($A402,[5]库存使用数据!$A:$F,6,0),0)</f>
        <v>91</v>
      </c>
      <c r="G402" s="1">
        <f ca="1">IFERROR(VLOOKUP($A402,[1]库存使用数据!$A:$G,7,0),0)+IFERROR(VLOOKUP($A402,[2]库存使用数据!$A:$G,7,0),0)+公式!$B$14*IFERROR(VLOOKUP($A402,[3]库存使用数据!$A:$G,7,0),0)+IFERROR(VLOOKUP($A402,[4]库存使用数据!$A:$G,7,0),0)+IFERROR(VLOOKUP($A402,[5]库存使用数据!$A:$G,7,0),0)</f>
        <v>0</v>
      </c>
      <c r="H402" s="1">
        <f ca="1">IFERROR(VLOOKUP($A402,[1]库存使用数据!$A:$H,8,0),0)+IFERROR(VLOOKUP($A402,[2]库存使用数据!$A:$H,8,0),0)+IFERROR(VLOOKUP($A402,[3]库存使用数据!$A:$H,8,0),0)+IFERROR(VLOOKUP($A402,[4]库存使用数据!$A:$H,8,0),0)+IFERROR(VLOOKUP($A402,[5]库存使用数据!$A:$H,8,0),0)</f>
        <v>9957</v>
      </c>
      <c r="I402" s="1">
        <f ca="1">IFERROR(VLOOKUP($A402,[1]库存使用数据!$A:$I,9,0),0)+IFERROR(VLOOKUP($A402,[2]库存使用数据!$A:$I,9,0),0)+IFERROR(VLOOKUP($A402,[3]库存使用数据!$A:$I,9,0),0)+IFERROR(VLOOKUP($A402,[4]库存使用数据!$A:$I,9,0),0)+IFERROR(VLOOKUP($A402,[5]库存使用数据!$A:$I,9,0),0)</f>
        <v>41</v>
      </c>
      <c r="J402" s="1">
        <f ca="1">IFERROR(VLOOKUP($A402,[1]库存使用数据!$A:$J,10,0),0)+IFERROR(VLOOKUP($A402,[2]库存使用数据!$A:$J,10,0),0)+公式!$B$14*IFERROR(VLOOKUP($A402,[3]库存使用数据!$A:$J,10,0),0)+IFERROR(VLOOKUP($A402,[4]库存使用数据!$A:$J,10,0),0)+IFERROR(VLOOKUP($A402,[5]库存使用数据!$A:$J,10,0),0)</f>
        <v>0</v>
      </c>
      <c r="K402" s="1">
        <f ca="1">IFERROR(VLOOKUP($A402,[1]库存使用数据!$A:$K,11,0),0)+IFERROR(VLOOKUP($A402,[2]库存使用数据!$A:$K,11,0),0)+IFERROR(VLOOKUP($A402,[3]库存使用数据!$A:$K,11,0),0)+IFERROR(VLOOKUP($A402,[4]库存使用数据!$A:$K,11,0),0)+IFERROR(VLOOKUP($A402,[5]库存使用数据!$A:$K,11,0),0)</f>
        <v>6860</v>
      </c>
      <c r="L402" s="1">
        <f ca="1">IFERROR(VLOOKUP($A402,[1]库存使用数据!$A:$L,12,0),0)+IFERROR(VLOOKUP($A402,[2]库存使用数据!$A:$L,12,0),0)+IFERROR(VLOOKUP($A402,[3]库存使用数据!$A:$L,12,0),0)+IFERROR(VLOOKUP($A402,[4]库存使用数据!$A:$L,12,0),0)+IFERROR(VLOOKUP($A402,[5]库存使用数据!$A:$L,12,0),0)</f>
        <v>28</v>
      </c>
      <c r="M402" s="1">
        <f ca="1">IFERROR(VLOOKUP($A402,[1]库存使用数据!$A:$M,13,0),0)+IFERROR(VLOOKUP($A402,[2]库存使用数据!$A:$M,13,0),0)+公式!$B$14*IFERROR(VLOOKUP($A402,[3]库存使用数据!$A:$M,13,0),0)+IFERROR(VLOOKUP($A402,[4]库存使用数据!$A:$M,13,0),0)+IFERROR(VLOOKUP($A402,[5]库存使用数据!$A:$M,13,0),0)</f>
        <v>0</v>
      </c>
    </row>
    <row r="403" spans="1:13">
      <c r="A403" s="6" t="s">
        <v>408</v>
      </c>
      <c r="B403" s="2">
        <f ca="1">IFERROR(VLOOKUP(A403,[1]库存使用数据!$A:$B,2,0),0)+IFERROR(VLOOKUP(A403,[2]库存使用数据!$A:$B,2,0),0)+IFERROR(VLOOKUP(,[3]库存使用数据!$A:$B,2,0),0)+IFERROR(VLOOKUP(A403,[4]库存使用数据!$A:$B,2,0),0)+IFERROR(VLOOKUP(A403,[5]库存使用数据!$A:$B,2,0),0)</f>
        <v>2610</v>
      </c>
      <c r="C403" s="1">
        <f ca="1">IFERROR(VLOOKUP($A403,[1]库存使用数据!$A:$C,3,0),0)+IFERROR(VLOOKUP($A403,[2]库存使用数据!$A:$C,3,0),0)+IFERROR(VLOOKUP($A403,[3]库存使用数据!$A:$C,3,0),0)+IFERROR(VLOOKUP($A403,[4]库存使用数据!$A:$C,3,0),0)+IFERROR(VLOOKUP($A403,[5]库存使用数据!$A:$C,3,0),0)</f>
        <v>13</v>
      </c>
      <c r="D403" s="1">
        <f ca="1">IFERROR(VLOOKUP($A403,[1]库存使用数据!$A:$D,4,0),0)+IFERROR(VLOOKUP($A403,[2]库存使用数据!$A:$D,4,0),0)+公式!$B$1*IFERROR(VLOOKUP($A403,[3]库存使用数据!$A:$D,4,0),0)+IFERROR(VLOOKUP($A403,[4]库存使用数据!$A:$D,4,0),0)+IFERROR(VLOOKUP($A403,[5]库存使用数据!$A:$D,4,0),0)</f>
        <v>2.14375</v>
      </c>
      <c r="E403" s="1">
        <f ca="1">IFERROR(VLOOKUP($A403,[1]库存使用数据!$A:$E,5,0),0)+IFERROR(VLOOKUP($A403,[2]库存使用数据!$A:$E,5,0),0)+IFERROR(VLOOKUP($A403,[3]库存使用数据!$A:$E,5,0),0)+IFERROR(VLOOKUP($A403,[4]库存使用数据!$A:$E,5,0),0)+IFERROR(VLOOKUP($A403,[5]库存使用数据!$A:$E,5,0),0)</f>
        <v>7975</v>
      </c>
      <c r="F403" s="1">
        <f ca="1">IFERROR(VLOOKUP($A403,[1]库存使用数据!$A:$F,6,0),0)+IFERROR(VLOOKUP($A403,[2]库存使用数据!$A:$F,6,0),0)+IFERROR(VLOOKUP($A403,[4]库存使用数据!$A:$F,6,0),0)+IFERROR(VLOOKUP($A403,[3]库存使用数据!$A:$F,6,0),0)+IFERROR(VLOOKUP($A403,[5]库存使用数据!$A:$F,6,0),0)</f>
        <v>42</v>
      </c>
      <c r="G403" s="1">
        <f ca="1">IFERROR(VLOOKUP($A403,[1]库存使用数据!$A:$G,7,0),0)+IFERROR(VLOOKUP($A403,[2]库存使用数据!$A:$G,7,0),0)+公式!$B$14*IFERROR(VLOOKUP($A403,[3]库存使用数据!$A:$G,7,0),0)+IFERROR(VLOOKUP($A403,[4]库存使用数据!$A:$G,7,0),0)+IFERROR(VLOOKUP($A403,[5]库存使用数据!$A:$G,7,0),0)</f>
        <v>6.69</v>
      </c>
      <c r="H403" s="1">
        <f ca="1">IFERROR(VLOOKUP($A403,[1]库存使用数据!$A:$H,8,0),0)+IFERROR(VLOOKUP($A403,[2]库存使用数据!$A:$H,8,0),0)+IFERROR(VLOOKUP($A403,[3]库存使用数据!$A:$H,8,0),0)+IFERROR(VLOOKUP($A403,[4]库存使用数据!$A:$H,8,0),0)+IFERROR(VLOOKUP($A403,[5]库存使用数据!$A:$H,8,0),0)</f>
        <v>5132</v>
      </c>
      <c r="I403" s="1">
        <f ca="1">IFERROR(VLOOKUP($A403,[1]库存使用数据!$A:$I,9,0),0)+IFERROR(VLOOKUP($A403,[2]库存使用数据!$A:$I,9,0),0)+IFERROR(VLOOKUP($A403,[3]库存使用数据!$A:$I,9,0),0)+IFERROR(VLOOKUP($A403,[4]库存使用数据!$A:$I,9,0),0)+IFERROR(VLOOKUP($A403,[5]库存使用数据!$A:$I,9,0),0)</f>
        <v>30</v>
      </c>
      <c r="J403" s="1">
        <f ca="1">IFERROR(VLOOKUP($A403,[1]库存使用数据!$A:$J,10,0),0)+IFERROR(VLOOKUP($A403,[2]库存使用数据!$A:$J,10,0),0)+公式!$B$14*IFERROR(VLOOKUP($A403,[3]库存使用数据!$A:$J,10,0),0)+IFERROR(VLOOKUP($A403,[4]库存使用数据!$A:$J,10,0),0)+IFERROR(VLOOKUP($A403,[5]库存使用数据!$A:$J,10,0),0)</f>
        <v>4.85</v>
      </c>
      <c r="K403" s="1">
        <f ca="1">IFERROR(VLOOKUP($A403,[1]库存使用数据!$A:$K,11,0),0)+IFERROR(VLOOKUP($A403,[2]库存使用数据!$A:$K,11,0),0)+IFERROR(VLOOKUP($A403,[3]库存使用数据!$A:$K,11,0),0)+IFERROR(VLOOKUP($A403,[4]库存使用数据!$A:$K,11,0),0)+IFERROR(VLOOKUP($A403,[5]库存使用数据!$A:$K,11,0),0)</f>
        <v>6677</v>
      </c>
      <c r="L403" s="1">
        <f ca="1">IFERROR(VLOOKUP($A403,[1]库存使用数据!$A:$L,12,0),0)+IFERROR(VLOOKUP($A403,[2]库存使用数据!$A:$L,12,0),0)+IFERROR(VLOOKUP($A403,[3]库存使用数据!$A:$L,12,0),0)+IFERROR(VLOOKUP($A403,[4]库存使用数据!$A:$L,12,0),0)+IFERROR(VLOOKUP($A403,[5]库存使用数据!$A:$L,12,0),0)</f>
        <v>35</v>
      </c>
      <c r="M403" s="1">
        <f ca="1">IFERROR(VLOOKUP($A403,[1]库存使用数据!$A:$M,13,0),0)+IFERROR(VLOOKUP($A403,[2]库存使用数据!$A:$M,13,0),0)+公式!$B$14*IFERROR(VLOOKUP($A403,[3]库存使用数据!$A:$M,13,0),0)+IFERROR(VLOOKUP($A403,[4]库存使用数据!$A:$M,13,0),0)+IFERROR(VLOOKUP($A403,[5]库存使用数据!$A:$M,13,0),0)</f>
        <v>7.59</v>
      </c>
    </row>
    <row r="404" spans="1:13">
      <c r="A404" s="6" t="s">
        <v>409</v>
      </c>
      <c r="B404" s="2">
        <f ca="1">IFERROR(VLOOKUP(A404,[1]库存使用数据!$A:$B,2,0),0)+IFERROR(VLOOKUP(A404,[2]库存使用数据!$A:$B,2,0),0)+IFERROR(VLOOKUP(,[3]库存使用数据!$A:$B,2,0),0)+IFERROR(VLOOKUP(A404,[4]库存使用数据!$A:$B,2,0),0)+IFERROR(VLOOKUP(A404,[5]库存使用数据!$A:$B,2,0),0)</f>
        <v>246</v>
      </c>
      <c r="C404" s="1">
        <f ca="1">IFERROR(VLOOKUP($A404,[1]库存使用数据!$A:$C,3,0),0)+IFERROR(VLOOKUP($A404,[2]库存使用数据!$A:$C,3,0),0)+IFERROR(VLOOKUP($A404,[3]库存使用数据!$A:$C,3,0),0)+IFERROR(VLOOKUP($A404,[4]库存使用数据!$A:$C,3,0),0)+IFERROR(VLOOKUP($A404,[5]库存使用数据!$A:$C,3,0),0)</f>
        <v>2</v>
      </c>
      <c r="D404" s="1">
        <f ca="1">IFERROR(VLOOKUP($A404,[1]库存使用数据!$A:$D,4,0),0)+IFERROR(VLOOKUP($A404,[2]库存使用数据!$A:$D,4,0),0)+公式!$B$1*IFERROR(VLOOKUP($A404,[3]库存使用数据!$A:$D,4,0),0)+IFERROR(VLOOKUP($A404,[4]库存使用数据!$A:$D,4,0),0)+IFERROR(VLOOKUP($A404,[5]库存使用数据!$A:$D,4,0),0)</f>
        <v>0.29625</v>
      </c>
      <c r="E404" s="1">
        <f ca="1">IFERROR(VLOOKUP($A404,[1]库存使用数据!$A:$E,5,0),0)+IFERROR(VLOOKUP($A404,[2]库存使用数据!$A:$E,5,0),0)+IFERROR(VLOOKUP($A404,[3]库存使用数据!$A:$E,5,0),0)+IFERROR(VLOOKUP($A404,[4]库存使用数据!$A:$E,5,0),0)+IFERROR(VLOOKUP($A404,[5]库存使用数据!$A:$E,5,0),0)</f>
        <v>7925</v>
      </c>
      <c r="F404" s="1">
        <f ca="1">IFERROR(VLOOKUP($A404,[1]库存使用数据!$A:$F,6,0),0)+IFERROR(VLOOKUP($A404,[2]库存使用数据!$A:$F,6,0),0)+IFERROR(VLOOKUP($A404,[4]库存使用数据!$A:$F,6,0),0)+IFERROR(VLOOKUP($A404,[3]库存使用数据!$A:$F,6,0),0)+IFERROR(VLOOKUP($A404,[5]库存使用数据!$A:$F,6,0),0)</f>
        <v>7</v>
      </c>
      <c r="G404" s="1">
        <f ca="1">IFERROR(VLOOKUP($A404,[1]库存使用数据!$A:$G,7,0),0)+IFERROR(VLOOKUP($A404,[2]库存使用数据!$A:$G,7,0),0)+公式!$B$14*IFERROR(VLOOKUP($A404,[3]库存使用数据!$A:$G,7,0),0)+IFERROR(VLOOKUP($A404,[4]库存使用数据!$A:$G,7,0),0)+IFERROR(VLOOKUP($A404,[5]库存使用数据!$A:$G,7,0),0)</f>
        <v>1.17</v>
      </c>
      <c r="H404" s="1">
        <f ca="1">IFERROR(VLOOKUP($A404,[1]库存使用数据!$A:$H,8,0),0)+IFERROR(VLOOKUP($A404,[2]库存使用数据!$A:$H,8,0),0)+IFERROR(VLOOKUP($A404,[3]库存使用数据!$A:$H,8,0),0)+IFERROR(VLOOKUP($A404,[4]库存使用数据!$A:$H,8,0),0)+IFERROR(VLOOKUP($A404,[5]库存使用数据!$A:$H,8,0),0)</f>
        <v>7804</v>
      </c>
      <c r="I404" s="1">
        <f ca="1">IFERROR(VLOOKUP($A404,[1]库存使用数据!$A:$I,9,0),0)+IFERROR(VLOOKUP($A404,[2]库存使用数据!$A:$I,9,0),0)+IFERROR(VLOOKUP($A404,[3]库存使用数据!$A:$I,9,0),0)+IFERROR(VLOOKUP($A404,[4]库存使用数据!$A:$I,9,0),0)+IFERROR(VLOOKUP($A404,[5]库存使用数据!$A:$I,9,0),0)</f>
        <v>6</v>
      </c>
      <c r="J404" s="1">
        <f ca="1">IFERROR(VLOOKUP($A404,[1]库存使用数据!$A:$J,10,0),0)+IFERROR(VLOOKUP($A404,[2]库存使用数据!$A:$J,10,0),0)+公式!$B$14*IFERROR(VLOOKUP($A404,[3]库存使用数据!$A:$J,10,0),0)+IFERROR(VLOOKUP($A404,[4]库存使用数据!$A:$J,10,0),0)+IFERROR(VLOOKUP($A404,[5]库存使用数据!$A:$J,10,0),0)</f>
        <v>1.17</v>
      </c>
      <c r="K404" s="1">
        <f ca="1">IFERROR(VLOOKUP($A404,[1]库存使用数据!$A:$K,11,0),0)+IFERROR(VLOOKUP($A404,[2]库存使用数据!$A:$K,11,0),0)+IFERROR(VLOOKUP($A404,[3]库存使用数据!$A:$K,11,0),0)+IFERROR(VLOOKUP($A404,[4]库存使用数据!$A:$K,11,0),0)+IFERROR(VLOOKUP($A404,[5]库存使用数据!$A:$K,11,0),0)</f>
        <v>613</v>
      </c>
      <c r="L404" s="1">
        <f ca="1">IFERROR(VLOOKUP($A404,[1]库存使用数据!$A:$L,12,0),0)+IFERROR(VLOOKUP($A404,[2]库存使用数据!$A:$L,12,0),0)+IFERROR(VLOOKUP($A404,[3]库存使用数据!$A:$L,12,0),0)+IFERROR(VLOOKUP($A404,[4]库存使用数据!$A:$L,12,0),0)+IFERROR(VLOOKUP($A404,[5]库存使用数据!$A:$L,12,0),0)</f>
        <v>6</v>
      </c>
      <c r="M404" s="1">
        <f ca="1">IFERROR(VLOOKUP($A404,[1]库存使用数据!$A:$M,13,0),0)+IFERROR(VLOOKUP($A404,[2]库存使用数据!$A:$M,13,0),0)+公式!$B$14*IFERROR(VLOOKUP($A404,[3]库存使用数据!$A:$M,13,0),0)+IFERROR(VLOOKUP($A404,[4]库存使用数据!$A:$M,13,0),0)+IFERROR(VLOOKUP($A404,[5]库存使用数据!$A:$M,13,0),0)</f>
        <v>1.07</v>
      </c>
    </row>
    <row r="405" spans="1:13">
      <c r="A405" s="6" t="s">
        <v>410</v>
      </c>
      <c r="B405" s="2">
        <f ca="1">IFERROR(VLOOKUP(A405,[1]库存使用数据!$A:$B,2,0),0)+IFERROR(VLOOKUP(A405,[2]库存使用数据!$A:$B,2,0),0)+IFERROR(VLOOKUP(,[3]库存使用数据!$A:$B,2,0),0)+IFERROR(VLOOKUP(A405,[4]库存使用数据!$A:$B,2,0),0)+IFERROR(VLOOKUP(A405,[5]库存使用数据!$A:$B,2,0),0)</f>
        <v>1037</v>
      </c>
      <c r="C405" s="1">
        <f ca="1">IFERROR(VLOOKUP($A405,[1]库存使用数据!$A:$C,3,0),0)+IFERROR(VLOOKUP($A405,[2]库存使用数据!$A:$C,3,0),0)+IFERROR(VLOOKUP($A405,[3]库存使用数据!$A:$C,3,0),0)+IFERROR(VLOOKUP($A405,[4]库存使用数据!$A:$C,3,0),0)+IFERROR(VLOOKUP($A405,[5]库存使用数据!$A:$C,3,0),0)</f>
        <v>8</v>
      </c>
      <c r="D405" s="1">
        <f ca="1">IFERROR(VLOOKUP($A405,[1]库存使用数据!$A:$D,4,0),0)+IFERROR(VLOOKUP($A405,[2]库存使用数据!$A:$D,4,0),0)+公式!$B$1*IFERROR(VLOOKUP($A405,[3]库存使用数据!$A:$D,4,0),0)+IFERROR(VLOOKUP($A405,[4]库存使用数据!$A:$D,4,0),0)+IFERROR(VLOOKUP($A405,[5]库存使用数据!$A:$D,4,0),0)</f>
        <v>0.44375</v>
      </c>
      <c r="E405" s="1">
        <f ca="1">IFERROR(VLOOKUP($A405,[1]库存使用数据!$A:$E,5,0),0)+IFERROR(VLOOKUP($A405,[2]库存使用数据!$A:$E,5,0),0)+IFERROR(VLOOKUP($A405,[3]库存使用数据!$A:$E,5,0),0)+IFERROR(VLOOKUP($A405,[4]库存使用数据!$A:$E,5,0),0)+IFERROR(VLOOKUP($A405,[5]库存使用数据!$A:$E,5,0),0)</f>
        <v>2785</v>
      </c>
      <c r="F405" s="1">
        <f ca="1">IFERROR(VLOOKUP($A405,[1]库存使用数据!$A:$F,6,0),0)+IFERROR(VLOOKUP($A405,[2]库存使用数据!$A:$F,6,0),0)+IFERROR(VLOOKUP($A405,[4]库存使用数据!$A:$F,6,0),0)+IFERROR(VLOOKUP($A405,[3]库存使用数据!$A:$F,6,0),0)+IFERROR(VLOOKUP($A405,[5]库存使用数据!$A:$F,6,0),0)</f>
        <v>7</v>
      </c>
      <c r="G405" s="1">
        <f ca="1">IFERROR(VLOOKUP($A405,[1]库存使用数据!$A:$G,7,0),0)+IFERROR(VLOOKUP($A405,[2]库存使用数据!$A:$G,7,0),0)+公式!$B$14*IFERROR(VLOOKUP($A405,[3]库存使用数据!$A:$G,7,0),0)+IFERROR(VLOOKUP($A405,[4]库存使用数据!$A:$G,7,0),0)+IFERROR(VLOOKUP($A405,[5]库存使用数据!$A:$G,7,0),0)</f>
        <v>0.71</v>
      </c>
      <c r="H405" s="1">
        <f ca="1">IFERROR(VLOOKUP($A405,[1]库存使用数据!$A:$H,8,0),0)+IFERROR(VLOOKUP($A405,[2]库存使用数据!$A:$H,8,0),0)+IFERROR(VLOOKUP($A405,[3]库存使用数据!$A:$H,8,0),0)+IFERROR(VLOOKUP($A405,[4]库存使用数据!$A:$H,8,0),0)+IFERROR(VLOOKUP($A405,[5]库存使用数据!$A:$H,8,0),0)</f>
        <v>1916</v>
      </c>
      <c r="I405" s="1">
        <f ca="1">IFERROR(VLOOKUP($A405,[1]库存使用数据!$A:$I,9,0),0)+IFERROR(VLOOKUP($A405,[2]库存使用数据!$A:$I,9,0),0)+IFERROR(VLOOKUP($A405,[3]库存使用数据!$A:$I,9,0),0)+IFERROR(VLOOKUP($A405,[4]库存使用数据!$A:$I,9,0),0)+IFERROR(VLOOKUP($A405,[5]库存使用数据!$A:$I,9,0),0)</f>
        <v>6</v>
      </c>
      <c r="J405" s="1">
        <f ca="1">IFERROR(VLOOKUP($A405,[1]库存使用数据!$A:$J,10,0),0)+IFERROR(VLOOKUP($A405,[2]库存使用数据!$A:$J,10,0),0)+公式!$B$14*IFERROR(VLOOKUP($A405,[3]库存使用数据!$A:$J,10,0),0)+IFERROR(VLOOKUP($A405,[4]库存使用数据!$A:$J,10,0),0)+IFERROR(VLOOKUP($A405,[5]库存使用数据!$A:$J,10,0),0)</f>
        <v>0.68</v>
      </c>
      <c r="K405" s="1">
        <f ca="1">IFERROR(VLOOKUP($A405,[1]库存使用数据!$A:$K,11,0),0)+IFERROR(VLOOKUP($A405,[2]库存使用数据!$A:$K,11,0),0)+IFERROR(VLOOKUP($A405,[3]库存使用数据!$A:$K,11,0),0)+IFERROR(VLOOKUP($A405,[4]库存使用数据!$A:$K,11,0),0)+IFERROR(VLOOKUP($A405,[5]库存使用数据!$A:$K,11,0),0)</f>
        <v>1260</v>
      </c>
      <c r="L405" s="1">
        <f ca="1">IFERROR(VLOOKUP($A405,[1]库存使用数据!$A:$L,12,0),0)+IFERROR(VLOOKUP($A405,[2]库存使用数据!$A:$L,12,0),0)+IFERROR(VLOOKUP($A405,[3]库存使用数据!$A:$L,12,0),0)+IFERROR(VLOOKUP($A405,[4]库存使用数据!$A:$L,12,0),0)+IFERROR(VLOOKUP($A405,[5]库存使用数据!$A:$L,12,0),0)</f>
        <v>4</v>
      </c>
      <c r="M405" s="1">
        <f ca="1">IFERROR(VLOOKUP($A405,[1]库存使用数据!$A:$M,13,0),0)+IFERROR(VLOOKUP($A405,[2]库存使用数据!$A:$M,13,0),0)+公式!$B$14*IFERROR(VLOOKUP($A405,[3]库存使用数据!$A:$M,13,0),0)+IFERROR(VLOOKUP($A405,[4]库存使用数据!$A:$M,13,0),0)+IFERROR(VLOOKUP($A405,[5]库存使用数据!$A:$M,13,0),0)</f>
        <v>0.28</v>
      </c>
    </row>
    <row r="406" spans="1:13">
      <c r="A406" s="6" t="s">
        <v>411</v>
      </c>
      <c r="B406" s="2">
        <f ca="1">IFERROR(VLOOKUP(A406,[1]库存使用数据!$A:$B,2,0),0)+IFERROR(VLOOKUP(A406,[2]库存使用数据!$A:$B,2,0),0)+IFERROR(VLOOKUP(,[3]库存使用数据!$A:$B,2,0),0)+IFERROR(VLOOKUP(A406,[4]库存使用数据!$A:$B,2,0),0)+IFERROR(VLOOKUP(A406,[5]库存使用数据!$A:$B,2,0),0)</f>
        <v>0</v>
      </c>
      <c r="C406" s="1">
        <f ca="1">IFERROR(VLOOKUP($A406,[1]库存使用数据!$A:$C,3,0),0)+IFERROR(VLOOKUP($A406,[2]库存使用数据!$A:$C,3,0),0)+IFERROR(VLOOKUP($A406,[3]库存使用数据!$A:$C,3,0),0)+IFERROR(VLOOKUP($A406,[4]库存使用数据!$A:$C,3,0),0)+IFERROR(VLOOKUP($A406,[5]库存使用数据!$A:$C,3,0),0)</f>
        <v>0</v>
      </c>
      <c r="D406" s="1">
        <f ca="1">IFERROR(VLOOKUP($A406,[1]库存使用数据!$A:$D,4,0),0)+IFERROR(VLOOKUP($A406,[2]库存使用数据!$A:$D,4,0),0)+公式!$B$1*IFERROR(VLOOKUP($A406,[3]库存使用数据!$A:$D,4,0),0)+IFERROR(VLOOKUP($A406,[4]库存使用数据!$A:$D,4,0),0)+IFERROR(VLOOKUP($A406,[5]库存使用数据!$A:$D,4,0),0)</f>
        <v>0</v>
      </c>
      <c r="E406" s="1">
        <f ca="1">IFERROR(VLOOKUP($A406,[1]库存使用数据!$A:$E,5,0),0)+IFERROR(VLOOKUP($A406,[2]库存使用数据!$A:$E,5,0),0)+IFERROR(VLOOKUP($A406,[3]库存使用数据!$A:$E,5,0),0)+IFERROR(VLOOKUP($A406,[4]库存使用数据!$A:$E,5,0),0)+IFERROR(VLOOKUP($A406,[5]库存使用数据!$A:$E,5,0),0)</f>
        <v>119</v>
      </c>
      <c r="F406" s="1">
        <f ca="1">IFERROR(VLOOKUP($A406,[1]库存使用数据!$A:$F,6,0),0)+IFERROR(VLOOKUP($A406,[2]库存使用数据!$A:$F,6,0),0)+IFERROR(VLOOKUP($A406,[4]库存使用数据!$A:$F,6,0),0)+IFERROR(VLOOKUP($A406,[3]库存使用数据!$A:$F,6,0),0)+IFERROR(VLOOKUP($A406,[5]库存使用数据!$A:$F,6,0),0)</f>
        <v>0</v>
      </c>
      <c r="G406" s="1">
        <f ca="1">IFERROR(VLOOKUP($A406,[1]库存使用数据!$A:$G,7,0),0)+IFERROR(VLOOKUP($A406,[2]库存使用数据!$A:$G,7,0),0)+公式!$B$14*IFERROR(VLOOKUP($A406,[3]库存使用数据!$A:$G,7,0),0)+IFERROR(VLOOKUP($A406,[4]库存使用数据!$A:$G,7,0),0)+IFERROR(VLOOKUP($A406,[5]库存使用数据!$A:$G,7,0),0)</f>
        <v>0</v>
      </c>
      <c r="H406" s="1">
        <f ca="1">IFERROR(VLOOKUP($A406,[1]库存使用数据!$A:$H,8,0),0)+IFERROR(VLOOKUP($A406,[2]库存使用数据!$A:$H,8,0),0)+IFERROR(VLOOKUP($A406,[3]库存使用数据!$A:$H,8,0),0)+IFERROR(VLOOKUP($A406,[4]库存使用数据!$A:$H,8,0),0)+IFERROR(VLOOKUP($A406,[5]库存使用数据!$A:$H,8,0),0)</f>
        <v>114</v>
      </c>
      <c r="I406" s="1">
        <f ca="1">IFERROR(VLOOKUP($A406,[1]库存使用数据!$A:$I,9,0),0)+IFERROR(VLOOKUP($A406,[2]库存使用数据!$A:$I,9,0),0)+IFERROR(VLOOKUP($A406,[3]库存使用数据!$A:$I,9,0),0)+IFERROR(VLOOKUP($A406,[4]库存使用数据!$A:$I,9,0),0)+IFERROR(VLOOKUP($A406,[5]库存使用数据!$A:$I,9,0),0)</f>
        <v>0</v>
      </c>
      <c r="J406" s="1">
        <f ca="1">IFERROR(VLOOKUP($A406,[1]库存使用数据!$A:$J,10,0),0)+IFERROR(VLOOKUP($A406,[2]库存使用数据!$A:$J,10,0),0)+公式!$B$14*IFERROR(VLOOKUP($A406,[3]库存使用数据!$A:$J,10,0),0)+IFERROR(VLOOKUP($A406,[4]库存使用数据!$A:$J,10,0),0)+IFERROR(VLOOKUP($A406,[5]库存使用数据!$A:$J,10,0),0)</f>
        <v>0</v>
      </c>
      <c r="K406" s="1">
        <f ca="1">IFERROR(VLOOKUP($A406,[1]库存使用数据!$A:$K,11,0),0)+IFERROR(VLOOKUP($A406,[2]库存使用数据!$A:$K,11,0),0)+IFERROR(VLOOKUP($A406,[3]库存使用数据!$A:$K,11,0),0)+IFERROR(VLOOKUP($A406,[4]库存使用数据!$A:$K,11,0),0)+IFERROR(VLOOKUP($A406,[5]库存使用数据!$A:$K,11,0),0)</f>
        <v>306</v>
      </c>
      <c r="L406" s="1">
        <f ca="1">IFERROR(VLOOKUP($A406,[1]库存使用数据!$A:$L,12,0),0)+IFERROR(VLOOKUP($A406,[2]库存使用数据!$A:$L,12,0),0)+IFERROR(VLOOKUP($A406,[3]库存使用数据!$A:$L,12,0),0)+IFERROR(VLOOKUP($A406,[4]库存使用数据!$A:$L,12,0),0)+IFERROR(VLOOKUP($A406,[5]库存使用数据!$A:$L,12,0),0)</f>
        <v>0</v>
      </c>
      <c r="M406" s="1">
        <f ca="1">IFERROR(VLOOKUP($A406,[1]库存使用数据!$A:$M,13,0),0)+IFERROR(VLOOKUP($A406,[2]库存使用数据!$A:$M,13,0),0)+公式!$B$14*IFERROR(VLOOKUP($A406,[3]库存使用数据!$A:$M,13,0),0)+IFERROR(VLOOKUP($A406,[4]库存使用数据!$A:$M,13,0),0)+IFERROR(VLOOKUP($A406,[5]库存使用数据!$A:$M,13,0),0)</f>
        <v>0</v>
      </c>
    </row>
    <row r="407" spans="1:13">
      <c r="A407" s="6" t="s">
        <v>412</v>
      </c>
      <c r="B407" s="2">
        <f ca="1">IFERROR(VLOOKUP(A407,[1]库存使用数据!$A:$B,2,0),0)+IFERROR(VLOOKUP(A407,[2]库存使用数据!$A:$B,2,0),0)+IFERROR(VLOOKUP(,[3]库存使用数据!$A:$B,2,0),0)+IFERROR(VLOOKUP(A407,[4]库存使用数据!$A:$B,2,0),0)+IFERROR(VLOOKUP(A407,[5]库存使用数据!$A:$B,2,0),0)</f>
        <v>319</v>
      </c>
      <c r="C407" s="1">
        <f ca="1">IFERROR(VLOOKUP($A407,[1]库存使用数据!$A:$C,3,0),0)+IFERROR(VLOOKUP($A407,[2]库存使用数据!$A:$C,3,0),0)+IFERROR(VLOOKUP($A407,[3]库存使用数据!$A:$C,3,0),0)+IFERROR(VLOOKUP($A407,[4]库存使用数据!$A:$C,3,0),0)+IFERROR(VLOOKUP($A407,[5]库存使用数据!$A:$C,3,0),0)</f>
        <v>4</v>
      </c>
      <c r="D407" s="1">
        <f ca="1">IFERROR(VLOOKUP($A407,[1]库存使用数据!$A:$D,4,0),0)+IFERROR(VLOOKUP($A407,[2]库存使用数据!$A:$D,4,0),0)+公式!$B$1*IFERROR(VLOOKUP($A407,[3]库存使用数据!$A:$D,4,0),0)+IFERROR(VLOOKUP($A407,[4]库存使用数据!$A:$D,4,0),0)+IFERROR(VLOOKUP($A407,[5]库存使用数据!$A:$D,4,0),0)</f>
        <v>0.32625</v>
      </c>
      <c r="E407" s="1">
        <f ca="1">IFERROR(VLOOKUP($A407,[1]库存使用数据!$A:$E,5,0),0)+IFERROR(VLOOKUP($A407,[2]库存使用数据!$A:$E,5,0),0)+IFERROR(VLOOKUP($A407,[3]库存使用数据!$A:$E,5,0),0)+IFERROR(VLOOKUP($A407,[4]库存使用数据!$A:$E,5,0),0)+IFERROR(VLOOKUP($A407,[5]库存使用数据!$A:$E,5,0),0)</f>
        <v>909</v>
      </c>
      <c r="F407" s="1">
        <f ca="1">IFERROR(VLOOKUP($A407,[1]库存使用数据!$A:$F,6,0),0)+IFERROR(VLOOKUP($A407,[2]库存使用数据!$A:$F,6,0),0)+IFERROR(VLOOKUP($A407,[4]库存使用数据!$A:$F,6,0),0)+IFERROR(VLOOKUP($A407,[3]库存使用数据!$A:$F,6,0),0)+IFERROR(VLOOKUP($A407,[5]库存使用数据!$A:$F,6,0),0)</f>
        <v>2</v>
      </c>
      <c r="G407" s="1">
        <f ca="1">IFERROR(VLOOKUP($A407,[1]库存使用数据!$A:$G,7,0),0)+IFERROR(VLOOKUP($A407,[2]库存使用数据!$A:$G,7,0),0)+公式!$B$14*IFERROR(VLOOKUP($A407,[3]库存使用数据!$A:$G,7,0),0)+IFERROR(VLOOKUP($A407,[4]库存使用数据!$A:$G,7,0),0)+IFERROR(VLOOKUP($A407,[5]库存使用数据!$A:$G,7,0),0)</f>
        <v>0.31</v>
      </c>
      <c r="H407" s="1">
        <f ca="1">IFERROR(VLOOKUP($A407,[1]库存使用数据!$A:$H,8,0),0)+IFERROR(VLOOKUP($A407,[2]库存使用数据!$A:$H,8,0),0)+IFERROR(VLOOKUP($A407,[3]库存使用数据!$A:$H,8,0),0)+IFERROR(VLOOKUP($A407,[4]库存使用数据!$A:$H,8,0),0)+IFERROR(VLOOKUP($A407,[5]库存使用数据!$A:$H,8,0),0)</f>
        <v>733</v>
      </c>
      <c r="I407" s="1">
        <f ca="1">IFERROR(VLOOKUP($A407,[1]库存使用数据!$A:$I,9,0),0)+IFERROR(VLOOKUP($A407,[2]库存使用数据!$A:$I,9,0),0)+IFERROR(VLOOKUP($A407,[3]库存使用数据!$A:$I,9,0),0)+IFERROR(VLOOKUP($A407,[4]库存使用数据!$A:$I,9,0),0)+IFERROR(VLOOKUP($A407,[5]库存使用数据!$A:$I,9,0),0)</f>
        <v>1</v>
      </c>
      <c r="J407" s="1">
        <f ca="1">IFERROR(VLOOKUP($A407,[1]库存使用数据!$A:$J,10,0),0)+IFERROR(VLOOKUP($A407,[2]库存使用数据!$A:$J,10,0),0)+公式!$B$14*IFERROR(VLOOKUP($A407,[3]库存使用数据!$A:$J,10,0),0)+IFERROR(VLOOKUP($A407,[4]库存使用数据!$A:$J,10,0),0)+IFERROR(VLOOKUP($A407,[5]库存使用数据!$A:$J,10,0),0)</f>
        <v>0.21</v>
      </c>
      <c r="K407" s="1">
        <f ca="1">IFERROR(VLOOKUP($A407,[1]库存使用数据!$A:$K,11,0),0)+IFERROR(VLOOKUP($A407,[2]库存使用数据!$A:$K,11,0),0)+IFERROR(VLOOKUP($A407,[3]库存使用数据!$A:$K,11,0),0)+IFERROR(VLOOKUP($A407,[4]库存使用数据!$A:$K,11,0),0)+IFERROR(VLOOKUP($A407,[5]库存使用数据!$A:$K,11,0),0)</f>
        <v>2130</v>
      </c>
      <c r="L407" s="1">
        <f ca="1">IFERROR(VLOOKUP($A407,[1]库存使用数据!$A:$L,12,0),0)+IFERROR(VLOOKUP($A407,[2]库存使用数据!$A:$L,12,0),0)+IFERROR(VLOOKUP($A407,[3]库存使用数据!$A:$L,12,0),0)+IFERROR(VLOOKUP($A407,[4]库存使用数据!$A:$L,12,0),0)+IFERROR(VLOOKUP($A407,[5]库存使用数据!$A:$L,12,0),0)</f>
        <v>4</v>
      </c>
      <c r="M407" s="1">
        <f ca="1">IFERROR(VLOOKUP($A407,[1]库存使用数据!$A:$M,13,0),0)+IFERROR(VLOOKUP($A407,[2]库存使用数据!$A:$M,13,0),0)+公式!$B$14*IFERROR(VLOOKUP($A407,[3]库存使用数据!$A:$M,13,0),0)+IFERROR(VLOOKUP($A407,[4]库存使用数据!$A:$M,13,0),0)+IFERROR(VLOOKUP($A407,[5]库存使用数据!$A:$M,13,0),0)</f>
        <v>0.31</v>
      </c>
    </row>
    <row r="408" spans="1:13">
      <c r="A408" s="6" t="s">
        <v>413</v>
      </c>
      <c r="B408" s="2">
        <f ca="1">IFERROR(VLOOKUP(A408,[1]库存使用数据!$A:$B,2,0),0)+IFERROR(VLOOKUP(A408,[2]库存使用数据!$A:$B,2,0),0)+IFERROR(VLOOKUP(,[3]库存使用数据!$A:$B,2,0),0)+IFERROR(VLOOKUP(A408,[4]库存使用数据!$A:$B,2,0),0)+IFERROR(VLOOKUP(A408,[5]库存使用数据!$A:$B,2,0),0)</f>
        <v>4</v>
      </c>
      <c r="C408" s="1">
        <f ca="1">IFERROR(VLOOKUP($A408,[1]库存使用数据!$A:$C,3,0),0)+IFERROR(VLOOKUP($A408,[2]库存使用数据!$A:$C,3,0),0)+IFERROR(VLOOKUP($A408,[3]库存使用数据!$A:$C,3,0),0)+IFERROR(VLOOKUP($A408,[4]库存使用数据!$A:$C,3,0),0)+IFERROR(VLOOKUP($A408,[5]库存使用数据!$A:$C,3,0),0)</f>
        <v>0</v>
      </c>
      <c r="D408" s="1">
        <f ca="1">IFERROR(VLOOKUP($A408,[1]库存使用数据!$A:$D,4,0),0)+IFERROR(VLOOKUP($A408,[2]库存使用数据!$A:$D,4,0),0)+公式!$B$1*IFERROR(VLOOKUP($A408,[3]库存使用数据!$A:$D,4,0),0)+IFERROR(VLOOKUP($A408,[4]库存使用数据!$A:$D,4,0),0)+IFERROR(VLOOKUP($A408,[5]库存使用数据!$A:$D,4,0),0)</f>
        <v>0</v>
      </c>
      <c r="E408" s="1">
        <f ca="1">IFERROR(VLOOKUP($A408,[1]库存使用数据!$A:$E,5,0),0)+IFERROR(VLOOKUP($A408,[2]库存使用数据!$A:$E,5,0),0)+IFERROR(VLOOKUP($A408,[3]库存使用数据!$A:$E,5,0),0)+IFERROR(VLOOKUP($A408,[4]库存使用数据!$A:$E,5,0),0)+IFERROR(VLOOKUP($A408,[5]库存使用数据!$A:$E,5,0),0)</f>
        <v>1526</v>
      </c>
      <c r="F408" s="1">
        <f ca="1">IFERROR(VLOOKUP($A408,[1]库存使用数据!$A:$F,6,0),0)+IFERROR(VLOOKUP($A408,[2]库存使用数据!$A:$F,6,0),0)+IFERROR(VLOOKUP($A408,[4]库存使用数据!$A:$F,6,0),0)+IFERROR(VLOOKUP($A408,[3]库存使用数据!$A:$F,6,0),0)+IFERROR(VLOOKUP($A408,[5]库存使用数据!$A:$F,6,0),0)</f>
        <v>4</v>
      </c>
      <c r="G408" s="1">
        <f ca="1">IFERROR(VLOOKUP($A408,[1]库存使用数据!$A:$G,7,0),0)+IFERROR(VLOOKUP($A408,[2]库存使用数据!$A:$G,7,0),0)+公式!$B$14*IFERROR(VLOOKUP($A408,[3]库存使用数据!$A:$G,7,0),0)+IFERROR(VLOOKUP($A408,[4]库存使用数据!$A:$G,7,0),0)+IFERROR(VLOOKUP($A408,[5]库存使用数据!$A:$G,7,0),0)</f>
        <v>0</v>
      </c>
      <c r="H408" s="1">
        <f ca="1">IFERROR(VLOOKUP($A408,[1]库存使用数据!$A:$H,8,0),0)+IFERROR(VLOOKUP($A408,[2]库存使用数据!$A:$H,8,0),0)+IFERROR(VLOOKUP($A408,[3]库存使用数据!$A:$H,8,0),0)+IFERROR(VLOOKUP($A408,[4]库存使用数据!$A:$H,8,0),0)+IFERROR(VLOOKUP($A408,[5]库存使用数据!$A:$H,8,0),0)</f>
        <v>1161</v>
      </c>
      <c r="I408" s="1">
        <f ca="1">IFERROR(VLOOKUP($A408,[1]库存使用数据!$A:$I,9,0),0)+IFERROR(VLOOKUP($A408,[2]库存使用数据!$A:$I,9,0),0)+IFERROR(VLOOKUP($A408,[3]库存使用数据!$A:$I,9,0),0)+IFERROR(VLOOKUP($A408,[4]库存使用数据!$A:$I,9,0),0)+IFERROR(VLOOKUP($A408,[5]库存使用数据!$A:$I,9,0),0)</f>
        <v>2</v>
      </c>
      <c r="J408" s="1">
        <f ca="1">IFERROR(VLOOKUP($A408,[1]库存使用数据!$A:$J,10,0),0)+IFERROR(VLOOKUP($A408,[2]库存使用数据!$A:$J,10,0),0)+公式!$B$14*IFERROR(VLOOKUP($A408,[3]库存使用数据!$A:$J,10,0),0)+IFERROR(VLOOKUP($A408,[4]库存使用数据!$A:$J,10,0),0)+IFERROR(VLOOKUP($A408,[5]库存使用数据!$A:$J,10,0),0)</f>
        <v>0</v>
      </c>
      <c r="K408" s="1">
        <f ca="1">IFERROR(VLOOKUP($A408,[1]库存使用数据!$A:$K,11,0),0)+IFERROR(VLOOKUP($A408,[2]库存使用数据!$A:$K,11,0),0)+IFERROR(VLOOKUP($A408,[3]库存使用数据!$A:$K,11,0),0)+IFERROR(VLOOKUP($A408,[4]库存使用数据!$A:$K,11,0),0)+IFERROR(VLOOKUP($A408,[5]库存使用数据!$A:$K,11,0),0)</f>
        <v>888</v>
      </c>
      <c r="L408" s="1">
        <f ca="1">IFERROR(VLOOKUP($A408,[1]库存使用数据!$A:$L,12,0),0)+IFERROR(VLOOKUP($A408,[2]库存使用数据!$A:$L,12,0),0)+IFERROR(VLOOKUP($A408,[3]库存使用数据!$A:$L,12,0),0)+IFERROR(VLOOKUP($A408,[4]库存使用数据!$A:$L,12,0),0)+IFERROR(VLOOKUP($A408,[5]库存使用数据!$A:$L,12,0),0)</f>
        <v>4</v>
      </c>
      <c r="M408" s="1">
        <f ca="1">IFERROR(VLOOKUP($A408,[1]库存使用数据!$A:$M,13,0),0)+IFERROR(VLOOKUP($A408,[2]库存使用数据!$A:$M,13,0),0)+公式!$B$14*IFERROR(VLOOKUP($A408,[3]库存使用数据!$A:$M,13,0),0)+IFERROR(VLOOKUP($A408,[4]库存使用数据!$A:$M,13,0),0)+IFERROR(VLOOKUP($A408,[5]库存使用数据!$A:$M,13,0),0)</f>
        <v>0.46</v>
      </c>
    </row>
    <row r="409" spans="1:13">
      <c r="A409" s="6" t="s">
        <v>414</v>
      </c>
      <c r="B409" s="2">
        <f ca="1">IFERROR(VLOOKUP(A409,[1]库存使用数据!$A:$B,2,0),0)+IFERROR(VLOOKUP(A409,[2]库存使用数据!$A:$B,2,0),0)+IFERROR(VLOOKUP(,[3]库存使用数据!$A:$B,2,0),0)+IFERROR(VLOOKUP(A409,[4]库存使用数据!$A:$B,2,0),0)+IFERROR(VLOOKUP(A409,[5]库存使用数据!$A:$B,2,0),0)</f>
        <v>24</v>
      </c>
      <c r="C409" s="1">
        <f ca="1">IFERROR(VLOOKUP($A409,[1]库存使用数据!$A:$C,3,0),0)+IFERROR(VLOOKUP($A409,[2]库存使用数据!$A:$C,3,0),0)+IFERROR(VLOOKUP($A409,[3]库存使用数据!$A:$C,3,0),0)+IFERROR(VLOOKUP($A409,[4]库存使用数据!$A:$C,3,0),0)+IFERROR(VLOOKUP($A409,[5]库存使用数据!$A:$C,3,0),0)</f>
        <v>1</v>
      </c>
      <c r="D409" s="1">
        <f ca="1">IFERROR(VLOOKUP($A409,[1]库存使用数据!$A:$D,4,0),0)+IFERROR(VLOOKUP($A409,[2]库存使用数据!$A:$D,4,0),0)+公式!$B$1*IFERROR(VLOOKUP($A409,[3]库存使用数据!$A:$D,4,0),0)+IFERROR(VLOOKUP($A409,[4]库存使用数据!$A:$D,4,0),0)+IFERROR(VLOOKUP($A409,[5]库存使用数据!$A:$D,4,0),0)</f>
        <v>0.12375</v>
      </c>
      <c r="E409" s="1">
        <f ca="1">IFERROR(VLOOKUP($A409,[1]库存使用数据!$A:$E,5,0),0)+IFERROR(VLOOKUP($A409,[2]库存使用数据!$A:$E,5,0),0)+IFERROR(VLOOKUP($A409,[3]库存使用数据!$A:$E,5,0),0)+IFERROR(VLOOKUP($A409,[4]库存使用数据!$A:$E,5,0),0)+IFERROR(VLOOKUP($A409,[5]库存使用数据!$A:$E,5,0),0)</f>
        <v>3048</v>
      </c>
      <c r="F409" s="1">
        <f ca="1">IFERROR(VLOOKUP($A409,[1]库存使用数据!$A:$F,6,0),0)+IFERROR(VLOOKUP($A409,[2]库存使用数据!$A:$F,6,0),0)+IFERROR(VLOOKUP($A409,[4]库存使用数据!$A:$F,6,0),0)+IFERROR(VLOOKUP($A409,[3]库存使用数据!$A:$F,6,0),0)+IFERROR(VLOOKUP($A409,[5]库存使用数据!$A:$F,6,0),0)</f>
        <v>11</v>
      </c>
      <c r="G409" s="1">
        <f ca="1">IFERROR(VLOOKUP($A409,[1]库存使用数据!$A:$G,7,0),0)+IFERROR(VLOOKUP($A409,[2]库存使用数据!$A:$G,7,0),0)+公式!$B$14*IFERROR(VLOOKUP($A409,[3]库存使用数据!$A:$G,7,0),0)+IFERROR(VLOOKUP($A409,[4]库存使用数据!$A:$G,7,0),0)+IFERROR(VLOOKUP($A409,[5]库存使用数据!$A:$G,7,0),0)</f>
        <v>2.21</v>
      </c>
      <c r="H409" s="1">
        <f ca="1">IFERROR(VLOOKUP($A409,[1]库存使用数据!$A:$H,8,0),0)+IFERROR(VLOOKUP($A409,[2]库存使用数据!$A:$H,8,0),0)+IFERROR(VLOOKUP($A409,[3]库存使用数据!$A:$H,8,0),0)+IFERROR(VLOOKUP($A409,[4]库存使用数据!$A:$H,8,0),0)+IFERROR(VLOOKUP($A409,[5]库存使用数据!$A:$H,8,0),0)</f>
        <v>2661</v>
      </c>
      <c r="I409" s="1">
        <f ca="1">IFERROR(VLOOKUP($A409,[1]库存使用数据!$A:$I,9,0),0)+IFERROR(VLOOKUP($A409,[2]库存使用数据!$A:$I,9,0),0)+IFERROR(VLOOKUP($A409,[3]库存使用数据!$A:$I,9,0),0)+IFERROR(VLOOKUP($A409,[4]库存使用数据!$A:$I,9,0),0)+IFERROR(VLOOKUP($A409,[5]库存使用数据!$A:$I,9,0),0)</f>
        <v>11</v>
      </c>
      <c r="J409" s="1">
        <f ca="1">IFERROR(VLOOKUP($A409,[1]库存使用数据!$A:$J,10,0),0)+IFERROR(VLOOKUP($A409,[2]库存使用数据!$A:$J,10,0),0)+公式!$B$14*IFERROR(VLOOKUP($A409,[3]库存使用数据!$A:$J,10,0),0)+IFERROR(VLOOKUP($A409,[4]库存使用数据!$A:$J,10,0),0)+IFERROR(VLOOKUP($A409,[5]库存使用数据!$A:$J,10,0),0)</f>
        <v>2.14</v>
      </c>
      <c r="K409" s="1">
        <f ca="1">IFERROR(VLOOKUP($A409,[1]库存使用数据!$A:$K,11,0),0)+IFERROR(VLOOKUP($A409,[2]库存使用数据!$A:$K,11,0),0)+IFERROR(VLOOKUP($A409,[3]库存使用数据!$A:$K,11,0),0)+IFERROR(VLOOKUP($A409,[4]库存使用数据!$A:$K,11,0),0)+IFERROR(VLOOKUP($A409,[5]库存使用数据!$A:$K,11,0),0)</f>
        <v>4011</v>
      </c>
      <c r="L409" s="1">
        <f ca="1">IFERROR(VLOOKUP($A409,[1]库存使用数据!$A:$L,12,0),0)+IFERROR(VLOOKUP($A409,[2]库存使用数据!$A:$L,12,0),0)+IFERROR(VLOOKUP($A409,[3]库存使用数据!$A:$L,12,0),0)+IFERROR(VLOOKUP($A409,[4]库存使用数据!$A:$L,12,0),0)+IFERROR(VLOOKUP($A409,[5]库存使用数据!$A:$L,12,0),0)</f>
        <v>15</v>
      </c>
      <c r="M409" s="1">
        <f ca="1">IFERROR(VLOOKUP($A409,[1]库存使用数据!$A:$M,13,0),0)+IFERROR(VLOOKUP($A409,[2]库存使用数据!$A:$M,13,0),0)+公式!$B$14*IFERROR(VLOOKUP($A409,[3]库存使用数据!$A:$M,13,0),0)+IFERROR(VLOOKUP($A409,[4]库存使用数据!$A:$M,13,0),0)+IFERROR(VLOOKUP($A409,[5]库存使用数据!$A:$M,13,0),0)</f>
        <v>3.21</v>
      </c>
    </row>
    <row r="410" spans="1:13">
      <c r="A410" s="6" t="s">
        <v>415</v>
      </c>
      <c r="B410" s="2">
        <f ca="1">IFERROR(VLOOKUP(A410,[1]库存使用数据!$A:$B,2,0),0)+IFERROR(VLOOKUP(A410,[2]库存使用数据!$A:$B,2,0),0)+IFERROR(VLOOKUP(,[3]库存使用数据!$A:$B,2,0),0)+IFERROR(VLOOKUP(A410,[4]库存使用数据!$A:$B,2,0),0)+IFERROR(VLOOKUP(A410,[5]库存使用数据!$A:$B,2,0),0)</f>
        <v>1</v>
      </c>
      <c r="C410" s="1">
        <f ca="1">IFERROR(VLOOKUP($A410,[1]库存使用数据!$A:$C,3,0),0)+IFERROR(VLOOKUP($A410,[2]库存使用数据!$A:$C,3,0),0)+IFERROR(VLOOKUP($A410,[3]库存使用数据!$A:$C,3,0),0)+IFERROR(VLOOKUP($A410,[4]库存使用数据!$A:$C,3,0),0)+IFERROR(VLOOKUP($A410,[5]库存使用数据!$A:$C,3,0),0)</f>
        <v>0</v>
      </c>
      <c r="D410" s="1">
        <f ca="1">IFERROR(VLOOKUP($A410,[1]库存使用数据!$A:$D,4,0),0)+IFERROR(VLOOKUP($A410,[2]库存使用数据!$A:$D,4,0),0)+公式!$B$1*IFERROR(VLOOKUP($A410,[3]库存使用数据!$A:$D,4,0),0)+IFERROR(VLOOKUP($A410,[4]库存使用数据!$A:$D,4,0),0)+IFERROR(VLOOKUP($A410,[5]库存使用数据!$A:$D,4,0),0)</f>
        <v>0</v>
      </c>
      <c r="E410" s="1">
        <f ca="1">IFERROR(VLOOKUP($A410,[1]库存使用数据!$A:$E,5,0),0)+IFERROR(VLOOKUP($A410,[2]库存使用数据!$A:$E,5,0),0)+IFERROR(VLOOKUP($A410,[3]库存使用数据!$A:$E,5,0),0)+IFERROR(VLOOKUP($A410,[4]库存使用数据!$A:$E,5,0),0)+IFERROR(VLOOKUP($A410,[5]库存使用数据!$A:$E,5,0),0)</f>
        <v>1603</v>
      </c>
      <c r="F410" s="1">
        <f ca="1">IFERROR(VLOOKUP($A410,[1]库存使用数据!$A:$F,6,0),0)+IFERROR(VLOOKUP($A410,[2]库存使用数据!$A:$F,6,0),0)+IFERROR(VLOOKUP($A410,[4]库存使用数据!$A:$F,6,0),0)+IFERROR(VLOOKUP($A410,[3]库存使用数据!$A:$F,6,0),0)+IFERROR(VLOOKUP($A410,[5]库存使用数据!$A:$F,6,0),0)</f>
        <v>1</v>
      </c>
      <c r="G410" s="1">
        <f ca="1">IFERROR(VLOOKUP($A410,[1]库存使用数据!$A:$G,7,0),0)+IFERROR(VLOOKUP($A410,[2]库存使用数据!$A:$G,7,0),0)+公式!$B$14*IFERROR(VLOOKUP($A410,[3]库存使用数据!$A:$G,7,0),0)+IFERROR(VLOOKUP($A410,[4]库存使用数据!$A:$G,7,0),0)+IFERROR(VLOOKUP($A410,[5]库存使用数据!$A:$G,7,0),0)</f>
        <v>0.22</v>
      </c>
      <c r="H410" s="1">
        <f ca="1">IFERROR(VLOOKUP($A410,[1]库存使用数据!$A:$H,8,0),0)+IFERROR(VLOOKUP($A410,[2]库存使用数据!$A:$H,8,0),0)+IFERROR(VLOOKUP($A410,[3]库存使用数据!$A:$H,8,0),0)+IFERROR(VLOOKUP($A410,[4]库存使用数据!$A:$H,8,0),0)+IFERROR(VLOOKUP($A410,[5]库存使用数据!$A:$H,8,0),0)</f>
        <v>127</v>
      </c>
      <c r="I410" s="1">
        <f ca="1">IFERROR(VLOOKUP($A410,[1]库存使用数据!$A:$I,9,0),0)+IFERROR(VLOOKUP($A410,[2]库存使用数据!$A:$I,9,0),0)+IFERROR(VLOOKUP($A410,[3]库存使用数据!$A:$I,9,0),0)+IFERROR(VLOOKUP($A410,[4]库存使用数据!$A:$I,9,0),0)+IFERROR(VLOOKUP($A410,[5]库存使用数据!$A:$I,9,0),0)</f>
        <v>1</v>
      </c>
      <c r="J410" s="1">
        <f ca="1">IFERROR(VLOOKUP($A410,[1]库存使用数据!$A:$J,10,0),0)+IFERROR(VLOOKUP($A410,[2]库存使用数据!$A:$J,10,0),0)+公式!$B$14*IFERROR(VLOOKUP($A410,[3]库存使用数据!$A:$J,10,0),0)+IFERROR(VLOOKUP($A410,[4]库存使用数据!$A:$J,10,0),0)+IFERROR(VLOOKUP($A410,[5]库存使用数据!$A:$J,10,0),0)</f>
        <v>0</v>
      </c>
      <c r="K410" s="1">
        <f ca="1">IFERROR(VLOOKUP($A410,[1]库存使用数据!$A:$K,11,0),0)+IFERROR(VLOOKUP($A410,[2]库存使用数据!$A:$K,11,0),0)+IFERROR(VLOOKUP($A410,[3]库存使用数据!$A:$K,11,0),0)+IFERROR(VLOOKUP($A410,[4]库存使用数据!$A:$K,11,0),0)+IFERROR(VLOOKUP($A410,[5]库存使用数据!$A:$K,11,0),0)</f>
        <v>346</v>
      </c>
      <c r="L410" s="1">
        <f ca="1">IFERROR(VLOOKUP($A410,[1]库存使用数据!$A:$L,12,0),0)+IFERROR(VLOOKUP($A410,[2]库存使用数据!$A:$L,12,0),0)+IFERROR(VLOOKUP($A410,[3]库存使用数据!$A:$L,12,0),0)+IFERROR(VLOOKUP($A410,[4]库存使用数据!$A:$L,12,0),0)+IFERROR(VLOOKUP($A410,[5]库存使用数据!$A:$L,12,0),0)</f>
        <v>6</v>
      </c>
      <c r="M410" s="1">
        <f ca="1">IFERROR(VLOOKUP($A410,[1]库存使用数据!$A:$M,13,0),0)+IFERROR(VLOOKUP($A410,[2]库存使用数据!$A:$M,13,0),0)+公式!$B$14*IFERROR(VLOOKUP($A410,[3]库存使用数据!$A:$M,13,0),0)+IFERROR(VLOOKUP($A410,[4]库存使用数据!$A:$M,13,0),0)+IFERROR(VLOOKUP($A410,[5]库存使用数据!$A:$M,13,0),0)</f>
        <v>0.26</v>
      </c>
    </row>
    <row r="411" spans="1:13">
      <c r="A411" s="6" t="s">
        <v>416</v>
      </c>
      <c r="B411" s="2">
        <f ca="1">IFERROR(VLOOKUP(A411,[1]库存使用数据!$A:$B,2,0),0)+IFERROR(VLOOKUP(A411,[2]库存使用数据!$A:$B,2,0),0)+IFERROR(VLOOKUP(,[3]库存使用数据!$A:$B,2,0),0)+IFERROR(VLOOKUP(A411,[4]库存使用数据!$A:$B,2,0),0)+IFERROR(VLOOKUP(A411,[5]库存使用数据!$A:$B,2,0),0)</f>
        <v>0</v>
      </c>
      <c r="C411" s="1">
        <f ca="1">IFERROR(VLOOKUP($A411,[1]库存使用数据!$A:$C,3,0),0)+IFERROR(VLOOKUP($A411,[2]库存使用数据!$A:$C,3,0),0)+IFERROR(VLOOKUP($A411,[3]库存使用数据!$A:$C,3,0),0)+IFERROR(VLOOKUP($A411,[4]库存使用数据!$A:$C,3,0),0)+IFERROR(VLOOKUP($A411,[5]库存使用数据!$A:$C,3,0),0)</f>
        <v>1</v>
      </c>
      <c r="D411" s="1">
        <f ca="1">IFERROR(VLOOKUP($A411,[1]库存使用数据!$A:$D,4,0),0)+IFERROR(VLOOKUP($A411,[2]库存使用数据!$A:$D,4,0),0)+公式!$B$1*IFERROR(VLOOKUP($A411,[3]库存使用数据!$A:$D,4,0),0)+IFERROR(VLOOKUP($A411,[4]库存使用数据!$A:$D,4,0),0)+IFERROR(VLOOKUP($A411,[5]库存使用数据!$A:$D,4,0),0)</f>
        <v>0.18</v>
      </c>
      <c r="E411" s="1">
        <f ca="1">IFERROR(VLOOKUP($A411,[1]库存使用数据!$A:$E,5,0),0)+IFERROR(VLOOKUP($A411,[2]库存使用数据!$A:$E,5,0),0)+IFERROR(VLOOKUP($A411,[3]库存使用数据!$A:$E,5,0),0)+IFERROR(VLOOKUP($A411,[4]库存使用数据!$A:$E,5,0),0)+IFERROR(VLOOKUP($A411,[5]库存使用数据!$A:$E,5,0),0)</f>
        <v>15</v>
      </c>
      <c r="F411" s="1">
        <f ca="1">IFERROR(VLOOKUP($A411,[1]库存使用数据!$A:$F,6,0),0)+IFERROR(VLOOKUP($A411,[2]库存使用数据!$A:$F,6,0),0)+IFERROR(VLOOKUP($A411,[4]库存使用数据!$A:$F,6,0),0)+IFERROR(VLOOKUP($A411,[3]库存使用数据!$A:$F,6,0),0)+IFERROR(VLOOKUP($A411,[5]库存使用数据!$A:$F,6,0),0)</f>
        <v>0</v>
      </c>
      <c r="G411" s="1">
        <f ca="1">IFERROR(VLOOKUP($A411,[1]库存使用数据!$A:$G,7,0),0)+IFERROR(VLOOKUP($A411,[2]库存使用数据!$A:$G,7,0),0)+公式!$B$14*IFERROR(VLOOKUP($A411,[3]库存使用数据!$A:$G,7,0),0)+IFERROR(VLOOKUP($A411,[4]库存使用数据!$A:$G,7,0),0)+IFERROR(VLOOKUP($A411,[5]库存使用数据!$A:$G,7,0),0)</f>
        <v>0</v>
      </c>
      <c r="H411" s="1">
        <f ca="1">IFERROR(VLOOKUP($A411,[1]库存使用数据!$A:$H,8,0),0)+IFERROR(VLOOKUP($A411,[2]库存使用数据!$A:$H,8,0),0)+IFERROR(VLOOKUP($A411,[3]库存使用数据!$A:$H,8,0),0)+IFERROR(VLOOKUP($A411,[4]库存使用数据!$A:$H,8,0),0)+IFERROR(VLOOKUP($A411,[5]库存使用数据!$A:$H,8,0),0)</f>
        <v>7</v>
      </c>
      <c r="I411" s="1">
        <f ca="1">IFERROR(VLOOKUP($A411,[1]库存使用数据!$A:$I,9,0),0)+IFERROR(VLOOKUP($A411,[2]库存使用数据!$A:$I,9,0),0)+IFERROR(VLOOKUP($A411,[3]库存使用数据!$A:$I,9,0),0)+IFERROR(VLOOKUP($A411,[4]库存使用数据!$A:$I,9,0),0)+IFERROR(VLOOKUP($A411,[5]库存使用数据!$A:$I,9,0),0)</f>
        <v>0</v>
      </c>
      <c r="J411" s="1">
        <f ca="1">IFERROR(VLOOKUP($A411,[1]库存使用数据!$A:$J,10,0),0)+IFERROR(VLOOKUP($A411,[2]库存使用数据!$A:$J,10,0),0)+公式!$B$14*IFERROR(VLOOKUP($A411,[3]库存使用数据!$A:$J,10,0),0)+IFERROR(VLOOKUP($A411,[4]库存使用数据!$A:$J,10,0),0)+IFERROR(VLOOKUP($A411,[5]库存使用数据!$A:$J,10,0),0)</f>
        <v>0</v>
      </c>
      <c r="K411" s="1">
        <f ca="1">IFERROR(VLOOKUP($A411,[1]库存使用数据!$A:$K,11,0),0)+IFERROR(VLOOKUP($A411,[2]库存使用数据!$A:$K,11,0),0)+IFERROR(VLOOKUP($A411,[3]库存使用数据!$A:$K,11,0),0)+IFERROR(VLOOKUP($A411,[4]库存使用数据!$A:$K,11,0),0)+IFERROR(VLOOKUP($A411,[5]库存使用数据!$A:$K,11,0),0)</f>
        <v>4</v>
      </c>
      <c r="L411" s="1">
        <f ca="1">IFERROR(VLOOKUP($A411,[1]库存使用数据!$A:$L,12,0),0)+IFERROR(VLOOKUP($A411,[2]库存使用数据!$A:$L,12,0),0)+IFERROR(VLOOKUP($A411,[3]库存使用数据!$A:$L,12,0),0)+IFERROR(VLOOKUP($A411,[4]库存使用数据!$A:$L,12,0),0)+IFERROR(VLOOKUP($A411,[5]库存使用数据!$A:$L,12,0),0)</f>
        <v>0</v>
      </c>
      <c r="M411" s="1">
        <f ca="1">IFERROR(VLOOKUP($A411,[1]库存使用数据!$A:$M,13,0),0)+IFERROR(VLOOKUP($A411,[2]库存使用数据!$A:$M,13,0),0)+公式!$B$14*IFERROR(VLOOKUP($A411,[3]库存使用数据!$A:$M,13,0),0)+IFERROR(VLOOKUP($A411,[4]库存使用数据!$A:$M,13,0),0)+IFERROR(VLOOKUP($A411,[5]库存使用数据!$A:$M,13,0),0)</f>
        <v>0</v>
      </c>
    </row>
    <row r="412" spans="1:13">
      <c r="A412" s="6" t="s">
        <v>417</v>
      </c>
      <c r="B412" s="2">
        <f ca="1">IFERROR(VLOOKUP(A412,[1]库存使用数据!$A:$B,2,0),0)+IFERROR(VLOOKUP(A412,[2]库存使用数据!$A:$B,2,0),0)+IFERROR(VLOOKUP(,[3]库存使用数据!$A:$B,2,0),0)+IFERROR(VLOOKUP(A412,[4]库存使用数据!$A:$B,2,0),0)+IFERROR(VLOOKUP(A412,[5]库存使用数据!$A:$B,2,0),0)</f>
        <v>0</v>
      </c>
      <c r="C412" s="1">
        <f ca="1">IFERROR(VLOOKUP($A412,[1]库存使用数据!$A:$C,3,0),0)+IFERROR(VLOOKUP($A412,[2]库存使用数据!$A:$C,3,0),0)+IFERROR(VLOOKUP($A412,[3]库存使用数据!$A:$C,3,0),0)+IFERROR(VLOOKUP($A412,[4]库存使用数据!$A:$C,3,0),0)+IFERROR(VLOOKUP($A412,[5]库存使用数据!$A:$C,3,0),0)</f>
        <v>0</v>
      </c>
      <c r="D412" s="1">
        <f ca="1">IFERROR(VLOOKUP($A412,[1]库存使用数据!$A:$D,4,0),0)+IFERROR(VLOOKUP($A412,[2]库存使用数据!$A:$D,4,0),0)+公式!$B$1*IFERROR(VLOOKUP($A412,[3]库存使用数据!$A:$D,4,0),0)+IFERROR(VLOOKUP($A412,[4]库存使用数据!$A:$D,4,0),0)+IFERROR(VLOOKUP($A412,[5]库存使用数据!$A:$D,4,0),0)</f>
        <v>0</v>
      </c>
      <c r="E412" s="1">
        <f ca="1">IFERROR(VLOOKUP($A412,[1]库存使用数据!$A:$E,5,0),0)+IFERROR(VLOOKUP($A412,[2]库存使用数据!$A:$E,5,0),0)+IFERROR(VLOOKUP($A412,[3]库存使用数据!$A:$E,5,0),0)+IFERROR(VLOOKUP($A412,[4]库存使用数据!$A:$E,5,0),0)+IFERROR(VLOOKUP($A412,[5]库存使用数据!$A:$E,5,0),0)</f>
        <v>139</v>
      </c>
      <c r="F412" s="1">
        <f ca="1">IFERROR(VLOOKUP($A412,[1]库存使用数据!$A:$F,6,0),0)+IFERROR(VLOOKUP($A412,[2]库存使用数据!$A:$F,6,0),0)+IFERROR(VLOOKUP($A412,[4]库存使用数据!$A:$F,6,0),0)+IFERROR(VLOOKUP($A412,[3]库存使用数据!$A:$F,6,0),0)+IFERROR(VLOOKUP($A412,[5]库存使用数据!$A:$F,6,0),0)</f>
        <v>0</v>
      </c>
      <c r="G412" s="1">
        <f ca="1">IFERROR(VLOOKUP($A412,[1]库存使用数据!$A:$G,7,0),0)+IFERROR(VLOOKUP($A412,[2]库存使用数据!$A:$G,7,0),0)+公式!$B$14*IFERROR(VLOOKUP($A412,[3]库存使用数据!$A:$G,7,0),0)+IFERROR(VLOOKUP($A412,[4]库存使用数据!$A:$G,7,0),0)+IFERROR(VLOOKUP($A412,[5]库存使用数据!$A:$G,7,0),0)</f>
        <v>0</v>
      </c>
      <c r="H412" s="1">
        <f ca="1">IFERROR(VLOOKUP($A412,[1]库存使用数据!$A:$H,8,0),0)+IFERROR(VLOOKUP($A412,[2]库存使用数据!$A:$H,8,0),0)+IFERROR(VLOOKUP($A412,[3]库存使用数据!$A:$H,8,0),0)+IFERROR(VLOOKUP($A412,[4]库存使用数据!$A:$H,8,0),0)+IFERROR(VLOOKUP($A412,[5]库存使用数据!$A:$H,8,0),0)</f>
        <v>198</v>
      </c>
      <c r="I412" s="1">
        <f ca="1">IFERROR(VLOOKUP($A412,[1]库存使用数据!$A:$I,9,0),0)+IFERROR(VLOOKUP($A412,[2]库存使用数据!$A:$I,9,0),0)+IFERROR(VLOOKUP($A412,[3]库存使用数据!$A:$I,9,0),0)+IFERROR(VLOOKUP($A412,[4]库存使用数据!$A:$I,9,0),0)+IFERROR(VLOOKUP($A412,[5]库存使用数据!$A:$I,9,0),0)</f>
        <v>0</v>
      </c>
      <c r="J412" s="1">
        <f ca="1">IFERROR(VLOOKUP($A412,[1]库存使用数据!$A:$J,10,0),0)+IFERROR(VLOOKUP($A412,[2]库存使用数据!$A:$J,10,0),0)+公式!$B$14*IFERROR(VLOOKUP($A412,[3]库存使用数据!$A:$J,10,0),0)+IFERROR(VLOOKUP($A412,[4]库存使用数据!$A:$J,10,0),0)+IFERROR(VLOOKUP($A412,[5]库存使用数据!$A:$J,10,0),0)</f>
        <v>0</v>
      </c>
      <c r="K412" s="1">
        <f ca="1">IFERROR(VLOOKUP($A412,[1]库存使用数据!$A:$K,11,0),0)+IFERROR(VLOOKUP($A412,[2]库存使用数据!$A:$K,11,0),0)+IFERROR(VLOOKUP($A412,[3]库存使用数据!$A:$K,11,0),0)+IFERROR(VLOOKUP($A412,[4]库存使用数据!$A:$K,11,0),0)+IFERROR(VLOOKUP($A412,[5]库存使用数据!$A:$K,11,0),0)</f>
        <v>25</v>
      </c>
      <c r="L412" s="1">
        <f ca="1">IFERROR(VLOOKUP($A412,[1]库存使用数据!$A:$L,12,0),0)+IFERROR(VLOOKUP($A412,[2]库存使用数据!$A:$L,12,0),0)+IFERROR(VLOOKUP($A412,[3]库存使用数据!$A:$L,12,0),0)+IFERROR(VLOOKUP($A412,[4]库存使用数据!$A:$L,12,0),0)+IFERROR(VLOOKUP($A412,[5]库存使用数据!$A:$L,12,0),0)</f>
        <v>0</v>
      </c>
      <c r="M412" s="1">
        <f ca="1">IFERROR(VLOOKUP($A412,[1]库存使用数据!$A:$M,13,0),0)+IFERROR(VLOOKUP($A412,[2]库存使用数据!$A:$M,13,0),0)+公式!$B$14*IFERROR(VLOOKUP($A412,[3]库存使用数据!$A:$M,13,0),0)+IFERROR(VLOOKUP($A412,[4]库存使用数据!$A:$M,13,0),0)+IFERROR(VLOOKUP($A412,[5]库存使用数据!$A:$M,13,0),0)</f>
        <v>0</v>
      </c>
    </row>
    <row r="413" spans="1:13">
      <c r="A413" s="6" t="s">
        <v>418</v>
      </c>
      <c r="B413" s="2">
        <f ca="1">IFERROR(VLOOKUP(A413,[1]库存使用数据!$A:$B,2,0),0)+IFERROR(VLOOKUP(A413,[2]库存使用数据!$A:$B,2,0),0)+IFERROR(VLOOKUP(,[3]库存使用数据!$A:$B,2,0),0)+IFERROR(VLOOKUP(A413,[4]库存使用数据!$A:$B,2,0),0)+IFERROR(VLOOKUP(A413,[5]库存使用数据!$A:$B,2,0),0)</f>
        <v>0</v>
      </c>
      <c r="C413" s="1">
        <f ca="1">IFERROR(VLOOKUP($A413,[1]库存使用数据!$A:$C,3,0),0)+IFERROR(VLOOKUP($A413,[2]库存使用数据!$A:$C,3,0),0)+IFERROR(VLOOKUP($A413,[3]库存使用数据!$A:$C,3,0),0)+IFERROR(VLOOKUP($A413,[4]库存使用数据!$A:$C,3,0),0)+IFERROR(VLOOKUP($A413,[5]库存使用数据!$A:$C,3,0),0)</f>
        <v>0</v>
      </c>
      <c r="D413" s="1">
        <f ca="1">IFERROR(VLOOKUP($A413,[1]库存使用数据!$A:$D,4,0),0)+IFERROR(VLOOKUP($A413,[2]库存使用数据!$A:$D,4,0),0)+公式!$B$1*IFERROR(VLOOKUP($A413,[3]库存使用数据!$A:$D,4,0),0)+IFERROR(VLOOKUP($A413,[4]库存使用数据!$A:$D,4,0),0)+IFERROR(VLOOKUP($A413,[5]库存使用数据!$A:$D,4,0),0)</f>
        <v>0</v>
      </c>
      <c r="E413" s="1">
        <f ca="1">IFERROR(VLOOKUP($A413,[1]库存使用数据!$A:$E,5,0),0)+IFERROR(VLOOKUP($A413,[2]库存使用数据!$A:$E,5,0),0)+IFERROR(VLOOKUP($A413,[3]库存使用数据!$A:$E,5,0),0)+IFERROR(VLOOKUP($A413,[4]库存使用数据!$A:$E,5,0),0)+IFERROR(VLOOKUP($A413,[5]库存使用数据!$A:$E,5,0),0)</f>
        <v>197</v>
      </c>
      <c r="F413" s="1">
        <f ca="1">IFERROR(VLOOKUP($A413,[1]库存使用数据!$A:$F,6,0),0)+IFERROR(VLOOKUP($A413,[2]库存使用数据!$A:$F,6,0),0)+IFERROR(VLOOKUP($A413,[4]库存使用数据!$A:$F,6,0),0)+IFERROR(VLOOKUP($A413,[3]库存使用数据!$A:$F,6,0),0)+IFERROR(VLOOKUP($A413,[5]库存使用数据!$A:$F,6,0),0)</f>
        <v>0</v>
      </c>
      <c r="G413" s="1">
        <f ca="1">IFERROR(VLOOKUP($A413,[1]库存使用数据!$A:$G,7,0),0)+IFERROR(VLOOKUP($A413,[2]库存使用数据!$A:$G,7,0),0)+公式!$B$14*IFERROR(VLOOKUP($A413,[3]库存使用数据!$A:$G,7,0),0)+IFERROR(VLOOKUP($A413,[4]库存使用数据!$A:$G,7,0),0)+IFERROR(VLOOKUP($A413,[5]库存使用数据!$A:$G,7,0),0)</f>
        <v>0</v>
      </c>
      <c r="H413" s="1">
        <f ca="1">IFERROR(VLOOKUP($A413,[1]库存使用数据!$A:$H,8,0),0)+IFERROR(VLOOKUP($A413,[2]库存使用数据!$A:$H,8,0),0)+IFERROR(VLOOKUP($A413,[3]库存使用数据!$A:$H,8,0),0)+IFERROR(VLOOKUP($A413,[4]库存使用数据!$A:$H,8,0),0)+IFERROR(VLOOKUP($A413,[5]库存使用数据!$A:$H,8,0),0)</f>
        <v>202</v>
      </c>
      <c r="I413" s="1">
        <f ca="1">IFERROR(VLOOKUP($A413,[1]库存使用数据!$A:$I,9,0),0)+IFERROR(VLOOKUP($A413,[2]库存使用数据!$A:$I,9,0),0)+IFERROR(VLOOKUP($A413,[3]库存使用数据!$A:$I,9,0),0)+IFERROR(VLOOKUP($A413,[4]库存使用数据!$A:$I,9,0),0)+IFERROR(VLOOKUP($A413,[5]库存使用数据!$A:$I,9,0),0)</f>
        <v>1</v>
      </c>
      <c r="J413" s="1">
        <f ca="1">IFERROR(VLOOKUP($A413,[1]库存使用数据!$A:$J,10,0),0)+IFERROR(VLOOKUP($A413,[2]库存使用数据!$A:$J,10,0),0)+公式!$B$14*IFERROR(VLOOKUP($A413,[3]库存使用数据!$A:$J,10,0),0)+IFERROR(VLOOKUP($A413,[4]库存使用数据!$A:$J,10,0),0)+IFERROR(VLOOKUP($A413,[5]库存使用数据!$A:$J,10,0),0)</f>
        <v>0</v>
      </c>
      <c r="K413" s="1">
        <f ca="1">IFERROR(VLOOKUP($A413,[1]库存使用数据!$A:$K,11,0),0)+IFERROR(VLOOKUP($A413,[2]库存使用数据!$A:$K,11,0),0)+IFERROR(VLOOKUP($A413,[3]库存使用数据!$A:$K,11,0),0)+IFERROR(VLOOKUP($A413,[4]库存使用数据!$A:$K,11,0),0)+IFERROR(VLOOKUP($A413,[5]库存使用数据!$A:$K,11,0),0)</f>
        <v>278</v>
      </c>
      <c r="L413" s="1">
        <f ca="1">IFERROR(VLOOKUP($A413,[1]库存使用数据!$A:$L,12,0),0)+IFERROR(VLOOKUP($A413,[2]库存使用数据!$A:$L,12,0),0)+IFERROR(VLOOKUP($A413,[3]库存使用数据!$A:$L,12,0),0)+IFERROR(VLOOKUP($A413,[4]库存使用数据!$A:$L,12,0),0)+IFERROR(VLOOKUP($A413,[5]库存使用数据!$A:$L,12,0),0)</f>
        <v>2</v>
      </c>
      <c r="M413" s="1">
        <f ca="1">IFERROR(VLOOKUP($A413,[1]库存使用数据!$A:$M,13,0),0)+IFERROR(VLOOKUP($A413,[2]库存使用数据!$A:$M,13,0),0)+公式!$B$14*IFERROR(VLOOKUP($A413,[3]库存使用数据!$A:$M,13,0),0)+IFERROR(VLOOKUP($A413,[4]库存使用数据!$A:$M,13,0),0)+IFERROR(VLOOKUP($A413,[5]库存使用数据!$A:$M,13,0),0)</f>
        <v>0</v>
      </c>
    </row>
    <row r="414" spans="1:13">
      <c r="A414" s="6" t="s">
        <v>419</v>
      </c>
      <c r="B414" s="2">
        <f ca="1">IFERROR(VLOOKUP(A414,[1]库存使用数据!$A:$B,2,0),0)+IFERROR(VLOOKUP(A414,[2]库存使用数据!$A:$B,2,0),0)+IFERROR(VLOOKUP(,[3]库存使用数据!$A:$B,2,0),0)+IFERROR(VLOOKUP(A414,[4]库存使用数据!$A:$B,2,0),0)+IFERROR(VLOOKUP(A414,[5]库存使用数据!$A:$B,2,0),0)</f>
        <v>0</v>
      </c>
      <c r="C414" s="1">
        <f ca="1">IFERROR(VLOOKUP($A414,[1]库存使用数据!$A:$C,3,0),0)+IFERROR(VLOOKUP($A414,[2]库存使用数据!$A:$C,3,0),0)+IFERROR(VLOOKUP($A414,[3]库存使用数据!$A:$C,3,0),0)+IFERROR(VLOOKUP($A414,[4]库存使用数据!$A:$C,3,0),0)+IFERROR(VLOOKUP($A414,[5]库存使用数据!$A:$C,3,0),0)</f>
        <v>0</v>
      </c>
      <c r="D414" s="1">
        <f ca="1">IFERROR(VLOOKUP($A414,[1]库存使用数据!$A:$D,4,0),0)+IFERROR(VLOOKUP($A414,[2]库存使用数据!$A:$D,4,0),0)+公式!$B$1*IFERROR(VLOOKUP($A414,[3]库存使用数据!$A:$D,4,0),0)+IFERROR(VLOOKUP($A414,[4]库存使用数据!$A:$D,4,0),0)+IFERROR(VLOOKUP($A414,[5]库存使用数据!$A:$D,4,0),0)</f>
        <v>0</v>
      </c>
      <c r="E414" s="1">
        <f ca="1">IFERROR(VLOOKUP($A414,[1]库存使用数据!$A:$E,5,0),0)+IFERROR(VLOOKUP($A414,[2]库存使用数据!$A:$E,5,0),0)+IFERROR(VLOOKUP($A414,[3]库存使用数据!$A:$E,5,0),0)+IFERROR(VLOOKUP($A414,[4]库存使用数据!$A:$E,5,0),0)+IFERROR(VLOOKUP($A414,[5]库存使用数据!$A:$E,5,0),0)</f>
        <v>0</v>
      </c>
      <c r="F414" s="1">
        <f ca="1">IFERROR(VLOOKUP($A414,[1]库存使用数据!$A:$F,6,0),0)+IFERROR(VLOOKUP($A414,[2]库存使用数据!$A:$F,6,0),0)+IFERROR(VLOOKUP($A414,[4]库存使用数据!$A:$F,6,0),0)+IFERROR(VLOOKUP($A414,[3]库存使用数据!$A:$F,6,0),0)+IFERROR(VLOOKUP($A414,[5]库存使用数据!$A:$F,6,0),0)</f>
        <v>0</v>
      </c>
      <c r="G414" s="1">
        <f ca="1">IFERROR(VLOOKUP($A414,[1]库存使用数据!$A:$G,7,0),0)+IFERROR(VLOOKUP($A414,[2]库存使用数据!$A:$G,7,0),0)+公式!$B$14*IFERROR(VLOOKUP($A414,[3]库存使用数据!$A:$G,7,0),0)+IFERROR(VLOOKUP($A414,[4]库存使用数据!$A:$G,7,0),0)+IFERROR(VLOOKUP($A414,[5]库存使用数据!$A:$G,7,0),0)</f>
        <v>0</v>
      </c>
      <c r="H414" s="1">
        <f ca="1">IFERROR(VLOOKUP($A414,[1]库存使用数据!$A:$H,8,0),0)+IFERROR(VLOOKUP($A414,[2]库存使用数据!$A:$H,8,0),0)+IFERROR(VLOOKUP($A414,[3]库存使用数据!$A:$H,8,0),0)+IFERROR(VLOOKUP($A414,[4]库存使用数据!$A:$H,8,0),0)+IFERROR(VLOOKUP($A414,[5]库存使用数据!$A:$H,8,0),0)</f>
        <v>0</v>
      </c>
      <c r="I414" s="1">
        <f ca="1">IFERROR(VLOOKUP($A414,[1]库存使用数据!$A:$I,9,0),0)+IFERROR(VLOOKUP($A414,[2]库存使用数据!$A:$I,9,0),0)+IFERROR(VLOOKUP($A414,[3]库存使用数据!$A:$I,9,0),0)+IFERROR(VLOOKUP($A414,[4]库存使用数据!$A:$I,9,0),0)+IFERROR(VLOOKUP($A414,[5]库存使用数据!$A:$I,9,0),0)</f>
        <v>0</v>
      </c>
      <c r="J414" s="1">
        <f ca="1">IFERROR(VLOOKUP($A414,[1]库存使用数据!$A:$J,10,0),0)+IFERROR(VLOOKUP($A414,[2]库存使用数据!$A:$J,10,0),0)+公式!$B$14*IFERROR(VLOOKUP($A414,[3]库存使用数据!$A:$J,10,0),0)+IFERROR(VLOOKUP($A414,[4]库存使用数据!$A:$J,10,0),0)+IFERROR(VLOOKUP($A414,[5]库存使用数据!$A:$J,10,0),0)</f>
        <v>0</v>
      </c>
      <c r="K414" s="1">
        <f ca="1">IFERROR(VLOOKUP($A414,[1]库存使用数据!$A:$K,11,0),0)+IFERROR(VLOOKUP($A414,[2]库存使用数据!$A:$K,11,0),0)+IFERROR(VLOOKUP($A414,[3]库存使用数据!$A:$K,11,0),0)+IFERROR(VLOOKUP($A414,[4]库存使用数据!$A:$K,11,0),0)+IFERROR(VLOOKUP($A414,[5]库存使用数据!$A:$K,11,0),0)</f>
        <v>3</v>
      </c>
      <c r="L414" s="1">
        <f ca="1">IFERROR(VLOOKUP($A414,[1]库存使用数据!$A:$L,12,0),0)+IFERROR(VLOOKUP($A414,[2]库存使用数据!$A:$L,12,0),0)+IFERROR(VLOOKUP($A414,[3]库存使用数据!$A:$L,12,0),0)+IFERROR(VLOOKUP($A414,[4]库存使用数据!$A:$L,12,0),0)+IFERROR(VLOOKUP($A414,[5]库存使用数据!$A:$L,12,0),0)</f>
        <v>0</v>
      </c>
      <c r="M414" s="1">
        <f ca="1">IFERROR(VLOOKUP($A414,[1]库存使用数据!$A:$M,13,0),0)+IFERROR(VLOOKUP($A414,[2]库存使用数据!$A:$M,13,0),0)+公式!$B$14*IFERROR(VLOOKUP($A414,[3]库存使用数据!$A:$M,13,0),0)+IFERROR(VLOOKUP($A414,[4]库存使用数据!$A:$M,13,0),0)+IFERROR(VLOOKUP($A414,[5]库存使用数据!$A:$M,13,0),0)</f>
        <v>0</v>
      </c>
    </row>
    <row r="415" spans="1:13">
      <c r="A415" s="6" t="s">
        <v>420</v>
      </c>
      <c r="B415" s="2">
        <f ca="1">IFERROR(VLOOKUP(A415,[1]库存使用数据!$A:$B,2,0),0)+IFERROR(VLOOKUP(A415,[2]库存使用数据!$A:$B,2,0),0)+IFERROR(VLOOKUP(,[3]库存使用数据!$A:$B,2,0),0)+IFERROR(VLOOKUP(A415,[4]库存使用数据!$A:$B,2,0),0)+IFERROR(VLOOKUP(A415,[5]库存使用数据!$A:$B,2,0),0)</f>
        <v>0</v>
      </c>
      <c r="C415" s="1">
        <f ca="1">IFERROR(VLOOKUP($A415,[1]库存使用数据!$A:$C,3,0),0)+IFERROR(VLOOKUP($A415,[2]库存使用数据!$A:$C,3,0),0)+IFERROR(VLOOKUP($A415,[3]库存使用数据!$A:$C,3,0),0)+IFERROR(VLOOKUP($A415,[4]库存使用数据!$A:$C,3,0),0)+IFERROR(VLOOKUP($A415,[5]库存使用数据!$A:$C,3,0),0)</f>
        <v>29</v>
      </c>
      <c r="D415" s="1">
        <f ca="1">IFERROR(VLOOKUP($A415,[1]库存使用数据!$A:$D,4,0),0)+IFERROR(VLOOKUP($A415,[2]库存使用数据!$A:$D,4,0),0)+公式!$B$1*IFERROR(VLOOKUP($A415,[3]库存使用数据!$A:$D,4,0),0)+IFERROR(VLOOKUP($A415,[4]库存使用数据!$A:$D,4,0),0)+IFERROR(VLOOKUP($A415,[5]库存使用数据!$A:$D,4,0),0)</f>
        <v>2.28375</v>
      </c>
      <c r="E415" s="1">
        <f ca="1">IFERROR(VLOOKUP($A415,[1]库存使用数据!$A:$E,5,0),0)+IFERROR(VLOOKUP($A415,[2]库存使用数据!$A:$E,5,0),0)+IFERROR(VLOOKUP($A415,[3]库存使用数据!$A:$E,5,0),0)+IFERROR(VLOOKUP($A415,[4]库存使用数据!$A:$E,5,0),0)+IFERROR(VLOOKUP($A415,[5]库存使用数据!$A:$E,5,0),0)</f>
        <v>5754</v>
      </c>
      <c r="F415" s="1">
        <f ca="1">IFERROR(VLOOKUP($A415,[1]库存使用数据!$A:$F,6,0),0)+IFERROR(VLOOKUP($A415,[2]库存使用数据!$A:$F,6,0),0)+IFERROR(VLOOKUP($A415,[4]库存使用数据!$A:$F,6,0),0)+IFERROR(VLOOKUP($A415,[3]库存使用数据!$A:$F,6,0),0)+IFERROR(VLOOKUP($A415,[5]库存使用数据!$A:$F,6,0),0)</f>
        <v>28</v>
      </c>
      <c r="G415" s="1">
        <f ca="1">IFERROR(VLOOKUP($A415,[1]库存使用数据!$A:$G,7,0),0)+IFERROR(VLOOKUP($A415,[2]库存使用数据!$A:$G,7,0),0)+公式!$B$14*IFERROR(VLOOKUP($A415,[3]库存使用数据!$A:$G,7,0),0)+IFERROR(VLOOKUP($A415,[4]库存使用数据!$A:$G,7,0),0)+IFERROR(VLOOKUP($A415,[5]库存使用数据!$A:$G,7,0),0)</f>
        <v>0</v>
      </c>
      <c r="H415" s="1">
        <f ca="1">IFERROR(VLOOKUP($A415,[1]库存使用数据!$A:$H,8,0),0)+IFERROR(VLOOKUP($A415,[2]库存使用数据!$A:$H,8,0),0)+IFERROR(VLOOKUP($A415,[3]库存使用数据!$A:$H,8,0),0)+IFERROR(VLOOKUP($A415,[4]库存使用数据!$A:$H,8,0),0)+IFERROR(VLOOKUP($A415,[5]库存使用数据!$A:$H,8,0),0)</f>
        <v>2550</v>
      </c>
      <c r="I415" s="1">
        <f ca="1">IFERROR(VLOOKUP($A415,[1]库存使用数据!$A:$I,9,0),0)+IFERROR(VLOOKUP($A415,[2]库存使用数据!$A:$I,9,0),0)+IFERROR(VLOOKUP($A415,[3]库存使用数据!$A:$I,9,0),0)+IFERROR(VLOOKUP($A415,[4]库存使用数据!$A:$I,9,0),0)+IFERROR(VLOOKUP($A415,[5]库存使用数据!$A:$I,9,0),0)</f>
        <v>13</v>
      </c>
      <c r="J415" s="1">
        <f ca="1">IFERROR(VLOOKUP($A415,[1]库存使用数据!$A:$J,10,0),0)+IFERROR(VLOOKUP($A415,[2]库存使用数据!$A:$J,10,0),0)+公式!$B$14*IFERROR(VLOOKUP($A415,[3]库存使用数据!$A:$J,10,0),0)+IFERROR(VLOOKUP($A415,[4]库存使用数据!$A:$J,10,0),0)+IFERROR(VLOOKUP($A415,[5]库存使用数据!$A:$J,10,0),0)</f>
        <v>0</v>
      </c>
      <c r="K415" s="1">
        <f ca="1">IFERROR(VLOOKUP($A415,[1]库存使用数据!$A:$K,11,0),0)+IFERROR(VLOOKUP($A415,[2]库存使用数据!$A:$K,11,0),0)+IFERROR(VLOOKUP($A415,[3]库存使用数据!$A:$K,11,0),0)+IFERROR(VLOOKUP($A415,[4]库存使用数据!$A:$K,11,0),0)+IFERROR(VLOOKUP($A415,[5]库存使用数据!$A:$K,11,0),0)</f>
        <v>2526</v>
      </c>
      <c r="L415" s="1">
        <f ca="1">IFERROR(VLOOKUP($A415,[1]库存使用数据!$A:$L,12,0),0)+IFERROR(VLOOKUP($A415,[2]库存使用数据!$A:$L,12,0),0)+IFERROR(VLOOKUP($A415,[3]库存使用数据!$A:$L,12,0),0)+IFERROR(VLOOKUP($A415,[4]库存使用数据!$A:$L,12,0),0)+IFERROR(VLOOKUP($A415,[5]库存使用数据!$A:$L,12,0),0)</f>
        <v>7</v>
      </c>
      <c r="M415" s="1">
        <f ca="1">IFERROR(VLOOKUP($A415,[1]库存使用数据!$A:$M,13,0),0)+IFERROR(VLOOKUP($A415,[2]库存使用数据!$A:$M,13,0),0)+公式!$B$14*IFERROR(VLOOKUP($A415,[3]库存使用数据!$A:$M,13,0),0)+IFERROR(VLOOKUP($A415,[4]库存使用数据!$A:$M,13,0),0)+IFERROR(VLOOKUP($A415,[5]库存使用数据!$A:$M,13,0),0)</f>
        <v>0</v>
      </c>
    </row>
    <row r="416" spans="1:13">
      <c r="A416" s="6" t="s">
        <v>421</v>
      </c>
      <c r="B416" s="2">
        <f ca="1">IFERROR(VLOOKUP(A416,[1]库存使用数据!$A:$B,2,0),0)+IFERROR(VLOOKUP(A416,[2]库存使用数据!$A:$B,2,0),0)+IFERROR(VLOOKUP(,[3]库存使用数据!$A:$B,2,0),0)+IFERROR(VLOOKUP(A416,[4]库存使用数据!$A:$B,2,0),0)+IFERROR(VLOOKUP(A416,[5]库存使用数据!$A:$B,2,0),0)</f>
        <v>0</v>
      </c>
      <c r="C416" s="1">
        <f ca="1">IFERROR(VLOOKUP($A416,[1]库存使用数据!$A:$C,3,0),0)+IFERROR(VLOOKUP($A416,[2]库存使用数据!$A:$C,3,0),0)+IFERROR(VLOOKUP($A416,[3]库存使用数据!$A:$C,3,0),0)+IFERROR(VLOOKUP($A416,[4]库存使用数据!$A:$C,3,0),0)+IFERROR(VLOOKUP($A416,[5]库存使用数据!$A:$C,3,0),0)</f>
        <v>0</v>
      </c>
      <c r="D416" s="1">
        <f ca="1">IFERROR(VLOOKUP($A416,[1]库存使用数据!$A:$D,4,0),0)+IFERROR(VLOOKUP($A416,[2]库存使用数据!$A:$D,4,0),0)+公式!$B$1*IFERROR(VLOOKUP($A416,[3]库存使用数据!$A:$D,4,0),0)+IFERROR(VLOOKUP($A416,[4]库存使用数据!$A:$D,4,0),0)+IFERROR(VLOOKUP($A416,[5]库存使用数据!$A:$D,4,0),0)</f>
        <v>0</v>
      </c>
      <c r="E416" s="1">
        <f ca="1">IFERROR(VLOOKUP($A416,[1]库存使用数据!$A:$E,5,0),0)+IFERROR(VLOOKUP($A416,[2]库存使用数据!$A:$E,5,0),0)+IFERROR(VLOOKUP($A416,[3]库存使用数据!$A:$E,5,0),0)+IFERROR(VLOOKUP($A416,[4]库存使用数据!$A:$E,5,0),0)+IFERROR(VLOOKUP($A416,[5]库存使用数据!$A:$E,5,0),0)</f>
        <v>0</v>
      </c>
      <c r="F416" s="1">
        <f ca="1">IFERROR(VLOOKUP($A416,[1]库存使用数据!$A:$F,6,0),0)+IFERROR(VLOOKUP($A416,[2]库存使用数据!$A:$F,6,0),0)+IFERROR(VLOOKUP($A416,[4]库存使用数据!$A:$F,6,0),0)+IFERROR(VLOOKUP($A416,[3]库存使用数据!$A:$F,6,0),0)+IFERROR(VLOOKUP($A416,[5]库存使用数据!$A:$F,6,0),0)</f>
        <v>0</v>
      </c>
      <c r="G416" s="1">
        <f ca="1">IFERROR(VLOOKUP($A416,[1]库存使用数据!$A:$G,7,0),0)+IFERROR(VLOOKUP($A416,[2]库存使用数据!$A:$G,7,0),0)+公式!$B$14*IFERROR(VLOOKUP($A416,[3]库存使用数据!$A:$G,7,0),0)+IFERROR(VLOOKUP($A416,[4]库存使用数据!$A:$G,7,0),0)+IFERROR(VLOOKUP($A416,[5]库存使用数据!$A:$G,7,0),0)</f>
        <v>0</v>
      </c>
      <c r="H416" s="1">
        <f ca="1">IFERROR(VLOOKUP($A416,[1]库存使用数据!$A:$H,8,0),0)+IFERROR(VLOOKUP($A416,[2]库存使用数据!$A:$H,8,0),0)+IFERROR(VLOOKUP($A416,[3]库存使用数据!$A:$H,8,0),0)+IFERROR(VLOOKUP($A416,[4]库存使用数据!$A:$H,8,0),0)+IFERROR(VLOOKUP($A416,[5]库存使用数据!$A:$H,8,0),0)</f>
        <v>0</v>
      </c>
      <c r="I416" s="1">
        <f ca="1">IFERROR(VLOOKUP($A416,[1]库存使用数据!$A:$I,9,0),0)+IFERROR(VLOOKUP($A416,[2]库存使用数据!$A:$I,9,0),0)+IFERROR(VLOOKUP($A416,[3]库存使用数据!$A:$I,9,0),0)+IFERROR(VLOOKUP($A416,[4]库存使用数据!$A:$I,9,0),0)+IFERROR(VLOOKUP($A416,[5]库存使用数据!$A:$I,9,0),0)</f>
        <v>0</v>
      </c>
      <c r="J416" s="1">
        <f ca="1">IFERROR(VLOOKUP($A416,[1]库存使用数据!$A:$J,10,0),0)+IFERROR(VLOOKUP($A416,[2]库存使用数据!$A:$J,10,0),0)+公式!$B$14*IFERROR(VLOOKUP($A416,[3]库存使用数据!$A:$J,10,0),0)+IFERROR(VLOOKUP($A416,[4]库存使用数据!$A:$J,10,0),0)+IFERROR(VLOOKUP($A416,[5]库存使用数据!$A:$J,10,0),0)</f>
        <v>0</v>
      </c>
      <c r="K416" s="1">
        <f ca="1">IFERROR(VLOOKUP($A416,[1]库存使用数据!$A:$K,11,0),0)+IFERROR(VLOOKUP($A416,[2]库存使用数据!$A:$K,11,0),0)+IFERROR(VLOOKUP($A416,[3]库存使用数据!$A:$K,11,0),0)+IFERROR(VLOOKUP($A416,[4]库存使用数据!$A:$K,11,0),0)+IFERROR(VLOOKUP($A416,[5]库存使用数据!$A:$K,11,0),0)</f>
        <v>4</v>
      </c>
      <c r="L416" s="1">
        <f ca="1">IFERROR(VLOOKUP($A416,[1]库存使用数据!$A:$L,12,0),0)+IFERROR(VLOOKUP($A416,[2]库存使用数据!$A:$L,12,0),0)+IFERROR(VLOOKUP($A416,[3]库存使用数据!$A:$L,12,0),0)+IFERROR(VLOOKUP($A416,[4]库存使用数据!$A:$L,12,0),0)+IFERROR(VLOOKUP($A416,[5]库存使用数据!$A:$L,12,0),0)</f>
        <v>0</v>
      </c>
      <c r="M416" s="1">
        <f ca="1">IFERROR(VLOOKUP($A416,[1]库存使用数据!$A:$M,13,0),0)+IFERROR(VLOOKUP($A416,[2]库存使用数据!$A:$M,13,0),0)+公式!$B$14*IFERROR(VLOOKUP($A416,[3]库存使用数据!$A:$M,13,0),0)+IFERROR(VLOOKUP($A416,[4]库存使用数据!$A:$M,13,0),0)+IFERROR(VLOOKUP($A416,[5]库存使用数据!$A:$M,13,0),0)</f>
        <v>0</v>
      </c>
    </row>
    <row r="417" spans="1:13">
      <c r="A417" s="6" t="s">
        <v>422</v>
      </c>
      <c r="B417" s="2">
        <f ca="1">IFERROR(VLOOKUP(A417,[1]库存使用数据!$A:$B,2,0),0)+IFERROR(VLOOKUP(A417,[2]库存使用数据!$A:$B,2,0),0)+IFERROR(VLOOKUP(,[3]库存使用数据!$A:$B,2,0),0)+IFERROR(VLOOKUP(A417,[4]库存使用数据!$A:$B,2,0),0)+IFERROR(VLOOKUP(A417,[5]库存使用数据!$A:$B,2,0),0)</f>
        <v>0</v>
      </c>
      <c r="C417" s="1">
        <f ca="1">IFERROR(VLOOKUP($A417,[1]库存使用数据!$A:$C,3,0),0)+IFERROR(VLOOKUP($A417,[2]库存使用数据!$A:$C,3,0),0)+IFERROR(VLOOKUP($A417,[3]库存使用数据!$A:$C,3,0),0)+IFERROR(VLOOKUP($A417,[4]库存使用数据!$A:$C,3,0),0)+IFERROR(VLOOKUP($A417,[5]库存使用数据!$A:$C,3,0),0)</f>
        <v>0</v>
      </c>
      <c r="D417" s="1">
        <f ca="1">IFERROR(VLOOKUP($A417,[1]库存使用数据!$A:$D,4,0),0)+IFERROR(VLOOKUP($A417,[2]库存使用数据!$A:$D,4,0),0)+公式!$B$1*IFERROR(VLOOKUP($A417,[3]库存使用数据!$A:$D,4,0),0)+IFERROR(VLOOKUP($A417,[4]库存使用数据!$A:$D,4,0),0)+IFERROR(VLOOKUP($A417,[5]库存使用数据!$A:$D,4,0),0)</f>
        <v>0</v>
      </c>
      <c r="E417" s="1">
        <f ca="1">IFERROR(VLOOKUP($A417,[1]库存使用数据!$A:$E,5,0),0)+IFERROR(VLOOKUP($A417,[2]库存使用数据!$A:$E,5,0),0)+IFERROR(VLOOKUP($A417,[3]库存使用数据!$A:$E,5,0),0)+IFERROR(VLOOKUP($A417,[4]库存使用数据!$A:$E,5,0),0)+IFERROR(VLOOKUP($A417,[5]库存使用数据!$A:$E,5,0),0)</f>
        <v>0</v>
      </c>
      <c r="F417" s="1">
        <f ca="1">IFERROR(VLOOKUP($A417,[1]库存使用数据!$A:$F,6,0),0)+IFERROR(VLOOKUP($A417,[2]库存使用数据!$A:$F,6,0),0)+IFERROR(VLOOKUP($A417,[4]库存使用数据!$A:$F,6,0),0)+IFERROR(VLOOKUP($A417,[3]库存使用数据!$A:$F,6,0),0)+IFERROR(VLOOKUP($A417,[5]库存使用数据!$A:$F,6,0),0)</f>
        <v>0</v>
      </c>
      <c r="G417" s="1">
        <f ca="1">IFERROR(VLOOKUP($A417,[1]库存使用数据!$A:$G,7,0),0)+IFERROR(VLOOKUP($A417,[2]库存使用数据!$A:$G,7,0),0)+公式!$B$14*IFERROR(VLOOKUP($A417,[3]库存使用数据!$A:$G,7,0),0)+IFERROR(VLOOKUP($A417,[4]库存使用数据!$A:$G,7,0),0)+IFERROR(VLOOKUP($A417,[5]库存使用数据!$A:$G,7,0),0)</f>
        <v>0</v>
      </c>
      <c r="H417" s="1">
        <f ca="1">IFERROR(VLOOKUP($A417,[1]库存使用数据!$A:$H,8,0),0)+IFERROR(VLOOKUP($A417,[2]库存使用数据!$A:$H,8,0),0)+IFERROR(VLOOKUP($A417,[3]库存使用数据!$A:$H,8,0),0)+IFERROR(VLOOKUP($A417,[4]库存使用数据!$A:$H,8,0),0)+IFERROR(VLOOKUP($A417,[5]库存使用数据!$A:$H,8,0),0)</f>
        <v>0</v>
      </c>
      <c r="I417" s="1">
        <f ca="1">IFERROR(VLOOKUP($A417,[1]库存使用数据!$A:$I,9,0),0)+IFERROR(VLOOKUP($A417,[2]库存使用数据!$A:$I,9,0),0)+IFERROR(VLOOKUP($A417,[3]库存使用数据!$A:$I,9,0),0)+IFERROR(VLOOKUP($A417,[4]库存使用数据!$A:$I,9,0),0)+IFERROR(VLOOKUP($A417,[5]库存使用数据!$A:$I,9,0),0)</f>
        <v>0</v>
      </c>
      <c r="J417" s="1">
        <f ca="1">IFERROR(VLOOKUP($A417,[1]库存使用数据!$A:$J,10,0),0)+IFERROR(VLOOKUP($A417,[2]库存使用数据!$A:$J,10,0),0)+公式!$B$14*IFERROR(VLOOKUP($A417,[3]库存使用数据!$A:$J,10,0),0)+IFERROR(VLOOKUP($A417,[4]库存使用数据!$A:$J,10,0),0)+IFERROR(VLOOKUP($A417,[5]库存使用数据!$A:$J,10,0),0)</f>
        <v>0</v>
      </c>
      <c r="K417" s="1">
        <f ca="1">IFERROR(VLOOKUP($A417,[1]库存使用数据!$A:$K,11,0),0)+IFERROR(VLOOKUP($A417,[2]库存使用数据!$A:$K,11,0),0)+IFERROR(VLOOKUP($A417,[3]库存使用数据!$A:$K,11,0),0)+IFERROR(VLOOKUP($A417,[4]库存使用数据!$A:$K,11,0),0)+IFERROR(VLOOKUP($A417,[5]库存使用数据!$A:$K,11,0),0)</f>
        <v>0</v>
      </c>
      <c r="L417" s="1">
        <f ca="1">IFERROR(VLOOKUP($A417,[1]库存使用数据!$A:$L,12,0),0)+IFERROR(VLOOKUP($A417,[2]库存使用数据!$A:$L,12,0),0)+IFERROR(VLOOKUP($A417,[3]库存使用数据!$A:$L,12,0),0)+IFERROR(VLOOKUP($A417,[4]库存使用数据!$A:$L,12,0),0)+IFERROR(VLOOKUP($A417,[5]库存使用数据!$A:$L,12,0),0)</f>
        <v>0</v>
      </c>
      <c r="M417" s="1">
        <f ca="1">IFERROR(VLOOKUP($A417,[1]库存使用数据!$A:$M,13,0),0)+IFERROR(VLOOKUP($A417,[2]库存使用数据!$A:$M,13,0),0)+公式!$B$14*IFERROR(VLOOKUP($A417,[3]库存使用数据!$A:$M,13,0),0)+IFERROR(VLOOKUP($A417,[4]库存使用数据!$A:$M,13,0),0)+IFERROR(VLOOKUP($A417,[5]库存使用数据!$A:$M,13,0),0)</f>
        <v>0</v>
      </c>
    </row>
    <row r="418" spans="1:13">
      <c r="A418" s="6" t="s">
        <v>423</v>
      </c>
      <c r="B418" s="2">
        <f ca="1">IFERROR(VLOOKUP(A418,[1]库存使用数据!$A:$B,2,0),0)+IFERROR(VLOOKUP(A418,[2]库存使用数据!$A:$B,2,0),0)+IFERROR(VLOOKUP(,[3]库存使用数据!$A:$B,2,0),0)+IFERROR(VLOOKUP(A418,[4]库存使用数据!$A:$B,2,0),0)+IFERROR(VLOOKUP(A418,[5]库存使用数据!$A:$B,2,0),0)</f>
        <v>0</v>
      </c>
      <c r="C418" s="1">
        <f ca="1">IFERROR(VLOOKUP($A418,[1]库存使用数据!$A:$C,3,0),0)+IFERROR(VLOOKUP($A418,[2]库存使用数据!$A:$C,3,0),0)+IFERROR(VLOOKUP($A418,[3]库存使用数据!$A:$C,3,0),0)+IFERROR(VLOOKUP($A418,[4]库存使用数据!$A:$C,3,0),0)+IFERROR(VLOOKUP($A418,[5]库存使用数据!$A:$C,3,0),0)</f>
        <v>0</v>
      </c>
      <c r="D418" s="1">
        <f ca="1">IFERROR(VLOOKUP($A418,[1]库存使用数据!$A:$D,4,0),0)+IFERROR(VLOOKUP($A418,[2]库存使用数据!$A:$D,4,0),0)+公式!$B$1*IFERROR(VLOOKUP($A418,[3]库存使用数据!$A:$D,4,0),0)+IFERROR(VLOOKUP($A418,[4]库存使用数据!$A:$D,4,0),0)+IFERROR(VLOOKUP($A418,[5]库存使用数据!$A:$D,4,0),0)</f>
        <v>0</v>
      </c>
      <c r="E418" s="1">
        <f ca="1">IFERROR(VLOOKUP($A418,[1]库存使用数据!$A:$E,5,0),0)+IFERROR(VLOOKUP($A418,[2]库存使用数据!$A:$E,5,0),0)+IFERROR(VLOOKUP($A418,[3]库存使用数据!$A:$E,5,0),0)+IFERROR(VLOOKUP($A418,[4]库存使用数据!$A:$E,5,0),0)+IFERROR(VLOOKUP($A418,[5]库存使用数据!$A:$E,5,0),0)</f>
        <v>358</v>
      </c>
      <c r="F418" s="1">
        <f ca="1">IFERROR(VLOOKUP($A418,[1]库存使用数据!$A:$F,6,0),0)+IFERROR(VLOOKUP($A418,[2]库存使用数据!$A:$F,6,0),0)+IFERROR(VLOOKUP($A418,[4]库存使用数据!$A:$F,6,0),0)+IFERROR(VLOOKUP($A418,[3]库存使用数据!$A:$F,6,0),0)+IFERROR(VLOOKUP($A418,[5]库存使用数据!$A:$F,6,0),0)</f>
        <v>1</v>
      </c>
      <c r="G418" s="1">
        <f ca="1">IFERROR(VLOOKUP($A418,[1]库存使用数据!$A:$G,7,0),0)+IFERROR(VLOOKUP($A418,[2]库存使用数据!$A:$G,7,0),0)+公式!$B$14*IFERROR(VLOOKUP($A418,[3]库存使用数据!$A:$G,7,0),0)+IFERROR(VLOOKUP($A418,[4]库存使用数据!$A:$G,7,0),0)+IFERROR(VLOOKUP($A418,[5]库存使用数据!$A:$G,7,0),0)</f>
        <v>0</v>
      </c>
      <c r="H418" s="1">
        <f ca="1">IFERROR(VLOOKUP($A418,[1]库存使用数据!$A:$H,8,0),0)+IFERROR(VLOOKUP($A418,[2]库存使用数据!$A:$H,8,0),0)+IFERROR(VLOOKUP($A418,[3]库存使用数据!$A:$H,8,0),0)+IFERROR(VLOOKUP($A418,[4]库存使用数据!$A:$H,8,0),0)+IFERROR(VLOOKUP($A418,[5]库存使用数据!$A:$H,8,0),0)</f>
        <v>1</v>
      </c>
      <c r="I418" s="1">
        <f ca="1">IFERROR(VLOOKUP($A418,[1]库存使用数据!$A:$I,9,0),0)+IFERROR(VLOOKUP($A418,[2]库存使用数据!$A:$I,9,0),0)+IFERROR(VLOOKUP($A418,[3]库存使用数据!$A:$I,9,0),0)+IFERROR(VLOOKUP($A418,[4]库存使用数据!$A:$I,9,0),0)+IFERROR(VLOOKUP($A418,[5]库存使用数据!$A:$I,9,0),0)</f>
        <v>0</v>
      </c>
      <c r="J418" s="1">
        <f ca="1">IFERROR(VLOOKUP($A418,[1]库存使用数据!$A:$J,10,0),0)+IFERROR(VLOOKUP($A418,[2]库存使用数据!$A:$J,10,0),0)+公式!$B$14*IFERROR(VLOOKUP($A418,[3]库存使用数据!$A:$J,10,0),0)+IFERROR(VLOOKUP($A418,[4]库存使用数据!$A:$J,10,0),0)+IFERROR(VLOOKUP($A418,[5]库存使用数据!$A:$J,10,0),0)</f>
        <v>0</v>
      </c>
      <c r="K418" s="1">
        <f ca="1">IFERROR(VLOOKUP($A418,[1]库存使用数据!$A:$K,11,0),0)+IFERROR(VLOOKUP($A418,[2]库存使用数据!$A:$K,11,0),0)+IFERROR(VLOOKUP($A418,[3]库存使用数据!$A:$K,11,0),0)+IFERROR(VLOOKUP($A418,[4]库存使用数据!$A:$K,11,0),0)+IFERROR(VLOOKUP($A418,[5]库存使用数据!$A:$K,11,0),0)</f>
        <v>2</v>
      </c>
      <c r="L418" s="1">
        <f ca="1">IFERROR(VLOOKUP($A418,[1]库存使用数据!$A:$L,12,0),0)+IFERROR(VLOOKUP($A418,[2]库存使用数据!$A:$L,12,0),0)+IFERROR(VLOOKUP($A418,[3]库存使用数据!$A:$L,12,0),0)+IFERROR(VLOOKUP($A418,[4]库存使用数据!$A:$L,12,0),0)+IFERROR(VLOOKUP($A418,[5]库存使用数据!$A:$L,12,0),0)</f>
        <v>0</v>
      </c>
      <c r="M418" s="1">
        <f ca="1">IFERROR(VLOOKUP($A418,[1]库存使用数据!$A:$M,13,0),0)+IFERROR(VLOOKUP($A418,[2]库存使用数据!$A:$M,13,0),0)+公式!$B$14*IFERROR(VLOOKUP($A418,[3]库存使用数据!$A:$M,13,0),0)+IFERROR(VLOOKUP($A418,[4]库存使用数据!$A:$M,13,0),0)+IFERROR(VLOOKUP($A418,[5]库存使用数据!$A:$M,13,0),0)</f>
        <v>0</v>
      </c>
    </row>
    <row r="419" spans="1:13">
      <c r="A419" s="6" t="s">
        <v>424</v>
      </c>
      <c r="B419" s="2">
        <f ca="1">IFERROR(VLOOKUP(A419,[1]库存使用数据!$A:$B,2,0),0)+IFERROR(VLOOKUP(A419,[2]库存使用数据!$A:$B,2,0),0)+IFERROR(VLOOKUP(,[3]库存使用数据!$A:$B,2,0),0)+IFERROR(VLOOKUP(A419,[4]库存使用数据!$A:$B,2,0),0)+IFERROR(VLOOKUP(A419,[5]库存使用数据!$A:$B,2,0),0)</f>
        <v>3057</v>
      </c>
      <c r="C419" s="1">
        <f ca="1">IFERROR(VLOOKUP($A419,[1]库存使用数据!$A:$C,3,0),0)+IFERROR(VLOOKUP($A419,[2]库存使用数据!$A:$C,3,0),0)+IFERROR(VLOOKUP($A419,[3]库存使用数据!$A:$C,3,0),0)+IFERROR(VLOOKUP($A419,[4]库存使用数据!$A:$C,3,0),0)+IFERROR(VLOOKUP($A419,[5]库存使用数据!$A:$C,3,0),0)</f>
        <v>7</v>
      </c>
      <c r="D419" s="1">
        <f ca="1">IFERROR(VLOOKUP($A419,[1]库存使用数据!$A:$D,4,0),0)+IFERROR(VLOOKUP($A419,[2]库存使用数据!$A:$D,4,0),0)+公式!$B$1*IFERROR(VLOOKUP($A419,[3]库存使用数据!$A:$D,4,0),0)+IFERROR(VLOOKUP($A419,[4]库存使用数据!$A:$D,4,0),0)+IFERROR(VLOOKUP($A419,[5]库存使用数据!$A:$D,4,0),0)</f>
        <v>1.34</v>
      </c>
      <c r="E419" s="1">
        <f ca="1">IFERROR(VLOOKUP($A419,[1]库存使用数据!$A:$E,5,0),0)+IFERROR(VLOOKUP($A419,[2]库存使用数据!$A:$E,5,0),0)+IFERROR(VLOOKUP($A419,[3]库存使用数据!$A:$E,5,0),0)+IFERROR(VLOOKUP($A419,[4]库存使用数据!$A:$E,5,0),0)+IFERROR(VLOOKUP($A419,[5]库存使用数据!$A:$E,5,0),0)</f>
        <v>8084</v>
      </c>
      <c r="F419" s="1">
        <f ca="1">IFERROR(VLOOKUP($A419,[1]库存使用数据!$A:$F,6,0),0)+IFERROR(VLOOKUP($A419,[2]库存使用数据!$A:$F,6,0),0)+IFERROR(VLOOKUP($A419,[4]库存使用数据!$A:$F,6,0),0)+IFERROR(VLOOKUP($A419,[3]库存使用数据!$A:$F,6,0),0)+IFERROR(VLOOKUP($A419,[5]库存使用数据!$A:$F,6,0),0)</f>
        <v>23</v>
      </c>
      <c r="G419" s="1">
        <f ca="1">IFERROR(VLOOKUP($A419,[1]库存使用数据!$A:$G,7,0),0)+IFERROR(VLOOKUP($A419,[2]库存使用数据!$A:$G,7,0),0)+公式!$B$14*IFERROR(VLOOKUP($A419,[3]库存使用数据!$A:$G,7,0),0)+IFERROR(VLOOKUP($A419,[4]库存使用数据!$A:$G,7,0),0)+IFERROR(VLOOKUP($A419,[5]库存使用数据!$A:$G,7,0),0)</f>
        <v>2.39</v>
      </c>
      <c r="H419" s="1">
        <f ca="1">IFERROR(VLOOKUP($A419,[1]库存使用数据!$A:$H,8,0),0)+IFERROR(VLOOKUP($A419,[2]库存使用数据!$A:$H,8,0),0)+IFERROR(VLOOKUP($A419,[3]库存使用数据!$A:$H,8,0),0)+IFERROR(VLOOKUP($A419,[4]库存使用数据!$A:$H,8,0),0)+IFERROR(VLOOKUP($A419,[5]库存使用数据!$A:$H,8,0),0)</f>
        <v>1905</v>
      </c>
      <c r="I419" s="1">
        <f ca="1">IFERROR(VLOOKUP($A419,[1]库存使用数据!$A:$I,9,0),0)+IFERROR(VLOOKUP($A419,[2]库存使用数据!$A:$I,9,0),0)+IFERROR(VLOOKUP($A419,[3]库存使用数据!$A:$I,9,0),0)+IFERROR(VLOOKUP($A419,[4]库存使用数据!$A:$I,9,0),0)+IFERROR(VLOOKUP($A419,[5]库存使用数据!$A:$I,9,0),0)</f>
        <v>9</v>
      </c>
      <c r="J419" s="1">
        <f ca="1">IFERROR(VLOOKUP($A419,[1]库存使用数据!$A:$J,10,0),0)+IFERROR(VLOOKUP($A419,[2]库存使用数据!$A:$J,10,0),0)+公式!$B$14*IFERROR(VLOOKUP($A419,[3]库存使用数据!$A:$J,10,0),0)+IFERROR(VLOOKUP($A419,[4]库存使用数据!$A:$J,10,0),0)+IFERROR(VLOOKUP($A419,[5]库存使用数据!$A:$J,10,0),0)</f>
        <v>0.75</v>
      </c>
      <c r="K419" s="1">
        <f ca="1">IFERROR(VLOOKUP($A419,[1]库存使用数据!$A:$K,11,0),0)+IFERROR(VLOOKUP($A419,[2]库存使用数据!$A:$K,11,0),0)+IFERROR(VLOOKUP($A419,[3]库存使用数据!$A:$K,11,0),0)+IFERROR(VLOOKUP($A419,[4]库存使用数据!$A:$K,11,0),0)+IFERROR(VLOOKUP($A419,[5]库存使用数据!$A:$K,11,0),0)</f>
        <v>1371</v>
      </c>
      <c r="L419" s="1">
        <f ca="1">IFERROR(VLOOKUP($A419,[1]库存使用数据!$A:$L,12,0),0)+IFERROR(VLOOKUP($A419,[2]库存使用数据!$A:$L,12,0),0)+IFERROR(VLOOKUP($A419,[3]库存使用数据!$A:$L,12,0),0)+IFERROR(VLOOKUP($A419,[4]库存使用数据!$A:$L,12,0),0)+IFERROR(VLOOKUP($A419,[5]库存使用数据!$A:$L,12,0),0)</f>
        <v>1</v>
      </c>
      <c r="M419" s="1">
        <f ca="1">IFERROR(VLOOKUP($A419,[1]库存使用数据!$A:$M,13,0),0)+IFERROR(VLOOKUP($A419,[2]库存使用数据!$A:$M,13,0),0)+公式!$B$14*IFERROR(VLOOKUP($A419,[3]库存使用数据!$A:$M,13,0),0)+IFERROR(VLOOKUP($A419,[4]库存使用数据!$A:$M,13,0),0)+IFERROR(VLOOKUP($A419,[5]库存使用数据!$A:$M,13,0),0)</f>
        <v>0</v>
      </c>
    </row>
    <row r="420" spans="1:13">
      <c r="A420" s="6" t="s">
        <v>425</v>
      </c>
      <c r="B420" s="2">
        <f ca="1">IFERROR(VLOOKUP(A420,[1]库存使用数据!$A:$B,2,0),0)+IFERROR(VLOOKUP(A420,[2]库存使用数据!$A:$B,2,0),0)+IFERROR(VLOOKUP(,[3]库存使用数据!$A:$B,2,0),0)+IFERROR(VLOOKUP(A420,[4]库存使用数据!$A:$B,2,0),0)+IFERROR(VLOOKUP(A420,[5]库存使用数据!$A:$B,2,0),0)</f>
        <v>0</v>
      </c>
      <c r="C420" s="1">
        <f ca="1">IFERROR(VLOOKUP($A420,[1]库存使用数据!$A:$C,3,0),0)+IFERROR(VLOOKUP($A420,[2]库存使用数据!$A:$C,3,0),0)+IFERROR(VLOOKUP($A420,[3]库存使用数据!$A:$C,3,0),0)+IFERROR(VLOOKUP($A420,[4]库存使用数据!$A:$C,3,0),0)+IFERROR(VLOOKUP($A420,[5]库存使用数据!$A:$C,3,0),0)</f>
        <v>0</v>
      </c>
      <c r="D420" s="1">
        <f ca="1">IFERROR(VLOOKUP($A420,[1]库存使用数据!$A:$D,4,0),0)+IFERROR(VLOOKUP($A420,[2]库存使用数据!$A:$D,4,0),0)+公式!$B$1*IFERROR(VLOOKUP($A420,[3]库存使用数据!$A:$D,4,0),0)+IFERROR(VLOOKUP($A420,[4]库存使用数据!$A:$D,4,0),0)+IFERROR(VLOOKUP($A420,[5]库存使用数据!$A:$D,4,0),0)</f>
        <v>0</v>
      </c>
      <c r="E420" s="1">
        <f ca="1">IFERROR(VLOOKUP($A420,[1]库存使用数据!$A:$E,5,0),0)+IFERROR(VLOOKUP($A420,[2]库存使用数据!$A:$E,5,0),0)+IFERROR(VLOOKUP($A420,[3]库存使用数据!$A:$E,5,0),0)+IFERROR(VLOOKUP($A420,[4]库存使用数据!$A:$E,5,0),0)+IFERROR(VLOOKUP($A420,[5]库存使用数据!$A:$E,5,0),0)</f>
        <v>151</v>
      </c>
      <c r="F420" s="1">
        <f ca="1">IFERROR(VLOOKUP($A420,[1]库存使用数据!$A:$F,6,0),0)+IFERROR(VLOOKUP($A420,[2]库存使用数据!$A:$F,6,0),0)+IFERROR(VLOOKUP($A420,[4]库存使用数据!$A:$F,6,0),0)+IFERROR(VLOOKUP($A420,[3]库存使用数据!$A:$F,6,0),0)+IFERROR(VLOOKUP($A420,[5]库存使用数据!$A:$F,6,0),0)</f>
        <v>1</v>
      </c>
      <c r="G420" s="1">
        <f ca="1">IFERROR(VLOOKUP($A420,[1]库存使用数据!$A:$G,7,0),0)+IFERROR(VLOOKUP($A420,[2]库存使用数据!$A:$G,7,0),0)+公式!$B$14*IFERROR(VLOOKUP($A420,[3]库存使用数据!$A:$G,7,0),0)+IFERROR(VLOOKUP($A420,[4]库存使用数据!$A:$G,7,0),0)+IFERROR(VLOOKUP($A420,[5]库存使用数据!$A:$G,7,0),0)</f>
        <v>0</v>
      </c>
      <c r="H420" s="1">
        <f ca="1">IFERROR(VLOOKUP($A420,[1]库存使用数据!$A:$H,8,0),0)+IFERROR(VLOOKUP($A420,[2]库存使用数据!$A:$H,8,0),0)+IFERROR(VLOOKUP($A420,[3]库存使用数据!$A:$H,8,0),0)+IFERROR(VLOOKUP($A420,[4]库存使用数据!$A:$H,8,0),0)+IFERROR(VLOOKUP($A420,[5]库存使用数据!$A:$H,8,0),0)</f>
        <v>62</v>
      </c>
      <c r="I420" s="1">
        <f ca="1">IFERROR(VLOOKUP($A420,[1]库存使用数据!$A:$I,9,0),0)+IFERROR(VLOOKUP($A420,[2]库存使用数据!$A:$I,9,0),0)+IFERROR(VLOOKUP($A420,[3]库存使用数据!$A:$I,9,0),0)+IFERROR(VLOOKUP($A420,[4]库存使用数据!$A:$I,9,0),0)+IFERROR(VLOOKUP($A420,[5]库存使用数据!$A:$I,9,0),0)</f>
        <v>0</v>
      </c>
      <c r="J420" s="1">
        <f ca="1">IFERROR(VLOOKUP($A420,[1]库存使用数据!$A:$J,10,0),0)+IFERROR(VLOOKUP($A420,[2]库存使用数据!$A:$J,10,0),0)+公式!$B$14*IFERROR(VLOOKUP($A420,[3]库存使用数据!$A:$J,10,0),0)+IFERROR(VLOOKUP($A420,[4]库存使用数据!$A:$J,10,0),0)+IFERROR(VLOOKUP($A420,[5]库存使用数据!$A:$J,10,0),0)</f>
        <v>0</v>
      </c>
      <c r="K420" s="1">
        <f ca="1">IFERROR(VLOOKUP($A420,[1]库存使用数据!$A:$K,11,0),0)+IFERROR(VLOOKUP($A420,[2]库存使用数据!$A:$K,11,0),0)+IFERROR(VLOOKUP($A420,[3]库存使用数据!$A:$K,11,0),0)+IFERROR(VLOOKUP($A420,[4]库存使用数据!$A:$K,11,0),0)+IFERROR(VLOOKUP($A420,[5]库存使用数据!$A:$K,11,0),0)</f>
        <v>104</v>
      </c>
      <c r="L420" s="1">
        <f ca="1">IFERROR(VLOOKUP($A420,[1]库存使用数据!$A:$L,12,0),0)+IFERROR(VLOOKUP($A420,[2]库存使用数据!$A:$L,12,0),0)+IFERROR(VLOOKUP($A420,[3]库存使用数据!$A:$L,12,0),0)+IFERROR(VLOOKUP($A420,[4]库存使用数据!$A:$L,12,0),0)+IFERROR(VLOOKUP($A420,[5]库存使用数据!$A:$L,12,0),0)</f>
        <v>1</v>
      </c>
      <c r="M420" s="1">
        <f ca="1">IFERROR(VLOOKUP($A420,[1]库存使用数据!$A:$M,13,0),0)+IFERROR(VLOOKUP($A420,[2]库存使用数据!$A:$M,13,0),0)+公式!$B$14*IFERROR(VLOOKUP($A420,[3]库存使用数据!$A:$M,13,0),0)+IFERROR(VLOOKUP($A420,[4]库存使用数据!$A:$M,13,0),0)+IFERROR(VLOOKUP($A420,[5]库存使用数据!$A:$M,13,0),0)</f>
        <v>0</v>
      </c>
    </row>
    <row r="421" spans="1:13">
      <c r="A421" s="6" t="s">
        <v>426</v>
      </c>
      <c r="B421" s="2">
        <f ca="1">IFERROR(VLOOKUP(A421,[1]库存使用数据!$A:$B,2,0),0)+IFERROR(VLOOKUP(A421,[2]库存使用数据!$A:$B,2,0),0)+IFERROR(VLOOKUP(,[3]库存使用数据!$A:$B,2,0),0)+IFERROR(VLOOKUP(A421,[4]库存使用数据!$A:$B,2,0),0)+IFERROR(VLOOKUP(A421,[5]库存使用数据!$A:$B,2,0),0)</f>
        <v>0</v>
      </c>
      <c r="C421" s="1">
        <f ca="1">IFERROR(VLOOKUP($A421,[1]库存使用数据!$A:$C,3,0),0)+IFERROR(VLOOKUP($A421,[2]库存使用数据!$A:$C,3,0),0)+IFERROR(VLOOKUP($A421,[3]库存使用数据!$A:$C,3,0),0)+IFERROR(VLOOKUP($A421,[4]库存使用数据!$A:$C,3,0),0)+IFERROR(VLOOKUP($A421,[5]库存使用数据!$A:$C,3,0),0)</f>
        <v>12</v>
      </c>
      <c r="D421" s="1">
        <f ca="1">IFERROR(VLOOKUP($A421,[1]库存使用数据!$A:$D,4,0),0)+IFERROR(VLOOKUP($A421,[2]库存使用数据!$A:$D,4,0),0)+公式!$B$1*IFERROR(VLOOKUP($A421,[3]库存使用数据!$A:$D,4,0),0)+IFERROR(VLOOKUP($A421,[4]库存使用数据!$A:$D,4,0),0)+IFERROR(VLOOKUP($A421,[5]库存使用数据!$A:$D,4,0),0)</f>
        <v>0.99</v>
      </c>
      <c r="E421" s="1">
        <f ca="1">IFERROR(VLOOKUP($A421,[1]库存使用数据!$A:$E,5,0),0)+IFERROR(VLOOKUP($A421,[2]库存使用数据!$A:$E,5,0),0)+IFERROR(VLOOKUP($A421,[3]库存使用数据!$A:$E,5,0),0)+IFERROR(VLOOKUP($A421,[4]库存使用数据!$A:$E,5,0),0)+IFERROR(VLOOKUP($A421,[5]库存使用数据!$A:$E,5,0),0)</f>
        <v>1976</v>
      </c>
      <c r="F421" s="1">
        <f ca="1">IFERROR(VLOOKUP($A421,[1]库存使用数据!$A:$F,6,0),0)+IFERROR(VLOOKUP($A421,[2]库存使用数据!$A:$F,6,0),0)+IFERROR(VLOOKUP($A421,[4]库存使用数据!$A:$F,6,0),0)+IFERROR(VLOOKUP($A421,[3]库存使用数据!$A:$F,6,0),0)+IFERROR(VLOOKUP($A421,[5]库存使用数据!$A:$F,6,0),0)</f>
        <v>11</v>
      </c>
      <c r="G421" s="1">
        <f ca="1">IFERROR(VLOOKUP($A421,[1]库存使用数据!$A:$G,7,0),0)+IFERROR(VLOOKUP($A421,[2]库存使用数据!$A:$G,7,0),0)+公式!$B$14*IFERROR(VLOOKUP($A421,[3]库存使用数据!$A:$G,7,0),0)+IFERROR(VLOOKUP($A421,[4]库存使用数据!$A:$G,7,0),0)+IFERROR(VLOOKUP($A421,[5]库存使用数据!$A:$G,7,0),0)</f>
        <v>0</v>
      </c>
      <c r="H421" s="1">
        <f ca="1">IFERROR(VLOOKUP($A421,[1]库存使用数据!$A:$H,8,0),0)+IFERROR(VLOOKUP($A421,[2]库存使用数据!$A:$H,8,0),0)+IFERROR(VLOOKUP($A421,[3]库存使用数据!$A:$H,8,0),0)+IFERROR(VLOOKUP($A421,[4]库存使用数据!$A:$H,8,0),0)+IFERROR(VLOOKUP($A421,[5]库存使用数据!$A:$H,8,0),0)</f>
        <v>1073</v>
      </c>
      <c r="I421" s="1">
        <f ca="1">IFERROR(VLOOKUP($A421,[1]库存使用数据!$A:$I,9,0),0)+IFERROR(VLOOKUP($A421,[2]库存使用数据!$A:$I,9,0),0)+IFERROR(VLOOKUP($A421,[3]库存使用数据!$A:$I,9,0),0)+IFERROR(VLOOKUP($A421,[4]库存使用数据!$A:$I,9,0),0)+IFERROR(VLOOKUP($A421,[5]库存使用数据!$A:$I,9,0),0)</f>
        <v>2</v>
      </c>
      <c r="J421" s="1">
        <f ca="1">IFERROR(VLOOKUP($A421,[1]库存使用数据!$A:$J,10,0),0)+IFERROR(VLOOKUP($A421,[2]库存使用数据!$A:$J,10,0),0)+公式!$B$14*IFERROR(VLOOKUP($A421,[3]库存使用数据!$A:$J,10,0),0)+IFERROR(VLOOKUP($A421,[4]库存使用数据!$A:$J,10,0),0)+IFERROR(VLOOKUP($A421,[5]库存使用数据!$A:$J,10,0),0)</f>
        <v>0</v>
      </c>
      <c r="K421" s="1">
        <f ca="1">IFERROR(VLOOKUP($A421,[1]库存使用数据!$A:$K,11,0),0)+IFERROR(VLOOKUP($A421,[2]库存使用数据!$A:$K,11,0),0)+IFERROR(VLOOKUP($A421,[3]库存使用数据!$A:$K,11,0),0)+IFERROR(VLOOKUP($A421,[4]库存使用数据!$A:$K,11,0),0)+IFERROR(VLOOKUP($A421,[5]库存使用数据!$A:$K,11,0),0)</f>
        <v>553</v>
      </c>
      <c r="L421" s="1">
        <f ca="1">IFERROR(VLOOKUP($A421,[1]库存使用数据!$A:$L,12,0),0)+IFERROR(VLOOKUP($A421,[2]库存使用数据!$A:$L,12,0),0)+IFERROR(VLOOKUP($A421,[3]库存使用数据!$A:$L,12,0),0)+IFERROR(VLOOKUP($A421,[4]库存使用数据!$A:$L,12,0),0)+IFERROR(VLOOKUP($A421,[5]库存使用数据!$A:$L,12,0),0)</f>
        <v>3</v>
      </c>
      <c r="M421" s="1">
        <f ca="1">IFERROR(VLOOKUP($A421,[1]库存使用数据!$A:$M,13,0),0)+IFERROR(VLOOKUP($A421,[2]库存使用数据!$A:$M,13,0),0)+公式!$B$14*IFERROR(VLOOKUP($A421,[3]库存使用数据!$A:$M,13,0),0)+IFERROR(VLOOKUP($A421,[4]库存使用数据!$A:$M,13,0),0)+IFERROR(VLOOKUP($A421,[5]库存使用数据!$A:$M,13,0),0)</f>
        <v>0</v>
      </c>
    </row>
    <row r="422" spans="1:13">
      <c r="A422" s="6" t="s">
        <v>427</v>
      </c>
      <c r="B422" s="2">
        <f ca="1">IFERROR(VLOOKUP(A422,[1]库存使用数据!$A:$B,2,0),0)+IFERROR(VLOOKUP(A422,[2]库存使用数据!$A:$B,2,0),0)+IFERROR(VLOOKUP(,[3]库存使用数据!$A:$B,2,0),0)+IFERROR(VLOOKUP(A422,[4]库存使用数据!$A:$B,2,0),0)+IFERROR(VLOOKUP(A422,[5]库存使用数据!$A:$B,2,0),0)</f>
        <v>0</v>
      </c>
      <c r="C422" s="1">
        <f ca="1">IFERROR(VLOOKUP($A422,[1]库存使用数据!$A:$C,3,0),0)+IFERROR(VLOOKUP($A422,[2]库存使用数据!$A:$C,3,0),0)+IFERROR(VLOOKUP($A422,[3]库存使用数据!$A:$C,3,0),0)+IFERROR(VLOOKUP($A422,[4]库存使用数据!$A:$C,3,0),0)+IFERROR(VLOOKUP($A422,[5]库存使用数据!$A:$C,3,0),0)</f>
        <v>0</v>
      </c>
      <c r="D422" s="1">
        <f ca="1">IFERROR(VLOOKUP($A422,[1]库存使用数据!$A:$D,4,0),0)+IFERROR(VLOOKUP($A422,[2]库存使用数据!$A:$D,4,0),0)+公式!$B$1*IFERROR(VLOOKUP($A422,[3]库存使用数据!$A:$D,4,0),0)+IFERROR(VLOOKUP($A422,[4]库存使用数据!$A:$D,4,0),0)+IFERROR(VLOOKUP($A422,[5]库存使用数据!$A:$D,4,0),0)</f>
        <v>0</v>
      </c>
      <c r="E422" s="1">
        <f ca="1">IFERROR(VLOOKUP($A422,[1]库存使用数据!$A:$E,5,0),0)+IFERROR(VLOOKUP($A422,[2]库存使用数据!$A:$E,5,0),0)+IFERROR(VLOOKUP($A422,[3]库存使用数据!$A:$E,5,0),0)+IFERROR(VLOOKUP($A422,[4]库存使用数据!$A:$E,5,0),0)+IFERROR(VLOOKUP($A422,[5]库存使用数据!$A:$E,5,0),0)</f>
        <v>0</v>
      </c>
      <c r="F422" s="1">
        <f ca="1">IFERROR(VLOOKUP($A422,[1]库存使用数据!$A:$F,6,0),0)+IFERROR(VLOOKUP($A422,[2]库存使用数据!$A:$F,6,0),0)+IFERROR(VLOOKUP($A422,[4]库存使用数据!$A:$F,6,0),0)+IFERROR(VLOOKUP($A422,[3]库存使用数据!$A:$F,6,0),0)+IFERROR(VLOOKUP($A422,[5]库存使用数据!$A:$F,6,0),0)</f>
        <v>0</v>
      </c>
      <c r="G422" s="1">
        <f ca="1">IFERROR(VLOOKUP($A422,[1]库存使用数据!$A:$G,7,0),0)+IFERROR(VLOOKUP($A422,[2]库存使用数据!$A:$G,7,0),0)+公式!$B$14*IFERROR(VLOOKUP($A422,[3]库存使用数据!$A:$G,7,0),0)+IFERROR(VLOOKUP($A422,[4]库存使用数据!$A:$G,7,0),0)+IFERROR(VLOOKUP($A422,[5]库存使用数据!$A:$G,7,0),0)</f>
        <v>0</v>
      </c>
      <c r="H422" s="1">
        <f ca="1">IFERROR(VLOOKUP($A422,[1]库存使用数据!$A:$H,8,0),0)+IFERROR(VLOOKUP($A422,[2]库存使用数据!$A:$H,8,0),0)+IFERROR(VLOOKUP($A422,[3]库存使用数据!$A:$H,8,0),0)+IFERROR(VLOOKUP($A422,[4]库存使用数据!$A:$H,8,0),0)+IFERROR(VLOOKUP($A422,[5]库存使用数据!$A:$H,8,0),0)</f>
        <v>49</v>
      </c>
      <c r="I422" s="1">
        <f ca="1">IFERROR(VLOOKUP($A422,[1]库存使用数据!$A:$I,9,0),0)+IFERROR(VLOOKUP($A422,[2]库存使用数据!$A:$I,9,0),0)+IFERROR(VLOOKUP($A422,[3]库存使用数据!$A:$I,9,0),0)+IFERROR(VLOOKUP($A422,[4]库存使用数据!$A:$I,9,0),0)+IFERROR(VLOOKUP($A422,[5]库存使用数据!$A:$I,9,0),0)</f>
        <v>1</v>
      </c>
      <c r="J422" s="1">
        <f ca="1">IFERROR(VLOOKUP($A422,[1]库存使用数据!$A:$J,10,0),0)+IFERROR(VLOOKUP($A422,[2]库存使用数据!$A:$J,10,0),0)+公式!$B$14*IFERROR(VLOOKUP($A422,[3]库存使用数据!$A:$J,10,0),0)+IFERROR(VLOOKUP($A422,[4]库存使用数据!$A:$J,10,0),0)+IFERROR(VLOOKUP($A422,[5]库存使用数据!$A:$J,10,0),0)</f>
        <v>0</v>
      </c>
      <c r="K422" s="1">
        <f ca="1">IFERROR(VLOOKUP($A422,[1]库存使用数据!$A:$K,11,0),0)+IFERROR(VLOOKUP($A422,[2]库存使用数据!$A:$K,11,0),0)+IFERROR(VLOOKUP($A422,[3]库存使用数据!$A:$K,11,0),0)+IFERROR(VLOOKUP($A422,[4]库存使用数据!$A:$K,11,0),0)+IFERROR(VLOOKUP($A422,[5]库存使用数据!$A:$K,11,0),0)</f>
        <v>426</v>
      </c>
      <c r="L422" s="1">
        <f ca="1">IFERROR(VLOOKUP($A422,[1]库存使用数据!$A:$L,12,0),0)+IFERROR(VLOOKUP($A422,[2]库存使用数据!$A:$L,12,0),0)+IFERROR(VLOOKUP($A422,[3]库存使用数据!$A:$L,12,0),0)+IFERROR(VLOOKUP($A422,[4]库存使用数据!$A:$L,12,0),0)+IFERROR(VLOOKUP($A422,[5]库存使用数据!$A:$L,12,0),0)</f>
        <v>1</v>
      </c>
      <c r="M422" s="1">
        <f ca="1">IFERROR(VLOOKUP($A422,[1]库存使用数据!$A:$M,13,0),0)+IFERROR(VLOOKUP($A422,[2]库存使用数据!$A:$M,13,0),0)+公式!$B$14*IFERROR(VLOOKUP($A422,[3]库存使用数据!$A:$M,13,0),0)+IFERROR(VLOOKUP($A422,[4]库存使用数据!$A:$M,13,0),0)+IFERROR(VLOOKUP($A422,[5]库存使用数据!$A:$M,13,0),0)</f>
        <v>0</v>
      </c>
    </row>
    <row r="423" spans="1:13">
      <c r="A423" s="6" t="s">
        <v>428</v>
      </c>
      <c r="B423" s="2">
        <f ca="1">IFERROR(VLOOKUP(A423,[1]库存使用数据!$A:$B,2,0),0)+IFERROR(VLOOKUP(A423,[2]库存使用数据!$A:$B,2,0),0)+IFERROR(VLOOKUP(,[3]库存使用数据!$A:$B,2,0),0)+IFERROR(VLOOKUP(A423,[4]库存使用数据!$A:$B,2,0),0)+IFERROR(VLOOKUP(A423,[5]库存使用数据!$A:$B,2,0),0)</f>
        <v>0</v>
      </c>
      <c r="C423" s="1">
        <f ca="1">IFERROR(VLOOKUP($A423,[1]库存使用数据!$A:$C,3,0),0)+IFERROR(VLOOKUP($A423,[2]库存使用数据!$A:$C,3,0),0)+IFERROR(VLOOKUP($A423,[3]库存使用数据!$A:$C,3,0),0)+IFERROR(VLOOKUP($A423,[4]库存使用数据!$A:$C,3,0),0)+IFERROR(VLOOKUP($A423,[5]库存使用数据!$A:$C,3,0),0)</f>
        <v>1</v>
      </c>
      <c r="D423" s="1">
        <f ca="1">IFERROR(VLOOKUP($A423,[1]库存使用数据!$A:$D,4,0),0)+IFERROR(VLOOKUP($A423,[2]库存使用数据!$A:$D,4,0),0)+公式!$B$1*IFERROR(VLOOKUP($A423,[3]库存使用数据!$A:$D,4,0),0)+IFERROR(VLOOKUP($A423,[4]库存使用数据!$A:$D,4,0),0)+IFERROR(VLOOKUP($A423,[5]库存使用数据!$A:$D,4,0),0)</f>
        <v>0.09</v>
      </c>
      <c r="E423" s="1">
        <f ca="1">IFERROR(VLOOKUP($A423,[1]库存使用数据!$A:$E,5,0),0)+IFERROR(VLOOKUP($A423,[2]库存使用数据!$A:$E,5,0),0)+IFERROR(VLOOKUP($A423,[3]库存使用数据!$A:$E,5,0),0)+IFERROR(VLOOKUP($A423,[4]库存使用数据!$A:$E,5,0),0)+IFERROR(VLOOKUP($A423,[5]库存使用数据!$A:$E,5,0),0)</f>
        <v>12</v>
      </c>
      <c r="F423" s="1">
        <f ca="1">IFERROR(VLOOKUP($A423,[1]库存使用数据!$A:$F,6,0),0)+IFERROR(VLOOKUP($A423,[2]库存使用数据!$A:$F,6,0),0)+IFERROR(VLOOKUP($A423,[4]库存使用数据!$A:$F,6,0),0)+IFERROR(VLOOKUP($A423,[3]库存使用数据!$A:$F,6,0),0)+IFERROR(VLOOKUP($A423,[5]库存使用数据!$A:$F,6,0),0)</f>
        <v>0</v>
      </c>
      <c r="G423" s="1">
        <f ca="1">IFERROR(VLOOKUP($A423,[1]库存使用数据!$A:$G,7,0),0)+IFERROR(VLOOKUP($A423,[2]库存使用数据!$A:$G,7,0),0)+公式!$B$14*IFERROR(VLOOKUP($A423,[3]库存使用数据!$A:$G,7,0),0)+IFERROR(VLOOKUP($A423,[4]库存使用数据!$A:$G,7,0),0)+IFERROR(VLOOKUP($A423,[5]库存使用数据!$A:$G,7,0),0)</f>
        <v>0</v>
      </c>
      <c r="H423" s="1">
        <f ca="1">IFERROR(VLOOKUP($A423,[1]库存使用数据!$A:$H,8,0),0)+IFERROR(VLOOKUP($A423,[2]库存使用数据!$A:$H,8,0),0)+IFERROR(VLOOKUP($A423,[3]库存使用数据!$A:$H,8,0),0)+IFERROR(VLOOKUP($A423,[4]库存使用数据!$A:$H,8,0),0)+IFERROR(VLOOKUP($A423,[5]库存使用数据!$A:$H,8,0),0)</f>
        <v>0</v>
      </c>
      <c r="I423" s="1">
        <f ca="1">IFERROR(VLOOKUP($A423,[1]库存使用数据!$A:$I,9,0),0)+IFERROR(VLOOKUP($A423,[2]库存使用数据!$A:$I,9,0),0)+IFERROR(VLOOKUP($A423,[3]库存使用数据!$A:$I,9,0),0)+IFERROR(VLOOKUP($A423,[4]库存使用数据!$A:$I,9,0),0)+IFERROR(VLOOKUP($A423,[5]库存使用数据!$A:$I,9,0),0)</f>
        <v>0</v>
      </c>
      <c r="J423" s="1">
        <f ca="1">IFERROR(VLOOKUP($A423,[1]库存使用数据!$A:$J,10,0),0)+IFERROR(VLOOKUP($A423,[2]库存使用数据!$A:$J,10,0),0)+公式!$B$14*IFERROR(VLOOKUP($A423,[3]库存使用数据!$A:$J,10,0),0)+IFERROR(VLOOKUP($A423,[4]库存使用数据!$A:$J,10,0),0)+IFERROR(VLOOKUP($A423,[5]库存使用数据!$A:$J,10,0),0)</f>
        <v>0</v>
      </c>
      <c r="K423" s="1">
        <f ca="1">IFERROR(VLOOKUP($A423,[1]库存使用数据!$A:$K,11,0),0)+IFERROR(VLOOKUP($A423,[2]库存使用数据!$A:$K,11,0),0)+IFERROR(VLOOKUP($A423,[3]库存使用数据!$A:$K,11,0),0)+IFERROR(VLOOKUP($A423,[4]库存使用数据!$A:$K,11,0),0)+IFERROR(VLOOKUP($A423,[5]库存使用数据!$A:$K,11,0),0)</f>
        <v>1</v>
      </c>
      <c r="L423" s="1">
        <f ca="1">IFERROR(VLOOKUP($A423,[1]库存使用数据!$A:$L,12,0),0)+IFERROR(VLOOKUP($A423,[2]库存使用数据!$A:$L,12,0),0)+IFERROR(VLOOKUP($A423,[3]库存使用数据!$A:$L,12,0),0)+IFERROR(VLOOKUP($A423,[4]库存使用数据!$A:$L,12,0),0)+IFERROR(VLOOKUP($A423,[5]库存使用数据!$A:$L,12,0),0)</f>
        <v>0</v>
      </c>
      <c r="M423" s="1">
        <f ca="1">IFERROR(VLOOKUP($A423,[1]库存使用数据!$A:$M,13,0),0)+IFERROR(VLOOKUP($A423,[2]库存使用数据!$A:$M,13,0),0)+公式!$B$14*IFERROR(VLOOKUP($A423,[3]库存使用数据!$A:$M,13,0),0)+IFERROR(VLOOKUP($A423,[4]库存使用数据!$A:$M,13,0),0)+IFERROR(VLOOKUP($A423,[5]库存使用数据!$A:$M,13,0),0)</f>
        <v>0</v>
      </c>
    </row>
    <row r="424" spans="1:13">
      <c r="A424" s="6" t="s">
        <v>429</v>
      </c>
      <c r="B424" s="2">
        <f ca="1">IFERROR(VLOOKUP(A424,[1]库存使用数据!$A:$B,2,0),0)+IFERROR(VLOOKUP(A424,[2]库存使用数据!$A:$B,2,0),0)+IFERROR(VLOOKUP(,[3]库存使用数据!$A:$B,2,0),0)+IFERROR(VLOOKUP(A424,[4]库存使用数据!$A:$B,2,0),0)+IFERROR(VLOOKUP(A424,[5]库存使用数据!$A:$B,2,0),0)</f>
        <v>0</v>
      </c>
      <c r="C424" s="1">
        <f ca="1">IFERROR(VLOOKUP($A424,[1]库存使用数据!$A:$C,3,0),0)+IFERROR(VLOOKUP($A424,[2]库存使用数据!$A:$C,3,0),0)+IFERROR(VLOOKUP($A424,[3]库存使用数据!$A:$C,3,0),0)+IFERROR(VLOOKUP($A424,[4]库存使用数据!$A:$C,3,0),0)+IFERROR(VLOOKUP($A424,[5]库存使用数据!$A:$C,3,0),0)</f>
        <v>0</v>
      </c>
      <c r="D424" s="1">
        <f ca="1">IFERROR(VLOOKUP($A424,[1]库存使用数据!$A:$D,4,0),0)+IFERROR(VLOOKUP($A424,[2]库存使用数据!$A:$D,4,0),0)+公式!$B$1*IFERROR(VLOOKUP($A424,[3]库存使用数据!$A:$D,4,0),0)+IFERROR(VLOOKUP($A424,[4]库存使用数据!$A:$D,4,0),0)+IFERROR(VLOOKUP($A424,[5]库存使用数据!$A:$D,4,0),0)</f>
        <v>0</v>
      </c>
      <c r="E424" s="1">
        <f ca="1">IFERROR(VLOOKUP($A424,[1]库存使用数据!$A:$E,5,0),0)+IFERROR(VLOOKUP($A424,[2]库存使用数据!$A:$E,5,0),0)+IFERROR(VLOOKUP($A424,[3]库存使用数据!$A:$E,5,0),0)+IFERROR(VLOOKUP($A424,[4]库存使用数据!$A:$E,5,0),0)+IFERROR(VLOOKUP($A424,[5]库存使用数据!$A:$E,5,0),0)</f>
        <v>197</v>
      </c>
      <c r="F424" s="1">
        <f ca="1">IFERROR(VLOOKUP($A424,[1]库存使用数据!$A:$F,6,0),0)+IFERROR(VLOOKUP($A424,[2]库存使用数据!$A:$F,6,0),0)+IFERROR(VLOOKUP($A424,[4]库存使用数据!$A:$F,6,0),0)+IFERROR(VLOOKUP($A424,[3]库存使用数据!$A:$F,6,0),0)+IFERROR(VLOOKUP($A424,[5]库存使用数据!$A:$F,6,0),0)</f>
        <v>0</v>
      </c>
      <c r="G424" s="1">
        <f ca="1">IFERROR(VLOOKUP($A424,[1]库存使用数据!$A:$G,7,0),0)+IFERROR(VLOOKUP($A424,[2]库存使用数据!$A:$G,7,0),0)+公式!$B$14*IFERROR(VLOOKUP($A424,[3]库存使用数据!$A:$G,7,0),0)+IFERROR(VLOOKUP($A424,[4]库存使用数据!$A:$G,7,0),0)+IFERROR(VLOOKUP($A424,[5]库存使用数据!$A:$G,7,0),0)</f>
        <v>0</v>
      </c>
      <c r="H424" s="1">
        <f ca="1">IFERROR(VLOOKUP($A424,[1]库存使用数据!$A:$H,8,0),0)+IFERROR(VLOOKUP($A424,[2]库存使用数据!$A:$H,8,0),0)+IFERROR(VLOOKUP($A424,[3]库存使用数据!$A:$H,8,0),0)+IFERROR(VLOOKUP($A424,[4]库存使用数据!$A:$H,8,0),0)+IFERROR(VLOOKUP($A424,[5]库存使用数据!$A:$H,8,0),0)</f>
        <v>100</v>
      </c>
      <c r="I424" s="1">
        <f ca="1">IFERROR(VLOOKUP($A424,[1]库存使用数据!$A:$I,9,0),0)+IFERROR(VLOOKUP($A424,[2]库存使用数据!$A:$I,9,0),0)+IFERROR(VLOOKUP($A424,[3]库存使用数据!$A:$I,9,0),0)+IFERROR(VLOOKUP($A424,[4]库存使用数据!$A:$I,9,0),0)+IFERROR(VLOOKUP($A424,[5]库存使用数据!$A:$I,9,0),0)</f>
        <v>0</v>
      </c>
      <c r="J424" s="1">
        <f ca="1">IFERROR(VLOOKUP($A424,[1]库存使用数据!$A:$J,10,0),0)+IFERROR(VLOOKUP($A424,[2]库存使用数据!$A:$J,10,0),0)+公式!$B$14*IFERROR(VLOOKUP($A424,[3]库存使用数据!$A:$J,10,0),0)+IFERROR(VLOOKUP($A424,[4]库存使用数据!$A:$J,10,0),0)+IFERROR(VLOOKUP($A424,[5]库存使用数据!$A:$J,10,0),0)</f>
        <v>0</v>
      </c>
      <c r="K424" s="1">
        <f ca="1">IFERROR(VLOOKUP($A424,[1]库存使用数据!$A:$K,11,0),0)+IFERROR(VLOOKUP($A424,[2]库存使用数据!$A:$K,11,0),0)+IFERROR(VLOOKUP($A424,[3]库存使用数据!$A:$K,11,0),0)+IFERROR(VLOOKUP($A424,[4]库存使用数据!$A:$K,11,0),0)+IFERROR(VLOOKUP($A424,[5]库存使用数据!$A:$K,11,0),0)</f>
        <v>118</v>
      </c>
      <c r="L424" s="1">
        <f ca="1">IFERROR(VLOOKUP($A424,[1]库存使用数据!$A:$L,12,0),0)+IFERROR(VLOOKUP($A424,[2]库存使用数据!$A:$L,12,0),0)+IFERROR(VLOOKUP($A424,[3]库存使用数据!$A:$L,12,0),0)+IFERROR(VLOOKUP($A424,[4]库存使用数据!$A:$L,12,0),0)+IFERROR(VLOOKUP($A424,[5]库存使用数据!$A:$L,12,0),0)</f>
        <v>0</v>
      </c>
      <c r="M424" s="1">
        <f ca="1">IFERROR(VLOOKUP($A424,[1]库存使用数据!$A:$M,13,0),0)+IFERROR(VLOOKUP($A424,[2]库存使用数据!$A:$M,13,0),0)+公式!$B$14*IFERROR(VLOOKUP($A424,[3]库存使用数据!$A:$M,13,0),0)+IFERROR(VLOOKUP($A424,[4]库存使用数据!$A:$M,13,0),0)+IFERROR(VLOOKUP($A424,[5]库存使用数据!$A:$M,13,0),0)</f>
        <v>0</v>
      </c>
    </row>
    <row r="425" spans="1:13">
      <c r="A425" s="6" t="s">
        <v>430</v>
      </c>
      <c r="B425" s="2">
        <f ca="1">IFERROR(VLOOKUP(A425,[1]库存使用数据!$A:$B,2,0),0)+IFERROR(VLOOKUP(A425,[2]库存使用数据!$A:$B,2,0),0)+IFERROR(VLOOKUP(,[3]库存使用数据!$A:$B,2,0),0)+IFERROR(VLOOKUP(A425,[4]库存使用数据!$A:$B,2,0),0)+IFERROR(VLOOKUP(A425,[5]库存使用数据!$A:$B,2,0),0)</f>
        <v>0</v>
      </c>
      <c r="C425" s="1">
        <f ca="1">IFERROR(VLOOKUP($A425,[1]库存使用数据!$A:$C,3,0),0)+IFERROR(VLOOKUP($A425,[2]库存使用数据!$A:$C,3,0),0)+IFERROR(VLOOKUP($A425,[3]库存使用数据!$A:$C,3,0),0)+IFERROR(VLOOKUP($A425,[4]库存使用数据!$A:$C,3,0),0)+IFERROR(VLOOKUP($A425,[5]库存使用数据!$A:$C,3,0),0)</f>
        <v>0</v>
      </c>
      <c r="D425" s="1">
        <f ca="1">IFERROR(VLOOKUP($A425,[1]库存使用数据!$A:$D,4,0),0)+IFERROR(VLOOKUP($A425,[2]库存使用数据!$A:$D,4,0),0)+公式!$B$1*IFERROR(VLOOKUP($A425,[3]库存使用数据!$A:$D,4,0),0)+IFERROR(VLOOKUP($A425,[4]库存使用数据!$A:$D,4,0),0)+IFERROR(VLOOKUP($A425,[5]库存使用数据!$A:$D,4,0),0)</f>
        <v>0</v>
      </c>
      <c r="E425" s="1">
        <f ca="1">IFERROR(VLOOKUP($A425,[1]库存使用数据!$A:$E,5,0),0)+IFERROR(VLOOKUP($A425,[2]库存使用数据!$A:$E,5,0),0)+IFERROR(VLOOKUP($A425,[3]库存使用数据!$A:$E,5,0),0)+IFERROR(VLOOKUP($A425,[4]库存使用数据!$A:$E,5,0),0)+IFERROR(VLOOKUP($A425,[5]库存使用数据!$A:$E,5,0),0)</f>
        <v>35</v>
      </c>
      <c r="F425" s="1">
        <f ca="1">IFERROR(VLOOKUP($A425,[1]库存使用数据!$A:$F,6,0),0)+IFERROR(VLOOKUP($A425,[2]库存使用数据!$A:$F,6,0),0)+IFERROR(VLOOKUP($A425,[4]库存使用数据!$A:$F,6,0),0)+IFERROR(VLOOKUP($A425,[3]库存使用数据!$A:$F,6,0),0)+IFERROR(VLOOKUP($A425,[5]库存使用数据!$A:$F,6,0),0)</f>
        <v>0</v>
      </c>
      <c r="G425" s="1">
        <f ca="1">IFERROR(VLOOKUP($A425,[1]库存使用数据!$A:$G,7,0),0)+IFERROR(VLOOKUP($A425,[2]库存使用数据!$A:$G,7,0),0)+公式!$B$14*IFERROR(VLOOKUP($A425,[3]库存使用数据!$A:$G,7,0),0)+IFERROR(VLOOKUP($A425,[4]库存使用数据!$A:$G,7,0),0)+IFERROR(VLOOKUP($A425,[5]库存使用数据!$A:$G,7,0),0)</f>
        <v>0</v>
      </c>
      <c r="H425" s="1">
        <f ca="1">IFERROR(VLOOKUP($A425,[1]库存使用数据!$A:$H,8,0),0)+IFERROR(VLOOKUP($A425,[2]库存使用数据!$A:$H,8,0),0)+IFERROR(VLOOKUP($A425,[3]库存使用数据!$A:$H,8,0),0)+IFERROR(VLOOKUP($A425,[4]库存使用数据!$A:$H,8,0),0)+IFERROR(VLOOKUP($A425,[5]库存使用数据!$A:$H,8,0),0)</f>
        <v>8</v>
      </c>
      <c r="I425" s="1">
        <f ca="1">IFERROR(VLOOKUP($A425,[1]库存使用数据!$A:$I,9,0),0)+IFERROR(VLOOKUP($A425,[2]库存使用数据!$A:$I,9,0),0)+IFERROR(VLOOKUP($A425,[3]库存使用数据!$A:$I,9,0),0)+IFERROR(VLOOKUP($A425,[4]库存使用数据!$A:$I,9,0),0)+IFERROR(VLOOKUP($A425,[5]库存使用数据!$A:$I,9,0),0)</f>
        <v>0</v>
      </c>
      <c r="J425" s="1">
        <f ca="1">IFERROR(VLOOKUP($A425,[1]库存使用数据!$A:$J,10,0),0)+IFERROR(VLOOKUP($A425,[2]库存使用数据!$A:$J,10,0),0)+公式!$B$14*IFERROR(VLOOKUP($A425,[3]库存使用数据!$A:$J,10,0),0)+IFERROR(VLOOKUP($A425,[4]库存使用数据!$A:$J,10,0),0)+IFERROR(VLOOKUP($A425,[5]库存使用数据!$A:$J,10,0),0)</f>
        <v>0</v>
      </c>
      <c r="K425" s="1">
        <f ca="1">IFERROR(VLOOKUP($A425,[1]库存使用数据!$A:$K,11,0),0)+IFERROR(VLOOKUP($A425,[2]库存使用数据!$A:$K,11,0),0)+IFERROR(VLOOKUP($A425,[3]库存使用数据!$A:$K,11,0),0)+IFERROR(VLOOKUP($A425,[4]库存使用数据!$A:$K,11,0),0)+IFERROR(VLOOKUP($A425,[5]库存使用数据!$A:$K,11,0),0)</f>
        <v>3</v>
      </c>
      <c r="L425" s="1">
        <f ca="1">IFERROR(VLOOKUP($A425,[1]库存使用数据!$A:$L,12,0),0)+IFERROR(VLOOKUP($A425,[2]库存使用数据!$A:$L,12,0),0)+IFERROR(VLOOKUP($A425,[3]库存使用数据!$A:$L,12,0),0)+IFERROR(VLOOKUP($A425,[4]库存使用数据!$A:$L,12,0),0)+IFERROR(VLOOKUP($A425,[5]库存使用数据!$A:$L,12,0),0)</f>
        <v>0</v>
      </c>
      <c r="M425" s="1">
        <f ca="1">IFERROR(VLOOKUP($A425,[1]库存使用数据!$A:$M,13,0),0)+IFERROR(VLOOKUP($A425,[2]库存使用数据!$A:$M,13,0),0)+公式!$B$14*IFERROR(VLOOKUP($A425,[3]库存使用数据!$A:$M,13,0),0)+IFERROR(VLOOKUP($A425,[4]库存使用数据!$A:$M,13,0),0)+IFERROR(VLOOKUP($A425,[5]库存使用数据!$A:$M,13,0),0)</f>
        <v>0</v>
      </c>
    </row>
    <row r="426" spans="1:13">
      <c r="A426" s="6" t="s">
        <v>431</v>
      </c>
      <c r="B426" s="2">
        <f ca="1">IFERROR(VLOOKUP(A426,[1]库存使用数据!$A:$B,2,0),0)+IFERROR(VLOOKUP(A426,[2]库存使用数据!$A:$B,2,0),0)+IFERROR(VLOOKUP(,[3]库存使用数据!$A:$B,2,0),0)+IFERROR(VLOOKUP(A426,[4]库存使用数据!$A:$B,2,0),0)+IFERROR(VLOOKUP(A426,[5]库存使用数据!$A:$B,2,0),0)</f>
        <v>0</v>
      </c>
      <c r="C426" s="1">
        <f ca="1">IFERROR(VLOOKUP($A426,[1]库存使用数据!$A:$C,3,0),0)+IFERROR(VLOOKUP($A426,[2]库存使用数据!$A:$C,3,0),0)+IFERROR(VLOOKUP($A426,[3]库存使用数据!$A:$C,3,0),0)+IFERROR(VLOOKUP($A426,[4]库存使用数据!$A:$C,3,0),0)+IFERROR(VLOOKUP($A426,[5]库存使用数据!$A:$C,3,0),0)</f>
        <v>0</v>
      </c>
      <c r="D426" s="1">
        <f ca="1">IFERROR(VLOOKUP($A426,[1]库存使用数据!$A:$D,4,0),0)+IFERROR(VLOOKUP($A426,[2]库存使用数据!$A:$D,4,0),0)+公式!$B$1*IFERROR(VLOOKUP($A426,[3]库存使用数据!$A:$D,4,0),0)+IFERROR(VLOOKUP($A426,[4]库存使用数据!$A:$D,4,0),0)+IFERROR(VLOOKUP($A426,[5]库存使用数据!$A:$D,4,0),0)</f>
        <v>0</v>
      </c>
      <c r="E426" s="1">
        <f ca="1">IFERROR(VLOOKUP($A426,[1]库存使用数据!$A:$E,5,0),0)+IFERROR(VLOOKUP($A426,[2]库存使用数据!$A:$E,5,0),0)+IFERROR(VLOOKUP($A426,[3]库存使用数据!$A:$E,5,0),0)+IFERROR(VLOOKUP($A426,[4]库存使用数据!$A:$E,5,0),0)+IFERROR(VLOOKUP($A426,[5]库存使用数据!$A:$E,5,0),0)</f>
        <v>20</v>
      </c>
      <c r="F426" s="1">
        <f ca="1">IFERROR(VLOOKUP($A426,[1]库存使用数据!$A:$F,6,0),0)+IFERROR(VLOOKUP($A426,[2]库存使用数据!$A:$F,6,0),0)+IFERROR(VLOOKUP($A426,[4]库存使用数据!$A:$F,6,0),0)+IFERROR(VLOOKUP($A426,[3]库存使用数据!$A:$F,6,0),0)+IFERROR(VLOOKUP($A426,[5]库存使用数据!$A:$F,6,0),0)</f>
        <v>0</v>
      </c>
      <c r="G426" s="1">
        <f ca="1">IFERROR(VLOOKUP($A426,[1]库存使用数据!$A:$G,7,0),0)+IFERROR(VLOOKUP($A426,[2]库存使用数据!$A:$G,7,0),0)+公式!$B$14*IFERROR(VLOOKUP($A426,[3]库存使用数据!$A:$G,7,0),0)+IFERROR(VLOOKUP($A426,[4]库存使用数据!$A:$G,7,0),0)+IFERROR(VLOOKUP($A426,[5]库存使用数据!$A:$G,7,0),0)</f>
        <v>0</v>
      </c>
      <c r="H426" s="1">
        <f ca="1">IFERROR(VLOOKUP($A426,[1]库存使用数据!$A:$H,8,0),0)+IFERROR(VLOOKUP($A426,[2]库存使用数据!$A:$H,8,0),0)+IFERROR(VLOOKUP($A426,[3]库存使用数据!$A:$H,8,0),0)+IFERROR(VLOOKUP($A426,[4]库存使用数据!$A:$H,8,0),0)+IFERROR(VLOOKUP($A426,[5]库存使用数据!$A:$H,8,0),0)</f>
        <v>11</v>
      </c>
      <c r="I426" s="1">
        <f ca="1">IFERROR(VLOOKUP($A426,[1]库存使用数据!$A:$I,9,0),0)+IFERROR(VLOOKUP($A426,[2]库存使用数据!$A:$I,9,0),0)+IFERROR(VLOOKUP($A426,[3]库存使用数据!$A:$I,9,0),0)+IFERROR(VLOOKUP($A426,[4]库存使用数据!$A:$I,9,0),0)+IFERROR(VLOOKUP($A426,[5]库存使用数据!$A:$I,9,0),0)</f>
        <v>0</v>
      </c>
      <c r="J426" s="1">
        <f ca="1">IFERROR(VLOOKUP($A426,[1]库存使用数据!$A:$J,10,0),0)+IFERROR(VLOOKUP($A426,[2]库存使用数据!$A:$J,10,0),0)+公式!$B$14*IFERROR(VLOOKUP($A426,[3]库存使用数据!$A:$J,10,0),0)+IFERROR(VLOOKUP($A426,[4]库存使用数据!$A:$J,10,0),0)+IFERROR(VLOOKUP($A426,[5]库存使用数据!$A:$J,10,0),0)</f>
        <v>0</v>
      </c>
      <c r="K426" s="1">
        <f ca="1">IFERROR(VLOOKUP($A426,[1]库存使用数据!$A:$K,11,0),0)+IFERROR(VLOOKUP($A426,[2]库存使用数据!$A:$K,11,0),0)+IFERROR(VLOOKUP($A426,[3]库存使用数据!$A:$K,11,0),0)+IFERROR(VLOOKUP($A426,[4]库存使用数据!$A:$K,11,0),0)+IFERROR(VLOOKUP($A426,[5]库存使用数据!$A:$K,11,0),0)</f>
        <v>10</v>
      </c>
      <c r="L426" s="1">
        <f ca="1">IFERROR(VLOOKUP($A426,[1]库存使用数据!$A:$L,12,0),0)+IFERROR(VLOOKUP($A426,[2]库存使用数据!$A:$L,12,0),0)+IFERROR(VLOOKUP($A426,[3]库存使用数据!$A:$L,12,0),0)+IFERROR(VLOOKUP($A426,[4]库存使用数据!$A:$L,12,0),0)+IFERROR(VLOOKUP($A426,[5]库存使用数据!$A:$L,12,0),0)</f>
        <v>0</v>
      </c>
      <c r="M426" s="1">
        <f ca="1">IFERROR(VLOOKUP($A426,[1]库存使用数据!$A:$M,13,0),0)+IFERROR(VLOOKUP($A426,[2]库存使用数据!$A:$M,13,0),0)+公式!$B$14*IFERROR(VLOOKUP($A426,[3]库存使用数据!$A:$M,13,0),0)+IFERROR(VLOOKUP($A426,[4]库存使用数据!$A:$M,13,0),0)+IFERROR(VLOOKUP($A426,[5]库存使用数据!$A:$M,13,0),0)</f>
        <v>0</v>
      </c>
    </row>
    <row r="427" spans="1:13">
      <c r="A427" s="6" t="s">
        <v>432</v>
      </c>
      <c r="B427" s="2">
        <f ca="1">IFERROR(VLOOKUP(A427,[1]库存使用数据!$A:$B,2,0),0)+IFERROR(VLOOKUP(A427,[2]库存使用数据!$A:$B,2,0),0)+IFERROR(VLOOKUP(,[3]库存使用数据!$A:$B,2,0),0)+IFERROR(VLOOKUP(A427,[4]库存使用数据!$A:$B,2,0),0)+IFERROR(VLOOKUP(A427,[5]库存使用数据!$A:$B,2,0),0)</f>
        <v>0</v>
      </c>
      <c r="C427" s="1">
        <f ca="1">IFERROR(VLOOKUP($A427,[1]库存使用数据!$A:$C,3,0),0)+IFERROR(VLOOKUP($A427,[2]库存使用数据!$A:$C,3,0),0)+IFERROR(VLOOKUP($A427,[3]库存使用数据!$A:$C,3,0),0)+IFERROR(VLOOKUP($A427,[4]库存使用数据!$A:$C,3,0),0)+IFERROR(VLOOKUP($A427,[5]库存使用数据!$A:$C,3,0),0)</f>
        <v>1</v>
      </c>
      <c r="D427" s="1">
        <f ca="1">IFERROR(VLOOKUP($A427,[1]库存使用数据!$A:$D,4,0),0)+IFERROR(VLOOKUP($A427,[2]库存使用数据!$A:$D,4,0),0)+公式!$B$1*IFERROR(VLOOKUP($A427,[3]库存使用数据!$A:$D,4,0),0)+IFERROR(VLOOKUP($A427,[4]库存使用数据!$A:$D,4,0),0)+IFERROR(VLOOKUP($A427,[5]库存使用数据!$A:$D,4,0),0)</f>
        <v>0.045</v>
      </c>
      <c r="E427" s="1">
        <f ca="1">IFERROR(VLOOKUP($A427,[1]库存使用数据!$A:$E,5,0),0)+IFERROR(VLOOKUP($A427,[2]库存使用数据!$A:$E,5,0),0)+IFERROR(VLOOKUP($A427,[3]库存使用数据!$A:$E,5,0),0)+IFERROR(VLOOKUP($A427,[4]库存使用数据!$A:$E,5,0),0)+IFERROR(VLOOKUP($A427,[5]库存使用数据!$A:$E,5,0),0)</f>
        <v>44</v>
      </c>
      <c r="F427" s="1">
        <f ca="1">IFERROR(VLOOKUP($A427,[1]库存使用数据!$A:$F,6,0),0)+IFERROR(VLOOKUP($A427,[2]库存使用数据!$A:$F,6,0),0)+IFERROR(VLOOKUP($A427,[4]库存使用数据!$A:$F,6,0),0)+IFERROR(VLOOKUP($A427,[3]库存使用数据!$A:$F,6,0),0)+IFERROR(VLOOKUP($A427,[5]库存使用数据!$A:$F,6,0),0)</f>
        <v>0</v>
      </c>
      <c r="G427" s="1">
        <f ca="1">IFERROR(VLOOKUP($A427,[1]库存使用数据!$A:$G,7,0),0)+IFERROR(VLOOKUP($A427,[2]库存使用数据!$A:$G,7,0),0)+公式!$B$14*IFERROR(VLOOKUP($A427,[3]库存使用数据!$A:$G,7,0),0)+IFERROR(VLOOKUP($A427,[4]库存使用数据!$A:$G,7,0),0)+IFERROR(VLOOKUP($A427,[5]库存使用数据!$A:$G,7,0),0)</f>
        <v>0</v>
      </c>
      <c r="H427" s="1">
        <f ca="1">IFERROR(VLOOKUP($A427,[1]库存使用数据!$A:$H,8,0),0)+IFERROR(VLOOKUP($A427,[2]库存使用数据!$A:$H,8,0),0)+IFERROR(VLOOKUP($A427,[3]库存使用数据!$A:$H,8,0),0)+IFERROR(VLOOKUP($A427,[4]库存使用数据!$A:$H,8,0),0)+IFERROR(VLOOKUP($A427,[5]库存使用数据!$A:$H,8,0),0)</f>
        <v>11</v>
      </c>
      <c r="I427" s="1">
        <f ca="1">IFERROR(VLOOKUP($A427,[1]库存使用数据!$A:$I,9,0),0)+IFERROR(VLOOKUP($A427,[2]库存使用数据!$A:$I,9,0),0)+IFERROR(VLOOKUP($A427,[3]库存使用数据!$A:$I,9,0),0)+IFERROR(VLOOKUP($A427,[4]库存使用数据!$A:$I,9,0),0)+IFERROR(VLOOKUP($A427,[5]库存使用数据!$A:$I,9,0),0)</f>
        <v>0</v>
      </c>
      <c r="J427" s="1">
        <f ca="1">IFERROR(VLOOKUP($A427,[1]库存使用数据!$A:$J,10,0),0)+IFERROR(VLOOKUP($A427,[2]库存使用数据!$A:$J,10,0),0)+公式!$B$14*IFERROR(VLOOKUP($A427,[3]库存使用数据!$A:$J,10,0),0)+IFERROR(VLOOKUP($A427,[4]库存使用数据!$A:$J,10,0),0)+IFERROR(VLOOKUP($A427,[5]库存使用数据!$A:$J,10,0),0)</f>
        <v>0</v>
      </c>
      <c r="K427" s="1">
        <f ca="1">IFERROR(VLOOKUP($A427,[1]库存使用数据!$A:$K,11,0),0)+IFERROR(VLOOKUP($A427,[2]库存使用数据!$A:$K,11,0),0)+IFERROR(VLOOKUP($A427,[3]库存使用数据!$A:$K,11,0),0)+IFERROR(VLOOKUP($A427,[4]库存使用数据!$A:$K,11,0),0)+IFERROR(VLOOKUP($A427,[5]库存使用数据!$A:$K,11,0),0)</f>
        <v>18</v>
      </c>
      <c r="L427" s="1">
        <f ca="1">IFERROR(VLOOKUP($A427,[1]库存使用数据!$A:$L,12,0),0)+IFERROR(VLOOKUP($A427,[2]库存使用数据!$A:$L,12,0),0)+IFERROR(VLOOKUP($A427,[3]库存使用数据!$A:$L,12,0),0)+IFERROR(VLOOKUP($A427,[4]库存使用数据!$A:$L,12,0),0)+IFERROR(VLOOKUP($A427,[5]库存使用数据!$A:$L,12,0),0)</f>
        <v>0</v>
      </c>
      <c r="M427" s="1">
        <f ca="1">IFERROR(VLOOKUP($A427,[1]库存使用数据!$A:$M,13,0),0)+IFERROR(VLOOKUP($A427,[2]库存使用数据!$A:$M,13,0),0)+公式!$B$14*IFERROR(VLOOKUP($A427,[3]库存使用数据!$A:$M,13,0),0)+IFERROR(VLOOKUP($A427,[4]库存使用数据!$A:$M,13,0),0)+IFERROR(VLOOKUP($A427,[5]库存使用数据!$A:$M,13,0),0)</f>
        <v>0</v>
      </c>
    </row>
    <row r="428" spans="1:13">
      <c r="A428" s="6" t="s">
        <v>433</v>
      </c>
      <c r="B428" s="2">
        <f ca="1">IFERROR(VLOOKUP(A428,[1]库存使用数据!$A:$B,2,0),0)+IFERROR(VLOOKUP(A428,[2]库存使用数据!$A:$B,2,0),0)+IFERROR(VLOOKUP(,[3]库存使用数据!$A:$B,2,0),0)+IFERROR(VLOOKUP(A428,[4]库存使用数据!$A:$B,2,0),0)+IFERROR(VLOOKUP(A428,[5]库存使用数据!$A:$B,2,0),0)</f>
        <v>0</v>
      </c>
      <c r="C428" s="1">
        <f ca="1">IFERROR(VLOOKUP($A428,[1]库存使用数据!$A:$C,3,0),0)+IFERROR(VLOOKUP($A428,[2]库存使用数据!$A:$C,3,0),0)+IFERROR(VLOOKUP($A428,[3]库存使用数据!$A:$C,3,0),0)+IFERROR(VLOOKUP($A428,[4]库存使用数据!$A:$C,3,0),0)+IFERROR(VLOOKUP($A428,[5]库存使用数据!$A:$C,3,0),0)</f>
        <v>0</v>
      </c>
      <c r="D428" s="1">
        <f ca="1">IFERROR(VLOOKUP($A428,[1]库存使用数据!$A:$D,4,0),0)+IFERROR(VLOOKUP($A428,[2]库存使用数据!$A:$D,4,0),0)+公式!$B$1*IFERROR(VLOOKUP($A428,[3]库存使用数据!$A:$D,4,0),0)+IFERROR(VLOOKUP($A428,[4]库存使用数据!$A:$D,4,0),0)+IFERROR(VLOOKUP($A428,[5]库存使用数据!$A:$D,4,0),0)</f>
        <v>0</v>
      </c>
      <c r="E428" s="1">
        <f ca="1">IFERROR(VLOOKUP($A428,[1]库存使用数据!$A:$E,5,0),0)+IFERROR(VLOOKUP($A428,[2]库存使用数据!$A:$E,5,0),0)+IFERROR(VLOOKUP($A428,[3]库存使用数据!$A:$E,5,0),0)+IFERROR(VLOOKUP($A428,[4]库存使用数据!$A:$E,5,0),0)+IFERROR(VLOOKUP($A428,[5]库存使用数据!$A:$E,5,0),0)</f>
        <v>2</v>
      </c>
      <c r="F428" s="1">
        <f ca="1">IFERROR(VLOOKUP($A428,[1]库存使用数据!$A:$F,6,0),0)+IFERROR(VLOOKUP($A428,[2]库存使用数据!$A:$F,6,0),0)+IFERROR(VLOOKUP($A428,[4]库存使用数据!$A:$F,6,0),0)+IFERROR(VLOOKUP($A428,[3]库存使用数据!$A:$F,6,0),0)+IFERROR(VLOOKUP($A428,[5]库存使用数据!$A:$F,6,0),0)</f>
        <v>0</v>
      </c>
      <c r="G428" s="1">
        <f ca="1">IFERROR(VLOOKUP($A428,[1]库存使用数据!$A:$G,7,0),0)+IFERROR(VLOOKUP($A428,[2]库存使用数据!$A:$G,7,0),0)+公式!$B$14*IFERROR(VLOOKUP($A428,[3]库存使用数据!$A:$G,7,0),0)+IFERROR(VLOOKUP($A428,[4]库存使用数据!$A:$G,7,0),0)+IFERROR(VLOOKUP($A428,[5]库存使用数据!$A:$G,7,0),0)</f>
        <v>0</v>
      </c>
      <c r="H428" s="1">
        <f ca="1">IFERROR(VLOOKUP($A428,[1]库存使用数据!$A:$H,8,0),0)+IFERROR(VLOOKUP($A428,[2]库存使用数据!$A:$H,8,0),0)+IFERROR(VLOOKUP($A428,[3]库存使用数据!$A:$H,8,0),0)+IFERROR(VLOOKUP($A428,[4]库存使用数据!$A:$H,8,0),0)+IFERROR(VLOOKUP($A428,[5]库存使用数据!$A:$H,8,0),0)</f>
        <v>0</v>
      </c>
      <c r="I428" s="1">
        <f ca="1">IFERROR(VLOOKUP($A428,[1]库存使用数据!$A:$I,9,0),0)+IFERROR(VLOOKUP($A428,[2]库存使用数据!$A:$I,9,0),0)+IFERROR(VLOOKUP($A428,[3]库存使用数据!$A:$I,9,0),0)+IFERROR(VLOOKUP($A428,[4]库存使用数据!$A:$I,9,0),0)+IFERROR(VLOOKUP($A428,[5]库存使用数据!$A:$I,9,0),0)</f>
        <v>0</v>
      </c>
      <c r="J428" s="1">
        <f ca="1">IFERROR(VLOOKUP($A428,[1]库存使用数据!$A:$J,10,0),0)+IFERROR(VLOOKUP($A428,[2]库存使用数据!$A:$J,10,0),0)+公式!$B$14*IFERROR(VLOOKUP($A428,[3]库存使用数据!$A:$J,10,0),0)+IFERROR(VLOOKUP($A428,[4]库存使用数据!$A:$J,10,0),0)+IFERROR(VLOOKUP($A428,[5]库存使用数据!$A:$J,10,0),0)</f>
        <v>0</v>
      </c>
      <c r="K428" s="1">
        <f ca="1">IFERROR(VLOOKUP($A428,[1]库存使用数据!$A:$K,11,0),0)+IFERROR(VLOOKUP($A428,[2]库存使用数据!$A:$K,11,0),0)+IFERROR(VLOOKUP($A428,[3]库存使用数据!$A:$K,11,0),0)+IFERROR(VLOOKUP($A428,[4]库存使用数据!$A:$K,11,0),0)+IFERROR(VLOOKUP($A428,[5]库存使用数据!$A:$K,11,0),0)</f>
        <v>1</v>
      </c>
      <c r="L428" s="1">
        <f ca="1">IFERROR(VLOOKUP($A428,[1]库存使用数据!$A:$L,12,0),0)+IFERROR(VLOOKUP($A428,[2]库存使用数据!$A:$L,12,0),0)+IFERROR(VLOOKUP($A428,[3]库存使用数据!$A:$L,12,0),0)+IFERROR(VLOOKUP($A428,[4]库存使用数据!$A:$L,12,0),0)+IFERROR(VLOOKUP($A428,[5]库存使用数据!$A:$L,12,0),0)</f>
        <v>1</v>
      </c>
      <c r="M428" s="1">
        <f ca="1">IFERROR(VLOOKUP($A428,[1]库存使用数据!$A:$M,13,0),0)+IFERROR(VLOOKUP($A428,[2]库存使用数据!$A:$M,13,0),0)+公式!$B$14*IFERROR(VLOOKUP($A428,[3]库存使用数据!$A:$M,13,0),0)+IFERROR(VLOOKUP($A428,[4]库存使用数据!$A:$M,13,0),0)+IFERROR(VLOOKUP($A428,[5]库存使用数据!$A:$M,13,0),0)</f>
        <v>0</v>
      </c>
    </row>
    <row r="429" spans="1:13">
      <c r="A429" s="6" t="s">
        <v>434</v>
      </c>
      <c r="B429" s="2">
        <f ca="1">IFERROR(VLOOKUP(A429,[1]库存使用数据!$A:$B,2,0),0)+IFERROR(VLOOKUP(A429,[2]库存使用数据!$A:$B,2,0),0)+IFERROR(VLOOKUP(,[3]库存使用数据!$A:$B,2,0),0)+IFERROR(VLOOKUP(A429,[4]库存使用数据!$A:$B,2,0),0)+IFERROR(VLOOKUP(A429,[5]库存使用数据!$A:$B,2,0),0)</f>
        <v>0</v>
      </c>
      <c r="C429" s="1">
        <f ca="1">IFERROR(VLOOKUP($A429,[1]库存使用数据!$A:$C,3,0),0)+IFERROR(VLOOKUP($A429,[2]库存使用数据!$A:$C,3,0),0)+IFERROR(VLOOKUP($A429,[3]库存使用数据!$A:$C,3,0),0)+IFERROR(VLOOKUP($A429,[4]库存使用数据!$A:$C,3,0),0)+IFERROR(VLOOKUP($A429,[5]库存使用数据!$A:$C,3,0),0)</f>
        <v>0</v>
      </c>
      <c r="D429" s="1">
        <f ca="1">IFERROR(VLOOKUP($A429,[1]库存使用数据!$A:$D,4,0),0)+IFERROR(VLOOKUP($A429,[2]库存使用数据!$A:$D,4,0),0)+公式!$B$1*IFERROR(VLOOKUP($A429,[3]库存使用数据!$A:$D,4,0),0)+IFERROR(VLOOKUP($A429,[4]库存使用数据!$A:$D,4,0),0)+IFERROR(VLOOKUP($A429,[5]库存使用数据!$A:$D,4,0),0)</f>
        <v>0</v>
      </c>
      <c r="E429" s="1">
        <f ca="1">IFERROR(VLOOKUP($A429,[1]库存使用数据!$A:$E,5,0),0)+IFERROR(VLOOKUP($A429,[2]库存使用数据!$A:$E,5,0),0)+IFERROR(VLOOKUP($A429,[3]库存使用数据!$A:$E,5,0),0)+IFERROR(VLOOKUP($A429,[4]库存使用数据!$A:$E,5,0),0)+IFERROR(VLOOKUP($A429,[5]库存使用数据!$A:$E,5,0),0)</f>
        <v>267</v>
      </c>
      <c r="F429" s="1">
        <f ca="1">IFERROR(VLOOKUP($A429,[1]库存使用数据!$A:$F,6,0),0)+IFERROR(VLOOKUP($A429,[2]库存使用数据!$A:$F,6,0),0)+IFERROR(VLOOKUP($A429,[4]库存使用数据!$A:$F,6,0),0)+IFERROR(VLOOKUP($A429,[3]库存使用数据!$A:$F,6,0),0)+IFERROR(VLOOKUP($A429,[5]库存使用数据!$A:$F,6,0),0)</f>
        <v>0</v>
      </c>
      <c r="G429" s="1">
        <f ca="1">IFERROR(VLOOKUP($A429,[1]库存使用数据!$A:$G,7,0),0)+IFERROR(VLOOKUP($A429,[2]库存使用数据!$A:$G,7,0),0)+公式!$B$14*IFERROR(VLOOKUP($A429,[3]库存使用数据!$A:$G,7,0),0)+IFERROR(VLOOKUP($A429,[4]库存使用数据!$A:$G,7,0),0)+IFERROR(VLOOKUP($A429,[5]库存使用数据!$A:$G,7,0),0)</f>
        <v>0</v>
      </c>
      <c r="H429" s="1">
        <f ca="1">IFERROR(VLOOKUP($A429,[1]库存使用数据!$A:$H,8,0),0)+IFERROR(VLOOKUP($A429,[2]库存使用数据!$A:$H,8,0),0)+IFERROR(VLOOKUP($A429,[3]库存使用数据!$A:$H,8,0),0)+IFERROR(VLOOKUP($A429,[4]库存使用数据!$A:$H,8,0),0)+IFERROR(VLOOKUP($A429,[5]库存使用数据!$A:$H,8,0),0)</f>
        <v>5</v>
      </c>
      <c r="I429" s="1">
        <f ca="1">IFERROR(VLOOKUP($A429,[1]库存使用数据!$A:$I,9,0),0)+IFERROR(VLOOKUP($A429,[2]库存使用数据!$A:$I,9,0),0)+IFERROR(VLOOKUP($A429,[3]库存使用数据!$A:$I,9,0),0)+IFERROR(VLOOKUP($A429,[4]库存使用数据!$A:$I,9,0),0)+IFERROR(VLOOKUP($A429,[5]库存使用数据!$A:$I,9,0),0)</f>
        <v>0</v>
      </c>
      <c r="J429" s="1">
        <f ca="1">IFERROR(VLOOKUP($A429,[1]库存使用数据!$A:$J,10,0),0)+IFERROR(VLOOKUP($A429,[2]库存使用数据!$A:$J,10,0),0)+公式!$B$14*IFERROR(VLOOKUP($A429,[3]库存使用数据!$A:$J,10,0),0)+IFERROR(VLOOKUP($A429,[4]库存使用数据!$A:$J,10,0),0)+IFERROR(VLOOKUP($A429,[5]库存使用数据!$A:$J,10,0),0)</f>
        <v>0</v>
      </c>
      <c r="K429" s="1">
        <f ca="1">IFERROR(VLOOKUP($A429,[1]库存使用数据!$A:$K,11,0),0)+IFERROR(VLOOKUP($A429,[2]库存使用数据!$A:$K,11,0),0)+IFERROR(VLOOKUP($A429,[3]库存使用数据!$A:$K,11,0),0)+IFERROR(VLOOKUP($A429,[4]库存使用数据!$A:$K,11,0),0)+IFERROR(VLOOKUP($A429,[5]库存使用数据!$A:$K,11,0),0)</f>
        <v>251</v>
      </c>
      <c r="L429" s="1">
        <f ca="1">IFERROR(VLOOKUP($A429,[1]库存使用数据!$A:$L,12,0),0)+IFERROR(VLOOKUP($A429,[2]库存使用数据!$A:$L,12,0),0)+IFERROR(VLOOKUP($A429,[3]库存使用数据!$A:$L,12,0),0)+IFERROR(VLOOKUP($A429,[4]库存使用数据!$A:$L,12,0),0)+IFERROR(VLOOKUP($A429,[5]库存使用数据!$A:$L,12,0),0)</f>
        <v>1</v>
      </c>
      <c r="M429" s="1">
        <f ca="1">IFERROR(VLOOKUP($A429,[1]库存使用数据!$A:$M,13,0),0)+IFERROR(VLOOKUP($A429,[2]库存使用数据!$A:$M,13,0),0)+公式!$B$14*IFERROR(VLOOKUP($A429,[3]库存使用数据!$A:$M,13,0),0)+IFERROR(VLOOKUP($A429,[4]库存使用数据!$A:$M,13,0),0)+IFERROR(VLOOKUP($A429,[5]库存使用数据!$A:$M,13,0),0)</f>
        <v>0</v>
      </c>
    </row>
    <row r="430" spans="1:13">
      <c r="A430" s="6" t="s">
        <v>435</v>
      </c>
      <c r="B430" s="2">
        <f ca="1">IFERROR(VLOOKUP(A430,[1]库存使用数据!$A:$B,2,0),0)+IFERROR(VLOOKUP(A430,[2]库存使用数据!$A:$B,2,0),0)+IFERROR(VLOOKUP(,[3]库存使用数据!$A:$B,2,0),0)+IFERROR(VLOOKUP(A430,[4]库存使用数据!$A:$B,2,0),0)+IFERROR(VLOOKUP(A430,[5]库存使用数据!$A:$B,2,0),0)</f>
        <v>0</v>
      </c>
      <c r="C430" s="1">
        <f ca="1">IFERROR(VLOOKUP($A430,[1]库存使用数据!$A:$C,3,0),0)+IFERROR(VLOOKUP($A430,[2]库存使用数据!$A:$C,3,0),0)+IFERROR(VLOOKUP($A430,[3]库存使用数据!$A:$C,3,0),0)+IFERROR(VLOOKUP($A430,[4]库存使用数据!$A:$C,3,0),0)+IFERROR(VLOOKUP($A430,[5]库存使用数据!$A:$C,3,0),0)</f>
        <v>2</v>
      </c>
      <c r="D430" s="1">
        <f ca="1">IFERROR(VLOOKUP($A430,[1]库存使用数据!$A:$D,4,0),0)+IFERROR(VLOOKUP($A430,[2]库存使用数据!$A:$D,4,0),0)+公式!$B$1*IFERROR(VLOOKUP($A430,[3]库存使用数据!$A:$D,4,0),0)+IFERROR(VLOOKUP($A430,[4]库存使用数据!$A:$D,4,0),0)+IFERROR(VLOOKUP($A430,[5]库存使用数据!$A:$D,4,0),0)</f>
        <v>0.1575</v>
      </c>
      <c r="E430" s="1">
        <f ca="1">IFERROR(VLOOKUP($A430,[1]库存使用数据!$A:$E,5,0),0)+IFERROR(VLOOKUP($A430,[2]库存使用数据!$A:$E,5,0),0)+IFERROR(VLOOKUP($A430,[3]库存使用数据!$A:$E,5,0),0)+IFERROR(VLOOKUP($A430,[4]库存使用数据!$A:$E,5,0),0)+IFERROR(VLOOKUP($A430,[5]库存使用数据!$A:$E,5,0),0)</f>
        <v>83</v>
      </c>
      <c r="F430" s="1">
        <f ca="1">IFERROR(VLOOKUP($A430,[1]库存使用数据!$A:$F,6,0),0)+IFERROR(VLOOKUP($A430,[2]库存使用数据!$A:$F,6,0),0)+IFERROR(VLOOKUP($A430,[4]库存使用数据!$A:$F,6,0),0)+IFERROR(VLOOKUP($A430,[3]库存使用数据!$A:$F,6,0),0)+IFERROR(VLOOKUP($A430,[5]库存使用数据!$A:$F,6,0),0)</f>
        <v>4</v>
      </c>
      <c r="G430" s="1">
        <f ca="1">IFERROR(VLOOKUP($A430,[1]库存使用数据!$A:$G,7,0),0)+IFERROR(VLOOKUP($A430,[2]库存使用数据!$A:$G,7,0),0)+公式!$B$14*IFERROR(VLOOKUP($A430,[3]库存使用数据!$A:$G,7,0),0)+IFERROR(VLOOKUP($A430,[4]库存使用数据!$A:$G,7,0),0)+IFERROR(VLOOKUP($A430,[5]库存使用数据!$A:$G,7,0),0)</f>
        <v>0</v>
      </c>
      <c r="H430" s="1">
        <f ca="1">IFERROR(VLOOKUP($A430,[1]库存使用数据!$A:$H,8,0),0)+IFERROR(VLOOKUP($A430,[2]库存使用数据!$A:$H,8,0),0)+IFERROR(VLOOKUP($A430,[3]库存使用数据!$A:$H,8,0),0)+IFERROR(VLOOKUP($A430,[4]库存使用数据!$A:$H,8,0),0)+IFERROR(VLOOKUP($A430,[5]库存使用数据!$A:$H,8,0),0)</f>
        <v>72</v>
      </c>
      <c r="I430" s="1">
        <f ca="1">IFERROR(VLOOKUP($A430,[1]库存使用数据!$A:$I,9,0),0)+IFERROR(VLOOKUP($A430,[2]库存使用数据!$A:$I,9,0),0)+IFERROR(VLOOKUP($A430,[3]库存使用数据!$A:$I,9,0),0)+IFERROR(VLOOKUP($A430,[4]库存使用数据!$A:$I,9,0),0)+IFERROR(VLOOKUP($A430,[5]库存使用数据!$A:$I,9,0),0)</f>
        <v>3</v>
      </c>
      <c r="J430" s="1">
        <f ca="1">IFERROR(VLOOKUP($A430,[1]库存使用数据!$A:$J,10,0),0)+IFERROR(VLOOKUP($A430,[2]库存使用数据!$A:$J,10,0),0)+公式!$B$14*IFERROR(VLOOKUP($A430,[3]库存使用数据!$A:$J,10,0),0)+IFERROR(VLOOKUP($A430,[4]库存使用数据!$A:$J,10,0),0)+IFERROR(VLOOKUP($A430,[5]库存使用数据!$A:$J,10,0),0)</f>
        <v>0</v>
      </c>
      <c r="K430" s="1">
        <f ca="1">IFERROR(VLOOKUP($A430,[1]库存使用数据!$A:$K,11,0),0)+IFERROR(VLOOKUP($A430,[2]库存使用数据!$A:$K,11,0),0)+IFERROR(VLOOKUP($A430,[3]库存使用数据!$A:$K,11,0),0)+IFERROR(VLOOKUP($A430,[4]库存使用数据!$A:$K,11,0),0)+IFERROR(VLOOKUP($A430,[5]库存使用数据!$A:$K,11,0),0)</f>
        <v>78</v>
      </c>
      <c r="L430" s="1">
        <f ca="1">IFERROR(VLOOKUP($A430,[1]库存使用数据!$A:$L,12,0),0)+IFERROR(VLOOKUP($A430,[2]库存使用数据!$A:$L,12,0),0)+IFERROR(VLOOKUP($A430,[3]库存使用数据!$A:$L,12,0),0)+IFERROR(VLOOKUP($A430,[4]库存使用数据!$A:$L,12,0),0)+IFERROR(VLOOKUP($A430,[5]库存使用数据!$A:$L,12,0),0)</f>
        <v>1</v>
      </c>
      <c r="M430" s="1">
        <f ca="1">IFERROR(VLOOKUP($A430,[1]库存使用数据!$A:$M,13,0),0)+IFERROR(VLOOKUP($A430,[2]库存使用数据!$A:$M,13,0),0)+公式!$B$14*IFERROR(VLOOKUP($A430,[3]库存使用数据!$A:$M,13,0),0)+IFERROR(VLOOKUP($A430,[4]库存使用数据!$A:$M,13,0),0)+IFERROR(VLOOKUP($A430,[5]库存使用数据!$A:$M,13,0),0)</f>
        <v>0</v>
      </c>
    </row>
    <row r="431" spans="1:13">
      <c r="A431" s="6" t="s">
        <v>436</v>
      </c>
      <c r="B431" s="2">
        <f ca="1">IFERROR(VLOOKUP(A431,[1]库存使用数据!$A:$B,2,0),0)+IFERROR(VLOOKUP(A431,[2]库存使用数据!$A:$B,2,0),0)+IFERROR(VLOOKUP(,[3]库存使用数据!$A:$B,2,0),0)+IFERROR(VLOOKUP(A431,[4]库存使用数据!$A:$B,2,0),0)+IFERROR(VLOOKUP(A431,[5]库存使用数据!$A:$B,2,0),0)</f>
        <v>0</v>
      </c>
      <c r="C431" s="1">
        <f ca="1">IFERROR(VLOOKUP($A431,[1]库存使用数据!$A:$C,3,0),0)+IFERROR(VLOOKUP($A431,[2]库存使用数据!$A:$C,3,0),0)+IFERROR(VLOOKUP($A431,[3]库存使用数据!$A:$C,3,0),0)+IFERROR(VLOOKUP($A431,[4]库存使用数据!$A:$C,3,0),0)+IFERROR(VLOOKUP($A431,[5]库存使用数据!$A:$C,3,0),0)</f>
        <v>1</v>
      </c>
      <c r="D431" s="1">
        <f ca="1">IFERROR(VLOOKUP($A431,[1]库存使用数据!$A:$D,4,0),0)+IFERROR(VLOOKUP($A431,[2]库存使用数据!$A:$D,4,0),0)+公式!$B$1*IFERROR(VLOOKUP($A431,[3]库存使用数据!$A:$D,4,0),0)+IFERROR(VLOOKUP($A431,[4]库存使用数据!$A:$D,4,0),0)+IFERROR(VLOOKUP($A431,[5]库存使用数据!$A:$D,4,0),0)</f>
        <v>0.14625</v>
      </c>
      <c r="E431" s="1">
        <f ca="1">IFERROR(VLOOKUP($A431,[1]库存使用数据!$A:$E,5,0),0)+IFERROR(VLOOKUP($A431,[2]库存使用数据!$A:$E,5,0),0)+IFERROR(VLOOKUP($A431,[3]库存使用数据!$A:$E,5,0),0)+IFERROR(VLOOKUP($A431,[4]库存使用数据!$A:$E,5,0),0)+IFERROR(VLOOKUP($A431,[5]库存使用数据!$A:$E,5,0),0)</f>
        <v>4</v>
      </c>
      <c r="F431" s="1">
        <f ca="1">IFERROR(VLOOKUP($A431,[1]库存使用数据!$A:$F,6,0),0)+IFERROR(VLOOKUP($A431,[2]库存使用数据!$A:$F,6,0),0)+IFERROR(VLOOKUP($A431,[4]库存使用数据!$A:$F,6,0),0)+IFERROR(VLOOKUP($A431,[3]库存使用数据!$A:$F,6,0),0)+IFERROR(VLOOKUP($A431,[5]库存使用数据!$A:$F,6,0),0)</f>
        <v>0</v>
      </c>
      <c r="G431" s="1">
        <f ca="1">IFERROR(VLOOKUP($A431,[1]库存使用数据!$A:$G,7,0),0)+IFERROR(VLOOKUP($A431,[2]库存使用数据!$A:$G,7,0),0)+公式!$B$14*IFERROR(VLOOKUP($A431,[3]库存使用数据!$A:$G,7,0),0)+IFERROR(VLOOKUP($A431,[4]库存使用数据!$A:$G,7,0),0)+IFERROR(VLOOKUP($A431,[5]库存使用数据!$A:$G,7,0),0)</f>
        <v>0</v>
      </c>
      <c r="H431" s="1">
        <f ca="1">IFERROR(VLOOKUP($A431,[1]库存使用数据!$A:$H,8,0),0)+IFERROR(VLOOKUP($A431,[2]库存使用数据!$A:$H,8,0),0)+IFERROR(VLOOKUP($A431,[3]库存使用数据!$A:$H,8,0),0)+IFERROR(VLOOKUP($A431,[4]库存使用数据!$A:$H,8,0),0)+IFERROR(VLOOKUP($A431,[5]库存使用数据!$A:$H,8,0),0)</f>
        <v>2</v>
      </c>
      <c r="I431" s="1">
        <f ca="1">IFERROR(VLOOKUP($A431,[1]库存使用数据!$A:$I,9,0),0)+IFERROR(VLOOKUP($A431,[2]库存使用数据!$A:$I,9,0),0)+IFERROR(VLOOKUP($A431,[3]库存使用数据!$A:$I,9,0),0)+IFERROR(VLOOKUP($A431,[4]库存使用数据!$A:$I,9,0),0)+IFERROR(VLOOKUP($A431,[5]库存使用数据!$A:$I,9,0),0)</f>
        <v>1</v>
      </c>
      <c r="J431" s="1">
        <f ca="1">IFERROR(VLOOKUP($A431,[1]库存使用数据!$A:$J,10,0),0)+IFERROR(VLOOKUP($A431,[2]库存使用数据!$A:$J,10,0),0)+公式!$B$14*IFERROR(VLOOKUP($A431,[3]库存使用数据!$A:$J,10,0),0)+IFERROR(VLOOKUP($A431,[4]库存使用数据!$A:$J,10,0),0)+IFERROR(VLOOKUP($A431,[5]库存使用数据!$A:$J,10,0),0)</f>
        <v>0</v>
      </c>
      <c r="K431" s="1">
        <f ca="1">IFERROR(VLOOKUP($A431,[1]库存使用数据!$A:$K,11,0),0)+IFERROR(VLOOKUP($A431,[2]库存使用数据!$A:$K,11,0),0)+IFERROR(VLOOKUP($A431,[3]库存使用数据!$A:$K,11,0),0)+IFERROR(VLOOKUP($A431,[4]库存使用数据!$A:$K,11,0),0)+IFERROR(VLOOKUP($A431,[5]库存使用数据!$A:$K,11,0),0)</f>
        <v>0</v>
      </c>
      <c r="L431" s="1">
        <f ca="1">IFERROR(VLOOKUP($A431,[1]库存使用数据!$A:$L,12,0),0)+IFERROR(VLOOKUP($A431,[2]库存使用数据!$A:$L,12,0),0)+IFERROR(VLOOKUP($A431,[3]库存使用数据!$A:$L,12,0),0)+IFERROR(VLOOKUP($A431,[4]库存使用数据!$A:$L,12,0),0)+IFERROR(VLOOKUP($A431,[5]库存使用数据!$A:$L,12,0),0)</f>
        <v>0</v>
      </c>
      <c r="M431" s="1">
        <f ca="1">IFERROR(VLOOKUP($A431,[1]库存使用数据!$A:$M,13,0),0)+IFERROR(VLOOKUP($A431,[2]库存使用数据!$A:$M,13,0),0)+公式!$B$14*IFERROR(VLOOKUP($A431,[3]库存使用数据!$A:$M,13,0),0)+IFERROR(VLOOKUP($A431,[4]库存使用数据!$A:$M,13,0),0)+IFERROR(VLOOKUP($A431,[5]库存使用数据!$A:$M,13,0),0)</f>
        <v>0</v>
      </c>
    </row>
    <row r="432" spans="1:13">
      <c r="A432" s="6" t="s">
        <v>437</v>
      </c>
      <c r="B432" s="2">
        <f ca="1">IFERROR(VLOOKUP(A432,[1]库存使用数据!$A:$B,2,0),0)+IFERROR(VLOOKUP(A432,[2]库存使用数据!$A:$B,2,0),0)+IFERROR(VLOOKUP(,[3]库存使用数据!$A:$B,2,0),0)+IFERROR(VLOOKUP(A432,[4]库存使用数据!$A:$B,2,0),0)+IFERROR(VLOOKUP(A432,[5]库存使用数据!$A:$B,2,0),0)</f>
        <v>0</v>
      </c>
      <c r="C432" s="1">
        <f ca="1">IFERROR(VLOOKUP($A432,[1]库存使用数据!$A:$C,3,0),0)+IFERROR(VLOOKUP($A432,[2]库存使用数据!$A:$C,3,0),0)+IFERROR(VLOOKUP($A432,[3]库存使用数据!$A:$C,3,0),0)+IFERROR(VLOOKUP($A432,[4]库存使用数据!$A:$C,3,0),0)+IFERROR(VLOOKUP($A432,[5]库存使用数据!$A:$C,3,0),0)</f>
        <v>0</v>
      </c>
      <c r="D432" s="1">
        <f ca="1">IFERROR(VLOOKUP($A432,[1]库存使用数据!$A:$D,4,0),0)+IFERROR(VLOOKUP($A432,[2]库存使用数据!$A:$D,4,0),0)+公式!$B$1*IFERROR(VLOOKUP($A432,[3]库存使用数据!$A:$D,4,0),0)+IFERROR(VLOOKUP($A432,[4]库存使用数据!$A:$D,4,0),0)+IFERROR(VLOOKUP($A432,[5]库存使用数据!$A:$D,4,0),0)</f>
        <v>0</v>
      </c>
      <c r="E432" s="1">
        <f ca="1">IFERROR(VLOOKUP($A432,[1]库存使用数据!$A:$E,5,0),0)+IFERROR(VLOOKUP($A432,[2]库存使用数据!$A:$E,5,0),0)+IFERROR(VLOOKUP($A432,[3]库存使用数据!$A:$E,5,0),0)+IFERROR(VLOOKUP($A432,[4]库存使用数据!$A:$E,5,0),0)+IFERROR(VLOOKUP($A432,[5]库存使用数据!$A:$E,5,0),0)</f>
        <v>0</v>
      </c>
      <c r="F432" s="1">
        <f ca="1">IFERROR(VLOOKUP($A432,[1]库存使用数据!$A:$F,6,0),0)+IFERROR(VLOOKUP($A432,[2]库存使用数据!$A:$F,6,0),0)+IFERROR(VLOOKUP($A432,[4]库存使用数据!$A:$F,6,0),0)+IFERROR(VLOOKUP($A432,[3]库存使用数据!$A:$F,6,0),0)+IFERROR(VLOOKUP($A432,[5]库存使用数据!$A:$F,6,0),0)</f>
        <v>0</v>
      </c>
      <c r="G432" s="1">
        <f ca="1">IFERROR(VLOOKUP($A432,[1]库存使用数据!$A:$G,7,0),0)+IFERROR(VLOOKUP($A432,[2]库存使用数据!$A:$G,7,0),0)+公式!$B$14*IFERROR(VLOOKUP($A432,[3]库存使用数据!$A:$G,7,0),0)+IFERROR(VLOOKUP($A432,[4]库存使用数据!$A:$G,7,0),0)+IFERROR(VLOOKUP($A432,[5]库存使用数据!$A:$G,7,0),0)</f>
        <v>0</v>
      </c>
      <c r="H432" s="1">
        <f ca="1">IFERROR(VLOOKUP($A432,[1]库存使用数据!$A:$H,8,0),0)+IFERROR(VLOOKUP($A432,[2]库存使用数据!$A:$H,8,0),0)+IFERROR(VLOOKUP($A432,[3]库存使用数据!$A:$H,8,0),0)+IFERROR(VLOOKUP($A432,[4]库存使用数据!$A:$H,8,0),0)+IFERROR(VLOOKUP($A432,[5]库存使用数据!$A:$H,8,0),0)</f>
        <v>0</v>
      </c>
      <c r="I432" s="1">
        <f ca="1">IFERROR(VLOOKUP($A432,[1]库存使用数据!$A:$I,9,0),0)+IFERROR(VLOOKUP($A432,[2]库存使用数据!$A:$I,9,0),0)+IFERROR(VLOOKUP($A432,[3]库存使用数据!$A:$I,9,0),0)+IFERROR(VLOOKUP($A432,[4]库存使用数据!$A:$I,9,0),0)+IFERROR(VLOOKUP($A432,[5]库存使用数据!$A:$I,9,0),0)</f>
        <v>0</v>
      </c>
      <c r="J432" s="1">
        <f ca="1">IFERROR(VLOOKUP($A432,[1]库存使用数据!$A:$J,10,0),0)+IFERROR(VLOOKUP($A432,[2]库存使用数据!$A:$J,10,0),0)+公式!$B$14*IFERROR(VLOOKUP($A432,[3]库存使用数据!$A:$J,10,0),0)+IFERROR(VLOOKUP($A432,[4]库存使用数据!$A:$J,10,0),0)+IFERROR(VLOOKUP($A432,[5]库存使用数据!$A:$J,10,0),0)</f>
        <v>0</v>
      </c>
      <c r="K432" s="1">
        <f ca="1">IFERROR(VLOOKUP($A432,[1]库存使用数据!$A:$K,11,0),0)+IFERROR(VLOOKUP($A432,[2]库存使用数据!$A:$K,11,0),0)+IFERROR(VLOOKUP($A432,[3]库存使用数据!$A:$K,11,0),0)+IFERROR(VLOOKUP($A432,[4]库存使用数据!$A:$K,11,0),0)+IFERROR(VLOOKUP($A432,[5]库存使用数据!$A:$K,11,0),0)</f>
        <v>2</v>
      </c>
      <c r="L432" s="1">
        <f ca="1">IFERROR(VLOOKUP($A432,[1]库存使用数据!$A:$L,12,0),0)+IFERROR(VLOOKUP($A432,[2]库存使用数据!$A:$L,12,0),0)+IFERROR(VLOOKUP($A432,[3]库存使用数据!$A:$L,12,0),0)+IFERROR(VLOOKUP($A432,[4]库存使用数据!$A:$L,12,0),0)+IFERROR(VLOOKUP($A432,[5]库存使用数据!$A:$L,12,0),0)</f>
        <v>0</v>
      </c>
      <c r="M432" s="1">
        <f ca="1">IFERROR(VLOOKUP($A432,[1]库存使用数据!$A:$M,13,0),0)+IFERROR(VLOOKUP($A432,[2]库存使用数据!$A:$M,13,0),0)+公式!$B$14*IFERROR(VLOOKUP($A432,[3]库存使用数据!$A:$M,13,0),0)+IFERROR(VLOOKUP($A432,[4]库存使用数据!$A:$M,13,0),0)+IFERROR(VLOOKUP($A432,[5]库存使用数据!$A:$M,13,0),0)</f>
        <v>0</v>
      </c>
    </row>
    <row r="433" spans="1:13">
      <c r="A433" s="6" t="s">
        <v>438</v>
      </c>
      <c r="B433" s="2">
        <f ca="1">IFERROR(VLOOKUP(A433,[1]库存使用数据!$A:$B,2,0),0)+IFERROR(VLOOKUP(A433,[2]库存使用数据!$A:$B,2,0),0)+IFERROR(VLOOKUP(,[3]库存使用数据!$A:$B,2,0),0)+IFERROR(VLOOKUP(A433,[4]库存使用数据!$A:$B,2,0),0)+IFERROR(VLOOKUP(A433,[5]库存使用数据!$A:$B,2,0),0)</f>
        <v>0</v>
      </c>
      <c r="C433" s="1">
        <f ca="1">IFERROR(VLOOKUP($A433,[1]库存使用数据!$A:$C,3,0),0)+IFERROR(VLOOKUP($A433,[2]库存使用数据!$A:$C,3,0),0)+IFERROR(VLOOKUP($A433,[3]库存使用数据!$A:$C,3,0),0)+IFERROR(VLOOKUP($A433,[4]库存使用数据!$A:$C,3,0),0)+IFERROR(VLOOKUP($A433,[5]库存使用数据!$A:$C,3,0),0)</f>
        <v>0</v>
      </c>
      <c r="D433" s="1">
        <f ca="1">IFERROR(VLOOKUP($A433,[1]库存使用数据!$A:$D,4,0),0)+IFERROR(VLOOKUP($A433,[2]库存使用数据!$A:$D,4,0),0)+公式!$B$1*IFERROR(VLOOKUP($A433,[3]库存使用数据!$A:$D,4,0),0)+IFERROR(VLOOKUP($A433,[4]库存使用数据!$A:$D,4,0),0)+IFERROR(VLOOKUP($A433,[5]库存使用数据!$A:$D,4,0),0)</f>
        <v>0</v>
      </c>
      <c r="E433" s="1">
        <f ca="1">IFERROR(VLOOKUP($A433,[1]库存使用数据!$A:$E,5,0),0)+IFERROR(VLOOKUP($A433,[2]库存使用数据!$A:$E,5,0),0)+IFERROR(VLOOKUP($A433,[3]库存使用数据!$A:$E,5,0),0)+IFERROR(VLOOKUP($A433,[4]库存使用数据!$A:$E,5,0),0)+IFERROR(VLOOKUP($A433,[5]库存使用数据!$A:$E,5,0),0)</f>
        <v>0</v>
      </c>
      <c r="F433" s="1">
        <f ca="1">IFERROR(VLOOKUP($A433,[1]库存使用数据!$A:$F,6,0),0)+IFERROR(VLOOKUP($A433,[2]库存使用数据!$A:$F,6,0),0)+IFERROR(VLOOKUP($A433,[4]库存使用数据!$A:$F,6,0),0)+IFERROR(VLOOKUP($A433,[3]库存使用数据!$A:$F,6,0),0)+IFERROR(VLOOKUP($A433,[5]库存使用数据!$A:$F,6,0),0)</f>
        <v>0</v>
      </c>
      <c r="G433" s="1">
        <f ca="1">IFERROR(VLOOKUP($A433,[1]库存使用数据!$A:$G,7,0),0)+IFERROR(VLOOKUP($A433,[2]库存使用数据!$A:$G,7,0),0)+公式!$B$14*IFERROR(VLOOKUP($A433,[3]库存使用数据!$A:$G,7,0),0)+IFERROR(VLOOKUP($A433,[4]库存使用数据!$A:$G,7,0),0)+IFERROR(VLOOKUP($A433,[5]库存使用数据!$A:$G,7,0),0)</f>
        <v>0</v>
      </c>
      <c r="H433" s="1">
        <f ca="1">IFERROR(VLOOKUP($A433,[1]库存使用数据!$A:$H,8,0),0)+IFERROR(VLOOKUP($A433,[2]库存使用数据!$A:$H,8,0),0)+IFERROR(VLOOKUP($A433,[3]库存使用数据!$A:$H,8,0),0)+IFERROR(VLOOKUP($A433,[4]库存使用数据!$A:$H,8,0),0)+IFERROR(VLOOKUP($A433,[5]库存使用数据!$A:$H,8,0),0)</f>
        <v>0</v>
      </c>
      <c r="I433" s="1">
        <f ca="1">IFERROR(VLOOKUP($A433,[1]库存使用数据!$A:$I,9,0),0)+IFERROR(VLOOKUP($A433,[2]库存使用数据!$A:$I,9,0),0)+IFERROR(VLOOKUP($A433,[3]库存使用数据!$A:$I,9,0),0)+IFERROR(VLOOKUP($A433,[4]库存使用数据!$A:$I,9,0),0)+IFERROR(VLOOKUP($A433,[5]库存使用数据!$A:$I,9,0),0)</f>
        <v>0</v>
      </c>
      <c r="J433" s="1">
        <f ca="1">IFERROR(VLOOKUP($A433,[1]库存使用数据!$A:$J,10,0),0)+IFERROR(VLOOKUP($A433,[2]库存使用数据!$A:$J,10,0),0)+公式!$B$14*IFERROR(VLOOKUP($A433,[3]库存使用数据!$A:$J,10,0),0)+IFERROR(VLOOKUP($A433,[4]库存使用数据!$A:$J,10,0),0)+IFERROR(VLOOKUP($A433,[5]库存使用数据!$A:$J,10,0),0)</f>
        <v>0</v>
      </c>
      <c r="K433" s="1">
        <f ca="1">IFERROR(VLOOKUP($A433,[1]库存使用数据!$A:$K,11,0),0)+IFERROR(VLOOKUP($A433,[2]库存使用数据!$A:$K,11,0),0)+IFERROR(VLOOKUP($A433,[3]库存使用数据!$A:$K,11,0),0)+IFERROR(VLOOKUP($A433,[4]库存使用数据!$A:$K,11,0),0)+IFERROR(VLOOKUP($A433,[5]库存使用数据!$A:$K,11,0),0)</f>
        <v>2</v>
      </c>
      <c r="L433" s="1">
        <f ca="1">IFERROR(VLOOKUP($A433,[1]库存使用数据!$A:$L,12,0),0)+IFERROR(VLOOKUP($A433,[2]库存使用数据!$A:$L,12,0),0)+IFERROR(VLOOKUP($A433,[3]库存使用数据!$A:$L,12,0),0)+IFERROR(VLOOKUP($A433,[4]库存使用数据!$A:$L,12,0),0)+IFERROR(VLOOKUP($A433,[5]库存使用数据!$A:$L,12,0),0)</f>
        <v>0</v>
      </c>
      <c r="M433" s="1">
        <f ca="1">IFERROR(VLOOKUP($A433,[1]库存使用数据!$A:$M,13,0),0)+IFERROR(VLOOKUP($A433,[2]库存使用数据!$A:$M,13,0),0)+公式!$B$14*IFERROR(VLOOKUP($A433,[3]库存使用数据!$A:$M,13,0),0)+IFERROR(VLOOKUP($A433,[4]库存使用数据!$A:$M,13,0),0)+IFERROR(VLOOKUP($A433,[5]库存使用数据!$A:$M,13,0),0)</f>
        <v>0</v>
      </c>
    </row>
    <row r="434" spans="1:13">
      <c r="A434" s="6" t="s">
        <v>439</v>
      </c>
      <c r="B434" s="2">
        <f ca="1">IFERROR(VLOOKUP(A434,[1]库存使用数据!$A:$B,2,0),0)+IFERROR(VLOOKUP(A434,[2]库存使用数据!$A:$B,2,0),0)+IFERROR(VLOOKUP(,[3]库存使用数据!$A:$B,2,0),0)+IFERROR(VLOOKUP(A434,[4]库存使用数据!$A:$B,2,0),0)+IFERROR(VLOOKUP(A434,[5]库存使用数据!$A:$B,2,0),0)</f>
        <v>0</v>
      </c>
      <c r="C434" s="1">
        <f ca="1">IFERROR(VLOOKUP($A434,[1]库存使用数据!$A:$C,3,0),0)+IFERROR(VLOOKUP($A434,[2]库存使用数据!$A:$C,3,0),0)+IFERROR(VLOOKUP($A434,[3]库存使用数据!$A:$C,3,0),0)+IFERROR(VLOOKUP($A434,[4]库存使用数据!$A:$C,3,0),0)+IFERROR(VLOOKUP($A434,[5]库存使用数据!$A:$C,3,0),0)</f>
        <v>80</v>
      </c>
      <c r="D434" s="1">
        <f ca="1">IFERROR(VLOOKUP($A434,[1]库存使用数据!$A:$D,4,0),0)+IFERROR(VLOOKUP($A434,[2]库存使用数据!$A:$D,4,0),0)+公式!$B$1*IFERROR(VLOOKUP($A434,[3]库存使用数据!$A:$D,4,0),0)+IFERROR(VLOOKUP($A434,[4]库存使用数据!$A:$D,4,0),0)+IFERROR(VLOOKUP($A434,[5]库存使用数据!$A:$D,4,0),0)</f>
        <v>8.64</v>
      </c>
      <c r="E434" s="1">
        <f ca="1">IFERROR(VLOOKUP($A434,[1]库存使用数据!$A:$E,5,0),0)+IFERROR(VLOOKUP($A434,[2]库存使用数据!$A:$E,5,0),0)+IFERROR(VLOOKUP($A434,[3]库存使用数据!$A:$E,5,0),0)+IFERROR(VLOOKUP($A434,[4]库存使用数据!$A:$E,5,0),0)+IFERROR(VLOOKUP($A434,[5]库存使用数据!$A:$E,5,0),0)</f>
        <v>10871</v>
      </c>
      <c r="F434" s="1">
        <f ca="1">IFERROR(VLOOKUP($A434,[1]库存使用数据!$A:$F,6,0),0)+IFERROR(VLOOKUP($A434,[2]库存使用数据!$A:$F,6,0),0)+IFERROR(VLOOKUP($A434,[4]库存使用数据!$A:$F,6,0),0)+IFERROR(VLOOKUP($A434,[3]库存使用数据!$A:$F,6,0),0)+IFERROR(VLOOKUP($A434,[5]库存使用数据!$A:$F,6,0),0)</f>
        <v>58</v>
      </c>
      <c r="G434" s="1">
        <f ca="1">IFERROR(VLOOKUP($A434,[1]库存使用数据!$A:$G,7,0),0)+IFERROR(VLOOKUP($A434,[2]库存使用数据!$A:$G,7,0),0)+公式!$B$14*IFERROR(VLOOKUP($A434,[3]库存使用数据!$A:$G,7,0),0)+IFERROR(VLOOKUP($A434,[4]库存使用数据!$A:$G,7,0),0)+IFERROR(VLOOKUP($A434,[5]库存使用数据!$A:$G,7,0),0)</f>
        <v>0</v>
      </c>
      <c r="H434" s="1">
        <f ca="1">IFERROR(VLOOKUP($A434,[1]库存使用数据!$A:$H,8,0),0)+IFERROR(VLOOKUP($A434,[2]库存使用数据!$A:$H,8,0),0)+IFERROR(VLOOKUP($A434,[3]库存使用数据!$A:$H,8,0),0)+IFERROR(VLOOKUP($A434,[4]库存使用数据!$A:$H,8,0),0)+IFERROR(VLOOKUP($A434,[5]库存使用数据!$A:$H,8,0),0)</f>
        <v>7586</v>
      </c>
      <c r="I434" s="1">
        <f ca="1">IFERROR(VLOOKUP($A434,[1]库存使用数据!$A:$I,9,0),0)+IFERROR(VLOOKUP($A434,[2]库存使用数据!$A:$I,9,0),0)+IFERROR(VLOOKUP($A434,[3]库存使用数据!$A:$I,9,0),0)+IFERROR(VLOOKUP($A434,[4]库存使用数据!$A:$I,9,0),0)+IFERROR(VLOOKUP($A434,[5]库存使用数据!$A:$I,9,0),0)</f>
        <v>43</v>
      </c>
      <c r="J434" s="1">
        <f ca="1">IFERROR(VLOOKUP($A434,[1]库存使用数据!$A:$J,10,0),0)+IFERROR(VLOOKUP($A434,[2]库存使用数据!$A:$J,10,0),0)+公式!$B$14*IFERROR(VLOOKUP($A434,[3]库存使用数据!$A:$J,10,0),0)+IFERROR(VLOOKUP($A434,[4]库存使用数据!$A:$J,10,0),0)+IFERROR(VLOOKUP($A434,[5]库存使用数据!$A:$J,10,0),0)</f>
        <v>0</v>
      </c>
      <c r="K434" s="1">
        <f ca="1">IFERROR(VLOOKUP($A434,[1]库存使用数据!$A:$K,11,0),0)+IFERROR(VLOOKUP($A434,[2]库存使用数据!$A:$K,11,0),0)+IFERROR(VLOOKUP($A434,[3]库存使用数据!$A:$K,11,0),0)+IFERROR(VLOOKUP($A434,[4]库存使用数据!$A:$K,11,0),0)+IFERROR(VLOOKUP($A434,[5]库存使用数据!$A:$K,11,0),0)</f>
        <v>1219</v>
      </c>
      <c r="L434" s="1">
        <f ca="1">IFERROR(VLOOKUP($A434,[1]库存使用数据!$A:$L,12,0),0)+IFERROR(VLOOKUP($A434,[2]库存使用数据!$A:$L,12,0),0)+IFERROR(VLOOKUP($A434,[3]库存使用数据!$A:$L,12,0),0)+IFERROR(VLOOKUP($A434,[4]库存使用数据!$A:$L,12,0),0)+IFERROR(VLOOKUP($A434,[5]库存使用数据!$A:$L,12,0),0)</f>
        <v>8</v>
      </c>
      <c r="M434" s="1">
        <f ca="1">IFERROR(VLOOKUP($A434,[1]库存使用数据!$A:$M,13,0),0)+IFERROR(VLOOKUP($A434,[2]库存使用数据!$A:$M,13,0),0)+公式!$B$14*IFERROR(VLOOKUP($A434,[3]库存使用数据!$A:$M,13,0),0)+IFERROR(VLOOKUP($A434,[4]库存使用数据!$A:$M,13,0),0)+IFERROR(VLOOKUP($A434,[5]库存使用数据!$A:$M,13,0),0)</f>
        <v>0</v>
      </c>
    </row>
    <row r="435" spans="1:13">
      <c r="A435" s="6" t="s">
        <v>440</v>
      </c>
      <c r="B435" s="2">
        <f ca="1">IFERROR(VLOOKUP(A435,[1]库存使用数据!$A:$B,2,0),0)+IFERROR(VLOOKUP(A435,[2]库存使用数据!$A:$B,2,0),0)+IFERROR(VLOOKUP(,[3]库存使用数据!$A:$B,2,0),0)+IFERROR(VLOOKUP(A435,[4]库存使用数据!$A:$B,2,0),0)+IFERROR(VLOOKUP(A435,[5]库存使用数据!$A:$B,2,0),0)</f>
        <v>5306</v>
      </c>
      <c r="C435" s="1">
        <f ca="1">IFERROR(VLOOKUP($A435,[1]库存使用数据!$A:$C,3,0),0)+IFERROR(VLOOKUP($A435,[2]库存使用数据!$A:$C,3,0),0)+IFERROR(VLOOKUP($A435,[3]库存使用数据!$A:$C,3,0),0)+IFERROR(VLOOKUP($A435,[4]库存使用数据!$A:$C,3,0),0)+IFERROR(VLOOKUP($A435,[5]库存使用数据!$A:$C,3,0),0)</f>
        <v>58</v>
      </c>
      <c r="D435" s="1">
        <f ca="1">IFERROR(VLOOKUP($A435,[1]库存使用数据!$A:$D,4,0),0)+IFERROR(VLOOKUP($A435,[2]库存使用数据!$A:$D,4,0),0)+公式!$B$1*IFERROR(VLOOKUP($A435,[3]库存使用数据!$A:$D,4,0),0)+IFERROR(VLOOKUP($A435,[4]库存使用数据!$A:$D,4,0),0)+IFERROR(VLOOKUP($A435,[5]库存使用数据!$A:$D,4,0),0)</f>
        <v>5.42875</v>
      </c>
      <c r="E435" s="1">
        <f ca="1">IFERROR(VLOOKUP($A435,[1]库存使用数据!$A:$E,5,0),0)+IFERROR(VLOOKUP($A435,[2]库存使用数据!$A:$E,5,0),0)+IFERROR(VLOOKUP($A435,[3]库存使用数据!$A:$E,5,0),0)+IFERROR(VLOOKUP($A435,[4]库存使用数据!$A:$E,5,0),0)+IFERROR(VLOOKUP($A435,[5]库存使用数据!$A:$E,5,0),0)</f>
        <v>10559</v>
      </c>
      <c r="F435" s="1">
        <f ca="1">IFERROR(VLOOKUP($A435,[1]库存使用数据!$A:$F,6,0),0)+IFERROR(VLOOKUP($A435,[2]库存使用数据!$A:$F,6,0),0)+IFERROR(VLOOKUP($A435,[4]库存使用数据!$A:$F,6,0),0)+IFERROR(VLOOKUP($A435,[3]库存使用数据!$A:$F,6,0),0)+IFERROR(VLOOKUP($A435,[5]库存使用数据!$A:$F,6,0),0)</f>
        <v>60</v>
      </c>
      <c r="G435" s="1">
        <f ca="1">IFERROR(VLOOKUP($A435,[1]库存使用数据!$A:$G,7,0),0)+IFERROR(VLOOKUP($A435,[2]库存使用数据!$A:$G,7,0),0)+公式!$B$14*IFERROR(VLOOKUP($A435,[3]库存使用数据!$A:$G,7,0),0)+IFERROR(VLOOKUP($A435,[4]库存使用数据!$A:$G,7,0),0)+IFERROR(VLOOKUP($A435,[5]库存使用数据!$A:$G,7,0),0)</f>
        <v>0.55</v>
      </c>
      <c r="H435" s="1">
        <f ca="1">IFERROR(VLOOKUP($A435,[1]库存使用数据!$A:$H,8,0),0)+IFERROR(VLOOKUP($A435,[2]库存使用数据!$A:$H,8,0),0)+IFERROR(VLOOKUP($A435,[3]库存使用数据!$A:$H,8,0),0)+IFERROR(VLOOKUP($A435,[4]库存使用数据!$A:$H,8,0),0)+IFERROR(VLOOKUP($A435,[5]库存使用数据!$A:$H,8,0),0)</f>
        <v>7485</v>
      </c>
      <c r="I435" s="1">
        <f ca="1">IFERROR(VLOOKUP($A435,[1]库存使用数据!$A:$I,9,0),0)+IFERROR(VLOOKUP($A435,[2]库存使用数据!$A:$I,9,0),0)+IFERROR(VLOOKUP($A435,[3]库存使用数据!$A:$I,9,0),0)+IFERROR(VLOOKUP($A435,[4]库存使用数据!$A:$I,9,0),0)+IFERROR(VLOOKUP($A435,[5]库存使用数据!$A:$I,9,0),0)</f>
        <v>59</v>
      </c>
      <c r="J435" s="1">
        <f ca="1">IFERROR(VLOOKUP($A435,[1]库存使用数据!$A:$J,10,0),0)+IFERROR(VLOOKUP($A435,[2]库存使用数据!$A:$J,10,0),0)+公式!$B$14*IFERROR(VLOOKUP($A435,[3]库存使用数据!$A:$J,10,0),0)+IFERROR(VLOOKUP($A435,[4]库存使用数据!$A:$J,10,0),0)+IFERROR(VLOOKUP($A435,[5]库存使用数据!$A:$J,10,0),0)</f>
        <v>0.97</v>
      </c>
      <c r="K435" s="1">
        <f ca="1">IFERROR(VLOOKUP($A435,[1]库存使用数据!$A:$K,11,0),0)+IFERROR(VLOOKUP($A435,[2]库存使用数据!$A:$K,11,0),0)+IFERROR(VLOOKUP($A435,[3]库存使用数据!$A:$K,11,0),0)+IFERROR(VLOOKUP($A435,[4]库存使用数据!$A:$K,11,0),0)+IFERROR(VLOOKUP($A435,[5]库存使用数据!$A:$K,11,0),0)</f>
        <v>4054</v>
      </c>
      <c r="L435" s="1">
        <f ca="1">IFERROR(VLOOKUP($A435,[1]库存使用数据!$A:$L,12,0),0)+IFERROR(VLOOKUP($A435,[2]库存使用数据!$A:$L,12,0),0)+IFERROR(VLOOKUP($A435,[3]库存使用数据!$A:$L,12,0),0)+IFERROR(VLOOKUP($A435,[4]库存使用数据!$A:$L,12,0),0)+IFERROR(VLOOKUP($A435,[5]库存使用数据!$A:$L,12,0),0)</f>
        <v>42</v>
      </c>
      <c r="M435" s="1">
        <f ca="1">IFERROR(VLOOKUP($A435,[1]库存使用数据!$A:$M,13,0),0)+IFERROR(VLOOKUP($A435,[2]库存使用数据!$A:$M,13,0),0)+公式!$B$14*IFERROR(VLOOKUP($A435,[3]库存使用数据!$A:$M,13,0),0)+IFERROR(VLOOKUP($A435,[4]库存使用数据!$A:$M,13,0),0)+IFERROR(VLOOKUP($A435,[5]库存使用数据!$A:$M,13,0),0)</f>
        <v>0.93</v>
      </c>
    </row>
    <row r="436" spans="1:13">
      <c r="A436" s="6" t="s">
        <v>441</v>
      </c>
      <c r="B436" s="2">
        <f ca="1">IFERROR(VLOOKUP(A436,[1]库存使用数据!$A:$B,2,0),0)+IFERROR(VLOOKUP(A436,[2]库存使用数据!$A:$B,2,0),0)+IFERROR(VLOOKUP(,[3]库存使用数据!$A:$B,2,0),0)+IFERROR(VLOOKUP(A436,[4]库存使用数据!$A:$B,2,0),0)+IFERROR(VLOOKUP(A436,[5]库存使用数据!$A:$B,2,0),0)</f>
        <v>0</v>
      </c>
      <c r="C436" s="1">
        <f ca="1">IFERROR(VLOOKUP($A436,[1]库存使用数据!$A:$C,3,0),0)+IFERROR(VLOOKUP($A436,[2]库存使用数据!$A:$C,3,0),0)+IFERROR(VLOOKUP($A436,[3]库存使用数据!$A:$C,3,0),0)+IFERROR(VLOOKUP($A436,[4]库存使用数据!$A:$C,3,0),0)+IFERROR(VLOOKUP($A436,[5]库存使用数据!$A:$C,3,0),0)</f>
        <v>40</v>
      </c>
      <c r="D436" s="1">
        <f ca="1">IFERROR(VLOOKUP($A436,[1]库存使用数据!$A:$D,4,0),0)+IFERROR(VLOOKUP($A436,[2]库存使用数据!$A:$D,4,0),0)+公式!$B$1*IFERROR(VLOOKUP($A436,[3]库存使用数据!$A:$D,4,0),0)+IFERROR(VLOOKUP($A436,[4]库存使用数据!$A:$D,4,0),0)+IFERROR(VLOOKUP($A436,[5]库存使用数据!$A:$D,4,0),0)</f>
        <v>6.85125</v>
      </c>
      <c r="E436" s="1">
        <f ca="1">IFERROR(VLOOKUP($A436,[1]库存使用数据!$A:$E,5,0),0)+IFERROR(VLOOKUP($A436,[2]库存使用数据!$A:$E,5,0),0)+IFERROR(VLOOKUP($A436,[3]库存使用数据!$A:$E,5,0),0)+IFERROR(VLOOKUP($A436,[4]库存使用数据!$A:$E,5,0),0)+IFERROR(VLOOKUP($A436,[5]库存使用数据!$A:$E,5,0),0)</f>
        <v>7612</v>
      </c>
      <c r="F436" s="1">
        <f ca="1">IFERROR(VLOOKUP($A436,[1]库存使用数据!$A:$F,6,0),0)+IFERROR(VLOOKUP($A436,[2]库存使用数据!$A:$F,6,0),0)+IFERROR(VLOOKUP($A436,[4]库存使用数据!$A:$F,6,0),0)+IFERROR(VLOOKUP($A436,[3]库存使用数据!$A:$F,6,0),0)+IFERROR(VLOOKUP($A436,[5]库存使用数据!$A:$F,6,0),0)</f>
        <v>46</v>
      </c>
      <c r="G436" s="1">
        <f ca="1">IFERROR(VLOOKUP($A436,[1]库存使用数据!$A:$G,7,0),0)+IFERROR(VLOOKUP($A436,[2]库存使用数据!$A:$G,7,0),0)+公式!$B$14*IFERROR(VLOOKUP($A436,[3]库存使用数据!$A:$G,7,0),0)+IFERROR(VLOOKUP($A436,[4]库存使用数据!$A:$G,7,0),0)+IFERROR(VLOOKUP($A436,[5]库存使用数据!$A:$G,7,0),0)</f>
        <v>0</v>
      </c>
      <c r="H436" s="1">
        <f ca="1">IFERROR(VLOOKUP($A436,[1]库存使用数据!$A:$H,8,0),0)+IFERROR(VLOOKUP($A436,[2]库存使用数据!$A:$H,8,0),0)+IFERROR(VLOOKUP($A436,[3]库存使用数据!$A:$H,8,0),0)+IFERROR(VLOOKUP($A436,[4]库存使用数据!$A:$H,8,0),0)+IFERROR(VLOOKUP($A436,[5]库存使用数据!$A:$H,8,0),0)</f>
        <v>1188</v>
      </c>
      <c r="I436" s="1">
        <f ca="1">IFERROR(VLOOKUP($A436,[1]库存使用数据!$A:$I,9,0),0)+IFERROR(VLOOKUP($A436,[2]库存使用数据!$A:$I,9,0),0)+IFERROR(VLOOKUP($A436,[3]库存使用数据!$A:$I,9,0),0)+IFERROR(VLOOKUP($A436,[4]库存使用数据!$A:$I,9,0),0)+IFERROR(VLOOKUP($A436,[5]库存使用数据!$A:$I,9,0),0)</f>
        <v>21</v>
      </c>
      <c r="J436" s="1">
        <f ca="1">IFERROR(VLOOKUP($A436,[1]库存使用数据!$A:$J,10,0),0)+IFERROR(VLOOKUP($A436,[2]库存使用数据!$A:$J,10,0),0)+公式!$B$14*IFERROR(VLOOKUP($A436,[3]库存使用数据!$A:$J,10,0),0)+IFERROR(VLOOKUP($A436,[4]库存使用数据!$A:$J,10,0),0)+IFERROR(VLOOKUP($A436,[5]库存使用数据!$A:$J,10,0),0)</f>
        <v>0</v>
      </c>
      <c r="K436" s="1">
        <f ca="1">IFERROR(VLOOKUP($A436,[1]库存使用数据!$A:$K,11,0),0)+IFERROR(VLOOKUP($A436,[2]库存使用数据!$A:$K,11,0),0)+IFERROR(VLOOKUP($A436,[3]库存使用数据!$A:$K,11,0),0)+IFERROR(VLOOKUP($A436,[4]库存使用数据!$A:$K,11,0),0)+IFERROR(VLOOKUP($A436,[5]库存使用数据!$A:$K,11,0),0)</f>
        <v>1373</v>
      </c>
      <c r="L436" s="1">
        <f ca="1">IFERROR(VLOOKUP($A436,[1]库存使用数据!$A:$L,12,0),0)+IFERROR(VLOOKUP($A436,[2]库存使用数据!$A:$L,12,0),0)+IFERROR(VLOOKUP($A436,[3]库存使用数据!$A:$L,12,0),0)+IFERROR(VLOOKUP($A436,[4]库存使用数据!$A:$L,12,0),0)+IFERROR(VLOOKUP($A436,[5]库存使用数据!$A:$L,12,0),0)</f>
        <v>8</v>
      </c>
      <c r="M436" s="1">
        <f ca="1">IFERROR(VLOOKUP($A436,[1]库存使用数据!$A:$M,13,0),0)+IFERROR(VLOOKUP($A436,[2]库存使用数据!$A:$M,13,0),0)+公式!$B$14*IFERROR(VLOOKUP($A436,[3]库存使用数据!$A:$M,13,0),0)+IFERROR(VLOOKUP($A436,[4]库存使用数据!$A:$M,13,0),0)+IFERROR(VLOOKUP($A436,[5]库存使用数据!$A:$M,13,0),0)</f>
        <v>0</v>
      </c>
    </row>
    <row r="437" spans="1:13">
      <c r="A437" s="6" t="s">
        <v>442</v>
      </c>
      <c r="B437" s="2">
        <f ca="1">IFERROR(VLOOKUP(A437,[1]库存使用数据!$A:$B,2,0),0)+IFERROR(VLOOKUP(A437,[2]库存使用数据!$A:$B,2,0),0)+IFERROR(VLOOKUP(,[3]库存使用数据!$A:$B,2,0),0)+IFERROR(VLOOKUP(A437,[4]库存使用数据!$A:$B,2,0),0)+IFERROR(VLOOKUP(A437,[5]库存使用数据!$A:$B,2,0),0)</f>
        <v>0</v>
      </c>
      <c r="C437" s="1">
        <f ca="1">IFERROR(VLOOKUP($A437,[1]库存使用数据!$A:$C,3,0),0)+IFERROR(VLOOKUP($A437,[2]库存使用数据!$A:$C,3,0),0)+IFERROR(VLOOKUP($A437,[3]库存使用数据!$A:$C,3,0),0)+IFERROR(VLOOKUP($A437,[4]库存使用数据!$A:$C,3,0),0)+IFERROR(VLOOKUP($A437,[5]库存使用数据!$A:$C,3,0),0)</f>
        <v>13</v>
      </c>
      <c r="D437" s="1">
        <f ca="1">IFERROR(VLOOKUP($A437,[1]库存使用数据!$A:$D,4,0),0)+IFERROR(VLOOKUP($A437,[2]库存使用数据!$A:$D,4,0),0)+公式!$B$1*IFERROR(VLOOKUP($A437,[3]库存使用数据!$A:$D,4,0),0)+IFERROR(VLOOKUP($A437,[4]库存使用数据!$A:$D,4,0),0)+IFERROR(VLOOKUP($A437,[5]库存使用数据!$A:$D,4,0),0)</f>
        <v>2.16</v>
      </c>
      <c r="E437" s="1">
        <f ca="1">IFERROR(VLOOKUP($A437,[1]库存使用数据!$A:$E,5,0),0)+IFERROR(VLOOKUP($A437,[2]库存使用数据!$A:$E,5,0),0)+IFERROR(VLOOKUP($A437,[3]库存使用数据!$A:$E,5,0),0)+IFERROR(VLOOKUP($A437,[4]库存使用数据!$A:$E,5,0),0)+IFERROR(VLOOKUP($A437,[5]库存使用数据!$A:$E,5,0),0)</f>
        <v>9195</v>
      </c>
      <c r="F437" s="1">
        <f ca="1">IFERROR(VLOOKUP($A437,[1]库存使用数据!$A:$F,6,0),0)+IFERROR(VLOOKUP($A437,[2]库存使用数据!$A:$F,6,0),0)+IFERROR(VLOOKUP($A437,[4]库存使用数据!$A:$F,6,0),0)+IFERROR(VLOOKUP($A437,[3]库存使用数据!$A:$F,6,0),0)+IFERROR(VLOOKUP($A437,[5]库存使用数据!$A:$F,6,0),0)</f>
        <v>28</v>
      </c>
      <c r="G437" s="1">
        <f ca="1">IFERROR(VLOOKUP($A437,[1]库存使用数据!$A:$G,7,0),0)+IFERROR(VLOOKUP($A437,[2]库存使用数据!$A:$G,7,0),0)+公式!$B$14*IFERROR(VLOOKUP($A437,[3]库存使用数据!$A:$G,7,0),0)+IFERROR(VLOOKUP($A437,[4]库存使用数据!$A:$G,7,0),0)+IFERROR(VLOOKUP($A437,[5]库存使用数据!$A:$G,7,0),0)</f>
        <v>0</v>
      </c>
      <c r="H437" s="1">
        <f ca="1">IFERROR(VLOOKUP($A437,[1]库存使用数据!$A:$H,8,0),0)+IFERROR(VLOOKUP($A437,[2]库存使用数据!$A:$H,8,0),0)+IFERROR(VLOOKUP($A437,[3]库存使用数据!$A:$H,8,0),0)+IFERROR(VLOOKUP($A437,[4]库存使用数据!$A:$H,8,0),0)+IFERROR(VLOOKUP($A437,[5]库存使用数据!$A:$H,8,0),0)</f>
        <v>5309</v>
      </c>
      <c r="I437" s="1">
        <f ca="1">IFERROR(VLOOKUP($A437,[1]库存使用数据!$A:$I,9,0),0)+IFERROR(VLOOKUP($A437,[2]库存使用数据!$A:$I,9,0),0)+IFERROR(VLOOKUP($A437,[3]库存使用数据!$A:$I,9,0),0)+IFERROR(VLOOKUP($A437,[4]库存使用数据!$A:$I,9,0),0)+IFERROR(VLOOKUP($A437,[5]库存使用数据!$A:$I,9,0),0)</f>
        <v>22</v>
      </c>
      <c r="J437" s="1">
        <f ca="1">IFERROR(VLOOKUP($A437,[1]库存使用数据!$A:$J,10,0),0)+IFERROR(VLOOKUP($A437,[2]库存使用数据!$A:$J,10,0),0)+公式!$B$14*IFERROR(VLOOKUP($A437,[3]库存使用数据!$A:$J,10,0),0)+IFERROR(VLOOKUP($A437,[4]库存使用数据!$A:$J,10,0),0)+IFERROR(VLOOKUP($A437,[5]库存使用数据!$A:$J,10,0),0)</f>
        <v>0</v>
      </c>
      <c r="K437" s="1">
        <f ca="1">IFERROR(VLOOKUP($A437,[1]库存使用数据!$A:$K,11,0),0)+IFERROR(VLOOKUP($A437,[2]库存使用数据!$A:$K,11,0),0)+IFERROR(VLOOKUP($A437,[3]库存使用数据!$A:$K,11,0),0)+IFERROR(VLOOKUP($A437,[4]库存使用数据!$A:$K,11,0),0)+IFERROR(VLOOKUP($A437,[5]库存使用数据!$A:$K,11,0),0)</f>
        <v>116</v>
      </c>
      <c r="L437" s="1">
        <f ca="1">IFERROR(VLOOKUP($A437,[1]库存使用数据!$A:$L,12,0),0)+IFERROR(VLOOKUP($A437,[2]库存使用数据!$A:$L,12,0),0)+IFERROR(VLOOKUP($A437,[3]库存使用数据!$A:$L,12,0),0)+IFERROR(VLOOKUP($A437,[4]库存使用数据!$A:$L,12,0),0)+IFERROR(VLOOKUP($A437,[5]库存使用数据!$A:$L,12,0),0)</f>
        <v>2</v>
      </c>
      <c r="M437" s="1">
        <f ca="1">IFERROR(VLOOKUP($A437,[1]库存使用数据!$A:$M,13,0),0)+IFERROR(VLOOKUP($A437,[2]库存使用数据!$A:$M,13,0),0)+公式!$B$14*IFERROR(VLOOKUP($A437,[3]库存使用数据!$A:$M,13,0),0)+IFERROR(VLOOKUP($A437,[4]库存使用数据!$A:$M,13,0),0)+IFERROR(VLOOKUP($A437,[5]库存使用数据!$A:$M,13,0),0)</f>
        <v>0</v>
      </c>
    </row>
    <row r="438" spans="1:13">
      <c r="A438" s="6" t="s">
        <v>443</v>
      </c>
      <c r="B438" s="2">
        <f ca="1">IFERROR(VLOOKUP(A438,[1]库存使用数据!$A:$B,2,0),0)+IFERROR(VLOOKUP(A438,[2]库存使用数据!$A:$B,2,0),0)+IFERROR(VLOOKUP(,[3]库存使用数据!$A:$B,2,0),0)+IFERROR(VLOOKUP(A438,[4]库存使用数据!$A:$B,2,0),0)+IFERROR(VLOOKUP(A438,[5]库存使用数据!$A:$B,2,0),0)</f>
        <v>0</v>
      </c>
      <c r="C438" s="1">
        <f ca="1">IFERROR(VLOOKUP($A438,[1]库存使用数据!$A:$C,3,0),0)+IFERROR(VLOOKUP($A438,[2]库存使用数据!$A:$C,3,0),0)+IFERROR(VLOOKUP($A438,[3]库存使用数据!$A:$C,3,0),0)+IFERROR(VLOOKUP($A438,[4]库存使用数据!$A:$C,3,0),0)+IFERROR(VLOOKUP($A438,[5]库存使用数据!$A:$C,3,0),0)</f>
        <v>0</v>
      </c>
      <c r="D438" s="1">
        <f ca="1">IFERROR(VLOOKUP($A438,[1]库存使用数据!$A:$D,4,0),0)+IFERROR(VLOOKUP($A438,[2]库存使用数据!$A:$D,4,0),0)+公式!$B$1*IFERROR(VLOOKUP($A438,[3]库存使用数据!$A:$D,4,0),0)+IFERROR(VLOOKUP($A438,[4]库存使用数据!$A:$D,4,0),0)+IFERROR(VLOOKUP($A438,[5]库存使用数据!$A:$D,4,0),0)</f>
        <v>0</v>
      </c>
      <c r="E438" s="1">
        <f ca="1">IFERROR(VLOOKUP($A438,[1]库存使用数据!$A:$E,5,0),0)+IFERROR(VLOOKUP($A438,[2]库存使用数据!$A:$E,5,0),0)+IFERROR(VLOOKUP($A438,[3]库存使用数据!$A:$E,5,0),0)+IFERROR(VLOOKUP($A438,[4]库存使用数据!$A:$E,5,0),0)+IFERROR(VLOOKUP($A438,[5]库存使用数据!$A:$E,5,0),0)</f>
        <v>0</v>
      </c>
      <c r="F438" s="1">
        <f ca="1">IFERROR(VLOOKUP($A438,[1]库存使用数据!$A:$F,6,0),0)+IFERROR(VLOOKUP($A438,[2]库存使用数据!$A:$F,6,0),0)+IFERROR(VLOOKUP($A438,[4]库存使用数据!$A:$F,6,0),0)+IFERROR(VLOOKUP($A438,[3]库存使用数据!$A:$F,6,0),0)+IFERROR(VLOOKUP($A438,[5]库存使用数据!$A:$F,6,0),0)</f>
        <v>0</v>
      </c>
      <c r="G438" s="1">
        <f ca="1">IFERROR(VLOOKUP($A438,[1]库存使用数据!$A:$G,7,0),0)+IFERROR(VLOOKUP($A438,[2]库存使用数据!$A:$G,7,0),0)+公式!$B$14*IFERROR(VLOOKUP($A438,[3]库存使用数据!$A:$G,7,0),0)+IFERROR(VLOOKUP($A438,[4]库存使用数据!$A:$G,7,0),0)+IFERROR(VLOOKUP($A438,[5]库存使用数据!$A:$G,7,0),0)</f>
        <v>0</v>
      </c>
      <c r="H438" s="1">
        <f ca="1">IFERROR(VLOOKUP($A438,[1]库存使用数据!$A:$H,8,0),0)+IFERROR(VLOOKUP($A438,[2]库存使用数据!$A:$H,8,0),0)+IFERROR(VLOOKUP($A438,[3]库存使用数据!$A:$H,8,0),0)+IFERROR(VLOOKUP($A438,[4]库存使用数据!$A:$H,8,0),0)+IFERROR(VLOOKUP($A438,[5]库存使用数据!$A:$H,8,0),0)</f>
        <v>0</v>
      </c>
      <c r="I438" s="1">
        <f ca="1">IFERROR(VLOOKUP($A438,[1]库存使用数据!$A:$I,9,0),0)+IFERROR(VLOOKUP($A438,[2]库存使用数据!$A:$I,9,0),0)+IFERROR(VLOOKUP($A438,[3]库存使用数据!$A:$I,9,0),0)+IFERROR(VLOOKUP($A438,[4]库存使用数据!$A:$I,9,0),0)+IFERROR(VLOOKUP($A438,[5]库存使用数据!$A:$I,9,0),0)</f>
        <v>0</v>
      </c>
      <c r="J438" s="1">
        <f ca="1">IFERROR(VLOOKUP($A438,[1]库存使用数据!$A:$J,10,0),0)+IFERROR(VLOOKUP($A438,[2]库存使用数据!$A:$J,10,0),0)+公式!$B$14*IFERROR(VLOOKUP($A438,[3]库存使用数据!$A:$J,10,0),0)+IFERROR(VLOOKUP($A438,[4]库存使用数据!$A:$J,10,0),0)+IFERROR(VLOOKUP($A438,[5]库存使用数据!$A:$J,10,0),0)</f>
        <v>0</v>
      </c>
      <c r="K438" s="1">
        <f ca="1">IFERROR(VLOOKUP($A438,[1]库存使用数据!$A:$K,11,0),0)+IFERROR(VLOOKUP($A438,[2]库存使用数据!$A:$K,11,0),0)+IFERROR(VLOOKUP($A438,[3]库存使用数据!$A:$K,11,0),0)+IFERROR(VLOOKUP($A438,[4]库存使用数据!$A:$K,11,0),0)+IFERROR(VLOOKUP($A438,[5]库存使用数据!$A:$K,11,0),0)</f>
        <v>46</v>
      </c>
      <c r="L438" s="1">
        <f ca="1">IFERROR(VLOOKUP($A438,[1]库存使用数据!$A:$L,12,0),0)+IFERROR(VLOOKUP($A438,[2]库存使用数据!$A:$L,12,0),0)+IFERROR(VLOOKUP($A438,[3]库存使用数据!$A:$L,12,0),0)+IFERROR(VLOOKUP($A438,[4]库存使用数据!$A:$L,12,0),0)+IFERROR(VLOOKUP($A438,[5]库存使用数据!$A:$L,12,0),0)</f>
        <v>2</v>
      </c>
      <c r="M438" s="1">
        <f ca="1">IFERROR(VLOOKUP($A438,[1]库存使用数据!$A:$M,13,0),0)+IFERROR(VLOOKUP($A438,[2]库存使用数据!$A:$M,13,0),0)+公式!$B$14*IFERROR(VLOOKUP($A438,[3]库存使用数据!$A:$M,13,0),0)+IFERROR(VLOOKUP($A438,[4]库存使用数据!$A:$M,13,0),0)+IFERROR(VLOOKUP($A438,[5]库存使用数据!$A:$M,13,0),0)</f>
        <v>0</v>
      </c>
    </row>
    <row r="439" spans="1:13">
      <c r="A439" s="6" t="s">
        <v>444</v>
      </c>
      <c r="B439" s="2">
        <f ca="1">IFERROR(VLOOKUP(A439,[1]库存使用数据!$A:$B,2,0),0)+IFERROR(VLOOKUP(A439,[2]库存使用数据!$A:$B,2,0),0)+IFERROR(VLOOKUP(,[3]库存使用数据!$A:$B,2,0),0)+IFERROR(VLOOKUP(A439,[4]库存使用数据!$A:$B,2,0),0)+IFERROR(VLOOKUP(A439,[5]库存使用数据!$A:$B,2,0),0)</f>
        <v>0</v>
      </c>
      <c r="C439" s="1">
        <f ca="1">IFERROR(VLOOKUP($A439,[1]库存使用数据!$A:$C,3,0),0)+IFERROR(VLOOKUP($A439,[2]库存使用数据!$A:$C,3,0),0)+IFERROR(VLOOKUP($A439,[3]库存使用数据!$A:$C,3,0),0)+IFERROR(VLOOKUP($A439,[4]库存使用数据!$A:$C,3,0),0)+IFERROR(VLOOKUP($A439,[5]库存使用数据!$A:$C,3,0),0)</f>
        <v>0</v>
      </c>
      <c r="D439" s="1">
        <f ca="1">IFERROR(VLOOKUP($A439,[1]库存使用数据!$A:$D,4,0),0)+IFERROR(VLOOKUP($A439,[2]库存使用数据!$A:$D,4,0),0)+公式!$B$1*IFERROR(VLOOKUP($A439,[3]库存使用数据!$A:$D,4,0),0)+IFERROR(VLOOKUP($A439,[4]库存使用数据!$A:$D,4,0),0)+IFERROR(VLOOKUP($A439,[5]库存使用数据!$A:$D,4,0),0)</f>
        <v>0</v>
      </c>
      <c r="E439" s="1">
        <f ca="1">IFERROR(VLOOKUP($A439,[1]库存使用数据!$A:$E,5,0),0)+IFERROR(VLOOKUP($A439,[2]库存使用数据!$A:$E,5,0),0)+IFERROR(VLOOKUP($A439,[3]库存使用数据!$A:$E,5,0),0)+IFERROR(VLOOKUP($A439,[4]库存使用数据!$A:$E,5,0),0)+IFERROR(VLOOKUP($A439,[5]库存使用数据!$A:$E,5,0),0)</f>
        <v>0</v>
      </c>
      <c r="F439" s="1">
        <f ca="1">IFERROR(VLOOKUP($A439,[1]库存使用数据!$A:$F,6,0),0)+IFERROR(VLOOKUP($A439,[2]库存使用数据!$A:$F,6,0),0)+IFERROR(VLOOKUP($A439,[4]库存使用数据!$A:$F,6,0),0)+IFERROR(VLOOKUP($A439,[3]库存使用数据!$A:$F,6,0),0)+IFERROR(VLOOKUP($A439,[5]库存使用数据!$A:$F,6,0),0)</f>
        <v>0</v>
      </c>
      <c r="G439" s="1">
        <f ca="1">IFERROR(VLOOKUP($A439,[1]库存使用数据!$A:$G,7,0),0)+IFERROR(VLOOKUP($A439,[2]库存使用数据!$A:$G,7,0),0)+公式!$B$14*IFERROR(VLOOKUP($A439,[3]库存使用数据!$A:$G,7,0),0)+IFERROR(VLOOKUP($A439,[4]库存使用数据!$A:$G,7,0),0)+IFERROR(VLOOKUP($A439,[5]库存使用数据!$A:$G,7,0),0)</f>
        <v>0</v>
      </c>
      <c r="H439" s="1">
        <f ca="1">IFERROR(VLOOKUP($A439,[1]库存使用数据!$A:$H,8,0),0)+IFERROR(VLOOKUP($A439,[2]库存使用数据!$A:$H,8,0),0)+IFERROR(VLOOKUP($A439,[3]库存使用数据!$A:$H,8,0),0)+IFERROR(VLOOKUP($A439,[4]库存使用数据!$A:$H,8,0),0)+IFERROR(VLOOKUP($A439,[5]库存使用数据!$A:$H,8,0),0)</f>
        <v>4571</v>
      </c>
      <c r="I439" s="1">
        <f ca="1">IFERROR(VLOOKUP($A439,[1]库存使用数据!$A:$I,9,0),0)+IFERROR(VLOOKUP($A439,[2]库存使用数据!$A:$I,9,0),0)+IFERROR(VLOOKUP($A439,[3]库存使用数据!$A:$I,9,0),0)+IFERROR(VLOOKUP($A439,[4]库存使用数据!$A:$I,9,0),0)+IFERROR(VLOOKUP($A439,[5]库存使用数据!$A:$I,9,0),0)</f>
        <v>31</v>
      </c>
      <c r="J439" s="1">
        <f ca="1">IFERROR(VLOOKUP($A439,[1]库存使用数据!$A:$J,10,0),0)+IFERROR(VLOOKUP($A439,[2]库存使用数据!$A:$J,10,0),0)+公式!$B$14*IFERROR(VLOOKUP($A439,[3]库存使用数据!$A:$J,10,0),0)+IFERROR(VLOOKUP($A439,[4]库存使用数据!$A:$J,10,0),0)+IFERROR(VLOOKUP($A439,[5]库存使用数据!$A:$J,10,0),0)</f>
        <v>0</v>
      </c>
      <c r="K439" s="1">
        <f ca="1">IFERROR(VLOOKUP($A439,[1]库存使用数据!$A:$K,11,0),0)+IFERROR(VLOOKUP($A439,[2]库存使用数据!$A:$K,11,0),0)+IFERROR(VLOOKUP($A439,[3]库存使用数据!$A:$K,11,0),0)+IFERROR(VLOOKUP($A439,[4]库存使用数据!$A:$K,11,0),0)+IFERROR(VLOOKUP($A439,[5]库存使用数据!$A:$K,11,0),0)</f>
        <v>217</v>
      </c>
      <c r="L439" s="1">
        <f ca="1">IFERROR(VLOOKUP($A439,[1]库存使用数据!$A:$L,12,0),0)+IFERROR(VLOOKUP($A439,[2]库存使用数据!$A:$L,12,0),0)+IFERROR(VLOOKUP($A439,[3]库存使用数据!$A:$L,12,0),0)+IFERROR(VLOOKUP($A439,[4]库存使用数据!$A:$L,12,0),0)+IFERROR(VLOOKUP($A439,[5]库存使用数据!$A:$L,12,0),0)</f>
        <v>6</v>
      </c>
      <c r="M439" s="1">
        <f ca="1">IFERROR(VLOOKUP($A439,[1]库存使用数据!$A:$M,13,0),0)+IFERROR(VLOOKUP($A439,[2]库存使用数据!$A:$M,13,0),0)+公式!$B$14*IFERROR(VLOOKUP($A439,[3]库存使用数据!$A:$M,13,0),0)+IFERROR(VLOOKUP($A439,[4]库存使用数据!$A:$M,13,0),0)+IFERROR(VLOOKUP($A439,[5]库存使用数据!$A:$M,13,0),0)</f>
        <v>0</v>
      </c>
    </row>
    <row r="440" spans="1:13">
      <c r="A440" s="6" t="s">
        <v>445</v>
      </c>
      <c r="B440" s="2">
        <f ca="1">IFERROR(VLOOKUP(A440,[1]库存使用数据!$A:$B,2,0),0)+IFERROR(VLOOKUP(A440,[2]库存使用数据!$A:$B,2,0),0)+IFERROR(VLOOKUP(,[3]库存使用数据!$A:$B,2,0),0)+IFERROR(VLOOKUP(A440,[4]库存使用数据!$A:$B,2,0),0)+IFERROR(VLOOKUP(A440,[5]库存使用数据!$A:$B,2,0),0)</f>
        <v>0</v>
      </c>
      <c r="C440" s="1">
        <f ca="1">IFERROR(VLOOKUP($A440,[1]库存使用数据!$A:$C,3,0),0)+IFERROR(VLOOKUP($A440,[2]库存使用数据!$A:$C,3,0),0)+IFERROR(VLOOKUP($A440,[3]库存使用数据!$A:$C,3,0),0)+IFERROR(VLOOKUP($A440,[4]库存使用数据!$A:$C,3,0),0)+IFERROR(VLOOKUP($A440,[5]库存使用数据!$A:$C,3,0),0)</f>
        <v>0</v>
      </c>
      <c r="D440" s="1">
        <f ca="1">IFERROR(VLOOKUP($A440,[1]库存使用数据!$A:$D,4,0),0)+IFERROR(VLOOKUP($A440,[2]库存使用数据!$A:$D,4,0),0)+公式!$B$1*IFERROR(VLOOKUP($A440,[3]库存使用数据!$A:$D,4,0),0)+IFERROR(VLOOKUP($A440,[4]库存使用数据!$A:$D,4,0),0)+IFERROR(VLOOKUP($A440,[5]库存使用数据!$A:$D,4,0),0)</f>
        <v>0</v>
      </c>
      <c r="E440" s="1">
        <f ca="1">IFERROR(VLOOKUP($A440,[1]库存使用数据!$A:$E,5,0),0)+IFERROR(VLOOKUP($A440,[2]库存使用数据!$A:$E,5,0),0)+IFERROR(VLOOKUP($A440,[3]库存使用数据!$A:$E,5,0),0)+IFERROR(VLOOKUP($A440,[4]库存使用数据!$A:$E,5,0),0)+IFERROR(VLOOKUP($A440,[5]库存使用数据!$A:$E,5,0),0)</f>
        <v>0</v>
      </c>
      <c r="F440" s="1">
        <f ca="1">IFERROR(VLOOKUP($A440,[1]库存使用数据!$A:$F,6,0),0)+IFERROR(VLOOKUP($A440,[2]库存使用数据!$A:$F,6,0),0)+IFERROR(VLOOKUP($A440,[4]库存使用数据!$A:$F,6,0),0)+IFERROR(VLOOKUP($A440,[3]库存使用数据!$A:$F,6,0),0)+IFERROR(VLOOKUP($A440,[5]库存使用数据!$A:$F,6,0),0)</f>
        <v>0</v>
      </c>
      <c r="G440" s="1">
        <f ca="1">IFERROR(VLOOKUP($A440,[1]库存使用数据!$A:$G,7,0),0)+IFERROR(VLOOKUP($A440,[2]库存使用数据!$A:$G,7,0),0)+公式!$B$14*IFERROR(VLOOKUP($A440,[3]库存使用数据!$A:$G,7,0),0)+IFERROR(VLOOKUP($A440,[4]库存使用数据!$A:$G,7,0),0)+IFERROR(VLOOKUP($A440,[5]库存使用数据!$A:$G,7,0),0)</f>
        <v>0</v>
      </c>
      <c r="H440" s="1">
        <f ca="1">IFERROR(VLOOKUP($A440,[1]库存使用数据!$A:$H,8,0),0)+IFERROR(VLOOKUP($A440,[2]库存使用数据!$A:$H,8,0),0)+IFERROR(VLOOKUP($A440,[3]库存使用数据!$A:$H,8,0),0)+IFERROR(VLOOKUP($A440,[4]库存使用数据!$A:$H,8,0),0)+IFERROR(VLOOKUP($A440,[5]库存使用数据!$A:$H,8,0),0)</f>
        <v>223</v>
      </c>
      <c r="I440" s="1">
        <f ca="1">IFERROR(VLOOKUP($A440,[1]库存使用数据!$A:$I,9,0),0)+IFERROR(VLOOKUP($A440,[2]库存使用数据!$A:$I,9,0),0)+IFERROR(VLOOKUP($A440,[3]库存使用数据!$A:$I,9,0),0)+IFERROR(VLOOKUP($A440,[4]库存使用数据!$A:$I,9,0),0)+IFERROR(VLOOKUP($A440,[5]库存使用数据!$A:$I,9,0),0)</f>
        <v>1</v>
      </c>
      <c r="J440" s="1">
        <f ca="1">IFERROR(VLOOKUP($A440,[1]库存使用数据!$A:$J,10,0),0)+IFERROR(VLOOKUP($A440,[2]库存使用数据!$A:$J,10,0),0)+公式!$B$14*IFERROR(VLOOKUP($A440,[3]库存使用数据!$A:$J,10,0),0)+IFERROR(VLOOKUP($A440,[4]库存使用数据!$A:$J,10,0),0)+IFERROR(VLOOKUP($A440,[5]库存使用数据!$A:$J,10,0),0)</f>
        <v>0</v>
      </c>
      <c r="K440" s="1">
        <f ca="1">IFERROR(VLOOKUP($A440,[1]库存使用数据!$A:$K,11,0),0)+IFERROR(VLOOKUP($A440,[2]库存使用数据!$A:$K,11,0),0)+IFERROR(VLOOKUP($A440,[3]库存使用数据!$A:$K,11,0),0)+IFERROR(VLOOKUP($A440,[4]库存使用数据!$A:$K,11,0),0)+IFERROR(VLOOKUP($A440,[5]库存使用数据!$A:$K,11,0),0)</f>
        <v>587</v>
      </c>
      <c r="L440" s="1">
        <f ca="1">IFERROR(VLOOKUP($A440,[1]库存使用数据!$A:$L,12,0),0)+IFERROR(VLOOKUP($A440,[2]库存使用数据!$A:$L,12,0),0)+IFERROR(VLOOKUP($A440,[3]库存使用数据!$A:$L,12,0),0)+IFERROR(VLOOKUP($A440,[4]库存使用数据!$A:$L,12,0),0)+IFERROR(VLOOKUP($A440,[5]库存使用数据!$A:$L,12,0),0)</f>
        <v>6</v>
      </c>
      <c r="M440" s="1">
        <f ca="1">IFERROR(VLOOKUP($A440,[1]库存使用数据!$A:$M,13,0),0)+IFERROR(VLOOKUP($A440,[2]库存使用数据!$A:$M,13,0),0)+公式!$B$14*IFERROR(VLOOKUP($A440,[3]库存使用数据!$A:$M,13,0),0)+IFERROR(VLOOKUP($A440,[4]库存使用数据!$A:$M,13,0),0)+IFERROR(VLOOKUP($A440,[5]库存使用数据!$A:$M,13,0),0)</f>
        <v>0</v>
      </c>
    </row>
    <row r="441" spans="1:13">
      <c r="A441" s="6" t="s">
        <v>446</v>
      </c>
      <c r="B441" s="2">
        <f ca="1">IFERROR(VLOOKUP(A441,[1]库存使用数据!$A:$B,2,0),0)+IFERROR(VLOOKUP(A441,[2]库存使用数据!$A:$B,2,0),0)+IFERROR(VLOOKUP(,[3]库存使用数据!$A:$B,2,0),0)+IFERROR(VLOOKUP(A441,[4]库存使用数据!$A:$B,2,0),0)+IFERROR(VLOOKUP(A441,[5]库存使用数据!$A:$B,2,0),0)</f>
        <v>0</v>
      </c>
      <c r="C441" s="1">
        <f ca="1">IFERROR(VLOOKUP($A441,[1]库存使用数据!$A:$C,3,0),0)+IFERROR(VLOOKUP($A441,[2]库存使用数据!$A:$C,3,0),0)+IFERROR(VLOOKUP($A441,[3]库存使用数据!$A:$C,3,0),0)+IFERROR(VLOOKUP($A441,[4]库存使用数据!$A:$C,3,0),0)+IFERROR(VLOOKUP($A441,[5]库存使用数据!$A:$C,3,0),0)</f>
        <v>0</v>
      </c>
      <c r="D441" s="1">
        <f ca="1">IFERROR(VLOOKUP($A441,[1]库存使用数据!$A:$D,4,0),0)+IFERROR(VLOOKUP($A441,[2]库存使用数据!$A:$D,4,0),0)+公式!$B$1*IFERROR(VLOOKUP($A441,[3]库存使用数据!$A:$D,4,0),0)+IFERROR(VLOOKUP($A441,[4]库存使用数据!$A:$D,4,0),0)+IFERROR(VLOOKUP($A441,[5]库存使用数据!$A:$D,4,0),0)</f>
        <v>0</v>
      </c>
      <c r="E441" s="1">
        <f ca="1">IFERROR(VLOOKUP($A441,[1]库存使用数据!$A:$E,5,0),0)+IFERROR(VLOOKUP($A441,[2]库存使用数据!$A:$E,5,0),0)+IFERROR(VLOOKUP($A441,[3]库存使用数据!$A:$E,5,0),0)+IFERROR(VLOOKUP($A441,[4]库存使用数据!$A:$E,5,0),0)+IFERROR(VLOOKUP($A441,[5]库存使用数据!$A:$E,5,0),0)</f>
        <v>0</v>
      </c>
      <c r="F441" s="1">
        <f ca="1">IFERROR(VLOOKUP($A441,[1]库存使用数据!$A:$F,6,0),0)+IFERROR(VLOOKUP($A441,[2]库存使用数据!$A:$F,6,0),0)+IFERROR(VLOOKUP($A441,[4]库存使用数据!$A:$F,6,0),0)+IFERROR(VLOOKUP($A441,[3]库存使用数据!$A:$F,6,0),0)+IFERROR(VLOOKUP($A441,[5]库存使用数据!$A:$F,6,0),0)</f>
        <v>0</v>
      </c>
      <c r="G441" s="1">
        <f ca="1">IFERROR(VLOOKUP($A441,[1]库存使用数据!$A:$G,7,0),0)+IFERROR(VLOOKUP($A441,[2]库存使用数据!$A:$G,7,0),0)+公式!$B$14*IFERROR(VLOOKUP($A441,[3]库存使用数据!$A:$G,7,0),0)+IFERROR(VLOOKUP($A441,[4]库存使用数据!$A:$G,7,0),0)+IFERROR(VLOOKUP($A441,[5]库存使用数据!$A:$G,7,0),0)</f>
        <v>0</v>
      </c>
      <c r="H441" s="1">
        <f ca="1">IFERROR(VLOOKUP($A441,[1]库存使用数据!$A:$H,8,0),0)+IFERROR(VLOOKUP($A441,[2]库存使用数据!$A:$H,8,0),0)+IFERROR(VLOOKUP($A441,[3]库存使用数据!$A:$H,8,0),0)+IFERROR(VLOOKUP($A441,[4]库存使用数据!$A:$H,8,0),0)+IFERROR(VLOOKUP($A441,[5]库存使用数据!$A:$H,8,0),0)</f>
        <v>0</v>
      </c>
      <c r="I441" s="1">
        <f ca="1">IFERROR(VLOOKUP($A441,[1]库存使用数据!$A:$I,9,0),0)+IFERROR(VLOOKUP($A441,[2]库存使用数据!$A:$I,9,0),0)+IFERROR(VLOOKUP($A441,[3]库存使用数据!$A:$I,9,0),0)+IFERROR(VLOOKUP($A441,[4]库存使用数据!$A:$I,9,0),0)+IFERROR(VLOOKUP($A441,[5]库存使用数据!$A:$I,9,0),0)</f>
        <v>0</v>
      </c>
      <c r="J441" s="1">
        <f ca="1">IFERROR(VLOOKUP($A441,[1]库存使用数据!$A:$J,10,0),0)+IFERROR(VLOOKUP($A441,[2]库存使用数据!$A:$J,10,0),0)+公式!$B$14*IFERROR(VLOOKUP($A441,[3]库存使用数据!$A:$J,10,0),0)+IFERROR(VLOOKUP($A441,[4]库存使用数据!$A:$J,10,0),0)+IFERROR(VLOOKUP($A441,[5]库存使用数据!$A:$J,10,0),0)</f>
        <v>0</v>
      </c>
      <c r="K441" s="1">
        <f ca="1">IFERROR(VLOOKUP($A441,[1]库存使用数据!$A:$K,11,0),0)+IFERROR(VLOOKUP($A441,[2]库存使用数据!$A:$K,11,0),0)+IFERROR(VLOOKUP($A441,[3]库存使用数据!$A:$K,11,0),0)+IFERROR(VLOOKUP($A441,[4]库存使用数据!$A:$K,11,0),0)+IFERROR(VLOOKUP($A441,[5]库存使用数据!$A:$K,11,0),0)</f>
        <v>1</v>
      </c>
      <c r="L441" s="1">
        <f ca="1">IFERROR(VLOOKUP($A441,[1]库存使用数据!$A:$L,12,0),0)+IFERROR(VLOOKUP($A441,[2]库存使用数据!$A:$L,12,0),0)+IFERROR(VLOOKUP($A441,[3]库存使用数据!$A:$L,12,0),0)+IFERROR(VLOOKUP($A441,[4]库存使用数据!$A:$L,12,0),0)+IFERROR(VLOOKUP($A441,[5]库存使用数据!$A:$L,12,0),0)</f>
        <v>0</v>
      </c>
      <c r="M441" s="1">
        <f ca="1">IFERROR(VLOOKUP($A441,[1]库存使用数据!$A:$M,13,0),0)+IFERROR(VLOOKUP($A441,[2]库存使用数据!$A:$M,13,0),0)+公式!$B$14*IFERROR(VLOOKUP($A441,[3]库存使用数据!$A:$M,13,0),0)+IFERROR(VLOOKUP($A441,[4]库存使用数据!$A:$M,13,0),0)+IFERROR(VLOOKUP($A441,[5]库存使用数据!$A:$M,13,0),0)</f>
        <v>0</v>
      </c>
    </row>
    <row r="442" spans="1:13">
      <c r="A442" s="6" t="s">
        <v>447</v>
      </c>
      <c r="B442" s="2">
        <f ca="1">IFERROR(VLOOKUP(A442,[1]库存使用数据!$A:$B,2,0),0)+IFERROR(VLOOKUP(A442,[2]库存使用数据!$A:$B,2,0),0)+IFERROR(VLOOKUP(,[3]库存使用数据!$A:$B,2,0),0)+IFERROR(VLOOKUP(A442,[4]库存使用数据!$A:$B,2,0),0)+IFERROR(VLOOKUP(A442,[5]库存使用数据!$A:$B,2,0),0)</f>
        <v>0</v>
      </c>
      <c r="C442" s="1">
        <f ca="1">IFERROR(VLOOKUP($A442,[1]库存使用数据!$A:$C,3,0),0)+IFERROR(VLOOKUP($A442,[2]库存使用数据!$A:$C,3,0),0)+IFERROR(VLOOKUP($A442,[3]库存使用数据!$A:$C,3,0),0)+IFERROR(VLOOKUP($A442,[4]库存使用数据!$A:$C,3,0),0)+IFERROR(VLOOKUP($A442,[5]库存使用数据!$A:$C,3,0),0)</f>
        <v>30</v>
      </c>
      <c r="D442" s="1">
        <f ca="1">IFERROR(VLOOKUP($A442,[1]库存使用数据!$A:$D,4,0),0)+IFERROR(VLOOKUP($A442,[2]库存使用数据!$A:$D,4,0),0)+公式!$B$1*IFERROR(VLOOKUP($A442,[3]库存使用数据!$A:$D,4,0),0)+IFERROR(VLOOKUP($A442,[4]库存使用数据!$A:$D,4,0),0)+IFERROR(VLOOKUP($A442,[5]库存使用数据!$A:$D,4,0),0)</f>
        <v>8.8425</v>
      </c>
      <c r="E442" s="1">
        <f ca="1">IFERROR(VLOOKUP($A442,[1]库存使用数据!$A:$E,5,0),0)+IFERROR(VLOOKUP($A442,[2]库存使用数据!$A:$E,5,0),0)+IFERROR(VLOOKUP($A442,[3]库存使用数据!$A:$E,5,0),0)+IFERROR(VLOOKUP($A442,[4]库存使用数据!$A:$E,5,0),0)+IFERROR(VLOOKUP($A442,[5]库存使用数据!$A:$E,5,0),0)</f>
        <v>13826</v>
      </c>
      <c r="F442" s="1">
        <f ca="1">IFERROR(VLOOKUP($A442,[1]库存使用数据!$A:$F,6,0),0)+IFERROR(VLOOKUP($A442,[2]库存使用数据!$A:$F,6,0),0)+IFERROR(VLOOKUP($A442,[4]库存使用数据!$A:$F,6,0),0)+IFERROR(VLOOKUP($A442,[3]库存使用数据!$A:$F,6,0),0)+IFERROR(VLOOKUP($A442,[5]库存使用数据!$A:$F,6,0),0)</f>
        <v>74</v>
      </c>
      <c r="G442" s="1">
        <f ca="1">IFERROR(VLOOKUP($A442,[1]库存使用数据!$A:$G,7,0),0)+IFERROR(VLOOKUP($A442,[2]库存使用数据!$A:$G,7,0),0)+公式!$B$14*IFERROR(VLOOKUP($A442,[3]库存使用数据!$A:$G,7,0),0)+IFERROR(VLOOKUP($A442,[4]库存使用数据!$A:$G,7,0),0)+IFERROR(VLOOKUP($A442,[5]库存使用数据!$A:$G,7,0),0)</f>
        <v>0</v>
      </c>
      <c r="H442" s="1">
        <f ca="1">IFERROR(VLOOKUP($A442,[1]库存使用数据!$A:$H,8,0),0)+IFERROR(VLOOKUP($A442,[2]库存使用数据!$A:$H,8,0),0)+IFERROR(VLOOKUP($A442,[3]库存使用数据!$A:$H,8,0),0)+IFERROR(VLOOKUP($A442,[4]库存使用数据!$A:$H,8,0),0)+IFERROR(VLOOKUP($A442,[5]库存使用数据!$A:$H,8,0),0)</f>
        <v>2731</v>
      </c>
      <c r="I442" s="1">
        <f ca="1">IFERROR(VLOOKUP($A442,[1]库存使用数据!$A:$I,9,0),0)+IFERROR(VLOOKUP($A442,[2]库存使用数据!$A:$I,9,0),0)+IFERROR(VLOOKUP($A442,[3]库存使用数据!$A:$I,9,0),0)+IFERROR(VLOOKUP($A442,[4]库存使用数据!$A:$I,9,0),0)+IFERROR(VLOOKUP($A442,[5]库存使用数据!$A:$I,9,0),0)</f>
        <v>28</v>
      </c>
      <c r="J442" s="1">
        <f ca="1">IFERROR(VLOOKUP($A442,[1]库存使用数据!$A:$J,10,0),0)+IFERROR(VLOOKUP($A442,[2]库存使用数据!$A:$J,10,0),0)+公式!$B$14*IFERROR(VLOOKUP($A442,[3]库存使用数据!$A:$J,10,0),0)+IFERROR(VLOOKUP($A442,[4]库存使用数据!$A:$J,10,0),0)+IFERROR(VLOOKUP($A442,[5]库存使用数据!$A:$J,10,0),0)</f>
        <v>0</v>
      </c>
      <c r="K442" s="1">
        <f ca="1">IFERROR(VLOOKUP($A442,[1]库存使用数据!$A:$K,11,0),0)+IFERROR(VLOOKUP($A442,[2]库存使用数据!$A:$K,11,0),0)+IFERROR(VLOOKUP($A442,[3]库存使用数据!$A:$K,11,0),0)+IFERROR(VLOOKUP($A442,[4]库存使用数据!$A:$K,11,0),0)+IFERROR(VLOOKUP($A442,[5]库存使用数据!$A:$K,11,0),0)</f>
        <v>1042</v>
      </c>
      <c r="L442" s="1">
        <f ca="1">IFERROR(VLOOKUP($A442,[1]库存使用数据!$A:$L,12,0),0)+IFERROR(VLOOKUP($A442,[2]库存使用数据!$A:$L,12,0),0)+IFERROR(VLOOKUP($A442,[3]库存使用数据!$A:$L,12,0),0)+IFERROR(VLOOKUP($A442,[4]库存使用数据!$A:$L,12,0),0)+IFERROR(VLOOKUP($A442,[5]库存使用数据!$A:$L,12,0),0)</f>
        <v>8</v>
      </c>
      <c r="M442" s="1">
        <f ca="1">IFERROR(VLOOKUP($A442,[1]库存使用数据!$A:$M,13,0),0)+IFERROR(VLOOKUP($A442,[2]库存使用数据!$A:$M,13,0),0)+公式!$B$14*IFERROR(VLOOKUP($A442,[3]库存使用数据!$A:$M,13,0),0)+IFERROR(VLOOKUP($A442,[4]库存使用数据!$A:$M,13,0),0)+IFERROR(VLOOKUP($A442,[5]库存使用数据!$A:$M,13,0),0)</f>
        <v>0</v>
      </c>
    </row>
    <row r="443" spans="1:13">
      <c r="A443" s="6" t="s">
        <v>448</v>
      </c>
      <c r="B443" s="2">
        <f ca="1">IFERROR(VLOOKUP(A443,[1]库存使用数据!$A:$B,2,0),0)+IFERROR(VLOOKUP(A443,[2]库存使用数据!$A:$B,2,0),0)+IFERROR(VLOOKUP(,[3]库存使用数据!$A:$B,2,0),0)+IFERROR(VLOOKUP(A443,[4]库存使用数据!$A:$B,2,0),0)+IFERROR(VLOOKUP(A443,[5]库存使用数据!$A:$B,2,0),0)</f>
        <v>0</v>
      </c>
      <c r="C443" s="1">
        <f ca="1">IFERROR(VLOOKUP($A443,[1]库存使用数据!$A:$C,3,0),0)+IFERROR(VLOOKUP($A443,[2]库存使用数据!$A:$C,3,0),0)+IFERROR(VLOOKUP($A443,[3]库存使用数据!$A:$C,3,0),0)+IFERROR(VLOOKUP($A443,[4]库存使用数据!$A:$C,3,0),0)+IFERROR(VLOOKUP($A443,[5]库存使用数据!$A:$C,3,0),0)</f>
        <v>95</v>
      </c>
      <c r="D443" s="1">
        <f ca="1">IFERROR(VLOOKUP($A443,[1]库存使用数据!$A:$D,4,0),0)+IFERROR(VLOOKUP($A443,[2]库存使用数据!$A:$D,4,0),0)+公式!$B$1*IFERROR(VLOOKUP($A443,[3]库存使用数据!$A:$D,4,0),0)+IFERROR(VLOOKUP($A443,[4]库存使用数据!$A:$D,4,0),0)+IFERROR(VLOOKUP($A443,[5]库存使用数据!$A:$D,4,0),0)</f>
        <v>25.965</v>
      </c>
      <c r="E443" s="1">
        <f ca="1">IFERROR(VLOOKUP($A443,[1]库存使用数据!$A:$E,5,0),0)+IFERROR(VLOOKUP($A443,[2]库存使用数据!$A:$E,5,0),0)+IFERROR(VLOOKUP($A443,[3]库存使用数据!$A:$E,5,0),0)+IFERROR(VLOOKUP($A443,[4]库存使用数据!$A:$E,5,0),0)+IFERROR(VLOOKUP($A443,[5]库存使用数据!$A:$E,5,0),0)</f>
        <v>44996</v>
      </c>
      <c r="F443" s="1">
        <f ca="1">IFERROR(VLOOKUP($A443,[1]库存使用数据!$A:$F,6,0),0)+IFERROR(VLOOKUP($A443,[2]库存使用数据!$A:$F,6,0),0)+IFERROR(VLOOKUP($A443,[4]库存使用数据!$A:$F,6,0),0)+IFERROR(VLOOKUP($A443,[3]库存使用数据!$A:$F,6,0),0)+IFERROR(VLOOKUP($A443,[5]库存使用数据!$A:$F,6,0),0)</f>
        <v>84</v>
      </c>
      <c r="G443" s="1">
        <f ca="1">IFERROR(VLOOKUP($A443,[1]库存使用数据!$A:$G,7,0),0)+IFERROR(VLOOKUP($A443,[2]库存使用数据!$A:$G,7,0),0)+公式!$B$14*IFERROR(VLOOKUP($A443,[3]库存使用数据!$A:$G,7,0),0)+IFERROR(VLOOKUP($A443,[4]库存使用数据!$A:$G,7,0),0)+IFERROR(VLOOKUP($A443,[5]库存使用数据!$A:$G,7,0),0)</f>
        <v>0</v>
      </c>
      <c r="H443" s="1">
        <f ca="1">IFERROR(VLOOKUP($A443,[1]库存使用数据!$A:$H,8,0),0)+IFERROR(VLOOKUP($A443,[2]库存使用数据!$A:$H,8,0),0)+IFERROR(VLOOKUP($A443,[3]库存使用数据!$A:$H,8,0),0)+IFERROR(VLOOKUP($A443,[4]库存使用数据!$A:$H,8,0),0)+IFERROR(VLOOKUP($A443,[5]库存使用数据!$A:$H,8,0),0)</f>
        <v>12369</v>
      </c>
      <c r="I443" s="1">
        <f ca="1">IFERROR(VLOOKUP($A443,[1]库存使用数据!$A:$I,9,0),0)+IFERROR(VLOOKUP($A443,[2]库存使用数据!$A:$I,9,0),0)+IFERROR(VLOOKUP($A443,[3]库存使用数据!$A:$I,9,0),0)+IFERROR(VLOOKUP($A443,[4]库存使用数据!$A:$I,9,0),0)+IFERROR(VLOOKUP($A443,[5]库存使用数据!$A:$I,9,0),0)</f>
        <v>26</v>
      </c>
      <c r="J443" s="1">
        <f ca="1">IFERROR(VLOOKUP($A443,[1]库存使用数据!$A:$J,10,0),0)+IFERROR(VLOOKUP($A443,[2]库存使用数据!$A:$J,10,0),0)+公式!$B$14*IFERROR(VLOOKUP($A443,[3]库存使用数据!$A:$J,10,0),0)+IFERROR(VLOOKUP($A443,[4]库存使用数据!$A:$J,10,0),0)+IFERROR(VLOOKUP($A443,[5]库存使用数据!$A:$J,10,0),0)</f>
        <v>0</v>
      </c>
      <c r="K443" s="1">
        <f ca="1">IFERROR(VLOOKUP($A443,[1]库存使用数据!$A:$K,11,0),0)+IFERROR(VLOOKUP($A443,[2]库存使用数据!$A:$K,11,0),0)+IFERROR(VLOOKUP($A443,[3]库存使用数据!$A:$K,11,0),0)+IFERROR(VLOOKUP($A443,[4]库存使用数据!$A:$K,11,0),0)+IFERROR(VLOOKUP($A443,[5]库存使用数据!$A:$K,11,0),0)</f>
        <v>2006</v>
      </c>
      <c r="L443" s="1">
        <f ca="1">IFERROR(VLOOKUP($A443,[1]库存使用数据!$A:$L,12,0),0)+IFERROR(VLOOKUP($A443,[2]库存使用数据!$A:$L,12,0),0)+IFERROR(VLOOKUP($A443,[3]库存使用数据!$A:$L,12,0),0)+IFERROR(VLOOKUP($A443,[4]库存使用数据!$A:$L,12,0),0)+IFERROR(VLOOKUP($A443,[5]库存使用数据!$A:$L,12,0),0)</f>
        <v>21</v>
      </c>
      <c r="M443" s="1">
        <f ca="1">IFERROR(VLOOKUP($A443,[1]库存使用数据!$A:$M,13,0),0)+IFERROR(VLOOKUP($A443,[2]库存使用数据!$A:$M,13,0),0)+公式!$B$14*IFERROR(VLOOKUP($A443,[3]库存使用数据!$A:$M,13,0),0)+IFERROR(VLOOKUP($A443,[4]库存使用数据!$A:$M,13,0),0)+IFERROR(VLOOKUP($A443,[5]库存使用数据!$A:$M,13,0),0)</f>
        <v>0</v>
      </c>
    </row>
    <row r="444" spans="1:13">
      <c r="A444" s="6" t="s">
        <v>449</v>
      </c>
      <c r="B444" s="2">
        <f ca="1">IFERROR(VLOOKUP(A444,[1]库存使用数据!$A:$B,2,0),0)+IFERROR(VLOOKUP(A444,[2]库存使用数据!$A:$B,2,0),0)+IFERROR(VLOOKUP(,[3]库存使用数据!$A:$B,2,0),0)+IFERROR(VLOOKUP(A444,[4]库存使用数据!$A:$B,2,0),0)+IFERROR(VLOOKUP(A444,[5]库存使用数据!$A:$B,2,0),0)</f>
        <v>0</v>
      </c>
      <c r="C444" s="1">
        <f ca="1">IFERROR(VLOOKUP($A444,[1]库存使用数据!$A:$C,3,0),0)+IFERROR(VLOOKUP($A444,[2]库存使用数据!$A:$C,3,0),0)+IFERROR(VLOOKUP($A444,[3]库存使用数据!$A:$C,3,0),0)+IFERROR(VLOOKUP($A444,[4]库存使用数据!$A:$C,3,0),0)+IFERROR(VLOOKUP($A444,[5]库存使用数据!$A:$C,3,0),0)</f>
        <v>16</v>
      </c>
      <c r="D444" s="1">
        <f ca="1">IFERROR(VLOOKUP($A444,[1]库存使用数据!$A:$D,4,0),0)+IFERROR(VLOOKUP($A444,[2]库存使用数据!$A:$D,4,0),0)+公式!$B$1*IFERROR(VLOOKUP($A444,[3]库存使用数据!$A:$D,4,0),0)+IFERROR(VLOOKUP($A444,[4]库存使用数据!$A:$D,4,0),0)+IFERROR(VLOOKUP($A444,[5]库存使用数据!$A:$D,4,0),0)</f>
        <v>4.4325</v>
      </c>
      <c r="E444" s="1">
        <f ca="1">IFERROR(VLOOKUP($A444,[1]库存使用数据!$A:$E,5,0),0)+IFERROR(VLOOKUP($A444,[2]库存使用数据!$A:$E,5,0),0)+IFERROR(VLOOKUP($A444,[3]库存使用数据!$A:$E,5,0),0)+IFERROR(VLOOKUP($A444,[4]库存使用数据!$A:$E,5,0),0)+IFERROR(VLOOKUP($A444,[5]库存使用数据!$A:$E,5,0),0)</f>
        <v>2469</v>
      </c>
      <c r="F444" s="1">
        <f ca="1">IFERROR(VLOOKUP($A444,[1]库存使用数据!$A:$F,6,0),0)+IFERROR(VLOOKUP($A444,[2]库存使用数据!$A:$F,6,0),0)+IFERROR(VLOOKUP($A444,[4]库存使用数据!$A:$F,6,0),0)+IFERROR(VLOOKUP($A444,[3]库存使用数据!$A:$F,6,0),0)+IFERROR(VLOOKUP($A444,[5]库存使用数据!$A:$F,6,0),0)</f>
        <v>14</v>
      </c>
      <c r="G444" s="1">
        <f ca="1">IFERROR(VLOOKUP($A444,[1]库存使用数据!$A:$G,7,0),0)+IFERROR(VLOOKUP($A444,[2]库存使用数据!$A:$G,7,0),0)+公式!$B$14*IFERROR(VLOOKUP($A444,[3]库存使用数据!$A:$G,7,0),0)+IFERROR(VLOOKUP($A444,[4]库存使用数据!$A:$G,7,0),0)+IFERROR(VLOOKUP($A444,[5]库存使用数据!$A:$G,7,0),0)</f>
        <v>0</v>
      </c>
      <c r="H444" s="1">
        <f ca="1">IFERROR(VLOOKUP($A444,[1]库存使用数据!$A:$H,8,0),0)+IFERROR(VLOOKUP($A444,[2]库存使用数据!$A:$H,8,0),0)+IFERROR(VLOOKUP($A444,[3]库存使用数据!$A:$H,8,0),0)+IFERROR(VLOOKUP($A444,[4]库存使用数据!$A:$H,8,0),0)+IFERROR(VLOOKUP($A444,[5]库存使用数据!$A:$H,8,0),0)</f>
        <v>785</v>
      </c>
      <c r="I444" s="1">
        <f ca="1">IFERROR(VLOOKUP($A444,[1]库存使用数据!$A:$I,9,0),0)+IFERROR(VLOOKUP($A444,[2]库存使用数据!$A:$I,9,0),0)+IFERROR(VLOOKUP($A444,[3]库存使用数据!$A:$I,9,0),0)+IFERROR(VLOOKUP($A444,[4]库存使用数据!$A:$I,9,0),0)+IFERROR(VLOOKUP($A444,[5]库存使用数据!$A:$I,9,0),0)</f>
        <v>1</v>
      </c>
      <c r="J444" s="1">
        <f ca="1">IFERROR(VLOOKUP($A444,[1]库存使用数据!$A:$J,10,0),0)+IFERROR(VLOOKUP($A444,[2]库存使用数据!$A:$J,10,0),0)+公式!$B$14*IFERROR(VLOOKUP($A444,[3]库存使用数据!$A:$J,10,0),0)+IFERROR(VLOOKUP($A444,[4]库存使用数据!$A:$J,10,0),0)+IFERROR(VLOOKUP($A444,[5]库存使用数据!$A:$J,10,0),0)</f>
        <v>0</v>
      </c>
      <c r="K444" s="1">
        <f ca="1">IFERROR(VLOOKUP($A444,[1]库存使用数据!$A:$K,11,0),0)+IFERROR(VLOOKUP($A444,[2]库存使用数据!$A:$K,11,0),0)+IFERROR(VLOOKUP($A444,[3]库存使用数据!$A:$K,11,0),0)+IFERROR(VLOOKUP($A444,[4]库存使用数据!$A:$K,11,0),0)+IFERROR(VLOOKUP($A444,[5]库存使用数据!$A:$K,11,0),0)</f>
        <v>90</v>
      </c>
      <c r="L444" s="1">
        <f ca="1">IFERROR(VLOOKUP($A444,[1]库存使用数据!$A:$L,12,0),0)+IFERROR(VLOOKUP($A444,[2]库存使用数据!$A:$L,12,0),0)+IFERROR(VLOOKUP($A444,[3]库存使用数据!$A:$L,12,0),0)+IFERROR(VLOOKUP($A444,[4]库存使用数据!$A:$L,12,0),0)+IFERROR(VLOOKUP($A444,[5]库存使用数据!$A:$L,12,0),0)</f>
        <v>1</v>
      </c>
      <c r="M444" s="1">
        <f ca="1">IFERROR(VLOOKUP($A444,[1]库存使用数据!$A:$M,13,0),0)+IFERROR(VLOOKUP($A444,[2]库存使用数据!$A:$M,13,0),0)+公式!$B$14*IFERROR(VLOOKUP($A444,[3]库存使用数据!$A:$M,13,0),0)+IFERROR(VLOOKUP($A444,[4]库存使用数据!$A:$M,13,0),0)+IFERROR(VLOOKUP($A444,[5]库存使用数据!$A:$M,13,0),0)</f>
        <v>0</v>
      </c>
    </row>
    <row r="445" spans="1:13">
      <c r="A445" s="6" t="s">
        <v>450</v>
      </c>
      <c r="B445" s="2">
        <f ca="1">IFERROR(VLOOKUP(A445,[1]库存使用数据!$A:$B,2,0),0)+IFERROR(VLOOKUP(A445,[2]库存使用数据!$A:$B,2,0),0)+IFERROR(VLOOKUP(,[3]库存使用数据!$A:$B,2,0),0)+IFERROR(VLOOKUP(A445,[4]库存使用数据!$A:$B,2,0),0)+IFERROR(VLOOKUP(A445,[5]库存使用数据!$A:$B,2,0),0)</f>
        <v>0</v>
      </c>
      <c r="C445" s="1">
        <f ca="1">IFERROR(VLOOKUP($A445,[1]库存使用数据!$A:$C,3,0),0)+IFERROR(VLOOKUP($A445,[2]库存使用数据!$A:$C,3,0),0)+IFERROR(VLOOKUP($A445,[3]库存使用数据!$A:$C,3,0),0)+IFERROR(VLOOKUP($A445,[4]库存使用数据!$A:$C,3,0),0)+IFERROR(VLOOKUP($A445,[5]库存使用数据!$A:$C,3,0),0)</f>
        <v>0</v>
      </c>
      <c r="D445" s="1">
        <f ca="1">IFERROR(VLOOKUP($A445,[1]库存使用数据!$A:$D,4,0),0)+IFERROR(VLOOKUP($A445,[2]库存使用数据!$A:$D,4,0),0)+公式!$B$1*IFERROR(VLOOKUP($A445,[3]库存使用数据!$A:$D,4,0),0)+IFERROR(VLOOKUP($A445,[4]库存使用数据!$A:$D,4,0),0)+IFERROR(VLOOKUP($A445,[5]库存使用数据!$A:$D,4,0),0)</f>
        <v>0</v>
      </c>
      <c r="E445" s="1">
        <f ca="1">IFERROR(VLOOKUP($A445,[1]库存使用数据!$A:$E,5,0),0)+IFERROR(VLOOKUP($A445,[2]库存使用数据!$A:$E,5,0),0)+IFERROR(VLOOKUP($A445,[3]库存使用数据!$A:$E,5,0),0)+IFERROR(VLOOKUP($A445,[4]库存使用数据!$A:$E,5,0),0)+IFERROR(VLOOKUP($A445,[5]库存使用数据!$A:$E,5,0),0)</f>
        <v>1869</v>
      </c>
      <c r="F445" s="1">
        <f ca="1">IFERROR(VLOOKUP($A445,[1]库存使用数据!$A:$F,6,0),0)+IFERROR(VLOOKUP($A445,[2]库存使用数据!$A:$F,6,0),0)+IFERROR(VLOOKUP($A445,[4]库存使用数据!$A:$F,6,0),0)+IFERROR(VLOOKUP($A445,[3]库存使用数据!$A:$F,6,0),0)+IFERROR(VLOOKUP($A445,[5]库存使用数据!$A:$F,6,0),0)</f>
        <v>10</v>
      </c>
      <c r="G445" s="1">
        <f ca="1">IFERROR(VLOOKUP($A445,[1]库存使用数据!$A:$G,7,0),0)+IFERROR(VLOOKUP($A445,[2]库存使用数据!$A:$G,7,0),0)+公式!$B$14*IFERROR(VLOOKUP($A445,[3]库存使用数据!$A:$G,7,0),0)+IFERROR(VLOOKUP($A445,[4]库存使用数据!$A:$G,7,0),0)+IFERROR(VLOOKUP($A445,[5]库存使用数据!$A:$G,7,0),0)</f>
        <v>0</v>
      </c>
      <c r="H445" s="1">
        <f ca="1">IFERROR(VLOOKUP($A445,[1]库存使用数据!$A:$H,8,0),0)+IFERROR(VLOOKUP($A445,[2]库存使用数据!$A:$H,8,0),0)+IFERROR(VLOOKUP($A445,[3]库存使用数据!$A:$H,8,0),0)+IFERROR(VLOOKUP($A445,[4]库存使用数据!$A:$H,8,0),0)+IFERROR(VLOOKUP($A445,[5]库存使用数据!$A:$H,8,0),0)</f>
        <v>971</v>
      </c>
      <c r="I445" s="1">
        <f ca="1">IFERROR(VLOOKUP($A445,[1]库存使用数据!$A:$I,9,0),0)+IFERROR(VLOOKUP($A445,[2]库存使用数据!$A:$I,9,0),0)+IFERROR(VLOOKUP($A445,[3]库存使用数据!$A:$I,9,0),0)+IFERROR(VLOOKUP($A445,[4]库存使用数据!$A:$I,9,0),0)+IFERROR(VLOOKUP($A445,[5]库存使用数据!$A:$I,9,0),0)</f>
        <v>2</v>
      </c>
      <c r="J445" s="1">
        <f ca="1">IFERROR(VLOOKUP($A445,[1]库存使用数据!$A:$J,10,0),0)+IFERROR(VLOOKUP($A445,[2]库存使用数据!$A:$J,10,0),0)+公式!$B$14*IFERROR(VLOOKUP($A445,[3]库存使用数据!$A:$J,10,0),0)+IFERROR(VLOOKUP($A445,[4]库存使用数据!$A:$J,10,0),0)+IFERROR(VLOOKUP($A445,[5]库存使用数据!$A:$J,10,0),0)</f>
        <v>0</v>
      </c>
      <c r="K445" s="1">
        <f ca="1">IFERROR(VLOOKUP($A445,[1]库存使用数据!$A:$K,11,0),0)+IFERROR(VLOOKUP($A445,[2]库存使用数据!$A:$K,11,0),0)+IFERROR(VLOOKUP($A445,[3]库存使用数据!$A:$K,11,0),0)+IFERROR(VLOOKUP($A445,[4]库存使用数据!$A:$K,11,0),0)+IFERROR(VLOOKUP($A445,[5]库存使用数据!$A:$K,11,0),0)</f>
        <v>665</v>
      </c>
      <c r="L445" s="1">
        <f ca="1">IFERROR(VLOOKUP($A445,[1]库存使用数据!$A:$L,12,0),0)+IFERROR(VLOOKUP($A445,[2]库存使用数据!$A:$L,12,0),0)+IFERROR(VLOOKUP($A445,[3]库存使用数据!$A:$L,12,0),0)+IFERROR(VLOOKUP($A445,[4]库存使用数据!$A:$L,12,0),0)+IFERROR(VLOOKUP($A445,[5]库存使用数据!$A:$L,12,0),0)</f>
        <v>2</v>
      </c>
      <c r="M445" s="1">
        <f ca="1">IFERROR(VLOOKUP($A445,[1]库存使用数据!$A:$M,13,0),0)+IFERROR(VLOOKUP($A445,[2]库存使用数据!$A:$M,13,0),0)+公式!$B$14*IFERROR(VLOOKUP($A445,[3]库存使用数据!$A:$M,13,0),0)+IFERROR(VLOOKUP($A445,[4]库存使用数据!$A:$M,13,0),0)+IFERROR(VLOOKUP($A445,[5]库存使用数据!$A:$M,13,0),0)</f>
        <v>0</v>
      </c>
    </row>
    <row r="446" spans="1:13">
      <c r="A446" s="6" t="s">
        <v>451</v>
      </c>
      <c r="B446" s="2">
        <f ca="1">IFERROR(VLOOKUP(A446,[1]库存使用数据!$A:$B,2,0),0)+IFERROR(VLOOKUP(A446,[2]库存使用数据!$A:$B,2,0),0)+IFERROR(VLOOKUP(,[3]库存使用数据!$A:$B,2,0),0)+IFERROR(VLOOKUP(A446,[4]库存使用数据!$A:$B,2,0),0)+IFERROR(VLOOKUP(A446,[5]库存使用数据!$A:$B,2,0),0)</f>
        <v>0</v>
      </c>
      <c r="C446" s="1">
        <f ca="1">IFERROR(VLOOKUP($A446,[1]库存使用数据!$A:$C,3,0),0)+IFERROR(VLOOKUP($A446,[2]库存使用数据!$A:$C,3,0),0)+IFERROR(VLOOKUP($A446,[3]库存使用数据!$A:$C,3,0),0)+IFERROR(VLOOKUP($A446,[4]库存使用数据!$A:$C,3,0),0)+IFERROR(VLOOKUP($A446,[5]库存使用数据!$A:$C,3,0),0)</f>
        <v>20</v>
      </c>
      <c r="D446" s="1">
        <f ca="1">IFERROR(VLOOKUP($A446,[1]库存使用数据!$A:$D,4,0),0)+IFERROR(VLOOKUP($A446,[2]库存使用数据!$A:$D,4,0),0)+公式!$B$1*IFERROR(VLOOKUP($A446,[3]库存使用数据!$A:$D,4,0),0)+IFERROR(VLOOKUP($A446,[4]库存使用数据!$A:$D,4,0),0)+IFERROR(VLOOKUP($A446,[5]库存使用数据!$A:$D,4,0),0)</f>
        <v>5.3325</v>
      </c>
      <c r="E446" s="1">
        <f ca="1">IFERROR(VLOOKUP($A446,[1]库存使用数据!$A:$E,5,0),0)+IFERROR(VLOOKUP($A446,[2]库存使用数据!$A:$E,5,0),0)+IFERROR(VLOOKUP($A446,[3]库存使用数据!$A:$E,5,0),0)+IFERROR(VLOOKUP($A446,[4]库存使用数据!$A:$E,5,0),0)+IFERROR(VLOOKUP($A446,[5]库存使用数据!$A:$E,5,0),0)</f>
        <v>1224</v>
      </c>
      <c r="F446" s="1">
        <f ca="1">IFERROR(VLOOKUP($A446,[1]库存使用数据!$A:$F,6,0),0)+IFERROR(VLOOKUP($A446,[2]库存使用数据!$A:$F,6,0),0)+IFERROR(VLOOKUP($A446,[4]库存使用数据!$A:$F,6,0),0)+IFERROR(VLOOKUP($A446,[3]库存使用数据!$A:$F,6,0),0)+IFERROR(VLOOKUP($A446,[5]库存使用数据!$A:$F,6,0),0)</f>
        <v>7</v>
      </c>
      <c r="G446" s="1">
        <f ca="1">IFERROR(VLOOKUP($A446,[1]库存使用数据!$A:$G,7,0),0)+IFERROR(VLOOKUP($A446,[2]库存使用数据!$A:$G,7,0),0)+公式!$B$14*IFERROR(VLOOKUP($A446,[3]库存使用数据!$A:$G,7,0),0)+IFERROR(VLOOKUP($A446,[4]库存使用数据!$A:$G,7,0),0)+IFERROR(VLOOKUP($A446,[5]库存使用数据!$A:$G,7,0),0)</f>
        <v>0</v>
      </c>
      <c r="H446" s="1">
        <f ca="1">IFERROR(VLOOKUP($A446,[1]库存使用数据!$A:$H,8,0),0)+IFERROR(VLOOKUP($A446,[2]库存使用数据!$A:$H,8,0),0)+IFERROR(VLOOKUP($A446,[3]库存使用数据!$A:$H,8,0),0)+IFERROR(VLOOKUP($A446,[4]库存使用数据!$A:$H,8,0),0)+IFERROR(VLOOKUP($A446,[5]库存使用数据!$A:$H,8,0),0)</f>
        <v>112</v>
      </c>
      <c r="I446" s="1">
        <f ca="1">IFERROR(VLOOKUP($A446,[1]库存使用数据!$A:$I,9,0),0)+IFERROR(VLOOKUP($A446,[2]库存使用数据!$A:$I,9,0),0)+IFERROR(VLOOKUP($A446,[3]库存使用数据!$A:$I,9,0),0)+IFERROR(VLOOKUP($A446,[4]库存使用数据!$A:$I,9,0),0)+IFERROR(VLOOKUP($A446,[5]库存使用数据!$A:$I,9,0),0)</f>
        <v>0</v>
      </c>
      <c r="J446" s="1">
        <f ca="1">IFERROR(VLOOKUP($A446,[1]库存使用数据!$A:$J,10,0),0)+IFERROR(VLOOKUP($A446,[2]库存使用数据!$A:$J,10,0),0)+公式!$B$14*IFERROR(VLOOKUP($A446,[3]库存使用数据!$A:$J,10,0),0)+IFERROR(VLOOKUP($A446,[4]库存使用数据!$A:$J,10,0),0)+IFERROR(VLOOKUP($A446,[5]库存使用数据!$A:$J,10,0),0)</f>
        <v>0</v>
      </c>
      <c r="K446" s="1">
        <f ca="1">IFERROR(VLOOKUP($A446,[1]库存使用数据!$A:$K,11,0),0)+IFERROR(VLOOKUP($A446,[2]库存使用数据!$A:$K,11,0),0)+IFERROR(VLOOKUP($A446,[3]库存使用数据!$A:$K,11,0),0)+IFERROR(VLOOKUP($A446,[4]库存使用数据!$A:$K,11,0),0)+IFERROR(VLOOKUP($A446,[5]库存使用数据!$A:$K,11,0),0)</f>
        <v>278</v>
      </c>
      <c r="L446" s="1">
        <f ca="1">IFERROR(VLOOKUP($A446,[1]库存使用数据!$A:$L,12,0),0)+IFERROR(VLOOKUP($A446,[2]库存使用数据!$A:$L,12,0),0)+IFERROR(VLOOKUP($A446,[3]库存使用数据!$A:$L,12,0),0)+IFERROR(VLOOKUP($A446,[4]库存使用数据!$A:$L,12,0),0)+IFERROR(VLOOKUP($A446,[5]库存使用数据!$A:$L,12,0),0)</f>
        <v>2</v>
      </c>
      <c r="M446" s="1">
        <f ca="1">IFERROR(VLOOKUP($A446,[1]库存使用数据!$A:$M,13,0),0)+IFERROR(VLOOKUP($A446,[2]库存使用数据!$A:$M,13,0),0)+公式!$B$14*IFERROR(VLOOKUP($A446,[3]库存使用数据!$A:$M,13,0),0)+IFERROR(VLOOKUP($A446,[4]库存使用数据!$A:$M,13,0),0)+IFERROR(VLOOKUP($A446,[5]库存使用数据!$A:$M,13,0),0)</f>
        <v>0</v>
      </c>
    </row>
    <row r="447" spans="1:13">
      <c r="A447" s="6" t="s">
        <v>452</v>
      </c>
      <c r="B447" s="2">
        <f ca="1">IFERROR(VLOOKUP(A447,[1]库存使用数据!$A:$B,2,0),0)+IFERROR(VLOOKUP(A447,[2]库存使用数据!$A:$B,2,0),0)+IFERROR(VLOOKUP(,[3]库存使用数据!$A:$B,2,0),0)+IFERROR(VLOOKUP(A447,[4]库存使用数据!$A:$B,2,0),0)+IFERROR(VLOOKUP(A447,[5]库存使用数据!$A:$B,2,0),0)</f>
        <v>0</v>
      </c>
      <c r="C447" s="1">
        <f ca="1">IFERROR(VLOOKUP($A447,[1]库存使用数据!$A:$C,3,0),0)+IFERROR(VLOOKUP($A447,[2]库存使用数据!$A:$C,3,0),0)+IFERROR(VLOOKUP($A447,[3]库存使用数据!$A:$C,3,0),0)+IFERROR(VLOOKUP($A447,[4]库存使用数据!$A:$C,3,0),0)+IFERROR(VLOOKUP($A447,[5]库存使用数据!$A:$C,3,0),0)</f>
        <v>5</v>
      </c>
      <c r="D447" s="1">
        <f ca="1">IFERROR(VLOOKUP($A447,[1]库存使用数据!$A:$D,4,0),0)+IFERROR(VLOOKUP($A447,[2]库存使用数据!$A:$D,4,0),0)+公式!$B$1*IFERROR(VLOOKUP($A447,[3]库存使用数据!$A:$D,4,0),0)+IFERROR(VLOOKUP($A447,[4]库存使用数据!$A:$D,4,0),0)+IFERROR(VLOOKUP($A447,[5]库存使用数据!$A:$D,4,0),0)</f>
        <v>1.04625</v>
      </c>
      <c r="E447" s="1">
        <f ca="1">IFERROR(VLOOKUP($A447,[1]库存使用数据!$A:$E,5,0),0)+IFERROR(VLOOKUP($A447,[2]库存使用数据!$A:$E,5,0),0)+IFERROR(VLOOKUP($A447,[3]库存使用数据!$A:$E,5,0),0)+IFERROR(VLOOKUP($A447,[4]库存使用数据!$A:$E,5,0),0)+IFERROR(VLOOKUP($A447,[5]库存使用数据!$A:$E,5,0),0)</f>
        <v>11459</v>
      </c>
      <c r="F447" s="1">
        <f ca="1">IFERROR(VLOOKUP($A447,[1]库存使用数据!$A:$F,6,0),0)+IFERROR(VLOOKUP($A447,[2]库存使用数据!$A:$F,6,0),0)+IFERROR(VLOOKUP($A447,[4]库存使用数据!$A:$F,6,0),0)+IFERROR(VLOOKUP($A447,[3]库存使用数据!$A:$F,6,0),0)+IFERROR(VLOOKUP($A447,[5]库存使用数据!$A:$F,6,0),0)</f>
        <v>97</v>
      </c>
      <c r="G447" s="1">
        <f ca="1">IFERROR(VLOOKUP($A447,[1]库存使用数据!$A:$G,7,0),0)+IFERROR(VLOOKUP($A447,[2]库存使用数据!$A:$G,7,0),0)+公式!$B$14*IFERROR(VLOOKUP($A447,[3]库存使用数据!$A:$G,7,0),0)+IFERROR(VLOOKUP($A447,[4]库存使用数据!$A:$G,7,0),0)+IFERROR(VLOOKUP($A447,[5]库存使用数据!$A:$G,7,0),0)</f>
        <v>0</v>
      </c>
      <c r="H447" s="1">
        <f ca="1">IFERROR(VLOOKUP($A447,[1]库存使用数据!$A:$H,8,0),0)+IFERROR(VLOOKUP($A447,[2]库存使用数据!$A:$H,8,0),0)+IFERROR(VLOOKUP($A447,[3]库存使用数据!$A:$H,8,0),0)+IFERROR(VLOOKUP($A447,[4]库存使用数据!$A:$H,8,0),0)+IFERROR(VLOOKUP($A447,[5]库存使用数据!$A:$H,8,0),0)</f>
        <v>12794</v>
      </c>
      <c r="I447" s="1">
        <f ca="1">IFERROR(VLOOKUP($A447,[1]库存使用数据!$A:$I,9,0),0)+IFERROR(VLOOKUP($A447,[2]库存使用数据!$A:$I,9,0),0)+IFERROR(VLOOKUP($A447,[3]库存使用数据!$A:$I,9,0),0)+IFERROR(VLOOKUP($A447,[4]库存使用数据!$A:$I,9,0),0)+IFERROR(VLOOKUP($A447,[5]库存使用数据!$A:$I,9,0),0)</f>
        <v>128</v>
      </c>
      <c r="J447" s="1">
        <f ca="1">IFERROR(VLOOKUP($A447,[1]库存使用数据!$A:$J,10,0),0)+IFERROR(VLOOKUP($A447,[2]库存使用数据!$A:$J,10,0),0)+公式!$B$14*IFERROR(VLOOKUP($A447,[3]库存使用数据!$A:$J,10,0),0)+IFERROR(VLOOKUP($A447,[4]库存使用数据!$A:$J,10,0),0)+IFERROR(VLOOKUP($A447,[5]库存使用数据!$A:$J,10,0),0)</f>
        <v>0</v>
      </c>
      <c r="K447" s="1">
        <f ca="1">IFERROR(VLOOKUP($A447,[1]库存使用数据!$A:$K,11,0),0)+IFERROR(VLOOKUP($A447,[2]库存使用数据!$A:$K,11,0),0)+IFERROR(VLOOKUP($A447,[3]库存使用数据!$A:$K,11,0),0)+IFERROR(VLOOKUP($A447,[4]库存使用数据!$A:$K,11,0),0)+IFERROR(VLOOKUP($A447,[5]库存使用数据!$A:$K,11,0),0)</f>
        <v>9124</v>
      </c>
      <c r="L447" s="1">
        <f ca="1">IFERROR(VLOOKUP($A447,[1]库存使用数据!$A:$L,12,0),0)+IFERROR(VLOOKUP($A447,[2]库存使用数据!$A:$L,12,0),0)+IFERROR(VLOOKUP($A447,[3]库存使用数据!$A:$L,12,0),0)+IFERROR(VLOOKUP($A447,[4]库存使用数据!$A:$L,12,0),0)+IFERROR(VLOOKUP($A447,[5]库存使用数据!$A:$L,12,0),0)</f>
        <v>109</v>
      </c>
      <c r="M447" s="1">
        <f ca="1">IFERROR(VLOOKUP($A447,[1]库存使用数据!$A:$M,13,0),0)+IFERROR(VLOOKUP($A447,[2]库存使用数据!$A:$M,13,0),0)+公式!$B$14*IFERROR(VLOOKUP($A447,[3]库存使用数据!$A:$M,13,0),0)+IFERROR(VLOOKUP($A447,[4]库存使用数据!$A:$M,13,0),0)+IFERROR(VLOOKUP($A447,[5]库存使用数据!$A:$M,13,0),0)</f>
        <v>0</v>
      </c>
    </row>
    <row r="448" spans="1:13">
      <c r="A448" s="6" t="s">
        <v>453</v>
      </c>
      <c r="B448" s="2">
        <f ca="1">IFERROR(VLOOKUP(A448,[1]库存使用数据!$A:$B,2,0),0)+IFERROR(VLOOKUP(A448,[2]库存使用数据!$A:$B,2,0),0)+IFERROR(VLOOKUP(,[3]库存使用数据!$A:$B,2,0),0)+IFERROR(VLOOKUP(A448,[4]库存使用数据!$A:$B,2,0),0)+IFERROR(VLOOKUP(A448,[5]库存使用数据!$A:$B,2,0),0)</f>
        <v>0</v>
      </c>
      <c r="C448" s="1">
        <f ca="1">IFERROR(VLOOKUP($A448,[1]库存使用数据!$A:$C,3,0),0)+IFERROR(VLOOKUP($A448,[2]库存使用数据!$A:$C,3,0),0)+IFERROR(VLOOKUP($A448,[3]库存使用数据!$A:$C,3,0),0)+IFERROR(VLOOKUP($A448,[4]库存使用数据!$A:$C,3,0),0)+IFERROR(VLOOKUP($A448,[5]库存使用数据!$A:$C,3,0),0)</f>
        <v>4</v>
      </c>
      <c r="D448" s="1">
        <f ca="1">IFERROR(VLOOKUP($A448,[1]库存使用数据!$A:$D,4,0),0)+IFERROR(VLOOKUP($A448,[2]库存使用数据!$A:$D,4,0),0)+公式!$B$1*IFERROR(VLOOKUP($A448,[3]库存使用数据!$A:$D,4,0),0)+IFERROR(VLOOKUP($A448,[4]库存使用数据!$A:$D,4,0),0)+IFERROR(VLOOKUP($A448,[5]库存使用数据!$A:$D,4,0),0)</f>
        <v>1.125</v>
      </c>
      <c r="E448" s="1">
        <f ca="1">IFERROR(VLOOKUP($A448,[1]库存使用数据!$A:$E,5,0),0)+IFERROR(VLOOKUP($A448,[2]库存使用数据!$A:$E,5,0),0)+IFERROR(VLOOKUP($A448,[3]库存使用数据!$A:$E,5,0),0)+IFERROR(VLOOKUP($A448,[4]库存使用数据!$A:$E,5,0),0)+IFERROR(VLOOKUP($A448,[5]库存使用数据!$A:$E,5,0),0)</f>
        <v>3056</v>
      </c>
      <c r="F448" s="1">
        <f ca="1">IFERROR(VLOOKUP($A448,[1]库存使用数据!$A:$F,6,0),0)+IFERROR(VLOOKUP($A448,[2]库存使用数据!$A:$F,6,0),0)+IFERROR(VLOOKUP($A448,[4]库存使用数据!$A:$F,6,0),0)+IFERROR(VLOOKUP($A448,[3]库存使用数据!$A:$F,6,0),0)+IFERROR(VLOOKUP($A448,[5]库存使用数据!$A:$F,6,0),0)</f>
        <v>12</v>
      </c>
      <c r="G448" s="1">
        <f ca="1">IFERROR(VLOOKUP($A448,[1]库存使用数据!$A:$G,7,0),0)+IFERROR(VLOOKUP($A448,[2]库存使用数据!$A:$G,7,0),0)+公式!$B$14*IFERROR(VLOOKUP($A448,[3]库存使用数据!$A:$G,7,0),0)+IFERROR(VLOOKUP($A448,[4]库存使用数据!$A:$G,7,0),0)+IFERROR(VLOOKUP($A448,[5]库存使用数据!$A:$G,7,0),0)</f>
        <v>0</v>
      </c>
      <c r="H448" s="1">
        <f ca="1">IFERROR(VLOOKUP($A448,[1]库存使用数据!$A:$H,8,0),0)+IFERROR(VLOOKUP($A448,[2]库存使用数据!$A:$H,8,0),0)+IFERROR(VLOOKUP($A448,[3]库存使用数据!$A:$H,8,0),0)+IFERROR(VLOOKUP($A448,[4]库存使用数据!$A:$H,8,0),0)+IFERROR(VLOOKUP($A448,[5]库存使用数据!$A:$H,8,0),0)</f>
        <v>4681</v>
      </c>
      <c r="I448" s="1">
        <f ca="1">IFERROR(VLOOKUP($A448,[1]库存使用数据!$A:$I,9,0),0)+IFERROR(VLOOKUP($A448,[2]库存使用数据!$A:$I,9,0),0)+IFERROR(VLOOKUP($A448,[3]库存使用数据!$A:$I,9,0),0)+IFERROR(VLOOKUP($A448,[4]库存使用数据!$A:$I,9,0),0)+IFERROR(VLOOKUP($A448,[5]库存使用数据!$A:$I,9,0),0)</f>
        <v>25</v>
      </c>
      <c r="J448" s="1">
        <f ca="1">IFERROR(VLOOKUP($A448,[1]库存使用数据!$A:$J,10,0),0)+IFERROR(VLOOKUP($A448,[2]库存使用数据!$A:$J,10,0),0)+公式!$B$14*IFERROR(VLOOKUP($A448,[3]库存使用数据!$A:$J,10,0),0)+IFERROR(VLOOKUP($A448,[4]库存使用数据!$A:$J,10,0),0)+IFERROR(VLOOKUP($A448,[5]库存使用数据!$A:$J,10,0),0)</f>
        <v>0.02</v>
      </c>
      <c r="K448" s="1">
        <f ca="1">IFERROR(VLOOKUP($A448,[1]库存使用数据!$A:$K,11,0),0)+IFERROR(VLOOKUP($A448,[2]库存使用数据!$A:$K,11,0),0)+IFERROR(VLOOKUP($A448,[3]库存使用数据!$A:$K,11,0),0)+IFERROR(VLOOKUP($A448,[4]库存使用数据!$A:$K,11,0),0)+IFERROR(VLOOKUP($A448,[5]库存使用数据!$A:$K,11,0),0)</f>
        <v>3420</v>
      </c>
      <c r="L448" s="1">
        <f ca="1">IFERROR(VLOOKUP($A448,[1]库存使用数据!$A:$L,12,0),0)+IFERROR(VLOOKUP($A448,[2]库存使用数据!$A:$L,12,0),0)+IFERROR(VLOOKUP($A448,[3]库存使用数据!$A:$L,12,0),0)+IFERROR(VLOOKUP($A448,[4]库存使用数据!$A:$L,12,0),0)+IFERROR(VLOOKUP($A448,[5]库存使用数据!$A:$L,12,0),0)</f>
        <v>30</v>
      </c>
      <c r="M448" s="1">
        <f ca="1">IFERROR(VLOOKUP($A448,[1]库存使用数据!$A:$M,13,0),0)+IFERROR(VLOOKUP($A448,[2]库存使用数据!$A:$M,13,0),0)+公式!$B$14*IFERROR(VLOOKUP($A448,[3]库存使用数据!$A:$M,13,0),0)+IFERROR(VLOOKUP($A448,[4]库存使用数据!$A:$M,13,0),0)+IFERROR(VLOOKUP($A448,[5]库存使用数据!$A:$M,13,0),0)</f>
        <v>0</v>
      </c>
    </row>
    <row r="449" spans="1:13">
      <c r="A449" s="6" t="s">
        <v>454</v>
      </c>
      <c r="B449" s="2">
        <f ca="1">IFERROR(VLOOKUP(A449,[1]库存使用数据!$A:$B,2,0),0)+IFERROR(VLOOKUP(A449,[2]库存使用数据!$A:$B,2,0),0)+IFERROR(VLOOKUP(,[3]库存使用数据!$A:$B,2,0),0)+IFERROR(VLOOKUP(A449,[4]库存使用数据!$A:$B,2,0),0)+IFERROR(VLOOKUP(A449,[5]库存使用数据!$A:$B,2,0),0)</f>
        <v>0</v>
      </c>
      <c r="C449" s="1">
        <f ca="1">IFERROR(VLOOKUP($A449,[1]库存使用数据!$A:$C,3,0),0)+IFERROR(VLOOKUP($A449,[2]库存使用数据!$A:$C,3,0),0)+IFERROR(VLOOKUP($A449,[3]库存使用数据!$A:$C,3,0),0)+IFERROR(VLOOKUP($A449,[4]库存使用数据!$A:$C,3,0),0)+IFERROR(VLOOKUP($A449,[5]库存使用数据!$A:$C,3,0),0)</f>
        <v>18</v>
      </c>
      <c r="D449" s="1">
        <f ca="1">IFERROR(VLOOKUP($A449,[1]库存使用数据!$A:$D,4,0),0)+IFERROR(VLOOKUP($A449,[2]库存使用数据!$A:$D,4,0),0)+公式!$B$1*IFERROR(VLOOKUP($A449,[3]库存使用数据!$A:$D,4,0),0)+IFERROR(VLOOKUP($A449,[4]库存使用数据!$A:$D,4,0),0)+IFERROR(VLOOKUP($A449,[5]库存使用数据!$A:$D,4,0),0)</f>
        <v>3.49875</v>
      </c>
      <c r="E449" s="1">
        <f ca="1">IFERROR(VLOOKUP($A449,[1]库存使用数据!$A:$E,5,0),0)+IFERROR(VLOOKUP($A449,[2]库存使用数据!$A:$E,5,0),0)+IFERROR(VLOOKUP($A449,[3]库存使用数据!$A:$E,5,0),0)+IFERROR(VLOOKUP($A449,[4]库存使用数据!$A:$E,5,0),0)+IFERROR(VLOOKUP($A449,[5]库存使用数据!$A:$E,5,0),0)</f>
        <v>49294</v>
      </c>
      <c r="F449" s="1">
        <f ca="1">IFERROR(VLOOKUP($A449,[1]库存使用数据!$A:$F,6,0),0)+IFERROR(VLOOKUP($A449,[2]库存使用数据!$A:$F,6,0),0)+IFERROR(VLOOKUP($A449,[4]库存使用数据!$A:$F,6,0),0)+IFERROR(VLOOKUP($A449,[3]库存使用数据!$A:$F,6,0),0)+IFERROR(VLOOKUP($A449,[5]库存使用数据!$A:$F,6,0),0)</f>
        <v>96</v>
      </c>
      <c r="G449" s="1">
        <f ca="1">IFERROR(VLOOKUP($A449,[1]库存使用数据!$A:$G,7,0),0)+IFERROR(VLOOKUP($A449,[2]库存使用数据!$A:$G,7,0),0)+公式!$B$14*IFERROR(VLOOKUP($A449,[3]库存使用数据!$A:$G,7,0),0)+IFERROR(VLOOKUP($A449,[4]库存使用数据!$A:$G,7,0),0)+IFERROR(VLOOKUP($A449,[5]库存使用数据!$A:$G,7,0),0)</f>
        <v>0.46</v>
      </c>
      <c r="H449" s="1">
        <f ca="1">IFERROR(VLOOKUP($A449,[1]库存使用数据!$A:$H,8,0),0)+IFERROR(VLOOKUP($A449,[2]库存使用数据!$A:$H,8,0),0)+IFERROR(VLOOKUP($A449,[3]库存使用数据!$A:$H,8,0),0)+IFERROR(VLOOKUP($A449,[4]库存使用数据!$A:$H,8,0),0)+IFERROR(VLOOKUP($A449,[5]库存使用数据!$A:$H,8,0),0)</f>
        <v>12127</v>
      </c>
      <c r="I449" s="1">
        <f ca="1">IFERROR(VLOOKUP($A449,[1]库存使用数据!$A:$I,9,0),0)+IFERROR(VLOOKUP($A449,[2]库存使用数据!$A:$I,9,0),0)+IFERROR(VLOOKUP($A449,[3]库存使用数据!$A:$I,9,0),0)+IFERROR(VLOOKUP($A449,[4]库存使用数据!$A:$I,9,0),0)+IFERROR(VLOOKUP($A449,[5]库存使用数据!$A:$I,9,0),0)</f>
        <v>40</v>
      </c>
      <c r="J449" s="1">
        <f ca="1">IFERROR(VLOOKUP($A449,[1]库存使用数据!$A:$J,10,0),0)+IFERROR(VLOOKUP($A449,[2]库存使用数据!$A:$J,10,0),0)+公式!$B$14*IFERROR(VLOOKUP($A449,[3]库存使用数据!$A:$J,10,0),0)+IFERROR(VLOOKUP($A449,[4]库存使用数据!$A:$J,10,0),0)+IFERROR(VLOOKUP($A449,[5]库存使用数据!$A:$J,10,0),0)</f>
        <v>0.06</v>
      </c>
      <c r="K449" s="1">
        <f ca="1">IFERROR(VLOOKUP($A449,[1]库存使用数据!$A:$K,11,0),0)+IFERROR(VLOOKUP($A449,[2]库存使用数据!$A:$K,11,0),0)+IFERROR(VLOOKUP($A449,[3]库存使用数据!$A:$K,11,0),0)+IFERROR(VLOOKUP($A449,[4]库存使用数据!$A:$K,11,0),0)+IFERROR(VLOOKUP($A449,[5]库存使用数据!$A:$K,11,0),0)</f>
        <v>25222</v>
      </c>
      <c r="L449" s="1">
        <f ca="1">IFERROR(VLOOKUP($A449,[1]库存使用数据!$A:$L,12,0),0)+IFERROR(VLOOKUP($A449,[2]库存使用数据!$A:$L,12,0),0)+IFERROR(VLOOKUP($A449,[3]库存使用数据!$A:$L,12,0),0)+IFERROR(VLOOKUP($A449,[4]库存使用数据!$A:$L,12,0),0)+IFERROR(VLOOKUP($A449,[5]库存使用数据!$A:$L,12,0),0)</f>
        <v>61</v>
      </c>
      <c r="M449" s="1">
        <f ca="1">IFERROR(VLOOKUP($A449,[1]库存使用数据!$A:$M,13,0),0)+IFERROR(VLOOKUP($A449,[2]库存使用数据!$A:$M,13,0),0)+公式!$B$14*IFERROR(VLOOKUP($A449,[3]库存使用数据!$A:$M,13,0),0)+IFERROR(VLOOKUP($A449,[4]库存使用数据!$A:$M,13,0),0)+IFERROR(VLOOKUP($A449,[5]库存使用数据!$A:$M,13,0),0)</f>
        <v>0</v>
      </c>
    </row>
    <row r="450" spans="1:13">
      <c r="A450" s="6" t="s">
        <v>455</v>
      </c>
      <c r="B450" s="2">
        <f ca="1">IFERROR(VLOOKUP(A450,[1]库存使用数据!$A:$B,2,0),0)+IFERROR(VLOOKUP(A450,[2]库存使用数据!$A:$B,2,0),0)+IFERROR(VLOOKUP(,[3]库存使用数据!$A:$B,2,0),0)+IFERROR(VLOOKUP(A450,[4]库存使用数据!$A:$B,2,0),0)+IFERROR(VLOOKUP(A450,[5]库存使用数据!$A:$B,2,0),0)</f>
        <v>0</v>
      </c>
      <c r="C450" s="1">
        <f ca="1">IFERROR(VLOOKUP($A450,[1]库存使用数据!$A:$C,3,0),0)+IFERROR(VLOOKUP($A450,[2]库存使用数据!$A:$C,3,0),0)+IFERROR(VLOOKUP($A450,[3]库存使用数据!$A:$C,3,0),0)+IFERROR(VLOOKUP($A450,[4]库存使用数据!$A:$C,3,0),0)+IFERROR(VLOOKUP($A450,[5]库存使用数据!$A:$C,3,0),0)</f>
        <v>29</v>
      </c>
      <c r="D450" s="1">
        <f ca="1">IFERROR(VLOOKUP($A450,[1]库存使用数据!$A:$D,4,0),0)+IFERROR(VLOOKUP($A450,[2]库存使用数据!$A:$D,4,0),0)+公式!$B$1*IFERROR(VLOOKUP($A450,[3]库存使用数据!$A:$D,4,0),0)+IFERROR(VLOOKUP($A450,[4]库存使用数据!$A:$D,4,0),0)+IFERROR(VLOOKUP($A450,[5]库存使用数据!$A:$D,4,0),0)</f>
        <v>6.28875</v>
      </c>
      <c r="E450" s="1">
        <f ca="1">IFERROR(VLOOKUP($A450,[1]库存使用数据!$A:$E,5,0),0)+IFERROR(VLOOKUP($A450,[2]库存使用数据!$A:$E,5,0),0)+IFERROR(VLOOKUP($A450,[3]库存使用数据!$A:$E,5,0),0)+IFERROR(VLOOKUP($A450,[4]库存使用数据!$A:$E,5,0),0)+IFERROR(VLOOKUP($A450,[5]库存使用数据!$A:$E,5,0),0)</f>
        <v>3293</v>
      </c>
      <c r="F450" s="1">
        <f ca="1">IFERROR(VLOOKUP($A450,[1]库存使用数据!$A:$F,6,0),0)+IFERROR(VLOOKUP($A450,[2]库存使用数据!$A:$F,6,0),0)+IFERROR(VLOOKUP($A450,[4]库存使用数据!$A:$F,6,0),0)+IFERROR(VLOOKUP($A450,[3]库存使用数据!$A:$F,6,0),0)+IFERROR(VLOOKUP($A450,[5]库存使用数据!$A:$F,6,0),0)</f>
        <v>22</v>
      </c>
      <c r="G450" s="1">
        <f ca="1">IFERROR(VLOOKUP($A450,[1]库存使用数据!$A:$G,7,0),0)+IFERROR(VLOOKUP($A450,[2]库存使用数据!$A:$G,7,0),0)+公式!$B$14*IFERROR(VLOOKUP($A450,[3]库存使用数据!$A:$G,7,0),0)+IFERROR(VLOOKUP($A450,[4]库存使用数据!$A:$G,7,0),0)+IFERROR(VLOOKUP($A450,[5]库存使用数据!$A:$G,7,0),0)</f>
        <v>0.02</v>
      </c>
      <c r="H450" s="1">
        <f ca="1">IFERROR(VLOOKUP($A450,[1]库存使用数据!$A:$H,8,0),0)+IFERROR(VLOOKUP($A450,[2]库存使用数据!$A:$H,8,0),0)+IFERROR(VLOOKUP($A450,[3]库存使用数据!$A:$H,8,0),0)+IFERROR(VLOOKUP($A450,[4]库存使用数据!$A:$H,8,0),0)+IFERROR(VLOOKUP($A450,[5]库存使用数据!$A:$H,8,0),0)</f>
        <v>1671</v>
      </c>
      <c r="I450" s="1">
        <f ca="1">IFERROR(VLOOKUP($A450,[1]库存使用数据!$A:$I,9,0),0)+IFERROR(VLOOKUP($A450,[2]库存使用数据!$A:$I,9,0),0)+IFERROR(VLOOKUP($A450,[3]库存使用数据!$A:$I,9,0),0)+IFERROR(VLOOKUP($A450,[4]库存使用数据!$A:$I,9,0),0)+IFERROR(VLOOKUP($A450,[5]库存使用数据!$A:$I,9,0),0)</f>
        <v>9</v>
      </c>
      <c r="J450" s="1">
        <f ca="1">IFERROR(VLOOKUP($A450,[1]库存使用数据!$A:$J,10,0),0)+IFERROR(VLOOKUP($A450,[2]库存使用数据!$A:$J,10,0),0)+公式!$B$14*IFERROR(VLOOKUP($A450,[3]库存使用数据!$A:$J,10,0),0)+IFERROR(VLOOKUP($A450,[4]库存使用数据!$A:$J,10,0),0)+IFERROR(VLOOKUP($A450,[5]库存使用数据!$A:$J,10,0),0)</f>
        <v>0.07</v>
      </c>
      <c r="K450" s="1">
        <f ca="1">IFERROR(VLOOKUP($A450,[1]库存使用数据!$A:$K,11,0),0)+IFERROR(VLOOKUP($A450,[2]库存使用数据!$A:$K,11,0),0)+IFERROR(VLOOKUP($A450,[3]库存使用数据!$A:$K,11,0),0)+IFERROR(VLOOKUP($A450,[4]库存使用数据!$A:$K,11,0),0)+IFERROR(VLOOKUP($A450,[5]库存使用数据!$A:$K,11,0),0)</f>
        <v>3827</v>
      </c>
      <c r="L450" s="1">
        <f ca="1">IFERROR(VLOOKUP($A450,[1]库存使用数据!$A:$L,12,0),0)+IFERROR(VLOOKUP($A450,[2]库存使用数据!$A:$L,12,0),0)+IFERROR(VLOOKUP($A450,[3]库存使用数据!$A:$L,12,0),0)+IFERROR(VLOOKUP($A450,[4]库存使用数据!$A:$L,12,0),0)+IFERROR(VLOOKUP($A450,[5]库存使用数据!$A:$L,12,0),0)</f>
        <v>31</v>
      </c>
      <c r="M450" s="1">
        <f ca="1">IFERROR(VLOOKUP($A450,[1]库存使用数据!$A:$M,13,0),0)+IFERROR(VLOOKUP($A450,[2]库存使用数据!$A:$M,13,0),0)+公式!$B$14*IFERROR(VLOOKUP($A450,[3]库存使用数据!$A:$M,13,0),0)+IFERROR(VLOOKUP($A450,[4]库存使用数据!$A:$M,13,0),0)+IFERROR(VLOOKUP($A450,[5]库存使用数据!$A:$M,13,0),0)</f>
        <v>0.07</v>
      </c>
    </row>
    <row r="451" spans="1:13">
      <c r="A451" s="6" t="s">
        <v>456</v>
      </c>
      <c r="B451" s="2">
        <f ca="1">IFERROR(VLOOKUP(A451,[1]库存使用数据!$A:$B,2,0),0)+IFERROR(VLOOKUP(A451,[2]库存使用数据!$A:$B,2,0),0)+IFERROR(VLOOKUP(,[3]库存使用数据!$A:$B,2,0),0)+IFERROR(VLOOKUP(A451,[4]库存使用数据!$A:$B,2,0),0)+IFERROR(VLOOKUP(A451,[5]库存使用数据!$A:$B,2,0),0)</f>
        <v>0</v>
      </c>
      <c r="C451" s="1">
        <f ca="1">IFERROR(VLOOKUP($A451,[1]库存使用数据!$A:$C,3,0),0)+IFERROR(VLOOKUP($A451,[2]库存使用数据!$A:$C,3,0),0)+IFERROR(VLOOKUP($A451,[3]库存使用数据!$A:$C,3,0),0)+IFERROR(VLOOKUP($A451,[4]库存使用数据!$A:$C,3,0),0)+IFERROR(VLOOKUP($A451,[5]库存使用数据!$A:$C,3,0),0)</f>
        <v>104</v>
      </c>
      <c r="D451" s="1">
        <f ca="1">IFERROR(VLOOKUP($A451,[1]库存使用数据!$A:$D,4,0),0)+IFERROR(VLOOKUP($A451,[2]库存使用数据!$A:$D,4,0),0)+公式!$B$1*IFERROR(VLOOKUP($A451,[3]库存使用数据!$A:$D,4,0),0)+IFERROR(VLOOKUP($A451,[4]库存使用数据!$A:$D,4,0),0)+IFERROR(VLOOKUP($A451,[5]库存使用数据!$A:$D,4,0),0)</f>
        <v>24.66</v>
      </c>
      <c r="E451" s="1">
        <f ca="1">IFERROR(VLOOKUP($A451,[1]库存使用数据!$A:$E,5,0),0)+IFERROR(VLOOKUP($A451,[2]库存使用数据!$A:$E,5,0),0)+IFERROR(VLOOKUP($A451,[3]库存使用数据!$A:$E,5,0),0)+IFERROR(VLOOKUP($A451,[4]库存使用数据!$A:$E,5,0),0)+IFERROR(VLOOKUP($A451,[5]库存使用数据!$A:$E,5,0),0)</f>
        <v>29368</v>
      </c>
      <c r="F451" s="1">
        <f ca="1">IFERROR(VLOOKUP($A451,[1]库存使用数据!$A:$F,6,0),0)+IFERROR(VLOOKUP($A451,[2]库存使用数据!$A:$F,6,0),0)+IFERROR(VLOOKUP($A451,[4]库存使用数据!$A:$F,6,0),0)+IFERROR(VLOOKUP($A451,[3]库存使用数据!$A:$F,6,0),0)+IFERROR(VLOOKUP($A451,[5]库存使用数据!$A:$F,6,0),0)</f>
        <v>107</v>
      </c>
      <c r="G451" s="1">
        <f ca="1">IFERROR(VLOOKUP($A451,[1]库存使用数据!$A:$G,7,0),0)+IFERROR(VLOOKUP($A451,[2]库存使用数据!$A:$G,7,0),0)+公式!$B$14*IFERROR(VLOOKUP($A451,[3]库存使用数据!$A:$G,7,0),0)+IFERROR(VLOOKUP($A451,[4]库存使用数据!$A:$G,7,0),0)+IFERROR(VLOOKUP($A451,[5]库存使用数据!$A:$G,7,0),0)</f>
        <v>0.06</v>
      </c>
      <c r="H451" s="1">
        <f ca="1">IFERROR(VLOOKUP($A451,[1]库存使用数据!$A:$H,8,0),0)+IFERROR(VLOOKUP($A451,[2]库存使用数据!$A:$H,8,0),0)+IFERROR(VLOOKUP($A451,[3]库存使用数据!$A:$H,8,0),0)+IFERROR(VLOOKUP($A451,[4]库存使用数据!$A:$H,8,0),0)+IFERROR(VLOOKUP($A451,[5]库存使用数据!$A:$H,8,0),0)</f>
        <v>3802</v>
      </c>
      <c r="I451" s="1">
        <f ca="1">IFERROR(VLOOKUP($A451,[1]库存使用数据!$A:$I,9,0),0)+IFERROR(VLOOKUP($A451,[2]库存使用数据!$A:$I,9,0),0)+IFERROR(VLOOKUP($A451,[3]库存使用数据!$A:$I,9,0),0)+IFERROR(VLOOKUP($A451,[4]库存使用数据!$A:$I,9,0),0)+IFERROR(VLOOKUP($A451,[5]库存使用数据!$A:$I,9,0),0)</f>
        <v>27</v>
      </c>
      <c r="J451" s="1">
        <f ca="1">IFERROR(VLOOKUP($A451,[1]库存使用数据!$A:$J,10,0),0)+IFERROR(VLOOKUP($A451,[2]库存使用数据!$A:$J,10,0),0)+公式!$B$14*IFERROR(VLOOKUP($A451,[3]库存使用数据!$A:$J,10,0),0)+IFERROR(VLOOKUP($A451,[4]库存使用数据!$A:$J,10,0),0)+IFERROR(VLOOKUP($A451,[5]库存使用数据!$A:$J,10,0),0)</f>
        <v>0.19</v>
      </c>
      <c r="K451" s="1">
        <f ca="1">IFERROR(VLOOKUP($A451,[1]库存使用数据!$A:$K,11,0),0)+IFERROR(VLOOKUP($A451,[2]库存使用数据!$A:$K,11,0),0)+IFERROR(VLOOKUP($A451,[3]库存使用数据!$A:$K,11,0),0)+IFERROR(VLOOKUP($A451,[4]库存使用数据!$A:$K,11,0),0)+IFERROR(VLOOKUP($A451,[5]库存使用数据!$A:$K,11,0),0)</f>
        <v>1922</v>
      </c>
      <c r="L451" s="1">
        <f ca="1">IFERROR(VLOOKUP($A451,[1]库存使用数据!$A:$L,12,0),0)+IFERROR(VLOOKUP($A451,[2]库存使用数据!$A:$L,12,0),0)+IFERROR(VLOOKUP($A451,[3]库存使用数据!$A:$L,12,0),0)+IFERROR(VLOOKUP($A451,[4]库存使用数据!$A:$L,12,0),0)+IFERROR(VLOOKUP($A451,[5]库存使用数据!$A:$L,12,0),0)</f>
        <v>19</v>
      </c>
      <c r="M451" s="1">
        <f ca="1">IFERROR(VLOOKUP($A451,[1]库存使用数据!$A:$M,13,0),0)+IFERROR(VLOOKUP($A451,[2]库存使用数据!$A:$M,13,0),0)+公式!$B$14*IFERROR(VLOOKUP($A451,[3]库存使用数据!$A:$M,13,0),0)+IFERROR(VLOOKUP($A451,[4]库存使用数据!$A:$M,13,0),0)+IFERROR(VLOOKUP($A451,[5]库存使用数据!$A:$M,13,0),0)</f>
        <v>0.07</v>
      </c>
    </row>
    <row r="452" spans="1:13">
      <c r="A452" s="6" t="s">
        <v>457</v>
      </c>
      <c r="B452" s="2">
        <f ca="1">IFERROR(VLOOKUP(A452,[1]库存使用数据!$A:$B,2,0),0)+IFERROR(VLOOKUP(A452,[2]库存使用数据!$A:$B,2,0),0)+IFERROR(VLOOKUP(,[3]库存使用数据!$A:$B,2,0),0)+IFERROR(VLOOKUP(A452,[4]库存使用数据!$A:$B,2,0),0)+IFERROR(VLOOKUP(A452,[5]库存使用数据!$A:$B,2,0),0)</f>
        <v>0</v>
      </c>
      <c r="C452" s="1">
        <f ca="1">IFERROR(VLOOKUP($A452,[1]库存使用数据!$A:$C,3,0),0)+IFERROR(VLOOKUP($A452,[2]库存使用数据!$A:$C,3,0),0)+IFERROR(VLOOKUP($A452,[3]库存使用数据!$A:$C,3,0),0)+IFERROR(VLOOKUP($A452,[4]库存使用数据!$A:$C,3,0),0)+IFERROR(VLOOKUP($A452,[5]库存使用数据!$A:$C,3,0),0)</f>
        <v>2</v>
      </c>
      <c r="D452" s="1">
        <f ca="1">IFERROR(VLOOKUP($A452,[1]库存使用数据!$A:$D,4,0),0)+IFERROR(VLOOKUP($A452,[2]库存使用数据!$A:$D,4,0),0)+公式!$B$1*IFERROR(VLOOKUP($A452,[3]库存使用数据!$A:$D,4,0),0)+IFERROR(VLOOKUP($A452,[4]库存使用数据!$A:$D,4,0),0)+IFERROR(VLOOKUP($A452,[5]库存使用数据!$A:$D,4,0),0)</f>
        <v>0.315</v>
      </c>
      <c r="E452" s="1">
        <f ca="1">IFERROR(VLOOKUP($A452,[1]库存使用数据!$A:$E,5,0),0)+IFERROR(VLOOKUP($A452,[2]库存使用数据!$A:$E,5,0),0)+IFERROR(VLOOKUP($A452,[3]库存使用数据!$A:$E,5,0),0)+IFERROR(VLOOKUP($A452,[4]库存使用数据!$A:$E,5,0),0)+IFERROR(VLOOKUP($A452,[5]库存使用数据!$A:$E,5,0),0)</f>
        <v>299</v>
      </c>
      <c r="F452" s="1">
        <f ca="1">IFERROR(VLOOKUP($A452,[1]库存使用数据!$A:$F,6,0),0)+IFERROR(VLOOKUP($A452,[2]库存使用数据!$A:$F,6,0),0)+IFERROR(VLOOKUP($A452,[4]库存使用数据!$A:$F,6,0),0)+IFERROR(VLOOKUP($A452,[3]库存使用数据!$A:$F,6,0),0)+IFERROR(VLOOKUP($A452,[5]库存使用数据!$A:$F,6,0),0)</f>
        <v>2</v>
      </c>
      <c r="G452" s="1">
        <f ca="1">IFERROR(VLOOKUP($A452,[1]库存使用数据!$A:$G,7,0),0)+IFERROR(VLOOKUP($A452,[2]库存使用数据!$A:$G,7,0),0)+公式!$B$14*IFERROR(VLOOKUP($A452,[3]库存使用数据!$A:$G,7,0),0)+IFERROR(VLOOKUP($A452,[4]库存使用数据!$A:$G,7,0),0)+IFERROR(VLOOKUP($A452,[5]库存使用数据!$A:$G,7,0),0)</f>
        <v>0</v>
      </c>
      <c r="H452" s="1">
        <f ca="1">IFERROR(VLOOKUP($A452,[1]库存使用数据!$A:$H,8,0),0)+IFERROR(VLOOKUP($A452,[2]库存使用数据!$A:$H,8,0),0)+IFERROR(VLOOKUP($A452,[3]库存使用数据!$A:$H,8,0),0)+IFERROR(VLOOKUP($A452,[4]库存使用数据!$A:$H,8,0),0)+IFERROR(VLOOKUP($A452,[5]库存使用数据!$A:$H,8,0),0)</f>
        <v>1523</v>
      </c>
      <c r="I452" s="1">
        <f ca="1">IFERROR(VLOOKUP($A452,[1]库存使用数据!$A:$I,9,0),0)+IFERROR(VLOOKUP($A452,[2]库存使用数据!$A:$I,9,0),0)+IFERROR(VLOOKUP($A452,[3]库存使用数据!$A:$I,9,0),0)+IFERROR(VLOOKUP($A452,[4]库存使用数据!$A:$I,9,0),0)+IFERROR(VLOOKUP($A452,[5]库存使用数据!$A:$I,9,0),0)</f>
        <v>4</v>
      </c>
      <c r="J452" s="1">
        <f ca="1">IFERROR(VLOOKUP($A452,[1]库存使用数据!$A:$J,10,0),0)+IFERROR(VLOOKUP($A452,[2]库存使用数据!$A:$J,10,0),0)+公式!$B$14*IFERROR(VLOOKUP($A452,[3]库存使用数据!$A:$J,10,0),0)+IFERROR(VLOOKUP($A452,[4]库存使用数据!$A:$J,10,0),0)+IFERROR(VLOOKUP($A452,[5]库存使用数据!$A:$J,10,0),0)</f>
        <v>0</v>
      </c>
      <c r="K452" s="1">
        <f ca="1">IFERROR(VLOOKUP($A452,[1]库存使用数据!$A:$K,11,0),0)+IFERROR(VLOOKUP($A452,[2]库存使用数据!$A:$K,11,0),0)+IFERROR(VLOOKUP($A452,[3]库存使用数据!$A:$K,11,0),0)+IFERROR(VLOOKUP($A452,[4]库存使用数据!$A:$K,11,0),0)+IFERROR(VLOOKUP($A452,[5]库存使用数据!$A:$K,11,0),0)</f>
        <v>786</v>
      </c>
      <c r="L452" s="1">
        <f ca="1">IFERROR(VLOOKUP($A452,[1]库存使用数据!$A:$L,12,0),0)+IFERROR(VLOOKUP($A452,[2]库存使用数据!$A:$L,12,0),0)+IFERROR(VLOOKUP($A452,[3]库存使用数据!$A:$L,12,0),0)+IFERROR(VLOOKUP($A452,[4]库存使用数据!$A:$L,12,0),0)+IFERROR(VLOOKUP($A452,[5]库存使用数据!$A:$L,12,0),0)</f>
        <v>5</v>
      </c>
      <c r="M452" s="1">
        <f ca="1">IFERROR(VLOOKUP($A452,[1]库存使用数据!$A:$M,13,0),0)+IFERROR(VLOOKUP($A452,[2]库存使用数据!$A:$M,13,0),0)+公式!$B$14*IFERROR(VLOOKUP($A452,[3]库存使用数据!$A:$M,13,0),0)+IFERROR(VLOOKUP($A452,[4]库存使用数据!$A:$M,13,0),0)+IFERROR(VLOOKUP($A452,[5]库存使用数据!$A:$M,13,0),0)</f>
        <v>0</v>
      </c>
    </row>
    <row r="453" spans="1:13">
      <c r="A453" s="6" t="s">
        <v>458</v>
      </c>
      <c r="B453" s="2">
        <f ca="1">IFERROR(VLOOKUP(A453,[1]库存使用数据!$A:$B,2,0),0)+IFERROR(VLOOKUP(A453,[2]库存使用数据!$A:$B,2,0),0)+IFERROR(VLOOKUP(,[3]库存使用数据!$A:$B,2,0),0)+IFERROR(VLOOKUP(A453,[4]库存使用数据!$A:$B,2,0),0)+IFERROR(VLOOKUP(A453,[5]库存使用数据!$A:$B,2,0),0)</f>
        <v>0</v>
      </c>
      <c r="C453" s="1">
        <f ca="1">IFERROR(VLOOKUP($A453,[1]库存使用数据!$A:$C,3,0),0)+IFERROR(VLOOKUP($A453,[2]库存使用数据!$A:$C,3,0),0)+IFERROR(VLOOKUP($A453,[3]库存使用数据!$A:$C,3,0),0)+IFERROR(VLOOKUP($A453,[4]库存使用数据!$A:$C,3,0),0)+IFERROR(VLOOKUP($A453,[5]库存使用数据!$A:$C,3,0),0)</f>
        <v>2</v>
      </c>
      <c r="D453" s="1">
        <f ca="1">IFERROR(VLOOKUP($A453,[1]库存使用数据!$A:$D,4,0),0)+IFERROR(VLOOKUP($A453,[2]库存使用数据!$A:$D,4,0),0)+公式!$B$1*IFERROR(VLOOKUP($A453,[3]库存使用数据!$A:$D,4,0),0)+IFERROR(VLOOKUP($A453,[4]库存使用数据!$A:$D,4,0),0)+IFERROR(VLOOKUP($A453,[5]库存使用数据!$A:$D,4,0),0)</f>
        <v>0.21375</v>
      </c>
      <c r="E453" s="1">
        <f ca="1">IFERROR(VLOOKUP($A453,[1]库存使用数据!$A:$E,5,0),0)+IFERROR(VLOOKUP($A453,[2]库存使用数据!$A:$E,5,0),0)+IFERROR(VLOOKUP($A453,[3]库存使用数据!$A:$E,5,0),0)+IFERROR(VLOOKUP($A453,[4]库存使用数据!$A:$E,5,0),0)+IFERROR(VLOOKUP($A453,[5]库存使用数据!$A:$E,5,0),0)</f>
        <v>51</v>
      </c>
      <c r="F453" s="1">
        <f ca="1">IFERROR(VLOOKUP($A453,[1]库存使用数据!$A:$F,6,0),0)+IFERROR(VLOOKUP($A453,[2]库存使用数据!$A:$F,6,0),0)+IFERROR(VLOOKUP($A453,[4]库存使用数据!$A:$F,6,0),0)+IFERROR(VLOOKUP($A453,[3]库存使用数据!$A:$F,6,0),0)+IFERROR(VLOOKUP($A453,[5]库存使用数据!$A:$F,6,0),0)</f>
        <v>2</v>
      </c>
      <c r="G453" s="1">
        <f ca="1">IFERROR(VLOOKUP($A453,[1]库存使用数据!$A:$G,7,0),0)+IFERROR(VLOOKUP($A453,[2]库存使用数据!$A:$G,7,0),0)+公式!$B$14*IFERROR(VLOOKUP($A453,[3]库存使用数据!$A:$G,7,0),0)+IFERROR(VLOOKUP($A453,[4]库存使用数据!$A:$G,7,0),0)+IFERROR(VLOOKUP($A453,[5]库存使用数据!$A:$G,7,0),0)</f>
        <v>0</v>
      </c>
      <c r="H453" s="1">
        <f ca="1">IFERROR(VLOOKUP($A453,[1]库存使用数据!$A:$H,8,0),0)+IFERROR(VLOOKUP($A453,[2]库存使用数据!$A:$H,8,0),0)+IFERROR(VLOOKUP($A453,[3]库存使用数据!$A:$H,8,0),0)+IFERROR(VLOOKUP($A453,[4]库存使用数据!$A:$H,8,0),0)+IFERROR(VLOOKUP($A453,[5]库存使用数据!$A:$H,8,0),0)</f>
        <v>49</v>
      </c>
      <c r="I453" s="1">
        <f ca="1">IFERROR(VLOOKUP($A453,[1]库存使用数据!$A:$I,9,0),0)+IFERROR(VLOOKUP($A453,[2]库存使用数据!$A:$I,9,0),0)+IFERROR(VLOOKUP($A453,[3]库存使用数据!$A:$I,9,0),0)+IFERROR(VLOOKUP($A453,[4]库存使用数据!$A:$I,9,0),0)+IFERROR(VLOOKUP($A453,[5]库存使用数据!$A:$I,9,0),0)</f>
        <v>1</v>
      </c>
      <c r="J453" s="1">
        <f ca="1">IFERROR(VLOOKUP($A453,[1]库存使用数据!$A:$J,10,0),0)+IFERROR(VLOOKUP($A453,[2]库存使用数据!$A:$J,10,0),0)+公式!$B$14*IFERROR(VLOOKUP($A453,[3]库存使用数据!$A:$J,10,0),0)+IFERROR(VLOOKUP($A453,[4]库存使用数据!$A:$J,10,0),0)+IFERROR(VLOOKUP($A453,[5]库存使用数据!$A:$J,10,0),0)</f>
        <v>0</v>
      </c>
      <c r="K453" s="1">
        <f ca="1">IFERROR(VLOOKUP($A453,[1]库存使用数据!$A:$K,11,0),0)+IFERROR(VLOOKUP($A453,[2]库存使用数据!$A:$K,11,0),0)+IFERROR(VLOOKUP($A453,[3]库存使用数据!$A:$K,11,0),0)+IFERROR(VLOOKUP($A453,[4]库存使用数据!$A:$K,11,0),0)+IFERROR(VLOOKUP($A453,[5]库存使用数据!$A:$K,11,0),0)</f>
        <v>99</v>
      </c>
      <c r="L453" s="1">
        <f ca="1">IFERROR(VLOOKUP($A453,[1]库存使用数据!$A:$L,12,0),0)+IFERROR(VLOOKUP($A453,[2]库存使用数据!$A:$L,12,0),0)+IFERROR(VLOOKUP($A453,[3]库存使用数据!$A:$L,12,0),0)+IFERROR(VLOOKUP($A453,[4]库存使用数据!$A:$L,12,0),0)+IFERROR(VLOOKUP($A453,[5]库存使用数据!$A:$L,12,0),0)</f>
        <v>1</v>
      </c>
      <c r="M453" s="1">
        <f ca="1">IFERROR(VLOOKUP($A453,[1]库存使用数据!$A:$M,13,0),0)+IFERROR(VLOOKUP($A453,[2]库存使用数据!$A:$M,13,0),0)+公式!$B$14*IFERROR(VLOOKUP($A453,[3]库存使用数据!$A:$M,13,0),0)+IFERROR(VLOOKUP($A453,[4]库存使用数据!$A:$M,13,0),0)+IFERROR(VLOOKUP($A453,[5]库存使用数据!$A:$M,13,0),0)</f>
        <v>0</v>
      </c>
    </row>
    <row r="454" spans="1:13">
      <c r="A454" s="6" t="s">
        <v>459</v>
      </c>
      <c r="B454" s="2">
        <f ca="1">IFERROR(VLOOKUP(A454,[1]库存使用数据!$A:$B,2,0),0)+IFERROR(VLOOKUP(A454,[2]库存使用数据!$A:$B,2,0),0)+IFERROR(VLOOKUP(,[3]库存使用数据!$A:$B,2,0),0)+IFERROR(VLOOKUP(A454,[4]库存使用数据!$A:$B,2,0),0)+IFERROR(VLOOKUP(A454,[5]库存使用数据!$A:$B,2,0),0)</f>
        <v>0</v>
      </c>
      <c r="C454" s="1">
        <f ca="1">IFERROR(VLOOKUP($A454,[1]库存使用数据!$A:$C,3,0),0)+IFERROR(VLOOKUP($A454,[2]库存使用数据!$A:$C,3,0),0)+IFERROR(VLOOKUP($A454,[3]库存使用数据!$A:$C,3,0),0)+IFERROR(VLOOKUP($A454,[4]库存使用数据!$A:$C,3,0),0)+IFERROR(VLOOKUP($A454,[5]库存使用数据!$A:$C,3,0),0)</f>
        <v>1</v>
      </c>
      <c r="D454" s="1">
        <f ca="1">IFERROR(VLOOKUP($A454,[1]库存使用数据!$A:$D,4,0),0)+IFERROR(VLOOKUP($A454,[2]库存使用数据!$A:$D,4,0),0)+公式!$B$1*IFERROR(VLOOKUP($A454,[3]库存使用数据!$A:$D,4,0),0)+IFERROR(VLOOKUP($A454,[4]库存使用数据!$A:$D,4,0),0)+IFERROR(VLOOKUP($A454,[5]库存使用数据!$A:$D,4,0),0)</f>
        <v>0.19125</v>
      </c>
      <c r="E454" s="1">
        <f ca="1">IFERROR(VLOOKUP($A454,[1]库存使用数据!$A:$E,5,0),0)+IFERROR(VLOOKUP($A454,[2]库存使用数据!$A:$E,5,0),0)+IFERROR(VLOOKUP($A454,[3]库存使用数据!$A:$E,5,0),0)+IFERROR(VLOOKUP($A454,[4]库存使用数据!$A:$E,5,0),0)+IFERROR(VLOOKUP($A454,[5]库存使用数据!$A:$E,5,0),0)</f>
        <v>209</v>
      </c>
      <c r="F454" s="1">
        <f ca="1">IFERROR(VLOOKUP($A454,[1]库存使用数据!$A:$F,6,0),0)+IFERROR(VLOOKUP($A454,[2]库存使用数据!$A:$F,6,0),0)+IFERROR(VLOOKUP($A454,[4]库存使用数据!$A:$F,6,0),0)+IFERROR(VLOOKUP($A454,[3]库存使用数据!$A:$F,6,0),0)+IFERROR(VLOOKUP($A454,[5]库存使用数据!$A:$F,6,0),0)</f>
        <v>1</v>
      </c>
      <c r="G454" s="1">
        <f ca="1">IFERROR(VLOOKUP($A454,[1]库存使用数据!$A:$G,7,0),0)+IFERROR(VLOOKUP($A454,[2]库存使用数据!$A:$G,7,0),0)+公式!$B$14*IFERROR(VLOOKUP($A454,[3]库存使用数据!$A:$G,7,0),0)+IFERROR(VLOOKUP($A454,[4]库存使用数据!$A:$G,7,0),0)+IFERROR(VLOOKUP($A454,[5]库存使用数据!$A:$G,7,0),0)</f>
        <v>0</v>
      </c>
      <c r="H454" s="1">
        <f ca="1">IFERROR(VLOOKUP($A454,[1]库存使用数据!$A:$H,8,0),0)+IFERROR(VLOOKUP($A454,[2]库存使用数据!$A:$H,8,0),0)+IFERROR(VLOOKUP($A454,[3]库存使用数据!$A:$H,8,0),0)+IFERROR(VLOOKUP($A454,[4]库存使用数据!$A:$H,8,0),0)+IFERROR(VLOOKUP($A454,[5]库存使用数据!$A:$H,8,0),0)</f>
        <v>1255</v>
      </c>
      <c r="I454" s="1">
        <f ca="1">IFERROR(VLOOKUP($A454,[1]库存使用数据!$A:$I,9,0),0)+IFERROR(VLOOKUP($A454,[2]库存使用数据!$A:$I,9,0),0)+IFERROR(VLOOKUP($A454,[3]库存使用数据!$A:$I,9,0),0)+IFERROR(VLOOKUP($A454,[4]库存使用数据!$A:$I,9,0),0)+IFERROR(VLOOKUP($A454,[5]库存使用数据!$A:$I,9,0),0)</f>
        <v>5</v>
      </c>
      <c r="J454" s="1">
        <f ca="1">IFERROR(VLOOKUP($A454,[1]库存使用数据!$A:$J,10,0),0)+IFERROR(VLOOKUP($A454,[2]库存使用数据!$A:$J,10,0),0)+公式!$B$14*IFERROR(VLOOKUP($A454,[3]库存使用数据!$A:$J,10,0),0)+IFERROR(VLOOKUP($A454,[4]库存使用数据!$A:$J,10,0),0)+IFERROR(VLOOKUP($A454,[5]库存使用数据!$A:$J,10,0),0)</f>
        <v>0</v>
      </c>
      <c r="K454" s="1">
        <f ca="1">IFERROR(VLOOKUP($A454,[1]库存使用数据!$A:$K,11,0),0)+IFERROR(VLOOKUP($A454,[2]库存使用数据!$A:$K,11,0),0)+IFERROR(VLOOKUP($A454,[3]库存使用数据!$A:$K,11,0),0)+IFERROR(VLOOKUP($A454,[4]库存使用数据!$A:$K,11,0),0)+IFERROR(VLOOKUP($A454,[5]库存使用数据!$A:$K,11,0),0)</f>
        <v>1146</v>
      </c>
      <c r="L454" s="1">
        <f ca="1">IFERROR(VLOOKUP($A454,[1]库存使用数据!$A:$L,12,0),0)+IFERROR(VLOOKUP($A454,[2]库存使用数据!$A:$L,12,0),0)+IFERROR(VLOOKUP($A454,[3]库存使用数据!$A:$L,12,0),0)+IFERROR(VLOOKUP($A454,[4]库存使用数据!$A:$L,12,0),0)+IFERROR(VLOOKUP($A454,[5]库存使用数据!$A:$L,12,0),0)</f>
        <v>8</v>
      </c>
      <c r="M454" s="1">
        <f ca="1">IFERROR(VLOOKUP($A454,[1]库存使用数据!$A:$M,13,0),0)+IFERROR(VLOOKUP($A454,[2]库存使用数据!$A:$M,13,0),0)+公式!$B$14*IFERROR(VLOOKUP($A454,[3]库存使用数据!$A:$M,13,0),0)+IFERROR(VLOOKUP($A454,[4]库存使用数据!$A:$M,13,0),0)+IFERROR(VLOOKUP($A454,[5]库存使用数据!$A:$M,13,0),0)</f>
        <v>0</v>
      </c>
    </row>
    <row r="455" spans="1:13">
      <c r="A455" s="6" t="s">
        <v>460</v>
      </c>
      <c r="B455" s="2">
        <f ca="1">IFERROR(VLOOKUP(A455,[1]库存使用数据!$A:$B,2,0),0)+IFERROR(VLOOKUP(A455,[2]库存使用数据!$A:$B,2,0),0)+IFERROR(VLOOKUP(,[3]库存使用数据!$A:$B,2,0),0)+IFERROR(VLOOKUP(A455,[4]库存使用数据!$A:$B,2,0),0)+IFERROR(VLOOKUP(A455,[5]库存使用数据!$A:$B,2,0),0)</f>
        <v>0</v>
      </c>
      <c r="C455" s="1">
        <f ca="1">IFERROR(VLOOKUP($A455,[1]库存使用数据!$A:$C,3,0),0)+IFERROR(VLOOKUP($A455,[2]库存使用数据!$A:$C,3,0),0)+IFERROR(VLOOKUP($A455,[3]库存使用数据!$A:$C,3,0),0)+IFERROR(VLOOKUP($A455,[4]库存使用数据!$A:$C,3,0),0)+IFERROR(VLOOKUP($A455,[5]库存使用数据!$A:$C,3,0),0)</f>
        <v>80</v>
      </c>
      <c r="D455" s="1">
        <f ca="1">IFERROR(VLOOKUP($A455,[1]库存使用数据!$A:$D,4,0),0)+IFERROR(VLOOKUP($A455,[2]库存使用数据!$A:$D,4,0),0)+公式!$B$1*IFERROR(VLOOKUP($A455,[3]库存使用数据!$A:$D,4,0),0)+IFERROR(VLOOKUP($A455,[4]库存使用数据!$A:$D,4,0),0)+IFERROR(VLOOKUP($A455,[5]库存使用数据!$A:$D,4,0),0)</f>
        <v>12.51</v>
      </c>
      <c r="E455" s="1">
        <f ca="1">IFERROR(VLOOKUP($A455,[1]库存使用数据!$A:$E,5,0),0)+IFERROR(VLOOKUP($A455,[2]库存使用数据!$A:$E,5,0),0)+IFERROR(VLOOKUP($A455,[3]库存使用数据!$A:$E,5,0),0)+IFERROR(VLOOKUP($A455,[4]库存使用数据!$A:$E,5,0),0)+IFERROR(VLOOKUP($A455,[5]库存使用数据!$A:$E,5,0),0)</f>
        <v>18448</v>
      </c>
      <c r="F455" s="1">
        <f ca="1">IFERROR(VLOOKUP($A455,[1]库存使用数据!$A:$F,6,0),0)+IFERROR(VLOOKUP($A455,[2]库存使用数据!$A:$F,6,0),0)+IFERROR(VLOOKUP($A455,[4]库存使用数据!$A:$F,6,0),0)+IFERROR(VLOOKUP($A455,[3]库存使用数据!$A:$F,6,0),0)+IFERROR(VLOOKUP($A455,[5]库存使用数据!$A:$F,6,0),0)</f>
        <v>69</v>
      </c>
      <c r="G455" s="1">
        <f ca="1">IFERROR(VLOOKUP($A455,[1]库存使用数据!$A:$G,7,0),0)+IFERROR(VLOOKUP($A455,[2]库存使用数据!$A:$G,7,0),0)+公式!$B$14*IFERROR(VLOOKUP($A455,[3]库存使用数据!$A:$G,7,0),0)+IFERROR(VLOOKUP($A455,[4]库存使用数据!$A:$G,7,0),0)+IFERROR(VLOOKUP($A455,[5]库存使用数据!$A:$G,7,0),0)</f>
        <v>0</v>
      </c>
      <c r="H455" s="1">
        <f ca="1">IFERROR(VLOOKUP($A455,[1]库存使用数据!$A:$H,8,0),0)+IFERROR(VLOOKUP($A455,[2]库存使用数据!$A:$H,8,0),0)+IFERROR(VLOOKUP($A455,[3]库存使用数据!$A:$H,8,0),0)+IFERROR(VLOOKUP($A455,[4]库存使用数据!$A:$H,8,0),0)+IFERROR(VLOOKUP($A455,[5]库存使用数据!$A:$H,8,0),0)</f>
        <v>1553</v>
      </c>
      <c r="I455" s="1">
        <f ca="1">IFERROR(VLOOKUP($A455,[1]库存使用数据!$A:$I,9,0),0)+IFERROR(VLOOKUP($A455,[2]库存使用数据!$A:$I,9,0),0)+IFERROR(VLOOKUP($A455,[3]库存使用数据!$A:$I,9,0),0)+IFERROR(VLOOKUP($A455,[4]库存使用数据!$A:$I,9,0),0)+IFERROR(VLOOKUP($A455,[5]库存使用数据!$A:$I,9,0),0)</f>
        <v>21</v>
      </c>
      <c r="J455" s="1">
        <f ca="1">IFERROR(VLOOKUP($A455,[1]库存使用数据!$A:$J,10,0),0)+IFERROR(VLOOKUP($A455,[2]库存使用数据!$A:$J,10,0),0)+公式!$B$14*IFERROR(VLOOKUP($A455,[3]库存使用数据!$A:$J,10,0),0)+IFERROR(VLOOKUP($A455,[4]库存使用数据!$A:$J,10,0),0)+IFERROR(VLOOKUP($A455,[5]库存使用数据!$A:$J,10,0),0)</f>
        <v>0</v>
      </c>
      <c r="K455" s="1">
        <f ca="1">IFERROR(VLOOKUP($A455,[1]库存使用数据!$A:$K,11,0),0)+IFERROR(VLOOKUP($A455,[2]库存使用数据!$A:$K,11,0),0)+IFERROR(VLOOKUP($A455,[3]库存使用数据!$A:$K,11,0),0)+IFERROR(VLOOKUP($A455,[4]库存使用数据!$A:$K,11,0),0)+IFERROR(VLOOKUP($A455,[5]库存使用数据!$A:$K,11,0),0)</f>
        <v>2067</v>
      </c>
      <c r="L455" s="1">
        <f ca="1">IFERROR(VLOOKUP($A455,[1]库存使用数据!$A:$L,12,0),0)+IFERROR(VLOOKUP($A455,[2]库存使用数据!$A:$L,12,0),0)+IFERROR(VLOOKUP($A455,[3]库存使用数据!$A:$L,12,0),0)+IFERROR(VLOOKUP($A455,[4]库存使用数据!$A:$L,12,0),0)+IFERROR(VLOOKUP($A455,[5]库存使用数据!$A:$L,12,0),0)</f>
        <v>13</v>
      </c>
      <c r="M455" s="1">
        <f ca="1">IFERROR(VLOOKUP($A455,[1]库存使用数据!$A:$M,13,0),0)+IFERROR(VLOOKUP($A455,[2]库存使用数据!$A:$M,13,0),0)+公式!$B$14*IFERROR(VLOOKUP($A455,[3]库存使用数据!$A:$M,13,0),0)+IFERROR(VLOOKUP($A455,[4]库存使用数据!$A:$M,13,0),0)+IFERROR(VLOOKUP($A455,[5]库存使用数据!$A:$M,13,0),0)</f>
        <v>0</v>
      </c>
    </row>
    <row r="456" spans="1:13">
      <c r="A456" s="6" t="s">
        <v>461</v>
      </c>
      <c r="B456" s="2">
        <f ca="1">IFERROR(VLOOKUP(A456,[1]库存使用数据!$A:$B,2,0),0)+IFERROR(VLOOKUP(A456,[2]库存使用数据!$A:$B,2,0),0)+IFERROR(VLOOKUP(,[3]库存使用数据!$A:$B,2,0),0)+IFERROR(VLOOKUP(A456,[4]库存使用数据!$A:$B,2,0),0)+IFERROR(VLOOKUP(A456,[5]库存使用数据!$A:$B,2,0),0)</f>
        <v>0</v>
      </c>
      <c r="C456" s="1">
        <f ca="1">IFERROR(VLOOKUP($A456,[1]库存使用数据!$A:$C,3,0),0)+IFERROR(VLOOKUP($A456,[2]库存使用数据!$A:$C,3,0),0)+IFERROR(VLOOKUP($A456,[3]库存使用数据!$A:$C,3,0),0)+IFERROR(VLOOKUP($A456,[4]库存使用数据!$A:$C,3,0),0)+IFERROR(VLOOKUP($A456,[5]库存使用数据!$A:$C,3,0),0)</f>
        <v>3</v>
      </c>
      <c r="D456" s="1">
        <f ca="1">IFERROR(VLOOKUP($A456,[1]库存使用数据!$A:$D,4,0),0)+IFERROR(VLOOKUP($A456,[2]库存使用数据!$A:$D,4,0),0)+公式!$B$1*IFERROR(VLOOKUP($A456,[3]库存使用数据!$A:$D,4,0),0)+IFERROR(VLOOKUP($A456,[4]库存使用数据!$A:$D,4,0),0)+IFERROR(VLOOKUP($A456,[5]库存使用数据!$A:$D,4,0),0)</f>
        <v>0.34875</v>
      </c>
      <c r="E456" s="1">
        <f ca="1">IFERROR(VLOOKUP($A456,[1]库存使用数据!$A:$E,5,0),0)+IFERROR(VLOOKUP($A456,[2]库存使用数据!$A:$E,5,0),0)+IFERROR(VLOOKUP($A456,[3]库存使用数据!$A:$E,5,0),0)+IFERROR(VLOOKUP($A456,[4]库存使用数据!$A:$E,5,0),0)+IFERROR(VLOOKUP($A456,[5]库存使用数据!$A:$E,5,0),0)</f>
        <v>235</v>
      </c>
      <c r="F456" s="1">
        <f ca="1">IFERROR(VLOOKUP($A456,[1]库存使用数据!$A:$F,6,0),0)+IFERROR(VLOOKUP($A456,[2]库存使用数据!$A:$F,6,0),0)+IFERROR(VLOOKUP($A456,[4]库存使用数据!$A:$F,6,0),0)+IFERROR(VLOOKUP($A456,[3]库存使用数据!$A:$F,6,0),0)+IFERROR(VLOOKUP($A456,[5]库存使用数据!$A:$F,6,0),0)</f>
        <v>4</v>
      </c>
      <c r="G456" s="1">
        <f ca="1">IFERROR(VLOOKUP($A456,[1]库存使用数据!$A:$G,7,0),0)+IFERROR(VLOOKUP($A456,[2]库存使用数据!$A:$G,7,0),0)+公式!$B$14*IFERROR(VLOOKUP($A456,[3]库存使用数据!$A:$G,7,0),0)+IFERROR(VLOOKUP($A456,[4]库存使用数据!$A:$G,7,0),0)+IFERROR(VLOOKUP($A456,[5]库存使用数据!$A:$G,7,0),0)</f>
        <v>0</v>
      </c>
      <c r="H456" s="1">
        <f ca="1">IFERROR(VLOOKUP($A456,[1]库存使用数据!$A:$H,8,0),0)+IFERROR(VLOOKUP($A456,[2]库存使用数据!$A:$H,8,0),0)+IFERROR(VLOOKUP($A456,[3]库存使用数据!$A:$H,8,0),0)+IFERROR(VLOOKUP($A456,[4]库存使用数据!$A:$H,8,0),0)+IFERROR(VLOOKUP($A456,[5]库存使用数据!$A:$H,8,0),0)</f>
        <v>5750</v>
      </c>
      <c r="I456" s="1">
        <f ca="1">IFERROR(VLOOKUP($A456,[1]库存使用数据!$A:$I,9,0),0)+IFERROR(VLOOKUP($A456,[2]库存使用数据!$A:$I,9,0),0)+IFERROR(VLOOKUP($A456,[3]库存使用数据!$A:$I,9,0),0)+IFERROR(VLOOKUP($A456,[4]库存使用数据!$A:$I,9,0),0)+IFERROR(VLOOKUP($A456,[5]库存使用数据!$A:$I,9,0),0)</f>
        <v>26</v>
      </c>
      <c r="J456" s="1">
        <f ca="1">IFERROR(VLOOKUP($A456,[1]库存使用数据!$A:$J,10,0),0)+IFERROR(VLOOKUP($A456,[2]库存使用数据!$A:$J,10,0),0)+公式!$B$14*IFERROR(VLOOKUP($A456,[3]库存使用数据!$A:$J,10,0),0)+IFERROR(VLOOKUP($A456,[4]库存使用数据!$A:$J,10,0),0)+IFERROR(VLOOKUP($A456,[5]库存使用数据!$A:$J,10,0),0)</f>
        <v>0</v>
      </c>
      <c r="K456" s="1">
        <f ca="1">IFERROR(VLOOKUP($A456,[1]库存使用数据!$A:$K,11,0),0)+IFERROR(VLOOKUP($A456,[2]库存使用数据!$A:$K,11,0),0)+IFERROR(VLOOKUP($A456,[3]库存使用数据!$A:$K,11,0),0)+IFERROR(VLOOKUP($A456,[4]库存使用数据!$A:$K,11,0),0)+IFERROR(VLOOKUP($A456,[5]库存使用数据!$A:$K,11,0),0)</f>
        <v>1699</v>
      </c>
      <c r="L456" s="1">
        <f ca="1">IFERROR(VLOOKUP($A456,[1]库存使用数据!$A:$L,12,0),0)+IFERROR(VLOOKUP($A456,[2]库存使用数据!$A:$L,12,0),0)+IFERROR(VLOOKUP($A456,[3]库存使用数据!$A:$L,12,0),0)+IFERROR(VLOOKUP($A456,[4]库存使用数据!$A:$L,12,0),0)+IFERROR(VLOOKUP($A456,[5]库存使用数据!$A:$L,12,0),0)</f>
        <v>8</v>
      </c>
      <c r="M456" s="1">
        <f ca="1">IFERROR(VLOOKUP($A456,[1]库存使用数据!$A:$M,13,0),0)+IFERROR(VLOOKUP($A456,[2]库存使用数据!$A:$M,13,0),0)+公式!$B$14*IFERROR(VLOOKUP($A456,[3]库存使用数据!$A:$M,13,0),0)+IFERROR(VLOOKUP($A456,[4]库存使用数据!$A:$M,13,0),0)+IFERROR(VLOOKUP($A456,[5]库存使用数据!$A:$M,13,0),0)</f>
        <v>0</v>
      </c>
    </row>
    <row r="457" spans="1:13">
      <c r="A457" s="6" t="s">
        <v>462</v>
      </c>
      <c r="B457" s="2">
        <f ca="1">IFERROR(VLOOKUP(A457,[1]库存使用数据!$A:$B,2,0),0)+IFERROR(VLOOKUP(A457,[2]库存使用数据!$A:$B,2,0),0)+IFERROR(VLOOKUP(,[3]库存使用数据!$A:$B,2,0),0)+IFERROR(VLOOKUP(A457,[4]库存使用数据!$A:$B,2,0),0)+IFERROR(VLOOKUP(A457,[5]库存使用数据!$A:$B,2,0),0)</f>
        <v>0</v>
      </c>
      <c r="C457" s="1">
        <f ca="1">IFERROR(VLOOKUP($A457,[1]库存使用数据!$A:$C,3,0),0)+IFERROR(VLOOKUP($A457,[2]库存使用数据!$A:$C,3,0),0)+IFERROR(VLOOKUP($A457,[3]库存使用数据!$A:$C,3,0),0)+IFERROR(VLOOKUP($A457,[4]库存使用数据!$A:$C,3,0),0)+IFERROR(VLOOKUP($A457,[5]库存使用数据!$A:$C,3,0),0)</f>
        <v>3</v>
      </c>
      <c r="D457" s="1">
        <f ca="1">IFERROR(VLOOKUP($A457,[1]库存使用数据!$A:$D,4,0),0)+IFERROR(VLOOKUP($A457,[2]库存使用数据!$A:$D,4,0),0)+公式!$B$1*IFERROR(VLOOKUP($A457,[3]库存使用数据!$A:$D,4,0),0)+IFERROR(VLOOKUP($A457,[4]库存使用数据!$A:$D,4,0),0)+IFERROR(VLOOKUP($A457,[5]库存使用数据!$A:$D,4,0),0)</f>
        <v>0.4275</v>
      </c>
      <c r="E457" s="1">
        <f ca="1">IFERROR(VLOOKUP($A457,[1]库存使用数据!$A:$E,5,0),0)+IFERROR(VLOOKUP($A457,[2]库存使用数据!$A:$E,5,0),0)+IFERROR(VLOOKUP($A457,[3]库存使用数据!$A:$E,5,0),0)+IFERROR(VLOOKUP($A457,[4]库存使用数据!$A:$E,5,0),0)+IFERROR(VLOOKUP($A457,[5]库存使用数据!$A:$E,5,0),0)</f>
        <v>407</v>
      </c>
      <c r="F457" s="1">
        <f ca="1">IFERROR(VLOOKUP($A457,[1]库存使用数据!$A:$F,6,0),0)+IFERROR(VLOOKUP($A457,[2]库存使用数据!$A:$F,6,0),0)+IFERROR(VLOOKUP($A457,[4]库存使用数据!$A:$F,6,0),0)+IFERROR(VLOOKUP($A457,[3]库存使用数据!$A:$F,6,0),0)+IFERROR(VLOOKUP($A457,[5]库存使用数据!$A:$F,6,0),0)</f>
        <v>1</v>
      </c>
      <c r="G457" s="1">
        <f ca="1">IFERROR(VLOOKUP($A457,[1]库存使用数据!$A:$G,7,0),0)+IFERROR(VLOOKUP($A457,[2]库存使用数据!$A:$G,7,0),0)+公式!$B$14*IFERROR(VLOOKUP($A457,[3]库存使用数据!$A:$G,7,0),0)+IFERROR(VLOOKUP($A457,[4]库存使用数据!$A:$G,7,0),0)+IFERROR(VLOOKUP($A457,[5]库存使用数据!$A:$G,7,0),0)</f>
        <v>0</v>
      </c>
      <c r="H457" s="1">
        <f ca="1">IFERROR(VLOOKUP($A457,[1]库存使用数据!$A:$H,8,0),0)+IFERROR(VLOOKUP($A457,[2]库存使用数据!$A:$H,8,0),0)+IFERROR(VLOOKUP($A457,[3]库存使用数据!$A:$H,8,0),0)+IFERROR(VLOOKUP($A457,[4]库存使用数据!$A:$H,8,0),0)+IFERROR(VLOOKUP($A457,[5]库存使用数据!$A:$H,8,0),0)</f>
        <v>769</v>
      </c>
      <c r="I457" s="1">
        <f ca="1">IFERROR(VLOOKUP($A457,[1]库存使用数据!$A:$I,9,0),0)+IFERROR(VLOOKUP($A457,[2]库存使用数据!$A:$I,9,0),0)+IFERROR(VLOOKUP($A457,[3]库存使用数据!$A:$I,9,0),0)+IFERROR(VLOOKUP($A457,[4]库存使用数据!$A:$I,9,0),0)+IFERROR(VLOOKUP($A457,[5]库存使用数据!$A:$I,9,0),0)</f>
        <v>6</v>
      </c>
      <c r="J457" s="1">
        <f ca="1">IFERROR(VLOOKUP($A457,[1]库存使用数据!$A:$J,10,0),0)+IFERROR(VLOOKUP($A457,[2]库存使用数据!$A:$J,10,0),0)+公式!$B$14*IFERROR(VLOOKUP($A457,[3]库存使用数据!$A:$J,10,0),0)+IFERROR(VLOOKUP($A457,[4]库存使用数据!$A:$J,10,0),0)+IFERROR(VLOOKUP($A457,[5]库存使用数据!$A:$J,10,0),0)</f>
        <v>0</v>
      </c>
      <c r="K457" s="1">
        <f ca="1">IFERROR(VLOOKUP($A457,[1]库存使用数据!$A:$K,11,0),0)+IFERROR(VLOOKUP($A457,[2]库存使用数据!$A:$K,11,0),0)+IFERROR(VLOOKUP($A457,[3]库存使用数据!$A:$K,11,0),0)+IFERROR(VLOOKUP($A457,[4]库存使用数据!$A:$K,11,0),0)+IFERROR(VLOOKUP($A457,[5]库存使用数据!$A:$K,11,0),0)</f>
        <v>1276</v>
      </c>
      <c r="L457" s="1">
        <f ca="1">IFERROR(VLOOKUP($A457,[1]库存使用数据!$A:$L,12,0),0)+IFERROR(VLOOKUP($A457,[2]库存使用数据!$A:$L,12,0),0)+IFERROR(VLOOKUP($A457,[3]库存使用数据!$A:$L,12,0),0)+IFERROR(VLOOKUP($A457,[4]库存使用数据!$A:$L,12,0),0)+IFERROR(VLOOKUP($A457,[5]库存使用数据!$A:$L,12,0),0)</f>
        <v>3</v>
      </c>
      <c r="M457" s="1">
        <f ca="1">IFERROR(VLOOKUP($A457,[1]库存使用数据!$A:$M,13,0),0)+IFERROR(VLOOKUP($A457,[2]库存使用数据!$A:$M,13,0),0)+公式!$B$14*IFERROR(VLOOKUP($A457,[3]库存使用数据!$A:$M,13,0),0)+IFERROR(VLOOKUP($A457,[4]库存使用数据!$A:$M,13,0),0)+IFERROR(VLOOKUP($A457,[5]库存使用数据!$A:$M,13,0),0)</f>
        <v>0</v>
      </c>
    </row>
    <row r="458" spans="1:13">
      <c r="A458" s="6" t="s">
        <v>463</v>
      </c>
      <c r="B458" s="2">
        <f ca="1">IFERROR(VLOOKUP(A458,[1]库存使用数据!$A:$B,2,0),0)+IFERROR(VLOOKUP(A458,[2]库存使用数据!$A:$B,2,0),0)+IFERROR(VLOOKUP(,[3]库存使用数据!$A:$B,2,0),0)+IFERROR(VLOOKUP(A458,[4]库存使用数据!$A:$B,2,0),0)+IFERROR(VLOOKUP(A458,[5]库存使用数据!$A:$B,2,0),0)</f>
        <v>0</v>
      </c>
      <c r="C458" s="1">
        <f ca="1">IFERROR(VLOOKUP($A458,[1]库存使用数据!$A:$C,3,0),0)+IFERROR(VLOOKUP($A458,[2]库存使用数据!$A:$C,3,0),0)+IFERROR(VLOOKUP($A458,[3]库存使用数据!$A:$C,3,0),0)+IFERROR(VLOOKUP($A458,[4]库存使用数据!$A:$C,3,0),0)+IFERROR(VLOOKUP($A458,[5]库存使用数据!$A:$C,3,0),0)</f>
        <v>1</v>
      </c>
      <c r="D458" s="1">
        <f ca="1">IFERROR(VLOOKUP($A458,[1]库存使用数据!$A:$D,4,0),0)+IFERROR(VLOOKUP($A458,[2]库存使用数据!$A:$D,4,0),0)+公式!$B$1*IFERROR(VLOOKUP($A458,[3]库存使用数据!$A:$D,4,0),0)+IFERROR(VLOOKUP($A458,[4]库存使用数据!$A:$D,4,0),0)+IFERROR(VLOOKUP($A458,[5]库存使用数据!$A:$D,4,0),0)</f>
        <v>0.14625</v>
      </c>
      <c r="E458" s="1">
        <f ca="1">IFERROR(VLOOKUP($A458,[1]库存使用数据!$A:$E,5,0),0)+IFERROR(VLOOKUP($A458,[2]库存使用数据!$A:$E,5,0),0)+IFERROR(VLOOKUP($A458,[3]库存使用数据!$A:$E,5,0),0)+IFERROR(VLOOKUP($A458,[4]库存使用数据!$A:$E,5,0),0)+IFERROR(VLOOKUP($A458,[5]库存使用数据!$A:$E,5,0),0)</f>
        <v>93</v>
      </c>
      <c r="F458" s="1">
        <f ca="1">IFERROR(VLOOKUP($A458,[1]库存使用数据!$A:$F,6,0),0)+IFERROR(VLOOKUP($A458,[2]库存使用数据!$A:$F,6,0),0)+IFERROR(VLOOKUP($A458,[4]库存使用数据!$A:$F,6,0),0)+IFERROR(VLOOKUP($A458,[3]库存使用数据!$A:$F,6,0),0)+IFERROR(VLOOKUP($A458,[5]库存使用数据!$A:$F,6,0),0)</f>
        <v>1</v>
      </c>
      <c r="G458" s="1">
        <f ca="1">IFERROR(VLOOKUP($A458,[1]库存使用数据!$A:$G,7,0),0)+IFERROR(VLOOKUP($A458,[2]库存使用数据!$A:$G,7,0),0)+公式!$B$14*IFERROR(VLOOKUP($A458,[3]库存使用数据!$A:$G,7,0),0)+IFERROR(VLOOKUP($A458,[4]库存使用数据!$A:$G,7,0),0)+IFERROR(VLOOKUP($A458,[5]库存使用数据!$A:$G,7,0),0)</f>
        <v>0</v>
      </c>
      <c r="H458" s="1">
        <f ca="1">IFERROR(VLOOKUP($A458,[1]库存使用数据!$A:$H,8,0),0)+IFERROR(VLOOKUP($A458,[2]库存使用数据!$A:$H,8,0),0)+IFERROR(VLOOKUP($A458,[3]库存使用数据!$A:$H,8,0),0)+IFERROR(VLOOKUP($A458,[4]库存使用数据!$A:$H,8,0),0)+IFERROR(VLOOKUP($A458,[5]库存使用数据!$A:$H,8,0),0)</f>
        <v>3</v>
      </c>
      <c r="I458" s="1">
        <f ca="1">IFERROR(VLOOKUP($A458,[1]库存使用数据!$A:$I,9,0),0)+IFERROR(VLOOKUP($A458,[2]库存使用数据!$A:$I,9,0),0)+IFERROR(VLOOKUP($A458,[3]库存使用数据!$A:$I,9,0),0)+IFERROR(VLOOKUP($A458,[4]库存使用数据!$A:$I,9,0),0)+IFERROR(VLOOKUP($A458,[5]库存使用数据!$A:$I,9,0),0)</f>
        <v>0</v>
      </c>
      <c r="J458" s="1">
        <f ca="1">IFERROR(VLOOKUP($A458,[1]库存使用数据!$A:$J,10,0),0)+IFERROR(VLOOKUP($A458,[2]库存使用数据!$A:$J,10,0),0)+公式!$B$14*IFERROR(VLOOKUP($A458,[3]库存使用数据!$A:$J,10,0),0)+IFERROR(VLOOKUP($A458,[4]库存使用数据!$A:$J,10,0),0)+IFERROR(VLOOKUP($A458,[5]库存使用数据!$A:$J,10,0),0)</f>
        <v>0</v>
      </c>
      <c r="K458" s="1">
        <f ca="1">IFERROR(VLOOKUP($A458,[1]库存使用数据!$A:$K,11,0),0)+IFERROR(VLOOKUP($A458,[2]库存使用数据!$A:$K,11,0),0)+IFERROR(VLOOKUP($A458,[3]库存使用数据!$A:$K,11,0),0)+IFERROR(VLOOKUP($A458,[4]库存使用数据!$A:$K,11,0),0)+IFERROR(VLOOKUP($A458,[5]库存使用数据!$A:$K,11,0),0)</f>
        <v>1808</v>
      </c>
      <c r="L458" s="1">
        <f ca="1">IFERROR(VLOOKUP($A458,[1]库存使用数据!$A:$L,12,0),0)+IFERROR(VLOOKUP($A458,[2]库存使用数据!$A:$L,12,0),0)+IFERROR(VLOOKUP($A458,[3]库存使用数据!$A:$L,12,0),0)+IFERROR(VLOOKUP($A458,[4]库存使用数据!$A:$L,12,0),0)+IFERROR(VLOOKUP($A458,[5]库存使用数据!$A:$L,12,0),0)</f>
        <v>7</v>
      </c>
      <c r="M458" s="1">
        <f ca="1">IFERROR(VLOOKUP($A458,[1]库存使用数据!$A:$M,13,0),0)+IFERROR(VLOOKUP($A458,[2]库存使用数据!$A:$M,13,0),0)+公式!$B$14*IFERROR(VLOOKUP($A458,[3]库存使用数据!$A:$M,13,0),0)+IFERROR(VLOOKUP($A458,[4]库存使用数据!$A:$M,13,0),0)+IFERROR(VLOOKUP($A458,[5]库存使用数据!$A:$M,13,0),0)</f>
        <v>0</v>
      </c>
    </row>
    <row r="459" spans="1:13">
      <c r="A459" s="6" t="s">
        <v>464</v>
      </c>
      <c r="B459" s="2">
        <f ca="1">IFERROR(VLOOKUP(A459,[1]库存使用数据!$A:$B,2,0),0)+IFERROR(VLOOKUP(A459,[2]库存使用数据!$A:$B,2,0),0)+IFERROR(VLOOKUP(,[3]库存使用数据!$A:$B,2,0),0)+IFERROR(VLOOKUP(A459,[4]库存使用数据!$A:$B,2,0),0)+IFERROR(VLOOKUP(A459,[5]库存使用数据!$A:$B,2,0),0)</f>
        <v>0</v>
      </c>
      <c r="C459" s="1">
        <f ca="1">IFERROR(VLOOKUP($A459,[1]库存使用数据!$A:$C,3,0),0)+IFERROR(VLOOKUP($A459,[2]库存使用数据!$A:$C,3,0),0)+IFERROR(VLOOKUP($A459,[3]库存使用数据!$A:$C,3,0),0)+IFERROR(VLOOKUP($A459,[4]库存使用数据!$A:$C,3,0),0)+IFERROR(VLOOKUP($A459,[5]库存使用数据!$A:$C,3,0),0)</f>
        <v>0</v>
      </c>
      <c r="D459" s="1">
        <f ca="1">IFERROR(VLOOKUP($A459,[1]库存使用数据!$A:$D,4,0),0)+IFERROR(VLOOKUP($A459,[2]库存使用数据!$A:$D,4,0),0)+公式!$B$1*IFERROR(VLOOKUP($A459,[3]库存使用数据!$A:$D,4,0),0)+IFERROR(VLOOKUP($A459,[4]库存使用数据!$A:$D,4,0),0)+IFERROR(VLOOKUP($A459,[5]库存使用数据!$A:$D,4,0),0)</f>
        <v>0</v>
      </c>
      <c r="E459" s="1">
        <f ca="1">IFERROR(VLOOKUP($A459,[1]库存使用数据!$A:$E,5,0),0)+IFERROR(VLOOKUP($A459,[2]库存使用数据!$A:$E,5,0),0)+IFERROR(VLOOKUP($A459,[3]库存使用数据!$A:$E,5,0),0)+IFERROR(VLOOKUP($A459,[4]库存使用数据!$A:$E,5,0),0)+IFERROR(VLOOKUP($A459,[5]库存使用数据!$A:$E,5,0),0)</f>
        <v>30</v>
      </c>
      <c r="F459" s="1">
        <f ca="1">IFERROR(VLOOKUP($A459,[1]库存使用数据!$A:$F,6,0),0)+IFERROR(VLOOKUP($A459,[2]库存使用数据!$A:$F,6,0),0)+IFERROR(VLOOKUP($A459,[4]库存使用数据!$A:$F,6,0),0)+IFERROR(VLOOKUP($A459,[3]库存使用数据!$A:$F,6,0),0)+IFERROR(VLOOKUP($A459,[5]库存使用数据!$A:$F,6,0),0)</f>
        <v>0</v>
      </c>
      <c r="G459" s="1">
        <f ca="1">IFERROR(VLOOKUP($A459,[1]库存使用数据!$A:$G,7,0),0)+IFERROR(VLOOKUP($A459,[2]库存使用数据!$A:$G,7,0),0)+公式!$B$14*IFERROR(VLOOKUP($A459,[3]库存使用数据!$A:$G,7,0),0)+IFERROR(VLOOKUP($A459,[4]库存使用数据!$A:$G,7,0),0)+IFERROR(VLOOKUP($A459,[5]库存使用数据!$A:$G,7,0),0)</f>
        <v>0</v>
      </c>
      <c r="H459" s="1">
        <f ca="1">IFERROR(VLOOKUP($A459,[1]库存使用数据!$A:$H,8,0),0)+IFERROR(VLOOKUP($A459,[2]库存使用数据!$A:$H,8,0),0)+IFERROR(VLOOKUP($A459,[3]库存使用数据!$A:$H,8,0),0)+IFERROR(VLOOKUP($A459,[4]库存使用数据!$A:$H,8,0),0)+IFERROR(VLOOKUP($A459,[5]库存使用数据!$A:$H,8,0),0)</f>
        <v>14</v>
      </c>
      <c r="I459" s="1">
        <f ca="1">IFERROR(VLOOKUP($A459,[1]库存使用数据!$A:$I,9,0),0)+IFERROR(VLOOKUP($A459,[2]库存使用数据!$A:$I,9,0),0)+IFERROR(VLOOKUP($A459,[3]库存使用数据!$A:$I,9,0),0)+IFERROR(VLOOKUP($A459,[4]库存使用数据!$A:$I,9,0),0)+IFERROR(VLOOKUP($A459,[5]库存使用数据!$A:$I,9,0),0)</f>
        <v>0</v>
      </c>
      <c r="J459" s="1">
        <f ca="1">IFERROR(VLOOKUP($A459,[1]库存使用数据!$A:$J,10,0),0)+IFERROR(VLOOKUP($A459,[2]库存使用数据!$A:$J,10,0),0)+公式!$B$14*IFERROR(VLOOKUP($A459,[3]库存使用数据!$A:$J,10,0),0)+IFERROR(VLOOKUP($A459,[4]库存使用数据!$A:$J,10,0),0)+IFERROR(VLOOKUP($A459,[5]库存使用数据!$A:$J,10,0),0)</f>
        <v>0</v>
      </c>
      <c r="K459" s="1">
        <f ca="1">IFERROR(VLOOKUP($A459,[1]库存使用数据!$A:$K,11,0),0)+IFERROR(VLOOKUP($A459,[2]库存使用数据!$A:$K,11,0),0)+IFERROR(VLOOKUP($A459,[3]库存使用数据!$A:$K,11,0),0)+IFERROR(VLOOKUP($A459,[4]库存使用数据!$A:$K,11,0),0)+IFERROR(VLOOKUP($A459,[5]库存使用数据!$A:$K,11,0),0)</f>
        <v>35</v>
      </c>
      <c r="L459" s="1">
        <f ca="1">IFERROR(VLOOKUP($A459,[1]库存使用数据!$A:$L,12,0),0)+IFERROR(VLOOKUP($A459,[2]库存使用数据!$A:$L,12,0),0)+IFERROR(VLOOKUP($A459,[3]库存使用数据!$A:$L,12,0),0)+IFERROR(VLOOKUP($A459,[4]库存使用数据!$A:$L,12,0),0)+IFERROR(VLOOKUP($A459,[5]库存使用数据!$A:$L,12,0),0)</f>
        <v>0</v>
      </c>
      <c r="M459" s="1">
        <f ca="1">IFERROR(VLOOKUP($A459,[1]库存使用数据!$A:$M,13,0),0)+IFERROR(VLOOKUP($A459,[2]库存使用数据!$A:$M,13,0),0)+公式!$B$14*IFERROR(VLOOKUP($A459,[3]库存使用数据!$A:$M,13,0),0)+IFERROR(VLOOKUP($A459,[4]库存使用数据!$A:$M,13,0),0)+IFERROR(VLOOKUP($A459,[5]库存使用数据!$A:$M,13,0),0)</f>
        <v>0</v>
      </c>
    </row>
    <row r="460" spans="1:13">
      <c r="A460" s="6" t="s">
        <v>465</v>
      </c>
      <c r="B460" s="2">
        <f ca="1">IFERROR(VLOOKUP(A460,[1]库存使用数据!$A:$B,2,0),0)+IFERROR(VLOOKUP(A460,[2]库存使用数据!$A:$B,2,0),0)+IFERROR(VLOOKUP(,[3]库存使用数据!$A:$B,2,0),0)+IFERROR(VLOOKUP(A460,[4]库存使用数据!$A:$B,2,0),0)+IFERROR(VLOOKUP(A460,[5]库存使用数据!$A:$B,2,0),0)</f>
        <v>0</v>
      </c>
      <c r="C460" s="1">
        <f ca="1">IFERROR(VLOOKUP($A460,[1]库存使用数据!$A:$C,3,0),0)+IFERROR(VLOOKUP($A460,[2]库存使用数据!$A:$C,3,0),0)+IFERROR(VLOOKUP($A460,[3]库存使用数据!$A:$C,3,0),0)+IFERROR(VLOOKUP($A460,[4]库存使用数据!$A:$C,3,0),0)+IFERROR(VLOOKUP($A460,[5]库存使用数据!$A:$C,3,0),0)</f>
        <v>1</v>
      </c>
      <c r="D460" s="1">
        <f ca="1">IFERROR(VLOOKUP($A460,[1]库存使用数据!$A:$D,4,0),0)+IFERROR(VLOOKUP($A460,[2]库存使用数据!$A:$D,4,0),0)+公式!$B$1*IFERROR(VLOOKUP($A460,[3]库存使用数据!$A:$D,4,0),0)+IFERROR(VLOOKUP($A460,[4]库存使用数据!$A:$D,4,0),0)+IFERROR(VLOOKUP($A460,[5]库存使用数据!$A:$D,4,0),0)</f>
        <v>0.16875</v>
      </c>
      <c r="E460" s="1">
        <f ca="1">IFERROR(VLOOKUP($A460,[1]库存使用数据!$A:$E,5,0),0)+IFERROR(VLOOKUP($A460,[2]库存使用数据!$A:$E,5,0),0)+IFERROR(VLOOKUP($A460,[3]库存使用数据!$A:$E,5,0),0)+IFERROR(VLOOKUP($A460,[4]库存使用数据!$A:$E,5,0),0)+IFERROR(VLOOKUP($A460,[5]库存使用数据!$A:$E,5,0),0)</f>
        <v>244</v>
      </c>
      <c r="F460" s="1">
        <f ca="1">IFERROR(VLOOKUP($A460,[1]库存使用数据!$A:$F,6,0),0)+IFERROR(VLOOKUP($A460,[2]库存使用数据!$A:$F,6,0),0)+IFERROR(VLOOKUP($A460,[4]库存使用数据!$A:$F,6,0),0)+IFERROR(VLOOKUP($A460,[3]库存使用数据!$A:$F,6,0),0)+IFERROR(VLOOKUP($A460,[5]库存使用数据!$A:$F,6,0),0)</f>
        <v>3</v>
      </c>
      <c r="G460" s="1">
        <f ca="1">IFERROR(VLOOKUP($A460,[1]库存使用数据!$A:$G,7,0),0)+IFERROR(VLOOKUP($A460,[2]库存使用数据!$A:$G,7,0),0)+公式!$B$14*IFERROR(VLOOKUP($A460,[3]库存使用数据!$A:$G,7,0),0)+IFERROR(VLOOKUP($A460,[4]库存使用数据!$A:$G,7,0),0)+IFERROR(VLOOKUP($A460,[5]库存使用数据!$A:$G,7,0),0)</f>
        <v>0</v>
      </c>
      <c r="H460" s="1">
        <f ca="1">IFERROR(VLOOKUP($A460,[1]库存使用数据!$A:$H,8,0),0)+IFERROR(VLOOKUP($A460,[2]库存使用数据!$A:$H,8,0),0)+IFERROR(VLOOKUP($A460,[3]库存使用数据!$A:$H,8,0),0)+IFERROR(VLOOKUP($A460,[4]库存使用数据!$A:$H,8,0),0)+IFERROR(VLOOKUP($A460,[5]库存使用数据!$A:$H,8,0),0)</f>
        <v>571</v>
      </c>
      <c r="I460" s="1">
        <f ca="1">IFERROR(VLOOKUP($A460,[1]库存使用数据!$A:$I,9,0),0)+IFERROR(VLOOKUP($A460,[2]库存使用数据!$A:$I,9,0),0)+IFERROR(VLOOKUP($A460,[3]库存使用数据!$A:$I,9,0),0)+IFERROR(VLOOKUP($A460,[4]库存使用数据!$A:$I,9,0),0)+IFERROR(VLOOKUP($A460,[5]库存使用数据!$A:$I,9,0),0)</f>
        <v>3</v>
      </c>
      <c r="J460" s="1">
        <f ca="1">IFERROR(VLOOKUP($A460,[1]库存使用数据!$A:$J,10,0),0)+IFERROR(VLOOKUP($A460,[2]库存使用数据!$A:$J,10,0),0)+公式!$B$14*IFERROR(VLOOKUP($A460,[3]库存使用数据!$A:$J,10,0),0)+IFERROR(VLOOKUP($A460,[4]库存使用数据!$A:$J,10,0),0)+IFERROR(VLOOKUP($A460,[5]库存使用数据!$A:$J,10,0),0)</f>
        <v>0</v>
      </c>
      <c r="K460" s="1">
        <f ca="1">IFERROR(VLOOKUP($A460,[1]库存使用数据!$A:$K,11,0),0)+IFERROR(VLOOKUP($A460,[2]库存使用数据!$A:$K,11,0),0)+IFERROR(VLOOKUP($A460,[3]库存使用数据!$A:$K,11,0),0)+IFERROR(VLOOKUP($A460,[4]库存使用数据!$A:$K,11,0),0)+IFERROR(VLOOKUP($A460,[5]库存使用数据!$A:$K,11,0),0)</f>
        <v>449</v>
      </c>
      <c r="L460" s="1">
        <f ca="1">IFERROR(VLOOKUP($A460,[1]库存使用数据!$A:$L,12,0),0)+IFERROR(VLOOKUP($A460,[2]库存使用数据!$A:$L,12,0),0)+IFERROR(VLOOKUP($A460,[3]库存使用数据!$A:$L,12,0),0)+IFERROR(VLOOKUP($A460,[4]库存使用数据!$A:$L,12,0),0)+IFERROR(VLOOKUP($A460,[5]库存使用数据!$A:$L,12,0),0)</f>
        <v>0</v>
      </c>
      <c r="M460" s="1">
        <f ca="1">IFERROR(VLOOKUP($A460,[1]库存使用数据!$A:$M,13,0),0)+IFERROR(VLOOKUP($A460,[2]库存使用数据!$A:$M,13,0),0)+公式!$B$14*IFERROR(VLOOKUP($A460,[3]库存使用数据!$A:$M,13,0),0)+IFERROR(VLOOKUP($A460,[4]库存使用数据!$A:$M,13,0),0)+IFERROR(VLOOKUP($A460,[5]库存使用数据!$A:$M,13,0),0)</f>
        <v>0</v>
      </c>
    </row>
    <row r="461" spans="1:13">
      <c r="A461" s="6" t="s">
        <v>466</v>
      </c>
      <c r="B461" s="2">
        <f ca="1">IFERROR(VLOOKUP(A461,[1]库存使用数据!$A:$B,2,0),0)+IFERROR(VLOOKUP(A461,[2]库存使用数据!$A:$B,2,0),0)+IFERROR(VLOOKUP(,[3]库存使用数据!$A:$B,2,0),0)+IFERROR(VLOOKUP(A461,[4]库存使用数据!$A:$B,2,0),0)+IFERROR(VLOOKUP(A461,[5]库存使用数据!$A:$B,2,0),0)</f>
        <v>0</v>
      </c>
      <c r="C461" s="1">
        <f ca="1">IFERROR(VLOOKUP($A461,[1]库存使用数据!$A:$C,3,0),0)+IFERROR(VLOOKUP($A461,[2]库存使用数据!$A:$C,3,0),0)+IFERROR(VLOOKUP($A461,[3]库存使用数据!$A:$C,3,0),0)+IFERROR(VLOOKUP($A461,[4]库存使用数据!$A:$C,3,0),0)+IFERROR(VLOOKUP($A461,[5]库存使用数据!$A:$C,3,0),0)</f>
        <v>0</v>
      </c>
      <c r="D461" s="1">
        <f ca="1">IFERROR(VLOOKUP($A461,[1]库存使用数据!$A:$D,4,0),0)+IFERROR(VLOOKUP($A461,[2]库存使用数据!$A:$D,4,0),0)+公式!$B$1*IFERROR(VLOOKUP($A461,[3]库存使用数据!$A:$D,4,0),0)+IFERROR(VLOOKUP($A461,[4]库存使用数据!$A:$D,4,0),0)+IFERROR(VLOOKUP($A461,[5]库存使用数据!$A:$D,4,0),0)</f>
        <v>0</v>
      </c>
      <c r="E461" s="1">
        <f ca="1">IFERROR(VLOOKUP($A461,[1]库存使用数据!$A:$E,5,0),0)+IFERROR(VLOOKUP($A461,[2]库存使用数据!$A:$E,5,0),0)+IFERROR(VLOOKUP($A461,[3]库存使用数据!$A:$E,5,0),0)+IFERROR(VLOOKUP($A461,[4]库存使用数据!$A:$E,5,0),0)+IFERROR(VLOOKUP($A461,[5]库存使用数据!$A:$E,5,0),0)</f>
        <v>30</v>
      </c>
      <c r="F461" s="1">
        <f ca="1">IFERROR(VLOOKUP($A461,[1]库存使用数据!$A:$F,6,0),0)+IFERROR(VLOOKUP($A461,[2]库存使用数据!$A:$F,6,0),0)+IFERROR(VLOOKUP($A461,[4]库存使用数据!$A:$F,6,0),0)+IFERROR(VLOOKUP($A461,[3]库存使用数据!$A:$F,6,0),0)+IFERROR(VLOOKUP($A461,[5]库存使用数据!$A:$F,6,0),0)</f>
        <v>0</v>
      </c>
      <c r="G461" s="1">
        <f ca="1">IFERROR(VLOOKUP($A461,[1]库存使用数据!$A:$G,7,0),0)+IFERROR(VLOOKUP($A461,[2]库存使用数据!$A:$G,7,0),0)+公式!$B$14*IFERROR(VLOOKUP($A461,[3]库存使用数据!$A:$G,7,0),0)+IFERROR(VLOOKUP($A461,[4]库存使用数据!$A:$G,7,0),0)+IFERROR(VLOOKUP($A461,[5]库存使用数据!$A:$G,7,0),0)</f>
        <v>0</v>
      </c>
      <c r="H461" s="1">
        <f ca="1">IFERROR(VLOOKUP($A461,[1]库存使用数据!$A:$H,8,0),0)+IFERROR(VLOOKUP($A461,[2]库存使用数据!$A:$H,8,0),0)+IFERROR(VLOOKUP($A461,[3]库存使用数据!$A:$H,8,0),0)+IFERROR(VLOOKUP($A461,[4]库存使用数据!$A:$H,8,0),0)+IFERROR(VLOOKUP($A461,[5]库存使用数据!$A:$H,8,0),0)</f>
        <v>13</v>
      </c>
      <c r="I461" s="1">
        <f ca="1">IFERROR(VLOOKUP($A461,[1]库存使用数据!$A:$I,9,0),0)+IFERROR(VLOOKUP($A461,[2]库存使用数据!$A:$I,9,0),0)+IFERROR(VLOOKUP($A461,[3]库存使用数据!$A:$I,9,0),0)+IFERROR(VLOOKUP($A461,[4]库存使用数据!$A:$I,9,0),0)+IFERROR(VLOOKUP($A461,[5]库存使用数据!$A:$I,9,0),0)</f>
        <v>0</v>
      </c>
      <c r="J461" s="1">
        <f ca="1">IFERROR(VLOOKUP($A461,[1]库存使用数据!$A:$J,10,0),0)+IFERROR(VLOOKUP($A461,[2]库存使用数据!$A:$J,10,0),0)+公式!$B$14*IFERROR(VLOOKUP($A461,[3]库存使用数据!$A:$J,10,0),0)+IFERROR(VLOOKUP($A461,[4]库存使用数据!$A:$J,10,0),0)+IFERROR(VLOOKUP($A461,[5]库存使用数据!$A:$J,10,0),0)</f>
        <v>0</v>
      </c>
      <c r="K461" s="1">
        <f ca="1">IFERROR(VLOOKUP($A461,[1]库存使用数据!$A:$K,11,0),0)+IFERROR(VLOOKUP($A461,[2]库存使用数据!$A:$K,11,0),0)+IFERROR(VLOOKUP($A461,[3]库存使用数据!$A:$K,11,0),0)+IFERROR(VLOOKUP($A461,[4]库存使用数据!$A:$K,11,0),0)+IFERROR(VLOOKUP($A461,[5]库存使用数据!$A:$K,11,0),0)</f>
        <v>949</v>
      </c>
      <c r="L461" s="1">
        <f ca="1">IFERROR(VLOOKUP($A461,[1]库存使用数据!$A:$L,12,0),0)+IFERROR(VLOOKUP($A461,[2]库存使用数据!$A:$L,12,0),0)+IFERROR(VLOOKUP($A461,[3]库存使用数据!$A:$L,12,0),0)+IFERROR(VLOOKUP($A461,[4]库存使用数据!$A:$L,12,0),0)+IFERROR(VLOOKUP($A461,[5]库存使用数据!$A:$L,12,0),0)</f>
        <v>2</v>
      </c>
      <c r="M461" s="1">
        <f ca="1">IFERROR(VLOOKUP($A461,[1]库存使用数据!$A:$M,13,0),0)+IFERROR(VLOOKUP($A461,[2]库存使用数据!$A:$M,13,0),0)+公式!$B$14*IFERROR(VLOOKUP($A461,[3]库存使用数据!$A:$M,13,0),0)+IFERROR(VLOOKUP($A461,[4]库存使用数据!$A:$M,13,0),0)+IFERROR(VLOOKUP($A461,[5]库存使用数据!$A:$M,13,0),0)</f>
        <v>0</v>
      </c>
    </row>
    <row r="462" spans="1:13">
      <c r="A462" s="6" t="s">
        <v>467</v>
      </c>
      <c r="B462" s="2">
        <f ca="1">IFERROR(VLOOKUP(A462,[1]库存使用数据!$A:$B,2,0),0)+IFERROR(VLOOKUP(A462,[2]库存使用数据!$A:$B,2,0),0)+IFERROR(VLOOKUP(,[3]库存使用数据!$A:$B,2,0),0)+IFERROR(VLOOKUP(A462,[4]库存使用数据!$A:$B,2,0),0)+IFERROR(VLOOKUP(A462,[5]库存使用数据!$A:$B,2,0),0)</f>
        <v>0</v>
      </c>
      <c r="C462" s="1">
        <f ca="1">IFERROR(VLOOKUP($A462,[1]库存使用数据!$A:$C,3,0),0)+IFERROR(VLOOKUP($A462,[2]库存使用数据!$A:$C,3,0),0)+IFERROR(VLOOKUP($A462,[3]库存使用数据!$A:$C,3,0),0)+IFERROR(VLOOKUP($A462,[4]库存使用数据!$A:$C,3,0),0)+IFERROR(VLOOKUP($A462,[5]库存使用数据!$A:$C,3,0),0)</f>
        <v>5</v>
      </c>
      <c r="D462" s="1">
        <f ca="1">IFERROR(VLOOKUP($A462,[1]库存使用数据!$A:$D,4,0),0)+IFERROR(VLOOKUP($A462,[2]库存使用数据!$A:$D,4,0),0)+公式!$B$1*IFERROR(VLOOKUP($A462,[3]库存使用数据!$A:$D,4,0),0)+IFERROR(VLOOKUP($A462,[4]库存使用数据!$A:$D,4,0),0)+IFERROR(VLOOKUP($A462,[5]库存使用数据!$A:$D,4,0),0)</f>
        <v>0.75375</v>
      </c>
      <c r="E462" s="1">
        <f ca="1">IFERROR(VLOOKUP($A462,[1]库存使用数据!$A:$E,5,0),0)+IFERROR(VLOOKUP($A462,[2]库存使用数据!$A:$E,5,0),0)+IFERROR(VLOOKUP($A462,[3]库存使用数据!$A:$E,5,0),0)+IFERROR(VLOOKUP($A462,[4]库存使用数据!$A:$E,5,0),0)+IFERROR(VLOOKUP($A462,[5]库存使用数据!$A:$E,5,0),0)</f>
        <v>298</v>
      </c>
      <c r="F462" s="1">
        <f ca="1">IFERROR(VLOOKUP($A462,[1]库存使用数据!$A:$F,6,0),0)+IFERROR(VLOOKUP($A462,[2]库存使用数据!$A:$F,6,0),0)+IFERROR(VLOOKUP($A462,[4]库存使用数据!$A:$F,6,0),0)+IFERROR(VLOOKUP($A462,[3]库存使用数据!$A:$F,6,0),0)+IFERROR(VLOOKUP($A462,[5]库存使用数据!$A:$F,6,0),0)</f>
        <v>6</v>
      </c>
      <c r="G462" s="1">
        <f ca="1">IFERROR(VLOOKUP($A462,[1]库存使用数据!$A:$G,7,0),0)+IFERROR(VLOOKUP($A462,[2]库存使用数据!$A:$G,7,0),0)+公式!$B$14*IFERROR(VLOOKUP($A462,[3]库存使用数据!$A:$G,7,0),0)+IFERROR(VLOOKUP($A462,[4]库存使用数据!$A:$G,7,0),0)+IFERROR(VLOOKUP($A462,[5]库存使用数据!$A:$G,7,0),0)</f>
        <v>0</v>
      </c>
      <c r="H462" s="1">
        <f ca="1">IFERROR(VLOOKUP($A462,[1]库存使用数据!$A:$H,8,0),0)+IFERROR(VLOOKUP($A462,[2]库存使用数据!$A:$H,8,0),0)+IFERROR(VLOOKUP($A462,[3]库存使用数据!$A:$H,8,0),0)+IFERROR(VLOOKUP($A462,[4]库存使用数据!$A:$H,8,0),0)+IFERROR(VLOOKUP($A462,[5]库存使用数据!$A:$H,8,0),0)</f>
        <v>667</v>
      </c>
      <c r="I462" s="1">
        <f ca="1">IFERROR(VLOOKUP($A462,[1]库存使用数据!$A:$I,9,0),0)+IFERROR(VLOOKUP($A462,[2]库存使用数据!$A:$I,9,0),0)+IFERROR(VLOOKUP($A462,[3]库存使用数据!$A:$I,9,0),0)+IFERROR(VLOOKUP($A462,[4]库存使用数据!$A:$I,9,0),0)+IFERROR(VLOOKUP($A462,[5]库存使用数据!$A:$I,9,0),0)</f>
        <v>3</v>
      </c>
      <c r="J462" s="1">
        <f ca="1">IFERROR(VLOOKUP($A462,[1]库存使用数据!$A:$J,10,0),0)+IFERROR(VLOOKUP($A462,[2]库存使用数据!$A:$J,10,0),0)+公式!$B$14*IFERROR(VLOOKUP($A462,[3]库存使用数据!$A:$J,10,0),0)+IFERROR(VLOOKUP($A462,[4]库存使用数据!$A:$J,10,0),0)+IFERROR(VLOOKUP($A462,[5]库存使用数据!$A:$J,10,0),0)</f>
        <v>0</v>
      </c>
      <c r="K462" s="1">
        <f ca="1">IFERROR(VLOOKUP($A462,[1]库存使用数据!$A:$K,11,0),0)+IFERROR(VLOOKUP($A462,[2]库存使用数据!$A:$K,11,0),0)+IFERROR(VLOOKUP($A462,[3]库存使用数据!$A:$K,11,0),0)+IFERROR(VLOOKUP($A462,[4]库存使用数据!$A:$K,11,0),0)+IFERROR(VLOOKUP($A462,[5]库存使用数据!$A:$K,11,0),0)</f>
        <v>5125</v>
      </c>
      <c r="L462" s="1">
        <f ca="1">IFERROR(VLOOKUP($A462,[1]库存使用数据!$A:$L,12,0),0)+IFERROR(VLOOKUP($A462,[2]库存使用数据!$A:$L,12,0),0)+IFERROR(VLOOKUP($A462,[3]库存使用数据!$A:$L,12,0),0)+IFERROR(VLOOKUP($A462,[4]库存使用数据!$A:$L,12,0),0)+IFERROR(VLOOKUP($A462,[5]库存使用数据!$A:$L,12,0),0)</f>
        <v>16</v>
      </c>
      <c r="M462" s="1">
        <f ca="1">IFERROR(VLOOKUP($A462,[1]库存使用数据!$A:$M,13,0),0)+IFERROR(VLOOKUP($A462,[2]库存使用数据!$A:$M,13,0),0)+公式!$B$14*IFERROR(VLOOKUP($A462,[3]库存使用数据!$A:$M,13,0),0)+IFERROR(VLOOKUP($A462,[4]库存使用数据!$A:$M,13,0),0)+IFERROR(VLOOKUP($A462,[5]库存使用数据!$A:$M,13,0),0)</f>
        <v>0</v>
      </c>
    </row>
    <row r="463" spans="1:13">
      <c r="A463" s="6" t="s">
        <v>468</v>
      </c>
      <c r="B463" s="2">
        <f ca="1">IFERROR(VLOOKUP(A463,[1]库存使用数据!$A:$B,2,0),0)+IFERROR(VLOOKUP(A463,[2]库存使用数据!$A:$B,2,0),0)+IFERROR(VLOOKUP(,[3]库存使用数据!$A:$B,2,0),0)+IFERROR(VLOOKUP(A463,[4]库存使用数据!$A:$B,2,0),0)+IFERROR(VLOOKUP(A463,[5]库存使用数据!$A:$B,2,0),0)</f>
        <v>0</v>
      </c>
      <c r="C463" s="1">
        <f ca="1">IFERROR(VLOOKUP($A463,[1]库存使用数据!$A:$C,3,0),0)+IFERROR(VLOOKUP($A463,[2]库存使用数据!$A:$C,3,0),0)+IFERROR(VLOOKUP($A463,[3]库存使用数据!$A:$C,3,0),0)+IFERROR(VLOOKUP($A463,[4]库存使用数据!$A:$C,3,0),0)+IFERROR(VLOOKUP($A463,[5]库存使用数据!$A:$C,3,0),0)</f>
        <v>0</v>
      </c>
      <c r="D463" s="1">
        <f ca="1">IFERROR(VLOOKUP($A463,[1]库存使用数据!$A:$D,4,0),0)+IFERROR(VLOOKUP($A463,[2]库存使用数据!$A:$D,4,0),0)+公式!$B$1*IFERROR(VLOOKUP($A463,[3]库存使用数据!$A:$D,4,0),0)+IFERROR(VLOOKUP($A463,[4]库存使用数据!$A:$D,4,0),0)+IFERROR(VLOOKUP($A463,[5]库存使用数据!$A:$D,4,0),0)</f>
        <v>0</v>
      </c>
      <c r="E463" s="1">
        <f ca="1">IFERROR(VLOOKUP($A463,[1]库存使用数据!$A:$E,5,0),0)+IFERROR(VLOOKUP($A463,[2]库存使用数据!$A:$E,5,0),0)+IFERROR(VLOOKUP($A463,[3]库存使用数据!$A:$E,5,0),0)+IFERROR(VLOOKUP($A463,[4]库存使用数据!$A:$E,5,0),0)+IFERROR(VLOOKUP($A463,[5]库存使用数据!$A:$E,5,0),0)</f>
        <v>82</v>
      </c>
      <c r="F463" s="1">
        <f ca="1">IFERROR(VLOOKUP($A463,[1]库存使用数据!$A:$F,6,0),0)+IFERROR(VLOOKUP($A463,[2]库存使用数据!$A:$F,6,0),0)+IFERROR(VLOOKUP($A463,[4]库存使用数据!$A:$F,6,0),0)+IFERROR(VLOOKUP($A463,[3]库存使用数据!$A:$F,6,0),0)+IFERROR(VLOOKUP($A463,[5]库存使用数据!$A:$F,6,0),0)</f>
        <v>0</v>
      </c>
      <c r="G463" s="1">
        <f ca="1">IFERROR(VLOOKUP($A463,[1]库存使用数据!$A:$G,7,0),0)+IFERROR(VLOOKUP($A463,[2]库存使用数据!$A:$G,7,0),0)+公式!$B$14*IFERROR(VLOOKUP($A463,[3]库存使用数据!$A:$G,7,0),0)+IFERROR(VLOOKUP($A463,[4]库存使用数据!$A:$G,7,0),0)+IFERROR(VLOOKUP($A463,[5]库存使用数据!$A:$G,7,0),0)</f>
        <v>0</v>
      </c>
      <c r="H463" s="1">
        <f ca="1">IFERROR(VLOOKUP($A463,[1]库存使用数据!$A:$H,8,0),0)+IFERROR(VLOOKUP($A463,[2]库存使用数据!$A:$H,8,0),0)+IFERROR(VLOOKUP($A463,[3]库存使用数据!$A:$H,8,0),0)+IFERROR(VLOOKUP($A463,[4]库存使用数据!$A:$H,8,0),0)+IFERROR(VLOOKUP($A463,[5]库存使用数据!$A:$H,8,0),0)</f>
        <v>48</v>
      </c>
      <c r="I463" s="1">
        <f ca="1">IFERROR(VLOOKUP($A463,[1]库存使用数据!$A:$I,9,0),0)+IFERROR(VLOOKUP($A463,[2]库存使用数据!$A:$I,9,0),0)+IFERROR(VLOOKUP($A463,[3]库存使用数据!$A:$I,9,0),0)+IFERROR(VLOOKUP($A463,[4]库存使用数据!$A:$I,9,0),0)+IFERROR(VLOOKUP($A463,[5]库存使用数据!$A:$I,9,0),0)</f>
        <v>3</v>
      </c>
      <c r="J463" s="1">
        <f ca="1">IFERROR(VLOOKUP($A463,[1]库存使用数据!$A:$J,10,0),0)+IFERROR(VLOOKUP($A463,[2]库存使用数据!$A:$J,10,0),0)+公式!$B$14*IFERROR(VLOOKUP($A463,[3]库存使用数据!$A:$J,10,0),0)+IFERROR(VLOOKUP($A463,[4]库存使用数据!$A:$J,10,0),0)+IFERROR(VLOOKUP($A463,[5]库存使用数据!$A:$J,10,0),0)</f>
        <v>0</v>
      </c>
      <c r="K463" s="1">
        <f ca="1">IFERROR(VLOOKUP($A463,[1]库存使用数据!$A:$K,11,0),0)+IFERROR(VLOOKUP($A463,[2]库存使用数据!$A:$K,11,0),0)+IFERROR(VLOOKUP($A463,[3]库存使用数据!$A:$K,11,0),0)+IFERROR(VLOOKUP($A463,[4]库存使用数据!$A:$K,11,0),0)+IFERROR(VLOOKUP($A463,[5]库存使用数据!$A:$K,11,0),0)</f>
        <v>4</v>
      </c>
      <c r="L463" s="1">
        <f ca="1">IFERROR(VLOOKUP($A463,[1]库存使用数据!$A:$L,12,0),0)+IFERROR(VLOOKUP($A463,[2]库存使用数据!$A:$L,12,0),0)+IFERROR(VLOOKUP($A463,[3]库存使用数据!$A:$L,12,0),0)+IFERROR(VLOOKUP($A463,[4]库存使用数据!$A:$L,12,0),0)+IFERROR(VLOOKUP($A463,[5]库存使用数据!$A:$L,12,0),0)</f>
        <v>0</v>
      </c>
      <c r="M463" s="1">
        <f ca="1">IFERROR(VLOOKUP($A463,[1]库存使用数据!$A:$M,13,0),0)+IFERROR(VLOOKUP($A463,[2]库存使用数据!$A:$M,13,0),0)+公式!$B$14*IFERROR(VLOOKUP($A463,[3]库存使用数据!$A:$M,13,0),0)+IFERROR(VLOOKUP($A463,[4]库存使用数据!$A:$M,13,0),0)+IFERROR(VLOOKUP($A463,[5]库存使用数据!$A:$M,13,0),0)</f>
        <v>0</v>
      </c>
    </row>
    <row r="464" spans="1:13">
      <c r="A464" s="6" t="s">
        <v>469</v>
      </c>
      <c r="B464" s="2">
        <f ca="1">IFERROR(VLOOKUP(A464,[1]库存使用数据!$A:$B,2,0),0)+IFERROR(VLOOKUP(A464,[2]库存使用数据!$A:$B,2,0),0)+IFERROR(VLOOKUP(,[3]库存使用数据!$A:$B,2,0),0)+IFERROR(VLOOKUP(A464,[4]库存使用数据!$A:$B,2,0),0)+IFERROR(VLOOKUP(A464,[5]库存使用数据!$A:$B,2,0),0)</f>
        <v>0</v>
      </c>
      <c r="C464" s="1">
        <f ca="1">IFERROR(VLOOKUP($A464,[1]库存使用数据!$A:$C,3,0),0)+IFERROR(VLOOKUP($A464,[2]库存使用数据!$A:$C,3,0),0)+IFERROR(VLOOKUP($A464,[3]库存使用数据!$A:$C,3,0),0)+IFERROR(VLOOKUP($A464,[4]库存使用数据!$A:$C,3,0),0)+IFERROR(VLOOKUP($A464,[5]库存使用数据!$A:$C,3,0),0)</f>
        <v>33</v>
      </c>
      <c r="D464" s="1">
        <f ca="1">IFERROR(VLOOKUP($A464,[1]库存使用数据!$A:$D,4,0),0)+IFERROR(VLOOKUP($A464,[2]库存使用数据!$A:$D,4,0),0)+公式!$B$1*IFERROR(VLOOKUP($A464,[3]库存使用数据!$A:$D,4,0),0)+IFERROR(VLOOKUP($A464,[4]库存使用数据!$A:$D,4,0),0)+IFERROR(VLOOKUP($A464,[5]库存使用数据!$A:$D,4,0),0)</f>
        <v>4.75875</v>
      </c>
      <c r="E464" s="1">
        <f ca="1">IFERROR(VLOOKUP($A464,[1]库存使用数据!$A:$E,5,0),0)+IFERROR(VLOOKUP($A464,[2]库存使用数据!$A:$E,5,0),0)+IFERROR(VLOOKUP($A464,[3]库存使用数据!$A:$E,5,0),0)+IFERROR(VLOOKUP($A464,[4]库存使用数据!$A:$E,5,0),0)+IFERROR(VLOOKUP($A464,[5]库存使用数据!$A:$E,5,0),0)</f>
        <v>811</v>
      </c>
      <c r="F464" s="1">
        <f ca="1">IFERROR(VLOOKUP($A464,[1]库存使用数据!$A:$F,6,0),0)+IFERROR(VLOOKUP($A464,[2]库存使用数据!$A:$F,6,0),0)+IFERROR(VLOOKUP($A464,[4]库存使用数据!$A:$F,6,0),0)+IFERROR(VLOOKUP($A464,[3]库存使用数据!$A:$F,6,0),0)+IFERROR(VLOOKUP($A464,[5]库存使用数据!$A:$F,6,0),0)</f>
        <v>12</v>
      </c>
      <c r="G464" s="1">
        <f ca="1">IFERROR(VLOOKUP($A464,[1]库存使用数据!$A:$G,7,0),0)+IFERROR(VLOOKUP($A464,[2]库存使用数据!$A:$G,7,0),0)+公式!$B$14*IFERROR(VLOOKUP($A464,[3]库存使用数据!$A:$G,7,0),0)+IFERROR(VLOOKUP($A464,[4]库存使用数据!$A:$G,7,0),0)+IFERROR(VLOOKUP($A464,[5]库存使用数据!$A:$G,7,0),0)</f>
        <v>0</v>
      </c>
      <c r="H464" s="1">
        <f ca="1">IFERROR(VLOOKUP($A464,[1]库存使用数据!$A:$H,8,0),0)+IFERROR(VLOOKUP($A464,[2]库存使用数据!$A:$H,8,0),0)+IFERROR(VLOOKUP($A464,[3]库存使用数据!$A:$H,8,0),0)+IFERROR(VLOOKUP($A464,[4]库存使用数据!$A:$H,8,0),0)+IFERROR(VLOOKUP($A464,[5]库存使用数据!$A:$H,8,0),0)</f>
        <v>720</v>
      </c>
      <c r="I464" s="1">
        <f ca="1">IFERROR(VLOOKUP($A464,[1]库存使用数据!$A:$I,9,0),0)+IFERROR(VLOOKUP($A464,[2]库存使用数据!$A:$I,9,0),0)+IFERROR(VLOOKUP($A464,[3]库存使用数据!$A:$I,9,0),0)+IFERROR(VLOOKUP($A464,[4]库存使用数据!$A:$I,9,0),0)+IFERROR(VLOOKUP($A464,[5]库存使用数据!$A:$I,9,0),0)</f>
        <v>7</v>
      </c>
      <c r="J464" s="1">
        <f ca="1">IFERROR(VLOOKUP($A464,[1]库存使用数据!$A:$J,10,0),0)+IFERROR(VLOOKUP($A464,[2]库存使用数据!$A:$J,10,0),0)+公式!$B$14*IFERROR(VLOOKUP($A464,[3]库存使用数据!$A:$J,10,0),0)+IFERROR(VLOOKUP($A464,[4]库存使用数据!$A:$J,10,0),0)+IFERROR(VLOOKUP($A464,[5]库存使用数据!$A:$J,10,0),0)</f>
        <v>0</v>
      </c>
      <c r="K464" s="1">
        <f ca="1">IFERROR(VLOOKUP($A464,[1]库存使用数据!$A:$K,11,0),0)+IFERROR(VLOOKUP($A464,[2]库存使用数据!$A:$K,11,0),0)+IFERROR(VLOOKUP($A464,[3]库存使用数据!$A:$K,11,0),0)+IFERROR(VLOOKUP($A464,[4]库存使用数据!$A:$K,11,0),0)+IFERROR(VLOOKUP($A464,[5]库存使用数据!$A:$K,11,0),0)</f>
        <v>119</v>
      </c>
      <c r="L464" s="1">
        <f ca="1">IFERROR(VLOOKUP($A464,[1]库存使用数据!$A:$L,12,0),0)+IFERROR(VLOOKUP($A464,[2]库存使用数据!$A:$L,12,0),0)+IFERROR(VLOOKUP($A464,[3]库存使用数据!$A:$L,12,0),0)+IFERROR(VLOOKUP($A464,[4]库存使用数据!$A:$L,12,0),0)+IFERROR(VLOOKUP($A464,[5]库存使用数据!$A:$L,12,0),0)</f>
        <v>0</v>
      </c>
      <c r="M464" s="1">
        <f ca="1">IFERROR(VLOOKUP($A464,[1]库存使用数据!$A:$M,13,0),0)+IFERROR(VLOOKUP($A464,[2]库存使用数据!$A:$M,13,0),0)+公式!$B$14*IFERROR(VLOOKUP($A464,[3]库存使用数据!$A:$M,13,0),0)+IFERROR(VLOOKUP($A464,[4]库存使用数据!$A:$M,13,0),0)+IFERROR(VLOOKUP($A464,[5]库存使用数据!$A:$M,13,0),0)</f>
        <v>0</v>
      </c>
    </row>
    <row r="465" spans="1:13">
      <c r="A465" s="6" t="s">
        <v>470</v>
      </c>
      <c r="B465" s="2">
        <f ca="1">IFERROR(VLOOKUP(A465,[1]库存使用数据!$A:$B,2,0),0)+IFERROR(VLOOKUP(A465,[2]库存使用数据!$A:$B,2,0),0)+IFERROR(VLOOKUP(,[3]库存使用数据!$A:$B,2,0),0)+IFERROR(VLOOKUP(A465,[4]库存使用数据!$A:$B,2,0),0)+IFERROR(VLOOKUP(A465,[5]库存使用数据!$A:$B,2,0),0)</f>
        <v>0</v>
      </c>
      <c r="C465" s="1">
        <f ca="1">IFERROR(VLOOKUP($A465,[1]库存使用数据!$A:$C,3,0),0)+IFERROR(VLOOKUP($A465,[2]库存使用数据!$A:$C,3,0),0)+IFERROR(VLOOKUP($A465,[3]库存使用数据!$A:$C,3,0),0)+IFERROR(VLOOKUP($A465,[4]库存使用数据!$A:$C,3,0),0)+IFERROR(VLOOKUP($A465,[5]库存使用数据!$A:$C,3,0),0)</f>
        <v>0</v>
      </c>
      <c r="D465" s="1">
        <f ca="1">IFERROR(VLOOKUP($A465,[1]库存使用数据!$A:$D,4,0),0)+IFERROR(VLOOKUP($A465,[2]库存使用数据!$A:$D,4,0),0)+公式!$B$1*IFERROR(VLOOKUP($A465,[3]库存使用数据!$A:$D,4,0),0)+IFERROR(VLOOKUP($A465,[4]库存使用数据!$A:$D,4,0),0)+IFERROR(VLOOKUP($A465,[5]库存使用数据!$A:$D,4,0),0)</f>
        <v>0</v>
      </c>
      <c r="E465" s="1">
        <f ca="1">IFERROR(VLOOKUP($A465,[1]库存使用数据!$A:$E,5,0),0)+IFERROR(VLOOKUP($A465,[2]库存使用数据!$A:$E,5,0),0)+IFERROR(VLOOKUP($A465,[3]库存使用数据!$A:$E,5,0),0)+IFERROR(VLOOKUP($A465,[4]库存使用数据!$A:$E,5,0),0)+IFERROR(VLOOKUP($A465,[5]库存使用数据!$A:$E,5,0),0)</f>
        <v>677</v>
      </c>
      <c r="F465" s="1">
        <f ca="1">IFERROR(VLOOKUP($A465,[1]库存使用数据!$A:$F,6,0),0)+IFERROR(VLOOKUP($A465,[2]库存使用数据!$A:$F,6,0),0)+IFERROR(VLOOKUP($A465,[4]库存使用数据!$A:$F,6,0),0)+IFERROR(VLOOKUP($A465,[3]库存使用数据!$A:$F,6,0),0)+IFERROR(VLOOKUP($A465,[5]库存使用数据!$A:$F,6,0),0)</f>
        <v>7</v>
      </c>
      <c r="G465" s="1">
        <f ca="1">IFERROR(VLOOKUP($A465,[1]库存使用数据!$A:$G,7,0),0)+IFERROR(VLOOKUP($A465,[2]库存使用数据!$A:$G,7,0),0)+公式!$B$14*IFERROR(VLOOKUP($A465,[3]库存使用数据!$A:$G,7,0),0)+IFERROR(VLOOKUP($A465,[4]库存使用数据!$A:$G,7,0),0)+IFERROR(VLOOKUP($A465,[5]库存使用数据!$A:$G,7,0),0)</f>
        <v>0</v>
      </c>
      <c r="H465" s="1">
        <f ca="1">IFERROR(VLOOKUP($A465,[1]库存使用数据!$A:$H,8,0),0)+IFERROR(VLOOKUP($A465,[2]库存使用数据!$A:$H,8,0),0)+IFERROR(VLOOKUP($A465,[3]库存使用数据!$A:$H,8,0),0)+IFERROR(VLOOKUP($A465,[4]库存使用数据!$A:$H,8,0),0)+IFERROR(VLOOKUP($A465,[5]库存使用数据!$A:$H,8,0),0)</f>
        <v>3572</v>
      </c>
      <c r="I465" s="1">
        <f ca="1">IFERROR(VLOOKUP($A465,[1]库存使用数据!$A:$I,9,0),0)+IFERROR(VLOOKUP($A465,[2]库存使用数据!$A:$I,9,0),0)+IFERROR(VLOOKUP($A465,[3]库存使用数据!$A:$I,9,0),0)+IFERROR(VLOOKUP($A465,[4]库存使用数据!$A:$I,9,0),0)+IFERROR(VLOOKUP($A465,[5]库存使用数据!$A:$I,9,0),0)</f>
        <v>20</v>
      </c>
      <c r="J465" s="1">
        <f ca="1">IFERROR(VLOOKUP($A465,[1]库存使用数据!$A:$J,10,0),0)+IFERROR(VLOOKUP($A465,[2]库存使用数据!$A:$J,10,0),0)+公式!$B$14*IFERROR(VLOOKUP($A465,[3]库存使用数据!$A:$J,10,0),0)+IFERROR(VLOOKUP($A465,[4]库存使用数据!$A:$J,10,0),0)+IFERROR(VLOOKUP($A465,[5]库存使用数据!$A:$J,10,0),0)</f>
        <v>0</v>
      </c>
      <c r="K465" s="1">
        <f ca="1">IFERROR(VLOOKUP($A465,[1]库存使用数据!$A:$K,11,0),0)+IFERROR(VLOOKUP($A465,[2]库存使用数据!$A:$K,11,0),0)+IFERROR(VLOOKUP($A465,[3]库存使用数据!$A:$K,11,0),0)+IFERROR(VLOOKUP($A465,[4]库存使用数据!$A:$K,11,0),0)+IFERROR(VLOOKUP($A465,[5]库存使用数据!$A:$K,11,0),0)</f>
        <v>1577</v>
      </c>
      <c r="L465" s="1">
        <f ca="1">IFERROR(VLOOKUP($A465,[1]库存使用数据!$A:$L,12,0),0)+IFERROR(VLOOKUP($A465,[2]库存使用数据!$A:$L,12,0),0)+IFERROR(VLOOKUP($A465,[3]库存使用数据!$A:$L,12,0),0)+IFERROR(VLOOKUP($A465,[4]库存使用数据!$A:$L,12,0),0)+IFERROR(VLOOKUP($A465,[5]库存使用数据!$A:$L,12,0),0)</f>
        <v>6</v>
      </c>
      <c r="M465" s="1">
        <f ca="1">IFERROR(VLOOKUP($A465,[1]库存使用数据!$A:$M,13,0),0)+IFERROR(VLOOKUP($A465,[2]库存使用数据!$A:$M,13,0),0)+公式!$B$14*IFERROR(VLOOKUP($A465,[3]库存使用数据!$A:$M,13,0),0)+IFERROR(VLOOKUP($A465,[4]库存使用数据!$A:$M,13,0),0)+IFERROR(VLOOKUP($A465,[5]库存使用数据!$A:$M,13,0),0)</f>
        <v>0</v>
      </c>
    </row>
    <row r="466" spans="1:13">
      <c r="A466" s="6" t="s">
        <v>471</v>
      </c>
      <c r="B466" s="2">
        <f ca="1">IFERROR(VLOOKUP(A466,[1]库存使用数据!$A:$B,2,0),0)+IFERROR(VLOOKUP(A466,[2]库存使用数据!$A:$B,2,0),0)+IFERROR(VLOOKUP(,[3]库存使用数据!$A:$B,2,0),0)+IFERROR(VLOOKUP(A466,[4]库存使用数据!$A:$B,2,0),0)+IFERROR(VLOOKUP(A466,[5]库存使用数据!$A:$B,2,0),0)</f>
        <v>0</v>
      </c>
      <c r="C466" s="1">
        <f ca="1">IFERROR(VLOOKUP($A466,[1]库存使用数据!$A:$C,3,0),0)+IFERROR(VLOOKUP($A466,[2]库存使用数据!$A:$C,3,0),0)+IFERROR(VLOOKUP($A466,[3]库存使用数据!$A:$C,3,0),0)+IFERROR(VLOOKUP($A466,[4]库存使用数据!$A:$C,3,0),0)+IFERROR(VLOOKUP($A466,[5]库存使用数据!$A:$C,3,0),0)</f>
        <v>226</v>
      </c>
      <c r="D466" s="1">
        <f ca="1">IFERROR(VLOOKUP($A466,[1]库存使用数据!$A:$D,4,0),0)+IFERROR(VLOOKUP($A466,[2]库存使用数据!$A:$D,4,0),0)+公式!$B$1*IFERROR(VLOOKUP($A466,[3]库存使用数据!$A:$D,4,0),0)+IFERROR(VLOOKUP($A466,[4]库存使用数据!$A:$D,4,0),0)+IFERROR(VLOOKUP($A466,[5]库存使用数据!$A:$D,4,0),0)</f>
        <v>56.5425</v>
      </c>
      <c r="E466" s="1">
        <f ca="1">IFERROR(VLOOKUP($A466,[1]库存使用数据!$A:$E,5,0),0)+IFERROR(VLOOKUP($A466,[2]库存使用数据!$A:$E,5,0),0)+IFERROR(VLOOKUP($A466,[3]库存使用数据!$A:$E,5,0),0)+IFERROR(VLOOKUP($A466,[4]库存使用数据!$A:$E,5,0),0)+IFERROR(VLOOKUP($A466,[5]库存使用数据!$A:$E,5,0),0)</f>
        <v>0</v>
      </c>
      <c r="F466" s="1">
        <f ca="1">IFERROR(VLOOKUP($A466,[1]库存使用数据!$A:$F,6,0),0)+IFERROR(VLOOKUP($A466,[2]库存使用数据!$A:$F,6,0),0)+IFERROR(VLOOKUP($A466,[4]库存使用数据!$A:$F,6,0),0)+IFERROR(VLOOKUP($A466,[3]库存使用数据!$A:$F,6,0),0)+IFERROR(VLOOKUP($A466,[5]库存使用数据!$A:$F,6,0),0)</f>
        <v>0</v>
      </c>
      <c r="G466" s="1">
        <f ca="1">IFERROR(VLOOKUP($A466,[1]库存使用数据!$A:$G,7,0),0)+IFERROR(VLOOKUP($A466,[2]库存使用数据!$A:$G,7,0),0)+公式!$B$14*IFERROR(VLOOKUP($A466,[3]库存使用数据!$A:$G,7,0),0)+IFERROR(VLOOKUP($A466,[4]库存使用数据!$A:$G,7,0),0)+IFERROR(VLOOKUP($A466,[5]库存使用数据!$A:$G,7,0),0)</f>
        <v>0</v>
      </c>
      <c r="H466" s="1">
        <f ca="1">IFERROR(VLOOKUP($A466,[1]库存使用数据!$A:$H,8,0),0)+IFERROR(VLOOKUP($A466,[2]库存使用数据!$A:$H,8,0),0)+IFERROR(VLOOKUP($A466,[3]库存使用数据!$A:$H,8,0),0)+IFERROR(VLOOKUP($A466,[4]库存使用数据!$A:$H,8,0),0)+IFERROR(VLOOKUP($A466,[5]库存使用数据!$A:$H,8,0),0)</f>
        <v>8825</v>
      </c>
      <c r="I466" s="1">
        <f ca="1">IFERROR(VLOOKUP($A466,[1]库存使用数据!$A:$I,9,0),0)+IFERROR(VLOOKUP($A466,[2]库存使用数据!$A:$I,9,0),0)+IFERROR(VLOOKUP($A466,[3]库存使用数据!$A:$I,9,0),0)+IFERROR(VLOOKUP($A466,[4]库存使用数据!$A:$I,9,0),0)+IFERROR(VLOOKUP($A466,[5]库存使用数据!$A:$I,9,0),0)</f>
        <v>16</v>
      </c>
      <c r="J466" s="1">
        <f ca="1">IFERROR(VLOOKUP($A466,[1]库存使用数据!$A:$J,10,0),0)+IFERROR(VLOOKUP($A466,[2]库存使用数据!$A:$J,10,0),0)+公式!$B$14*IFERROR(VLOOKUP($A466,[3]库存使用数据!$A:$J,10,0),0)+IFERROR(VLOOKUP($A466,[4]库存使用数据!$A:$J,10,0),0)+IFERROR(VLOOKUP($A466,[5]库存使用数据!$A:$J,10,0),0)</f>
        <v>0</v>
      </c>
      <c r="K466" s="1">
        <f ca="1">IFERROR(VLOOKUP($A466,[1]库存使用数据!$A:$K,11,0),0)+IFERROR(VLOOKUP($A466,[2]库存使用数据!$A:$K,11,0),0)+IFERROR(VLOOKUP($A466,[3]库存使用数据!$A:$K,11,0),0)+IFERROR(VLOOKUP($A466,[4]库存使用数据!$A:$K,11,0),0)+IFERROR(VLOOKUP($A466,[5]库存使用数据!$A:$K,11,0),0)</f>
        <v>1978</v>
      </c>
      <c r="L466" s="1">
        <f ca="1">IFERROR(VLOOKUP($A466,[1]库存使用数据!$A:$L,12,0),0)+IFERROR(VLOOKUP($A466,[2]库存使用数据!$A:$L,12,0),0)+IFERROR(VLOOKUP($A466,[3]库存使用数据!$A:$L,12,0),0)+IFERROR(VLOOKUP($A466,[4]库存使用数据!$A:$L,12,0),0)+IFERROR(VLOOKUP($A466,[5]库存使用数据!$A:$L,12,0),0)</f>
        <v>6</v>
      </c>
      <c r="M466" s="1">
        <f ca="1">IFERROR(VLOOKUP($A466,[1]库存使用数据!$A:$M,13,0),0)+IFERROR(VLOOKUP($A466,[2]库存使用数据!$A:$M,13,0),0)+公式!$B$14*IFERROR(VLOOKUP($A466,[3]库存使用数据!$A:$M,13,0),0)+IFERROR(VLOOKUP($A466,[4]库存使用数据!$A:$M,13,0),0)+IFERROR(VLOOKUP($A466,[5]库存使用数据!$A:$M,13,0),0)</f>
        <v>0</v>
      </c>
    </row>
    <row r="467" spans="1:13">
      <c r="A467" s="6" t="s">
        <v>472</v>
      </c>
      <c r="B467" s="2">
        <f ca="1">IFERROR(VLOOKUP(A467,[1]库存使用数据!$A:$B,2,0),0)+IFERROR(VLOOKUP(A467,[2]库存使用数据!$A:$B,2,0),0)+IFERROR(VLOOKUP(,[3]库存使用数据!$A:$B,2,0),0)+IFERROR(VLOOKUP(A467,[4]库存使用数据!$A:$B,2,0),0)+IFERROR(VLOOKUP(A467,[5]库存使用数据!$A:$B,2,0),0)</f>
        <v>0</v>
      </c>
      <c r="C467" s="1">
        <f ca="1">IFERROR(VLOOKUP($A467,[1]库存使用数据!$A:$C,3,0),0)+IFERROR(VLOOKUP($A467,[2]库存使用数据!$A:$C,3,0),0)+IFERROR(VLOOKUP($A467,[3]库存使用数据!$A:$C,3,0),0)+IFERROR(VLOOKUP($A467,[4]库存使用数据!$A:$C,3,0),0)+IFERROR(VLOOKUP($A467,[5]库存使用数据!$A:$C,3,0),0)</f>
        <v>0</v>
      </c>
      <c r="D467" s="1">
        <f ca="1">IFERROR(VLOOKUP($A467,[1]库存使用数据!$A:$D,4,0),0)+IFERROR(VLOOKUP($A467,[2]库存使用数据!$A:$D,4,0),0)+公式!$B$1*IFERROR(VLOOKUP($A467,[3]库存使用数据!$A:$D,4,0),0)+IFERROR(VLOOKUP($A467,[4]库存使用数据!$A:$D,4,0),0)+IFERROR(VLOOKUP($A467,[5]库存使用数据!$A:$D,4,0),0)</f>
        <v>0</v>
      </c>
      <c r="E467" s="1">
        <f ca="1">IFERROR(VLOOKUP($A467,[1]库存使用数据!$A:$E,5,0),0)+IFERROR(VLOOKUP($A467,[2]库存使用数据!$A:$E,5,0),0)+IFERROR(VLOOKUP($A467,[3]库存使用数据!$A:$E,5,0),0)+IFERROR(VLOOKUP($A467,[4]库存使用数据!$A:$E,5,0),0)+IFERROR(VLOOKUP($A467,[5]库存使用数据!$A:$E,5,0),0)</f>
        <v>0</v>
      </c>
      <c r="F467" s="1">
        <f ca="1">IFERROR(VLOOKUP($A467,[1]库存使用数据!$A:$F,6,0),0)+IFERROR(VLOOKUP($A467,[2]库存使用数据!$A:$F,6,0),0)+IFERROR(VLOOKUP($A467,[4]库存使用数据!$A:$F,6,0),0)+IFERROR(VLOOKUP($A467,[3]库存使用数据!$A:$F,6,0),0)+IFERROR(VLOOKUP($A467,[5]库存使用数据!$A:$F,6,0),0)</f>
        <v>0</v>
      </c>
      <c r="G467" s="1">
        <f ca="1">IFERROR(VLOOKUP($A467,[1]库存使用数据!$A:$G,7,0),0)+IFERROR(VLOOKUP($A467,[2]库存使用数据!$A:$G,7,0),0)+公式!$B$14*IFERROR(VLOOKUP($A467,[3]库存使用数据!$A:$G,7,0),0)+IFERROR(VLOOKUP($A467,[4]库存使用数据!$A:$G,7,0),0)+IFERROR(VLOOKUP($A467,[5]库存使用数据!$A:$G,7,0),0)</f>
        <v>0</v>
      </c>
      <c r="H467" s="1">
        <f ca="1">IFERROR(VLOOKUP($A467,[1]库存使用数据!$A:$H,8,0),0)+IFERROR(VLOOKUP($A467,[2]库存使用数据!$A:$H,8,0),0)+IFERROR(VLOOKUP($A467,[3]库存使用数据!$A:$H,8,0),0)+IFERROR(VLOOKUP($A467,[4]库存使用数据!$A:$H,8,0),0)+IFERROR(VLOOKUP($A467,[5]库存使用数据!$A:$H,8,0),0)</f>
        <v>675</v>
      </c>
      <c r="I467" s="1">
        <f ca="1">IFERROR(VLOOKUP($A467,[1]库存使用数据!$A:$I,9,0),0)+IFERROR(VLOOKUP($A467,[2]库存使用数据!$A:$I,9,0),0)+IFERROR(VLOOKUP($A467,[3]库存使用数据!$A:$I,9,0),0)+IFERROR(VLOOKUP($A467,[4]库存使用数据!$A:$I,9,0),0)+IFERROR(VLOOKUP($A467,[5]库存使用数据!$A:$I,9,0),0)</f>
        <v>13</v>
      </c>
      <c r="J467" s="1">
        <f ca="1">IFERROR(VLOOKUP($A467,[1]库存使用数据!$A:$J,10,0),0)+IFERROR(VLOOKUP($A467,[2]库存使用数据!$A:$J,10,0),0)+公式!$B$14*IFERROR(VLOOKUP($A467,[3]库存使用数据!$A:$J,10,0),0)+IFERROR(VLOOKUP($A467,[4]库存使用数据!$A:$J,10,0),0)+IFERROR(VLOOKUP($A467,[5]库存使用数据!$A:$J,10,0),0)</f>
        <v>0</v>
      </c>
      <c r="K467" s="1">
        <f ca="1">IFERROR(VLOOKUP($A467,[1]库存使用数据!$A:$K,11,0),0)+IFERROR(VLOOKUP($A467,[2]库存使用数据!$A:$K,11,0),0)+IFERROR(VLOOKUP($A467,[3]库存使用数据!$A:$K,11,0),0)+IFERROR(VLOOKUP($A467,[4]库存使用数据!$A:$K,11,0),0)+IFERROR(VLOOKUP($A467,[5]库存使用数据!$A:$K,11,0),0)</f>
        <v>217</v>
      </c>
      <c r="L467" s="1">
        <f ca="1">IFERROR(VLOOKUP($A467,[1]库存使用数据!$A:$L,12,0),0)+IFERROR(VLOOKUP($A467,[2]库存使用数据!$A:$L,12,0),0)+IFERROR(VLOOKUP($A467,[3]库存使用数据!$A:$L,12,0),0)+IFERROR(VLOOKUP($A467,[4]库存使用数据!$A:$L,12,0),0)+IFERROR(VLOOKUP($A467,[5]库存使用数据!$A:$L,12,0),0)</f>
        <v>5</v>
      </c>
      <c r="M467" s="1">
        <f ca="1">IFERROR(VLOOKUP($A467,[1]库存使用数据!$A:$M,13,0),0)+IFERROR(VLOOKUP($A467,[2]库存使用数据!$A:$M,13,0),0)+公式!$B$14*IFERROR(VLOOKUP($A467,[3]库存使用数据!$A:$M,13,0),0)+IFERROR(VLOOKUP($A467,[4]库存使用数据!$A:$M,13,0),0)+IFERROR(VLOOKUP($A467,[5]库存使用数据!$A:$M,13,0),0)</f>
        <v>0</v>
      </c>
    </row>
    <row r="468" spans="1:13">
      <c r="A468" s="6" t="s">
        <v>473</v>
      </c>
      <c r="B468" s="2">
        <f ca="1">IFERROR(VLOOKUP(A468,[1]库存使用数据!$A:$B,2,0),0)+IFERROR(VLOOKUP(A468,[2]库存使用数据!$A:$B,2,0),0)+IFERROR(VLOOKUP(,[3]库存使用数据!$A:$B,2,0),0)+IFERROR(VLOOKUP(A468,[4]库存使用数据!$A:$B,2,0),0)+IFERROR(VLOOKUP(A468,[5]库存使用数据!$A:$B,2,0),0)</f>
        <v>0</v>
      </c>
      <c r="C468" s="1">
        <f ca="1">IFERROR(VLOOKUP($A468,[1]库存使用数据!$A:$C,3,0),0)+IFERROR(VLOOKUP($A468,[2]库存使用数据!$A:$C,3,0),0)+IFERROR(VLOOKUP($A468,[3]库存使用数据!$A:$C,3,0),0)+IFERROR(VLOOKUP($A468,[4]库存使用数据!$A:$C,3,0),0)+IFERROR(VLOOKUP($A468,[5]库存使用数据!$A:$C,3,0),0)</f>
        <v>0</v>
      </c>
      <c r="D468" s="1">
        <f ca="1">IFERROR(VLOOKUP($A468,[1]库存使用数据!$A:$D,4,0),0)+IFERROR(VLOOKUP($A468,[2]库存使用数据!$A:$D,4,0),0)+公式!$B$1*IFERROR(VLOOKUP($A468,[3]库存使用数据!$A:$D,4,0),0)+IFERROR(VLOOKUP($A468,[4]库存使用数据!$A:$D,4,0),0)+IFERROR(VLOOKUP($A468,[5]库存使用数据!$A:$D,4,0),0)</f>
        <v>0</v>
      </c>
      <c r="E468" s="1">
        <f ca="1">IFERROR(VLOOKUP($A468,[1]库存使用数据!$A:$E,5,0),0)+IFERROR(VLOOKUP($A468,[2]库存使用数据!$A:$E,5,0),0)+IFERROR(VLOOKUP($A468,[3]库存使用数据!$A:$E,5,0),0)+IFERROR(VLOOKUP($A468,[4]库存使用数据!$A:$E,5,0),0)+IFERROR(VLOOKUP($A468,[5]库存使用数据!$A:$E,5,0),0)</f>
        <v>414</v>
      </c>
      <c r="F468" s="1">
        <f ca="1">IFERROR(VLOOKUP($A468,[1]库存使用数据!$A:$F,6,0),0)+IFERROR(VLOOKUP($A468,[2]库存使用数据!$A:$F,6,0),0)+IFERROR(VLOOKUP($A468,[4]库存使用数据!$A:$F,6,0),0)+IFERROR(VLOOKUP($A468,[3]库存使用数据!$A:$F,6,0),0)+IFERROR(VLOOKUP($A468,[5]库存使用数据!$A:$F,6,0),0)</f>
        <v>5</v>
      </c>
      <c r="G468" s="1">
        <f ca="1">IFERROR(VLOOKUP($A468,[1]库存使用数据!$A:$G,7,0),0)+IFERROR(VLOOKUP($A468,[2]库存使用数据!$A:$G,7,0),0)+公式!$B$14*IFERROR(VLOOKUP($A468,[3]库存使用数据!$A:$G,7,0),0)+IFERROR(VLOOKUP($A468,[4]库存使用数据!$A:$G,7,0),0)+IFERROR(VLOOKUP($A468,[5]库存使用数据!$A:$G,7,0),0)</f>
        <v>0.54</v>
      </c>
      <c r="H468" s="1">
        <f ca="1">IFERROR(VLOOKUP($A468,[1]库存使用数据!$A:$H,8,0),0)+IFERROR(VLOOKUP($A468,[2]库存使用数据!$A:$H,8,0),0)+IFERROR(VLOOKUP($A468,[3]库存使用数据!$A:$H,8,0),0)+IFERROR(VLOOKUP($A468,[4]库存使用数据!$A:$H,8,0),0)+IFERROR(VLOOKUP($A468,[5]库存使用数据!$A:$H,8,0),0)</f>
        <v>47302</v>
      </c>
      <c r="I468" s="1">
        <f ca="1">IFERROR(VLOOKUP($A468,[1]库存使用数据!$A:$I,9,0),0)+IFERROR(VLOOKUP($A468,[2]库存使用数据!$A:$I,9,0),0)+IFERROR(VLOOKUP($A468,[3]库存使用数据!$A:$I,9,0),0)+IFERROR(VLOOKUP($A468,[4]库存使用数据!$A:$I,9,0),0)+IFERROR(VLOOKUP($A468,[5]库存使用数据!$A:$I,9,0),0)</f>
        <v>200</v>
      </c>
      <c r="J468" s="1">
        <f ca="1">IFERROR(VLOOKUP($A468,[1]库存使用数据!$A:$J,10,0),0)+IFERROR(VLOOKUP($A468,[2]库存使用数据!$A:$J,10,0),0)+公式!$B$14*IFERROR(VLOOKUP($A468,[3]库存使用数据!$A:$J,10,0),0)+IFERROR(VLOOKUP($A468,[4]库存使用数据!$A:$J,10,0),0)+IFERROR(VLOOKUP($A468,[5]库存使用数据!$A:$J,10,0),0)</f>
        <v>0.54</v>
      </c>
      <c r="K468" s="1">
        <f ca="1">IFERROR(VLOOKUP($A468,[1]库存使用数据!$A:$K,11,0),0)+IFERROR(VLOOKUP($A468,[2]库存使用数据!$A:$K,11,0),0)+IFERROR(VLOOKUP($A468,[3]库存使用数据!$A:$K,11,0),0)+IFERROR(VLOOKUP($A468,[4]库存使用数据!$A:$K,11,0),0)+IFERROR(VLOOKUP($A468,[5]库存使用数据!$A:$K,11,0),0)</f>
        <v>3497</v>
      </c>
      <c r="L468" s="1">
        <f ca="1">IFERROR(VLOOKUP($A468,[1]库存使用数据!$A:$L,12,0),0)+IFERROR(VLOOKUP($A468,[2]库存使用数据!$A:$L,12,0),0)+IFERROR(VLOOKUP($A468,[3]库存使用数据!$A:$L,12,0),0)+IFERROR(VLOOKUP($A468,[4]库存使用数据!$A:$L,12,0),0)+IFERROR(VLOOKUP($A468,[5]库存使用数据!$A:$L,12,0),0)</f>
        <v>62</v>
      </c>
      <c r="M468" s="1">
        <f ca="1">IFERROR(VLOOKUP($A468,[1]库存使用数据!$A:$M,13,0),0)+IFERROR(VLOOKUP($A468,[2]库存使用数据!$A:$M,13,0),0)+公式!$B$14*IFERROR(VLOOKUP($A468,[3]库存使用数据!$A:$M,13,0),0)+IFERROR(VLOOKUP($A468,[4]库存使用数据!$A:$M,13,0),0)+IFERROR(VLOOKUP($A468,[5]库存使用数据!$A:$M,13,0),0)</f>
        <v>0.28</v>
      </c>
    </row>
    <row r="469" spans="1:13">
      <c r="A469" s="6" t="s">
        <v>474</v>
      </c>
      <c r="B469" s="2">
        <f ca="1">IFERROR(VLOOKUP(A469,[1]库存使用数据!$A:$B,2,0),0)+IFERROR(VLOOKUP(A469,[2]库存使用数据!$A:$B,2,0),0)+IFERROR(VLOOKUP(,[3]库存使用数据!$A:$B,2,0),0)+IFERROR(VLOOKUP(A469,[4]库存使用数据!$A:$B,2,0),0)+IFERROR(VLOOKUP(A469,[5]库存使用数据!$A:$B,2,0),0)</f>
        <v>0</v>
      </c>
      <c r="C469" s="1">
        <f ca="1">IFERROR(VLOOKUP($A469,[1]库存使用数据!$A:$C,3,0),0)+IFERROR(VLOOKUP($A469,[2]库存使用数据!$A:$C,3,0),0)+IFERROR(VLOOKUP($A469,[3]库存使用数据!$A:$C,3,0),0)+IFERROR(VLOOKUP($A469,[4]库存使用数据!$A:$C,3,0),0)+IFERROR(VLOOKUP($A469,[5]库存使用数据!$A:$C,3,0),0)</f>
        <v>0</v>
      </c>
      <c r="D469" s="1">
        <f ca="1">IFERROR(VLOOKUP($A469,[1]库存使用数据!$A:$D,4,0),0)+IFERROR(VLOOKUP($A469,[2]库存使用数据!$A:$D,4,0),0)+公式!$B$1*IFERROR(VLOOKUP($A469,[3]库存使用数据!$A:$D,4,0),0)+IFERROR(VLOOKUP($A469,[4]库存使用数据!$A:$D,4,0),0)+IFERROR(VLOOKUP($A469,[5]库存使用数据!$A:$D,4,0),0)</f>
        <v>0</v>
      </c>
      <c r="E469" s="1">
        <f ca="1">IFERROR(VLOOKUP($A469,[1]库存使用数据!$A:$E,5,0),0)+IFERROR(VLOOKUP($A469,[2]库存使用数据!$A:$E,5,0),0)+IFERROR(VLOOKUP($A469,[3]库存使用数据!$A:$E,5,0),0)+IFERROR(VLOOKUP($A469,[4]库存使用数据!$A:$E,5,0),0)+IFERROR(VLOOKUP($A469,[5]库存使用数据!$A:$E,5,0),0)</f>
        <v>14800</v>
      </c>
      <c r="F469" s="1">
        <f ca="1">IFERROR(VLOOKUP($A469,[1]库存使用数据!$A:$F,6,0),0)+IFERROR(VLOOKUP($A469,[2]库存使用数据!$A:$F,6,0),0)+IFERROR(VLOOKUP($A469,[4]库存使用数据!$A:$F,6,0),0)+IFERROR(VLOOKUP($A469,[3]库存使用数据!$A:$F,6,0),0)+IFERROR(VLOOKUP($A469,[5]库存使用数据!$A:$F,6,0),0)</f>
        <v>45</v>
      </c>
      <c r="G469" s="1">
        <f ca="1">IFERROR(VLOOKUP($A469,[1]库存使用数据!$A:$G,7,0),0)+IFERROR(VLOOKUP($A469,[2]库存使用数据!$A:$G,7,0),0)+公式!$B$14*IFERROR(VLOOKUP($A469,[3]库存使用数据!$A:$G,7,0),0)+IFERROR(VLOOKUP($A469,[4]库存使用数据!$A:$G,7,0),0)+IFERROR(VLOOKUP($A469,[5]库存使用数据!$A:$G,7,0),0)</f>
        <v>1.77</v>
      </c>
      <c r="H469" s="1">
        <f ca="1">IFERROR(VLOOKUP($A469,[1]库存使用数据!$A:$H,8,0),0)+IFERROR(VLOOKUP($A469,[2]库存使用数据!$A:$H,8,0),0)+IFERROR(VLOOKUP($A469,[3]库存使用数据!$A:$H,8,0),0)+IFERROR(VLOOKUP($A469,[4]库存使用数据!$A:$H,8,0),0)+IFERROR(VLOOKUP($A469,[5]库存使用数据!$A:$H,8,0),0)</f>
        <v>27266</v>
      </c>
      <c r="I469" s="1">
        <f ca="1">IFERROR(VLOOKUP($A469,[1]库存使用数据!$A:$I,9,0),0)+IFERROR(VLOOKUP($A469,[2]库存使用数据!$A:$I,9,0),0)+IFERROR(VLOOKUP($A469,[3]库存使用数据!$A:$I,9,0),0)+IFERROR(VLOOKUP($A469,[4]库存使用数据!$A:$I,9,0),0)+IFERROR(VLOOKUP($A469,[5]库存使用数据!$A:$I,9,0),0)</f>
        <v>140</v>
      </c>
      <c r="J469" s="1">
        <f ca="1">IFERROR(VLOOKUP($A469,[1]库存使用数据!$A:$J,10,0),0)+IFERROR(VLOOKUP($A469,[2]库存使用数据!$A:$J,10,0),0)+公式!$B$14*IFERROR(VLOOKUP($A469,[3]库存使用数据!$A:$J,10,0),0)+IFERROR(VLOOKUP($A469,[4]库存使用数据!$A:$J,10,0),0)+IFERROR(VLOOKUP($A469,[5]库存使用数据!$A:$J,10,0),0)</f>
        <v>1.37</v>
      </c>
      <c r="K469" s="1">
        <f ca="1">IFERROR(VLOOKUP($A469,[1]库存使用数据!$A:$K,11,0),0)+IFERROR(VLOOKUP($A469,[2]库存使用数据!$A:$K,11,0),0)+IFERROR(VLOOKUP($A469,[3]库存使用数据!$A:$K,11,0),0)+IFERROR(VLOOKUP($A469,[4]库存使用数据!$A:$K,11,0),0)+IFERROR(VLOOKUP($A469,[5]库存使用数据!$A:$K,11,0),0)</f>
        <v>2748</v>
      </c>
      <c r="L469" s="1">
        <f ca="1">IFERROR(VLOOKUP($A469,[1]库存使用数据!$A:$L,12,0),0)+IFERROR(VLOOKUP($A469,[2]库存使用数据!$A:$L,12,0),0)+IFERROR(VLOOKUP($A469,[3]库存使用数据!$A:$L,12,0),0)+IFERROR(VLOOKUP($A469,[4]库存使用数据!$A:$L,12,0),0)+IFERROR(VLOOKUP($A469,[5]库存使用数据!$A:$L,12,0),0)</f>
        <v>27</v>
      </c>
      <c r="M469" s="1">
        <f ca="1">IFERROR(VLOOKUP($A469,[1]库存使用数据!$A:$M,13,0),0)+IFERROR(VLOOKUP($A469,[2]库存使用数据!$A:$M,13,0),0)+公式!$B$14*IFERROR(VLOOKUP($A469,[3]库存使用数据!$A:$M,13,0),0)+IFERROR(VLOOKUP($A469,[4]库存使用数据!$A:$M,13,0),0)+IFERROR(VLOOKUP($A469,[5]库存使用数据!$A:$M,13,0),0)</f>
        <v>0.19</v>
      </c>
    </row>
    <row r="470" spans="1:13">
      <c r="A470" s="6" t="s">
        <v>475</v>
      </c>
      <c r="B470" s="2">
        <f ca="1">IFERROR(VLOOKUP(A470,[1]库存使用数据!$A:$B,2,0),0)+IFERROR(VLOOKUP(A470,[2]库存使用数据!$A:$B,2,0),0)+IFERROR(VLOOKUP(,[3]库存使用数据!$A:$B,2,0),0)+IFERROR(VLOOKUP(A470,[4]库存使用数据!$A:$B,2,0),0)+IFERROR(VLOOKUP(A470,[5]库存使用数据!$A:$B,2,0),0)</f>
        <v>0</v>
      </c>
      <c r="C470" s="1">
        <f ca="1">IFERROR(VLOOKUP($A470,[1]库存使用数据!$A:$C,3,0),0)+IFERROR(VLOOKUP($A470,[2]库存使用数据!$A:$C,3,0),0)+IFERROR(VLOOKUP($A470,[3]库存使用数据!$A:$C,3,0),0)+IFERROR(VLOOKUP($A470,[4]库存使用数据!$A:$C,3,0),0)+IFERROR(VLOOKUP($A470,[5]库存使用数据!$A:$C,3,0),0)</f>
        <v>0</v>
      </c>
      <c r="D470" s="1">
        <f ca="1">IFERROR(VLOOKUP($A470,[1]库存使用数据!$A:$D,4,0),0)+IFERROR(VLOOKUP($A470,[2]库存使用数据!$A:$D,4,0),0)+公式!$B$1*IFERROR(VLOOKUP($A470,[3]库存使用数据!$A:$D,4,0),0)+IFERROR(VLOOKUP($A470,[4]库存使用数据!$A:$D,4,0),0)+IFERROR(VLOOKUP($A470,[5]库存使用数据!$A:$D,4,0),0)</f>
        <v>0</v>
      </c>
      <c r="E470" s="1">
        <f ca="1">IFERROR(VLOOKUP($A470,[1]库存使用数据!$A:$E,5,0),0)+IFERROR(VLOOKUP($A470,[2]库存使用数据!$A:$E,5,0),0)+IFERROR(VLOOKUP($A470,[3]库存使用数据!$A:$E,5,0),0)+IFERROR(VLOOKUP($A470,[4]库存使用数据!$A:$E,5,0),0)+IFERROR(VLOOKUP($A470,[5]库存使用数据!$A:$E,5,0),0)</f>
        <v>0</v>
      </c>
      <c r="F470" s="1">
        <f ca="1">IFERROR(VLOOKUP($A470,[1]库存使用数据!$A:$F,6,0),0)+IFERROR(VLOOKUP($A470,[2]库存使用数据!$A:$F,6,0),0)+IFERROR(VLOOKUP($A470,[4]库存使用数据!$A:$F,6,0),0)+IFERROR(VLOOKUP($A470,[3]库存使用数据!$A:$F,6,0),0)+IFERROR(VLOOKUP($A470,[5]库存使用数据!$A:$F,6,0),0)</f>
        <v>0</v>
      </c>
      <c r="G470" s="1">
        <f ca="1">IFERROR(VLOOKUP($A470,[1]库存使用数据!$A:$G,7,0),0)+IFERROR(VLOOKUP($A470,[2]库存使用数据!$A:$G,7,0),0)+公式!$B$14*IFERROR(VLOOKUP($A470,[3]库存使用数据!$A:$G,7,0),0)+IFERROR(VLOOKUP($A470,[4]库存使用数据!$A:$G,7,0),0)+IFERROR(VLOOKUP($A470,[5]库存使用数据!$A:$G,7,0),0)</f>
        <v>0</v>
      </c>
      <c r="H470" s="1">
        <f ca="1">IFERROR(VLOOKUP($A470,[1]库存使用数据!$A:$H,8,0),0)+IFERROR(VLOOKUP($A470,[2]库存使用数据!$A:$H,8,0),0)+IFERROR(VLOOKUP($A470,[3]库存使用数据!$A:$H,8,0),0)+IFERROR(VLOOKUP($A470,[4]库存使用数据!$A:$H,8,0),0)+IFERROR(VLOOKUP($A470,[5]库存使用数据!$A:$H,8,0),0)</f>
        <v>0</v>
      </c>
      <c r="I470" s="1">
        <f ca="1">IFERROR(VLOOKUP($A470,[1]库存使用数据!$A:$I,9,0),0)+IFERROR(VLOOKUP($A470,[2]库存使用数据!$A:$I,9,0),0)+IFERROR(VLOOKUP($A470,[3]库存使用数据!$A:$I,9,0),0)+IFERROR(VLOOKUP($A470,[4]库存使用数据!$A:$I,9,0),0)+IFERROR(VLOOKUP($A470,[5]库存使用数据!$A:$I,9,0),0)</f>
        <v>0</v>
      </c>
      <c r="J470" s="1">
        <f ca="1">IFERROR(VLOOKUP($A470,[1]库存使用数据!$A:$J,10,0),0)+IFERROR(VLOOKUP($A470,[2]库存使用数据!$A:$J,10,0),0)+公式!$B$14*IFERROR(VLOOKUP($A470,[3]库存使用数据!$A:$J,10,0),0)+IFERROR(VLOOKUP($A470,[4]库存使用数据!$A:$J,10,0),0)+IFERROR(VLOOKUP($A470,[5]库存使用数据!$A:$J,10,0),0)</f>
        <v>0</v>
      </c>
      <c r="K470" s="1">
        <f ca="1">IFERROR(VLOOKUP($A470,[1]库存使用数据!$A:$K,11,0),0)+IFERROR(VLOOKUP($A470,[2]库存使用数据!$A:$K,11,0),0)+IFERROR(VLOOKUP($A470,[3]库存使用数据!$A:$K,11,0),0)+IFERROR(VLOOKUP($A470,[4]库存使用数据!$A:$K,11,0),0)+IFERROR(VLOOKUP($A470,[5]库存使用数据!$A:$K,11,0),0)</f>
        <v>131</v>
      </c>
      <c r="L470" s="1">
        <f ca="1">IFERROR(VLOOKUP($A470,[1]库存使用数据!$A:$L,12,0),0)+IFERROR(VLOOKUP($A470,[2]库存使用数据!$A:$L,12,0),0)+IFERROR(VLOOKUP($A470,[3]库存使用数据!$A:$L,12,0),0)+IFERROR(VLOOKUP($A470,[4]库存使用数据!$A:$L,12,0),0)+IFERROR(VLOOKUP($A470,[5]库存使用数据!$A:$L,12,0),0)</f>
        <v>1</v>
      </c>
      <c r="M470" s="1">
        <f ca="1">IFERROR(VLOOKUP($A470,[1]库存使用数据!$A:$M,13,0),0)+IFERROR(VLOOKUP($A470,[2]库存使用数据!$A:$M,13,0),0)+公式!$B$14*IFERROR(VLOOKUP($A470,[3]库存使用数据!$A:$M,13,0),0)+IFERROR(VLOOKUP($A470,[4]库存使用数据!$A:$M,13,0),0)+IFERROR(VLOOKUP($A470,[5]库存使用数据!$A:$M,13,0),0)</f>
        <v>0</v>
      </c>
    </row>
    <row r="471" spans="1:13">
      <c r="A471" s="6" t="s">
        <v>476</v>
      </c>
      <c r="B471" s="2">
        <f ca="1">IFERROR(VLOOKUP(A471,[1]库存使用数据!$A:$B,2,0),0)+IFERROR(VLOOKUP(A471,[2]库存使用数据!$A:$B,2,0),0)+IFERROR(VLOOKUP(,[3]库存使用数据!$A:$B,2,0),0)+IFERROR(VLOOKUP(A471,[4]库存使用数据!$A:$B,2,0),0)+IFERROR(VLOOKUP(A471,[5]库存使用数据!$A:$B,2,0),0)</f>
        <v>0</v>
      </c>
      <c r="C471" s="1">
        <f ca="1">IFERROR(VLOOKUP($A471,[1]库存使用数据!$A:$C,3,0),0)+IFERROR(VLOOKUP($A471,[2]库存使用数据!$A:$C,3,0),0)+IFERROR(VLOOKUP($A471,[3]库存使用数据!$A:$C,3,0),0)+IFERROR(VLOOKUP($A471,[4]库存使用数据!$A:$C,3,0),0)+IFERROR(VLOOKUP($A471,[5]库存使用数据!$A:$C,3,0),0)</f>
        <v>0</v>
      </c>
      <c r="D471" s="1">
        <f ca="1">IFERROR(VLOOKUP($A471,[1]库存使用数据!$A:$D,4,0),0)+IFERROR(VLOOKUP($A471,[2]库存使用数据!$A:$D,4,0),0)+公式!$B$1*IFERROR(VLOOKUP($A471,[3]库存使用数据!$A:$D,4,0),0)+IFERROR(VLOOKUP($A471,[4]库存使用数据!$A:$D,4,0),0)+IFERROR(VLOOKUP($A471,[5]库存使用数据!$A:$D,4,0),0)</f>
        <v>0</v>
      </c>
      <c r="E471" s="1">
        <f ca="1">IFERROR(VLOOKUP($A471,[1]库存使用数据!$A:$E,5,0),0)+IFERROR(VLOOKUP($A471,[2]库存使用数据!$A:$E,5,0),0)+IFERROR(VLOOKUP($A471,[3]库存使用数据!$A:$E,5,0),0)+IFERROR(VLOOKUP($A471,[4]库存使用数据!$A:$E,5,0),0)+IFERROR(VLOOKUP($A471,[5]库存使用数据!$A:$E,5,0),0)</f>
        <v>0</v>
      </c>
      <c r="F471" s="1">
        <f ca="1">IFERROR(VLOOKUP($A471,[1]库存使用数据!$A:$F,6,0),0)+IFERROR(VLOOKUP($A471,[2]库存使用数据!$A:$F,6,0),0)+IFERROR(VLOOKUP($A471,[4]库存使用数据!$A:$F,6,0),0)+IFERROR(VLOOKUP($A471,[3]库存使用数据!$A:$F,6,0),0)+IFERROR(VLOOKUP($A471,[5]库存使用数据!$A:$F,6,0),0)</f>
        <v>0</v>
      </c>
      <c r="G471" s="1">
        <f ca="1">IFERROR(VLOOKUP($A471,[1]库存使用数据!$A:$G,7,0),0)+IFERROR(VLOOKUP($A471,[2]库存使用数据!$A:$G,7,0),0)+公式!$B$14*IFERROR(VLOOKUP($A471,[3]库存使用数据!$A:$G,7,0),0)+IFERROR(VLOOKUP($A471,[4]库存使用数据!$A:$G,7,0),0)+IFERROR(VLOOKUP($A471,[5]库存使用数据!$A:$G,7,0),0)</f>
        <v>0</v>
      </c>
      <c r="H471" s="1">
        <f ca="1">IFERROR(VLOOKUP($A471,[1]库存使用数据!$A:$H,8,0),0)+IFERROR(VLOOKUP($A471,[2]库存使用数据!$A:$H,8,0),0)+IFERROR(VLOOKUP($A471,[3]库存使用数据!$A:$H,8,0),0)+IFERROR(VLOOKUP($A471,[4]库存使用数据!$A:$H,8,0),0)+IFERROR(VLOOKUP($A471,[5]库存使用数据!$A:$H,8,0),0)</f>
        <v>0</v>
      </c>
      <c r="I471" s="1">
        <f ca="1">IFERROR(VLOOKUP($A471,[1]库存使用数据!$A:$I,9,0),0)+IFERROR(VLOOKUP($A471,[2]库存使用数据!$A:$I,9,0),0)+IFERROR(VLOOKUP($A471,[3]库存使用数据!$A:$I,9,0),0)+IFERROR(VLOOKUP($A471,[4]库存使用数据!$A:$I,9,0),0)+IFERROR(VLOOKUP($A471,[5]库存使用数据!$A:$I,9,0),0)</f>
        <v>0</v>
      </c>
      <c r="J471" s="1">
        <f ca="1">IFERROR(VLOOKUP($A471,[1]库存使用数据!$A:$J,10,0),0)+IFERROR(VLOOKUP($A471,[2]库存使用数据!$A:$J,10,0),0)+公式!$B$14*IFERROR(VLOOKUP($A471,[3]库存使用数据!$A:$J,10,0),0)+IFERROR(VLOOKUP($A471,[4]库存使用数据!$A:$J,10,0),0)+IFERROR(VLOOKUP($A471,[5]库存使用数据!$A:$J,10,0),0)</f>
        <v>0</v>
      </c>
      <c r="K471" s="1">
        <f ca="1">IFERROR(VLOOKUP($A471,[1]库存使用数据!$A:$K,11,0),0)+IFERROR(VLOOKUP($A471,[2]库存使用数据!$A:$K,11,0),0)+IFERROR(VLOOKUP($A471,[3]库存使用数据!$A:$K,11,0),0)+IFERROR(VLOOKUP($A471,[4]库存使用数据!$A:$K,11,0),0)+IFERROR(VLOOKUP($A471,[5]库存使用数据!$A:$K,11,0),0)</f>
        <v>143</v>
      </c>
      <c r="L471" s="1">
        <f ca="1">IFERROR(VLOOKUP($A471,[1]库存使用数据!$A:$L,12,0),0)+IFERROR(VLOOKUP($A471,[2]库存使用数据!$A:$L,12,0),0)+IFERROR(VLOOKUP($A471,[3]库存使用数据!$A:$L,12,0),0)+IFERROR(VLOOKUP($A471,[4]库存使用数据!$A:$L,12,0),0)+IFERROR(VLOOKUP($A471,[5]库存使用数据!$A:$L,12,0),0)</f>
        <v>2</v>
      </c>
      <c r="M471" s="1">
        <f ca="1">IFERROR(VLOOKUP($A471,[1]库存使用数据!$A:$M,13,0),0)+IFERROR(VLOOKUP($A471,[2]库存使用数据!$A:$M,13,0),0)+公式!$B$14*IFERROR(VLOOKUP($A471,[3]库存使用数据!$A:$M,13,0),0)+IFERROR(VLOOKUP($A471,[4]库存使用数据!$A:$M,13,0),0)+IFERROR(VLOOKUP($A471,[5]库存使用数据!$A:$M,13,0),0)</f>
        <v>0</v>
      </c>
    </row>
    <row r="472" spans="1:13">
      <c r="A472" s="6" t="s">
        <v>477</v>
      </c>
      <c r="B472" s="2">
        <f ca="1">IFERROR(VLOOKUP(A472,[1]库存使用数据!$A:$B,2,0),0)+IFERROR(VLOOKUP(A472,[2]库存使用数据!$A:$B,2,0),0)+IFERROR(VLOOKUP(,[3]库存使用数据!$A:$B,2,0),0)+IFERROR(VLOOKUP(A472,[4]库存使用数据!$A:$B,2,0),0)+IFERROR(VLOOKUP(A472,[5]库存使用数据!$A:$B,2,0),0)</f>
        <v>0</v>
      </c>
      <c r="C472" s="1">
        <f ca="1">IFERROR(VLOOKUP($A472,[1]库存使用数据!$A:$C,3,0),0)+IFERROR(VLOOKUP($A472,[2]库存使用数据!$A:$C,3,0),0)+IFERROR(VLOOKUP($A472,[3]库存使用数据!$A:$C,3,0),0)+IFERROR(VLOOKUP($A472,[4]库存使用数据!$A:$C,3,0),0)+IFERROR(VLOOKUP($A472,[5]库存使用数据!$A:$C,3,0),0)</f>
        <v>0</v>
      </c>
      <c r="D472" s="1">
        <f ca="1">IFERROR(VLOOKUP($A472,[1]库存使用数据!$A:$D,4,0),0)+IFERROR(VLOOKUP($A472,[2]库存使用数据!$A:$D,4,0),0)+公式!$B$1*IFERROR(VLOOKUP($A472,[3]库存使用数据!$A:$D,4,0),0)+IFERROR(VLOOKUP($A472,[4]库存使用数据!$A:$D,4,0),0)+IFERROR(VLOOKUP($A472,[5]库存使用数据!$A:$D,4,0),0)</f>
        <v>0</v>
      </c>
      <c r="E472" s="1">
        <f ca="1">IFERROR(VLOOKUP($A472,[1]库存使用数据!$A:$E,5,0),0)+IFERROR(VLOOKUP($A472,[2]库存使用数据!$A:$E,5,0),0)+IFERROR(VLOOKUP($A472,[3]库存使用数据!$A:$E,5,0),0)+IFERROR(VLOOKUP($A472,[4]库存使用数据!$A:$E,5,0),0)+IFERROR(VLOOKUP($A472,[5]库存使用数据!$A:$E,5,0),0)</f>
        <v>11819</v>
      </c>
      <c r="F472" s="1">
        <f ca="1">IFERROR(VLOOKUP($A472,[1]库存使用数据!$A:$F,6,0),0)+IFERROR(VLOOKUP($A472,[2]库存使用数据!$A:$F,6,0),0)+IFERROR(VLOOKUP($A472,[4]库存使用数据!$A:$F,6,0),0)+IFERROR(VLOOKUP($A472,[3]库存使用数据!$A:$F,6,0),0)+IFERROR(VLOOKUP($A472,[5]库存使用数据!$A:$F,6,0),0)</f>
        <v>103</v>
      </c>
      <c r="G472" s="1">
        <f ca="1">IFERROR(VLOOKUP($A472,[1]库存使用数据!$A:$G,7,0),0)+IFERROR(VLOOKUP($A472,[2]库存使用数据!$A:$G,7,0),0)+公式!$B$14*IFERROR(VLOOKUP($A472,[3]库存使用数据!$A:$G,7,0),0)+IFERROR(VLOOKUP($A472,[4]库存使用数据!$A:$G,7,0),0)+IFERROR(VLOOKUP($A472,[5]库存使用数据!$A:$G,7,0),0)</f>
        <v>5.05</v>
      </c>
      <c r="H472" s="1">
        <f ca="1">IFERROR(VLOOKUP($A472,[1]库存使用数据!$A:$H,8,0),0)+IFERROR(VLOOKUP($A472,[2]库存使用数据!$A:$H,8,0),0)+IFERROR(VLOOKUP($A472,[3]库存使用数据!$A:$H,8,0),0)+IFERROR(VLOOKUP($A472,[4]库存使用数据!$A:$H,8,0),0)+IFERROR(VLOOKUP($A472,[5]库存使用数据!$A:$H,8,0),0)</f>
        <v>18157</v>
      </c>
      <c r="I472" s="1">
        <f ca="1">IFERROR(VLOOKUP($A472,[1]库存使用数据!$A:$I,9,0),0)+IFERROR(VLOOKUP($A472,[2]库存使用数据!$A:$I,9,0),0)+IFERROR(VLOOKUP($A472,[3]库存使用数据!$A:$I,9,0),0)+IFERROR(VLOOKUP($A472,[4]库存使用数据!$A:$I,9,0),0)+IFERROR(VLOOKUP($A472,[5]库存使用数据!$A:$I,9,0),0)</f>
        <v>50</v>
      </c>
      <c r="J472" s="1">
        <f ca="1">IFERROR(VLOOKUP($A472,[1]库存使用数据!$A:$J,10,0),0)+IFERROR(VLOOKUP($A472,[2]库存使用数据!$A:$J,10,0),0)+公式!$B$14*IFERROR(VLOOKUP($A472,[3]库存使用数据!$A:$J,10,0),0)+IFERROR(VLOOKUP($A472,[4]库存使用数据!$A:$J,10,0),0)+IFERROR(VLOOKUP($A472,[5]库存使用数据!$A:$J,10,0),0)</f>
        <v>1.28</v>
      </c>
      <c r="K472" s="1">
        <f ca="1">IFERROR(VLOOKUP($A472,[1]库存使用数据!$A:$K,11,0),0)+IFERROR(VLOOKUP($A472,[2]库存使用数据!$A:$K,11,0),0)+IFERROR(VLOOKUP($A472,[3]库存使用数据!$A:$K,11,0),0)+IFERROR(VLOOKUP($A472,[4]库存使用数据!$A:$K,11,0),0)+IFERROR(VLOOKUP($A472,[5]库存使用数据!$A:$K,11,0),0)</f>
        <v>84015</v>
      </c>
      <c r="L472" s="1">
        <f ca="1">IFERROR(VLOOKUP($A472,[1]库存使用数据!$A:$L,12,0),0)+IFERROR(VLOOKUP($A472,[2]库存使用数据!$A:$L,12,0),0)+IFERROR(VLOOKUP($A472,[3]库存使用数据!$A:$L,12,0),0)+IFERROR(VLOOKUP($A472,[4]库存使用数据!$A:$L,12,0),0)+IFERROR(VLOOKUP($A472,[5]库存使用数据!$A:$L,12,0),0)</f>
        <v>162</v>
      </c>
      <c r="M472" s="1">
        <f ca="1">IFERROR(VLOOKUP($A472,[1]库存使用数据!$A:$M,13,0),0)+IFERROR(VLOOKUP($A472,[2]库存使用数据!$A:$M,13,0),0)+公式!$B$14*IFERROR(VLOOKUP($A472,[3]库存使用数据!$A:$M,13,0),0)+IFERROR(VLOOKUP($A472,[4]库存使用数据!$A:$M,13,0),0)+IFERROR(VLOOKUP($A472,[5]库存使用数据!$A:$M,13,0),0)</f>
        <v>1.58</v>
      </c>
    </row>
    <row r="473" spans="1:13">
      <c r="A473" s="6" t="s">
        <v>478</v>
      </c>
      <c r="B473" s="2">
        <f ca="1">IFERROR(VLOOKUP(A473,[1]库存使用数据!$A:$B,2,0),0)+IFERROR(VLOOKUP(A473,[2]库存使用数据!$A:$B,2,0),0)+IFERROR(VLOOKUP(,[3]库存使用数据!$A:$B,2,0),0)+IFERROR(VLOOKUP(A473,[4]库存使用数据!$A:$B,2,0),0)+IFERROR(VLOOKUP(A473,[5]库存使用数据!$A:$B,2,0),0)</f>
        <v>0</v>
      </c>
      <c r="C473" s="1">
        <f ca="1">IFERROR(VLOOKUP($A473,[1]库存使用数据!$A:$C,3,0),0)+IFERROR(VLOOKUP($A473,[2]库存使用数据!$A:$C,3,0),0)+IFERROR(VLOOKUP($A473,[3]库存使用数据!$A:$C,3,0),0)+IFERROR(VLOOKUP($A473,[4]库存使用数据!$A:$C,3,0),0)+IFERROR(VLOOKUP($A473,[5]库存使用数据!$A:$C,3,0),0)</f>
        <v>0</v>
      </c>
      <c r="D473" s="1">
        <f ca="1">IFERROR(VLOOKUP($A473,[1]库存使用数据!$A:$D,4,0),0)+IFERROR(VLOOKUP($A473,[2]库存使用数据!$A:$D,4,0),0)+公式!$B$1*IFERROR(VLOOKUP($A473,[3]库存使用数据!$A:$D,4,0),0)+IFERROR(VLOOKUP($A473,[4]库存使用数据!$A:$D,4,0),0)+IFERROR(VLOOKUP($A473,[5]库存使用数据!$A:$D,4,0),0)</f>
        <v>0</v>
      </c>
      <c r="E473" s="1">
        <f ca="1">IFERROR(VLOOKUP($A473,[1]库存使用数据!$A:$E,5,0),0)+IFERROR(VLOOKUP($A473,[2]库存使用数据!$A:$E,5,0),0)+IFERROR(VLOOKUP($A473,[3]库存使用数据!$A:$E,5,0),0)+IFERROR(VLOOKUP($A473,[4]库存使用数据!$A:$E,5,0),0)+IFERROR(VLOOKUP($A473,[5]库存使用数据!$A:$E,5,0),0)</f>
        <v>0</v>
      </c>
      <c r="F473" s="1">
        <f ca="1">IFERROR(VLOOKUP($A473,[1]库存使用数据!$A:$F,6,0),0)+IFERROR(VLOOKUP($A473,[2]库存使用数据!$A:$F,6,0),0)+IFERROR(VLOOKUP($A473,[4]库存使用数据!$A:$F,6,0),0)+IFERROR(VLOOKUP($A473,[3]库存使用数据!$A:$F,6,0),0)+IFERROR(VLOOKUP($A473,[5]库存使用数据!$A:$F,6,0),0)</f>
        <v>0</v>
      </c>
      <c r="G473" s="1">
        <f ca="1">IFERROR(VLOOKUP($A473,[1]库存使用数据!$A:$G,7,0),0)+IFERROR(VLOOKUP($A473,[2]库存使用数据!$A:$G,7,0),0)+公式!$B$14*IFERROR(VLOOKUP($A473,[3]库存使用数据!$A:$G,7,0),0)+IFERROR(VLOOKUP($A473,[4]库存使用数据!$A:$G,7,0),0)+IFERROR(VLOOKUP($A473,[5]库存使用数据!$A:$G,7,0),0)</f>
        <v>0</v>
      </c>
      <c r="H473" s="1">
        <f ca="1">IFERROR(VLOOKUP($A473,[1]库存使用数据!$A:$H,8,0),0)+IFERROR(VLOOKUP($A473,[2]库存使用数据!$A:$H,8,0),0)+IFERROR(VLOOKUP($A473,[3]库存使用数据!$A:$H,8,0),0)+IFERROR(VLOOKUP($A473,[4]库存使用数据!$A:$H,8,0),0)+IFERROR(VLOOKUP($A473,[5]库存使用数据!$A:$H,8,0),0)</f>
        <v>0</v>
      </c>
      <c r="I473" s="1">
        <f ca="1">IFERROR(VLOOKUP($A473,[1]库存使用数据!$A:$I,9,0),0)+IFERROR(VLOOKUP($A473,[2]库存使用数据!$A:$I,9,0),0)+IFERROR(VLOOKUP($A473,[3]库存使用数据!$A:$I,9,0),0)+IFERROR(VLOOKUP($A473,[4]库存使用数据!$A:$I,9,0),0)+IFERROR(VLOOKUP($A473,[5]库存使用数据!$A:$I,9,0),0)</f>
        <v>0</v>
      </c>
      <c r="J473" s="1">
        <f ca="1">IFERROR(VLOOKUP($A473,[1]库存使用数据!$A:$J,10,0),0)+IFERROR(VLOOKUP($A473,[2]库存使用数据!$A:$J,10,0),0)+公式!$B$14*IFERROR(VLOOKUP($A473,[3]库存使用数据!$A:$J,10,0),0)+IFERROR(VLOOKUP($A473,[4]库存使用数据!$A:$J,10,0),0)+IFERROR(VLOOKUP($A473,[5]库存使用数据!$A:$J,10,0),0)</f>
        <v>0</v>
      </c>
      <c r="K473" s="1">
        <f ca="1">IFERROR(VLOOKUP($A473,[1]库存使用数据!$A:$K,11,0),0)+IFERROR(VLOOKUP($A473,[2]库存使用数据!$A:$K,11,0),0)+IFERROR(VLOOKUP($A473,[3]库存使用数据!$A:$K,11,0),0)+IFERROR(VLOOKUP($A473,[4]库存使用数据!$A:$K,11,0),0)+IFERROR(VLOOKUP($A473,[5]库存使用数据!$A:$K,11,0),0)</f>
        <v>30</v>
      </c>
      <c r="L473" s="1">
        <f ca="1">IFERROR(VLOOKUP($A473,[1]库存使用数据!$A:$L,12,0),0)+IFERROR(VLOOKUP($A473,[2]库存使用数据!$A:$L,12,0),0)+IFERROR(VLOOKUP($A473,[3]库存使用数据!$A:$L,12,0),0)+IFERROR(VLOOKUP($A473,[4]库存使用数据!$A:$L,12,0),0)+IFERROR(VLOOKUP($A473,[5]库存使用数据!$A:$L,12,0),0)</f>
        <v>0</v>
      </c>
      <c r="M473" s="1">
        <f ca="1">IFERROR(VLOOKUP($A473,[1]库存使用数据!$A:$M,13,0),0)+IFERROR(VLOOKUP($A473,[2]库存使用数据!$A:$M,13,0),0)+公式!$B$14*IFERROR(VLOOKUP($A473,[3]库存使用数据!$A:$M,13,0),0)+IFERROR(VLOOKUP($A473,[4]库存使用数据!$A:$M,13,0),0)+IFERROR(VLOOKUP($A473,[5]库存使用数据!$A:$M,13,0),0)</f>
        <v>0</v>
      </c>
    </row>
    <row r="474" spans="1:13">
      <c r="A474" s="6" t="s">
        <v>479</v>
      </c>
      <c r="B474" s="2">
        <f ca="1">IFERROR(VLOOKUP(A474,[1]库存使用数据!$A:$B,2,0),0)+IFERROR(VLOOKUP(A474,[2]库存使用数据!$A:$B,2,0),0)+IFERROR(VLOOKUP(,[3]库存使用数据!$A:$B,2,0),0)+IFERROR(VLOOKUP(A474,[4]库存使用数据!$A:$B,2,0),0)+IFERROR(VLOOKUP(A474,[5]库存使用数据!$A:$B,2,0),0)</f>
        <v>0</v>
      </c>
      <c r="C474" s="1">
        <f ca="1">IFERROR(VLOOKUP($A474,[1]库存使用数据!$A:$C,3,0),0)+IFERROR(VLOOKUP($A474,[2]库存使用数据!$A:$C,3,0),0)+IFERROR(VLOOKUP($A474,[3]库存使用数据!$A:$C,3,0),0)+IFERROR(VLOOKUP($A474,[4]库存使用数据!$A:$C,3,0),0)+IFERROR(VLOOKUP($A474,[5]库存使用数据!$A:$C,3,0),0)</f>
        <v>0</v>
      </c>
      <c r="D474" s="1">
        <f ca="1">IFERROR(VLOOKUP($A474,[1]库存使用数据!$A:$D,4,0),0)+IFERROR(VLOOKUP($A474,[2]库存使用数据!$A:$D,4,0),0)+公式!$B$1*IFERROR(VLOOKUP($A474,[3]库存使用数据!$A:$D,4,0),0)+IFERROR(VLOOKUP($A474,[4]库存使用数据!$A:$D,4,0),0)+IFERROR(VLOOKUP($A474,[5]库存使用数据!$A:$D,4,0),0)</f>
        <v>0</v>
      </c>
      <c r="E474" s="1">
        <f ca="1">IFERROR(VLOOKUP($A474,[1]库存使用数据!$A:$E,5,0),0)+IFERROR(VLOOKUP($A474,[2]库存使用数据!$A:$E,5,0),0)+IFERROR(VLOOKUP($A474,[3]库存使用数据!$A:$E,5,0),0)+IFERROR(VLOOKUP($A474,[4]库存使用数据!$A:$E,5,0),0)+IFERROR(VLOOKUP($A474,[5]库存使用数据!$A:$E,5,0),0)</f>
        <v>0</v>
      </c>
      <c r="F474" s="1">
        <f ca="1">IFERROR(VLOOKUP($A474,[1]库存使用数据!$A:$F,6,0),0)+IFERROR(VLOOKUP($A474,[2]库存使用数据!$A:$F,6,0),0)+IFERROR(VLOOKUP($A474,[4]库存使用数据!$A:$F,6,0),0)+IFERROR(VLOOKUP($A474,[3]库存使用数据!$A:$F,6,0),0)+IFERROR(VLOOKUP($A474,[5]库存使用数据!$A:$F,6,0),0)</f>
        <v>0</v>
      </c>
      <c r="G474" s="1">
        <f ca="1">IFERROR(VLOOKUP($A474,[1]库存使用数据!$A:$G,7,0),0)+IFERROR(VLOOKUP($A474,[2]库存使用数据!$A:$G,7,0),0)+公式!$B$14*IFERROR(VLOOKUP($A474,[3]库存使用数据!$A:$G,7,0),0)+IFERROR(VLOOKUP($A474,[4]库存使用数据!$A:$G,7,0),0)+IFERROR(VLOOKUP($A474,[5]库存使用数据!$A:$G,7,0),0)</f>
        <v>0</v>
      </c>
      <c r="H474" s="1">
        <f ca="1">IFERROR(VLOOKUP($A474,[1]库存使用数据!$A:$H,8,0),0)+IFERROR(VLOOKUP($A474,[2]库存使用数据!$A:$H,8,0),0)+IFERROR(VLOOKUP($A474,[3]库存使用数据!$A:$H,8,0),0)+IFERROR(VLOOKUP($A474,[4]库存使用数据!$A:$H,8,0),0)+IFERROR(VLOOKUP($A474,[5]库存使用数据!$A:$H,8,0),0)</f>
        <v>119</v>
      </c>
      <c r="I474" s="1">
        <f ca="1">IFERROR(VLOOKUP($A474,[1]库存使用数据!$A:$I,9,0),0)+IFERROR(VLOOKUP($A474,[2]库存使用数据!$A:$I,9,0),0)+IFERROR(VLOOKUP($A474,[3]库存使用数据!$A:$I,9,0),0)+IFERROR(VLOOKUP($A474,[4]库存使用数据!$A:$I,9,0),0)+IFERROR(VLOOKUP($A474,[5]库存使用数据!$A:$I,9,0),0)</f>
        <v>3</v>
      </c>
      <c r="J474" s="1">
        <f ca="1">IFERROR(VLOOKUP($A474,[1]库存使用数据!$A:$J,10,0),0)+IFERROR(VLOOKUP($A474,[2]库存使用数据!$A:$J,10,0),0)+公式!$B$14*IFERROR(VLOOKUP($A474,[3]库存使用数据!$A:$J,10,0),0)+IFERROR(VLOOKUP($A474,[4]库存使用数据!$A:$J,10,0),0)+IFERROR(VLOOKUP($A474,[5]库存使用数据!$A:$J,10,0),0)</f>
        <v>0</v>
      </c>
      <c r="K474" s="1">
        <f ca="1">IFERROR(VLOOKUP($A474,[1]库存使用数据!$A:$K,11,0),0)+IFERROR(VLOOKUP($A474,[2]库存使用数据!$A:$K,11,0),0)+IFERROR(VLOOKUP($A474,[3]库存使用数据!$A:$K,11,0),0)+IFERROR(VLOOKUP($A474,[4]库存使用数据!$A:$K,11,0),0)+IFERROR(VLOOKUP($A474,[5]库存使用数据!$A:$K,11,0),0)</f>
        <v>466</v>
      </c>
      <c r="L474" s="1">
        <f ca="1">IFERROR(VLOOKUP($A474,[1]库存使用数据!$A:$L,12,0),0)+IFERROR(VLOOKUP($A474,[2]库存使用数据!$A:$L,12,0),0)+IFERROR(VLOOKUP($A474,[3]库存使用数据!$A:$L,12,0),0)+IFERROR(VLOOKUP($A474,[4]库存使用数据!$A:$L,12,0),0)+IFERROR(VLOOKUP($A474,[5]库存使用数据!$A:$L,12,0),0)</f>
        <v>4</v>
      </c>
      <c r="M474" s="1">
        <f ca="1">IFERROR(VLOOKUP($A474,[1]库存使用数据!$A:$M,13,0),0)+IFERROR(VLOOKUP($A474,[2]库存使用数据!$A:$M,13,0),0)+公式!$B$14*IFERROR(VLOOKUP($A474,[3]库存使用数据!$A:$M,13,0),0)+IFERROR(VLOOKUP($A474,[4]库存使用数据!$A:$M,13,0),0)+IFERROR(VLOOKUP($A474,[5]库存使用数据!$A:$M,13,0),0)</f>
        <v>0</v>
      </c>
    </row>
    <row r="475" spans="1:13">
      <c r="A475" s="6" t="s">
        <v>480</v>
      </c>
      <c r="B475" s="2">
        <f ca="1">IFERROR(VLOOKUP(A475,[1]库存使用数据!$A:$B,2,0),0)+IFERROR(VLOOKUP(A475,[2]库存使用数据!$A:$B,2,0),0)+IFERROR(VLOOKUP(,[3]库存使用数据!$A:$B,2,0),0)+IFERROR(VLOOKUP(A475,[4]库存使用数据!$A:$B,2,0),0)+IFERROR(VLOOKUP(A475,[5]库存使用数据!$A:$B,2,0),0)</f>
        <v>11</v>
      </c>
      <c r="C475" s="1">
        <f ca="1">IFERROR(VLOOKUP($A475,[1]库存使用数据!$A:$C,3,0),0)+IFERROR(VLOOKUP($A475,[2]库存使用数据!$A:$C,3,0),0)+IFERROR(VLOOKUP($A475,[3]库存使用数据!$A:$C,3,0),0)+IFERROR(VLOOKUP($A475,[4]库存使用数据!$A:$C,3,0),0)+IFERROR(VLOOKUP($A475,[5]库存使用数据!$A:$C,3,0),0)</f>
        <v>35</v>
      </c>
      <c r="D475" s="1">
        <f ca="1">IFERROR(VLOOKUP($A475,[1]库存使用数据!$A:$D,4,0),0)+IFERROR(VLOOKUP($A475,[2]库存使用数据!$A:$D,4,0),0)+公式!$B$1*IFERROR(VLOOKUP($A475,[3]库存使用数据!$A:$D,4,0),0)+IFERROR(VLOOKUP($A475,[4]库存使用数据!$A:$D,4,0),0)+IFERROR(VLOOKUP($A475,[5]库存使用数据!$A:$D,4,0),0)</f>
        <v>8.98875</v>
      </c>
      <c r="E475" s="1">
        <f ca="1">IFERROR(VLOOKUP($A475,[1]库存使用数据!$A:$E,5,0),0)+IFERROR(VLOOKUP($A475,[2]库存使用数据!$A:$E,5,0),0)+IFERROR(VLOOKUP($A475,[3]库存使用数据!$A:$E,5,0),0)+IFERROR(VLOOKUP($A475,[4]库存使用数据!$A:$E,5,0),0)+IFERROR(VLOOKUP($A475,[5]库存使用数据!$A:$E,5,0),0)</f>
        <v>2</v>
      </c>
      <c r="F475" s="1">
        <f ca="1">IFERROR(VLOOKUP($A475,[1]库存使用数据!$A:$F,6,0),0)+IFERROR(VLOOKUP($A475,[2]库存使用数据!$A:$F,6,0),0)+IFERROR(VLOOKUP($A475,[4]库存使用数据!$A:$F,6,0),0)+IFERROR(VLOOKUP($A475,[3]库存使用数据!$A:$F,6,0),0)+IFERROR(VLOOKUP($A475,[5]库存使用数据!$A:$F,6,0),0)</f>
        <v>0</v>
      </c>
      <c r="G475" s="1">
        <f ca="1">IFERROR(VLOOKUP($A475,[1]库存使用数据!$A:$G,7,0),0)+IFERROR(VLOOKUP($A475,[2]库存使用数据!$A:$G,7,0),0)+公式!$B$14*IFERROR(VLOOKUP($A475,[3]库存使用数据!$A:$G,7,0),0)+IFERROR(VLOOKUP($A475,[4]库存使用数据!$A:$G,7,0),0)+IFERROR(VLOOKUP($A475,[5]库存使用数据!$A:$G,7,0),0)</f>
        <v>0</v>
      </c>
      <c r="H475" s="1">
        <f ca="1">IFERROR(VLOOKUP($A475,[1]库存使用数据!$A:$H,8,0),0)+IFERROR(VLOOKUP($A475,[2]库存使用数据!$A:$H,8,0),0)+IFERROR(VLOOKUP($A475,[3]库存使用数据!$A:$H,8,0),0)+IFERROR(VLOOKUP($A475,[4]库存使用数据!$A:$H,8,0),0)+IFERROR(VLOOKUP($A475,[5]库存使用数据!$A:$H,8,0),0)</f>
        <v>152</v>
      </c>
      <c r="I475" s="1">
        <f ca="1">IFERROR(VLOOKUP($A475,[1]库存使用数据!$A:$I,9,0),0)+IFERROR(VLOOKUP($A475,[2]库存使用数据!$A:$I,9,0),0)+IFERROR(VLOOKUP($A475,[3]库存使用数据!$A:$I,9,0),0)+IFERROR(VLOOKUP($A475,[4]库存使用数据!$A:$I,9,0),0)+IFERROR(VLOOKUP($A475,[5]库存使用数据!$A:$I,9,0),0)</f>
        <v>1</v>
      </c>
      <c r="J475" s="1">
        <f ca="1">IFERROR(VLOOKUP($A475,[1]库存使用数据!$A:$J,10,0),0)+IFERROR(VLOOKUP($A475,[2]库存使用数据!$A:$J,10,0),0)+公式!$B$14*IFERROR(VLOOKUP($A475,[3]库存使用数据!$A:$J,10,0),0)+IFERROR(VLOOKUP($A475,[4]库存使用数据!$A:$J,10,0),0)+IFERROR(VLOOKUP($A475,[5]库存使用数据!$A:$J,10,0),0)</f>
        <v>0</v>
      </c>
      <c r="K475" s="1">
        <f ca="1">IFERROR(VLOOKUP($A475,[1]库存使用数据!$A:$K,11,0),0)+IFERROR(VLOOKUP($A475,[2]库存使用数据!$A:$K,11,0),0)+IFERROR(VLOOKUP($A475,[3]库存使用数据!$A:$K,11,0),0)+IFERROR(VLOOKUP($A475,[4]库存使用数据!$A:$K,11,0),0)+IFERROR(VLOOKUP($A475,[5]库存使用数据!$A:$K,11,0),0)</f>
        <v>709</v>
      </c>
      <c r="L475" s="1">
        <f ca="1">IFERROR(VLOOKUP($A475,[1]库存使用数据!$A:$L,12,0),0)+IFERROR(VLOOKUP($A475,[2]库存使用数据!$A:$L,12,0),0)+IFERROR(VLOOKUP($A475,[3]库存使用数据!$A:$L,12,0),0)+IFERROR(VLOOKUP($A475,[4]库存使用数据!$A:$L,12,0),0)+IFERROR(VLOOKUP($A475,[5]库存使用数据!$A:$L,12,0),0)</f>
        <v>15</v>
      </c>
      <c r="M475" s="1">
        <f ca="1">IFERROR(VLOOKUP($A475,[1]库存使用数据!$A:$M,13,0),0)+IFERROR(VLOOKUP($A475,[2]库存使用数据!$A:$M,13,0),0)+公式!$B$14*IFERROR(VLOOKUP($A475,[3]库存使用数据!$A:$M,13,0),0)+IFERROR(VLOOKUP($A475,[4]库存使用数据!$A:$M,13,0),0)+IFERROR(VLOOKUP($A475,[5]库存使用数据!$A:$M,13,0),0)</f>
        <v>0</v>
      </c>
    </row>
    <row r="476" spans="1:13">
      <c r="A476" s="6" t="s">
        <v>481</v>
      </c>
      <c r="B476" s="2">
        <f ca="1">IFERROR(VLOOKUP(A476,[1]库存使用数据!$A:$B,2,0),0)+IFERROR(VLOOKUP(A476,[2]库存使用数据!$A:$B,2,0),0)+IFERROR(VLOOKUP(,[3]库存使用数据!$A:$B,2,0),0)+IFERROR(VLOOKUP(A476,[4]库存使用数据!$A:$B,2,0),0)+IFERROR(VLOOKUP(A476,[5]库存使用数据!$A:$B,2,0),0)</f>
        <v>0</v>
      </c>
      <c r="C476" s="1">
        <f ca="1">IFERROR(VLOOKUP($A476,[1]库存使用数据!$A:$C,3,0),0)+IFERROR(VLOOKUP($A476,[2]库存使用数据!$A:$C,3,0),0)+IFERROR(VLOOKUP($A476,[3]库存使用数据!$A:$C,3,0),0)+IFERROR(VLOOKUP($A476,[4]库存使用数据!$A:$C,3,0),0)+IFERROR(VLOOKUP($A476,[5]库存使用数据!$A:$C,3,0),0)</f>
        <v>0</v>
      </c>
      <c r="D476" s="1">
        <f ca="1">IFERROR(VLOOKUP($A476,[1]库存使用数据!$A:$D,4,0),0)+IFERROR(VLOOKUP($A476,[2]库存使用数据!$A:$D,4,0),0)+公式!$B$1*IFERROR(VLOOKUP($A476,[3]库存使用数据!$A:$D,4,0),0)+IFERROR(VLOOKUP($A476,[4]库存使用数据!$A:$D,4,0),0)+IFERROR(VLOOKUP($A476,[5]库存使用数据!$A:$D,4,0),0)</f>
        <v>0</v>
      </c>
      <c r="E476" s="1">
        <f ca="1">IFERROR(VLOOKUP($A476,[1]库存使用数据!$A:$E,5,0),0)+IFERROR(VLOOKUP($A476,[2]库存使用数据!$A:$E,5,0),0)+IFERROR(VLOOKUP($A476,[3]库存使用数据!$A:$E,5,0),0)+IFERROR(VLOOKUP($A476,[4]库存使用数据!$A:$E,5,0),0)+IFERROR(VLOOKUP($A476,[5]库存使用数据!$A:$E,5,0),0)</f>
        <v>0</v>
      </c>
      <c r="F476" s="1">
        <f ca="1">IFERROR(VLOOKUP($A476,[1]库存使用数据!$A:$F,6,0),0)+IFERROR(VLOOKUP($A476,[2]库存使用数据!$A:$F,6,0),0)+IFERROR(VLOOKUP($A476,[4]库存使用数据!$A:$F,6,0),0)+IFERROR(VLOOKUP($A476,[3]库存使用数据!$A:$F,6,0),0)+IFERROR(VLOOKUP($A476,[5]库存使用数据!$A:$F,6,0),0)</f>
        <v>0</v>
      </c>
      <c r="G476" s="1">
        <f ca="1">IFERROR(VLOOKUP($A476,[1]库存使用数据!$A:$G,7,0),0)+IFERROR(VLOOKUP($A476,[2]库存使用数据!$A:$G,7,0),0)+公式!$B$14*IFERROR(VLOOKUP($A476,[3]库存使用数据!$A:$G,7,0),0)+IFERROR(VLOOKUP($A476,[4]库存使用数据!$A:$G,7,0),0)+IFERROR(VLOOKUP($A476,[5]库存使用数据!$A:$G,7,0),0)</f>
        <v>0</v>
      </c>
      <c r="H476" s="1">
        <f ca="1">IFERROR(VLOOKUP($A476,[1]库存使用数据!$A:$H,8,0),0)+IFERROR(VLOOKUP($A476,[2]库存使用数据!$A:$H,8,0),0)+IFERROR(VLOOKUP($A476,[3]库存使用数据!$A:$H,8,0),0)+IFERROR(VLOOKUP($A476,[4]库存使用数据!$A:$H,8,0),0)+IFERROR(VLOOKUP($A476,[5]库存使用数据!$A:$H,8,0),0)</f>
        <v>6</v>
      </c>
      <c r="I476" s="1">
        <f ca="1">IFERROR(VLOOKUP($A476,[1]库存使用数据!$A:$I,9,0),0)+IFERROR(VLOOKUP($A476,[2]库存使用数据!$A:$I,9,0),0)+IFERROR(VLOOKUP($A476,[3]库存使用数据!$A:$I,9,0),0)+IFERROR(VLOOKUP($A476,[4]库存使用数据!$A:$I,9,0),0)+IFERROR(VLOOKUP($A476,[5]库存使用数据!$A:$I,9,0),0)</f>
        <v>0</v>
      </c>
      <c r="J476" s="1">
        <f ca="1">IFERROR(VLOOKUP($A476,[1]库存使用数据!$A:$J,10,0),0)+IFERROR(VLOOKUP($A476,[2]库存使用数据!$A:$J,10,0),0)+公式!$B$14*IFERROR(VLOOKUP($A476,[3]库存使用数据!$A:$J,10,0),0)+IFERROR(VLOOKUP($A476,[4]库存使用数据!$A:$J,10,0),0)+IFERROR(VLOOKUP($A476,[5]库存使用数据!$A:$J,10,0),0)</f>
        <v>0</v>
      </c>
      <c r="K476" s="1">
        <f ca="1">IFERROR(VLOOKUP($A476,[1]库存使用数据!$A:$K,11,0),0)+IFERROR(VLOOKUP($A476,[2]库存使用数据!$A:$K,11,0),0)+IFERROR(VLOOKUP($A476,[3]库存使用数据!$A:$K,11,0),0)+IFERROR(VLOOKUP($A476,[4]库存使用数据!$A:$K,11,0),0)+IFERROR(VLOOKUP($A476,[5]库存使用数据!$A:$K,11,0),0)</f>
        <v>37</v>
      </c>
      <c r="L476" s="1">
        <f ca="1">IFERROR(VLOOKUP($A476,[1]库存使用数据!$A:$L,12,0),0)+IFERROR(VLOOKUP($A476,[2]库存使用数据!$A:$L,12,0),0)+IFERROR(VLOOKUP($A476,[3]库存使用数据!$A:$L,12,0),0)+IFERROR(VLOOKUP($A476,[4]库存使用数据!$A:$L,12,0),0)+IFERROR(VLOOKUP($A476,[5]库存使用数据!$A:$L,12,0),0)</f>
        <v>0</v>
      </c>
      <c r="M476" s="1">
        <f ca="1">IFERROR(VLOOKUP($A476,[1]库存使用数据!$A:$M,13,0),0)+IFERROR(VLOOKUP($A476,[2]库存使用数据!$A:$M,13,0),0)+公式!$B$14*IFERROR(VLOOKUP($A476,[3]库存使用数据!$A:$M,13,0),0)+IFERROR(VLOOKUP($A476,[4]库存使用数据!$A:$M,13,0),0)+IFERROR(VLOOKUP($A476,[5]库存使用数据!$A:$M,13,0),0)</f>
        <v>0</v>
      </c>
    </row>
    <row r="477" spans="1:13">
      <c r="A477" s="6" t="s">
        <v>482</v>
      </c>
      <c r="B477" s="2">
        <f ca="1">IFERROR(VLOOKUP(A477,[1]库存使用数据!$A:$B,2,0),0)+IFERROR(VLOOKUP(A477,[2]库存使用数据!$A:$B,2,0),0)+IFERROR(VLOOKUP(,[3]库存使用数据!$A:$B,2,0),0)+IFERROR(VLOOKUP(A477,[4]库存使用数据!$A:$B,2,0),0)+IFERROR(VLOOKUP(A477,[5]库存使用数据!$A:$B,2,0),0)</f>
        <v>0</v>
      </c>
      <c r="C477" s="1">
        <f ca="1">IFERROR(VLOOKUP($A477,[1]库存使用数据!$A:$C,3,0),0)+IFERROR(VLOOKUP($A477,[2]库存使用数据!$A:$C,3,0),0)+IFERROR(VLOOKUP($A477,[3]库存使用数据!$A:$C,3,0),0)+IFERROR(VLOOKUP($A477,[4]库存使用数据!$A:$C,3,0),0)+IFERROR(VLOOKUP($A477,[5]库存使用数据!$A:$C,3,0),0)</f>
        <v>0</v>
      </c>
      <c r="D477" s="1">
        <f ca="1">IFERROR(VLOOKUP($A477,[1]库存使用数据!$A:$D,4,0),0)+IFERROR(VLOOKUP($A477,[2]库存使用数据!$A:$D,4,0),0)+公式!$B$1*IFERROR(VLOOKUP($A477,[3]库存使用数据!$A:$D,4,0),0)+IFERROR(VLOOKUP($A477,[4]库存使用数据!$A:$D,4,0),0)+IFERROR(VLOOKUP($A477,[5]库存使用数据!$A:$D,4,0),0)</f>
        <v>0</v>
      </c>
      <c r="E477" s="1">
        <f ca="1">IFERROR(VLOOKUP($A477,[1]库存使用数据!$A:$E,5,0),0)+IFERROR(VLOOKUP($A477,[2]库存使用数据!$A:$E,5,0),0)+IFERROR(VLOOKUP($A477,[3]库存使用数据!$A:$E,5,0),0)+IFERROR(VLOOKUP($A477,[4]库存使用数据!$A:$E,5,0),0)+IFERROR(VLOOKUP($A477,[5]库存使用数据!$A:$E,5,0),0)</f>
        <v>0</v>
      </c>
      <c r="F477" s="1">
        <f ca="1">IFERROR(VLOOKUP($A477,[1]库存使用数据!$A:$F,6,0),0)+IFERROR(VLOOKUP($A477,[2]库存使用数据!$A:$F,6,0),0)+IFERROR(VLOOKUP($A477,[4]库存使用数据!$A:$F,6,0),0)+IFERROR(VLOOKUP($A477,[3]库存使用数据!$A:$F,6,0),0)+IFERROR(VLOOKUP($A477,[5]库存使用数据!$A:$F,6,0),0)</f>
        <v>0</v>
      </c>
      <c r="G477" s="1">
        <f ca="1">IFERROR(VLOOKUP($A477,[1]库存使用数据!$A:$G,7,0),0)+IFERROR(VLOOKUP($A477,[2]库存使用数据!$A:$G,7,0),0)+公式!$B$14*IFERROR(VLOOKUP($A477,[3]库存使用数据!$A:$G,7,0),0)+IFERROR(VLOOKUP($A477,[4]库存使用数据!$A:$G,7,0),0)+IFERROR(VLOOKUP($A477,[5]库存使用数据!$A:$G,7,0),0)</f>
        <v>0</v>
      </c>
      <c r="H477" s="1">
        <f ca="1">IFERROR(VLOOKUP($A477,[1]库存使用数据!$A:$H,8,0),0)+IFERROR(VLOOKUP($A477,[2]库存使用数据!$A:$H,8,0),0)+IFERROR(VLOOKUP($A477,[3]库存使用数据!$A:$H,8,0),0)+IFERROR(VLOOKUP($A477,[4]库存使用数据!$A:$H,8,0),0)+IFERROR(VLOOKUP($A477,[5]库存使用数据!$A:$H,8,0),0)</f>
        <v>0</v>
      </c>
      <c r="I477" s="1">
        <f ca="1">IFERROR(VLOOKUP($A477,[1]库存使用数据!$A:$I,9,0),0)+IFERROR(VLOOKUP($A477,[2]库存使用数据!$A:$I,9,0),0)+IFERROR(VLOOKUP($A477,[3]库存使用数据!$A:$I,9,0),0)+IFERROR(VLOOKUP($A477,[4]库存使用数据!$A:$I,9,0),0)+IFERROR(VLOOKUP($A477,[5]库存使用数据!$A:$I,9,0),0)</f>
        <v>0</v>
      </c>
      <c r="J477" s="1">
        <f ca="1">IFERROR(VLOOKUP($A477,[1]库存使用数据!$A:$J,10,0),0)+IFERROR(VLOOKUP($A477,[2]库存使用数据!$A:$J,10,0),0)+公式!$B$14*IFERROR(VLOOKUP($A477,[3]库存使用数据!$A:$J,10,0),0)+IFERROR(VLOOKUP($A477,[4]库存使用数据!$A:$J,10,0),0)+IFERROR(VLOOKUP($A477,[5]库存使用数据!$A:$J,10,0),0)</f>
        <v>0</v>
      </c>
      <c r="K477" s="1">
        <f ca="1">IFERROR(VLOOKUP($A477,[1]库存使用数据!$A:$K,11,0),0)+IFERROR(VLOOKUP($A477,[2]库存使用数据!$A:$K,11,0),0)+IFERROR(VLOOKUP($A477,[3]库存使用数据!$A:$K,11,0),0)+IFERROR(VLOOKUP($A477,[4]库存使用数据!$A:$K,11,0),0)+IFERROR(VLOOKUP($A477,[5]库存使用数据!$A:$K,11,0),0)</f>
        <v>39</v>
      </c>
      <c r="L477" s="1">
        <f ca="1">IFERROR(VLOOKUP($A477,[1]库存使用数据!$A:$L,12,0),0)+IFERROR(VLOOKUP($A477,[2]库存使用数据!$A:$L,12,0),0)+IFERROR(VLOOKUP($A477,[3]库存使用数据!$A:$L,12,0),0)+IFERROR(VLOOKUP($A477,[4]库存使用数据!$A:$L,12,0),0)+IFERROR(VLOOKUP($A477,[5]库存使用数据!$A:$L,12,0),0)</f>
        <v>0</v>
      </c>
      <c r="M477" s="1">
        <f ca="1">IFERROR(VLOOKUP($A477,[1]库存使用数据!$A:$M,13,0),0)+IFERROR(VLOOKUP($A477,[2]库存使用数据!$A:$M,13,0),0)+公式!$B$14*IFERROR(VLOOKUP($A477,[3]库存使用数据!$A:$M,13,0),0)+IFERROR(VLOOKUP($A477,[4]库存使用数据!$A:$M,13,0),0)+IFERROR(VLOOKUP($A477,[5]库存使用数据!$A:$M,13,0),0)</f>
        <v>0</v>
      </c>
    </row>
    <row r="478" spans="1:13">
      <c r="A478" s="6" t="s">
        <v>483</v>
      </c>
      <c r="B478" s="2">
        <f ca="1">IFERROR(VLOOKUP(A478,[1]库存使用数据!$A:$B,2,0),0)+IFERROR(VLOOKUP(A478,[2]库存使用数据!$A:$B,2,0),0)+IFERROR(VLOOKUP(,[3]库存使用数据!$A:$B,2,0),0)+IFERROR(VLOOKUP(A478,[4]库存使用数据!$A:$B,2,0),0)+IFERROR(VLOOKUP(A478,[5]库存使用数据!$A:$B,2,0),0)</f>
        <v>0</v>
      </c>
      <c r="C478" s="1">
        <f ca="1">IFERROR(VLOOKUP($A478,[1]库存使用数据!$A:$C,3,0),0)+IFERROR(VLOOKUP($A478,[2]库存使用数据!$A:$C,3,0),0)+IFERROR(VLOOKUP($A478,[3]库存使用数据!$A:$C,3,0),0)+IFERROR(VLOOKUP($A478,[4]库存使用数据!$A:$C,3,0),0)+IFERROR(VLOOKUP($A478,[5]库存使用数据!$A:$C,3,0),0)</f>
        <v>13</v>
      </c>
      <c r="D478" s="1">
        <f ca="1">IFERROR(VLOOKUP($A478,[1]库存使用数据!$A:$D,4,0),0)+IFERROR(VLOOKUP($A478,[2]库存使用数据!$A:$D,4,0),0)+公式!$B$1*IFERROR(VLOOKUP($A478,[3]库存使用数据!$A:$D,4,0),0)+IFERROR(VLOOKUP($A478,[4]库存使用数据!$A:$D,4,0),0)+IFERROR(VLOOKUP($A478,[5]库存使用数据!$A:$D,4,0),0)</f>
        <v>1.89</v>
      </c>
      <c r="E478" s="1">
        <f ca="1">IFERROR(VLOOKUP($A478,[1]库存使用数据!$A:$E,5,0),0)+IFERROR(VLOOKUP($A478,[2]库存使用数据!$A:$E,5,0),0)+IFERROR(VLOOKUP($A478,[3]库存使用数据!$A:$E,5,0),0)+IFERROR(VLOOKUP($A478,[4]库存使用数据!$A:$E,5,0),0)+IFERROR(VLOOKUP($A478,[5]库存使用数据!$A:$E,5,0),0)</f>
        <v>0</v>
      </c>
      <c r="F478" s="1">
        <f ca="1">IFERROR(VLOOKUP($A478,[1]库存使用数据!$A:$F,6,0),0)+IFERROR(VLOOKUP($A478,[2]库存使用数据!$A:$F,6,0),0)+IFERROR(VLOOKUP($A478,[4]库存使用数据!$A:$F,6,0),0)+IFERROR(VLOOKUP($A478,[3]库存使用数据!$A:$F,6,0),0)+IFERROR(VLOOKUP($A478,[5]库存使用数据!$A:$F,6,0),0)</f>
        <v>0</v>
      </c>
      <c r="G478" s="1">
        <f ca="1">IFERROR(VLOOKUP($A478,[1]库存使用数据!$A:$G,7,0),0)+IFERROR(VLOOKUP($A478,[2]库存使用数据!$A:$G,7,0),0)+公式!$B$14*IFERROR(VLOOKUP($A478,[3]库存使用数据!$A:$G,7,0),0)+IFERROR(VLOOKUP($A478,[4]库存使用数据!$A:$G,7,0),0)+IFERROR(VLOOKUP($A478,[5]库存使用数据!$A:$G,7,0),0)</f>
        <v>0</v>
      </c>
      <c r="H478" s="1">
        <f ca="1">IFERROR(VLOOKUP($A478,[1]库存使用数据!$A:$H,8,0),0)+IFERROR(VLOOKUP($A478,[2]库存使用数据!$A:$H,8,0),0)+IFERROR(VLOOKUP($A478,[3]库存使用数据!$A:$H,8,0),0)+IFERROR(VLOOKUP($A478,[4]库存使用数据!$A:$H,8,0),0)+IFERROR(VLOOKUP($A478,[5]库存使用数据!$A:$H,8,0),0)</f>
        <v>43</v>
      </c>
      <c r="I478" s="1">
        <f ca="1">IFERROR(VLOOKUP($A478,[1]库存使用数据!$A:$I,9,0),0)+IFERROR(VLOOKUP($A478,[2]库存使用数据!$A:$I,9,0),0)+IFERROR(VLOOKUP($A478,[3]库存使用数据!$A:$I,9,0),0)+IFERROR(VLOOKUP($A478,[4]库存使用数据!$A:$I,9,0),0)+IFERROR(VLOOKUP($A478,[5]库存使用数据!$A:$I,9,0),0)</f>
        <v>0</v>
      </c>
      <c r="J478" s="1">
        <f ca="1">IFERROR(VLOOKUP($A478,[1]库存使用数据!$A:$J,10,0),0)+IFERROR(VLOOKUP($A478,[2]库存使用数据!$A:$J,10,0),0)+公式!$B$14*IFERROR(VLOOKUP($A478,[3]库存使用数据!$A:$J,10,0),0)+IFERROR(VLOOKUP($A478,[4]库存使用数据!$A:$J,10,0),0)+IFERROR(VLOOKUP($A478,[5]库存使用数据!$A:$J,10,0),0)</f>
        <v>0</v>
      </c>
      <c r="K478" s="1">
        <f ca="1">IFERROR(VLOOKUP($A478,[1]库存使用数据!$A:$K,11,0),0)+IFERROR(VLOOKUP($A478,[2]库存使用数据!$A:$K,11,0),0)+IFERROR(VLOOKUP($A478,[3]库存使用数据!$A:$K,11,0),0)+IFERROR(VLOOKUP($A478,[4]库存使用数据!$A:$K,11,0),0)+IFERROR(VLOOKUP($A478,[5]库存使用数据!$A:$K,11,0),0)</f>
        <v>122</v>
      </c>
      <c r="L478" s="1">
        <f ca="1">IFERROR(VLOOKUP($A478,[1]库存使用数据!$A:$L,12,0),0)+IFERROR(VLOOKUP($A478,[2]库存使用数据!$A:$L,12,0),0)+IFERROR(VLOOKUP($A478,[3]库存使用数据!$A:$L,12,0),0)+IFERROR(VLOOKUP($A478,[4]库存使用数据!$A:$L,12,0),0)+IFERROR(VLOOKUP($A478,[5]库存使用数据!$A:$L,12,0),0)</f>
        <v>3</v>
      </c>
      <c r="M478" s="1">
        <f ca="1">IFERROR(VLOOKUP($A478,[1]库存使用数据!$A:$M,13,0),0)+IFERROR(VLOOKUP($A478,[2]库存使用数据!$A:$M,13,0),0)+公式!$B$14*IFERROR(VLOOKUP($A478,[3]库存使用数据!$A:$M,13,0),0)+IFERROR(VLOOKUP($A478,[4]库存使用数据!$A:$M,13,0),0)+IFERROR(VLOOKUP($A478,[5]库存使用数据!$A:$M,13,0),0)</f>
        <v>0</v>
      </c>
    </row>
    <row r="479" spans="1:13">
      <c r="A479" s="6" t="s">
        <v>484</v>
      </c>
      <c r="B479" s="2">
        <f ca="1">IFERROR(VLOOKUP(A479,[1]库存使用数据!$A:$B,2,0),0)+IFERROR(VLOOKUP(A479,[2]库存使用数据!$A:$B,2,0),0)+IFERROR(VLOOKUP(,[3]库存使用数据!$A:$B,2,0),0)+IFERROR(VLOOKUP(A479,[4]库存使用数据!$A:$B,2,0),0)+IFERROR(VLOOKUP(A479,[5]库存使用数据!$A:$B,2,0),0)</f>
        <v>0</v>
      </c>
      <c r="C479" s="1">
        <f ca="1">IFERROR(VLOOKUP($A479,[1]库存使用数据!$A:$C,3,0),0)+IFERROR(VLOOKUP($A479,[2]库存使用数据!$A:$C,3,0),0)+IFERROR(VLOOKUP($A479,[3]库存使用数据!$A:$C,3,0),0)+IFERROR(VLOOKUP($A479,[4]库存使用数据!$A:$C,3,0),0)+IFERROR(VLOOKUP($A479,[5]库存使用数据!$A:$C,3,0),0)</f>
        <v>0</v>
      </c>
      <c r="D479" s="1">
        <f ca="1">IFERROR(VLOOKUP($A479,[1]库存使用数据!$A:$D,4,0),0)+IFERROR(VLOOKUP($A479,[2]库存使用数据!$A:$D,4,0),0)+公式!$B$1*IFERROR(VLOOKUP($A479,[3]库存使用数据!$A:$D,4,0),0)+IFERROR(VLOOKUP($A479,[4]库存使用数据!$A:$D,4,0),0)+IFERROR(VLOOKUP($A479,[5]库存使用数据!$A:$D,4,0),0)</f>
        <v>0</v>
      </c>
      <c r="E479" s="1">
        <f ca="1">IFERROR(VLOOKUP($A479,[1]库存使用数据!$A:$E,5,0),0)+IFERROR(VLOOKUP($A479,[2]库存使用数据!$A:$E,5,0),0)+IFERROR(VLOOKUP($A479,[3]库存使用数据!$A:$E,5,0),0)+IFERROR(VLOOKUP($A479,[4]库存使用数据!$A:$E,5,0),0)+IFERROR(VLOOKUP($A479,[5]库存使用数据!$A:$E,5,0),0)</f>
        <v>0</v>
      </c>
      <c r="F479" s="1">
        <f ca="1">IFERROR(VLOOKUP($A479,[1]库存使用数据!$A:$F,6,0),0)+IFERROR(VLOOKUP($A479,[2]库存使用数据!$A:$F,6,0),0)+IFERROR(VLOOKUP($A479,[4]库存使用数据!$A:$F,6,0),0)+IFERROR(VLOOKUP($A479,[3]库存使用数据!$A:$F,6,0),0)+IFERROR(VLOOKUP($A479,[5]库存使用数据!$A:$F,6,0),0)</f>
        <v>0</v>
      </c>
      <c r="G479" s="1">
        <f ca="1">IFERROR(VLOOKUP($A479,[1]库存使用数据!$A:$G,7,0),0)+IFERROR(VLOOKUP($A479,[2]库存使用数据!$A:$G,7,0),0)+公式!$B$14*IFERROR(VLOOKUP($A479,[3]库存使用数据!$A:$G,7,0),0)+IFERROR(VLOOKUP($A479,[4]库存使用数据!$A:$G,7,0),0)+IFERROR(VLOOKUP($A479,[5]库存使用数据!$A:$G,7,0),0)</f>
        <v>0</v>
      </c>
      <c r="H479" s="1">
        <f ca="1">IFERROR(VLOOKUP($A479,[1]库存使用数据!$A:$H,8,0),0)+IFERROR(VLOOKUP($A479,[2]库存使用数据!$A:$H,8,0),0)+IFERROR(VLOOKUP($A479,[3]库存使用数据!$A:$H,8,0),0)+IFERROR(VLOOKUP($A479,[4]库存使用数据!$A:$H,8,0),0)+IFERROR(VLOOKUP($A479,[5]库存使用数据!$A:$H,8,0),0)</f>
        <v>37</v>
      </c>
      <c r="I479" s="1">
        <f ca="1">IFERROR(VLOOKUP($A479,[1]库存使用数据!$A:$I,9,0),0)+IFERROR(VLOOKUP($A479,[2]库存使用数据!$A:$I,9,0),0)+IFERROR(VLOOKUP($A479,[3]库存使用数据!$A:$I,9,0),0)+IFERROR(VLOOKUP($A479,[4]库存使用数据!$A:$I,9,0),0)+IFERROR(VLOOKUP($A479,[5]库存使用数据!$A:$I,9,0),0)</f>
        <v>1</v>
      </c>
      <c r="J479" s="1">
        <f ca="1">IFERROR(VLOOKUP($A479,[1]库存使用数据!$A:$J,10,0),0)+IFERROR(VLOOKUP($A479,[2]库存使用数据!$A:$J,10,0),0)+公式!$B$14*IFERROR(VLOOKUP($A479,[3]库存使用数据!$A:$J,10,0),0)+IFERROR(VLOOKUP($A479,[4]库存使用数据!$A:$J,10,0),0)+IFERROR(VLOOKUP($A479,[5]库存使用数据!$A:$J,10,0),0)</f>
        <v>0</v>
      </c>
      <c r="K479" s="1">
        <f ca="1">IFERROR(VLOOKUP($A479,[1]库存使用数据!$A:$K,11,0),0)+IFERROR(VLOOKUP($A479,[2]库存使用数据!$A:$K,11,0),0)+IFERROR(VLOOKUP($A479,[3]库存使用数据!$A:$K,11,0),0)+IFERROR(VLOOKUP($A479,[4]库存使用数据!$A:$K,11,0),0)+IFERROR(VLOOKUP($A479,[5]库存使用数据!$A:$K,11,0),0)</f>
        <v>105</v>
      </c>
      <c r="L479" s="1">
        <f ca="1">IFERROR(VLOOKUP($A479,[1]库存使用数据!$A:$L,12,0),0)+IFERROR(VLOOKUP($A479,[2]库存使用数据!$A:$L,12,0),0)+IFERROR(VLOOKUP($A479,[3]库存使用数据!$A:$L,12,0),0)+IFERROR(VLOOKUP($A479,[4]库存使用数据!$A:$L,12,0),0)+IFERROR(VLOOKUP($A479,[5]库存使用数据!$A:$L,12,0),0)</f>
        <v>2</v>
      </c>
      <c r="M479" s="1">
        <f ca="1">IFERROR(VLOOKUP($A479,[1]库存使用数据!$A:$M,13,0),0)+IFERROR(VLOOKUP($A479,[2]库存使用数据!$A:$M,13,0),0)+公式!$B$14*IFERROR(VLOOKUP($A479,[3]库存使用数据!$A:$M,13,0),0)+IFERROR(VLOOKUP($A479,[4]库存使用数据!$A:$M,13,0),0)+IFERROR(VLOOKUP($A479,[5]库存使用数据!$A:$M,13,0),0)</f>
        <v>0</v>
      </c>
    </row>
    <row r="480" spans="1:13">
      <c r="A480" s="6" t="s">
        <v>485</v>
      </c>
      <c r="B480" s="2">
        <f ca="1">IFERROR(VLOOKUP(A480,[1]库存使用数据!$A:$B,2,0),0)+IFERROR(VLOOKUP(A480,[2]库存使用数据!$A:$B,2,0),0)+IFERROR(VLOOKUP(,[3]库存使用数据!$A:$B,2,0),0)+IFERROR(VLOOKUP(A480,[4]库存使用数据!$A:$B,2,0),0)+IFERROR(VLOOKUP(A480,[5]库存使用数据!$A:$B,2,0),0)</f>
        <v>0</v>
      </c>
      <c r="C480" s="1">
        <f ca="1">IFERROR(VLOOKUP($A480,[1]库存使用数据!$A:$C,3,0),0)+IFERROR(VLOOKUP($A480,[2]库存使用数据!$A:$C,3,0),0)+IFERROR(VLOOKUP($A480,[3]库存使用数据!$A:$C,3,0),0)+IFERROR(VLOOKUP($A480,[4]库存使用数据!$A:$C,3,0),0)+IFERROR(VLOOKUP($A480,[5]库存使用数据!$A:$C,3,0),0)</f>
        <v>0</v>
      </c>
      <c r="D480" s="1">
        <f ca="1">IFERROR(VLOOKUP($A480,[1]库存使用数据!$A:$D,4,0),0)+IFERROR(VLOOKUP($A480,[2]库存使用数据!$A:$D,4,0),0)+公式!$B$1*IFERROR(VLOOKUP($A480,[3]库存使用数据!$A:$D,4,0),0)+IFERROR(VLOOKUP($A480,[4]库存使用数据!$A:$D,4,0),0)+IFERROR(VLOOKUP($A480,[5]库存使用数据!$A:$D,4,0),0)</f>
        <v>0</v>
      </c>
      <c r="E480" s="1">
        <f ca="1">IFERROR(VLOOKUP($A480,[1]库存使用数据!$A:$E,5,0),0)+IFERROR(VLOOKUP($A480,[2]库存使用数据!$A:$E,5,0),0)+IFERROR(VLOOKUP($A480,[3]库存使用数据!$A:$E,5,0),0)+IFERROR(VLOOKUP($A480,[4]库存使用数据!$A:$E,5,0),0)+IFERROR(VLOOKUP($A480,[5]库存使用数据!$A:$E,5,0),0)</f>
        <v>0</v>
      </c>
      <c r="F480" s="1">
        <f ca="1">IFERROR(VLOOKUP($A480,[1]库存使用数据!$A:$F,6,0),0)+IFERROR(VLOOKUP($A480,[2]库存使用数据!$A:$F,6,0),0)+IFERROR(VLOOKUP($A480,[4]库存使用数据!$A:$F,6,0),0)+IFERROR(VLOOKUP($A480,[3]库存使用数据!$A:$F,6,0),0)+IFERROR(VLOOKUP($A480,[5]库存使用数据!$A:$F,6,0),0)</f>
        <v>0</v>
      </c>
      <c r="G480" s="1">
        <f ca="1">IFERROR(VLOOKUP($A480,[1]库存使用数据!$A:$G,7,0),0)+IFERROR(VLOOKUP($A480,[2]库存使用数据!$A:$G,7,0),0)+公式!$B$14*IFERROR(VLOOKUP($A480,[3]库存使用数据!$A:$G,7,0),0)+IFERROR(VLOOKUP($A480,[4]库存使用数据!$A:$G,7,0),0)+IFERROR(VLOOKUP($A480,[5]库存使用数据!$A:$G,7,0),0)</f>
        <v>0</v>
      </c>
      <c r="H480" s="1">
        <f ca="1">IFERROR(VLOOKUP($A480,[1]库存使用数据!$A:$H,8,0),0)+IFERROR(VLOOKUP($A480,[2]库存使用数据!$A:$H,8,0),0)+IFERROR(VLOOKUP($A480,[3]库存使用数据!$A:$H,8,0),0)+IFERROR(VLOOKUP($A480,[4]库存使用数据!$A:$H,8,0),0)+IFERROR(VLOOKUP($A480,[5]库存使用数据!$A:$H,8,0),0)</f>
        <v>0</v>
      </c>
      <c r="I480" s="1">
        <f ca="1">IFERROR(VLOOKUP($A480,[1]库存使用数据!$A:$I,9,0),0)+IFERROR(VLOOKUP($A480,[2]库存使用数据!$A:$I,9,0),0)+IFERROR(VLOOKUP($A480,[3]库存使用数据!$A:$I,9,0),0)+IFERROR(VLOOKUP($A480,[4]库存使用数据!$A:$I,9,0),0)+IFERROR(VLOOKUP($A480,[5]库存使用数据!$A:$I,9,0),0)</f>
        <v>0</v>
      </c>
      <c r="J480" s="1">
        <f ca="1">IFERROR(VLOOKUP($A480,[1]库存使用数据!$A:$J,10,0),0)+IFERROR(VLOOKUP($A480,[2]库存使用数据!$A:$J,10,0),0)+公式!$B$14*IFERROR(VLOOKUP($A480,[3]库存使用数据!$A:$J,10,0),0)+IFERROR(VLOOKUP($A480,[4]库存使用数据!$A:$J,10,0),0)+IFERROR(VLOOKUP($A480,[5]库存使用数据!$A:$J,10,0),0)</f>
        <v>0</v>
      </c>
      <c r="K480" s="1">
        <f ca="1">IFERROR(VLOOKUP($A480,[1]库存使用数据!$A:$K,11,0),0)+IFERROR(VLOOKUP($A480,[2]库存使用数据!$A:$K,11,0),0)+IFERROR(VLOOKUP($A480,[3]库存使用数据!$A:$K,11,0),0)+IFERROR(VLOOKUP($A480,[4]库存使用数据!$A:$K,11,0),0)+IFERROR(VLOOKUP($A480,[5]库存使用数据!$A:$K,11,0),0)</f>
        <v>1762</v>
      </c>
      <c r="L480" s="1">
        <f ca="1">IFERROR(VLOOKUP($A480,[1]库存使用数据!$A:$L,12,0),0)+IFERROR(VLOOKUP($A480,[2]库存使用数据!$A:$L,12,0),0)+IFERROR(VLOOKUP($A480,[3]库存使用数据!$A:$L,12,0),0)+IFERROR(VLOOKUP($A480,[4]库存使用数据!$A:$L,12,0),0)+IFERROR(VLOOKUP($A480,[5]库存使用数据!$A:$L,12,0),0)</f>
        <v>18</v>
      </c>
      <c r="M480" s="1">
        <f ca="1">IFERROR(VLOOKUP($A480,[1]库存使用数据!$A:$M,13,0),0)+IFERROR(VLOOKUP($A480,[2]库存使用数据!$A:$M,13,0),0)+公式!$B$14*IFERROR(VLOOKUP($A480,[3]库存使用数据!$A:$M,13,0),0)+IFERROR(VLOOKUP($A480,[4]库存使用数据!$A:$M,13,0),0)+IFERROR(VLOOKUP($A480,[5]库存使用数据!$A:$M,13,0),0)</f>
        <v>2.86</v>
      </c>
    </row>
    <row r="481" spans="1:13">
      <c r="A481" s="6" t="s">
        <v>486</v>
      </c>
      <c r="B481" s="2">
        <f ca="1">IFERROR(VLOOKUP(A481,[1]库存使用数据!$A:$B,2,0),0)+IFERROR(VLOOKUP(A481,[2]库存使用数据!$A:$B,2,0),0)+IFERROR(VLOOKUP(,[3]库存使用数据!$A:$B,2,0),0)+IFERROR(VLOOKUP(A481,[4]库存使用数据!$A:$B,2,0),0)+IFERROR(VLOOKUP(A481,[5]库存使用数据!$A:$B,2,0),0)</f>
        <v>0</v>
      </c>
      <c r="C481" s="1">
        <f ca="1">IFERROR(VLOOKUP($A481,[1]库存使用数据!$A:$C,3,0),0)+IFERROR(VLOOKUP($A481,[2]库存使用数据!$A:$C,3,0),0)+IFERROR(VLOOKUP($A481,[3]库存使用数据!$A:$C,3,0),0)+IFERROR(VLOOKUP($A481,[4]库存使用数据!$A:$C,3,0),0)+IFERROR(VLOOKUP($A481,[5]库存使用数据!$A:$C,3,0),0)</f>
        <v>0</v>
      </c>
      <c r="D481" s="1">
        <f ca="1">IFERROR(VLOOKUP($A481,[1]库存使用数据!$A:$D,4,0),0)+IFERROR(VLOOKUP($A481,[2]库存使用数据!$A:$D,4,0),0)+公式!$B$1*IFERROR(VLOOKUP($A481,[3]库存使用数据!$A:$D,4,0),0)+IFERROR(VLOOKUP($A481,[4]库存使用数据!$A:$D,4,0),0)+IFERROR(VLOOKUP($A481,[5]库存使用数据!$A:$D,4,0),0)</f>
        <v>0</v>
      </c>
      <c r="E481" s="1">
        <f ca="1">IFERROR(VLOOKUP($A481,[1]库存使用数据!$A:$E,5,0),0)+IFERROR(VLOOKUP($A481,[2]库存使用数据!$A:$E,5,0),0)+IFERROR(VLOOKUP($A481,[3]库存使用数据!$A:$E,5,0),0)+IFERROR(VLOOKUP($A481,[4]库存使用数据!$A:$E,5,0),0)+IFERROR(VLOOKUP($A481,[5]库存使用数据!$A:$E,5,0),0)</f>
        <v>1</v>
      </c>
      <c r="F481" s="1">
        <f ca="1">IFERROR(VLOOKUP($A481,[1]库存使用数据!$A:$F,6,0),0)+IFERROR(VLOOKUP($A481,[2]库存使用数据!$A:$F,6,0),0)+IFERROR(VLOOKUP($A481,[4]库存使用数据!$A:$F,6,0),0)+IFERROR(VLOOKUP($A481,[3]库存使用数据!$A:$F,6,0),0)+IFERROR(VLOOKUP($A481,[5]库存使用数据!$A:$F,6,0),0)</f>
        <v>0</v>
      </c>
      <c r="G481" s="1">
        <f ca="1">IFERROR(VLOOKUP($A481,[1]库存使用数据!$A:$G,7,0),0)+IFERROR(VLOOKUP($A481,[2]库存使用数据!$A:$G,7,0),0)+公式!$B$14*IFERROR(VLOOKUP($A481,[3]库存使用数据!$A:$G,7,0),0)+IFERROR(VLOOKUP($A481,[4]库存使用数据!$A:$G,7,0),0)+IFERROR(VLOOKUP($A481,[5]库存使用数据!$A:$G,7,0),0)</f>
        <v>0</v>
      </c>
      <c r="H481" s="1">
        <f ca="1">IFERROR(VLOOKUP($A481,[1]库存使用数据!$A:$H,8,0),0)+IFERROR(VLOOKUP($A481,[2]库存使用数据!$A:$H,8,0),0)+IFERROR(VLOOKUP($A481,[3]库存使用数据!$A:$H,8,0),0)+IFERROR(VLOOKUP($A481,[4]库存使用数据!$A:$H,8,0),0)+IFERROR(VLOOKUP($A481,[5]库存使用数据!$A:$H,8,0),0)</f>
        <v>1</v>
      </c>
      <c r="I481" s="1">
        <f ca="1">IFERROR(VLOOKUP($A481,[1]库存使用数据!$A:$I,9,0),0)+IFERROR(VLOOKUP($A481,[2]库存使用数据!$A:$I,9,0),0)+IFERROR(VLOOKUP($A481,[3]库存使用数据!$A:$I,9,0),0)+IFERROR(VLOOKUP($A481,[4]库存使用数据!$A:$I,9,0),0)+IFERROR(VLOOKUP($A481,[5]库存使用数据!$A:$I,9,0),0)</f>
        <v>0</v>
      </c>
      <c r="J481" s="1">
        <f ca="1">IFERROR(VLOOKUP($A481,[1]库存使用数据!$A:$J,10,0),0)+IFERROR(VLOOKUP($A481,[2]库存使用数据!$A:$J,10,0),0)+公式!$B$14*IFERROR(VLOOKUP($A481,[3]库存使用数据!$A:$J,10,0),0)+IFERROR(VLOOKUP($A481,[4]库存使用数据!$A:$J,10,0),0)+IFERROR(VLOOKUP($A481,[5]库存使用数据!$A:$J,10,0),0)</f>
        <v>0</v>
      </c>
      <c r="K481" s="1">
        <f ca="1">IFERROR(VLOOKUP($A481,[1]库存使用数据!$A:$K,11,0),0)+IFERROR(VLOOKUP($A481,[2]库存使用数据!$A:$K,11,0),0)+IFERROR(VLOOKUP($A481,[3]库存使用数据!$A:$K,11,0),0)+IFERROR(VLOOKUP($A481,[4]库存使用数据!$A:$K,11,0),0)+IFERROR(VLOOKUP($A481,[5]库存使用数据!$A:$K,11,0),0)</f>
        <v>74</v>
      </c>
      <c r="L481" s="1">
        <f ca="1">IFERROR(VLOOKUP($A481,[1]库存使用数据!$A:$L,12,0),0)+IFERROR(VLOOKUP($A481,[2]库存使用数据!$A:$L,12,0),0)+IFERROR(VLOOKUP($A481,[3]库存使用数据!$A:$L,12,0),0)+IFERROR(VLOOKUP($A481,[4]库存使用数据!$A:$L,12,0),0)+IFERROR(VLOOKUP($A481,[5]库存使用数据!$A:$L,12,0),0)</f>
        <v>0</v>
      </c>
      <c r="M481" s="1">
        <f ca="1">IFERROR(VLOOKUP($A481,[1]库存使用数据!$A:$M,13,0),0)+IFERROR(VLOOKUP($A481,[2]库存使用数据!$A:$M,13,0),0)+公式!$B$14*IFERROR(VLOOKUP($A481,[3]库存使用数据!$A:$M,13,0),0)+IFERROR(VLOOKUP($A481,[4]库存使用数据!$A:$M,13,0),0)+IFERROR(VLOOKUP($A481,[5]库存使用数据!$A:$M,13,0),0)</f>
        <v>0</v>
      </c>
    </row>
    <row r="482" spans="1:13">
      <c r="A482" s="6" t="s">
        <v>487</v>
      </c>
      <c r="B482" s="2">
        <f ca="1">IFERROR(VLOOKUP(A482,[1]库存使用数据!$A:$B,2,0),0)+IFERROR(VLOOKUP(A482,[2]库存使用数据!$A:$B,2,0),0)+IFERROR(VLOOKUP(,[3]库存使用数据!$A:$B,2,0),0)+IFERROR(VLOOKUP(A482,[4]库存使用数据!$A:$B,2,0),0)+IFERROR(VLOOKUP(A482,[5]库存使用数据!$A:$B,2,0),0)</f>
        <v>4</v>
      </c>
      <c r="C482" s="1">
        <f ca="1">IFERROR(VLOOKUP($A482,[1]库存使用数据!$A:$C,3,0),0)+IFERROR(VLOOKUP($A482,[2]库存使用数据!$A:$C,3,0),0)+IFERROR(VLOOKUP($A482,[3]库存使用数据!$A:$C,3,0),0)+IFERROR(VLOOKUP($A482,[4]库存使用数据!$A:$C,3,0),0)+IFERROR(VLOOKUP($A482,[5]库存使用数据!$A:$C,3,0),0)</f>
        <v>1</v>
      </c>
      <c r="D482" s="1">
        <f ca="1">IFERROR(VLOOKUP($A482,[1]库存使用数据!$A:$D,4,0),0)+IFERROR(VLOOKUP($A482,[2]库存使用数据!$A:$D,4,0),0)+公式!$B$1*IFERROR(VLOOKUP($A482,[3]库存使用数据!$A:$D,4,0),0)+IFERROR(VLOOKUP($A482,[4]库存使用数据!$A:$D,4,0),0)+IFERROR(VLOOKUP($A482,[5]库存使用数据!$A:$D,4,0),0)</f>
        <v>0.25875</v>
      </c>
      <c r="E482" s="1">
        <f ca="1">IFERROR(VLOOKUP($A482,[1]库存使用数据!$A:$E,5,0),0)+IFERROR(VLOOKUP($A482,[2]库存使用数据!$A:$E,5,0),0)+IFERROR(VLOOKUP($A482,[3]库存使用数据!$A:$E,5,0),0)+IFERROR(VLOOKUP($A482,[4]库存使用数据!$A:$E,5,0),0)+IFERROR(VLOOKUP($A482,[5]库存使用数据!$A:$E,5,0),0)</f>
        <v>713</v>
      </c>
      <c r="F482" s="1">
        <f ca="1">IFERROR(VLOOKUP($A482,[1]库存使用数据!$A:$F,6,0),0)+IFERROR(VLOOKUP($A482,[2]库存使用数据!$A:$F,6,0),0)+IFERROR(VLOOKUP($A482,[4]库存使用数据!$A:$F,6,0),0)+IFERROR(VLOOKUP($A482,[3]库存使用数据!$A:$F,6,0),0)+IFERROR(VLOOKUP($A482,[5]库存使用数据!$A:$F,6,0),0)</f>
        <v>2</v>
      </c>
      <c r="G482" s="1">
        <f ca="1">IFERROR(VLOOKUP($A482,[1]库存使用数据!$A:$G,7,0),0)+IFERROR(VLOOKUP($A482,[2]库存使用数据!$A:$G,7,0),0)+公式!$B$14*IFERROR(VLOOKUP($A482,[3]库存使用数据!$A:$G,7,0),0)+IFERROR(VLOOKUP($A482,[4]库存使用数据!$A:$G,7,0),0)+IFERROR(VLOOKUP($A482,[5]库存使用数据!$A:$G,7,0),0)</f>
        <v>0</v>
      </c>
      <c r="H482" s="1">
        <f ca="1">IFERROR(VLOOKUP($A482,[1]库存使用数据!$A:$H,8,0),0)+IFERROR(VLOOKUP($A482,[2]库存使用数据!$A:$H,8,0),0)+IFERROR(VLOOKUP($A482,[3]库存使用数据!$A:$H,8,0),0)+IFERROR(VLOOKUP($A482,[4]库存使用数据!$A:$H,8,0),0)+IFERROR(VLOOKUP($A482,[5]库存使用数据!$A:$H,8,0),0)</f>
        <v>0</v>
      </c>
      <c r="I482" s="1">
        <f ca="1">IFERROR(VLOOKUP($A482,[1]库存使用数据!$A:$I,9,0),0)+IFERROR(VLOOKUP($A482,[2]库存使用数据!$A:$I,9,0),0)+IFERROR(VLOOKUP($A482,[3]库存使用数据!$A:$I,9,0),0)+IFERROR(VLOOKUP($A482,[4]库存使用数据!$A:$I,9,0),0)+IFERROR(VLOOKUP($A482,[5]库存使用数据!$A:$I,9,0),0)</f>
        <v>0</v>
      </c>
      <c r="J482" s="1">
        <f ca="1">IFERROR(VLOOKUP($A482,[1]库存使用数据!$A:$J,10,0),0)+IFERROR(VLOOKUP($A482,[2]库存使用数据!$A:$J,10,0),0)+公式!$B$14*IFERROR(VLOOKUP($A482,[3]库存使用数据!$A:$J,10,0),0)+IFERROR(VLOOKUP($A482,[4]库存使用数据!$A:$J,10,0),0)+IFERROR(VLOOKUP($A482,[5]库存使用数据!$A:$J,10,0),0)</f>
        <v>0</v>
      </c>
      <c r="K482" s="1">
        <f ca="1">IFERROR(VLOOKUP($A482,[1]库存使用数据!$A:$K,11,0),0)+IFERROR(VLOOKUP($A482,[2]库存使用数据!$A:$K,11,0),0)+IFERROR(VLOOKUP($A482,[3]库存使用数据!$A:$K,11,0),0)+IFERROR(VLOOKUP($A482,[4]库存使用数据!$A:$K,11,0),0)+IFERROR(VLOOKUP($A482,[5]库存使用数据!$A:$K,11,0),0)</f>
        <v>22</v>
      </c>
      <c r="L482" s="1">
        <f ca="1">IFERROR(VLOOKUP($A482,[1]库存使用数据!$A:$L,12,0),0)+IFERROR(VLOOKUP($A482,[2]库存使用数据!$A:$L,12,0),0)+IFERROR(VLOOKUP($A482,[3]库存使用数据!$A:$L,12,0),0)+IFERROR(VLOOKUP($A482,[4]库存使用数据!$A:$L,12,0),0)+IFERROR(VLOOKUP($A482,[5]库存使用数据!$A:$L,12,0),0)</f>
        <v>1</v>
      </c>
      <c r="M482" s="1">
        <f ca="1">IFERROR(VLOOKUP($A482,[1]库存使用数据!$A:$M,13,0),0)+IFERROR(VLOOKUP($A482,[2]库存使用数据!$A:$M,13,0),0)+公式!$B$14*IFERROR(VLOOKUP($A482,[3]库存使用数据!$A:$M,13,0),0)+IFERROR(VLOOKUP($A482,[4]库存使用数据!$A:$M,13,0),0)+IFERROR(VLOOKUP($A482,[5]库存使用数据!$A:$M,13,0),0)</f>
        <v>0</v>
      </c>
    </row>
    <row r="483" spans="1:13">
      <c r="A483" s="6" t="s">
        <v>488</v>
      </c>
      <c r="B483" s="2">
        <f ca="1">IFERROR(VLOOKUP(A483,[1]库存使用数据!$A:$B,2,0),0)+IFERROR(VLOOKUP(A483,[2]库存使用数据!$A:$B,2,0),0)+IFERROR(VLOOKUP(,[3]库存使用数据!$A:$B,2,0),0)+IFERROR(VLOOKUP(A483,[4]库存使用数据!$A:$B,2,0),0)+IFERROR(VLOOKUP(A483,[5]库存使用数据!$A:$B,2,0),0)</f>
        <v>0</v>
      </c>
      <c r="C483" s="1">
        <f ca="1">IFERROR(VLOOKUP($A483,[1]库存使用数据!$A:$C,3,0),0)+IFERROR(VLOOKUP($A483,[2]库存使用数据!$A:$C,3,0),0)+IFERROR(VLOOKUP($A483,[3]库存使用数据!$A:$C,3,0),0)+IFERROR(VLOOKUP($A483,[4]库存使用数据!$A:$C,3,0),0)+IFERROR(VLOOKUP($A483,[5]库存使用数据!$A:$C,3,0),0)</f>
        <v>1</v>
      </c>
      <c r="D483" s="1">
        <f ca="1">IFERROR(VLOOKUP($A483,[1]库存使用数据!$A:$D,4,0),0)+IFERROR(VLOOKUP($A483,[2]库存使用数据!$A:$D,4,0),0)+公式!$B$1*IFERROR(VLOOKUP($A483,[3]库存使用数据!$A:$D,4,0),0)+IFERROR(VLOOKUP($A483,[4]库存使用数据!$A:$D,4,0),0)+IFERROR(VLOOKUP($A483,[5]库存使用数据!$A:$D,4,0),0)</f>
        <v>0.09</v>
      </c>
      <c r="E483" s="1">
        <f ca="1">IFERROR(VLOOKUP($A483,[1]库存使用数据!$A:$E,5,0),0)+IFERROR(VLOOKUP($A483,[2]库存使用数据!$A:$E,5,0),0)+IFERROR(VLOOKUP($A483,[3]库存使用数据!$A:$E,5,0),0)+IFERROR(VLOOKUP($A483,[4]库存使用数据!$A:$E,5,0),0)+IFERROR(VLOOKUP($A483,[5]库存使用数据!$A:$E,5,0),0)</f>
        <v>395</v>
      </c>
      <c r="F483" s="1">
        <f ca="1">IFERROR(VLOOKUP($A483,[1]库存使用数据!$A:$F,6,0),0)+IFERROR(VLOOKUP($A483,[2]库存使用数据!$A:$F,6,0),0)+IFERROR(VLOOKUP($A483,[4]库存使用数据!$A:$F,6,0),0)+IFERROR(VLOOKUP($A483,[3]库存使用数据!$A:$F,6,0),0)+IFERROR(VLOOKUP($A483,[5]库存使用数据!$A:$F,6,0),0)</f>
        <v>3</v>
      </c>
      <c r="G483" s="1">
        <f ca="1">IFERROR(VLOOKUP($A483,[1]库存使用数据!$A:$G,7,0),0)+IFERROR(VLOOKUP($A483,[2]库存使用数据!$A:$G,7,0),0)+公式!$B$14*IFERROR(VLOOKUP($A483,[3]库存使用数据!$A:$G,7,0),0)+IFERROR(VLOOKUP($A483,[4]库存使用数据!$A:$G,7,0),0)+IFERROR(VLOOKUP($A483,[5]库存使用数据!$A:$G,7,0),0)</f>
        <v>0.42</v>
      </c>
      <c r="H483" s="1">
        <f ca="1">IFERROR(VLOOKUP($A483,[1]库存使用数据!$A:$H,8,0),0)+IFERROR(VLOOKUP($A483,[2]库存使用数据!$A:$H,8,0),0)+IFERROR(VLOOKUP($A483,[3]库存使用数据!$A:$H,8,0),0)+IFERROR(VLOOKUP($A483,[4]库存使用数据!$A:$H,8,0),0)+IFERROR(VLOOKUP($A483,[5]库存使用数据!$A:$H,8,0),0)</f>
        <v>173</v>
      </c>
      <c r="I483" s="1">
        <f ca="1">IFERROR(VLOOKUP($A483,[1]库存使用数据!$A:$I,9,0),0)+IFERROR(VLOOKUP($A483,[2]库存使用数据!$A:$I,9,0),0)+IFERROR(VLOOKUP($A483,[3]库存使用数据!$A:$I,9,0),0)+IFERROR(VLOOKUP($A483,[4]库存使用数据!$A:$I,9,0),0)+IFERROR(VLOOKUP($A483,[5]库存使用数据!$A:$I,9,0),0)</f>
        <v>0</v>
      </c>
      <c r="J483" s="1">
        <f ca="1">IFERROR(VLOOKUP($A483,[1]库存使用数据!$A:$J,10,0),0)+IFERROR(VLOOKUP($A483,[2]库存使用数据!$A:$J,10,0),0)+公式!$B$14*IFERROR(VLOOKUP($A483,[3]库存使用数据!$A:$J,10,0),0)+IFERROR(VLOOKUP($A483,[4]库存使用数据!$A:$J,10,0),0)+IFERROR(VLOOKUP($A483,[5]库存使用数据!$A:$J,10,0),0)</f>
        <v>0</v>
      </c>
      <c r="K483" s="1">
        <f ca="1">IFERROR(VLOOKUP($A483,[1]库存使用数据!$A:$K,11,0),0)+IFERROR(VLOOKUP($A483,[2]库存使用数据!$A:$K,11,0),0)+IFERROR(VLOOKUP($A483,[3]库存使用数据!$A:$K,11,0),0)+IFERROR(VLOOKUP($A483,[4]库存使用数据!$A:$K,11,0),0)+IFERROR(VLOOKUP($A483,[5]库存使用数据!$A:$K,11,0),0)</f>
        <v>0</v>
      </c>
      <c r="L483" s="1">
        <f ca="1">IFERROR(VLOOKUP($A483,[1]库存使用数据!$A:$L,12,0),0)+IFERROR(VLOOKUP($A483,[2]库存使用数据!$A:$L,12,0),0)+IFERROR(VLOOKUP($A483,[3]库存使用数据!$A:$L,12,0),0)+IFERROR(VLOOKUP($A483,[4]库存使用数据!$A:$L,12,0),0)+IFERROR(VLOOKUP($A483,[5]库存使用数据!$A:$L,12,0),0)</f>
        <v>0</v>
      </c>
      <c r="M483" s="1">
        <f ca="1">IFERROR(VLOOKUP($A483,[1]库存使用数据!$A:$M,13,0),0)+IFERROR(VLOOKUP($A483,[2]库存使用数据!$A:$M,13,0),0)+公式!$B$14*IFERROR(VLOOKUP($A483,[3]库存使用数据!$A:$M,13,0),0)+IFERROR(VLOOKUP($A483,[4]库存使用数据!$A:$M,13,0),0)+IFERROR(VLOOKUP($A483,[5]库存使用数据!$A:$M,13,0),0)</f>
        <v>0</v>
      </c>
    </row>
    <row r="484" spans="1:13">
      <c r="A484" s="6" t="s">
        <v>489</v>
      </c>
      <c r="B484" s="2">
        <f ca="1">IFERROR(VLOOKUP(A484,[1]库存使用数据!$A:$B,2,0),0)+IFERROR(VLOOKUP(A484,[2]库存使用数据!$A:$B,2,0),0)+IFERROR(VLOOKUP(,[3]库存使用数据!$A:$B,2,0),0)+IFERROR(VLOOKUP(A484,[4]库存使用数据!$A:$B,2,0),0)+IFERROR(VLOOKUP(A484,[5]库存使用数据!$A:$B,2,0),0)</f>
        <v>0</v>
      </c>
      <c r="C484" s="1">
        <f ca="1">IFERROR(VLOOKUP($A484,[1]库存使用数据!$A:$C,3,0),0)+IFERROR(VLOOKUP($A484,[2]库存使用数据!$A:$C,3,0),0)+IFERROR(VLOOKUP($A484,[3]库存使用数据!$A:$C,3,0),0)+IFERROR(VLOOKUP($A484,[4]库存使用数据!$A:$C,3,0),0)+IFERROR(VLOOKUP($A484,[5]库存使用数据!$A:$C,3,0),0)</f>
        <v>1</v>
      </c>
      <c r="D484" s="1">
        <f ca="1">IFERROR(VLOOKUP($A484,[1]库存使用数据!$A:$D,4,0),0)+IFERROR(VLOOKUP($A484,[2]库存使用数据!$A:$D,4,0),0)+公式!$B$1*IFERROR(VLOOKUP($A484,[3]库存使用数据!$A:$D,4,0),0)+IFERROR(VLOOKUP($A484,[4]库存使用数据!$A:$D,4,0),0)+IFERROR(VLOOKUP($A484,[5]库存使用数据!$A:$D,4,0),0)</f>
        <v>0.05625</v>
      </c>
      <c r="E484" s="1">
        <f ca="1">IFERROR(VLOOKUP($A484,[1]库存使用数据!$A:$E,5,0),0)+IFERROR(VLOOKUP($A484,[2]库存使用数据!$A:$E,5,0),0)+IFERROR(VLOOKUP($A484,[3]库存使用数据!$A:$E,5,0),0)+IFERROR(VLOOKUP($A484,[4]库存使用数据!$A:$E,5,0),0)+IFERROR(VLOOKUP($A484,[5]库存使用数据!$A:$E,5,0),0)</f>
        <v>253</v>
      </c>
      <c r="F484" s="1">
        <f ca="1">IFERROR(VLOOKUP($A484,[1]库存使用数据!$A:$F,6,0),0)+IFERROR(VLOOKUP($A484,[2]库存使用数据!$A:$F,6,0),0)+IFERROR(VLOOKUP($A484,[4]库存使用数据!$A:$F,6,0),0)+IFERROR(VLOOKUP($A484,[3]库存使用数据!$A:$F,6,0),0)+IFERROR(VLOOKUP($A484,[5]库存使用数据!$A:$F,6,0),0)</f>
        <v>4</v>
      </c>
      <c r="G484" s="1">
        <f ca="1">IFERROR(VLOOKUP($A484,[1]库存使用数据!$A:$G,7,0),0)+IFERROR(VLOOKUP($A484,[2]库存使用数据!$A:$G,7,0),0)+公式!$B$14*IFERROR(VLOOKUP($A484,[3]库存使用数据!$A:$G,7,0),0)+IFERROR(VLOOKUP($A484,[4]库存使用数据!$A:$G,7,0),0)+IFERROR(VLOOKUP($A484,[5]库存使用数据!$A:$G,7,0),0)</f>
        <v>0.7</v>
      </c>
      <c r="H484" s="1">
        <f ca="1">IFERROR(VLOOKUP($A484,[1]库存使用数据!$A:$H,8,0),0)+IFERROR(VLOOKUP($A484,[2]库存使用数据!$A:$H,8,0),0)+IFERROR(VLOOKUP($A484,[3]库存使用数据!$A:$H,8,0),0)+IFERROR(VLOOKUP($A484,[4]库存使用数据!$A:$H,8,0),0)+IFERROR(VLOOKUP($A484,[5]库存使用数据!$A:$H,8,0),0)</f>
        <v>136</v>
      </c>
      <c r="I484" s="1">
        <f ca="1">IFERROR(VLOOKUP($A484,[1]库存使用数据!$A:$I,9,0),0)+IFERROR(VLOOKUP($A484,[2]库存使用数据!$A:$I,9,0),0)+IFERROR(VLOOKUP($A484,[3]库存使用数据!$A:$I,9,0),0)+IFERROR(VLOOKUP($A484,[4]库存使用数据!$A:$I,9,0),0)+IFERROR(VLOOKUP($A484,[5]库存使用数据!$A:$I,9,0),0)</f>
        <v>4</v>
      </c>
      <c r="J484" s="1">
        <f ca="1">IFERROR(VLOOKUP($A484,[1]库存使用数据!$A:$J,10,0),0)+IFERROR(VLOOKUP($A484,[2]库存使用数据!$A:$J,10,0),0)+公式!$B$14*IFERROR(VLOOKUP($A484,[3]库存使用数据!$A:$J,10,0),0)+IFERROR(VLOOKUP($A484,[4]库存使用数据!$A:$J,10,0),0)+IFERROR(VLOOKUP($A484,[5]库存使用数据!$A:$J,10,0),0)</f>
        <v>0.8</v>
      </c>
      <c r="K484" s="1">
        <f ca="1">IFERROR(VLOOKUP($A484,[1]库存使用数据!$A:$K,11,0),0)+IFERROR(VLOOKUP($A484,[2]库存使用数据!$A:$K,11,0),0)+IFERROR(VLOOKUP($A484,[3]库存使用数据!$A:$K,11,0),0)+IFERROR(VLOOKUP($A484,[4]库存使用数据!$A:$K,11,0),0)+IFERROR(VLOOKUP($A484,[5]库存使用数据!$A:$K,11,0),0)</f>
        <v>0</v>
      </c>
      <c r="L484" s="1">
        <f ca="1">IFERROR(VLOOKUP($A484,[1]库存使用数据!$A:$L,12,0),0)+IFERROR(VLOOKUP($A484,[2]库存使用数据!$A:$L,12,0),0)+IFERROR(VLOOKUP($A484,[3]库存使用数据!$A:$L,12,0),0)+IFERROR(VLOOKUP($A484,[4]库存使用数据!$A:$L,12,0),0)+IFERROR(VLOOKUP($A484,[5]库存使用数据!$A:$L,12,0),0)</f>
        <v>0</v>
      </c>
      <c r="M484" s="1">
        <f ca="1">IFERROR(VLOOKUP($A484,[1]库存使用数据!$A:$M,13,0),0)+IFERROR(VLOOKUP($A484,[2]库存使用数据!$A:$M,13,0),0)+公式!$B$14*IFERROR(VLOOKUP($A484,[3]库存使用数据!$A:$M,13,0),0)+IFERROR(VLOOKUP($A484,[4]库存使用数据!$A:$M,13,0),0)+IFERROR(VLOOKUP($A484,[5]库存使用数据!$A:$M,13,0),0)</f>
        <v>0</v>
      </c>
    </row>
    <row r="485" spans="1:13">
      <c r="A485" s="6" t="s">
        <v>490</v>
      </c>
      <c r="B485" s="2">
        <f ca="1">IFERROR(VLOOKUP(A485,[1]库存使用数据!$A:$B,2,0),0)+IFERROR(VLOOKUP(A485,[2]库存使用数据!$A:$B,2,0),0)+IFERROR(VLOOKUP(,[3]库存使用数据!$A:$B,2,0),0)+IFERROR(VLOOKUP(A485,[4]库存使用数据!$A:$B,2,0),0)+IFERROR(VLOOKUP(A485,[5]库存使用数据!$A:$B,2,0),0)</f>
        <v>0</v>
      </c>
      <c r="C485" s="1">
        <f ca="1">IFERROR(VLOOKUP($A485,[1]库存使用数据!$A:$C,3,0),0)+IFERROR(VLOOKUP($A485,[2]库存使用数据!$A:$C,3,0),0)+IFERROR(VLOOKUP($A485,[3]库存使用数据!$A:$C,3,0),0)+IFERROR(VLOOKUP($A485,[4]库存使用数据!$A:$C,3,0),0)+IFERROR(VLOOKUP($A485,[5]库存使用数据!$A:$C,3,0),0)</f>
        <v>0</v>
      </c>
      <c r="D485" s="1">
        <f ca="1">IFERROR(VLOOKUP($A485,[1]库存使用数据!$A:$D,4,0),0)+IFERROR(VLOOKUP($A485,[2]库存使用数据!$A:$D,4,0),0)+公式!$B$1*IFERROR(VLOOKUP($A485,[3]库存使用数据!$A:$D,4,0),0)+IFERROR(VLOOKUP($A485,[4]库存使用数据!$A:$D,4,0),0)+IFERROR(VLOOKUP($A485,[5]库存使用数据!$A:$D,4,0),0)</f>
        <v>0</v>
      </c>
      <c r="E485" s="1">
        <f ca="1">IFERROR(VLOOKUP($A485,[1]库存使用数据!$A:$E,5,0),0)+IFERROR(VLOOKUP($A485,[2]库存使用数据!$A:$E,5,0),0)+IFERROR(VLOOKUP($A485,[3]库存使用数据!$A:$E,5,0),0)+IFERROR(VLOOKUP($A485,[4]库存使用数据!$A:$E,5,0),0)+IFERROR(VLOOKUP($A485,[5]库存使用数据!$A:$E,5,0),0)</f>
        <v>0</v>
      </c>
      <c r="F485" s="1">
        <f ca="1">IFERROR(VLOOKUP($A485,[1]库存使用数据!$A:$F,6,0),0)+IFERROR(VLOOKUP($A485,[2]库存使用数据!$A:$F,6,0),0)+IFERROR(VLOOKUP($A485,[4]库存使用数据!$A:$F,6,0),0)+IFERROR(VLOOKUP($A485,[3]库存使用数据!$A:$F,6,0),0)+IFERROR(VLOOKUP($A485,[5]库存使用数据!$A:$F,6,0),0)</f>
        <v>0</v>
      </c>
      <c r="G485" s="1">
        <f ca="1">IFERROR(VLOOKUP($A485,[1]库存使用数据!$A:$G,7,0),0)+IFERROR(VLOOKUP($A485,[2]库存使用数据!$A:$G,7,0),0)+公式!$B$14*IFERROR(VLOOKUP($A485,[3]库存使用数据!$A:$G,7,0),0)+IFERROR(VLOOKUP($A485,[4]库存使用数据!$A:$G,7,0),0)+IFERROR(VLOOKUP($A485,[5]库存使用数据!$A:$G,7,0),0)</f>
        <v>0</v>
      </c>
      <c r="H485" s="1">
        <f ca="1">IFERROR(VLOOKUP($A485,[1]库存使用数据!$A:$H,8,0),0)+IFERROR(VLOOKUP($A485,[2]库存使用数据!$A:$H,8,0),0)+IFERROR(VLOOKUP($A485,[3]库存使用数据!$A:$H,8,0),0)+IFERROR(VLOOKUP($A485,[4]库存使用数据!$A:$H,8,0),0)+IFERROR(VLOOKUP($A485,[5]库存使用数据!$A:$H,8,0),0)</f>
        <v>1</v>
      </c>
      <c r="I485" s="1">
        <f ca="1">IFERROR(VLOOKUP($A485,[1]库存使用数据!$A:$I,9,0),0)+IFERROR(VLOOKUP($A485,[2]库存使用数据!$A:$I,9,0),0)+IFERROR(VLOOKUP($A485,[3]库存使用数据!$A:$I,9,0),0)+IFERROR(VLOOKUP($A485,[4]库存使用数据!$A:$I,9,0),0)+IFERROR(VLOOKUP($A485,[5]库存使用数据!$A:$I,9,0),0)</f>
        <v>0</v>
      </c>
      <c r="J485" s="1">
        <f ca="1">IFERROR(VLOOKUP($A485,[1]库存使用数据!$A:$J,10,0),0)+IFERROR(VLOOKUP($A485,[2]库存使用数据!$A:$J,10,0),0)+公式!$B$14*IFERROR(VLOOKUP($A485,[3]库存使用数据!$A:$J,10,0),0)+IFERROR(VLOOKUP($A485,[4]库存使用数据!$A:$J,10,0),0)+IFERROR(VLOOKUP($A485,[5]库存使用数据!$A:$J,10,0),0)</f>
        <v>0</v>
      </c>
      <c r="K485" s="1">
        <f ca="1">IFERROR(VLOOKUP($A485,[1]库存使用数据!$A:$K,11,0),0)+IFERROR(VLOOKUP($A485,[2]库存使用数据!$A:$K,11,0),0)+IFERROR(VLOOKUP($A485,[3]库存使用数据!$A:$K,11,0),0)+IFERROR(VLOOKUP($A485,[4]库存使用数据!$A:$K,11,0),0)+IFERROR(VLOOKUP($A485,[5]库存使用数据!$A:$K,11,0),0)</f>
        <v>0</v>
      </c>
      <c r="L485" s="1">
        <f ca="1">IFERROR(VLOOKUP($A485,[1]库存使用数据!$A:$L,12,0),0)+IFERROR(VLOOKUP($A485,[2]库存使用数据!$A:$L,12,0),0)+IFERROR(VLOOKUP($A485,[3]库存使用数据!$A:$L,12,0),0)+IFERROR(VLOOKUP($A485,[4]库存使用数据!$A:$L,12,0),0)+IFERROR(VLOOKUP($A485,[5]库存使用数据!$A:$L,12,0),0)</f>
        <v>0</v>
      </c>
      <c r="M485" s="1">
        <f ca="1">IFERROR(VLOOKUP($A485,[1]库存使用数据!$A:$M,13,0),0)+IFERROR(VLOOKUP($A485,[2]库存使用数据!$A:$M,13,0),0)+公式!$B$14*IFERROR(VLOOKUP($A485,[3]库存使用数据!$A:$M,13,0),0)+IFERROR(VLOOKUP($A485,[4]库存使用数据!$A:$M,13,0),0)+IFERROR(VLOOKUP($A485,[5]库存使用数据!$A:$M,13,0),0)</f>
        <v>0</v>
      </c>
    </row>
    <row r="486" spans="1:13">
      <c r="A486" s="6" t="s">
        <v>491</v>
      </c>
      <c r="B486" s="2">
        <f ca="1">IFERROR(VLOOKUP(A486,[1]库存使用数据!$A:$B,2,0),0)+IFERROR(VLOOKUP(A486,[2]库存使用数据!$A:$B,2,0),0)+IFERROR(VLOOKUP(,[3]库存使用数据!$A:$B,2,0),0)+IFERROR(VLOOKUP(A486,[4]库存使用数据!$A:$B,2,0),0)+IFERROR(VLOOKUP(A486,[5]库存使用数据!$A:$B,2,0),0)</f>
        <v>0</v>
      </c>
      <c r="C486" s="1">
        <f ca="1">IFERROR(VLOOKUP($A486,[1]库存使用数据!$A:$C,3,0),0)+IFERROR(VLOOKUP($A486,[2]库存使用数据!$A:$C,3,0),0)+IFERROR(VLOOKUP($A486,[3]库存使用数据!$A:$C,3,0),0)+IFERROR(VLOOKUP($A486,[4]库存使用数据!$A:$C,3,0),0)+IFERROR(VLOOKUP($A486,[5]库存使用数据!$A:$C,3,0),0)</f>
        <v>0</v>
      </c>
      <c r="D486" s="1">
        <f ca="1">IFERROR(VLOOKUP($A486,[1]库存使用数据!$A:$D,4,0),0)+IFERROR(VLOOKUP($A486,[2]库存使用数据!$A:$D,4,0),0)+公式!$B$1*IFERROR(VLOOKUP($A486,[3]库存使用数据!$A:$D,4,0),0)+IFERROR(VLOOKUP($A486,[4]库存使用数据!$A:$D,4,0),0)+IFERROR(VLOOKUP($A486,[5]库存使用数据!$A:$D,4,0),0)</f>
        <v>0</v>
      </c>
      <c r="E486" s="1">
        <f ca="1">IFERROR(VLOOKUP($A486,[1]库存使用数据!$A:$E,5,0),0)+IFERROR(VLOOKUP($A486,[2]库存使用数据!$A:$E,5,0),0)+IFERROR(VLOOKUP($A486,[3]库存使用数据!$A:$E,5,0),0)+IFERROR(VLOOKUP($A486,[4]库存使用数据!$A:$E,5,0),0)+IFERROR(VLOOKUP($A486,[5]库存使用数据!$A:$E,5,0),0)</f>
        <v>82</v>
      </c>
      <c r="F486" s="1">
        <f ca="1">IFERROR(VLOOKUP($A486,[1]库存使用数据!$A:$F,6,0),0)+IFERROR(VLOOKUP($A486,[2]库存使用数据!$A:$F,6,0),0)+IFERROR(VLOOKUP($A486,[4]库存使用数据!$A:$F,6,0),0)+IFERROR(VLOOKUP($A486,[3]库存使用数据!$A:$F,6,0),0)+IFERROR(VLOOKUP($A486,[5]库存使用数据!$A:$F,6,0),0)</f>
        <v>1</v>
      </c>
      <c r="G486" s="1">
        <f ca="1">IFERROR(VLOOKUP($A486,[1]库存使用数据!$A:$G,7,0),0)+IFERROR(VLOOKUP($A486,[2]库存使用数据!$A:$G,7,0),0)+公式!$B$14*IFERROR(VLOOKUP($A486,[3]库存使用数据!$A:$G,7,0),0)+IFERROR(VLOOKUP($A486,[4]库存使用数据!$A:$G,7,0),0)+IFERROR(VLOOKUP($A486,[5]库存使用数据!$A:$G,7,0),0)</f>
        <v>0</v>
      </c>
      <c r="H486" s="1">
        <f ca="1">IFERROR(VLOOKUP($A486,[1]库存使用数据!$A:$H,8,0),0)+IFERROR(VLOOKUP($A486,[2]库存使用数据!$A:$H,8,0),0)+IFERROR(VLOOKUP($A486,[3]库存使用数据!$A:$H,8,0),0)+IFERROR(VLOOKUP($A486,[4]库存使用数据!$A:$H,8,0),0)+IFERROR(VLOOKUP($A486,[5]库存使用数据!$A:$H,8,0),0)</f>
        <v>278</v>
      </c>
      <c r="I486" s="1">
        <f ca="1">IFERROR(VLOOKUP($A486,[1]库存使用数据!$A:$I,9,0),0)+IFERROR(VLOOKUP($A486,[2]库存使用数据!$A:$I,9,0),0)+IFERROR(VLOOKUP($A486,[3]库存使用数据!$A:$I,9,0),0)+IFERROR(VLOOKUP($A486,[4]库存使用数据!$A:$I,9,0),0)+IFERROR(VLOOKUP($A486,[5]库存使用数据!$A:$I,9,0),0)</f>
        <v>3</v>
      </c>
      <c r="J486" s="1">
        <f ca="1">IFERROR(VLOOKUP($A486,[1]库存使用数据!$A:$J,10,0),0)+IFERROR(VLOOKUP($A486,[2]库存使用数据!$A:$J,10,0),0)+公式!$B$14*IFERROR(VLOOKUP($A486,[3]库存使用数据!$A:$J,10,0),0)+IFERROR(VLOOKUP($A486,[4]库存使用数据!$A:$J,10,0),0)+IFERROR(VLOOKUP($A486,[5]库存使用数据!$A:$J,10,0),0)</f>
        <v>0</v>
      </c>
      <c r="K486" s="1">
        <f ca="1">IFERROR(VLOOKUP($A486,[1]库存使用数据!$A:$K,11,0),0)+IFERROR(VLOOKUP($A486,[2]库存使用数据!$A:$K,11,0),0)+IFERROR(VLOOKUP($A486,[3]库存使用数据!$A:$K,11,0),0)+IFERROR(VLOOKUP($A486,[4]库存使用数据!$A:$K,11,0),0)+IFERROR(VLOOKUP($A486,[5]库存使用数据!$A:$K,11,0),0)</f>
        <v>0</v>
      </c>
      <c r="L486" s="1">
        <f ca="1">IFERROR(VLOOKUP($A486,[1]库存使用数据!$A:$L,12,0),0)+IFERROR(VLOOKUP($A486,[2]库存使用数据!$A:$L,12,0),0)+IFERROR(VLOOKUP($A486,[3]库存使用数据!$A:$L,12,0),0)+IFERROR(VLOOKUP($A486,[4]库存使用数据!$A:$L,12,0),0)+IFERROR(VLOOKUP($A486,[5]库存使用数据!$A:$L,12,0),0)</f>
        <v>0</v>
      </c>
      <c r="M486" s="1">
        <f ca="1">IFERROR(VLOOKUP($A486,[1]库存使用数据!$A:$M,13,0),0)+IFERROR(VLOOKUP($A486,[2]库存使用数据!$A:$M,13,0),0)+公式!$B$14*IFERROR(VLOOKUP($A486,[3]库存使用数据!$A:$M,13,0),0)+IFERROR(VLOOKUP($A486,[4]库存使用数据!$A:$M,13,0),0)+IFERROR(VLOOKUP($A486,[5]库存使用数据!$A:$M,13,0),0)</f>
        <v>0</v>
      </c>
    </row>
    <row r="487" spans="1:13">
      <c r="A487" s="6" t="s">
        <v>492</v>
      </c>
      <c r="B487" s="2">
        <f ca="1">IFERROR(VLOOKUP(A487,[1]库存使用数据!$A:$B,2,0),0)+IFERROR(VLOOKUP(A487,[2]库存使用数据!$A:$B,2,0),0)+IFERROR(VLOOKUP(,[3]库存使用数据!$A:$B,2,0),0)+IFERROR(VLOOKUP(A487,[4]库存使用数据!$A:$B,2,0),0)+IFERROR(VLOOKUP(A487,[5]库存使用数据!$A:$B,2,0),0)</f>
        <v>0</v>
      </c>
      <c r="C487" s="1">
        <f ca="1">IFERROR(VLOOKUP($A487,[1]库存使用数据!$A:$C,3,0),0)+IFERROR(VLOOKUP($A487,[2]库存使用数据!$A:$C,3,0),0)+IFERROR(VLOOKUP($A487,[3]库存使用数据!$A:$C,3,0),0)+IFERROR(VLOOKUP($A487,[4]库存使用数据!$A:$C,3,0),0)+IFERROR(VLOOKUP($A487,[5]库存使用数据!$A:$C,3,0),0)</f>
        <v>0</v>
      </c>
      <c r="D487" s="1">
        <f ca="1">IFERROR(VLOOKUP($A487,[1]库存使用数据!$A:$D,4,0),0)+IFERROR(VLOOKUP($A487,[2]库存使用数据!$A:$D,4,0),0)+公式!$B$1*IFERROR(VLOOKUP($A487,[3]库存使用数据!$A:$D,4,0),0)+IFERROR(VLOOKUP($A487,[4]库存使用数据!$A:$D,4,0),0)+IFERROR(VLOOKUP($A487,[5]库存使用数据!$A:$D,4,0),0)</f>
        <v>0</v>
      </c>
      <c r="E487" s="1">
        <f ca="1">IFERROR(VLOOKUP($A487,[1]库存使用数据!$A:$E,5,0),0)+IFERROR(VLOOKUP($A487,[2]库存使用数据!$A:$E,5,0),0)+IFERROR(VLOOKUP($A487,[3]库存使用数据!$A:$E,5,0),0)+IFERROR(VLOOKUP($A487,[4]库存使用数据!$A:$E,5,0),0)+IFERROR(VLOOKUP($A487,[5]库存使用数据!$A:$E,5,0),0)</f>
        <v>0</v>
      </c>
      <c r="F487" s="1">
        <f ca="1">IFERROR(VLOOKUP($A487,[1]库存使用数据!$A:$F,6,0),0)+IFERROR(VLOOKUP($A487,[2]库存使用数据!$A:$F,6,0),0)+IFERROR(VLOOKUP($A487,[4]库存使用数据!$A:$F,6,0),0)+IFERROR(VLOOKUP($A487,[3]库存使用数据!$A:$F,6,0),0)+IFERROR(VLOOKUP($A487,[5]库存使用数据!$A:$F,6,0),0)</f>
        <v>0</v>
      </c>
      <c r="G487" s="1">
        <f ca="1">IFERROR(VLOOKUP($A487,[1]库存使用数据!$A:$G,7,0),0)+IFERROR(VLOOKUP($A487,[2]库存使用数据!$A:$G,7,0),0)+公式!$B$14*IFERROR(VLOOKUP($A487,[3]库存使用数据!$A:$G,7,0),0)+IFERROR(VLOOKUP($A487,[4]库存使用数据!$A:$G,7,0),0)+IFERROR(VLOOKUP($A487,[5]库存使用数据!$A:$G,7,0),0)</f>
        <v>0</v>
      </c>
      <c r="H487" s="1">
        <f ca="1">IFERROR(VLOOKUP($A487,[1]库存使用数据!$A:$H,8,0),0)+IFERROR(VLOOKUP($A487,[2]库存使用数据!$A:$H,8,0),0)+IFERROR(VLOOKUP($A487,[3]库存使用数据!$A:$H,8,0),0)+IFERROR(VLOOKUP($A487,[4]库存使用数据!$A:$H,8,0),0)+IFERROR(VLOOKUP($A487,[5]库存使用数据!$A:$H,8,0),0)</f>
        <v>0</v>
      </c>
      <c r="I487" s="1">
        <f ca="1">IFERROR(VLOOKUP($A487,[1]库存使用数据!$A:$I,9,0),0)+IFERROR(VLOOKUP($A487,[2]库存使用数据!$A:$I,9,0),0)+IFERROR(VLOOKUP($A487,[3]库存使用数据!$A:$I,9,0),0)+IFERROR(VLOOKUP($A487,[4]库存使用数据!$A:$I,9,0),0)+IFERROR(VLOOKUP($A487,[5]库存使用数据!$A:$I,9,0),0)</f>
        <v>0</v>
      </c>
      <c r="J487" s="1">
        <f ca="1">IFERROR(VLOOKUP($A487,[1]库存使用数据!$A:$J,10,0),0)+IFERROR(VLOOKUP($A487,[2]库存使用数据!$A:$J,10,0),0)+公式!$B$14*IFERROR(VLOOKUP($A487,[3]库存使用数据!$A:$J,10,0),0)+IFERROR(VLOOKUP($A487,[4]库存使用数据!$A:$J,10,0),0)+IFERROR(VLOOKUP($A487,[5]库存使用数据!$A:$J,10,0),0)</f>
        <v>0</v>
      </c>
      <c r="K487" s="1">
        <f ca="1">IFERROR(VLOOKUP($A487,[1]库存使用数据!$A:$K,11,0),0)+IFERROR(VLOOKUP($A487,[2]库存使用数据!$A:$K,11,0),0)+IFERROR(VLOOKUP($A487,[3]库存使用数据!$A:$K,11,0),0)+IFERROR(VLOOKUP($A487,[4]库存使用数据!$A:$K,11,0),0)+IFERROR(VLOOKUP($A487,[5]库存使用数据!$A:$K,11,0),0)</f>
        <v>0</v>
      </c>
      <c r="L487" s="1">
        <f ca="1">IFERROR(VLOOKUP($A487,[1]库存使用数据!$A:$L,12,0),0)+IFERROR(VLOOKUP($A487,[2]库存使用数据!$A:$L,12,0),0)+IFERROR(VLOOKUP($A487,[3]库存使用数据!$A:$L,12,0),0)+IFERROR(VLOOKUP($A487,[4]库存使用数据!$A:$L,12,0),0)+IFERROR(VLOOKUP($A487,[5]库存使用数据!$A:$L,12,0),0)</f>
        <v>0</v>
      </c>
      <c r="M487" s="1">
        <f ca="1">IFERROR(VLOOKUP($A487,[1]库存使用数据!$A:$M,13,0),0)+IFERROR(VLOOKUP($A487,[2]库存使用数据!$A:$M,13,0),0)+公式!$B$14*IFERROR(VLOOKUP($A487,[3]库存使用数据!$A:$M,13,0),0)+IFERROR(VLOOKUP($A487,[4]库存使用数据!$A:$M,13,0),0)+IFERROR(VLOOKUP($A487,[5]库存使用数据!$A:$M,13,0),0)</f>
        <v>0</v>
      </c>
    </row>
    <row r="488" spans="1:13">
      <c r="A488" s="6" t="s">
        <v>493</v>
      </c>
      <c r="B488" s="2">
        <f ca="1">IFERROR(VLOOKUP(A488,[1]库存使用数据!$A:$B,2,0),0)+IFERROR(VLOOKUP(A488,[2]库存使用数据!$A:$B,2,0),0)+IFERROR(VLOOKUP(,[3]库存使用数据!$A:$B,2,0),0)+IFERROR(VLOOKUP(A488,[4]库存使用数据!$A:$B,2,0),0)+IFERROR(VLOOKUP(A488,[5]库存使用数据!$A:$B,2,0),0)</f>
        <v>0</v>
      </c>
      <c r="C488" s="1">
        <f ca="1">IFERROR(VLOOKUP($A488,[1]库存使用数据!$A:$C,3,0),0)+IFERROR(VLOOKUP($A488,[2]库存使用数据!$A:$C,3,0),0)+IFERROR(VLOOKUP($A488,[3]库存使用数据!$A:$C,3,0),0)+IFERROR(VLOOKUP($A488,[4]库存使用数据!$A:$C,3,0),0)+IFERROR(VLOOKUP($A488,[5]库存使用数据!$A:$C,3,0),0)</f>
        <v>0</v>
      </c>
      <c r="D488" s="1">
        <f ca="1">IFERROR(VLOOKUP($A488,[1]库存使用数据!$A:$D,4,0),0)+IFERROR(VLOOKUP($A488,[2]库存使用数据!$A:$D,4,0),0)+公式!$B$1*IFERROR(VLOOKUP($A488,[3]库存使用数据!$A:$D,4,0),0)+IFERROR(VLOOKUP($A488,[4]库存使用数据!$A:$D,4,0),0)+IFERROR(VLOOKUP($A488,[5]库存使用数据!$A:$D,4,0),0)</f>
        <v>0</v>
      </c>
      <c r="E488" s="1">
        <f ca="1">IFERROR(VLOOKUP($A488,[1]库存使用数据!$A:$E,5,0),0)+IFERROR(VLOOKUP($A488,[2]库存使用数据!$A:$E,5,0),0)+IFERROR(VLOOKUP($A488,[3]库存使用数据!$A:$E,5,0),0)+IFERROR(VLOOKUP($A488,[4]库存使用数据!$A:$E,5,0),0)+IFERROR(VLOOKUP($A488,[5]库存使用数据!$A:$E,5,0),0)</f>
        <v>0</v>
      </c>
      <c r="F488" s="1">
        <f ca="1">IFERROR(VLOOKUP($A488,[1]库存使用数据!$A:$F,6,0),0)+IFERROR(VLOOKUP($A488,[2]库存使用数据!$A:$F,6,0),0)+IFERROR(VLOOKUP($A488,[4]库存使用数据!$A:$F,6,0),0)+IFERROR(VLOOKUP($A488,[3]库存使用数据!$A:$F,6,0),0)+IFERROR(VLOOKUP($A488,[5]库存使用数据!$A:$F,6,0),0)</f>
        <v>0</v>
      </c>
      <c r="G488" s="1">
        <f ca="1">IFERROR(VLOOKUP($A488,[1]库存使用数据!$A:$G,7,0),0)+IFERROR(VLOOKUP($A488,[2]库存使用数据!$A:$G,7,0),0)+公式!$B$14*IFERROR(VLOOKUP($A488,[3]库存使用数据!$A:$G,7,0),0)+IFERROR(VLOOKUP($A488,[4]库存使用数据!$A:$G,7,0),0)+IFERROR(VLOOKUP($A488,[5]库存使用数据!$A:$G,7,0),0)</f>
        <v>0</v>
      </c>
      <c r="H488" s="1">
        <f ca="1">IFERROR(VLOOKUP($A488,[1]库存使用数据!$A:$H,8,0),0)+IFERROR(VLOOKUP($A488,[2]库存使用数据!$A:$H,8,0),0)+IFERROR(VLOOKUP($A488,[3]库存使用数据!$A:$H,8,0),0)+IFERROR(VLOOKUP($A488,[4]库存使用数据!$A:$H,8,0),0)+IFERROR(VLOOKUP($A488,[5]库存使用数据!$A:$H,8,0),0)</f>
        <v>595</v>
      </c>
      <c r="I488" s="1">
        <f ca="1">IFERROR(VLOOKUP($A488,[1]库存使用数据!$A:$I,9,0),0)+IFERROR(VLOOKUP($A488,[2]库存使用数据!$A:$I,9,0),0)+IFERROR(VLOOKUP($A488,[3]库存使用数据!$A:$I,9,0),0)+IFERROR(VLOOKUP($A488,[4]库存使用数据!$A:$I,9,0),0)+IFERROR(VLOOKUP($A488,[5]库存使用数据!$A:$I,9,0),0)</f>
        <v>2</v>
      </c>
      <c r="J488" s="1">
        <f ca="1">IFERROR(VLOOKUP($A488,[1]库存使用数据!$A:$J,10,0),0)+IFERROR(VLOOKUP($A488,[2]库存使用数据!$A:$J,10,0),0)+公式!$B$14*IFERROR(VLOOKUP($A488,[3]库存使用数据!$A:$J,10,0),0)+IFERROR(VLOOKUP($A488,[4]库存使用数据!$A:$J,10,0),0)+IFERROR(VLOOKUP($A488,[5]库存使用数据!$A:$J,10,0),0)</f>
        <v>0</v>
      </c>
      <c r="K488" s="1">
        <f ca="1">IFERROR(VLOOKUP($A488,[1]库存使用数据!$A:$K,11,0),0)+IFERROR(VLOOKUP($A488,[2]库存使用数据!$A:$K,11,0),0)+IFERROR(VLOOKUP($A488,[3]库存使用数据!$A:$K,11,0),0)+IFERROR(VLOOKUP($A488,[4]库存使用数据!$A:$K,11,0),0)+IFERROR(VLOOKUP($A488,[5]库存使用数据!$A:$K,11,0),0)</f>
        <v>0</v>
      </c>
      <c r="L488" s="1">
        <f ca="1">IFERROR(VLOOKUP($A488,[1]库存使用数据!$A:$L,12,0),0)+IFERROR(VLOOKUP($A488,[2]库存使用数据!$A:$L,12,0),0)+IFERROR(VLOOKUP($A488,[3]库存使用数据!$A:$L,12,0),0)+IFERROR(VLOOKUP($A488,[4]库存使用数据!$A:$L,12,0),0)+IFERROR(VLOOKUP($A488,[5]库存使用数据!$A:$L,12,0),0)</f>
        <v>0</v>
      </c>
      <c r="M488" s="1">
        <f ca="1">IFERROR(VLOOKUP($A488,[1]库存使用数据!$A:$M,13,0),0)+IFERROR(VLOOKUP($A488,[2]库存使用数据!$A:$M,13,0),0)+公式!$B$14*IFERROR(VLOOKUP($A488,[3]库存使用数据!$A:$M,13,0),0)+IFERROR(VLOOKUP($A488,[4]库存使用数据!$A:$M,13,0),0)+IFERROR(VLOOKUP($A488,[5]库存使用数据!$A:$M,13,0),0)</f>
        <v>0</v>
      </c>
    </row>
    <row r="489" spans="1:13">
      <c r="A489" s="6" t="s">
        <v>494</v>
      </c>
      <c r="B489" s="2">
        <f ca="1">IFERROR(VLOOKUP(A489,[1]库存使用数据!$A:$B,2,0),0)+IFERROR(VLOOKUP(A489,[2]库存使用数据!$A:$B,2,0),0)+IFERROR(VLOOKUP(,[3]库存使用数据!$A:$B,2,0),0)+IFERROR(VLOOKUP(A489,[4]库存使用数据!$A:$B,2,0),0)+IFERROR(VLOOKUP(A489,[5]库存使用数据!$A:$B,2,0),0)</f>
        <v>0</v>
      </c>
      <c r="C489" s="1">
        <f ca="1">IFERROR(VLOOKUP($A489,[1]库存使用数据!$A:$C,3,0),0)+IFERROR(VLOOKUP($A489,[2]库存使用数据!$A:$C,3,0),0)+IFERROR(VLOOKUP($A489,[3]库存使用数据!$A:$C,3,0),0)+IFERROR(VLOOKUP($A489,[4]库存使用数据!$A:$C,3,0),0)+IFERROR(VLOOKUP($A489,[5]库存使用数据!$A:$C,3,0),0)</f>
        <v>29</v>
      </c>
      <c r="D489" s="1">
        <f ca="1">IFERROR(VLOOKUP($A489,[1]库存使用数据!$A:$D,4,0),0)+IFERROR(VLOOKUP($A489,[2]库存使用数据!$A:$D,4,0),0)+公式!$B$1*IFERROR(VLOOKUP($A489,[3]库存使用数据!$A:$D,4,0),0)+IFERROR(VLOOKUP($A489,[4]库存使用数据!$A:$D,4,0),0)+IFERROR(VLOOKUP($A489,[5]库存使用数据!$A:$D,4,0),0)</f>
        <v>3.76875</v>
      </c>
      <c r="E489" s="1">
        <f ca="1">IFERROR(VLOOKUP($A489,[1]库存使用数据!$A:$E,5,0),0)+IFERROR(VLOOKUP($A489,[2]库存使用数据!$A:$E,5,0),0)+IFERROR(VLOOKUP($A489,[3]库存使用数据!$A:$E,5,0),0)+IFERROR(VLOOKUP($A489,[4]库存使用数据!$A:$E,5,0),0)+IFERROR(VLOOKUP($A489,[5]库存使用数据!$A:$E,5,0),0)</f>
        <v>558</v>
      </c>
      <c r="F489" s="1">
        <f ca="1">IFERROR(VLOOKUP($A489,[1]库存使用数据!$A:$F,6,0),0)+IFERROR(VLOOKUP($A489,[2]库存使用数据!$A:$F,6,0),0)+IFERROR(VLOOKUP($A489,[4]库存使用数据!$A:$F,6,0),0)+IFERROR(VLOOKUP($A489,[3]库存使用数据!$A:$F,6,0),0)+IFERROR(VLOOKUP($A489,[5]库存使用数据!$A:$F,6,0),0)</f>
        <v>16</v>
      </c>
      <c r="G489" s="1">
        <f ca="1">IFERROR(VLOOKUP($A489,[1]库存使用数据!$A:$G,7,0),0)+IFERROR(VLOOKUP($A489,[2]库存使用数据!$A:$G,7,0),0)+公式!$B$14*IFERROR(VLOOKUP($A489,[3]库存使用数据!$A:$G,7,0),0)+IFERROR(VLOOKUP($A489,[4]库存使用数据!$A:$G,7,0),0)+IFERROR(VLOOKUP($A489,[5]库存使用数据!$A:$G,7,0),0)</f>
        <v>0</v>
      </c>
      <c r="H489" s="1">
        <f ca="1">IFERROR(VLOOKUP($A489,[1]库存使用数据!$A:$H,8,0),0)+IFERROR(VLOOKUP($A489,[2]库存使用数据!$A:$H,8,0),0)+IFERROR(VLOOKUP($A489,[3]库存使用数据!$A:$H,8,0),0)+IFERROR(VLOOKUP($A489,[4]库存使用数据!$A:$H,8,0),0)+IFERROR(VLOOKUP($A489,[5]库存使用数据!$A:$H,8,0),0)</f>
        <v>1674</v>
      </c>
      <c r="I489" s="1">
        <f ca="1">IFERROR(VLOOKUP($A489,[1]库存使用数据!$A:$I,9,0),0)+IFERROR(VLOOKUP($A489,[2]库存使用数据!$A:$I,9,0),0)+IFERROR(VLOOKUP($A489,[3]库存使用数据!$A:$I,9,0),0)+IFERROR(VLOOKUP($A489,[4]库存使用数据!$A:$I,9,0),0)+IFERROR(VLOOKUP($A489,[5]库存使用数据!$A:$I,9,0),0)</f>
        <v>19</v>
      </c>
      <c r="J489" s="1">
        <f ca="1">IFERROR(VLOOKUP($A489,[1]库存使用数据!$A:$J,10,0),0)+IFERROR(VLOOKUP($A489,[2]库存使用数据!$A:$J,10,0),0)+公式!$B$14*IFERROR(VLOOKUP($A489,[3]库存使用数据!$A:$J,10,0),0)+IFERROR(VLOOKUP($A489,[4]库存使用数据!$A:$J,10,0),0)+IFERROR(VLOOKUP($A489,[5]库存使用数据!$A:$J,10,0),0)</f>
        <v>0</v>
      </c>
      <c r="K489" s="1">
        <f ca="1">IFERROR(VLOOKUP($A489,[1]库存使用数据!$A:$K,11,0),0)+IFERROR(VLOOKUP($A489,[2]库存使用数据!$A:$K,11,0),0)+IFERROR(VLOOKUP($A489,[3]库存使用数据!$A:$K,11,0),0)+IFERROR(VLOOKUP($A489,[4]库存使用数据!$A:$K,11,0),0)+IFERROR(VLOOKUP($A489,[5]库存使用数据!$A:$K,11,0),0)</f>
        <v>0</v>
      </c>
      <c r="L489" s="1">
        <f ca="1">IFERROR(VLOOKUP($A489,[1]库存使用数据!$A:$L,12,0),0)+IFERROR(VLOOKUP($A489,[2]库存使用数据!$A:$L,12,0),0)+IFERROR(VLOOKUP($A489,[3]库存使用数据!$A:$L,12,0),0)+IFERROR(VLOOKUP($A489,[4]库存使用数据!$A:$L,12,0),0)+IFERROR(VLOOKUP($A489,[5]库存使用数据!$A:$L,12,0),0)</f>
        <v>0</v>
      </c>
      <c r="M489" s="1">
        <f ca="1">IFERROR(VLOOKUP($A489,[1]库存使用数据!$A:$M,13,0),0)+IFERROR(VLOOKUP($A489,[2]库存使用数据!$A:$M,13,0),0)+公式!$B$14*IFERROR(VLOOKUP($A489,[3]库存使用数据!$A:$M,13,0),0)+IFERROR(VLOOKUP($A489,[4]库存使用数据!$A:$M,13,0),0)+IFERROR(VLOOKUP($A489,[5]库存使用数据!$A:$M,13,0),0)</f>
        <v>0</v>
      </c>
    </row>
    <row r="490" spans="1:13">
      <c r="A490" s="6" t="s">
        <v>495</v>
      </c>
      <c r="B490" s="2">
        <f ca="1">IFERROR(VLOOKUP(A490,[1]库存使用数据!$A:$B,2,0),0)+IFERROR(VLOOKUP(A490,[2]库存使用数据!$A:$B,2,0),0)+IFERROR(VLOOKUP(,[3]库存使用数据!$A:$B,2,0),0)+IFERROR(VLOOKUP(A490,[4]库存使用数据!$A:$B,2,0),0)+IFERROR(VLOOKUP(A490,[5]库存使用数据!$A:$B,2,0),0)</f>
        <v>0</v>
      </c>
      <c r="C490" s="1">
        <f ca="1">IFERROR(VLOOKUP($A490,[1]库存使用数据!$A:$C,3,0),0)+IFERROR(VLOOKUP($A490,[2]库存使用数据!$A:$C,3,0),0)+IFERROR(VLOOKUP($A490,[3]库存使用数据!$A:$C,3,0),0)+IFERROR(VLOOKUP($A490,[4]库存使用数据!$A:$C,3,0),0)+IFERROR(VLOOKUP($A490,[5]库存使用数据!$A:$C,3,0),0)</f>
        <v>0</v>
      </c>
      <c r="D490" s="1">
        <f ca="1">IFERROR(VLOOKUP($A490,[1]库存使用数据!$A:$D,4,0),0)+IFERROR(VLOOKUP($A490,[2]库存使用数据!$A:$D,4,0),0)+公式!$B$1*IFERROR(VLOOKUP($A490,[3]库存使用数据!$A:$D,4,0),0)+IFERROR(VLOOKUP($A490,[4]库存使用数据!$A:$D,4,0),0)+IFERROR(VLOOKUP($A490,[5]库存使用数据!$A:$D,4,0),0)</f>
        <v>0</v>
      </c>
      <c r="E490" s="1">
        <f ca="1">IFERROR(VLOOKUP($A490,[1]库存使用数据!$A:$E,5,0),0)+IFERROR(VLOOKUP($A490,[2]库存使用数据!$A:$E,5,0),0)+IFERROR(VLOOKUP($A490,[3]库存使用数据!$A:$E,5,0),0)+IFERROR(VLOOKUP($A490,[4]库存使用数据!$A:$E,5,0),0)+IFERROR(VLOOKUP($A490,[5]库存使用数据!$A:$E,5,0),0)</f>
        <v>0</v>
      </c>
      <c r="F490" s="1">
        <f ca="1">IFERROR(VLOOKUP($A490,[1]库存使用数据!$A:$F,6,0),0)+IFERROR(VLOOKUP($A490,[2]库存使用数据!$A:$F,6,0),0)+IFERROR(VLOOKUP($A490,[4]库存使用数据!$A:$F,6,0),0)+IFERROR(VLOOKUP($A490,[3]库存使用数据!$A:$F,6,0),0)+IFERROR(VLOOKUP($A490,[5]库存使用数据!$A:$F,6,0),0)</f>
        <v>0</v>
      </c>
      <c r="G490" s="1">
        <f ca="1">IFERROR(VLOOKUP($A490,[1]库存使用数据!$A:$G,7,0),0)+IFERROR(VLOOKUP($A490,[2]库存使用数据!$A:$G,7,0),0)+公式!$B$14*IFERROR(VLOOKUP($A490,[3]库存使用数据!$A:$G,7,0),0)+IFERROR(VLOOKUP($A490,[4]库存使用数据!$A:$G,7,0),0)+IFERROR(VLOOKUP($A490,[5]库存使用数据!$A:$G,7,0),0)</f>
        <v>0</v>
      </c>
      <c r="H490" s="1">
        <f ca="1">IFERROR(VLOOKUP($A490,[1]库存使用数据!$A:$H,8,0),0)+IFERROR(VLOOKUP($A490,[2]库存使用数据!$A:$H,8,0),0)+IFERROR(VLOOKUP($A490,[3]库存使用数据!$A:$H,8,0),0)+IFERROR(VLOOKUP($A490,[4]库存使用数据!$A:$H,8,0),0)+IFERROR(VLOOKUP($A490,[5]库存使用数据!$A:$H,8,0),0)</f>
        <v>1</v>
      </c>
      <c r="I490" s="1">
        <f ca="1">IFERROR(VLOOKUP($A490,[1]库存使用数据!$A:$I,9,0),0)+IFERROR(VLOOKUP($A490,[2]库存使用数据!$A:$I,9,0),0)+IFERROR(VLOOKUP($A490,[3]库存使用数据!$A:$I,9,0),0)+IFERROR(VLOOKUP($A490,[4]库存使用数据!$A:$I,9,0),0)+IFERROR(VLOOKUP($A490,[5]库存使用数据!$A:$I,9,0),0)</f>
        <v>0</v>
      </c>
      <c r="J490" s="1">
        <f ca="1">IFERROR(VLOOKUP($A490,[1]库存使用数据!$A:$J,10,0),0)+IFERROR(VLOOKUP($A490,[2]库存使用数据!$A:$J,10,0),0)+公式!$B$14*IFERROR(VLOOKUP($A490,[3]库存使用数据!$A:$J,10,0),0)+IFERROR(VLOOKUP($A490,[4]库存使用数据!$A:$J,10,0),0)+IFERROR(VLOOKUP($A490,[5]库存使用数据!$A:$J,10,0),0)</f>
        <v>0</v>
      </c>
      <c r="K490" s="1">
        <f ca="1">IFERROR(VLOOKUP($A490,[1]库存使用数据!$A:$K,11,0),0)+IFERROR(VLOOKUP($A490,[2]库存使用数据!$A:$K,11,0),0)+IFERROR(VLOOKUP($A490,[3]库存使用数据!$A:$K,11,0),0)+IFERROR(VLOOKUP($A490,[4]库存使用数据!$A:$K,11,0),0)+IFERROR(VLOOKUP($A490,[5]库存使用数据!$A:$K,11,0),0)</f>
        <v>0</v>
      </c>
      <c r="L490" s="1">
        <f ca="1">IFERROR(VLOOKUP($A490,[1]库存使用数据!$A:$L,12,0),0)+IFERROR(VLOOKUP($A490,[2]库存使用数据!$A:$L,12,0),0)+IFERROR(VLOOKUP($A490,[3]库存使用数据!$A:$L,12,0),0)+IFERROR(VLOOKUP($A490,[4]库存使用数据!$A:$L,12,0),0)+IFERROR(VLOOKUP($A490,[5]库存使用数据!$A:$L,12,0),0)</f>
        <v>0</v>
      </c>
      <c r="M490" s="1">
        <f ca="1">IFERROR(VLOOKUP($A490,[1]库存使用数据!$A:$M,13,0),0)+IFERROR(VLOOKUP($A490,[2]库存使用数据!$A:$M,13,0),0)+公式!$B$14*IFERROR(VLOOKUP($A490,[3]库存使用数据!$A:$M,13,0),0)+IFERROR(VLOOKUP($A490,[4]库存使用数据!$A:$M,13,0),0)+IFERROR(VLOOKUP($A490,[5]库存使用数据!$A:$M,13,0),0)</f>
        <v>0</v>
      </c>
    </row>
    <row r="491" spans="1:13">
      <c r="A491" s="6" t="s">
        <v>496</v>
      </c>
      <c r="B491" s="2">
        <f ca="1">IFERROR(VLOOKUP(A491,[1]库存使用数据!$A:$B,2,0),0)+IFERROR(VLOOKUP(A491,[2]库存使用数据!$A:$B,2,0),0)+IFERROR(VLOOKUP(,[3]库存使用数据!$A:$B,2,0),0)+IFERROR(VLOOKUP(A491,[4]库存使用数据!$A:$B,2,0),0)+IFERROR(VLOOKUP(A491,[5]库存使用数据!$A:$B,2,0),0)</f>
        <v>0</v>
      </c>
      <c r="C491" s="1">
        <f ca="1">IFERROR(VLOOKUP($A491,[1]库存使用数据!$A:$C,3,0),0)+IFERROR(VLOOKUP($A491,[2]库存使用数据!$A:$C,3,0),0)+IFERROR(VLOOKUP($A491,[3]库存使用数据!$A:$C,3,0),0)+IFERROR(VLOOKUP($A491,[4]库存使用数据!$A:$C,3,0),0)+IFERROR(VLOOKUP($A491,[5]库存使用数据!$A:$C,3,0),0)</f>
        <v>0</v>
      </c>
      <c r="D491" s="1">
        <f ca="1">IFERROR(VLOOKUP($A491,[1]库存使用数据!$A:$D,4,0),0)+IFERROR(VLOOKUP($A491,[2]库存使用数据!$A:$D,4,0),0)+公式!$B$1*IFERROR(VLOOKUP($A491,[3]库存使用数据!$A:$D,4,0),0)+IFERROR(VLOOKUP($A491,[4]库存使用数据!$A:$D,4,0),0)+IFERROR(VLOOKUP($A491,[5]库存使用数据!$A:$D,4,0),0)</f>
        <v>0</v>
      </c>
      <c r="E491" s="1">
        <f ca="1">IFERROR(VLOOKUP($A491,[1]库存使用数据!$A:$E,5,0),0)+IFERROR(VLOOKUP($A491,[2]库存使用数据!$A:$E,5,0),0)+IFERROR(VLOOKUP($A491,[3]库存使用数据!$A:$E,5,0),0)+IFERROR(VLOOKUP($A491,[4]库存使用数据!$A:$E,5,0),0)+IFERROR(VLOOKUP($A491,[5]库存使用数据!$A:$E,5,0),0)</f>
        <v>0</v>
      </c>
      <c r="F491" s="1">
        <f ca="1">IFERROR(VLOOKUP($A491,[1]库存使用数据!$A:$F,6,0),0)+IFERROR(VLOOKUP($A491,[2]库存使用数据!$A:$F,6,0),0)+IFERROR(VLOOKUP($A491,[4]库存使用数据!$A:$F,6,0),0)+IFERROR(VLOOKUP($A491,[3]库存使用数据!$A:$F,6,0),0)+IFERROR(VLOOKUP($A491,[5]库存使用数据!$A:$F,6,0),0)</f>
        <v>0</v>
      </c>
      <c r="G491" s="1">
        <f ca="1">IFERROR(VLOOKUP($A491,[1]库存使用数据!$A:$G,7,0),0)+IFERROR(VLOOKUP($A491,[2]库存使用数据!$A:$G,7,0),0)+公式!$B$14*IFERROR(VLOOKUP($A491,[3]库存使用数据!$A:$G,7,0),0)+IFERROR(VLOOKUP($A491,[4]库存使用数据!$A:$G,7,0),0)+IFERROR(VLOOKUP($A491,[5]库存使用数据!$A:$G,7,0),0)</f>
        <v>0</v>
      </c>
      <c r="H491" s="1">
        <f ca="1">IFERROR(VLOOKUP($A491,[1]库存使用数据!$A:$H,8,0),0)+IFERROR(VLOOKUP($A491,[2]库存使用数据!$A:$H,8,0),0)+IFERROR(VLOOKUP($A491,[3]库存使用数据!$A:$H,8,0),0)+IFERROR(VLOOKUP($A491,[4]库存使用数据!$A:$H,8,0),0)+IFERROR(VLOOKUP($A491,[5]库存使用数据!$A:$H,8,0),0)</f>
        <v>392</v>
      </c>
      <c r="I491" s="1">
        <f ca="1">IFERROR(VLOOKUP($A491,[1]库存使用数据!$A:$I,9,0),0)+IFERROR(VLOOKUP($A491,[2]库存使用数据!$A:$I,9,0),0)+IFERROR(VLOOKUP($A491,[3]库存使用数据!$A:$I,9,0),0)+IFERROR(VLOOKUP($A491,[4]库存使用数据!$A:$I,9,0),0)+IFERROR(VLOOKUP($A491,[5]库存使用数据!$A:$I,9,0),0)</f>
        <v>0</v>
      </c>
      <c r="J491" s="1">
        <f ca="1">IFERROR(VLOOKUP($A491,[1]库存使用数据!$A:$J,10,0),0)+IFERROR(VLOOKUP($A491,[2]库存使用数据!$A:$J,10,0),0)+公式!$B$14*IFERROR(VLOOKUP($A491,[3]库存使用数据!$A:$J,10,0),0)+IFERROR(VLOOKUP($A491,[4]库存使用数据!$A:$J,10,0),0)+IFERROR(VLOOKUP($A491,[5]库存使用数据!$A:$J,10,0),0)</f>
        <v>0</v>
      </c>
      <c r="K491" s="1">
        <f ca="1">IFERROR(VLOOKUP($A491,[1]库存使用数据!$A:$K,11,0),0)+IFERROR(VLOOKUP($A491,[2]库存使用数据!$A:$K,11,0),0)+IFERROR(VLOOKUP($A491,[3]库存使用数据!$A:$K,11,0),0)+IFERROR(VLOOKUP($A491,[4]库存使用数据!$A:$K,11,0),0)+IFERROR(VLOOKUP($A491,[5]库存使用数据!$A:$K,11,0),0)</f>
        <v>0</v>
      </c>
      <c r="L491" s="1">
        <f ca="1">IFERROR(VLOOKUP($A491,[1]库存使用数据!$A:$L,12,0),0)+IFERROR(VLOOKUP($A491,[2]库存使用数据!$A:$L,12,0),0)+IFERROR(VLOOKUP($A491,[3]库存使用数据!$A:$L,12,0),0)+IFERROR(VLOOKUP($A491,[4]库存使用数据!$A:$L,12,0),0)+IFERROR(VLOOKUP($A491,[5]库存使用数据!$A:$L,12,0),0)</f>
        <v>0</v>
      </c>
      <c r="M491" s="1">
        <f ca="1">IFERROR(VLOOKUP($A491,[1]库存使用数据!$A:$M,13,0),0)+IFERROR(VLOOKUP($A491,[2]库存使用数据!$A:$M,13,0),0)+公式!$B$14*IFERROR(VLOOKUP($A491,[3]库存使用数据!$A:$M,13,0),0)+IFERROR(VLOOKUP($A491,[4]库存使用数据!$A:$M,13,0),0)+IFERROR(VLOOKUP($A491,[5]库存使用数据!$A:$M,13,0),0)</f>
        <v>0</v>
      </c>
    </row>
    <row r="492" spans="1:13">
      <c r="A492" s="6" t="s">
        <v>497</v>
      </c>
      <c r="B492" s="2">
        <f ca="1">IFERROR(VLOOKUP(A492,[1]库存使用数据!$A:$B,2,0),0)+IFERROR(VLOOKUP(A492,[2]库存使用数据!$A:$B,2,0),0)+IFERROR(VLOOKUP(,[3]库存使用数据!$A:$B,2,0),0)+IFERROR(VLOOKUP(A492,[4]库存使用数据!$A:$B,2,0),0)+IFERROR(VLOOKUP(A492,[5]库存使用数据!$A:$B,2,0),0)</f>
        <v>0</v>
      </c>
      <c r="C492" s="1">
        <f ca="1">IFERROR(VLOOKUP($A492,[1]库存使用数据!$A:$C,3,0),0)+IFERROR(VLOOKUP($A492,[2]库存使用数据!$A:$C,3,0),0)+IFERROR(VLOOKUP($A492,[3]库存使用数据!$A:$C,3,0),0)+IFERROR(VLOOKUP($A492,[4]库存使用数据!$A:$C,3,0),0)+IFERROR(VLOOKUP($A492,[5]库存使用数据!$A:$C,3,0),0)</f>
        <v>0</v>
      </c>
      <c r="D492" s="1">
        <f ca="1">IFERROR(VLOOKUP($A492,[1]库存使用数据!$A:$D,4,0),0)+IFERROR(VLOOKUP($A492,[2]库存使用数据!$A:$D,4,0),0)+公式!$B$1*IFERROR(VLOOKUP($A492,[3]库存使用数据!$A:$D,4,0),0)+IFERROR(VLOOKUP($A492,[4]库存使用数据!$A:$D,4,0),0)+IFERROR(VLOOKUP($A492,[5]库存使用数据!$A:$D,4,0),0)</f>
        <v>0</v>
      </c>
      <c r="E492" s="1">
        <f ca="1">IFERROR(VLOOKUP($A492,[1]库存使用数据!$A:$E,5,0),0)+IFERROR(VLOOKUP($A492,[2]库存使用数据!$A:$E,5,0),0)+IFERROR(VLOOKUP($A492,[3]库存使用数据!$A:$E,5,0),0)+IFERROR(VLOOKUP($A492,[4]库存使用数据!$A:$E,5,0),0)+IFERROR(VLOOKUP($A492,[5]库存使用数据!$A:$E,5,0),0)</f>
        <v>66</v>
      </c>
      <c r="F492" s="1">
        <f ca="1">IFERROR(VLOOKUP($A492,[1]库存使用数据!$A:$F,6,0),0)+IFERROR(VLOOKUP($A492,[2]库存使用数据!$A:$F,6,0),0)+IFERROR(VLOOKUP($A492,[4]库存使用数据!$A:$F,6,0),0)+IFERROR(VLOOKUP($A492,[3]库存使用数据!$A:$F,6,0),0)+IFERROR(VLOOKUP($A492,[5]库存使用数据!$A:$F,6,0),0)</f>
        <v>2</v>
      </c>
      <c r="G492" s="1">
        <f ca="1">IFERROR(VLOOKUP($A492,[1]库存使用数据!$A:$G,7,0),0)+IFERROR(VLOOKUP($A492,[2]库存使用数据!$A:$G,7,0),0)+公式!$B$14*IFERROR(VLOOKUP($A492,[3]库存使用数据!$A:$G,7,0),0)+IFERROR(VLOOKUP($A492,[4]库存使用数据!$A:$G,7,0),0)+IFERROR(VLOOKUP($A492,[5]库存使用数据!$A:$G,7,0),0)</f>
        <v>0</v>
      </c>
      <c r="H492" s="1">
        <f ca="1">IFERROR(VLOOKUP($A492,[1]库存使用数据!$A:$H,8,0),0)+IFERROR(VLOOKUP($A492,[2]库存使用数据!$A:$H,8,0),0)+IFERROR(VLOOKUP($A492,[3]库存使用数据!$A:$H,8,0),0)+IFERROR(VLOOKUP($A492,[4]库存使用数据!$A:$H,8,0),0)+IFERROR(VLOOKUP($A492,[5]库存使用数据!$A:$H,8,0),0)</f>
        <v>111</v>
      </c>
      <c r="I492" s="1">
        <f ca="1">IFERROR(VLOOKUP($A492,[1]库存使用数据!$A:$I,9,0),0)+IFERROR(VLOOKUP($A492,[2]库存使用数据!$A:$I,9,0),0)+IFERROR(VLOOKUP($A492,[3]库存使用数据!$A:$I,9,0),0)+IFERROR(VLOOKUP($A492,[4]库存使用数据!$A:$I,9,0),0)+IFERROR(VLOOKUP($A492,[5]库存使用数据!$A:$I,9,0),0)</f>
        <v>1</v>
      </c>
      <c r="J492" s="1">
        <f ca="1">IFERROR(VLOOKUP($A492,[1]库存使用数据!$A:$J,10,0),0)+IFERROR(VLOOKUP($A492,[2]库存使用数据!$A:$J,10,0),0)+公式!$B$14*IFERROR(VLOOKUP($A492,[3]库存使用数据!$A:$J,10,0),0)+IFERROR(VLOOKUP($A492,[4]库存使用数据!$A:$J,10,0),0)+IFERROR(VLOOKUP($A492,[5]库存使用数据!$A:$J,10,0),0)</f>
        <v>0</v>
      </c>
      <c r="K492" s="1">
        <f ca="1">IFERROR(VLOOKUP($A492,[1]库存使用数据!$A:$K,11,0),0)+IFERROR(VLOOKUP($A492,[2]库存使用数据!$A:$K,11,0),0)+IFERROR(VLOOKUP($A492,[3]库存使用数据!$A:$K,11,0),0)+IFERROR(VLOOKUP($A492,[4]库存使用数据!$A:$K,11,0),0)+IFERROR(VLOOKUP($A492,[5]库存使用数据!$A:$K,11,0),0)</f>
        <v>0</v>
      </c>
      <c r="L492" s="1">
        <f ca="1">IFERROR(VLOOKUP($A492,[1]库存使用数据!$A:$L,12,0),0)+IFERROR(VLOOKUP($A492,[2]库存使用数据!$A:$L,12,0),0)+IFERROR(VLOOKUP($A492,[3]库存使用数据!$A:$L,12,0),0)+IFERROR(VLOOKUP($A492,[4]库存使用数据!$A:$L,12,0),0)+IFERROR(VLOOKUP($A492,[5]库存使用数据!$A:$L,12,0),0)</f>
        <v>0</v>
      </c>
      <c r="M492" s="1">
        <f ca="1">IFERROR(VLOOKUP($A492,[1]库存使用数据!$A:$M,13,0),0)+IFERROR(VLOOKUP($A492,[2]库存使用数据!$A:$M,13,0),0)+公式!$B$14*IFERROR(VLOOKUP($A492,[3]库存使用数据!$A:$M,13,0),0)+IFERROR(VLOOKUP($A492,[4]库存使用数据!$A:$M,13,0),0)+IFERROR(VLOOKUP($A492,[5]库存使用数据!$A:$M,13,0),0)</f>
        <v>0</v>
      </c>
    </row>
    <row r="493" spans="1:13">
      <c r="A493" s="6" t="s">
        <v>498</v>
      </c>
      <c r="B493" s="2">
        <f ca="1">IFERROR(VLOOKUP(A493,[1]库存使用数据!$A:$B,2,0),0)+IFERROR(VLOOKUP(A493,[2]库存使用数据!$A:$B,2,0),0)+IFERROR(VLOOKUP(,[3]库存使用数据!$A:$B,2,0),0)+IFERROR(VLOOKUP(A493,[4]库存使用数据!$A:$B,2,0),0)+IFERROR(VLOOKUP(A493,[5]库存使用数据!$A:$B,2,0),0)</f>
        <v>0</v>
      </c>
      <c r="C493" s="1">
        <f ca="1">IFERROR(VLOOKUP($A493,[1]库存使用数据!$A:$C,3,0),0)+IFERROR(VLOOKUP($A493,[2]库存使用数据!$A:$C,3,0),0)+IFERROR(VLOOKUP($A493,[3]库存使用数据!$A:$C,3,0),0)+IFERROR(VLOOKUP($A493,[4]库存使用数据!$A:$C,3,0),0)+IFERROR(VLOOKUP($A493,[5]库存使用数据!$A:$C,3,0),0)</f>
        <v>0</v>
      </c>
      <c r="D493" s="1">
        <f ca="1">IFERROR(VLOOKUP($A493,[1]库存使用数据!$A:$D,4,0),0)+IFERROR(VLOOKUP($A493,[2]库存使用数据!$A:$D,4,0),0)+公式!$B$1*IFERROR(VLOOKUP($A493,[3]库存使用数据!$A:$D,4,0),0)+IFERROR(VLOOKUP($A493,[4]库存使用数据!$A:$D,4,0),0)+IFERROR(VLOOKUP($A493,[5]库存使用数据!$A:$D,4,0),0)</f>
        <v>0</v>
      </c>
      <c r="E493" s="1">
        <f ca="1">IFERROR(VLOOKUP($A493,[1]库存使用数据!$A:$E,5,0),0)+IFERROR(VLOOKUP($A493,[2]库存使用数据!$A:$E,5,0),0)+IFERROR(VLOOKUP($A493,[3]库存使用数据!$A:$E,5,0),0)+IFERROR(VLOOKUP($A493,[4]库存使用数据!$A:$E,5,0),0)+IFERROR(VLOOKUP($A493,[5]库存使用数据!$A:$E,5,0),0)</f>
        <v>0</v>
      </c>
      <c r="F493" s="1">
        <f ca="1">IFERROR(VLOOKUP($A493,[1]库存使用数据!$A:$F,6,0),0)+IFERROR(VLOOKUP($A493,[2]库存使用数据!$A:$F,6,0),0)+IFERROR(VLOOKUP($A493,[4]库存使用数据!$A:$F,6,0),0)+IFERROR(VLOOKUP($A493,[3]库存使用数据!$A:$F,6,0),0)+IFERROR(VLOOKUP($A493,[5]库存使用数据!$A:$F,6,0),0)</f>
        <v>0</v>
      </c>
      <c r="G493" s="1">
        <f ca="1">IFERROR(VLOOKUP($A493,[1]库存使用数据!$A:$G,7,0),0)+IFERROR(VLOOKUP($A493,[2]库存使用数据!$A:$G,7,0),0)+公式!$B$14*IFERROR(VLOOKUP($A493,[3]库存使用数据!$A:$G,7,0),0)+IFERROR(VLOOKUP($A493,[4]库存使用数据!$A:$G,7,0),0)+IFERROR(VLOOKUP($A493,[5]库存使用数据!$A:$G,7,0),0)</f>
        <v>0</v>
      </c>
      <c r="H493" s="1">
        <f ca="1">IFERROR(VLOOKUP($A493,[1]库存使用数据!$A:$H,8,0),0)+IFERROR(VLOOKUP($A493,[2]库存使用数据!$A:$H,8,0),0)+IFERROR(VLOOKUP($A493,[3]库存使用数据!$A:$H,8,0),0)+IFERROR(VLOOKUP($A493,[4]库存使用数据!$A:$H,8,0),0)+IFERROR(VLOOKUP($A493,[5]库存使用数据!$A:$H,8,0),0)</f>
        <v>0</v>
      </c>
      <c r="I493" s="1">
        <f ca="1">IFERROR(VLOOKUP($A493,[1]库存使用数据!$A:$I,9,0),0)+IFERROR(VLOOKUP($A493,[2]库存使用数据!$A:$I,9,0),0)+IFERROR(VLOOKUP($A493,[3]库存使用数据!$A:$I,9,0),0)+IFERROR(VLOOKUP($A493,[4]库存使用数据!$A:$I,9,0),0)+IFERROR(VLOOKUP($A493,[5]库存使用数据!$A:$I,9,0),0)</f>
        <v>0</v>
      </c>
      <c r="J493" s="1">
        <f ca="1">IFERROR(VLOOKUP($A493,[1]库存使用数据!$A:$J,10,0),0)+IFERROR(VLOOKUP($A493,[2]库存使用数据!$A:$J,10,0),0)+公式!$B$14*IFERROR(VLOOKUP($A493,[3]库存使用数据!$A:$J,10,0),0)+IFERROR(VLOOKUP($A493,[4]库存使用数据!$A:$J,10,0),0)+IFERROR(VLOOKUP($A493,[5]库存使用数据!$A:$J,10,0),0)</f>
        <v>0</v>
      </c>
      <c r="K493" s="1">
        <f ca="1">IFERROR(VLOOKUP($A493,[1]库存使用数据!$A:$K,11,0),0)+IFERROR(VLOOKUP($A493,[2]库存使用数据!$A:$K,11,0),0)+IFERROR(VLOOKUP($A493,[3]库存使用数据!$A:$K,11,0),0)+IFERROR(VLOOKUP($A493,[4]库存使用数据!$A:$K,11,0),0)+IFERROR(VLOOKUP($A493,[5]库存使用数据!$A:$K,11,0),0)</f>
        <v>0</v>
      </c>
      <c r="L493" s="1">
        <f ca="1">IFERROR(VLOOKUP($A493,[1]库存使用数据!$A:$L,12,0),0)+IFERROR(VLOOKUP($A493,[2]库存使用数据!$A:$L,12,0),0)+IFERROR(VLOOKUP($A493,[3]库存使用数据!$A:$L,12,0),0)+IFERROR(VLOOKUP($A493,[4]库存使用数据!$A:$L,12,0),0)+IFERROR(VLOOKUP($A493,[5]库存使用数据!$A:$L,12,0),0)</f>
        <v>0</v>
      </c>
      <c r="M493" s="1">
        <f ca="1">IFERROR(VLOOKUP($A493,[1]库存使用数据!$A:$M,13,0),0)+IFERROR(VLOOKUP($A493,[2]库存使用数据!$A:$M,13,0),0)+公式!$B$14*IFERROR(VLOOKUP($A493,[3]库存使用数据!$A:$M,13,0),0)+IFERROR(VLOOKUP($A493,[4]库存使用数据!$A:$M,13,0),0)+IFERROR(VLOOKUP($A493,[5]库存使用数据!$A:$M,13,0),0)</f>
        <v>0</v>
      </c>
    </row>
    <row r="494" spans="1:13">
      <c r="A494" s="6" t="s">
        <v>499</v>
      </c>
      <c r="B494" s="2">
        <f ca="1">IFERROR(VLOOKUP(A494,[1]库存使用数据!$A:$B,2,0),0)+IFERROR(VLOOKUP(A494,[2]库存使用数据!$A:$B,2,0),0)+IFERROR(VLOOKUP(,[3]库存使用数据!$A:$B,2,0),0)+IFERROR(VLOOKUP(A494,[4]库存使用数据!$A:$B,2,0),0)+IFERROR(VLOOKUP(A494,[5]库存使用数据!$A:$B,2,0),0)</f>
        <v>14</v>
      </c>
      <c r="C494" s="1">
        <f ca="1">IFERROR(VLOOKUP($A494,[1]库存使用数据!$A:$C,3,0),0)+IFERROR(VLOOKUP($A494,[2]库存使用数据!$A:$C,3,0),0)+IFERROR(VLOOKUP($A494,[3]库存使用数据!$A:$C,3,0),0)+IFERROR(VLOOKUP($A494,[4]库存使用数据!$A:$C,3,0),0)+IFERROR(VLOOKUP($A494,[5]库存使用数据!$A:$C,3,0),0)</f>
        <v>1</v>
      </c>
      <c r="D494" s="1">
        <f ca="1">IFERROR(VLOOKUP($A494,[1]库存使用数据!$A:$D,4,0),0)+IFERROR(VLOOKUP($A494,[2]库存使用数据!$A:$D,4,0),0)+公式!$B$1*IFERROR(VLOOKUP($A494,[3]库存使用数据!$A:$D,4,0),0)+IFERROR(VLOOKUP($A494,[4]库存使用数据!$A:$D,4,0),0)+IFERROR(VLOOKUP($A494,[5]库存使用数据!$A:$D,4,0),0)</f>
        <v>0.21</v>
      </c>
      <c r="E494" s="1">
        <f ca="1">IFERROR(VLOOKUP($A494,[1]库存使用数据!$A:$E,5,0),0)+IFERROR(VLOOKUP($A494,[2]库存使用数据!$A:$E,5,0),0)+IFERROR(VLOOKUP($A494,[3]库存使用数据!$A:$E,5,0),0)+IFERROR(VLOOKUP($A494,[4]库存使用数据!$A:$E,5,0),0)+IFERROR(VLOOKUP($A494,[5]库存使用数据!$A:$E,5,0),0)</f>
        <v>470</v>
      </c>
      <c r="F494" s="1">
        <f ca="1">IFERROR(VLOOKUP($A494,[1]库存使用数据!$A:$F,6,0),0)+IFERROR(VLOOKUP($A494,[2]库存使用数据!$A:$F,6,0),0)+IFERROR(VLOOKUP($A494,[4]库存使用数据!$A:$F,6,0),0)+IFERROR(VLOOKUP($A494,[3]库存使用数据!$A:$F,6,0),0)+IFERROR(VLOOKUP($A494,[5]库存使用数据!$A:$F,6,0),0)</f>
        <v>2</v>
      </c>
      <c r="G494" s="1">
        <f ca="1">IFERROR(VLOOKUP($A494,[1]库存使用数据!$A:$G,7,0),0)+IFERROR(VLOOKUP($A494,[2]库存使用数据!$A:$G,7,0),0)+公式!$B$14*IFERROR(VLOOKUP($A494,[3]库存使用数据!$A:$G,7,0),0)+IFERROR(VLOOKUP($A494,[4]库存使用数据!$A:$G,7,0),0)+IFERROR(VLOOKUP($A494,[5]库存使用数据!$A:$G,7,0),0)</f>
        <v>0.24</v>
      </c>
      <c r="H494" s="1">
        <f ca="1">IFERROR(VLOOKUP($A494,[1]库存使用数据!$A:$H,8,0),0)+IFERROR(VLOOKUP($A494,[2]库存使用数据!$A:$H,8,0),0)+IFERROR(VLOOKUP($A494,[3]库存使用数据!$A:$H,8,0),0)+IFERROR(VLOOKUP($A494,[4]库存使用数据!$A:$H,8,0),0)+IFERROR(VLOOKUP($A494,[5]库存使用数据!$A:$H,8,0),0)</f>
        <v>430</v>
      </c>
      <c r="I494" s="1">
        <f ca="1">IFERROR(VLOOKUP($A494,[1]库存使用数据!$A:$I,9,0),0)+IFERROR(VLOOKUP($A494,[2]库存使用数据!$A:$I,9,0),0)+IFERROR(VLOOKUP($A494,[3]库存使用数据!$A:$I,9,0),0)+IFERROR(VLOOKUP($A494,[4]库存使用数据!$A:$I,9,0),0)+IFERROR(VLOOKUP($A494,[5]库存使用数据!$A:$I,9,0),0)</f>
        <v>2</v>
      </c>
      <c r="J494" s="1">
        <f ca="1">IFERROR(VLOOKUP($A494,[1]库存使用数据!$A:$J,10,0),0)+IFERROR(VLOOKUP($A494,[2]库存使用数据!$A:$J,10,0),0)+公式!$B$14*IFERROR(VLOOKUP($A494,[3]库存使用数据!$A:$J,10,0),0)+IFERROR(VLOOKUP($A494,[4]库存使用数据!$A:$J,10,0),0)+IFERROR(VLOOKUP($A494,[5]库存使用数据!$A:$J,10,0),0)</f>
        <v>0.24</v>
      </c>
      <c r="K494" s="1">
        <f ca="1">IFERROR(VLOOKUP($A494,[1]库存使用数据!$A:$K,11,0),0)+IFERROR(VLOOKUP($A494,[2]库存使用数据!$A:$K,11,0),0)+IFERROR(VLOOKUP($A494,[3]库存使用数据!$A:$K,11,0),0)+IFERROR(VLOOKUP($A494,[4]库存使用数据!$A:$K,11,0),0)+IFERROR(VLOOKUP($A494,[5]库存使用数据!$A:$K,11,0),0)</f>
        <v>453</v>
      </c>
      <c r="L494" s="1">
        <f ca="1">IFERROR(VLOOKUP($A494,[1]库存使用数据!$A:$L,12,0),0)+IFERROR(VLOOKUP($A494,[2]库存使用数据!$A:$L,12,0),0)+IFERROR(VLOOKUP($A494,[3]库存使用数据!$A:$L,12,0),0)+IFERROR(VLOOKUP($A494,[4]库存使用数据!$A:$L,12,0),0)+IFERROR(VLOOKUP($A494,[5]库存使用数据!$A:$L,12,0),0)</f>
        <v>4</v>
      </c>
      <c r="M494" s="1">
        <f ca="1">IFERROR(VLOOKUP($A494,[1]库存使用数据!$A:$M,13,0),0)+IFERROR(VLOOKUP($A494,[2]库存使用数据!$A:$M,13,0),0)+公式!$B$14*IFERROR(VLOOKUP($A494,[3]库存使用数据!$A:$M,13,0),0)+IFERROR(VLOOKUP($A494,[4]库存使用数据!$A:$M,13,0),0)+IFERROR(VLOOKUP($A494,[5]库存使用数据!$A:$M,13,0),0)</f>
        <v>1.08</v>
      </c>
    </row>
    <row r="495" spans="1:13">
      <c r="A495" s="6" t="s">
        <v>500</v>
      </c>
      <c r="B495" s="2">
        <f ca="1">IFERROR(VLOOKUP(A495,[1]库存使用数据!$A:$B,2,0),0)+IFERROR(VLOOKUP(A495,[2]库存使用数据!$A:$B,2,0),0)+IFERROR(VLOOKUP(,[3]库存使用数据!$A:$B,2,0),0)+IFERROR(VLOOKUP(A495,[4]库存使用数据!$A:$B,2,0),0)+IFERROR(VLOOKUP(A495,[5]库存使用数据!$A:$B,2,0),0)</f>
        <v>196</v>
      </c>
      <c r="C495" s="1">
        <f ca="1">IFERROR(VLOOKUP($A495,[1]库存使用数据!$A:$C,3,0),0)+IFERROR(VLOOKUP($A495,[2]库存使用数据!$A:$C,3,0),0)+IFERROR(VLOOKUP($A495,[3]库存使用数据!$A:$C,3,0),0)+IFERROR(VLOOKUP($A495,[4]库存使用数据!$A:$C,3,0),0)+IFERROR(VLOOKUP($A495,[5]库存使用数据!$A:$C,3,0),0)</f>
        <v>0</v>
      </c>
      <c r="D495" s="1">
        <f ca="1">IFERROR(VLOOKUP($A495,[1]库存使用数据!$A:$D,4,0),0)+IFERROR(VLOOKUP($A495,[2]库存使用数据!$A:$D,4,0),0)+公式!$B$1*IFERROR(VLOOKUP($A495,[3]库存使用数据!$A:$D,4,0),0)+IFERROR(VLOOKUP($A495,[4]库存使用数据!$A:$D,4,0),0)+IFERROR(VLOOKUP($A495,[5]库存使用数据!$A:$D,4,0),0)</f>
        <v>0</v>
      </c>
      <c r="E495" s="1">
        <f ca="1">IFERROR(VLOOKUP($A495,[1]库存使用数据!$A:$E,5,0),0)+IFERROR(VLOOKUP($A495,[2]库存使用数据!$A:$E,5,0),0)+IFERROR(VLOOKUP($A495,[3]库存使用数据!$A:$E,5,0),0)+IFERROR(VLOOKUP($A495,[4]库存使用数据!$A:$E,5,0),0)+IFERROR(VLOOKUP($A495,[5]库存使用数据!$A:$E,5,0),0)</f>
        <v>459</v>
      </c>
      <c r="F495" s="1">
        <f ca="1">IFERROR(VLOOKUP($A495,[1]库存使用数据!$A:$F,6,0),0)+IFERROR(VLOOKUP($A495,[2]库存使用数据!$A:$F,6,0),0)+IFERROR(VLOOKUP($A495,[4]库存使用数据!$A:$F,6,0),0)+IFERROR(VLOOKUP($A495,[3]库存使用数据!$A:$F,6,0),0)+IFERROR(VLOOKUP($A495,[5]库存使用数据!$A:$F,6,0),0)</f>
        <v>1</v>
      </c>
      <c r="G495" s="1">
        <f ca="1">IFERROR(VLOOKUP($A495,[1]库存使用数据!$A:$G,7,0),0)+IFERROR(VLOOKUP($A495,[2]库存使用数据!$A:$G,7,0),0)+公式!$B$14*IFERROR(VLOOKUP($A495,[3]库存使用数据!$A:$G,7,0),0)+IFERROR(VLOOKUP($A495,[4]库存使用数据!$A:$G,7,0),0)+IFERROR(VLOOKUP($A495,[5]库存使用数据!$A:$G,7,0),0)</f>
        <v>0.1</v>
      </c>
      <c r="H495" s="1">
        <f ca="1">IFERROR(VLOOKUP($A495,[1]库存使用数据!$A:$H,8,0),0)+IFERROR(VLOOKUP($A495,[2]库存使用数据!$A:$H,8,0),0)+IFERROR(VLOOKUP($A495,[3]库存使用数据!$A:$H,8,0),0)+IFERROR(VLOOKUP($A495,[4]库存使用数据!$A:$H,8,0),0)+IFERROR(VLOOKUP($A495,[5]库存使用数据!$A:$H,8,0),0)</f>
        <v>237</v>
      </c>
      <c r="I495" s="1">
        <f ca="1">IFERROR(VLOOKUP($A495,[1]库存使用数据!$A:$I,9,0),0)+IFERROR(VLOOKUP($A495,[2]库存使用数据!$A:$I,9,0),0)+IFERROR(VLOOKUP($A495,[3]库存使用数据!$A:$I,9,0),0)+IFERROR(VLOOKUP($A495,[4]库存使用数据!$A:$I,9,0),0)+IFERROR(VLOOKUP($A495,[5]库存使用数据!$A:$I,9,0),0)</f>
        <v>1</v>
      </c>
      <c r="J495" s="1">
        <f ca="1">IFERROR(VLOOKUP($A495,[1]库存使用数据!$A:$J,10,0),0)+IFERROR(VLOOKUP($A495,[2]库存使用数据!$A:$J,10,0),0)+公式!$B$14*IFERROR(VLOOKUP($A495,[3]库存使用数据!$A:$J,10,0),0)+IFERROR(VLOOKUP($A495,[4]库存使用数据!$A:$J,10,0),0)+IFERROR(VLOOKUP($A495,[5]库存使用数据!$A:$J,10,0),0)</f>
        <v>0.04</v>
      </c>
      <c r="K495" s="1">
        <f ca="1">IFERROR(VLOOKUP($A495,[1]库存使用数据!$A:$K,11,0),0)+IFERROR(VLOOKUP($A495,[2]库存使用数据!$A:$K,11,0),0)+IFERROR(VLOOKUP($A495,[3]库存使用数据!$A:$K,11,0),0)+IFERROR(VLOOKUP($A495,[4]库存使用数据!$A:$K,11,0),0)+IFERROR(VLOOKUP($A495,[5]库存使用数据!$A:$K,11,0),0)</f>
        <v>478</v>
      </c>
      <c r="L495" s="1">
        <f ca="1">IFERROR(VLOOKUP($A495,[1]库存使用数据!$A:$L,12,0),0)+IFERROR(VLOOKUP($A495,[2]库存使用数据!$A:$L,12,0),0)+IFERROR(VLOOKUP($A495,[3]库存使用数据!$A:$L,12,0),0)+IFERROR(VLOOKUP($A495,[4]库存使用数据!$A:$L,12,0),0)+IFERROR(VLOOKUP($A495,[5]库存使用数据!$A:$L,12,0),0)</f>
        <v>2</v>
      </c>
      <c r="M495" s="1">
        <f ca="1">IFERROR(VLOOKUP($A495,[1]库存使用数据!$A:$M,13,0),0)+IFERROR(VLOOKUP($A495,[2]库存使用数据!$A:$M,13,0),0)+公式!$B$14*IFERROR(VLOOKUP($A495,[3]库存使用数据!$A:$M,13,0),0)+IFERROR(VLOOKUP($A495,[4]库存使用数据!$A:$M,13,0),0)+IFERROR(VLOOKUP($A495,[5]库存使用数据!$A:$M,13,0),0)</f>
        <v>0.23</v>
      </c>
    </row>
    <row r="496" spans="1:13">
      <c r="A496" s="6" t="s">
        <v>501</v>
      </c>
      <c r="B496" s="2">
        <f ca="1">IFERROR(VLOOKUP(A496,[1]库存使用数据!$A:$B,2,0),0)+IFERROR(VLOOKUP(A496,[2]库存使用数据!$A:$B,2,0),0)+IFERROR(VLOOKUP(,[3]库存使用数据!$A:$B,2,0),0)+IFERROR(VLOOKUP(A496,[4]库存使用数据!$A:$B,2,0),0)+IFERROR(VLOOKUP(A496,[5]库存使用数据!$A:$B,2,0),0)</f>
        <v>0</v>
      </c>
      <c r="C496" s="1">
        <f ca="1">IFERROR(VLOOKUP($A496,[1]库存使用数据!$A:$C,3,0),0)+IFERROR(VLOOKUP($A496,[2]库存使用数据!$A:$C,3,0),0)+IFERROR(VLOOKUP($A496,[3]库存使用数据!$A:$C,3,0),0)+IFERROR(VLOOKUP($A496,[4]库存使用数据!$A:$C,3,0),0)+IFERROR(VLOOKUP($A496,[5]库存使用数据!$A:$C,3,0),0)</f>
        <v>0</v>
      </c>
      <c r="D496" s="1">
        <f ca="1">IFERROR(VLOOKUP($A496,[1]库存使用数据!$A:$D,4,0),0)+IFERROR(VLOOKUP($A496,[2]库存使用数据!$A:$D,4,0),0)+公式!$B$1*IFERROR(VLOOKUP($A496,[3]库存使用数据!$A:$D,4,0),0)+IFERROR(VLOOKUP($A496,[4]库存使用数据!$A:$D,4,0),0)+IFERROR(VLOOKUP($A496,[5]库存使用数据!$A:$D,4,0),0)</f>
        <v>0</v>
      </c>
      <c r="E496" s="1">
        <f ca="1">IFERROR(VLOOKUP($A496,[1]库存使用数据!$A:$E,5,0),0)+IFERROR(VLOOKUP($A496,[2]库存使用数据!$A:$E,5,0),0)+IFERROR(VLOOKUP($A496,[3]库存使用数据!$A:$E,5,0),0)+IFERROR(VLOOKUP($A496,[4]库存使用数据!$A:$E,5,0),0)+IFERROR(VLOOKUP($A496,[5]库存使用数据!$A:$E,5,0),0)</f>
        <v>18</v>
      </c>
      <c r="F496" s="1">
        <f ca="1">IFERROR(VLOOKUP($A496,[1]库存使用数据!$A:$F,6,0),0)+IFERROR(VLOOKUP($A496,[2]库存使用数据!$A:$F,6,0),0)+IFERROR(VLOOKUP($A496,[4]库存使用数据!$A:$F,6,0),0)+IFERROR(VLOOKUP($A496,[3]库存使用数据!$A:$F,6,0),0)+IFERROR(VLOOKUP($A496,[5]库存使用数据!$A:$F,6,0),0)</f>
        <v>0</v>
      </c>
      <c r="G496" s="1">
        <f ca="1">IFERROR(VLOOKUP($A496,[1]库存使用数据!$A:$G,7,0),0)+IFERROR(VLOOKUP($A496,[2]库存使用数据!$A:$G,7,0),0)+公式!$B$14*IFERROR(VLOOKUP($A496,[3]库存使用数据!$A:$G,7,0),0)+IFERROR(VLOOKUP($A496,[4]库存使用数据!$A:$G,7,0),0)+IFERROR(VLOOKUP($A496,[5]库存使用数据!$A:$G,7,0),0)</f>
        <v>0</v>
      </c>
      <c r="H496" s="1">
        <f ca="1">IFERROR(VLOOKUP($A496,[1]库存使用数据!$A:$H,8,0),0)+IFERROR(VLOOKUP($A496,[2]库存使用数据!$A:$H,8,0),0)+IFERROR(VLOOKUP($A496,[3]库存使用数据!$A:$H,8,0),0)+IFERROR(VLOOKUP($A496,[4]库存使用数据!$A:$H,8,0),0)+IFERROR(VLOOKUP($A496,[5]库存使用数据!$A:$H,8,0),0)</f>
        <v>0</v>
      </c>
      <c r="I496" s="1">
        <f ca="1">IFERROR(VLOOKUP($A496,[1]库存使用数据!$A:$I,9,0),0)+IFERROR(VLOOKUP($A496,[2]库存使用数据!$A:$I,9,0),0)+IFERROR(VLOOKUP($A496,[3]库存使用数据!$A:$I,9,0),0)+IFERROR(VLOOKUP($A496,[4]库存使用数据!$A:$I,9,0),0)+IFERROR(VLOOKUP($A496,[5]库存使用数据!$A:$I,9,0),0)</f>
        <v>0</v>
      </c>
      <c r="J496" s="1">
        <f ca="1">IFERROR(VLOOKUP($A496,[1]库存使用数据!$A:$J,10,0),0)+IFERROR(VLOOKUP($A496,[2]库存使用数据!$A:$J,10,0),0)+公式!$B$14*IFERROR(VLOOKUP($A496,[3]库存使用数据!$A:$J,10,0),0)+IFERROR(VLOOKUP($A496,[4]库存使用数据!$A:$J,10,0),0)+IFERROR(VLOOKUP($A496,[5]库存使用数据!$A:$J,10,0),0)</f>
        <v>0</v>
      </c>
      <c r="K496" s="1">
        <f ca="1">IFERROR(VLOOKUP($A496,[1]库存使用数据!$A:$K,11,0),0)+IFERROR(VLOOKUP($A496,[2]库存使用数据!$A:$K,11,0),0)+IFERROR(VLOOKUP($A496,[3]库存使用数据!$A:$K,11,0),0)+IFERROR(VLOOKUP($A496,[4]库存使用数据!$A:$K,11,0),0)+IFERROR(VLOOKUP($A496,[5]库存使用数据!$A:$K,11,0),0)</f>
        <v>0</v>
      </c>
      <c r="L496" s="1">
        <f ca="1">IFERROR(VLOOKUP($A496,[1]库存使用数据!$A:$L,12,0),0)+IFERROR(VLOOKUP($A496,[2]库存使用数据!$A:$L,12,0),0)+IFERROR(VLOOKUP($A496,[3]库存使用数据!$A:$L,12,0),0)+IFERROR(VLOOKUP($A496,[4]库存使用数据!$A:$L,12,0),0)+IFERROR(VLOOKUP($A496,[5]库存使用数据!$A:$L,12,0),0)</f>
        <v>0</v>
      </c>
      <c r="M496" s="1">
        <f ca="1">IFERROR(VLOOKUP($A496,[1]库存使用数据!$A:$M,13,0),0)+IFERROR(VLOOKUP($A496,[2]库存使用数据!$A:$M,13,0),0)+公式!$B$14*IFERROR(VLOOKUP($A496,[3]库存使用数据!$A:$M,13,0),0)+IFERROR(VLOOKUP($A496,[4]库存使用数据!$A:$M,13,0),0)+IFERROR(VLOOKUP($A496,[5]库存使用数据!$A:$M,13,0),0)</f>
        <v>0</v>
      </c>
    </row>
    <row r="497" spans="1:13">
      <c r="A497" s="6" t="s">
        <v>502</v>
      </c>
      <c r="B497" s="2">
        <f ca="1">IFERROR(VLOOKUP(A497,[1]库存使用数据!$A:$B,2,0),0)+IFERROR(VLOOKUP(A497,[2]库存使用数据!$A:$B,2,0),0)+IFERROR(VLOOKUP(,[3]库存使用数据!$A:$B,2,0),0)+IFERROR(VLOOKUP(A497,[4]库存使用数据!$A:$B,2,0),0)+IFERROR(VLOOKUP(A497,[5]库存使用数据!$A:$B,2,0),0)</f>
        <v>0</v>
      </c>
      <c r="C497" s="1">
        <f ca="1">IFERROR(VLOOKUP($A497,[1]库存使用数据!$A:$C,3,0),0)+IFERROR(VLOOKUP($A497,[2]库存使用数据!$A:$C,3,0),0)+IFERROR(VLOOKUP($A497,[3]库存使用数据!$A:$C,3,0),0)+IFERROR(VLOOKUP($A497,[4]库存使用数据!$A:$C,3,0),0)+IFERROR(VLOOKUP($A497,[5]库存使用数据!$A:$C,3,0),0)</f>
        <v>0</v>
      </c>
      <c r="D497" s="1">
        <f ca="1">IFERROR(VLOOKUP($A497,[1]库存使用数据!$A:$D,4,0),0)+IFERROR(VLOOKUP($A497,[2]库存使用数据!$A:$D,4,0),0)+公式!$B$1*IFERROR(VLOOKUP($A497,[3]库存使用数据!$A:$D,4,0),0)+IFERROR(VLOOKUP($A497,[4]库存使用数据!$A:$D,4,0),0)+IFERROR(VLOOKUP($A497,[5]库存使用数据!$A:$D,4,0),0)</f>
        <v>0</v>
      </c>
      <c r="E497" s="1">
        <f ca="1">IFERROR(VLOOKUP($A497,[1]库存使用数据!$A:$E,5,0),0)+IFERROR(VLOOKUP($A497,[2]库存使用数据!$A:$E,5,0),0)+IFERROR(VLOOKUP($A497,[3]库存使用数据!$A:$E,5,0),0)+IFERROR(VLOOKUP($A497,[4]库存使用数据!$A:$E,5,0),0)+IFERROR(VLOOKUP($A497,[5]库存使用数据!$A:$E,5,0),0)</f>
        <v>1</v>
      </c>
      <c r="F497" s="1">
        <f ca="1">IFERROR(VLOOKUP($A497,[1]库存使用数据!$A:$F,6,0),0)+IFERROR(VLOOKUP($A497,[2]库存使用数据!$A:$F,6,0),0)+IFERROR(VLOOKUP($A497,[4]库存使用数据!$A:$F,6,0),0)+IFERROR(VLOOKUP($A497,[3]库存使用数据!$A:$F,6,0),0)+IFERROR(VLOOKUP($A497,[5]库存使用数据!$A:$F,6,0),0)</f>
        <v>0</v>
      </c>
      <c r="G497" s="1">
        <f ca="1">IFERROR(VLOOKUP($A497,[1]库存使用数据!$A:$G,7,0),0)+IFERROR(VLOOKUP($A497,[2]库存使用数据!$A:$G,7,0),0)+公式!$B$14*IFERROR(VLOOKUP($A497,[3]库存使用数据!$A:$G,7,0),0)+IFERROR(VLOOKUP($A497,[4]库存使用数据!$A:$G,7,0),0)+IFERROR(VLOOKUP($A497,[5]库存使用数据!$A:$G,7,0),0)</f>
        <v>0</v>
      </c>
      <c r="H497" s="1">
        <f ca="1">IFERROR(VLOOKUP($A497,[1]库存使用数据!$A:$H,8,0),0)+IFERROR(VLOOKUP($A497,[2]库存使用数据!$A:$H,8,0),0)+IFERROR(VLOOKUP($A497,[3]库存使用数据!$A:$H,8,0),0)+IFERROR(VLOOKUP($A497,[4]库存使用数据!$A:$H,8,0),0)+IFERROR(VLOOKUP($A497,[5]库存使用数据!$A:$H,8,0),0)</f>
        <v>0</v>
      </c>
      <c r="I497" s="1">
        <f ca="1">IFERROR(VLOOKUP($A497,[1]库存使用数据!$A:$I,9,0),0)+IFERROR(VLOOKUP($A497,[2]库存使用数据!$A:$I,9,0),0)+IFERROR(VLOOKUP($A497,[3]库存使用数据!$A:$I,9,0),0)+IFERROR(VLOOKUP($A497,[4]库存使用数据!$A:$I,9,0),0)+IFERROR(VLOOKUP($A497,[5]库存使用数据!$A:$I,9,0),0)</f>
        <v>0</v>
      </c>
      <c r="J497" s="1">
        <f ca="1">IFERROR(VLOOKUP($A497,[1]库存使用数据!$A:$J,10,0),0)+IFERROR(VLOOKUP($A497,[2]库存使用数据!$A:$J,10,0),0)+公式!$B$14*IFERROR(VLOOKUP($A497,[3]库存使用数据!$A:$J,10,0),0)+IFERROR(VLOOKUP($A497,[4]库存使用数据!$A:$J,10,0),0)+IFERROR(VLOOKUP($A497,[5]库存使用数据!$A:$J,10,0),0)</f>
        <v>0</v>
      </c>
      <c r="K497" s="1">
        <f ca="1">IFERROR(VLOOKUP($A497,[1]库存使用数据!$A:$K,11,0),0)+IFERROR(VLOOKUP($A497,[2]库存使用数据!$A:$K,11,0),0)+IFERROR(VLOOKUP($A497,[3]库存使用数据!$A:$K,11,0),0)+IFERROR(VLOOKUP($A497,[4]库存使用数据!$A:$K,11,0),0)+IFERROR(VLOOKUP($A497,[5]库存使用数据!$A:$K,11,0),0)</f>
        <v>0</v>
      </c>
      <c r="L497" s="1">
        <f ca="1">IFERROR(VLOOKUP($A497,[1]库存使用数据!$A:$L,12,0),0)+IFERROR(VLOOKUP($A497,[2]库存使用数据!$A:$L,12,0),0)+IFERROR(VLOOKUP($A497,[3]库存使用数据!$A:$L,12,0),0)+IFERROR(VLOOKUP($A497,[4]库存使用数据!$A:$L,12,0),0)+IFERROR(VLOOKUP($A497,[5]库存使用数据!$A:$L,12,0),0)</f>
        <v>0</v>
      </c>
      <c r="M497" s="1">
        <f ca="1">IFERROR(VLOOKUP($A497,[1]库存使用数据!$A:$M,13,0),0)+IFERROR(VLOOKUP($A497,[2]库存使用数据!$A:$M,13,0),0)+公式!$B$14*IFERROR(VLOOKUP($A497,[3]库存使用数据!$A:$M,13,0),0)+IFERROR(VLOOKUP($A497,[4]库存使用数据!$A:$M,13,0),0)+IFERROR(VLOOKUP($A497,[5]库存使用数据!$A:$M,13,0),0)</f>
        <v>0</v>
      </c>
    </row>
    <row r="498" spans="1:13">
      <c r="A498" s="6" t="s">
        <v>503</v>
      </c>
      <c r="B498" s="2">
        <f ca="1">IFERROR(VLOOKUP(A498,[1]库存使用数据!$A:$B,2,0),0)+IFERROR(VLOOKUP(A498,[2]库存使用数据!$A:$B,2,0),0)+IFERROR(VLOOKUP(,[3]库存使用数据!$A:$B,2,0),0)+IFERROR(VLOOKUP(A498,[4]库存使用数据!$A:$B,2,0),0)+IFERROR(VLOOKUP(A498,[5]库存使用数据!$A:$B,2,0),0)</f>
        <v>0</v>
      </c>
      <c r="C498" s="1">
        <f ca="1">IFERROR(VLOOKUP($A498,[1]库存使用数据!$A:$C,3,0),0)+IFERROR(VLOOKUP($A498,[2]库存使用数据!$A:$C,3,0),0)+IFERROR(VLOOKUP($A498,[3]库存使用数据!$A:$C,3,0),0)+IFERROR(VLOOKUP($A498,[4]库存使用数据!$A:$C,3,0),0)+IFERROR(VLOOKUP($A498,[5]库存使用数据!$A:$C,3,0),0)</f>
        <v>0</v>
      </c>
      <c r="D498" s="1">
        <f ca="1">IFERROR(VLOOKUP($A498,[1]库存使用数据!$A:$D,4,0),0)+IFERROR(VLOOKUP($A498,[2]库存使用数据!$A:$D,4,0),0)+公式!$B$1*IFERROR(VLOOKUP($A498,[3]库存使用数据!$A:$D,4,0),0)+IFERROR(VLOOKUP($A498,[4]库存使用数据!$A:$D,4,0),0)+IFERROR(VLOOKUP($A498,[5]库存使用数据!$A:$D,4,0),0)</f>
        <v>0</v>
      </c>
      <c r="E498" s="1">
        <f ca="1">IFERROR(VLOOKUP($A498,[1]库存使用数据!$A:$E,5,0),0)+IFERROR(VLOOKUP($A498,[2]库存使用数据!$A:$E,5,0),0)+IFERROR(VLOOKUP($A498,[3]库存使用数据!$A:$E,5,0),0)+IFERROR(VLOOKUP($A498,[4]库存使用数据!$A:$E,5,0),0)+IFERROR(VLOOKUP($A498,[5]库存使用数据!$A:$E,5,0),0)</f>
        <v>19</v>
      </c>
      <c r="F498" s="1">
        <f ca="1">IFERROR(VLOOKUP($A498,[1]库存使用数据!$A:$F,6,0),0)+IFERROR(VLOOKUP($A498,[2]库存使用数据!$A:$F,6,0),0)+IFERROR(VLOOKUP($A498,[4]库存使用数据!$A:$F,6,0),0)+IFERROR(VLOOKUP($A498,[3]库存使用数据!$A:$F,6,0),0)+IFERROR(VLOOKUP($A498,[5]库存使用数据!$A:$F,6,0),0)</f>
        <v>0</v>
      </c>
      <c r="G498" s="1">
        <f ca="1">IFERROR(VLOOKUP($A498,[1]库存使用数据!$A:$G,7,0),0)+IFERROR(VLOOKUP($A498,[2]库存使用数据!$A:$G,7,0),0)+公式!$B$14*IFERROR(VLOOKUP($A498,[3]库存使用数据!$A:$G,7,0),0)+IFERROR(VLOOKUP($A498,[4]库存使用数据!$A:$G,7,0),0)+IFERROR(VLOOKUP($A498,[5]库存使用数据!$A:$G,7,0),0)</f>
        <v>0</v>
      </c>
      <c r="H498" s="1">
        <f ca="1">IFERROR(VLOOKUP($A498,[1]库存使用数据!$A:$H,8,0),0)+IFERROR(VLOOKUP($A498,[2]库存使用数据!$A:$H,8,0),0)+IFERROR(VLOOKUP($A498,[3]库存使用数据!$A:$H,8,0),0)+IFERROR(VLOOKUP($A498,[4]库存使用数据!$A:$H,8,0),0)+IFERROR(VLOOKUP($A498,[5]库存使用数据!$A:$H,8,0),0)</f>
        <v>0</v>
      </c>
      <c r="I498" s="1">
        <f ca="1">IFERROR(VLOOKUP($A498,[1]库存使用数据!$A:$I,9,0),0)+IFERROR(VLOOKUP($A498,[2]库存使用数据!$A:$I,9,0),0)+IFERROR(VLOOKUP($A498,[3]库存使用数据!$A:$I,9,0),0)+IFERROR(VLOOKUP($A498,[4]库存使用数据!$A:$I,9,0),0)+IFERROR(VLOOKUP($A498,[5]库存使用数据!$A:$I,9,0),0)</f>
        <v>0</v>
      </c>
      <c r="J498" s="1">
        <f ca="1">IFERROR(VLOOKUP($A498,[1]库存使用数据!$A:$J,10,0),0)+IFERROR(VLOOKUP($A498,[2]库存使用数据!$A:$J,10,0),0)+公式!$B$14*IFERROR(VLOOKUP($A498,[3]库存使用数据!$A:$J,10,0),0)+IFERROR(VLOOKUP($A498,[4]库存使用数据!$A:$J,10,0),0)+IFERROR(VLOOKUP($A498,[5]库存使用数据!$A:$J,10,0),0)</f>
        <v>0</v>
      </c>
      <c r="K498" s="1">
        <f ca="1">IFERROR(VLOOKUP($A498,[1]库存使用数据!$A:$K,11,0),0)+IFERROR(VLOOKUP($A498,[2]库存使用数据!$A:$K,11,0),0)+IFERROR(VLOOKUP($A498,[3]库存使用数据!$A:$K,11,0),0)+IFERROR(VLOOKUP($A498,[4]库存使用数据!$A:$K,11,0),0)+IFERROR(VLOOKUP($A498,[5]库存使用数据!$A:$K,11,0),0)</f>
        <v>0</v>
      </c>
      <c r="L498" s="1">
        <f ca="1">IFERROR(VLOOKUP($A498,[1]库存使用数据!$A:$L,12,0),0)+IFERROR(VLOOKUP($A498,[2]库存使用数据!$A:$L,12,0),0)+IFERROR(VLOOKUP($A498,[3]库存使用数据!$A:$L,12,0),0)+IFERROR(VLOOKUP($A498,[4]库存使用数据!$A:$L,12,0),0)+IFERROR(VLOOKUP($A498,[5]库存使用数据!$A:$L,12,0),0)</f>
        <v>0</v>
      </c>
      <c r="M498" s="1">
        <f ca="1">IFERROR(VLOOKUP($A498,[1]库存使用数据!$A:$M,13,0),0)+IFERROR(VLOOKUP($A498,[2]库存使用数据!$A:$M,13,0),0)+公式!$B$14*IFERROR(VLOOKUP($A498,[3]库存使用数据!$A:$M,13,0),0)+IFERROR(VLOOKUP($A498,[4]库存使用数据!$A:$M,13,0),0)+IFERROR(VLOOKUP($A498,[5]库存使用数据!$A:$M,13,0),0)</f>
        <v>0</v>
      </c>
    </row>
    <row r="499" spans="1:13">
      <c r="A499" s="6" t="s">
        <v>504</v>
      </c>
      <c r="B499" s="2">
        <f ca="1">IFERROR(VLOOKUP(A499,[1]库存使用数据!$A:$B,2,0),0)+IFERROR(VLOOKUP(A499,[2]库存使用数据!$A:$B,2,0),0)+IFERROR(VLOOKUP(,[3]库存使用数据!$A:$B,2,0),0)+IFERROR(VLOOKUP(A499,[4]库存使用数据!$A:$B,2,0),0)+IFERROR(VLOOKUP(A499,[5]库存使用数据!$A:$B,2,0),0)</f>
        <v>0</v>
      </c>
      <c r="C499" s="1">
        <f ca="1">IFERROR(VLOOKUP($A499,[1]库存使用数据!$A:$C,3,0),0)+IFERROR(VLOOKUP($A499,[2]库存使用数据!$A:$C,3,0),0)+IFERROR(VLOOKUP($A499,[3]库存使用数据!$A:$C,3,0),0)+IFERROR(VLOOKUP($A499,[4]库存使用数据!$A:$C,3,0),0)+IFERROR(VLOOKUP($A499,[5]库存使用数据!$A:$C,3,0),0)</f>
        <v>1</v>
      </c>
      <c r="D499" s="1">
        <f ca="1">IFERROR(VLOOKUP($A499,[1]库存使用数据!$A:$D,4,0),0)+IFERROR(VLOOKUP($A499,[2]库存使用数据!$A:$D,4,0),0)+公式!$B$1*IFERROR(VLOOKUP($A499,[3]库存使用数据!$A:$D,4,0),0)+IFERROR(VLOOKUP($A499,[4]库存使用数据!$A:$D,4,0),0)+IFERROR(VLOOKUP($A499,[5]库存使用数据!$A:$D,4,0),0)</f>
        <v>0.12375</v>
      </c>
      <c r="E499" s="1">
        <f ca="1">IFERROR(VLOOKUP($A499,[1]库存使用数据!$A:$E,5,0),0)+IFERROR(VLOOKUP($A499,[2]库存使用数据!$A:$E,5,0),0)+IFERROR(VLOOKUP($A499,[3]库存使用数据!$A:$E,5,0),0)+IFERROR(VLOOKUP($A499,[4]库存使用数据!$A:$E,5,0),0)+IFERROR(VLOOKUP($A499,[5]库存使用数据!$A:$E,5,0),0)</f>
        <v>1</v>
      </c>
      <c r="F499" s="1">
        <f ca="1">IFERROR(VLOOKUP($A499,[1]库存使用数据!$A:$F,6,0),0)+IFERROR(VLOOKUP($A499,[2]库存使用数据!$A:$F,6,0),0)+IFERROR(VLOOKUP($A499,[4]库存使用数据!$A:$F,6,0),0)+IFERROR(VLOOKUP($A499,[3]库存使用数据!$A:$F,6,0),0)+IFERROR(VLOOKUP($A499,[5]库存使用数据!$A:$F,6,0),0)</f>
        <v>0</v>
      </c>
      <c r="G499" s="1">
        <f ca="1">IFERROR(VLOOKUP($A499,[1]库存使用数据!$A:$G,7,0),0)+IFERROR(VLOOKUP($A499,[2]库存使用数据!$A:$G,7,0),0)+公式!$B$14*IFERROR(VLOOKUP($A499,[3]库存使用数据!$A:$G,7,0),0)+IFERROR(VLOOKUP($A499,[4]库存使用数据!$A:$G,7,0),0)+IFERROR(VLOOKUP($A499,[5]库存使用数据!$A:$G,7,0),0)</f>
        <v>0</v>
      </c>
      <c r="H499" s="1">
        <f ca="1">IFERROR(VLOOKUP($A499,[1]库存使用数据!$A:$H,8,0),0)+IFERROR(VLOOKUP($A499,[2]库存使用数据!$A:$H,8,0),0)+IFERROR(VLOOKUP($A499,[3]库存使用数据!$A:$H,8,0),0)+IFERROR(VLOOKUP($A499,[4]库存使用数据!$A:$H,8,0),0)+IFERROR(VLOOKUP($A499,[5]库存使用数据!$A:$H,8,0),0)</f>
        <v>0</v>
      </c>
      <c r="I499" s="1">
        <f ca="1">IFERROR(VLOOKUP($A499,[1]库存使用数据!$A:$I,9,0),0)+IFERROR(VLOOKUP($A499,[2]库存使用数据!$A:$I,9,0),0)+IFERROR(VLOOKUP($A499,[3]库存使用数据!$A:$I,9,0),0)+IFERROR(VLOOKUP($A499,[4]库存使用数据!$A:$I,9,0),0)+IFERROR(VLOOKUP($A499,[5]库存使用数据!$A:$I,9,0),0)</f>
        <v>0</v>
      </c>
      <c r="J499" s="1">
        <f ca="1">IFERROR(VLOOKUP($A499,[1]库存使用数据!$A:$J,10,0),0)+IFERROR(VLOOKUP($A499,[2]库存使用数据!$A:$J,10,0),0)+公式!$B$14*IFERROR(VLOOKUP($A499,[3]库存使用数据!$A:$J,10,0),0)+IFERROR(VLOOKUP($A499,[4]库存使用数据!$A:$J,10,0),0)+IFERROR(VLOOKUP($A499,[5]库存使用数据!$A:$J,10,0),0)</f>
        <v>0</v>
      </c>
      <c r="K499" s="1">
        <f ca="1">IFERROR(VLOOKUP($A499,[1]库存使用数据!$A:$K,11,0),0)+IFERROR(VLOOKUP($A499,[2]库存使用数据!$A:$K,11,0),0)+IFERROR(VLOOKUP($A499,[3]库存使用数据!$A:$K,11,0),0)+IFERROR(VLOOKUP($A499,[4]库存使用数据!$A:$K,11,0),0)+IFERROR(VLOOKUP($A499,[5]库存使用数据!$A:$K,11,0),0)</f>
        <v>0</v>
      </c>
      <c r="L499" s="1">
        <f ca="1">IFERROR(VLOOKUP($A499,[1]库存使用数据!$A:$L,12,0),0)+IFERROR(VLOOKUP($A499,[2]库存使用数据!$A:$L,12,0),0)+IFERROR(VLOOKUP($A499,[3]库存使用数据!$A:$L,12,0),0)+IFERROR(VLOOKUP($A499,[4]库存使用数据!$A:$L,12,0),0)+IFERROR(VLOOKUP($A499,[5]库存使用数据!$A:$L,12,0),0)</f>
        <v>0</v>
      </c>
      <c r="M499" s="1">
        <f ca="1">IFERROR(VLOOKUP($A499,[1]库存使用数据!$A:$M,13,0),0)+IFERROR(VLOOKUP($A499,[2]库存使用数据!$A:$M,13,0),0)+公式!$B$14*IFERROR(VLOOKUP($A499,[3]库存使用数据!$A:$M,13,0),0)+IFERROR(VLOOKUP($A499,[4]库存使用数据!$A:$M,13,0),0)+IFERROR(VLOOKUP($A499,[5]库存使用数据!$A:$M,13,0),0)</f>
        <v>0</v>
      </c>
    </row>
    <row r="500" spans="1:13">
      <c r="A500" s="6" t="s">
        <v>505</v>
      </c>
      <c r="B500" s="2">
        <f ca="1">IFERROR(VLOOKUP(A500,[1]库存使用数据!$A:$B,2,0),0)+IFERROR(VLOOKUP(A500,[2]库存使用数据!$A:$B,2,0),0)+IFERROR(VLOOKUP(,[3]库存使用数据!$A:$B,2,0),0)+IFERROR(VLOOKUP(A500,[4]库存使用数据!$A:$B,2,0),0)+IFERROR(VLOOKUP(A500,[5]库存使用数据!$A:$B,2,0),0)</f>
        <v>0</v>
      </c>
      <c r="C500" s="1">
        <f ca="1">IFERROR(VLOOKUP($A500,[1]库存使用数据!$A:$C,3,0),0)+IFERROR(VLOOKUP($A500,[2]库存使用数据!$A:$C,3,0),0)+IFERROR(VLOOKUP($A500,[3]库存使用数据!$A:$C,3,0),0)+IFERROR(VLOOKUP($A500,[4]库存使用数据!$A:$C,3,0),0)+IFERROR(VLOOKUP($A500,[5]库存使用数据!$A:$C,3,0),0)</f>
        <v>0</v>
      </c>
      <c r="D500" s="1">
        <f ca="1">IFERROR(VLOOKUP($A500,[1]库存使用数据!$A:$D,4,0),0)+IFERROR(VLOOKUP($A500,[2]库存使用数据!$A:$D,4,0),0)+公式!$B$1*IFERROR(VLOOKUP($A500,[3]库存使用数据!$A:$D,4,0),0)+IFERROR(VLOOKUP($A500,[4]库存使用数据!$A:$D,4,0),0)+IFERROR(VLOOKUP($A500,[5]库存使用数据!$A:$D,4,0),0)</f>
        <v>0</v>
      </c>
      <c r="E500" s="1">
        <f ca="1">IFERROR(VLOOKUP($A500,[1]库存使用数据!$A:$E,5,0),0)+IFERROR(VLOOKUP($A500,[2]库存使用数据!$A:$E,5,0),0)+IFERROR(VLOOKUP($A500,[3]库存使用数据!$A:$E,5,0),0)+IFERROR(VLOOKUP($A500,[4]库存使用数据!$A:$E,5,0),0)+IFERROR(VLOOKUP($A500,[5]库存使用数据!$A:$E,5,0),0)</f>
        <v>4</v>
      </c>
      <c r="F500" s="1">
        <f ca="1">IFERROR(VLOOKUP($A500,[1]库存使用数据!$A:$F,6,0),0)+IFERROR(VLOOKUP($A500,[2]库存使用数据!$A:$F,6,0),0)+IFERROR(VLOOKUP($A500,[4]库存使用数据!$A:$F,6,0),0)+IFERROR(VLOOKUP($A500,[3]库存使用数据!$A:$F,6,0),0)+IFERROR(VLOOKUP($A500,[5]库存使用数据!$A:$F,6,0),0)</f>
        <v>0</v>
      </c>
      <c r="G500" s="1">
        <f ca="1">IFERROR(VLOOKUP($A500,[1]库存使用数据!$A:$G,7,0),0)+IFERROR(VLOOKUP($A500,[2]库存使用数据!$A:$G,7,0),0)+公式!$B$14*IFERROR(VLOOKUP($A500,[3]库存使用数据!$A:$G,7,0),0)+IFERROR(VLOOKUP($A500,[4]库存使用数据!$A:$G,7,0),0)+IFERROR(VLOOKUP($A500,[5]库存使用数据!$A:$G,7,0),0)</f>
        <v>0</v>
      </c>
      <c r="H500" s="1">
        <f ca="1">IFERROR(VLOOKUP($A500,[1]库存使用数据!$A:$H,8,0),0)+IFERROR(VLOOKUP($A500,[2]库存使用数据!$A:$H,8,0),0)+IFERROR(VLOOKUP($A500,[3]库存使用数据!$A:$H,8,0),0)+IFERROR(VLOOKUP($A500,[4]库存使用数据!$A:$H,8,0),0)+IFERROR(VLOOKUP($A500,[5]库存使用数据!$A:$H,8,0),0)</f>
        <v>0</v>
      </c>
      <c r="I500" s="1">
        <f ca="1">IFERROR(VLOOKUP($A500,[1]库存使用数据!$A:$I,9,0),0)+IFERROR(VLOOKUP($A500,[2]库存使用数据!$A:$I,9,0),0)+IFERROR(VLOOKUP($A500,[3]库存使用数据!$A:$I,9,0),0)+IFERROR(VLOOKUP($A500,[4]库存使用数据!$A:$I,9,0),0)+IFERROR(VLOOKUP($A500,[5]库存使用数据!$A:$I,9,0),0)</f>
        <v>0</v>
      </c>
      <c r="J500" s="1">
        <f ca="1">IFERROR(VLOOKUP($A500,[1]库存使用数据!$A:$J,10,0),0)+IFERROR(VLOOKUP($A500,[2]库存使用数据!$A:$J,10,0),0)+公式!$B$14*IFERROR(VLOOKUP($A500,[3]库存使用数据!$A:$J,10,0),0)+IFERROR(VLOOKUP($A500,[4]库存使用数据!$A:$J,10,0),0)+IFERROR(VLOOKUP($A500,[5]库存使用数据!$A:$J,10,0),0)</f>
        <v>0</v>
      </c>
      <c r="K500" s="1">
        <f ca="1">IFERROR(VLOOKUP($A500,[1]库存使用数据!$A:$K,11,0),0)+IFERROR(VLOOKUP($A500,[2]库存使用数据!$A:$K,11,0),0)+IFERROR(VLOOKUP($A500,[3]库存使用数据!$A:$K,11,0),0)+IFERROR(VLOOKUP($A500,[4]库存使用数据!$A:$K,11,0),0)+IFERROR(VLOOKUP($A500,[5]库存使用数据!$A:$K,11,0),0)</f>
        <v>0</v>
      </c>
      <c r="L500" s="1">
        <f ca="1">IFERROR(VLOOKUP($A500,[1]库存使用数据!$A:$L,12,0),0)+IFERROR(VLOOKUP($A500,[2]库存使用数据!$A:$L,12,0),0)+IFERROR(VLOOKUP($A500,[3]库存使用数据!$A:$L,12,0),0)+IFERROR(VLOOKUP($A500,[4]库存使用数据!$A:$L,12,0),0)+IFERROR(VLOOKUP($A500,[5]库存使用数据!$A:$L,12,0),0)</f>
        <v>0</v>
      </c>
      <c r="M500" s="1">
        <f ca="1">IFERROR(VLOOKUP($A500,[1]库存使用数据!$A:$M,13,0),0)+IFERROR(VLOOKUP($A500,[2]库存使用数据!$A:$M,13,0),0)+公式!$B$14*IFERROR(VLOOKUP($A500,[3]库存使用数据!$A:$M,13,0),0)+IFERROR(VLOOKUP($A500,[4]库存使用数据!$A:$M,13,0),0)+IFERROR(VLOOKUP($A500,[5]库存使用数据!$A:$M,13,0),0)</f>
        <v>0</v>
      </c>
    </row>
    <row r="501" spans="1:13">
      <c r="A501" s="6" t="s">
        <v>506</v>
      </c>
      <c r="B501" s="2">
        <f ca="1">IFERROR(VLOOKUP(A501,[1]库存使用数据!$A:$B,2,0),0)+IFERROR(VLOOKUP(A501,[2]库存使用数据!$A:$B,2,0),0)+IFERROR(VLOOKUP(,[3]库存使用数据!$A:$B,2,0),0)+IFERROR(VLOOKUP(A501,[4]库存使用数据!$A:$B,2,0),0)+IFERROR(VLOOKUP(A501,[5]库存使用数据!$A:$B,2,0),0)</f>
        <v>0</v>
      </c>
      <c r="C501" s="1">
        <f ca="1">IFERROR(VLOOKUP($A501,[1]库存使用数据!$A:$C,3,0),0)+IFERROR(VLOOKUP($A501,[2]库存使用数据!$A:$C,3,0),0)+IFERROR(VLOOKUP($A501,[3]库存使用数据!$A:$C,3,0),0)+IFERROR(VLOOKUP($A501,[4]库存使用数据!$A:$C,3,0),0)+IFERROR(VLOOKUP($A501,[5]库存使用数据!$A:$C,3,0),0)</f>
        <v>0</v>
      </c>
      <c r="D501" s="1">
        <f ca="1">IFERROR(VLOOKUP($A501,[1]库存使用数据!$A:$D,4,0),0)+IFERROR(VLOOKUP($A501,[2]库存使用数据!$A:$D,4,0),0)+公式!$B$1*IFERROR(VLOOKUP($A501,[3]库存使用数据!$A:$D,4,0),0)+IFERROR(VLOOKUP($A501,[4]库存使用数据!$A:$D,4,0),0)+IFERROR(VLOOKUP($A501,[5]库存使用数据!$A:$D,4,0),0)</f>
        <v>0</v>
      </c>
      <c r="E501" s="1">
        <f ca="1">IFERROR(VLOOKUP($A501,[1]库存使用数据!$A:$E,5,0),0)+IFERROR(VLOOKUP($A501,[2]库存使用数据!$A:$E,5,0),0)+IFERROR(VLOOKUP($A501,[3]库存使用数据!$A:$E,5,0),0)+IFERROR(VLOOKUP($A501,[4]库存使用数据!$A:$E,5,0),0)+IFERROR(VLOOKUP($A501,[5]库存使用数据!$A:$E,5,0),0)</f>
        <v>31</v>
      </c>
      <c r="F501" s="1">
        <f ca="1">IFERROR(VLOOKUP($A501,[1]库存使用数据!$A:$F,6,0),0)+IFERROR(VLOOKUP($A501,[2]库存使用数据!$A:$F,6,0),0)+IFERROR(VLOOKUP($A501,[4]库存使用数据!$A:$F,6,0),0)+IFERROR(VLOOKUP($A501,[3]库存使用数据!$A:$F,6,0),0)+IFERROR(VLOOKUP($A501,[5]库存使用数据!$A:$F,6,0),0)</f>
        <v>0</v>
      </c>
      <c r="G501" s="1">
        <f ca="1">IFERROR(VLOOKUP($A501,[1]库存使用数据!$A:$G,7,0),0)+IFERROR(VLOOKUP($A501,[2]库存使用数据!$A:$G,7,0),0)+公式!$B$14*IFERROR(VLOOKUP($A501,[3]库存使用数据!$A:$G,7,0),0)+IFERROR(VLOOKUP($A501,[4]库存使用数据!$A:$G,7,0),0)+IFERROR(VLOOKUP($A501,[5]库存使用数据!$A:$G,7,0),0)</f>
        <v>0</v>
      </c>
      <c r="H501" s="1">
        <f ca="1">IFERROR(VLOOKUP($A501,[1]库存使用数据!$A:$H,8,0),0)+IFERROR(VLOOKUP($A501,[2]库存使用数据!$A:$H,8,0),0)+IFERROR(VLOOKUP($A501,[3]库存使用数据!$A:$H,8,0),0)+IFERROR(VLOOKUP($A501,[4]库存使用数据!$A:$H,8,0),0)+IFERROR(VLOOKUP($A501,[5]库存使用数据!$A:$H,8,0),0)</f>
        <v>0</v>
      </c>
      <c r="I501" s="1">
        <f ca="1">IFERROR(VLOOKUP($A501,[1]库存使用数据!$A:$I,9,0),0)+IFERROR(VLOOKUP($A501,[2]库存使用数据!$A:$I,9,0),0)+IFERROR(VLOOKUP($A501,[3]库存使用数据!$A:$I,9,0),0)+IFERROR(VLOOKUP($A501,[4]库存使用数据!$A:$I,9,0),0)+IFERROR(VLOOKUP($A501,[5]库存使用数据!$A:$I,9,0),0)</f>
        <v>0</v>
      </c>
      <c r="J501" s="1">
        <f ca="1">IFERROR(VLOOKUP($A501,[1]库存使用数据!$A:$J,10,0),0)+IFERROR(VLOOKUP($A501,[2]库存使用数据!$A:$J,10,0),0)+公式!$B$14*IFERROR(VLOOKUP($A501,[3]库存使用数据!$A:$J,10,0),0)+IFERROR(VLOOKUP($A501,[4]库存使用数据!$A:$J,10,0),0)+IFERROR(VLOOKUP($A501,[5]库存使用数据!$A:$J,10,0),0)</f>
        <v>0</v>
      </c>
      <c r="K501" s="1">
        <f ca="1">IFERROR(VLOOKUP($A501,[1]库存使用数据!$A:$K,11,0),0)+IFERROR(VLOOKUP($A501,[2]库存使用数据!$A:$K,11,0),0)+IFERROR(VLOOKUP($A501,[3]库存使用数据!$A:$K,11,0),0)+IFERROR(VLOOKUP($A501,[4]库存使用数据!$A:$K,11,0),0)+IFERROR(VLOOKUP($A501,[5]库存使用数据!$A:$K,11,0),0)</f>
        <v>0</v>
      </c>
      <c r="L501" s="1">
        <f ca="1">IFERROR(VLOOKUP($A501,[1]库存使用数据!$A:$L,12,0),0)+IFERROR(VLOOKUP($A501,[2]库存使用数据!$A:$L,12,0),0)+IFERROR(VLOOKUP($A501,[3]库存使用数据!$A:$L,12,0),0)+IFERROR(VLOOKUP($A501,[4]库存使用数据!$A:$L,12,0),0)+IFERROR(VLOOKUP($A501,[5]库存使用数据!$A:$L,12,0),0)</f>
        <v>0</v>
      </c>
      <c r="M501" s="1">
        <f ca="1">IFERROR(VLOOKUP($A501,[1]库存使用数据!$A:$M,13,0),0)+IFERROR(VLOOKUP($A501,[2]库存使用数据!$A:$M,13,0),0)+公式!$B$14*IFERROR(VLOOKUP($A501,[3]库存使用数据!$A:$M,13,0),0)+IFERROR(VLOOKUP($A501,[4]库存使用数据!$A:$M,13,0),0)+IFERROR(VLOOKUP($A501,[5]库存使用数据!$A:$M,13,0),0)</f>
        <v>0</v>
      </c>
    </row>
    <row r="502" spans="1:13">
      <c r="A502" s="7" t="s">
        <v>507</v>
      </c>
      <c r="B502" s="2">
        <f ca="1">IFERROR(VLOOKUP(A502,[1]库存使用数据!$A:$B,2,0),0)+IFERROR(VLOOKUP(A502,[2]库存使用数据!$A:$B,2,0),0)+IFERROR(VLOOKUP(,[3]库存使用数据!$A:$B,2,0),0)+IFERROR(VLOOKUP(A502,[4]库存使用数据!$A:$B,2,0),0)+IFERROR(VLOOKUP(A502,[5]库存使用数据!$A:$B,2,0),0)</f>
        <v>44</v>
      </c>
      <c r="C502" s="1">
        <f ca="1">IFERROR(VLOOKUP($A502,[1]库存使用数据!$A:$C,3,0),0)+IFERROR(VLOOKUP($A502,[2]库存使用数据!$A:$C,3,0),0)+IFERROR(VLOOKUP($A502,[3]库存使用数据!$A:$C,3,0),0)+IFERROR(VLOOKUP($A502,[4]库存使用数据!$A:$C,3,0),0)+IFERROR(VLOOKUP($A502,[5]库存使用数据!$A:$C,3,0),0)</f>
        <v>0</v>
      </c>
      <c r="D502" s="1">
        <f ca="1">IFERROR(VLOOKUP($A502,[1]库存使用数据!$A:$D,4,0),0)+IFERROR(VLOOKUP($A502,[2]库存使用数据!$A:$D,4,0),0)+公式!$B$1*IFERROR(VLOOKUP($A502,[3]库存使用数据!$A:$D,4,0),0)+IFERROR(VLOOKUP($A502,[4]库存使用数据!$A:$D,4,0),0)+IFERROR(VLOOKUP($A502,[5]库存使用数据!$A:$D,4,0),0)</f>
        <v>0</v>
      </c>
      <c r="E502" s="1">
        <f ca="1">IFERROR(VLOOKUP($A502,[1]库存使用数据!$A:$E,5,0),0)+IFERROR(VLOOKUP($A502,[2]库存使用数据!$A:$E,5,0),0)+IFERROR(VLOOKUP($A502,[3]库存使用数据!$A:$E,5,0),0)+IFERROR(VLOOKUP($A502,[4]库存使用数据!$A:$E,5,0),0)+IFERROR(VLOOKUP($A502,[5]库存使用数据!$A:$E,5,0),0)</f>
        <v>1419</v>
      </c>
      <c r="F502" s="1">
        <f ca="1">IFERROR(VLOOKUP($A502,[1]库存使用数据!$A:$F,6,0),0)+IFERROR(VLOOKUP($A502,[2]库存使用数据!$A:$F,6,0),0)+IFERROR(VLOOKUP($A502,[4]库存使用数据!$A:$F,6,0),0)+IFERROR(VLOOKUP($A502,[3]库存使用数据!$A:$F,6,0),0)+IFERROR(VLOOKUP($A502,[5]库存使用数据!$A:$F,6,0),0)</f>
        <v>5</v>
      </c>
      <c r="G502" s="1">
        <f ca="1">IFERROR(VLOOKUP($A502,[1]库存使用数据!$A:$G,7,0),0)+IFERROR(VLOOKUP($A502,[2]库存使用数据!$A:$G,7,0),0)+公式!$B$14*IFERROR(VLOOKUP($A502,[3]库存使用数据!$A:$G,7,0),0)+IFERROR(VLOOKUP($A502,[4]库存使用数据!$A:$G,7,0),0)+IFERROR(VLOOKUP($A502,[5]库存使用数据!$A:$G,7,0),0)</f>
        <v>1.32</v>
      </c>
      <c r="H502" s="1">
        <f ca="1">IFERROR(VLOOKUP($A502,[1]库存使用数据!$A:$H,8,0),0)+IFERROR(VLOOKUP($A502,[2]库存使用数据!$A:$H,8,0),0)+IFERROR(VLOOKUP($A502,[3]库存使用数据!$A:$H,8,0),0)+IFERROR(VLOOKUP($A502,[4]库存使用数据!$A:$H,8,0),0)+IFERROR(VLOOKUP($A502,[5]库存使用数据!$A:$H,8,0),0)</f>
        <v>1362</v>
      </c>
      <c r="I502" s="1">
        <f ca="1">IFERROR(VLOOKUP($A502,[1]库存使用数据!$A:$I,9,0),0)+IFERROR(VLOOKUP($A502,[2]库存使用数据!$A:$I,9,0),0)+IFERROR(VLOOKUP($A502,[3]库存使用数据!$A:$I,9,0),0)+IFERROR(VLOOKUP($A502,[4]库存使用数据!$A:$I,9,0),0)+IFERROR(VLOOKUP($A502,[5]库存使用数据!$A:$I,9,0),0)</f>
        <v>4</v>
      </c>
      <c r="J502" s="1">
        <f ca="1">IFERROR(VLOOKUP($A502,[1]库存使用数据!$A:$J,10,0),0)+IFERROR(VLOOKUP($A502,[2]库存使用数据!$A:$J,10,0),0)+公式!$B$14*IFERROR(VLOOKUP($A502,[3]库存使用数据!$A:$J,10,0),0)+IFERROR(VLOOKUP($A502,[4]库存使用数据!$A:$J,10,0),0)+IFERROR(VLOOKUP($A502,[5]库存使用数据!$A:$J,10,0),0)</f>
        <v>1.05</v>
      </c>
      <c r="K502" s="1">
        <f ca="1">IFERROR(VLOOKUP($A502,[1]库存使用数据!$A:$K,11,0),0)+IFERROR(VLOOKUP($A502,[2]库存使用数据!$A:$K,11,0),0)+IFERROR(VLOOKUP($A502,[3]库存使用数据!$A:$K,11,0),0)+IFERROR(VLOOKUP($A502,[4]库存使用数据!$A:$K,11,0),0)+IFERROR(VLOOKUP($A502,[5]库存使用数据!$A:$K,11,0),0)</f>
        <v>2253</v>
      </c>
      <c r="L502" s="1">
        <f ca="1">IFERROR(VLOOKUP($A502,[1]库存使用数据!$A:$L,12,0),0)+IFERROR(VLOOKUP($A502,[2]库存使用数据!$A:$L,12,0),0)+IFERROR(VLOOKUP($A502,[3]库存使用数据!$A:$L,12,0),0)+IFERROR(VLOOKUP($A502,[4]库存使用数据!$A:$L,12,0),0)+IFERROR(VLOOKUP($A502,[5]库存使用数据!$A:$L,12,0),0)</f>
        <v>8</v>
      </c>
      <c r="M502" s="1">
        <f ca="1">IFERROR(VLOOKUP($A502,[1]库存使用数据!$A:$M,13,0),0)+IFERROR(VLOOKUP($A502,[2]库存使用数据!$A:$M,13,0),0)+公式!$B$14*IFERROR(VLOOKUP($A502,[3]库存使用数据!$A:$M,13,0),0)+IFERROR(VLOOKUP($A502,[4]库存使用数据!$A:$M,13,0),0)+IFERROR(VLOOKUP($A502,[5]库存使用数据!$A:$M,13,0),0)</f>
        <v>1.66</v>
      </c>
    </row>
    <row r="503" spans="1:13">
      <c r="A503" s="7" t="s">
        <v>508</v>
      </c>
      <c r="B503" s="2">
        <f ca="1">IFERROR(VLOOKUP(A503,[1]库存使用数据!$A:$B,2,0),0)+IFERROR(VLOOKUP(A503,[2]库存使用数据!$A:$B,2,0),0)+IFERROR(VLOOKUP(,[3]库存使用数据!$A:$B,2,0),0)+IFERROR(VLOOKUP(A503,[4]库存使用数据!$A:$B,2,0),0)+IFERROR(VLOOKUP(A503,[5]库存使用数据!$A:$B,2,0),0)</f>
        <v>650</v>
      </c>
      <c r="C503" s="1">
        <f ca="1">IFERROR(VLOOKUP($A503,[1]库存使用数据!$A:$C,3,0),0)+IFERROR(VLOOKUP($A503,[2]库存使用数据!$A:$C,3,0),0)+IFERROR(VLOOKUP($A503,[3]库存使用数据!$A:$C,3,0),0)+IFERROR(VLOOKUP($A503,[4]库存使用数据!$A:$C,3,0),0)+IFERROR(VLOOKUP($A503,[5]库存使用数据!$A:$C,3,0),0)</f>
        <v>31</v>
      </c>
      <c r="D503" s="1">
        <f ca="1">IFERROR(VLOOKUP($A503,[1]库存使用数据!$A:$D,4,0),0)+IFERROR(VLOOKUP($A503,[2]库存使用数据!$A:$D,4,0),0)+公式!$B$1*IFERROR(VLOOKUP($A503,[3]库存使用数据!$A:$D,4,0),0)+IFERROR(VLOOKUP($A503,[4]库存使用数据!$A:$D,4,0),0)+IFERROR(VLOOKUP($A503,[5]库存使用数据!$A:$D,4,0),0)</f>
        <v>6.565</v>
      </c>
      <c r="E503" s="1">
        <f ca="1">IFERROR(VLOOKUP($A503,[1]库存使用数据!$A:$E,5,0),0)+IFERROR(VLOOKUP($A503,[2]库存使用数据!$A:$E,5,0),0)+IFERROR(VLOOKUP($A503,[3]库存使用数据!$A:$E,5,0),0)+IFERROR(VLOOKUP($A503,[4]库存使用数据!$A:$E,5,0),0)+IFERROR(VLOOKUP($A503,[5]库存使用数据!$A:$E,5,0),0)</f>
        <v>0</v>
      </c>
      <c r="F503" s="1">
        <f ca="1">IFERROR(VLOOKUP($A503,[1]库存使用数据!$A:$F,6,0),0)+IFERROR(VLOOKUP($A503,[2]库存使用数据!$A:$F,6,0),0)+IFERROR(VLOOKUP($A503,[4]库存使用数据!$A:$F,6,0),0)+IFERROR(VLOOKUP($A503,[3]库存使用数据!$A:$F,6,0),0)+IFERROR(VLOOKUP($A503,[5]库存使用数据!$A:$F,6,0),0)</f>
        <v>0</v>
      </c>
      <c r="G503" s="1">
        <f ca="1">IFERROR(VLOOKUP($A503,[1]库存使用数据!$A:$G,7,0),0)+IFERROR(VLOOKUP($A503,[2]库存使用数据!$A:$G,7,0),0)+公式!$B$14*IFERROR(VLOOKUP($A503,[3]库存使用数据!$A:$G,7,0),0)+IFERROR(VLOOKUP($A503,[4]库存使用数据!$A:$G,7,0),0)+IFERROR(VLOOKUP($A503,[5]库存使用数据!$A:$G,7,0),0)</f>
        <v>0</v>
      </c>
      <c r="H503" s="1">
        <f ca="1">IFERROR(VLOOKUP($A503,[1]库存使用数据!$A:$H,8,0),0)+IFERROR(VLOOKUP($A503,[2]库存使用数据!$A:$H,8,0),0)+IFERROR(VLOOKUP($A503,[3]库存使用数据!$A:$H,8,0),0)+IFERROR(VLOOKUP($A503,[4]库存使用数据!$A:$H,8,0),0)+IFERROR(VLOOKUP($A503,[5]库存使用数据!$A:$H,8,0),0)</f>
        <v>0</v>
      </c>
      <c r="I503" s="1">
        <f ca="1">IFERROR(VLOOKUP($A503,[1]库存使用数据!$A:$I,9,0),0)+IFERROR(VLOOKUP($A503,[2]库存使用数据!$A:$I,9,0),0)+IFERROR(VLOOKUP($A503,[3]库存使用数据!$A:$I,9,0),0)+IFERROR(VLOOKUP($A503,[4]库存使用数据!$A:$I,9,0),0)+IFERROR(VLOOKUP($A503,[5]库存使用数据!$A:$I,9,0),0)</f>
        <v>0</v>
      </c>
      <c r="J503" s="1">
        <f ca="1">IFERROR(VLOOKUP($A503,[1]库存使用数据!$A:$J,10,0),0)+IFERROR(VLOOKUP($A503,[2]库存使用数据!$A:$J,10,0),0)+公式!$B$14*IFERROR(VLOOKUP($A503,[3]库存使用数据!$A:$J,10,0),0)+IFERROR(VLOOKUP($A503,[4]库存使用数据!$A:$J,10,0),0)+IFERROR(VLOOKUP($A503,[5]库存使用数据!$A:$J,10,0),0)</f>
        <v>0</v>
      </c>
      <c r="K503" s="1">
        <f ca="1">IFERROR(VLOOKUP($A503,[1]库存使用数据!$A:$K,11,0),0)+IFERROR(VLOOKUP($A503,[2]库存使用数据!$A:$K,11,0),0)+IFERROR(VLOOKUP($A503,[3]库存使用数据!$A:$K,11,0),0)+IFERROR(VLOOKUP($A503,[4]库存使用数据!$A:$K,11,0),0)+IFERROR(VLOOKUP($A503,[5]库存使用数据!$A:$K,11,0),0)</f>
        <v>0</v>
      </c>
      <c r="L503" s="1">
        <f ca="1">IFERROR(VLOOKUP($A503,[1]库存使用数据!$A:$L,12,0),0)+IFERROR(VLOOKUP($A503,[2]库存使用数据!$A:$L,12,0),0)+IFERROR(VLOOKUP($A503,[3]库存使用数据!$A:$L,12,0),0)+IFERROR(VLOOKUP($A503,[4]库存使用数据!$A:$L,12,0),0)+IFERROR(VLOOKUP($A503,[5]库存使用数据!$A:$L,12,0),0)</f>
        <v>0</v>
      </c>
      <c r="M503" s="1">
        <f ca="1">IFERROR(VLOOKUP($A503,[1]库存使用数据!$A:$M,13,0),0)+IFERROR(VLOOKUP($A503,[2]库存使用数据!$A:$M,13,0),0)+公式!$B$14*IFERROR(VLOOKUP($A503,[3]库存使用数据!$A:$M,13,0),0)+IFERROR(VLOOKUP($A503,[4]库存使用数据!$A:$M,13,0),0)+IFERROR(VLOOKUP($A503,[5]库存使用数据!$A:$M,13,0),0)</f>
        <v>0</v>
      </c>
    </row>
    <row r="504" spans="1:13">
      <c r="A504" s="6" t="s">
        <v>509</v>
      </c>
      <c r="B504" s="2">
        <f ca="1">IFERROR(VLOOKUP(A504,[1]库存使用数据!$A:$B,2,0),0)+IFERROR(VLOOKUP(A504,[2]库存使用数据!$A:$B,2,0),0)+IFERROR(VLOOKUP(,[3]库存使用数据!$A:$B,2,0),0)+IFERROR(VLOOKUP(A504,[4]库存使用数据!$A:$B,2,0),0)+IFERROR(VLOOKUP(A504,[5]库存使用数据!$A:$B,2,0),0)</f>
        <v>0</v>
      </c>
      <c r="C504" s="1">
        <f ca="1">IFERROR(VLOOKUP($A504,[1]库存使用数据!$A:$C,3,0),0)+IFERROR(VLOOKUP($A504,[2]库存使用数据!$A:$C,3,0),0)+IFERROR(VLOOKUP($A504,[3]库存使用数据!$A:$C,3,0),0)+IFERROR(VLOOKUP($A504,[4]库存使用数据!$A:$C,3,0),0)+IFERROR(VLOOKUP($A504,[5]库存使用数据!$A:$C,3,0),0)</f>
        <v>0</v>
      </c>
      <c r="D504" s="1">
        <f ca="1">IFERROR(VLOOKUP($A504,[1]库存使用数据!$A:$D,4,0),0)+IFERROR(VLOOKUP($A504,[2]库存使用数据!$A:$D,4,0),0)+公式!$B$1*IFERROR(VLOOKUP($A504,[3]库存使用数据!$A:$D,4,0),0)+IFERROR(VLOOKUP($A504,[4]库存使用数据!$A:$D,4,0),0)+IFERROR(VLOOKUP($A504,[5]库存使用数据!$A:$D,4,0),0)</f>
        <v>0</v>
      </c>
      <c r="E504" s="1">
        <f ca="1">IFERROR(VLOOKUP($A504,[1]库存使用数据!$A:$E,5,0),0)+IFERROR(VLOOKUP($A504,[2]库存使用数据!$A:$E,5,0),0)+IFERROR(VLOOKUP($A504,[3]库存使用数据!$A:$E,5,0),0)+IFERROR(VLOOKUP($A504,[4]库存使用数据!$A:$E,5,0),0)+IFERROR(VLOOKUP($A504,[5]库存使用数据!$A:$E,5,0),0)</f>
        <v>0</v>
      </c>
      <c r="F504" s="1">
        <f ca="1">IFERROR(VLOOKUP($A504,[1]库存使用数据!$A:$F,6,0),0)+IFERROR(VLOOKUP($A504,[2]库存使用数据!$A:$F,6,0),0)+IFERROR(VLOOKUP($A504,[4]库存使用数据!$A:$F,6,0),0)+IFERROR(VLOOKUP($A504,[3]库存使用数据!$A:$F,6,0),0)+IFERROR(VLOOKUP($A504,[5]库存使用数据!$A:$F,6,0),0)</f>
        <v>0</v>
      </c>
      <c r="G504" s="1">
        <f ca="1">IFERROR(VLOOKUP($A504,[1]库存使用数据!$A:$G,7,0),0)+IFERROR(VLOOKUP($A504,[2]库存使用数据!$A:$G,7,0),0)+公式!$B$14*IFERROR(VLOOKUP($A504,[3]库存使用数据!$A:$G,7,0),0)+IFERROR(VLOOKUP($A504,[4]库存使用数据!$A:$G,7,0),0)+IFERROR(VLOOKUP($A504,[5]库存使用数据!$A:$G,7,0),0)</f>
        <v>0</v>
      </c>
      <c r="H504" s="1">
        <f ca="1">IFERROR(VLOOKUP($A504,[1]库存使用数据!$A:$H,8,0),0)+IFERROR(VLOOKUP($A504,[2]库存使用数据!$A:$H,8,0),0)+IFERROR(VLOOKUP($A504,[3]库存使用数据!$A:$H,8,0),0)+IFERROR(VLOOKUP($A504,[4]库存使用数据!$A:$H,8,0),0)+IFERROR(VLOOKUP($A504,[5]库存使用数据!$A:$H,8,0),0)</f>
        <v>0</v>
      </c>
      <c r="I504" s="1">
        <f ca="1">IFERROR(VLOOKUP($A504,[1]库存使用数据!$A:$I,9,0),0)+IFERROR(VLOOKUP($A504,[2]库存使用数据!$A:$I,9,0),0)+IFERROR(VLOOKUP($A504,[3]库存使用数据!$A:$I,9,0),0)+IFERROR(VLOOKUP($A504,[4]库存使用数据!$A:$I,9,0),0)+IFERROR(VLOOKUP($A504,[5]库存使用数据!$A:$I,9,0),0)</f>
        <v>0</v>
      </c>
      <c r="J504" s="1">
        <f ca="1">IFERROR(VLOOKUP($A504,[1]库存使用数据!$A:$J,10,0),0)+IFERROR(VLOOKUP($A504,[2]库存使用数据!$A:$J,10,0),0)+公式!$B$14*IFERROR(VLOOKUP($A504,[3]库存使用数据!$A:$J,10,0),0)+IFERROR(VLOOKUP($A504,[4]库存使用数据!$A:$J,10,0),0)+IFERROR(VLOOKUP($A504,[5]库存使用数据!$A:$J,10,0),0)</f>
        <v>0</v>
      </c>
      <c r="K504" s="1">
        <f ca="1">IFERROR(VLOOKUP($A504,[1]库存使用数据!$A:$K,11,0),0)+IFERROR(VLOOKUP($A504,[2]库存使用数据!$A:$K,11,0),0)+IFERROR(VLOOKUP($A504,[3]库存使用数据!$A:$K,11,0),0)+IFERROR(VLOOKUP($A504,[4]库存使用数据!$A:$K,11,0),0)+IFERROR(VLOOKUP($A504,[5]库存使用数据!$A:$K,11,0),0)</f>
        <v>0</v>
      </c>
      <c r="L504" s="1">
        <f ca="1">IFERROR(VLOOKUP($A504,[1]库存使用数据!$A:$L,12,0),0)+IFERROR(VLOOKUP($A504,[2]库存使用数据!$A:$L,12,0),0)+IFERROR(VLOOKUP($A504,[3]库存使用数据!$A:$L,12,0),0)+IFERROR(VLOOKUP($A504,[4]库存使用数据!$A:$L,12,0),0)+IFERROR(VLOOKUP($A504,[5]库存使用数据!$A:$L,12,0),0)</f>
        <v>0</v>
      </c>
      <c r="M504" s="1">
        <f ca="1">IFERROR(VLOOKUP($A504,[1]库存使用数据!$A:$M,13,0),0)+IFERROR(VLOOKUP($A504,[2]库存使用数据!$A:$M,13,0),0)+公式!$B$14*IFERROR(VLOOKUP($A504,[3]库存使用数据!$A:$M,13,0),0)+IFERROR(VLOOKUP($A504,[4]库存使用数据!$A:$M,13,0),0)+IFERROR(VLOOKUP($A504,[5]库存使用数据!$A:$M,13,0),0)</f>
        <v>0</v>
      </c>
    </row>
    <row r="505" spans="1:13">
      <c r="A505" s="6" t="s">
        <v>510</v>
      </c>
      <c r="B505" s="2">
        <f ca="1">IFERROR(VLOOKUP(A505,[1]库存使用数据!$A:$B,2,0),0)+IFERROR(VLOOKUP(A505,[2]库存使用数据!$A:$B,2,0),0)+IFERROR(VLOOKUP(,[3]库存使用数据!$A:$B,2,0),0)+IFERROR(VLOOKUP(A505,[4]库存使用数据!$A:$B,2,0),0)+IFERROR(VLOOKUP(A505,[5]库存使用数据!$A:$B,2,0),0)</f>
        <v>154</v>
      </c>
      <c r="C505" s="1">
        <f ca="1">IFERROR(VLOOKUP($A505,[1]库存使用数据!$A:$C,3,0),0)+IFERROR(VLOOKUP($A505,[2]库存使用数据!$A:$C,3,0),0)+IFERROR(VLOOKUP($A505,[3]库存使用数据!$A:$C,3,0),0)+IFERROR(VLOOKUP($A505,[4]库存使用数据!$A:$C,3,0),0)+IFERROR(VLOOKUP($A505,[5]库存使用数据!$A:$C,3,0),0)</f>
        <v>0</v>
      </c>
      <c r="D505" s="1">
        <f ca="1">IFERROR(VLOOKUP($A505,[1]库存使用数据!$A:$D,4,0),0)+IFERROR(VLOOKUP($A505,[2]库存使用数据!$A:$D,4,0),0)+公式!$B$1*IFERROR(VLOOKUP($A505,[3]库存使用数据!$A:$D,4,0),0)+IFERROR(VLOOKUP($A505,[4]库存使用数据!$A:$D,4,0),0)+IFERROR(VLOOKUP($A505,[5]库存使用数据!$A:$D,4,0),0)</f>
        <v>0</v>
      </c>
      <c r="E505" s="1">
        <f ca="1">IFERROR(VLOOKUP($A505,[1]库存使用数据!$A:$E,5,0),0)+IFERROR(VLOOKUP($A505,[2]库存使用数据!$A:$E,5,0),0)+IFERROR(VLOOKUP($A505,[3]库存使用数据!$A:$E,5,0),0)+IFERROR(VLOOKUP($A505,[4]库存使用数据!$A:$E,5,0),0)+IFERROR(VLOOKUP($A505,[5]库存使用数据!$A:$E,5,0),0)</f>
        <v>364</v>
      </c>
      <c r="F505" s="1">
        <f ca="1">IFERROR(VLOOKUP($A505,[1]库存使用数据!$A:$F,6,0),0)+IFERROR(VLOOKUP($A505,[2]库存使用数据!$A:$F,6,0),0)+IFERROR(VLOOKUP($A505,[4]库存使用数据!$A:$F,6,0),0)+IFERROR(VLOOKUP($A505,[3]库存使用数据!$A:$F,6,0),0)+IFERROR(VLOOKUP($A505,[5]库存使用数据!$A:$F,6,0),0)</f>
        <v>1</v>
      </c>
      <c r="G505" s="1">
        <f ca="1">IFERROR(VLOOKUP($A505,[1]库存使用数据!$A:$G,7,0),0)+IFERROR(VLOOKUP($A505,[2]库存使用数据!$A:$G,7,0),0)+公式!$B$14*IFERROR(VLOOKUP($A505,[3]库存使用数据!$A:$G,7,0),0)+IFERROR(VLOOKUP($A505,[4]库存使用数据!$A:$G,7,0),0)+IFERROR(VLOOKUP($A505,[5]库存使用数据!$A:$G,7,0),0)</f>
        <v>0.16</v>
      </c>
      <c r="H505" s="1">
        <f ca="1">IFERROR(VLOOKUP($A505,[1]库存使用数据!$A:$H,8,0),0)+IFERROR(VLOOKUP($A505,[2]库存使用数据!$A:$H,8,0),0)+IFERROR(VLOOKUP($A505,[3]库存使用数据!$A:$H,8,0),0)+IFERROR(VLOOKUP($A505,[4]库存使用数据!$A:$H,8,0),0)+IFERROR(VLOOKUP($A505,[5]库存使用数据!$A:$H,8,0),0)</f>
        <v>212</v>
      </c>
      <c r="I505" s="1">
        <f ca="1">IFERROR(VLOOKUP($A505,[1]库存使用数据!$A:$I,9,0),0)+IFERROR(VLOOKUP($A505,[2]库存使用数据!$A:$I,9,0),0)+IFERROR(VLOOKUP($A505,[3]库存使用数据!$A:$I,9,0),0)+IFERROR(VLOOKUP($A505,[4]库存使用数据!$A:$I,9,0),0)+IFERROR(VLOOKUP($A505,[5]库存使用数据!$A:$I,9,0),0)</f>
        <v>1</v>
      </c>
      <c r="J505" s="1">
        <f ca="1">IFERROR(VLOOKUP($A505,[1]库存使用数据!$A:$J,10,0),0)+IFERROR(VLOOKUP($A505,[2]库存使用数据!$A:$J,10,0),0)+公式!$B$14*IFERROR(VLOOKUP($A505,[3]库存使用数据!$A:$J,10,0),0)+IFERROR(VLOOKUP($A505,[4]库存使用数据!$A:$J,10,0),0)+IFERROR(VLOOKUP($A505,[5]库存使用数据!$A:$J,10,0),0)</f>
        <v>0.16</v>
      </c>
      <c r="K505" s="1">
        <f ca="1">IFERROR(VLOOKUP($A505,[1]库存使用数据!$A:$K,11,0),0)+IFERROR(VLOOKUP($A505,[2]库存使用数据!$A:$K,11,0),0)+IFERROR(VLOOKUP($A505,[3]库存使用数据!$A:$K,11,0),0)+IFERROR(VLOOKUP($A505,[4]库存使用数据!$A:$K,11,0),0)+IFERROR(VLOOKUP($A505,[5]库存使用数据!$A:$K,11,0),0)</f>
        <v>126</v>
      </c>
      <c r="L505" s="1">
        <f ca="1">IFERROR(VLOOKUP($A505,[1]库存使用数据!$A:$L,12,0),0)+IFERROR(VLOOKUP($A505,[2]库存使用数据!$A:$L,12,0),0)+IFERROR(VLOOKUP($A505,[3]库存使用数据!$A:$L,12,0),0)+IFERROR(VLOOKUP($A505,[4]库存使用数据!$A:$L,12,0),0)+IFERROR(VLOOKUP($A505,[5]库存使用数据!$A:$L,12,0),0)</f>
        <v>2</v>
      </c>
      <c r="M505" s="1">
        <f ca="1">IFERROR(VLOOKUP($A505,[1]库存使用数据!$A:$M,13,0),0)+IFERROR(VLOOKUP($A505,[2]库存使用数据!$A:$M,13,0),0)+公式!$B$14*IFERROR(VLOOKUP($A505,[3]库存使用数据!$A:$M,13,0),0)+IFERROR(VLOOKUP($A505,[4]库存使用数据!$A:$M,13,0),0)+IFERROR(VLOOKUP($A505,[5]库存使用数据!$A:$M,13,0),0)</f>
        <v>0.17</v>
      </c>
    </row>
    <row r="506" spans="1:13">
      <c r="A506" s="6" t="s">
        <v>511</v>
      </c>
      <c r="B506" s="2">
        <f ca="1">IFERROR(VLOOKUP(A506,[1]库存使用数据!$A:$B,2,0),0)+IFERROR(VLOOKUP(A506,[2]库存使用数据!$A:$B,2,0),0)+IFERROR(VLOOKUP(,[3]库存使用数据!$A:$B,2,0),0)+IFERROR(VLOOKUP(A506,[4]库存使用数据!$A:$B,2,0),0)+IFERROR(VLOOKUP(A506,[5]库存使用数据!$A:$B,2,0),0)</f>
        <v>0</v>
      </c>
      <c r="C506" s="1">
        <f ca="1">IFERROR(VLOOKUP($A506,[1]库存使用数据!$A:$C,3,0),0)+IFERROR(VLOOKUP($A506,[2]库存使用数据!$A:$C,3,0),0)+IFERROR(VLOOKUP($A506,[3]库存使用数据!$A:$C,3,0),0)+IFERROR(VLOOKUP($A506,[4]库存使用数据!$A:$C,3,0),0)+IFERROR(VLOOKUP($A506,[5]库存使用数据!$A:$C,3,0),0)</f>
        <v>0</v>
      </c>
      <c r="D506" s="1">
        <f ca="1">IFERROR(VLOOKUP($A506,[1]库存使用数据!$A:$D,4,0),0)+IFERROR(VLOOKUP($A506,[2]库存使用数据!$A:$D,4,0),0)+公式!$B$1*IFERROR(VLOOKUP($A506,[3]库存使用数据!$A:$D,4,0),0)+IFERROR(VLOOKUP($A506,[4]库存使用数据!$A:$D,4,0),0)+IFERROR(VLOOKUP($A506,[5]库存使用数据!$A:$D,4,0),0)</f>
        <v>0</v>
      </c>
      <c r="E506" s="1">
        <f ca="1">IFERROR(VLOOKUP($A506,[1]库存使用数据!$A:$E,5,0),0)+IFERROR(VLOOKUP($A506,[2]库存使用数据!$A:$E,5,0),0)+IFERROR(VLOOKUP($A506,[3]库存使用数据!$A:$E,5,0),0)+IFERROR(VLOOKUP($A506,[4]库存使用数据!$A:$E,5,0),0)+IFERROR(VLOOKUP($A506,[5]库存使用数据!$A:$E,5,0),0)</f>
        <v>22</v>
      </c>
      <c r="F506" s="1">
        <f ca="1">IFERROR(VLOOKUP($A506,[1]库存使用数据!$A:$F,6,0),0)+IFERROR(VLOOKUP($A506,[2]库存使用数据!$A:$F,6,0),0)+IFERROR(VLOOKUP($A506,[4]库存使用数据!$A:$F,6,0),0)+IFERROR(VLOOKUP($A506,[3]库存使用数据!$A:$F,6,0),0)+IFERROR(VLOOKUP($A506,[5]库存使用数据!$A:$F,6,0),0)</f>
        <v>0</v>
      </c>
      <c r="G506" s="1">
        <f ca="1">IFERROR(VLOOKUP($A506,[1]库存使用数据!$A:$G,7,0),0)+IFERROR(VLOOKUP($A506,[2]库存使用数据!$A:$G,7,0),0)+公式!$B$14*IFERROR(VLOOKUP($A506,[3]库存使用数据!$A:$G,7,0),0)+IFERROR(VLOOKUP($A506,[4]库存使用数据!$A:$G,7,0),0)+IFERROR(VLOOKUP($A506,[5]库存使用数据!$A:$G,7,0),0)</f>
        <v>0</v>
      </c>
      <c r="H506" s="1">
        <f ca="1">IFERROR(VLOOKUP($A506,[1]库存使用数据!$A:$H,8,0),0)+IFERROR(VLOOKUP($A506,[2]库存使用数据!$A:$H,8,0),0)+IFERROR(VLOOKUP($A506,[3]库存使用数据!$A:$H,8,0),0)+IFERROR(VLOOKUP($A506,[4]库存使用数据!$A:$H,8,0),0)+IFERROR(VLOOKUP($A506,[5]库存使用数据!$A:$H,8,0),0)</f>
        <v>50</v>
      </c>
      <c r="I506" s="1">
        <f ca="1">IFERROR(VLOOKUP($A506,[1]库存使用数据!$A:$I,9,0),0)+IFERROR(VLOOKUP($A506,[2]库存使用数据!$A:$I,9,0),0)+IFERROR(VLOOKUP($A506,[3]库存使用数据!$A:$I,9,0),0)+IFERROR(VLOOKUP($A506,[4]库存使用数据!$A:$I,9,0),0)+IFERROR(VLOOKUP($A506,[5]库存使用数据!$A:$I,9,0),0)</f>
        <v>0</v>
      </c>
      <c r="J506" s="1">
        <f ca="1">IFERROR(VLOOKUP($A506,[1]库存使用数据!$A:$J,10,0),0)+IFERROR(VLOOKUP($A506,[2]库存使用数据!$A:$J,10,0),0)+公式!$B$14*IFERROR(VLOOKUP($A506,[3]库存使用数据!$A:$J,10,0),0)+IFERROR(VLOOKUP($A506,[4]库存使用数据!$A:$J,10,0),0)+IFERROR(VLOOKUP($A506,[5]库存使用数据!$A:$J,10,0),0)</f>
        <v>0</v>
      </c>
      <c r="K506" s="1">
        <f ca="1">IFERROR(VLOOKUP($A506,[1]库存使用数据!$A:$K,11,0),0)+IFERROR(VLOOKUP($A506,[2]库存使用数据!$A:$K,11,0),0)+IFERROR(VLOOKUP($A506,[3]库存使用数据!$A:$K,11,0),0)+IFERROR(VLOOKUP($A506,[4]库存使用数据!$A:$K,11,0),0)+IFERROR(VLOOKUP($A506,[5]库存使用数据!$A:$K,11,0),0)</f>
        <v>14</v>
      </c>
      <c r="L506" s="1">
        <f ca="1">IFERROR(VLOOKUP($A506,[1]库存使用数据!$A:$L,12,0),0)+IFERROR(VLOOKUP($A506,[2]库存使用数据!$A:$L,12,0),0)+IFERROR(VLOOKUP($A506,[3]库存使用数据!$A:$L,12,0),0)+IFERROR(VLOOKUP($A506,[4]库存使用数据!$A:$L,12,0),0)+IFERROR(VLOOKUP($A506,[5]库存使用数据!$A:$L,12,0),0)</f>
        <v>0</v>
      </c>
      <c r="M506" s="1">
        <f ca="1">IFERROR(VLOOKUP($A506,[1]库存使用数据!$A:$M,13,0),0)+IFERROR(VLOOKUP($A506,[2]库存使用数据!$A:$M,13,0),0)+公式!$B$14*IFERROR(VLOOKUP($A506,[3]库存使用数据!$A:$M,13,0),0)+IFERROR(VLOOKUP($A506,[4]库存使用数据!$A:$M,13,0),0)+IFERROR(VLOOKUP($A506,[5]库存使用数据!$A:$M,13,0),0)</f>
        <v>0</v>
      </c>
    </row>
    <row r="507" spans="1:13">
      <c r="A507" s="6" t="s">
        <v>512</v>
      </c>
      <c r="B507" s="2">
        <f ca="1">IFERROR(VLOOKUP(A507,[1]库存使用数据!$A:$B,2,0),0)+IFERROR(VLOOKUP(A507,[2]库存使用数据!$A:$B,2,0),0)+IFERROR(VLOOKUP(,[3]库存使用数据!$A:$B,2,0),0)+IFERROR(VLOOKUP(A507,[4]库存使用数据!$A:$B,2,0),0)+IFERROR(VLOOKUP(A507,[5]库存使用数据!$A:$B,2,0),0)</f>
        <v>0</v>
      </c>
      <c r="C507" s="1">
        <f ca="1">IFERROR(VLOOKUP($A507,[1]库存使用数据!$A:$C,3,0),0)+IFERROR(VLOOKUP($A507,[2]库存使用数据!$A:$C,3,0),0)+IFERROR(VLOOKUP($A507,[3]库存使用数据!$A:$C,3,0),0)+IFERROR(VLOOKUP($A507,[4]库存使用数据!$A:$C,3,0),0)+IFERROR(VLOOKUP($A507,[5]库存使用数据!$A:$C,3,0),0)</f>
        <v>0</v>
      </c>
      <c r="D507" s="1">
        <f ca="1">IFERROR(VLOOKUP($A507,[1]库存使用数据!$A:$D,4,0),0)+IFERROR(VLOOKUP($A507,[2]库存使用数据!$A:$D,4,0),0)+公式!$B$1*IFERROR(VLOOKUP($A507,[3]库存使用数据!$A:$D,4,0),0)+IFERROR(VLOOKUP($A507,[4]库存使用数据!$A:$D,4,0),0)+IFERROR(VLOOKUP($A507,[5]库存使用数据!$A:$D,4,0),0)</f>
        <v>0</v>
      </c>
      <c r="E507" s="1">
        <f ca="1">IFERROR(VLOOKUP($A507,[1]库存使用数据!$A:$E,5,0),0)+IFERROR(VLOOKUP($A507,[2]库存使用数据!$A:$E,5,0),0)+IFERROR(VLOOKUP($A507,[3]库存使用数据!$A:$E,5,0),0)+IFERROR(VLOOKUP($A507,[4]库存使用数据!$A:$E,5,0),0)+IFERROR(VLOOKUP($A507,[5]库存使用数据!$A:$E,5,0),0)</f>
        <v>12</v>
      </c>
      <c r="F507" s="1">
        <f ca="1">IFERROR(VLOOKUP($A507,[1]库存使用数据!$A:$F,6,0),0)+IFERROR(VLOOKUP($A507,[2]库存使用数据!$A:$F,6,0),0)+IFERROR(VLOOKUP($A507,[4]库存使用数据!$A:$F,6,0),0)+IFERROR(VLOOKUP($A507,[3]库存使用数据!$A:$F,6,0),0)+IFERROR(VLOOKUP($A507,[5]库存使用数据!$A:$F,6,0),0)</f>
        <v>0</v>
      </c>
      <c r="G507" s="1">
        <f ca="1">IFERROR(VLOOKUP($A507,[1]库存使用数据!$A:$G,7,0),0)+IFERROR(VLOOKUP($A507,[2]库存使用数据!$A:$G,7,0),0)+公式!$B$14*IFERROR(VLOOKUP($A507,[3]库存使用数据!$A:$G,7,0),0)+IFERROR(VLOOKUP($A507,[4]库存使用数据!$A:$G,7,0),0)+IFERROR(VLOOKUP($A507,[5]库存使用数据!$A:$G,7,0),0)</f>
        <v>0</v>
      </c>
      <c r="H507" s="1">
        <f ca="1">IFERROR(VLOOKUP($A507,[1]库存使用数据!$A:$H,8,0),0)+IFERROR(VLOOKUP($A507,[2]库存使用数据!$A:$H,8,0),0)+IFERROR(VLOOKUP($A507,[3]库存使用数据!$A:$H,8,0),0)+IFERROR(VLOOKUP($A507,[4]库存使用数据!$A:$H,8,0),0)+IFERROR(VLOOKUP($A507,[5]库存使用数据!$A:$H,8,0),0)</f>
        <v>7</v>
      </c>
      <c r="I507" s="1">
        <f ca="1">IFERROR(VLOOKUP($A507,[1]库存使用数据!$A:$I,9,0),0)+IFERROR(VLOOKUP($A507,[2]库存使用数据!$A:$I,9,0),0)+IFERROR(VLOOKUP($A507,[3]库存使用数据!$A:$I,9,0),0)+IFERROR(VLOOKUP($A507,[4]库存使用数据!$A:$I,9,0),0)+IFERROR(VLOOKUP($A507,[5]库存使用数据!$A:$I,9,0),0)</f>
        <v>0</v>
      </c>
      <c r="J507" s="1">
        <f ca="1">IFERROR(VLOOKUP($A507,[1]库存使用数据!$A:$J,10,0),0)+IFERROR(VLOOKUP($A507,[2]库存使用数据!$A:$J,10,0),0)+公式!$B$14*IFERROR(VLOOKUP($A507,[3]库存使用数据!$A:$J,10,0),0)+IFERROR(VLOOKUP($A507,[4]库存使用数据!$A:$J,10,0),0)+IFERROR(VLOOKUP($A507,[5]库存使用数据!$A:$J,10,0),0)</f>
        <v>0</v>
      </c>
      <c r="K507" s="1">
        <f ca="1">IFERROR(VLOOKUP($A507,[1]库存使用数据!$A:$K,11,0),0)+IFERROR(VLOOKUP($A507,[2]库存使用数据!$A:$K,11,0),0)+IFERROR(VLOOKUP($A507,[3]库存使用数据!$A:$K,11,0),0)+IFERROR(VLOOKUP($A507,[4]库存使用数据!$A:$K,11,0),0)+IFERROR(VLOOKUP($A507,[5]库存使用数据!$A:$K,11,0),0)</f>
        <v>34</v>
      </c>
      <c r="L507" s="1">
        <f ca="1">IFERROR(VLOOKUP($A507,[1]库存使用数据!$A:$L,12,0),0)+IFERROR(VLOOKUP($A507,[2]库存使用数据!$A:$L,12,0),0)+IFERROR(VLOOKUP($A507,[3]库存使用数据!$A:$L,12,0),0)+IFERROR(VLOOKUP($A507,[4]库存使用数据!$A:$L,12,0),0)+IFERROR(VLOOKUP($A507,[5]库存使用数据!$A:$L,12,0),0)</f>
        <v>0</v>
      </c>
      <c r="M507" s="1">
        <f ca="1">IFERROR(VLOOKUP($A507,[1]库存使用数据!$A:$M,13,0),0)+IFERROR(VLOOKUP($A507,[2]库存使用数据!$A:$M,13,0),0)+公式!$B$14*IFERROR(VLOOKUP($A507,[3]库存使用数据!$A:$M,13,0),0)+IFERROR(VLOOKUP($A507,[4]库存使用数据!$A:$M,13,0),0)+IFERROR(VLOOKUP($A507,[5]库存使用数据!$A:$M,13,0),0)</f>
        <v>0</v>
      </c>
    </row>
    <row r="508" spans="1:13">
      <c r="A508" s="6" t="s">
        <v>513</v>
      </c>
      <c r="B508" s="2">
        <f ca="1">IFERROR(VLOOKUP(A508,[1]库存使用数据!$A:$B,2,0),0)+IFERROR(VLOOKUP(A508,[2]库存使用数据!$A:$B,2,0),0)+IFERROR(VLOOKUP(,[3]库存使用数据!$A:$B,2,0),0)+IFERROR(VLOOKUP(A508,[4]库存使用数据!$A:$B,2,0),0)+IFERROR(VLOOKUP(A508,[5]库存使用数据!$A:$B,2,0),0)</f>
        <v>50</v>
      </c>
      <c r="C508" s="1">
        <f ca="1">IFERROR(VLOOKUP($A508,[1]库存使用数据!$A:$C,3,0),0)+IFERROR(VLOOKUP($A508,[2]库存使用数据!$A:$C,3,0),0)+IFERROR(VLOOKUP($A508,[3]库存使用数据!$A:$C,3,0),0)+IFERROR(VLOOKUP($A508,[4]库存使用数据!$A:$C,3,0),0)+IFERROR(VLOOKUP($A508,[5]库存使用数据!$A:$C,3,0),0)</f>
        <v>0</v>
      </c>
      <c r="D508" s="1">
        <f ca="1">IFERROR(VLOOKUP($A508,[1]库存使用数据!$A:$D,4,0),0)+IFERROR(VLOOKUP($A508,[2]库存使用数据!$A:$D,4,0),0)+公式!$B$1*IFERROR(VLOOKUP($A508,[3]库存使用数据!$A:$D,4,0),0)+IFERROR(VLOOKUP($A508,[4]库存使用数据!$A:$D,4,0),0)+IFERROR(VLOOKUP($A508,[5]库存使用数据!$A:$D,4,0),0)</f>
        <v>0</v>
      </c>
      <c r="E508" s="1">
        <f ca="1">IFERROR(VLOOKUP($A508,[1]库存使用数据!$A:$E,5,0),0)+IFERROR(VLOOKUP($A508,[2]库存使用数据!$A:$E,5,0),0)+IFERROR(VLOOKUP($A508,[3]库存使用数据!$A:$E,5,0),0)+IFERROR(VLOOKUP($A508,[4]库存使用数据!$A:$E,5,0),0)+IFERROR(VLOOKUP($A508,[5]库存使用数据!$A:$E,5,0),0)</f>
        <v>346</v>
      </c>
      <c r="F508" s="1">
        <f ca="1">IFERROR(VLOOKUP($A508,[1]库存使用数据!$A:$F,6,0),0)+IFERROR(VLOOKUP($A508,[2]库存使用数据!$A:$F,6,0),0)+IFERROR(VLOOKUP($A508,[4]库存使用数据!$A:$F,6,0),0)+IFERROR(VLOOKUP($A508,[3]库存使用数据!$A:$F,6,0),0)+IFERROR(VLOOKUP($A508,[5]库存使用数据!$A:$F,6,0),0)</f>
        <v>0</v>
      </c>
      <c r="G508" s="1">
        <f ca="1">IFERROR(VLOOKUP($A508,[1]库存使用数据!$A:$G,7,0),0)+IFERROR(VLOOKUP($A508,[2]库存使用数据!$A:$G,7,0),0)+公式!$B$14*IFERROR(VLOOKUP($A508,[3]库存使用数据!$A:$G,7,0),0)+IFERROR(VLOOKUP($A508,[4]库存使用数据!$A:$G,7,0),0)+IFERROR(VLOOKUP($A508,[5]库存使用数据!$A:$G,7,0),0)</f>
        <v>0</v>
      </c>
      <c r="H508" s="1">
        <f ca="1">IFERROR(VLOOKUP($A508,[1]库存使用数据!$A:$H,8,0),0)+IFERROR(VLOOKUP($A508,[2]库存使用数据!$A:$H,8,0),0)+IFERROR(VLOOKUP($A508,[3]库存使用数据!$A:$H,8,0),0)+IFERROR(VLOOKUP($A508,[4]库存使用数据!$A:$H,8,0),0)+IFERROR(VLOOKUP($A508,[5]库存使用数据!$A:$H,8,0),0)</f>
        <v>335</v>
      </c>
      <c r="I508" s="1">
        <f ca="1">IFERROR(VLOOKUP($A508,[1]库存使用数据!$A:$I,9,0),0)+IFERROR(VLOOKUP($A508,[2]库存使用数据!$A:$I,9,0),0)+IFERROR(VLOOKUP($A508,[3]库存使用数据!$A:$I,9,0),0)+IFERROR(VLOOKUP($A508,[4]库存使用数据!$A:$I,9,0),0)+IFERROR(VLOOKUP($A508,[5]库存使用数据!$A:$I,9,0),0)</f>
        <v>1</v>
      </c>
      <c r="J508" s="1">
        <f ca="1">IFERROR(VLOOKUP($A508,[1]库存使用数据!$A:$J,10,0),0)+IFERROR(VLOOKUP($A508,[2]库存使用数据!$A:$J,10,0),0)+公式!$B$14*IFERROR(VLOOKUP($A508,[3]库存使用数据!$A:$J,10,0),0)+IFERROR(VLOOKUP($A508,[4]库存使用数据!$A:$J,10,0),0)+IFERROR(VLOOKUP($A508,[5]库存使用数据!$A:$J,10,0),0)</f>
        <v>0.02</v>
      </c>
      <c r="K508" s="1">
        <f ca="1">IFERROR(VLOOKUP($A508,[1]库存使用数据!$A:$K,11,0),0)+IFERROR(VLOOKUP($A508,[2]库存使用数据!$A:$K,11,0),0)+IFERROR(VLOOKUP($A508,[3]库存使用数据!$A:$K,11,0),0)+IFERROR(VLOOKUP($A508,[4]库存使用数据!$A:$K,11,0),0)+IFERROR(VLOOKUP($A508,[5]库存使用数据!$A:$K,11,0),0)</f>
        <v>1041</v>
      </c>
      <c r="L508" s="1">
        <f ca="1">IFERROR(VLOOKUP($A508,[1]库存使用数据!$A:$L,12,0),0)+IFERROR(VLOOKUP($A508,[2]库存使用数据!$A:$L,12,0),0)+IFERROR(VLOOKUP($A508,[3]库存使用数据!$A:$L,12,0),0)+IFERROR(VLOOKUP($A508,[4]库存使用数据!$A:$L,12,0),0)+IFERROR(VLOOKUP($A508,[5]库存使用数据!$A:$L,12,0),0)</f>
        <v>1</v>
      </c>
      <c r="M508" s="1">
        <f ca="1">IFERROR(VLOOKUP($A508,[1]库存使用数据!$A:$M,13,0),0)+IFERROR(VLOOKUP($A508,[2]库存使用数据!$A:$M,13,0),0)+公式!$B$14*IFERROR(VLOOKUP($A508,[3]库存使用数据!$A:$M,13,0),0)+IFERROR(VLOOKUP($A508,[4]库存使用数据!$A:$M,13,0),0)+IFERROR(VLOOKUP($A508,[5]库存使用数据!$A:$M,13,0),0)</f>
        <v>0.04</v>
      </c>
    </row>
    <row r="509" spans="1:13">
      <c r="A509" s="6" t="s">
        <v>514</v>
      </c>
      <c r="B509" s="2">
        <f ca="1">IFERROR(VLOOKUP(A509,[1]库存使用数据!$A:$B,2,0),0)+IFERROR(VLOOKUP(A509,[2]库存使用数据!$A:$B,2,0),0)+IFERROR(VLOOKUP(,[3]库存使用数据!$A:$B,2,0),0)+IFERROR(VLOOKUP(A509,[4]库存使用数据!$A:$B,2,0),0)+IFERROR(VLOOKUP(A509,[5]库存使用数据!$A:$B,2,0),0)</f>
        <v>1857</v>
      </c>
      <c r="C509" s="1">
        <f ca="1">IFERROR(VLOOKUP($A509,[1]库存使用数据!$A:$C,3,0),0)+IFERROR(VLOOKUP($A509,[2]库存使用数据!$A:$C,3,0),0)+IFERROR(VLOOKUP($A509,[3]库存使用数据!$A:$C,3,0),0)+IFERROR(VLOOKUP($A509,[4]库存使用数据!$A:$C,3,0),0)+IFERROR(VLOOKUP($A509,[5]库存使用数据!$A:$C,3,0),0)</f>
        <v>6</v>
      </c>
      <c r="D509" s="1">
        <f ca="1">IFERROR(VLOOKUP($A509,[1]库存使用数据!$A:$D,4,0),0)+IFERROR(VLOOKUP($A509,[2]库存使用数据!$A:$D,4,0),0)+公式!$B$1*IFERROR(VLOOKUP($A509,[3]库存使用数据!$A:$D,4,0),0)+IFERROR(VLOOKUP($A509,[4]库存使用数据!$A:$D,4,0),0)+IFERROR(VLOOKUP($A509,[5]库存使用数据!$A:$D,4,0),0)</f>
        <v>0.22</v>
      </c>
      <c r="E509" s="1">
        <f ca="1">IFERROR(VLOOKUP($A509,[1]库存使用数据!$A:$E,5,0),0)+IFERROR(VLOOKUP($A509,[2]库存使用数据!$A:$E,5,0),0)+IFERROR(VLOOKUP($A509,[3]库存使用数据!$A:$E,5,0),0)+IFERROR(VLOOKUP($A509,[4]库存使用数据!$A:$E,5,0),0)+IFERROR(VLOOKUP($A509,[5]库存使用数据!$A:$E,5,0),0)</f>
        <v>1412</v>
      </c>
      <c r="F509" s="1">
        <f ca="1">IFERROR(VLOOKUP($A509,[1]库存使用数据!$A:$F,6,0),0)+IFERROR(VLOOKUP($A509,[2]库存使用数据!$A:$F,6,0),0)+IFERROR(VLOOKUP($A509,[4]库存使用数据!$A:$F,6,0),0)+IFERROR(VLOOKUP($A509,[3]库存使用数据!$A:$F,6,0),0)+IFERROR(VLOOKUP($A509,[5]库存使用数据!$A:$F,6,0),0)</f>
        <v>3</v>
      </c>
      <c r="G509" s="1">
        <f ca="1">IFERROR(VLOOKUP($A509,[1]库存使用数据!$A:$G,7,0),0)+IFERROR(VLOOKUP($A509,[2]库存使用数据!$A:$G,7,0),0)+公式!$B$14*IFERROR(VLOOKUP($A509,[3]库存使用数据!$A:$G,7,0),0)+IFERROR(VLOOKUP($A509,[4]库存使用数据!$A:$G,7,0),0)+IFERROR(VLOOKUP($A509,[5]库存使用数据!$A:$G,7,0),0)</f>
        <v>0.06</v>
      </c>
      <c r="H509" s="1">
        <f ca="1">IFERROR(VLOOKUP($A509,[1]库存使用数据!$A:$H,8,0),0)+IFERROR(VLOOKUP($A509,[2]库存使用数据!$A:$H,8,0),0)+IFERROR(VLOOKUP($A509,[3]库存使用数据!$A:$H,8,0),0)+IFERROR(VLOOKUP($A509,[4]库存使用数据!$A:$H,8,0),0)+IFERROR(VLOOKUP($A509,[5]库存使用数据!$A:$H,8,0),0)</f>
        <v>1204</v>
      </c>
      <c r="I509" s="1">
        <f ca="1">IFERROR(VLOOKUP($A509,[1]库存使用数据!$A:$I,9,0),0)+IFERROR(VLOOKUP($A509,[2]库存使用数据!$A:$I,9,0),0)+IFERROR(VLOOKUP($A509,[3]库存使用数据!$A:$I,9,0),0)+IFERROR(VLOOKUP($A509,[4]库存使用数据!$A:$I,9,0),0)+IFERROR(VLOOKUP($A509,[5]库存使用数据!$A:$I,9,0),0)</f>
        <v>1</v>
      </c>
      <c r="J509" s="1">
        <f ca="1">IFERROR(VLOOKUP($A509,[1]库存使用数据!$A:$J,10,0),0)+IFERROR(VLOOKUP($A509,[2]库存使用数据!$A:$J,10,0),0)+公式!$B$14*IFERROR(VLOOKUP($A509,[3]库存使用数据!$A:$J,10,0),0)+IFERROR(VLOOKUP($A509,[4]库存使用数据!$A:$J,10,0),0)+IFERROR(VLOOKUP($A509,[5]库存使用数据!$A:$J,10,0),0)</f>
        <v>0.02</v>
      </c>
      <c r="K509" s="1">
        <f ca="1">IFERROR(VLOOKUP($A509,[1]库存使用数据!$A:$K,11,0),0)+IFERROR(VLOOKUP($A509,[2]库存使用数据!$A:$K,11,0),0)+IFERROR(VLOOKUP($A509,[3]库存使用数据!$A:$K,11,0),0)+IFERROR(VLOOKUP($A509,[4]库存使用数据!$A:$K,11,0),0)+IFERROR(VLOOKUP($A509,[5]库存使用数据!$A:$K,11,0),0)</f>
        <v>436</v>
      </c>
      <c r="L509" s="1">
        <f ca="1">IFERROR(VLOOKUP($A509,[1]库存使用数据!$A:$L,12,0),0)+IFERROR(VLOOKUP($A509,[2]库存使用数据!$A:$L,12,0),0)+IFERROR(VLOOKUP($A509,[3]库存使用数据!$A:$L,12,0),0)+IFERROR(VLOOKUP($A509,[4]库存使用数据!$A:$L,12,0),0)+IFERROR(VLOOKUP($A509,[5]库存使用数据!$A:$L,12,0),0)</f>
        <v>1</v>
      </c>
      <c r="M509" s="1">
        <f ca="1">IFERROR(VLOOKUP($A509,[1]库存使用数据!$A:$M,13,0),0)+IFERROR(VLOOKUP($A509,[2]库存使用数据!$A:$M,13,0),0)+公式!$B$14*IFERROR(VLOOKUP($A509,[3]库存使用数据!$A:$M,13,0),0)+IFERROR(VLOOKUP($A509,[4]库存使用数据!$A:$M,13,0),0)+IFERROR(VLOOKUP($A509,[5]库存使用数据!$A:$M,13,0),0)</f>
        <v>0.06</v>
      </c>
    </row>
    <row r="510" spans="1:13">
      <c r="A510" s="6" t="s">
        <v>515</v>
      </c>
      <c r="B510" s="2">
        <f ca="1">IFERROR(VLOOKUP(A510,[1]库存使用数据!$A:$B,2,0),0)+IFERROR(VLOOKUP(A510,[2]库存使用数据!$A:$B,2,0),0)+IFERROR(VLOOKUP(,[3]库存使用数据!$A:$B,2,0),0)+IFERROR(VLOOKUP(A510,[4]库存使用数据!$A:$B,2,0),0)+IFERROR(VLOOKUP(A510,[5]库存使用数据!$A:$B,2,0),0)</f>
        <v>128</v>
      </c>
      <c r="C510" s="1">
        <f ca="1">IFERROR(VLOOKUP($A510,[1]库存使用数据!$A:$C,3,0),0)+IFERROR(VLOOKUP($A510,[2]库存使用数据!$A:$C,3,0),0)+IFERROR(VLOOKUP($A510,[3]库存使用数据!$A:$C,3,0),0)+IFERROR(VLOOKUP($A510,[4]库存使用数据!$A:$C,3,0),0)+IFERROR(VLOOKUP($A510,[5]库存使用数据!$A:$C,3,0),0)</f>
        <v>1</v>
      </c>
      <c r="D510" s="1">
        <f ca="1">IFERROR(VLOOKUP($A510,[1]库存使用数据!$A:$D,4,0),0)+IFERROR(VLOOKUP($A510,[2]库存使用数据!$A:$D,4,0),0)+公式!$B$1*IFERROR(VLOOKUP($A510,[3]库存使用数据!$A:$D,4,0),0)+IFERROR(VLOOKUP($A510,[4]库存使用数据!$A:$D,4,0),0)+IFERROR(VLOOKUP($A510,[5]库存使用数据!$A:$D,4,0),0)</f>
        <v>0.33</v>
      </c>
      <c r="E510" s="1">
        <f ca="1">IFERROR(VLOOKUP($A510,[1]库存使用数据!$A:$E,5,0),0)+IFERROR(VLOOKUP($A510,[2]库存使用数据!$A:$E,5,0),0)+IFERROR(VLOOKUP($A510,[3]库存使用数据!$A:$E,5,0),0)+IFERROR(VLOOKUP($A510,[4]库存使用数据!$A:$E,5,0),0)+IFERROR(VLOOKUP($A510,[5]库存使用数据!$A:$E,5,0),0)</f>
        <v>2232</v>
      </c>
      <c r="F510" s="1">
        <f ca="1">IFERROR(VLOOKUP($A510,[1]库存使用数据!$A:$F,6,0),0)+IFERROR(VLOOKUP($A510,[2]库存使用数据!$A:$F,6,0),0)+IFERROR(VLOOKUP($A510,[4]库存使用数据!$A:$F,6,0),0)+IFERROR(VLOOKUP($A510,[3]库存使用数据!$A:$F,6,0),0)+IFERROR(VLOOKUP($A510,[5]库存使用数据!$A:$F,6,0),0)</f>
        <v>6</v>
      </c>
      <c r="G510" s="1">
        <f ca="1">IFERROR(VLOOKUP($A510,[1]库存使用数据!$A:$G,7,0),0)+IFERROR(VLOOKUP($A510,[2]库存使用数据!$A:$G,7,0),0)+公式!$B$14*IFERROR(VLOOKUP($A510,[3]库存使用数据!$A:$G,7,0),0)+IFERROR(VLOOKUP($A510,[4]库存使用数据!$A:$G,7,0),0)+IFERROR(VLOOKUP($A510,[5]库存使用数据!$A:$G,7,0),0)</f>
        <v>0.87</v>
      </c>
      <c r="H510" s="1">
        <f ca="1">IFERROR(VLOOKUP($A510,[1]库存使用数据!$A:$H,8,0),0)+IFERROR(VLOOKUP($A510,[2]库存使用数据!$A:$H,8,0),0)+IFERROR(VLOOKUP($A510,[3]库存使用数据!$A:$H,8,0),0)+IFERROR(VLOOKUP($A510,[4]库存使用数据!$A:$H,8,0),0)+IFERROR(VLOOKUP($A510,[5]库存使用数据!$A:$H,8,0),0)</f>
        <v>2350</v>
      </c>
      <c r="I510" s="1">
        <f ca="1">IFERROR(VLOOKUP($A510,[1]库存使用数据!$A:$I,9,0),0)+IFERROR(VLOOKUP($A510,[2]库存使用数据!$A:$I,9,0),0)+IFERROR(VLOOKUP($A510,[3]库存使用数据!$A:$I,9,0),0)+IFERROR(VLOOKUP($A510,[4]库存使用数据!$A:$I,9,0),0)+IFERROR(VLOOKUP($A510,[5]库存使用数据!$A:$I,9,0),0)</f>
        <v>6</v>
      </c>
      <c r="J510" s="1">
        <f ca="1">IFERROR(VLOOKUP($A510,[1]库存使用数据!$A:$J,10,0),0)+IFERROR(VLOOKUP($A510,[2]库存使用数据!$A:$J,10,0),0)+公式!$B$14*IFERROR(VLOOKUP($A510,[3]库存使用数据!$A:$J,10,0),0)+IFERROR(VLOOKUP($A510,[4]库存使用数据!$A:$J,10,0),0)+IFERROR(VLOOKUP($A510,[5]库存使用数据!$A:$J,10,0),0)</f>
        <v>0.64</v>
      </c>
      <c r="K510" s="1">
        <f ca="1">IFERROR(VLOOKUP($A510,[1]库存使用数据!$A:$K,11,0),0)+IFERROR(VLOOKUP($A510,[2]库存使用数据!$A:$K,11,0),0)+IFERROR(VLOOKUP($A510,[3]库存使用数据!$A:$K,11,0),0)+IFERROR(VLOOKUP($A510,[4]库存使用数据!$A:$K,11,0),0)+IFERROR(VLOOKUP($A510,[5]库存使用数据!$A:$K,11,0),0)</f>
        <v>4437</v>
      </c>
      <c r="L510" s="1">
        <f ca="1">IFERROR(VLOOKUP($A510,[1]库存使用数据!$A:$L,12,0),0)+IFERROR(VLOOKUP($A510,[2]库存使用数据!$A:$L,12,0),0)+IFERROR(VLOOKUP($A510,[3]库存使用数据!$A:$L,12,0),0)+IFERROR(VLOOKUP($A510,[4]库存使用数据!$A:$L,12,0),0)+IFERROR(VLOOKUP($A510,[5]库存使用数据!$A:$L,12,0),0)</f>
        <v>22</v>
      </c>
      <c r="M510" s="1">
        <f ca="1">IFERROR(VLOOKUP($A510,[1]库存使用数据!$A:$M,13,0),0)+IFERROR(VLOOKUP($A510,[2]库存使用数据!$A:$M,13,0),0)+公式!$B$14*IFERROR(VLOOKUP($A510,[3]库存使用数据!$A:$M,13,0),0)+IFERROR(VLOOKUP($A510,[4]库存使用数据!$A:$M,13,0),0)+IFERROR(VLOOKUP($A510,[5]库存使用数据!$A:$M,13,0),0)</f>
        <v>2.35</v>
      </c>
    </row>
    <row r="511" spans="1:13">
      <c r="A511" s="6" t="s">
        <v>516</v>
      </c>
      <c r="B511" s="2">
        <f ca="1">IFERROR(VLOOKUP(A511,[1]库存使用数据!$A:$B,2,0),0)+IFERROR(VLOOKUP(A511,[2]库存使用数据!$A:$B,2,0),0)+IFERROR(VLOOKUP(,[3]库存使用数据!$A:$B,2,0),0)+IFERROR(VLOOKUP(A511,[4]库存使用数据!$A:$B,2,0),0)+IFERROR(VLOOKUP(A511,[5]库存使用数据!$A:$B,2,0),0)</f>
        <v>407</v>
      </c>
      <c r="C511" s="1">
        <f ca="1">IFERROR(VLOOKUP($A511,[1]库存使用数据!$A:$C,3,0),0)+IFERROR(VLOOKUP($A511,[2]库存使用数据!$A:$C,3,0),0)+IFERROR(VLOOKUP($A511,[3]库存使用数据!$A:$C,3,0),0)+IFERROR(VLOOKUP($A511,[4]库存使用数据!$A:$C,3,0),0)+IFERROR(VLOOKUP($A511,[5]库存使用数据!$A:$C,3,0),0)</f>
        <v>0</v>
      </c>
      <c r="D511" s="1">
        <f ca="1">IFERROR(VLOOKUP($A511,[1]库存使用数据!$A:$D,4,0),0)+IFERROR(VLOOKUP($A511,[2]库存使用数据!$A:$D,4,0),0)+公式!$B$1*IFERROR(VLOOKUP($A511,[3]库存使用数据!$A:$D,4,0),0)+IFERROR(VLOOKUP($A511,[4]库存使用数据!$A:$D,4,0),0)+IFERROR(VLOOKUP($A511,[5]库存使用数据!$A:$D,4,0),0)</f>
        <v>0</v>
      </c>
      <c r="E511" s="1">
        <f ca="1">IFERROR(VLOOKUP($A511,[1]库存使用数据!$A:$E,5,0),0)+IFERROR(VLOOKUP($A511,[2]库存使用数据!$A:$E,5,0),0)+IFERROR(VLOOKUP($A511,[3]库存使用数据!$A:$E,5,0),0)+IFERROR(VLOOKUP($A511,[4]库存使用数据!$A:$E,5,0),0)+IFERROR(VLOOKUP($A511,[5]库存使用数据!$A:$E,5,0),0)</f>
        <v>3360</v>
      </c>
      <c r="F511" s="1">
        <f ca="1">IFERROR(VLOOKUP($A511,[1]库存使用数据!$A:$F,6,0),0)+IFERROR(VLOOKUP($A511,[2]库存使用数据!$A:$F,6,0),0)+IFERROR(VLOOKUP($A511,[4]库存使用数据!$A:$F,6,0),0)+IFERROR(VLOOKUP($A511,[3]库存使用数据!$A:$F,6,0),0)+IFERROR(VLOOKUP($A511,[5]库存使用数据!$A:$F,6,0),0)</f>
        <v>2</v>
      </c>
      <c r="G511" s="1">
        <f ca="1">IFERROR(VLOOKUP($A511,[1]库存使用数据!$A:$G,7,0),0)+IFERROR(VLOOKUP($A511,[2]库存使用数据!$A:$G,7,0),0)+公式!$B$14*IFERROR(VLOOKUP($A511,[3]库存使用数据!$A:$G,7,0),0)+IFERROR(VLOOKUP($A511,[4]库存使用数据!$A:$G,7,0),0)+IFERROR(VLOOKUP($A511,[5]库存使用数据!$A:$G,7,0),0)</f>
        <v>0.18</v>
      </c>
      <c r="H511" s="1">
        <f ca="1">IFERROR(VLOOKUP($A511,[1]库存使用数据!$A:$H,8,0),0)+IFERROR(VLOOKUP($A511,[2]库存使用数据!$A:$H,8,0),0)+IFERROR(VLOOKUP($A511,[3]库存使用数据!$A:$H,8,0),0)+IFERROR(VLOOKUP($A511,[4]库存使用数据!$A:$H,8,0),0)+IFERROR(VLOOKUP($A511,[5]库存使用数据!$A:$H,8,0),0)</f>
        <v>3812</v>
      </c>
      <c r="I511" s="1">
        <f ca="1">IFERROR(VLOOKUP($A511,[1]库存使用数据!$A:$I,9,0),0)+IFERROR(VLOOKUP($A511,[2]库存使用数据!$A:$I,9,0),0)+IFERROR(VLOOKUP($A511,[3]库存使用数据!$A:$I,9,0),0)+IFERROR(VLOOKUP($A511,[4]库存使用数据!$A:$I,9,0),0)+IFERROR(VLOOKUP($A511,[5]库存使用数据!$A:$I,9,0),0)</f>
        <v>1</v>
      </c>
      <c r="J511" s="1">
        <f ca="1">IFERROR(VLOOKUP($A511,[1]库存使用数据!$A:$J,10,0),0)+IFERROR(VLOOKUP($A511,[2]库存使用数据!$A:$J,10,0),0)+公式!$B$14*IFERROR(VLOOKUP($A511,[3]库存使用数据!$A:$J,10,0),0)+IFERROR(VLOOKUP($A511,[4]库存使用数据!$A:$J,10,0),0)+IFERROR(VLOOKUP($A511,[5]库存使用数据!$A:$J,10,0),0)</f>
        <v>0.05</v>
      </c>
      <c r="K511" s="1">
        <f ca="1">IFERROR(VLOOKUP($A511,[1]库存使用数据!$A:$K,11,0),0)+IFERROR(VLOOKUP($A511,[2]库存使用数据!$A:$K,11,0),0)+IFERROR(VLOOKUP($A511,[3]库存使用数据!$A:$K,11,0),0)+IFERROR(VLOOKUP($A511,[4]库存使用数据!$A:$K,11,0),0)+IFERROR(VLOOKUP($A511,[5]库存使用数据!$A:$K,11,0),0)</f>
        <v>1167</v>
      </c>
      <c r="L511" s="1">
        <f ca="1">IFERROR(VLOOKUP($A511,[1]库存使用数据!$A:$L,12,0),0)+IFERROR(VLOOKUP($A511,[2]库存使用数据!$A:$L,12,0),0)+IFERROR(VLOOKUP($A511,[3]库存使用数据!$A:$L,12,0),0)+IFERROR(VLOOKUP($A511,[4]库存使用数据!$A:$L,12,0),0)+IFERROR(VLOOKUP($A511,[5]库存使用数据!$A:$L,12,0),0)</f>
        <v>2</v>
      </c>
      <c r="M511" s="1">
        <f ca="1">IFERROR(VLOOKUP($A511,[1]库存使用数据!$A:$M,13,0),0)+IFERROR(VLOOKUP($A511,[2]库存使用数据!$A:$M,13,0),0)+公式!$B$14*IFERROR(VLOOKUP($A511,[3]库存使用数据!$A:$M,13,0),0)+IFERROR(VLOOKUP($A511,[4]库存使用数据!$A:$M,13,0),0)+IFERROR(VLOOKUP($A511,[5]库存使用数据!$A:$M,13,0),0)</f>
        <v>0.22</v>
      </c>
    </row>
    <row r="512" spans="1:13">
      <c r="A512" s="6" t="s">
        <v>517</v>
      </c>
      <c r="B512" s="2">
        <f ca="1">IFERROR(VLOOKUP(A512,[1]库存使用数据!$A:$B,2,0),0)+IFERROR(VLOOKUP(A512,[2]库存使用数据!$A:$B,2,0),0)+IFERROR(VLOOKUP(,[3]库存使用数据!$A:$B,2,0),0)+IFERROR(VLOOKUP(A512,[4]库存使用数据!$A:$B,2,0),0)+IFERROR(VLOOKUP(A512,[5]库存使用数据!$A:$B,2,0),0)</f>
        <v>0</v>
      </c>
      <c r="C512" s="1">
        <f ca="1">IFERROR(VLOOKUP($A512,[1]库存使用数据!$A:$C,3,0),0)+IFERROR(VLOOKUP($A512,[2]库存使用数据!$A:$C,3,0),0)+IFERROR(VLOOKUP($A512,[3]库存使用数据!$A:$C,3,0),0)+IFERROR(VLOOKUP($A512,[4]库存使用数据!$A:$C,3,0),0)+IFERROR(VLOOKUP($A512,[5]库存使用数据!$A:$C,3,0),0)</f>
        <v>0</v>
      </c>
      <c r="D512" s="1">
        <f ca="1">IFERROR(VLOOKUP($A512,[1]库存使用数据!$A:$D,4,0),0)+IFERROR(VLOOKUP($A512,[2]库存使用数据!$A:$D,4,0),0)+公式!$B$1*IFERROR(VLOOKUP($A512,[3]库存使用数据!$A:$D,4,0),0)+IFERROR(VLOOKUP($A512,[4]库存使用数据!$A:$D,4,0),0)+IFERROR(VLOOKUP($A512,[5]库存使用数据!$A:$D,4,0),0)</f>
        <v>0</v>
      </c>
      <c r="E512" s="1">
        <f ca="1">IFERROR(VLOOKUP($A512,[1]库存使用数据!$A:$E,5,0),0)+IFERROR(VLOOKUP($A512,[2]库存使用数据!$A:$E,5,0),0)+IFERROR(VLOOKUP($A512,[3]库存使用数据!$A:$E,5,0),0)+IFERROR(VLOOKUP($A512,[4]库存使用数据!$A:$E,5,0),0)+IFERROR(VLOOKUP($A512,[5]库存使用数据!$A:$E,5,0),0)</f>
        <v>45</v>
      </c>
      <c r="F512" s="1">
        <f ca="1">IFERROR(VLOOKUP($A512,[1]库存使用数据!$A:$F,6,0),0)+IFERROR(VLOOKUP($A512,[2]库存使用数据!$A:$F,6,0),0)+IFERROR(VLOOKUP($A512,[4]库存使用数据!$A:$F,6,0),0)+IFERROR(VLOOKUP($A512,[3]库存使用数据!$A:$F,6,0),0)+IFERROR(VLOOKUP($A512,[5]库存使用数据!$A:$F,6,0),0)</f>
        <v>1</v>
      </c>
      <c r="G512" s="1">
        <f ca="1">IFERROR(VLOOKUP($A512,[1]库存使用数据!$A:$G,7,0),0)+IFERROR(VLOOKUP($A512,[2]库存使用数据!$A:$G,7,0),0)+公式!$B$14*IFERROR(VLOOKUP($A512,[3]库存使用数据!$A:$G,7,0),0)+IFERROR(VLOOKUP($A512,[4]库存使用数据!$A:$G,7,0),0)+IFERROR(VLOOKUP($A512,[5]库存使用数据!$A:$G,7,0),0)</f>
        <v>0.07</v>
      </c>
      <c r="H512" s="1">
        <f ca="1">IFERROR(VLOOKUP($A512,[1]库存使用数据!$A:$H,8,0),0)+IFERROR(VLOOKUP($A512,[2]库存使用数据!$A:$H,8,0),0)+IFERROR(VLOOKUP($A512,[3]库存使用数据!$A:$H,8,0),0)+IFERROR(VLOOKUP($A512,[4]库存使用数据!$A:$H,8,0),0)+IFERROR(VLOOKUP($A512,[5]库存使用数据!$A:$H,8,0),0)</f>
        <v>59</v>
      </c>
      <c r="I512" s="1">
        <f ca="1">IFERROR(VLOOKUP($A512,[1]库存使用数据!$A:$I,9,0),0)+IFERROR(VLOOKUP($A512,[2]库存使用数据!$A:$I,9,0),0)+IFERROR(VLOOKUP($A512,[3]库存使用数据!$A:$I,9,0),0)+IFERROR(VLOOKUP($A512,[4]库存使用数据!$A:$I,9,0),0)+IFERROR(VLOOKUP($A512,[5]库存使用数据!$A:$I,9,0),0)</f>
        <v>1</v>
      </c>
      <c r="J512" s="1">
        <f ca="1">IFERROR(VLOOKUP($A512,[1]库存使用数据!$A:$J,10,0),0)+IFERROR(VLOOKUP($A512,[2]库存使用数据!$A:$J,10,0),0)+公式!$B$14*IFERROR(VLOOKUP($A512,[3]库存使用数据!$A:$J,10,0),0)+IFERROR(VLOOKUP($A512,[4]库存使用数据!$A:$J,10,0),0)+IFERROR(VLOOKUP($A512,[5]库存使用数据!$A:$J,10,0),0)</f>
        <v>0.06</v>
      </c>
      <c r="K512" s="1">
        <f ca="1">IFERROR(VLOOKUP($A512,[1]库存使用数据!$A:$K,11,0),0)+IFERROR(VLOOKUP($A512,[2]库存使用数据!$A:$K,11,0),0)+IFERROR(VLOOKUP($A512,[3]库存使用数据!$A:$K,11,0),0)+IFERROR(VLOOKUP($A512,[4]库存使用数据!$A:$K,11,0),0)+IFERROR(VLOOKUP($A512,[5]库存使用数据!$A:$K,11,0),0)</f>
        <v>106</v>
      </c>
      <c r="L512" s="1">
        <f ca="1">IFERROR(VLOOKUP($A512,[1]库存使用数据!$A:$L,12,0),0)+IFERROR(VLOOKUP($A512,[2]库存使用数据!$A:$L,12,0),0)+IFERROR(VLOOKUP($A512,[3]库存使用数据!$A:$L,12,0),0)+IFERROR(VLOOKUP($A512,[4]库存使用数据!$A:$L,12,0),0)+IFERROR(VLOOKUP($A512,[5]库存使用数据!$A:$L,12,0),0)</f>
        <v>0</v>
      </c>
      <c r="M512" s="1">
        <f ca="1">IFERROR(VLOOKUP($A512,[1]库存使用数据!$A:$M,13,0),0)+IFERROR(VLOOKUP($A512,[2]库存使用数据!$A:$M,13,0),0)+公式!$B$14*IFERROR(VLOOKUP($A512,[3]库存使用数据!$A:$M,13,0),0)+IFERROR(VLOOKUP($A512,[4]库存使用数据!$A:$M,13,0),0)+IFERROR(VLOOKUP($A512,[5]库存使用数据!$A:$M,13,0),0)</f>
        <v>0</v>
      </c>
    </row>
    <row r="513" spans="1:13">
      <c r="A513" s="6" t="s">
        <v>518</v>
      </c>
      <c r="B513" s="2">
        <f ca="1">IFERROR(VLOOKUP(A513,[1]库存使用数据!$A:$B,2,0),0)+IFERROR(VLOOKUP(A513,[2]库存使用数据!$A:$B,2,0),0)+IFERROR(VLOOKUP(,[3]库存使用数据!$A:$B,2,0),0)+IFERROR(VLOOKUP(A513,[4]库存使用数据!$A:$B,2,0),0)+IFERROR(VLOOKUP(A513,[5]库存使用数据!$A:$B,2,0),0)</f>
        <v>7556</v>
      </c>
      <c r="C513" s="1">
        <f ca="1">IFERROR(VLOOKUP($A513,[1]库存使用数据!$A:$C,3,0),0)+IFERROR(VLOOKUP($A513,[2]库存使用数据!$A:$C,3,0),0)+IFERROR(VLOOKUP($A513,[3]库存使用数据!$A:$C,3,0),0)+IFERROR(VLOOKUP($A513,[4]库存使用数据!$A:$C,3,0),0)+IFERROR(VLOOKUP($A513,[5]库存使用数据!$A:$C,3,0),0)</f>
        <v>15</v>
      </c>
      <c r="D513" s="1">
        <f ca="1">IFERROR(VLOOKUP($A513,[1]库存使用数据!$A:$D,4,0),0)+IFERROR(VLOOKUP($A513,[2]库存使用数据!$A:$D,4,0),0)+公式!$B$1*IFERROR(VLOOKUP($A513,[3]库存使用数据!$A:$D,4,0),0)+IFERROR(VLOOKUP($A513,[4]库存使用数据!$A:$D,4,0),0)+IFERROR(VLOOKUP($A513,[5]库存使用数据!$A:$D,4,0),0)</f>
        <v>3.01</v>
      </c>
      <c r="E513" s="1">
        <f ca="1">IFERROR(VLOOKUP($A513,[1]库存使用数据!$A:$E,5,0),0)+IFERROR(VLOOKUP($A513,[2]库存使用数据!$A:$E,5,0),0)+IFERROR(VLOOKUP($A513,[3]库存使用数据!$A:$E,5,0),0)+IFERROR(VLOOKUP($A513,[4]库存使用数据!$A:$E,5,0),0)+IFERROR(VLOOKUP($A513,[5]库存使用数据!$A:$E,5,0),0)</f>
        <v>154718</v>
      </c>
      <c r="F513" s="1">
        <f ca="1">IFERROR(VLOOKUP($A513,[1]库存使用数据!$A:$F,6,0),0)+IFERROR(VLOOKUP($A513,[2]库存使用数据!$A:$F,6,0),0)+IFERROR(VLOOKUP($A513,[4]库存使用数据!$A:$F,6,0),0)+IFERROR(VLOOKUP($A513,[3]库存使用数据!$A:$F,6,0),0)+IFERROR(VLOOKUP($A513,[5]库存使用数据!$A:$F,6,0),0)</f>
        <v>111</v>
      </c>
      <c r="G513" s="1">
        <f ca="1">IFERROR(VLOOKUP($A513,[1]库存使用数据!$A:$G,7,0),0)+IFERROR(VLOOKUP($A513,[2]库存使用数据!$A:$G,7,0),0)+公式!$B$14*IFERROR(VLOOKUP($A513,[3]库存使用数据!$A:$G,7,0),0)+IFERROR(VLOOKUP($A513,[4]库存使用数据!$A:$G,7,0),0)+IFERROR(VLOOKUP($A513,[5]库存使用数据!$A:$G,7,0),0)</f>
        <v>16.21</v>
      </c>
      <c r="H513" s="1">
        <f ca="1">IFERROR(VLOOKUP($A513,[1]库存使用数据!$A:$H,8,0),0)+IFERROR(VLOOKUP($A513,[2]库存使用数据!$A:$H,8,0),0)+IFERROR(VLOOKUP($A513,[3]库存使用数据!$A:$H,8,0),0)+IFERROR(VLOOKUP($A513,[4]库存使用数据!$A:$H,8,0),0)+IFERROR(VLOOKUP($A513,[5]库存使用数据!$A:$H,8,0),0)</f>
        <v>11248</v>
      </c>
      <c r="I513" s="1">
        <f ca="1">IFERROR(VLOOKUP($A513,[1]库存使用数据!$A:$I,9,0),0)+IFERROR(VLOOKUP($A513,[2]库存使用数据!$A:$I,9,0),0)+IFERROR(VLOOKUP($A513,[3]库存使用数据!$A:$I,9,0),0)+IFERROR(VLOOKUP($A513,[4]库存使用数据!$A:$I,9,0),0)+IFERROR(VLOOKUP($A513,[5]库存使用数据!$A:$I,9,0),0)</f>
        <v>26</v>
      </c>
      <c r="J513" s="1">
        <f ca="1">IFERROR(VLOOKUP($A513,[1]库存使用数据!$A:$J,10,0),0)+IFERROR(VLOOKUP($A513,[2]库存使用数据!$A:$J,10,0),0)+公式!$B$14*IFERROR(VLOOKUP($A513,[3]库存使用数据!$A:$J,10,0),0)+IFERROR(VLOOKUP($A513,[4]库存使用数据!$A:$J,10,0),0)+IFERROR(VLOOKUP($A513,[5]库存使用数据!$A:$J,10,0),0)</f>
        <v>4.58</v>
      </c>
      <c r="K513" s="1">
        <f ca="1">IFERROR(VLOOKUP($A513,[1]库存使用数据!$A:$K,11,0),0)+IFERROR(VLOOKUP($A513,[2]库存使用数据!$A:$K,11,0),0)+IFERROR(VLOOKUP($A513,[3]库存使用数据!$A:$K,11,0),0)+IFERROR(VLOOKUP($A513,[4]库存使用数据!$A:$K,11,0),0)+IFERROR(VLOOKUP($A513,[5]库存使用数据!$A:$K,11,0),0)</f>
        <v>4416</v>
      </c>
      <c r="L513" s="1">
        <f ca="1">IFERROR(VLOOKUP($A513,[1]库存使用数据!$A:$L,12,0),0)+IFERROR(VLOOKUP($A513,[2]库存使用数据!$A:$L,12,0),0)+IFERROR(VLOOKUP($A513,[3]库存使用数据!$A:$L,12,0),0)+IFERROR(VLOOKUP($A513,[4]库存使用数据!$A:$L,12,0),0)+IFERROR(VLOOKUP($A513,[5]库存使用数据!$A:$L,12,0),0)</f>
        <v>8</v>
      </c>
      <c r="M513" s="1">
        <f ca="1">IFERROR(VLOOKUP($A513,[1]库存使用数据!$A:$M,13,0),0)+IFERROR(VLOOKUP($A513,[2]库存使用数据!$A:$M,13,0),0)+公式!$B$14*IFERROR(VLOOKUP($A513,[3]库存使用数据!$A:$M,13,0),0)+IFERROR(VLOOKUP($A513,[4]库存使用数据!$A:$M,13,0),0)+IFERROR(VLOOKUP($A513,[5]库存使用数据!$A:$M,13,0),0)</f>
        <v>1.77</v>
      </c>
    </row>
    <row r="514" spans="1:13">
      <c r="A514" s="6" t="s">
        <v>519</v>
      </c>
      <c r="B514" s="2">
        <f ca="1">IFERROR(VLOOKUP(A514,[1]库存使用数据!$A:$B,2,0),0)+IFERROR(VLOOKUP(A514,[2]库存使用数据!$A:$B,2,0),0)+IFERROR(VLOOKUP(,[3]库存使用数据!$A:$B,2,0),0)+IFERROR(VLOOKUP(A514,[4]库存使用数据!$A:$B,2,0),0)+IFERROR(VLOOKUP(A514,[5]库存使用数据!$A:$B,2,0),0)</f>
        <v>4182</v>
      </c>
      <c r="C514" s="1">
        <f ca="1">IFERROR(VLOOKUP($A514,[1]库存使用数据!$A:$C,3,0),0)+IFERROR(VLOOKUP($A514,[2]库存使用数据!$A:$C,3,0),0)+IFERROR(VLOOKUP($A514,[3]库存使用数据!$A:$C,3,0),0)+IFERROR(VLOOKUP($A514,[4]库存使用数据!$A:$C,3,0),0)+IFERROR(VLOOKUP($A514,[5]库存使用数据!$A:$C,3,0),0)</f>
        <v>13</v>
      </c>
      <c r="D514" s="1">
        <f ca="1">IFERROR(VLOOKUP($A514,[1]库存使用数据!$A:$D,4,0),0)+IFERROR(VLOOKUP($A514,[2]库存使用数据!$A:$D,4,0),0)+公式!$B$1*IFERROR(VLOOKUP($A514,[3]库存使用数据!$A:$D,4,0),0)+IFERROR(VLOOKUP($A514,[4]库存使用数据!$A:$D,4,0),0)+IFERROR(VLOOKUP($A514,[5]库存使用数据!$A:$D,4,0),0)</f>
        <v>1.63</v>
      </c>
      <c r="E514" s="1">
        <f ca="1">IFERROR(VLOOKUP($A514,[1]库存使用数据!$A:$E,5,0),0)+IFERROR(VLOOKUP($A514,[2]库存使用数据!$A:$E,5,0),0)+IFERROR(VLOOKUP($A514,[3]库存使用数据!$A:$E,5,0),0)+IFERROR(VLOOKUP($A514,[4]库存使用数据!$A:$E,5,0),0)+IFERROR(VLOOKUP($A514,[5]库存使用数据!$A:$E,5,0),0)</f>
        <v>6434</v>
      </c>
      <c r="F514" s="1">
        <f ca="1">IFERROR(VLOOKUP($A514,[1]库存使用数据!$A:$F,6,0),0)+IFERROR(VLOOKUP($A514,[2]库存使用数据!$A:$F,6,0),0)+IFERROR(VLOOKUP($A514,[4]库存使用数据!$A:$F,6,0),0)+IFERROR(VLOOKUP($A514,[3]库存使用数据!$A:$F,6,0),0)+IFERROR(VLOOKUP($A514,[5]库存使用数据!$A:$F,6,0),0)</f>
        <v>27</v>
      </c>
      <c r="G514" s="1">
        <f ca="1">IFERROR(VLOOKUP($A514,[1]库存使用数据!$A:$G,7,0),0)+IFERROR(VLOOKUP($A514,[2]库存使用数据!$A:$G,7,0),0)+公式!$B$14*IFERROR(VLOOKUP($A514,[3]库存使用数据!$A:$G,7,0),0)+IFERROR(VLOOKUP($A514,[4]库存使用数据!$A:$G,7,0),0)+IFERROR(VLOOKUP($A514,[5]库存使用数据!$A:$G,7,0),0)</f>
        <v>3</v>
      </c>
      <c r="H514" s="1">
        <f ca="1">IFERROR(VLOOKUP($A514,[1]库存使用数据!$A:$H,8,0),0)+IFERROR(VLOOKUP($A514,[2]库存使用数据!$A:$H,8,0),0)+IFERROR(VLOOKUP($A514,[3]库存使用数据!$A:$H,8,0),0)+IFERROR(VLOOKUP($A514,[4]库存使用数据!$A:$H,8,0),0)+IFERROR(VLOOKUP($A514,[5]库存使用数据!$A:$H,8,0),0)</f>
        <v>10737</v>
      </c>
      <c r="I514" s="1">
        <f ca="1">IFERROR(VLOOKUP($A514,[1]库存使用数据!$A:$I,9,0),0)+IFERROR(VLOOKUP($A514,[2]库存使用数据!$A:$I,9,0),0)+IFERROR(VLOOKUP($A514,[3]库存使用数据!$A:$I,9,0),0)+IFERROR(VLOOKUP($A514,[4]库存使用数据!$A:$I,9,0),0)+IFERROR(VLOOKUP($A514,[5]库存使用数据!$A:$I,9,0),0)</f>
        <v>32</v>
      </c>
      <c r="J514" s="1">
        <f ca="1">IFERROR(VLOOKUP($A514,[1]库存使用数据!$A:$J,10,0),0)+IFERROR(VLOOKUP($A514,[2]库存使用数据!$A:$J,10,0),0)+公式!$B$14*IFERROR(VLOOKUP($A514,[3]库存使用数据!$A:$J,10,0),0)+IFERROR(VLOOKUP($A514,[4]库存使用数据!$A:$J,10,0),0)+IFERROR(VLOOKUP($A514,[5]库存使用数据!$A:$J,10,0),0)</f>
        <v>4</v>
      </c>
      <c r="K514" s="1">
        <f ca="1">IFERROR(VLOOKUP($A514,[1]库存使用数据!$A:$K,11,0),0)+IFERROR(VLOOKUP($A514,[2]库存使用数据!$A:$K,11,0),0)+IFERROR(VLOOKUP($A514,[3]库存使用数据!$A:$K,11,0),0)+IFERROR(VLOOKUP($A514,[4]库存使用数据!$A:$K,11,0),0)+IFERROR(VLOOKUP($A514,[5]库存使用数据!$A:$K,11,0),0)</f>
        <v>4160</v>
      </c>
      <c r="L514" s="1">
        <f ca="1">IFERROR(VLOOKUP($A514,[1]库存使用数据!$A:$L,12,0),0)+IFERROR(VLOOKUP($A514,[2]库存使用数据!$A:$L,12,0),0)+IFERROR(VLOOKUP($A514,[3]库存使用数据!$A:$L,12,0),0)+IFERROR(VLOOKUP($A514,[4]库存使用数据!$A:$L,12,0),0)+IFERROR(VLOOKUP($A514,[5]库存使用数据!$A:$L,12,0),0)</f>
        <v>15</v>
      </c>
      <c r="M514" s="1">
        <f ca="1">IFERROR(VLOOKUP($A514,[1]库存使用数据!$A:$M,13,0),0)+IFERROR(VLOOKUP($A514,[2]库存使用数据!$A:$M,13,0),0)+公式!$B$14*IFERROR(VLOOKUP($A514,[3]库存使用数据!$A:$M,13,0),0)+IFERROR(VLOOKUP($A514,[4]库存使用数据!$A:$M,13,0),0)+IFERROR(VLOOKUP($A514,[5]库存使用数据!$A:$M,13,0),0)</f>
        <v>1.8</v>
      </c>
    </row>
    <row r="515" spans="1:13">
      <c r="A515" s="6" t="s">
        <v>520</v>
      </c>
      <c r="B515" s="2">
        <f ca="1">IFERROR(VLOOKUP(A515,[1]库存使用数据!$A:$B,2,0),0)+IFERROR(VLOOKUP(A515,[2]库存使用数据!$A:$B,2,0),0)+IFERROR(VLOOKUP(,[3]库存使用数据!$A:$B,2,0),0)+IFERROR(VLOOKUP(A515,[4]库存使用数据!$A:$B,2,0),0)+IFERROR(VLOOKUP(A515,[5]库存使用数据!$A:$B,2,0),0)</f>
        <v>0</v>
      </c>
      <c r="C515" s="1">
        <f ca="1">IFERROR(VLOOKUP($A515,[1]库存使用数据!$A:$C,3,0),0)+IFERROR(VLOOKUP($A515,[2]库存使用数据!$A:$C,3,0),0)+IFERROR(VLOOKUP($A515,[3]库存使用数据!$A:$C,3,0),0)+IFERROR(VLOOKUP($A515,[4]库存使用数据!$A:$C,3,0),0)+IFERROR(VLOOKUP($A515,[5]库存使用数据!$A:$C,3,0),0)</f>
        <v>0</v>
      </c>
      <c r="D515" s="1">
        <f ca="1">IFERROR(VLOOKUP($A515,[1]库存使用数据!$A:$D,4,0),0)+IFERROR(VLOOKUP($A515,[2]库存使用数据!$A:$D,4,0),0)+公式!$B$1*IFERROR(VLOOKUP($A515,[3]库存使用数据!$A:$D,4,0),0)+IFERROR(VLOOKUP($A515,[4]库存使用数据!$A:$D,4,0),0)+IFERROR(VLOOKUP($A515,[5]库存使用数据!$A:$D,4,0),0)</f>
        <v>0</v>
      </c>
      <c r="E515" s="1">
        <f ca="1">IFERROR(VLOOKUP($A515,[1]库存使用数据!$A:$E,5,0),0)+IFERROR(VLOOKUP($A515,[2]库存使用数据!$A:$E,5,0),0)+IFERROR(VLOOKUP($A515,[3]库存使用数据!$A:$E,5,0),0)+IFERROR(VLOOKUP($A515,[4]库存使用数据!$A:$E,5,0),0)+IFERROR(VLOOKUP($A515,[5]库存使用数据!$A:$E,5,0),0)</f>
        <v>76</v>
      </c>
      <c r="F515" s="1">
        <f ca="1">IFERROR(VLOOKUP($A515,[1]库存使用数据!$A:$F,6,0),0)+IFERROR(VLOOKUP($A515,[2]库存使用数据!$A:$F,6,0),0)+IFERROR(VLOOKUP($A515,[4]库存使用数据!$A:$F,6,0),0)+IFERROR(VLOOKUP($A515,[3]库存使用数据!$A:$F,6,0),0)+IFERROR(VLOOKUP($A515,[5]库存使用数据!$A:$F,6,0),0)</f>
        <v>0</v>
      </c>
      <c r="G515" s="1">
        <f ca="1">IFERROR(VLOOKUP($A515,[1]库存使用数据!$A:$G,7,0),0)+IFERROR(VLOOKUP($A515,[2]库存使用数据!$A:$G,7,0),0)+公式!$B$14*IFERROR(VLOOKUP($A515,[3]库存使用数据!$A:$G,7,0),0)+IFERROR(VLOOKUP($A515,[4]库存使用数据!$A:$G,7,0),0)+IFERROR(VLOOKUP($A515,[5]库存使用数据!$A:$G,7,0),0)</f>
        <v>0</v>
      </c>
      <c r="H515" s="1">
        <f ca="1">IFERROR(VLOOKUP($A515,[1]库存使用数据!$A:$H,8,0),0)+IFERROR(VLOOKUP($A515,[2]库存使用数据!$A:$H,8,0),0)+IFERROR(VLOOKUP($A515,[3]库存使用数据!$A:$H,8,0),0)+IFERROR(VLOOKUP($A515,[4]库存使用数据!$A:$H,8,0),0)+IFERROR(VLOOKUP($A515,[5]库存使用数据!$A:$H,8,0),0)</f>
        <v>94</v>
      </c>
      <c r="I515" s="1">
        <f ca="1">IFERROR(VLOOKUP($A515,[1]库存使用数据!$A:$I,9,0),0)+IFERROR(VLOOKUP($A515,[2]库存使用数据!$A:$I,9,0),0)+IFERROR(VLOOKUP($A515,[3]库存使用数据!$A:$I,9,0),0)+IFERROR(VLOOKUP($A515,[4]库存使用数据!$A:$I,9,0),0)+IFERROR(VLOOKUP($A515,[5]库存使用数据!$A:$I,9,0),0)</f>
        <v>0</v>
      </c>
      <c r="J515" s="1">
        <f ca="1">IFERROR(VLOOKUP($A515,[1]库存使用数据!$A:$J,10,0),0)+IFERROR(VLOOKUP($A515,[2]库存使用数据!$A:$J,10,0),0)+公式!$B$14*IFERROR(VLOOKUP($A515,[3]库存使用数据!$A:$J,10,0),0)+IFERROR(VLOOKUP($A515,[4]库存使用数据!$A:$J,10,0),0)+IFERROR(VLOOKUP($A515,[5]库存使用数据!$A:$J,10,0),0)</f>
        <v>0</v>
      </c>
      <c r="K515" s="1">
        <f ca="1">IFERROR(VLOOKUP($A515,[1]库存使用数据!$A:$K,11,0),0)+IFERROR(VLOOKUP($A515,[2]库存使用数据!$A:$K,11,0),0)+IFERROR(VLOOKUP($A515,[3]库存使用数据!$A:$K,11,0),0)+IFERROR(VLOOKUP($A515,[4]库存使用数据!$A:$K,11,0),0)+IFERROR(VLOOKUP($A515,[5]库存使用数据!$A:$K,11,0),0)</f>
        <v>76</v>
      </c>
      <c r="L515" s="1">
        <f ca="1">IFERROR(VLOOKUP($A515,[1]库存使用数据!$A:$L,12,0),0)+IFERROR(VLOOKUP($A515,[2]库存使用数据!$A:$L,12,0),0)+IFERROR(VLOOKUP($A515,[3]库存使用数据!$A:$L,12,0),0)+IFERROR(VLOOKUP($A515,[4]库存使用数据!$A:$L,12,0),0)+IFERROR(VLOOKUP($A515,[5]库存使用数据!$A:$L,12,0),0)</f>
        <v>0</v>
      </c>
      <c r="M515" s="1">
        <f ca="1">IFERROR(VLOOKUP($A515,[1]库存使用数据!$A:$M,13,0),0)+IFERROR(VLOOKUP($A515,[2]库存使用数据!$A:$M,13,0),0)+公式!$B$14*IFERROR(VLOOKUP($A515,[3]库存使用数据!$A:$M,13,0),0)+IFERROR(VLOOKUP($A515,[4]库存使用数据!$A:$M,13,0),0)+IFERROR(VLOOKUP($A515,[5]库存使用数据!$A:$M,13,0),0)</f>
        <v>0</v>
      </c>
    </row>
    <row r="516" spans="1:13">
      <c r="A516" s="6" t="s">
        <v>521</v>
      </c>
      <c r="B516" s="2">
        <f ca="1">IFERROR(VLOOKUP(A516,[1]库存使用数据!$A:$B,2,0),0)+IFERROR(VLOOKUP(A516,[2]库存使用数据!$A:$B,2,0),0)+IFERROR(VLOOKUP(,[3]库存使用数据!$A:$B,2,0),0)+IFERROR(VLOOKUP(A516,[4]库存使用数据!$A:$B,2,0),0)+IFERROR(VLOOKUP(A516,[5]库存使用数据!$A:$B,2,0),0)</f>
        <v>0</v>
      </c>
      <c r="C516" s="1">
        <f ca="1">IFERROR(VLOOKUP($A516,[1]库存使用数据!$A:$C,3,0),0)+IFERROR(VLOOKUP($A516,[2]库存使用数据!$A:$C,3,0),0)+IFERROR(VLOOKUP($A516,[3]库存使用数据!$A:$C,3,0),0)+IFERROR(VLOOKUP($A516,[4]库存使用数据!$A:$C,3,0),0)+IFERROR(VLOOKUP($A516,[5]库存使用数据!$A:$C,3,0),0)</f>
        <v>0</v>
      </c>
      <c r="D516" s="1">
        <f ca="1">IFERROR(VLOOKUP($A516,[1]库存使用数据!$A:$D,4,0),0)+IFERROR(VLOOKUP($A516,[2]库存使用数据!$A:$D,4,0),0)+公式!$B$1*IFERROR(VLOOKUP($A516,[3]库存使用数据!$A:$D,4,0),0)+IFERROR(VLOOKUP($A516,[4]库存使用数据!$A:$D,4,0),0)+IFERROR(VLOOKUP($A516,[5]库存使用数据!$A:$D,4,0),0)</f>
        <v>0</v>
      </c>
      <c r="E516" s="1">
        <f ca="1">IFERROR(VLOOKUP($A516,[1]库存使用数据!$A:$E,5,0),0)+IFERROR(VLOOKUP($A516,[2]库存使用数据!$A:$E,5,0),0)+IFERROR(VLOOKUP($A516,[3]库存使用数据!$A:$E,5,0),0)+IFERROR(VLOOKUP($A516,[4]库存使用数据!$A:$E,5,0),0)+IFERROR(VLOOKUP($A516,[5]库存使用数据!$A:$E,5,0),0)</f>
        <v>282</v>
      </c>
      <c r="F516" s="1">
        <f ca="1">IFERROR(VLOOKUP($A516,[1]库存使用数据!$A:$F,6,0),0)+IFERROR(VLOOKUP($A516,[2]库存使用数据!$A:$F,6,0),0)+IFERROR(VLOOKUP($A516,[4]库存使用数据!$A:$F,6,0),0)+IFERROR(VLOOKUP($A516,[3]库存使用数据!$A:$F,6,0),0)+IFERROR(VLOOKUP($A516,[5]库存使用数据!$A:$F,6,0),0)</f>
        <v>2</v>
      </c>
      <c r="G516" s="1">
        <f ca="1">IFERROR(VLOOKUP($A516,[1]库存使用数据!$A:$G,7,0),0)+IFERROR(VLOOKUP($A516,[2]库存使用数据!$A:$G,7,0),0)+公式!$B$14*IFERROR(VLOOKUP($A516,[3]库存使用数据!$A:$G,7,0),0)+IFERROR(VLOOKUP($A516,[4]库存使用数据!$A:$G,7,0),0)+IFERROR(VLOOKUP($A516,[5]库存使用数据!$A:$G,7,0),0)</f>
        <v>0.17</v>
      </c>
      <c r="H516" s="1">
        <f ca="1">IFERROR(VLOOKUP($A516,[1]库存使用数据!$A:$H,8,0),0)+IFERROR(VLOOKUP($A516,[2]库存使用数据!$A:$H,8,0),0)+IFERROR(VLOOKUP($A516,[3]库存使用数据!$A:$H,8,0),0)+IFERROR(VLOOKUP($A516,[4]库存使用数据!$A:$H,8,0),0)+IFERROR(VLOOKUP($A516,[5]库存使用数据!$A:$H,8,0),0)</f>
        <v>585</v>
      </c>
      <c r="I516" s="1">
        <f ca="1">IFERROR(VLOOKUP($A516,[1]库存使用数据!$A:$I,9,0),0)+IFERROR(VLOOKUP($A516,[2]库存使用数据!$A:$I,9,0),0)+IFERROR(VLOOKUP($A516,[3]库存使用数据!$A:$I,9,0),0)+IFERROR(VLOOKUP($A516,[4]库存使用数据!$A:$I,9,0),0)+IFERROR(VLOOKUP($A516,[5]库存使用数据!$A:$I,9,0),0)</f>
        <v>2</v>
      </c>
      <c r="J516" s="1">
        <f ca="1">IFERROR(VLOOKUP($A516,[1]库存使用数据!$A:$J,10,0),0)+IFERROR(VLOOKUP($A516,[2]库存使用数据!$A:$J,10,0),0)+公式!$B$14*IFERROR(VLOOKUP($A516,[3]库存使用数据!$A:$J,10,0),0)+IFERROR(VLOOKUP($A516,[4]库存使用数据!$A:$J,10,0),0)+IFERROR(VLOOKUP($A516,[5]库存使用数据!$A:$J,10,0),0)</f>
        <v>0.14</v>
      </c>
      <c r="K516" s="1">
        <f ca="1">IFERROR(VLOOKUP($A516,[1]库存使用数据!$A:$K,11,0),0)+IFERROR(VLOOKUP($A516,[2]库存使用数据!$A:$K,11,0),0)+IFERROR(VLOOKUP($A516,[3]库存使用数据!$A:$K,11,0),0)+IFERROR(VLOOKUP($A516,[4]库存使用数据!$A:$K,11,0),0)+IFERROR(VLOOKUP($A516,[5]库存使用数据!$A:$K,11,0),0)</f>
        <v>143</v>
      </c>
      <c r="L516" s="1">
        <f ca="1">IFERROR(VLOOKUP($A516,[1]库存使用数据!$A:$L,12,0),0)+IFERROR(VLOOKUP($A516,[2]库存使用数据!$A:$L,12,0),0)+IFERROR(VLOOKUP($A516,[3]库存使用数据!$A:$L,12,0),0)+IFERROR(VLOOKUP($A516,[4]库存使用数据!$A:$L,12,0),0)+IFERROR(VLOOKUP($A516,[5]库存使用数据!$A:$L,12,0),0)</f>
        <v>1</v>
      </c>
      <c r="M516" s="1">
        <f ca="1">IFERROR(VLOOKUP($A516,[1]库存使用数据!$A:$M,13,0),0)+IFERROR(VLOOKUP($A516,[2]库存使用数据!$A:$M,13,0),0)+公式!$B$14*IFERROR(VLOOKUP($A516,[3]库存使用数据!$A:$M,13,0),0)+IFERROR(VLOOKUP($A516,[4]库存使用数据!$A:$M,13,0),0)+IFERROR(VLOOKUP($A516,[5]库存使用数据!$A:$M,13,0),0)</f>
        <v>0.02</v>
      </c>
    </row>
    <row r="517" spans="1:13">
      <c r="A517" s="6" t="s">
        <v>522</v>
      </c>
      <c r="B517" s="2">
        <f ca="1">IFERROR(VLOOKUP(A517,[1]库存使用数据!$A:$B,2,0),0)+IFERROR(VLOOKUP(A517,[2]库存使用数据!$A:$B,2,0),0)+IFERROR(VLOOKUP(,[3]库存使用数据!$A:$B,2,0),0)+IFERROR(VLOOKUP(A517,[4]库存使用数据!$A:$B,2,0),0)+IFERROR(VLOOKUP(A517,[5]库存使用数据!$A:$B,2,0),0)</f>
        <v>0</v>
      </c>
      <c r="C517" s="1">
        <f ca="1">IFERROR(VLOOKUP($A517,[1]库存使用数据!$A:$C,3,0),0)+IFERROR(VLOOKUP($A517,[2]库存使用数据!$A:$C,3,0),0)+IFERROR(VLOOKUP($A517,[3]库存使用数据!$A:$C,3,0),0)+IFERROR(VLOOKUP($A517,[4]库存使用数据!$A:$C,3,0),0)+IFERROR(VLOOKUP($A517,[5]库存使用数据!$A:$C,3,0),0)</f>
        <v>0</v>
      </c>
      <c r="D517" s="1">
        <f ca="1">IFERROR(VLOOKUP($A517,[1]库存使用数据!$A:$D,4,0),0)+IFERROR(VLOOKUP($A517,[2]库存使用数据!$A:$D,4,0),0)+公式!$B$1*IFERROR(VLOOKUP($A517,[3]库存使用数据!$A:$D,4,0),0)+IFERROR(VLOOKUP($A517,[4]库存使用数据!$A:$D,4,0),0)+IFERROR(VLOOKUP($A517,[5]库存使用数据!$A:$D,4,0),0)</f>
        <v>0</v>
      </c>
      <c r="E517" s="1">
        <f ca="1">IFERROR(VLOOKUP($A517,[1]库存使用数据!$A:$E,5,0),0)+IFERROR(VLOOKUP($A517,[2]库存使用数据!$A:$E,5,0),0)+IFERROR(VLOOKUP($A517,[3]库存使用数据!$A:$E,5,0),0)+IFERROR(VLOOKUP($A517,[4]库存使用数据!$A:$E,5,0),0)+IFERROR(VLOOKUP($A517,[5]库存使用数据!$A:$E,5,0),0)</f>
        <v>290</v>
      </c>
      <c r="F517" s="1">
        <f ca="1">IFERROR(VLOOKUP($A517,[1]库存使用数据!$A:$F,6,0),0)+IFERROR(VLOOKUP($A517,[2]库存使用数据!$A:$F,6,0),0)+IFERROR(VLOOKUP($A517,[4]库存使用数据!$A:$F,6,0),0)+IFERROR(VLOOKUP($A517,[3]库存使用数据!$A:$F,6,0),0)+IFERROR(VLOOKUP($A517,[5]库存使用数据!$A:$F,6,0),0)</f>
        <v>0</v>
      </c>
      <c r="G517" s="1">
        <f ca="1">IFERROR(VLOOKUP($A517,[1]库存使用数据!$A:$G,7,0),0)+IFERROR(VLOOKUP($A517,[2]库存使用数据!$A:$G,7,0),0)+公式!$B$14*IFERROR(VLOOKUP($A517,[3]库存使用数据!$A:$G,7,0),0)+IFERROR(VLOOKUP($A517,[4]库存使用数据!$A:$G,7,0),0)+IFERROR(VLOOKUP($A517,[5]库存使用数据!$A:$G,7,0),0)</f>
        <v>0</v>
      </c>
      <c r="H517" s="1">
        <f ca="1">IFERROR(VLOOKUP($A517,[1]库存使用数据!$A:$H,8,0),0)+IFERROR(VLOOKUP($A517,[2]库存使用数据!$A:$H,8,0),0)+IFERROR(VLOOKUP($A517,[3]库存使用数据!$A:$H,8,0),0)+IFERROR(VLOOKUP($A517,[4]库存使用数据!$A:$H,8,0),0)+IFERROR(VLOOKUP($A517,[5]库存使用数据!$A:$H,8,0),0)</f>
        <v>325</v>
      </c>
      <c r="I517" s="1">
        <f ca="1">IFERROR(VLOOKUP($A517,[1]库存使用数据!$A:$I,9,0),0)+IFERROR(VLOOKUP($A517,[2]库存使用数据!$A:$I,9,0),0)+IFERROR(VLOOKUP($A517,[3]库存使用数据!$A:$I,9,0),0)+IFERROR(VLOOKUP($A517,[4]库存使用数据!$A:$I,9,0),0)+IFERROR(VLOOKUP($A517,[5]库存使用数据!$A:$I,9,0),0)</f>
        <v>0</v>
      </c>
      <c r="J517" s="1">
        <f ca="1">IFERROR(VLOOKUP($A517,[1]库存使用数据!$A:$J,10,0),0)+IFERROR(VLOOKUP($A517,[2]库存使用数据!$A:$J,10,0),0)+公式!$B$14*IFERROR(VLOOKUP($A517,[3]库存使用数据!$A:$J,10,0),0)+IFERROR(VLOOKUP($A517,[4]库存使用数据!$A:$J,10,0),0)+IFERROR(VLOOKUP($A517,[5]库存使用数据!$A:$J,10,0),0)</f>
        <v>0</v>
      </c>
      <c r="K517" s="1">
        <f ca="1">IFERROR(VLOOKUP($A517,[1]库存使用数据!$A:$K,11,0),0)+IFERROR(VLOOKUP($A517,[2]库存使用数据!$A:$K,11,0),0)+IFERROR(VLOOKUP($A517,[3]库存使用数据!$A:$K,11,0),0)+IFERROR(VLOOKUP($A517,[4]库存使用数据!$A:$K,11,0),0)+IFERROR(VLOOKUP($A517,[5]库存使用数据!$A:$K,11,0),0)</f>
        <v>687</v>
      </c>
      <c r="L517" s="1">
        <f ca="1">IFERROR(VLOOKUP($A517,[1]库存使用数据!$A:$L,12,0),0)+IFERROR(VLOOKUP($A517,[2]库存使用数据!$A:$L,12,0),0)+IFERROR(VLOOKUP($A517,[3]库存使用数据!$A:$L,12,0),0)+IFERROR(VLOOKUP($A517,[4]库存使用数据!$A:$L,12,0),0)+IFERROR(VLOOKUP($A517,[5]库存使用数据!$A:$L,12,0),0)</f>
        <v>2</v>
      </c>
      <c r="M517" s="1">
        <f ca="1">IFERROR(VLOOKUP($A517,[1]库存使用数据!$A:$M,13,0),0)+IFERROR(VLOOKUP($A517,[2]库存使用数据!$A:$M,13,0),0)+公式!$B$14*IFERROR(VLOOKUP($A517,[3]库存使用数据!$A:$M,13,0),0)+IFERROR(VLOOKUP($A517,[4]库存使用数据!$A:$M,13,0),0)+IFERROR(VLOOKUP($A517,[5]库存使用数据!$A:$M,13,0),0)</f>
        <v>0.11</v>
      </c>
    </row>
    <row r="518" spans="1:13">
      <c r="A518" s="6" t="s">
        <v>523</v>
      </c>
      <c r="B518" s="2">
        <f ca="1">IFERROR(VLOOKUP(A518,[1]库存使用数据!$A:$B,2,0),0)+IFERROR(VLOOKUP(A518,[2]库存使用数据!$A:$B,2,0),0)+IFERROR(VLOOKUP(,[3]库存使用数据!$A:$B,2,0),0)+IFERROR(VLOOKUP(A518,[4]库存使用数据!$A:$B,2,0),0)+IFERROR(VLOOKUP(A518,[5]库存使用数据!$A:$B,2,0),0)</f>
        <v>0</v>
      </c>
      <c r="C518" s="1">
        <f ca="1">IFERROR(VLOOKUP($A518,[1]库存使用数据!$A:$C,3,0),0)+IFERROR(VLOOKUP($A518,[2]库存使用数据!$A:$C,3,0),0)+IFERROR(VLOOKUP($A518,[3]库存使用数据!$A:$C,3,0),0)+IFERROR(VLOOKUP($A518,[4]库存使用数据!$A:$C,3,0),0)+IFERROR(VLOOKUP($A518,[5]库存使用数据!$A:$C,3,0),0)</f>
        <v>0</v>
      </c>
      <c r="D518" s="1">
        <f ca="1">IFERROR(VLOOKUP($A518,[1]库存使用数据!$A:$D,4,0),0)+IFERROR(VLOOKUP($A518,[2]库存使用数据!$A:$D,4,0),0)+公式!$B$1*IFERROR(VLOOKUP($A518,[3]库存使用数据!$A:$D,4,0),0)+IFERROR(VLOOKUP($A518,[4]库存使用数据!$A:$D,4,0),0)+IFERROR(VLOOKUP($A518,[5]库存使用数据!$A:$D,4,0),0)</f>
        <v>0</v>
      </c>
      <c r="E518" s="1">
        <f ca="1">IFERROR(VLOOKUP($A518,[1]库存使用数据!$A:$E,5,0),0)+IFERROR(VLOOKUP($A518,[2]库存使用数据!$A:$E,5,0),0)+IFERROR(VLOOKUP($A518,[3]库存使用数据!$A:$E,5,0),0)+IFERROR(VLOOKUP($A518,[4]库存使用数据!$A:$E,5,0),0)+IFERROR(VLOOKUP($A518,[5]库存使用数据!$A:$E,5,0),0)</f>
        <v>0</v>
      </c>
      <c r="F518" s="1">
        <f ca="1">IFERROR(VLOOKUP($A518,[1]库存使用数据!$A:$F,6,0),0)+IFERROR(VLOOKUP($A518,[2]库存使用数据!$A:$F,6,0),0)+IFERROR(VLOOKUP($A518,[4]库存使用数据!$A:$F,6,0),0)+IFERROR(VLOOKUP($A518,[3]库存使用数据!$A:$F,6,0),0)+IFERROR(VLOOKUP($A518,[5]库存使用数据!$A:$F,6,0),0)</f>
        <v>0</v>
      </c>
      <c r="G518" s="1">
        <f ca="1">IFERROR(VLOOKUP($A518,[1]库存使用数据!$A:$G,7,0),0)+IFERROR(VLOOKUP($A518,[2]库存使用数据!$A:$G,7,0),0)+公式!$B$14*IFERROR(VLOOKUP($A518,[3]库存使用数据!$A:$G,7,0),0)+IFERROR(VLOOKUP($A518,[4]库存使用数据!$A:$G,7,0),0)+IFERROR(VLOOKUP($A518,[5]库存使用数据!$A:$G,7,0),0)</f>
        <v>0</v>
      </c>
      <c r="H518" s="1">
        <f ca="1">IFERROR(VLOOKUP($A518,[1]库存使用数据!$A:$H,8,0),0)+IFERROR(VLOOKUP($A518,[2]库存使用数据!$A:$H,8,0),0)+IFERROR(VLOOKUP($A518,[3]库存使用数据!$A:$H,8,0),0)+IFERROR(VLOOKUP($A518,[4]库存使用数据!$A:$H,8,0),0)+IFERROR(VLOOKUP($A518,[5]库存使用数据!$A:$H,8,0),0)</f>
        <v>0</v>
      </c>
      <c r="I518" s="1">
        <f ca="1">IFERROR(VLOOKUP($A518,[1]库存使用数据!$A:$I,9,0),0)+IFERROR(VLOOKUP($A518,[2]库存使用数据!$A:$I,9,0),0)+IFERROR(VLOOKUP($A518,[3]库存使用数据!$A:$I,9,0),0)+IFERROR(VLOOKUP($A518,[4]库存使用数据!$A:$I,9,0),0)+IFERROR(VLOOKUP($A518,[5]库存使用数据!$A:$I,9,0),0)</f>
        <v>0</v>
      </c>
      <c r="J518" s="1">
        <f ca="1">IFERROR(VLOOKUP($A518,[1]库存使用数据!$A:$J,10,0),0)+IFERROR(VLOOKUP($A518,[2]库存使用数据!$A:$J,10,0),0)+公式!$B$14*IFERROR(VLOOKUP($A518,[3]库存使用数据!$A:$J,10,0),0)+IFERROR(VLOOKUP($A518,[4]库存使用数据!$A:$J,10,0),0)+IFERROR(VLOOKUP($A518,[5]库存使用数据!$A:$J,10,0),0)</f>
        <v>0</v>
      </c>
      <c r="K518" s="1">
        <f ca="1">IFERROR(VLOOKUP($A518,[1]库存使用数据!$A:$K,11,0),0)+IFERROR(VLOOKUP($A518,[2]库存使用数据!$A:$K,11,0),0)+IFERROR(VLOOKUP($A518,[3]库存使用数据!$A:$K,11,0),0)+IFERROR(VLOOKUP($A518,[4]库存使用数据!$A:$K,11,0),0)+IFERROR(VLOOKUP($A518,[5]库存使用数据!$A:$K,11,0),0)</f>
        <v>0</v>
      </c>
      <c r="L518" s="1">
        <f ca="1">IFERROR(VLOOKUP($A518,[1]库存使用数据!$A:$L,12,0),0)+IFERROR(VLOOKUP($A518,[2]库存使用数据!$A:$L,12,0),0)+IFERROR(VLOOKUP($A518,[3]库存使用数据!$A:$L,12,0),0)+IFERROR(VLOOKUP($A518,[4]库存使用数据!$A:$L,12,0),0)+IFERROR(VLOOKUP($A518,[5]库存使用数据!$A:$L,12,0),0)</f>
        <v>0</v>
      </c>
      <c r="M518" s="1">
        <f ca="1">IFERROR(VLOOKUP($A518,[1]库存使用数据!$A:$M,13,0),0)+IFERROR(VLOOKUP($A518,[2]库存使用数据!$A:$M,13,0),0)+公式!$B$14*IFERROR(VLOOKUP($A518,[3]库存使用数据!$A:$M,13,0),0)+IFERROR(VLOOKUP($A518,[4]库存使用数据!$A:$M,13,0),0)+IFERROR(VLOOKUP($A518,[5]库存使用数据!$A:$M,13,0),0)</f>
        <v>0</v>
      </c>
    </row>
    <row r="519" spans="1:13">
      <c r="A519" s="6" t="s">
        <v>524</v>
      </c>
      <c r="B519" s="2">
        <f ca="1">IFERROR(VLOOKUP(A519,[1]库存使用数据!$A:$B,2,0),0)+IFERROR(VLOOKUP(A519,[2]库存使用数据!$A:$B,2,0),0)+IFERROR(VLOOKUP(,[3]库存使用数据!$A:$B,2,0),0)+IFERROR(VLOOKUP(A519,[4]库存使用数据!$A:$B,2,0),0)+IFERROR(VLOOKUP(A519,[5]库存使用数据!$A:$B,2,0),0)</f>
        <v>19</v>
      </c>
      <c r="C519" s="1">
        <f ca="1">IFERROR(VLOOKUP($A519,[1]库存使用数据!$A:$C,3,0),0)+IFERROR(VLOOKUP($A519,[2]库存使用数据!$A:$C,3,0),0)+IFERROR(VLOOKUP($A519,[3]库存使用数据!$A:$C,3,0),0)+IFERROR(VLOOKUP($A519,[4]库存使用数据!$A:$C,3,0),0)+IFERROR(VLOOKUP($A519,[5]库存使用数据!$A:$C,3,0),0)</f>
        <v>0</v>
      </c>
      <c r="D519" s="1">
        <f ca="1">IFERROR(VLOOKUP($A519,[1]库存使用数据!$A:$D,4,0),0)+IFERROR(VLOOKUP($A519,[2]库存使用数据!$A:$D,4,0),0)+公式!$B$1*IFERROR(VLOOKUP($A519,[3]库存使用数据!$A:$D,4,0),0)+IFERROR(VLOOKUP($A519,[4]库存使用数据!$A:$D,4,0),0)+IFERROR(VLOOKUP($A519,[5]库存使用数据!$A:$D,4,0),0)</f>
        <v>0</v>
      </c>
      <c r="E519" s="1">
        <f ca="1">IFERROR(VLOOKUP($A519,[1]库存使用数据!$A:$E,5,0),0)+IFERROR(VLOOKUP($A519,[2]库存使用数据!$A:$E,5,0),0)+IFERROR(VLOOKUP($A519,[3]库存使用数据!$A:$E,5,0),0)+IFERROR(VLOOKUP($A519,[4]库存使用数据!$A:$E,5,0),0)+IFERROR(VLOOKUP($A519,[5]库存使用数据!$A:$E,5,0),0)</f>
        <v>585</v>
      </c>
      <c r="F519" s="1">
        <f ca="1">IFERROR(VLOOKUP($A519,[1]库存使用数据!$A:$F,6,0),0)+IFERROR(VLOOKUP($A519,[2]库存使用数据!$A:$F,6,0),0)+IFERROR(VLOOKUP($A519,[4]库存使用数据!$A:$F,6,0),0)+IFERROR(VLOOKUP($A519,[3]库存使用数据!$A:$F,6,0),0)+IFERROR(VLOOKUP($A519,[5]库存使用数据!$A:$F,6,0),0)</f>
        <v>2</v>
      </c>
      <c r="G519" s="1">
        <f ca="1">IFERROR(VLOOKUP($A519,[1]库存使用数据!$A:$G,7,0),0)+IFERROR(VLOOKUP($A519,[2]库存使用数据!$A:$G,7,0),0)+公式!$B$14*IFERROR(VLOOKUP($A519,[3]库存使用数据!$A:$G,7,0),0)+IFERROR(VLOOKUP($A519,[4]库存使用数据!$A:$G,7,0),0)+IFERROR(VLOOKUP($A519,[5]库存使用数据!$A:$G,7,0),0)</f>
        <v>0.1</v>
      </c>
      <c r="H519" s="1">
        <f ca="1">IFERROR(VLOOKUP($A519,[1]库存使用数据!$A:$H,8,0),0)+IFERROR(VLOOKUP($A519,[2]库存使用数据!$A:$H,8,0),0)+IFERROR(VLOOKUP($A519,[3]库存使用数据!$A:$H,8,0),0)+IFERROR(VLOOKUP($A519,[4]库存使用数据!$A:$H,8,0),0)+IFERROR(VLOOKUP($A519,[5]库存使用数据!$A:$H,8,0),0)</f>
        <v>332</v>
      </c>
      <c r="I519" s="1">
        <f ca="1">IFERROR(VLOOKUP($A519,[1]库存使用数据!$A:$I,9,0),0)+IFERROR(VLOOKUP($A519,[2]库存使用数据!$A:$I,9,0),0)+IFERROR(VLOOKUP($A519,[3]库存使用数据!$A:$I,9,0),0)+IFERROR(VLOOKUP($A519,[4]库存使用数据!$A:$I,9,0),0)+IFERROR(VLOOKUP($A519,[5]库存使用数据!$A:$I,9,0),0)</f>
        <v>0</v>
      </c>
      <c r="J519" s="1">
        <f ca="1">IFERROR(VLOOKUP($A519,[1]库存使用数据!$A:$J,10,0),0)+IFERROR(VLOOKUP($A519,[2]库存使用数据!$A:$J,10,0),0)+公式!$B$14*IFERROR(VLOOKUP($A519,[3]库存使用数据!$A:$J,10,0),0)+IFERROR(VLOOKUP($A519,[4]库存使用数据!$A:$J,10,0),0)+IFERROR(VLOOKUP($A519,[5]库存使用数据!$A:$J,10,0),0)</f>
        <v>0</v>
      </c>
      <c r="K519" s="1">
        <f ca="1">IFERROR(VLOOKUP($A519,[1]库存使用数据!$A:$K,11,0),0)+IFERROR(VLOOKUP($A519,[2]库存使用数据!$A:$K,11,0),0)+IFERROR(VLOOKUP($A519,[3]库存使用数据!$A:$K,11,0),0)+IFERROR(VLOOKUP($A519,[4]库存使用数据!$A:$K,11,0),0)+IFERROR(VLOOKUP($A519,[5]库存使用数据!$A:$K,11,0),0)</f>
        <v>309</v>
      </c>
      <c r="L519" s="1">
        <f ca="1">IFERROR(VLOOKUP($A519,[1]库存使用数据!$A:$L,12,0),0)+IFERROR(VLOOKUP($A519,[2]库存使用数据!$A:$L,12,0),0)+IFERROR(VLOOKUP($A519,[3]库存使用数据!$A:$L,12,0),0)+IFERROR(VLOOKUP($A519,[4]库存使用数据!$A:$L,12,0),0)+IFERROR(VLOOKUP($A519,[5]库存使用数据!$A:$L,12,0),0)</f>
        <v>2</v>
      </c>
      <c r="M519" s="1">
        <f ca="1">IFERROR(VLOOKUP($A519,[1]库存使用数据!$A:$M,13,0),0)+IFERROR(VLOOKUP($A519,[2]库存使用数据!$A:$M,13,0),0)+公式!$B$14*IFERROR(VLOOKUP($A519,[3]库存使用数据!$A:$M,13,0),0)+IFERROR(VLOOKUP($A519,[4]库存使用数据!$A:$M,13,0),0)+IFERROR(VLOOKUP($A519,[5]库存使用数据!$A:$M,13,0),0)</f>
        <v>0.04</v>
      </c>
    </row>
    <row r="520" spans="1:13">
      <c r="A520" s="6" t="s">
        <v>525</v>
      </c>
      <c r="B520" s="2">
        <f ca="1">IFERROR(VLOOKUP(A520,[1]库存使用数据!$A:$B,2,0),0)+IFERROR(VLOOKUP(A520,[2]库存使用数据!$A:$B,2,0),0)+IFERROR(VLOOKUP(,[3]库存使用数据!$A:$B,2,0),0)+IFERROR(VLOOKUP(A520,[4]库存使用数据!$A:$B,2,0),0)+IFERROR(VLOOKUP(A520,[5]库存使用数据!$A:$B,2,0),0)</f>
        <v>0</v>
      </c>
      <c r="C520" s="1">
        <f ca="1">IFERROR(VLOOKUP($A520,[1]库存使用数据!$A:$C,3,0),0)+IFERROR(VLOOKUP($A520,[2]库存使用数据!$A:$C,3,0),0)+IFERROR(VLOOKUP($A520,[3]库存使用数据!$A:$C,3,0),0)+IFERROR(VLOOKUP($A520,[4]库存使用数据!$A:$C,3,0),0)+IFERROR(VLOOKUP($A520,[5]库存使用数据!$A:$C,3,0),0)</f>
        <v>0</v>
      </c>
      <c r="D520" s="1">
        <f ca="1">IFERROR(VLOOKUP($A520,[1]库存使用数据!$A:$D,4,0),0)+IFERROR(VLOOKUP($A520,[2]库存使用数据!$A:$D,4,0),0)+公式!$B$1*IFERROR(VLOOKUP($A520,[3]库存使用数据!$A:$D,4,0),0)+IFERROR(VLOOKUP($A520,[4]库存使用数据!$A:$D,4,0),0)+IFERROR(VLOOKUP($A520,[5]库存使用数据!$A:$D,4,0),0)</f>
        <v>0</v>
      </c>
      <c r="E520" s="1">
        <f ca="1">IFERROR(VLOOKUP($A520,[1]库存使用数据!$A:$E,5,0),0)+IFERROR(VLOOKUP($A520,[2]库存使用数据!$A:$E,5,0),0)+IFERROR(VLOOKUP($A520,[3]库存使用数据!$A:$E,5,0),0)+IFERROR(VLOOKUP($A520,[4]库存使用数据!$A:$E,5,0),0)+IFERROR(VLOOKUP($A520,[5]库存使用数据!$A:$E,5,0),0)</f>
        <v>1464</v>
      </c>
      <c r="F520" s="1">
        <f ca="1">IFERROR(VLOOKUP($A520,[1]库存使用数据!$A:$F,6,0),0)+IFERROR(VLOOKUP($A520,[2]库存使用数据!$A:$F,6,0),0)+IFERROR(VLOOKUP($A520,[4]库存使用数据!$A:$F,6,0),0)+IFERROR(VLOOKUP($A520,[3]库存使用数据!$A:$F,6,0),0)+IFERROR(VLOOKUP($A520,[5]库存使用数据!$A:$F,6,0),0)</f>
        <v>7</v>
      </c>
      <c r="G520" s="1">
        <f ca="1">IFERROR(VLOOKUP($A520,[1]库存使用数据!$A:$G,7,0),0)+IFERROR(VLOOKUP($A520,[2]库存使用数据!$A:$G,7,0),0)+公式!$B$14*IFERROR(VLOOKUP($A520,[3]库存使用数据!$A:$G,7,0),0)+IFERROR(VLOOKUP($A520,[4]库存使用数据!$A:$G,7,0),0)+IFERROR(VLOOKUP($A520,[5]库存使用数据!$A:$G,7,0),0)</f>
        <v>0.53</v>
      </c>
      <c r="H520" s="1">
        <f ca="1">IFERROR(VLOOKUP($A520,[1]库存使用数据!$A:$H,8,0),0)+IFERROR(VLOOKUP($A520,[2]库存使用数据!$A:$H,8,0),0)+IFERROR(VLOOKUP($A520,[3]库存使用数据!$A:$H,8,0),0)+IFERROR(VLOOKUP($A520,[4]库存使用数据!$A:$H,8,0),0)+IFERROR(VLOOKUP($A520,[5]库存使用数据!$A:$H,8,0),0)</f>
        <v>858</v>
      </c>
      <c r="I520" s="1">
        <f ca="1">IFERROR(VLOOKUP($A520,[1]库存使用数据!$A:$I,9,0),0)+IFERROR(VLOOKUP($A520,[2]库存使用数据!$A:$I,9,0),0)+IFERROR(VLOOKUP($A520,[3]库存使用数据!$A:$I,9,0),0)+IFERROR(VLOOKUP($A520,[4]库存使用数据!$A:$I,9,0),0)+IFERROR(VLOOKUP($A520,[5]库存使用数据!$A:$I,9,0),0)</f>
        <v>4</v>
      </c>
      <c r="J520" s="1">
        <f ca="1">IFERROR(VLOOKUP($A520,[1]库存使用数据!$A:$J,10,0),0)+IFERROR(VLOOKUP($A520,[2]库存使用数据!$A:$J,10,0),0)+公式!$B$14*IFERROR(VLOOKUP($A520,[3]库存使用数据!$A:$J,10,0),0)+IFERROR(VLOOKUP($A520,[4]库存使用数据!$A:$J,10,0),0)+IFERROR(VLOOKUP($A520,[5]库存使用数据!$A:$J,10,0),0)</f>
        <v>0.44</v>
      </c>
      <c r="K520" s="1">
        <f ca="1">IFERROR(VLOOKUP($A520,[1]库存使用数据!$A:$K,11,0),0)+IFERROR(VLOOKUP($A520,[2]库存使用数据!$A:$K,11,0),0)+IFERROR(VLOOKUP($A520,[3]库存使用数据!$A:$K,11,0),0)+IFERROR(VLOOKUP($A520,[4]库存使用数据!$A:$K,11,0),0)+IFERROR(VLOOKUP($A520,[5]库存使用数据!$A:$K,11,0),0)</f>
        <v>496</v>
      </c>
      <c r="L520" s="1">
        <f ca="1">IFERROR(VLOOKUP($A520,[1]库存使用数据!$A:$L,12,0),0)+IFERROR(VLOOKUP($A520,[2]库存使用数据!$A:$L,12,0),0)+IFERROR(VLOOKUP($A520,[3]库存使用数据!$A:$L,12,0),0)+IFERROR(VLOOKUP($A520,[4]库存使用数据!$A:$L,12,0),0)+IFERROR(VLOOKUP($A520,[5]库存使用数据!$A:$L,12,0),0)</f>
        <v>5</v>
      </c>
      <c r="M520" s="1">
        <f ca="1">IFERROR(VLOOKUP($A520,[1]库存使用数据!$A:$M,13,0),0)+IFERROR(VLOOKUP($A520,[2]库存使用数据!$A:$M,13,0),0)+公式!$B$14*IFERROR(VLOOKUP($A520,[3]库存使用数据!$A:$M,13,0),0)+IFERROR(VLOOKUP($A520,[4]库存使用数据!$A:$M,13,0),0)+IFERROR(VLOOKUP($A520,[5]库存使用数据!$A:$M,13,0),0)</f>
        <v>0.37</v>
      </c>
    </row>
    <row r="521" spans="1:13">
      <c r="A521" s="6" t="s">
        <v>526</v>
      </c>
      <c r="B521" s="2">
        <f ca="1">IFERROR(VLOOKUP(A521,[1]库存使用数据!$A:$B,2,0),0)+IFERROR(VLOOKUP(A521,[2]库存使用数据!$A:$B,2,0),0)+IFERROR(VLOOKUP(,[3]库存使用数据!$A:$B,2,0),0)+IFERROR(VLOOKUP(A521,[4]库存使用数据!$A:$B,2,0),0)+IFERROR(VLOOKUP(A521,[5]库存使用数据!$A:$B,2,0),0)</f>
        <v>0</v>
      </c>
      <c r="C521" s="1">
        <f ca="1">IFERROR(VLOOKUP($A521,[1]库存使用数据!$A:$C,3,0),0)+IFERROR(VLOOKUP($A521,[2]库存使用数据!$A:$C,3,0),0)+IFERROR(VLOOKUP($A521,[3]库存使用数据!$A:$C,3,0),0)+IFERROR(VLOOKUP($A521,[4]库存使用数据!$A:$C,3,0),0)+IFERROR(VLOOKUP($A521,[5]库存使用数据!$A:$C,3,0),0)</f>
        <v>0</v>
      </c>
      <c r="D521" s="1">
        <f ca="1">IFERROR(VLOOKUP($A521,[1]库存使用数据!$A:$D,4,0),0)+IFERROR(VLOOKUP($A521,[2]库存使用数据!$A:$D,4,0),0)+公式!$B$1*IFERROR(VLOOKUP($A521,[3]库存使用数据!$A:$D,4,0),0)+IFERROR(VLOOKUP($A521,[4]库存使用数据!$A:$D,4,0),0)+IFERROR(VLOOKUP($A521,[5]库存使用数据!$A:$D,4,0),0)</f>
        <v>0</v>
      </c>
      <c r="E521" s="1">
        <f ca="1">IFERROR(VLOOKUP($A521,[1]库存使用数据!$A:$E,5,0),0)+IFERROR(VLOOKUP($A521,[2]库存使用数据!$A:$E,5,0),0)+IFERROR(VLOOKUP($A521,[3]库存使用数据!$A:$E,5,0),0)+IFERROR(VLOOKUP($A521,[4]库存使用数据!$A:$E,5,0),0)+IFERROR(VLOOKUP($A521,[5]库存使用数据!$A:$E,5,0),0)</f>
        <v>0</v>
      </c>
      <c r="F521" s="1">
        <f ca="1">IFERROR(VLOOKUP($A521,[1]库存使用数据!$A:$F,6,0),0)+IFERROR(VLOOKUP($A521,[2]库存使用数据!$A:$F,6,0),0)+IFERROR(VLOOKUP($A521,[4]库存使用数据!$A:$F,6,0),0)+IFERROR(VLOOKUP($A521,[3]库存使用数据!$A:$F,6,0),0)+IFERROR(VLOOKUP($A521,[5]库存使用数据!$A:$F,6,0),0)</f>
        <v>0</v>
      </c>
      <c r="G521" s="1">
        <f ca="1">IFERROR(VLOOKUP($A521,[1]库存使用数据!$A:$G,7,0),0)+IFERROR(VLOOKUP($A521,[2]库存使用数据!$A:$G,7,0),0)+公式!$B$14*IFERROR(VLOOKUP($A521,[3]库存使用数据!$A:$G,7,0),0)+IFERROR(VLOOKUP($A521,[4]库存使用数据!$A:$G,7,0),0)+IFERROR(VLOOKUP($A521,[5]库存使用数据!$A:$G,7,0),0)</f>
        <v>0</v>
      </c>
      <c r="H521" s="1">
        <f ca="1">IFERROR(VLOOKUP($A521,[1]库存使用数据!$A:$H,8,0),0)+IFERROR(VLOOKUP($A521,[2]库存使用数据!$A:$H,8,0),0)+IFERROR(VLOOKUP($A521,[3]库存使用数据!$A:$H,8,0),0)+IFERROR(VLOOKUP($A521,[4]库存使用数据!$A:$H,8,0),0)+IFERROR(VLOOKUP($A521,[5]库存使用数据!$A:$H,8,0),0)</f>
        <v>0</v>
      </c>
      <c r="I521" s="1">
        <f ca="1">IFERROR(VLOOKUP($A521,[1]库存使用数据!$A:$I,9,0),0)+IFERROR(VLOOKUP($A521,[2]库存使用数据!$A:$I,9,0),0)+IFERROR(VLOOKUP($A521,[3]库存使用数据!$A:$I,9,0),0)+IFERROR(VLOOKUP($A521,[4]库存使用数据!$A:$I,9,0),0)+IFERROR(VLOOKUP($A521,[5]库存使用数据!$A:$I,9,0),0)</f>
        <v>0</v>
      </c>
      <c r="J521" s="1">
        <f ca="1">IFERROR(VLOOKUP($A521,[1]库存使用数据!$A:$J,10,0),0)+IFERROR(VLOOKUP($A521,[2]库存使用数据!$A:$J,10,0),0)+公式!$B$14*IFERROR(VLOOKUP($A521,[3]库存使用数据!$A:$J,10,0),0)+IFERROR(VLOOKUP($A521,[4]库存使用数据!$A:$J,10,0),0)+IFERROR(VLOOKUP($A521,[5]库存使用数据!$A:$J,10,0),0)</f>
        <v>0</v>
      </c>
      <c r="K521" s="1">
        <f ca="1">IFERROR(VLOOKUP($A521,[1]库存使用数据!$A:$K,11,0),0)+IFERROR(VLOOKUP($A521,[2]库存使用数据!$A:$K,11,0),0)+IFERROR(VLOOKUP($A521,[3]库存使用数据!$A:$K,11,0),0)+IFERROR(VLOOKUP($A521,[4]库存使用数据!$A:$K,11,0),0)+IFERROR(VLOOKUP($A521,[5]库存使用数据!$A:$K,11,0),0)</f>
        <v>0</v>
      </c>
      <c r="L521" s="1">
        <f ca="1">IFERROR(VLOOKUP($A521,[1]库存使用数据!$A:$L,12,0),0)+IFERROR(VLOOKUP($A521,[2]库存使用数据!$A:$L,12,0),0)+IFERROR(VLOOKUP($A521,[3]库存使用数据!$A:$L,12,0),0)+IFERROR(VLOOKUP($A521,[4]库存使用数据!$A:$L,12,0),0)+IFERROR(VLOOKUP($A521,[5]库存使用数据!$A:$L,12,0),0)</f>
        <v>0</v>
      </c>
      <c r="M521" s="1">
        <f ca="1">IFERROR(VLOOKUP($A521,[1]库存使用数据!$A:$M,13,0),0)+IFERROR(VLOOKUP($A521,[2]库存使用数据!$A:$M,13,0),0)+公式!$B$14*IFERROR(VLOOKUP($A521,[3]库存使用数据!$A:$M,13,0),0)+IFERROR(VLOOKUP($A521,[4]库存使用数据!$A:$M,13,0),0)+IFERROR(VLOOKUP($A521,[5]库存使用数据!$A:$M,13,0),0)</f>
        <v>0</v>
      </c>
    </row>
    <row r="522" spans="1:13">
      <c r="A522" s="6" t="s">
        <v>527</v>
      </c>
      <c r="B522" s="2">
        <f ca="1">IFERROR(VLOOKUP(A522,[1]库存使用数据!$A:$B,2,0),0)+IFERROR(VLOOKUP(A522,[2]库存使用数据!$A:$B,2,0),0)+IFERROR(VLOOKUP(,[3]库存使用数据!$A:$B,2,0),0)+IFERROR(VLOOKUP(A522,[4]库存使用数据!$A:$B,2,0),0)+IFERROR(VLOOKUP(A522,[5]库存使用数据!$A:$B,2,0),0)</f>
        <v>0</v>
      </c>
      <c r="C522" s="1">
        <f ca="1">IFERROR(VLOOKUP($A522,[1]库存使用数据!$A:$C,3,0),0)+IFERROR(VLOOKUP($A522,[2]库存使用数据!$A:$C,3,0),0)+IFERROR(VLOOKUP($A522,[3]库存使用数据!$A:$C,3,0),0)+IFERROR(VLOOKUP($A522,[4]库存使用数据!$A:$C,3,0),0)+IFERROR(VLOOKUP($A522,[5]库存使用数据!$A:$C,3,0),0)</f>
        <v>0</v>
      </c>
      <c r="D522" s="1">
        <f ca="1">IFERROR(VLOOKUP($A522,[1]库存使用数据!$A:$D,4,0),0)+IFERROR(VLOOKUP($A522,[2]库存使用数据!$A:$D,4,0),0)+公式!$B$1*IFERROR(VLOOKUP($A522,[3]库存使用数据!$A:$D,4,0),0)+IFERROR(VLOOKUP($A522,[4]库存使用数据!$A:$D,4,0),0)+IFERROR(VLOOKUP($A522,[5]库存使用数据!$A:$D,4,0),0)</f>
        <v>0</v>
      </c>
      <c r="E522" s="1">
        <f ca="1">IFERROR(VLOOKUP($A522,[1]库存使用数据!$A:$E,5,0),0)+IFERROR(VLOOKUP($A522,[2]库存使用数据!$A:$E,5,0),0)+IFERROR(VLOOKUP($A522,[3]库存使用数据!$A:$E,5,0),0)+IFERROR(VLOOKUP($A522,[4]库存使用数据!$A:$E,5,0),0)+IFERROR(VLOOKUP($A522,[5]库存使用数据!$A:$E,5,0),0)</f>
        <v>221</v>
      </c>
      <c r="F522" s="1">
        <f ca="1">IFERROR(VLOOKUP($A522,[1]库存使用数据!$A:$F,6,0),0)+IFERROR(VLOOKUP($A522,[2]库存使用数据!$A:$F,6,0),0)+IFERROR(VLOOKUP($A522,[4]库存使用数据!$A:$F,6,0),0)+IFERROR(VLOOKUP($A522,[3]库存使用数据!$A:$F,6,0),0)+IFERROR(VLOOKUP($A522,[5]库存使用数据!$A:$F,6,0),0)</f>
        <v>0</v>
      </c>
      <c r="G522" s="1">
        <f ca="1">IFERROR(VLOOKUP($A522,[1]库存使用数据!$A:$G,7,0),0)+IFERROR(VLOOKUP($A522,[2]库存使用数据!$A:$G,7,0),0)+公式!$B$14*IFERROR(VLOOKUP($A522,[3]库存使用数据!$A:$G,7,0),0)+IFERROR(VLOOKUP($A522,[4]库存使用数据!$A:$G,7,0),0)+IFERROR(VLOOKUP($A522,[5]库存使用数据!$A:$G,7,0),0)</f>
        <v>0</v>
      </c>
      <c r="H522" s="1">
        <f ca="1">IFERROR(VLOOKUP($A522,[1]库存使用数据!$A:$H,8,0),0)+IFERROR(VLOOKUP($A522,[2]库存使用数据!$A:$H,8,0),0)+IFERROR(VLOOKUP($A522,[3]库存使用数据!$A:$H,8,0),0)+IFERROR(VLOOKUP($A522,[4]库存使用数据!$A:$H,8,0),0)+IFERROR(VLOOKUP($A522,[5]库存使用数据!$A:$H,8,0),0)</f>
        <v>1700</v>
      </c>
      <c r="I522" s="1">
        <f ca="1">IFERROR(VLOOKUP($A522,[1]库存使用数据!$A:$I,9,0),0)+IFERROR(VLOOKUP($A522,[2]库存使用数据!$A:$I,9,0),0)+IFERROR(VLOOKUP($A522,[3]库存使用数据!$A:$I,9,0),0)+IFERROR(VLOOKUP($A522,[4]库存使用数据!$A:$I,9,0),0)+IFERROR(VLOOKUP($A522,[5]库存使用数据!$A:$I,9,0),0)</f>
        <v>9</v>
      </c>
      <c r="J522" s="1">
        <f ca="1">IFERROR(VLOOKUP($A522,[1]库存使用数据!$A:$J,10,0),0)+IFERROR(VLOOKUP($A522,[2]库存使用数据!$A:$J,10,0),0)+公式!$B$14*IFERROR(VLOOKUP($A522,[3]库存使用数据!$A:$J,10,0),0)+IFERROR(VLOOKUP($A522,[4]库存使用数据!$A:$J,10,0),0)+IFERROR(VLOOKUP($A522,[5]库存使用数据!$A:$J,10,0),0)</f>
        <v>1.33</v>
      </c>
      <c r="K522" s="1">
        <f ca="1">IFERROR(VLOOKUP($A522,[1]库存使用数据!$A:$K,11,0),0)+IFERROR(VLOOKUP($A522,[2]库存使用数据!$A:$K,11,0),0)+IFERROR(VLOOKUP($A522,[3]库存使用数据!$A:$K,11,0),0)+IFERROR(VLOOKUP($A522,[4]库存使用数据!$A:$K,11,0),0)+IFERROR(VLOOKUP($A522,[5]库存使用数据!$A:$K,11,0),0)</f>
        <v>4425</v>
      </c>
      <c r="L522" s="1">
        <f ca="1">IFERROR(VLOOKUP($A522,[1]库存使用数据!$A:$L,12,0),0)+IFERROR(VLOOKUP($A522,[2]库存使用数据!$A:$L,12,0),0)+IFERROR(VLOOKUP($A522,[3]库存使用数据!$A:$L,12,0),0)+IFERROR(VLOOKUP($A522,[4]库存使用数据!$A:$L,12,0),0)+IFERROR(VLOOKUP($A522,[5]库存使用数据!$A:$L,12,0),0)</f>
        <v>17</v>
      </c>
      <c r="M522" s="1">
        <f ca="1">IFERROR(VLOOKUP($A522,[1]库存使用数据!$A:$M,13,0),0)+IFERROR(VLOOKUP($A522,[2]库存使用数据!$A:$M,13,0),0)+公式!$B$14*IFERROR(VLOOKUP($A522,[3]库存使用数据!$A:$M,13,0),0)+IFERROR(VLOOKUP($A522,[4]库存使用数据!$A:$M,13,0),0)+IFERROR(VLOOKUP($A522,[5]库存使用数据!$A:$M,13,0),0)</f>
        <v>2.49</v>
      </c>
    </row>
    <row r="523" spans="1:13">
      <c r="A523" s="6" t="s">
        <v>528</v>
      </c>
      <c r="B523" s="2">
        <f ca="1">IFERROR(VLOOKUP(A523,[1]库存使用数据!$A:$B,2,0),0)+IFERROR(VLOOKUP(A523,[2]库存使用数据!$A:$B,2,0),0)+IFERROR(VLOOKUP(,[3]库存使用数据!$A:$B,2,0),0)+IFERROR(VLOOKUP(A523,[4]库存使用数据!$A:$B,2,0),0)+IFERROR(VLOOKUP(A523,[5]库存使用数据!$A:$B,2,0),0)</f>
        <v>190</v>
      </c>
      <c r="C523" s="1">
        <f ca="1">IFERROR(VLOOKUP($A523,[1]库存使用数据!$A:$C,3,0),0)+IFERROR(VLOOKUP($A523,[2]库存使用数据!$A:$C,3,0),0)+IFERROR(VLOOKUP($A523,[3]库存使用数据!$A:$C,3,0),0)+IFERROR(VLOOKUP($A523,[4]库存使用数据!$A:$C,3,0),0)+IFERROR(VLOOKUP($A523,[5]库存使用数据!$A:$C,3,0),0)</f>
        <v>0</v>
      </c>
      <c r="D523" s="1">
        <f ca="1">IFERROR(VLOOKUP($A523,[1]库存使用数据!$A:$D,4,0),0)+IFERROR(VLOOKUP($A523,[2]库存使用数据!$A:$D,4,0),0)+公式!$B$1*IFERROR(VLOOKUP($A523,[3]库存使用数据!$A:$D,4,0),0)+IFERROR(VLOOKUP($A523,[4]库存使用数据!$A:$D,4,0),0)+IFERROR(VLOOKUP($A523,[5]库存使用数据!$A:$D,4,0),0)</f>
        <v>0</v>
      </c>
      <c r="E523" s="1">
        <f ca="1">IFERROR(VLOOKUP($A523,[1]库存使用数据!$A:$E,5,0),0)+IFERROR(VLOOKUP($A523,[2]库存使用数据!$A:$E,5,0),0)+IFERROR(VLOOKUP($A523,[3]库存使用数据!$A:$E,5,0),0)+IFERROR(VLOOKUP($A523,[4]库存使用数据!$A:$E,5,0),0)+IFERROR(VLOOKUP($A523,[5]库存使用数据!$A:$E,5,0),0)</f>
        <v>700</v>
      </c>
      <c r="F523" s="1">
        <f ca="1">IFERROR(VLOOKUP($A523,[1]库存使用数据!$A:$F,6,0),0)+IFERROR(VLOOKUP($A523,[2]库存使用数据!$A:$F,6,0),0)+IFERROR(VLOOKUP($A523,[4]库存使用数据!$A:$F,6,0),0)+IFERROR(VLOOKUP($A523,[3]库存使用数据!$A:$F,6,0),0)+IFERROR(VLOOKUP($A523,[5]库存使用数据!$A:$F,6,0),0)</f>
        <v>1</v>
      </c>
      <c r="G523" s="1">
        <f ca="1">IFERROR(VLOOKUP($A523,[1]库存使用数据!$A:$G,7,0),0)+IFERROR(VLOOKUP($A523,[2]库存使用数据!$A:$G,7,0),0)+公式!$B$14*IFERROR(VLOOKUP($A523,[3]库存使用数据!$A:$G,7,0),0)+IFERROR(VLOOKUP($A523,[4]库存使用数据!$A:$G,7,0),0)+IFERROR(VLOOKUP($A523,[5]库存使用数据!$A:$G,7,0),0)</f>
        <v>0.05</v>
      </c>
      <c r="H523" s="1">
        <f ca="1">IFERROR(VLOOKUP($A523,[1]库存使用数据!$A:$H,8,0),0)+IFERROR(VLOOKUP($A523,[2]库存使用数据!$A:$H,8,0),0)+IFERROR(VLOOKUP($A523,[3]库存使用数据!$A:$H,8,0),0)+IFERROR(VLOOKUP($A523,[4]库存使用数据!$A:$H,8,0),0)+IFERROR(VLOOKUP($A523,[5]库存使用数据!$A:$H,8,0),0)</f>
        <v>469</v>
      </c>
      <c r="I523" s="1">
        <f ca="1">IFERROR(VLOOKUP($A523,[1]库存使用数据!$A:$I,9,0),0)+IFERROR(VLOOKUP($A523,[2]库存使用数据!$A:$I,9,0),0)+IFERROR(VLOOKUP($A523,[3]库存使用数据!$A:$I,9,0),0)+IFERROR(VLOOKUP($A523,[4]库存使用数据!$A:$I,9,0),0)+IFERROR(VLOOKUP($A523,[5]库存使用数据!$A:$I,9,0),0)</f>
        <v>2</v>
      </c>
      <c r="J523" s="1">
        <f ca="1">IFERROR(VLOOKUP($A523,[1]库存使用数据!$A:$J,10,0),0)+IFERROR(VLOOKUP($A523,[2]库存使用数据!$A:$J,10,0),0)+公式!$B$14*IFERROR(VLOOKUP($A523,[3]库存使用数据!$A:$J,10,0),0)+IFERROR(VLOOKUP($A523,[4]库存使用数据!$A:$J,10,0),0)+IFERROR(VLOOKUP($A523,[5]库存使用数据!$A:$J,10,0),0)</f>
        <v>0.12</v>
      </c>
      <c r="K523" s="1">
        <f ca="1">IFERROR(VLOOKUP($A523,[1]库存使用数据!$A:$K,11,0),0)+IFERROR(VLOOKUP($A523,[2]库存使用数据!$A:$K,11,0),0)+IFERROR(VLOOKUP($A523,[3]库存使用数据!$A:$K,11,0),0)+IFERROR(VLOOKUP($A523,[4]库存使用数据!$A:$K,11,0),0)+IFERROR(VLOOKUP($A523,[5]库存使用数据!$A:$K,11,0),0)</f>
        <v>487</v>
      </c>
      <c r="L523" s="1">
        <f ca="1">IFERROR(VLOOKUP($A523,[1]库存使用数据!$A:$L,12,0),0)+IFERROR(VLOOKUP($A523,[2]库存使用数据!$A:$L,12,0),0)+IFERROR(VLOOKUP($A523,[3]库存使用数据!$A:$L,12,0),0)+IFERROR(VLOOKUP($A523,[4]库存使用数据!$A:$L,12,0),0)+IFERROR(VLOOKUP($A523,[5]库存使用数据!$A:$L,12,0),0)</f>
        <v>1</v>
      </c>
      <c r="M523" s="1">
        <f ca="1">IFERROR(VLOOKUP($A523,[1]库存使用数据!$A:$M,13,0),0)+IFERROR(VLOOKUP($A523,[2]库存使用数据!$A:$M,13,0),0)+公式!$B$14*IFERROR(VLOOKUP($A523,[3]库存使用数据!$A:$M,13,0),0)+IFERROR(VLOOKUP($A523,[4]库存使用数据!$A:$M,13,0),0)+IFERROR(VLOOKUP($A523,[5]库存使用数据!$A:$M,13,0),0)</f>
        <v>0.11</v>
      </c>
    </row>
    <row r="524" spans="1:13">
      <c r="A524" s="6" t="s">
        <v>529</v>
      </c>
      <c r="B524" s="2">
        <f ca="1">IFERROR(VLOOKUP(A524,[1]库存使用数据!$A:$B,2,0),0)+IFERROR(VLOOKUP(A524,[2]库存使用数据!$A:$B,2,0),0)+IFERROR(VLOOKUP(,[3]库存使用数据!$A:$B,2,0),0)+IFERROR(VLOOKUP(A524,[4]库存使用数据!$A:$B,2,0),0)+IFERROR(VLOOKUP(A524,[5]库存使用数据!$A:$B,2,0),0)</f>
        <v>0</v>
      </c>
      <c r="C524" s="1">
        <f ca="1">IFERROR(VLOOKUP($A524,[1]库存使用数据!$A:$C,3,0),0)+IFERROR(VLOOKUP($A524,[2]库存使用数据!$A:$C,3,0),0)+IFERROR(VLOOKUP($A524,[3]库存使用数据!$A:$C,3,0),0)+IFERROR(VLOOKUP($A524,[4]库存使用数据!$A:$C,3,0),0)+IFERROR(VLOOKUP($A524,[5]库存使用数据!$A:$C,3,0),0)</f>
        <v>0</v>
      </c>
      <c r="D524" s="1">
        <f ca="1">IFERROR(VLOOKUP($A524,[1]库存使用数据!$A:$D,4,0),0)+IFERROR(VLOOKUP($A524,[2]库存使用数据!$A:$D,4,0),0)+公式!$B$1*IFERROR(VLOOKUP($A524,[3]库存使用数据!$A:$D,4,0),0)+IFERROR(VLOOKUP($A524,[4]库存使用数据!$A:$D,4,0),0)+IFERROR(VLOOKUP($A524,[5]库存使用数据!$A:$D,4,0),0)</f>
        <v>0</v>
      </c>
      <c r="E524" s="1">
        <f ca="1">IFERROR(VLOOKUP($A524,[1]库存使用数据!$A:$E,5,0),0)+IFERROR(VLOOKUP($A524,[2]库存使用数据!$A:$E,5,0),0)+IFERROR(VLOOKUP($A524,[3]库存使用数据!$A:$E,5,0),0)+IFERROR(VLOOKUP($A524,[4]库存使用数据!$A:$E,5,0),0)+IFERROR(VLOOKUP($A524,[5]库存使用数据!$A:$E,5,0),0)</f>
        <v>520</v>
      </c>
      <c r="F524" s="1">
        <f ca="1">IFERROR(VLOOKUP($A524,[1]库存使用数据!$A:$F,6,0),0)+IFERROR(VLOOKUP($A524,[2]库存使用数据!$A:$F,6,0),0)+IFERROR(VLOOKUP($A524,[4]库存使用数据!$A:$F,6,0),0)+IFERROR(VLOOKUP($A524,[3]库存使用数据!$A:$F,6,0),0)+IFERROR(VLOOKUP($A524,[5]库存使用数据!$A:$F,6,0),0)</f>
        <v>5</v>
      </c>
      <c r="G524" s="1">
        <f ca="1">IFERROR(VLOOKUP($A524,[1]库存使用数据!$A:$G,7,0),0)+IFERROR(VLOOKUP($A524,[2]库存使用数据!$A:$G,7,0),0)+公式!$B$14*IFERROR(VLOOKUP($A524,[3]库存使用数据!$A:$G,7,0),0)+IFERROR(VLOOKUP($A524,[4]库存使用数据!$A:$G,7,0),0)+IFERROR(VLOOKUP($A524,[5]库存使用数据!$A:$G,7,0),0)</f>
        <v>0.4</v>
      </c>
      <c r="H524" s="1">
        <f ca="1">IFERROR(VLOOKUP($A524,[1]库存使用数据!$A:$H,8,0),0)+IFERROR(VLOOKUP($A524,[2]库存使用数据!$A:$H,8,0),0)+IFERROR(VLOOKUP($A524,[3]库存使用数据!$A:$H,8,0),0)+IFERROR(VLOOKUP($A524,[4]库存使用数据!$A:$H,8,0),0)+IFERROR(VLOOKUP($A524,[5]库存使用数据!$A:$H,8,0),0)</f>
        <v>369</v>
      </c>
      <c r="I524" s="1">
        <f ca="1">IFERROR(VLOOKUP($A524,[1]库存使用数据!$A:$I,9,0),0)+IFERROR(VLOOKUP($A524,[2]库存使用数据!$A:$I,9,0),0)+IFERROR(VLOOKUP($A524,[3]库存使用数据!$A:$I,9,0),0)+IFERROR(VLOOKUP($A524,[4]库存使用数据!$A:$I,9,0),0)+IFERROR(VLOOKUP($A524,[5]库存使用数据!$A:$I,9,0),0)</f>
        <v>6</v>
      </c>
      <c r="J524" s="1">
        <f ca="1">IFERROR(VLOOKUP($A524,[1]库存使用数据!$A:$J,10,0),0)+IFERROR(VLOOKUP($A524,[2]库存使用数据!$A:$J,10,0),0)+公式!$B$14*IFERROR(VLOOKUP($A524,[3]库存使用数据!$A:$J,10,0),0)+IFERROR(VLOOKUP($A524,[4]库存使用数据!$A:$J,10,0),0)+IFERROR(VLOOKUP($A524,[5]库存使用数据!$A:$J,10,0),0)</f>
        <v>0.41</v>
      </c>
      <c r="K524" s="1">
        <f ca="1">IFERROR(VLOOKUP($A524,[1]库存使用数据!$A:$K,11,0),0)+IFERROR(VLOOKUP($A524,[2]库存使用数据!$A:$K,11,0),0)+IFERROR(VLOOKUP($A524,[3]库存使用数据!$A:$K,11,0),0)+IFERROR(VLOOKUP($A524,[4]库存使用数据!$A:$K,11,0),0)+IFERROR(VLOOKUP($A524,[5]库存使用数据!$A:$K,11,0),0)</f>
        <v>1062</v>
      </c>
      <c r="L524" s="1">
        <f ca="1">IFERROR(VLOOKUP($A524,[1]库存使用数据!$A:$L,12,0),0)+IFERROR(VLOOKUP($A524,[2]库存使用数据!$A:$L,12,0),0)+IFERROR(VLOOKUP($A524,[3]库存使用数据!$A:$L,12,0),0)+IFERROR(VLOOKUP($A524,[4]库存使用数据!$A:$L,12,0),0)+IFERROR(VLOOKUP($A524,[5]库存使用数据!$A:$L,12,0),0)</f>
        <v>10</v>
      </c>
      <c r="M524" s="1">
        <f ca="1">IFERROR(VLOOKUP($A524,[1]库存使用数据!$A:$M,13,0),0)+IFERROR(VLOOKUP($A524,[2]库存使用数据!$A:$M,13,0),0)+公式!$B$14*IFERROR(VLOOKUP($A524,[3]库存使用数据!$A:$M,13,0),0)+IFERROR(VLOOKUP($A524,[4]库存使用数据!$A:$M,13,0),0)+IFERROR(VLOOKUP($A524,[5]库存使用数据!$A:$M,13,0),0)</f>
        <v>0.68</v>
      </c>
    </row>
    <row r="525" spans="1:13">
      <c r="A525" s="6" t="s">
        <v>530</v>
      </c>
      <c r="B525" s="2">
        <f ca="1">IFERROR(VLOOKUP(A525,[1]库存使用数据!$A:$B,2,0),0)+IFERROR(VLOOKUP(A525,[2]库存使用数据!$A:$B,2,0),0)+IFERROR(VLOOKUP(,[3]库存使用数据!$A:$B,2,0),0)+IFERROR(VLOOKUP(A525,[4]库存使用数据!$A:$B,2,0),0)+IFERROR(VLOOKUP(A525,[5]库存使用数据!$A:$B,2,0),0)</f>
        <v>0</v>
      </c>
      <c r="C525" s="1">
        <f ca="1">IFERROR(VLOOKUP($A525,[1]库存使用数据!$A:$C,3,0),0)+IFERROR(VLOOKUP($A525,[2]库存使用数据!$A:$C,3,0),0)+IFERROR(VLOOKUP($A525,[3]库存使用数据!$A:$C,3,0),0)+IFERROR(VLOOKUP($A525,[4]库存使用数据!$A:$C,3,0),0)+IFERROR(VLOOKUP($A525,[5]库存使用数据!$A:$C,3,0),0)</f>
        <v>0</v>
      </c>
      <c r="D525" s="1">
        <f ca="1">IFERROR(VLOOKUP($A525,[1]库存使用数据!$A:$D,4,0),0)+IFERROR(VLOOKUP($A525,[2]库存使用数据!$A:$D,4,0),0)+公式!$B$1*IFERROR(VLOOKUP($A525,[3]库存使用数据!$A:$D,4,0),0)+IFERROR(VLOOKUP($A525,[4]库存使用数据!$A:$D,4,0),0)+IFERROR(VLOOKUP($A525,[5]库存使用数据!$A:$D,4,0),0)</f>
        <v>0</v>
      </c>
      <c r="E525" s="1">
        <f ca="1">IFERROR(VLOOKUP($A525,[1]库存使用数据!$A:$E,5,0),0)+IFERROR(VLOOKUP($A525,[2]库存使用数据!$A:$E,5,0),0)+IFERROR(VLOOKUP($A525,[3]库存使用数据!$A:$E,5,0),0)+IFERROR(VLOOKUP($A525,[4]库存使用数据!$A:$E,5,0),0)+IFERROR(VLOOKUP($A525,[5]库存使用数据!$A:$E,5,0),0)</f>
        <v>610</v>
      </c>
      <c r="F525" s="1">
        <f ca="1">IFERROR(VLOOKUP($A525,[1]库存使用数据!$A:$F,6,0),0)+IFERROR(VLOOKUP($A525,[2]库存使用数据!$A:$F,6,0),0)+IFERROR(VLOOKUP($A525,[4]库存使用数据!$A:$F,6,0),0)+IFERROR(VLOOKUP($A525,[3]库存使用数据!$A:$F,6,0),0)+IFERROR(VLOOKUP($A525,[5]库存使用数据!$A:$F,6,0),0)</f>
        <v>0</v>
      </c>
      <c r="G525" s="1">
        <f ca="1">IFERROR(VLOOKUP($A525,[1]库存使用数据!$A:$G,7,0),0)+IFERROR(VLOOKUP($A525,[2]库存使用数据!$A:$G,7,0),0)+公式!$B$14*IFERROR(VLOOKUP($A525,[3]库存使用数据!$A:$G,7,0),0)+IFERROR(VLOOKUP($A525,[4]库存使用数据!$A:$G,7,0),0)+IFERROR(VLOOKUP($A525,[5]库存使用数据!$A:$G,7,0),0)</f>
        <v>0</v>
      </c>
      <c r="H525" s="1">
        <f ca="1">IFERROR(VLOOKUP($A525,[1]库存使用数据!$A:$H,8,0),0)+IFERROR(VLOOKUP($A525,[2]库存使用数据!$A:$H,8,0),0)+IFERROR(VLOOKUP($A525,[3]库存使用数据!$A:$H,8,0),0)+IFERROR(VLOOKUP($A525,[4]库存使用数据!$A:$H,8,0),0)+IFERROR(VLOOKUP($A525,[5]库存使用数据!$A:$H,8,0),0)</f>
        <v>460</v>
      </c>
      <c r="I525" s="1">
        <f ca="1">IFERROR(VLOOKUP($A525,[1]库存使用数据!$A:$I,9,0),0)+IFERROR(VLOOKUP($A525,[2]库存使用数据!$A:$I,9,0),0)+IFERROR(VLOOKUP($A525,[3]库存使用数据!$A:$I,9,0),0)+IFERROR(VLOOKUP($A525,[4]库存使用数据!$A:$I,9,0),0)+IFERROR(VLOOKUP($A525,[5]库存使用数据!$A:$I,9,0),0)</f>
        <v>1</v>
      </c>
      <c r="J525" s="1">
        <f ca="1">IFERROR(VLOOKUP($A525,[1]库存使用数据!$A:$J,10,0),0)+IFERROR(VLOOKUP($A525,[2]库存使用数据!$A:$J,10,0),0)+公式!$B$14*IFERROR(VLOOKUP($A525,[3]库存使用数据!$A:$J,10,0),0)+IFERROR(VLOOKUP($A525,[4]库存使用数据!$A:$J,10,0),0)+IFERROR(VLOOKUP($A525,[5]库存使用数据!$A:$J,10,0),0)</f>
        <v>0.2</v>
      </c>
      <c r="K525" s="1">
        <f ca="1">IFERROR(VLOOKUP($A525,[1]库存使用数据!$A:$K,11,0),0)+IFERROR(VLOOKUP($A525,[2]库存使用数据!$A:$K,11,0),0)+IFERROR(VLOOKUP($A525,[3]库存使用数据!$A:$K,11,0),0)+IFERROR(VLOOKUP($A525,[4]库存使用数据!$A:$K,11,0),0)+IFERROR(VLOOKUP($A525,[5]库存使用数据!$A:$K,11,0),0)</f>
        <v>152</v>
      </c>
      <c r="L525" s="1">
        <f ca="1">IFERROR(VLOOKUP($A525,[1]库存使用数据!$A:$L,12,0),0)+IFERROR(VLOOKUP($A525,[2]库存使用数据!$A:$L,12,0),0)+IFERROR(VLOOKUP($A525,[3]库存使用数据!$A:$L,12,0),0)+IFERROR(VLOOKUP($A525,[4]库存使用数据!$A:$L,12,0),0)+IFERROR(VLOOKUP($A525,[5]库存使用数据!$A:$L,12,0),0)</f>
        <v>1</v>
      </c>
      <c r="M525" s="1">
        <f ca="1">IFERROR(VLOOKUP($A525,[1]库存使用数据!$A:$M,13,0),0)+IFERROR(VLOOKUP($A525,[2]库存使用数据!$A:$M,13,0),0)+公式!$B$14*IFERROR(VLOOKUP($A525,[3]库存使用数据!$A:$M,13,0),0)+IFERROR(VLOOKUP($A525,[4]库存使用数据!$A:$M,13,0),0)+IFERROR(VLOOKUP($A525,[5]库存使用数据!$A:$M,13,0),0)</f>
        <v>0.04</v>
      </c>
    </row>
    <row r="526" spans="1:13">
      <c r="A526" s="6" t="s">
        <v>531</v>
      </c>
      <c r="B526" s="2">
        <f ca="1">IFERROR(VLOOKUP(A526,[1]库存使用数据!$A:$B,2,0),0)+IFERROR(VLOOKUP(A526,[2]库存使用数据!$A:$B,2,0),0)+IFERROR(VLOOKUP(,[3]库存使用数据!$A:$B,2,0),0)+IFERROR(VLOOKUP(A526,[4]库存使用数据!$A:$B,2,0),0)+IFERROR(VLOOKUP(A526,[5]库存使用数据!$A:$B,2,0),0)</f>
        <v>0</v>
      </c>
      <c r="C526" s="1">
        <f ca="1">IFERROR(VLOOKUP($A526,[1]库存使用数据!$A:$C,3,0),0)+IFERROR(VLOOKUP($A526,[2]库存使用数据!$A:$C,3,0),0)+IFERROR(VLOOKUP($A526,[3]库存使用数据!$A:$C,3,0),0)+IFERROR(VLOOKUP($A526,[4]库存使用数据!$A:$C,3,0),0)+IFERROR(VLOOKUP($A526,[5]库存使用数据!$A:$C,3,0),0)</f>
        <v>0</v>
      </c>
      <c r="D526" s="1">
        <f ca="1">IFERROR(VLOOKUP($A526,[1]库存使用数据!$A:$D,4,0),0)+IFERROR(VLOOKUP($A526,[2]库存使用数据!$A:$D,4,0),0)+公式!$B$1*IFERROR(VLOOKUP($A526,[3]库存使用数据!$A:$D,4,0),0)+IFERROR(VLOOKUP($A526,[4]库存使用数据!$A:$D,4,0),0)+IFERROR(VLOOKUP($A526,[5]库存使用数据!$A:$D,4,0),0)</f>
        <v>0</v>
      </c>
      <c r="E526" s="1">
        <f ca="1">IFERROR(VLOOKUP($A526,[1]库存使用数据!$A:$E,5,0),0)+IFERROR(VLOOKUP($A526,[2]库存使用数据!$A:$E,5,0),0)+IFERROR(VLOOKUP($A526,[3]库存使用数据!$A:$E,5,0),0)+IFERROR(VLOOKUP($A526,[4]库存使用数据!$A:$E,5,0),0)+IFERROR(VLOOKUP($A526,[5]库存使用数据!$A:$E,5,0),0)</f>
        <v>782</v>
      </c>
      <c r="F526" s="1">
        <f ca="1">IFERROR(VLOOKUP($A526,[1]库存使用数据!$A:$F,6,0),0)+IFERROR(VLOOKUP($A526,[2]库存使用数据!$A:$F,6,0),0)+IFERROR(VLOOKUP($A526,[4]库存使用数据!$A:$F,6,0),0)+IFERROR(VLOOKUP($A526,[3]库存使用数据!$A:$F,6,0),0)+IFERROR(VLOOKUP($A526,[5]库存使用数据!$A:$F,6,0),0)</f>
        <v>1</v>
      </c>
      <c r="G526" s="1">
        <f ca="1">IFERROR(VLOOKUP($A526,[1]库存使用数据!$A:$G,7,0),0)+IFERROR(VLOOKUP($A526,[2]库存使用数据!$A:$G,7,0),0)+公式!$B$14*IFERROR(VLOOKUP($A526,[3]库存使用数据!$A:$G,7,0),0)+IFERROR(VLOOKUP($A526,[4]库存使用数据!$A:$G,7,0),0)+IFERROR(VLOOKUP($A526,[5]库存使用数据!$A:$G,7,0),0)</f>
        <v>0.2</v>
      </c>
      <c r="H526" s="1">
        <f ca="1">IFERROR(VLOOKUP($A526,[1]库存使用数据!$A:$H,8,0),0)+IFERROR(VLOOKUP($A526,[2]库存使用数据!$A:$H,8,0),0)+IFERROR(VLOOKUP($A526,[3]库存使用数据!$A:$H,8,0),0)+IFERROR(VLOOKUP($A526,[4]库存使用数据!$A:$H,8,0),0)+IFERROR(VLOOKUP($A526,[5]库存使用数据!$A:$H,8,0),0)</f>
        <v>47116</v>
      </c>
      <c r="I526" s="1">
        <f ca="1">IFERROR(VLOOKUP($A526,[1]库存使用数据!$A:$I,9,0),0)+IFERROR(VLOOKUP($A526,[2]库存使用数据!$A:$I,9,0),0)+IFERROR(VLOOKUP($A526,[3]库存使用数据!$A:$I,9,0),0)+IFERROR(VLOOKUP($A526,[4]库存使用数据!$A:$I,9,0),0)+IFERROR(VLOOKUP($A526,[5]库存使用数据!$A:$I,9,0),0)</f>
        <v>25</v>
      </c>
      <c r="J526" s="1">
        <f ca="1">IFERROR(VLOOKUP($A526,[1]库存使用数据!$A:$J,10,0),0)+IFERROR(VLOOKUP($A526,[2]库存使用数据!$A:$J,10,0),0)+公式!$B$14*IFERROR(VLOOKUP($A526,[3]库存使用数据!$A:$J,10,0),0)+IFERROR(VLOOKUP($A526,[4]库存使用数据!$A:$J,10,0),0)+IFERROR(VLOOKUP($A526,[5]库存使用数据!$A:$J,10,0),0)</f>
        <v>3.29</v>
      </c>
      <c r="K526" s="1">
        <f ca="1">IFERROR(VLOOKUP($A526,[1]库存使用数据!$A:$K,11,0),0)+IFERROR(VLOOKUP($A526,[2]库存使用数据!$A:$K,11,0),0)+IFERROR(VLOOKUP($A526,[3]库存使用数据!$A:$K,11,0),0)+IFERROR(VLOOKUP($A526,[4]库存使用数据!$A:$K,11,0),0)+IFERROR(VLOOKUP($A526,[5]库存使用数据!$A:$K,11,0),0)</f>
        <v>348</v>
      </c>
      <c r="L526" s="1">
        <f ca="1">IFERROR(VLOOKUP($A526,[1]库存使用数据!$A:$L,12,0),0)+IFERROR(VLOOKUP($A526,[2]库存使用数据!$A:$L,12,0),0)+IFERROR(VLOOKUP($A526,[3]库存使用数据!$A:$L,12,0),0)+IFERROR(VLOOKUP($A526,[4]库存使用数据!$A:$L,12,0),0)+IFERROR(VLOOKUP($A526,[5]库存使用数据!$A:$L,12,0),0)</f>
        <v>2</v>
      </c>
      <c r="M526" s="1">
        <f ca="1">IFERROR(VLOOKUP($A526,[1]库存使用数据!$A:$M,13,0),0)+IFERROR(VLOOKUP($A526,[2]库存使用数据!$A:$M,13,0),0)+公式!$B$14*IFERROR(VLOOKUP($A526,[3]库存使用数据!$A:$M,13,0),0)+IFERROR(VLOOKUP($A526,[4]库存使用数据!$A:$M,13,0),0)+IFERROR(VLOOKUP($A526,[5]库存使用数据!$A:$M,13,0),0)</f>
        <v>0.04</v>
      </c>
    </row>
    <row r="527" spans="1:13">
      <c r="A527" s="6" t="s">
        <v>532</v>
      </c>
      <c r="B527" s="2">
        <f ca="1">IFERROR(VLOOKUP(A527,[1]库存使用数据!$A:$B,2,0),0)+IFERROR(VLOOKUP(A527,[2]库存使用数据!$A:$B,2,0),0)+IFERROR(VLOOKUP(,[3]库存使用数据!$A:$B,2,0),0)+IFERROR(VLOOKUP(A527,[4]库存使用数据!$A:$B,2,0),0)+IFERROR(VLOOKUP(A527,[5]库存使用数据!$A:$B,2,0),0)</f>
        <v>301</v>
      </c>
      <c r="C527" s="1">
        <f ca="1">IFERROR(VLOOKUP($A527,[1]库存使用数据!$A:$C,3,0),0)+IFERROR(VLOOKUP($A527,[2]库存使用数据!$A:$C,3,0),0)+IFERROR(VLOOKUP($A527,[3]库存使用数据!$A:$C,3,0),0)+IFERROR(VLOOKUP($A527,[4]库存使用数据!$A:$C,3,0),0)+IFERROR(VLOOKUP($A527,[5]库存使用数据!$A:$C,3,0),0)</f>
        <v>1</v>
      </c>
      <c r="D527" s="1">
        <f ca="1">IFERROR(VLOOKUP($A527,[1]库存使用数据!$A:$D,4,0),0)+IFERROR(VLOOKUP($A527,[2]库存使用数据!$A:$D,4,0),0)+公式!$B$1*IFERROR(VLOOKUP($A527,[3]库存使用数据!$A:$D,4,0),0)+IFERROR(VLOOKUP($A527,[4]库存使用数据!$A:$D,4,0),0)+IFERROR(VLOOKUP($A527,[5]库存使用数据!$A:$D,4,0),0)</f>
        <v>0.11</v>
      </c>
      <c r="E527" s="1">
        <f ca="1">IFERROR(VLOOKUP($A527,[1]库存使用数据!$A:$E,5,0),0)+IFERROR(VLOOKUP($A527,[2]库存使用数据!$A:$E,5,0),0)+IFERROR(VLOOKUP($A527,[3]库存使用数据!$A:$E,5,0),0)+IFERROR(VLOOKUP($A527,[4]库存使用数据!$A:$E,5,0),0)+IFERROR(VLOOKUP($A527,[5]库存使用数据!$A:$E,5,0),0)</f>
        <v>847</v>
      </c>
      <c r="F527" s="1">
        <f ca="1">IFERROR(VLOOKUP($A527,[1]库存使用数据!$A:$F,6,0),0)+IFERROR(VLOOKUP($A527,[2]库存使用数据!$A:$F,6,0),0)+IFERROR(VLOOKUP($A527,[4]库存使用数据!$A:$F,6,0),0)+IFERROR(VLOOKUP($A527,[3]库存使用数据!$A:$F,6,0),0)+IFERROR(VLOOKUP($A527,[5]库存使用数据!$A:$F,6,0),0)</f>
        <v>1</v>
      </c>
      <c r="G527" s="1">
        <f ca="1">IFERROR(VLOOKUP($A527,[1]库存使用数据!$A:$G,7,0),0)+IFERROR(VLOOKUP($A527,[2]库存使用数据!$A:$G,7,0),0)+公式!$B$14*IFERROR(VLOOKUP($A527,[3]库存使用数据!$A:$G,7,0),0)+IFERROR(VLOOKUP($A527,[4]库存使用数据!$A:$G,7,0),0)+IFERROR(VLOOKUP($A527,[5]库存使用数据!$A:$G,7,0),0)</f>
        <v>0.11</v>
      </c>
      <c r="H527" s="1">
        <f ca="1">IFERROR(VLOOKUP($A527,[1]库存使用数据!$A:$H,8,0),0)+IFERROR(VLOOKUP($A527,[2]库存使用数据!$A:$H,8,0),0)+IFERROR(VLOOKUP($A527,[3]库存使用数据!$A:$H,8,0),0)+IFERROR(VLOOKUP($A527,[4]库存使用数据!$A:$H,8,0),0)+IFERROR(VLOOKUP($A527,[5]库存使用数据!$A:$H,8,0),0)</f>
        <v>17790</v>
      </c>
      <c r="I527" s="1">
        <f ca="1">IFERROR(VLOOKUP($A527,[1]库存使用数据!$A:$I,9,0),0)+IFERROR(VLOOKUP($A527,[2]库存使用数据!$A:$I,9,0),0)+IFERROR(VLOOKUP($A527,[3]库存使用数据!$A:$I,9,0),0)+IFERROR(VLOOKUP($A527,[4]库存使用数据!$A:$I,9,0),0)+IFERROR(VLOOKUP($A527,[5]库存使用数据!$A:$I,9,0),0)</f>
        <v>11</v>
      </c>
      <c r="J527" s="1">
        <f ca="1">IFERROR(VLOOKUP($A527,[1]库存使用数据!$A:$J,10,0),0)+IFERROR(VLOOKUP($A527,[2]库存使用数据!$A:$J,10,0),0)+公式!$B$14*IFERROR(VLOOKUP($A527,[3]库存使用数据!$A:$J,10,0),0)+IFERROR(VLOOKUP($A527,[4]库存使用数据!$A:$J,10,0),0)+IFERROR(VLOOKUP($A527,[5]库存使用数据!$A:$J,10,0),0)</f>
        <v>1.42</v>
      </c>
      <c r="K527" s="1">
        <f ca="1">IFERROR(VLOOKUP($A527,[1]库存使用数据!$A:$K,11,0),0)+IFERROR(VLOOKUP($A527,[2]库存使用数据!$A:$K,11,0),0)+IFERROR(VLOOKUP($A527,[3]库存使用数据!$A:$K,11,0),0)+IFERROR(VLOOKUP($A527,[4]库存使用数据!$A:$K,11,0),0)+IFERROR(VLOOKUP($A527,[5]库存使用数据!$A:$K,11,0),0)</f>
        <v>66107</v>
      </c>
      <c r="L527" s="1">
        <f ca="1">IFERROR(VLOOKUP($A527,[1]库存使用数据!$A:$L,12,0),0)+IFERROR(VLOOKUP($A527,[2]库存使用数据!$A:$L,12,0),0)+IFERROR(VLOOKUP($A527,[3]库存使用数据!$A:$L,12,0),0)+IFERROR(VLOOKUP($A527,[4]库存使用数据!$A:$L,12,0),0)+IFERROR(VLOOKUP($A527,[5]库存使用数据!$A:$L,12,0),0)</f>
        <v>17</v>
      </c>
      <c r="M527" s="1">
        <f ca="1">IFERROR(VLOOKUP($A527,[1]库存使用数据!$A:$M,13,0),0)+IFERROR(VLOOKUP($A527,[2]库存使用数据!$A:$M,13,0),0)+公式!$B$14*IFERROR(VLOOKUP($A527,[3]库存使用数据!$A:$M,13,0),0)+IFERROR(VLOOKUP($A527,[4]库存使用数据!$A:$M,13,0),0)+IFERROR(VLOOKUP($A527,[5]库存使用数据!$A:$M,13,0),0)</f>
        <v>1.74</v>
      </c>
    </row>
    <row r="528" spans="1:13">
      <c r="A528" s="6" t="s">
        <v>533</v>
      </c>
      <c r="B528" s="2">
        <f ca="1">IFERROR(VLOOKUP(A528,[1]库存使用数据!$A:$B,2,0),0)+IFERROR(VLOOKUP(A528,[2]库存使用数据!$A:$B,2,0),0)+IFERROR(VLOOKUP(,[3]库存使用数据!$A:$B,2,0),0)+IFERROR(VLOOKUP(A528,[4]库存使用数据!$A:$B,2,0),0)+IFERROR(VLOOKUP(A528,[5]库存使用数据!$A:$B,2,0),0)</f>
        <v>0</v>
      </c>
      <c r="C528" s="1">
        <f ca="1">IFERROR(VLOOKUP($A528,[1]库存使用数据!$A:$C,3,0),0)+IFERROR(VLOOKUP($A528,[2]库存使用数据!$A:$C,3,0),0)+IFERROR(VLOOKUP($A528,[3]库存使用数据!$A:$C,3,0),0)+IFERROR(VLOOKUP($A528,[4]库存使用数据!$A:$C,3,0),0)+IFERROR(VLOOKUP($A528,[5]库存使用数据!$A:$C,3,0),0)</f>
        <v>0</v>
      </c>
      <c r="D528" s="1">
        <f ca="1">IFERROR(VLOOKUP($A528,[1]库存使用数据!$A:$D,4,0),0)+IFERROR(VLOOKUP($A528,[2]库存使用数据!$A:$D,4,0),0)+公式!$B$1*IFERROR(VLOOKUP($A528,[3]库存使用数据!$A:$D,4,0),0)+IFERROR(VLOOKUP($A528,[4]库存使用数据!$A:$D,4,0),0)+IFERROR(VLOOKUP($A528,[5]库存使用数据!$A:$D,4,0),0)</f>
        <v>0</v>
      </c>
      <c r="E528" s="1">
        <f ca="1">IFERROR(VLOOKUP($A528,[1]库存使用数据!$A:$E,5,0),0)+IFERROR(VLOOKUP($A528,[2]库存使用数据!$A:$E,5,0),0)+IFERROR(VLOOKUP($A528,[3]库存使用数据!$A:$E,5,0),0)+IFERROR(VLOOKUP($A528,[4]库存使用数据!$A:$E,5,0),0)+IFERROR(VLOOKUP($A528,[5]库存使用数据!$A:$E,5,0),0)</f>
        <v>0</v>
      </c>
      <c r="F528" s="1">
        <f ca="1">IFERROR(VLOOKUP($A528,[1]库存使用数据!$A:$F,6,0),0)+IFERROR(VLOOKUP($A528,[2]库存使用数据!$A:$F,6,0),0)+IFERROR(VLOOKUP($A528,[4]库存使用数据!$A:$F,6,0),0)+IFERROR(VLOOKUP($A528,[3]库存使用数据!$A:$F,6,0),0)+IFERROR(VLOOKUP($A528,[5]库存使用数据!$A:$F,6,0),0)</f>
        <v>0</v>
      </c>
      <c r="G528" s="1">
        <f ca="1">IFERROR(VLOOKUP($A528,[1]库存使用数据!$A:$G,7,0),0)+IFERROR(VLOOKUP($A528,[2]库存使用数据!$A:$G,7,0),0)+公式!$B$14*IFERROR(VLOOKUP($A528,[3]库存使用数据!$A:$G,7,0),0)+IFERROR(VLOOKUP($A528,[4]库存使用数据!$A:$G,7,0),0)+IFERROR(VLOOKUP($A528,[5]库存使用数据!$A:$G,7,0),0)</f>
        <v>0</v>
      </c>
      <c r="H528" s="1">
        <f ca="1">IFERROR(VLOOKUP($A528,[1]库存使用数据!$A:$H,8,0),0)+IFERROR(VLOOKUP($A528,[2]库存使用数据!$A:$H,8,0),0)+IFERROR(VLOOKUP($A528,[3]库存使用数据!$A:$H,8,0),0)+IFERROR(VLOOKUP($A528,[4]库存使用数据!$A:$H,8,0),0)+IFERROR(VLOOKUP($A528,[5]库存使用数据!$A:$H,8,0),0)</f>
        <v>0</v>
      </c>
      <c r="I528" s="1">
        <f ca="1">IFERROR(VLOOKUP($A528,[1]库存使用数据!$A:$I,9,0),0)+IFERROR(VLOOKUP($A528,[2]库存使用数据!$A:$I,9,0),0)+IFERROR(VLOOKUP($A528,[3]库存使用数据!$A:$I,9,0),0)+IFERROR(VLOOKUP($A528,[4]库存使用数据!$A:$I,9,0),0)+IFERROR(VLOOKUP($A528,[5]库存使用数据!$A:$I,9,0),0)</f>
        <v>0</v>
      </c>
      <c r="J528" s="1">
        <f ca="1">IFERROR(VLOOKUP($A528,[1]库存使用数据!$A:$J,10,0),0)+IFERROR(VLOOKUP($A528,[2]库存使用数据!$A:$J,10,0),0)+公式!$B$14*IFERROR(VLOOKUP($A528,[3]库存使用数据!$A:$J,10,0),0)+IFERROR(VLOOKUP($A528,[4]库存使用数据!$A:$J,10,0),0)+IFERROR(VLOOKUP($A528,[5]库存使用数据!$A:$J,10,0),0)</f>
        <v>0</v>
      </c>
      <c r="K528" s="1">
        <f ca="1">IFERROR(VLOOKUP($A528,[1]库存使用数据!$A:$K,11,0),0)+IFERROR(VLOOKUP($A528,[2]库存使用数据!$A:$K,11,0),0)+IFERROR(VLOOKUP($A528,[3]库存使用数据!$A:$K,11,0),0)+IFERROR(VLOOKUP($A528,[4]库存使用数据!$A:$K,11,0),0)+IFERROR(VLOOKUP($A528,[5]库存使用数据!$A:$K,11,0),0)</f>
        <v>0</v>
      </c>
      <c r="L528" s="1">
        <f ca="1">IFERROR(VLOOKUP($A528,[1]库存使用数据!$A:$L,12,0),0)+IFERROR(VLOOKUP($A528,[2]库存使用数据!$A:$L,12,0),0)+IFERROR(VLOOKUP($A528,[3]库存使用数据!$A:$L,12,0),0)+IFERROR(VLOOKUP($A528,[4]库存使用数据!$A:$L,12,0),0)+IFERROR(VLOOKUP($A528,[5]库存使用数据!$A:$L,12,0),0)</f>
        <v>0</v>
      </c>
      <c r="M528" s="1">
        <f ca="1">IFERROR(VLOOKUP($A528,[1]库存使用数据!$A:$M,13,0),0)+IFERROR(VLOOKUP($A528,[2]库存使用数据!$A:$M,13,0),0)+公式!$B$14*IFERROR(VLOOKUP($A528,[3]库存使用数据!$A:$M,13,0),0)+IFERROR(VLOOKUP($A528,[4]库存使用数据!$A:$M,13,0),0)+IFERROR(VLOOKUP($A528,[5]库存使用数据!$A:$M,13,0),0)</f>
        <v>0</v>
      </c>
    </row>
    <row r="529" spans="1:13">
      <c r="A529" s="6" t="s">
        <v>534</v>
      </c>
      <c r="B529" s="2">
        <f ca="1">IFERROR(VLOOKUP(A529,[1]库存使用数据!$A:$B,2,0),0)+IFERROR(VLOOKUP(A529,[2]库存使用数据!$A:$B,2,0),0)+IFERROR(VLOOKUP(,[3]库存使用数据!$A:$B,2,0),0)+IFERROR(VLOOKUP(A529,[4]库存使用数据!$A:$B,2,0),0)+IFERROR(VLOOKUP(A529,[5]库存使用数据!$A:$B,2,0),0)</f>
        <v>0</v>
      </c>
      <c r="C529" s="1">
        <f ca="1">IFERROR(VLOOKUP($A529,[1]库存使用数据!$A:$C,3,0),0)+IFERROR(VLOOKUP($A529,[2]库存使用数据!$A:$C,3,0),0)+IFERROR(VLOOKUP($A529,[3]库存使用数据!$A:$C,3,0),0)+IFERROR(VLOOKUP($A529,[4]库存使用数据!$A:$C,3,0),0)+IFERROR(VLOOKUP($A529,[5]库存使用数据!$A:$C,3,0),0)</f>
        <v>0</v>
      </c>
      <c r="D529" s="1">
        <f ca="1">IFERROR(VLOOKUP($A529,[1]库存使用数据!$A:$D,4,0),0)+IFERROR(VLOOKUP($A529,[2]库存使用数据!$A:$D,4,0),0)+公式!$B$1*IFERROR(VLOOKUP($A529,[3]库存使用数据!$A:$D,4,0),0)+IFERROR(VLOOKUP($A529,[4]库存使用数据!$A:$D,4,0),0)+IFERROR(VLOOKUP($A529,[5]库存使用数据!$A:$D,4,0),0)</f>
        <v>0</v>
      </c>
      <c r="E529" s="1">
        <f ca="1">IFERROR(VLOOKUP($A529,[1]库存使用数据!$A:$E,5,0),0)+IFERROR(VLOOKUP($A529,[2]库存使用数据!$A:$E,5,0),0)+IFERROR(VLOOKUP($A529,[3]库存使用数据!$A:$E,5,0),0)+IFERROR(VLOOKUP($A529,[4]库存使用数据!$A:$E,5,0),0)+IFERROR(VLOOKUP($A529,[5]库存使用数据!$A:$E,5,0),0)</f>
        <v>0</v>
      </c>
      <c r="F529" s="1">
        <f ca="1">IFERROR(VLOOKUP($A529,[1]库存使用数据!$A:$F,6,0),0)+IFERROR(VLOOKUP($A529,[2]库存使用数据!$A:$F,6,0),0)+IFERROR(VLOOKUP($A529,[4]库存使用数据!$A:$F,6,0),0)+IFERROR(VLOOKUP($A529,[3]库存使用数据!$A:$F,6,0),0)+IFERROR(VLOOKUP($A529,[5]库存使用数据!$A:$F,6,0),0)</f>
        <v>0</v>
      </c>
      <c r="G529" s="1">
        <f ca="1">IFERROR(VLOOKUP($A529,[1]库存使用数据!$A:$G,7,0),0)+IFERROR(VLOOKUP($A529,[2]库存使用数据!$A:$G,7,0),0)+公式!$B$14*IFERROR(VLOOKUP($A529,[3]库存使用数据!$A:$G,7,0),0)+IFERROR(VLOOKUP($A529,[4]库存使用数据!$A:$G,7,0),0)+IFERROR(VLOOKUP($A529,[5]库存使用数据!$A:$G,7,0),0)</f>
        <v>0</v>
      </c>
      <c r="H529" s="1">
        <f ca="1">IFERROR(VLOOKUP($A529,[1]库存使用数据!$A:$H,8,0),0)+IFERROR(VLOOKUP($A529,[2]库存使用数据!$A:$H,8,0),0)+IFERROR(VLOOKUP($A529,[3]库存使用数据!$A:$H,8,0),0)+IFERROR(VLOOKUP($A529,[4]库存使用数据!$A:$H,8,0),0)+IFERROR(VLOOKUP($A529,[5]库存使用数据!$A:$H,8,0),0)</f>
        <v>0</v>
      </c>
      <c r="I529" s="1">
        <f ca="1">IFERROR(VLOOKUP($A529,[1]库存使用数据!$A:$I,9,0),0)+IFERROR(VLOOKUP($A529,[2]库存使用数据!$A:$I,9,0),0)+IFERROR(VLOOKUP($A529,[3]库存使用数据!$A:$I,9,0),0)+IFERROR(VLOOKUP($A529,[4]库存使用数据!$A:$I,9,0),0)+IFERROR(VLOOKUP($A529,[5]库存使用数据!$A:$I,9,0),0)</f>
        <v>0</v>
      </c>
      <c r="J529" s="1">
        <f ca="1">IFERROR(VLOOKUP($A529,[1]库存使用数据!$A:$J,10,0),0)+IFERROR(VLOOKUP($A529,[2]库存使用数据!$A:$J,10,0),0)+公式!$B$14*IFERROR(VLOOKUP($A529,[3]库存使用数据!$A:$J,10,0),0)+IFERROR(VLOOKUP($A529,[4]库存使用数据!$A:$J,10,0),0)+IFERROR(VLOOKUP($A529,[5]库存使用数据!$A:$J,10,0),0)</f>
        <v>0</v>
      </c>
      <c r="K529" s="1">
        <f ca="1">IFERROR(VLOOKUP($A529,[1]库存使用数据!$A:$K,11,0),0)+IFERROR(VLOOKUP($A529,[2]库存使用数据!$A:$K,11,0),0)+IFERROR(VLOOKUP($A529,[3]库存使用数据!$A:$K,11,0),0)+IFERROR(VLOOKUP($A529,[4]库存使用数据!$A:$K,11,0),0)+IFERROR(VLOOKUP($A529,[5]库存使用数据!$A:$K,11,0),0)</f>
        <v>0</v>
      </c>
      <c r="L529" s="1">
        <f ca="1">IFERROR(VLOOKUP($A529,[1]库存使用数据!$A:$L,12,0),0)+IFERROR(VLOOKUP($A529,[2]库存使用数据!$A:$L,12,0),0)+IFERROR(VLOOKUP($A529,[3]库存使用数据!$A:$L,12,0),0)+IFERROR(VLOOKUP($A529,[4]库存使用数据!$A:$L,12,0),0)+IFERROR(VLOOKUP($A529,[5]库存使用数据!$A:$L,12,0),0)</f>
        <v>0</v>
      </c>
      <c r="M529" s="1">
        <f ca="1">IFERROR(VLOOKUP($A529,[1]库存使用数据!$A:$M,13,0),0)+IFERROR(VLOOKUP($A529,[2]库存使用数据!$A:$M,13,0),0)+公式!$B$14*IFERROR(VLOOKUP($A529,[3]库存使用数据!$A:$M,13,0),0)+IFERROR(VLOOKUP($A529,[4]库存使用数据!$A:$M,13,0),0)+IFERROR(VLOOKUP($A529,[5]库存使用数据!$A:$M,13,0),0)</f>
        <v>0</v>
      </c>
    </row>
    <row r="530" spans="1:13">
      <c r="A530" s="6" t="s">
        <v>535</v>
      </c>
      <c r="B530" s="2">
        <f ca="1">IFERROR(VLOOKUP(A530,[1]库存使用数据!$A:$B,2,0),0)+IFERROR(VLOOKUP(A530,[2]库存使用数据!$A:$B,2,0),0)+IFERROR(VLOOKUP(,[3]库存使用数据!$A:$B,2,0),0)+IFERROR(VLOOKUP(A530,[4]库存使用数据!$A:$B,2,0),0)+IFERROR(VLOOKUP(A530,[5]库存使用数据!$A:$B,2,0),0)</f>
        <v>0</v>
      </c>
      <c r="C530" s="1">
        <f ca="1">IFERROR(VLOOKUP($A530,[1]库存使用数据!$A:$C,3,0),0)+IFERROR(VLOOKUP($A530,[2]库存使用数据!$A:$C,3,0),0)+IFERROR(VLOOKUP($A530,[3]库存使用数据!$A:$C,3,0),0)+IFERROR(VLOOKUP($A530,[4]库存使用数据!$A:$C,3,0),0)+IFERROR(VLOOKUP($A530,[5]库存使用数据!$A:$C,3,0),0)</f>
        <v>0</v>
      </c>
      <c r="D530" s="1">
        <f ca="1">IFERROR(VLOOKUP($A530,[1]库存使用数据!$A:$D,4,0),0)+IFERROR(VLOOKUP($A530,[2]库存使用数据!$A:$D,4,0),0)+公式!$B$1*IFERROR(VLOOKUP($A530,[3]库存使用数据!$A:$D,4,0),0)+IFERROR(VLOOKUP($A530,[4]库存使用数据!$A:$D,4,0),0)+IFERROR(VLOOKUP($A530,[5]库存使用数据!$A:$D,4,0),0)</f>
        <v>0</v>
      </c>
      <c r="E530" s="1">
        <f ca="1">IFERROR(VLOOKUP($A530,[1]库存使用数据!$A:$E,5,0),0)+IFERROR(VLOOKUP($A530,[2]库存使用数据!$A:$E,5,0),0)+IFERROR(VLOOKUP($A530,[3]库存使用数据!$A:$E,5,0),0)+IFERROR(VLOOKUP($A530,[4]库存使用数据!$A:$E,5,0),0)+IFERROR(VLOOKUP($A530,[5]库存使用数据!$A:$E,5,0),0)</f>
        <v>997</v>
      </c>
      <c r="F530" s="1">
        <f ca="1">IFERROR(VLOOKUP($A530,[1]库存使用数据!$A:$F,6,0),0)+IFERROR(VLOOKUP($A530,[2]库存使用数据!$A:$F,6,0),0)+IFERROR(VLOOKUP($A530,[4]库存使用数据!$A:$F,6,0),0)+IFERROR(VLOOKUP($A530,[3]库存使用数据!$A:$F,6,0),0)+IFERROR(VLOOKUP($A530,[5]库存使用数据!$A:$F,6,0),0)</f>
        <v>3</v>
      </c>
      <c r="G530" s="1">
        <f ca="1">IFERROR(VLOOKUP($A530,[1]库存使用数据!$A:$G,7,0),0)+IFERROR(VLOOKUP($A530,[2]库存使用数据!$A:$G,7,0),0)+公式!$B$14*IFERROR(VLOOKUP($A530,[3]库存使用数据!$A:$G,7,0),0)+IFERROR(VLOOKUP($A530,[4]库存使用数据!$A:$G,7,0),0)+IFERROR(VLOOKUP($A530,[5]库存使用数据!$A:$G,7,0),0)</f>
        <v>0.89</v>
      </c>
      <c r="H530" s="1">
        <f ca="1">IFERROR(VLOOKUP($A530,[1]库存使用数据!$A:$H,8,0),0)+IFERROR(VLOOKUP($A530,[2]库存使用数据!$A:$H,8,0),0)+IFERROR(VLOOKUP($A530,[3]库存使用数据!$A:$H,8,0),0)+IFERROR(VLOOKUP($A530,[4]库存使用数据!$A:$H,8,0),0)+IFERROR(VLOOKUP($A530,[5]库存使用数据!$A:$H,8,0),0)</f>
        <v>2278</v>
      </c>
      <c r="I530" s="1">
        <f ca="1">IFERROR(VLOOKUP($A530,[1]库存使用数据!$A:$I,9,0),0)+IFERROR(VLOOKUP($A530,[2]库存使用数据!$A:$I,9,0),0)+IFERROR(VLOOKUP($A530,[3]库存使用数据!$A:$I,9,0),0)+IFERROR(VLOOKUP($A530,[4]库存使用数据!$A:$I,9,0),0)+IFERROR(VLOOKUP($A530,[5]库存使用数据!$A:$I,9,0),0)</f>
        <v>2</v>
      </c>
      <c r="J530" s="1">
        <f ca="1">IFERROR(VLOOKUP($A530,[1]库存使用数据!$A:$J,10,0),0)+IFERROR(VLOOKUP($A530,[2]库存使用数据!$A:$J,10,0),0)+公式!$B$14*IFERROR(VLOOKUP($A530,[3]库存使用数据!$A:$J,10,0),0)+IFERROR(VLOOKUP($A530,[4]库存使用数据!$A:$J,10,0),0)+IFERROR(VLOOKUP($A530,[5]库存使用数据!$A:$J,10,0),0)</f>
        <v>0.61</v>
      </c>
      <c r="K530" s="1">
        <f ca="1">IFERROR(VLOOKUP($A530,[1]库存使用数据!$A:$K,11,0),0)+IFERROR(VLOOKUP($A530,[2]库存使用数据!$A:$K,11,0),0)+IFERROR(VLOOKUP($A530,[3]库存使用数据!$A:$K,11,0),0)+IFERROR(VLOOKUP($A530,[4]库存使用数据!$A:$K,11,0),0)+IFERROR(VLOOKUP($A530,[5]库存使用数据!$A:$K,11,0),0)</f>
        <v>103</v>
      </c>
      <c r="L530" s="1">
        <f ca="1">IFERROR(VLOOKUP($A530,[1]库存使用数据!$A:$L,12,0),0)+IFERROR(VLOOKUP($A530,[2]库存使用数据!$A:$L,12,0),0)+IFERROR(VLOOKUP($A530,[3]库存使用数据!$A:$L,12,0),0)+IFERROR(VLOOKUP($A530,[4]库存使用数据!$A:$L,12,0),0)+IFERROR(VLOOKUP($A530,[5]库存使用数据!$A:$L,12,0),0)</f>
        <v>2</v>
      </c>
      <c r="M530" s="1">
        <f ca="1">IFERROR(VLOOKUP($A530,[1]库存使用数据!$A:$M,13,0),0)+IFERROR(VLOOKUP($A530,[2]库存使用数据!$A:$M,13,0),0)+公式!$B$14*IFERROR(VLOOKUP($A530,[3]库存使用数据!$A:$M,13,0),0)+IFERROR(VLOOKUP($A530,[4]库存使用数据!$A:$M,13,0),0)+IFERROR(VLOOKUP($A530,[5]库存使用数据!$A:$M,13,0),0)</f>
        <v>0.55</v>
      </c>
    </row>
    <row r="531" spans="1:13">
      <c r="A531" s="6" t="s">
        <v>536</v>
      </c>
      <c r="B531" s="2">
        <f ca="1">IFERROR(VLOOKUP(A531,[1]库存使用数据!$A:$B,2,0),0)+IFERROR(VLOOKUP(A531,[2]库存使用数据!$A:$B,2,0),0)+IFERROR(VLOOKUP(,[3]库存使用数据!$A:$B,2,0),0)+IFERROR(VLOOKUP(A531,[4]库存使用数据!$A:$B,2,0),0)+IFERROR(VLOOKUP(A531,[5]库存使用数据!$A:$B,2,0),0)</f>
        <v>0</v>
      </c>
      <c r="C531" s="1">
        <f ca="1">IFERROR(VLOOKUP($A531,[1]库存使用数据!$A:$C,3,0),0)+IFERROR(VLOOKUP($A531,[2]库存使用数据!$A:$C,3,0),0)+IFERROR(VLOOKUP($A531,[3]库存使用数据!$A:$C,3,0),0)+IFERROR(VLOOKUP($A531,[4]库存使用数据!$A:$C,3,0),0)+IFERROR(VLOOKUP($A531,[5]库存使用数据!$A:$C,3,0),0)</f>
        <v>0</v>
      </c>
      <c r="D531" s="1">
        <f ca="1">IFERROR(VLOOKUP($A531,[1]库存使用数据!$A:$D,4,0),0)+IFERROR(VLOOKUP($A531,[2]库存使用数据!$A:$D,4,0),0)+公式!$B$1*IFERROR(VLOOKUP($A531,[3]库存使用数据!$A:$D,4,0),0)+IFERROR(VLOOKUP($A531,[4]库存使用数据!$A:$D,4,0),0)+IFERROR(VLOOKUP($A531,[5]库存使用数据!$A:$D,4,0),0)</f>
        <v>0</v>
      </c>
      <c r="E531" s="1">
        <f ca="1">IFERROR(VLOOKUP($A531,[1]库存使用数据!$A:$E,5,0),0)+IFERROR(VLOOKUP($A531,[2]库存使用数据!$A:$E,5,0),0)+IFERROR(VLOOKUP($A531,[3]库存使用数据!$A:$E,5,0),0)+IFERROR(VLOOKUP($A531,[4]库存使用数据!$A:$E,5,0),0)+IFERROR(VLOOKUP($A531,[5]库存使用数据!$A:$E,5,0),0)</f>
        <v>0</v>
      </c>
      <c r="F531" s="1">
        <f ca="1">IFERROR(VLOOKUP($A531,[1]库存使用数据!$A:$F,6,0),0)+IFERROR(VLOOKUP($A531,[2]库存使用数据!$A:$F,6,0),0)+IFERROR(VLOOKUP($A531,[4]库存使用数据!$A:$F,6,0),0)+IFERROR(VLOOKUP($A531,[3]库存使用数据!$A:$F,6,0),0)+IFERROR(VLOOKUP($A531,[5]库存使用数据!$A:$F,6,0),0)</f>
        <v>0</v>
      </c>
      <c r="G531" s="1">
        <f ca="1">IFERROR(VLOOKUP($A531,[1]库存使用数据!$A:$G,7,0),0)+IFERROR(VLOOKUP($A531,[2]库存使用数据!$A:$G,7,0),0)+公式!$B$14*IFERROR(VLOOKUP($A531,[3]库存使用数据!$A:$G,7,0),0)+IFERROR(VLOOKUP($A531,[4]库存使用数据!$A:$G,7,0),0)+IFERROR(VLOOKUP($A531,[5]库存使用数据!$A:$G,7,0),0)</f>
        <v>0</v>
      </c>
      <c r="H531" s="1">
        <f ca="1">IFERROR(VLOOKUP($A531,[1]库存使用数据!$A:$H,8,0),0)+IFERROR(VLOOKUP($A531,[2]库存使用数据!$A:$H,8,0),0)+IFERROR(VLOOKUP($A531,[3]库存使用数据!$A:$H,8,0),0)+IFERROR(VLOOKUP($A531,[4]库存使用数据!$A:$H,8,0),0)+IFERROR(VLOOKUP($A531,[5]库存使用数据!$A:$H,8,0),0)</f>
        <v>547</v>
      </c>
      <c r="I531" s="1">
        <f ca="1">IFERROR(VLOOKUP($A531,[1]库存使用数据!$A:$I,9,0),0)+IFERROR(VLOOKUP($A531,[2]库存使用数据!$A:$I,9,0),0)+IFERROR(VLOOKUP($A531,[3]库存使用数据!$A:$I,9,0),0)+IFERROR(VLOOKUP($A531,[4]库存使用数据!$A:$I,9,0),0)+IFERROR(VLOOKUP($A531,[5]库存使用数据!$A:$I,9,0),0)</f>
        <v>6</v>
      </c>
      <c r="J531" s="1">
        <f ca="1">IFERROR(VLOOKUP($A531,[1]库存使用数据!$A:$J,10,0),0)+IFERROR(VLOOKUP($A531,[2]库存使用数据!$A:$J,10,0),0)+公式!$B$14*IFERROR(VLOOKUP($A531,[3]库存使用数据!$A:$J,10,0),0)+IFERROR(VLOOKUP($A531,[4]库存使用数据!$A:$J,10,0),0)+IFERROR(VLOOKUP($A531,[5]库存使用数据!$A:$J,10,0),0)</f>
        <v>0.97</v>
      </c>
      <c r="K531" s="1">
        <f ca="1">IFERROR(VLOOKUP($A531,[1]库存使用数据!$A:$K,11,0),0)+IFERROR(VLOOKUP($A531,[2]库存使用数据!$A:$K,11,0),0)+IFERROR(VLOOKUP($A531,[3]库存使用数据!$A:$K,11,0),0)+IFERROR(VLOOKUP($A531,[4]库存使用数据!$A:$K,11,0),0)+IFERROR(VLOOKUP($A531,[5]库存使用数据!$A:$K,11,0),0)</f>
        <v>2800</v>
      </c>
      <c r="L531" s="1">
        <f ca="1">IFERROR(VLOOKUP($A531,[1]库存使用数据!$A:$L,12,0),0)+IFERROR(VLOOKUP($A531,[2]库存使用数据!$A:$L,12,0),0)+IFERROR(VLOOKUP($A531,[3]库存使用数据!$A:$L,12,0),0)+IFERROR(VLOOKUP($A531,[4]库存使用数据!$A:$L,12,0),0)+IFERROR(VLOOKUP($A531,[5]库存使用数据!$A:$L,12,0),0)</f>
        <v>16</v>
      </c>
      <c r="M531" s="1">
        <f ca="1">IFERROR(VLOOKUP($A531,[1]库存使用数据!$A:$M,13,0),0)+IFERROR(VLOOKUP($A531,[2]库存使用数据!$A:$M,13,0),0)+公式!$B$14*IFERROR(VLOOKUP($A531,[3]库存使用数据!$A:$M,13,0),0)+IFERROR(VLOOKUP($A531,[4]库存使用数据!$A:$M,13,0),0)+IFERROR(VLOOKUP($A531,[5]库存使用数据!$A:$M,13,0),0)</f>
        <v>2.8</v>
      </c>
    </row>
    <row r="532" spans="1:13">
      <c r="A532" s="6" t="s">
        <v>537</v>
      </c>
      <c r="B532" s="2">
        <f ca="1">IFERROR(VLOOKUP(A532,[1]库存使用数据!$A:$B,2,0),0)+IFERROR(VLOOKUP(A532,[2]库存使用数据!$A:$B,2,0),0)+IFERROR(VLOOKUP(,[3]库存使用数据!$A:$B,2,0),0)+IFERROR(VLOOKUP(A532,[4]库存使用数据!$A:$B,2,0),0)+IFERROR(VLOOKUP(A532,[5]库存使用数据!$A:$B,2,0),0)</f>
        <v>0</v>
      </c>
      <c r="C532" s="1">
        <f ca="1">IFERROR(VLOOKUP($A532,[1]库存使用数据!$A:$C,3,0),0)+IFERROR(VLOOKUP($A532,[2]库存使用数据!$A:$C,3,0),0)+IFERROR(VLOOKUP($A532,[3]库存使用数据!$A:$C,3,0),0)+IFERROR(VLOOKUP($A532,[4]库存使用数据!$A:$C,3,0),0)+IFERROR(VLOOKUP($A532,[5]库存使用数据!$A:$C,3,0),0)</f>
        <v>0</v>
      </c>
      <c r="D532" s="1">
        <f ca="1">IFERROR(VLOOKUP($A532,[1]库存使用数据!$A:$D,4,0),0)+IFERROR(VLOOKUP($A532,[2]库存使用数据!$A:$D,4,0),0)+公式!$B$1*IFERROR(VLOOKUP($A532,[3]库存使用数据!$A:$D,4,0),0)+IFERROR(VLOOKUP($A532,[4]库存使用数据!$A:$D,4,0),0)+IFERROR(VLOOKUP($A532,[5]库存使用数据!$A:$D,4,0),0)</f>
        <v>0</v>
      </c>
      <c r="E532" s="1">
        <f ca="1">IFERROR(VLOOKUP($A532,[1]库存使用数据!$A:$E,5,0),0)+IFERROR(VLOOKUP($A532,[2]库存使用数据!$A:$E,5,0),0)+IFERROR(VLOOKUP($A532,[3]库存使用数据!$A:$E,5,0),0)+IFERROR(VLOOKUP($A532,[4]库存使用数据!$A:$E,5,0),0)+IFERROR(VLOOKUP($A532,[5]库存使用数据!$A:$E,5,0),0)</f>
        <v>0</v>
      </c>
      <c r="F532" s="1">
        <f ca="1">IFERROR(VLOOKUP($A532,[1]库存使用数据!$A:$F,6,0),0)+IFERROR(VLOOKUP($A532,[2]库存使用数据!$A:$F,6,0),0)+IFERROR(VLOOKUP($A532,[4]库存使用数据!$A:$F,6,0),0)+IFERROR(VLOOKUP($A532,[3]库存使用数据!$A:$F,6,0),0)+IFERROR(VLOOKUP($A532,[5]库存使用数据!$A:$F,6,0),0)</f>
        <v>0</v>
      </c>
      <c r="G532" s="1">
        <f ca="1">IFERROR(VLOOKUP($A532,[1]库存使用数据!$A:$G,7,0),0)+IFERROR(VLOOKUP($A532,[2]库存使用数据!$A:$G,7,0),0)+公式!$B$14*IFERROR(VLOOKUP($A532,[3]库存使用数据!$A:$G,7,0),0)+IFERROR(VLOOKUP($A532,[4]库存使用数据!$A:$G,7,0),0)+IFERROR(VLOOKUP($A532,[5]库存使用数据!$A:$G,7,0),0)</f>
        <v>0</v>
      </c>
      <c r="H532" s="1">
        <f ca="1">IFERROR(VLOOKUP($A532,[1]库存使用数据!$A:$H,8,0),0)+IFERROR(VLOOKUP($A532,[2]库存使用数据!$A:$H,8,0),0)+IFERROR(VLOOKUP($A532,[3]库存使用数据!$A:$H,8,0),0)+IFERROR(VLOOKUP($A532,[4]库存使用数据!$A:$H,8,0),0)+IFERROR(VLOOKUP($A532,[5]库存使用数据!$A:$H,8,0),0)</f>
        <v>0</v>
      </c>
      <c r="I532" s="1">
        <f ca="1">IFERROR(VLOOKUP($A532,[1]库存使用数据!$A:$I,9,0),0)+IFERROR(VLOOKUP($A532,[2]库存使用数据!$A:$I,9,0),0)+IFERROR(VLOOKUP($A532,[3]库存使用数据!$A:$I,9,0),0)+IFERROR(VLOOKUP($A532,[4]库存使用数据!$A:$I,9,0),0)+IFERROR(VLOOKUP($A532,[5]库存使用数据!$A:$I,9,0),0)</f>
        <v>0</v>
      </c>
      <c r="J532" s="1">
        <f ca="1">IFERROR(VLOOKUP($A532,[1]库存使用数据!$A:$J,10,0),0)+IFERROR(VLOOKUP($A532,[2]库存使用数据!$A:$J,10,0),0)+公式!$B$14*IFERROR(VLOOKUP($A532,[3]库存使用数据!$A:$J,10,0),0)+IFERROR(VLOOKUP($A532,[4]库存使用数据!$A:$J,10,0),0)+IFERROR(VLOOKUP($A532,[5]库存使用数据!$A:$J,10,0),0)</f>
        <v>0</v>
      </c>
      <c r="K532" s="1">
        <f ca="1">IFERROR(VLOOKUP($A532,[1]库存使用数据!$A:$K,11,0),0)+IFERROR(VLOOKUP($A532,[2]库存使用数据!$A:$K,11,0),0)+IFERROR(VLOOKUP($A532,[3]库存使用数据!$A:$K,11,0),0)+IFERROR(VLOOKUP($A532,[4]库存使用数据!$A:$K,11,0),0)+IFERROR(VLOOKUP($A532,[5]库存使用数据!$A:$K,11,0),0)</f>
        <v>79</v>
      </c>
      <c r="L532" s="1">
        <f ca="1">IFERROR(VLOOKUP($A532,[1]库存使用数据!$A:$L,12,0),0)+IFERROR(VLOOKUP($A532,[2]库存使用数据!$A:$L,12,0),0)+IFERROR(VLOOKUP($A532,[3]库存使用数据!$A:$L,12,0),0)+IFERROR(VLOOKUP($A532,[4]库存使用数据!$A:$L,12,0),0)+IFERROR(VLOOKUP($A532,[5]库存使用数据!$A:$L,12,0),0)</f>
        <v>0</v>
      </c>
      <c r="M532" s="1">
        <f ca="1">IFERROR(VLOOKUP($A532,[1]库存使用数据!$A:$M,13,0),0)+IFERROR(VLOOKUP($A532,[2]库存使用数据!$A:$M,13,0),0)+公式!$B$14*IFERROR(VLOOKUP($A532,[3]库存使用数据!$A:$M,13,0),0)+IFERROR(VLOOKUP($A532,[4]库存使用数据!$A:$M,13,0),0)+IFERROR(VLOOKUP($A532,[5]库存使用数据!$A:$M,13,0),0)</f>
        <v>0</v>
      </c>
    </row>
    <row r="533" spans="1:13">
      <c r="A533" s="6" t="s">
        <v>538</v>
      </c>
      <c r="B533" s="2">
        <f ca="1">IFERROR(VLOOKUP(A533,[1]库存使用数据!$A:$B,2,0),0)+IFERROR(VLOOKUP(A533,[2]库存使用数据!$A:$B,2,0),0)+IFERROR(VLOOKUP(,[3]库存使用数据!$A:$B,2,0),0)+IFERROR(VLOOKUP(A533,[4]库存使用数据!$A:$B,2,0),0)+IFERROR(VLOOKUP(A533,[5]库存使用数据!$A:$B,2,0),0)</f>
        <v>3</v>
      </c>
      <c r="C533" s="1">
        <f ca="1">IFERROR(VLOOKUP($A533,[1]库存使用数据!$A:$C,3,0),0)+IFERROR(VLOOKUP($A533,[2]库存使用数据!$A:$C,3,0),0)+IFERROR(VLOOKUP($A533,[3]库存使用数据!$A:$C,3,0),0)+IFERROR(VLOOKUP($A533,[4]库存使用数据!$A:$C,3,0),0)+IFERROR(VLOOKUP($A533,[5]库存使用数据!$A:$C,3,0),0)</f>
        <v>0</v>
      </c>
      <c r="D533" s="1">
        <f ca="1">IFERROR(VLOOKUP($A533,[1]库存使用数据!$A:$D,4,0),0)+IFERROR(VLOOKUP($A533,[2]库存使用数据!$A:$D,4,0),0)+公式!$B$1*IFERROR(VLOOKUP($A533,[3]库存使用数据!$A:$D,4,0),0)+IFERROR(VLOOKUP($A533,[4]库存使用数据!$A:$D,4,0),0)+IFERROR(VLOOKUP($A533,[5]库存使用数据!$A:$D,4,0),0)</f>
        <v>0</v>
      </c>
      <c r="E533" s="1">
        <f ca="1">IFERROR(VLOOKUP($A533,[1]库存使用数据!$A:$E,5,0),0)+IFERROR(VLOOKUP($A533,[2]库存使用数据!$A:$E,5,0),0)+IFERROR(VLOOKUP($A533,[3]库存使用数据!$A:$E,5,0),0)+IFERROR(VLOOKUP($A533,[4]库存使用数据!$A:$E,5,0),0)+IFERROR(VLOOKUP($A533,[5]库存使用数据!$A:$E,5,0),0)</f>
        <v>2773</v>
      </c>
      <c r="F533" s="1">
        <f ca="1">IFERROR(VLOOKUP($A533,[1]库存使用数据!$A:$F,6,0),0)+IFERROR(VLOOKUP($A533,[2]库存使用数据!$A:$F,6,0),0)+IFERROR(VLOOKUP($A533,[4]库存使用数据!$A:$F,6,0),0)+IFERROR(VLOOKUP($A533,[3]库存使用数据!$A:$F,6,0),0)+IFERROR(VLOOKUP($A533,[5]库存使用数据!$A:$F,6,0),0)</f>
        <v>9</v>
      </c>
      <c r="G533" s="1">
        <f ca="1">IFERROR(VLOOKUP($A533,[1]库存使用数据!$A:$G,7,0),0)+IFERROR(VLOOKUP($A533,[2]库存使用数据!$A:$G,7,0),0)+公式!$B$14*IFERROR(VLOOKUP($A533,[3]库存使用数据!$A:$G,7,0),0)+IFERROR(VLOOKUP($A533,[4]库存使用数据!$A:$G,7,0),0)+IFERROR(VLOOKUP($A533,[5]库存使用数据!$A:$G,7,0),0)</f>
        <v>1.26</v>
      </c>
      <c r="H533" s="1">
        <f ca="1">IFERROR(VLOOKUP($A533,[1]库存使用数据!$A:$H,8,0),0)+IFERROR(VLOOKUP($A533,[2]库存使用数据!$A:$H,8,0),0)+IFERROR(VLOOKUP($A533,[3]库存使用数据!$A:$H,8,0),0)+IFERROR(VLOOKUP($A533,[4]库存使用数据!$A:$H,8,0),0)+IFERROR(VLOOKUP($A533,[5]库存使用数据!$A:$H,8,0),0)</f>
        <v>1727</v>
      </c>
      <c r="I533" s="1">
        <f ca="1">IFERROR(VLOOKUP($A533,[1]库存使用数据!$A:$I,9,0),0)+IFERROR(VLOOKUP($A533,[2]库存使用数据!$A:$I,9,0),0)+IFERROR(VLOOKUP($A533,[3]库存使用数据!$A:$I,9,0),0)+IFERROR(VLOOKUP($A533,[4]库存使用数据!$A:$I,9,0),0)+IFERROR(VLOOKUP($A533,[5]库存使用数据!$A:$I,9,0),0)</f>
        <v>4</v>
      </c>
      <c r="J533" s="1">
        <f ca="1">IFERROR(VLOOKUP($A533,[1]库存使用数据!$A:$J,10,0),0)+IFERROR(VLOOKUP($A533,[2]库存使用数据!$A:$J,10,0),0)+公式!$B$14*IFERROR(VLOOKUP($A533,[3]库存使用数据!$A:$J,10,0),0)+IFERROR(VLOOKUP($A533,[4]库存使用数据!$A:$J,10,0),0)+IFERROR(VLOOKUP($A533,[5]库存使用数据!$A:$J,10,0),0)</f>
        <v>0.39</v>
      </c>
      <c r="K533" s="1">
        <f ca="1">IFERROR(VLOOKUP($A533,[1]库存使用数据!$A:$K,11,0),0)+IFERROR(VLOOKUP($A533,[2]库存使用数据!$A:$K,11,0),0)+IFERROR(VLOOKUP($A533,[3]库存使用数据!$A:$K,11,0),0)+IFERROR(VLOOKUP($A533,[4]库存使用数据!$A:$K,11,0),0)+IFERROR(VLOOKUP($A533,[5]库存使用数据!$A:$K,11,0),0)</f>
        <v>932</v>
      </c>
      <c r="L533" s="1">
        <f ca="1">IFERROR(VLOOKUP($A533,[1]库存使用数据!$A:$L,12,0),0)+IFERROR(VLOOKUP($A533,[2]库存使用数据!$A:$L,12,0),0)+IFERROR(VLOOKUP($A533,[3]库存使用数据!$A:$L,12,0),0)+IFERROR(VLOOKUP($A533,[4]库存使用数据!$A:$L,12,0),0)+IFERROR(VLOOKUP($A533,[5]库存使用数据!$A:$L,12,0),0)</f>
        <v>5</v>
      </c>
      <c r="M533" s="1">
        <f ca="1">IFERROR(VLOOKUP($A533,[1]库存使用数据!$A:$M,13,0),0)+IFERROR(VLOOKUP($A533,[2]库存使用数据!$A:$M,13,0),0)+公式!$B$14*IFERROR(VLOOKUP($A533,[3]库存使用数据!$A:$M,13,0),0)+IFERROR(VLOOKUP($A533,[4]库存使用数据!$A:$M,13,0),0)+IFERROR(VLOOKUP($A533,[5]库存使用数据!$A:$M,13,0),0)</f>
        <v>0.63</v>
      </c>
    </row>
    <row r="534" spans="1:13">
      <c r="A534" s="6" t="s">
        <v>539</v>
      </c>
      <c r="B534" s="2">
        <f ca="1">IFERROR(VLOOKUP(A534,[1]库存使用数据!$A:$B,2,0),0)+IFERROR(VLOOKUP(A534,[2]库存使用数据!$A:$B,2,0),0)+IFERROR(VLOOKUP(,[3]库存使用数据!$A:$B,2,0),0)+IFERROR(VLOOKUP(A534,[4]库存使用数据!$A:$B,2,0),0)+IFERROR(VLOOKUP(A534,[5]库存使用数据!$A:$B,2,0),0)</f>
        <v>64</v>
      </c>
      <c r="C534" s="1">
        <f ca="1">IFERROR(VLOOKUP($A534,[1]库存使用数据!$A:$C,3,0),0)+IFERROR(VLOOKUP($A534,[2]库存使用数据!$A:$C,3,0),0)+IFERROR(VLOOKUP($A534,[3]库存使用数据!$A:$C,3,0),0)+IFERROR(VLOOKUP($A534,[4]库存使用数据!$A:$C,3,0),0)+IFERROR(VLOOKUP($A534,[5]库存使用数据!$A:$C,3,0),0)</f>
        <v>1</v>
      </c>
      <c r="D534" s="1">
        <f ca="1">IFERROR(VLOOKUP($A534,[1]库存使用数据!$A:$D,4,0),0)+IFERROR(VLOOKUP($A534,[2]库存使用数据!$A:$D,4,0),0)+公式!$B$1*IFERROR(VLOOKUP($A534,[3]库存使用数据!$A:$D,4,0),0)+IFERROR(VLOOKUP($A534,[4]库存使用数据!$A:$D,4,0),0)+IFERROR(VLOOKUP($A534,[5]库存使用数据!$A:$D,4,0),0)</f>
        <v>0.13</v>
      </c>
      <c r="E534" s="1">
        <f ca="1">IFERROR(VLOOKUP($A534,[1]库存使用数据!$A:$E,5,0),0)+IFERROR(VLOOKUP($A534,[2]库存使用数据!$A:$E,5,0),0)+IFERROR(VLOOKUP($A534,[3]库存使用数据!$A:$E,5,0),0)+IFERROR(VLOOKUP($A534,[4]库存使用数据!$A:$E,5,0),0)+IFERROR(VLOOKUP($A534,[5]库存使用数据!$A:$E,5,0),0)</f>
        <v>1576</v>
      </c>
      <c r="F534" s="1">
        <f ca="1">IFERROR(VLOOKUP($A534,[1]库存使用数据!$A:$F,6,0),0)+IFERROR(VLOOKUP($A534,[2]库存使用数据!$A:$F,6,0),0)+IFERROR(VLOOKUP($A534,[4]库存使用数据!$A:$F,6,0),0)+IFERROR(VLOOKUP($A534,[3]库存使用数据!$A:$F,6,0),0)+IFERROR(VLOOKUP($A534,[5]库存使用数据!$A:$F,6,0),0)</f>
        <v>9</v>
      </c>
      <c r="G534" s="1">
        <f ca="1">IFERROR(VLOOKUP($A534,[1]库存使用数据!$A:$G,7,0),0)+IFERROR(VLOOKUP($A534,[2]库存使用数据!$A:$G,7,0),0)+公式!$B$14*IFERROR(VLOOKUP($A534,[3]库存使用数据!$A:$G,7,0),0)+IFERROR(VLOOKUP($A534,[4]库存使用数据!$A:$G,7,0),0)+IFERROR(VLOOKUP($A534,[5]库存使用数据!$A:$G,7,0),0)</f>
        <v>1.26</v>
      </c>
      <c r="H534" s="1">
        <f ca="1">IFERROR(VLOOKUP($A534,[1]库存使用数据!$A:$H,8,0),0)+IFERROR(VLOOKUP($A534,[2]库存使用数据!$A:$H,8,0),0)+IFERROR(VLOOKUP($A534,[3]库存使用数据!$A:$H,8,0),0)+IFERROR(VLOOKUP($A534,[4]库存使用数据!$A:$H,8,0),0)+IFERROR(VLOOKUP($A534,[5]库存使用数据!$A:$H,8,0),0)</f>
        <v>585</v>
      </c>
      <c r="I534" s="1">
        <f ca="1">IFERROR(VLOOKUP($A534,[1]库存使用数据!$A:$I,9,0),0)+IFERROR(VLOOKUP($A534,[2]库存使用数据!$A:$I,9,0),0)+IFERROR(VLOOKUP($A534,[3]库存使用数据!$A:$I,9,0),0)+IFERROR(VLOOKUP($A534,[4]库存使用数据!$A:$I,9,0),0)+IFERROR(VLOOKUP($A534,[5]库存使用数据!$A:$I,9,0),0)</f>
        <v>2</v>
      </c>
      <c r="J534" s="1">
        <f ca="1">IFERROR(VLOOKUP($A534,[1]库存使用数据!$A:$J,10,0),0)+IFERROR(VLOOKUP($A534,[2]库存使用数据!$A:$J,10,0),0)+公式!$B$14*IFERROR(VLOOKUP($A534,[3]库存使用数据!$A:$J,10,0),0)+IFERROR(VLOOKUP($A534,[4]库存使用数据!$A:$J,10,0),0)+IFERROR(VLOOKUP($A534,[5]库存使用数据!$A:$J,10,0),0)</f>
        <v>0.56</v>
      </c>
      <c r="K534" s="1">
        <f ca="1">IFERROR(VLOOKUP($A534,[1]库存使用数据!$A:$K,11,0),0)+IFERROR(VLOOKUP($A534,[2]库存使用数据!$A:$K,11,0),0)+IFERROR(VLOOKUP($A534,[3]库存使用数据!$A:$K,11,0),0)+IFERROR(VLOOKUP($A534,[4]库存使用数据!$A:$K,11,0),0)+IFERROR(VLOOKUP($A534,[5]库存使用数据!$A:$K,11,0),0)</f>
        <v>9793</v>
      </c>
      <c r="L534" s="1">
        <f ca="1">IFERROR(VLOOKUP($A534,[1]库存使用数据!$A:$L,12,0),0)+IFERROR(VLOOKUP($A534,[2]库存使用数据!$A:$L,12,0),0)+IFERROR(VLOOKUP($A534,[3]库存使用数据!$A:$L,12,0),0)+IFERROR(VLOOKUP($A534,[4]库存使用数据!$A:$L,12,0),0)+IFERROR(VLOOKUP($A534,[5]库存使用数据!$A:$L,12,0),0)</f>
        <v>39</v>
      </c>
      <c r="M534" s="1">
        <f ca="1">IFERROR(VLOOKUP($A534,[1]库存使用数据!$A:$M,13,0),0)+IFERROR(VLOOKUP($A534,[2]库存使用数据!$A:$M,13,0),0)+公式!$B$14*IFERROR(VLOOKUP($A534,[3]库存使用数据!$A:$M,13,0),0)+IFERROR(VLOOKUP($A534,[4]库存使用数据!$A:$M,13,0),0)+IFERROR(VLOOKUP($A534,[5]库存使用数据!$A:$M,13,0),0)</f>
        <v>9.83</v>
      </c>
    </row>
    <row r="535" spans="1:13">
      <c r="A535" s="6" t="s">
        <v>540</v>
      </c>
      <c r="B535" s="2">
        <f ca="1">IFERROR(VLOOKUP(A535,[1]库存使用数据!$A:$B,2,0),0)+IFERROR(VLOOKUP(A535,[2]库存使用数据!$A:$B,2,0),0)+IFERROR(VLOOKUP(,[3]库存使用数据!$A:$B,2,0),0)+IFERROR(VLOOKUP(A535,[4]库存使用数据!$A:$B,2,0),0)+IFERROR(VLOOKUP(A535,[5]库存使用数据!$A:$B,2,0),0)</f>
        <v>1</v>
      </c>
      <c r="C535" s="1">
        <f ca="1">IFERROR(VLOOKUP($A535,[1]库存使用数据!$A:$C,3,0),0)+IFERROR(VLOOKUP($A535,[2]库存使用数据!$A:$C,3,0),0)+IFERROR(VLOOKUP($A535,[3]库存使用数据!$A:$C,3,0),0)+IFERROR(VLOOKUP($A535,[4]库存使用数据!$A:$C,3,0),0)+IFERROR(VLOOKUP($A535,[5]库存使用数据!$A:$C,3,0),0)</f>
        <v>0</v>
      </c>
      <c r="D535" s="1">
        <f ca="1">IFERROR(VLOOKUP($A535,[1]库存使用数据!$A:$D,4,0),0)+IFERROR(VLOOKUP($A535,[2]库存使用数据!$A:$D,4,0),0)+公式!$B$1*IFERROR(VLOOKUP($A535,[3]库存使用数据!$A:$D,4,0),0)+IFERROR(VLOOKUP($A535,[4]库存使用数据!$A:$D,4,0),0)+IFERROR(VLOOKUP($A535,[5]库存使用数据!$A:$D,4,0),0)</f>
        <v>0</v>
      </c>
      <c r="E535" s="1">
        <f ca="1">IFERROR(VLOOKUP($A535,[1]库存使用数据!$A:$E,5,0),0)+IFERROR(VLOOKUP($A535,[2]库存使用数据!$A:$E,5,0),0)+IFERROR(VLOOKUP($A535,[3]库存使用数据!$A:$E,5,0),0)+IFERROR(VLOOKUP($A535,[4]库存使用数据!$A:$E,5,0),0)+IFERROR(VLOOKUP($A535,[5]库存使用数据!$A:$E,5,0),0)</f>
        <v>2066</v>
      </c>
      <c r="F535" s="1">
        <f ca="1">IFERROR(VLOOKUP($A535,[1]库存使用数据!$A:$F,6,0),0)+IFERROR(VLOOKUP($A535,[2]库存使用数据!$A:$F,6,0),0)+IFERROR(VLOOKUP($A535,[4]库存使用数据!$A:$F,6,0),0)+IFERROR(VLOOKUP($A535,[3]库存使用数据!$A:$F,6,0),0)+IFERROR(VLOOKUP($A535,[5]库存使用数据!$A:$F,6,0),0)</f>
        <v>1</v>
      </c>
      <c r="G535" s="1">
        <f ca="1">IFERROR(VLOOKUP($A535,[1]库存使用数据!$A:$G,7,0),0)+IFERROR(VLOOKUP($A535,[2]库存使用数据!$A:$G,7,0),0)+公式!$B$14*IFERROR(VLOOKUP($A535,[3]库存使用数据!$A:$G,7,0),0)+IFERROR(VLOOKUP($A535,[4]库存使用数据!$A:$G,7,0),0)+IFERROR(VLOOKUP($A535,[5]库存使用数据!$A:$G,7,0),0)</f>
        <v>0.03</v>
      </c>
      <c r="H535" s="1">
        <f ca="1">IFERROR(VLOOKUP($A535,[1]库存使用数据!$A:$H,8,0),0)+IFERROR(VLOOKUP($A535,[2]库存使用数据!$A:$H,8,0),0)+IFERROR(VLOOKUP($A535,[3]库存使用数据!$A:$H,8,0),0)+IFERROR(VLOOKUP($A535,[4]库存使用数据!$A:$H,8,0),0)+IFERROR(VLOOKUP($A535,[5]库存使用数据!$A:$H,8,0),0)</f>
        <v>794</v>
      </c>
      <c r="I535" s="1">
        <f ca="1">IFERROR(VLOOKUP($A535,[1]库存使用数据!$A:$I,9,0),0)+IFERROR(VLOOKUP($A535,[2]库存使用数据!$A:$I,9,0),0)+IFERROR(VLOOKUP($A535,[3]库存使用数据!$A:$I,9,0),0)+IFERROR(VLOOKUP($A535,[4]库存使用数据!$A:$I,9,0),0)+IFERROR(VLOOKUP($A535,[5]库存使用数据!$A:$I,9,0),0)</f>
        <v>0</v>
      </c>
      <c r="J535" s="1">
        <f ca="1">IFERROR(VLOOKUP($A535,[1]库存使用数据!$A:$J,10,0),0)+IFERROR(VLOOKUP($A535,[2]库存使用数据!$A:$J,10,0),0)+公式!$B$14*IFERROR(VLOOKUP($A535,[3]库存使用数据!$A:$J,10,0),0)+IFERROR(VLOOKUP($A535,[4]库存使用数据!$A:$J,10,0),0)+IFERROR(VLOOKUP($A535,[5]库存使用数据!$A:$J,10,0),0)</f>
        <v>0</v>
      </c>
      <c r="K535" s="1">
        <f ca="1">IFERROR(VLOOKUP($A535,[1]库存使用数据!$A:$K,11,0),0)+IFERROR(VLOOKUP($A535,[2]库存使用数据!$A:$K,11,0),0)+IFERROR(VLOOKUP($A535,[3]库存使用数据!$A:$K,11,0),0)+IFERROR(VLOOKUP($A535,[4]库存使用数据!$A:$K,11,0),0)+IFERROR(VLOOKUP($A535,[5]库存使用数据!$A:$K,11,0),0)</f>
        <v>797</v>
      </c>
      <c r="L535" s="1">
        <f ca="1">IFERROR(VLOOKUP($A535,[1]库存使用数据!$A:$L,12,0),0)+IFERROR(VLOOKUP($A535,[2]库存使用数据!$A:$L,12,0),0)+IFERROR(VLOOKUP($A535,[3]库存使用数据!$A:$L,12,0),0)+IFERROR(VLOOKUP($A535,[4]库存使用数据!$A:$L,12,0),0)+IFERROR(VLOOKUP($A535,[5]库存使用数据!$A:$L,12,0),0)</f>
        <v>1</v>
      </c>
      <c r="M535" s="1">
        <f ca="1">IFERROR(VLOOKUP($A535,[1]库存使用数据!$A:$M,13,0),0)+IFERROR(VLOOKUP($A535,[2]库存使用数据!$A:$M,13,0),0)+公式!$B$14*IFERROR(VLOOKUP($A535,[3]库存使用数据!$A:$M,13,0),0)+IFERROR(VLOOKUP($A535,[4]库存使用数据!$A:$M,13,0),0)+IFERROR(VLOOKUP($A535,[5]库存使用数据!$A:$M,13,0),0)</f>
        <v>0.1</v>
      </c>
    </row>
    <row r="536" spans="1:13">
      <c r="A536" s="6" t="s">
        <v>541</v>
      </c>
      <c r="B536" s="2">
        <f ca="1">IFERROR(VLOOKUP(A536,[1]库存使用数据!$A:$B,2,0),0)+IFERROR(VLOOKUP(A536,[2]库存使用数据!$A:$B,2,0),0)+IFERROR(VLOOKUP(,[3]库存使用数据!$A:$B,2,0),0)+IFERROR(VLOOKUP(A536,[4]库存使用数据!$A:$B,2,0),0)+IFERROR(VLOOKUP(A536,[5]库存使用数据!$A:$B,2,0),0)</f>
        <v>21</v>
      </c>
      <c r="C536" s="1">
        <f ca="1">IFERROR(VLOOKUP($A536,[1]库存使用数据!$A:$C,3,0),0)+IFERROR(VLOOKUP($A536,[2]库存使用数据!$A:$C,3,0),0)+IFERROR(VLOOKUP($A536,[3]库存使用数据!$A:$C,3,0),0)+IFERROR(VLOOKUP($A536,[4]库存使用数据!$A:$C,3,0),0)+IFERROR(VLOOKUP($A536,[5]库存使用数据!$A:$C,3,0),0)</f>
        <v>0</v>
      </c>
      <c r="D536" s="1">
        <f ca="1">IFERROR(VLOOKUP($A536,[1]库存使用数据!$A:$D,4,0),0)+IFERROR(VLOOKUP($A536,[2]库存使用数据!$A:$D,4,0),0)+公式!$B$1*IFERROR(VLOOKUP($A536,[3]库存使用数据!$A:$D,4,0),0)+IFERROR(VLOOKUP($A536,[4]库存使用数据!$A:$D,4,0),0)+IFERROR(VLOOKUP($A536,[5]库存使用数据!$A:$D,4,0),0)</f>
        <v>0</v>
      </c>
      <c r="E536" s="1">
        <f ca="1">IFERROR(VLOOKUP($A536,[1]库存使用数据!$A:$E,5,0),0)+IFERROR(VLOOKUP($A536,[2]库存使用数据!$A:$E,5,0),0)+IFERROR(VLOOKUP($A536,[3]库存使用数据!$A:$E,5,0),0)+IFERROR(VLOOKUP($A536,[4]库存使用数据!$A:$E,5,0),0)+IFERROR(VLOOKUP($A536,[5]库存使用数据!$A:$E,5,0),0)</f>
        <v>533</v>
      </c>
      <c r="F536" s="1">
        <f ca="1">IFERROR(VLOOKUP($A536,[1]库存使用数据!$A:$F,6,0),0)+IFERROR(VLOOKUP($A536,[2]库存使用数据!$A:$F,6,0),0)+IFERROR(VLOOKUP($A536,[4]库存使用数据!$A:$F,6,0),0)+IFERROR(VLOOKUP($A536,[3]库存使用数据!$A:$F,6,0),0)+IFERROR(VLOOKUP($A536,[5]库存使用数据!$A:$F,6,0),0)</f>
        <v>0</v>
      </c>
      <c r="G536" s="1">
        <f ca="1">IFERROR(VLOOKUP($A536,[1]库存使用数据!$A:$G,7,0),0)+IFERROR(VLOOKUP($A536,[2]库存使用数据!$A:$G,7,0),0)+公式!$B$14*IFERROR(VLOOKUP($A536,[3]库存使用数据!$A:$G,7,0),0)+IFERROR(VLOOKUP($A536,[4]库存使用数据!$A:$G,7,0),0)+IFERROR(VLOOKUP($A536,[5]库存使用数据!$A:$G,7,0),0)</f>
        <v>0</v>
      </c>
      <c r="H536" s="1">
        <f ca="1">IFERROR(VLOOKUP($A536,[1]库存使用数据!$A:$H,8,0),0)+IFERROR(VLOOKUP($A536,[2]库存使用数据!$A:$H,8,0),0)+IFERROR(VLOOKUP($A536,[3]库存使用数据!$A:$H,8,0),0)+IFERROR(VLOOKUP($A536,[4]库存使用数据!$A:$H,8,0),0)+IFERROR(VLOOKUP($A536,[5]库存使用数据!$A:$H,8,0),0)</f>
        <v>245</v>
      </c>
      <c r="I536" s="1">
        <f ca="1">IFERROR(VLOOKUP($A536,[1]库存使用数据!$A:$I,9,0),0)+IFERROR(VLOOKUP($A536,[2]库存使用数据!$A:$I,9,0),0)+IFERROR(VLOOKUP($A536,[3]库存使用数据!$A:$I,9,0),0)+IFERROR(VLOOKUP($A536,[4]库存使用数据!$A:$I,9,0),0)+IFERROR(VLOOKUP($A536,[5]库存使用数据!$A:$I,9,0),0)</f>
        <v>0</v>
      </c>
      <c r="J536" s="1">
        <f ca="1">IFERROR(VLOOKUP($A536,[1]库存使用数据!$A:$J,10,0),0)+IFERROR(VLOOKUP($A536,[2]库存使用数据!$A:$J,10,0),0)+公式!$B$14*IFERROR(VLOOKUP($A536,[3]库存使用数据!$A:$J,10,0),0)+IFERROR(VLOOKUP($A536,[4]库存使用数据!$A:$J,10,0),0)+IFERROR(VLOOKUP($A536,[5]库存使用数据!$A:$J,10,0),0)</f>
        <v>0</v>
      </c>
      <c r="K536" s="1">
        <f ca="1">IFERROR(VLOOKUP($A536,[1]库存使用数据!$A:$K,11,0),0)+IFERROR(VLOOKUP($A536,[2]库存使用数据!$A:$K,11,0),0)+IFERROR(VLOOKUP($A536,[3]库存使用数据!$A:$K,11,0),0)+IFERROR(VLOOKUP($A536,[4]库存使用数据!$A:$K,11,0),0)+IFERROR(VLOOKUP($A536,[5]库存使用数据!$A:$K,11,0),0)</f>
        <v>433</v>
      </c>
      <c r="L536" s="1">
        <f ca="1">IFERROR(VLOOKUP($A536,[1]库存使用数据!$A:$L,12,0),0)+IFERROR(VLOOKUP($A536,[2]库存使用数据!$A:$L,12,0),0)+IFERROR(VLOOKUP($A536,[3]库存使用数据!$A:$L,12,0),0)+IFERROR(VLOOKUP($A536,[4]库存使用数据!$A:$L,12,0),0)+IFERROR(VLOOKUP($A536,[5]库存使用数据!$A:$L,12,0),0)</f>
        <v>1</v>
      </c>
      <c r="M536" s="1">
        <f ca="1">IFERROR(VLOOKUP($A536,[1]库存使用数据!$A:$M,13,0),0)+IFERROR(VLOOKUP($A536,[2]库存使用数据!$A:$M,13,0),0)+公式!$B$14*IFERROR(VLOOKUP($A536,[3]库存使用数据!$A:$M,13,0),0)+IFERROR(VLOOKUP($A536,[4]库存使用数据!$A:$M,13,0),0)+IFERROR(VLOOKUP($A536,[5]库存使用数据!$A:$M,13,0),0)</f>
        <v>0.29</v>
      </c>
    </row>
    <row r="537" spans="1:13">
      <c r="A537" s="6" t="s">
        <v>542</v>
      </c>
      <c r="B537" s="2">
        <f ca="1">IFERROR(VLOOKUP(A537,[1]库存使用数据!$A:$B,2,0),0)+IFERROR(VLOOKUP(A537,[2]库存使用数据!$A:$B,2,0),0)+IFERROR(VLOOKUP(,[3]库存使用数据!$A:$B,2,0),0)+IFERROR(VLOOKUP(A537,[4]库存使用数据!$A:$B,2,0),0)+IFERROR(VLOOKUP(A537,[5]库存使用数据!$A:$B,2,0),0)</f>
        <v>453</v>
      </c>
      <c r="C537" s="1">
        <f ca="1">IFERROR(VLOOKUP($A537,[1]库存使用数据!$A:$C,3,0),0)+IFERROR(VLOOKUP($A537,[2]库存使用数据!$A:$C,3,0),0)+IFERROR(VLOOKUP($A537,[3]库存使用数据!$A:$C,3,0),0)+IFERROR(VLOOKUP($A537,[4]库存使用数据!$A:$C,3,0),0)+IFERROR(VLOOKUP($A537,[5]库存使用数据!$A:$C,3,0),0)</f>
        <v>1</v>
      </c>
      <c r="D537" s="1">
        <f ca="1">IFERROR(VLOOKUP($A537,[1]库存使用数据!$A:$D,4,0),0)+IFERROR(VLOOKUP($A537,[2]库存使用数据!$A:$D,4,0),0)+公式!$B$1*IFERROR(VLOOKUP($A537,[3]库存使用数据!$A:$D,4,0),0)+IFERROR(VLOOKUP($A537,[4]库存使用数据!$A:$D,4,0),0)+IFERROR(VLOOKUP($A537,[5]库存使用数据!$A:$D,4,0),0)</f>
        <v>0.25</v>
      </c>
      <c r="E537" s="1">
        <f ca="1">IFERROR(VLOOKUP($A537,[1]库存使用数据!$A:$E,5,0),0)+IFERROR(VLOOKUP($A537,[2]库存使用数据!$A:$E,5,0),0)+IFERROR(VLOOKUP($A537,[3]库存使用数据!$A:$E,5,0),0)+IFERROR(VLOOKUP($A537,[4]库存使用数据!$A:$E,5,0),0)+IFERROR(VLOOKUP($A537,[5]库存使用数据!$A:$E,5,0),0)</f>
        <v>1024</v>
      </c>
      <c r="F537" s="1">
        <f ca="1">IFERROR(VLOOKUP($A537,[1]库存使用数据!$A:$F,6,0),0)+IFERROR(VLOOKUP($A537,[2]库存使用数据!$A:$F,6,0),0)+IFERROR(VLOOKUP($A537,[4]库存使用数据!$A:$F,6,0),0)+IFERROR(VLOOKUP($A537,[3]库存使用数据!$A:$F,6,0),0)+IFERROR(VLOOKUP($A537,[5]库存使用数据!$A:$F,6,0),0)</f>
        <v>1</v>
      </c>
      <c r="G537" s="1">
        <f ca="1">IFERROR(VLOOKUP($A537,[1]库存使用数据!$A:$G,7,0),0)+IFERROR(VLOOKUP($A537,[2]库存使用数据!$A:$G,7,0),0)+公式!$B$14*IFERROR(VLOOKUP($A537,[3]库存使用数据!$A:$G,7,0),0)+IFERROR(VLOOKUP($A537,[4]库存使用数据!$A:$G,7,0),0)+IFERROR(VLOOKUP($A537,[5]库存使用数据!$A:$G,7,0),0)</f>
        <v>0.22</v>
      </c>
      <c r="H537" s="1">
        <f ca="1">IFERROR(VLOOKUP($A537,[1]库存使用数据!$A:$H,8,0),0)+IFERROR(VLOOKUP($A537,[2]库存使用数据!$A:$H,8,0),0)+IFERROR(VLOOKUP($A537,[3]库存使用数据!$A:$H,8,0),0)+IFERROR(VLOOKUP($A537,[4]库存使用数据!$A:$H,8,0),0)+IFERROR(VLOOKUP($A537,[5]库存使用数据!$A:$H,8,0),0)</f>
        <v>528</v>
      </c>
      <c r="I537" s="1">
        <f ca="1">IFERROR(VLOOKUP($A537,[1]库存使用数据!$A:$I,9,0),0)+IFERROR(VLOOKUP($A537,[2]库存使用数据!$A:$I,9,0),0)+IFERROR(VLOOKUP($A537,[3]库存使用数据!$A:$I,9,0),0)+IFERROR(VLOOKUP($A537,[4]库存使用数据!$A:$I,9,0),0)+IFERROR(VLOOKUP($A537,[5]库存使用数据!$A:$I,9,0),0)</f>
        <v>1</v>
      </c>
      <c r="J537" s="1">
        <f ca="1">IFERROR(VLOOKUP($A537,[1]库存使用数据!$A:$J,10,0),0)+IFERROR(VLOOKUP($A537,[2]库存使用数据!$A:$J,10,0),0)+公式!$B$14*IFERROR(VLOOKUP($A537,[3]库存使用数据!$A:$J,10,0),0)+IFERROR(VLOOKUP($A537,[4]库存使用数据!$A:$J,10,0),0)+IFERROR(VLOOKUP($A537,[5]库存使用数据!$A:$J,10,0),0)</f>
        <v>0.07</v>
      </c>
      <c r="K537" s="1">
        <f ca="1">IFERROR(VLOOKUP($A537,[1]库存使用数据!$A:$K,11,0),0)+IFERROR(VLOOKUP($A537,[2]库存使用数据!$A:$K,11,0),0)+IFERROR(VLOOKUP($A537,[3]库存使用数据!$A:$K,11,0),0)+IFERROR(VLOOKUP($A537,[4]库存使用数据!$A:$K,11,0),0)+IFERROR(VLOOKUP($A537,[5]库存使用数据!$A:$K,11,0),0)</f>
        <v>888</v>
      </c>
      <c r="L537" s="1">
        <f ca="1">IFERROR(VLOOKUP($A537,[1]库存使用数据!$A:$L,12,0),0)+IFERROR(VLOOKUP($A537,[2]库存使用数据!$A:$L,12,0),0)+IFERROR(VLOOKUP($A537,[3]库存使用数据!$A:$L,12,0),0)+IFERROR(VLOOKUP($A537,[4]库存使用数据!$A:$L,12,0),0)+IFERROR(VLOOKUP($A537,[5]库存使用数据!$A:$L,12,0),0)</f>
        <v>1</v>
      </c>
      <c r="M537" s="1">
        <f ca="1">IFERROR(VLOOKUP($A537,[1]库存使用数据!$A:$M,13,0),0)+IFERROR(VLOOKUP($A537,[2]库存使用数据!$A:$M,13,0),0)+公式!$B$14*IFERROR(VLOOKUP($A537,[3]库存使用数据!$A:$M,13,0),0)+IFERROR(VLOOKUP($A537,[4]库存使用数据!$A:$M,13,0),0)+IFERROR(VLOOKUP($A537,[5]库存使用数据!$A:$M,13,0),0)</f>
        <v>0.35</v>
      </c>
    </row>
    <row r="538" spans="1:13">
      <c r="A538" s="6" t="s">
        <v>543</v>
      </c>
      <c r="B538" s="2">
        <f ca="1">IFERROR(VLOOKUP(A538,[1]库存使用数据!$A:$B,2,0),0)+IFERROR(VLOOKUP(A538,[2]库存使用数据!$A:$B,2,0),0)+IFERROR(VLOOKUP(,[3]库存使用数据!$A:$B,2,0),0)+IFERROR(VLOOKUP(A538,[4]库存使用数据!$A:$B,2,0),0)+IFERROR(VLOOKUP(A538,[5]库存使用数据!$A:$B,2,0),0)</f>
        <v>0</v>
      </c>
      <c r="C538" s="1">
        <f ca="1">IFERROR(VLOOKUP($A538,[1]库存使用数据!$A:$C,3,0),0)+IFERROR(VLOOKUP($A538,[2]库存使用数据!$A:$C,3,0),0)+IFERROR(VLOOKUP($A538,[3]库存使用数据!$A:$C,3,0),0)+IFERROR(VLOOKUP($A538,[4]库存使用数据!$A:$C,3,0),0)+IFERROR(VLOOKUP($A538,[5]库存使用数据!$A:$C,3,0),0)</f>
        <v>0</v>
      </c>
      <c r="D538" s="1">
        <f ca="1">IFERROR(VLOOKUP($A538,[1]库存使用数据!$A:$D,4,0),0)+IFERROR(VLOOKUP($A538,[2]库存使用数据!$A:$D,4,0),0)+公式!$B$1*IFERROR(VLOOKUP($A538,[3]库存使用数据!$A:$D,4,0),0)+IFERROR(VLOOKUP($A538,[4]库存使用数据!$A:$D,4,0),0)+IFERROR(VLOOKUP($A538,[5]库存使用数据!$A:$D,4,0),0)</f>
        <v>0</v>
      </c>
      <c r="E538" s="1">
        <f ca="1">IFERROR(VLOOKUP($A538,[1]库存使用数据!$A:$E,5,0),0)+IFERROR(VLOOKUP($A538,[2]库存使用数据!$A:$E,5,0),0)+IFERROR(VLOOKUP($A538,[3]库存使用数据!$A:$E,5,0),0)+IFERROR(VLOOKUP($A538,[4]库存使用数据!$A:$E,5,0),0)+IFERROR(VLOOKUP($A538,[5]库存使用数据!$A:$E,5,0),0)</f>
        <v>466</v>
      </c>
      <c r="F538" s="1">
        <f ca="1">IFERROR(VLOOKUP($A538,[1]库存使用数据!$A:$F,6,0),0)+IFERROR(VLOOKUP($A538,[2]库存使用数据!$A:$F,6,0),0)+IFERROR(VLOOKUP($A538,[4]库存使用数据!$A:$F,6,0),0)+IFERROR(VLOOKUP($A538,[3]库存使用数据!$A:$F,6,0),0)+IFERROR(VLOOKUP($A538,[5]库存使用数据!$A:$F,6,0),0)</f>
        <v>3</v>
      </c>
      <c r="G538" s="1">
        <f ca="1">IFERROR(VLOOKUP($A538,[1]库存使用数据!$A:$G,7,0),0)+IFERROR(VLOOKUP($A538,[2]库存使用数据!$A:$G,7,0),0)+公式!$B$14*IFERROR(VLOOKUP($A538,[3]库存使用数据!$A:$G,7,0),0)+IFERROR(VLOOKUP($A538,[4]库存使用数据!$A:$G,7,0),0)+IFERROR(VLOOKUP($A538,[5]库存使用数据!$A:$G,7,0),0)</f>
        <v>0.54</v>
      </c>
      <c r="H538" s="1">
        <f ca="1">IFERROR(VLOOKUP($A538,[1]库存使用数据!$A:$H,8,0),0)+IFERROR(VLOOKUP($A538,[2]库存使用数据!$A:$H,8,0),0)+IFERROR(VLOOKUP($A538,[3]库存使用数据!$A:$H,8,0),0)+IFERROR(VLOOKUP($A538,[4]库存使用数据!$A:$H,8,0),0)+IFERROR(VLOOKUP($A538,[5]库存使用数据!$A:$H,8,0),0)</f>
        <v>1364</v>
      </c>
      <c r="I538" s="1">
        <f ca="1">IFERROR(VLOOKUP($A538,[1]库存使用数据!$A:$I,9,0),0)+IFERROR(VLOOKUP($A538,[2]库存使用数据!$A:$I,9,0),0)+IFERROR(VLOOKUP($A538,[3]库存使用数据!$A:$I,9,0),0)+IFERROR(VLOOKUP($A538,[4]库存使用数据!$A:$I,9,0),0)+IFERROR(VLOOKUP($A538,[5]库存使用数据!$A:$I,9,0),0)</f>
        <v>4</v>
      </c>
      <c r="J538" s="1">
        <f ca="1">IFERROR(VLOOKUP($A538,[1]库存使用数据!$A:$J,10,0),0)+IFERROR(VLOOKUP($A538,[2]库存使用数据!$A:$J,10,0),0)+公式!$B$14*IFERROR(VLOOKUP($A538,[3]库存使用数据!$A:$J,10,0),0)+IFERROR(VLOOKUP($A538,[4]库存使用数据!$A:$J,10,0),0)+IFERROR(VLOOKUP($A538,[5]库存使用数据!$A:$J,10,0),0)</f>
        <v>0.45</v>
      </c>
      <c r="K538" s="1">
        <f ca="1">IFERROR(VLOOKUP($A538,[1]库存使用数据!$A:$K,11,0),0)+IFERROR(VLOOKUP($A538,[2]库存使用数据!$A:$K,11,0),0)+IFERROR(VLOOKUP($A538,[3]库存使用数据!$A:$K,11,0),0)+IFERROR(VLOOKUP($A538,[4]库存使用数据!$A:$K,11,0),0)+IFERROR(VLOOKUP($A538,[5]库存使用数据!$A:$K,11,0),0)</f>
        <v>413</v>
      </c>
      <c r="L538" s="1">
        <f ca="1">IFERROR(VLOOKUP($A538,[1]库存使用数据!$A:$L,12,0),0)+IFERROR(VLOOKUP($A538,[2]库存使用数据!$A:$L,12,0),0)+IFERROR(VLOOKUP($A538,[3]库存使用数据!$A:$L,12,0),0)+IFERROR(VLOOKUP($A538,[4]库存使用数据!$A:$L,12,0),0)+IFERROR(VLOOKUP($A538,[5]库存使用数据!$A:$L,12,0),0)</f>
        <v>3</v>
      </c>
      <c r="M538" s="1">
        <f ca="1">IFERROR(VLOOKUP($A538,[1]库存使用数据!$A:$M,13,0),0)+IFERROR(VLOOKUP($A538,[2]库存使用数据!$A:$M,13,0),0)+公式!$B$14*IFERROR(VLOOKUP($A538,[3]库存使用数据!$A:$M,13,0),0)+IFERROR(VLOOKUP($A538,[4]库存使用数据!$A:$M,13,0),0)+IFERROR(VLOOKUP($A538,[5]库存使用数据!$A:$M,13,0),0)</f>
        <v>0.4</v>
      </c>
    </row>
    <row r="539" spans="1:13">
      <c r="A539" s="6" t="s">
        <v>544</v>
      </c>
      <c r="B539" s="2">
        <f ca="1">IFERROR(VLOOKUP(A539,[1]库存使用数据!$A:$B,2,0),0)+IFERROR(VLOOKUP(A539,[2]库存使用数据!$A:$B,2,0),0)+IFERROR(VLOOKUP(,[3]库存使用数据!$A:$B,2,0),0)+IFERROR(VLOOKUP(A539,[4]库存使用数据!$A:$B,2,0),0)+IFERROR(VLOOKUP(A539,[5]库存使用数据!$A:$B,2,0),0)</f>
        <v>0</v>
      </c>
      <c r="C539" s="1">
        <f ca="1">IFERROR(VLOOKUP($A539,[1]库存使用数据!$A:$C,3,0),0)+IFERROR(VLOOKUP($A539,[2]库存使用数据!$A:$C,3,0),0)+IFERROR(VLOOKUP($A539,[3]库存使用数据!$A:$C,3,0),0)+IFERROR(VLOOKUP($A539,[4]库存使用数据!$A:$C,3,0),0)+IFERROR(VLOOKUP($A539,[5]库存使用数据!$A:$C,3,0),0)</f>
        <v>0</v>
      </c>
      <c r="D539" s="1">
        <f ca="1">IFERROR(VLOOKUP($A539,[1]库存使用数据!$A:$D,4,0),0)+IFERROR(VLOOKUP($A539,[2]库存使用数据!$A:$D,4,0),0)+公式!$B$1*IFERROR(VLOOKUP($A539,[3]库存使用数据!$A:$D,4,0),0)+IFERROR(VLOOKUP($A539,[4]库存使用数据!$A:$D,4,0),0)+IFERROR(VLOOKUP($A539,[5]库存使用数据!$A:$D,4,0),0)</f>
        <v>0</v>
      </c>
      <c r="E539" s="1">
        <f ca="1">IFERROR(VLOOKUP($A539,[1]库存使用数据!$A:$E,5,0),0)+IFERROR(VLOOKUP($A539,[2]库存使用数据!$A:$E,5,0),0)+IFERROR(VLOOKUP($A539,[3]库存使用数据!$A:$E,5,0),0)+IFERROR(VLOOKUP($A539,[4]库存使用数据!$A:$E,5,0),0)+IFERROR(VLOOKUP($A539,[5]库存使用数据!$A:$E,5,0),0)</f>
        <v>0</v>
      </c>
      <c r="F539" s="1">
        <f ca="1">IFERROR(VLOOKUP($A539,[1]库存使用数据!$A:$F,6,0),0)+IFERROR(VLOOKUP($A539,[2]库存使用数据!$A:$F,6,0),0)+IFERROR(VLOOKUP($A539,[4]库存使用数据!$A:$F,6,0),0)+IFERROR(VLOOKUP($A539,[3]库存使用数据!$A:$F,6,0),0)+IFERROR(VLOOKUP($A539,[5]库存使用数据!$A:$F,6,0),0)</f>
        <v>0</v>
      </c>
      <c r="G539" s="1">
        <f ca="1">IFERROR(VLOOKUP($A539,[1]库存使用数据!$A:$G,7,0),0)+IFERROR(VLOOKUP($A539,[2]库存使用数据!$A:$G,7,0),0)+公式!$B$14*IFERROR(VLOOKUP($A539,[3]库存使用数据!$A:$G,7,0),0)+IFERROR(VLOOKUP($A539,[4]库存使用数据!$A:$G,7,0),0)+IFERROR(VLOOKUP($A539,[5]库存使用数据!$A:$G,7,0),0)</f>
        <v>0</v>
      </c>
      <c r="H539" s="1">
        <f ca="1">IFERROR(VLOOKUP($A539,[1]库存使用数据!$A:$H,8,0),0)+IFERROR(VLOOKUP($A539,[2]库存使用数据!$A:$H,8,0),0)+IFERROR(VLOOKUP($A539,[3]库存使用数据!$A:$H,8,0),0)+IFERROR(VLOOKUP($A539,[4]库存使用数据!$A:$H,8,0),0)+IFERROR(VLOOKUP($A539,[5]库存使用数据!$A:$H,8,0),0)</f>
        <v>0</v>
      </c>
      <c r="I539" s="1">
        <f ca="1">IFERROR(VLOOKUP($A539,[1]库存使用数据!$A:$I,9,0),0)+IFERROR(VLOOKUP($A539,[2]库存使用数据!$A:$I,9,0),0)+IFERROR(VLOOKUP($A539,[3]库存使用数据!$A:$I,9,0),0)+IFERROR(VLOOKUP($A539,[4]库存使用数据!$A:$I,9,0),0)+IFERROR(VLOOKUP($A539,[5]库存使用数据!$A:$I,9,0),0)</f>
        <v>0</v>
      </c>
      <c r="J539" s="1">
        <f ca="1">IFERROR(VLOOKUP($A539,[1]库存使用数据!$A:$J,10,0),0)+IFERROR(VLOOKUP($A539,[2]库存使用数据!$A:$J,10,0),0)+公式!$B$14*IFERROR(VLOOKUP($A539,[3]库存使用数据!$A:$J,10,0),0)+IFERROR(VLOOKUP($A539,[4]库存使用数据!$A:$J,10,0),0)+IFERROR(VLOOKUP($A539,[5]库存使用数据!$A:$J,10,0),0)</f>
        <v>0</v>
      </c>
      <c r="K539" s="1">
        <f ca="1">IFERROR(VLOOKUP($A539,[1]库存使用数据!$A:$K,11,0),0)+IFERROR(VLOOKUP($A539,[2]库存使用数据!$A:$K,11,0),0)+IFERROR(VLOOKUP($A539,[3]库存使用数据!$A:$K,11,0),0)+IFERROR(VLOOKUP($A539,[4]库存使用数据!$A:$K,11,0),0)+IFERROR(VLOOKUP($A539,[5]库存使用数据!$A:$K,11,0),0)</f>
        <v>0</v>
      </c>
      <c r="L539" s="1">
        <f ca="1">IFERROR(VLOOKUP($A539,[1]库存使用数据!$A:$L,12,0),0)+IFERROR(VLOOKUP($A539,[2]库存使用数据!$A:$L,12,0),0)+IFERROR(VLOOKUP($A539,[3]库存使用数据!$A:$L,12,0),0)+IFERROR(VLOOKUP($A539,[4]库存使用数据!$A:$L,12,0),0)+IFERROR(VLOOKUP($A539,[5]库存使用数据!$A:$L,12,0),0)</f>
        <v>0</v>
      </c>
      <c r="M539" s="1">
        <f ca="1">IFERROR(VLOOKUP($A539,[1]库存使用数据!$A:$M,13,0),0)+IFERROR(VLOOKUP($A539,[2]库存使用数据!$A:$M,13,0),0)+公式!$B$14*IFERROR(VLOOKUP($A539,[3]库存使用数据!$A:$M,13,0),0)+IFERROR(VLOOKUP($A539,[4]库存使用数据!$A:$M,13,0),0)+IFERROR(VLOOKUP($A539,[5]库存使用数据!$A:$M,13,0),0)</f>
        <v>0</v>
      </c>
    </row>
    <row r="540" spans="1:13">
      <c r="A540" s="6" t="s">
        <v>545</v>
      </c>
      <c r="B540" s="2">
        <f ca="1">IFERROR(VLOOKUP(A540,[1]库存使用数据!$A:$B,2,0),0)+IFERROR(VLOOKUP(A540,[2]库存使用数据!$A:$B,2,0),0)+IFERROR(VLOOKUP(,[3]库存使用数据!$A:$B,2,0),0)+IFERROR(VLOOKUP(A540,[4]库存使用数据!$A:$B,2,0),0)+IFERROR(VLOOKUP(A540,[5]库存使用数据!$A:$B,2,0),0)</f>
        <v>0</v>
      </c>
      <c r="C540" s="1">
        <f ca="1">IFERROR(VLOOKUP($A540,[1]库存使用数据!$A:$C,3,0),0)+IFERROR(VLOOKUP($A540,[2]库存使用数据!$A:$C,3,0),0)+IFERROR(VLOOKUP($A540,[3]库存使用数据!$A:$C,3,0),0)+IFERROR(VLOOKUP($A540,[4]库存使用数据!$A:$C,3,0),0)+IFERROR(VLOOKUP($A540,[5]库存使用数据!$A:$C,3,0),0)</f>
        <v>0</v>
      </c>
      <c r="D540" s="1">
        <f ca="1">IFERROR(VLOOKUP($A540,[1]库存使用数据!$A:$D,4,0),0)+IFERROR(VLOOKUP($A540,[2]库存使用数据!$A:$D,4,0),0)+公式!$B$1*IFERROR(VLOOKUP($A540,[3]库存使用数据!$A:$D,4,0),0)+IFERROR(VLOOKUP($A540,[4]库存使用数据!$A:$D,4,0),0)+IFERROR(VLOOKUP($A540,[5]库存使用数据!$A:$D,4,0),0)</f>
        <v>0</v>
      </c>
      <c r="E540" s="1">
        <f ca="1">IFERROR(VLOOKUP($A540,[1]库存使用数据!$A:$E,5,0),0)+IFERROR(VLOOKUP($A540,[2]库存使用数据!$A:$E,5,0),0)+IFERROR(VLOOKUP($A540,[3]库存使用数据!$A:$E,5,0),0)+IFERROR(VLOOKUP($A540,[4]库存使用数据!$A:$E,5,0),0)+IFERROR(VLOOKUP($A540,[5]库存使用数据!$A:$E,5,0),0)</f>
        <v>2960</v>
      </c>
      <c r="F540" s="1">
        <f ca="1">IFERROR(VLOOKUP($A540,[1]库存使用数据!$A:$F,6,0),0)+IFERROR(VLOOKUP($A540,[2]库存使用数据!$A:$F,6,0),0)+IFERROR(VLOOKUP($A540,[4]库存使用数据!$A:$F,6,0),0)+IFERROR(VLOOKUP($A540,[3]库存使用数据!$A:$F,6,0),0)+IFERROR(VLOOKUP($A540,[5]库存使用数据!$A:$F,6,0),0)</f>
        <v>10</v>
      </c>
      <c r="G540" s="1">
        <f ca="1">IFERROR(VLOOKUP($A540,[1]库存使用数据!$A:$G,7,0),0)+IFERROR(VLOOKUP($A540,[2]库存使用数据!$A:$G,7,0),0)+公式!$B$14*IFERROR(VLOOKUP($A540,[3]库存使用数据!$A:$G,7,0),0)+IFERROR(VLOOKUP($A540,[4]库存使用数据!$A:$G,7,0),0)+IFERROR(VLOOKUP($A540,[5]库存使用数据!$A:$G,7,0),0)</f>
        <v>1.09</v>
      </c>
      <c r="H540" s="1">
        <f ca="1">IFERROR(VLOOKUP($A540,[1]库存使用数据!$A:$H,8,0),0)+IFERROR(VLOOKUP($A540,[2]库存使用数据!$A:$H,8,0),0)+IFERROR(VLOOKUP($A540,[3]库存使用数据!$A:$H,8,0),0)+IFERROR(VLOOKUP($A540,[4]库存使用数据!$A:$H,8,0),0)+IFERROR(VLOOKUP($A540,[5]库存使用数据!$A:$H,8,0),0)</f>
        <v>486</v>
      </c>
      <c r="I540" s="1">
        <f ca="1">IFERROR(VLOOKUP($A540,[1]库存使用数据!$A:$I,9,0),0)+IFERROR(VLOOKUP($A540,[2]库存使用数据!$A:$I,9,0),0)+IFERROR(VLOOKUP($A540,[3]库存使用数据!$A:$I,9,0),0)+IFERROR(VLOOKUP($A540,[4]库存使用数据!$A:$I,9,0),0)+IFERROR(VLOOKUP($A540,[5]库存使用数据!$A:$I,9,0),0)</f>
        <v>1</v>
      </c>
      <c r="J540" s="1">
        <f ca="1">IFERROR(VLOOKUP($A540,[1]库存使用数据!$A:$J,10,0),0)+IFERROR(VLOOKUP($A540,[2]库存使用数据!$A:$J,10,0),0)+公式!$B$14*IFERROR(VLOOKUP($A540,[3]库存使用数据!$A:$J,10,0),0)+IFERROR(VLOOKUP($A540,[4]库存使用数据!$A:$J,10,0),0)+IFERROR(VLOOKUP($A540,[5]库存使用数据!$A:$J,10,0),0)</f>
        <v>0.15</v>
      </c>
      <c r="K540" s="1">
        <f ca="1">IFERROR(VLOOKUP($A540,[1]库存使用数据!$A:$K,11,0),0)+IFERROR(VLOOKUP($A540,[2]库存使用数据!$A:$K,11,0),0)+IFERROR(VLOOKUP($A540,[3]库存使用数据!$A:$K,11,0),0)+IFERROR(VLOOKUP($A540,[4]库存使用数据!$A:$K,11,0),0)+IFERROR(VLOOKUP($A540,[5]库存使用数据!$A:$K,11,0),0)</f>
        <v>348</v>
      </c>
      <c r="L540" s="1">
        <f ca="1">IFERROR(VLOOKUP($A540,[1]库存使用数据!$A:$L,12,0),0)+IFERROR(VLOOKUP($A540,[2]库存使用数据!$A:$L,12,0),0)+IFERROR(VLOOKUP($A540,[3]库存使用数据!$A:$L,12,0),0)+IFERROR(VLOOKUP($A540,[4]库存使用数据!$A:$L,12,0),0)+IFERROR(VLOOKUP($A540,[5]库存使用数据!$A:$L,12,0),0)</f>
        <v>0</v>
      </c>
      <c r="M540" s="1">
        <f ca="1">IFERROR(VLOOKUP($A540,[1]库存使用数据!$A:$M,13,0),0)+IFERROR(VLOOKUP($A540,[2]库存使用数据!$A:$M,13,0),0)+公式!$B$14*IFERROR(VLOOKUP($A540,[3]库存使用数据!$A:$M,13,0),0)+IFERROR(VLOOKUP($A540,[4]库存使用数据!$A:$M,13,0),0)+IFERROR(VLOOKUP($A540,[5]库存使用数据!$A:$M,13,0),0)</f>
        <v>0</v>
      </c>
    </row>
    <row r="541" spans="1:13">
      <c r="A541" s="6" t="s">
        <v>546</v>
      </c>
      <c r="B541" s="2">
        <f ca="1">IFERROR(VLOOKUP(A541,[1]库存使用数据!$A:$B,2,0),0)+IFERROR(VLOOKUP(A541,[2]库存使用数据!$A:$B,2,0),0)+IFERROR(VLOOKUP(,[3]库存使用数据!$A:$B,2,0),0)+IFERROR(VLOOKUP(A541,[4]库存使用数据!$A:$B,2,0),0)+IFERROR(VLOOKUP(A541,[5]库存使用数据!$A:$B,2,0),0)</f>
        <v>1982</v>
      </c>
      <c r="C541" s="1">
        <f ca="1">IFERROR(VLOOKUP($A541,[1]库存使用数据!$A:$C,3,0),0)+IFERROR(VLOOKUP($A541,[2]库存使用数据!$A:$C,3,0),0)+IFERROR(VLOOKUP($A541,[3]库存使用数据!$A:$C,3,0),0)+IFERROR(VLOOKUP($A541,[4]库存使用数据!$A:$C,3,0),0)+IFERROR(VLOOKUP($A541,[5]库存使用数据!$A:$C,3,0),0)</f>
        <v>4</v>
      </c>
      <c r="D541" s="1">
        <f ca="1">IFERROR(VLOOKUP($A541,[1]库存使用数据!$A:$D,4,0),0)+IFERROR(VLOOKUP($A541,[2]库存使用数据!$A:$D,4,0),0)+公式!$B$1*IFERROR(VLOOKUP($A541,[3]库存使用数据!$A:$D,4,0),0)+IFERROR(VLOOKUP($A541,[4]库存使用数据!$A:$D,4,0),0)+IFERROR(VLOOKUP($A541,[5]库存使用数据!$A:$D,4,0),0)</f>
        <v>0.47</v>
      </c>
      <c r="E541" s="1">
        <f ca="1">IFERROR(VLOOKUP($A541,[1]库存使用数据!$A:$E,5,0),0)+IFERROR(VLOOKUP($A541,[2]库存使用数据!$A:$E,5,0),0)+IFERROR(VLOOKUP($A541,[3]库存使用数据!$A:$E,5,0),0)+IFERROR(VLOOKUP($A541,[4]库存使用数据!$A:$E,5,0),0)+IFERROR(VLOOKUP($A541,[5]库存使用数据!$A:$E,5,0),0)</f>
        <v>3114</v>
      </c>
      <c r="F541" s="1">
        <f ca="1">IFERROR(VLOOKUP($A541,[1]库存使用数据!$A:$F,6,0),0)+IFERROR(VLOOKUP($A541,[2]库存使用数据!$A:$F,6,0),0)+IFERROR(VLOOKUP($A541,[4]库存使用数据!$A:$F,6,0),0)+IFERROR(VLOOKUP($A541,[3]库存使用数据!$A:$F,6,0),0)+IFERROR(VLOOKUP($A541,[5]库存使用数据!$A:$F,6,0),0)</f>
        <v>5</v>
      </c>
      <c r="G541" s="1">
        <f ca="1">IFERROR(VLOOKUP($A541,[1]库存使用数据!$A:$G,7,0),0)+IFERROR(VLOOKUP($A541,[2]库存使用数据!$A:$G,7,0),0)+公式!$B$14*IFERROR(VLOOKUP($A541,[3]库存使用数据!$A:$G,7,0),0)+IFERROR(VLOOKUP($A541,[4]库存使用数据!$A:$G,7,0),0)+IFERROR(VLOOKUP($A541,[5]库存使用数据!$A:$G,7,0),0)</f>
        <v>0.49</v>
      </c>
      <c r="H541" s="1">
        <f ca="1">IFERROR(VLOOKUP($A541,[1]库存使用数据!$A:$H,8,0),0)+IFERROR(VLOOKUP($A541,[2]库存使用数据!$A:$H,8,0),0)+IFERROR(VLOOKUP($A541,[3]库存使用数据!$A:$H,8,0),0)+IFERROR(VLOOKUP($A541,[4]库存使用数据!$A:$H,8,0),0)+IFERROR(VLOOKUP($A541,[5]库存使用数据!$A:$H,8,0),0)</f>
        <v>800</v>
      </c>
      <c r="I541" s="1">
        <f ca="1">IFERROR(VLOOKUP($A541,[1]库存使用数据!$A:$I,9,0),0)+IFERROR(VLOOKUP($A541,[2]库存使用数据!$A:$I,9,0),0)+IFERROR(VLOOKUP($A541,[3]库存使用数据!$A:$I,9,0),0)+IFERROR(VLOOKUP($A541,[4]库存使用数据!$A:$I,9,0),0)+IFERROR(VLOOKUP($A541,[5]库存使用数据!$A:$I,9,0),0)</f>
        <v>3</v>
      </c>
      <c r="J541" s="1">
        <f ca="1">IFERROR(VLOOKUP($A541,[1]库存使用数据!$A:$J,10,0),0)+IFERROR(VLOOKUP($A541,[2]库存使用数据!$A:$J,10,0),0)+公式!$B$14*IFERROR(VLOOKUP($A541,[3]库存使用数据!$A:$J,10,0),0)+IFERROR(VLOOKUP($A541,[4]库存使用数据!$A:$J,10,0),0)+IFERROR(VLOOKUP($A541,[5]库存使用数据!$A:$J,10,0),0)</f>
        <v>0.31</v>
      </c>
      <c r="K541" s="1">
        <f ca="1">IFERROR(VLOOKUP($A541,[1]库存使用数据!$A:$K,11,0),0)+IFERROR(VLOOKUP($A541,[2]库存使用数据!$A:$K,11,0),0)+IFERROR(VLOOKUP($A541,[3]库存使用数据!$A:$K,11,0),0)+IFERROR(VLOOKUP($A541,[4]库存使用数据!$A:$K,11,0),0)+IFERROR(VLOOKUP($A541,[5]库存使用数据!$A:$K,11,0),0)</f>
        <v>1632</v>
      </c>
      <c r="L541" s="1">
        <f ca="1">IFERROR(VLOOKUP($A541,[1]库存使用数据!$A:$L,12,0),0)+IFERROR(VLOOKUP($A541,[2]库存使用数据!$A:$L,12,0),0)+IFERROR(VLOOKUP($A541,[3]库存使用数据!$A:$L,12,0),0)+IFERROR(VLOOKUP($A541,[4]库存使用数据!$A:$L,12,0),0)+IFERROR(VLOOKUP($A541,[5]库存使用数据!$A:$L,12,0),0)</f>
        <v>11</v>
      </c>
      <c r="M541" s="1">
        <f ca="1">IFERROR(VLOOKUP($A541,[1]库存使用数据!$A:$M,13,0),0)+IFERROR(VLOOKUP($A541,[2]库存使用数据!$A:$M,13,0),0)+公式!$B$14*IFERROR(VLOOKUP($A541,[3]库存使用数据!$A:$M,13,0),0)+IFERROR(VLOOKUP($A541,[4]库存使用数据!$A:$M,13,0),0)+IFERROR(VLOOKUP($A541,[5]库存使用数据!$A:$M,13,0),0)</f>
        <v>1.57</v>
      </c>
    </row>
    <row r="542" spans="1:13">
      <c r="A542" s="6" t="s">
        <v>547</v>
      </c>
      <c r="B542" s="2">
        <f ca="1">IFERROR(VLOOKUP(A542,[1]库存使用数据!$A:$B,2,0),0)+IFERROR(VLOOKUP(A542,[2]库存使用数据!$A:$B,2,0),0)+IFERROR(VLOOKUP(,[3]库存使用数据!$A:$B,2,0),0)+IFERROR(VLOOKUP(A542,[4]库存使用数据!$A:$B,2,0),0)+IFERROR(VLOOKUP(A542,[5]库存使用数据!$A:$B,2,0),0)</f>
        <v>0</v>
      </c>
      <c r="C542" s="1">
        <f ca="1">IFERROR(VLOOKUP($A542,[1]库存使用数据!$A:$C,3,0),0)+IFERROR(VLOOKUP($A542,[2]库存使用数据!$A:$C,3,0),0)+IFERROR(VLOOKUP($A542,[3]库存使用数据!$A:$C,3,0),0)+IFERROR(VLOOKUP($A542,[4]库存使用数据!$A:$C,3,0),0)+IFERROR(VLOOKUP($A542,[5]库存使用数据!$A:$C,3,0),0)</f>
        <v>0</v>
      </c>
      <c r="D542" s="1">
        <f ca="1">IFERROR(VLOOKUP($A542,[1]库存使用数据!$A:$D,4,0),0)+IFERROR(VLOOKUP($A542,[2]库存使用数据!$A:$D,4,0),0)+公式!$B$1*IFERROR(VLOOKUP($A542,[3]库存使用数据!$A:$D,4,0),0)+IFERROR(VLOOKUP($A542,[4]库存使用数据!$A:$D,4,0),0)+IFERROR(VLOOKUP($A542,[5]库存使用数据!$A:$D,4,0),0)</f>
        <v>0</v>
      </c>
      <c r="E542" s="1">
        <f ca="1">IFERROR(VLOOKUP($A542,[1]库存使用数据!$A:$E,5,0),0)+IFERROR(VLOOKUP($A542,[2]库存使用数据!$A:$E,5,0),0)+IFERROR(VLOOKUP($A542,[3]库存使用数据!$A:$E,5,0),0)+IFERROR(VLOOKUP($A542,[4]库存使用数据!$A:$E,5,0),0)+IFERROR(VLOOKUP($A542,[5]库存使用数据!$A:$E,5,0),0)</f>
        <v>624</v>
      </c>
      <c r="F542" s="1">
        <f ca="1">IFERROR(VLOOKUP($A542,[1]库存使用数据!$A:$F,6,0),0)+IFERROR(VLOOKUP($A542,[2]库存使用数据!$A:$F,6,0),0)+IFERROR(VLOOKUP($A542,[4]库存使用数据!$A:$F,6,0),0)+IFERROR(VLOOKUP($A542,[3]库存使用数据!$A:$F,6,0),0)+IFERROR(VLOOKUP($A542,[5]库存使用数据!$A:$F,6,0),0)</f>
        <v>6</v>
      </c>
      <c r="G542" s="1">
        <f ca="1">IFERROR(VLOOKUP($A542,[1]库存使用数据!$A:$G,7,0),0)+IFERROR(VLOOKUP($A542,[2]库存使用数据!$A:$G,7,0),0)+公式!$B$14*IFERROR(VLOOKUP($A542,[3]库存使用数据!$A:$G,7,0),0)+IFERROR(VLOOKUP($A542,[4]库存使用数据!$A:$G,7,0),0)+IFERROR(VLOOKUP($A542,[5]库存使用数据!$A:$G,7,0),0)</f>
        <v>0.54</v>
      </c>
      <c r="H542" s="1">
        <f ca="1">IFERROR(VLOOKUP($A542,[1]库存使用数据!$A:$H,8,0),0)+IFERROR(VLOOKUP($A542,[2]库存使用数据!$A:$H,8,0),0)+IFERROR(VLOOKUP($A542,[3]库存使用数据!$A:$H,8,0),0)+IFERROR(VLOOKUP($A542,[4]库存使用数据!$A:$H,8,0),0)+IFERROR(VLOOKUP($A542,[5]库存使用数据!$A:$H,8,0),0)</f>
        <v>893</v>
      </c>
      <c r="I542" s="1">
        <f ca="1">IFERROR(VLOOKUP($A542,[1]库存使用数据!$A:$I,9,0),0)+IFERROR(VLOOKUP($A542,[2]库存使用数据!$A:$I,9,0),0)+IFERROR(VLOOKUP($A542,[3]库存使用数据!$A:$I,9,0),0)+IFERROR(VLOOKUP($A542,[4]库存使用数据!$A:$I,9,0),0)+IFERROR(VLOOKUP($A542,[5]库存使用数据!$A:$I,9,0),0)</f>
        <v>0</v>
      </c>
      <c r="J542" s="1">
        <f ca="1">IFERROR(VLOOKUP($A542,[1]库存使用数据!$A:$J,10,0),0)+IFERROR(VLOOKUP($A542,[2]库存使用数据!$A:$J,10,0),0)+公式!$B$14*IFERROR(VLOOKUP($A542,[3]库存使用数据!$A:$J,10,0),0)+IFERROR(VLOOKUP($A542,[4]库存使用数据!$A:$J,10,0),0)+IFERROR(VLOOKUP($A542,[5]库存使用数据!$A:$J,10,0),0)</f>
        <v>0</v>
      </c>
      <c r="K542" s="1">
        <f ca="1">IFERROR(VLOOKUP($A542,[1]库存使用数据!$A:$K,11,0),0)+IFERROR(VLOOKUP($A542,[2]库存使用数据!$A:$K,11,0),0)+IFERROR(VLOOKUP($A542,[3]库存使用数据!$A:$K,11,0),0)+IFERROR(VLOOKUP($A542,[4]库存使用数据!$A:$K,11,0),0)+IFERROR(VLOOKUP($A542,[5]库存使用数据!$A:$K,11,0),0)</f>
        <v>3637</v>
      </c>
      <c r="L542" s="1">
        <f ca="1">IFERROR(VLOOKUP($A542,[1]库存使用数据!$A:$L,12,0),0)+IFERROR(VLOOKUP($A542,[2]库存使用数据!$A:$L,12,0),0)+IFERROR(VLOOKUP($A542,[3]库存使用数据!$A:$L,12,0),0)+IFERROR(VLOOKUP($A542,[4]库存使用数据!$A:$L,12,0),0)+IFERROR(VLOOKUP($A542,[5]库存使用数据!$A:$L,12,0),0)</f>
        <v>7</v>
      </c>
      <c r="M542" s="1">
        <f ca="1">IFERROR(VLOOKUP($A542,[1]库存使用数据!$A:$M,13,0),0)+IFERROR(VLOOKUP($A542,[2]库存使用数据!$A:$M,13,0),0)+公式!$B$14*IFERROR(VLOOKUP($A542,[3]库存使用数据!$A:$M,13,0),0)+IFERROR(VLOOKUP($A542,[4]库存使用数据!$A:$M,13,0),0)+IFERROR(VLOOKUP($A542,[5]库存使用数据!$A:$M,13,0),0)</f>
        <v>0.44</v>
      </c>
    </row>
    <row r="543" spans="1:13">
      <c r="A543" s="6" t="s">
        <v>548</v>
      </c>
      <c r="B543" s="2">
        <f ca="1">IFERROR(VLOOKUP(A543,[1]库存使用数据!$A:$B,2,0),0)+IFERROR(VLOOKUP(A543,[2]库存使用数据!$A:$B,2,0),0)+IFERROR(VLOOKUP(,[3]库存使用数据!$A:$B,2,0),0)+IFERROR(VLOOKUP(A543,[4]库存使用数据!$A:$B,2,0),0)+IFERROR(VLOOKUP(A543,[5]库存使用数据!$A:$B,2,0),0)</f>
        <v>0</v>
      </c>
      <c r="C543" s="1">
        <f ca="1">IFERROR(VLOOKUP($A543,[1]库存使用数据!$A:$C,3,0),0)+IFERROR(VLOOKUP($A543,[2]库存使用数据!$A:$C,3,0),0)+IFERROR(VLOOKUP($A543,[3]库存使用数据!$A:$C,3,0),0)+IFERROR(VLOOKUP($A543,[4]库存使用数据!$A:$C,3,0),0)+IFERROR(VLOOKUP($A543,[5]库存使用数据!$A:$C,3,0),0)</f>
        <v>0</v>
      </c>
      <c r="D543" s="1">
        <f ca="1">IFERROR(VLOOKUP($A543,[1]库存使用数据!$A:$D,4,0),0)+IFERROR(VLOOKUP($A543,[2]库存使用数据!$A:$D,4,0),0)+公式!$B$1*IFERROR(VLOOKUP($A543,[3]库存使用数据!$A:$D,4,0),0)+IFERROR(VLOOKUP($A543,[4]库存使用数据!$A:$D,4,0),0)+IFERROR(VLOOKUP($A543,[5]库存使用数据!$A:$D,4,0),0)</f>
        <v>0</v>
      </c>
      <c r="E543" s="1">
        <f ca="1">IFERROR(VLOOKUP($A543,[1]库存使用数据!$A:$E,5,0),0)+IFERROR(VLOOKUP($A543,[2]库存使用数据!$A:$E,5,0),0)+IFERROR(VLOOKUP($A543,[3]库存使用数据!$A:$E,5,0),0)+IFERROR(VLOOKUP($A543,[4]库存使用数据!$A:$E,5,0),0)+IFERROR(VLOOKUP($A543,[5]库存使用数据!$A:$E,5,0),0)</f>
        <v>0</v>
      </c>
      <c r="F543" s="1">
        <f ca="1">IFERROR(VLOOKUP($A543,[1]库存使用数据!$A:$F,6,0),0)+IFERROR(VLOOKUP($A543,[2]库存使用数据!$A:$F,6,0),0)+IFERROR(VLOOKUP($A543,[4]库存使用数据!$A:$F,6,0),0)+IFERROR(VLOOKUP($A543,[3]库存使用数据!$A:$F,6,0),0)+IFERROR(VLOOKUP($A543,[5]库存使用数据!$A:$F,6,0),0)</f>
        <v>0</v>
      </c>
      <c r="G543" s="1">
        <f ca="1">IFERROR(VLOOKUP($A543,[1]库存使用数据!$A:$G,7,0),0)+IFERROR(VLOOKUP($A543,[2]库存使用数据!$A:$G,7,0),0)+公式!$B$14*IFERROR(VLOOKUP($A543,[3]库存使用数据!$A:$G,7,0),0)+IFERROR(VLOOKUP($A543,[4]库存使用数据!$A:$G,7,0),0)+IFERROR(VLOOKUP($A543,[5]库存使用数据!$A:$G,7,0),0)</f>
        <v>0</v>
      </c>
      <c r="H543" s="1">
        <f ca="1">IFERROR(VLOOKUP($A543,[1]库存使用数据!$A:$H,8,0),0)+IFERROR(VLOOKUP($A543,[2]库存使用数据!$A:$H,8,0),0)+IFERROR(VLOOKUP($A543,[3]库存使用数据!$A:$H,8,0),0)+IFERROR(VLOOKUP($A543,[4]库存使用数据!$A:$H,8,0),0)+IFERROR(VLOOKUP($A543,[5]库存使用数据!$A:$H,8,0),0)</f>
        <v>0</v>
      </c>
      <c r="I543" s="1">
        <f ca="1">IFERROR(VLOOKUP($A543,[1]库存使用数据!$A:$I,9,0),0)+IFERROR(VLOOKUP($A543,[2]库存使用数据!$A:$I,9,0),0)+IFERROR(VLOOKUP($A543,[3]库存使用数据!$A:$I,9,0),0)+IFERROR(VLOOKUP($A543,[4]库存使用数据!$A:$I,9,0),0)+IFERROR(VLOOKUP($A543,[5]库存使用数据!$A:$I,9,0),0)</f>
        <v>0</v>
      </c>
      <c r="J543" s="1">
        <f ca="1">IFERROR(VLOOKUP($A543,[1]库存使用数据!$A:$J,10,0),0)+IFERROR(VLOOKUP($A543,[2]库存使用数据!$A:$J,10,0),0)+公式!$B$14*IFERROR(VLOOKUP($A543,[3]库存使用数据!$A:$J,10,0),0)+IFERROR(VLOOKUP($A543,[4]库存使用数据!$A:$J,10,0),0)+IFERROR(VLOOKUP($A543,[5]库存使用数据!$A:$J,10,0),0)</f>
        <v>0</v>
      </c>
      <c r="K543" s="1">
        <f ca="1">IFERROR(VLOOKUP($A543,[1]库存使用数据!$A:$K,11,0),0)+IFERROR(VLOOKUP($A543,[2]库存使用数据!$A:$K,11,0),0)+IFERROR(VLOOKUP($A543,[3]库存使用数据!$A:$K,11,0),0)+IFERROR(VLOOKUP($A543,[4]库存使用数据!$A:$K,11,0),0)+IFERROR(VLOOKUP($A543,[5]库存使用数据!$A:$K,11,0),0)</f>
        <v>0</v>
      </c>
      <c r="L543" s="1">
        <f ca="1">IFERROR(VLOOKUP($A543,[1]库存使用数据!$A:$L,12,0),0)+IFERROR(VLOOKUP($A543,[2]库存使用数据!$A:$L,12,0),0)+IFERROR(VLOOKUP($A543,[3]库存使用数据!$A:$L,12,0),0)+IFERROR(VLOOKUP($A543,[4]库存使用数据!$A:$L,12,0),0)+IFERROR(VLOOKUP($A543,[5]库存使用数据!$A:$L,12,0),0)</f>
        <v>0</v>
      </c>
      <c r="M543" s="1">
        <f ca="1">IFERROR(VLOOKUP($A543,[1]库存使用数据!$A:$M,13,0),0)+IFERROR(VLOOKUP($A543,[2]库存使用数据!$A:$M,13,0),0)+公式!$B$14*IFERROR(VLOOKUP($A543,[3]库存使用数据!$A:$M,13,0),0)+IFERROR(VLOOKUP($A543,[4]库存使用数据!$A:$M,13,0),0)+IFERROR(VLOOKUP($A543,[5]库存使用数据!$A:$M,13,0),0)</f>
        <v>0</v>
      </c>
    </row>
    <row r="544" spans="1:13">
      <c r="A544" s="6" t="s">
        <v>549</v>
      </c>
      <c r="B544" s="2">
        <f ca="1">IFERROR(VLOOKUP(A544,[1]库存使用数据!$A:$B,2,0),0)+IFERROR(VLOOKUP(A544,[2]库存使用数据!$A:$B,2,0),0)+IFERROR(VLOOKUP(,[3]库存使用数据!$A:$B,2,0),0)+IFERROR(VLOOKUP(A544,[4]库存使用数据!$A:$B,2,0),0)+IFERROR(VLOOKUP(A544,[5]库存使用数据!$A:$B,2,0),0)</f>
        <v>0</v>
      </c>
      <c r="C544" s="1">
        <f ca="1">IFERROR(VLOOKUP($A544,[1]库存使用数据!$A:$C,3,0),0)+IFERROR(VLOOKUP($A544,[2]库存使用数据!$A:$C,3,0),0)+IFERROR(VLOOKUP($A544,[3]库存使用数据!$A:$C,3,0),0)+IFERROR(VLOOKUP($A544,[4]库存使用数据!$A:$C,3,0),0)+IFERROR(VLOOKUP($A544,[5]库存使用数据!$A:$C,3,0),0)</f>
        <v>0</v>
      </c>
      <c r="D544" s="1">
        <f ca="1">IFERROR(VLOOKUP($A544,[1]库存使用数据!$A:$D,4,0),0)+IFERROR(VLOOKUP($A544,[2]库存使用数据!$A:$D,4,0),0)+公式!$B$1*IFERROR(VLOOKUP($A544,[3]库存使用数据!$A:$D,4,0),0)+IFERROR(VLOOKUP($A544,[4]库存使用数据!$A:$D,4,0),0)+IFERROR(VLOOKUP($A544,[5]库存使用数据!$A:$D,4,0),0)</f>
        <v>0</v>
      </c>
      <c r="E544" s="1">
        <f ca="1">IFERROR(VLOOKUP($A544,[1]库存使用数据!$A:$E,5,0),0)+IFERROR(VLOOKUP($A544,[2]库存使用数据!$A:$E,5,0),0)+IFERROR(VLOOKUP($A544,[3]库存使用数据!$A:$E,5,0),0)+IFERROR(VLOOKUP($A544,[4]库存使用数据!$A:$E,5,0),0)+IFERROR(VLOOKUP($A544,[5]库存使用数据!$A:$E,5,0),0)</f>
        <v>0</v>
      </c>
      <c r="F544" s="1">
        <f ca="1">IFERROR(VLOOKUP($A544,[1]库存使用数据!$A:$F,6,0),0)+IFERROR(VLOOKUP($A544,[2]库存使用数据!$A:$F,6,0),0)+IFERROR(VLOOKUP($A544,[4]库存使用数据!$A:$F,6,0),0)+IFERROR(VLOOKUP($A544,[3]库存使用数据!$A:$F,6,0),0)+IFERROR(VLOOKUP($A544,[5]库存使用数据!$A:$F,6,0),0)</f>
        <v>0</v>
      </c>
      <c r="G544" s="1">
        <f ca="1">IFERROR(VLOOKUP($A544,[1]库存使用数据!$A:$G,7,0),0)+IFERROR(VLOOKUP($A544,[2]库存使用数据!$A:$G,7,0),0)+公式!$B$14*IFERROR(VLOOKUP($A544,[3]库存使用数据!$A:$G,7,0),0)+IFERROR(VLOOKUP($A544,[4]库存使用数据!$A:$G,7,0),0)+IFERROR(VLOOKUP($A544,[5]库存使用数据!$A:$G,7,0),0)</f>
        <v>0</v>
      </c>
      <c r="H544" s="1">
        <f ca="1">IFERROR(VLOOKUP($A544,[1]库存使用数据!$A:$H,8,0),0)+IFERROR(VLOOKUP($A544,[2]库存使用数据!$A:$H,8,0),0)+IFERROR(VLOOKUP($A544,[3]库存使用数据!$A:$H,8,0),0)+IFERROR(VLOOKUP($A544,[4]库存使用数据!$A:$H,8,0),0)+IFERROR(VLOOKUP($A544,[5]库存使用数据!$A:$H,8,0),0)</f>
        <v>0</v>
      </c>
      <c r="I544" s="1">
        <f ca="1">IFERROR(VLOOKUP($A544,[1]库存使用数据!$A:$I,9,0),0)+IFERROR(VLOOKUP($A544,[2]库存使用数据!$A:$I,9,0),0)+IFERROR(VLOOKUP($A544,[3]库存使用数据!$A:$I,9,0),0)+IFERROR(VLOOKUP($A544,[4]库存使用数据!$A:$I,9,0),0)+IFERROR(VLOOKUP($A544,[5]库存使用数据!$A:$I,9,0),0)</f>
        <v>0</v>
      </c>
      <c r="J544" s="1">
        <f ca="1">IFERROR(VLOOKUP($A544,[1]库存使用数据!$A:$J,10,0),0)+IFERROR(VLOOKUP($A544,[2]库存使用数据!$A:$J,10,0),0)+公式!$B$14*IFERROR(VLOOKUP($A544,[3]库存使用数据!$A:$J,10,0),0)+IFERROR(VLOOKUP($A544,[4]库存使用数据!$A:$J,10,0),0)+IFERROR(VLOOKUP($A544,[5]库存使用数据!$A:$J,10,0),0)</f>
        <v>0</v>
      </c>
      <c r="K544" s="1">
        <f ca="1">IFERROR(VLOOKUP($A544,[1]库存使用数据!$A:$K,11,0),0)+IFERROR(VLOOKUP($A544,[2]库存使用数据!$A:$K,11,0),0)+IFERROR(VLOOKUP($A544,[3]库存使用数据!$A:$K,11,0),0)+IFERROR(VLOOKUP($A544,[4]库存使用数据!$A:$K,11,0),0)+IFERROR(VLOOKUP($A544,[5]库存使用数据!$A:$K,11,0),0)</f>
        <v>0</v>
      </c>
      <c r="L544" s="1">
        <f ca="1">IFERROR(VLOOKUP($A544,[1]库存使用数据!$A:$L,12,0),0)+IFERROR(VLOOKUP($A544,[2]库存使用数据!$A:$L,12,0),0)+IFERROR(VLOOKUP($A544,[3]库存使用数据!$A:$L,12,0),0)+IFERROR(VLOOKUP($A544,[4]库存使用数据!$A:$L,12,0),0)+IFERROR(VLOOKUP($A544,[5]库存使用数据!$A:$L,12,0),0)</f>
        <v>0</v>
      </c>
      <c r="M544" s="1">
        <f ca="1">IFERROR(VLOOKUP($A544,[1]库存使用数据!$A:$M,13,0),0)+IFERROR(VLOOKUP($A544,[2]库存使用数据!$A:$M,13,0),0)+公式!$B$14*IFERROR(VLOOKUP($A544,[3]库存使用数据!$A:$M,13,0),0)+IFERROR(VLOOKUP($A544,[4]库存使用数据!$A:$M,13,0),0)+IFERROR(VLOOKUP($A544,[5]库存使用数据!$A:$M,13,0),0)</f>
        <v>0</v>
      </c>
    </row>
    <row r="545" spans="1:13">
      <c r="A545" s="6" t="s">
        <v>550</v>
      </c>
      <c r="B545" s="2">
        <f ca="1">IFERROR(VLOOKUP(A545,[1]库存使用数据!$A:$B,2,0),0)+IFERROR(VLOOKUP(A545,[2]库存使用数据!$A:$B,2,0),0)+IFERROR(VLOOKUP(,[3]库存使用数据!$A:$B,2,0),0)+IFERROR(VLOOKUP(A545,[4]库存使用数据!$A:$B,2,0),0)+IFERROR(VLOOKUP(A545,[5]库存使用数据!$A:$B,2,0),0)</f>
        <v>0</v>
      </c>
      <c r="C545" s="1">
        <f ca="1">IFERROR(VLOOKUP($A545,[1]库存使用数据!$A:$C,3,0),0)+IFERROR(VLOOKUP($A545,[2]库存使用数据!$A:$C,3,0),0)+IFERROR(VLOOKUP($A545,[3]库存使用数据!$A:$C,3,0),0)+IFERROR(VLOOKUP($A545,[4]库存使用数据!$A:$C,3,0),0)+IFERROR(VLOOKUP($A545,[5]库存使用数据!$A:$C,3,0),0)</f>
        <v>0</v>
      </c>
      <c r="D545" s="1">
        <f ca="1">IFERROR(VLOOKUP($A545,[1]库存使用数据!$A:$D,4,0),0)+IFERROR(VLOOKUP($A545,[2]库存使用数据!$A:$D,4,0),0)+公式!$B$1*IFERROR(VLOOKUP($A545,[3]库存使用数据!$A:$D,4,0),0)+IFERROR(VLOOKUP($A545,[4]库存使用数据!$A:$D,4,0),0)+IFERROR(VLOOKUP($A545,[5]库存使用数据!$A:$D,4,0),0)</f>
        <v>0</v>
      </c>
      <c r="E545" s="1">
        <f ca="1">IFERROR(VLOOKUP($A545,[1]库存使用数据!$A:$E,5,0),0)+IFERROR(VLOOKUP($A545,[2]库存使用数据!$A:$E,5,0),0)+IFERROR(VLOOKUP($A545,[3]库存使用数据!$A:$E,5,0),0)+IFERROR(VLOOKUP($A545,[4]库存使用数据!$A:$E,5,0),0)+IFERROR(VLOOKUP($A545,[5]库存使用数据!$A:$E,5,0),0)</f>
        <v>0</v>
      </c>
      <c r="F545" s="1">
        <f ca="1">IFERROR(VLOOKUP($A545,[1]库存使用数据!$A:$F,6,0),0)+IFERROR(VLOOKUP($A545,[2]库存使用数据!$A:$F,6,0),0)+IFERROR(VLOOKUP($A545,[4]库存使用数据!$A:$F,6,0),0)+IFERROR(VLOOKUP($A545,[3]库存使用数据!$A:$F,6,0),0)+IFERROR(VLOOKUP($A545,[5]库存使用数据!$A:$F,6,0),0)</f>
        <v>0</v>
      </c>
      <c r="G545" s="1">
        <f ca="1">IFERROR(VLOOKUP($A545,[1]库存使用数据!$A:$G,7,0),0)+IFERROR(VLOOKUP($A545,[2]库存使用数据!$A:$G,7,0),0)+公式!$B$14*IFERROR(VLOOKUP($A545,[3]库存使用数据!$A:$G,7,0),0)+IFERROR(VLOOKUP($A545,[4]库存使用数据!$A:$G,7,0),0)+IFERROR(VLOOKUP($A545,[5]库存使用数据!$A:$G,7,0),0)</f>
        <v>0</v>
      </c>
      <c r="H545" s="1">
        <f ca="1">IFERROR(VLOOKUP($A545,[1]库存使用数据!$A:$H,8,0),0)+IFERROR(VLOOKUP($A545,[2]库存使用数据!$A:$H,8,0),0)+IFERROR(VLOOKUP($A545,[3]库存使用数据!$A:$H,8,0),0)+IFERROR(VLOOKUP($A545,[4]库存使用数据!$A:$H,8,0),0)+IFERROR(VLOOKUP($A545,[5]库存使用数据!$A:$H,8,0),0)</f>
        <v>0</v>
      </c>
      <c r="I545" s="1">
        <f ca="1">IFERROR(VLOOKUP($A545,[1]库存使用数据!$A:$I,9,0),0)+IFERROR(VLOOKUP($A545,[2]库存使用数据!$A:$I,9,0),0)+IFERROR(VLOOKUP($A545,[3]库存使用数据!$A:$I,9,0),0)+IFERROR(VLOOKUP($A545,[4]库存使用数据!$A:$I,9,0),0)+IFERROR(VLOOKUP($A545,[5]库存使用数据!$A:$I,9,0),0)</f>
        <v>0</v>
      </c>
      <c r="J545" s="1">
        <f ca="1">IFERROR(VLOOKUP($A545,[1]库存使用数据!$A:$J,10,0),0)+IFERROR(VLOOKUP($A545,[2]库存使用数据!$A:$J,10,0),0)+公式!$B$14*IFERROR(VLOOKUP($A545,[3]库存使用数据!$A:$J,10,0),0)+IFERROR(VLOOKUP($A545,[4]库存使用数据!$A:$J,10,0),0)+IFERROR(VLOOKUP($A545,[5]库存使用数据!$A:$J,10,0),0)</f>
        <v>0</v>
      </c>
      <c r="K545" s="1">
        <f ca="1">IFERROR(VLOOKUP($A545,[1]库存使用数据!$A:$K,11,0),0)+IFERROR(VLOOKUP($A545,[2]库存使用数据!$A:$K,11,0),0)+IFERROR(VLOOKUP($A545,[3]库存使用数据!$A:$K,11,0),0)+IFERROR(VLOOKUP($A545,[4]库存使用数据!$A:$K,11,0),0)+IFERROR(VLOOKUP($A545,[5]库存使用数据!$A:$K,11,0),0)</f>
        <v>0</v>
      </c>
      <c r="L545" s="1">
        <f ca="1">IFERROR(VLOOKUP($A545,[1]库存使用数据!$A:$L,12,0),0)+IFERROR(VLOOKUP($A545,[2]库存使用数据!$A:$L,12,0),0)+IFERROR(VLOOKUP($A545,[3]库存使用数据!$A:$L,12,0),0)+IFERROR(VLOOKUP($A545,[4]库存使用数据!$A:$L,12,0),0)+IFERROR(VLOOKUP($A545,[5]库存使用数据!$A:$L,12,0),0)</f>
        <v>0</v>
      </c>
      <c r="M545" s="1">
        <f ca="1">IFERROR(VLOOKUP($A545,[1]库存使用数据!$A:$M,13,0),0)+IFERROR(VLOOKUP($A545,[2]库存使用数据!$A:$M,13,0),0)+公式!$B$14*IFERROR(VLOOKUP($A545,[3]库存使用数据!$A:$M,13,0),0)+IFERROR(VLOOKUP($A545,[4]库存使用数据!$A:$M,13,0),0)+IFERROR(VLOOKUP($A545,[5]库存使用数据!$A:$M,13,0),0)</f>
        <v>0</v>
      </c>
    </row>
    <row r="546" spans="1:13">
      <c r="A546" s="6" t="s">
        <v>551</v>
      </c>
      <c r="B546" s="2">
        <f ca="1">IFERROR(VLOOKUP(A546,[1]库存使用数据!$A:$B,2,0),0)+IFERROR(VLOOKUP(A546,[2]库存使用数据!$A:$B,2,0),0)+IFERROR(VLOOKUP(,[3]库存使用数据!$A:$B,2,0),0)+IFERROR(VLOOKUP(A546,[4]库存使用数据!$A:$B,2,0),0)+IFERROR(VLOOKUP(A546,[5]库存使用数据!$A:$B,2,0),0)</f>
        <v>0</v>
      </c>
      <c r="C546" s="1">
        <f ca="1">IFERROR(VLOOKUP($A546,[1]库存使用数据!$A:$C,3,0),0)+IFERROR(VLOOKUP($A546,[2]库存使用数据!$A:$C,3,0),0)+IFERROR(VLOOKUP($A546,[3]库存使用数据!$A:$C,3,0),0)+IFERROR(VLOOKUP($A546,[4]库存使用数据!$A:$C,3,0),0)+IFERROR(VLOOKUP($A546,[5]库存使用数据!$A:$C,3,0),0)</f>
        <v>0</v>
      </c>
      <c r="D546" s="1">
        <f ca="1">IFERROR(VLOOKUP($A546,[1]库存使用数据!$A:$D,4,0),0)+IFERROR(VLOOKUP($A546,[2]库存使用数据!$A:$D,4,0),0)+公式!$B$1*IFERROR(VLOOKUP($A546,[3]库存使用数据!$A:$D,4,0),0)+IFERROR(VLOOKUP($A546,[4]库存使用数据!$A:$D,4,0),0)+IFERROR(VLOOKUP($A546,[5]库存使用数据!$A:$D,4,0),0)</f>
        <v>0</v>
      </c>
      <c r="E546" s="1">
        <f ca="1">IFERROR(VLOOKUP($A546,[1]库存使用数据!$A:$E,5,0),0)+IFERROR(VLOOKUP($A546,[2]库存使用数据!$A:$E,5,0),0)+IFERROR(VLOOKUP($A546,[3]库存使用数据!$A:$E,5,0),0)+IFERROR(VLOOKUP($A546,[4]库存使用数据!$A:$E,5,0),0)+IFERROR(VLOOKUP($A546,[5]库存使用数据!$A:$E,5,0),0)</f>
        <v>6276</v>
      </c>
      <c r="F546" s="1">
        <f ca="1">IFERROR(VLOOKUP($A546,[1]库存使用数据!$A:$F,6,0),0)+IFERROR(VLOOKUP($A546,[2]库存使用数据!$A:$F,6,0),0)+IFERROR(VLOOKUP($A546,[4]库存使用数据!$A:$F,6,0),0)+IFERROR(VLOOKUP($A546,[3]库存使用数据!$A:$F,6,0),0)+IFERROR(VLOOKUP($A546,[5]库存使用数据!$A:$F,6,0),0)</f>
        <v>7</v>
      </c>
      <c r="G546" s="1">
        <f ca="1">IFERROR(VLOOKUP($A546,[1]库存使用数据!$A:$G,7,0),0)+IFERROR(VLOOKUP($A546,[2]库存使用数据!$A:$G,7,0),0)+公式!$B$14*IFERROR(VLOOKUP($A546,[3]库存使用数据!$A:$G,7,0),0)+IFERROR(VLOOKUP($A546,[4]库存使用数据!$A:$G,7,0),0)+IFERROR(VLOOKUP($A546,[5]库存使用数据!$A:$G,7,0),0)</f>
        <v>0.98</v>
      </c>
      <c r="H546" s="1">
        <f ca="1">IFERROR(VLOOKUP($A546,[1]库存使用数据!$A:$H,8,0),0)+IFERROR(VLOOKUP($A546,[2]库存使用数据!$A:$H,8,0),0)+IFERROR(VLOOKUP($A546,[3]库存使用数据!$A:$H,8,0),0)+IFERROR(VLOOKUP($A546,[4]库存使用数据!$A:$H,8,0),0)+IFERROR(VLOOKUP($A546,[5]库存使用数据!$A:$H,8,0),0)</f>
        <v>518</v>
      </c>
      <c r="I546" s="1">
        <f ca="1">IFERROR(VLOOKUP($A546,[1]库存使用数据!$A:$I,9,0),0)+IFERROR(VLOOKUP($A546,[2]库存使用数据!$A:$I,9,0),0)+IFERROR(VLOOKUP($A546,[3]库存使用数据!$A:$I,9,0),0)+IFERROR(VLOOKUP($A546,[4]库存使用数据!$A:$I,9,0),0)+IFERROR(VLOOKUP($A546,[5]库存使用数据!$A:$I,9,0),0)</f>
        <v>2</v>
      </c>
      <c r="J546" s="1">
        <f ca="1">IFERROR(VLOOKUP($A546,[1]库存使用数据!$A:$J,10,0),0)+IFERROR(VLOOKUP($A546,[2]库存使用数据!$A:$J,10,0),0)+公式!$B$14*IFERROR(VLOOKUP($A546,[3]库存使用数据!$A:$J,10,0),0)+IFERROR(VLOOKUP($A546,[4]库存使用数据!$A:$J,10,0),0)+IFERROR(VLOOKUP($A546,[5]库存使用数据!$A:$J,10,0),0)</f>
        <v>0.28</v>
      </c>
      <c r="K546" s="1">
        <f ca="1">IFERROR(VLOOKUP($A546,[1]库存使用数据!$A:$K,11,0),0)+IFERROR(VLOOKUP($A546,[2]库存使用数据!$A:$K,11,0),0)+IFERROR(VLOOKUP($A546,[3]库存使用数据!$A:$K,11,0),0)+IFERROR(VLOOKUP($A546,[4]库存使用数据!$A:$K,11,0),0)+IFERROR(VLOOKUP($A546,[5]库存使用数据!$A:$K,11,0),0)</f>
        <v>701</v>
      </c>
      <c r="L546" s="1">
        <f ca="1">IFERROR(VLOOKUP($A546,[1]库存使用数据!$A:$L,12,0),0)+IFERROR(VLOOKUP($A546,[2]库存使用数据!$A:$L,12,0),0)+IFERROR(VLOOKUP($A546,[3]库存使用数据!$A:$L,12,0),0)+IFERROR(VLOOKUP($A546,[4]库存使用数据!$A:$L,12,0),0)+IFERROR(VLOOKUP($A546,[5]库存使用数据!$A:$L,12,0),0)</f>
        <v>4</v>
      </c>
      <c r="M546" s="1">
        <f ca="1">IFERROR(VLOOKUP($A546,[1]库存使用数据!$A:$M,13,0),0)+IFERROR(VLOOKUP($A546,[2]库存使用数据!$A:$M,13,0),0)+公式!$B$14*IFERROR(VLOOKUP($A546,[3]库存使用数据!$A:$M,13,0),0)+IFERROR(VLOOKUP($A546,[4]库存使用数据!$A:$M,13,0),0)+IFERROR(VLOOKUP($A546,[5]库存使用数据!$A:$M,13,0),0)</f>
        <v>0.53</v>
      </c>
    </row>
    <row r="547" spans="1:13">
      <c r="A547" s="6" t="s">
        <v>552</v>
      </c>
      <c r="B547" s="2">
        <f ca="1">IFERROR(VLOOKUP(A547,[1]库存使用数据!$A:$B,2,0),0)+IFERROR(VLOOKUP(A547,[2]库存使用数据!$A:$B,2,0),0)+IFERROR(VLOOKUP(,[3]库存使用数据!$A:$B,2,0),0)+IFERROR(VLOOKUP(A547,[4]库存使用数据!$A:$B,2,0),0)+IFERROR(VLOOKUP(A547,[5]库存使用数据!$A:$B,2,0),0)</f>
        <v>0</v>
      </c>
      <c r="C547" s="1">
        <f ca="1">IFERROR(VLOOKUP($A547,[1]库存使用数据!$A:$C,3,0),0)+IFERROR(VLOOKUP($A547,[2]库存使用数据!$A:$C,3,0),0)+IFERROR(VLOOKUP($A547,[3]库存使用数据!$A:$C,3,0),0)+IFERROR(VLOOKUP($A547,[4]库存使用数据!$A:$C,3,0),0)+IFERROR(VLOOKUP($A547,[5]库存使用数据!$A:$C,3,0),0)</f>
        <v>0</v>
      </c>
      <c r="D547" s="1">
        <f ca="1">IFERROR(VLOOKUP($A547,[1]库存使用数据!$A:$D,4,0),0)+IFERROR(VLOOKUP($A547,[2]库存使用数据!$A:$D,4,0),0)+公式!$B$1*IFERROR(VLOOKUP($A547,[3]库存使用数据!$A:$D,4,0),0)+IFERROR(VLOOKUP($A547,[4]库存使用数据!$A:$D,4,0),0)+IFERROR(VLOOKUP($A547,[5]库存使用数据!$A:$D,4,0),0)</f>
        <v>0</v>
      </c>
      <c r="E547" s="1">
        <f ca="1">IFERROR(VLOOKUP($A547,[1]库存使用数据!$A:$E,5,0),0)+IFERROR(VLOOKUP($A547,[2]库存使用数据!$A:$E,5,0),0)+IFERROR(VLOOKUP($A547,[3]库存使用数据!$A:$E,5,0),0)+IFERROR(VLOOKUP($A547,[4]库存使用数据!$A:$E,5,0),0)+IFERROR(VLOOKUP($A547,[5]库存使用数据!$A:$E,5,0),0)</f>
        <v>2586</v>
      </c>
      <c r="F547" s="1">
        <f ca="1">IFERROR(VLOOKUP($A547,[1]库存使用数据!$A:$F,6,0),0)+IFERROR(VLOOKUP($A547,[2]库存使用数据!$A:$F,6,0),0)+IFERROR(VLOOKUP($A547,[4]库存使用数据!$A:$F,6,0),0)+IFERROR(VLOOKUP($A547,[3]库存使用数据!$A:$F,6,0),0)+IFERROR(VLOOKUP($A547,[5]库存使用数据!$A:$F,6,0),0)</f>
        <v>14</v>
      </c>
      <c r="G547" s="1">
        <f ca="1">IFERROR(VLOOKUP($A547,[1]库存使用数据!$A:$G,7,0),0)+IFERROR(VLOOKUP($A547,[2]库存使用数据!$A:$G,7,0),0)+公式!$B$14*IFERROR(VLOOKUP($A547,[3]库存使用数据!$A:$G,7,0),0)+IFERROR(VLOOKUP($A547,[4]库存使用数据!$A:$G,7,0),0)+IFERROR(VLOOKUP($A547,[5]库存使用数据!$A:$G,7,0),0)</f>
        <v>1.7</v>
      </c>
      <c r="H547" s="1">
        <f ca="1">IFERROR(VLOOKUP($A547,[1]库存使用数据!$A:$H,8,0),0)+IFERROR(VLOOKUP($A547,[2]库存使用数据!$A:$H,8,0),0)+IFERROR(VLOOKUP($A547,[3]库存使用数据!$A:$H,8,0),0)+IFERROR(VLOOKUP($A547,[4]库存使用数据!$A:$H,8,0),0)+IFERROR(VLOOKUP($A547,[5]库存使用数据!$A:$H,8,0),0)</f>
        <v>889</v>
      </c>
      <c r="I547" s="1">
        <f ca="1">IFERROR(VLOOKUP($A547,[1]库存使用数据!$A:$I,9,0),0)+IFERROR(VLOOKUP($A547,[2]库存使用数据!$A:$I,9,0),0)+IFERROR(VLOOKUP($A547,[3]库存使用数据!$A:$I,9,0),0)+IFERROR(VLOOKUP($A547,[4]库存使用数据!$A:$I,9,0),0)+IFERROR(VLOOKUP($A547,[5]库存使用数据!$A:$I,9,0),0)</f>
        <v>4</v>
      </c>
      <c r="J547" s="1">
        <f ca="1">IFERROR(VLOOKUP($A547,[1]库存使用数据!$A:$J,10,0),0)+IFERROR(VLOOKUP($A547,[2]库存使用数据!$A:$J,10,0),0)+公式!$B$14*IFERROR(VLOOKUP($A547,[3]库存使用数据!$A:$J,10,0),0)+IFERROR(VLOOKUP($A547,[4]库存使用数据!$A:$J,10,0),0)+IFERROR(VLOOKUP($A547,[5]库存使用数据!$A:$J,10,0),0)</f>
        <v>0.44</v>
      </c>
      <c r="K547" s="1">
        <f ca="1">IFERROR(VLOOKUP($A547,[1]库存使用数据!$A:$K,11,0),0)+IFERROR(VLOOKUP($A547,[2]库存使用数据!$A:$K,11,0),0)+IFERROR(VLOOKUP($A547,[3]库存使用数据!$A:$K,11,0),0)+IFERROR(VLOOKUP($A547,[4]库存使用数据!$A:$K,11,0),0)+IFERROR(VLOOKUP($A547,[5]库存使用数据!$A:$K,11,0),0)</f>
        <v>1734</v>
      </c>
      <c r="L547" s="1">
        <f ca="1">IFERROR(VLOOKUP($A547,[1]库存使用数据!$A:$L,12,0),0)+IFERROR(VLOOKUP($A547,[2]库存使用数据!$A:$L,12,0),0)+IFERROR(VLOOKUP($A547,[3]库存使用数据!$A:$L,12,0),0)+IFERROR(VLOOKUP($A547,[4]库存使用数据!$A:$L,12,0),0)+IFERROR(VLOOKUP($A547,[5]库存使用数据!$A:$L,12,0),0)</f>
        <v>11</v>
      </c>
      <c r="M547" s="1">
        <f ca="1">IFERROR(VLOOKUP($A547,[1]库存使用数据!$A:$M,13,0),0)+IFERROR(VLOOKUP($A547,[2]库存使用数据!$A:$M,13,0),0)+公式!$B$14*IFERROR(VLOOKUP($A547,[3]库存使用数据!$A:$M,13,0),0)+IFERROR(VLOOKUP($A547,[4]库存使用数据!$A:$M,13,0),0)+IFERROR(VLOOKUP($A547,[5]库存使用数据!$A:$M,13,0),0)</f>
        <v>1.77</v>
      </c>
    </row>
    <row r="548" spans="1:13">
      <c r="A548" s="6" t="s">
        <v>553</v>
      </c>
      <c r="B548" s="2">
        <f ca="1">IFERROR(VLOOKUP(A548,[1]库存使用数据!$A:$B,2,0),0)+IFERROR(VLOOKUP(A548,[2]库存使用数据!$A:$B,2,0),0)+IFERROR(VLOOKUP(,[3]库存使用数据!$A:$B,2,0),0)+IFERROR(VLOOKUP(A548,[4]库存使用数据!$A:$B,2,0),0)+IFERROR(VLOOKUP(A548,[5]库存使用数据!$A:$B,2,0),0)</f>
        <v>0</v>
      </c>
      <c r="C548" s="1">
        <f ca="1">IFERROR(VLOOKUP($A548,[1]库存使用数据!$A:$C,3,0),0)+IFERROR(VLOOKUP($A548,[2]库存使用数据!$A:$C,3,0),0)+IFERROR(VLOOKUP($A548,[3]库存使用数据!$A:$C,3,0),0)+IFERROR(VLOOKUP($A548,[4]库存使用数据!$A:$C,3,0),0)+IFERROR(VLOOKUP($A548,[5]库存使用数据!$A:$C,3,0),0)</f>
        <v>0</v>
      </c>
      <c r="D548" s="1">
        <f ca="1">IFERROR(VLOOKUP($A548,[1]库存使用数据!$A:$D,4,0),0)+IFERROR(VLOOKUP($A548,[2]库存使用数据!$A:$D,4,0),0)+公式!$B$1*IFERROR(VLOOKUP($A548,[3]库存使用数据!$A:$D,4,0),0)+IFERROR(VLOOKUP($A548,[4]库存使用数据!$A:$D,4,0),0)+IFERROR(VLOOKUP($A548,[5]库存使用数据!$A:$D,4,0),0)</f>
        <v>0</v>
      </c>
      <c r="E548" s="1">
        <f ca="1">IFERROR(VLOOKUP($A548,[1]库存使用数据!$A:$E,5,0),0)+IFERROR(VLOOKUP($A548,[2]库存使用数据!$A:$E,5,0),0)+IFERROR(VLOOKUP($A548,[3]库存使用数据!$A:$E,5,0),0)+IFERROR(VLOOKUP($A548,[4]库存使用数据!$A:$E,5,0),0)+IFERROR(VLOOKUP($A548,[5]库存使用数据!$A:$E,5,0),0)</f>
        <v>0</v>
      </c>
      <c r="F548" s="1">
        <f ca="1">IFERROR(VLOOKUP($A548,[1]库存使用数据!$A:$F,6,0),0)+IFERROR(VLOOKUP($A548,[2]库存使用数据!$A:$F,6,0),0)+IFERROR(VLOOKUP($A548,[4]库存使用数据!$A:$F,6,0),0)+IFERROR(VLOOKUP($A548,[3]库存使用数据!$A:$F,6,0),0)+IFERROR(VLOOKUP($A548,[5]库存使用数据!$A:$F,6,0),0)</f>
        <v>0</v>
      </c>
      <c r="G548" s="1">
        <f ca="1">IFERROR(VLOOKUP($A548,[1]库存使用数据!$A:$G,7,0),0)+IFERROR(VLOOKUP($A548,[2]库存使用数据!$A:$G,7,0),0)+公式!$B$14*IFERROR(VLOOKUP($A548,[3]库存使用数据!$A:$G,7,0),0)+IFERROR(VLOOKUP($A548,[4]库存使用数据!$A:$G,7,0),0)+IFERROR(VLOOKUP($A548,[5]库存使用数据!$A:$G,7,0),0)</f>
        <v>0</v>
      </c>
      <c r="H548" s="1">
        <f ca="1">IFERROR(VLOOKUP($A548,[1]库存使用数据!$A:$H,8,0),0)+IFERROR(VLOOKUP($A548,[2]库存使用数据!$A:$H,8,0),0)+IFERROR(VLOOKUP($A548,[3]库存使用数据!$A:$H,8,0),0)+IFERROR(VLOOKUP($A548,[4]库存使用数据!$A:$H,8,0),0)+IFERROR(VLOOKUP($A548,[5]库存使用数据!$A:$H,8,0),0)</f>
        <v>495</v>
      </c>
      <c r="I548" s="1">
        <f ca="1">IFERROR(VLOOKUP($A548,[1]库存使用数据!$A:$I,9,0),0)+IFERROR(VLOOKUP($A548,[2]库存使用数据!$A:$I,9,0),0)+IFERROR(VLOOKUP($A548,[3]库存使用数据!$A:$I,9,0),0)+IFERROR(VLOOKUP($A548,[4]库存使用数据!$A:$I,9,0),0)+IFERROR(VLOOKUP($A548,[5]库存使用数据!$A:$I,9,0),0)</f>
        <v>4</v>
      </c>
      <c r="J548" s="1">
        <f ca="1">IFERROR(VLOOKUP($A548,[1]库存使用数据!$A:$J,10,0),0)+IFERROR(VLOOKUP($A548,[2]库存使用数据!$A:$J,10,0),0)+公式!$B$14*IFERROR(VLOOKUP($A548,[3]库存使用数据!$A:$J,10,0),0)+IFERROR(VLOOKUP($A548,[4]库存使用数据!$A:$J,10,0),0)+IFERROR(VLOOKUP($A548,[5]库存使用数据!$A:$J,10,0),0)</f>
        <v>0.66</v>
      </c>
      <c r="K548" s="1">
        <f ca="1">IFERROR(VLOOKUP($A548,[1]库存使用数据!$A:$K,11,0),0)+IFERROR(VLOOKUP($A548,[2]库存使用数据!$A:$K,11,0),0)+IFERROR(VLOOKUP($A548,[3]库存使用数据!$A:$K,11,0),0)+IFERROR(VLOOKUP($A548,[4]库存使用数据!$A:$K,11,0),0)+IFERROR(VLOOKUP($A548,[5]库存使用数据!$A:$K,11,0),0)</f>
        <v>3489</v>
      </c>
      <c r="L548" s="1">
        <f ca="1">IFERROR(VLOOKUP($A548,[1]库存使用数据!$A:$L,12,0),0)+IFERROR(VLOOKUP($A548,[2]库存使用数据!$A:$L,12,0),0)+IFERROR(VLOOKUP($A548,[3]库存使用数据!$A:$L,12,0),0)+IFERROR(VLOOKUP($A548,[4]库存使用数据!$A:$L,12,0),0)+IFERROR(VLOOKUP($A548,[5]库存使用数据!$A:$L,12,0),0)</f>
        <v>8</v>
      </c>
      <c r="M548" s="1">
        <f ca="1">IFERROR(VLOOKUP($A548,[1]库存使用数据!$A:$M,13,0),0)+IFERROR(VLOOKUP($A548,[2]库存使用数据!$A:$M,13,0),0)+公式!$B$14*IFERROR(VLOOKUP($A548,[3]库存使用数据!$A:$M,13,0),0)+IFERROR(VLOOKUP($A548,[4]库存使用数据!$A:$M,13,0),0)+IFERROR(VLOOKUP($A548,[5]库存使用数据!$A:$M,13,0),0)</f>
        <v>1.02</v>
      </c>
    </row>
    <row r="549" spans="1:13">
      <c r="A549" s="6" t="s">
        <v>554</v>
      </c>
      <c r="B549" s="2">
        <f ca="1">IFERROR(VLOOKUP(A549,[1]库存使用数据!$A:$B,2,0),0)+IFERROR(VLOOKUP(A549,[2]库存使用数据!$A:$B,2,0),0)+IFERROR(VLOOKUP(,[3]库存使用数据!$A:$B,2,0),0)+IFERROR(VLOOKUP(A549,[4]库存使用数据!$A:$B,2,0),0)+IFERROR(VLOOKUP(A549,[5]库存使用数据!$A:$B,2,0),0)</f>
        <v>0</v>
      </c>
      <c r="C549" s="1">
        <f ca="1">IFERROR(VLOOKUP($A549,[1]库存使用数据!$A:$C,3,0),0)+IFERROR(VLOOKUP($A549,[2]库存使用数据!$A:$C,3,0),0)+IFERROR(VLOOKUP($A549,[3]库存使用数据!$A:$C,3,0),0)+IFERROR(VLOOKUP($A549,[4]库存使用数据!$A:$C,3,0),0)+IFERROR(VLOOKUP($A549,[5]库存使用数据!$A:$C,3,0),0)</f>
        <v>0</v>
      </c>
      <c r="D549" s="1">
        <f ca="1">IFERROR(VLOOKUP($A549,[1]库存使用数据!$A:$D,4,0),0)+IFERROR(VLOOKUP($A549,[2]库存使用数据!$A:$D,4,0),0)+公式!$B$1*IFERROR(VLOOKUP($A549,[3]库存使用数据!$A:$D,4,0),0)+IFERROR(VLOOKUP($A549,[4]库存使用数据!$A:$D,4,0),0)+IFERROR(VLOOKUP($A549,[5]库存使用数据!$A:$D,4,0),0)</f>
        <v>0</v>
      </c>
      <c r="E549" s="1">
        <f ca="1">IFERROR(VLOOKUP($A549,[1]库存使用数据!$A:$E,5,0),0)+IFERROR(VLOOKUP($A549,[2]库存使用数据!$A:$E,5,0),0)+IFERROR(VLOOKUP($A549,[3]库存使用数据!$A:$E,5,0),0)+IFERROR(VLOOKUP($A549,[4]库存使用数据!$A:$E,5,0),0)+IFERROR(VLOOKUP($A549,[5]库存使用数据!$A:$E,5,0),0)</f>
        <v>0</v>
      </c>
      <c r="F549" s="1">
        <f ca="1">IFERROR(VLOOKUP($A549,[1]库存使用数据!$A:$F,6,0),0)+IFERROR(VLOOKUP($A549,[2]库存使用数据!$A:$F,6,0),0)+IFERROR(VLOOKUP($A549,[4]库存使用数据!$A:$F,6,0),0)+IFERROR(VLOOKUP($A549,[3]库存使用数据!$A:$F,6,0),0)+IFERROR(VLOOKUP($A549,[5]库存使用数据!$A:$F,6,0),0)</f>
        <v>0</v>
      </c>
      <c r="G549" s="1">
        <f ca="1">IFERROR(VLOOKUP($A549,[1]库存使用数据!$A:$G,7,0),0)+IFERROR(VLOOKUP($A549,[2]库存使用数据!$A:$G,7,0),0)+公式!$B$14*IFERROR(VLOOKUP($A549,[3]库存使用数据!$A:$G,7,0),0)+IFERROR(VLOOKUP($A549,[4]库存使用数据!$A:$G,7,0),0)+IFERROR(VLOOKUP($A549,[5]库存使用数据!$A:$G,7,0),0)</f>
        <v>0</v>
      </c>
      <c r="H549" s="1">
        <f ca="1">IFERROR(VLOOKUP($A549,[1]库存使用数据!$A:$H,8,0),0)+IFERROR(VLOOKUP($A549,[2]库存使用数据!$A:$H,8,0),0)+IFERROR(VLOOKUP($A549,[3]库存使用数据!$A:$H,8,0),0)+IFERROR(VLOOKUP($A549,[4]库存使用数据!$A:$H,8,0),0)+IFERROR(VLOOKUP($A549,[5]库存使用数据!$A:$H,8,0),0)</f>
        <v>312</v>
      </c>
      <c r="I549" s="1">
        <f ca="1">IFERROR(VLOOKUP($A549,[1]库存使用数据!$A:$I,9,0),0)+IFERROR(VLOOKUP($A549,[2]库存使用数据!$A:$I,9,0),0)+IFERROR(VLOOKUP($A549,[3]库存使用数据!$A:$I,9,0),0)+IFERROR(VLOOKUP($A549,[4]库存使用数据!$A:$I,9,0),0)+IFERROR(VLOOKUP($A549,[5]库存使用数据!$A:$I,9,0),0)</f>
        <v>1</v>
      </c>
      <c r="J549" s="1">
        <f ca="1">IFERROR(VLOOKUP($A549,[1]库存使用数据!$A:$J,10,0),0)+IFERROR(VLOOKUP($A549,[2]库存使用数据!$A:$J,10,0),0)+公式!$B$14*IFERROR(VLOOKUP($A549,[3]库存使用数据!$A:$J,10,0),0)+IFERROR(VLOOKUP($A549,[4]库存使用数据!$A:$J,10,0),0)+IFERROR(VLOOKUP($A549,[5]库存使用数据!$A:$J,10,0),0)</f>
        <v>0.13</v>
      </c>
      <c r="K549" s="1">
        <f ca="1">IFERROR(VLOOKUP($A549,[1]库存使用数据!$A:$K,11,0),0)+IFERROR(VLOOKUP($A549,[2]库存使用数据!$A:$K,11,0),0)+IFERROR(VLOOKUP($A549,[3]库存使用数据!$A:$K,11,0),0)+IFERROR(VLOOKUP($A549,[4]库存使用数据!$A:$K,11,0),0)+IFERROR(VLOOKUP($A549,[5]库存使用数据!$A:$K,11,0),0)</f>
        <v>1123</v>
      </c>
      <c r="L549" s="1">
        <f ca="1">IFERROR(VLOOKUP($A549,[1]库存使用数据!$A:$L,12,0),0)+IFERROR(VLOOKUP($A549,[2]库存使用数据!$A:$L,12,0),0)+IFERROR(VLOOKUP($A549,[3]库存使用数据!$A:$L,12,0),0)+IFERROR(VLOOKUP($A549,[4]库存使用数据!$A:$L,12,0),0)+IFERROR(VLOOKUP($A549,[5]库存使用数据!$A:$L,12,0),0)</f>
        <v>2</v>
      </c>
      <c r="M549" s="1">
        <f ca="1">IFERROR(VLOOKUP($A549,[1]库存使用数据!$A:$M,13,0),0)+IFERROR(VLOOKUP($A549,[2]库存使用数据!$A:$M,13,0),0)+公式!$B$14*IFERROR(VLOOKUP($A549,[3]库存使用数据!$A:$M,13,0),0)+IFERROR(VLOOKUP($A549,[4]库存使用数据!$A:$M,13,0),0)+IFERROR(VLOOKUP($A549,[5]库存使用数据!$A:$M,13,0),0)</f>
        <v>0.34</v>
      </c>
    </row>
    <row r="550" spans="1:13">
      <c r="A550" s="6" t="s">
        <v>555</v>
      </c>
      <c r="B550" s="2">
        <f ca="1">IFERROR(VLOOKUP(A550,[1]库存使用数据!$A:$B,2,0),0)+IFERROR(VLOOKUP(A550,[2]库存使用数据!$A:$B,2,0),0)+IFERROR(VLOOKUP(,[3]库存使用数据!$A:$B,2,0),0)+IFERROR(VLOOKUP(A550,[4]库存使用数据!$A:$B,2,0),0)+IFERROR(VLOOKUP(A550,[5]库存使用数据!$A:$B,2,0),0)</f>
        <v>0</v>
      </c>
      <c r="C550" s="1">
        <f ca="1">IFERROR(VLOOKUP($A550,[1]库存使用数据!$A:$C,3,0),0)+IFERROR(VLOOKUP($A550,[2]库存使用数据!$A:$C,3,0),0)+IFERROR(VLOOKUP($A550,[3]库存使用数据!$A:$C,3,0),0)+IFERROR(VLOOKUP($A550,[4]库存使用数据!$A:$C,3,0),0)+IFERROR(VLOOKUP($A550,[5]库存使用数据!$A:$C,3,0),0)</f>
        <v>0</v>
      </c>
      <c r="D550" s="1">
        <f ca="1">IFERROR(VLOOKUP($A550,[1]库存使用数据!$A:$D,4,0),0)+IFERROR(VLOOKUP($A550,[2]库存使用数据!$A:$D,4,0),0)+公式!$B$1*IFERROR(VLOOKUP($A550,[3]库存使用数据!$A:$D,4,0),0)+IFERROR(VLOOKUP($A550,[4]库存使用数据!$A:$D,4,0),0)+IFERROR(VLOOKUP($A550,[5]库存使用数据!$A:$D,4,0),0)</f>
        <v>0</v>
      </c>
      <c r="E550" s="1">
        <f ca="1">IFERROR(VLOOKUP($A550,[1]库存使用数据!$A:$E,5,0),0)+IFERROR(VLOOKUP($A550,[2]库存使用数据!$A:$E,5,0),0)+IFERROR(VLOOKUP($A550,[3]库存使用数据!$A:$E,5,0),0)+IFERROR(VLOOKUP($A550,[4]库存使用数据!$A:$E,5,0),0)+IFERROR(VLOOKUP($A550,[5]库存使用数据!$A:$E,5,0),0)</f>
        <v>760</v>
      </c>
      <c r="F550" s="1">
        <f ca="1">IFERROR(VLOOKUP($A550,[1]库存使用数据!$A:$F,6,0),0)+IFERROR(VLOOKUP($A550,[2]库存使用数据!$A:$F,6,0),0)+IFERROR(VLOOKUP($A550,[4]库存使用数据!$A:$F,6,0),0)+IFERROR(VLOOKUP($A550,[3]库存使用数据!$A:$F,6,0),0)+IFERROR(VLOOKUP($A550,[5]库存使用数据!$A:$F,6,0),0)</f>
        <v>0</v>
      </c>
      <c r="G550" s="1">
        <f ca="1">IFERROR(VLOOKUP($A550,[1]库存使用数据!$A:$G,7,0),0)+IFERROR(VLOOKUP($A550,[2]库存使用数据!$A:$G,7,0),0)+公式!$B$14*IFERROR(VLOOKUP($A550,[3]库存使用数据!$A:$G,7,0),0)+IFERROR(VLOOKUP($A550,[4]库存使用数据!$A:$G,7,0),0)+IFERROR(VLOOKUP($A550,[5]库存使用数据!$A:$G,7,0),0)</f>
        <v>0</v>
      </c>
      <c r="H550" s="1">
        <f ca="1">IFERROR(VLOOKUP($A550,[1]库存使用数据!$A:$H,8,0),0)+IFERROR(VLOOKUP($A550,[2]库存使用数据!$A:$H,8,0),0)+IFERROR(VLOOKUP($A550,[3]库存使用数据!$A:$H,8,0),0)+IFERROR(VLOOKUP($A550,[4]库存使用数据!$A:$H,8,0),0)+IFERROR(VLOOKUP($A550,[5]库存使用数据!$A:$H,8,0),0)</f>
        <v>335</v>
      </c>
      <c r="I550" s="1">
        <f ca="1">IFERROR(VLOOKUP($A550,[1]库存使用数据!$A:$I,9,0),0)+IFERROR(VLOOKUP($A550,[2]库存使用数据!$A:$I,9,0),0)+IFERROR(VLOOKUP($A550,[3]库存使用数据!$A:$I,9,0),0)+IFERROR(VLOOKUP($A550,[4]库存使用数据!$A:$I,9,0),0)+IFERROR(VLOOKUP($A550,[5]库存使用数据!$A:$I,9,0),0)</f>
        <v>0</v>
      </c>
      <c r="J550" s="1">
        <f ca="1">IFERROR(VLOOKUP($A550,[1]库存使用数据!$A:$J,10,0),0)+IFERROR(VLOOKUP($A550,[2]库存使用数据!$A:$J,10,0),0)+公式!$B$14*IFERROR(VLOOKUP($A550,[3]库存使用数据!$A:$J,10,0),0)+IFERROR(VLOOKUP($A550,[4]库存使用数据!$A:$J,10,0),0)+IFERROR(VLOOKUP($A550,[5]库存使用数据!$A:$J,10,0),0)</f>
        <v>0</v>
      </c>
      <c r="K550" s="1">
        <f ca="1">IFERROR(VLOOKUP($A550,[1]库存使用数据!$A:$K,11,0),0)+IFERROR(VLOOKUP($A550,[2]库存使用数据!$A:$K,11,0),0)+IFERROR(VLOOKUP($A550,[3]库存使用数据!$A:$K,11,0),0)+IFERROR(VLOOKUP($A550,[4]库存使用数据!$A:$K,11,0),0)+IFERROR(VLOOKUP($A550,[5]库存使用数据!$A:$K,11,0),0)</f>
        <v>1952</v>
      </c>
      <c r="L550" s="1">
        <f ca="1">IFERROR(VLOOKUP($A550,[1]库存使用数据!$A:$L,12,0),0)+IFERROR(VLOOKUP($A550,[2]库存使用数据!$A:$L,12,0),0)+IFERROR(VLOOKUP($A550,[3]库存使用数据!$A:$L,12,0),0)+IFERROR(VLOOKUP($A550,[4]库存使用数据!$A:$L,12,0),0)+IFERROR(VLOOKUP($A550,[5]库存使用数据!$A:$L,12,0),0)</f>
        <v>0</v>
      </c>
      <c r="M550" s="1">
        <f ca="1">IFERROR(VLOOKUP($A550,[1]库存使用数据!$A:$M,13,0),0)+IFERROR(VLOOKUP($A550,[2]库存使用数据!$A:$M,13,0),0)+公式!$B$14*IFERROR(VLOOKUP($A550,[3]库存使用数据!$A:$M,13,0),0)+IFERROR(VLOOKUP($A550,[4]库存使用数据!$A:$M,13,0),0)+IFERROR(VLOOKUP($A550,[5]库存使用数据!$A:$M,13,0),0)</f>
        <v>0</v>
      </c>
    </row>
    <row r="551" spans="1:13">
      <c r="A551" s="6" t="s">
        <v>556</v>
      </c>
      <c r="B551" s="2">
        <f ca="1">IFERROR(VLOOKUP(A551,[1]库存使用数据!$A:$B,2,0),0)+IFERROR(VLOOKUP(A551,[2]库存使用数据!$A:$B,2,0),0)+IFERROR(VLOOKUP(,[3]库存使用数据!$A:$B,2,0),0)+IFERROR(VLOOKUP(A551,[4]库存使用数据!$A:$B,2,0),0)+IFERROR(VLOOKUP(A551,[5]库存使用数据!$A:$B,2,0),0)</f>
        <v>0</v>
      </c>
      <c r="C551" s="1">
        <f ca="1">IFERROR(VLOOKUP($A551,[1]库存使用数据!$A:$C,3,0),0)+IFERROR(VLOOKUP($A551,[2]库存使用数据!$A:$C,3,0),0)+IFERROR(VLOOKUP($A551,[3]库存使用数据!$A:$C,3,0),0)+IFERROR(VLOOKUP($A551,[4]库存使用数据!$A:$C,3,0),0)+IFERROR(VLOOKUP($A551,[5]库存使用数据!$A:$C,3,0),0)</f>
        <v>0</v>
      </c>
      <c r="D551" s="1">
        <f ca="1">IFERROR(VLOOKUP($A551,[1]库存使用数据!$A:$D,4,0),0)+IFERROR(VLOOKUP($A551,[2]库存使用数据!$A:$D,4,0),0)+公式!$B$1*IFERROR(VLOOKUP($A551,[3]库存使用数据!$A:$D,4,0),0)+IFERROR(VLOOKUP($A551,[4]库存使用数据!$A:$D,4,0),0)+IFERROR(VLOOKUP($A551,[5]库存使用数据!$A:$D,4,0),0)</f>
        <v>0</v>
      </c>
      <c r="E551" s="1">
        <f ca="1">IFERROR(VLOOKUP($A551,[1]库存使用数据!$A:$E,5,0),0)+IFERROR(VLOOKUP($A551,[2]库存使用数据!$A:$E,5,0),0)+IFERROR(VLOOKUP($A551,[3]库存使用数据!$A:$E,5,0),0)+IFERROR(VLOOKUP($A551,[4]库存使用数据!$A:$E,5,0),0)+IFERROR(VLOOKUP($A551,[5]库存使用数据!$A:$E,5,0),0)</f>
        <v>1548</v>
      </c>
      <c r="F551" s="1">
        <f ca="1">IFERROR(VLOOKUP($A551,[1]库存使用数据!$A:$F,6,0),0)+IFERROR(VLOOKUP($A551,[2]库存使用数据!$A:$F,6,0),0)+IFERROR(VLOOKUP($A551,[4]库存使用数据!$A:$F,6,0),0)+IFERROR(VLOOKUP($A551,[3]库存使用数据!$A:$F,6,0),0)+IFERROR(VLOOKUP($A551,[5]库存使用数据!$A:$F,6,0),0)</f>
        <v>1</v>
      </c>
      <c r="G551" s="1">
        <f ca="1">IFERROR(VLOOKUP($A551,[1]库存使用数据!$A:$G,7,0),0)+IFERROR(VLOOKUP($A551,[2]库存使用数据!$A:$G,7,0),0)+公式!$B$14*IFERROR(VLOOKUP($A551,[3]库存使用数据!$A:$G,7,0),0)+IFERROR(VLOOKUP($A551,[4]库存使用数据!$A:$G,7,0),0)+IFERROR(VLOOKUP($A551,[5]库存使用数据!$A:$G,7,0),0)</f>
        <v>0.13</v>
      </c>
      <c r="H551" s="1">
        <f ca="1">IFERROR(VLOOKUP($A551,[1]库存使用数据!$A:$H,8,0),0)+IFERROR(VLOOKUP($A551,[2]库存使用数据!$A:$H,8,0),0)+IFERROR(VLOOKUP($A551,[3]库存使用数据!$A:$H,8,0),0)+IFERROR(VLOOKUP($A551,[4]库存使用数据!$A:$H,8,0),0)+IFERROR(VLOOKUP($A551,[5]库存使用数据!$A:$H,8,0),0)</f>
        <v>56</v>
      </c>
      <c r="I551" s="1">
        <f ca="1">IFERROR(VLOOKUP($A551,[1]库存使用数据!$A:$I,9,0),0)+IFERROR(VLOOKUP($A551,[2]库存使用数据!$A:$I,9,0),0)+IFERROR(VLOOKUP($A551,[3]库存使用数据!$A:$I,9,0),0)+IFERROR(VLOOKUP($A551,[4]库存使用数据!$A:$I,9,0),0)+IFERROR(VLOOKUP($A551,[5]库存使用数据!$A:$I,9,0),0)</f>
        <v>0</v>
      </c>
      <c r="J551" s="1">
        <f ca="1">IFERROR(VLOOKUP($A551,[1]库存使用数据!$A:$J,10,0),0)+IFERROR(VLOOKUP($A551,[2]库存使用数据!$A:$J,10,0),0)+公式!$B$14*IFERROR(VLOOKUP($A551,[3]库存使用数据!$A:$J,10,0),0)+IFERROR(VLOOKUP($A551,[4]库存使用数据!$A:$J,10,0),0)+IFERROR(VLOOKUP($A551,[5]库存使用数据!$A:$J,10,0),0)</f>
        <v>0</v>
      </c>
      <c r="K551" s="1">
        <f ca="1">IFERROR(VLOOKUP($A551,[1]库存使用数据!$A:$K,11,0),0)+IFERROR(VLOOKUP($A551,[2]库存使用数据!$A:$K,11,0),0)+IFERROR(VLOOKUP($A551,[3]库存使用数据!$A:$K,11,0),0)+IFERROR(VLOOKUP($A551,[4]库存使用数据!$A:$K,11,0),0)+IFERROR(VLOOKUP($A551,[5]库存使用数据!$A:$K,11,0),0)</f>
        <v>4</v>
      </c>
      <c r="L551" s="1">
        <f ca="1">IFERROR(VLOOKUP($A551,[1]库存使用数据!$A:$L,12,0),0)+IFERROR(VLOOKUP($A551,[2]库存使用数据!$A:$L,12,0),0)+IFERROR(VLOOKUP($A551,[3]库存使用数据!$A:$L,12,0),0)+IFERROR(VLOOKUP($A551,[4]库存使用数据!$A:$L,12,0),0)+IFERROR(VLOOKUP($A551,[5]库存使用数据!$A:$L,12,0),0)</f>
        <v>0</v>
      </c>
      <c r="M551" s="1">
        <f ca="1">IFERROR(VLOOKUP($A551,[1]库存使用数据!$A:$M,13,0),0)+IFERROR(VLOOKUP($A551,[2]库存使用数据!$A:$M,13,0),0)+公式!$B$14*IFERROR(VLOOKUP($A551,[3]库存使用数据!$A:$M,13,0),0)+IFERROR(VLOOKUP($A551,[4]库存使用数据!$A:$M,13,0),0)+IFERROR(VLOOKUP($A551,[5]库存使用数据!$A:$M,13,0),0)</f>
        <v>0</v>
      </c>
    </row>
    <row r="552" spans="1:13">
      <c r="A552" s="6" t="s">
        <v>557</v>
      </c>
      <c r="B552" s="2">
        <f ca="1">IFERROR(VLOOKUP(A552,[1]库存使用数据!$A:$B,2,0),0)+IFERROR(VLOOKUP(A552,[2]库存使用数据!$A:$B,2,0),0)+IFERROR(VLOOKUP(,[3]库存使用数据!$A:$B,2,0),0)+IFERROR(VLOOKUP(A552,[4]库存使用数据!$A:$B,2,0),0)+IFERROR(VLOOKUP(A552,[5]库存使用数据!$A:$B,2,0),0)</f>
        <v>0</v>
      </c>
      <c r="C552" s="1">
        <f ca="1">IFERROR(VLOOKUP($A552,[1]库存使用数据!$A:$C,3,0),0)+IFERROR(VLOOKUP($A552,[2]库存使用数据!$A:$C,3,0),0)+IFERROR(VLOOKUP($A552,[3]库存使用数据!$A:$C,3,0),0)+IFERROR(VLOOKUP($A552,[4]库存使用数据!$A:$C,3,0),0)+IFERROR(VLOOKUP($A552,[5]库存使用数据!$A:$C,3,0),0)</f>
        <v>0</v>
      </c>
      <c r="D552" s="1">
        <f ca="1">IFERROR(VLOOKUP($A552,[1]库存使用数据!$A:$D,4,0),0)+IFERROR(VLOOKUP($A552,[2]库存使用数据!$A:$D,4,0),0)+公式!$B$1*IFERROR(VLOOKUP($A552,[3]库存使用数据!$A:$D,4,0),0)+IFERROR(VLOOKUP($A552,[4]库存使用数据!$A:$D,4,0),0)+IFERROR(VLOOKUP($A552,[5]库存使用数据!$A:$D,4,0),0)</f>
        <v>0</v>
      </c>
      <c r="E552" s="1">
        <f ca="1">IFERROR(VLOOKUP($A552,[1]库存使用数据!$A:$E,5,0),0)+IFERROR(VLOOKUP($A552,[2]库存使用数据!$A:$E,5,0),0)+IFERROR(VLOOKUP($A552,[3]库存使用数据!$A:$E,5,0),0)+IFERROR(VLOOKUP($A552,[4]库存使用数据!$A:$E,5,0),0)+IFERROR(VLOOKUP($A552,[5]库存使用数据!$A:$E,5,0),0)</f>
        <v>19837</v>
      </c>
      <c r="F552" s="1">
        <f ca="1">IFERROR(VLOOKUP($A552,[1]库存使用数据!$A:$F,6,0),0)+IFERROR(VLOOKUP($A552,[2]库存使用数据!$A:$F,6,0),0)+IFERROR(VLOOKUP($A552,[4]库存使用数据!$A:$F,6,0),0)+IFERROR(VLOOKUP($A552,[3]库存使用数据!$A:$F,6,0),0)+IFERROR(VLOOKUP($A552,[5]库存使用数据!$A:$F,6,0),0)</f>
        <v>30</v>
      </c>
      <c r="G552" s="1">
        <f ca="1">IFERROR(VLOOKUP($A552,[1]库存使用数据!$A:$G,7,0),0)+IFERROR(VLOOKUP($A552,[2]库存使用数据!$A:$G,7,0),0)+公式!$B$14*IFERROR(VLOOKUP($A552,[3]库存使用数据!$A:$G,7,0),0)+IFERROR(VLOOKUP($A552,[4]库存使用数据!$A:$G,7,0),0)+IFERROR(VLOOKUP($A552,[5]库存使用数据!$A:$G,7,0),0)</f>
        <v>3.98</v>
      </c>
      <c r="H552" s="1">
        <f ca="1">IFERROR(VLOOKUP($A552,[1]库存使用数据!$A:$H,8,0),0)+IFERROR(VLOOKUP($A552,[2]库存使用数据!$A:$H,8,0),0)+IFERROR(VLOOKUP($A552,[3]库存使用数据!$A:$H,8,0),0)+IFERROR(VLOOKUP($A552,[4]库存使用数据!$A:$H,8,0),0)+IFERROR(VLOOKUP($A552,[5]库存使用数据!$A:$H,8,0),0)</f>
        <v>601</v>
      </c>
      <c r="I552" s="1">
        <f ca="1">IFERROR(VLOOKUP($A552,[1]库存使用数据!$A:$I,9,0),0)+IFERROR(VLOOKUP($A552,[2]库存使用数据!$A:$I,9,0),0)+IFERROR(VLOOKUP($A552,[3]库存使用数据!$A:$I,9,0),0)+IFERROR(VLOOKUP($A552,[4]库存使用数据!$A:$I,9,0),0)+IFERROR(VLOOKUP($A552,[5]库存使用数据!$A:$I,9,0),0)</f>
        <v>3</v>
      </c>
      <c r="J552" s="1">
        <f ca="1">IFERROR(VLOOKUP($A552,[1]库存使用数据!$A:$J,10,0),0)+IFERROR(VLOOKUP($A552,[2]库存使用数据!$A:$J,10,0),0)+公式!$B$14*IFERROR(VLOOKUP($A552,[3]库存使用数据!$A:$J,10,0),0)+IFERROR(VLOOKUP($A552,[4]库存使用数据!$A:$J,10,0),0)+IFERROR(VLOOKUP($A552,[5]库存使用数据!$A:$J,10,0),0)</f>
        <v>0.35</v>
      </c>
      <c r="K552" s="1">
        <f ca="1">IFERROR(VLOOKUP($A552,[1]库存使用数据!$A:$K,11,0),0)+IFERROR(VLOOKUP($A552,[2]库存使用数据!$A:$K,11,0),0)+IFERROR(VLOOKUP($A552,[3]库存使用数据!$A:$K,11,0),0)+IFERROR(VLOOKUP($A552,[4]库存使用数据!$A:$K,11,0),0)+IFERROR(VLOOKUP($A552,[5]库存使用数据!$A:$K,11,0),0)</f>
        <v>9</v>
      </c>
      <c r="L552" s="1">
        <f ca="1">IFERROR(VLOOKUP($A552,[1]库存使用数据!$A:$L,12,0),0)+IFERROR(VLOOKUP($A552,[2]库存使用数据!$A:$L,12,0),0)+IFERROR(VLOOKUP($A552,[3]库存使用数据!$A:$L,12,0),0)+IFERROR(VLOOKUP($A552,[4]库存使用数据!$A:$L,12,0),0)+IFERROR(VLOOKUP($A552,[5]库存使用数据!$A:$L,12,0),0)</f>
        <v>0</v>
      </c>
      <c r="M552" s="1">
        <f ca="1">IFERROR(VLOOKUP($A552,[1]库存使用数据!$A:$M,13,0),0)+IFERROR(VLOOKUP($A552,[2]库存使用数据!$A:$M,13,0),0)+公式!$B$14*IFERROR(VLOOKUP($A552,[3]库存使用数据!$A:$M,13,0),0)+IFERROR(VLOOKUP($A552,[4]库存使用数据!$A:$M,13,0),0)+IFERROR(VLOOKUP($A552,[5]库存使用数据!$A:$M,13,0),0)</f>
        <v>0</v>
      </c>
    </row>
    <row r="553" spans="1:13">
      <c r="A553" s="6" t="s">
        <v>558</v>
      </c>
      <c r="B553" s="2">
        <f ca="1">IFERROR(VLOOKUP(A553,[1]库存使用数据!$A:$B,2,0),0)+IFERROR(VLOOKUP(A553,[2]库存使用数据!$A:$B,2,0),0)+IFERROR(VLOOKUP(,[3]库存使用数据!$A:$B,2,0),0)+IFERROR(VLOOKUP(A553,[4]库存使用数据!$A:$B,2,0),0)+IFERROR(VLOOKUP(A553,[5]库存使用数据!$A:$B,2,0),0)</f>
        <v>0</v>
      </c>
      <c r="C553" s="1">
        <f ca="1">IFERROR(VLOOKUP($A553,[1]库存使用数据!$A:$C,3,0),0)+IFERROR(VLOOKUP($A553,[2]库存使用数据!$A:$C,3,0),0)+IFERROR(VLOOKUP($A553,[3]库存使用数据!$A:$C,3,0),0)+IFERROR(VLOOKUP($A553,[4]库存使用数据!$A:$C,3,0),0)+IFERROR(VLOOKUP($A553,[5]库存使用数据!$A:$C,3,0),0)</f>
        <v>0</v>
      </c>
      <c r="D553" s="1">
        <f ca="1">IFERROR(VLOOKUP($A553,[1]库存使用数据!$A:$D,4,0),0)+IFERROR(VLOOKUP($A553,[2]库存使用数据!$A:$D,4,0),0)+公式!$B$1*IFERROR(VLOOKUP($A553,[3]库存使用数据!$A:$D,4,0),0)+IFERROR(VLOOKUP($A553,[4]库存使用数据!$A:$D,4,0),0)+IFERROR(VLOOKUP($A553,[5]库存使用数据!$A:$D,4,0),0)</f>
        <v>0</v>
      </c>
      <c r="E553" s="1">
        <f ca="1">IFERROR(VLOOKUP($A553,[1]库存使用数据!$A:$E,5,0),0)+IFERROR(VLOOKUP($A553,[2]库存使用数据!$A:$E,5,0),0)+IFERROR(VLOOKUP($A553,[3]库存使用数据!$A:$E,5,0),0)+IFERROR(VLOOKUP($A553,[4]库存使用数据!$A:$E,5,0),0)+IFERROR(VLOOKUP($A553,[5]库存使用数据!$A:$E,5,0),0)</f>
        <v>5383</v>
      </c>
      <c r="F553" s="1">
        <f ca="1">IFERROR(VLOOKUP($A553,[1]库存使用数据!$A:$F,6,0),0)+IFERROR(VLOOKUP($A553,[2]库存使用数据!$A:$F,6,0),0)+IFERROR(VLOOKUP($A553,[4]库存使用数据!$A:$F,6,0),0)+IFERROR(VLOOKUP($A553,[3]库存使用数据!$A:$F,6,0),0)+IFERROR(VLOOKUP($A553,[5]库存使用数据!$A:$F,6,0),0)</f>
        <v>10</v>
      </c>
      <c r="G553" s="1">
        <f ca="1">IFERROR(VLOOKUP($A553,[1]库存使用数据!$A:$G,7,0),0)+IFERROR(VLOOKUP($A553,[2]库存使用数据!$A:$G,7,0),0)+公式!$B$14*IFERROR(VLOOKUP($A553,[3]库存使用数据!$A:$G,7,0),0)+IFERROR(VLOOKUP($A553,[4]库存使用数据!$A:$G,7,0),0)+IFERROR(VLOOKUP($A553,[5]库存使用数据!$A:$G,7,0),0)</f>
        <v>1.15</v>
      </c>
      <c r="H553" s="1">
        <f ca="1">IFERROR(VLOOKUP($A553,[1]库存使用数据!$A:$H,8,0),0)+IFERROR(VLOOKUP($A553,[2]库存使用数据!$A:$H,8,0),0)+IFERROR(VLOOKUP($A553,[3]库存使用数据!$A:$H,8,0),0)+IFERROR(VLOOKUP($A553,[4]库存使用数据!$A:$H,8,0),0)+IFERROR(VLOOKUP($A553,[5]库存使用数据!$A:$H,8,0),0)</f>
        <v>4316</v>
      </c>
      <c r="I553" s="1">
        <f ca="1">IFERROR(VLOOKUP($A553,[1]库存使用数据!$A:$I,9,0),0)+IFERROR(VLOOKUP($A553,[2]库存使用数据!$A:$I,9,0),0)+IFERROR(VLOOKUP($A553,[3]库存使用数据!$A:$I,9,0),0)+IFERROR(VLOOKUP($A553,[4]库存使用数据!$A:$I,9,0),0)+IFERROR(VLOOKUP($A553,[5]库存使用数据!$A:$I,9,0),0)</f>
        <v>9</v>
      </c>
      <c r="J553" s="1">
        <f ca="1">IFERROR(VLOOKUP($A553,[1]库存使用数据!$A:$J,10,0),0)+IFERROR(VLOOKUP($A553,[2]库存使用数据!$A:$J,10,0),0)+公式!$B$14*IFERROR(VLOOKUP($A553,[3]库存使用数据!$A:$J,10,0),0)+IFERROR(VLOOKUP($A553,[4]库存使用数据!$A:$J,10,0),0)+IFERROR(VLOOKUP($A553,[5]库存使用数据!$A:$J,10,0),0)</f>
        <v>1.33</v>
      </c>
      <c r="K553" s="1">
        <f ca="1">IFERROR(VLOOKUP($A553,[1]库存使用数据!$A:$K,11,0),0)+IFERROR(VLOOKUP($A553,[2]库存使用数据!$A:$K,11,0),0)+IFERROR(VLOOKUP($A553,[3]库存使用数据!$A:$K,11,0),0)+IFERROR(VLOOKUP($A553,[4]库存使用数据!$A:$K,11,0),0)+IFERROR(VLOOKUP($A553,[5]库存使用数据!$A:$K,11,0),0)</f>
        <v>16542</v>
      </c>
      <c r="L553" s="1">
        <f ca="1">IFERROR(VLOOKUP($A553,[1]库存使用数据!$A:$L,12,0),0)+IFERROR(VLOOKUP($A553,[2]库存使用数据!$A:$L,12,0),0)+IFERROR(VLOOKUP($A553,[3]库存使用数据!$A:$L,12,0),0)+IFERROR(VLOOKUP($A553,[4]库存使用数据!$A:$L,12,0),0)+IFERROR(VLOOKUP($A553,[5]库存使用数据!$A:$L,12,0),0)</f>
        <v>34</v>
      </c>
      <c r="M553" s="1">
        <f ca="1">IFERROR(VLOOKUP($A553,[1]库存使用数据!$A:$M,13,0),0)+IFERROR(VLOOKUP($A553,[2]库存使用数据!$A:$M,13,0),0)+公式!$B$14*IFERROR(VLOOKUP($A553,[3]库存使用数据!$A:$M,13,0),0)+IFERROR(VLOOKUP($A553,[4]库存使用数据!$A:$M,13,0),0)+IFERROR(VLOOKUP($A553,[5]库存使用数据!$A:$M,13,0),0)</f>
        <v>4.63</v>
      </c>
    </row>
    <row r="554" spans="1:13">
      <c r="A554" s="6" t="s">
        <v>559</v>
      </c>
      <c r="B554" s="2">
        <f ca="1">IFERROR(VLOOKUP(A554,[1]库存使用数据!$A:$B,2,0),0)+IFERROR(VLOOKUP(A554,[2]库存使用数据!$A:$B,2,0),0)+IFERROR(VLOOKUP(,[3]库存使用数据!$A:$B,2,0),0)+IFERROR(VLOOKUP(A554,[4]库存使用数据!$A:$B,2,0),0)+IFERROR(VLOOKUP(A554,[5]库存使用数据!$A:$B,2,0),0)</f>
        <v>0</v>
      </c>
      <c r="C554" s="1">
        <f ca="1">IFERROR(VLOOKUP($A554,[1]库存使用数据!$A:$C,3,0),0)+IFERROR(VLOOKUP($A554,[2]库存使用数据!$A:$C,3,0),0)+IFERROR(VLOOKUP($A554,[3]库存使用数据!$A:$C,3,0),0)+IFERROR(VLOOKUP($A554,[4]库存使用数据!$A:$C,3,0),0)+IFERROR(VLOOKUP($A554,[5]库存使用数据!$A:$C,3,0),0)</f>
        <v>0</v>
      </c>
      <c r="D554" s="1">
        <f ca="1">IFERROR(VLOOKUP($A554,[1]库存使用数据!$A:$D,4,0),0)+IFERROR(VLOOKUP($A554,[2]库存使用数据!$A:$D,4,0),0)+公式!$B$1*IFERROR(VLOOKUP($A554,[3]库存使用数据!$A:$D,4,0),0)+IFERROR(VLOOKUP($A554,[4]库存使用数据!$A:$D,4,0),0)+IFERROR(VLOOKUP($A554,[5]库存使用数据!$A:$D,4,0),0)</f>
        <v>0</v>
      </c>
      <c r="E554" s="1">
        <f ca="1">IFERROR(VLOOKUP($A554,[1]库存使用数据!$A:$E,5,0),0)+IFERROR(VLOOKUP($A554,[2]库存使用数据!$A:$E,5,0),0)+IFERROR(VLOOKUP($A554,[3]库存使用数据!$A:$E,5,0),0)+IFERROR(VLOOKUP($A554,[4]库存使用数据!$A:$E,5,0),0)+IFERROR(VLOOKUP($A554,[5]库存使用数据!$A:$E,5,0),0)</f>
        <v>567</v>
      </c>
      <c r="F554" s="1">
        <f ca="1">IFERROR(VLOOKUP($A554,[1]库存使用数据!$A:$F,6,0),0)+IFERROR(VLOOKUP($A554,[2]库存使用数据!$A:$F,6,0),0)+IFERROR(VLOOKUP($A554,[4]库存使用数据!$A:$F,6,0),0)+IFERROR(VLOOKUP($A554,[3]库存使用数据!$A:$F,6,0),0)+IFERROR(VLOOKUP($A554,[5]库存使用数据!$A:$F,6,0),0)</f>
        <v>2</v>
      </c>
      <c r="G554" s="1">
        <f ca="1">IFERROR(VLOOKUP($A554,[1]库存使用数据!$A:$G,7,0),0)+IFERROR(VLOOKUP($A554,[2]库存使用数据!$A:$G,7,0),0)+公式!$B$14*IFERROR(VLOOKUP($A554,[3]库存使用数据!$A:$G,7,0),0)+IFERROR(VLOOKUP($A554,[4]库存使用数据!$A:$G,7,0),0)+IFERROR(VLOOKUP($A554,[5]库存使用数据!$A:$G,7,0),0)</f>
        <v>0.23</v>
      </c>
      <c r="H554" s="1">
        <f ca="1">IFERROR(VLOOKUP($A554,[1]库存使用数据!$A:$H,8,0),0)+IFERROR(VLOOKUP($A554,[2]库存使用数据!$A:$H,8,0),0)+IFERROR(VLOOKUP($A554,[3]库存使用数据!$A:$H,8,0),0)+IFERROR(VLOOKUP($A554,[4]库存使用数据!$A:$H,8,0),0)+IFERROR(VLOOKUP($A554,[5]库存使用数据!$A:$H,8,0),0)</f>
        <v>45</v>
      </c>
      <c r="I554" s="1">
        <f ca="1">IFERROR(VLOOKUP($A554,[1]库存使用数据!$A:$I,9,0),0)+IFERROR(VLOOKUP($A554,[2]库存使用数据!$A:$I,9,0),0)+IFERROR(VLOOKUP($A554,[3]库存使用数据!$A:$I,9,0),0)+IFERROR(VLOOKUP($A554,[4]库存使用数据!$A:$I,9,0),0)+IFERROR(VLOOKUP($A554,[5]库存使用数据!$A:$I,9,0),0)</f>
        <v>0</v>
      </c>
      <c r="J554" s="1">
        <f ca="1">IFERROR(VLOOKUP($A554,[1]库存使用数据!$A:$J,10,0),0)+IFERROR(VLOOKUP($A554,[2]库存使用数据!$A:$J,10,0),0)+公式!$B$14*IFERROR(VLOOKUP($A554,[3]库存使用数据!$A:$J,10,0),0)+IFERROR(VLOOKUP($A554,[4]库存使用数据!$A:$J,10,0),0)+IFERROR(VLOOKUP($A554,[5]库存使用数据!$A:$J,10,0),0)</f>
        <v>0</v>
      </c>
      <c r="K554" s="1">
        <f ca="1">IFERROR(VLOOKUP($A554,[1]库存使用数据!$A:$K,11,0),0)+IFERROR(VLOOKUP($A554,[2]库存使用数据!$A:$K,11,0),0)+IFERROR(VLOOKUP($A554,[3]库存使用数据!$A:$K,11,0),0)+IFERROR(VLOOKUP($A554,[4]库存使用数据!$A:$K,11,0),0)+IFERROR(VLOOKUP($A554,[5]库存使用数据!$A:$K,11,0),0)</f>
        <v>8</v>
      </c>
      <c r="L554" s="1">
        <f ca="1">IFERROR(VLOOKUP($A554,[1]库存使用数据!$A:$L,12,0),0)+IFERROR(VLOOKUP($A554,[2]库存使用数据!$A:$L,12,0),0)+IFERROR(VLOOKUP($A554,[3]库存使用数据!$A:$L,12,0),0)+IFERROR(VLOOKUP($A554,[4]库存使用数据!$A:$L,12,0),0)+IFERROR(VLOOKUP($A554,[5]库存使用数据!$A:$L,12,0),0)</f>
        <v>0</v>
      </c>
      <c r="M554" s="1">
        <f ca="1">IFERROR(VLOOKUP($A554,[1]库存使用数据!$A:$M,13,0),0)+IFERROR(VLOOKUP($A554,[2]库存使用数据!$A:$M,13,0),0)+公式!$B$14*IFERROR(VLOOKUP($A554,[3]库存使用数据!$A:$M,13,0),0)+IFERROR(VLOOKUP($A554,[4]库存使用数据!$A:$M,13,0),0)+IFERROR(VLOOKUP($A554,[5]库存使用数据!$A:$M,13,0),0)</f>
        <v>0</v>
      </c>
    </row>
    <row r="555" spans="1:13">
      <c r="A555" s="6" t="s">
        <v>560</v>
      </c>
      <c r="B555" s="2">
        <f ca="1">IFERROR(VLOOKUP(A555,[1]库存使用数据!$A:$B,2,0),0)+IFERROR(VLOOKUP(A555,[2]库存使用数据!$A:$B,2,0),0)+IFERROR(VLOOKUP(,[3]库存使用数据!$A:$B,2,0),0)+IFERROR(VLOOKUP(A555,[4]库存使用数据!$A:$B,2,0),0)+IFERROR(VLOOKUP(A555,[5]库存使用数据!$A:$B,2,0),0)</f>
        <v>0</v>
      </c>
      <c r="C555" s="1">
        <f ca="1">IFERROR(VLOOKUP($A555,[1]库存使用数据!$A:$C,3,0),0)+IFERROR(VLOOKUP($A555,[2]库存使用数据!$A:$C,3,0),0)+IFERROR(VLOOKUP($A555,[3]库存使用数据!$A:$C,3,0),0)+IFERROR(VLOOKUP($A555,[4]库存使用数据!$A:$C,3,0),0)+IFERROR(VLOOKUP($A555,[5]库存使用数据!$A:$C,3,0),0)</f>
        <v>0</v>
      </c>
      <c r="D555" s="1">
        <f ca="1">IFERROR(VLOOKUP($A555,[1]库存使用数据!$A:$D,4,0),0)+IFERROR(VLOOKUP($A555,[2]库存使用数据!$A:$D,4,0),0)+公式!$B$1*IFERROR(VLOOKUP($A555,[3]库存使用数据!$A:$D,4,0),0)+IFERROR(VLOOKUP($A555,[4]库存使用数据!$A:$D,4,0),0)+IFERROR(VLOOKUP($A555,[5]库存使用数据!$A:$D,4,0),0)</f>
        <v>0</v>
      </c>
      <c r="E555" s="1">
        <f ca="1">IFERROR(VLOOKUP($A555,[1]库存使用数据!$A:$E,5,0),0)+IFERROR(VLOOKUP($A555,[2]库存使用数据!$A:$E,5,0),0)+IFERROR(VLOOKUP($A555,[3]库存使用数据!$A:$E,5,0),0)+IFERROR(VLOOKUP($A555,[4]库存使用数据!$A:$E,5,0),0)+IFERROR(VLOOKUP($A555,[5]库存使用数据!$A:$E,5,0),0)</f>
        <v>13552</v>
      </c>
      <c r="F555" s="1">
        <f ca="1">IFERROR(VLOOKUP($A555,[1]库存使用数据!$A:$F,6,0),0)+IFERROR(VLOOKUP($A555,[2]库存使用数据!$A:$F,6,0),0)+IFERROR(VLOOKUP($A555,[4]库存使用数据!$A:$F,6,0),0)+IFERROR(VLOOKUP($A555,[3]库存使用数据!$A:$F,6,0),0)+IFERROR(VLOOKUP($A555,[5]库存使用数据!$A:$F,6,0),0)</f>
        <v>34</v>
      </c>
      <c r="G555" s="1">
        <f ca="1">IFERROR(VLOOKUP($A555,[1]库存使用数据!$A:$G,7,0),0)+IFERROR(VLOOKUP($A555,[2]库存使用数据!$A:$G,7,0),0)+公式!$B$14*IFERROR(VLOOKUP($A555,[3]库存使用数据!$A:$G,7,0),0)+IFERROR(VLOOKUP($A555,[4]库存使用数据!$A:$G,7,0),0)+IFERROR(VLOOKUP($A555,[5]库存使用数据!$A:$G,7,0),0)</f>
        <v>5.33</v>
      </c>
      <c r="H555" s="1">
        <f ca="1">IFERROR(VLOOKUP($A555,[1]库存使用数据!$A:$H,8,0),0)+IFERROR(VLOOKUP($A555,[2]库存使用数据!$A:$H,8,0),0)+IFERROR(VLOOKUP($A555,[3]库存使用数据!$A:$H,8,0),0)+IFERROR(VLOOKUP($A555,[4]库存使用数据!$A:$H,8,0),0)+IFERROR(VLOOKUP($A555,[5]库存使用数据!$A:$H,8,0),0)</f>
        <v>2220</v>
      </c>
      <c r="I555" s="1">
        <f ca="1">IFERROR(VLOOKUP($A555,[1]库存使用数据!$A:$I,9,0),0)+IFERROR(VLOOKUP($A555,[2]库存使用数据!$A:$I,9,0),0)+IFERROR(VLOOKUP($A555,[3]库存使用数据!$A:$I,9,0),0)+IFERROR(VLOOKUP($A555,[4]库存使用数据!$A:$I,9,0),0)+IFERROR(VLOOKUP($A555,[5]库存使用数据!$A:$I,9,0),0)</f>
        <v>17</v>
      </c>
      <c r="J555" s="1">
        <f ca="1">IFERROR(VLOOKUP($A555,[1]库存使用数据!$A:$J,10,0),0)+IFERROR(VLOOKUP($A555,[2]库存使用数据!$A:$J,10,0),0)+公式!$B$14*IFERROR(VLOOKUP($A555,[3]库存使用数据!$A:$J,10,0),0)+IFERROR(VLOOKUP($A555,[4]库存使用数据!$A:$J,10,0),0)+IFERROR(VLOOKUP($A555,[5]库存使用数据!$A:$J,10,0),0)</f>
        <v>2.08</v>
      </c>
      <c r="K555" s="1">
        <f ca="1">IFERROR(VLOOKUP($A555,[1]库存使用数据!$A:$K,11,0),0)+IFERROR(VLOOKUP($A555,[2]库存使用数据!$A:$K,11,0),0)+IFERROR(VLOOKUP($A555,[3]库存使用数据!$A:$K,11,0),0)+IFERROR(VLOOKUP($A555,[4]库存使用数据!$A:$K,11,0),0)+IFERROR(VLOOKUP($A555,[5]库存使用数据!$A:$K,11,0),0)</f>
        <v>791</v>
      </c>
      <c r="L555" s="1">
        <f ca="1">IFERROR(VLOOKUP($A555,[1]库存使用数据!$A:$L,12,0),0)+IFERROR(VLOOKUP($A555,[2]库存使用数据!$A:$L,12,0),0)+IFERROR(VLOOKUP($A555,[3]库存使用数据!$A:$L,12,0),0)+IFERROR(VLOOKUP($A555,[4]库存使用数据!$A:$L,12,0),0)+IFERROR(VLOOKUP($A555,[5]库存使用数据!$A:$L,12,0),0)</f>
        <v>3</v>
      </c>
      <c r="M555" s="1">
        <f ca="1">IFERROR(VLOOKUP($A555,[1]库存使用数据!$A:$M,13,0),0)+IFERROR(VLOOKUP($A555,[2]库存使用数据!$A:$M,13,0),0)+公式!$B$14*IFERROR(VLOOKUP($A555,[3]库存使用数据!$A:$M,13,0),0)+IFERROR(VLOOKUP($A555,[4]库存使用数据!$A:$M,13,0),0)+IFERROR(VLOOKUP($A555,[5]库存使用数据!$A:$M,13,0),0)</f>
        <v>0.24</v>
      </c>
    </row>
    <row r="556" spans="1:13">
      <c r="A556" s="6" t="s">
        <v>561</v>
      </c>
      <c r="B556" s="2">
        <f ca="1">IFERROR(VLOOKUP(A556,[1]库存使用数据!$A:$B,2,0),0)+IFERROR(VLOOKUP(A556,[2]库存使用数据!$A:$B,2,0),0)+IFERROR(VLOOKUP(,[3]库存使用数据!$A:$B,2,0),0)+IFERROR(VLOOKUP(A556,[4]库存使用数据!$A:$B,2,0),0)+IFERROR(VLOOKUP(A556,[5]库存使用数据!$A:$B,2,0),0)</f>
        <v>0</v>
      </c>
      <c r="C556" s="1">
        <f ca="1">IFERROR(VLOOKUP($A556,[1]库存使用数据!$A:$C,3,0),0)+IFERROR(VLOOKUP($A556,[2]库存使用数据!$A:$C,3,0),0)+IFERROR(VLOOKUP($A556,[3]库存使用数据!$A:$C,3,0),0)+IFERROR(VLOOKUP($A556,[4]库存使用数据!$A:$C,3,0),0)+IFERROR(VLOOKUP($A556,[5]库存使用数据!$A:$C,3,0),0)</f>
        <v>0</v>
      </c>
      <c r="D556" s="1">
        <f ca="1">IFERROR(VLOOKUP($A556,[1]库存使用数据!$A:$D,4,0),0)+IFERROR(VLOOKUP($A556,[2]库存使用数据!$A:$D,4,0),0)+公式!$B$1*IFERROR(VLOOKUP($A556,[3]库存使用数据!$A:$D,4,0),0)+IFERROR(VLOOKUP($A556,[4]库存使用数据!$A:$D,4,0),0)+IFERROR(VLOOKUP($A556,[5]库存使用数据!$A:$D,4,0),0)</f>
        <v>0</v>
      </c>
      <c r="E556" s="1">
        <f ca="1">IFERROR(VLOOKUP($A556,[1]库存使用数据!$A:$E,5,0),0)+IFERROR(VLOOKUP($A556,[2]库存使用数据!$A:$E,5,0),0)+IFERROR(VLOOKUP($A556,[3]库存使用数据!$A:$E,5,0),0)+IFERROR(VLOOKUP($A556,[4]库存使用数据!$A:$E,5,0),0)+IFERROR(VLOOKUP($A556,[5]库存使用数据!$A:$E,5,0),0)</f>
        <v>22</v>
      </c>
      <c r="F556" s="1">
        <f ca="1">IFERROR(VLOOKUP($A556,[1]库存使用数据!$A:$F,6,0),0)+IFERROR(VLOOKUP($A556,[2]库存使用数据!$A:$F,6,0),0)+IFERROR(VLOOKUP($A556,[4]库存使用数据!$A:$F,6,0),0)+IFERROR(VLOOKUP($A556,[3]库存使用数据!$A:$F,6,0),0)+IFERROR(VLOOKUP($A556,[5]库存使用数据!$A:$F,6,0),0)</f>
        <v>0</v>
      </c>
      <c r="G556" s="1">
        <f ca="1">IFERROR(VLOOKUP($A556,[1]库存使用数据!$A:$G,7,0),0)+IFERROR(VLOOKUP($A556,[2]库存使用数据!$A:$G,7,0),0)+公式!$B$14*IFERROR(VLOOKUP($A556,[3]库存使用数据!$A:$G,7,0),0)+IFERROR(VLOOKUP($A556,[4]库存使用数据!$A:$G,7,0),0)+IFERROR(VLOOKUP($A556,[5]库存使用数据!$A:$G,7,0),0)</f>
        <v>0</v>
      </c>
      <c r="H556" s="1">
        <f ca="1">IFERROR(VLOOKUP($A556,[1]库存使用数据!$A:$H,8,0),0)+IFERROR(VLOOKUP($A556,[2]库存使用数据!$A:$H,8,0),0)+IFERROR(VLOOKUP($A556,[3]库存使用数据!$A:$H,8,0),0)+IFERROR(VLOOKUP($A556,[4]库存使用数据!$A:$H,8,0),0)+IFERROR(VLOOKUP($A556,[5]库存使用数据!$A:$H,8,0),0)</f>
        <v>985</v>
      </c>
      <c r="I556" s="1">
        <f ca="1">IFERROR(VLOOKUP($A556,[1]库存使用数据!$A:$I,9,0),0)+IFERROR(VLOOKUP($A556,[2]库存使用数据!$A:$I,9,0),0)+IFERROR(VLOOKUP($A556,[3]库存使用数据!$A:$I,9,0),0)+IFERROR(VLOOKUP($A556,[4]库存使用数据!$A:$I,9,0),0)+IFERROR(VLOOKUP($A556,[5]库存使用数据!$A:$I,9,0),0)</f>
        <v>3</v>
      </c>
      <c r="J556" s="1">
        <f ca="1">IFERROR(VLOOKUP($A556,[1]库存使用数据!$A:$J,10,0),0)+IFERROR(VLOOKUP($A556,[2]库存使用数据!$A:$J,10,0),0)+公式!$B$14*IFERROR(VLOOKUP($A556,[3]库存使用数据!$A:$J,10,0),0)+IFERROR(VLOOKUP($A556,[4]库存使用数据!$A:$J,10,0),0)+IFERROR(VLOOKUP($A556,[5]库存使用数据!$A:$J,10,0),0)</f>
        <v>0.35</v>
      </c>
      <c r="K556" s="1">
        <f ca="1">IFERROR(VLOOKUP($A556,[1]库存使用数据!$A:$K,11,0),0)+IFERROR(VLOOKUP($A556,[2]库存使用数据!$A:$K,11,0),0)+IFERROR(VLOOKUP($A556,[3]库存使用数据!$A:$K,11,0),0)+IFERROR(VLOOKUP($A556,[4]库存使用数据!$A:$K,11,0),0)+IFERROR(VLOOKUP($A556,[5]库存使用数据!$A:$K,11,0),0)</f>
        <v>129</v>
      </c>
      <c r="L556" s="1">
        <f ca="1">IFERROR(VLOOKUP($A556,[1]库存使用数据!$A:$L,12,0),0)+IFERROR(VLOOKUP($A556,[2]库存使用数据!$A:$L,12,0),0)+IFERROR(VLOOKUP($A556,[3]库存使用数据!$A:$L,12,0),0)+IFERROR(VLOOKUP($A556,[4]库存使用数据!$A:$L,12,0),0)+IFERROR(VLOOKUP($A556,[5]库存使用数据!$A:$L,12,0),0)</f>
        <v>0</v>
      </c>
      <c r="M556" s="1">
        <f ca="1">IFERROR(VLOOKUP($A556,[1]库存使用数据!$A:$M,13,0),0)+IFERROR(VLOOKUP($A556,[2]库存使用数据!$A:$M,13,0),0)+公式!$B$14*IFERROR(VLOOKUP($A556,[3]库存使用数据!$A:$M,13,0),0)+IFERROR(VLOOKUP($A556,[4]库存使用数据!$A:$M,13,0),0)+IFERROR(VLOOKUP($A556,[5]库存使用数据!$A:$M,13,0),0)</f>
        <v>0</v>
      </c>
    </row>
    <row r="557" spans="1:13">
      <c r="A557" s="6" t="s">
        <v>562</v>
      </c>
      <c r="B557" s="2">
        <f ca="1">IFERROR(VLOOKUP(A557,[1]库存使用数据!$A:$B,2,0),0)+IFERROR(VLOOKUP(A557,[2]库存使用数据!$A:$B,2,0),0)+IFERROR(VLOOKUP(,[3]库存使用数据!$A:$B,2,0),0)+IFERROR(VLOOKUP(A557,[4]库存使用数据!$A:$B,2,0),0)+IFERROR(VLOOKUP(A557,[5]库存使用数据!$A:$B,2,0),0)</f>
        <v>0</v>
      </c>
      <c r="C557" s="1">
        <f ca="1">IFERROR(VLOOKUP($A557,[1]库存使用数据!$A:$C,3,0),0)+IFERROR(VLOOKUP($A557,[2]库存使用数据!$A:$C,3,0),0)+IFERROR(VLOOKUP($A557,[3]库存使用数据!$A:$C,3,0),0)+IFERROR(VLOOKUP($A557,[4]库存使用数据!$A:$C,3,0),0)+IFERROR(VLOOKUP($A557,[5]库存使用数据!$A:$C,3,0),0)</f>
        <v>0</v>
      </c>
      <c r="D557" s="1">
        <f ca="1">IFERROR(VLOOKUP($A557,[1]库存使用数据!$A:$D,4,0),0)+IFERROR(VLOOKUP($A557,[2]库存使用数据!$A:$D,4,0),0)+公式!$B$1*IFERROR(VLOOKUP($A557,[3]库存使用数据!$A:$D,4,0),0)+IFERROR(VLOOKUP($A557,[4]库存使用数据!$A:$D,4,0),0)+IFERROR(VLOOKUP($A557,[5]库存使用数据!$A:$D,4,0),0)</f>
        <v>0</v>
      </c>
      <c r="E557" s="1">
        <f ca="1">IFERROR(VLOOKUP($A557,[1]库存使用数据!$A:$E,5,0),0)+IFERROR(VLOOKUP($A557,[2]库存使用数据!$A:$E,5,0),0)+IFERROR(VLOOKUP($A557,[3]库存使用数据!$A:$E,5,0),0)+IFERROR(VLOOKUP($A557,[4]库存使用数据!$A:$E,5,0),0)+IFERROR(VLOOKUP($A557,[5]库存使用数据!$A:$E,5,0),0)</f>
        <v>4484</v>
      </c>
      <c r="F557" s="1">
        <f ca="1">IFERROR(VLOOKUP($A557,[1]库存使用数据!$A:$F,6,0),0)+IFERROR(VLOOKUP($A557,[2]库存使用数据!$A:$F,6,0),0)+IFERROR(VLOOKUP($A557,[4]库存使用数据!$A:$F,6,0),0)+IFERROR(VLOOKUP($A557,[3]库存使用数据!$A:$F,6,0),0)+IFERROR(VLOOKUP($A557,[5]库存使用数据!$A:$F,6,0),0)</f>
        <v>7</v>
      </c>
      <c r="G557" s="1">
        <f ca="1">IFERROR(VLOOKUP($A557,[1]库存使用数据!$A:$G,7,0),0)+IFERROR(VLOOKUP($A557,[2]库存使用数据!$A:$G,7,0),0)+公式!$B$14*IFERROR(VLOOKUP($A557,[3]库存使用数据!$A:$G,7,0),0)+IFERROR(VLOOKUP($A557,[4]库存使用数据!$A:$G,7,0),0)+IFERROR(VLOOKUP($A557,[5]库存使用数据!$A:$G,7,0),0)</f>
        <v>0.72</v>
      </c>
      <c r="H557" s="1">
        <f ca="1">IFERROR(VLOOKUP($A557,[1]库存使用数据!$A:$H,8,0),0)+IFERROR(VLOOKUP($A557,[2]库存使用数据!$A:$H,8,0),0)+IFERROR(VLOOKUP($A557,[3]库存使用数据!$A:$H,8,0),0)+IFERROR(VLOOKUP($A557,[4]库存使用数据!$A:$H,8,0),0)+IFERROR(VLOOKUP($A557,[5]库存使用数据!$A:$H,8,0),0)</f>
        <v>892</v>
      </c>
      <c r="I557" s="1">
        <f ca="1">IFERROR(VLOOKUP($A557,[1]库存使用数据!$A:$I,9,0),0)+IFERROR(VLOOKUP($A557,[2]库存使用数据!$A:$I,9,0),0)+IFERROR(VLOOKUP($A557,[3]库存使用数据!$A:$I,9,0),0)+IFERROR(VLOOKUP($A557,[4]库存使用数据!$A:$I,9,0),0)+IFERROR(VLOOKUP($A557,[5]库存使用数据!$A:$I,9,0),0)</f>
        <v>2</v>
      </c>
      <c r="J557" s="1">
        <f ca="1">IFERROR(VLOOKUP($A557,[1]库存使用数据!$A:$J,10,0),0)+IFERROR(VLOOKUP($A557,[2]库存使用数据!$A:$J,10,0),0)+公式!$B$14*IFERROR(VLOOKUP($A557,[3]库存使用数据!$A:$J,10,0),0)+IFERROR(VLOOKUP($A557,[4]库存使用数据!$A:$J,10,0),0)+IFERROR(VLOOKUP($A557,[5]库存使用数据!$A:$J,10,0),0)</f>
        <v>0.33</v>
      </c>
      <c r="K557" s="1">
        <f ca="1">IFERROR(VLOOKUP($A557,[1]库存使用数据!$A:$K,11,0),0)+IFERROR(VLOOKUP($A557,[2]库存使用数据!$A:$K,11,0),0)+IFERROR(VLOOKUP($A557,[3]库存使用数据!$A:$K,11,0),0)+IFERROR(VLOOKUP($A557,[4]库存使用数据!$A:$K,11,0),0)+IFERROR(VLOOKUP($A557,[5]库存使用数据!$A:$K,11,0),0)</f>
        <v>0</v>
      </c>
      <c r="L557" s="1">
        <f ca="1">IFERROR(VLOOKUP($A557,[1]库存使用数据!$A:$L,12,0),0)+IFERROR(VLOOKUP($A557,[2]库存使用数据!$A:$L,12,0),0)+IFERROR(VLOOKUP($A557,[3]库存使用数据!$A:$L,12,0),0)+IFERROR(VLOOKUP($A557,[4]库存使用数据!$A:$L,12,0),0)+IFERROR(VLOOKUP($A557,[5]库存使用数据!$A:$L,12,0),0)</f>
        <v>0</v>
      </c>
      <c r="M557" s="1">
        <f ca="1">IFERROR(VLOOKUP($A557,[1]库存使用数据!$A:$M,13,0),0)+IFERROR(VLOOKUP($A557,[2]库存使用数据!$A:$M,13,0),0)+公式!$B$14*IFERROR(VLOOKUP($A557,[3]库存使用数据!$A:$M,13,0),0)+IFERROR(VLOOKUP($A557,[4]库存使用数据!$A:$M,13,0),0)+IFERROR(VLOOKUP($A557,[5]库存使用数据!$A:$M,13,0),0)</f>
        <v>0</v>
      </c>
    </row>
    <row r="558" spans="1:13">
      <c r="A558" s="6" t="s">
        <v>563</v>
      </c>
      <c r="B558" s="2">
        <f ca="1">IFERROR(VLOOKUP(A558,[1]库存使用数据!$A:$B,2,0),0)+IFERROR(VLOOKUP(A558,[2]库存使用数据!$A:$B,2,0),0)+IFERROR(VLOOKUP(,[3]库存使用数据!$A:$B,2,0),0)+IFERROR(VLOOKUP(A558,[4]库存使用数据!$A:$B,2,0),0)+IFERROR(VLOOKUP(A558,[5]库存使用数据!$A:$B,2,0),0)</f>
        <v>0</v>
      </c>
      <c r="C558" s="1">
        <f ca="1">IFERROR(VLOOKUP($A558,[1]库存使用数据!$A:$C,3,0),0)+IFERROR(VLOOKUP($A558,[2]库存使用数据!$A:$C,3,0),0)+IFERROR(VLOOKUP($A558,[3]库存使用数据!$A:$C,3,0),0)+IFERROR(VLOOKUP($A558,[4]库存使用数据!$A:$C,3,0),0)+IFERROR(VLOOKUP($A558,[5]库存使用数据!$A:$C,3,0),0)</f>
        <v>0</v>
      </c>
      <c r="D558" s="1">
        <f ca="1">IFERROR(VLOOKUP($A558,[1]库存使用数据!$A:$D,4,0),0)+IFERROR(VLOOKUP($A558,[2]库存使用数据!$A:$D,4,0),0)+公式!$B$1*IFERROR(VLOOKUP($A558,[3]库存使用数据!$A:$D,4,0),0)+IFERROR(VLOOKUP($A558,[4]库存使用数据!$A:$D,4,0),0)+IFERROR(VLOOKUP($A558,[5]库存使用数据!$A:$D,4,0),0)</f>
        <v>0</v>
      </c>
      <c r="E558" s="1">
        <f ca="1">IFERROR(VLOOKUP($A558,[1]库存使用数据!$A:$E,5,0),0)+IFERROR(VLOOKUP($A558,[2]库存使用数据!$A:$E,5,0),0)+IFERROR(VLOOKUP($A558,[3]库存使用数据!$A:$E,5,0),0)+IFERROR(VLOOKUP($A558,[4]库存使用数据!$A:$E,5,0),0)+IFERROR(VLOOKUP($A558,[5]库存使用数据!$A:$E,5,0),0)</f>
        <v>41</v>
      </c>
      <c r="F558" s="1">
        <f ca="1">IFERROR(VLOOKUP($A558,[1]库存使用数据!$A:$F,6,0),0)+IFERROR(VLOOKUP($A558,[2]库存使用数据!$A:$F,6,0),0)+IFERROR(VLOOKUP($A558,[4]库存使用数据!$A:$F,6,0),0)+IFERROR(VLOOKUP($A558,[3]库存使用数据!$A:$F,6,0),0)+IFERROR(VLOOKUP($A558,[5]库存使用数据!$A:$F,6,0),0)</f>
        <v>0</v>
      </c>
      <c r="G558" s="1">
        <f ca="1">IFERROR(VLOOKUP($A558,[1]库存使用数据!$A:$G,7,0),0)+IFERROR(VLOOKUP($A558,[2]库存使用数据!$A:$G,7,0),0)+公式!$B$14*IFERROR(VLOOKUP($A558,[3]库存使用数据!$A:$G,7,0),0)+IFERROR(VLOOKUP($A558,[4]库存使用数据!$A:$G,7,0),0)+IFERROR(VLOOKUP($A558,[5]库存使用数据!$A:$G,7,0),0)</f>
        <v>0</v>
      </c>
      <c r="H558" s="1">
        <f ca="1">IFERROR(VLOOKUP($A558,[1]库存使用数据!$A:$H,8,0),0)+IFERROR(VLOOKUP($A558,[2]库存使用数据!$A:$H,8,0),0)+IFERROR(VLOOKUP($A558,[3]库存使用数据!$A:$H,8,0),0)+IFERROR(VLOOKUP($A558,[4]库存使用数据!$A:$H,8,0),0)+IFERROR(VLOOKUP($A558,[5]库存使用数据!$A:$H,8,0),0)</f>
        <v>1134</v>
      </c>
      <c r="I558" s="1">
        <f ca="1">IFERROR(VLOOKUP($A558,[1]库存使用数据!$A:$I,9,0),0)+IFERROR(VLOOKUP($A558,[2]库存使用数据!$A:$I,9,0),0)+IFERROR(VLOOKUP($A558,[3]库存使用数据!$A:$I,9,0),0)+IFERROR(VLOOKUP($A558,[4]库存使用数据!$A:$I,9,0),0)+IFERROR(VLOOKUP($A558,[5]库存使用数据!$A:$I,9,0),0)</f>
        <v>1</v>
      </c>
      <c r="J558" s="1">
        <f ca="1">IFERROR(VLOOKUP($A558,[1]库存使用数据!$A:$J,10,0),0)+IFERROR(VLOOKUP($A558,[2]库存使用数据!$A:$J,10,0),0)+公式!$B$14*IFERROR(VLOOKUP($A558,[3]库存使用数据!$A:$J,10,0),0)+IFERROR(VLOOKUP($A558,[4]库存使用数据!$A:$J,10,0),0)+IFERROR(VLOOKUP($A558,[5]库存使用数据!$A:$J,10,0),0)</f>
        <v>0.11</v>
      </c>
      <c r="K558" s="1">
        <f ca="1">IFERROR(VLOOKUP($A558,[1]库存使用数据!$A:$K,11,0),0)+IFERROR(VLOOKUP($A558,[2]库存使用数据!$A:$K,11,0),0)+IFERROR(VLOOKUP($A558,[3]库存使用数据!$A:$K,11,0),0)+IFERROR(VLOOKUP($A558,[4]库存使用数据!$A:$K,11,0),0)+IFERROR(VLOOKUP($A558,[5]库存使用数据!$A:$K,11,0),0)</f>
        <v>4519</v>
      </c>
      <c r="L558" s="1">
        <f ca="1">IFERROR(VLOOKUP($A558,[1]库存使用数据!$A:$L,12,0),0)+IFERROR(VLOOKUP($A558,[2]库存使用数据!$A:$L,12,0),0)+IFERROR(VLOOKUP($A558,[3]库存使用数据!$A:$L,12,0),0)+IFERROR(VLOOKUP($A558,[4]库存使用数据!$A:$L,12,0),0)+IFERROR(VLOOKUP($A558,[5]库存使用数据!$A:$L,12,0),0)</f>
        <v>5</v>
      </c>
      <c r="M558" s="1">
        <f ca="1">IFERROR(VLOOKUP($A558,[1]库存使用数据!$A:$M,13,0),0)+IFERROR(VLOOKUP($A558,[2]库存使用数据!$A:$M,13,0),0)+公式!$B$14*IFERROR(VLOOKUP($A558,[3]库存使用数据!$A:$M,13,0),0)+IFERROR(VLOOKUP($A558,[4]库存使用数据!$A:$M,13,0),0)+IFERROR(VLOOKUP($A558,[5]库存使用数据!$A:$M,13,0),0)</f>
        <v>0.45</v>
      </c>
    </row>
    <row r="559" spans="1:13">
      <c r="A559" s="6" t="s">
        <v>564</v>
      </c>
      <c r="B559" s="2">
        <f ca="1">IFERROR(VLOOKUP(A559,[1]库存使用数据!$A:$B,2,0),0)+IFERROR(VLOOKUP(A559,[2]库存使用数据!$A:$B,2,0),0)+IFERROR(VLOOKUP(,[3]库存使用数据!$A:$B,2,0),0)+IFERROR(VLOOKUP(A559,[4]库存使用数据!$A:$B,2,0),0)+IFERROR(VLOOKUP(A559,[5]库存使用数据!$A:$B,2,0),0)</f>
        <v>0</v>
      </c>
      <c r="C559" s="1">
        <f ca="1">IFERROR(VLOOKUP($A559,[1]库存使用数据!$A:$C,3,0),0)+IFERROR(VLOOKUP($A559,[2]库存使用数据!$A:$C,3,0),0)+IFERROR(VLOOKUP($A559,[3]库存使用数据!$A:$C,3,0),0)+IFERROR(VLOOKUP($A559,[4]库存使用数据!$A:$C,3,0),0)+IFERROR(VLOOKUP($A559,[5]库存使用数据!$A:$C,3,0),0)</f>
        <v>0</v>
      </c>
      <c r="D559" s="1">
        <f ca="1">IFERROR(VLOOKUP($A559,[1]库存使用数据!$A:$D,4,0),0)+IFERROR(VLOOKUP($A559,[2]库存使用数据!$A:$D,4,0),0)+公式!$B$1*IFERROR(VLOOKUP($A559,[3]库存使用数据!$A:$D,4,0),0)+IFERROR(VLOOKUP($A559,[4]库存使用数据!$A:$D,4,0),0)+IFERROR(VLOOKUP($A559,[5]库存使用数据!$A:$D,4,0),0)</f>
        <v>0</v>
      </c>
      <c r="E559" s="1">
        <f ca="1">IFERROR(VLOOKUP($A559,[1]库存使用数据!$A:$E,5,0),0)+IFERROR(VLOOKUP($A559,[2]库存使用数据!$A:$E,5,0),0)+IFERROR(VLOOKUP($A559,[3]库存使用数据!$A:$E,5,0),0)+IFERROR(VLOOKUP($A559,[4]库存使用数据!$A:$E,5,0),0)+IFERROR(VLOOKUP($A559,[5]库存使用数据!$A:$E,5,0),0)</f>
        <v>243</v>
      </c>
      <c r="F559" s="1">
        <f ca="1">IFERROR(VLOOKUP($A559,[1]库存使用数据!$A:$F,6,0),0)+IFERROR(VLOOKUP($A559,[2]库存使用数据!$A:$F,6,0),0)+IFERROR(VLOOKUP($A559,[4]库存使用数据!$A:$F,6,0),0)+IFERROR(VLOOKUP($A559,[3]库存使用数据!$A:$F,6,0),0)+IFERROR(VLOOKUP($A559,[5]库存使用数据!$A:$F,6,0),0)</f>
        <v>3</v>
      </c>
      <c r="G559" s="1">
        <f ca="1">IFERROR(VLOOKUP($A559,[1]库存使用数据!$A:$G,7,0),0)+IFERROR(VLOOKUP($A559,[2]库存使用数据!$A:$G,7,0),0)+公式!$B$14*IFERROR(VLOOKUP($A559,[3]库存使用数据!$A:$G,7,0),0)+IFERROR(VLOOKUP($A559,[4]库存使用数据!$A:$G,7,0),0)+IFERROR(VLOOKUP($A559,[5]库存使用数据!$A:$G,7,0),0)</f>
        <v>0.32</v>
      </c>
      <c r="H559" s="1">
        <f ca="1">IFERROR(VLOOKUP($A559,[1]库存使用数据!$A:$H,8,0),0)+IFERROR(VLOOKUP($A559,[2]库存使用数据!$A:$H,8,0),0)+IFERROR(VLOOKUP($A559,[3]库存使用数据!$A:$H,8,0),0)+IFERROR(VLOOKUP($A559,[4]库存使用数据!$A:$H,8,0),0)+IFERROR(VLOOKUP($A559,[5]库存使用数据!$A:$H,8,0),0)</f>
        <v>4</v>
      </c>
      <c r="I559" s="1">
        <f ca="1">IFERROR(VLOOKUP($A559,[1]库存使用数据!$A:$I,9,0),0)+IFERROR(VLOOKUP($A559,[2]库存使用数据!$A:$I,9,0),0)+IFERROR(VLOOKUP($A559,[3]库存使用数据!$A:$I,9,0),0)+IFERROR(VLOOKUP($A559,[4]库存使用数据!$A:$I,9,0),0)+IFERROR(VLOOKUP($A559,[5]库存使用数据!$A:$I,9,0),0)</f>
        <v>0</v>
      </c>
      <c r="J559" s="1">
        <f ca="1">IFERROR(VLOOKUP($A559,[1]库存使用数据!$A:$J,10,0),0)+IFERROR(VLOOKUP($A559,[2]库存使用数据!$A:$J,10,0),0)+公式!$B$14*IFERROR(VLOOKUP($A559,[3]库存使用数据!$A:$J,10,0),0)+IFERROR(VLOOKUP($A559,[4]库存使用数据!$A:$J,10,0),0)+IFERROR(VLOOKUP($A559,[5]库存使用数据!$A:$J,10,0),0)</f>
        <v>0</v>
      </c>
      <c r="K559" s="1">
        <f ca="1">IFERROR(VLOOKUP($A559,[1]库存使用数据!$A:$K,11,0),0)+IFERROR(VLOOKUP($A559,[2]库存使用数据!$A:$K,11,0),0)+IFERROR(VLOOKUP($A559,[3]库存使用数据!$A:$K,11,0),0)+IFERROR(VLOOKUP($A559,[4]库存使用数据!$A:$K,11,0),0)+IFERROR(VLOOKUP($A559,[5]库存使用数据!$A:$K,11,0),0)</f>
        <v>1</v>
      </c>
      <c r="L559" s="1">
        <f ca="1">IFERROR(VLOOKUP($A559,[1]库存使用数据!$A:$L,12,0),0)+IFERROR(VLOOKUP($A559,[2]库存使用数据!$A:$L,12,0),0)+IFERROR(VLOOKUP($A559,[3]库存使用数据!$A:$L,12,0),0)+IFERROR(VLOOKUP($A559,[4]库存使用数据!$A:$L,12,0),0)+IFERROR(VLOOKUP($A559,[5]库存使用数据!$A:$L,12,0),0)</f>
        <v>0</v>
      </c>
      <c r="M559" s="1">
        <f ca="1">IFERROR(VLOOKUP($A559,[1]库存使用数据!$A:$M,13,0),0)+IFERROR(VLOOKUP($A559,[2]库存使用数据!$A:$M,13,0),0)+公式!$B$14*IFERROR(VLOOKUP($A559,[3]库存使用数据!$A:$M,13,0),0)+IFERROR(VLOOKUP($A559,[4]库存使用数据!$A:$M,13,0),0)+IFERROR(VLOOKUP($A559,[5]库存使用数据!$A:$M,13,0),0)</f>
        <v>0</v>
      </c>
    </row>
    <row r="560" spans="1:13">
      <c r="A560" s="6" t="s">
        <v>565</v>
      </c>
      <c r="B560" s="2">
        <f ca="1">IFERROR(VLOOKUP(A560,[1]库存使用数据!$A:$B,2,0),0)+IFERROR(VLOOKUP(A560,[2]库存使用数据!$A:$B,2,0),0)+IFERROR(VLOOKUP(,[3]库存使用数据!$A:$B,2,0),0)+IFERROR(VLOOKUP(A560,[4]库存使用数据!$A:$B,2,0),0)+IFERROR(VLOOKUP(A560,[5]库存使用数据!$A:$B,2,0),0)</f>
        <v>0</v>
      </c>
      <c r="C560" s="1">
        <f ca="1">IFERROR(VLOOKUP($A560,[1]库存使用数据!$A:$C,3,0),0)+IFERROR(VLOOKUP($A560,[2]库存使用数据!$A:$C,3,0),0)+IFERROR(VLOOKUP($A560,[3]库存使用数据!$A:$C,3,0),0)+IFERROR(VLOOKUP($A560,[4]库存使用数据!$A:$C,3,0),0)+IFERROR(VLOOKUP($A560,[5]库存使用数据!$A:$C,3,0),0)</f>
        <v>0</v>
      </c>
      <c r="D560" s="1">
        <f ca="1">IFERROR(VLOOKUP($A560,[1]库存使用数据!$A:$D,4,0),0)+IFERROR(VLOOKUP($A560,[2]库存使用数据!$A:$D,4,0),0)+公式!$B$1*IFERROR(VLOOKUP($A560,[3]库存使用数据!$A:$D,4,0),0)+IFERROR(VLOOKUP($A560,[4]库存使用数据!$A:$D,4,0),0)+IFERROR(VLOOKUP($A560,[5]库存使用数据!$A:$D,4,0),0)</f>
        <v>0</v>
      </c>
      <c r="E560" s="1">
        <f ca="1">IFERROR(VLOOKUP($A560,[1]库存使用数据!$A:$E,5,0),0)+IFERROR(VLOOKUP($A560,[2]库存使用数据!$A:$E,5,0),0)+IFERROR(VLOOKUP($A560,[3]库存使用数据!$A:$E,5,0),0)+IFERROR(VLOOKUP($A560,[4]库存使用数据!$A:$E,5,0),0)+IFERROR(VLOOKUP($A560,[5]库存使用数据!$A:$E,5,0),0)</f>
        <v>498</v>
      </c>
      <c r="F560" s="1">
        <f ca="1">IFERROR(VLOOKUP($A560,[1]库存使用数据!$A:$F,6,0),0)+IFERROR(VLOOKUP($A560,[2]库存使用数据!$A:$F,6,0),0)+IFERROR(VLOOKUP($A560,[4]库存使用数据!$A:$F,6,0),0)+IFERROR(VLOOKUP($A560,[3]库存使用数据!$A:$F,6,0),0)+IFERROR(VLOOKUP($A560,[5]库存使用数据!$A:$F,6,0),0)</f>
        <v>0</v>
      </c>
      <c r="G560" s="1">
        <f ca="1">IFERROR(VLOOKUP($A560,[1]库存使用数据!$A:$G,7,0),0)+IFERROR(VLOOKUP($A560,[2]库存使用数据!$A:$G,7,0),0)+公式!$B$14*IFERROR(VLOOKUP($A560,[3]库存使用数据!$A:$G,7,0),0)+IFERROR(VLOOKUP($A560,[4]库存使用数据!$A:$G,7,0),0)+IFERROR(VLOOKUP($A560,[5]库存使用数据!$A:$G,7,0),0)</f>
        <v>0</v>
      </c>
      <c r="H560" s="1">
        <f ca="1">IFERROR(VLOOKUP($A560,[1]库存使用数据!$A:$H,8,0),0)+IFERROR(VLOOKUP($A560,[2]库存使用数据!$A:$H,8,0),0)+IFERROR(VLOOKUP($A560,[3]库存使用数据!$A:$H,8,0),0)+IFERROR(VLOOKUP($A560,[4]库存使用数据!$A:$H,8,0),0)+IFERROR(VLOOKUP($A560,[5]库存使用数据!$A:$H,8,0),0)</f>
        <v>9</v>
      </c>
      <c r="I560" s="1">
        <f ca="1">IFERROR(VLOOKUP($A560,[1]库存使用数据!$A:$I,9,0),0)+IFERROR(VLOOKUP($A560,[2]库存使用数据!$A:$I,9,0),0)+IFERROR(VLOOKUP($A560,[3]库存使用数据!$A:$I,9,0),0)+IFERROR(VLOOKUP($A560,[4]库存使用数据!$A:$I,9,0),0)+IFERROR(VLOOKUP($A560,[5]库存使用数据!$A:$I,9,0),0)</f>
        <v>1</v>
      </c>
      <c r="J560" s="1">
        <f ca="1">IFERROR(VLOOKUP($A560,[1]库存使用数据!$A:$J,10,0),0)+IFERROR(VLOOKUP($A560,[2]库存使用数据!$A:$J,10,0),0)+公式!$B$14*IFERROR(VLOOKUP($A560,[3]库存使用数据!$A:$J,10,0),0)+IFERROR(VLOOKUP($A560,[4]库存使用数据!$A:$J,10,0),0)+IFERROR(VLOOKUP($A560,[5]库存使用数据!$A:$J,10,0),0)</f>
        <v>0.02</v>
      </c>
      <c r="K560" s="1">
        <f ca="1">IFERROR(VLOOKUP($A560,[1]库存使用数据!$A:$K,11,0),0)+IFERROR(VLOOKUP($A560,[2]库存使用数据!$A:$K,11,0),0)+IFERROR(VLOOKUP($A560,[3]库存使用数据!$A:$K,11,0),0)+IFERROR(VLOOKUP($A560,[4]库存使用数据!$A:$K,11,0),0)+IFERROR(VLOOKUP($A560,[5]库存使用数据!$A:$K,11,0),0)</f>
        <v>12</v>
      </c>
      <c r="L560" s="1">
        <f ca="1">IFERROR(VLOOKUP($A560,[1]库存使用数据!$A:$L,12,0),0)+IFERROR(VLOOKUP($A560,[2]库存使用数据!$A:$L,12,0),0)+IFERROR(VLOOKUP($A560,[3]库存使用数据!$A:$L,12,0),0)+IFERROR(VLOOKUP($A560,[4]库存使用数据!$A:$L,12,0),0)+IFERROR(VLOOKUP($A560,[5]库存使用数据!$A:$L,12,0),0)</f>
        <v>0</v>
      </c>
      <c r="M560" s="1">
        <f ca="1">IFERROR(VLOOKUP($A560,[1]库存使用数据!$A:$M,13,0),0)+IFERROR(VLOOKUP($A560,[2]库存使用数据!$A:$M,13,0),0)+公式!$B$14*IFERROR(VLOOKUP($A560,[3]库存使用数据!$A:$M,13,0),0)+IFERROR(VLOOKUP($A560,[4]库存使用数据!$A:$M,13,0),0)+IFERROR(VLOOKUP($A560,[5]库存使用数据!$A:$M,13,0),0)</f>
        <v>0</v>
      </c>
    </row>
    <row r="561" spans="1:13">
      <c r="A561" s="6" t="s">
        <v>566</v>
      </c>
      <c r="B561" s="2">
        <f ca="1">IFERROR(VLOOKUP(A561,[1]库存使用数据!$A:$B,2,0),0)+IFERROR(VLOOKUP(A561,[2]库存使用数据!$A:$B,2,0),0)+IFERROR(VLOOKUP(,[3]库存使用数据!$A:$B,2,0),0)+IFERROR(VLOOKUP(A561,[4]库存使用数据!$A:$B,2,0),0)+IFERROR(VLOOKUP(A561,[5]库存使用数据!$A:$B,2,0),0)</f>
        <v>0</v>
      </c>
      <c r="C561" s="1">
        <f ca="1">IFERROR(VLOOKUP($A561,[1]库存使用数据!$A:$C,3,0),0)+IFERROR(VLOOKUP($A561,[2]库存使用数据!$A:$C,3,0),0)+IFERROR(VLOOKUP($A561,[3]库存使用数据!$A:$C,3,0),0)+IFERROR(VLOOKUP($A561,[4]库存使用数据!$A:$C,3,0),0)+IFERROR(VLOOKUP($A561,[5]库存使用数据!$A:$C,3,0),0)</f>
        <v>0</v>
      </c>
      <c r="D561" s="1">
        <f ca="1">IFERROR(VLOOKUP($A561,[1]库存使用数据!$A:$D,4,0),0)+IFERROR(VLOOKUP($A561,[2]库存使用数据!$A:$D,4,0),0)+公式!$B$1*IFERROR(VLOOKUP($A561,[3]库存使用数据!$A:$D,4,0),0)+IFERROR(VLOOKUP($A561,[4]库存使用数据!$A:$D,4,0),0)+IFERROR(VLOOKUP($A561,[5]库存使用数据!$A:$D,4,0),0)</f>
        <v>0</v>
      </c>
      <c r="E561" s="1">
        <f ca="1">IFERROR(VLOOKUP($A561,[1]库存使用数据!$A:$E,5,0),0)+IFERROR(VLOOKUP($A561,[2]库存使用数据!$A:$E,5,0),0)+IFERROR(VLOOKUP($A561,[3]库存使用数据!$A:$E,5,0),0)+IFERROR(VLOOKUP($A561,[4]库存使用数据!$A:$E,5,0),0)+IFERROR(VLOOKUP($A561,[5]库存使用数据!$A:$E,5,0),0)</f>
        <v>1710</v>
      </c>
      <c r="F561" s="1">
        <f ca="1">IFERROR(VLOOKUP($A561,[1]库存使用数据!$A:$F,6,0),0)+IFERROR(VLOOKUP($A561,[2]库存使用数据!$A:$F,6,0),0)+IFERROR(VLOOKUP($A561,[4]库存使用数据!$A:$F,6,0),0)+IFERROR(VLOOKUP($A561,[3]库存使用数据!$A:$F,6,0),0)+IFERROR(VLOOKUP($A561,[5]库存使用数据!$A:$F,6,0),0)</f>
        <v>2</v>
      </c>
      <c r="G561" s="1">
        <f ca="1">IFERROR(VLOOKUP($A561,[1]库存使用数据!$A:$G,7,0),0)+IFERROR(VLOOKUP($A561,[2]库存使用数据!$A:$G,7,0),0)+公式!$B$14*IFERROR(VLOOKUP($A561,[3]库存使用数据!$A:$G,7,0),0)+IFERROR(VLOOKUP($A561,[4]库存使用数据!$A:$G,7,0),0)+IFERROR(VLOOKUP($A561,[5]库存使用数据!$A:$G,7,0),0)</f>
        <v>0.3</v>
      </c>
      <c r="H561" s="1">
        <f ca="1">IFERROR(VLOOKUP($A561,[1]库存使用数据!$A:$H,8,0),0)+IFERROR(VLOOKUP($A561,[2]库存使用数据!$A:$H,8,0),0)+IFERROR(VLOOKUP($A561,[3]库存使用数据!$A:$H,8,0),0)+IFERROR(VLOOKUP($A561,[4]库存使用数据!$A:$H,8,0),0)+IFERROR(VLOOKUP($A561,[5]库存使用数据!$A:$H,8,0),0)</f>
        <v>4755</v>
      </c>
      <c r="I561" s="1">
        <f ca="1">IFERROR(VLOOKUP($A561,[1]库存使用数据!$A:$I,9,0),0)+IFERROR(VLOOKUP($A561,[2]库存使用数据!$A:$I,9,0),0)+IFERROR(VLOOKUP($A561,[3]库存使用数据!$A:$I,9,0),0)+IFERROR(VLOOKUP($A561,[4]库存使用数据!$A:$I,9,0),0)+IFERROR(VLOOKUP($A561,[5]库存使用数据!$A:$I,9,0),0)</f>
        <v>6</v>
      </c>
      <c r="J561" s="1">
        <f ca="1">IFERROR(VLOOKUP($A561,[1]库存使用数据!$A:$J,10,0),0)+IFERROR(VLOOKUP($A561,[2]库存使用数据!$A:$J,10,0),0)+公式!$B$14*IFERROR(VLOOKUP($A561,[3]库存使用数据!$A:$J,10,0),0)+IFERROR(VLOOKUP($A561,[4]库存使用数据!$A:$J,10,0),0)+IFERROR(VLOOKUP($A561,[5]库存使用数据!$A:$J,10,0),0)</f>
        <v>0.85</v>
      </c>
      <c r="K561" s="1">
        <f ca="1">IFERROR(VLOOKUP($A561,[1]库存使用数据!$A:$K,11,0),0)+IFERROR(VLOOKUP($A561,[2]库存使用数据!$A:$K,11,0),0)+IFERROR(VLOOKUP($A561,[3]库存使用数据!$A:$K,11,0),0)+IFERROR(VLOOKUP($A561,[4]库存使用数据!$A:$K,11,0),0)+IFERROR(VLOOKUP($A561,[5]库存使用数据!$A:$K,11,0),0)</f>
        <v>22936</v>
      </c>
      <c r="L561" s="1">
        <f ca="1">IFERROR(VLOOKUP($A561,[1]库存使用数据!$A:$L,12,0),0)+IFERROR(VLOOKUP($A561,[2]库存使用数据!$A:$L,12,0),0)+IFERROR(VLOOKUP($A561,[3]库存使用数据!$A:$L,12,0),0)+IFERROR(VLOOKUP($A561,[4]库存使用数据!$A:$L,12,0),0)+IFERROR(VLOOKUP($A561,[5]库存使用数据!$A:$L,12,0),0)</f>
        <v>30</v>
      </c>
      <c r="M561" s="1">
        <f ca="1">IFERROR(VLOOKUP($A561,[1]库存使用数据!$A:$M,13,0),0)+IFERROR(VLOOKUP($A561,[2]库存使用数据!$A:$M,13,0),0)+公式!$B$14*IFERROR(VLOOKUP($A561,[3]库存使用数据!$A:$M,13,0),0)+IFERROR(VLOOKUP($A561,[4]库存使用数据!$A:$M,13,0),0)+IFERROR(VLOOKUP($A561,[5]库存使用数据!$A:$M,13,0),0)</f>
        <v>3.3</v>
      </c>
    </row>
    <row r="562" spans="1:13">
      <c r="A562" s="6" t="s">
        <v>567</v>
      </c>
      <c r="B562" s="2">
        <f ca="1">IFERROR(VLOOKUP(A562,[1]库存使用数据!$A:$B,2,0),0)+IFERROR(VLOOKUP(A562,[2]库存使用数据!$A:$B,2,0),0)+IFERROR(VLOOKUP(,[3]库存使用数据!$A:$B,2,0),0)+IFERROR(VLOOKUP(A562,[4]库存使用数据!$A:$B,2,0),0)+IFERROR(VLOOKUP(A562,[5]库存使用数据!$A:$B,2,0),0)</f>
        <v>0</v>
      </c>
      <c r="C562" s="1">
        <f ca="1">IFERROR(VLOOKUP($A562,[1]库存使用数据!$A:$C,3,0),0)+IFERROR(VLOOKUP($A562,[2]库存使用数据!$A:$C,3,0),0)+IFERROR(VLOOKUP($A562,[3]库存使用数据!$A:$C,3,0),0)+IFERROR(VLOOKUP($A562,[4]库存使用数据!$A:$C,3,0),0)+IFERROR(VLOOKUP($A562,[5]库存使用数据!$A:$C,3,0),0)</f>
        <v>0</v>
      </c>
      <c r="D562" s="1">
        <f ca="1">IFERROR(VLOOKUP($A562,[1]库存使用数据!$A:$D,4,0),0)+IFERROR(VLOOKUP($A562,[2]库存使用数据!$A:$D,4,0),0)+公式!$B$1*IFERROR(VLOOKUP($A562,[3]库存使用数据!$A:$D,4,0),0)+IFERROR(VLOOKUP($A562,[4]库存使用数据!$A:$D,4,0),0)+IFERROR(VLOOKUP($A562,[5]库存使用数据!$A:$D,4,0),0)</f>
        <v>0</v>
      </c>
      <c r="E562" s="1">
        <f ca="1">IFERROR(VLOOKUP($A562,[1]库存使用数据!$A:$E,5,0),0)+IFERROR(VLOOKUP($A562,[2]库存使用数据!$A:$E,5,0),0)+IFERROR(VLOOKUP($A562,[3]库存使用数据!$A:$E,5,0),0)+IFERROR(VLOOKUP($A562,[4]库存使用数据!$A:$E,5,0),0)+IFERROR(VLOOKUP($A562,[5]库存使用数据!$A:$E,5,0),0)</f>
        <v>1002</v>
      </c>
      <c r="F562" s="1">
        <f ca="1">IFERROR(VLOOKUP($A562,[1]库存使用数据!$A:$F,6,0),0)+IFERROR(VLOOKUP($A562,[2]库存使用数据!$A:$F,6,0),0)+IFERROR(VLOOKUP($A562,[4]库存使用数据!$A:$F,6,0),0)+IFERROR(VLOOKUP($A562,[3]库存使用数据!$A:$F,6,0),0)+IFERROR(VLOOKUP($A562,[5]库存使用数据!$A:$F,6,0),0)</f>
        <v>1</v>
      </c>
      <c r="G562" s="1">
        <f ca="1">IFERROR(VLOOKUP($A562,[1]库存使用数据!$A:$G,7,0),0)+IFERROR(VLOOKUP($A562,[2]库存使用数据!$A:$G,7,0),0)+公式!$B$14*IFERROR(VLOOKUP($A562,[3]库存使用数据!$A:$G,7,0),0)+IFERROR(VLOOKUP($A562,[4]库存使用数据!$A:$G,7,0),0)+IFERROR(VLOOKUP($A562,[5]库存使用数据!$A:$G,7,0),0)</f>
        <v>0.11</v>
      </c>
      <c r="H562" s="1">
        <f ca="1">IFERROR(VLOOKUP($A562,[1]库存使用数据!$A:$H,8,0),0)+IFERROR(VLOOKUP($A562,[2]库存使用数据!$A:$H,8,0),0)+IFERROR(VLOOKUP($A562,[3]库存使用数据!$A:$H,8,0),0)+IFERROR(VLOOKUP($A562,[4]库存使用数据!$A:$H,8,0),0)+IFERROR(VLOOKUP($A562,[5]库存使用数据!$A:$H,8,0),0)</f>
        <v>48</v>
      </c>
      <c r="I562" s="1">
        <f ca="1">IFERROR(VLOOKUP($A562,[1]库存使用数据!$A:$I,9,0),0)+IFERROR(VLOOKUP($A562,[2]库存使用数据!$A:$I,9,0),0)+IFERROR(VLOOKUP($A562,[3]库存使用数据!$A:$I,9,0),0)+IFERROR(VLOOKUP($A562,[4]库存使用数据!$A:$I,9,0),0)+IFERROR(VLOOKUP($A562,[5]库存使用数据!$A:$I,9,0),0)</f>
        <v>0</v>
      </c>
      <c r="J562" s="1">
        <f ca="1">IFERROR(VLOOKUP($A562,[1]库存使用数据!$A:$J,10,0),0)+IFERROR(VLOOKUP($A562,[2]库存使用数据!$A:$J,10,0),0)+公式!$B$14*IFERROR(VLOOKUP($A562,[3]库存使用数据!$A:$J,10,0),0)+IFERROR(VLOOKUP($A562,[4]库存使用数据!$A:$J,10,0),0)+IFERROR(VLOOKUP($A562,[5]库存使用数据!$A:$J,10,0),0)</f>
        <v>0</v>
      </c>
      <c r="K562" s="1">
        <f ca="1">IFERROR(VLOOKUP($A562,[1]库存使用数据!$A:$K,11,0),0)+IFERROR(VLOOKUP($A562,[2]库存使用数据!$A:$K,11,0),0)+IFERROR(VLOOKUP($A562,[3]库存使用数据!$A:$K,11,0),0)+IFERROR(VLOOKUP($A562,[4]库存使用数据!$A:$K,11,0),0)+IFERROR(VLOOKUP($A562,[5]库存使用数据!$A:$K,11,0),0)</f>
        <v>10</v>
      </c>
      <c r="L562" s="1">
        <f ca="1">IFERROR(VLOOKUP($A562,[1]库存使用数据!$A:$L,12,0),0)+IFERROR(VLOOKUP($A562,[2]库存使用数据!$A:$L,12,0),0)+IFERROR(VLOOKUP($A562,[3]库存使用数据!$A:$L,12,0),0)+IFERROR(VLOOKUP($A562,[4]库存使用数据!$A:$L,12,0),0)+IFERROR(VLOOKUP($A562,[5]库存使用数据!$A:$L,12,0),0)</f>
        <v>0</v>
      </c>
      <c r="M562" s="1">
        <f ca="1">IFERROR(VLOOKUP($A562,[1]库存使用数据!$A:$M,13,0),0)+IFERROR(VLOOKUP($A562,[2]库存使用数据!$A:$M,13,0),0)+公式!$B$14*IFERROR(VLOOKUP($A562,[3]库存使用数据!$A:$M,13,0),0)+IFERROR(VLOOKUP($A562,[4]库存使用数据!$A:$M,13,0),0)+IFERROR(VLOOKUP($A562,[5]库存使用数据!$A:$M,13,0),0)</f>
        <v>0</v>
      </c>
    </row>
    <row r="563" spans="1:13">
      <c r="A563" s="6" t="s">
        <v>568</v>
      </c>
      <c r="B563" s="2">
        <f ca="1">IFERROR(VLOOKUP(A563,[1]库存使用数据!$A:$B,2,0),0)+IFERROR(VLOOKUP(A563,[2]库存使用数据!$A:$B,2,0),0)+IFERROR(VLOOKUP(,[3]库存使用数据!$A:$B,2,0),0)+IFERROR(VLOOKUP(A563,[4]库存使用数据!$A:$B,2,0),0)+IFERROR(VLOOKUP(A563,[5]库存使用数据!$A:$B,2,0),0)</f>
        <v>0</v>
      </c>
      <c r="C563" s="1">
        <f ca="1">IFERROR(VLOOKUP($A563,[1]库存使用数据!$A:$C,3,0),0)+IFERROR(VLOOKUP($A563,[2]库存使用数据!$A:$C,3,0),0)+IFERROR(VLOOKUP($A563,[3]库存使用数据!$A:$C,3,0),0)+IFERROR(VLOOKUP($A563,[4]库存使用数据!$A:$C,3,0),0)+IFERROR(VLOOKUP($A563,[5]库存使用数据!$A:$C,3,0),0)</f>
        <v>0</v>
      </c>
      <c r="D563" s="1">
        <f ca="1">IFERROR(VLOOKUP($A563,[1]库存使用数据!$A:$D,4,0),0)+IFERROR(VLOOKUP($A563,[2]库存使用数据!$A:$D,4,0),0)+公式!$B$1*IFERROR(VLOOKUP($A563,[3]库存使用数据!$A:$D,4,0),0)+IFERROR(VLOOKUP($A563,[4]库存使用数据!$A:$D,4,0),0)+IFERROR(VLOOKUP($A563,[5]库存使用数据!$A:$D,4,0),0)</f>
        <v>0</v>
      </c>
      <c r="E563" s="1">
        <f ca="1">IFERROR(VLOOKUP($A563,[1]库存使用数据!$A:$E,5,0),0)+IFERROR(VLOOKUP($A563,[2]库存使用数据!$A:$E,5,0),0)+IFERROR(VLOOKUP($A563,[3]库存使用数据!$A:$E,5,0),0)+IFERROR(VLOOKUP($A563,[4]库存使用数据!$A:$E,5,0),0)+IFERROR(VLOOKUP($A563,[5]库存使用数据!$A:$E,5,0),0)</f>
        <v>1917</v>
      </c>
      <c r="F563" s="1">
        <f ca="1">IFERROR(VLOOKUP($A563,[1]库存使用数据!$A:$F,6,0),0)+IFERROR(VLOOKUP($A563,[2]库存使用数据!$A:$F,6,0),0)+IFERROR(VLOOKUP($A563,[4]库存使用数据!$A:$F,6,0),0)+IFERROR(VLOOKUP($A563,[3]库存使用数据!$A:$F,6,0),0)+IFERROR(VLOOKUP($A563,[5]库存使用数据!$A:$F,6,0),0)</f>
        <v>4</v>
      </c>
      <c r="G563" s="1">
        <f ca="1">IFERROR(VLOOKUP($A563,[1]库存使用数据!$A:$G,7,0),0)+IFERROR(VLOOKUP($A563,[2]库存使用数据!$A:$G,7,0),0)+公式!$B$14*IFERROR(VLOOKUP($A563,[3]库存使用数据!$A:$G,7,0),0)+IFERROR(VLOOKUP($A563,[4]库存使用数据!$A:$G,7,0),0)+IFERROR(VLOOKUP($A563,[5]库存使用数据!$A:$G,7,0),0)</f>
        <v>0.54</v>
      </c>
      <c r="H563" s="1">
        <f ca="1">IFERROR(VLOOKUP($A563,[1]库存使用数据!$A:$H,8,0),0)+IFERROR(VLOOKUP($A563,[2]库存使用数据!$A:$H,8,0),0)+IFERROR(VLOOKUP($A563,[3]库存使用数据!$A:$H,8,0),0)+IFERROR(VLOOKUP($A563,[4]库存使用数据!$A:$H,8,0),0)+IFERROR(VLOOKUP($A563,[5]库存使用数据!$A:$H,8,0),0)</f>
        <v>63</v>
      </c>
      <c r="I563" s="1">
        <f ca="1">IFERROR(VLOOKUP($A563,[1]库存使用数据!$A:$I,9,0),0)+IFERROR(VLOOKUP($A563,[2]库存使用数据!$A:$I,9,0),0)+IFERROR(VLOOKUP($A563,[3]库存使用数据!$A:$I,9,0),0)+IFERROR(VLOOKUP($A563,[4]库存使用数据!$A:$I,9,0),0)+IFERROR(VLOOKUP($A563,[5]库存使用数据!$A:$I,9,0),0)</f>
        <v>0</v>
      </c>
      <c r="J563" s="1">
        <f ca="1">IFERROR(VLOOKUP($A563,[1]库存使用数据!$A:$J,10,0),0)+IFERROR(VLOOKUP($A563,[2]库存使用数据!$A:$J,10,0),0)+公式!$B$14*IFERROR(VLOOKUP($A563,[3]库存使用数据!$A:$J,10,0),0)+IFERROR(VLOOKUP($A563,[4]库存使用数据!$A:$J,10,0),0)+IFERROR(VLOOKUP($A563,[5]库存使用数据!$A:$J,10,0),0)</f>
        <v>0</v>
      </c>
      <c r="K563" s="1">
        <f ca="1">IFERROR(VLOOKUP($A563,[1]库存使用数据!$A:$K,11,0),0)+IFERROR(VLOOKUP($A563,[2]库存使用数据!$A:$K,11,0),0)+IFERROR(VLOOKUP($A563,[3]库存使用数据!$A:$K,11,0),0)+IFERROR(VLOOKUP($A563,[4]库存使用数据!$A:$K,11,0),0)+IFERROR(VLOOKUP($A563,[5]库存使用数据!$A:$K,11,0),0)</f>
        <v>17</v>
      </c>
      <c r="L563" s="1">
        <f ca="1">IFERROR(VLOOKUP($A563,[1]库存使用数据!$A:$L,12,0),0)+IFERROR(VLOOKUP($A563,[2]库存使用数据!$A:$L,12,0),0)+IFERROR(VLOOKUP($A563,[3]库存使用数据!$A:$L,12,0),0)+IFERROR(VLOOKUP($A563,[4]库存使用数据!$A:$L,12,0),0)+IFERROR(VLOOKUP($A563,[5]库存使用数据!$A:$L,12,0),0)</f>
        <v>0</v>
      </c>
      <c r="M563" s="1">
        <f ca="1">IFERROR(VLOOKUP($A563,[1]库存使用数据!$A:$M,13,0),0)+IFERROR(VLOOKUP($A563,[2]库存使用数据!$A:$M,13,0),0)+公式!$B$14*IFERROR(VLOOKUP($A563,[3]库存使用数据!$A:$M,13,0),0)+IFERROR(VLOOKUP($A563,[4]库存使用数据!$A:$M,13,0),0)+IFERROR(VLOOKUP($A563,[5]库存使用数据!$A:$M,13,0),0)</f>
        <v>0</v>
      </c>
    </row>
    <row r="564" spans="1:13">
      <c r="A564" s="6" t="s">
        <v>569</v>
      </c>
      <c r="B564" s="2">
        <f ca="1">IFERROR(VLOOKUP(A564,[1]库存使用数据!$A:$B,2,0),0)+IFERROR(VLOOKUP(A564,[2]库存使用数据!$A:$B,2,0),0)+IFERROR(VLOOKUP(,[3]库存使用数据!$A:$B,2,0),0)+IFERROR(VLOOKUP(A564,[4]库存使用数据!$A:$B,2,0),0)+IFERROR(VLOOKUP(A564,[5]库存使用数据!$A:$B,2,0),0)</f>
        <v>0</v>
      </c>
      <c r="C564" s="1">
        <f ca="1">IFERROR(VLOOKUP($A564,[1]库存使用数据!$A:$C,3,0),0)+IFERROR(VLOOKUP($A564,[2]库存使用数据!$A:$C,3,0),0)+IFERROR(VLOOKUP($A564,[3]库存使用数据!$A:$C,3,0),0)+IFERROR(VLOOKUP($A564,[4]库存使用数据!$A:$C,3,0),0)+IFERROR(VLOOKUP($A564,[5]库存使用数据!$A:$C,3,0),0)</f>
        <v>0</v>
      </c>
      <c r="D564" s="1">
        <f ca="1">IFERROR(VLOOKUP($A564,[1]库存使用数据!$A:$D,4,0),0)+IFERROR(VLOOKUP($A564,[2]库存使用数据!$A:$D,4,0),0)+公式!$B$1*IFERROR(VLOOKUP($A564,[3]库存使用数据!$A:$D,4,0),0)+IFERROR(VLOOKUP($A564,[4]库存使用数据!$A:$D,4,0),0)+IFERROR(VLOOKUP($A564,[5]库存使用数据!$A:$D,4,0),0)</f>
        <v>0</v>
      </c>
      <c r="E564" s="1">
        <f ca="1">IFERROR(VLOOKUP($A564,[1]库存使用数据!$A:$E,5,0),0)+IFERROR(VLOOKUP($A564,[2]库存使用数据!$A:$E,5,0),0)+IFERROR(VLOOKUP($A564,[3]库存使用数据!$A:$E,5,0),0)+IFERROR(VLOOKUP($A564,[4]库存使用数据!$A:$E,5,0),0)+IFERROR(VLOOKUP($A564,[5]库存使用数据!$A:$E,5,0),0)</f>
        <v>1164</v>
      </c>
      <c r="F564" s="1">
        <f ca="1">IFERROR(VLOOKUP($A564,[1]库存使用数据!$A:$F,6,0),0)+IFERROR(VLOOKUP($A564,[2]库存使用数据!$A:$F,6,0),0)+IFERROR(VLOOKUP($A564,[4]库存使用数据!$A:$F,6,0),0)+IFERROR(VLOOKUP($A564,[3]库存使用数据!$A:$F,6,0),0)+IFERROR(VLOOKUP($A564,[5]库存使用数据!$A:$F,6,0),0)</f>
        <v>3</v>
      </c>
      <c r="G564" s="1">
        <f ca="1">IFERROR(VLOOKUP($A564,[1]库存使用数据!$A:$G,7,0),0)+IFERROR(VLOOKUP($A564,[2]库存使用数据!$A:$G,7,0),0)+公式!$B$14*IFERROR(VLOOKUP($A564,[3]库存使用数据!$A:$G,7,0),0)+IFERROR(VLOOKUP($A564,[4]库存使用数据!$A:$G,7,0),0)+IFERROR(VLOOKUP($A564,[5]库存使用数据!$A:$G,7,0),0)</f>
        <v>0.23</v>
      </c>
      <c r="H564" s="1">
        <f ca="1">IFERROR(VLOOKUP($A564,[1]库存使用数据!$A:$H,8,0),0)+IFERROR(VLOOKUP($A564,[2]库存使用数据!$A:$H,8,0),0)+IFERROR(VLOOKUP($A564,[3]库存使用数据!$A:$H,8,0),0)+IFERROR(VLOOKUP($A564,[4]库存使用数据!$A:$H,8,0),0)+IFERROR(VLOOKUP($A564,[5]库存使用数据!$A:$H,8,0),0)</f>
        <v>18</v>
      </c>
      <c r="I564" s="1">
        <f ca="1">IFERROR(VLOOKUP($A564,[1]库存使用数据!$A:$I,9,0),0)+IFERROR(VLOOKUP($A564,[2]库存使用数据!$A:$I,9,0),0)+IFERROR(VLOOKUP($A564,[3]库存使用数据!$A:$I,9,0),0)+IFERROR(VLOOKUP($A564,[4]库存使用数据!$A:$I,9,0),0)+IFERROR(VLOOKUP($A564,[5]库存使用数据!$A:$I,9,0),0)</f>
        <v>0</v>
      </c>
      <c r="J564" s="1">
        <f ca="1">IFERROR(VLOOKUP($A564,[1]库存使用数据!$A:$J,10,0),0)+IFERROR(VLOOKUP($A564,[2]库存使用数据!$A:$J,10,0),0)+公式!$B$14*IFERROR(VLOOKUP($A564,[3]库存使用数据!$A:$J,10,0),0)+IFERROR(VLOOKUP($A564,[4]库存使用数据!$A:$J,10,0),0)+IFERROR(VLOOKUP($A564,[5]库存使用数据!$A:$J,10,0),0)</f>
        <v>0</v>
      </c>
      <c r="K564" s="1">
        <f ca="1">IFERROR(VLOOKUP($A564,[1]库存使用数据!$A:$K,11,0),0)+IFERROR(VLOOKUP($A564,[2]库存使用数据!$A:$K,11,0),0)+IFERROR(VLOOKUP($A564,[3]库存使用数据!$A:$K,11,0),0)+IFERROR(VLOOKUP($A564,[4]库存使用数据!$A:$K,11,0),0)+IFERROR(VLOOKUP($A564,[5]库存使用数据!$A:$K,11,0),0)</f>
        <v>4</v>
      </c>
      <c r="L564" s="1">
        <f ca="1">IFERROR(VLOOKUP($A564,[1]库存使用数据!$A:$L,12,0),0)+IFERROR(VLOOKUP($A564,[2]库存使用数据!$A:$L,12,0),0)+IFERROR(VLOOKUP($A564,[3]库存使用数据!$A:$L,12,0),0)+IFERROR(VLOOKUP($A564,[4]库存使用数据!$A:$L,12,0),0)+IFERROR(VLOOKUP($A564,[5]库存使用数据!$A:$L,12,0),0)</f>
        <v>0</v>
      </c>
      <c r="M564" s="1">
        <f ca="1">IFERROR(VLOOKUP($A564,[1]库存使用数据!$A:$M,13,0),0)+IFERROR(VLOOKUP($A564,[2]库存使用数据!$A:$M,13,0),0)+公式!$B$14*IFERROR(VLOOKUP($A564,[3]库存使用数据!$A:$M,13,0),0)+IFERROR(VLOOKUP($A564,[4]库存使用数据!$A:$M,13,0),0)+IFERROR(VLOOKUP($A564,[5]库存使用数据!$A:$M,13,0),0)</f>
        <v>0</v>
      </c>
    </row>
    <row r="565" spans="1:13">
      <c r="A565" s="6" t="s">
        <v>570</v>
      </c>
      <c r="B565" s="2">
        <f ca="1">IFERROR(VLOOKUP(A565,[1]库存使用数据!$A:$B,2,0),0)+IFERROR(VLOOKUP(A565,[2]库存使用数据!$A:$B,2,0),0)+IFERROR(VLOOKUP(,[3]库存使用数据!$A:$B,2,0),0)+IFERROR(VLOOKUP(A565,[4]库存使用数据!$A:$B,2,0),0)+IFERROR(VLOOKUP(A565,[5]库存使用数据!$A:$B,2,0),0)</f>
        <v>0</v>
      </c>
      <c r="C565" s="1">
        <f ca="1">IFERROR(VLOOKUP($A565,[1]库存使用数据!$A:$C,3,0),0)+IFERROR(VLOOKUP($A565,[2]库存使用数据!$A:$C,3,0),0)+IFERROR(VLOOKUP($A565,[3]库存使用数据!$A:$C,3,0),0)+IFERROR(VLOOKUP($A565,[4]库存使用数据!$A:$C,3,0),0)+IFERROR(VLOOKUP($A565,[5]库存使用数据!$A:$C,3,0),0)</f>
        <v>0</v>
      </c>
      <c r="D565" s="1">
        <f ca="1">IFERROR(VLOOKUP($A565,[1]库存使用数据!$A:$D,4,0),0)+IFERROR(VLOOKUP($A565,[2]库存使用数据!$A:$D,4,0),0)+公式!$B$1*IFERROR(VLOOKUP($A565,[3]库存使用数据!$A:$D,4,0),0)+IFERROR(VLOOKUP($A565,[4]库存使用数据!$A:$D,4,0),0)+IFERROR(VLOOKUP($A565,[5]库存使用数据!$A:$D,4,0),0)</f>
        <v>0</v>
      </c>
      <c r="E565" s="1">
        <f ca="1">IFERROR(VLOOKUP($A565,[1]库存使用数据!$A:$E,5,0),0)+IFERROR(VLOOKUP($A565,[2]库存使用数据!$A:$E,5,0),0)+IFERROR(VLOOKUP($A565,[3]库存使用数据!$A:$E,5,0),0)+IFERROR(VLOOKUP($A565,[4]库存使用数据!$A:$E,5,0),0)+IFERROR(VLOOKUP($A565,[5]库存使用数据!$A:$E,5,0),0)</f>
        <v>5666</v>
      </c>
      <c r="F565" s="1">
        <f ca="1">IFERROR(VLOOKUP($A565,[1]库存使用数据!$A:$F,6,0),0)+IFERROR(VLOOKUP($A565,[2]库存使用数据!$A:$F,6,0),0)+IFERROR(VLOOKUP($A565,[4]库存使用数据!$A:$F,6,0),0)+IFERROR(VLOOKUP($A565,[3]库存使用数据!$A:$F,6,0),0)+IFERROR(VLOOKUP($A565,[5]库存使用数据!$A:$F,6,0),0)</f>
        <v>9</v>
      </c>
      <c r="G565" s="1">
        <f ca="1">IFERROR(VLOOKUP($A565,[1]库存使用数据!$A:$G,7,0),0)+IFERROR(VLOOKUP($A565,[2]库存使用数据!$A:$G,7,0),0)+公式!$B$14*IFERROR(VLOOKUP($A565,[3]库存使用数据!$A:$G,7,0),0)+IFERROR(VLOOKUP($A565,[4]库存使用数据!$A:$G,7,0),0)+IFERROR(VLOOKUP($A565,[5]库存使用数据!$A:$G,7,0),0)</f>
        <v>1.28</v>
      </c>
      <c r="H565" s="1">
        <f ca="1">IFERROR(VLOOKUP($A565,[1]库存使用数据!$A:$H,8,0),0)+IFERROR(VLOOKUP($A565,[2]库存使用数据!$A:$H,8,0),0)+IFERROR(VLOOKUP($A565,[3]库存使用数据!$A:$H,8,0),0)+IFERROR(VLOOKUP($A565,[4]库存使用数据!$A:$H,8,0),0)+IFERROR(VLOOKUP($A565,[5]库存使用数据!$A:$H,8,0),0)</f>
        <v>1739</v>
      </c>
      <c r="I565" s="1">
        <f ca="1">IFERROR(VLOOKUP($A565,[1]库存使用数据!$A:$I,9,0),0)+IFERROR(VLOOKUP($A565,[2]库存使用数据!$A:$I,9,0),0)+IFERROR(VLOOKUP($A565,[3]库存使用数据!$A:$I,9,0),0)+IFERROR(VLOOKUP($A565,[4]库存使用数据!$A:$I,9,0),0)+IFERROR(VLOOKUP($A565,[5]库存使用数据!$A:$I,9,0),0)</f>
        <v>6</v>
      </c>
      <c r="J565" s="1">
        <f ca="1">IFERROR(VLOOKUP($A565,[1]库存使用数据!$A:$J,10,0),0)+IFERROR(VLOOKUP($A565,[2]库存使用数据!$A:$J,10,0),0)+公式!$B$14*IFERROR(VLOOKUP($A565,[3]库存使用数据!$A:$J,10,0),0)+IFERROR(VLOOKUP($A565,[4]库存使用数据!$A:$J,10,0),0)+IFERROR(VLOOKUP($A565,[5]库存使用数据!$A:$J,10,0),0)</f>
        <v>0.82</v>
      </c>
      <c r="K565" s="1">
        <f ca="1">IFERROR(VLOOKUP($A565,[1]库存使用数据!$A:$K,11,0),0)+IFERROR(VLOOKUP($A565,[2]库存使用数据!$A:$K,11,0),0)+IFERROR(VLOOKUP($A565,[3]库存使用数据!$A:$K,11,0),0)+IFERROR(VLOOKUP($A565,[4]库存使用数据!$A:$K,11,0),0)+IFERROR(VLOOKUP($A565,[5]库存使用数据!$A:$K,11,0),0)</f>
        <v>3990</v>
      </c>
      <c r="L565" s="1">
        <f ca="1">IFERROR(VLOOKUP($A565,[1]库存使用数据!$A:$L,12,0),0)+IFERROR(VLOOKUP($A565,[2]库存使用数据!$A:$L,12,0),0)+IFERROR(VLOOKUP($A565,[3]库存使用数据!$A:$L,12,0),0)+IFERROR(VLOOKUP($A565,[4]库存使用数据!$A:$L,12,0),0)+IFERROR(VLOOKUP($A565,[5]库存使用数据!$A:$L,12,0),0)</f>
        <v>18</v>
      </c>
      <c r="M565" s="1">
        <f ca="1">IFERROR(VLOOKUP($A565,[1]库存使用数据!$A:$M,13,0),0)+IFERROR(VLOOKUP($A565,[2]库存使用数据!$A:$M,13,0),0)+公式!$B$14*IFERROR(VLOOKUP($A565,[3]库存使用数据!$A:$M,13,0),0)+IFERROR(VLOOKUP($A565,[4]库存使用数据!$A:$M,13,0),0)+IFERROR(VLOOKUP($A565,[5]库存使用数据!$A:$M,13,0),0)</f>
        <v>2.99</v>
      </c>
    </row>
    <row r="566" spans="1:13">
      <c r="A566" s="6" t="s">
        <v>571</v>
      </c>
      <c r="B566" s="2">
        <f ca="1">IFERROR(VLOOKUP(A566,[1]库存使用数据!$A:$B,2,0),0)+IFERROR(VLOOKUP(A566,[2]库存使用数据!$A:$B,2,0),0)+IFERROR(VLOOKUP(,[3]库存使用数据!$A:$B,2,0),0)+IFERROR(VLOOKUP(A566,[4]库存使用数据!$A:$B,2,0),0)+IFERROR(VLOOKUP(A566,[5]库存使用数据!$A:$B,2,0),0)</f>
        <v>0</v>
      </c>
      <c r="C566" s="1">
        <f ca="1">IFERROR(VLOOKUP($A566,[1]库存使用数据!$A:$C,3,0),0)+IFERROR(VLOOKUP($A566,[2]库存使用数据!$A:$C,3,0),0)+IFERROR(VLOOKUP($A566,[3]库存使用数据!$A:$C,3,0),0)+IFERROR(VLOOKUP($A566,[4]库存使用数据!$A:$C,3,0),0)+IFERROR(VLOOKUP($A566,[5]库存使用数据!$A:$C,3,0),0)</f>
        <v>0</v>
      </c>
      <c r="D566" s="1">
        <f ca="1">IFERROR(VLOOKUP($A566,[1]库存使用数据!$A:$D,4,0),0)+IFERROR(VLOOKUP($A566,[2]库存使用数据!$A:$D,4,0),0)+公式!$B$1*IFERROR(VLOOKUP($A566,[3]库存使用数据!$A:$D,4,0),0)+IFERROR(VLOOKUP($A566,[4]库存使用数据!$A:$D,4,0),0)+IFERROR(VLOOKUP($A566,[5]库存使用数据!$A:$D,4,0),0)</f>
        <v>0</v>
      </c>
      <c r="E566" s="1">
        <f ca="1">IFERROR(VLOOKUP($A566,[1]库存使用数据!$A:$E,5,0),0)+IFERROR(VLOOKUP($A566,[2]库存使用数据!$A:$E,5,0),0)+IFERROR(VLOOKUP($A566,[3]库存使用数据!$A:$E,5,0),0)+IFERROR(VLOOKUP($A566,[4]库存使用数据!$A:$E,5,0),0)+IFERROR(VLOOKUP($A566,[5]库存使用数据!$A:$E,5,0),0)</f>
        <v>147</v>
      </c>
      <c r="F566" s="1">
        <f ca="1">IFERROR(VLOOKUP($A566,[1]库存使用数据!$A:$F,6,0),0)+IFERROR(VLOOKUP($A566,[2]库存使用数据!$A:$F,6,0),0)+IFERROR(VLOOKUP($A566,[4]库存使用数据!$A:$F,6,0),0)+IFERROR(VLOOKUP($A566,[3]库存使用数据!$A:$F,6,0),0)+IFERROR(VLOOKUP($A566,[5]库存使用数据!$A:$F,6,0),0)</f>
        <v>0</v>
      </c>
      <c r="G566" s="1">
        <f ca="1">IFERROR(VLOOKUP($A566,[1]库存使用数据!$A:$G,7,0),0)+IFERROR(VLOOKUP($A566,[2]库存使用数据!$A:$G,7,0),0)+公式!$B$14*IFERROR(VLOOKUP($A566,[3]库存使用数据!$A:$G,7,0),0)+IFERROR(VLOOKUP($A566,[4]库存使用数据!$A:$G,7,0),0)+IFERROR(VLOOKUP($A566,[5]库存使用数据!$A:$G,7,0),0)</f>
        <v>0</v>
      </c>
      <c r="H566" s="1">
        <f ca="1">IFERROR(VLOOKUP($A566,[1]库存使用数据!$A:$H,8,0),0)+IFERROR(VLOOKUP($A566,[2]库存使用数据!$A:$H,8,0),0)+IFERROR(VLOOKUP($A566,[3]库存使用数据!$A:$H,8,0),0)+IFERROR(VLOOKUP($A566,[4]库存使用数据!$A:$H,8,0),0)+IFERROR(VLOOKUP($A566,[5]库存使用数据!$A:$H,8,0),0)</f>
        <v>94</v>
      </c>
      <c r="I566" s="1">
        <f ca="1">IFERROR(VLOOKUP($A566,[1]库存使用数据!$A:$I,9,0),0)+IFERROR(VLOOKUP($A566,[2]库存使用数据!$A:$I,9,0),0)+IFERROR(VLOOKUP($A566,[3]库存使用数据!$A:$I,9,0),0)+IFERROR(VLOOKUP($A566,[4]库存使用数据!$A:$I,9,0),0)+IFERROR(VLOOKUP($A566,[5]库存使用数据!$A:$I,9,0),0)</f>
        <v>1</v>
      </c>
      <c r="J566" s="1">
        <f ca="1">IFERROR(VLOOKUP($A566,[1]库存使用数据!$A:$J,10,0),0)+IFERROR(VLOOKUP($A566,[2]库存使用数据!$A:$J,10,0),0)+公式!$B$14*IFERROR(VLOOKUP($A566,[3]库存使用数据!$A:$J,10,0),0)+IFERROR(VLOOKUP($A566,[4]库存使用数据!$A:$J,10,0),0)+IFERROR(VLOOKUP($A566,[5]库存使用数据!$A:$J,10,0),0)</f>
        <v>0.19</v>
      </c>
      <c r="K566" s="1">
        <f ca="1">IFERROR(VLOOKUP($A566,[1]库存使用数据!$A:$K,11,0),0)+IFERROR(VLOOKUP($A566,[2]库存使用数据!$A:$K,11,0),0)+IFERROR(VLOOKUP($A566,[3]库存使用数据!$A:$K,11,0),0)+IFERROR(VLOOKUP($A566,[4]库存使用数据!$A:$K,11,0),0)+IFERROR(VLOOKUP($A566,[5]库存使用数据!$A:$K,11,0),0)</f>
        <v>32</v>
      </c>
      <c r="L566" s="1">
        <f ca="1">IFERROR(VLOOKUP($A566,[1]库存使用数据!$A:$L,12,0),0)+IFERROR(VLOOKUP($A566,[2]库存使用数据!$A:$L,12,0),0)+IFERROR(VLOOKUP($A566,[3]库存使用数据!$A:$L,12,0),0)+IFERROR(VLOOKUP($A566,[4]库存使用数据!$A:$L,12,0),0)+IFERROR(VLOOKUP($A566,[5]库存使用数据!$A:$L,12,0),0)</f>
        <v>1</v>
      </c>
      <c r="M566" s="1">
        <f ca="1">IFERROR(VLOOKUP($A566,[1]库存使用数据!$A:$M,13,0),0)+IFERROR(VLOOKUP($A566,[2]库存使用数据!$A:$M,13,0),0)+公式!$B$14*IFERROR(VLOOKUP($A566,[3]库存使用数据!$A:$M,13,0),0)+IFERROR(VLOOKUP($A566,[4]库存使用数据!$A:$M,13,0),0)+IFERROR(VLOOKUP($A566,[5]库存使用数据!$A:$M,13,0),0)</f>
        <v>0.2</v>
      </c>
    </row>
    <row r="567" spans="1:13">
      <c r="A567" s="6" t="s">
        <v>572</v>
      </c>
      <c r="B567" s="2">
        <f ca="1">IFERROR(VLOOKUP(A567,[1]库存使用数据!$A:$B,2,0),0)+IFERROR(VLOOKUP(A567,[2]库存使用数据!$A:$B,2,0),0)+IFERROR(VLOOKUP(,[3]库存使用数据!$A:$B,2,0),0)+IFERROR(VLOOKUP(A567,[4]库存使用数据!$A:$B,2,0),0)+IFERROR(VLOOKUP(A567,[5]库存使用数据!$A:$B,2,0),0)</f>
        <v>0</v>
      </c>
      <c r="C567" s="1">
        <f ca="1">IFERROR(VLOOKUP($A567,[1]库存使用数据!$A:$C,3,0),0)+IFERROR(VLOOKUP($A567,[2]库存使用数据!$A:$C,3,0),0)+IFERROR(VLOOKUP($A567,[3]库存使用数据!$A:$C,3,0),0)+IFERROR(VLOOKUP($A567,[4]库存使用数据!$A:$C,3,0),0)+IFERROR(VLOOKUP($A567,[5]库存使用数据!$A:$C,3,0),0)</f>
        <v>0</v>
      </c>
      <c r="D567" s="1">
        <f ca="1">IFERROR(VLOOKUP($A567,[1]库存使用数据!$A:$D,4,0),0)+IFERROR(VLOOKUP($A567,[2]库存使用数据!$A:$D,4,0),0)+公式!$B$1*IFERROR(VLOOKUP($A567,[3]库存使用数据!$A:$D,4,0),0)+IFERROR(VLOOKUP($A567,[4]库存使用数据!$A:$D,4,0),0)+IFERROR(VLOOKUP($A567,[5]库存使用数据!$A:$D,4,0),0)</f>
        <v>0</v>
      </c>
      <c r="E567" s="1">
        <f ca="1">IFERROR(VLOOKUP($A567,[1]库存使用数据!$A:$E,5,0),0)+IFERROR(VLOOKUP($A567,[2]库存使用数据!$A:$E,5,0),0)+IFERROR(VLOOKUP($A567,[3]库存使用数据!$A:$E,5,0),0)+IFERROR(VLOOKUP($A567,[4]库存使用数据!$A:$E,5,0),0)+IFERROR(VLOOKUP($A567,[5]库存使用数据!$A:$E,5,0),0)</f>
        <v>6845</v>
      </c>
      <c r="F567" s="1">
        <f ca="1">IFERROR(VLOOKUP($A567,[1]库存使用数据!$A:$F,6,0),0)+IFERROR(VLOOKUP($A567,[2]库存使用数据!$A:$F,6,0),0)+IFERROR(VLOOKUP($A567,[4]库存使用数据!$A:$F,6,0),0)+IFERROR(VLOOKUP($A567,[3]库存使用数据!$A:$F,6,0),0)+IFERROR(VLOOKUP($A567,[5]库存使用数据!$A:$F,6,0),0)</f>
        <v>16</v>
      </c>
      <c r="G567" s="1">
        <f ca="1">IFERROR(VLOOKUP($A567,[1]库存使用数据!$A:$G,7,0),0)+IFERROR(VLOOKUP($A567,[2]库存使用数据!$A:$G,7,0),0)+公式!$B$14*IFERROR(VLOOKUP($A567,[3]库存使用数据!$A:$G,7,0),0)+IFERROR(VLOOKUP($A567,[4]库存使用数据!$A:$G,7,0),0)+IFERROR(VLOOKUP($A567,[5]库存使用数据!$A:$G,7,0),0)</f>
        <v>2.56</v>
      </c>
      <c r="H567" s="1">
        <f ca="1">IFERROR(VLOOKUP($A567,[1]库存使用数据!$A:$H,8,0),0)+IFERROR(VLOOKUP($A567,[2]库存使用数据!$A:$H,8,0),0)+IFERROR(VLOOKUP($A567,[3]库存使用数据!$A:$H,8,0),0)+IFERROR(VLOOKUP($A567,[4]库存使用数据!$A:$H,8,0),0)+IFERROR(VLOOKUP($A567,[5]库存使用数据!$A:$H,8,0),0)</f>
        <v>32692</v>
      </c>
      <c r="I567" s="1">
        <f ca="1">IFERROR(VLOOKUP($A567,[1]库存使用数据!$A:$I,9,0),0)+IFERROR(VLOOKUP($A567,[2]库存使用数据!$A:$I,9,0),0)+IFERROR(VLOOKUP($A567,[3]库存使用数据!$A:$I,9,0),0)+IFERROR(VLOOKUP($A567,[4]库存使用数据!$A:$I,9,0),0)+IFERROR(VLOOKUP($A567,[5]库存使用数据!$A:$I,9,0),0)</f>
        <v>46</v>
      </c>
      <c r="J567" s="1">
        <f ca="1">IFERROR(VLOOKUP($A567,[1]库存使用数据!$A:$J,10,0),0)+IFERROR(VLOOKUP($A567,[2]库存使用数据!$A:$J,10,0),0)+公式!$B$14*IFERROR(VLOOKUP($A567,[3]库存使用数据!$A:$J,10,0),0)+IFERROR(VLOOKUP($A567,[4]库存使用数据!$A:$J,10,0),0)+IFERROR(VLOOKUP($A567,[5]库存使用数据!$A:$J,10,0),0)</f>
        <v>5.78</v>
      </c>
      <c r="K567" s="1">
        <f ca="1">IFERROR(VLOOKUP($A567,[1]库存使用数据!$A:$K,11,0),0)+IFERROR(VLOOKUP($A567,[2]库存使用数据!$A:$K,11,0),0)+IFERROR(VLOOKUP($A567,[3]库存使用数据!$A:$K,11,0),0)+IFERROR(VLOOKUP($A567,[4]库存使用数据!$A:$K,11,0),0)+IFERROR(VLOOKUP($A567,[5]库存使用数据!$A:$K,11,0),0)</f>
        <v>5768</v>
      </c>
      <c r="L567" s="1">
        <f ca="1">IFERROR(VLOOKUP($A567,[1]库存使用数据!$A:$L,12,0),0)+IFERROR(VLOOKUP($A567,[2]库存使用数据!$A:$L,12,0),0)+IFERROR(VLOOKUP($A567,[3]库存使用数据!$A:$L,12,0),0)+IFERROR(VLOOKUP($A567,[4]库存使用数据!$A:$L,12,0),0)+IFERROR(VLOOKUP($A567,[5]库存使用数据!$A:$L,12,0),0)</f>
        <v>13</v>
      </c>
      <c r="M567" s="1">
        <f ca="1">IFERROR(VLOOKUP($A567,[1]库存使用数据!$A:$M,13,0),0)+IFERROR(VLOOKUP($A567,[2]库存使用数据!$A:$M,13,0),0)+公式!$B$14*IFERROR(VLOOKUP($A567,[3]库存使用数据!$A:$M,13,0),0)+IFERROR(VLOOKUP($A567,[4]库存使用数据!$A:$M,13,0),0)+IFERROR(VLOOKUP($A567,[5]库存使用数据!$A:$M,13,0),0)</f>
        <v>2.09</v>
      </c>
    </row>
    <row r="568" spans="1:13">
      <c r="A568" s="6" t="s">
        <v>573</v>
      </c>
      <c r="B568" s="2">
        <f ca="1">IFERROR(VLOOKUP(A568,[1]库存使用数据!$A:$B,2,0),0)+IFERROR(VLOOKUP(A568,[2]库存使用数据!$A:$B,2,0),0)+IFERROR(VLOOKUP(,[3]库存使用数据!$A:$B,2,0),0)+IFERROR(VLOOKUP(A568,[4]库存使用数据!$A:$B,2,0),0)+IFERROR(VLOOKUP(A568,[5]库存使用数据!$A:$B,2,0),0)</f>
        <v>0</v>
      </c>
      <c r="C568" s="1">
        <f ca="1">IFERROR(VLOOKUP($A568,[1]库存使用数据!$A:$C,3,0),0)+IFERROR(VLOOKUP($A568,[2]库存使用数据!$A:$C,3,0),0)+IFERROR(VLOOKUP($A568,[3]库存使用数据!$A:$C,3,0),0)+IFERROR(VLOOKUP($A568,[4]库存使用数据!$A:$C,3,0),0)+IFERROR(VLOOKUP($A568,[5]库存使用数据!$A:$C,3,0),0)</f>
        <v>0</v>
      </c>
      <c r="D568" s="1">
        <f ca="1">IFERROR(VLOOKUP($A568,[1]库存使用数据!$A:$D,4,0),0)+IFERROR(VLOOKUP($A568,[2]库存使用数据!$A:$D,4,0),0)+公式!$B$1*IFERROR(VLOOKUP($A568,[3]库存使用数据!$A:$D,4,0),0)+IFERROR(VLOOKUP($A568,[4]库存使用数据!$A:$D,4,0),0)+IFERROR(VLOOKUP($A568,[5]库存使用数据!$A:$D,4,0),0)</f>
        <v>0</v>
      </c>
      <c r="E568" s="1">
        <f ca="1">IFERROR(VLOOKUP($A568,[1]库存使用数据!$A:$E,5,0),0)+IFERROR(VLOOKUP($A568,[2]库存使用数据!$A:$E,5,0),0)+IFERROR(VLOOKUP($A568,[3]库存使用数据!$A:$E,5,0),0)+IFERROR(VLOOKUP($A568,[4]库存使用数据!$A:$E,5,0),0)+IFERROR(VLOOKUP($A568,[5]库存使用数据!$A:$E,5,0),0)</f>
        <v>293</v>
      </c>
      <c r="F568" s="1">
        <f ca="1">IFERROR(VLOOKUP($A568,[1]库存使用数据!$A:$F,6,0),0)+IFERROR(VLOOKUP($A568,[2]库存使用数据!$A:$F,6,0),0)+IFERROR(VLOOKUP($A568,[4]库存使用数据!$A:$F,6,0),0)+IFERROR(VLOOKUP($A568,[3]库存使用数据!$A:$F,6,0),0)+IFERROR(VLOOKUP($A568,[5]库存使用数据!$A:$F,6,0),0)</f>
        <v>0</v>
      </c>
      <c r="G568" s="1">
        <f ca="1">IFERROR(VLOOKUP($A568,[1]库存使用数据!$A:$G,7,0),0)+IFERROR(VLOOKUP($A568,[2]库存使用数据!$A:$G,7,0),0)+公式!$B$14*IFERROR(VLOOKUP($A568,[3]库存使用数据!$A:$G,7,0),0)+IFERROR(VLOOKUP($A568,[4]库存使用数据!$A:$G,7,0),0)+IFERROR(VLOOKUP($A568,[5]库存使用数据!$A:$G,7,0),0)</f>
        <v>0</v>
      </c>
      <c r="H568" s="1">
        <f ca="1">IFERROR(VLOOKUP($A568,[1]库存使用数据!$A:$H,8,0),0)+IFERROR(VLOOKUP($A568,[2]库存使用数据!$A:$H,8,0),0)+IFERROR(VLOOKUP($A568,[3]库存使用数据!$A:$H,8,0),0)+IFERROR(VLOOKUP($A568,[4]库存使用数据!$A:$H,8,0),0)+IFERROR(VLOOKUP($A568,[5]库存使用数据!$A:$H,8,0),0)</f>
        <v>84</v>
      </c>
      <c r="I568" s="1">
        <f ca="1">IFERROR(VLOOKUP($A568,[1]库存使用数据!$A:$I,9,0),0)+IFERROR(VLOOKUP($A568,[2]库存使用数据!$A:$I,9,0),0)+IFERROR(VLOOKUP($A568,[3]库存使用数据!$A:$I,9,0),0)+IFERROR(VLOOKUP($A568,[4]库存使用数据!$A:$I,9,0),0)+IFERROR(VLOOKUP($A568,[5]库存使用数据!$A:$I,9,0),0)</f>
        <v>0</v>
      </c>
      <c r="J568" s="1">
        <f ca="1">IFERROR(VLOOKUP($A568,[1]库存使用数据!$A:$J,10,0),0)+IFERROR(VLOOKUP($A568,[2]库存使用数据!$A:$J,10,0),0)+公式!$B$14*IFERROR(VLOOKUP($A568,[3]库存使用数据!$A:$J,10,0),0)+IFERROR(VLOOKUP($A568,[4]库存使用数据!$A:$J,10,0),0)+IFERROR(VLOOKUP($A568,[5]库存使用数据!$A:$J,10,0),0)</f>
        <v>0</v>
      </c>
      <c r="K568" s="1">
        <f ca="1">IFERROR(VLOOKUP($A568,[1]库存使用数据!$A:$K,11,0),0)+IFERROR(VLOOKUP($A568,[2]库存使用数据!$A:$K,11,0),0)+IFERROR(VLOOKUP($A568,[3]库存使用数据!$A:$K,11,0),0)+IFERROR(VLOOKUP($A568,[4]库存使用数据!$A:$K,11,0),0)+IFERROR(VLOOKUP($A568,[5]库存使用数据!$A:$K,11,0),0)</f>
        <v>26</v>
      </c>
      <c r="L568" s="1">
        <f ca="1">IFERROR(VLOOKUP($A568,[1]库存使用数据!$A:$L,12,0),0)+IFERROR(VLOOKUP($A568,[2]库存使用数据!$A:$L,12,0),0)+IFERROR(VLOOKUP($A568,[3]库存使用数据!$A:$L,12,0),0)+IFERROR(VLOOKUP($A568,[4]库存使用数据!$A:$L,12,0),0)+IFERROR(VLOOKUP($A568,[5]库存使用数据!$A:$L,12,0),0)</f>
        <v>0</v>
      </c>
      <c r="M568" s="1">
        <f ca="1">IFERROR(VLOOKUP($A568,[1]库存使用数据!$A:$M,13,0),0)+IFERROR(VLOOKUP($A568,[2]库存使用数据!$A:$M,13,0),0)+公式!$B$14*IFERROR(VLOOKUP($A568,[3]库存使用数据!$A:$M,13,0),0)+IFERROR(VLOOKUP($A568,[4]库存使用数据!$A:$M,13,0),0)+IFERROR(VLOOKUP($A568,[5]库存使用数据!$A:$M,13,0),0)</f>
        <v>0</v>
      </c>
    </row>
    <row r="569" spans="1:13">
      <c r="A569" s="6" t="s">
        <v>574</v>
      </c>
      <c r="B569" s="2">
        <f ca="1">IFERROR(VLOOKUP(A569,[1]库存使用数据!$A:$B,2,0),0)+IFERROR(VLOOKUP(A569,[2]库存使用数据!$A:$B,2,0),0)+IFERROR(VLOOKUP(,[3]库存使用数据!$A:$B,2,0),0)+IFERROR(VLOOKUP(A569,[4]库存使用数据!$A:$B,2,0),0)+IFERROR(VLOOKUP(A569,[5]库存使用数据!$A:$B,2,0),0)</f>
        <v>0</v>
      </c>
      <c r="C569" s="1">
        <f ca="1">IFERROR(VLOOKUP($A569,[1]库存使用数据!$A:$C,3,0),0)+IFERROR(VLOOKUP($A569,[2]库存使用数据!$A:$C,3,0),0)+IFERROR(VLOOKUP($A569,[3]库存使用数据!$A:$C,3,0),0)+IFERROR(VLOOKUP($A569,[4]库存使用数据!$A:$C,3,0),0)+IFERROR(VLOOKUP($A569,[5]库存使用数据!$A:$C,3,0),0)</f>
        <v>0</v>
      </c>
      <c r="D569" s="1">
        <f ca="1">IFERROR(VLOOKUP($A569,[1]库存使用数据!$A:$D,4,0),0)+IFERROR(VLOOKUP($A569,[2]库存使用数据!$A:$D,4,0),0)+公式!$B$1*IFERROR(VLOOKUP($A569,[3]库存使用数据!$A:$D,4,0),0)+IFERROR(VLOOKUP($A569,[4]库存使用数据!$A:$D,4,0),0)+IFERROR(VLOOKUP($A569,[5]库存使用数据!$A:$D,4,0),0)</f>
        <v>0</v>
      </c>
      <c r="E569" s="1">
        <f ca="1">IFERROR(VLOOKUP($A569,[1]库存使用数据!$A:$E,5,0),0)+IFERROR(VLOOKUP($A569,[2]库存使用数据!$A:$E,5,0),0)+IFERROR(VLOOKUP($A569,[3]库存使用数据!$A:$E,5,0),0)+IFERROR(VLOOKUP($A569,[4]库存使用数据!$A:$E,5,0),0)+IFERROR(VLOOKUP($A569,[5]库存使用数据!$A:$E,5,0),0)</f>
        <v>519</v>
      </c>
      <c r="F569" s="1">
        <f ca="1">IFERROR(VLOOKUP($A569,[1]库存使用数据!$A:$F,6,0),0)+IFERROR(VLOOKUP($A569,[2]库存使用数据!$A:$F,6,0),0)+IFERROR(VLOOKUP($A569,[4]库存使用数据!$A:$F,6,0),0)+IFERROR(VLOOKUP($A569,[3]库存使用数据!$A:$F,6,0),0)+IFERROR(VLOOKUP($A569,[5]库存使用数据!$A:$F,6,0),0)</f>
        <v>2</v>
      </c>
      <c r="G569" s="1">
        <f ca="1">IFERROR(VLOOKUP($A569,[1]库存使用数据!$A:$G,7,0),0)+IFERROR(VLOOKUP($A569,[2]库存使用数据!$A:$G,7,0),0)+公式!$B$14*IFERROR(VLOOKUP($A569,[3]库存使用数据!$A:$G,7,0),0)+IFERROR(VLOOKUP($A569,[4]库存使用数据!$A:$G,7,0),0)+IFERROR(VLOOKUP($A569,[5]库存使用数据!$A:$G,7,0),0)</f>
        <v>0.28</v>
      </c>
      <c r="H569" s="1">
        <f ca="1">IFERROR(VLOOKUP($A569,[1]库存使用数据!$A:$H,8,0),0)+IFERROR(VLOOKUP($A569,[2]库存使用数据!$A:$H,8,0),0)+IFERROR(VLOOKUP($A569,[3]库存使用数据!$A:$H,8,0),0)+IFERROR(VLOOKUP($A569,[4]库存使用数据!$A:$H,8,0),0)+IFERROR(VLOOKUP($A569,[5]库存使用数据!$A:$H,8,0),0)</f>
        <v>11</v>
      </c>
      <c r="I569" s="1">
        <f ca="1">IFERROR(VLOOKUP($A569,[1]库存使用数据!$A:$I,9,0),0)+IFERROR(VLOOKUP($A569,[2]库存使用数据!$A:$I,9,0),0)+IFERROR(VLOOKUP($A569,[3]库存使用数据!$A:$I,9,0),0)+IFERROR(VLOOKUP($A569,[4]库存使用数据!$A:$I,9,0),0)+IFERROR(VLOOKUP($A569,[5]库存使用数据!$A:$I,9,0),0)</f>
        <v>0</v>
      </c>
      <c r="J569" s="1">
        <f ca="1">IFERROR(VLOOKUP($A569,[1]库存使用数据!$A:$J,10,0),0)+IFERROR(VLOOKUP($A569,[2]库存使用数据!$A:$J,10,0),0)+公式!$B$14*IFERROR(VLOOKUP($A569,[3]库存使用数据!$A:$J,10,0),0)+IFERROR(VLOOKUP($A569,[4]库存使用数据!$A:$J,10,0),0)+IFERROR(VLOOKUP($A569,[5]库存使用数据!$A:$J,10,0),0)</f>
        <v>0</v>
      </c>
      <c r="K569" s="1">
        <f ca="1">IFERROR(VLOOKUP($A569,[1]库存使用数据!$A:$K,11,0),0)+IFERROR(VLOOKUP($A569,[2]库存使用数据!$A:$K,11,0),0)+IFERROR(VLOOKUP($A569,[3]库存使用数据!$A:$K,11,0),0)+IFERROR(VLOOKUP($A569,[4]库存使用数据!$A:$K,11,0),0)+IFERROR(VLOOKUP($A569,[5]库存使用数据!$A:$K,11,0),0)</f>
        <v>9</v>
      </c>
      <c r="L569" s="1">
        <f ca="1">IFERROR(VLOOKUP($A569,[1]库存使用数据!$A:$L,12,0),0)+IFERROR(VLOOKUP($A569,[2]库存使用数据!$A:$L,12,0),0)+IFERROR(VLOOKUP($A569,[3]库存使用数据!$A:$L,12,0),0)+IFERROR(VLOOKUP($A569,[4]库存使用数据!$A:$L,12,0),0)+IFERROR(VLOOKUP($A569,[5]库存使用数据!$A:$L,12,0),0)</f>
        <v>0</v>
      </c>
      <c r="M569" s="1">
        <f ca="1">IFERROR(VLOOKUP($A569,[1]库存使用数据!$A:$M,13,0),0)+IFERROR(VLOOKUP($A569,[2]库存使用数据!$A:$M,13,0),0)+公式!$B$14*IFERROR(VLOOKUP($A569,[3]库存使用数据!$A:$M,13,0),0)+IFERROR(VLOOKUP($A569,[4]库存使用数据!$A:$M,13,0),0)+IFERROR(VLOOKUP($A569,[5]库存使用数据!$A:$M,13,0),0)</f>
        <v>0</v>
      </c>
    </row>
    <row r="570" spans="1:13">
      <c r="A570" s="6" t="s">
        <v>575</v>
      </c>
      <c r="B570" s="2">
        <f ca="1">IFERROR(VLOOKUP(A570,[1]库存使用数据!$A:$B,2,0),0)+IFERROR(VLOOKUP(A570,[2]库存使用数据!$A:$B,2,0),0)+IFERROR(VLOOKUP(,[3]库存使用数据!$A:$B,2,0),0)+IFERROR(VLOOKUP(A570,[4]库存使用数据!$A:$B,2,0),0)+IFERROR(VLOOKUP(A570,[5]库存使用数据!$A:$B,2,0),0)</f>
        <v>0</v>
      </c>
      <c r="C570" s="1">
        <f ca="1">IFERROR(VLOOKUP($A570,[1]库存使用数据!$A:$C,3,0),0)+IFERROR(VLOOKUP($A570,[2]库存使用数据!$A:$C,3,0),0)+IFERROR(VLOOKUP($A570,[3]库存使用数据!$A:$C,3,0),0)+IFERROR(VLOOKUP($A570,[4]库存使用数据!$A:$C,3,0),0)+IFERROR(VLOOKUP($A570,[5]库存使用数据!$A:$C,3,0),0)</f>
        <v>0</v>
      </c>
      <c r="D570" s="1">
        <f ca="1">IFERROR(VLOOKUP($A570,[1]库存使用数据!$A:$D,4,0),0)+IFERROR(VLOOKUP($A570,[2]库存使用数据!$A:$D,4,0),0)+公式!$B$1*IFERROR(VLOOKUP($A570,[3]库存使用数据!$A:$D,4,0),0)+IFERROR(VLOOKUP($A570,[4]库存使用数据!$A:$D,4,0),0)+IFERROR(VLOOKUP($A570,[5]库存使用数据!$A:$D,4,0),0)</f>
        <v>0</v>
      </c>
      <c r="E570" s="1">
        <f ca="1">IFERROR(VLOOKUP($A570,[1]库存使用数据!$A:$E,5,0),0)+IFERROR(VLOOKUP($A570,[2]库存使用数据!$A:$E,5,0),0)+IFERROR(VLOOKUP($A570,[3]库存使用数据!$A:$E,5,0),0)+IFERROR(VLOOKUP($A570,[4]库存使用数据!$A:$E,5,0),0)+IFERROR(VLOOKUP($A570,[5]库存使用数据!$A:$E,5,0),0)</f>
        <v>2426</v>
      </c>
      <c r="F570" s="1">
        <f ca="1">IFERROR(VLOOKUP($A570,[1]库存使用数据!$A:$F,6,0),0)+IFERROR(VLOOKUP($A570,[2]库存使用数据!$A:$F,6,0),0)+IFERROR(VLOOKUP($A570,[4]库存使用数据!$A:$F,6,0),0)+IFERROR(VLOOKUP($A570,[3]库存使用数据!$A:$F,6,0),0)+IFERROR(VLOOKUP($A570,[5]库存使用数据!$A:$F,6,0),0)</f>
        <v>0</v>
      </c>
      <c r="G570" s="1">
        <f ca="1">IFERROR(VLOOKUP($A570,[1]库存使用数据!$A:$G,7,0),0)+IFERROR(VLOOKUP($A570,[2]库存使用数据!$A:$G,7,0),0)+公式!$B$14*IFERROR(VLOOKUP($A570,[3]库存使用数据!$A:$G,7,0),0)+IFERROR(VLOOKUP($A570,[4]库存使用数据!$A:$G,7,0),0)+IFERROR(VLOOKUP($A570,[5]库存使用数据!$A:$G,7,0),0)</f>
        <v>0</v>
      </c>
      <c r="H570" s="1">
        <f ca="1">IFERROR(VLOOKUP($A570,[1]库存使用数据!$A:$H,8,0),0)+IFERROR(VLOOKUP($A570,[2]库存使用数据!$A:$H,8,0),0)+IFERROR(VLOOKUP($A570,[3]库存使用数据!$A:$H,8,0),0)+IFERROR(VLOOKUP($A570,[4]库存使用数据!$A:$H,8,0),0)+IFERROR(VLOOKUP($A570,[5]库存使用数据!$A:$H,8,0),0)</f>
        <v>102</v>
      </c>
      <c r="I570" s="1">
        <f ca="1">IFERROR(VLOOKUP($A570,[1]库存使用数据!$A:$I,9,0),0)+IFERROR(VLOOKUP($A570,[2]库存使用数据!$A:$I,9,0),0)+IFERROR(VLOOKUP($A570,[3]库存使用数据!$A:$I,9,0),0)+IFERROR(VLOOKUP($A570,[4]库存使用数据!$A:$I,9,0),0)+IFERROR(VLOOKUP($A570,[5]库存使用数据!$A:$I,9,0),0)</f>
        <v>0</v>
      </c>
      <c r="J570" s="1">
        <f ca="1">IFERROR(VLOOKUP($A570,[1]库存使用数据!$A:$J,10,0),0)+IFERROR(VLOOKUP($A570,[2]库存使用数据!$A:$J,10,0),0)+公式!$B$14*IFERROR(VLOOKUP($A570,[3]库存使用数据!$A:$J,10,0),0)+IFERROR(VLOOKUP($A570,[4]库存使用数据!$A:$J,10,0),0)+IFERROR(VLOOKUP($A570,[5]库存使用数据!$A:$J,10,0),0)</f>
        <v>0</v>
      </c>
      <c r="K570" s="1">
        <f ca="1">IFERROR(VLOOKUP($A570,[1]库存使用数据!$A:$K,11,0),0)+IFERROR(VLOOKUP($A570,[2]库存使用数据!$A:$K,11,0),0)+IFERROR(VLOOKUP($A570,[3]库存使用数据!$A:$K,11,0),0)+IFERROR(VLOOKUP($A570,[4]库存使用数据!$A:$K,11,0),0)+IFERROR(VLOOKUP($A570,[5]库存使用数据!$A:$K,11,0),0)</f>
        <v>13</v>
      </c>
      <c r="L570" s="1">
        <f ca="1">IFERROR(VLOOKUP($A570,[1]库存使用数据!$A:$L,12,0),0)+IFERROR(VLOOKUP($A570,[2]库存使用数据!$A:$L,12,0),0)+IFERROR(VLOOKUP($A570,[3]库存使用数据!$A:$L,12,0),0)+IFERROR(VLOOKUP($A570,[4]库存使用数据!$A:$L,12,0),0)+IFERROR(VLOOKUP($A570,[5]库存使用数据!$A:$L,12,0),0)</f>
        <v>0</v>
      </c>
      <c r="M570" s="1">
        <f ca="1">IFERROR(VLOOKUP($A570,[1]库存使用数据!$A:$M,13,0),0)+IFERROR(VLOOKUP($A570,[2]库存使用数据!$A:$M,13,0),0)+公式!$B$14*IFERROR(VLOOKUP($A570,[3]库存使用数据!$A:$M,13,0),0)+IFERROR(VLOOKUP($A570,[4]库存使用数据!$A:$M,13,0),0)+IFERROR(VLOOKUP($A570,[5]库存使用数据!$A:$M,13,0),0)</f>
        <v>0</v>
      </c>
    </row>
    <row r="571" spans="1:13">
      <c r="A571" s="6" t="s">
        <v>576</v>
      </c>
      <c r="B571" s="2">
        <f ca="1">IFERROR(VLOOKUP(A571,[1]库存使用数据!$A:$B,2,0),0)+IFERROR(VLOOKUP(A571,[2]库存使用数据!$A:$B,2,0),0)+IFERROR(VLOOKUP(,[3]库存使用数据!$A:$B,2,0),0)+IFERROR(VLOOKUP(A571,[4]库存使用数据!$A:$B,2,0),0)+IFERROR(VLOOKUP(A571,[5]库存使用数据!$A:$B,2,0),0)</f>
        <v>316</v>
      </c>
      <c r="C571" s="1">
        <f ca="1">IFERROR(VLOOKUP($A571,[1]库存使用数据!$A:$C,3,0),0)+IFERROR(VLOOKUP($A571,[2]库存使用数据!$A:$C,3,0),0)+IFERROR(VLOOKUP($A571,[3]库存使用数据!$A:$C,3,0),0)+IFERROR(VLOOKUP($A571,[4]库存使用数据!$A:$C,3,0),0)+IFERROR(VLOOKUP($A571,[5]库存使用数据!$A:$C,3,0),0)</f>
        <v>0</v>
      </c>
      <c r="D571" s="1">
        <f ca="1">IFERROR(VLOOKUP($A571,[1]库存使用数据!$A:$D,4,0),0)+IFERROR(VLOOKUP($A571,[2]库存使用数据!$A:$D,4,0),0)+公式!$B$1*IFERROR(VLOOKUP($A571,[3]库存使用数据!$A:$D,4,0),0)+IFERROR(VLOOKUP($A571,[4]库存使用数据!$A:$D,4,0),0)+IFERROR(VLOOKUP($A571,[5]库存使用数据!$A:$D,4,0),0)</f>
        <v>0</v>
      </c>
      <c r="E571" s="1">
        <f ca="1">IFERROR(VLOOKUP($A571,[1]库存使用数据!$A:$E,5,0),0)+IFERROR(VLOOKUP($A571,[2]库存使用数据!$A:$E,5,0),0)+IFERROR(VLOOKUP($A571,[3]库存使用数据!$A:$E,5,0),0)+IFERROR(VLOOKUP($A571,[4]库存使用数据!$A:$E,5,0),0)+IFERROR(VLOOKUP($A571,[5]库存使用数据!$A:$E,5,0),0)</f>
        <v>571</v>
      </c>
      <c r="F571" s="1">
        <f ca="1">IFERROR(VLOOKUP($A571,[1]库存使用数据!$A:$F,6,0),0)+IFERROR(VLOOKUP($A571,[2]库存使用数据!$A:$F,6,0),0)+IFERROR(VLOOKUP($A571,[4]库存使用数据!$A:$F,6,0),0)+IFERROR(VLOOKUP($A571,[3]库存使用数据!$A:$F,6,0),0)+IFERROR(VLOOKUP($A571,[5]库存使用数据!$A:$F,6,0),0)</f>
        <v>1</v>
      </c>
      <c r="G571" s="1">
        <f ca="1">IFERROR(VLOOKUP($A571,[1]库存使用数据!$A:$G,7,0),0)+IFERROR(VLOOKUP($A571,[2]库存使用数据!$A:$G,7,0),0)+公式!$B$14*IFERROR(VLOOKUP($A571,[3]库存使用数据!$A:$G,7,0),0)+IFERROR(VLOOKUP($A571,[4]库存使用数据!$A:$G,7,0),0)+IFERROR(VLOOKUP($A571,[5]库存使用数据!$A:$G,7,0),0)</f>
        <v>0.02</v>
      </c>
      <c r="H571" s="1">
        <f ca="1">IFERROR(VLOOKUP($A571,[1]库存使用数据!$A:$H,8,0),0)+IFERROR(VLOOKUP($A571,[2]库存使用数据!$A:$H,8,0),0)+IFERROR(VLOOKUP($A571,[3]库存使用数据!$A:$H,8,0),0)+IFERROR(VLOOKUP($A571,[4]库存使用数据!$A:$H,8,0),0)+IFERROR(VLOOKUP($A571,[5]库存使用数据!$A:$H,8,0),0)</f>
        <v>314</v>
      </c>
      <c r="I571" s="1">
        <f ca="1">IFERROR(VLOOKUP($A571,[1]库存使用数据!$A:$I,9,0),0)+IFERROR(VLOOKUP($A571,[2]库存使用数据!$A:$I,9,0),0)+IFERROR(VLOOKUP($A571,[3]库存使用数据!$A:$I,9,0),0)+IFERROR(VLOOKUP($A571,[4]库存使用数据!$A:$I,9,0),0)+IFERROR(VLOOKUP($A571,[5]库存使用数据!$A:$I,9,0),0)</f>
        <v>1</v>
      </c>
      <c r="J571" s="1">
        <f ca="1">IFERROR(VLOOKUP($A571,[1]库存使用数据!$A:$J,10,0),0)+IFERROR(VLOOKUP($A571,[2]库存使用数据!$A:$J,10,0),0)+公式!$B$14*IFERROR(VLOOKUP($A571,[3]库存使用数据!$A:$J,10,0),0)+IFERROR(VLOOKUP($A571,[4]库存使用数据!$A:$J,10,0),0)+IFERROR(VLOOKUP($A571,[5]库存使用数据!$A:$J,10,0),0)</f>
        <v>0.09</v>
      </c>
      <c r="K571" s="1">
        <f ca="1">IFERROR(VLOOKUP($A571,[1]库存使用数据!$A:$K,11,0),0)+IFERROR(VLOOKUP($A571,[2]库存使用数据!$A:$K,11,0),0)+IFERROR(VLOOKUP($A571,[3]库存使用数据!$A:$K,11,0),0)+IFERROR(VLOOKUP($A571,[4]库存使用数据!$A:$K,11,0),0)+IFERROR(VLOOKUP($A571,[5]库存使用数据!$A:$K,11,0),0)</f>
        <v>344</v>
      </c>
      <c r="L571" s="1">
        <f ca="1">IFERROR(VLOOKUP($A571,[1]库存使用数据!$A:$L,12,0),0)+IFERROR(VLOOKUP($A571,[2]库存使用数据!$A:$L,12,0),0)+IFERROR(VLOOKUP($A571,[3]库存使用数据!$A:$L,12,0),0)+IFERROR(VLOOKUP($A571,[4]库存使用数据!$A:$L,12,0),0)+IFERROR(VLOOKUP($A571,[5]库存使用数据!$A:$L,12,0),0)</f>
        <v>0</v>
      </c>
      <c r="M571" s="1">
        <f ca="1">IFERROR(VLOOKUP($A571,[1]库存使用数据!$A:$M,13,0),0)+IFERROR(VLOOKUP($A571,[2]库存使用数据!$A:$M,13,0),0)+公式!$B$14*IFERROR(VLOOKUP($A571,[3]库存使用数据!$A:$M,13,0),0)+IFERROR(VLOOKUP($A571,[4]库存使用数据!$A:$M,13,0),0)+IFERROR(VLOOKUP($A571,[5]库存使用数据!$A:$M,13,0),0)</f>
        <v>0</v>
      </c>
    </row>
    <row r="572" spans="1:13">
      <c r="A572" s="6" t="s">
        <v>577</v>
      </c>
      <c r="B572" s="2">
        <f ca="1">IFERROR(VLOOKUP(A572,[1]库存使用数据!$A:$B,2,0),0)+IFERROR(VLOOKUP(A572,[2]库存使用数据!$A:$B,2,0),0)+IFERROR(VLOOKUP(,[3]库存使用数据!$A:$B,2,0),0)+IFERROR(VLOOKUP(A572,[4]库存使用数据!$A:$B,2,0),0)+IFERROR(VLOOKUP(A572,[5]库存使用数据!$A:$B,2,0),0)</f>
        <v>0</v>
      </c>
      <c r="C572" s="1">
        <f ca="1">IFERROR(VLOOKUP($A572,[1]库存使用数据!$A:$C,3,0),0)+IFERROR(VLOOKUP($A572,[2]库存使用数据!$A:$C,3,0),0)+IFERROR(VLOOKUP($A572,[3]库存使用数据!$A:$C,3,0),0)+IFERROR(VLOOKUP($A572,[4]库存使用数据!$A:$C,3,0),0)+IFERROR(VLOOKUP($A572,[5]库存使用数据!$A:$C,3,0),0)</f>
        <v>0</v>
      </c>
      <c r="D572" s="1">
        <f ca="1">IFERROR(VLOOKUP($A572,[1]库存使用数据!$A:$D,4,0),0)+IFERROR(VLOOKUP($A572,[2]库存使用数据!$A:$D,4,0),0)+公式!$B$1*IFERROR(VLOOKUP($A572,[3]库存使用数据!$A:$D,4,0),0)+IFERROR(VLOOKUP($A572,[4]库存使用数据!$A:$D,4,0),0)+IFERROR(VLOOKUP($A572,[5]库存使用数据!$A:$D,4,0),0)</f>
        <v>0</v>
      </c>
      <c r="E572" s="1">
        <f ca="1">IFERROR(VLOOKUP($A572,[1]库存使用数据!$A:$E,5,0),0)+IFERROR(VLOOKUP($A572,[2]库存使用数据!$A:$E,5,0),0)+IFERROR(VLOOKUP($A572,[3]库存使用数据!$A:$E,5,0),0)+IFERROR(VLOOKUP($A572,[4]库存使用数据!$A:$E,5,0),0)+IFERROR(VLOOKUP($A572,[5]库存使用数据!$A:$E,5,0),0)</f>
        <v>2</v>
      </c>
      <c r="F572" s="1">
        <f ca="1">IFERROR(VLOOKUP($A572,[1]库存使用数据!$A:$F,6,0),0)+IFERROR(VLOOKUP($A572,[2]库存使用数据!$A:$F,6,0),0)+IFERROR(VLOOKUP($A572,[4]库存使用数据!$A:$F,6,0),0)+IFERROR(VLOOKUP($A572,[3]库存使用数据!$A:$F,6,0),0)+IFERROR(VLOOKUP($A572,[5]库存使用数据!$A:$F,6,0),0)</f>
        <v>0</v>
      </c>
      <c r="G572" s="1">
        <f ca="1">IFERROR(VLOOKUP($A572,[1]库存使用数据!$A:$G,7,0),0)+IFERROR(VLOOKUP($A572,[2]库存使用数据!$A:$G,7,0),0)+公式!$B$14*IFERROR(VLOOKUP($A572,[3]库存使用数据!$A:$G,7,0),0)+IFERROR(VLOOKUP($A572,[4]库存使用数据!$A:$G,7,0),0)+IFERROR(VLOOKUP($A572,[5]库存使用数据!$A:$G,7,0),0)</f>
        <v>0</v>
      </c>
      <c r="H572" s="1">
        <f ca="1">IFERROR(VLOOKUP($A572,[1]库存使用数据!$A:$H,8,0),0)+IFERROR(VLOOKUP($A572,[2]库存使用数据!$A:$H,8,0),0)+IFERROR(VLOOKUP($A572,[3]库存使用数据!$A:$H,8,0),0)+IFERROR(VLOOKUP($A572,[4]库存使用数据!$A:$H,8,0),0)+IFERROR(VLOOKUP($A572,[5]库存使用数据!$A:$H,8,0),0)</f>
        <v>1</v>
      </c>
      <c r="I572" s="1">
        <f ca="1">IFERROR(VLOOKUP($A572,[1]库存使用数据!$A:$I,9,0),0)+IFERROR(VLOOKUP($A572,[2]库存使用数据!$A:$I,9,0),0)+IFERROR(VLOOKUP($A572,[3]库存使用数据!$A:$I,9,0),0)+IFERROR(VLOOKUP($A572,[4]库存使用数据!$A:$I,9,0),0)+IFERROR(VLOOKUP($A572,[5]库存使用数据!$A:$I,9,0),0)</f>
        <v>0</v>
      </c>
      <c r="J572" s="1">
        <f ca="1">IFERROR(VLOOKUP($A572,[1]库存使用数据!$A:$J,10,0),0)+IFERROR(VLOOKUP($A572,[2]库存使用数据!$A:$J,10,0),0)+公式!$B$14*IFERROR(VLOOKUP($A572,[3]库存使用数据!$A:$J,10,0),0)+IFERROR(VLOOKUP($A572,[4]库存使用数据!$A:$J,10,0),0)+IFERROR(VLOOKUP($A572,[5]库存使用数据!$A:$J,10,0),0)</f>
        <v>0</v>
      </c>
      <c r="K572" s="1">
        <f ca="1">IFERROR(VLOOKUP($A572,[1]库存使用数据!$A:$K,11,0),0)+IFERROR(VLOOKUP($A572,[2]库存使用数据!$A:$K,11,0),0)+IFERROR(VLOOKUP($A572,[3]库存使用数据!$A:$K,11,0),0)+IFERROR(VLOOKUP($A572,[4]库存使用数据!$A:$K,11,0),0)+IFERROR(VLOOKUP($A572,[5]库存使用数据!$A:$K,11,0),0)</f>
        <v>1</v>
      </c>
      <c r="L572" s="1">
        <f ca="1">IFERROR(VLOOKUP($A572,[1]库存使用数据!$A:$L,12,0),0)+IFERROR(VLOOKUP($A572,[2]库存使用数据!$A:$L,12,0),0)+IFERROR(VLOOKUP($A572,[3]库存使用数据!$A:$L,12,0),0)+IFERROR(VLOOKUP($A572,[4]库存使用数据!$A:$L,12,0),0)+IFERROR(VLOOKUP($A572,[5]库存使用数据!$A:$L,12,0),0)</f>
        <v>0</v>
      </c>
      <c r="M572" s="1">
        <f ca="1">IFERROR(VLOOKUP($A572,[1]库存使用数据!$A:$M,13,0),0)+IFERROR(VLOOKUP($A572,[2]库存使用数据!$A:$M,13,0),0)+公式!$B$14*IFERROR(VLOOKUP($A572,[3]库存使用数据!$A:$M,13,0),0)+IFERROR(VLOOKUP($A572,[4]库存使用数据!$A:$M,13,0),0)+IFERROR(VLOOKUP($A572,[5]库存使用数据!$A:$M,13,0),0)</f>
        <v>0</v>
      </c>
    </row>
    <row r="573" spans="1:13">
      <c r="A573" s="6" t="s">
        <v>578</v>
      </c>
      <c r="B573" s="2">
        <f ca="1">IFERROR(VLOOKUP(A573,[1]库存使用数据!$A:$B,2,0),0)+IFERROR(VLOOKUP(A573,[2]库存使用数据!$A:$B,2,0),0)+IFERROR(VLOOKUP(,[3]库存使用数据!$A:$B,2,0),0)+IFERROR(VLOOKUP(A573,[4]库存使用数据!$A:$B,2,0),0)+IFERROR(VLOOKUP(A573,[5]库存使用数据!$A:$B,2,0),0)</f>
        <v>27</v>
      </c>
      <c r="C573" s="1">
        <f ca="1">IFERROR(VLOOKUP($A573,[1]库存使用数据!$A:$C,3,0),0)+IFERROR(VLOOKUP($A573,[2]库存使用数据!$A:$C,3,0),0)+IFERROR(VLOOKUP($A573,[3]库存使用数据!$A:$C,3,0),0)+IFERROR(VLOOKUP($A573,[4]库存使用数据!$A:$C,3,0),0)+IFERROR(VLOOKUP($A573,[5]库存使用数据!$A:$C,3,0),0)</f>
        <v>0</v>
      </c>
      <c r="D573" s="1">
        <f ca="1">IFERROR(VLOOKUP($A573,[1]库存使用数据!$A:$D,4,0),0)+IFERROR(VLOOKUP($A573,[2]库存使用数据!$A:$D,4,0),0)+公式!$B$1*IFERROR(VLOOKUP($A573,[3]库存使用数据!$A:$D,4,0),0)+IFERROR(VLOOKUP($A573,[4]库存使用数据!$A:$D,4,0),0)+IFERROR(VLOOKUP($A573,[5]库存使用数据!$A:$D,4,0),0)</f>
        <v>0</v>
      </c>
      <c r="E573" s="1">
        <f ca="1">IFERROR(VLOOKUP($A573,[1]库存使用数据!$A:$E,5,0),0)+IFERROR(VLOOKUP($A573,[2]库存使用数据!$A:$E,5,0),0)+IFERROR(VLOOKUP($A573,[3]库存使用数据!$A:$E,5,0),0)+IFERROR(VLOOKUP($A573,[4]库存使用数据!$A:$E,5,0),0)+IFERROR(VLOOKUP($A573,[5]库存使用数据!$A:$E,5,0),0)</f>
        <v>361</v>
      </c>
      <c r="F573" s="1">
        <f ca="1">IFERROR(VLOOKUP($A573,[1]库存使用数据!$A:$F,6,0),0)+IFERROR(VLOOKUP($A573,[2]库存使用数据!$A:$F,6,0),0)+IFERROR(VLOOKUP($A573,[4]库存使用数据!$A:$F,6,0),0)+IFERROR(VLOOKUP($A573,[3]库存使用数据!$A:$F,6,0),0)+IFERROR(VLOOKUP($A573,[5]库存使用数据!$A:$F,6,0),0)</f>
        <v>1</v>
      </c>
      <c r="G573" s="1">
        <f ca="1">IFERROR(VLOOKUP($A573,[1]库存使用数据!$A:$G,7,0),0)+IFERROR(VLOOKUP($A573,[2]库存使用数据!$A:$G,7,0),0)+公式!$B$14*IFERROR(VLOOKUP($A573,[3]库存使用数据!$A:$G,7,0),0)+IFERROR(VLOOKUP($A573,[4]库存使用数据!$A:$G,7,0),0)+IFERROR(VLOOKUP($A573,[5]库存使用数据!$A:$G,7,0),0)</f>
        <v>0.02</v>
      </c>
      <c r="H573" s="1">
        <f ca="1">IFERROR(VLOOKUP($A573,[1]库存使用数据!$A:$H,8,0),0)+IFERROR(VLOOKUP($A573,[2]库存使用数据!$A:$H,8,0),0)+IFERROR(VLOOKUP($A573,[3]库存使用数据!$A:$H,8,0),0)+IFERROR(VLOOKUP($A573,[4]库存使用数据!$A:$H,8,0),0)+IFERROR(VLOOKUP($A573,[5]库存使用数据!$A:$H,8,0),0)</f>
        <v>201</v>
      </c>
      <c r="I573" s="1">
        <f ca="1">IFERROR(VLOOKUP($A573,[1]库存使用数据!$A:$I,9,0),0)+IFERROR(VLOOKUP($A573,[2]库存使用数据!$A:$I,9,0),0)+IFERROR(VLOOKUP($A573,[3]库存使用数据!$A:$I,9,0),0)+IFERROR(VLOOKUP($A573,[4]库存使用数据!$A:$I,9,0),0)+IFERROR(VLOOKUP($A573,[5]库存使用数据!$A:$I,9,0),0)</f>
        <v>0</v>
      </c>
      <c r="J573" s="1">
        <f ca="1">IFERROR(VLOOKUP($A573,[1]库存使用数据!$A:$J,10,0),0)+IFERROR(VLOOKUP($A573,[2]库存使用数据!$A:$J,10,0),0)+公式!$B$14*IFERROR(VLOOKUP($A573,[3]库存使用数据!$A:$J,10,0),0)+IFERROR(VLOOKUP($A573,[4]库存使用数据!$A:$J,10,0),0)+IFERROR(VLOOKUP($A573,[5]库存使用数据!$A:$J,10,0),0)</f>
        <v>0</v>
      </c>
      <c r="K573" s="1">
        <f ca="1">IFERROR(VLOOKUP($A573,[1]库存使用数据!$A:$K,11,0),0)+IFERROR(VLOOKUP($A573,[2]库存使用数据!$A:$K,11,0),0)+IFERROR(VLOOKUP($A573,[3]库存使用数据!$A:$K,11,0),0)+IFERROR(VLOOKUP($A573,[4]库存使用数据!$A:$K,11,0),0)+IFERROR(VLOOKUP($A573,[5]库存使用数据!$A:$K,11,0),0)</f>
        <v>155</v>
      </c>
      <c r="L573" s="1">
        <f ca="1">IFERROR(VLOOKUP($A573,[1]库存使用数据!$A:$L,12,0),0)+IFERROR(VLOOKUP($A573,[2]库存使用数据!$A:$L,12,0),0)+IFERROR(VLOOKUP($A573,[3]库存使用数据!$A:$L,12,0),0)+IFERROR(VLOOKUP($A573,[4]库存使用数据!$A:$L,12,0),0)+IFERROR(VLOOKUP($A573,[5]库存使用数据!$A:$L,12,0),0)</f>
        <v>0</v>
      </c>
      <c r="M573" s="1">
        <f ca="1">IFERROR(VLOOKUP($A573,[1]库存使用数据!$A:$M,13,0),0)+IFERROR(VLOOKUP($A573,[2]库存使用数据!$A:$M,13,0),0)+公式!$B$14*IFERROR(VLOOKUP($A573,[3]库存使用数据!$A:$M,13,0),0)+IFERROR(VLOOKUP($A573,[4]库存使用数据!$A:$M,13,0),0)+IFERROR(VLOOKUP($A573,[5]库存使用数据!$A:$M,13,0),0)</f>
        <v>0</v>
      </c>
    </row>
    <row r="574" spans="1:13">
      <c r="A574" s="6" t="s">
        <v>579</v>
      </c>
      <c r="B574" s="2">
        <f ca="1">IFERROR(VLOOKUP(A574,[1]库存使用数据!$A:$B,2,0),0)+IFERROR(VLOOKUP(A574,[2]库存使用数据!$A:$B,2,0),0)+IFERROR(VLOOKUP(,[3]库存使用数据!$A:$B,2,0),0)+IFERROR(VLOOKUP(A574,[4]库存使用数据!$A:$B,2,0),0)+IFERROR(VLOOKUP(A574,[5]库存使用数据!$A:$B,2,0),0)</f>
        <v>0</v>
      </c>
      <c r="C574" s="1">
        <f ca="1">IFERROR(VLOOKUP($A574,[1]库存使用数据!$A:$C,3,0),0)+IFERROR(VLOOKUP($A574,[2]库存使用数据!$A:$C,3,0),0)+IFERROR(VLOOKUP($A574,[3]库存使用数据!$A:$C,3,0),0)+IFERROR(VLOOKUP($A574,[4]库存使用数据!$A:$C,3,0),0)+IFERROR(VLOOKUP($A574,[5]库存使用数据!$A:$C,3,0),0)</f>
        <v>0</v>
      </c>
      <c r="D574" s="1">
        <f ca="1">IFERROR(VLOOKUP($A574,[1]库存使用数据!$A:$D,4,0),0)+IFERROR(VLOOKUP($A574,[2]库存使用数据!$A:$D,4,0),0)+公式!$B$1*IFERROR(VLOOKUP($A574,[3]库存使用数据!$A:$D,4,0),0)+IFERROR(VLOOKUP($A574,[4]库存使用数据!$A:$D,4,0),0)+IFERROR(VLOOKUP($A574,[5]库存使用数据!$A:$D,4,0),0)</f>
        <v>0</v>
      </c>
      <c r="E574" s="1">
        <f ca="1">IFERROR(VLOOKUP($A574,[1]库存使用数据!$A:$E,5,0),0)+IFERROR(VLOOKUP($A574,[2]库存使用数据!$A:$E,5,0),0)+IFERROR(VLOOKUP($A574,[3]库存使用数据!$A:$E,5,0),0)+IFERROR(VLOOKUP($A574,[4]库存使用数据!$A:$E,5,0),0)+IFERROR(VLOOKUP($A574,[5]库存使用数据!$A:$E,5,0),0)</f>
        <v>8</v>
      </c>
      <c r="F574" s="1">
        <f ca="1">IFERROR(VLOOKUP($A574,[1]库存使用数据!$A:$F,6,0),0)+IFERROR(VLOOKUP($A574,[2]库存使用数据!$A:$F,6,0),0)+IFERROR(VLOOKUP($A574,[4]库存使用数据!$A:$F,6,0),0)+IFERROR(VLOOKUP($A574,[3]库存使用数据!$A:$F,6,0),0)+IFERROR(VLOOKUP($A574,[5]库存使用数据!$A:$F,6,0),0)</f>
        <v>0</v>
      </c>
      <c r="G574" s="1">
        <f ca="1">IFERROR(VLOOKUP($A574,[1]库存使用数据!$A:$G,7,0),0)+IFERROR(VLOOKUP($A574,[2]库存使用数据!$A:$G,7,0),0)+公式!$B$14*IFERROR(VLOOKUP($A574,[3]库存使用数据!$A:$G,7,0),0)+IFERROR(VLOOKUP($A574,[4]库存使用数据!$A:$G,7,0),0)+IFERROR(VLOOKUP($A574,[5]库存使用数据!$A:$G,7,0),0)</f>
        <v>0</v>
      </c>
      <c r="H574" s="1">
        <f ca="1">IFERROR(VLOOKUP($A574,[1]库存使用数据!$A:$H,8,0),0)+IFERROR(VLOOKUP($A574,[2]库存使用数据!$A:$H,8,0),0)+IFERROR(VLOOKUP($A574,[3]库存使用数据!$A:$H,8,0),0)+IFERROR(VLOOKUP($A574,[4]库存使用数据!$A:$H,8,0),0)+IFERROR(VLOOKUP($A574,[5]库存使用数据!$A:$H,8,0),0)</f>
        <v>1</v>
      </c>
      <c r="I574" s="1">
        <f ca="1">IFERROR(VLOOKUP($A574,[1]库存使用数据!$A:$I,9,0),0)+IFERROR(VLOOKUP($A574,[2]库存使用数据!$A:$I,9,0),0)+IFERROR(VLOOKUP($A574,[3]库存使用数据!$A:$I,9,0),0)+IFERROR(VLOOKUP($A574,[4]库存使用数据!$A:$I,9,0),0)+IFERROR(VLOOKUP($A574,[5]库存使用数据!$A:$I,9,0),0)</f>
        <v>0</v>
      </c>
      <c r="J574" s="1">
        <f ca="1">IFERROR(VLOOKUP($A574,[1]库存使用数据!$A:$J,10,0),0)+IFERROR(VLOOKUP($A574,[2]库存使用数据!$A:$J,10,0),0)+公式!$B$14*IFERROR(VLOOKUP($A574,[3]库存使用数据!$A:$J,10,0),0)+IFERROR(VLOOKUP($A574,[4]库存使用数据!$A:$J,10,0),0)+IFERROR(VLOOKUP($A574,[5]库存使用数据!$A:$J,10,0),0)</f>
        <v>0</v>
      </c>
      <c r="K574" s="1">
        <f ca="1">IFERROR(VLOOKUP($A574,[1]库存使用数据!$A:$K,11,0),0)+IFERROR(VLOOKUP($A574,[2]库存使用数据!$A:$K,11,0),0)+IFERROR(VLOOKUP($A574,[3]库存使用数据!$A:$K,11,0),0)+IFERROR(VLOOKUP($A574,[4]库存使用数据!$A:$K,11,0),0)+IFERROR(VLOOKUP($A574,[5]库存使用数据!$A:$K,11,0),0)</f>
        <v>0</v>
      </c>
      <c r="L574" s="1">
        <f ca="1">IFERROR(VLOOKUP($A574,[1]库存使用数据!$A:$L,12,0),0)+IFERROR(VLOOKUP($A574,[2]库存使用数据!$A:$L,12,0),0)+IFERROR(VLOOKUP($A574,[3]库存使用数据!$A:$L,12,0),0)+IFERROR(VLOOKUP($A574,[4]库存使用数据!$A:$L,12,0),0)+IFERROR(VLOOKUP($A574,[5]库存使用数据!$A:$L,12,0),0)</f>
        <v>0</v>
      </c>
      <c r="M574" s="1">
        <f ca="1">IFERROR(VLOOKUP($A574,[1]库存使用数据!$A:$M,13,0),0)+IFERROR(VLOOKUP($A574,[2]库存使用数据!$A:$M,13,0),0)+公式!$B$14*IFERROR(VLOOKUP($A574,[3]库存使用数据!$A:$M,13,0),0)+IFERROR(VLOOKUP($A574,[4]库存使用数据!$A:$M,13,0),0)+IFERROR(VLOOKUP($A574,[5]库存使用数据!$A:$M,13,0),0)</f>
        <v>0</v>
      </c>
    </row>
    <row r="575" spans="1:13">
      <c r="A575" s="6" t="s">
        <v>580</v>
      </c>
      <c r="B575" s="2">
        <f ca="1">IFERROR(VLOOKUP(A575,[1]库存使用数据!$A:$B,2,0),0)+IFERROR(VLOOKUP(A575,[2]库存使用数据!$A:$B,2,0),0)+IFERROR(VLOOKUP(,[3]库存使用数据!$A:$B,2,0),0)+IFERROR(VLOOKUP(A575,[4]库存使用数据!$A:$B,2,0),0)+IFERROR(VLOOKUP(A575,[5]库存使用数据!$A:$B,2,0),0)</f>
        <v>0</v>
      </c>
      <c r="C575" s="1">
        <f ca="1">IFERROR(VLOOKUP($A575,[1]库存使用数据!$A:$C,3,0),0)+IFERROR(VLOOKUP($A575,[2]库存使用数据!$A:$C,3,0),0)+IFERROR(VLOOKUP($A575,[3]库存使用数据!$A:$C,3,0),0)+IFERROR(VLOOKUP($A575,[4]库存使用数据!$A:$C,3,0),0)+IFERROR(VLOOKUP($A575,[5]库存使用数据!$A:$C,3,0),0)</f>
        <v>0</v>
      </c>
      <c r="D575" s="1">
        <f ca="1">IFERROR(VLOOKUP($A575,[1]库存使用数据!$A:$D,4,0),0)+IFERROR(VLOOKUP($A575,[2]库存使用数据!$A:$D,4,0),0)+公式!$B$1*IFERROR(VLOOKUP($A575,[3]库存使用数据!$A:$D,4,0),0)+IFERROR(VLOOKUP($A575,[4]库存使用数据!$A:$D,4,0),0)+IFERROR(VLOOKUP($A575,[5]库存使用数据!$A:$D,4,0),0)</f>
        <v>0</v>
      </c>
      <c r="E575" s="1">
        <f ca="1">IFERROR(VLOOKUP($A575,[1]库存使用数据!$A:$E,5,0),0)+IFERROR(VLOOKUP($A575,[2]库存使用数据!$A:$E,5,0),0)+IFERROR(VLOOKUP($A575,[3]库存使用数据!$A:$E,5,0),0)+IFERROR(VLOOKUP($A575,[4]库存使用数据!$A:$E,5,0),0)+IFERROR(VLOOKUP($A575,[5]库存使用数据!$A:$E,5,0),0)</f>
        <v>0</v>
      </c>
      <c r="F575" s="1">
        <f ca="1">IFERROR(VLOOKUP($A575,[1]库存使用数据!$A:$F,6,0),0)+IFERROR(VLOOKUP($A575,[2]库存使用数据!$A:$F,6,0),0)+IFERROR(VLOOKUP($A575,[4]库存使用数据!$A:$F,6,0),0)+IFERROR(VLOOKUP($A575,[3]库存使用数据!$A:$F,6,0),0)+IFERROR(VLOOKUP($A575,[5]库存使用数据!$A:$F,6,0),0)</f>
        <v>0</v>
      </c>
      <c r="G575" s="1">
        <f ca="1">IFERROR(VLOOKUP($A575,[1]库存使用数据!$A:$G,7,0),0)+IFERROR(VLOOKUP($A575,[2]库存使用数据!$A:$G,7,0),0)+公式!$B$14*IFERROR(VLOOKUP($A575,[3]库存使用数据!$A:$G,7,0),0)+IFERROR(VLOOKUP($A575,[4]库存使用数据!$A:$G,7,0),0)+IFERROR(VLOOKUP($A575,[5]库存使用数据!$A:$G,7,0),0)</f>
        <v>0</v>
      </c>
      <c r="H575" s="1">
        <f ca="1">IFERROR(VLOOKUP($A575,[1]库存使用数据!$A:$H,8,0),0)+IFERROR(VLOOKUP($A575,[2]库存使用数据!$A:$H,8,0),0)+IFERROR(VLOOKUP($A575,[3]库存使用数据!$A:$H,8,0),0)+IFERROR(VLOOKUP($A575,[4]库存使用数据!$A:$H,8,0),0)+IFERROR(VLOOKUP($A575,[5]库存使用数据!$A:$H,8,0),0)</f>
        <v>0</v>
      </c>
      <c r="I575" s="1">
        <f ca="1">IFERROR(VLOOKUP($A575,[1]库存使用数据!$A:$I,9,0),0)+IFERROR(VLOOKUP($A575,[2]库存使用数据!$A:$I,9,0),0)+IFERROR(VLOOKUP($A575,[3]库存使用数据!$A:$I,9,0),0)+IFERROR(VLOOKUP($A575,[4]库存使用数据!$A:$I,9,0),0)+IFERROR(VLOOKUP($A575,[5]库存使用数据!$A:$I,9,0),0)</f>
        <v>0</v>
      </c>
      <c r="J575" s="1">
        <f ca="1">IFERROR(VLOOKUP($A575,[1]库存使用数据!$A:$J,10,0),0)+IFERROR(VLOOKUP($A575,[2]库存使用数据!$A:$J,10,0),0)+公式!$B$14*IFERROR(VLOOKUP($A575,[3]库存使用数据!$A:$J,10,0),0)+IFERROR(VLOOKUP($A575,[4]库存使用数据!$A:$J,10,0),0)+IFERROR(VLOOKUP($A575,[5]库存使用数据!$A:$J,10,0),0)</f>
        <v>0</v>
      </c>
      <c r="K575" s="1">
        <f ca="1">IFERROR(VLOOKUP($A575,[1]库存使用数据!$A:$K,11,0),0)+IFERROR(VLOOKUP($A575,[2]库存使用数据!$A:$K,11,0),0)+IFERROR(VLOOKUP($A575,[3]库存使用数据!$A:$K,11,0),0)+IFERROR(VLOOKUP($A575,[4]库存使用数据!$A:$K,11,0),0)+IFERROR(VLOOKUP($A575,[5]库存使用数据!$A:$K,11,0),0)</f>
        <v>0</v>
      </c>
      <c r="L575" s="1">
        <f ca="1">IFERROR(VLOOKUP($A575,[1]库存使用数据!$A:$L,12,0),0)+IFERROR(VLOOKUP($A575,[2]库存使用数据!$A:$L,12,0),0)+IFERROR(VLOOKUP($A575,[3]库存使用数据!$A:$L,12,0),0)+IFERROR(VLOOKUP($A575,[4]库存使用数据!$A:$L,12,0),0)+IFERROR(VLOOKUP($A575,[5]库存使用数据!$A:$L,12,0),0)</f>
        <v>0</v>
      </c>
      <c r="M575" s="1">
        <f ca="1">IFERROR(VLOOKUP($A575,[1]库存使用数据!$A:$M,13,0),0)+IFERROR(VLOOKUP($A575,[2]库存使用数据!$A:$M,13,0),0)+公式!$B$14*IFERROR(VLOOKUP($A575,[3]库存使用数据!$A:$M,13,0),0)+IFERROR(VLOOKUP($A575,[4]库存使用数据!$A:$M,13,0),0)+IFERROR(VLOOKUP($A575,[5]库存使用数据!$A:$M,13,0),0)</f>
        <v>0</v>
      </c>
    </row>
    <row r="576" spans="1:13">
      <c r="A576" s="6" t="s">
        <v>581</v>
      </c>
      <c r="B576" s="2">
        <f ca="1">IFERROR(VLOOKUP(A576,[1]库存使用数据!$A:$B,2,0),0)+IFERROR(VLOOKUP(A576,[2]库存使用数据!$A:$B,2,0),0)+IFERROR(VLOOKUP(,[3]库存使用数据!$A:$B,2,0),0)+IFERROR(VLOOKUP(A576,[4]库存使用数据!$A:$B,2,0),0)+IFERROR(VLOOKUP(A576,[5]库存使用数据!$A:$B,2,0),0)</f>
        <v>0</v>
      </c>
      <c r="C576" s="1">
        <f ca="1">IFERROR(VLOOKUP($A576,[1]库存使用数据!$A:$C,3,0),0)+IFERROR(VLOOKUP($A576,[2]库存使用数据!$A:$C,3,0),0)+IFERROR(VLOOKUP($A576,[3]库存使用数据!$A:$C,3,0),0)+IFERROR(VLOOKUP($A576,[4]库存使用数据!$A:$C,3,0),0)+IFERROR(VLOOKUP($A576,[5]库存使用数据!$A:$C,3,0),0)</f>
        <v>0</v>
      </c>
      <c r="D576" s="1">
        <f ca="1">IFERROR(VLOOKUP($A576,[1]库存使用数据!$A:$D,4,0),0)+IFERROR(VLOOKUP($A576,[2]库存使用数据!$A:$D,4,0),0)+公式!$B$1*IFERROR(VLOOKUP($A576,[3]库存使用数据!$A:$D,4,0),0)+IFERROR(VLOOKUP($A576,[4]库存使用数据!$A:$D,4,0),0)+IFERROR(VLOOKUP($A576,[5]库存使用数据!$A:$D,4,0),0)</f>
        <v>0</v>
      </c>
      <c r="E576" s="1">
        <f ca="1">IFERROR(VLOOKUP($A576,[1]库存使用数据!$A:$E,5,0),0)+IFERROR(VLOOKUP($A576,[2]库存使用数据!$A:$E,5,0),0)+IFERROR(VLOOKUP($A576,[3]库存使用数据!$A:$E,5,0),0)+IFERROR(VLOOKUP($A576,[4]库存使用数据!$A:$E,5,0),0)+IFERROR(VLOOKUP($A576,[5]库存使用数据!$A:$E,5,0),0)</f>
        <v>38</v>
      </c>
      <c r="F576" s="1">
        <f ca="1">IFERROR(VLOOKUP($A576,[1]库存使用数据!$A:$F,6,0),0)+IFERROR(VLOOKUP($A576,[2]库存使用数据!$A:$F,6,0),0)+IFERROR(VLOOKUP($A576,[4]库存使用数据!$A:$F,6,0),0)+IFERROR(VLOOKUP($A576,[3]库存使用数据!$A:$F,6,0),0)+IFERROR(VLOOKUP($A576,[5]库存使用数据!$A:$F,6,0),0)</f>
        <v>0</v>
      </c>
      <c r="G576" s="1">
        <f ca="1">IFERROR(VLOOKUP($A576,[1]库存使用数据!$A:$G,7,0),0)+IFERROR(VLOOKUP($A576,[2]库存使用数据!$A:$G,7,0),0)+公式!$B$14*IFERROR(VLOOKUP($A576,[3]库存使用数据!$A:$G,7,0),0)+IFERROR(VLOOKUP($A576,[4]库存使用数据!$A:$G,7,0),0)+IFERROR(VLOOKUP($A576,[5]库存使用数据!$A:$G,7,0),0)</f>
        <v>0</v>
      </c>
      <c r="H576" s="1">
        <f ca="1">IFERROR(VLOOKUP($A576,[1]库存使用数据!$A:$H,8,0),0)+IFERROR(VLOOKUP($A576,[2]库存使用数据!$A:$H,8,0),0)+IFERROR(VLOOKUP($A576,[3]库存使用数据!$A:$H,8,0),0)+IFERROR(VLOOKUP($A576,[4]库存使用数据!$A:$H,8,0),0)+IFERROR(VLOOKUP($A576,[5]库存使用数据!$A:$H,8,0),0)</f>
        <v>42</v>
      </c>
      <c r="I576" s="1">
        <f ca="1">IFERROR(VLOOKUP($A576,[1]库存使用数据!$A:$I,9,0),0)+IFERROR(VLOOKUP($A576,[2]库存使用数据!$A:$I,9,0),0)+IFERROR(VLOOKUP($A576,[3]库存使用数据!$A:$I,9,0),0)+IFERROR(VLOOKUP($A576,[4]库存使用数据!$A:$I,9,0),0)+IFERROR(VLOOKUP($A576,[5]库存使用数据!$A:$I,9,0),0)</f>
        <v>0</v>
      </c>
      <c r="J576" s="1">
        <f ca="1">IFERROR(VLOOKUP($A576,[1]库存使用数据!$A:$J,10,0),0)+IFERROR(VLOOKUP($A576,[2]库存使用数据!$A:$J,10,0),0)+公式!$B$14*IFERROR(VLOOKUP($A576,[3]库存使用数据!$A:$J,10,0),0)+IFERROR(VLOOKUP($A576,[4]库存使用数据!$A:$J,10,0),0)+IFERROR(VLOOKUP($A576,[5]库存使用数据!$A:$J,10,0),0)</f>
        <v>0</v>
      </c>
      <c r="K576" s="1">
        <f ca="1">IFERROR(VLOOKUP($A576,[1]库存使用数据!$A:$K,11,0),0)+IFERROR(VLOOKUP($A576,[2]库存使用数据!$A:$K,11,0),0)+IFERROR(VLOOKUP($A576,[3]库存使用数据!$A:$K,11,0),0)+IFERROR(VLOOKUP($A576,[4]库存使用数据!$A:$K,11,0),0)+IFERROR(VLOOKUP($A576,[5]库存使用数据!$A:$K,11,0),0)</f>
        <v>12</v>
      </c>
      <c r="L576" s="1">
        <f ca="1">IFERROR(VLOOKUP($A576,[1]库存使用数据!$A:$L,12,0),0)+IFERROR(VLOOKUP($A576,[2]库存使用数据!$A:$L,12,0),0)+IFERROR(VLOOKUP($A576,[3]库存使用数据!$A:$L,12,0),0)+IFERROR(VLOOKUP($A576,[4]库存使用数据!$A:$L,12,0),0)+IFERROR(VLOOKUP($A576,[5]库存使用数据!$A:$L,12,0),0)</f>
        <v>0</v>
      </c>
      <c r="M576" s="1">
        <f ca="1">IFERROR(VLOOKUP($A576,[1]库存使用数据!$A:$M,13,0),0)+IFERROR(VLOOKUP($A576,[2]库存使用数据!$A:$M,13,0),0)+公式!$B$14*IFERROR(VLOOKUP($A576,[3]库存使用数据!$A:$M,13,0),0)+IFERROR(VLOOKUP($A576,[4]库存使用数据!$A:$M,13,0),0)+IFERROR(VLOOKUP($A576,[5]库存使用数据!$A:$M,13,0),0)</f>
        <v>0</v>
      </c>
    </row>
    <row r="577" spans="1:13">
      <c r="A577" s="6" t="s">
        <v>582</v>
      </c>
      <c r="B577" s="2">
        <f ca="1">IFERROR(VLOOKUP(A577,[1]库存使用数据!$A:$B,2,0),0)+IFERROR(VLOOKUP(A577,[2]库存使用数据!$A:$B,2,0),0)+IFERROR(VLOOKUP(,[3]库存使用数据!$A:$B,2,0),0)+IFERROR(VLOOKUP(A577,[4]库存使用数据!$A:$B,2,0),0)+IFERROR(VLOOKUP(A577,[5]库存使用数据!$A:$B,2,0),0)</f>
        <v>0</v>
      </c>
      <c r="C577" s="1">
        <f ca="1">IFERROR(VLOOKUP($A577,[1]库存使用数据!$A:$C,3,0),0)+IFERROR(VLOOKUP($A577,[2]库存使用数据!$A:$C,3,0),0)+IFERROR(VLOOKUP($A577,[3]库存使用数据!$A:$C,3,0),0)+IFERROR(VLOOKUP($A577,[4]库存使用数据!$A:$C,3,0),0)+IFERROR(VLOOKUP($A577,[5]库存使用数据!$A:$C,3,0),0)</f>
        <v>0</v>
      </c>
      <c r="D577" s="1">
        <f ca="1">IFERROR(VLOOKUP($A577,[1]库存使用数据!$A:$D,4,0),0)+IFERROR(VLOOKUP($A577,[2]库存使用数据!$A:$D,4,0),0)+公式!$B$1*IFERROR(VLOOKUP($A577,[3]库存使用数据!$A:$D,4,0),0)+IFERROR(VLOOKUP($A577,[4]库存使用数据!$A:$D,4,0),0)+IFERROR(VLOOKUP($A577,[5]库存使用数据!$A:$D,4,0),0)</f>
        <v>0</v>
      </c>
      <c r="E577" s="1">
        <f ca="1">IFERROR(VLOOKUP($A577,[1]库存使用数据!$A:$E,5,0),0)+IFERROR(VLOOKUP($A577,[2]库存使用数据!$A:$E,5,0),0)+IFERROR(VLOOKUP($A577,[3]库存使用数据!$A:$E,5,0),0)+IFERROR(VLOOKUP($A577,[4]库存使用数据!$A:$E,5,0),0)+IFERROR(VLOOKUP($A577,[5]库存使用数据!$A:$E,5,0),0)</f>
        <v>0</v>
      </c>
      <c r="F577" s="1">
        <f ca="1">IFERROR(VLOOKUP($A577,[1]库存使用数据!$A:$F,6,0),0)+IFERROR(VLOOKUP($A577,[2]库存使用数据!$A:$F,6,0),0)+IFERROR(VLOOKUP($A577,[4]库存使用数据!$A:$F,6,0),0)+IFERROR(VLOOKUP($A577,[3]库存使用数据!$A:$F,6,0),0)+IFERROR(VLOOKUP($A577,[5]库存使用数据!$A:$F,6,0),0)</f>
        <v>0</v>
      </c>
      <c r="G577" s="1">
        <f ca="1">IFERROR(VLOOKUP($A577,[1]库存使用数据!$A:$G,7,0),0)+IFERROR(VLOOKUP($A577,[2]库存使用数据!$A:$G,7,0),0)+公式!$B$14*IFERROR(VLOOKUP($A577,[3]库存使用数据!$A:$G,7,0),0)+IFERROR(VLOOKUP($A577,[4]库存使用数据!$A:$G,7,0),0)+IFERROR(VLOOKUP($A577,[5]库存使用数据!$A:$G,7,0),0)</f>
        <v>0</v>
      </c>
      <c r="H577" s="1">
        <f ca="1">IFERROR(VLOOKUP($A577,[1]库存使用数据!$A:$H,8,0),0)+IFERROR(VLOOKUP($A577,[2]库存使用数据!$A:$H,8,0),0)+IFERROR(VLOOKUP($A577,[3]库存使用数据!$A:$H,8,0),0)+IFERROR(VLOOKUP($A577,[4]库存使用数据!$A:$H,8,0),0)+IFERROR(VLOOKUP($A577,[5]库存使用数据!$A:$H,8,0),0)</f>
        <v>0</v>
      </c>
      <c r="I577" s="1">
        <f ca="1">IFERROR(VLOOKUP($A577,[1]库存使用数据!$A:$I,9,0),0)+IFERROR(VLOOKUP($A577,[2]库存使用数据!$A:$I,9,0),0)+IFERROR(VLOOKUP($A577,[3]库存使用数据!$A:$I,9,0),0)+IFERROR(VLOOKUP($A577,[4]库存使用数据!$A:$I,9,0),0)+IFERROR(VLOOKUP($A577,[5]库存使用数据!$A:$I,9,0),0)</f>
        <v>0</v>
      </c>
      <c r="J577" s="1">
        <f ca="1">IFERROR(VLOOKUP($A577,[1]库存使用数据!$A:$J,10,0),0)+IFERROR(VLOOKUP($A577,[2]库存使用数据!$A:$J,10,0),0)+公式!$B$14*IFERROR(VLOOKUP($A577,[3]库存使用数据!$A:$J,10,0),0)+IFERROR(VLOOKUP($A577,[4]库存使用数据!$A:$J,10,0),0)+IFERROR(VLOOKUP($A577,[5]库存使用数据!$A:$J,10,0),0)</f>
        <v>0</v>
      </c>
      <c r="K577" s="1">
        <f ca="1">IFERROR(VLOOKUP($A577,[1]库存使用数据!$A:$K,11,0),0)+IFERROR(VLOOKUP($A577,[2]库存使用数据!$A:$K,11,0),0)+IFERROR(VLOOKUP($A577,[3]库存使用数据!$A:$K,11,0),0)+IFERROR(VLOOKUP($A577,[4]库存使用数据!$A:$K,11,0),0)+IFERROR(VLOOKUP($A577,[5]库存使用数据!$A:$K,11,0),0)</f>
        <v>172</v>
      </c>
      <c r="L577" s="1">
        <f ca="1">IFERROR(VLOOKUP($A577,[1]库存使用数据!$A:$L,12,0),0)+IFERROR(VLOOKUP($A577,[2]库存使用数据!$A:$L,12,0),0)+IFERROR(VLOOKUP($A577,[3]库存使用数据!$A:$L,12,0),0)+IFERROR(VLOOKUP($A577,[4]库存使用数据!$A:$L,12,0),0)+IFERROR(VLOOKUP($A577,[5]库存使用数据!$A:$L,12,0),0)</f>
        <v>0</v>
      </c>
      <c r="M577" s="1">
        <f ca="1">IFERROR(VLOOKUP($A577,[1]库存使用数据!$A:$M,13,0),0)+IFERROR(VLOOKUP($A577,[2]库存使用数据!$A:$M,13,0),0)+公式!$B$14*IFERROR(VLOOKUP($A577,[3]库存使用数据!$A:$M,13,0),0)+IFERROR(VLOOKUP($A577,[4]库存使用数据!$A:$M,13,0),0)+IFERROR(VLOOKUP($A577,[5]库存使用数据!$A:$M,13,0),0)</f>
        <v>0</v>
      </c>
    </row>
    <row r="578" spans="1:13">
      <c r="A578" s="6" t="s">
        <v>583</v>
      </c>
      <c r="B578" s="2">
        <f ca="1">IFERROR(VLOOKUP(A578,[1]库存使用数据!$A:$B,2,0),0)+IFERROR(VLOOKUP(A578,[2]库存使用数据!$A:$B,2,0),0)+IFERROR(VLOOKUP(,[3]库存使用数据!$A:$B,2,0),0)+IFERROR(VLOOKUP(A578,[4]库存使用数据!$A:$B,2,0),0)+IFERROR(VLOOKUP(A578,[5]库存使用数据!$A:$B,2,0),0)</f>
        <v>1390</v>
      </c>
      <c r="C578" s="1">
        <f ca="1">IFERROR(VLOOKUP($A578,[1]库存使用数据!$A:$C,3,0),0)+IFERROR(VLOOKUP($A578,[2]库存使用数据!$A:$C,3,0),0)+IFERROR(VLOOKUP($A578,[3]库存使用数据!$A:$C,3,0),0)+IFERROR(VLOOKUP($A578,[4]库存使用数据!$A:$C,3,0),0)+IFERROR(VLOOKUP($A578,[5]库存使用数据!$A:$C,3,0),0)</f>
        <v>1</v>
      </c>
      <c r="D578" s="1">
        <f ca="1">IFERROR(VLOOKUP($A578,[1]库存使用数据!$A:$D,4,0),0)+IFERROR(VLOOKUP($A578,[2]库存使用数据!$A:$D,4,0),0)+公式!$B$1*IFERROR(VLOOKUP($A578,[3]库存使用数据!$A:$D,4,0),0)+IFERROR(VLOOKUP($A578,[4]库存使用数据!$A:$D,4,0),0)+IFERROR(VLOOKUP($A578,[5]库存使用数据!$A:$D,4,0),0)</f>
        <v>0.07</v>
      </c>
      <c r="E578" s="1">
        <f ca="1">IFERROR(VLOOKUP($A578,[1]库存使用数据!$A:$E,5,0),0)+IFERROR(VLOOKUP($A578,[2]库存使用数据!$A:$E,5,0),0)+IFERROR(VLOOKUP($A578,[3]库存使用数据!$A:$E,5,0),0)+IFERROR(VLOOKUP($A578,[4]库存使用数据!$A:$E,5,0),0)+IFERROR(VLOOKUP($A578,[5]库存使用数据!$A:$E,5,0),0)</f>
        <v>1137</v>
      </c>
      <c r="F578" s="1">
        <f ca="1">IFERROR(VLOOKUP($A578,[1]库存使用数据!$A:$F,6,0),0)+IFERROR(VLOOKUP($A578,[2]库存使用数据!$A:$F,6,0),0)+IFERROR(VLOOKUP($A578,[4]库存使用数据!$A:$F,6,0),0)+IFERROR(VLOOKUP($A578,[3]库存使用数据!$A:$F,6,0),0)+IFERROR(VLOOKUP($A578,[5]库存使用数据!$A:$F,6,0),0)</f>
        <v>3</v>
      </c>
      <c r="G578" s="1">
        <f ca="1">IFERROR(VLOOKUP($A578,[1]库存使用数据!$A:$G,7,0),0)+IFERROR(VLOOKUP($A578,[2]库存使用数据!$A:$G,7,0),0)+公式!$B$14*IFERROR(VLOOKUP($A578,[3]库存使用数据!$A:$G,7,0),0)+IFERROR(VLOOKUP($A578,[4]库存使用数据!$A:$G,7,0),0)+IFERROR(VLOOKUP($A578,[5]库存使用数据!$A:$G,7,0),0)</f>
        <v>0.16</v>
      </c>
      <c r="H578" s="1">
        <f ca="1">IFERROR(VLOOKUP($A578,[1]库存使用数据!$A:$H,8,0),0)+IFERROR(VLOOKUP($A578,[2]库存使用数据!$A:$H,8,0),0)+IFERROR(VLOOKUP($A578,[3]库存使用数据!$A:$H,8,0),0)+IFERROR(VLOOKUP($A578,[4]库存使用数据!$A:$H,8,0),0)+IFERROR(VLOOKUP($A578,[5]库存使用数据!$A:$H,8,0),0)</f>
        <v>692</v>
      </c>
      <c r="I578" s="1">
        <f ca="1">IFERROR(VLOOKUP($A578,[1]库存使用数据!$A:$I,9,0),0)+IFERROR(VLOOKUP($A578,[2]库存使用数据!$A:$I,9,0),0)+IFERROR(VLOOKUP($A578,[3]库存使用数据!$A:$I,9,0),0)+IFERROR(VLOOKUP($A578,[4]库存使用数据!$A:$I,9,0),0)+IFERROR(VLOOKUP($A578,[5]库存使用数据!$A:$I,9,0),0)</f>
        <v>4</v>
      </c>
      <c r="J578" s="1">
        <f ca="1">IFERROR(VLOOKUP($A578,[1]库存使用数据!$A:$J,10,0),0)+IFERROR(VLOOKUP($A578,[2]库存使用数据!$A:$J,10,0),0)+公式!$B$14*IFERROR(VLOOKUP($A578,[3]库存使用数据!$A:$J,10,0),0)+IFERROR(VLOOKUP($A578,[4]库存使用数据!$A:$J,10,0),0)+IFERROR(VLOOKUP($A578,[5]库存使用数据!$A:$J,10,0),0)</f>
        <v>0.65</v>
      </c>
      <c r="K578" s="1">
        <f ca="1">IFERROR(VLOOKUP($A578,[1]库存使用数据!$A:$K,11,0),0)+IFERROR(VLOOKUP($A578,[2]库存使用数据!$A:$K,11,0),0)+IFERROR(VLOOKUP($A578,[3]库存使用数据!$A:$K,11,0),0)+IFERROR(VLOOKUP($A578,[4]库存使用数据!$A:$K,11,0),0)+IFERROR(VLOOKUP($A578,[5]库存使用数据!$A:$K,11,0),0)</f>
        <v>1156</v>
      </c>
      <c r="L578" s="1">
        <f ca="1">IFERROR(VLOOKUP($A578,[1]库存使用数据!$A:$L,12,0),0)+IFERROR(VLOOKUP($A578,[2]库存使用数据!$A:$L,12,0),0)+IFERROR(VLOOKUP($A578,[3]库存使用数据!$A:$L,12,0),0)+IFERROR(VLOOKUP($A578,[4]库存使用数据!$A:$L,12,0),0)+IFERROR(VLOOKUP($A578,[5]库存使用数据!$A:$L,12,0),0)</f>
        <v>2</v>
      </c>
      <c r="M578" s="1">
        <f ca="1">IFERROR(VLOOKUP($A578,[1]库存使用数据!$A:$M,13,0),0)+IFERROR(VLOOKUP($A578,[2]库存使用数据!$A:$M,13,0),0)+公式!$B$14*IFERROR(VLOOKUP($A578,[3]库存使用数据!$A:$M,13,0),0)+IFERROR(VLOOKUP($A578,[4]库存使用数据!$A:$M,13,0),0)+IFERROR(VLOOKUP($A578,[5]库存使用数据!$A:$M,13,0),0)</f>
        <v>0.13</v>
      </c>
    </row>
    <row r="579" spans="1:13">
      <c r="A579" s="6" t="s">
        <v>584</v>
      </c>
      <c r="B579" s="2">
        <f ca="1">IFERROR(VLOOKUP(A579,[1]库存使用数据!$A:$B,2,0),0)+IFERROR(VLOOKUP(A579,[2]库存使用数据!$A:$B,2,0),0)+IFERROR(VLOOKUP(,[3]库存使用数据!$A:$B,2,0),0)+IFERROR(VLOOKUP(A579,[4]库存使用数据!$A:$B,2,0),0)+IFERROR(VLOOKUP(A579,[5]库存使用数据!$A:$B,2,0),0)</f>
        <v>0</v>
      </c>
      <c r="C579" s="1">
        <f ca="1">IFERROR(VLOOKUP($A579,[1]库存使用数据!$A:$C,3,0),0)+IFERROR(VLOOKUP($A579,[2]库存使用数据!$A:$C,3,0),0)+IFERROR(VLOOKUP($A579,[3]库存使用数据!$A:$C,3,0),0)+IFERROR(VLOOKUP($A579,[4]库存使用数据!$A:$C,3,0),0)+IFERROR(VLOOKUP($A579,[5]库存使用数据!$A:$C,3,0),0)</f>
        <v>0</v>
      </c>
      <c r="D579" s="1">
        <f ca="1">IFERROR(VLOOKUP($A579,[1]库存使用数据!$A:$D,4,0),0)+IFERROR(VLOOKUP($A579,[2]库存使用数据!$A:$D,4,0),0)+公式!$B$1*IFERROR(VLOOKUP($A579,[3]库存使用数据!$A:$D,4,0),0)+IFERROR(VLOOKUP($A579,[4]库存使用数据!$A:$D,4,0),0)+IFERROR(VLOOKUP($A579,[5]库存使用数据!$A:$D,4,0),0)</f>
        <v>0</v>
      </c>
      <c r="E579" s="1">
        <f ca="1">IFERROR(VLOOKUP($A579,[1]库存使用数据!$A:$E,5,0),0)+IFERROR(VLOOKUP($A579,[2]库存使用数据!$A:$E,5,0),0)+IFERROR(VLOOKUP($A579,[3]库存使用数据!$A:$E,5,0),0)+IFERROR(VLOOKUP($A579,[4]库存使用数据!$A:$E,5,0),0)+IFERROR(VLOOKUP($A579,[5]库存使用数据!$A:$E,5,0),0)</f>
        <v>3</v>
      </c>
      <c r="F579" s="1">
        <f ca="1">IFERROR(VLOOKUP($A579,[1]库存使用数据!$A:$F,6,0),0)+IFERROR(VLOOKUP($A579,[2]库存使用数据!$A:$F,6,0),0)+IFERROR(VLOOKUP($A579,[4]库存使用数据!$A:$F,6,0),0)+IFERROR(VLOOKUP($A579,[3]库存使用数据!$A:$F,6,0),0)+IFERROR(VLOOKUP($A579,[5]库存使用数据!$A:$F,6,0),0)</f>
        <v>0</v>
      </c>
      <c r="G579" s="1">
        <f ca="1">IFERROR(VLOOKUP($A579,[1]库存使用数据!$A:$G,7,0),0)+IFERROR(VLOOKUP($A579,[2]库存使用数据!$A:$G,7,0),0)+公式!$B$14*IFERROR(VLOOKUP($A579,[3]库存使用数据!$A:$G,7,0),0)+IFERROR(VLOOKUP($A579,[4]库存使用数据!$A:$G,7,0),0)+IFERROR(VLOOKUP($A579,[5]库存使用数据!$A:$G,7,0),0)</f>
        <v>0</v>
      </c>
      <c r="H579" s="1">
        <f ca="1">IFERROR(VLOOKUP($A579,[1]库存使用数据!$A:$H,8,0),0)+IFERROR(VLOOKUP($A579,[2]库存使用数据!$A:$H,8,0),0)+IFERROR(VLOOKUP($A579,[3]库存使用数据!$A:$H,8,0),0)+IFERROR(VLOOKUP($A579,[4]库存使用数据!$A:$H,8,0),0)+IFERROR(VLOOKUP($A579,[5]库存使用数据!$A:$H,8,0),0)</f>
        <v>2</v>
      </c>
      <c r="I579" s="1">
        <f ca="1">IFERROR(VLOOKUP($A579,[1]库存使用数据!$A:$I,9,0),0)+IFERROR(VLOOKUP($A579,[2]库存使用数据!$A:$I,9,0),0)+IFERROR(VLOOKUP($A579,[3]库存使用数据!$A:$I,9,0),0)+IFERROR(VLOOKUP($A579,[4]库存使用数据!$A:$I,9,0),0)+IFERROR(VLOOKUP($A579,[5]库存使用数据!$A:$I,9,0),0)</f>
        <v>0</v>
      </c>
      <c r="J579" s="1">
        <f ca="1">IFERROR(VLOOKUP($A579,[1]库存使用数据!$A:$J,10,0),0)+IFERROR(VLOOKUP($A579,[2]库存使用数据!$A:$J,10,0),0)+公式!$B$14*IFERROR(VLOOKUP($A579,[3]库存使用数据!$A:$J,10,0),0)+IFERROR(VLOOKUP($A579,[4]库存使用数据!$A:$J,10,0),0)+IFERROR(VLOOKUP($A579,[5]库存使用数据!$A:$J,10,0),0)</f>
        <v>0</v>
      </c>
      <c r="K579" s="1">
        <f ca="1">IFERROR(VLOOKUP($A579,[1]库存使用数据!$A:$K,11,0),0)+IFERROR(VLOOKUP($A579,[2]库存使用数据!$A:$K,11,0),0)+IFERROR(VLOOKUP($A579,[3]库存使用数据!$A:$K,11,0),0)+IFERROR(VLOOKUP($A579,[4]库存使用数据!$A:$K,11,0),0)+IFERROR(VLOOKUP($A579,[5]库存使用数据!$A:$K,11,0),0)</f>
        <v>3</v>
      </c>
      <c r="L579" s="1">
        <f ca="1">IFERROR(VLOOKUP($A579,[1]库存使用数据!$A:$L,12,0),0)+IFERROR(VLOOKUP($A579,[2]库存使用数据!$A:$L,12,0),0)+IFERROR(VLOOKUP($A579,[3]库存使用数据!$A:$L,12,0),0)+IFERROR(VLOOKUP($A579,[4]库存使用数据!$A:$L,12,0),0)+IFERROR(VLOOKUP($A579,[5]库存使用数据!$A:$L,12,0),0)</f>
        <v>0</v>
      </c>
      <c r="M579" s="1">
        <f ca="1">IFERROR(VLOOKUP($A579,[1]库存使用数据!$A:$M,13,0),0)+IFERROR(VLOOKUP($A579,[2]库存使用数据!$A:$M,13,0),0)+公式!$B$14*IFERROR(VLOOKUP($A579,[3]库存使用数据!$A:$M,13,0),0)+IFERROR(VLOOKUP($A579,[4]库存使用数据!$A:$M,13,0),0)+IFERROR(VLOOKUP($A579,[5]库存使用数据!$A:$M,13,0),0)</f>
        <v>0</v>
      </c>
    </row>
    <row r="580" spans="1:13">
      <c r="A580" s="6" t="s">
        <v>585</v>
      </c>
      <c r="B580" s="2">
        <f ca="1">IFERROR(VLOOKUP(A580,[1]库存使用数据!$A:$B,2,0),0)+IFERROR(VLOOKUP(A580,[2]库存使用数据!$A:$B,2,0),0)+IFERROR(VLOOKUP(,[3]库存使用数据!$A:$B,2,0),0)+IFERROR(VLOOKUP(A580,[4]库存使用数据!$A:$B,2,0),0)+IFERROR(VLOOKUP(A580,[5]库存使用数据!$A:$B,2,0),0)</f>
        <v>0</v>
      </c>
      <c r="C580" s="1">
        <f ca="1">IFERROR(VLOOKUP($A580,[1]库存使用数据!$A:$C,3,0),0)+IFERROR(VLOOKUP($A580,[2]库存使用数据!$A:$C,3,0),0)+IFERROR(VLOOKUP($A580,[3]库存使用数据!$A:$C,3,0),0)+IFERROR(VLOOKUP($A580,[4]库存使用数据!$A:$C,3,0),0)+IFERROR(VLOOKUP($A580,[5]库存使用数据!$A:$C,3,0),0)</f>
        <v>0</v>
      </c>
      <c r="D580" s="1">
        <f ca="1">IFERROR(VLOOKUP($A580,[1]库存使用数据!$A:$D,4,0),0)+IFERROR(VLOOKUP($A580,[2]库存使用数据!$A:$D,4,0),0)+公式!$B$1*IFERROR(VLOOKUP($A580,[3]库存使用数据!$A:$D,4,0),0)+IFERROR(VLOOKUP($A580,[4]库存使用数据!$A:$D,4,0),0)+IFERROR(VLOOKUP($A580,[5]库存使用数据!$A:$D,4,0),0)</f>
        <v>0</v>
      </c>
      <c r="E580" s="1">
        <f ca="1">IFERROR(VLOOKUP($A580,[1]库存使用数据!$A:$E,5,0),0)+IFERROR(VLOOKUP($A580,[2]库存使用数据!$A:$E,5,0),0)+IFERROR(VLOOKUP($A580,[3]库存使用数据!$A:$E,5,0),0)+IFERROR(VLOOKUP($A580,[4]库存使用数据!$A:$E,5,0),0)+IFERROR(VLOOKUP($A580,[5]库存使用数据!$A:$E,5,0),0)</f>
        <v>0</v>
      </c>
      <c r="F580" s="1">
        <f ca="1">IFERROR(VLOOKUP($A580,[1]库存使用数据!$A:$F,6,0),0)+IFERROR(VLOOKUP($A580,[2]库存使用数据!$A:$F,6,0),0)+IFERROR(VLOOKUP($A580,[4]库存使用数据!$A:$F,6,0),0)+IFERROR(VLOOKUP($A580,[3]库存使用数据!$A:$F,6,0),0)+IFERROR(VLOOKUP($A580,[5]库存使用数据!$A:$F,6,0),0)</f>
        <v>0</v>
      </c>
      <c r="G580" s="1">
        <f ca="1">IFERROR(VLOOKUP($A580,[1]库存使用数据!$A:$G,7,0),0)+IFERROR(VLOOKUP($A580,[2]库存使用数据!$A:$G,7,0),0)+公式!$B$14*IFERROR(VLOOKUP($A580,[3]库存使用数据!$A:$G,7,0),0)+IFERROR(VLOOKUP($A580,[4]库存使用数据!$A:$G,7,0),0)+IFERROR(VLOOKUP($A580,[5]库存使用数据!$A:$G,7,0),0)</f>
        <v>0</v>
      </c>
      <c r="H580" s="1">
        <f ca="1">IFERROR(VLOOKUP($A580,[1]库存使用数据!$A:$H,8,0),0)+IFERROR(VLOOKUP($A580,[2]库存使用数据!$A:$H,8,0),0)+IFERROR(VLOOKUP($A580,[3]库存使用数据!$A:$H,8,0),0)+IFERROR(VLOOKUP($A580,[4]库存使用数据!$A:$H,8,0),0)+IFERROR(VLOOKUP($A580,[5]库存使用数据!$A:$H,8,0),0)</f>
        <v>0</v>
      </c>
      <c r="I580" s="1">
        <f ca="1">IFERROR(VLOOKUP($A580,[1]库存使用数据!$A:$I,9,0),0)+IFERROR(VLOOKUP($A580,[2]库存使用数据!$A:$I,9,0),0)+IFERROR(VLOOKUP($A580,[3]库存使用数据!$A:$I,9,0),0)+IFERROR(VLOOKUP($A580,[4]库存使用数据!$A:$I,9,0),0)+IFERROR(VLOOKUP($A580,[5]库存使用数据!$A:$I,9,0),0)</f>
        <v>0</v>
      </c>
      <c r="J580" s="1">
        <f ca="1">IFERROR(VLOOKUP($A580,[1]库存使用数据!$A:$J,10,0),0)+IFERROR(VLOOKUP($A580,[2]库存使用数据!$A:$J,10,0),0)+公式!$B$14*IFERROR(VLOOKUP($A580,[3]库存使用数据!$A:$J,10,0),0)+IFERROR(VLOOKUP($A580,[4]库存使用数据!$A:$J,10,0),0)+IFERROR(VLOOKUP($A580,[5]库存使用数据!$A:$J,10,0),0)</f>
        <v>0</v>
      </c>
      <c r="K580" s="1">
        <f ca="1">IFERROR(VLOOKUP($A580,[1]库存使用数据!$A:$K,11,0),0)+IFERROR(VLOOKUP($A580,[2]库存使用数据!$A:$K,11,0),0)+IFERROR(VLOOKUP($A580,[3]库存使用数据!$A:$K,11,0),0)+IFERROR(VLOOKUP($A580,[4]库存使用数据!$A:$K,11,0),0)+IFERROR(VLOOKUP($A580,[5]库存使用数据!$A:$K,11,0),0)</f>
        <v>1</v>
      </c>
      <c r="L580" s="1">
        <f ca="1">IFERROR(VLOOKUP($A580,[1]库存使用数据!$A:$L,12,0),0)+IFERROR(VLOOKUP($A580,[2]库存使用数据!$A:$L,12,0),0)+IFERROR(VLOOKUP($A580,[3]库存使用数据!$A:$L,12,0),0)+IFERROR(VLOOKUP($A580,[4]库存使用数据!$A:$L,12,0),0)+IFERROR(VLOOKUP($A580,[5]库存使用数据!$A:$L,12,0),0)</f>
        <v>0</v>
      </c>
      <c r="M580" s="1">
        <f ca="1">IFERROR(VLOOKUP($A580,[1]库存使用数据!$A:$M,13,0),0)+IFERROR(VLOOKUP($A580,[2]库存使用数据!$A:$M,13,0),0)+公式!$B$14*IFERROR(VLOOKUP($A580,[3]库存使用数据!$A:$M,13,0),0)+IFERROR(VLOOKUP($A580,[4]库存使用数据!$A:$M,13,0),0)+IFERROR(VLOOKUP($A580,[5]库存使用数据!$A:$M,13,0),0)</f>
        <v>0</v>
      </c>
    </row>
    <row r="581" spans="1:13">
      <c r="A581" s="6" t="s">
        <v>586</v>
      </c>
      <c r="B581" s="2">
        <f ca="1">IFERROR(VLOOKUP(A581,[1]库存使用数据!$A:$B,2,0),0)+IFERROR(VLOOKUP(A581,[2]库存使用数据!$A:$B,2,0),0)+IFERROR(VLOOKUP(,[3]库存使用数据!$A:$B,2,0),0)+IFERROR(VLOOKUP(A581,[4]库存使用数据!$A:$B,2,0),0)+IFERROR(VLOOKUP(A581,[5]库存使用数据!$A:$B,2,0),0)</f>
        <v>0</v>
      </c>
      <c r="C581" s="1">
        <f ca="1">IFERROR(VLOOKUP($A581,[1]库存使用数据!$A:$C,3,0),0)+IFERROR(VLOOKUP($A581,[2]库存使用数据!$A:$C,3,0),0)+IFERROR(VLOOKUP($A581,[3]库存使用数据!$A:$C,3,0),0)+IFERROR(VLOOKUP($A581,[4]库存使用数据!$A:$C,3,0),0)+IFERROR(VLOOKUP($A581,[5]库存使用数据!$A:$C,3,0),0)</f>
        <v>0</v>
      </c>
      <c r="D581" s="1">
        <f ca="1">IFERROR(VLOOKUP($A581,[1]库存使用数据!$A:$D,4,0),0)+IFERROR(VLOOKUP($A581,[2]库存使用数据!$A:$D,4,0),0)+公式!$B$1*IFERROR(VLOOKUP($A581,[3]库存使用数据!$A:$D,4,0),0)+IFERROR(VLOOKUP($A581,[4]库存使用数据!$A:$D,4,0),0)+IFERROR(VLOOKUP($A581,[5]库存使用数据!$A:$D,4,0),0)</f>
        <v>0</v>
      </c>
      <c r="E581" s="1">
        <f ca="1">IFERROR(VLOOKUP($A581,[1]库存使用数据!$A:$E,5,0),0)+IFERROR(VLOOKUP($A581,[2]库存使用数据!$A:$E,5,0),0)+IFERROR(VLOOKUP($A581,[3]库存使用数据!$A:$E,5,0),0)+IFERROR(VLOOKUP($A581,[4]库存使用数据!$A:$E,5,0),0)+IFERROR(VLOOKUP($A581,[5]库存使用数据!$A:$E,5,0),0)</f>
        <v>0</v>
      </c>
      <c r="F581" s="1">
        <f ca="1">IFERROR(VLOOKUP($A581,[1]库存使用数据!$A:$F,6,0),0)+IFERROR(VLOOKUP($A581,[2]库存使用数据!$A:$F,6,0),0)+IFERROR(VLOOKUP($A581,[4]库存使用数据!$A:$F,6,0),0)+IFERROR(VLOOKUP($A581,[3]库存使用数据!$A:$F,6,0),0)+IFERROR(VLOOKUP($A581,[5]库存使用数据!$A:$F,6,0),0)</f>
        <v>0</v>
      </c>
      <c r="G581" s="1">
        <f ca="1">IFERROR(VLOOKUP($A581,[1]库存使用数据!$A:$G,7,0),0)+IFERROR(VLOOKUP($A581,[2]库存使用数据!$A:$G,7,0),0)+公式!$B$14*IFERROR(VLOOKUP($A581,[3]库存使用数据!$A:$G,7,0),0)+IFERROR(VLOOKUP($A581,[4]库存使用数据!$A:$G,7,0),0)+IFERROR(VLOOKUP($A581,[5]库存使用数据!$A:$G,7,0),0)</f>
        <v>0</v>
      </c>
      <c r="H581" s="1">
        <f ca="1">IFERROR(VLOOKUP($A581,[1]库存使用数据!$A:$H,8,0),0)+IFERROR(VLOOKUP($A581,[2]库存使用数据!$A:$H,8,0),0)+IFERROR(VLOOKUP($A581,[3]库存使用数据!$A:$H,8,0),0)+IFERROR(VLOOKUP($A581,[4]库存使用数据!$A:$H,8,0),0)+IFERROR(VLOOKUP($A581,[5]库存使用数据!$A:$H,8,0),0)</f>
        <v>0</v>
      </c>
      <c r="I581" s="1">
        <f ca="1">IFERROR(VLOOKUP($A581,[1]库存使用数据!$A:$I,9,0),0)+IFERROR(VLOOKUP($A581,[2]库存使用数据!$A:$I,9,0),0)+IFERROR(VLOOKUP($A581,[3]库存使用数据!$A:$I,9,0),0)+IFERROR(VLOOKUP($A581,[4]库存使用数据!$A:$I,9,0),0)+IFERROR(VLOOKUP($A581,[5]库存使用数据!$A:$I,9,0),0)</f>
        <v>0</v>
      </c>
      <c r="J581" s="1">
        <f ca="1">IFERROR(VLOOKUP($A581,[1]库存使用数据!$A:$J,10,0),0)+IFERROR(VLOOKUP($A581,[2]库存使用数据!$A:$J,10,0),0)+公式!$B$14*IFERROR(VLOOKUP($A581,[3]库存使用数据!$A:$J,10,0),0)+IFERROR(VLOOKUP($A581,[4]库存使用数据!$A:$J,10,0),0)+IFERROR(VLOOKUP($A581,[5]库存使用数据!$A:$J,10,0),0)</f>
        <v>0</v>
      </c>
      <c r="K581" s="1">
        <f ca="1">IFERROR(VLOOKUP($A581,[1]库存使用数据!$A:$K,11,0),0)+IFERROR(VLOOKUP($A581,[2]库存使用数据!$A:$K,11,0),0)+IFERROR(VLOOKUP($A581,[3]库存使用数据!$A:$K,11,0),0)+IFERROR(VLOOKUP($A581,[4]库存使用数据!$A:$K,11,0),0)+IFERROR(VLOOKUP($A581,[5]库存使用数据!$A:$K,11,0),0)</f>
        <v>24</v>
      </c>
      <c r="L581" s="1">
        <f ca="1">IFERROR(VLOOKUP($A581,[1]库存使用数据!$A:$L,12,0),0)+IFERROR(VLOOKUP($A581,[2]库存使用数据!$A:$L,12,0),0)+IFERROR(VLOOKUP($A581,[3]库存使用数据!$A:$L,12,0),0)+IFERROR(VLOOKUP($A581,[4]库存使用数据!$A:$L,12,0),0)+IFERROR(VLOOKUP($A581,[5]库存使用数据!$A:$L,12,0),0)</f>
        <v>0</v>
      </c>
      <c r="M581" s="1">
        <f ca="1">IFERROR(VLOOKUP($A581,[1]库存使用数据!$A:$M,13,0),0)+IFERROR(VLOOKUP($A581,[2]库存使用数据!$A:$M,13,0),0)+公式!$B$14*IFERROR(VLOOKUP($A581,[3]库存使用数据!$A:$M,13,0),0)+IFERROR(VLOOKUP($A581,[4]库存使用数据!$A:$M,13,0),0)+IFERROR(VLOOKUP($A581,[5]库存使用数据!$A:$M,13,0),0)</f>
        <v>0</v>
      </c>
    </row>
    <row r="582" spans="1:13">
      <c r="A582" s="6" t="s">
        <v>587</v>
      </c>
      <c r="B582" s="2">
        <f ca="1">IFERROR(VLOOKUP(A582,[1]库存使用数据!$A:$B,2,0),0)+IFERROR(VLOOKUP(A582,[2]库存使用数据!$A:$B,2,0),0)+IFERROR(VLOOKUP(,[3]库存使用数据!$A:$B,2,0),0)+IFERROR(VLOOKUP(A582,[4]库存使用数据!$A:$B,2,0),0)+IFERROR(VLOOKUP(A582,[5]库存使用数据!$A:$B,2,0),0)</f>
        <v>0</v>
      </c>
      <c r="C582" s="1">
        <f ca="1">IFERROR(VLOOKUP($A582,[1]库存使用数据!$A:$C,3,0),0)+IFERROR(VLOOKUP($A582,[2]库存使用数据!$A:$C,3,0),0)+IFERROR(VLOOKUP($A582,[3]库存使用数据!$A:$C,3,0),0)+IFERROR(VLOOKUP($A582,[4]库存使用数据!$A:$C,3,0),0)+IFERROR(VLOOKUP($A582,[5]库存使用数据!$A:$C,3,0),0)</f>
        <v>0</v>
      </c>
      <c r="D582" s="1">
        <f ca="1">IFERROR(VLOOKUP($A582,[1]库存使用数据!$A:$D,4,0),0)+IFERROR(VLOOKUP($A582,[2]库存使用数据!$A:$D,4,0),0)+公式!$B$1*IFERROR(VLOOKUP($A582,[3]库存使用数据!$A:$D,4,0),0)+IFERROR(VLOOKUP($A582,[4]库存使用数据!$A:$D,4,0),0)+IFERROR(VLOOKUP($A582,[5]库存使用数据!$A:$D,4,0),0)</f>
        <v>0</v>
      </c>
      <c r="E582" s="1">
        <f ca="1">IFERROR(VLOOKUP($A582,[1]库存使用数据!$A:$E,5,0),0)+IFERROR(VLOOKUP($A582,[2]库存使用数据!$A:$E,5,0),0)+IFERROR(VLOOKUP($A582,[3]库存使用数据!$A:$E,5,0),0)+IFERROR(VLOOKUP($A582,[4]库存使用数据!$A:$E,5,0),0)+IFERROR(VLOOKUP($A582,[5]库存使用数据!$A:$E,5,0),0)</f>
        <v>1</v>
      </c>
      <c r="F582" s="1">
        <f ca="1">IFERROR(VLOOKUP($A582,[1]库存使用数据!$A:$F,6,0),0)+IFERROR(VLOOKUP($A582,[2]库存使用数据!$A:$F,6,0),0)+IFERROR(VLOOKUP($A582,[4]库存使用数据!$A:$F,6,0),0)+IFERROR(VLOOKUP($A582,[3]库存使用数据!$A:$F,6,0),0)+IFERROR(VLOOKUP($A582,[5]库存使用数据!$A:$F,6,0),0)</f>
        <v>0</v>
      </c>
      <c r="G582" s="1">
        <f ca="1">IFERROR(VLOOKUP($A582,[1]库存使用数据!$A:$G,7,0),0)+IFERROR(VLOOKUP($A582,[2]库存使用数据!$A:$G,7,0),0)+公式!$B$14*IFERROR(VLOOKUP($A582,[3]库存使用数据!$A:$G,7,0),0)+IFERROR(VLOOKUP($A582,[4]库存使用数据!$A:$G,7,0),0)+IFERROR(VLOOKUP($A582,[5]库存使用数据!$A:$G,7,0),0)</f>
        <v>0</v>
      </c>
      <c r="H582" s="1">
        <f ca="1">IFERROR(VLOOKUP($A582,[1]库存使用数据!$A:$H,8,0),0)+IFERROR(VLOOKUP($A582,[2]库存使用数据!$A:$H,8,0),0)+IFERROR(VLOOKUP($A582,[3]库存使用数据!$A:$H,8,0),0)+IFERROR(VLOOKUP($A582,[4]库存使用数据!$A:$H,8,0),0)+IFERROR(VLOOKUP($A582,[5]库存使用数据!$A:$H,8,0),0)</f>
        <v>2</v>
      </c>
      <c r="I582" s="1">
        <f ca="1">IFERROR(VLOOKUP($A582,[1]库存使用数据!$A:$I,9,0),0)+IFERROR(VLOOKUP($A582,[2]库存使用数据!$A:$I,9,0),0)+IFERROR(VLOOKUP($A582,[3]库存使用数据!$A:$I,9,0),0)+IFERROR(VLOOKUP($A582,[4]库存使用数据!$A:$I,9,0),0)+IFERROR(VLOOKUP($A582,[5]库存使用数据!$A:$I,9,0),0)</f>
        <v>0</v>
      </c>
      <c r="J582" s="1">
        <f ca="1">IFERROR(VLOOKUP($A582,[1]库存使用数据!$A:$J,10,0),0)+IFERROR(VLOOKUP($A582,[2]库存使用数据!$A:$J,10,0),0)+公式!$B$14*IFERROR(VLOOKUP($A582,[3]库存使用数据!$A:$J,10,0),0)+IFERROR(VLOOKUP($A582,[4]库存使用数据!$A:$J,10,0),0)+IFERROR(VLOOKUP($A582,[5]库存使用数据!$A:$J,10,0),0)</f>
        <v>0</v>
      </c>
      <c r="K582" s="1">
        <f ca="1">IFERROR(VLOOKUP($A582,[1]库存使用数据!$A:$K,11,0),0)+IFERROR(VLOOKUP($A582,[2]库存使用数据!$A:$K,11,0),0)+IFERROR(VLOOKUP($A582,[3]库存使用数据!$A:$K,11,0),0)+IFERROR(VLOOKUP($A582,[4]库存使用数据!$A:$K,11,0),0)+IFERROR(VLOOKUP($A582,[5]库存使用数据!$A:$K,11,0),0)</f>
        <v>4</v>
      </c>
      <c r="L582" s="1">
        <f ca="1">IFERROR(VLOOKUP($A582,[1]库存使用数据!$A:$L,12,0),0)+IFERROR(VLOOKUP($A582,[2]库存使用数据!$A:$L,12,0),0)+IFERROR(VLOOKUP($A582,[3]库存使用数据!$A:$L,12,0),0)+IFERROR(VLOOKUP($A582,[4]库存使用数据!$A:$L,12,0),0)+IFERROR(VLOOKUP($A582,[5]库存使用数据!$A:$L,12,0),0)</f>
        <v>0</v>
      </c>
      <c r="M582" s="1">
        <f ca="1">IFERROR(VLOOKUP($A582,[1]库存使用数据!$A:$M,13,0),0)+IFERROR(VLOOKUP($A582,[2]库存使用数据!$A:$M,13,0),0)+公式!$B$14*IFERROR(VLOOKUP($A582,[3]库存使用数据!$A:$M,13,0),0)+IFERROR(VLOOKUP($A582,[4]库存使用数据!$A:$M,13,0),0)+IFERROR(VLOOKUP($A582,[5]库存使用数据!$A:$M,13,0),0)</f>
        <v>0</v>
      </c>
    </row>
    <row r="583" spans="1:13">
      <c r="A583" s="6" t="s">
        <v>588</v>
      </c>
      <c r="B583" s="2">
        <f ca="1">IFERROR(VLOOKUP(A583,[1]库存使用数据!$A:$B,2,0),0)+IFERROR(VLOOKUP(A583,[2]库存使用数据!$A:$B,2,0),0)+IFERROR(VLOOKUP(,[3]库存使用数据!$A:$B,2,0),0)+IFERROR(VLOOKUP(A583,[4]库存使用数据!$A:$B,2,0),0)+IFERROR(VLOOKUP(A583,[5]库存使用数据!$A:$B,2,0),0)</f>
        <v>0</v>
      </c>
      <c r="C583" s="1">
        <f ca="1">IFERROR(VLOOKUP($A583,[1]库存使用数据!$A:$C,3,0),0)+IFERROR(VLOOKUP($A583,[2]库存使用数据!$A:$C,3,0),0)+IFERROR(VLOOKUP($A583,[3]库存使用数据!$A:$C,3,0),0)+IFERROR(VLOOKUP($A583,[4]库存使用数据!$A:$C,3,0),0)+IFERROR(VLOOKUP($A583,[5]库存使用数据!$A:$C,3,0),0)</f>
        <v>0</v>
      </c>
      <c r="D583" s="1">
        <f ca="1">IFERROR(VLOOKUP($A583,[1]库存使用数据!$A:$D,4,0),0)+IFERROR(VLOOKUP($A583,[2]库存使用数据!$A:$D,4,0),0)+公式!$B$1*IFERROR(VLOOKUP($A583,[3]库存使用数据!$A:$D,4,0),0)+IFERROR(VLOOKUP($A583,[4]库存使用数据!$A:$D,4,0),0)+IFERROR(VLOOKUP($A583,[5]库存使用数据!$A:$D,4,0),0)</f>
        <v>0</v>
      </c>
      <c r="E583" s="1">
        <f ca="1">IFERROR(VLOOKUP($A583,[1]库存使用数据!$A:$E,5,0),0)+IFERROR(VLOOKUP($A583,[2]库存使用数据!$A:$E,5,0),0)+IFERROR(VLOOKUP($A583,[3]库存使用数据!$A:$E,5,0),0)+IFERROR(VLOOKUP($A583,[4]库存使用数据!$A:$E,5,0),0)+IFERROR(VLOOKUP($A583,[5]库存使用数据!$A:$E,5,0),0)</f>
        <v>0</v>
      </c>
      <c r="F583" s="1">
        <f ca="1">IFERROR(VLOOKUP($A583,[1]库存使用数据!$A:$F,6,0),0)+IFERROR(VLOOKUP($A583,[2]库存使用数据!$A:$F,6,0),0)+IFERROR(VLOOKUP($A583,[4]库存使用数据!$A:$F,6,0),0)+IFERROR(VLOOKUP($A583,[3]库存使用数据!$A:$F,6,0),0)+IFERROR(VLOOKUP($A583,[5]库存使用数据!$A:$F,6,0),0)</f>
        <v>0</v>
      </c>
      <c r="G583" s="1">
        <f ca="1">IFERROR(VLOOKUP($A583,[1]库存使用数据!$A:$G,7,0),0)+IFERROR(VLOOKUP($A583,[2]库存使用数据!$A:$G,7,0),0)+公式!$B$14*IFERROR(VLOOKUP($A583,[3]库存使用数据!$A:$G,7,0),0)+IFERROR(VLOOKUP($A583,[4]库存使用数据!$A:$G,7,0),0)+IFERROR(VLOOKUP($A583,[5]库存使用数据!$A:$G,7,0),0)</f>
        <v>0</v>
      </c>
      <c r="H583" s="1">
        <f ca="1">IFERROR(VLOOKUP($A583,[1]库存使用数据!$A:$H,8,0),0)+IFERROR(VLOOKUP($A583,[2]库存使用数据!$A:$H,8,0),0)+IFERROR(VLOOKUP($A583,[3]库存使用数据!$A:$H,8,0),0)+IFERROR(VLOOKUP($A583,[4]库存使用数据!$A:$H,8,0),0)+IFERROR(VLOOKUP($A583,[5]库存使用数据!$A:$H,8,0),0)</f>
        <v>0</v>
      </c>
      <c r="I583" s="1">
        <f ca="1">IFERROR(VLOOKUP($A583,[1]库存使用数据!$A:$I,9,0),0)+IFERROR(VLOOKUP($A583,[2]库存使用数据!$A:$I,9,0),0)+IFERROR(VLOOKUP($A583,[3]库存使用数据!$A:$I,9,0),0)+IFERROR(VLOOKUP($A583,[4]库存使用数据!$A:$I,9,0),0)+IFERROR(VLOOKUP($A583,[5]库存使用数据!$A:$I,9,0),0)</f>
        <v>0</v>
      </c>
      <c r="J583" s="1">
        <f ca="1">IFERROR(VLOOKUP($A583,[1]库存使用数据!$A:$J,10,0),0)+IFERROR(VLOOKUP($A583,[2]库存使用数据!$A:$J,10,0),0)+公式!$B$14*IFERROR(VLOOKUP($A583,[3]库存使用数据!$A:$J,10,0),0)+IFERROR(VLOOKUP($A583,[4]库存使用数据!$A:$J,10,0),0)+IFERROR(VLOOKUP($A583,[5]库存使用数据!$A:$J,10,0),0)</f>
        <v>0</v>
      </c>
      <c r="K583" s="1">
        <f ca="1">IFERROR(VLOOKUP($A583,[1]库存使用数据!$A:$K,11,0),0)+IFERROR(VLOOKUP($A583,[2]库存使用数据!$A:$K,11,0),0)+IFERROR(VLOOKUP($A583,[3]库存使用数据!$A:$K,11,0),0)+IFERROR(VLOOKUP($A583,[4]库存使用数据!$A:$K,11,0),0)+IFERROR(VLOOKUP($A583,[5]库存使用数据!$A:$K,11,0),0)</f>
        <v>12</v>
      </c>
      <c r="L583" s="1">
        <f ca="1">IFERROR(VLOOKUP($A583,[1]库存使用数据!$A:$L,12,0),0)+IFERROR(VLOOKUP($A583,[2]库存使用数据!$A:$L,12,0),0)+IFERROR(VLOOKUP($A583,[3]库存使用数据!$A:$L,12,0),0)+IFERROR(VLOOKUP($A583,[4]库存使用数据!$A:$L,12,0),0)+IFERROR(VLOOKUP($A583,[5]库存使用数据!$A:$L,12,0),0)</f>
        <v>0</v>
      </c>
      <c r="M583" s="1">
        <f ca="1">IFERROR(VLOOKUP($A583,[1]库存使用数据!$A:$M,13,0),0)+IFERROR(VLOOKUP($A583,[2]库存使用数据!$A:$M,13,0),0)+公式!$B$14*IFERROR(VLOOKUP($A583,[3]库存使用数据!$A:$M,13,0),0)+IFERROR(VLOOKUP($A583,[4]库存使用数据!$A:$M,13,0),0)+IFERROR(VLOOKUP($A583,[5]库存使用数据!$A:$M,13,0),0)</f>
        <v>0</v>
      </c>
    </row>
    <row r="584" spans="1:13">
      <c r="A584" s="6" t="s">
        <v>589</v>
      </c>
      <c r="B584" s="2">
        <f ca="1">IFERROR(VLOOKUP(A584,[1]库存使用数据!$A:$B,2,0),0)+IFERROR(VLOOKUP(A584,[2]库存使用数据!$A:$B,2,0),0)+IFERROR(VLOOKUP(,[3]库存使用数据!$A:$B,2,0),0)+IFERROR(VLOOKUP(A584,[4]库存使用数据!$A:$B,2,0),0)+IFERROR(VLOOKUP(A584,[5]库存使用数据!$A:$B,2,0),0)</f>
        <v>19</v>
      </c>
      <c r="C584" s="1">
        <f ca="1">IFERROR(VLOOKUP($A584,[1]库存使用数据!$A:$C,3,0),0)+IFERROR(VLOOKUP($A584,[2]库存使用数据!$A:$C,3,0),0)+IFERROR(VLOOKUP($A584,[3]库存使用数据!$A:$C,3,0),0)+IFERROR(VLOOKUP($A584,[4]库存使用数据!$A:$C,3,0),0)+IFERROR(VLOOKUP($A584,[5]库存使用数据!$A:$C,3,0),0)</f>
        <v>1</v>
      </c>
      <c r="D584" s="1">
        <f ca="1">IFERROR(VLOOKUP($A584,[1]库存使用数据!$A:$D,4,0),0)+IFERROR(VLOOKUP($A584,[2]库存使用数据!$A:$D,4,0),0)+公式!$B$1*IFERROR(VLOOKUP($A584,[3]库存使用数据!$A:$D,4,0),0)+IFERROR(VLOOKUP($A584,[4]库存使用数据!$A:$D,4,0),0)+IFERROR(VLOOKUP($A584,[5]库存使用数据!$A:$D,4,0),0)</f>
        <v>0.09</v>
      </c>
      <c r="E584" s="1">
        <f ca="1">IFERROR(VLOOKUP($A584,[1]库存使用数据!$A:$E,5,0),0)+IFERROR(VLOOKUP($A584,[2]库存使用数据!$A:$E,5,0),0)+IFERROR(VLOOKUP($A584,[3]库存使用数据!$A:$E,5,0),0)+IFERROR(VLOOKUP($A584,[4]库存使用数据!$A:$E,5,0),0)+IFERROR(VLOOKUP($A584,[5]库存使用数据!$A:$E,5,0),0)</f>
        <v>21</v>
      </c>
      <c r="F584" s="1">
        <f ca="1">IFERROR(VLOOKUP($A584,[1]库存使用数据!$A:$F,6,0),0)+IFERROR(VLOOKUP($A584,[2]库存使用数据!$A:$F,6,0),0)+IFERROR(VLOOKUP($A584,[4]库存使用数据!$A:$F,6,0),0)+IFERROR(VLOOKUP($A584,[3]库存使用数据!$A:$F,6,0),0)+IFERROR(VLOOKUP($A584,[5]库存使用数据!$A:$F,6,0),0)</f>
        <v>1</v>
      </c>
      <c r="G584" s="1">
        <f ca="1">IFERROR(VLOOKUP($A584,[1]库存使用数据!$A:$G,7,0),0)+IFERROR(VLOOKUP($A584,[2]库存使用数据!$A:$G,7,0),0)+公式!$B$14*IFERROR(VLOOKUP($A584,[3]库存使用数据!$A:$G,7,0),0)+IFERROR(VLOOKUP($A584,[4]库存使用数据!$A:$G,7,0),0)+IFERROR(VLOOKUP($A584,[5]库存使用数据!$A:$G,7,0),0)</f>
        <v>0.02</v>
      </c>
      <c r="H584" s="1">
        <f ca="1">IFERROR(VLOOKUP($A584,[1]库存使用数据!$A:$H,8,0),0)+IFERROR(VLOOKUP($A584,[2]库存使用数据!$A:$H,8,0),0)+IFERROR(VLOOKUP($A584,[3]库存使用数据!$A:$H,8,0),0)+IFERROR(VLOOKUP($A584,[4]库存使用数据!$A:$H,8,0),0)+IFERROR(VLOOKUP($A584,[5]库存使用数据!$A:$H,8,0),0)</f>
        <v>262</v>
      </c>
      <c r="I584" s="1">
        <f ca="1">IFERROR(VLOOKUP($A584,[1]库存使用数据!$A:$I,9,0),0)+IFERROR(VLOOKUP($A584,[2]库存使用数据!$A:$I,9,0),0)+IFERROR(VLOOKUP($A584,[3]库存使用数据!$A:$I,9,0),0)+IFERROR(VLOOKUP($A584,[4]库存使用数据!$A:$I,9,0),0)+IFERROR(VLOOKUP($A584,[5]库存使用数据!$A:$I,9,0),0)</f>
        <v>0</v>
      </c>
      <c r="J584" s="1">
        <f ca="1">IFERROR(VLOOKUP($A584,[1]库存使用数据!$A:$J,10,0),0)+IFERROR(VLOOKUP($A584,[2]库存使用数据!$A:$J,10,0),0)+公式!$B$14*IFERROR(VLOOKUP($A584,[3]库存使用数据!$A:$J,10,0),0)+IFERROR(VLOOKUP($A584,[4]库存使用数据!$A:$J,10,0),0)+IFERROR(VLOOKUP($A584,[5]库存使用数据!$A:$J,10,0),0)</f>
        <v>0</v>
      </c>
      <c r="K584" s="1">
        <f ca="1">IFERROR(VLOOKUP($A584,[1]库存使用数据!$A:$K,11,0),0)+IFERROR(VLOOKUP($A584,[2]库存使用数据!$A:$K,11,0),0)+IFERROR(VLOOKUP($A584,[3]库存使用数据!$A:$K,11,0),0)+IFERROR(VLOOKUP($A584,[4]库存使用数据!$A:$K,11,0),0)+IFERROR(VLOOKUP($A584,[5]库存使用数据!$A:$K,11,0),0)</f>
        <v>88</v>
      </c>
      <c r="L584" s="1">
        <f ca="1">IFERROR(VLOOKUP($A584,[1]库存使用数据!$A:$L,12,0),0)+IFERROR(VLOOKUP($A584,[2]库存使用数据!$A:$L,12,0),0)+IFERROR(VLOOKUP($A584,[3]库存使用数据!$A:$L,12,0),0)+IFERROR(VLOOKUP($A584,[4]库存使用数据!$A:$L,12,0),0)+IFERROR(VLOOKUP($A584,[5]库存使用数据!$A:$L,12,0),0)</f>
        <v>1</v>
      </c>
      <c r="M584" s="1">
        <f ca="1">IFERROR(VLOOKUP($A584,[1]库存使用数据!$A:$M,13,0),0)+IFERROR(VLOOKUP($A584,[2]库存使用数据!$A:$M,13,0),0)+公式!$B$14*IFERROR(VLOOKUP($A584,[3]库存使用数据!$A:$M,13,0),0)+IFERROR(VLOOKUP($A584,[4]库存使用数据!$A:$M,13,0),0)+IFERROR(VLOOKUP($A584,[5]库存使用数据!$A:$M,13,0),0)</f>
        <v>0.1</v>
      </c>
    </row>
    <row r="585" spans="1:13">
      <c r="A585" s="6" t="s">
        <v>590</v>
      </c>
      <c r="B585" s="2">
        <f ca="1">IFERROR(VLOOKUP(A585,[1]库存使用数据!$A:$B,2,0),0)+IFERROR(VLOOKUP(A585,[2]库存使用数据!$A:$B,2,0),0)+IFERROR(VLOOKUP(,[3]库存使用数据!$A:$B,2,0),0)+IFERROR(VLOOKUP(A585,[4]库存使用数据!$A:$B,2,0),0)+IFERROR(VLOOKUP(A585,[5]库存使用数据!$A:$B,2,0),0)</f>
        <v>0</v>
      </c>
      <c r="C585" s="1">
        <f ca="1">IFERROR(VLOOKUP($A585,[1]库存使用数据!$A:$C,3,0),0)+IFERROR(VLOOKUP($A585,[2]库存使用数据!$A:$C,3,0),0)+IFERROR(VLOOKUP($A585,[3]库存使用数据!$A:$C,3,0),0)+IFERROR(VLOOKUP($A585,[4]库存使用数据!$A:$C,3,0),0)+IFERROR(VLOOKUP($A585,[5]库存使用数据!$A:$C,3,0),0)</f>
        <v>0</v>
      </c>
      <c r="D585" s="1">
        <f ca="1">IFERROR(VLOOKUP($A585,[1]库存使用数据!$A:$D,4,0),0)+IFERROR(VLOOKUP($A585,[2]库存使用数据!$A:$D,4,0),0)+公式!$B$1*IFERROR(VLOOKUP($A585,[3]库存使用数据!$A:$D,4,0),0)+IFERROR(VLOOKUP($A585,[4]库存使用数据!$A:$D,4,0),0)+IFERROR(VLOOKUP($A585,[5]库存使用数据!$A:$D,4,0),0)</f>
        <v>0</v>
      </c>
      <c r="E585" s="1">
        <f ca="1">IFERROR(VLOOKUP($A585,[1]库存使用数据!$A:$E,5,0),0)+IFERROR(VLOOKUP($A585,[2]库存使用数据!$A:$E,5,0),0)+IFERROR(VLOOKUP($A585,[3]库存使用数据!$A:$E,5,0),0)+IFERROR(VLOOKUP($A585,[4]库存使用数据!$A:$E,5,0),0)+IFERROR(VLOOKUP($A585,[5]库存使用数据!$A:$E,5,0),0)</f>
        <v>33</v>
      </c>
      <c r="F585" s="1">
        <f ca="1">IFERROR(VLOOKUP($A585,[1]库存使用数据!$A:$F,6,0),0)+IFERROR(VLOOKUP($A585,[2]库存使用数据!$A:$F,6,0),0)+IFERROR(VLOOKUP($A585,[4]库存使用数据!$A:$F,6,0),0)+IFERROR(VLOOKUP($A585,[3]库存使用数据!$A:$F,6,0),0)+IFERROR(VLOOKUP($A585,[5]库存使用数据!$A:$F,6,0),0)</f>
        <v>0</v>
      </c>
      <c r="G585" s="1">
        <f ca="1">IFERROR(VLOOKUP($A585,[1]库存使用数据!$A:$G,7,0),0)+IFERROR(VLOOKUP($A585,[2]库存使用数据!$A:$G,7,0),0)+公式!$B$14*IFERROR(VLOOKUP($A585,[3]库存使用数据!$A:$G,7,0),0)+IFERROR(VLOOKUP($A585,[4]库存使用数据!$A:$G,7,0),0)+IFERROR(VLOOKUP($A585,[5]库存使用数据!$A:$G,7,0),0)</f>
        <v>0</v>
      </c>
      <c r="H585" s="1">
        <f ca="1">IFERROR(VLOOKUP($A585,[1]库存使用数据!$A:$H,8,0),0)+IFERROR(VLOOKUP($A585,[2]库存使用数据!$A:$H,8,0),0)+IFERROR(VLOOKUP($A585,[3]库存使用数据!$A:$H,8,0),0)+IFERROR(VLOOKUP($A585,[4]库存使用数据!$A:$H,8,0),0)+IFERROR(VLOOKUP($A585,[5]库存使用数据!$A:$H,8,0),0)</f>
        <v>31</v>
      </c>
      <c r="I585" s="1">
        <f ca="1">IFERROR(VLOOKUP($A585,[1]库存使用数据!$A:$I,9,0),0)+IFERROR(VLOOKUP($A585,[2]库存使用数据!$A:$I,9,0),0)+IFERROR(VLOOKUP($A585,[3]库存使用数据!$A:$I,9,0),0)+IFERROR(VLOOKUP($A585,[4]库存使用数据!$A:$I,9,0),0)+IFERROR(VLOOKUP($A585,[5]库存使用数据!$A:$I,9,0),0)</f>
        <v>1</v>
      </c>
      <c r="J585" s="1">
        <f ca="1">IFERROR(VLOOKUP($A585,[1]库存使用数据!$A:$J,10,0),0)+IFERROR(VLOOKUP($A585,[2]库存使用数据!$A:$J,10,0),0)+公式!$B$14*IFERROR(VLOOKUP($A585,[3]库存使用数据!$A:$J,10,0),0)+IFERROR(VLOOKUP($A585,[4]库存使用数据!$A:$J,10,0),0)+IFERROR(VLOOKUP($A585,[5]库存使用数据!$A:$J,10,0),0)</f>
        <v>0.26</v>
      </c>
      <c r="K585" s="1">
        <f ca="1">IFERROR(VLOOKUP($A585,[1]库存使用数据!$A:$K,11,0),0)+IFERROR(VLOOKUP($A585,[2]库存使用数据!$A:$K,11,0),0)+IFERROR(VLOOKUP($A585,[3]库存使用数据!$A:$K,11,0),0)+IFERROR(VLOOKUP($A585,[4]库存使用数据!$A:$K,11,0),0)+IFERROR(VLOOKUP($A585,[5]库存使用数据!$A:$K,11,0),0)</f>
        <v>149</v>
      </c>
      <c r="L585" s="1">
        <f ca="1">IFERROR(VLOOKUP($A585,[1]库存使用数据!$A:$L,12,0),0)+IFERROR(VLOOKUP($A585,[2]库存使用数据!$A:$L,12,0),0)+IFERROR(VLOOKUP($A585,[3]库存使用数据!$A:$L,12,0),0)+IFERROR(VLOOKUP($A585,[4]库存使用数据!$A:$L,12,0),0)+IFERROR(VLOOKUP($A585,[5]库存使用数据!$A:$L,12,0),0)</f>
        <v>0</v>
      </c>
      <c r="M585" s="1">
        <f ca="1">IFERROR(VLOOKUP($A585,[1]库存使用数据!$A:$M,13,0),0)+IFERROR(VLOOKUP($A585,[2]库存使用数据!$A:$M,13,0),0)+公式!$B$14*IFERROR(VLOOKUP($A585,[3]库存使用数据!$A:$M,13,0),0)+IFERROR(VLOOKUP($A585,[4]库存使用数据!$A:$M,13,0),0)+IFERROR(VLOOKUP($A585,[5]库存使用数据!$A:$M,13,0),0)</f>
        <v>0</v>
      </c>
    </row>
    <row r="586" spans="1:13">
      <c r="A586" s="6" t="s">
        <v>591</v>
      </c>
      <c r="B586" s="2">
        <f ca="1">IFERROR(VLOOKUP(A586,[1]库存使用数据!$A:$B,2,0),0)+IFERROR(VLOOKUP(A586,[2]库存使用数据!$A:$B,2,0),0)+IFERROR(VLOOKUP(,[3]库存使用数据!$A:$B,2,0),0)+IFERROR(VLOOKUP(A586,[4]库存使用数据!$A:$B,2,0),0)+IFERROR(VLOOKUP(A586,[5]库存使用数据!$A:$B,2,0),0)</f>
        <v>0</v>
      </c>
      <c r="C586" s="1">
        <f ca="1">IFERROR(VLOOKUP($A586,[1]库存使用数据!$A:$C,3,0),0)+IFERROR(VLOOKUP($A586,[2]库存使用数据!$A:$C,3,0),0)+IFERROR(VLOOKUP($A586,[3]库存使用数据!$A:$C,3,0),0)+IFERROR(VLOOKUP($A586,[4]库存使用数据!$A:$C,3,0),0)+IFERROR(VLOOKUP($A586,[5]库存使用数据!$A:$C,3,0),0)</f>
        <v>0</v>
      </c>
      <c r="D586" s="1">
        <f ca="1">IFERROR(VLOOKUP($A586,[1]库存使用数据!$A:$D,4,0),0)+IFERROR(VLOOKUP($A586,[2]库存使用数据!$A:$D,4,0),0)+公式!$B$1*IFERROR(VLOOKUP($A586,[3]库存使用数据!$A:$D,4,0),0)+IFERROR(VLOOKUP($A586,[4]库存使用数据!$A:$D,4,0),0)+IFERROR(VLOOKUP($A586,[5]库存使用数据!$A:$D,4,0),0)</f>
        <v>0</v>
      </c>
      <c r="E586" s="1">
        <f ca="1">IFERROR(VLOOKUP($A586,[1]库存使用数据!$A:$E,5,0),0)+IFERROR(VLOOKUP($A586,[2]库存使用数据!$A:$E,5,0),0)+IFERROR(VLOOKUP($A586,[3]库存使用数据!$A:$E,5,0),0)+IFERROR(VLOOKUP($A586,[4]库存使用数据!$A:$E,5,0),0)+IFERROR(VLOOKUP($A586,[5]库存使用数据!$A:$E,5,0),0)</f>
        <v>31</v>
      </c>
      <c r="F586" s="1">
        <f ca="1">IFERROR(VLOOKUP($A586,[1]库存使用数据!$A:$F,6,0),0)+IFERROR(VLOOKUP($A586,[2]库存使用数据!$A:$F,6,0),0)+IFERROR(VLOOKUP($A586,[4]库存使用数据!$A:$F,6,0),0)+IFERROR(VLOOKUP($A586,[3]库存使用数据!$A:$F,6,0),0)+IFERROR(VLOOKUP($A586,[5]库存使用数据!$A:$F,6,0),0)</f>
        <v>0</v>
      </c>
      <c r="G586" s="1">
        <f ca="1">IFERROR(VLOOKUP($A586,[1]库存使用数据!$A:$G,7,0),0)+IFERROR(VLOOKUP($A586,[2]库存使用数据!$A:$G,7,0),0)+公式!$B$14*IFERROR(VLOOKUP($A586,[3]库存使用数据!$A:$G,7,0),0)+IFERROR(VLOOKUP($A586,[4]库存使用数据!$A:$G,7,0),0)+IFERROR(VLOOKUP($A586,[5]库存使用数据!$A:$G,7,0),0)</f>
        <v>0</v>
      </c>
      <c r="H586" s="1">
        <f ca="1">IFERROR(VLOOKUP($A586,[1]库存使用数据!$A:$H,8,0),0)+IFERROR(VLOOKUP($A586,[2]库存使用数据!$A:$H,8,0),0)+IFERROR(VLOOKUP($A586,[3]库存使用数据!$A:$H,8,0),0)+IFERROR(VLOOKUP($A586,[4]库存使用数据!$A:$H,8,0),0)+IFERROR(VLOOKUP($A586,[5]库存使用数据!$A:$H,8,0),0)</f>
        <v>16</v>
      </c>
      <c r="I586" s="1">
        <f ca="1">IFERROR(VLOOKUP($A586,[1]库存使用数据!$A:$I,9,0),0)+IFERROR(VLOOKUP($A586,[2]库存使用数据!$A:$I,9,0),0)+IFERROR(VLOOKUP($A586,[3]库存使用数据!$A:$I,9,0),0)+IFERROR(VLOOKUP($A586,[4]库存使用数据!$A:$I,9,0),0)+IFERROR(VLOOKUP($A586,[5]库存使用数据!$A:$I,9,0),0)</f>
        <v>0</v>
      </c>
      <c r="J586" s="1">
        <f ca="1">IFERROR(VLOOKUP($A586,[1]库存使用数据!$A:$J,10,0),0)+IFERROR(VLOOKUP($A586,[2]库存使用数据!$A:$J,10,0),0)+公式!$B$14*IFERROR(VLOOKUP($A586,[3]库存使用数据!$A:$J,10,0),0)+IFERROR(VLOOKUP($A586,[4]库存使用数据!$A:$J,10,0),0)+IFERROR(VLOOKUP($A586,[5]库存使用数据!$A:$J,10,0),0)</f>
        <v>0</v>
      </c>
      <c r="K586" s="1">
        <f ca="1">IFERROR(VLOOKUP($A586,[1]库存使用数据!$A:$K,11,0),0)+IFERROR(VLOOKUP($A586,[2]库存使用数据!$A:$K,11,0),0)+IFERROR(VLOOKUP($A586,[3]库存使用数据!$A:$K,11,0),0)+IFERROR(VLOOKUP($A586,[4]库存使用数据!$A:$K,11,0),0)+IFERROR(VLOOKUP($A586,[5]库存使用数据!$A:$K,11,0),0)</f>
        <v>35</v>
      </c>
      <c r="L586" s="1">
        <f ca="1">IFERROR(VLOOKUP($A586,[1]库存使用数据!$A:$L,12,0),0)+IFERROR(VLOOKUP($A586,[2]库存使用数据!$A:$L,12,0),0)+IFERROR(VLOOKUP($A586,[3]库存使用数据!$A:$L,12,0),0)+IFERROR(VLOOKUP($A586,[4]库存使用数据!$A:$L,12,0),0)+IFERROR(VLOOKUP($A586,[5]库存使用数据!$A:$L,12,0),0)</f>
        <v>0</v>
      </c>
      <c r="M586" s="1">
        <f ca="1">IFERROR(VLOOKUP($A586,[1]库存使用数据!$A:$M,13,0),0)+IFERROR(VLOOKUP($A586,[2]库存使用数据!$A:$M,13,0),0)+公式!$B$14*IFERROR(VLOOKUP($A586,[3]库存使用数据!$A:$M,13,0),0)+IFERROR(VLOOKUP($A586,[4]库存使用数据!$A:$M,13,0),0)+IFERROR(VLOOKUP($A586,[5]库存使用数据!$A:$M,13,0),0)</f>
        <v>0</v>
      </c>
    </row>
    <row r="587" spans="1:13">
      <c r="A587" s="6" t="s">
        <v>592</v>
      </c>
      <c r="B587" s="2">
        <f ca="1">IFERROR(VLOOKUP(A587,[1]库存使用数据!$A:$B,2,0),0)+IFERROR(VLOOKUP(A587,[2]库存使用数据!$A:$B,2,0),0)+IFERROR(VLOOKUP(,[3]库存使用数据!$A:$B,2,0),0)+IFERROR(VLOOKUP(A587,[4]库存使用数据!$A:$B,2,0),0)+IFERROR(VLOOKUP(A587,[5]库存使用数据!$A:$B,2,0),0)</f>
        <v>314</v>
      </c>
      <c r="C587" s="1">
        <f ca="1">IFERROR(VLOOKUP($A587,[1]库存使用数据!$A:$C,3,0),0)+IFERROR(VLOOKUP($A587,[2]库存使用数据!$A:$C,3,0),0)+IFERROR(VLOOKUP($A587,[3]库存使用数据!$A:$C,3,0),0)+IFERROR(VLOOKUP($A587,[4]库存使用数据!$A:$C,3,0),0)+IFERROR(VLOOKUP($A587,[5]库存使用数据!$A:$C,3,0),0)</f>
        <v>2</v>
      </c>
      <c r="D587" s="1">
        <f ca="1">IFERROR(VLOOKUP($A587,[1]库存使用数据!$A:$D,4,0),0)+IFERROR(VLOOKUP($A587,[2]库存使用数据!$A:$D,4,0),0)+公式!$B$1*IFERROR(VLOOKUP($A587,[3]库存使用数据!$A:$D,4,0),0)+IFERROR(VLOOKUP($A587,[4]库存使用数据!$A:$D,4,0),0)+IFERROR(VLOOKUP($A587,[5]库存使用数据!$A:$D,4,0),0)</f>
        <v>0.1</v>
      </c>
      <c r="E587" s="1">
        <f ca="1">IFERROR(VLOOKUP($A587,[1]库存使用数据!$A:$E,5,0),0)+IFERROR(VLOOKUP($A587,[2]库存使用数据!$A:$E,5,0),0)+IFERROR(VLOOKUP($A587,[3]库存使用数据!$A:$E,5,0),0)+IFERROR(VLOOKUP($A587,[4]库存使用数据!$A:$E,5,0),0)+IFERROR(VLOOKUP($A587,[5]库存使用数据!$A:$E,5,0),0)</f>
        <v>611</v>
      </c>
      <c r="F587" s="1">
        <f ca="1">IFERROR(VLOOKUP($A587,[1]库存使用数据!$A:$F,6,0),0)+IFERROR(VLOOKUP($A587,[2]库存使用数据!$A:$F,6,0),0)+IFERROR(VLOOKUP($A587,[4]库存使用数据!$A:$F,6,0),0)+IFERROR(VLOOKUP($A587,[3]库存使用数据!$A:$F,6,0),0)+IFERROR(VLOOKUP($A587,[5]库存使用数据!$A:$F,6,0),0)</f>
        <v>1</v>
      </c>
      <c r="G587" s="1">
        <f ca="1">IFERROR(VLOOKUP($A587,[1]库存使用数据!$A:$G,7,0),0)+IFERROR(VLOOKUP($A587,[2]库存使用数据!$A:$G,7,0),0)+公式!$B$14*IFERROR(VLOOKUP($A587,[3]库存使用数据!$A:$G,7,0),0)+IFERROR(VLOOKUP($A587,[4]库存使用数据!$A:$G,7,0),0)+IFERROR(VLOOKUP($A587,[5]库存使用数据!$A:$G,7,0),0)</f>
        <v>0.09</v>
      </c>
      <c r="H587" s="1">
        <f ca="1">IFERROR(VLOOKUP($A587,[1]库存使用数据!$A:$H,8,0),0)+IFERROR(VLOOKUP($A587,[2]库存使用数据!$A:$H,8,0),0)+IFERROR(VLOOKUP($A587,[3]库存使用数据!$A:$H,8,0),0)+IFERROR(VLOOKUP($A587,[4]库存使用数据!$A:$H,8,0),0)+IFERROR(VLOOKUP($A587,[5]库存使用数据!$A:$H,8,0),0)</f>
        <v>323</v>
      </c>
      <c r="I587" s="1">
        <f ca="1">IFERROR(VLOOKUP($A587,[1]库存使用数据!$A:$I,9,0),0)+IFERROR(VLOOKUP($A587,[2]库存使用数据!$A:$I,9,0),0)+IFERROR(VLOOKUP($A587,[3]库存使用数据!$A:$I,9,0),0)+IFERROR(VLOOKUP($A587,[4]库存使用数据!$A:$I,9,0),0)+IFERROR(VLOOKUP($A587,[5]库存使用数据!$A:$I,9,0),0)</f>
        <v>1</v>
      </c>
      <c r="J587" s="1">
        <f ca="1">IFERROR(VLOOKUP($A587,[1]库存使用数据!$A:$J,10,0),0)+IFERROR(VLOOKUP($A587,[2]库存使用数据!$A:$J,10,0),0)+公式!$B$14*IFERROR(VLOOKUP($A587,[3]库存使用数据!$A:$J,10,0),0)+IFERROR(VLOOKUP($A587,[4]库存使用数据!$A:$J,10,0),0)+IFERROR(VLOOKUP($A587,[5]库存使用数据!$A:$J,10,0),0)</f>
        <v>0.05</v>
      </c>
      <c r="K587" s="1">
        <f ca="1">IFERROR(VLOOKUP($A587,[1]库存使用数据!$A:$K,11,0),0)+IFERROR(VLOOKUP($A587,[2]库存使用数据!$A:$K,11,0),0)+IFERROR(VLOOKUP($A587,[3]库存使用数据!$A:$K,11,0),0)+IFERROR(VLOOKUP($A587,[4]库存使用数据!$A:$K,11,0),0)+IFERROR(VLOOKUP($A587,[5]库存使用数据!$A:$K,11,0),0)</f>
        <v>201</v>
      </c>
      <c r="L587" s="1">
        <f ca="1">IFERROR(VLOOKUP($A587,[1]库存使用数据!$A:$L,12,0),0)+IFERROR(VLOOKUP($A587,[2]库存使用数据!$A:$L,12,0),0)+IFERROR(VLOOKUP($A587,[3]库存使用数据!$A:$L,12,0),0)+IFERROR(VLOOKUP($A587,[4]库存使用数据!$A:$L,12,0),0)+IFERROR(VLOOKUP($A587,[5]库存使用数据!$A:$L,12,0),0)</f>
        <v>1</v>
      </c>
      <c r="M587" s="1">
        <f ca="1">IFERROR(VLOOKUP($A587,[1]库存使用数据!$A:$M,13,0),0)+IFERROR(VLOOKUP($A587,[2]库存使用数据!$A:$M,13,0),0)+公式!$B$14*IFERROR(VLOOKUP($A587,[3]库存使用数据!$A:$M,13,0),0)+IFERROR(VLOOKUP($A587,[4]库存使用数据!$A:$M,13,0),0)+IFERROR(VLOOKUP($A587,[5]库存使用数据!$A:$M,13,0),0)</f>
        <v>0.26</v>
      </c>
    </row>
    <row r="588" spans="1:13">
      <c r="A588" s="6" t="s">
        <v>593</v>
      </c>
      <c r="B588" s="2">
        <f ca="1">IFERROR(VLOOKUP(A588,[1]库存使用数据!$A:$B,2,0),0)+IFERROR(VLOOKUP(A588,[2]库存使用数据!$A:$B,2,0),0)+IFERROR(VLOOKUP(,[3]库存使用数据!$A:$B,2,0),0)+IFERROR(VLOOKUP(A588,[4]库存使用数据!$A:$B,2,0),0)+IFERROR(VLOOKUP(A588,[5]库存使用数据!$A:$B,2,0),0)</f>
        <v>0</v>
      </c>
      <c r="C588" s="1">
        <f ca="1">IFERROR(VLOOKUP($A588,[1]库存使用数据!$A:$C,3,0),0)+IFERROR(VLOOKUP($A588,[2]库存使用数据!$A:$C,3,0),0)+IFERROR(VLOOKUP($A588,[3]库存使用数据!$A:$C,3,0),0)+IFERROR(VLOOKUP($A588,[4]库存使用数据!$A:$C,3,0),0)+IFERROR(VLOOKUP($A588,[5]库存使用数据!$A:$C,3,0),0)</f>
        <v>0</v>
      </c>
      <c r="D588" s="1">
        <f ca="1">IFERROR(VLOOKUP($A588,[1]库存使用数据!$A:$D,4,0),0)+IFERROR(VLOOKUP($A588,[2]库存使用数据!$A:$D,4,0),0)+公式!$B$1*IFERROR(VLOOKUP($A588,[3]库存使用数据!$A:$D,4,0),0)+IFERROR(VLOOKUP($A588,[4]库存使用数据!$A:$D,4,0),0)+IFERROR(VLOOKUP($A588,[5]库存使用数据!$A:$D,4,0),0)</f>
        <v>0</v>
      </c>
      <c r="E588" s="1">
        <f ca="1">IFERROR(VLOOKUP($A588,[1]库存使用数据!$A:$E,5,0),0)+IFERROR(VLOOKUP($A588,[2]库存使用数据!$A:$E,5,0),0)+IFERROR(VLOOKUP($A588,[3]库存使用数据!$A:$E,5,0),0)+IFERROR(VLOOKUP($A588,[4]库存使用数据!$A:$E,5,0),0)+IFERROR(VLOOKUP($A588,[5]库存使用数据!$A:$E,5,0),0)</f>
        <v>47</v>
      </c>
      <c r="F588" s="1">
        <f ca="1">IFERROR(VLOOKUP($A588,[1]库存使用数据!$A:$F,6,0),0)+IFERROR(VLOOKUP($A588,[2]库存使用数据!$A:$F,6,0),0)+IFERROR(VLOOKUP($A588,[4]库存使用数据!$A:$F,6,0),0)+IFERROR(VLOOKUP($A588,[3]库存使用数据!$A:$F,6,0),0)+IFERROR(VLOOKUP($A588,[5]库存使用数据!$A:$F,6,0),0)</f>
        <v>0</v>
      </c>
      <c r="G588" s="1">
        <f ca="1">IFERROR(VLOOKUP($A588,[1]库存使用数据!$A:$G,7,0),0)+IFERROR(VLOOKUP($A588,[2]库存使用数据!$A:$G,7,0),0)+公式!$B$14*IFERROR(VLOOKUP($A588,[3]库存使用数据!$A:$G,7,0),0)+IFERROR(VLOOKUP($A588,[4]库存使用数据!$A:$G,7,0),0)+IFERROR(VLOOKUP($A588,[5]库存使用数据!$A:$G,7,0),0)</f>
        <v>0</v>
      </c>
      <c r="H588" s="1">
        <f ca="1">IFERROR(VLOOKUP($A588,[1]库存使用数据!$A:$H,8,0),0)+IFERROR(VLOOKUP($A588,[2]库存使用数据!$A:$H,8,0),0)+IFERROR(VLOOKUP($A588,[3]库存使用数据!$A:$H,8,0),0)+IFERROR(VLOOKUP($A588,[4]库存使用数据!$A:$H,8,0),0)+IFERROR(VLOOKUP($A588,[5]库存使用数据!$A:$H,8,0),0)</f>
        <v>18</v>
      </c>
      <c r="I588" s="1">
        <f ca="1">IFERROR(VLOOKUP($A588,[1]库存使用数据!$A:$I,9,0),0)+IFERROR(VLOOKUP($A588,[2]库存使用数据!$A:$I,9,0),0)+IFERROR(VLOOKUP($A588,[3]库存使用数据!$A:$I,9,0),0)+IFERROR(VLOOKUP($A588,[4]库存使用数据!$A:$I,9,0),0)+IFERROR(VLOOKUP($A588,[5]库存使用数据!$A:$I,9,0),0)</f>
        <v>0</v>
      </c>
      <c r="J588" s="1">
        <f ca="1">IFERROR(VLOOKUP($A588,[1]库存使用数据!$A:$J,10,0),0)+IFERROR(VLOOKUP($A588,[2]库存使用数据!$A:$J,10,0),0)+公式!$B$14*IFERROR(VLOOKUP($A588,[3]库存使用数据!$A:$J,10,0),0)+IFERROR(VLOOKUP($A588,[4]库存使用数据!$A:$J,10,0),0)+IFERROR(VLOOKUP($A588,[5]库存使用数据!$A:$J,10,0),0)</f>
        <v>0</v>
      </c>
      <c r="K588" s="1">
        <f ca="1">IFERROR(VLOOKUP($A588,[1]库存使用数据!$A:$K,11,0),0)+IFERROR(VLOOKUP($A588,[2]库存使用数据!$A:$K,11,0),0)+IFERROR(VLOOKUP($A588,[3]库存使用数据!$A:$K,11,0),0)+IFERROR(VLOOKUP($A588,[4]库存使用数据!$A:$K,11,0),0)+IFERROR(VLOOKUP($A588,[5]库存使用数据!$A:$K,11,0),0)</f>
        <v>15</v>
      </c>
      <c r="L588" s="1">
        <f ca="1">IFERROR(VLOOKUP($A588,[1]库存使用数据!$A:$L,12,0),0)+IFERROR(VLOOKUP($A588,[2]库存使用数据!$A:$L,12,0),0)+IFERROR(VLOOKUP($A588,[3]库存使用数据!$A:$L,12,0),0)+IFERROR(VLOOKUP($A588,[4]库存使用数据!$A:$L,12,0),0)+IFERROR(VLOOKUP($A588,[5]库存使用数据!$A:$L,12,0),0)</f>
        <v>0</v>
      </c>
      <c r="M588" s="1">
        <f ca="1">IFERROR(VLOOKUP($A588,[1]库存使用数据!$A:$M,13,0),0)+IFERROR(VLOOKUP($A588,[2]库存使用数据!$A:$M,13,0),0)+公式!$B$14*IFERROR(VLOOKUP($A588,[3]库存使用数据!$A:$M,13,0),0)+IFERROR(VLOOKUP($A588,[4]库存使用数据!$A:$M,13,0),0)+IFERROR(VLOOKUP($A588,[5]库存使用数据!$A:$M,13,0),0)</f>
        <v>0</v>
      </c>
    </row>
    <row r="589" spans="1:13">
      <c r="A589" s="6" t="s">
        <v>594</v>
      </c>
      <c r="B589" s="2">
        <f ca="1">IFERROR(VLOOKUP(A589,[1]库存使用数据!$A:$B,2,0),0)+IFERROR(VLOOKUP(A589,[2]库存使用数据!$A:$B,2,0),0)+IFERROR(VLOOKUP(,[3]库存使用数据!$A:$B,2,0),0)+IFERROR(VLOOKUP(A589,[4]库存使用数据!$A:$B,2,0),0)+IFERROR(VLOOKUP(A589,[5]库存使用数据!$A:$B,2,0),0)</f>
        <v>0</v>
      </c>
      <c r="C589" s="1">
        <f ca="1">IFERROR(VLOOKUP($A589,[1]库存使用数据!$A:$C,3,0),0)+IFERROR(VLOOKUP($A589,[2]库存使用数据!$A:$C,3,0),0)+IFERROR(VLOOKUP($A589,[3]库存使用数据!$A:$C,3,0),0)+IFERROR(VLOOKUP($A589,[4]库存使用数据!$A:$C,3,0),0)+IFERROR(VLOOKUP($A589,[5]库存使用数据!$A:$C,3,0),0)</f>
        <v>0</v>
      </c>
      <c r="D589" s="1">
        <f ca="1">IFERROR(VLOOKUP($A589,[1]库存使用数据!$A:$D,4,0),0)+IFERROR(VLOOKUP($A589,[2]库存使用数据!$A:$D,4,0),0)+公式!$B$1*IFERROR(VLOOKUP($A589,[3]库存使用数据!$A:$D,4,0),0)+IFERROR(VLOOKUP($A589,[4]库存使用数据!$A:$D,4,0),0)+IFERROR(VLOOKUP($A589,[5]库存使用数据!$A:$D,4,0),0)</f>
        <v>0</v>
      </c>
      <c r="E589" s="1">
        <f ca="1">IFERROR(VLOOKUP($A589,[1]库存使用数据!$A:$E,5,0),0)+IFERROR(VLOOKUP($A589,[2]库存使用数据!$A:$E,5,0),0)+IFERROR(VLOOKUP($A589,[3]库存使用数据!$A:$E,5,0),0)+IFERROR(VLOOKUP($A589,[4]库存使用数据!$A:$E,5,0),0)+IFERROR(VLOOKUP($A589,[5]库存使用数据!$A:$E,5,0),0)</f>
        <v>59</v>
      </c>
      <c r="F589" s="1">
        <f ca="1">IFERROR(VLOOKUP($A589,[1]库存使用数据!$A:$F,6,0),0)+IFERROR(VLOOKUP($A589,[2]库存使用数据!$A:$F,6,0),0)+IFERROR(VLOOKUP($A589,[4]库存使用数据!$A:$F,6,0),0)+IFERROR(VLOOKUP($A589,[3]库存使用数据!$A:$F,6,0),0)+IFERROR(VLOOKUP($A589,[5]库存使用数据!$A:$F,6,0),0)</f>
        <v>0</v>
      </c>
      <c r="G589" s="1">
        <f ca="1">IFERROR(VLOOKUP($A589,[1]库存使用数据!$A:$G,7,0),0)+IFERROR(VLOOKUP($A589,[2]库存使用数据!$A:$G,7,0),0)+公式!$B$14*IFERROR(VLOOKUP($A589,[3]库存使用数据!$A:$G,7,0),0)+IFERROR(VLOOKUP($A589,[4]库存使用数据!$A:$G,7,0),0)+IFERROR(VLOOKUP($A589,[5]库存使用数据!$A:$G,7,0),0)</f>
        <v>0</v>
      </c>
      <c r="H589" s="1">
        <f ca="1">IFERROR(VLOOKUP($A589,[1]库存使用数据!$A:$H,8,0),0)+IFERROR(VLOOKUP($A589,[2]库存使用数据!$A:$H,8,0),0)+IFERROR(VLOOKUP($A589,[3]库存使用数据!$A:$H,8,0),0)+IFERROR(VLOOKUP($A589,[4]库存使用数据!$A:$H,8,0),0)+IFERROR(VLOOKUP($A589,[5]库存使用数据!$A:$H,8,0),0)</f>
        <v>16</v>
      </c>
      <c r="I589" s="1">
        <f ca="1">IFERROR(VLOOKUP($A589,[1]库存使用数据!$A:$I,9,0),0)+IFERROR(VLOOKUP($A589,[2]库存使用数据!$A:$I,9,0),0)+IFERROR(VLOOKUP($A589,[3]库存使用数据!$A:$I,9,0),0)+IFERROR(VLOOKUP($A589,[4]库存使用数据!$A:$I,9,0),0)+IFERROR(VLOOKUP($A589,[5]库存使用数据!$A:$I,9,0),0)</f>
        <v>0</v>
      </c>
      <c r="J589" s="1">
        <f ca="1">IFERROR(VLOOKUP($A589,[1]库存使用数据!$A:$J,10,0),0)+IFERROR(VLOOKUP($A589,[2]库存使用数据!$A:$J,10,0),0)+公式!$B$14*IFERROR(VLOOKUP($A589,[3]库存使用数据!$A:$J,10,0),0)+IFERROR(VLOOKUP($A589,[4]库存使用数据!$A:$J,10,0),0)+IFERROR(VLOOKUP($A589,[5]库存使用数据!$A:$J,10,0),0)</f>
        <v>0</v>
      </c>
      <c r="K589" s="1">
        <f ca="1">IFERROR(VLOOKUP($A589,[1]库存使用数据!$A:$K,11,0),0)+IFERROR(VLOOKUP($A589,[2]库存使用数据!$A:$K,11,0),0)+IFERROR(VLOOKUP($A589,[3]库存使用数据!$A:$K,11,0),0)+IFERROR(VLOOKUP($A589,[4]库存使用数据!$A:$K,11,0),0)+IFERROR(VLOOKUP($A589,[5]库存使用数据!$A:$K,11,0),0)</f>
        <v>1</v>
      </c>
      <c r="L589" s="1">
        <f ca="1">IFERROR(VLOOKUP($A589,[1]库存使用数据!$A:$L,12,0),0)+IFERROR(VLOOKUP($A589,[2]库存使用数据!$A:$L,12,0),0)+IFERROR(VLOOKUP($A589,[3]库存使用数据!$A:$L,12,0),0)+IFERROR(VLOOKUP($A589,[4]库存使用数据!$A:$L,12,0),0)+IFERROR(VLOOKUP($A589,[5]库存使用数据!$A:$L,12,0),0)</f>
        <v>0</v>
      </c>
      <c r="M589" s="1">
        <f ca="1">IFERROR(VLOOKUP($A589,[1]库存使用数据!$A:$M,13,0),0)+IFERROR(VLOOKUP($A589,[2]库存使用数据!$A:$M,13,0),0)+公式!$B$14*IFERROR(VLOOKUP($A589,[3]库存使用数据!$A:$M,13,0),0)+IFERROR(VLOOKUP($A589,[4]库存使用数据!$A:$M,13,0),0)+IFERROR(VLOOKUP($A589,[5]库存使用数据!$A:$M,13,0),0)</f>
        <v>0</v>
      </c>
    </row>
    <row r="590" spans="1:13">
      <c r="A590" s="6" t="s">
        <v>595</v>
      </c>
      <c r="B590" s="2">
        <f ca="1">IFERROR(VLOOKUP(A590,[1]库存使用数据!$A:$B,2,0),0)+IFERROR(VLOOKUP(A590,[2]库存使用数据!$A:$B,2,0),0)+IFERROR(VLOOKUP(,[3]库存使用数据!$A:$B,2,0),0)+IFERROR(VLOOKUP(A590,[4]库存使用数据!$A:$B,2,0),0)+IFERROR(VLOOKUP(A590,[5]库存使用数据!$A:$B,2,0),0)</f>
        <v>0</v>
      </c>
      <c r="C590" s="1">
        <f ca="1">IFERROR(VLOOKUP($A590,[1]库存使用数据!$A:$C,3,0),0)+IFERROR(VLOOKUP($A590,[2]库存使用数据!$A:$C,3,0),0)+IFERROR(VLOOKUP($A590,[3]库存使用数据!$A:$C,3,0),0)+IFERROR(VLOOKUP($A590,[4]库存使用数据!$A:$C,3,0),0)+IFERROR(VLOOKUP($A590,[5]库存使用数据!$A:$C,3,0),0)</f>
        <v>0</v>
      </c>
      <c r="D590" s="1">
        <f ca="1">IFERROR(VLOOKUP($A590,[1]库存使用数据!$A:$D,4,0),0)+IFERROR(VLOOKUP($A590,[2]库存使用数据!$A:$D,4,0),0)+公式!$B$1*IFERROR(VLOOKUP($A590,[3]库存使用数据!$A:$D,4,0),0)+IFERROR(VLOOKUP($A590,[4]库存使用数据!$A:$D,4,0),0)+IFERROR(VLOOKUP($A590,[5]库存使用数据!$A:$D,4,0),0)</f>
        <v>0</v>
      </c>
      <c r="E590" s="1">
        <f ca="1">IFERROR(VLOOKUP($A590,[1]库存使用数据!$A:$E,5,0),0)+IFERROR(VLOOKUP($A590,[2]库存使用数据!$A:$E,5,0),0)+IFERROR(VLOOKUP($A590,[3]库存使用数据!$A:$E,5,0),0)+IFERROR(VLOOKUP($A590,[4]库存使用数据!$A:$E,5,0),0)+IFERROR(VLOOKUP($A590,[5]库存使用数据!$A:$E,5,0),0)</f>
        <v>22733</v>
      </c>
      <c r="F590" s="1">
        <f ca="1">IFERROR(VLOOKUP($A590,[1]库存使用数据!$A:$F,6,0),0)+IFERROR(VLOOKUP($A590,[2]库存使用数据!$A:$F,6,0),0)+IFERROR(VLOOKUP($A590,[4]库存使用数据!$A:$F,6,0),0)+IFERROR(VLOOKUP($A590,[3]库存使用数据!$A:$F,6,0),0)+IFERROR(VLOOKUP($A590,[5]库存使用数据!$A:$F,6,0),0)</f>
        <v>59</v>
      </c>
      <c r="G590" s="1">
        <f ca="1">IFERROR(VLOOKUP($A590,[1]库存使用数据!$A:$G,7,0),0)+IFERROR(VLOOKUP($A590,[2]库存使用数据!$A:$G,7,0),0)+公式!$B$14*IFERROR(VLOOKUP($A590,[3]库存使用数据!$A:$G,7,0),0)+IFERROR(VLOOKUP($A590,[4]库存使用数据!$A:$G,7,0),0)+IFERROR(VLOOKUP($A590,[5]库存使用数据!$A:$G,7,0),0)</f>
        <v>7.94</v>
      </c>
      <c r="H590" s="1">
        <f ca="1">IFERROR(VLOOKUP($A590,[1]库存使用数据!$A:$H,8,0),0)+IFERROR(VLOOKUP($A590,[2]库存使用数据!$A:$H,8,0),0)+IFERROR(VLOOKUP($A590,[3]库存使用数据!$A:$H,8,0),0)+IFERROR(VLOOKUP($A590,[4]库存使用数据!$A:$H,8,0),0)+IFERROR(VLOOKUP($A590,[5]库存使用数据!$A:$H,8,0),0)</f>
        <v>25674</v>
      </c>
      <c r="I590" s="1">
        <f ca="1">IFERROR(VLOOKUP($A590,[1]库存使用数据!$A:$I,9,0),0)+IFERROR(VLOOKUP($A590,[2]库存使用数据!$A:$I,9,0),0)+IFERROR(VLOOKUP($A590,[3]库存使用数据!$A:$I,9,0),0)+IFERROR(VLOOKUP($A590,[4]库存使用数据!$A:$I,9,0),0)+IFERROR(VLOOKUP($A590,[5]库存使用数据!$A:$I,9,0),0)</f>
        <v>36</v>
      </c>
      <c r="J590" s="1">
        <f ca="1">IFERROR(VLOOKUP($A590,[1]库存使用数据!$A:$J,10,0),0)+IFERROR(VLOOKUP($A590,[2]库存使用数据!$A:$J,10,0),0)+公式!$B$14*IFERROR(VLOOKUP($A590,[3]库存使用数据!$A:$J,10,0),0)+IFERROR(VLOOKUP($A590,[4]库存使用数据!$A:$J,10,0),0)+IFERROR(VLOOKUP($A590,[5]库存使用数据!$A:$J,10,0),0)</f>
        <v>5.09</v>
      </c>
      <c r="K590" s="1">
        <f ca="1">IFERROR(VLOOKUP($A590,[1]库存使用数据!$A:$K,11,0),0)+IFERROR(VLOOKUP($A590,[2]库存使用数据!$A:$K,11,0),0)+IFERROR(VLOOKUP($A590,[3]库存使用数据!$A:$K,11,0),0)+IFERROR(VLOOKUP($A590,[4]库存使用数据!$A:$K,11,0),0)+IFERROR(VLOOKUP($A590,[5]库存使用数据!$A:$K,11,0),0)</f>
        <v>0</v>
      </c>
      <c r="L590" s="1">
        <f ca="1">IFERROR(VLOOKUP($A590,[1]库存使用数据!$A:$L,12,0),0)+IFERROR(VLOOKUP($A590,[2]库存使用数据!$A:$L,12,0),0)+IFERROR(VLOOKUP($A590,[3]库存使用数据!$A:$L,12,0),0)+IFERROR(VLOOKUP($A590,[4]库存使用数据!$A:$L,12,0),0)+IFERROR(VLOOKUP($A590,[5]库存使用数据!$A:$L,12,0),0)</f>
        <v>0</v>
      </c>
      <c r="M590" s="1">
        <f ca="1">IFERROR(VLOOKUP($A590,[1]库存使用数据!$A:$M,13,0),0)+IFERROR(VLOOKUP($A590,[2]库存使用数据!$A:$M,13,0),0)+公式!$B$14*IFERROR(VLOOKUP($A590,[3]库存使用数据!$A:$M,13,0),0)+IFERROR(VLOOKUP($A590,[4]库存使用数据!$A:$M,13,0),0)+IFERROR(VLOOKUP($A590,[5]库存使用数据!$A:$M,13,0),0)</f>
        <v>0</v>
      </c>
    </row>
    <row r="591" spans="1:13">
      <c r="A591" s="6" t="s">
        <v>596</v>
      </c>
      <c r="B591" s="2">
        <f ca="1">IFERROR(VLOOKUP(A591,[1]库存使用数据!$A:$B,2,0),0)+IFERROR(VLOOKUP(A591,[2]库存使用数据!$A:$B,2,0),0)+IFERROR(VLOOKUP(,[3]库存使用数据!$A:$B,2,0),0)+IFERROR(VLOOKUP(A591,[4]库存使用数据!$A:$B,2,0),0)+IFERROR(VLOOKUP(A591,[5]库存使用数据!$A:$B,2,0),0)</f>
        <v>0</v>
      </c>
      <c r="C591" s="1">
        <f ca="1">IFERROR(VLOOKUP($A591,[1]库存使用数据!$A:$C,3,0),0)+IFERROR(VLOOKUP($A591,[2]库存使用数据!$A:$C,3,0),0)+IFERROR(VLOOKUP($A591,[3]库存使用数据!$A:$C,3,0),0)+IFERROR(VLOOKUP($A591,[4]库存使用数据!$A:$C,3,0),0)+IFERROR(VLOOKUP($A591,[5]库存使用数据!$A:$C,3,0),0)</f>
        <v>0</v>
      </c>
      <c r="D591" s="1">
        <f ca="1">IFERROR(VLOOKUP($A591,[1]库存使用数据!$A:$D,4,0),0)+IFERROR(VLOOKUP($A591,[2]库存使用数据!$A:$D,4,0),0)+公式!$B$1*IFERROR(VLOOKUP($A591,[3]库存使用数据!$A:$D,4,0),0)+IFERROR(VLOOKUP($A591,[4]库存使用数据!$A:$D,4,0),0)+IFERROR(VLOOKUP($A591,[5]库存使用数据!$A:$D,4,0),0)</f>
        <v>0</v>
      </c>
      <c r="E591" s="1">
        <f ca="1">IFERROR(VLOOKUP($A591,[1]库存使用数据!$A:$E,5,0),0)+IFERROR(VLOOKUP($A591,[2]库存使用数据!$A:$E,5,0),0)+IFERROR(VLOOKUP($A591,[3]库存使用数据!$A:$E,5,0),0)+IFERROR(VLOOKUP($A591,[4]库存使用数据!$A:$E,5,0),0)+IFERROR(VLOOKUP($A591,[5]库存使用数据!$A:$E,5,0),0)</f>
        <v>20774</v>
      </c>
      <c r="F591" s="1">
        <f ca="1">IFERROR(VLOOKUP($A591,[1]库存使用数据!$A:$F,6,0),0)+IFERROR(VLOOKUP($A591,[2]库存使用数据!$A:$F,6,0),0)+IFERROR(VLOOKUP($A591,[4]库存使用数据!$A:$F,6,0),0)+IFERROR(VLOOKUP($A591,[3]库存使用数据!$A:$F,6,0),0)+IFERROR(VLOOKUP($A591,[5]库存使用数据!$A:$F,6,0),0)</f>
        <v>0</v>
      </c>
      <c r="G591" s="1">
        <f ca="1">IFERROR(VLOOKUP($A591,[1]库存使用数据!$A:$G,7,0),0)+IFERROR(VLOOKUP($A591,[2]库存使用数据!$A:$G,7,0),0)+公式!$B$14*IFERROR(VLOOKUP($A591,[3]库存使用数据!$A:$G,7,0),0)+IFERROR(VLOOKUP($A591,[4]库存使用数据!$A:$G,7,0),0)+IFERROR(VLOOKUP($A591,[5]库存使用数据!$A:$G,7,0),0)</f>
        <v>0</v>
      </c>
      <c r="H591" s="1">
        <f ca="1">IFERROR(VLOOKUP($A591,[1]库存使用数据!$A:$H,8,0),0)+IFERROR(VLOOKUP($A591,[2]库存使用数据!$A:$H,8,0),0)+IFERROR(VLOOKUP($A591,[3]库存使用数据!$A:$H,8,0),0)+IFERROR(VLOOKUP($A591,[4]库存使用数据!$A:$H,8,0),0)+IFERROR(VLOOKUP($A591,[5]库存使用数据!$A:$H,8,0),0)</f>
        <v>55</v>
      </c>
      <c r="I591" s="1">
        <f ca="1">IFERROR(VLOOKUP($A591,[1]库存使用数据!$A:$I,9,0),0)+IFERROR(VLOOKUP($A591,[2]库存使用数据!$A:$I,9,0),0)+IFERROR(VLOOKUP($A591,[3]库存使用数据!$A:$I,9,0),0)+IFERROR(VLOOKUP($A591,[4]库存使用数据!$A:$I,9,0),0)+IFERROR(VLOOKUP($A591,[5]库存使用数据!$A:$I,9,0),0)</f>
        <v>0</v>
      </c>
      <c r="J591" s="1">
        <f ca="1">IFERROR(VLOOKUP($A591,[1]库存使用数据!$A:$J,10,0),0)+IFERROR(VLOOKUP($A591,[2]库存使用数据!$A:$J,10,0),0)+公式!$B$14*IFERROR(VLOOKUP($A591,[3]库存使用数据!$A:$J,10,0),0)+IFERROR(VLOOKUP($A591,[4]库存使用数据!$A:$J,10,0),0)+IFERROR(VLOOKUP($A591,[5]库存使用数据!$A:$J,10,0),0)</f>
        <v>0</v>
      </c>
      <c r="K591" s="1">
        <f ca="1">IFERROR(VLOOKUP($A591,[1]库存使用数据!$A:$K,11,0),0)+IFERROR(VLOOKUP($A591,[2]库存使用数据!$A:$K,11,0),0)+IFERROR(VLOOKUP($A591,[3]库存使用数据!$A:$K,11,0),0)+IFERROR(VLOOKUP($A591,[4]库存使用数据!$A:$K,11,0),0)+IFERROR(VLOOKUP($A591,[5]库存使用数据!$A:$K,11,0),0)</f>
        <v>1375</v>
      </c>
      <c r="L591" s="1">
        <f ca="1">IFERROR(VLOOKUP($A591,[1]库存使用数据!$A:$L,12,0),0)+IFERROR(VLOOKUP($A591,[2]库存使用数据!$A:$L,12,0),0)+IFERROR(VLOOKUP($A591,[3]库存使用数据!$A:$L,12,0),0)+IFERROR(VLOOKUP($A591,[4]库存使用数据!$A:$L,12,0),0)+IFERROR(VLOOKUP($A591,[5]库存使用数据!$A:$L,12,0),0)</f>
        <v>4</v>
      </c>
      <c r="M591" s="1">
        <f ca="1">IFERROR(VLOOKUP($A591,[1]库存使用数据!$A:$M,13,0),0)+IFERROR(VLOOKUP($A591,[2]库存使用数据!$A:$M,13,0),0)+公式!$B$14*IFERROR(VLOOKUP($A591,[3]库存使用数据!$A:$M,13,0),0)+IFERROR(VLOOKUP($A591,[4]库存使用数据!$A:$M,13,0),0)+IFERROR(VLOOKUP($A591,[5]库存使用数据!$A:$M,13,0),0)</f>
        <v>0.63</v>
      </c>
    </row>
    <row r="592" spans="1:13">
      <c r="A592" s="6" t="s">
        <v>597</v>
      </c>
      <c r="B592" s="2">
        <f ca="1">IFERROR(VLOOKUP(A592,[1]库存使用数据!$A:$B,2,0),0)+IFERROR(VLOOKUP(A592,[2]库存使用数据!$A:$B,2,0),0)+IFERROR(VLOOKUP(,[3]库存使用数据!$A:$B,2,0),0)+IFERROR(VLOOKUP(A592,[4]库存使用数据!$A:$B,2,0),0)+IFERROR(VLOOKUP(A592,[5]库存使用数据!$A:$B,2,0),0)</f>
        <v>592</v>
      </c>
      <c r="C592" s="1">
        <f ca="1">IFERROR(VLOOKUP($A592,[1]库存使用数据!$A:$C,3,0),0)+IFERROR(VLOOKUP($A592,[2]库存使用数据!$A:$C,3,0),0)+IFERROR(VLOOKUP($A592,[3]库存使用数据!$A:$C,3,0),0)+IFERROR(VLOOKUP($A592,[4]库存使用数据!$A:$C,3,0),0)+IFERROR(VLOOKUP($A592,[5]库存使用数据!$A:$C,3,0),0)</f>
        <v>2</v>
      </c>
      <c r="D592" s="1">
        <f ca="1">IFERROR(VLOOKUP($A592,[1]库存使用数据!$A:$D,4,0),0)+IFERROR(VLOOKUP($A592,[2]库存使用数据!$A:$D,4,0),0)+公式!$B$1*IFERROR(VLOOKUP($A592,[3]库存使用数据!$A:$D,4,0),0)+IFERROR(VLOOKUP($A592,[4]库存使用数据!$A:$D,4,0),0)+IFERROR(VLOOKUP($A592,[5]库存使用数据!$A:$D,4,0),0)</f>
        <v>0.1</v>
      </c>
      <c r="E592" s="1">
        <f ca="1">IFERROR(VLOOKUP($A592,[1]库存使用数据!$A:$E,5,0),0)+IFERROR(VLOOKUP($A592,[2]库存使用数据!$A:$E,5,0),0)+IFERROR(VLOOKUP($A592,[3]库存使用数据!$A:$E,5,0),0)+IFERROR(VLOOKUP($A592,[4]库存使用数据!$A:$E,5,0),0)+IFERROR(VLOOKUP($A592,[5]库存使用数据!$A:$E,5,0),0)</f>
        <v>2139</v>
      </c>
      <c r="F592" s="1">
        <f ca="1">IFERROR(VLOOKUP($A592,[1]库存使用数据!$A:$F,6,0),0)+IFERROR(VLOOKUP($A592,[2]库存使用数据!$A:$F,6,0),0)+IFERROR(VLOOKUP($A592,[4]库存使用数据!$A:$F,6,0),0)+IFERROR(VLOOKUP($A592,[3]库存使用数据!$A:$F,6,0),0)+IFERROR(VLOOKUP($A592,[5]库存使用数据!$A:$F,6,0),0)</f>
        <v>6</v>
      </c>
      <c r="G592" s="1">
        <f ca="1">IFERROR(VLOOKUP($A592,[1]库存使用数据!$A:$G,7,0),0)+IFERROR(VLOOKUP($A592,[2]库存使用数据!$A:$G,7,0),0)+公式!$B$14*IFERROR(VLOOKUP($A592,[3]库存使用数据!$A:$G,7,0),0)+IFERROR(VLOOKUP($A592,[4]库存使用数据!$A:$G,7,0),0)+IFERROR(VLOOKUP($A592,[5]库存使用数据!$A:$G,7,0),0)</f>
        <v>0.78</v>
      </c>
      <c r="H592" s="1">
        <f ca="1">IFERROR(VLOOKUP($A592,[1]库存使用数据!$A:$H,8,0),0)+IFERROR(VLOOKUP($A592,[2]库存使用数据!$A:$H,8,0),0)+IFERROR(VLOOKUP($A592,[3]库存使用数据!$A:$H,8,0),0)+IFERROR(VLOOKUP($A592,[4]库存使用数据!$A:$H,8,0),0)+IFERROR(VLOOKUP($A592,[5]库存使用数据!$A:$H,8,0),0)</f>
        <v>956</v>
      </c>
      <c r="I592" s="1">
        <f ca="1">IFERROR(VLOOKUP($A592,[1]库存使用数据!$A:$I,9,0),0)+IFERROR(VLOOKUP($A592,[2]库存使用数据!$A:$I,9,0),0)+IFERROR(VLOOKUP($A592,[3]库存使用数据!$A:$I,9,0),0)+IFERROR(VLOOKUP($A592,[4]库存使用数据!$A:$I,9,0),0)+IFERROR(VLOOKUP($A592,[5]库存使用数据!$A:$I,9,0),0)</f>
        <v>4</v>
      </c>
      <c r="J592" s="1">
        <f ca="1">IFERROR(VLOOKUP($A592,[1]库存使用数据!$A:$J,10,0),0)+IFERROR(VLOOKUP($A592,[2]库存使用数据!$A:$J,10,0),0)+公式!$B$14*IFERROR(VLOOKUP($A592,[3]库存使用数据!$A:$J,10,0),0)+IFERROR(VLOOKUP($A592,[4]库存使用数据!$A:$J,10,0),0)+IFERROR(VLOOKUP($A592,[5]库存使用数据!$A:$J,10,0),0)</f>
        <v>0.61</v>
      </c>
      <c r="K592" s="1">
        <f ca="1">IFERROR(VLOOKUP($A592,[1]库存使用数据!$A:$K,11,0),0)+IFERROR(VLOOKUP($A592,[2]库存使用数据!$A:$K,11,0),0)+IFERROR(VLOOKUP($A592,[3]库存使用数据!$A:$K,11,0),0)+IFERROR(VLOOKUP($A592,[4]库存使用数据!$A:$K,11,0),0)+IFERROR(VLOOKUP($A592,[5]库存使用数据!$A:$K,11,0),0)</f>
        <v>561</v>
      </c>
      <c r="L592" s="1">
        <f ca="1">IFERROR(VLOOKUP($A592,[1]库存使用数据!$A:$L,12,0),0)+IFERROR(VLOOKUP($A592,[2]库存使用数据!$A:$L,12,0),0)+IFERROR(VLOOKUP($A592,[3]库存使用数据!$A:$L,12,0),0)+IFERROR(VLOOKUP($A592,[4]库存使用数据!$A:$L,12,0),0)+IFERROR(VLOOKUP($A592,[5]库存使用数据!$A:$L,12,0),0)</f>
        <v>2</v>
      </c>
      <c r="M592" s="1">
        <f ca="1">IFERROR(VLOOKUP($A592,[1]库存使用数据!$A:$M,13,0),0)+IFERROR(VLOOKUP($A592,[2]库存使用数据!$A:$M,13,0),0)+公式!$B$14*IFERROR(VLOOKUP($A592,[3]库存使用数据!$A:$M,13,0),0)+IFERROR(VLOOKUP($A592,[4]库存使用数据!$A:$M,13,0),0)+IFERROR(VLOOKUP($A592,[5]库存使用数据!$A:$M,13,0),0)</f>
        <v>0.04</v>
      </c>
    </row>
    <row r="593" spans="1:13">
      <c r="A593" s="6" t="s">
        <v>598</v>
      </c>
      <c r="B593" s="2">
        <f ca="1">IFERROR(VLOOKUP(A593,[1]库存使用数据!$A:$B,2,0),0)+IFERROR(VLOOKUP(A593,[2]库存使用数据!$A:$B,2,0),0)+IFERROR(VLOOKUP(,[3]库存使用数据!$A:$B,2,0),0)+IFERROR(VLOOKUP(A593,[4]库存使用数据!$A:$B,2,0),0)+IFERROR(VLOOKUP(A593,[5]库存使用数据!$A:$B,2,0),0)</f>
        <v>0</v>
      </c>
      <c r="C593" s="1">
        <f ca="1">IFERROR(VLOOKUP($A593,[1]库存使用数据!$A:$C,3,0),0)+IFERROR(VLOOKUP($A593,[2]库存使用数据!$A:$C,3,0),0)+IFERROR(VLOOKUP($A593,[3]库存使用数据!$A:$C,3,0),0)+IFERROR(VLOOKUP($A593,[4]库存使用数据!$A:$C,3,0),0)+IFERROR(VLOOKUP($A593,[5]库存使用数据!$A:$C,3,0),0)</f>
        <v>0</v>
      </c>
      <c r="D593" s="1">
        <f ca="1">IFERROR(VLOOKUP($A593,[1]库存使用数据!$A:$D,4,0),0)+IFERROR(VLOOKUP($A593,[2]库存使用数据!$A:$D,4,0),0)+公式!$B$1*IFERROR(VLOOKUP($A593,[3]库存使用数据!$A:$D,4,0),0)+IFERROR(VLOOKUP($A593,[4]库存使用数据!$A:$D,4,0),0)+IFERROR(VLOOKUP($A593,[5]库存使用数据!$A:$D,4,0),0)</f>
        <v>0</v>
      </c>
      <c r="E593" s="1">
        <f ca="1">IFERROR(VLOOKUP($A593,[1]库存使用数据!$A:$E,5,0),0)+IFERROR(VLOOKUP($A593,[2]库存使用数据!$A:$E,5,0),0)+IFERROR(VLOOKUP($A593,[3]库存使用数据!$A:$E,5,0),0)+IFERROR(VLOOKUP($A593,[4]库存使用数据!$A:$E,5,0),0)+IFERROR(VLOOKUP($A593,[5]库存使用数据!$A:$E,5,0),0)</f>
        <v>581</v>
      </c>
      <c r="F593" s="1">
        <f ca="1">IFERROR(VLOOKUP($A593,[1]库存使用数据!$A:$F,6,0),0)+IFERROR(VLOOKUP($A593,[2]库存使用数据!$A:$F,6,0),0)+IFERROR(VLOOKUP($A593,[4]库存使用数据!$A:$F,6,0),0)+IFERROR(VLOOKUP($A593,[3]库存使用数据!$A:$F,6,0),0)+IFERROR(VLOOKUP($A593,[5]库存使用数据!$A:$F,6,0),0)</f>
        <v>2</v>
      </c>
      <c r="G593" s="1">
        <f ca="1">IFERROR(VLOOKUP($A593,[1]库存使用数据!$A:$G,7,0),0)+IFERROR(VLOOKUP($A593,[2]库存使用数据!$A:$G,7,0),0)+公式!$B$14*IFERROR(VLOOKUP($A593,[3]库存使用数据!$A:$G,7,0),0)+IFERROR(VLOOKUP($A593,[4]库存使用数据!$A:$G,7,0),0)+IFERROR(VLOOKUP($A593,[5]库存使用数据!$A:$G,7,0),0)</f>
        <v>0.29</v>
      </c>
      <c r="H593" s="1">
        <f ca="1">IFERROR(VLOOKUP($A593,[1]库存使用数据!$A:$H,8,0),0)+IFERROR(VLOOKUP($A593,[2]库存使用数据!$A:$H,8,0),0)+IFERROR(VLOOKUP($A593,[3]库存使用数据!$A:$H,8,0),0)+IFERROR(VLOOKUP($A593,[4]库存使用数据!$A:$H,8,0),0)+IFERROR(VLOOKUP($A593,[5]库存使用数据!$A:$H,8,0),0)</f>
        <v>2520</v>
      </c>
      <c r="I593" s="1">
        <f ca="1">IFERROR(VLOOKUP($A593,[1]库存使用数据!$A:$I,9,0),0)+IFERROR(VLOOKUP($A593,[2]库存使用数据!$A:$I,9,0),0)+IFERROR(VLOOKUP($A593,[3]库存使用数据!$A:$I,9,0),0)+IFERROR(VLOOKUP($A593,[4]库存使用数据!$A:$I,9,0),0)+IFERROR(VLOOKUP($A593,[5]库存使用数据!$A:$I,9,0),0)</f>
        <v>6</v>
      </c>
      <c r="J593" s="1">
        <f ca="1">IFERROR(VLOOKUP($A593,[1]库存使用数据!$A:$J,10,0),0)+IFERROR(VLOOKUP($A593,[2]库存使用数据!$A:$J,10,0),0)+公式!$B$14*IFERROR(VLOOKUP($A593,[3]库存使用数据!$A:$J,10,0),0)+IFERROR(VLOOKUP($A593,[4]库存使用数据!$A:$J,10,0),0)+IFERROR(VLOOKUP($A593,[5]库存使用数据!$A:$J,10,0),0)</f>
        <v>1.08</v>
      </c>
      <c r="K593" s="1">
        <f ca="1">IFERROR(VLOOKUP($A593,[1]库存使用数据!$A:$K,11,0),0)+IFERROR(VLOOKUP($A593,[2]库存使用数据!$A:$K,11,0),0)+IFERROR(VLOOKUP($A593,[3]库存使用数据!$A:$K,11,0),0)+IFERROR(VLOOKUP($A593,[4]库存使用数据!$A:$K,11,0),0)+IFERROR(VLOOKUP($A593,[5]库存使用数据!$A:$K,11,0),0)</f>
        <v>383</v>
      </c>
      <c r="L593" s="1">
        <f ca="1">IFERROR(VLOOKUP($A593,[1]库存使用数据!$A:$L,12,0),0)+IFERROR(VLOOKUP($A593,[2]库存使用数据!$A:$L,12,0),0)+IFERROR(VLOOKUP($A593,[3]库存使用数据!$A:$L,12,0),0)+IFERROR(VLOOKUP($A593,[4]库存使用数据!$A:$L,12,0),0)+IFERROR(VLOOKUP($A593,[5]库存使用数据!$A:$L,12,0),0)</f>
        <v>2</v>
      </c>
      <c r="M593" s="1">
        <f ca="1">IFERROR(VLOOKUP($A593,[1]库存使用数据!$A:$M,13,0),0)+IFERROR(VLOOKUP($A593,[2]库存使用数据!$A:$M,13,0),0)+公式!$B$14*IFERROR(VLOOKUP($A593,[3]库存使用数据!$A:$M,13,0),0)+IFERROR(VLOOKUP($A593,[4]库存使用数据!$A:$M,13,0),0)+IFERROR(VLOOKUP($A593,[5]库存使用数据!$A:$M,13,0),0)</f>
        <v>0.36</v>
      </c>
    </row>
    <row r="594" spans="1:13">
      <c r="A594" s="6" t="s">
        <v>599</v>
      </c>
      <c r="B594" s="2">
        <f ca="1">IFERROR(VLOOKUP(A594,[1]库存使用数据!$A:$B,2,0),0)+IFERROR(VLOOKUP(A594,[2]库存使用数据!$A:$B,2,0),0)+IFERROR(VLOOKUP(,[3]库存使用数据!$A:$B,2,0),0)+IFERROR(VLOOKUP(A594,[4]库存使用数据!$A:$B,2,0),0)+IFERROR(VLOOKUP(A594,[5]库存使用数据!$A:$B,2,0),0)</f>
        <v>0</v>
      </c>
      <c r="C594" s="1">
        <f ca="1">IFERROR(VLOOKUP($A594,[1]库存使用数据!$A:$C,3,0),0)+IFERROR(VLOOKUP($A594,[2]库存使用数据!$A:$C,3,0),0)+IFERROR(VLOOKUP($A594,[3]库存使用数据!$A:$C,3,0),0)+IFERROR(VLOOKUP($A594,[4]库存使用数据!$A:$C,3,0),0)+IFERROR(VLOOKUP($A594,[5]库存使用数据!$A:$C,3,0),0)</f>
        <v>0</v>
      </c>
      <c r="D594" s="1">
        <f ca="1">IFERROR(VLOOKUP($A594,[1]库存使用数据!$A:$D,4,0),0)+IFERROR(VLOOKUP($A594,[2]库存使用数据!$A:$D,4,0),0)+公式!$B$1*IFERROR(VLOOKUP($A594,[3]库存使用数据!$A:$D,4,0),0)+IFERROR(VLOOKUP($A594,[4]库存使用数据!$A:$D,4,0),0)+IFERROR(VLOOKUP($A594,[5]库存使用数据!$A:$D,4,0),0)</f>
        <v>0</v>
      </c>
      <c r="E594" s="1">
        <f ca="1">IFERROR(VLOOKUP($A594,[1]库存使用数据!$A:$E,5,0),0)+IFERROR(VLOOKUP($A594,[2]库存使用数据!$A:$E,5,0),0)+IFERROR(VLOOKUP($A594,[3]库存使用数据!$A:$E,5,0),0)+IFERROR(VLOOKUP($A594,[4]库存使用数据!$A:$E,5,0),0)+IFERROR(VLOOKUP($A594,[5]库存使用数据!$A:$E,5,0),0)</f>
        <v>186</v>
      </c>
      <c r="F594" s="1">
        <f ca="1">IFERROR(VLOOKUP($A594,[1]库存使用数据!$A:$F,6,0),0)+IFERROR(VLOOKUP($A594,[2]库存使用数据!$A:$F,6,0),0)+IFERROR(VLOOKUP($A594,[4]库存使用数据!$A:$F,6,0),0)+IFERROR(VLOOKUP($A594,[3]库存使用数据!$A:$F,6,0),0)+IFERROR(VLOOKUP($A594,[5]库存使用数据!$A:$F,6,0),0)</f>
        <v>0</v>
      </c>
      <c r="G594" s="1">
        <f ca="1">IFERROR(VLOOKUP($A594,[1]库存使用数据!$A:$G,7,0),0)+IFERROR(VLOOKUP($A594,[2]库存使用数据!$A:$G,7,0),0)+公式!$B$14*IFERROR(VLOOKUP($A594,[3]库存使用数据!$A:$G,7,0),0)+IFERROR(VLOOKUP($A594,[4]库存使用数据!$A:$G,7,0),0)+IFERROR(VLOOKUP($A594,[5]库存使用数据!$A:$G,7,0),0)</f>
        <v>0</v>
      </c>
      <c r="H594" s="1">
        <f ca="1">IFERROR(VLOOKUP($A594,[1]库存使用数据!$A:$H,8,0),0)+IFERROR(VLOOKUP($A594,[2]库存使用数据!$A:$H,8,0),0)+IFERROR(VLOOKUP($A594,[3]库存使用数据!$A:$H,8,0),0)+IFERROR(VLOOKUP($A594,[4]库存使用数据!$A:$H,8,0),0)+IFERROR(VLOOKUP($A594,[5]库存使用数据!$A:$H,8,0),0)</f>
        <v>24</v>
      </c>
      <c r="I594" s="1">
        <f ca="1">IFERROR(VLOOKUP($A594,[1]库存使用数据!$A:$I,9,0),0)+IFERROR(VLOOKUP($A594,[2]库存使用数据!$A:$I,9,0),0)+IFERROR(VLOOKUP($A594,[3]库存使用数据!$A:$I,9,0),0)+IFERROR(VLOOKUP($A594,[4]库存使用数据!$A:$I,9,0),0)+IFERROR(VLOOKUP($A594,[5]库存使用数据!$A:$I,9,0),0)</f>
        <v>0</v>
      </c>
      <c r="J594" s="1">
        <f ca="1">IFERROR(VLOOKUP($A594,[1]库存使用数据!$A:$J,10,0),0)+IFERROR(VLOOKUP($A594,[2]库存使用数据!$A:$J,10,0),0)+公式!$B$14*IFERROR(VLOOKUP($A594,[3]库存使用数据!$A:$J,10,0),0)+IFERROR(VLOOKUP($A594,[4]库存使用数据!$A:$J,10,0),0)+IFERROR(VLOOKUP($A594,[5]库存使用数据!$A:$J,10,0),0)</f>
        <v>0</v>
      </c>
      <c r="K594" s="1">
        <f ca="1">IFERROR(VLOOKUP($A594,[1]库存使用数据!$A:$K,11,0),0)+IFERROR(VLOOKUP($A594,[2]库存使用数据!$A:$K,11,0),0)+IFERROR(VLOOKUP($A594,[3]库存使用数据!$A:$K,11,0),0)+IFERROR(VLOOKUP($A594,[4]库存使用数据!$A:$K,11,0),0)+IFERROR(VLOOKUP($A594,[5]库存使用数据!$A:$K,11,0),0)</f>
        <v>16</v>
      </c>
      <c r="L594" s="1">
        <f ca="1">IFERROR(VLOOKUP($A594,[1]库存使用数据!$A:$L,12,0),0)+IFERROR(VLOOKUP($A594,[2]库存使用数据!$A:$L,12,0),0)+IFERROR(VLOOKUP($A594,[3]库存使用数据!$A:$L,12,0),0)+IFERROR(VLOOKUP($A594,[4]库存使用数据!$A:$L,12,0),0)+IFERROR(VLOOKUP($A594,[5]库存使用数据!$A:$L,12,0),0)</f>
        <v>0</v>
      </c>
      <c r="M594" s="1">
        <f ca="1">IFERROR(VLOOKUP($A594,[1]库存使用数据!$A:$M,13,0),0)+IFERROR(VLOOKUP($A594,[2]库存使用数据!$A:$M,13,0),0)+公式!$B$14*IFERROR(VLOOKUP($A594,[3]库存使用数据!$A:$M,13,0),0)+IFERROR(VLOOKUP($A594,[4]库存使用数据!$A:$M,13,0),0)+IFERROR(VLOOKUP($A594,[5]库存使用数据!$A:$M,13,0),0)</f>
        <v>0</v>
      </c>
    </row>
    <row r="595" spans="1:13">
      <c r="A595" s="6" t="s">
        <v>600</v>
      </c>
      <c r="B595" s="2">
        <f ca="1">IFERROR(VLOOKUP(A595,[1]库存使用数据!$A:$B,2,0),0)+IFERROR(VLOOKUP(A595,[2]库存使用数据!$A:$B,2,0),0)+IFERROR(VLOOKUP(,[3]库存使用数据!$A:$B,2,0),0)+IFERROR(VLOOKUP(A595,[4]库存使用数据!$A:$B,2,0),0)+IFERROR(VLOOKUP(A595,[5]库存使用数据!$A:$B,2,0),0)</f>
        <v>0</v>
      </c>
      <c r="C595" s="1">
        <f ca="1">IFERROR(VLOOKUP($A595,[1]库存使用数据!$A:$C,3,0),0)+IFERROR(VLOOKUP($A595,[2]库存使用数据!$A:$C,3,0),0)+IFERROR(VLOOKUP($A595,[3]库存使用数据!$A:$C,3,0),0)+IFERROR(VLOOKUP($A595,[4]库存使用数据!$A:$C,3,0),0)+IFERROR(VLOOKUP($A595,[5]库存使用数据!$A:$C,3,0),0)</f>
        <v>0</v>
      </c>
      <c r="D595" s="1">
        <f ca="1">IFERROR(VLOOKUP($A595,[1]库存使用数据!$A:$D,4,0),0)+IFERROR(VLOOKUP($A595,[2]库存使用数据!$A:$D,4,0),0)+公式!$B$1*IFERROR(VLOOKUP($A595,[3]库存使用数据!$A:$D,4,0),0)+IFERROR(VLOOKUP($A595,[4]库存使用数据!$A:$D,4,0),0)+IFERROR(VLOOKUP($A595,[5]库存使用数据!$A:$D,4,0),0)</f>
        <v>0</v>
      </c>
      <c r="E595" s="1">
        <f ca="1">IFERROR(VLOOKUP($A595,[1]库存使用数据!$A:$E,5,0),0)+IFERROR(VLOOKUP($A595,[2]库存使用数据!$A:$E,5,0),0)+IFERROR(VLOOKUP($A595,[3]库存使用数据!$A:$E,5,0),0)+IFERROR(VLOOKUP($A595,[4]库存使用数据!$A:$E,5,0),0)+IFERROR(VLOOKUP($A595,[5]库存使用数据!$A:$E,5,0),0)</f>
        <v>0</v>
      </c>
      <c r="F595" s="1">
        <f ca="1">IFERROR(VLOOKUP($A595,[1]库存使用数据!$A:$F,6,0),0)+IFERROR(VLOOKUP($A595,[2]库存使用数据!$A:$F,6,0),0)+IFERROR(VLOOKUP($A595,[4]库存使用数据!$A:$F,6,0),0)+IFERROR(VLOOKUP($A595,[3]库存使用数据!$A:$F,6,0),0)+IFERROR(VLOOKUP($A595,[5]库存使用数据!$A:$F,6,0),0)</f>
        <v>0</v>
      </c>
      <c r="G595" s="1">
        <f ca="1">IFERROR(VLOOKUP($A595,[1]库存使用数据!$A:$G,7,0),0)+IFERROR(VLOOKUP($A595,[2]库存使用数据!$A:$G,7,0),0)+公式!$B$14*IFERROR(VLOOKUP($A595,[3]库存使用数据!$A:$G,7,0),0)+IFERROR(VLOOKUP($A595,[4]库存使用数据!$A:$G,7,0),0)+IFERROR(VLOOKUP($A595,[5]库存使用数据!$A:$G,7,0),0)</f>
        <v>0</v>
      </c>
      <c r="H595" s="1">
        <f ca="1">IFERROR(VLOOKUP($A595,[1]库存使用数据!$A:$H,8,0),0)+IFERROR(VLOOKUP($A595,[2]库存使用数据!$A:$H,8,0),0)+IFERROR(VLOOKUP($A595,[3]库存使用数据!$A:$H,8,0),0)+IFERROR(VLOOKUP($A595,[4]库存使用数据!$A:$H,8,0),0)+IFERROR(VLOOKUP($A595,[5]库存使用数据!$A:$H,8,0),0)</f>
        <v>169</v>
      </c>
      <c r="I595" s="1">
        <f ca="1">IFERROR(VLOOKUP($A595,[1]库存使用数据!$A:$I,9,0),0)+IFERROR(VLOOKUP($A595,[2]库存使用数据!$A:$I,9,0),0)+IFERROR(VLOOKUP($A595,[3]库存使用数据!$A:$I,9,0),0)+IFERROR(VLOOKUP($A595,[4]库存使用数据!$A:$I,9,0),0)+IFERROR(VLOOKUP($A595,[5]库存使用数据!$A:$I,9,0),0)</f>
        <v>0</v>
      </c>
      <c r="J595" s="1">
        <f ca="1">IFERROR(VLOOKUP($A595,[1]库存使用数据!$A:$J,10,0),0)+IFERROR(VLOOKUP($A595,[2]库存使用数据!$A:$J,10,0),0)+公式!$B$14*IFERROR(VLOOKUP($A595,[3]库存使用数据!$A:$J,10,0),0)+IFERROR(VLOOKUP($A595,[4]库存使用数据!$A:$J,10,0),0)+IFERROR(VLOOKUP($A595,[5]库存使用数据!$A:$J,10,0),0)</f>
        <v>0</v>
      </c>
      <c r="K595" s="1">
        <f ca="1">IFERROR(VLOOKUP($A595,[1]库存使用数据!$A:$K,11,0),0)+IFERROR(VLOOKUP($A595,[2]库存使用数据!$A:$K,11,0),0)+IFERROR(VLOOKUP($A595,[3]库存使用数据!$A:$K,11,0),0)+IFERROR(VLOOKUP($A595,[4]库存使用数据!$A:$K,11,0),0)+IFERROR(VLOOKUP($A595,[5]库存使用数据!$A:$K,11,0),0)</f>
        <v>1098</v>
      </c>
      <c r="L595" s="1">
        <f ca="1">IFERROR(VLOOKUP($A595,[1]库存使用数据!$A:$L,12,0),0)+IFERROR(VLOOKUP($A595,[2]库存使用数据!$A:$L,12,0),0)+IFERROR(VLOOKUP($A595,[3]库存使用数据!$A:$L,12,0),0)+IFERROR(VLOOKUP($A595,[4]库存使用数据!$A:$L,12,0),0)+IFERROR(VLOOKUP($A595,[5]库存使用数据!$A:$L,12,0),0)</f>
        <v>6</v>
      </c>
      <c r="M595" s="1">
        <f ca="1">IFERROR(VLOOKUP($A595,[1]库存使用数据!$A:$M,13,0),0)+IFERROR(VLOOKUP($A595,[2]库存使用数据!$A:$M,13,0),0)+公式!$B$14*IFERROR(VLOOKUP($A595,[3]库存使用数据!$A:$M,13,0),0)+IFERROR(VLOOKUP($A595,[4]库存使用数据!$A:$M,13,0),0)+IFERROR(VLOOKUP($A595,[5]库存使用数据!$A:$M,13,0),0)</f>
        <v>0.77</v>
      </c>
    </row>
    <row r="596" spans="1:13">
      <c r="A596" s="6" t="s">
        <v>601</v>
      </c>
      <c r="B596" s="2">
        <f ca="1">IFERROR(VLOOKUP(A596,[1]库存使用数据!$A:$B,2,0),0)+IFERROR(VLOOKUP(A596,[2]库存使用数据!$A:$B,2,0),0)+IFERROR(VLOOKUP(,[3]库存使用数据!$A:$B,2,0),0)+IFERROR(VLOOKUP(A596,[4]库存使用数据!$A:$B,2,0),0)+IFERROR(VLOOKUP(A596,[5]库存使用数据!$A:$B,2,0),0)</f>
        <v>0</v>
      </c>
      <c r="C596" s="1">
        <f ca="1">IFERROR(VLOOKUP($A596,[1]库存使用数据!$A:$C,3,0),0)+IFERROR(VLOOKUP($A596,[2]库存使用数据!$A:$C,3,0),0)+IFERROR(VLOOKUP($A596,[3]库存使用数据!$A:$C,3,0),0)+IFERROR(VLOOKUP($A596,[4]库存使用数据!$A:$C,3,0),0)+IFERROR(VLOOKUP($A596,[5]库存使用数据!$A:$C,3,0),0)</f>
        <v>0</v>
      </c>
      <c r="D596" s="1">
        <f ca="1">IFERROR(VLOOKUP($A596,[1]库存使用数据!$A:$D,4,0),0)+IFERROR(VLOOKUP($A596,[2]库存使用数据!$A:$D,4,0),0)+公式!$B$1*IFERROR(VLOOKUP($A596,[3]库存使用数据!$A:$D,4,0),0)+IFERROR(VLOOKUP($A596,[4]库存使用数据!$A:$D,4,0),0)+IFERROR(VLOOKUP($A596,[5]库存使用数据!$A:$D,4,0),0)</f>
        <v>0</v>
      </c>
      <c r="E596" s="1">
        <f ca="1">IFERROR(VLOOKUP($A596,[1]库存使用数据!$A:$E,5,0),0)+IFERROR(VLOOKUP($A596,[2]库存使用数据!$A:$E,5,0),0)+IFERROR(VLOOKUP($A596,[3]库存使用数据!$A:$E,5,0),0)+IFERROR(VLOOKUP($A596,[4]库存使用数据!$A:$E,5,0),0)+IFERROR(VLOOKUP($A596,[5]库存使用数据!$A:$E,5,0),0)</f>
        <v>2951</v>
      </c>
      <c r="F596" s="1">
        <f ca="1">IFERROR(VLOOKUP($A596,[1]库存使用数据!$A:$F,6,0),0)+IFERROR(VLOOKUP($A596,[2]库存使用数据!$A:$F,6,0),0)+IFERROR(VLOOKUP($A596,[4]库存使用数据!$A:$F,6,0),0)+IFERROR(VLOOKUP($A596,[3]库存使用数据!$A:$F,6,0),0)+IFERROR(VLOOKUP($A596,[5]库存使用数据!$A:$F,6,0),0)</f>
        <v>4</v>
      </c>
      <c r="G596" s="1">
        <f ca="1">IFERROR(VLOOKUP($A596,[1]库存使用数据!$A:$G,7,0),0)+IFERROR(VLOOKUP($A596,[2]库存使用数据!$A:$G,7,0),0)+公式!$B$14*IFERROR(VLOOKUP($A596,[3]库存使用数据!$A:$G,7,0),0)+IFERROR(VLOOKUP($A596,[4]库存使用数据!$A:$G,7,0),0)+IFERROR(VLOOKUP($A596,[5]库存使用数据!$A:$G,7,0),0)</f>
        <v>0.63</v>
      </c>
      <c r="H596" s="1">
        <f ca="1">IFERROR(VLOOKUP($A596,[1]库存使用数据!$A:$H,8,0),0)+IFERROR(VLOOKUP($A596,[2]库存使用数据!$A:$H,8,0),0)+IFERROR(VLOOKUP($A596,[3]库存使用数据!$A:$H,8,0),0)+IFERROR(VLOOKUP($A596,[4]库存使用数据!$A:$H,8,0),0)+IFERROR(VLOOKUP($A596,[5]库存使用数据!$A:$H,8,0),0)</f>
        <v>689</v>
      </c>
      <c r="I596" s="1">
        <f ca="1">IFERROR(VLOOKUP($A596,[1]库存使用数据!$A:$I,9,0),0)+IFERROR(VLOOKUP($A596,[2]库存使用数据!$A:$I,9,0),0)+IFERROR(VLOOKUP($A596,[3]库存使用数据!$A:$I,9,0),0)+IFERROR(VLOOKUP($A596,[4]库存使用数据!$A:$I,9,0),0)+IFERROR(VLOOKUP($A596,[5]库存使用数据!$A:$I,9,0),0)</f>
        <v>4</v>
      </c>
      <c r="J596" s="1">
        <f ca="1">IFERROR(VLOOKUP($A596,[1]库存使用数据!$A:$J,10,0),0)+IFERROR(VLOOKUP($A596,[2]库存使用数据!$A:$J,10,0),0)+公式!$B$14*IFERROR(VLOOKUP($A596,[3]库存使用数据!$A:$J,10,0),0)+IFERROR(VLOOKUP($A596,[4]库存使用数据!$A:$J,10,0),0)+IFERROR(VLOOKUP($A596,[5]库存使用数据!$A:$J,10,0),0)</f>
        <v>0.61</v>
      </c>
      <c r="K596" s="1">
        <f ca="1">IFERROR(VLOOKUP($A596,[1]库存使用数据!$A:$K,11,0),0)+IFERROR(VLOOKUP($A596,[2]库存使用数据!$A:$K,11,0),0)+IFERROR(VLOOKUP($A596,[3]库存使用数据!$A:$K,11,0),0)+IFERROR(VLOOKUP($A596,[4]库存使用数据!$A:$K,11,0),0)+IFERROR(VLOOKUP($A596,[5]库存使用数据!$A:$K,11,0),0)</f>
        <v>667</v>
      </c>
      <c r="L596" s="1">
        <f ca="1">IFERROR(VLOOKUP($A596,[1]库存使用数据!$A:$L,12,0),0)+IFERROR(VLOOKUP($A596,[2]库存使用数据!$A:$L,12,0),0)+IFERROR(VLOOKUP($A596,[3]库存使用数据!$A:$L,12,0),0)+IFERROR(VLOOKUP($A596,[4]库存使用数据!$A:$L,12,0),0)+IFERROR(VLOOKUP($A596,[5]库存使用数据!$A:$L,12,0),0)</f>
        <v>3</v>
      </c>
      <c r="M596" s="1">
        <f ca="1">IFERROR(VLOOKUP($A596,[1]库存使用数据!$A:$M,13,0),0)+IFERROR(VLOOKUP($A596,[2]库存使用数据!$A:$M,13,0),0)+公式!$B$14*IFERROR(VLOOKUP($A596,[3]库存使用数据!$A:$M,13,0),0)+IFERROR(VLOOKUP($A596,[4]库存使用数据!$A:$M,13,0),0)+IFERROR(VLOOKUP($A596,[5]库存使用数据!$A:$M,13,0),0)</f>
        <v>0.39</v>
      </c>
    </row>
    <row r="597" spans="1:13">
      <c r="A597" s="6" t="s">
        <v>602</v>
      </c>
      <c r="B597" s="2">
        <f ca="1">IFERROR(VLOOKUP(A597,[1]库存使用数据!$A:$B,2,0),0)+IFERROR(VLOOKUP(A597,[2]库存使用数据!$A:$B,2,0),0)+IFERROR(VLOOKUP(,[3]库存使用数据!$A:$B,2,0),0)+IFERROR(VLOOKUP(A597,[4]库存使用数据!$A:$B,2,0),0)+IFERROR(VLOOKUP(A597,[5]库存使用数据!$A:$B,2,0),0)</f>
        <v>0</v>
      </c>
      <c r="C597" s="1">
        <f ca="1">IFERROR(VLOOKUP($A597,[1]库存使用数据!$A:$C,3,0),0)+IFERROR(VLOOKUP($A597,[2]库存使用数据!$A:$C,3,0),0)+IFERROR(VLOOKUP($A597,[3]库存使用数据!$A:$C,3,0),0)+IFERROR(VLOOKUP($A597,[4]库存使用数据!$A:$C,3,0),0)+IFERROR(VLOOKUP($A597,[5]库存使用数据!$A:$C,3,0),0)</f>
        <v>0</v>
      </c>
      <c r="D597" s="1">
        <f ca="1">IFERROR(VLOOKUP($A597,[1]库存使用数据!$A:$D,4,0),0)+IFERROR(VLOOKUP($A597,[2]库存使用数据!$A:$D,4,0),0)+公式!$B$1*IFERROR(VLOOKUP($A597,[3]库存使用数据!$A:$D,4,0),0)+IFERROR(VLOOKUP($A597,[4]库存使用数据!$A:$D,4,0),0)+IFERROR(VLOOKUP($A597,[5]库存使用数据!$A:$D,4,0),0)</f>
        <v>0</v>
      </c>
      <c r="E597" s="1">
        <f ca="1">IFERROR(VLOOKUP($A597,[1]库存使用数据!$A:$E,5,0),0)+IFERROR(VLOOKUP($A597,[2]库存使用数据!$A:$E,5,0),0)+IFERROR(VLOOKUP($A597,[3]库存使用数据!$A:$E,5,0),0)+IFERROR(VLOOKUP($A597,[4]库存使用数据!$A:$E,5,0),0)+IFERROR(VLOOKUP($A597,[5]库存使用数据!$A:$E,5,0),0)</f>
        <v>1</v>
      </c>
      <c r="F597" s="1">
        <f ca="1">IFERROR(VLOOKUP($A597,[1]库存使用数据!$A:$F,6,0),0)+IFERROR(VLOOKUP($A597,[2]库存使用数据!$A:$F,6,0),0)+IFERROR(VLOOKUP($A597,[4]库存使用数据!$A:$F,6,0),0)+IFERROR(VLOOKUP($A597,[3]库存使用数据!$A:$F,6,0),0)+IFERROR(VLOOKUP($A597,[5]库存使用数据!$A:$F,6,0),0)</f>
        <v>0</v>
      </c>
      <c r="G597" s="1">
        <f ca="1">IFERROR(VLOOKUP($A597,[1]库存使用数据!$A:$G,7,0),0)+IFERROR(VLOOKUP($A597,[2]库存使用数据!$A:$G,7,0),0)+公式!$B$14*IFERROR(VLOOKUP($A597,[3]库存使用数据!$A:$G,7,0),0)+IFERROR(VLOOKUP($A597,[4]库存使用数据!$A:$G,7,0),0)+IFERROR(VLOOKUP($A597,[5]库存使用数据!$A:$G,7,0),0)</f>
        <v>0</v>
      </c>
      <c r="H597" s="1">
        <f ca="1">IFERROR(VLOOKUP($A597,[1]库存使用数据!$A:$H,8,0),0)+IFERROR(VLOOKUP($A597,[2]库存使用数据!$A:$H,8,0),0)+IFERROR(VLOOKUP($A597,[3]库存使用数据!$A:$H,8,0),0)+IFERROR(VLOOKUP($A597,[4]库存使用数据!$A:$H,8,0),0)+IFERROR(VLOOKUP($A597,[5]库存使用数据!$A:$H,8,0),0)</f>
        <v>0</v>
      </c>
      <c r="I597" s="1">
        <f ca="1">IFERROR(VLOOKUP($A597,[1]库存使用数据!$A:$I,9,0),0)+IFERROR(VLOOKUP($A597,[2]库存使用数据!$A:$I,9,0),0)+IFERROR(VLOOKUP($A597,[3]库存使用数据!$A:$I,9,0),0)+IFERROR(VLOOKUP($A597,[4]库存使用数据!$A:$I,9,0),0)+IFERROR(VLOOKUP($A597,[5]库存使用数据!$A:$I,9,0),0)</f>
        <v>0</v>
      </c>
      <c r="J597" s="1">
        <f ca="1">IFERROR(VLOOKUP($A597,[1]库存使用数据!$A:$J,10,0),0)+IFERROR(VLOOKUP($A597,[2]库存使用数据!$A:$J,10,0),0)+公式!$B$14*IFERROR(VLOOKUP($A597,[3]库存使用数据!$A:$J,10,0),0)+IFERROR(VLOOKUP($A597,[4]库存使用数据!$A:$J,10,0),0)+IFERROR(VLOOKUP($A597,[5]库存使用数据!$A:$J,10,0),0)</f>
        <v>0</v>
      </c>
      <c r="K597" s="1">
        <f ca="1">IFERROR(VLOOKUP($A597,[1]库存使用数据!$A:$K,11,0),0)+IFERROR(VLOOKUP($A597,[2]库存使用数据!$A:$K,11,0),0)+IFERROR(VLOOKUP($A597,[3]库存使用数据!$A:$K,11,0),0)+IFERROR(VLOOKUP($A597,[4]库存使用数据!$A:$K,11,0),0)+IFERROR(VLOOKUP($A597,[5]库存使用数据!$A:$K,11,0),0)</f>
        <v>17</v>
      </c>
      <c r="L597" s="1">
        <f ca="1">IFERROR(VLOOKUP($A597,[1]库存使用数据!$A:$L,12,0),0)+IFERROR(VLOOKUP($A597,[2]库存使用数据!$A:$L,12,0),0)+IFERROR(VLOOKUP($A597,[3]库存使用数据!$A:$L,12,0),0)+IFERROR(VLOOKUP($A597,[4]库存使用数据!$A:$L,12,0),0)+IFERROR(VLOOKUP($A597,[5]库存使用数据!$A:$L,12,0),0)</f>
        <v>0</v>
      </c>
      <c r="M597" s="1">
        <f ca="1">IFERROR(VLOOKUP($A597,[1]库存使用数据!$A:$M,13,0),0)+IFERROR(VLOOKUP($A597,[2]库存使用数据!$A:$M,13,0),0)+公式!$B$14*IFERROR(VLOOKUP($A597,[3]库存使用数据!$A:$M,13,0),0)+IFERROR(VLOOKUP($A597,[4]库存使用数据!$A:$M,13,0),0)+IFERROR(VLOOKUP($A597,[5]库存使用数据!$A:$M,13,0),0)</f>
        <v>0</v>
      </c>
    </row>
    <row r="598" spans="1:13">
      <c r="A598" s="6" t="s">
        <v>603</v>
      </c>
      <c r="B598" s="2">
        <f ca="1">IFERROR(VLOOKUP(A598,[1]库存使用数据!$A:$B,2,0),0)+IFERROR(VLOOKUP(A598,[2]库存使用数据!$A:$B,2,0),0)+IFERROR(VLOOKUP(,[3]库存使用数据!$A:$B,2,0),0)+IFERROR(VLOOKUP(A598,[4]库存使用数据!$A:$B,2,0),0)+IFERROR(VLOOKUP(A598,[5]库存使用数据!$A:$B,2,0),0)</f>
        <v>0</v>
      </c>
      <c r="C598" s="1">
        <f ca="1">IFERROR(VLOOKUP($A598,[1]库存使用数据!$A:$C,3,0),0)+IFERROR(VLOOKUP($A598,[2]库存使用数据!$A:$C,3,0),0)+IFERROR(VLOOKUP($A598,[3]库存使用数据!$A:$C,3,0),0)+IFERROR(VLOOKUP($A598,[4]库存使用数据!$A:$C,3,0),0)+IFERROR(VLOOKUP($A598,[5]库存使用数据!$A:$C,3,0),0)</f>
        <v>0</v>
      </c>
      <c r="D598" s="1">
        <f ca="1">IFERROR(VLOOKUP($A598,[1]库存使用数据!$A:$D,4,0),0)+IFERROR(VLOOKUP($A598,[2]库存使用数据!$A:$D,4,0),0)+公式!$B$1*IFERROR(VLOOKUP($A598,[3]库存使用数据!$A:$D,4,0),0)+IFERROR(VLOOKUP($A598,[4]库存使用数据!$A:$D,4,0),0)+IFERROR(VLOOKUP($A598,[5]库存使用数据!$A:$D,4,0),0)</f>
        <v>0</v>
      </c>
      <c r="E598" s="1">
        <f ca="1">IFERROR(VLOOKUP($A598,[1]库存使用数据!$A:$E,5,0),0)+IFERROR(VLOOKUP($A598,[2]库存使用数据!$A:$E,5,0),0)+IFERROR(VLOOKUP($A598,[3]库存使用数据!$A:$E,5,0),0)+IFERROR(VLOOKUP($A598,[4]库存使用数据!$A:$E,5,0),0)+IFERROR(VLOOKUP($A598,[5]库存使用数据!$A:$E,5,0),0)</f>
        <v>645</v>
      </c>
      <c r="F598" s="1">
        <f ca="1">IFERROR(VLOOKUP($A598,[1]库存使用数据!$A:$F,6,0),0)+IFERROR(VLOOKUP($A598,[2]库存使用数据!$A:$F,6,0),0)+IFERROR(VLOOKUP($A598,[4]库存使用数据!$A:$F,6,0),0)+IFERROR(VLOOKUP($A598,[3]库存使用数据!$A:$F,6,0),0)+IFERROR(VLOOKUP($A598,[5]库存使用数据!$A:$F,6,0),0)</f>
        <v>2</v>
      </c>
      <c r="G598" s="1">
        <f ca="1">IFERROR(VLOOKUP($A598,[1]库存使用数据!$A:$G,7,0),0)+IFERROR(VLOOKUP($A598,[2]库存使用数据!$A:$G,7,0),0)+公式!$B$14*IFERROR(VLOOKUP($A598,[3]库存使用数据!$A:$G,7,0),0)+IFERROR(VLOOKUP($A598,[4]库存使用数据!$A:$G,7,0),0)+IFERROR(VLOOKUP($A598,[5]库存使用数据!$A:$G,7,0),0)</f>
        <v>0.19</v>
      </c>
      <c r="H598" s="1">
        <f ca="1">IFERROR(VLOOKUP($A598,[1]库存使用数据!$A:$H,8,0),0)+IFERROR(VLOOKUP($A598,[2]库存使用数据!$A:$H,8,0),0)+IFERROR(VLOOKUP($A598,[3]库存使用数据!$A:$H,8,0),0)+IFERROR(VLOOKUP($A598,[4]库存使用数据!$A:$H,8,0),0)+IFERROR(VLOOKUP($A598,[5]库存使用数据!$A:$H,8,0),0)</f>
        <v>127</v>
      </c>
      <c r="I598" s="1">
        <f ca="1">IFERROR(VLOOKUP($A598,[1]库存使用数据!$A:$I,9,0),0)+IFERROR(VLOOKUP($A598,[2]库存使用数据!$A:$I,9,0),0)+IFERROR(VLOOKUP($A598,[3]库存使用数据!$A:$I,9,0),0)+IFERROR(VLOOKUP($A598,[4]库存使用数据!$A:$I,9,0),0)+IFERROR(VLOOKUP($A598,[5]库存使用数据!$A:$I,9,0),0)</f>
        <v>2</v>
      </c>
      <c r="J598" s="1">
        <f ca="1">IFERROR(VLOOKUP($A598,[1]库存使用数据!$A:$J,10,0),0)+IFERROR(VLOOKUP($A598,[2]库存使用数据!$A:$J,10,0),0)+公式!$B$14*IFERROR(VLOOKUP($A598,[3]库存使用数据!$A:$J,10,0),0)+IFERROR(VLOOKUP($A598,[4]库存使用数据!$A:$J,10,0),0)+IFERROR(VLOOKUP($A598,[5]库存使用数据!$A:$J,10,0),0)</f>
        <v>0.32</v>
      </c>
      <c r="K598" s="1">
        <f ca="1">IFERROR(VLOOKUP($A598,[1]库存使用数据!$A:$K,11,0),0)+IFERROR(VLOOKUP($A598,[2]库存使用数据!$A:$K,11,0),0)+IFERROR(VLOOKUP($A598,[3]库存使用数据!$A:$K,11,0),0)+IFERROR(VLOOKUP($A598,[4]库存使用数据!$A:$K,11,0),0)+IFERROR(VLOOKUP($A598,[5]库存使用数据!$A:$K,11,0),0)</f>
        <v>202</v>
      </c>
      <c r="L598" s="1">
        <f ca="1">IFERROR(VLOOKUP($A598,[1]库存使用数据!$A:$L,12,0),0)+IFERROR(VLOOKUP($A598,[2]库存使用数据!$A:$L,12,0),0)+IFERROR(VLOOKUP($A598,[3]库存使用数据!$A:$L,12,0),0)+IFERROR(VLOOKUP($A598,[4]库存使用数据!$A:$L,12,0),0)+IFERROR(VLOOKUP($A598,[5]库存使用数据!$A:$L,12,0),0)</f>
        <v>1</v>
      </c>
      <c r="M598" s="1">
        <f ca="1">IFERROR(VLOOKUP($A598,[1]库存使用数据!$A:$M,13,0),0)+IFERROR(VLOOKUP($A598,[2]库存使用数据!$A:$M,13,0),0)+公式!$B$14*IFERROR(VLOOKUP($A598,[3]库存使用数据!$A:$M,13,0),0)+IFERROR(VLOOKUP($A598,[4]库存使用数据!$A:$M,13,0),0)+IFERROR(VLOOKUP($A598,[5]库存使用数据!$A:$M,13,0),0)</f>
        <v>0.2</v>
      </c>
    </row>
    <row r="599" spans="1:13">
      <c r="A599" s="6" t="s">
        <v>604</v>
      </c>
      <c r="B599" s="2">
        <f ca="1">IFERROR(VLOOKUP(A599,[1]库存使用数据!$A:$B,2,0),0)+IFERROR(VLOOKUP(A599,[2]库存使用数据!$A:$B,2,0),0)+IFERROR(VLOOKUP(,[3]库存使用数据!$A:$B,2,0),0)+IFERROR(VLOOKUP(A599,[4]库存使用数据!$A:$B,2,0),0)+IFERROR(VLOOKUP(A599,[5]库存使用数据!$A:$B,2,0),0)</f>
        <v>22</v>
      </c>
      <c r="C599" s="1">
        <f ca="1">IFERROR(VLOOKUP($A599,[1]库存使用数据!$A:$C,3,0),0)+IFERROR(VLOOKUP($A599,[2]库存使用数据!$A:$C,3,0),0)+IFERROR(VLOOKUP($A599,[3]库存使用数据!$A:$C,3,0),0)+IFERROR(VLOOKUP($A599,[4]库存使用数据!$A:$C,3,0),0)+IFERROR(VLOOKUP($A599,[5]库存使用数据!$A:$C,3,0),0)</f>
        <v>0</v>
      </c>
      <c r="D599" s="1">
        <f ca="1">IFERROR(VLOOKUP($A599,[1]库存使用数据!$A:$D,4,0),0)+IFERROR(VLOOKUP($A599,[2]库存使用数据!$A:$D,4,0),0)+公式!$B$1*IFERROR(VLOOKUP($A599,[3]库存使用数据!$A:$D,4,0),0)+IFERROR(VLOOKUP($A599,[4]库存使用数据!$A:$D,4,0),0)+IFERROR(VLOOKUP($A599,[5]库存使用数据!$A:$D,4,0),0)</f>
        <v>0</v>
      </c>
      <c r="E599" s="1">
        <f ca="1">IFERROR(VLOOKUP($A599,[1]库存使用数据!$A:$E,5,0),0)+IFERROR(VLOOKUP($A599,[2]库存使用数据!$A:$E,5,0),0)+IFERROR(VLOOKUP($A599,[3]库存使用数据!$A:$E,5,0),0)+IFERROR(VLOOKUP($A599,[4]库存使用数据!$A:$E,5,0),0)+IFERROR(VLOOKUP($A599,[5]库存使用数据!$A:$E,5,0),0)</f>
        <v>2504</v>
      </c>
      <c r="F599" s="1">
        <f ca="1">IFERROR(VLOOKUP($A599,[1]库存使用数据!$A:$F,6,0),0)+IFERROR(VLOOKUP($A599,[2]库存使用数据!$A:$F,6,0),0)+IFERROR(VLOOKUP($A599,[4]库存使用数据!$A:$F,6,0),0)+IFERROR(VLOOKUP($A599,[3]库存使用数据!$A:$F,6,0),0)+IFERROR(VLOOKUP($A599,[5]库存使用数据!$A:$F,6,0),0)</f>
        <v>30</v>
      </c>
      <c r="G599" s="1">
        <f ca="1">IFERROR(VLOOKUP($A599,[1]库存使用数据!$A:$G,7,0),0)+IFERROR(VLOOKUP($A599,[2]库存使用数据!$A:$G,7,0),0)+公式!$B$14*IFERROR(VLOOKUP($A599,[3]库存使用数据!$A:$G,7,0),0)+IFERROR(VLOOKUP($A599,[4]库存使用数据!$A:$G,7,0),0)+IFERROR(VLOOKUP($A599,[5]库存使用数据!$A:$G,7,0),0)</f>
        <v>3.77</v>
      </c>
      <c r="H599" s="1">
        <f ca="1">IFERROR(VLOOKUP($A599,[1]库存使用数据!$A:$H,8,0),0)+IFERROR(VLOOKUP($A599,[2]库存使用数据!$A:$H,8,0),0)+IFERROR(VLOOKUP($A599,[3]库存使用数据!$A:$H,8,0),0)+IFERROR(VLOOKUP($A599,[4]库存使用数据!$A:$H,8,0),0)+IFERROR(VLOOKUP($A599,[5]库存使用数据!$A:$H,8,0),0)</f>
        <v>411</v>
      </c>
      <c r="I599" s="1">
        <f ca="1">IFERROR(VLOOKUP($A599,[1]库存使用数据!$A:$I,9,0),0)+IFERROR(VLOOKUP($A599,[2]库存使用数据!$A:$I,9,0),0)+IFERROR(VLOOKUP($A599,[3]库存使用数据!$A:$I,9,0),0)+IFERROR(VLOOKUP($A599,[4]库存使用数据!$A:$I,9,0),0)+IFERROR(VLOOKUP($A599,[5]库存使用数据!$A:$I,9,0),0)</f>
        <v>10</v>
      </c>
      <c r="J599" s="1">
        <f ca="1">IFERROR(VLOOKUP($A599,[1]库存使用数据!$A:$J,10,0),0)+IFERROR(VLOOKUP($A599,[2]库存使用数据!$A:$J,10,0),0)+公式!$B$14*IFERROR(VLOOKUP($A599,[3]库存使用数据!$A:$J,10,0),0)+IFERROR(VLOOKUP($A599,[4]库存使用数据!$A:$J,10,0),0)+IFERROR(VLOOKUP($A599,[5]库存使用数据!$A:$J,10,0),0)</f>
        <v>1.17</v>
      </c>
      <c r="K599" s="1">
        <f ca="1">IFERROR(VLOOKUP($A599,[1]库存使用数据!$A:$K,11,0),0)+IFERROR(VLOOKUP($A599,[2]库存使用数据!$A:$K,11,0),0)+IFERROR(VLOOKUP($A599,[3]库存使用数据!$A:$K,11,0),0)+IFERROR(VLOOKUP($A599,[4]库存使用数据!$A:$K,11,0),0)+IFERROR(VLOOKUP($A599,[5]库存使用数据!$A:$K,11,0),0)</f>
        <v>1098</v>
      </c>
      <c r="L599" s="1">
        <f ca="1">IFERROR(VLOOKUP($A599,[1]库存使用数据!$A:$L,12,0),0)+IFERROR(VLOOKUP($A599,[2]库存使用数据!$A:$L,12,0),0)+IFERROR(VLOOKUP($A599,[3]库存使用数据!$A:$L,12,0),0)+IFERROR(VLOOKUP($A599,[4]库存使用数据!$A:$L,12,0),0)+IFERROR(VLOOKUP($A599,[5]库存使用数据!$A:$L,12,0),0)</f>
        <v>16</v>
      </c>
      <c r="M599" s="1">
        <f ca="1">IFERROR(VLOOKUP($A599,[1]库存使用数据!$A:$M,13,0),0)+IFERROR(VLOOKUP($A599,[2]库存使用数据!$A:$M,13,0),0)+公式!$B$14*IFERROR(VLOOKUP($A599,[3]库存使用数据!$A:$M,13,0),0)+IFERROR(VLOOKUP($A599,[4]库存使用数据!$A:$M,13,0),0)+IFERROR(VLOOKUP($A599,[5]库存使用数据!$A:$M,13,0),0)</f>
        <v>2</v>
      </c>
    </row>
    <row r="600" spans="1:13">
      <c r="A600" s="6" t="s">
        <v>605</v>
      </c>
      <c r="B600" s="2">
        <f ca="1">IFERROR(VLOOKUP(A600,[1]库存使用数据!$A:$B,2,0),0)+IFERROR(VLOOKUP(A600,[2]库存使用数据!$A:$B,2,0),0)+IFERROR(VLOOKUP(,[3]库存使用数据!$A:$B,2,0),0)+IFERROR(VLOOKUP(A600,[4]库存使用数据!$A:$B,2,0),0)+IFERROR(VLOOKUP(A600,[5]库存使用数据!$A:$B,2,0),0)</f>
        <v>0</v>
      </c>
      <c r="C600" s="1">
        <f ca="1">IFERROR(VLOOKUP($A600,[1]库存使用数据!$A:$C,3,0),0)+IFERROR(VLOOKUP($A600,[2]库存使用数据!$A:$C,3,0),0)+IFERROR(VLOOKUP($A600,[3]库存使用数据!$A:$C,3,0),0)+IFERROR(VLOOKUP($A600,[4]库存使用数据!$A:$C,3,0),0)+IFERROR(VLOOKUP($A600,[5]库存使用数据!$A:$C,3,0),0)</f>
        <v>0</v>
      </c>
      <c r="D600" s="1">
        <f ca="1">IFERROR(VLOOKUP($A600,[1]库存使用数据!$A:$D,4,0),0)+IFERROR(VLOOKUP($A600,[2]库存使用数据!$A:$D,4,0),0)+公式!$B$1*IFERROR(VLOOKUP($A600,[3]库存使用数据!$A:$D,4,0),0)+IFERROR(VLOOKUP($A600,[4]库存使用数据!$A:$D,4,0),0)+IFERROR(VLOOKUP($A600,[5]库存使用数据!$A:$D,4,0),0)</f>
        <v>0</v>
      </c>
      <c r="E600" s="1">
        <f ca="1">IFERROR(VLOOKUP($A600,[1]库存使用数据!$A:$E,5,0),0)+IFERROR(VLOOKUP($A600,[2]库存使用数据!$A:$E,5,0),0)+IFERROR(VLOOKUP($A600,[3]库存使用数据!$A:$E,5,0),0)+IFERROR(VLOOKUP($A600,[4]库存使用数据!$A:$E,5,0),0)+IFERROR(VLOOKUP($A600,[5]库存使用数据!$A:$E,5,0),0)</f>
        <v>0</v>
      </c>
      <c r="F600" s="1">
        <f ca="1">IFERROR(VLOOKUP($A600,[1]库存使用数据!$A:$F,6,0),0)+IFERROR(VLOOKUP($A600,[2]库存使用数据!$A:$F,6,0),0)+IFERROR(VLOOKUP($A600,[4]库存使用数据!$A:$F,6,0),0)+IFERROR(VLOOKUP($A600,[3]库存使用数据!$A:$F,6,0),0)+IFERROR(VLOOKUP($A600,[5]库存使用数据!$A:$F,6,0),0)</f>
        <v>0</v>
      </c>
      <c r="G600" s="1">
        <f ca="1">IFERROR(VLOOKUP($A600,[1]库存使用数据!$A:$G,7,0),0)+IFERROR(VLOOKUP($A600,[2]库存使用数据!$A:$G,7,0),0)+公式!$B$14*IFERROR(VLOOKUP($A600,[3]库存使用数据!$A:$G,7,0),0)+IFERROR(VLOOKUP($A600,[4]库存使用数据!$A:$G,7,0),0)+IFERROR(VLOOKUP($A600,[5]库存使用数据!$A:$G,7,0),0)</f>
        <v>0</v>
      </c>
      <c r="H600" s="1">
        <f ca="1">IFERROR(VLOOKUP($A600,[1]库存使用数据!$A:$H,8,0),0)+IFERROR(VLOOKUP($A600,[2]库存使用数据!$A:$H,8,0),0)+IFERROR(VLOOKUP($A600,[3]库存使用数据!$A:$H,8,0),0)+IFERROR(VLOOKUP($A600,[4]库存使用数据!$A:$H,8,0),0)+IFERROR(VLOOKUP($A600,[5]库存使用数据!$A:$H,8,0),0)</f>
        <v>0</v>
      </c>
      <c r="I600" s="1">
        <f ca="1">IFERROR(VLOOKUP($A600,[1]库存使用数据!$A:$I,9,0),0)+IFERROR(VLOOKUP($A600,[2]库存使用数据!$A:$I,9,0),0)+IFERROR(VLOOKUP($A600,[3]库存使用数据!$A:$I,9,0),0)+IFERROR(VLOOKUP($A600,[4]库存使用数据!$A:$I,9,0),0)+IFERROR(VLOOKUP($A600,[5]库存使用数据!$A:$I,9,0),0)</f>
        <v>0</v>
      </c>
      <c r="J600" s="1">
        <f ca="1">IFERROR(VLOOKUP($A600,[1]库存使用数据!$A:$J,10,0),0)+IFERROR(VLOOKUP($A600,[2]库存使用数据!$A:$J,10,0),0)+公式!$B$14*IFERROR(VLOOKUP($A600,[3]库存使用数据!$A:$J,10,0),0)+IFERROR(VLOOKUP($A600,[4]库存使用数据!$A:$J,10,0),0)+IFERROR(VLOOKUP($A600,[5]库存使用数据!$A:$J,10,0),0)</f>
        <v>0</v>
      </c>
      <c r="K600" s="1">
        <f ca="1">IFERROR(VLOOKUP($A600,[1]库存使用数据!$A:$K,11,0),0)+IFERROR(VLOOKUP($A600,[2]库存使用数据!$A:$K,11,0),0)+IFERROR(VLOOKUP($A600,[3]库存使用数据!$A:$K,11,0),0)+IFERROR(VLOOKUP($A600,[4]库存使用数据!$A:$K,11,0),0)+IFERROR(VLOOKUP($A600,[5]库存使用数据!$A:$K,11,0),0)</f>
        <v>4661</v>
      </c>
      <c r="L600" s="1">
        <f ca="1">IFERROR(VLOOKUP($A600,[1]库存使用数据!$A:$L,12,0),0)+IFERROR(VLOOKUP($A600,[2]库存使用数据!$A:$L,12,0),0)+IFERROR(VLOOKUP($A600,[3]库存使用数据!$A:$L,12,0),0)+IFERROR(VLOOKUP($A600,[4]库存使用数据!$A:$L,12,0),0)+IFERROR(VLOOKUP($A600,[5]库存使用数据!$A:$L,12,0),0)</f>
        <v>56</v>
      </c>
      <c r="M600" s="1">
        <f ca="1">IFERROR(VLOOKUP($A600,[1]库存使用数据!$A:$M,13,0),0)+IFERROR(VLOOKUP($A600,[2]库存使用数据!$A:$M,13,0),0)+公式!$B$14*IFERROR(VLOOKUP($A600,[3]库存使用数据!$A:$M,13,0),0)+IFERROR(VLOOKUP($A600,[4]库存使用数据!$A:$M,13,0),0)+IFERROR(VLOOKUP($A600,[5]库存使用数据!$A:$M,13,0),0)</f>
        <v>8.91</v>
      </c>
    </row>
    <row r="601" spans="1:13">
      <c r="A601" s="6" t="s">
        <v>606</v>
      </c>
      <c r="B601" s="2">
        <f ca="1">IFERROR(VLOOKUP(A601,[1]库存使用数据!$A:$B,2,0),0)+IFERROR(VLOOKUP(A601,[2]库存使用数据!$A:$B,2,0),0)+IFERROR(VLOOKUP(,[3]库存使用数据!$A:$B,2,0),0)+IFERROR(VLOOKUP(A601,[4]库存使用数据!$A:$B,2,0),0)+IFERROR(VLOOKUP(A601,[5]库存使用数据!$A:$B,2,0),0)</f>
        <v>0</v>
      </c>
      <c r="C601" s="1">
        <f ca="1">IFERROR(VLOOKUP($A601,[1]库存使用数据!$A:$C,3,0),0)+IFERROR(VLOOKUP($A601,[2]库存使用数据!$A:$C,3,0),0)+IFERROR(VLOOKUP($A601,[3]库存使用数据!$A:$C,3,0),0)+IFERROR(VLOOKUP($A601,[4]库存使用数据!$A:$C,3,0),0)+IFERROR(VLOOKUP($A601,[5]库存使用数据!$A:$C,3,0),0)</f>
        <v>0</v>
      </c>
      <c r="D601" s="1">
        <f ca="1">IFERROR(VLOOKUP($A601,[1]库存使用数据!$A:$D,4,0),0)+IFERROR(VLOOKUP($A601,[2]库存使用数据!$A:$D,4,0),0)+公式!$B$1*IFERROR(VLOOKUP($A601,[3]库存使用数据!$A:$D,4,0),0)+IFERROR(VLOOKUP($A601,[4]库存使用数据!$A:$D,4,0),0)+IFERROR(VLOOKUP($A601,[5]库存使用数据!$A:$D,4,0),0)</f>
        <v>0</v>
      </c>
      <c r="E601" s="1">
        <f ca="1">IFERROR(VLOOKUP($A601,[1]库存使用数据!$A:$E,5,0),0)+IFERROR(VLOOKUP($A601,[2]库存使用数据!$A:$E,5,0),0)+IFERROR(VLOOKUP($A601,[3]库存使用数据!$A:$E,5,0),0)+IFERROR(VLOOKUP($A601,[4]库存使用数据!$A:$E,5,0),0)+IFERROR(VLOOKUP($A601,[5]库存使用数据!$A:$E,5,0),0)</f>
        <v>256</v>
      </c>
      <c r="F601" s="1">
        <f ca="1">IFERROR(VLOOKUP($A601,[1]库存使用数据!$A:$F,6,0),0)+IFERROR(VLOOKUP($A601,[2]库存使用数据!$A:$F,6,0),0)+IFERROR(VLOOKUP($A601,[4]库存使用数据!$A:$F,6,0),0)+IFERROR(VLOOKUP($A601,[3]库存使用数据!$A:$F,6,0),0)+IFERROR(VLOOKUP($A601,[5]库存使用数据!$A:$F,6,0),0)</f>
        <v>0</v>
      </c>
      <c r="G601" s="1">
        <f ca="1">IFERROR(VLOOKUP($A601,[1]库存使用数据!$A:$G,7,0),0)+IFERROR(VLOOKUP($A601,[2]库存使用数据!$A:$G,7,0),0)+公式!$B$14*IFERROR(VLOOKUP($A601,[3]库存使用数据!$A:$G,7,0),0)+IFERROR(VLOOKUP($A601,[4]库存使用数据!$A:$G,7,0),0)+IFERROR(VLOOKUP($A601,[5]库存使用数据!$A:$G,7,0),0)</f>
        <v>0</v>
      </c>
      <c r="H601" s="1">
        <f ca="1">IFERROR(VLOOKUP($A601,[1]库存使用数据!$A:$H,8,0),0)+IFERROR(VLOOKUP($A601,[2]库存使用数据!$A:$H,8,0),0)+IFERROR(VLOOKUP($A601,[3]库存使用数据!$A:$H,8,0),0)+IFERROR(VLOOKUP($A601,[4]库存使用数据!$A:$H,8,0),0)+IFERROR(VLOOKUP($A601,[5]库存使用数据!$A:$H,8,0),0)</f>
        <v>137</v>
      </c>
      <c r="I601" s="1">
        <f ca="1">IFERROR(VLOOKUP($A601,[1]库存使用数据!$A:$I,9,0),0)+IFERROR(VLOOKUP($A601,[2]库存使用数据!$A:$I,9,0),0)+IFERROR(VLOOKUP($A601,[3]库存使用数据!$A:$I,9,0),0)+IFERROR(VLOOKUP($A601,[4]库存使用数据!$A:$I,9,0),0)+IFERROR(VLOOKUP($A601,[5]库存使用数据!$A:$I,9,0),0)</f>
        <v>1</v>
      </c>
      <c r="J601" s="1">
        <f ca="1">IFERROR(VLOOKUP($A601,[1]库存使用数据!$A:$J,10,0),0)+IFERROR(VLOOKUP($A601,[2]库存使用数据!$A:$J,10,0),0)+公式!$B$14*IFERROR(VLOOKUP($A601,[3]库存使用数据!$A:$J,10,0),0)+IFERROR(VLOOKUP($A601,[4]库存使用数据!$A:$J,10,0),0)+IFERROR(VLOOKUP($A601,[5]库存使用数据!$A:$J,10,0),0)</f>
        <v>0.11</v>
      </c>
      <c r="K601" s="1">
        <f ca="1">IFERROR(VLOOKUP($A601,[1]库存使用数据!$A:$K,11,0),0)+IFERROR(VLOOKUP($A601,[2]库存使用数据!$A:$K,11,0),0)+IFERROR(VLOOKUP($A601,[3]库存使用数据!$A:$K,11,0),0)+IFERROR(VLOOKUP($A601,[4]库存使用数据!$A:$K,11,0),0)+IFERROR(VLOOKUP($A601,[5]库存使用数据!$A:$K,11,0),0)</f>
        <v>348</v>
      </c>
      <c r="L601" s="1">
        <f ca="1">IFERROR(VLOOKUP($A601,[1]库存使用数据!$A:$L,12,0),0)+IFERROR(VLOOKUP($A601,[2]库存使用数据!$A:$L,12,0),0)+IFERROR(VLOOKUP($A601,[3]库存使用数据!$A:$L,12,0),0)+IFERROR(VLOOKUP($A601,[4]库存使用数据!$A:$L,12,0),0)+IFERROR(VLOOKUP($A601,[5]库存使用数据!$A:$L,12,0),0)</f>
        <v>1</v>
      </c>
      <c r="M601" s="1">
        <f ca="1">IFERROR(VLOOKUP($A601,[1]库存使用数据!$A:$M,13,0),0)+IFERROR(VLOOKUP($A601,[2]库存使用数据!$A:$M,13,0),0)+公式!$B$14*IFERROR(VLOOKUP($A601,[3]库存使用数据!$A:$M,13,0),0)+IFERROR(VLOOKUP($A601,[4]库存使用数据!$A:$M,13,0),0)+IFERROR(VLOOKUP($A601,[5]库存使用数据!$A:$M,13,0),0)</f>
        <v>0.16</v>
      </c>
    </row>
    <row r="602" spans="1:13">
      <c r="A602" s="6" t="s">
        <v>607</v>
      </c>
      <c r="B602" s="2">
        <f ca="1">IFERROR(VLOOKUP(A602,[1]库存使用数据!$A:$B,2,0),0)+IFERROR(VLOOKUP(A602,[2]库存使用数据!$A:$B,2,0),0)+IFERROR(VLOOKUP(,[3]库存使用数据!$A:$B,2,0),0)+IFERROR(VLOOKUP(A602,[4]库存使用数据!$A:$B,2,0),0)+IFERROR(VLOOKUP(A602,[5]库存使用数据!$A:$B,2,0),0)</f>
        <v>0</v>
      </c>
      <c r="C602" s="1">
        <f ca="1">IFERROR(VLOOKUP($A602,[1]库存使用数据!$A:$C,3,0),0)+IFERROR(VLOOKUP($A602,[2]库存使用数据!$A:$C,3,0),0)+IFERROR(VLOOKUP($A602,[3]库存使用数据!$A:$C,3,0),0)+IFERROR(VLOOKUP($A602,[4]库存使用数据!$A:$C,3,0),0)+IFERROR(VLOOKUP($A602,[5]库存使用数据!$A:$C,3,0),0)</f>
        <v>0</v>
      </c>
      <c r="D602" s="1">
        <f ca="1">IFERROR(VLOOKUP($A602,[1]库存使用数据!$A:$D,4,0),0)+IFERROR(VLOOKUP($A602,[2]库存使用数据!$A:$D,4,0),0)+公式!$B$1*IFERROR(VLOOKUP($A602,[3]库存使用数据!$A:$D,4,0),0)+IFERROR(VLOOKUP($A602,[4]库存使用数据!$A:$D,4,0),0)+IFERROR(VLOOKUP($A602,[5]库存使用数据!$A:$D,4,0),0)</f>
        <v>0</v>
      </c>
      <c r="E602" s="1">
        <f ca="1">IFERROR(VLOOKUP($A602,[1]库存使用数据!$A:$E,5,0),0)+IFERROR(VLOOKUP($A602,[2]库存使用数据!$A:$E,5,0),0)+IFERROR(VLOOKUP($A602,[3]库存使用数据!$A:$E,5,0),0)+IFERROR(VLOOKUP($A602,[4]库存使用数据!$A:$E,5,0),0)+IFERROR(VLOOKUP($A602,[5]库存使用数据!$A:$E,5,0),0)</f>
        <v>0</v>
      </c>
      <c r="F602" s="1">
        <f ca="1">IFERROR(VLOOKUP($A602,[1]库存使用数据!$A:$F,6,0),0)+IFERROR(VLOOKUP($A602,[2]库存使用数据!$A:$F,6,0),0)+IFERROR(VLOOKUP($A602,[4]库存使用数据!$A:$F,6,0),0)+IFERROR(VLOOKUP($A602,[3]库存使用数据!$A:$F,6,0),0)+IFERROR(VLOOKUP($A602,[5]库存使用数据!$A:$F,6,0),0)</f>
        <v>0</v>
      </c>
      <c r="G602" s="1">
        <f ca="1">IFERROR(VLOOKUP($A602,[1]库存使用数据!$A:$G,7,0),0)+IFERROR(VLOOKUP($A602,[2]库存使用数据!$A:$G,7,0),0)+公式!$B$14*IFERROR(VLOOKUP($A602,[3]库存使用数据!$A:$G,7,0),0)+IFERROR(VLOOKUP($A602,[4]库存使用数据!$A:$G,7,0),0)+IFERROR(VLOOKUP($A602,[5]库存使用数据!$A:$G,7,0),0)</f>
        <v>0</v>
      </c>
      <c r="H602" s="1">
        <f ca="1">IFERROR(VLOOKUP($A602,[1]库存使用数据!$A:$H,8,0),0)+IFERROR(VLOOKUP($A602,[2]库存使用数据!$A:$H,8,0),0)+IFERROR(VLOOKUP($A602,[3]库存使用数据!$A:$H,8,0),0)+IFERROR(VLOOKUP($A602,[4]库存使用数据!$A:$H,8,0),0)+IFERROR(VLOOKUP($A602,[5]库存使用数据!$A:$H,8,0),0)</f>
        <v>893</v>
      </c>
      <c r="I602" s="1">
        <f ca="1">IFERROR(VLOOKUP($A602,[1]库存使用数据!$A:$I,9,0),0)+IFERROR(VLOOKUP($A602,[2]库存使用数据!$A:$I,9,0),0)+IFERROR(VLOOKUP($A602,[3]库存使用数据!$A:$I,9,0),0)+IFERROR(VLOOKUP($A602,[4]库存使用数据!$A:$I,9,0),0)+IFERROR(VLOOKUP($A602,[5]库存使用数据!$A:$I,9,0),0)</f>
        <v>6</v>
      </c>
      <c r="J602" s="1">
        <f ca="1">IFERROR(VLOOKUP($A602,[1]库存使用数据!$A:$J,10,0),0)+IFERROR(VLOOKUP($A602,[2]库存使用数据!$A:$J,10,0),0)+公式!$B$14*IFERROR(VLOOKUP($A602,[3]库存使用数据!$A:$J,10,0),0)+IFERROR(VLOOKUP($A602,[4]库存使用数据!$A:$J,10,0),0)+IFERROR(VLOOKUP($A602,[5]库存使用数据!$A:$J,10,0),0)</f>
        <v>0.9</v>
      </c>
      <c r="K602" s="1">
        <f ca="1">IFERROR(VLOOKUP($A602,[1]库存使用数据!$A:$K,11,0),0)+IFERROR(VLOOKUP($A602,[2]库存使用数据!$A:$K,11,0),0)+IFERROR(VLOOKUP($A602,[3]库存使用数据!$A:$K,11,0),0)+IFERROR(VLOOKUP($A602,[4]库存使用数据!$A:$K,11,0),0)+IFERROR(VLOOKUP($A602,[5]库存使用数据!$A:$K,11,0),0)</f>
        <v>3097</v>
      </c>
      <c r="L602" s="1">
        <f ca="1">IFERROR(VLOOKUP($A602,[1]库存使用数据!$A:$L,12,0),0)+IFERROR(VLOOKUP($A602,[2]库存使用数据!$A:$L,12,0),0)+IFERROR(VLOOKUP($A602,[3]库存使用数据!$A:$L,12,0),0)+IFERROR(VLOOKUP($A602,[4]库存使用数据!$A:$L,12,0),0)+IFERROR(VLOOKUP($A602,[5]库存使用数据!$A:$L,12,0),0)</f>
        <v>13</v>
      </c>
      <c r="M602" s="1">
        <f ca="1">IFERROR(VLOOKUP($A602,[1]库存使用数据!$A:$M,13,0),0)+IFERROR(VLOOKUP($A602,[2]库存使用数据!$A:$M,13,0),0)+公式!$B$14*IFERROR(VLOOKUP($A602,[3]库存使用数据!$A:$M,13,0),0)+IFERROR(VLOOKUP($A602,[4]库存使用数据!$A:$M,13,0),0)+IFERROR(VLOOKUP($A602,[5]库存使用数据!$A:$M,13,0),0)</f>
        <v>1.58</v>
      </c>
    </row>
    <row r="603" spans="1:13">
      <c r="A603" s="6" t="s">
        <v>608</v>
      </c>
      <c r="B603" s="2">
        <f ca="1">IFERROR(VLOOKUP(A603,[1]库存使用数据!$A:$B,2,0),0)+IFERROR(VLOOKUP(A603,[2]库存使用数据!$A:$B,2,0),0)+IFERROR(VLOOKUP(,[3]库存使用数据!$A:$B,2,0),0)+IFERROR(VLOOKUP(A603,[4]库存使用数据!$A:$B,2,0),0)+IFERROR(VLOOKUP(A603,[5]库存使用数据!$A:$B,2,0),0)</f>
        <v>0</v>
      </c>
      <c r="C603" s="1">
        <f ca="1">IFERROR(VLOOKUP($A603,[1]库存使用数据!$A:$C,3,0),0)+IFERROR(VLOOKUP($A603,[2]库存使用数据!$A:$C,3,0),0)+IFERROR(VLOOKUP($A603,[3]库存使用数据!$A:$C,3,0),0)+IFERROR(VLOOKUP($A603,[4]库存使用数据!$A:$C,3,0),0)+IFERROR(VLOOKUP($A603,[5]库存使用数据!$A:$C,3,0),0)</f>
        <v>0</v>
      </c>
      <c r="D603" s="1">
        <f ca="1">IFERROR(VLOOKUP($A603,[1]库存使用数据!$A:$D,4,0),0)+IFERROR(VLOOKUP($A603,[2]库存使用数据!$A:$D,4,0),0)+公式!$B$1*IFERROR(VLOOKUP($A603,[3]库存使用数据!$A:$D,4,0),0)+IFERROR(VLOOKUP($A603,[4]库存使用数据!$A:$D,4,0),0)+IFERROR(VLOOKUP($A603,[5]库存使用数据!$A:$D,4,0),0)</f>
        <v>0</v>
      </c>
      <c r="E603" s="1">
        <f ca="1">IFERROR(VLOOKUP($A603,[1]库存使用数据!$A:$E,5,0),0)+IFERROR(VLOOKUP($A603,[2]库存使用数据!$A:$E,5,0),0)+IFERROR(VLOOKUP($A603,[3]库存使用数据!$A:$E,5,0),0)+IFERROR(VLOOKUP($A603,[4]库存使用数据!$A:$E,5,0),0)+IFERROR(VLOOKUP($A603,[5]库存使用数据!$A:$E,5,0),0)</f>
        <v>623</v>
      </c>
      <c r="F603" s="1">
        <f ca="1">IFERROR(VLOOKUP($A603,[1]库存使用数据!$A:$F,6,0),0)+IFERROR(VLOOKUP($A603,[2]库存使用数据!$A:$F,6,0),0)+IFERROR(VLOOKUP($A603,[4]库存使用数据!$A:$F,6,0),0)+IFERROR(VLOOKUP($A603,[3]库存使用数据!$A:$F,6,0),0)+IFERROR(VLOOKUP($A603,[5]库存使用数据!$A:$F,6,0),0)</f>
        <v>2</v>
      </c>
      <c r="G603" s="1">
        <f ca="1">IFERROR(VLOOKUP($A603,[1]库存使用数据!$A:$G,7,0),0)+IFERROR(VLOOKUP($A603,[2]库存使用数据!$A:$G,7,0),0)+公式!$B$14*IFERROR(VLOOKUP($A603,[3]库存使用数据!$A:$G,7,0),0)+IFERROR(VLOOKUP($A603,[4]库存使用数据!$A:$G,7,0),0)+IFERROR(VLOOKUP($A603,[5]库存使用数据!$A:$G,7,0),0)</f>
        <v>0.31</v>
      </c>
      <c r="H603" s="1">
        <f ca="1">IFERROR(VLOOKUP($A603,[1]库存使用数据!$A:$H,8,0),0)+IFERROR(VLOOKUP($A603,[2]库存使用数据!$A:$H,8,0),0)+IFERROR(VLOOKUP($A603,[3]库存使用数据!$A:$H,8,0),0)+IFERROR(VLOOKUP($A603,[4]库存使用数据!$A:$H,8,0),0)+IFERROR(VLOOKUP($A603,[5]库存使用数据!$A:$H,8,0),0)</f>
        <v>119</v>
      </c>
      <c r="I603" s="1">
        <f ca="1">IFERROR(VLOOKUP($A603,[1]库存使用数据!$A:$I,9,0),0)+IFERROR(VLOOKUP($A603,[2]库存使用数据!$A:$I,9,0),0)+IFERROR(VLOOKUP($A603,[3]库存使用数据!$A:$I,9,0),0)+IFERROR(VLOOKUP($A603,[4]库存使用数据!$A:$I,9,0),0)+IFERROR(VLOOKUP($A603,[5]库存使用数据!$A:$I,9,0),0)</f>
        <v>0</v>
      </c>
      <c r="J603" s="1">
        <f ca="1">IFERROR(VLOOKUP($A603,[1]库存使用数据!$A:$J,10,0),0)+IFERROR(VLOOKUP($A603,[2]库存使用数据!$A:$J,10,0),0)+公式!$B$14*IFERROR(VLOOKUP($A603,[3]库存使用数据!$A:$J,10,0),0)+IFERROR(VLOOKUP($A603,[4]库存使用数据!$A:$J,10,0),0)+IFERROR(VLOOKUP($A603,[5]库存使用数据!$A:$J,10,0),0)</f>
        <v>0</v>
      </c>
      <c r="K603" s="1">
        <f ca="1">IFERROR(VLOOKUP($A603,[1]库存使用数据!$A:$K,11,0),0)+IFERROR(VLOOKUP($A603,[2]库存使用数据!$A:$K,11,0),0)+IFERROR(VLOOKUP($A603,[3]库存使用数据!$A:$K,11,0),0)+IFERROR(VLOOKUP($A603,[4]库存使用数据!$A:$K,11,0),0)+IFERROR(VLOOKUP($A603,[5]库存使用数据!$A:$K,11,0),0)</f>
        <v>140</v>
      </c>
      <c r="L603" s="1">
        <f ca="1">IFERROR(VLOOKUP($A603,[1]库存使用数据!$A:$L,12,0),0)+IFERROR(VLOOKUP($A603,[2]库存使用数据!$A:$L,12,0),0)+IFERROR(VLOOKUP($A603,[3]库存使用数据!$A:$L,12,0),0)+IFERROR(VLOOKUP($A603,[4]库存使用数据!$A:$L,12,0),0)+IFERROR(VLOOKUP($A603,[5]库存使用数据!$A:$L,12,0),0)</f>
        <v>0</v>
      </c>
      <c r="M603" s="1">
        <f ca="1">IFERROR(VLOOKUP($A603,[1]库存使用数据!$A:$M,13,0),0)+IFERROR(VLOOKUP($A603,[2]库存使用数据!$A:$M,13,0),0)+公式!$B$14*IFERROR(VLOOKUP($A603,[3]库存使用数据!$A:$M,13,0),0)+IFERROR(VLOOKUP($A603,[4]库存使用数据!$A:$M,13,0),0)+IFERROR(VLOOKUP($A603,[5]库存使用数据!$A:$M,13,0),0)</f>
        <v>0</v>
      </c>
    </row>
    <row r="604" spans="1:13">
      <c r="A604" s="6" t="s">
        <v>609</v>
      </c>
      <c r="B604" s="2">
        <f ca="1">IFERROR(VLOOKUP(A604,[1]库存使用数据!$A:$B,2,0),0)+IFERROR(VLOOKUP(A604,[2]库存使用数据!$A:$B,2,0),0)+IFERROR(VLOOKUP(,[3]库存使用数据!$A:$B,2,0),0)+IFERROR(VLOOKUP(A604,[4]库存使用数据!$A:$B,2,0),0)+IFERROR(VLOOKUP(A604,[5]库存使用数据!$A:$B,2,0),0)</f>
        <v>0</v>
      </c>
      <c r="C604" s="1">
        <f ca="1">IFERROR(VLOOKUP($A604,[1]库存使用数据!$A:$C,3,0),0)+IFERROR(VLOOKUP($A604,[2]库存使用数据!$A:$C,3,0),0)+IFERROR(VLOOKUP($A604,[3]库存使用数据!$A:$C,3,0),0)+IFERROR(VLOOKUP($A604,[4]库存使用数据!$A:$C,3,0),0)+IFERROR(VLOOKUP($A604,[5]库存使用数据!$A:$C,3,0),0)</f>
        <v>0</v>
      </c>
      <c r="D604" s="1">
        <f ca="1">IFERROR(VLOOKUP($A604,[1]库存使用数据!$A:$D,4,0),0)+IFERROR(VLOOKUP($A604,[2]库存使用数据!$A:$D,4,0),0)+公式!$B$1*IFERROR(VLOOKUP($A604,[3]库存使用数据!$A:$D,4,0),0)+IFERROR(VLOOKUP($A604,[4]库存使用数据!$A:$D,4,0),0)+IFERROR(VLOOKUP($A604,[5]库存使用数据!$A:$D,4,0),0)</f>
        <v>0</v>
      </c>
      <c r="E604" s="1">
        <f ca="1">IFERROR(VLOOKUP($A604,[1]库存使用数据!$A:$E,5,0),0)+IFERROR(VLOOKUP($A604,[2]库存使用数据!$A:$E,5,0),0)+IFERROR(VLOOKUP($A604,[3]库存使用数据!$A:$E,5,0),0)+IFERROR(VLOOKUP($A604,[4]库存使用数据!$A:$E,5,0),0)+IFERROR(VLOOKUP($A604,[5]库存使用数据!$A:$E,5,0),0)</f>
        <v>601</v>
      </c>
      <c r="F604" s="1">
        <f ca="1">IFERROR(VLOOKUP($A604,[1]库存使用数据!$A:$F,6,0),0)+IFERROR(VLOOKUP($A604,[2]库存使用数据!$A:$F,6,0),0)+IFERROR(VLOOKUP($A604,[4]库存使用数据!$A:$F,6,0),0)+IFERROR(VLOOKUP($A604,[3]库存使用数据!$A:$F,6,0),0)+IFERROR(VLOOKUP($A604,[5]库存使用数据!$A:$F,6,0),0)</f>
        <v>2</v>
      </c>
      <c r="G604" s="1">
        <f ca="1">IFERROR(VLOOKUP($A604,[1]库存使用数据!$A:$G,7,0),0)+IFERROR(VLOOKUP($A604,[2]库存使用数据!$A:$G,7,0),0)+公式!$B$14*IFERROR(VLOOKUP($A604,[3]库存使用数据!$A:$G,7,0),0)+IFERROR(VLOOKUP($A604,[4]库存使用数据!$A:$G,7,0),0)+IFERROR(VLOOKUP($A604,[5]库存使用数据!$A:$G,7,0),0)</f>
        <v>0.23</v>
      </c>
      <c r="H604" s="1">
        <f ca="1">IFERROR(VLOOKUP($A604,[1]库存使用数据!$A:$H,8,0),0)+IFERROR(VLOOKUP($A604,[2]库存使用数据!$A:$H,8,0),0)+IFERROR(VLOOKUP($A604,[3]库存使用数据!$A:$H,8,0),0)+IFERROR(VLOOKUP($A604,[4]库存使用数据!$A:$H,8,0),0)+IFERROR(VLOOKUP($A604,[5]库存使用数据!$A:$H,8,0),0)</f>
        <v>73</v>
      </c>
      <c r="I604" s="1">
        <f ca="1">IFERROR(VLOOKUP($A604,[1]库存使用数据!$A:$I,9,0),0)+IFERROR(VLOOKUP($A604,[2]库存使用数据!$A:$I,9,0),0)+IFERROR(VLOOKUP($A604,[3]库存使用数据!$A:$I,9,0),0)+IFERROR(VLOOKUP($A604,[4]库存使用数据!$A:$I,9,0),0)+IFERROR(VLOOKUP($A604,[5]库存使用数据!$A:$I,9,0),0)</f>
        <v>0</v>
      </c>
      <c r="J604" s="1">
        <f ca="1">IFERROR(VLOOKUP($A604,[1]库存使用数据!$A:$J,10,0),0)+IFERROR(VLOOKUP($A604,[2]库存使用数据!$A:$J,10,0),0)+公式!$B$14*IFERROR(VLOOKUP($A604,[3]库存使用数据!$A:$J,10,0),0)+IFERROR(VLOOKUP($A604,[4]库存使用数据!$A:$J,10,0),0)+IFERROR(VLOOKUP($A604,[5]库存使用数据!$A:$J,10,0),0)</f>
        <v>0</v>
      </c>
      <c r="K604" s="1">
        <f ca="1">IFERROR(VLOOKUP($A604,[1]库存使用数据!$A:$K,11,0),0)+IFERROR(VLOOKUP($A604,[2]库存使用数据!$A:$K,11,0),0)+IFERROR(VLOOKUP($A604,[3]库存使用数据!$A:$K,11,0),0)+IFERROR(VLOOKUP($A604,[4]库存使用数据!$A:$K,11,0),0)+IFERROR(VLOOKUP($A604,[5]库存使用数据!$A:$K,11,0),0)</f>
        <v>152</v>
      </c>
      <c r="L604" s="1">
        <f ca="1">IFERROR(VLOOKUP($A604,[1]库存使用数据!$A:$L,12,0),0)+IFERROR(VLOOKUP($A604,[2]库存使用数据!$A:$L,12,0),0)+IFERROR(VLOOKUP($A604,[3]库存使用数据!$A:$L,12,0),0)+IFERROR(VLOOKUP($A604,[4]库存使用数据!$A:$L,12,0),0)+IFERROR(VLOOKUP($A604,[5]库存使用数据!$A:$L,12,0),0)</f>
        <v>1</v>
      </c>
      <c r="M604" s="1">
        <f ca="1">IFERROR(VLOOKUP($A604,[1]库存使用数据!$A:$M,13,0),0)+IFERROR(VLOOKUP($A604,[2]库存使用数据!$A:$M,13,0),0)+公式!$B$14*IFERROR(VLOOKUP($A604,[3]库存使用数据!$A:$M,13,0),0)+IFERROR(VLOOKUP($A604,[4]库存使用数据!$A:$M,13,0),0)+IFERROR(VLOOKUP($A604,[5]库存使用数据!$A:$M,13,0),0)</f>
        <v>0.05</v>
      </c>
    </row>
    <row r="605" spans="1:13">
      <c r="A605" s="6" t="s">
        <v>610</v>
      </c>
      <c r="B605" s="2">
        <f ca="1">IFERROR(VLOOKUP(A605,[1]库存使用数据!$A:$B,2,0),0)+IFERROR(VLOOKUP(A605,[2]库存使用数据!$A:$B,2,0),0)+IFERROR(VLOOKUP(,[3]库存使用数据!$A:$B,2,0),0)+IFERROR(VLOOKUP(A605,[4]库存使用数据!$A:$B,2,0),0)+IFERROR(VLOOKUP(A605,[5]库存使用数据!$A:$B,2,0),0)</f>
        <v>0</v>
      </c>
      <c r="C605" s="1">
        <f ca="1">IFERROR(VLOOKUP($A605,[1]库存使用数据!$A:$C,3,0),0)+IFERROR(VLOOKUP($A605,[2]库存使用数据!$A:$C,3,0),0)+IFERROR(VLOOKUP($A605,[3]库存使用数据!$A:$C,3,0),0)+IFERROR(VLOOKUP($A605,[4]库存使用数据!$A:$C,3,0),0)+IFERROR(VLOOKUP($A605,[5]库存使用数据!$A:$C,3,0),0)</f>
        <v>0</v>
      </c>
      <c r="D605" s="1">
        <f ca="1">IFERROR(VLOOKUP($A605,[1]库存使用数据!$A:$D,4,0),0)+IFERROR(VLOOKUP($A605,[2]库存使用数据!$A:$D,4,0),0)+公式!$B$1*IFERROR(VLOOKUP($A605,[3]库存使用数据!$A:$D,4,0),0)+IFERROR(VLOOKUP($A605,[4]库存使用数据!$A:$D,4,0),0)+IFERROR(VLOOKUP($A605,[5]库存使用数据!$A:$D,4,0),0)</f>
        <v>0</v>
      </c>
      <c r="E605" s="1">
        <f ca="1">IFERROR(VLOOKUP($A605,[1]库存使用数据!$A:$E,5,0),0)+IFERROR(VLOOKUP($A605,[2]库存使用数据!$A:$E,5,0),0)+IFERROR(VLOOKUP($A605,[3]库存使用数据!$A:$E,5,0),0)+IFERROR(VLOOKUP($A605,[4]库存使用数据!$A:$E,5,0),0)+IFERROR(VLOOKUP($A605,[5]库存使用数据!$A:$E,5,0),0)</f>
        <v>1671</v>
      </c>
      <c r="F605" s="1">
        <f ca="1">IFERROR(VLOOKUP($A605,[1]库存使用数据!$A:$F,6,0),0)+IFERROR(VLOOKUP($A605,[2]库存使用数据!$A:$F,6,0),0)+IFERROR(VLOOKUP($A605,[4]库存使用数据!$A:$F,6,0),0)+IFERROR(VLOOKUP($A605,[3]库存使用数据!$A:$F,6,0),0)+IFERROR(VLOOKUP($A605,[5]库存使用数据!$A:$F,6,0),0)</f>
        <v>14</v>
      </c>
      <c r="G605" s="1">
        <f ca="1">IFERROR(VLOOKUP($A605,[1]库存使用数据!$A:$G,7,0),0)+IFERROR(VLOOKUP($A605,[2]库存使用数据!$A:$G,7,0),0)+公式!$B$14*IFERROR(VLOOKUP($A605,[3]库存使用数据!$A:$G,7,0),0)+IFERROR(VLOOKUP($A605,[4]库存使用数据!$A:$G,7,0),0)+IFERROR(VLOOKUP($A605,[5]库存使用数据!$A:$G,7,0),0)</f>
        <v>1.76</v>
      </c>
      <c r="H605" s="1">
        <f ca="1">IFERROR(VLOOKUP($A605,[1]库存使用数据!$A:$H,8,0),0)+IFERROR(VLOOKUP($A605,[2]库存使用数据!$A:$H,8,0),0)+IFERROR(VLOOKUP($A605,[3]库存使用数据!$A:$H,8,0),0)+IFERROR(VLOOKUP($A605,[4]库存使用数据!$A:$H,8,0),0)+IFERROR(VLOOKUP($A605,[5]库存使用数据!$A:$H,8,0),0)</f>
        <v>415</v>
      </c>
      <c r="I605" s="1">
        <f ca="1">IFERROR(VLOOKUP($A605,[1]库存使用数据!$A:$I,9,0),0)+IFERROR(VLOOKUP($A605,[2]库存使用数据!$A:$I,9,0),0)+IFERROR(VLOOKUP($A605,[3]库存使用数据!$A:$I,9,0),0)+IFERROR(VLOOKUP($A605,[4]库存使用数据!$A:$I,9,0),0)+IFERROR(VLOOKUP($A605,[5]库存使用数据!$A:$I,9,0),0)</f>
        <v>3</v>
      </c>
      <c r="J605" s="1">
        <f ca="1">IFERROR(VLOOKUP($A605,[1]库存使用数据!$A:$J,10,0),0)+IFERROR(VLOOKUP($A605,[2]库存使用数据!$A:$J,10,0),0)+公式!$B$14*IFERROR(VLOOKUP($A605,[3]库存使用数据!$A:$J,10,0),0)+IFERROR(VLOOKUP($A605,[4]库存使用数据!$A:$J,10,0),0)+IFERROR(VLOOKUP($A605,[5]库存使用数据!$A:$J,10,0),0)</f>
        <v>0.49</v>
      </c>
      <c r="K605" s="1">
        <f ca="1">IFERROR(VLOOKUP($A605,[1]库存使用数据!$A:$K,11,0),0)+IFERROR(VLOOKUP($A605,[2]库存使用数据!$A:$K,11,0),0)+IFERROR(VLOOKUP($A605,[3]库存使用数据!$A:$K,11,0),0)+IFERROR(VLOOKUP($A605,[4]库存使用数据!$A:$K,11,0),0)+IFERROR(VLOOKUP($A605,[5]库存使用数据!$A:$K,11,0),0)</f>
        <v>268</v>
      </c>
      <c r="L605" s="1">
        <f ca="1">IFERROR(VLOOKUP($A605,[1]库存使用数据!$A:$L,12,0),0)+IFERROR(VLOOKUP($A605,[2]库存使用数据!$A:$L,12,0),0)+IFERROR(VLOOKUP($A605,[3]库存使用数据!$A:$L,12,0),0)+IFERROR(VLOOKUP($A605,[4]库存使用数据!$A:$L,12,0),0)+IFERROR(VLOOKUP($A605,[5]库存使用数据!$A:$L,12,0),0)</f>
        <v>1</v>
      </c>
      <c r="M605" s="1">
        <f ca="1">IFERROR(VLOOKUP($A605,[1]库存使用数据!$A:$M,13,0),0)+IFERROR(VLOOKUP($A605,[2]库存使用数据!$A:$M,13,0),0)+公式!$B$14*IFERROR(VLOOKUP($A605,[3]库存使用数据!$A:$M,13,0),0)+IFERROR(VLOOKUP($A605,[4]库存使用数据!$A:$M,13,0),0)+IFERROR(VLOOKUP($A605,[5]库存使用数据!$A:$M,13,0),0)</f>
        <v>0.19</v>
      </c>
    </row>
    <row r="606" spans="1:13">
      <c r="A606" s="6" t="s">
        <v>611</v>
      </c>
      <c r="B606" s="2">
        <f ca="1">IFERROR(VLOOKUP(A606,[1]库存使用数据!$A:$B,2,0),0)+IFERROR(VLOOKUP(A606,[2]库存使用数据!$A:$B,2,0),0)+IFERROR(VLOOKUP(,[3]库存使用数据!$A:$B,2,0),0)+IFERROR(VLOOKUP(A606,[4]库存使用数据!$A:$B,2,0),0)+IFERROR(VLOOKUP(A606,[5]库存使用数据!$A:$B,2,0),0)</f>
        <v>0</v>
      </c>
      <c r="C606" s="1">
        <f ca="1">IFERROR(VLOOKUP($A606,[1]库存使用数据!$A:$C,3,0),0)+IFERROR(VLOOKUP($A606,[2]库存使用数据!$A:$C,3,0),0)+IFERROR(VLOOKUP($A606,[3]库存使用数据!$A:$C,3,0),0)+IFERROR(VLOOKUP($A606,[4]库存使用数据!$A:$C,3,0),0)+IFERROR(VLOOKUP($A606,[5]库存使用数据!$A:$C,3,0),0)</f>
        <v>0</v>
      </c>
      <c r="D606" s="1">
        <f ca="1">IFERROR(VLOOKUP($A606,[1]库存使用数据!$A:$D,4,0),0)+IFERROR(VLOOKUP($A606,[2]库存使用数据!$A:$D,4,0),0)+公式!$B$1*IFERROR(VLOOKUP($A606,[3]库存使用数据!$A:$D,4,0),0)+IFERROR(VLOOKUP($A606,[4]库存使用数据!$A:$D,4,0),0)+IFERROR(VLOOKUP($A606,[5]库存使用数据!$A:$D,4,0),0)</f>
        <v>0</v>
      </c>
      <c r="E606" s="1">
        <f ca="1">IFERROR(VLOOKUP($A606,[1]库存使用数据!$A:$E,5,0),0)+IFERROR(VLOOKUP($A606,[2]库存使用数据!$A:$E,5,0),0)+IFERROR(VLOOKUP($A606,[3]库存使用数据!$A:$E,5,0),0)+IFERROR(VLOOKUP($A606,[4]库存使用数据!$A:$E,5,0),0)+IFERROR(VLOOKUP($A606,[5]库存使用数据!$A:$E,5,0),0)</f>
        <v>0</v>
      </c>
      <c r="F606" s="1">
        <f ca="1">IFERROR(VLOOKUP($A606,[1]库存使用数据!$A:$F,6,0),0)+IFERROR(VLOOKUP($A606,[2]库存使用数据!$A:$F,6,0),0)+IFERROR(VLOOKUP($A606,[4]库存使用数据!$A:$F,6,0),0)+IFERROR(VLOOKUP($A606,[3]库存使用数据!$A:$F,6,0),0)+IFERROR(VLOOKUP($A606,[5]库存使用数据!$A:$F,6,0),0)</f>
        <v>0</v>
      </c>
      <c r="G606" s="1">
        <f ca="1">IFERROR(VLOOKUP($A606,[1]库存使用数据!$A:$G,7,0),0)+IFERROR(VLOOKUP($A606,[2]库存使用数据!$A:$G,7,0),0)+公式!$B$14*IFERROR(VLOOKUP($A606,[3]库存使用数据!$A:$G,7,0),0)+IFERROR(VLOOKUP($A606,[4]库存使用数据!$A:$G,7,0),0)+IFERROR(VLOOKUP($A606,[5]库存使用数据!$A:$G,7,0),0)</f>
        <v>0</v>
      </c>
      <c r="H606" s="1">
        <f ca="1">IFERROR(VLOOKUP($A606,[1]库存使用数据!$A:$H,8,0),0)+IFERROR(VLOOKUP($A606,[2]库存使用数据!$A:$H,8,0),0)+IFERROR(VLOOKUP($A606,[3]库存使用数据!$A:$H,8,0),0)+IFERROR(VLOOKUP($A606,[4]库存使用数据!$A:$H,8,0),0)+IFERROR(VLOOKUP($A606,[5]库存使用数据!$A:$H,8,0),0)</f>
        <v>121</v>
      </c>
      <c r="I606" s="1">
        <f ca="1">IFERROR(VLOOKUP($A606,[1]库存使用数据!$A:$I,9,0),0)+IFERROR(VLOOKUP($A606,[2]库存使用数据!$A:$I,9,0),0)+IFERROR(VLOOKUP($A606,[3]库存使用数据!$A:$I,9,0),0)+IFERROR(VLOOKUP($A606,[4]库存使用数据!$A:$I,9,0),0)+IFERROR(VLOOKUP($A606,[5]库存使用数据!$A:$I,9,0),0)</f>
        <v>0</v>
      </c>
      <c r="J606" s="1">
        <f ca="1">IFERROR(VLOOKUP($A606,[1]库存使用数据!$A:$J,10,0),0)+IFERROR(VLOOKUP($A606,[2]库存使用数据!$A:$J,10,0),0)+公式!$B$14*IFERROR(VLOOKUP($A606,[3]库存使用数据!$A:$J,10,0),0)+IFERROR(VLOOKUP($A606,[4]库存使用数据!$A:$J,10,0),0)+IFERROR(VLOOKUP($A606,[5]库存使用数据!$A:$J,10,0),0)</f>
        <v>0</v>
      </c>
      <c r="K606" s="1">
        <f ca="1">IFERROR(VLOOKUP($A606,[1]库存使用数据!$A:$K,11,0),0)+IFERROR(VLOOKUP($A606,[2]库存使用数据!$A:$K,11,0),0)+IFERROR(VLOOKUP($A606,[3]库存使用数据!$A:$K,11,0),0)+IFERROR(VLOOKUP($A606,[4]库存使用数据!$A:$K,11,0),0)+IFERROR(VLOOKUP($A606,[5]库存使用数据!$A:$K,11,0),0)</f>
        <v>486</v>
      </c>
      <c r="L606" s="1">
        <f ca="1">IFERROR(VLOOKUP($A606,[1]库存使用数据!$A:$L,12,0),0)+IFERROR(VLOOKUP($A606,[2]库存使用数据!$A:$L,12,0),0)+IFERROR(VLOOKUP($A606,[3]库存使用数据!$A:$L,12,0),0)+IFERROR(VLOOKUP($A606,[4]库存使用数据!$A:$L,12,0),0)+IFERROR(VLOOKUP($A606,[5]库存使用数据!$A:$L,12,0),0)</f>
        <v>3</v>
      </c>
      <c r="M606" s="1">
        <f ca="1">IFERROR(VLOOKUP($A606,[1]库存使用数据!$A:$M,13,0),0)+IFERROR(VLOOKUP($A606,[2]库存使用数据!$A:$M,13,0),0)+公式!$B$14*IFERROR(VLOOKUP($A606,[3]库存使用数据!$A:$M,13,0),0)+IFERROR(VLOOKUP($A606,[4]库存使用数据!$A:$M,13,0),0)+IFERROR(VLOOKUP($A606,[5]库存使用数据!$A:$M,13,0),0)</f>
        <v>0.46</v>
      </c>
    </row>
    <row r="607" spans="1:13">
      <c r="A607" s="6" t="s">
        <v>612</v>
      </c>
      <c r="B607" s="2">
        <f ca="1">IFERROR(VLOOKUP(A607,[1]库存使用数据!$A:$B,2,0),0)+IFERROR(VLOOKUP(A607,[2]库存使用数据!$A:$B,2,0),0)+IFERROR(VLOOKUP(,[3]库存使用数据!$A:$B,2,0),0)+IFERROR(VLOOKUP(A607,[4]库存使用数据!$A:$B,2,0),0)+IFERROR(VLOOKUP(A607,[5]库存使用数据!$A:$B,2,0),0)</f>
        <v>8</v>
      </c>
      <c r="C607" s="1">
        <f ca="1">IFERROR(VLOOKUP($A607,[1]库存使用数据!$A:$C,3,0),0)+IFERROR(VLOOKUP($A607,[2]库存使用数据!$A:$C,3,0),0)+IFERROR(VLOOKUP($A607,[3]库存使用数据!$A:$C,3,0),0)+IFERROR(VLOOKUP($A607,[4]库存使用数据!$A:$C,3,0),0)+IFERROR(VLOOKUP($A607,[5]库存使用数据!$A:$C,3,0),0)</f>
        <v>0</v>
      </c>
      <c r="D607" s="1">
        <f ca="1">IFERROR(VLOOKUP($A607,[1]库存使用数据!$A:$D,4,0),0)+IFERROR(VLOOKUP($A607,[2]库存使用数据!$A:$D,4,0),0)+公式!$B$1*IFERROR(VLOOKUP($A607,[3]库存使用数据!$A:$D,4,0),0)+IFERROR(VLOOKUP($A607,[4]库存使用数据!$A:$D,4,0),0)+IFERROR(VLOOKUP($A607,[5]库存使用数据!$A:$D,4,0),0)</f>
        <v>0</v>
      </c>
      <c r="E607" s="1">
        <f ca="1">IFERROR(VLOOKUP($A607,[1]库存使用数据!$A:$E,5,0),0)+IFERROR(VLOOKUP($A607,[2]库存使用数据!$A:$E,5,0),0)+IFERROR(VLOOKUP($A607,[3]库存使用数据!$A:$E,5,0),0)+IFERROR(VLOOKUP($A607,[4]库存使用数据!$A:$E,5,0),0)+IFERROR(VLOOKUP($A607,[5]库存使用数据!$A:$E,5,0),0)</f>
        <v>2885</v>
      </c>
      <c r="F607" s="1">
        <f ca="1">IFERROR(VLOOKUP($A607,[1]库存使用数据!$A:$F,6,0),0)+IFERROR(VLOOKUP($A607,[2]库存使用数据!$A:$F,6,0),0)+IFERROR(VLOOKUP($A607,[4]库存使用数据!$A:$F,6,0),0)+IFERROR(VLOOKUP($A607,[3]库存使用数据!$A:$F,6,0),0)+IFERROR(VLOOKUP($A607,[5]库存使用数据!$A:$F,6,0),0)</f>
        <v>9</v>
      </c>
      <c r="G607" s="1">
        <f ca="1">IFERROR(VLOOKUP($A607,[1]库存使用数据!$A:$G,7,0),0)+IFERROR(VLOOKUP($A607,[2]库存使用数据!$A:$G,7,0),0)+公式!$B$14*IFERROR(VLOOKUP($A607,[3]库存使用数据!$A:$G,7,0),0)+IFERROR(VLOOKUP($A607,[4]库存使用数据!$A:$G,7,0),0)+IFERROR(VLOOKUP($A607,[5]库存使用数据!$A:$G,7,0),0)</f>
        <v>2.02</v>
      </c>
      <c r="H607" s="1">
        <f ca="1">IFERROR(VLOOKUP($A607,[1]库存使用数据!$A:$H,8,0),0)+IFERROR(VLOOKUP($A607,[2]库存使用数据!$A:$H,8,0),0)+IFERROR(VLOOKUP($A607,[3]库存使用数据!$A:$H,8,0),0)+IFERROR(VLOOKUP($A607,[4]库存使用数据!$A:$H,8,0),0)+IFERROR(VLOOKUP($A607,[5]库存使用数据!$A:$H,8,0),0)</f>
        <v>3409</v>
      </c>
      <c r="I607" s="1">
        <f ca="1">IFERROR(VLOOKUP($A607,[1]库存使用数据!$A:$I,9,0),0)+IFERROR(VLOOKUP($A607,[2]库存使用数据!$A:$I,9,0),0)+IFERROR(VLOOKUP($A607,[3]库存使用数据!$A:$I,9,0),0)+IFERROR(VLOOKUP($A607,[4]库存使用数据!$A:$I,9,0),0)+IFERROR(VLOOKUP($A607,[5]库存使用数据!$A:$I,9,0),0)</f>
        <v>15</v>
      </c>
      <c r="J607" s="1">
        <f ca="1">IFERROR(VLOOKUP($A607,[1]库存使用数据!$A:$J,10,0),0)+IFERROR(VLOOKUP($A607,[2]库存使用数据!$A:$J,10,0),0)+公式!$B$14*IFERROR(VLOOKUP($A607,[3]库存使用数据!$A:$J,10,0),0)+IFERROR(VLOOKUP($A607,[4]库存使用数据!$A:$J,10,0),0)+IFERROR(VLOOKUP($A607,[5]库存使用数据!$A:$J,10,0),0)</f>
        <v>2.55</v>
      </c>
      <c r="K607" s="1">
        <f ca="1">IFERROR(VLOOKUP($A607,[1]库存使用数据!$A:$K,11,0),0)+IFERROR(VLOOKUP($A607,[2]库存使用数据!$A:$K,11,0),0)+IFERROR(VLOOKUP($A607,[3]库存使用数据!$A:$K,11,0),0)+IFERROR(VLOOKUP($A607,[4]库存使用数据!$A:$K,11,0),0)+IFERROR(VLOOKUP($A607,[5]库存使用数据!$A:$K,11,0),0)</f>
        <v>1215</v>
      </c>
      <c r="L607" s="1">
        <f ca="1">IFERROR(VLOOKUP($A607,[1]库存使用数据!$A:$L,12,0),0)+IFERROR(VLOOKUP($A607,[2]库存使用数据!$A:$L,12,0),0)+IFERROR(VLOOKUP($A607,[3]库存使用数据!$A:$L,12,0),0)+IFERROR(VLOOKUP($A607,[4]库存使用数据!$A:$L,12,0),0)+IFERROR(VLOOKUP($A607,[5]库存使用数据!$A:$L,12,0),0)</f>
        <v>12</v>
      </c>
      <c r="M607" s="1">
        <f ca="1">IFERROR(VLOOKUP($A607,[1]库存使用数据!$A:$M,13,0),0)+IFERROR(VLOOKUP($A607,[2]库存使用数据!$A:$M,13,0),0)+公式!$B$14*IFERROR(VLOOKUP($A607,[3]库存使用数据!$A:$M,13,0),0)+IFERROR(VLOOKUP($A607,[4]库存使用数据!$A:$M,13,0),0)+IFERROR(VLOOKUP($A607,[5]库存使用数据!$A:$M,13,0),0)</f>
        <v>3.04</v>
      </c>
    </row>
    <row r="608" spans="1:13">
      <c r="A608" s="6" t="s">
        <v>613</v>
      </c>
      <c r="B608" s="2">
        <f ca="1">IFERROR(VLOOKUP(A608,[1]库存使用数据!$A:$B,2,0),0)+IFERROR(VLOOKUP(A608,[2]库存使用数据!$A:$B,2,0),0)+IFERROR(VLOOKUP(,[3]库存使用数据!$A:$B,2,0),0)+IFERROR(VLOOKUP(A608,[4]库存使用数据!$A:$B,2,0),0)+IFERROR(VLOOKUP(A608,[5]库存使用数据!$A:$B,2,0),0)</f>
        <v>0</v>
      </c>
      <c r="C608" s="1">
        <f ca="1">IFERROR(VLOOKUP($A608,[1]库存使用数据!$A:$C,3,0),0)+IFERROR(VLOOKUP($A608,[2]库存使用数据!$A:$C,3,0),0)+IFERROR(VLOOKUP($A608,[3]库存使用数据!$A:$C,3,0),0)+IFERROR(VLOOKUP($A608,[4]库存使用数据!$A:$C,3,0),0)+IFERROR(VLOOKUP($A608,[5]库存使用数据!$A:$C,3,0),0)</f>
        <v>0</v>
      </c>
      <c r="D608" s="1">
        <f ca="1">IFERROR(VLOOKUP($A608,[1]库存使用数据!$A:$D,4,0),0)+IFERROR(VLOOKUP($A608,[2]库存使用数据!$A:$D,4,0),0)+公式!$B$1*IFERROR(VLOOKUP($A608,[3]库存使用数据!$A:$D,4,0),0)+IFERROR(VLOOKUP($A608,[4]库存使用数据!$A:$D,4,0),0)+IFERROR(VLOOKUP($A608,[5]库存使用数据!$A:$D,4,0),0)</f>
        <v>0</v>
      </c>
      <c r="E608" s="1">
        <f ca="1">IFERROR(VLOOKUP($A608,[1]库存使用数据!$A:$E,5,0),0)+IFERROR(VLOOKUP($A608,[2]库存使用数据!$A:$E,5,0),0)+IFERROR(VLOOKUP($A608,[3]库存使用数据!$A:$E,5,0),0)+IFERROR(VLOOKUP($A608,[4]库存使用数据!$A:$E,5,0),0)+IFERROR(VLOOKUP($A608,[5]库存使用数据!$A:$E,5,0),0)</f>
        <v>473</v>
      </c>
      <c r="F608" s="1">
        <f ca="1">IFERROR(VLOOKUP($A608,[1]库存使用数据!$A:$F,6,0),0)+IFERROR(VLOOKUP($A608,[2]库存使用数据!$A:$F,6,0),0)+IFERROR(VLOOKUP($A608,[4]库存使用数据!$A:$F,6,0),0)+IFERROR(VLOOKUP($A608,[3]库存使用数据!$A:$F,6,0),0)+IFERROR(VLOOKUP($A608,[5]库存使用数据!$A:$F,6,0),0)</f>
        <v>2</v>
      </c>
      <c r="G608" s="1">
        <f ca="1">IFERROR(VLOOKUP($A608,[1]库存使用数据!$A:$G,7,0),0)+IFERROR(VLOOKUP($A608,[2]库存使用数据!$A:$G,7,0),0)+公式!$B$14*IFERROR(VLOOKUP($A608,[3]库存使用数据!$A:$G,7,0),0)+IFERROR(VLOOKUP($A608,[4]库存使用数据!$A:$G,7,0),0)+IFERROR(VLOOKUP($A608,[5]库存使用数据!$A:$G,7,0),0)</f>
        <v>0.36</v>
      </c>
      <c r="H608" s="1">
        <f ca="1">IFERROR(VLOOKUP($A608,[1]库存使用数据!$A:$H,8,0),0)+IFERROR(VLOOKUP($A608,[2]库存使用数据!$A:$H,8,0),0)+IFERROR(VLOOKUP($A608,[3]库存使用数据!$A:$H,8,0),0)+IFERROR(VLOOKUP($A608,[4]库存使用数据!$A:$H,8,0),0)+IFERROR(VLOOKUP($A608,[5]库存使用数据!$A:$H,8,0),0)</f>
        <v>2552</v>
      </c>
      <c r="I608" s="1">
        <f ca="1">IFERROR(VLOOKUP($A608,[1]库存使用数据!$A:$I,9,0),0)+IFERROR(VLOOKUP($A608,[2]库存使用数据!$A:$I,9,0),0)+IFERROR(VLOOKUP($A608,[3]库存使用数据!$A:$I,9,0),0)+IFERROR(VLOOKUP($A608,[4]库存使用数据!$A:$I,9,0),0)+IFERROR(VLOOKUP($A608,[5]库存使用数据!$A:$I,9,0),0)</f>
        <v>6</v>
      </c>
      <c r="J608" s="1">
        <f ca="1">IFERROR(VLOOKUP($A608,[1]库存使用数据!$A:$J,10,0),0)+IFERROR(VLOOKUP($A608,[2]库存使用数据!$A:$J,10,0),0)+公式!$B$14*IFERROR(VLOOKUP($A608,[3]库存使用数据!$A:$J,10,0),0)+IFERROR(VLOOKUP($A608,[4]库存使用数据!$A:$J,10,0),0)+IFERROR(VLOOKUP($A608,[5]库存使用数据!$A:$J,10,0),0)</f>
        <v>0.6</v>
      </c>
      <c r="K608" s="1">
        <f ca="1">IFERROR(VLOOKUP($A608,[1]库存使用数据!$A:$K,11,0),0)+IFERROR(VLOOKUP($A608,[2]库存使用数据!$A:$K,11,0),0)+IFERROR(VLOOKUP($A608,[3]库存使用数据!$A:$K,11,0),0)+IFERROR(VLOOKUP($A608,[4]库存使用数据!$A:$K,11,0),0)+IFERROR(VLOOKUP($A608,[5]库存使用数据!$A:$K,11,0),0)</f>
        <v>7750</v>
      </c>
      <c r="L608" s="1">
        <f ca="1">IFERROR(VLOOKUP($A608,[1]库存使用数据!$A:$L,12,0),0)+IFERROR(VLOOKUP($A608,[2]库存使用数据!$A:$L,12,0),0)+IFERROR(VLOOKUP($A608,[3]库存使用数据!$A:$L,12,0),0)+IFERROR(VLOOKUP($A608,[4]库存使用数据!$A:$L,12,0),0)+IFERROR(VLOOKUP($A608,[5]库存使用数据!$A:$L,12,0),0)</f>
        <v>21</v>
      </c>
      <c r="M608" s="1">
        <f ca="1">IFERROR(VLOOKUP($A608,[1]库存使用数据!$A:$M,13,0),0)+IFERROR(VLOOKUP($A608,[2]库存使用数据!$A:$M,13,0),0)+公式!$B$14*IFERROR(VLOOKUP($A608,[3]库存使用数据!$A:$M,13,0),0)+IFERROR(VLOOKUP($A608,[4]库存使用数据!$A:$M,13,0),0)+IFERROR(VLOOKUP($A608,[5]库存使用数据!$A:$M,13,0),0)</f>
        <v>2.18</v>
      </c>
    </row>
    <row r="609" spans="1:13">
      <c r="A609" s="6" t="s">
        <v>614</v>
      </c>
      <c r="B609" s="2">
        <f ca="1">IFERROR(VLOOKUP(A609,[1]库存使用数据!$A:$B,2,0),0)+IFERROR(VLOOKUP(A609,[2]库存使用数据!$A:$B,2,0),0)+IFERROR(VLOOKUP(,[3]库存使用数据!$A:$B,2,0),0)+IFERROR(VLOOKUP(A609,[4]库存使用数据!$A:$B,2,0),0)+IFERROR(VLOOKUP(A609,[5]库存使用数据!$A:$B,2,0),0)</f>
        <v>0</v>
      </c>
      <c r="C609" s="1">
        <f ca="1">IFERROR(VLOOKUP($A609,[1]库存使用数据!$A:$C,3,0),0)+IFERROR(VLOOKUP($A609,[2]库存使用数据!$A:$C,3,0),0)+IFERROR(VLOOKUP($A609,[3]库存使用数据!$A:$C,3,0),0)+IFERROR(VLOOKUP($A609,[4]库存使用数据!$A:$C,3,0),0)+IFERROR(VLOOKUP($A609,[5]库存使用数据!$A:$C,3,0),0)</f>
        <v>0</v>
      </c>
      <c r="D609" s="1">
        <f ca="1">IFERROR(VLOOKUP($A609,[1]库存使用数据!$A:$D,4,0),0)+IFERROR(VLOOKUP($A609,[2]库存使用数据!$A:$D,4,0),0)+公式!$B$1*IFERROR(VLOOKUP($A609,[3]库存使用数据!$A:$D,4,0),0)+IFERROR(VLOOKUP($A609,[4]库存使用数据!$A:$D,4,0),0)+IFERROR(VLOOKUP($A609,[5]库存使用数据!$A:$D,4,0),0)</f>
        <v>0</v>
      </c>
      <c r="E609" s="1">
        <f ca="1">IFERROR(VLOOKUP($A609,[1]库存使用数据!$A:$E,5,0),0)+IFERROR(VLOOKUP($A609,[2]库存使用数据!$A:$E,5,0),0)+IFERROR(VLOOKUP($A609,[3]库存使用数据!$A:$E,5,0),0)+IFERROR(VLOOKUP($A609,[4]库存使用数据!$A:$E,5,0),0)+IFERROR(VLOOKUP($A609,[5]库存使用数据!$A:$E,5,0),0)</f>
        <v>0</v>
      </c>
      <c r="F609" s="1">
        <f ca="1">IFERROR(VLOOKUP($A609,[1]库存使用数据!$A:$F,6,0),0)+IFERROR(VLOOKUP($A609,[2]库存使用数据!$A:$F,6,0),0)+IFERROR(VLOOKUP($A609,[4]库存使用数据!$A:$F,6,0),0)+IFERROR(VLOOKUP($A609,[3]库存使用数据!$A:$F,6,0),0)+IFERROR(VLOOKUP($A609,[5]库存使用数据!$A:$F,6,0),0)</f>
        <v>0</v>
      </c>
      <c r="G609" s="1">
        <f ca="1">IFERROR(VLOOKUP($A609,[1]库存使用数据!$A:$G,7,0),0)+IFERROR(VLOOKUP($A609,[2]库存使用数据!$A:$G,7,0),0)+公式!$B$14*IFERROR(VLOOKUP($A609,[3]库存使用数据!$A:$G,7,0),0)+IFERROR(VLOOKUP($A609,[4]库存使用数据!$A:$G,7,0),0)+IFERROR(VLOOKUP($A609,[5]库存使用数据!$A:$G,7,0),0)</f>
        <v>0</v>
      </c>
      <c r="H609" s="1">
        <f ca="1">IFERROR(VLOOKUP($A609,[1]库存使用数据!$A:$H,8,0),0)+IFERROR(VLOOKUP($A609,[2]库存使用数据!$A:$H,8,0),0)+IFERROR(VLOOKUP($A609,[3]库存使用数据!$A:$H,8,0),0)+IFERROR(VLOOKUP($A609,[4]库存使用数据!$A:$H,8,0),0)+IFERROR(VLOOKUP($A609,[5]库存使用数据!$A:$H,8,0),0)</f>
        <v>0</v>
      </c>
      <c r="I609" s="1">
        <f ca="1">IFERROR(VLOOKUP($A609,[1]库存使用数据!$A:$I,9,0),0)+IFERROR(VLOOKUP($A609,[2]库存使用数据!$A:$I,9,0),0)+IFERROR(VLOOKUP($A609,[3]库存使用数据!$A:$I,9,0),0)+IFERROR(VLOOKUP($A609,[4]库存使用数据!$A:$I,9,0),0)+IFERROR(VLOOKUP($A609,[5]库存使用数据!$A:$I,9,0),0)</f>
        <v>0</v>
      </c>
      <c r="J609" s="1">
        <f ca="1">IFERROR(VLOOKUP($A609,[1]库存使用数据!$A:$J,10,0),0)+IFERROR(VLOOKUP($A609,[2]库存使用数据!$A:$J,10,0),0)+公式!$B$14*IFERROR(VLOOKUP($A609,[3]库存使用数据!$A:$J,10,0),0)+IFERROR(VLOOKUP($A609,[4]库存使用数据!$A:$J,10,0),0)+IFERROR(VLOOKUP($A609,[5]库存使用数据!$A:$J,10,0),0)</f>
        <v>0</v>
      </c>
      <c r="K609" s="1">
        <f ca="1">IFERROR(VLOOKUP($A609,[1]库存使用数据!$A:$K,11,0),0)+IFERROR(VLOOKUP($A609,[2]库存使用数据!$A:$K,11,0),0)+IFERROR(VLOOKUP($A609,[3]库存使用数据!$A:$K,11,0),0)+IFERROR(VLOOKUP($A609,[4]库存使用数据!$A:$K,11,0),0)+IFERROR(VLOOKUP($A609,[5]库存使用数据!$A:$K,11,0),0)</f>
        <v>528</v>
      </c>
      <c r="L609" s="1">
        <f ca="1">IFERROR(VLOOKUP($A609,[1]库存使用数据!$A:$L,12,0),0)+IFERROR(VLOOKUP($A609,[2]库存使用数据!$A:$L,12,0),0)+IFERROR(VLOOKUP($A609,[3]库存使用数据!$A:$L,12,0),0)+IFERROR(VLOOKUP($A609,[4]库存使用数据!$A:$L,12,0),0)+IFERROR(VLOOKUP($A609,[5]库存使用数据!$A:$L,12,0),0)</f>
        <v>1</v>
      </c>
      <c r="M609" s="1">
        <f ca="1">IFERROR(VLOOKUP($A609,[1]库存使用数据!$A:$M,13,0),0)+IFERROR(VLOOKUP($A609,[2]库存使用数据!$A:$M,13,0),0)+公式!$B$14*IFERROR(VLOOKUP($A609,[3]库存使用数据!$A:$M,13,0),0)+IFERROR(VLOOKUP($A609,[4]库存使用数据!$A:$M,13,0),0)+IFERROR(VLOOKUP($A609,[5]库存使用数据!$A:$M,13,0),0)</f>
        <v>0.16</v>
      </c>
    </row>
    <row r="610" spans="1:13">
      <c r="A610" s="6" t="s">
        <v>615</v>
      </c>
      <c r="B610" s="2">
        <f ca="1">IFERROR(VLOOKUP(A610,[1]库存使用数据!$A:$B,2,0),0)+IFERROR(VLOOKUP(A610,[2]库存使用数据!$A:$B,2,0),0)+IFERROR(VLOOKUP(,[3]库存使用数据!$A:$B,2,0),0)+IFERROR(VLOOKUP(A610,[4]库存使用数据!$A:$B,2,0),0)+IFERROR(VLOOKUP(A610,[5]库存使用数据!$A:$B,2,0),0)</f>
        <v>0</v>
      </c>
      <c r="C610" s="1">
        <f ca="1">IFERROR(VLOOKUP($A610,[1]库存使用数据!$A:$C,3,0),0)+IFERROR(VLOOKUP($A610,[2]库存使用数据!$A:$C,3,0),0)+IFERROR(VLOOKUP($A610,[3]库存使用数据!$A:$C,3,0),0)+IFERROR(VLOOKUP($A610,[4]库存使用数据!$A:$C,3,0),0)+IFERROR(VLOOKUP($A610,[5]库存使用数据!$A:$C,3,0),0)</f>
        <v>0</v>
      </c>
      <c r="D610" s="1">
        <f ca="1">IFERROR(VLOOKUP($A610,[1]库存使用数据!$A:$D,4,0),0)+IFERROR(VLOOKUP($A610,[2]库存使用数据!$A:$D,4,0),0)+公式!$B$1*IFERROR(VLOOKUP($A610,[3]库存使用数据!$A:$D,4,0),0)+IFERROR(VLOOKUP($A610,[4]库存使用数据!$A:$D,4,0),0)+IFERROR(VLOOKUP($A610,[5]库存使用数据!$A:$D,4,0),0)</f>
        <v>0</v>
      </c>
      <c r="E610" s="1">
        <f ca="1">IFERROR(VLOOKUP($A610,[1]库存使用数据!$A:$E,5,0),0)+IFERROR(VLOOKUP($A610,[2]库存使用数据!$A:$E,5,0),0)+IFERROR(VLOOKUP($A610,[3]库存使用数据!$A:$E,5,0),0)+IFERROR(VLOOKUP($A610,[4]库存使用数据!$A:$E,5,0),0)+IFERROR(VLOOKUP($A610,[5]库存使用数据!$A:$E,5,0),0)</f>
        <v>8</v>
      </c>
      <c r="F610" s="1">
        <f ca="1">IFERROR(VLOOKUP($A610,[1]库存使用数据!$A:$F,6,0),0)+IFERROR(VLOOKUP($A610,[2]库存使用数据!$A:$F,6,0),0)+IFERROR(VLOOKUP($A610,[4]库存使用数据!$A:$F,6,0),0)+IFERROR(VLOOKUP($A610,[3]库存使用数据!$A:$F,6,0),0)+IFERROR(VLOOKUP($A610,[5]库存使用数据!$A:$F,6,0),0)</f>
        <v>0</v>
      </c>
      <c r="G610" s="1">
        <f ca="1">IFERROR(VLOOKUP($A610,[1]库存使用数据!$A:$G,7,0),0)+IFERROR(VLOOKUP($A610,[2]库存使用数据!$A:$G,7,0),0)+公式!$B$14*IFERROR(VLOOKUP($A610,[3]库存使用数据!$A:$G,7,0),0)+IFERROR(VLOOKUP($A610,[4]库存使用数据!$A:$G,7,0),0)+IFERROR(VLOOKUP($A610,[5]库存使用数据!$A:$G,7,0),0)</f>
        <v>0</v>
      </c>
      <c r="H610" s="1">
        <f ca="1">IFERROR(VLOOKUP($A610,[1]库存使用数据!$A:$H,8,0),0)+IFERROR(VLOOKUP($A610,[2]库存使用数据!$A:$H,8,0),0)+IFERROR(VLOOKUP($A610,[3]库存使用数据!$A:$H,8,0),0)+IFERROR(VLOOKUP($A610,[4]库存使用数据!$A:$H,8,0),0)+IFERROR(VLOOKUP($A610,[5]库存使用数据!$A:$H,8,0),0)</f>
        <v>1</v>
      </c>
      <c r="I610" s="1">
        <f ca="1">IFERROR(VLOOKUP($A610,[1]库存使用数据!$A:$I,9,0),0)+IFERROR(VLOOKUP($A610,[2]库存使用数据!$A:$I,9,0),0)+IFERROR(VLOOKUP($A610,[3]库存使用数据!$A:$I,9,0),0)+IFERROR(VLOOKUP($A610,[4]库存使用数据!$A:$I,9,0),0)+IFERROR(VLOOKUP($A610,[5]库存使用数据!$A:$I,9,0),0)</f>
        <v>0</v>
      </c>
      <c r="J610" s="1">
        <f ca="1">IFERROR(VLOOKUP($A610,[1]库存使用数据!$A:$J,10,0),0)+IFERROR(VLOOKUP($A610,[2]库存使用数据!$A:$J,10,0),0)+公式!$B$14*IFERROR(VLOOKUP($A610,[3]库存使用数据!$A:$J,10,0),0)+IFERROR(VLOOKUP($A610,[4]库存使用数据!$A:$J,10,0),0)+IFERROR(VLOOKUP($A610,[5]库存使用数据!$A:$J,10,0),0)</f>
        <v>0</v>
      </c>
      <c r="K610" s="1">
        <f ca="1">IFERROR(VLOOKUP($A610,[1]库存使用数据!$A:$K,11,0),0)+IFERROR(VLOOKUP($A610,[2]库存使用数据!$A:$K,11,0),0)+IFERROR(VLOOKUP($A610,[3]库存使用数据!$A:$K,11,0),0)+IFERROR(VLOOKUP($A610,[4]库存使用数据!$A:$K,11,0),0)+IFERROR(VLOOKUP($A610,[5]库存使用数据!$A:$K,11,0),0)</f>
        <v>1</v>
      </c>
      <c r="L610" s="1">
        <f ca="1">IFERROR(VLOOKUP($A610,[1]库存使用数据!$A:$L,12,0),0)+IFERROR(VLOOKUP($A610,[2]库存使用数据!$A:$L,12,0),0)+IFERROR(VLOOKUP($A610,[3]库存使用数据!$A:$L,12,0),0)+IFERROR(VLOOKUP($A610,[4]库存使用数据!$A:$L,12,0),0)+IFERROR(VLOOKUP($A610,[5]库存使用数据!$A:$L,12,0),0)</f>
        <v>0</v>
      </c>
      <c r="M610" s="1">
        <f ca="1">IFERROR(VLOOKUP($A610,[1]库存使用数据!$A:$M,13,0),0)+IFERROR(VLOOKUP($A610,[2]库存使用数据!$A:$M,13,0),0)+公式!$B$14*IFERROR(VLOOKUP($A610,[3]库存使用数据!$A:$M,13,0),0)+IFERROR(VLOOKUP($A610,[4]库存使用数据!$A:$M,13,0),0)+IFERROR(VLOOKUP($A610,[5]库存使用数据!$A:$M,13,0),0)</f>
        <v>0</v>
      </c>
    </row>
    <row r="611" spans="1:13">
      <c r="A611" s="6" t="s">
        <v>616</v>
      </c>
      <c r="B611" s="2">
        <f ca="1">IFERROR(VLOOKUP(A611,[1]库存使用数据!$A:$B,2,0),0)+IFERROR(VLOOKUP(A611,[2]库存使用数据!$A:$B,2,0),0)+IFERROR(VLOOKUP(,[3]库存使用数据!$A:$B,2,0),0)+IFERROR(VLOOKUP(A611,[4]库存使用数据!$A:$B,2,0),0)+IFERROR(VLOOKUP(A611,[5]库存使用数据!$A:$B,2,0),0)</f>
        <v>0</v>
      </c>
      <c r="C611" s="1">
        <f ca="1">IFERROR(VLOOKUP($A611,[1]库存使用数据!$A:$C,3,0),0)+IFERROR(VLOOKUP($A611,[2]库存使用数据!$A:$C,3,0),0)+IFERROR(VLOOKUP($A611,[3]库存使用数据!$A:$C,3,0),0)+IFERROR(VLOOKUP($A611,[4]库存使用数据!$A:$C,3,0),0)+IFERROR(VLOOKUP($A611,[5]库存使用数据!$A:$C,3,0),0)</f>
        <v>0</v>
      </c>
      <c r="D611" s="1">
        <f ca="1">IFERROR(VLOOKUP($A611,[1]库存使用数据!$A:$D,4,0),0)+IFERROR(VLOOKUP($A611,[2]库存使用数据!$A:$D,4,0),0)+公式!$B$1*IFERROR(VLOOKUP($A611,[3]库存使用数据!$A:$D,4,0),0)+IFERROR(VLOOKUP($A611,[4]库存使用数据!$A:$D,4,0),0)+IFERROR(VLOOKUP($A611,[5]库存使用数据!$A:$D,4,0),0)</f>
        <v>0</v>
      </c>
      <c r="E611" s="1">
        <f ca="1">IFERROR(VLOOKUP($A611,[1]库存使用数据!$A:$E,5,0),0)+IFERROR(VLOOKUP($A611,[2]库存使用数据!$A:$E,5,0),0)+IFERROR(VLOOKUP($A611,[3]库存使用数据!$A:$E,5,0),0)+IFERROR(VLOOKUP($A611,[4]库存使用数据!$A:$E,5,0),0)+IFERROR(VLOOKUP($A611,[5]库存使用数据!$A:$E,5,0),0)</f>
        <v>7</v>
      </c>
      <c r="F611" s="1">
        <f ca="1">IFERROR(VLOOKUP($A611,[1]库存使用数据!$A:$F,6,0),0)+IFERROR(VLOOKUP($A611,[2]库存使用数据!$A:$F,6,0),0)+IFERROR(VLOOKUP($A611,[4]库存使用数据!$A:$F,6,0),0)+IFERROR(VLOOKUP($A611,[3]库存使用数据!$A:$F,6,0),0)+IFERROR(VLOOKUP($A611,[5]库存使用数据!$A:$F,6,0),0)</f>
        <v>0</v>
      </c>
      <c r="G611" s="1">
        <f ca="1">IFERROR(VLOOKUP($A611,[1]库存使用数据!$A:$G,7,0),0)+IFERROR(VLOOKUP($A611,[2]库存使用数据!$A:$G,7,0),0)+公式!$B$14*IFERROR(VLOOKUP($A611,[3]库存使用数据!$A:$G,7,0),0)+IFERROR(VLOOKUP($A611,[4]库存使用数据!$A:$G,7,0),0)+IFERROR(VLOOKUP($A611,[5]库存使用数据!$A:$G,7,0),0)</f>
        <v>0</v>
      </c>
      <c r="H611" s="1">
        <f ca="1">IFERROR(VLOOKUP($A611,[1]库存使用数据!$A:$H,8,0),0)+IFERROR(VLOOKUP($A611,[2]库存使用数据!$A:$H,8,0),0)+IFERROR(VLOOKUP($A611,[3]库存使用数据!$A:$H,8,0),0)+IFERROR(VLOOKUP($A611,[4]库存使用数据!$A:$H,8,0),0)+IFERROR(VLOOKUP($A611,[5]库存使用数据!$A:$H,8,0),0)</f>
        <v>2</v>
      </c>
      <c r="I611" s="1">
        <f ca="1">IFERROR(VLOOKUP($A611,[1]库存使用数据!$A:$I,9,0),0)+IFERROR(VLOOKUP($A611,[2]库存使用数据!$A:$I,9,0),0)+IFERROR(VLOOKUP($A611,[3]库存使用数据!$A:$I,9,0),0)+IFERROR(VLOOKUP($A611,[4]库存使用数据!$A:$I,9,0),0)+IFERROR(VLOOKUP($A611,[5]库存使用数据!$A:$I,9,0),0)</f>
        <v>0</v>
      </c>
      <c r="J611" s="1">
        <f ca="1">IFERROR(VLOOKUP($A611,[1]库存使用数据!$A:$J,10,0),0)+IFERROR(VLOOKUP($A611,[2]库存使用数据!$A:$J,10,0),0)+公式!$B$14*IFERROR(VLOOKUP($A611,[3]库存使用数据!$A:$J,10,0),0)+IFERROR(VLOOKUP($A611,[4]库存使用数据!$A:$J,10,0),0)+IFERROR(VLOOKUP($A611,[5]库存使用数据!$A:$J,10,0),0)</f>
        <v>0</v>
      </c>
      <c r="K611" s="1">
        <f ca="1">IFERROR(VLOOKUP($A611,[1]库存使用数据!$A:$K,11,0),0)+IFERROR(VLOOKUP($A611,[2]库存使用数据!$A:$K,11,0),0)+IFERROR(VLOOKUP($A611,[3]库存使用数据!$A:$K,11,0),0)+IFERROR(VLOOKUP($A611,[4]库存使用数据!$A:$K,11,0),0)+IFERROR(VLOOKUP($A611,[5]库存使用数据!$A:$K,11,0),0)</f>
        <v>1</v>
      </c>
      <c r="L611" s="1">
        <f ca="1">IFERROR(VLOOKUP($A611,[1]库存使用数据!$A:$L,12,0),0)+IFERROR(VLOOKUP($A611,[2]库存使用数据!$A:$L,12,0),0)+IFERROR(VLOOKUP($A611,[3]库存使用数据!$A:$L,12,0),0)+IFERROR(VLOOKUP($A611,[4]库存使用数据!$A:$L,12,0),0)+IFERROR(VLOOKUP($A611,[5]库存使用数据!$A:$L,12,0),0)</f>
        <v>0</v>
      </c>
      <c r="M611" s="1">
        <f ca="1">IFERROR(VLOOKUP($A611,[1]库存使用数据!$A:$M,13,0),0)+IFERROR(VLOOKUP($A611,[2]库存使用数据!$A:$M,13,0),0)+公式!$B$14*IFERROR(VLOOKUP($A611,[3]库存使用数据!$A:$M,13,0),0)+IFERROR(VLOOKUP($A611,[4]库存使用数据!$A:$M,13,0),0)+IFERROR(VLOOKUP($A611,[5]库存使用数据!$A:$M,13,0),0)</f>
        <v>0</v>
      </c>
    </row>
    <row r="612" spans="1:13">
      <c r="A612" s="6" t="s">
        <v>617</v>
      </c>
      <c r="B612" s="2">
        <f ca="1">IFERROR(VLOOKUP(A612,[1]库存使用数据!$A:$B,2,0),0)+IFERROR(VLOOKUP(A612,[2]库存使用数据!$A:$B,2,0),0)+IFERROR(VLOOKUP(,[3]库存使用数据!$A:$B,2,0),0)+IFERROR(VLOOKUP(A612,[4]库存使用数据!$A:$B,2,0),0)+IFERROR(VLOOKUP(A612,[5]库存使用数据!$A:$B,2,0),0)</f>
        <v>0</v>
      </c>
      <c r="C612" s="1">
        <f ca="1">IFERROR(VLOOKUP($A612,[1]库存使用数据!$A:$C,3,0),0)+IFERROR(VLOOKUP($A612,[2]库存使用数据!$A:$C,3,0),0)+IFERROR(VLOOKUP($A612,[3]库存使用数据!$A:$C,3,0),0)+IFERROR(VLOOKUP($A612,[4]库存使用数据!$A:$C,3,0),0)+IFERROR(VLOOKUP($A612,[5]库存使用数据!$A:$C,3,0),0)</f>
        <v>0</v>
      </c>
      <c r="D612" s="1">
        <f ca="1">IFERROR(VLOOKUP($A612,[1]库存使用数据!$A:$D,4,0),0)+IFERROR(VLOOKUP($A612,[2]库存使用数据!$A:$D,4,0),0)+公式!$B$1*IFERROR(VLOOKUP($A612,[3]库存使用数据!$A:$D,4,0),0)+IFERROR(VLOOKUP($A612,[4]库存使用数据!$A:$D,4,0),0)+IFERROR(VLOOKUP($A612,[5]库存使用数据!$A:$D,4,0),0)</f>
        <v>0</v>
      </c>
      <c r="E612" s="1">
        <f ca="1">IFERROR(VLOOKUP($A612,[1]库存使用数据!$A:$E,5,0),0)+IFERROR(VLOOKUP($A612,[2]库存使用数据!$A:$E,5,0),0)+IFERROR(VLOOKUP($A612,[3]库存使用数据!$A:$E,5,0),0)+IFERROR(VLOOKUP($A612,[4]库存使用数据!$A:$E,5,0),0)+IFERROR(VLOOKUP($A612,[5]库存使用数据!$A:$E,5,0),0)</f>
        <v>0</v>
      </c>
      <c r="F612" s="1">
        <f ca="1">IFERROR(VLOOKUP($A612,[1]库存使用数据!$A:$F,6,0),0)+IFERROR(VLOOKUP($A612,[2]库存使用数据!$A:$F,6,0),0)+IFERROR(VLOOKUP($A612,[4]库存使用数据!$A:$F,6,0),0)+IFERROR(VLOOKUP($A612,[3]库存使用数据!$A:$F,6,0),0)+IFERROR(VLOOKUP($A612,[5]库存使用数据!$A:$F,6,0),0)</f>
        <v>0</v>
      </c>
      <c r="G612" s="1">
        <f ca="1">IFERROR(VLOOKUP($A612,[1]库存使用数据!$A:$G,7,0),0)+IFERROR(VLOOKUP($A612,[2]库存使用数据!$A:$G,7,0),0)+公式!$B$14*IFERROR(VLOOKUP($A612,[3]库存使用数据!$A:$G,7,0),0)+IFERROR(VLOOKUP($A612,[4]库存使用数据!$A:$G,7,0),0)+IFERROR(VLOOKUP($A612,[5]库存使用数据!$A:$G,7,0),0)</f>
        <v>0</v>
      </c>
      <c r="H612" s="1">
        <f ca="1">IFERROR(VLOOKUP($A612,[1]库存使用数据!$A:$H,8,0),0)+IFERROR(VLOOKUP($A612,[2]库存使用数据!$A:$H,8,0),0)+IFERROR(VLOOKUP($A612,[3]库存使用数据!$A:$H,8,0),0)+IFERROR(VLOOKUP($A612,[4]库存使用数据!$A:$H,8,0),0)+IFERROR(VLOOKUP($A612,[5]库存使用数据!$A:$H,8,0),0)</f>
        <v>0</v>
      </c>
      <c r="I612" s="1">
        <f ca="1">IFERROR(VLOOKUP($A612,[1]库存使用数据!$A:$I,9,0),0)+IFERROR(VLOOKUP($A612,[2]库存使用数据!$A:$I,9,0),0)+IFERROR(VLOOKUP($A612,[3]库存使用数据!$A:$I,9,0),0)+IFERROR(VLOOKUP($A612,[4]库存使用数据!$A:$I,9,0),0)+IFERROR(VLOOKUP($A612,[5]库存使用数据!$A:$I,9,0),0)</f>
        <v>0</v>
      </c>
      <c r="J612" s="1">
        <f ca="1">IFERROR(VLOOKUP($A612,[1]库存使用数据!$A:$J,10,0),0)+IFERROR(VLOOKUP($A612,[2]库存使用数据!$A:$J,10,0),0)+公式!$B$14*IFERROR(VLOOKUP($A612,[3]库存使用数据!$A:$J,10,0),0)+IFERROR(VLOOKUP($A612,[4]库存使用数据!$A:$J,10,0),0)+IFERROR(VLOOKUP($A612,[5]库存使用数据!$A:$J,10,0),0)</f>
        <v>0</v>
      </c>
      <c r="K612" s="1">
        <f ca="1">IFERROR(VLOOKUP($A612,[1]库存使用数据!$A:$K,11,0),0)+IFERROR(VLOOKUP($A612,[2]库存使用数据!$A:$K,11,0),0)+IFERROR(VLOOKUP($A612,[3]库存使用数据!$A:$K,11,0),0)+IFERROR(VLOOKUP($A612,[4]库存使用数据!$A:$K,11,0),0)+IFERROR(VLOOKUP($A612,[5]库存使用数据!$A:$K,11,0),0)</f>
        <v>1</v>
      </c>
      <c r="L612" s="1">
        <f ca="1">IFERROR(VLOOKUP($A612,[1]库存使用数据!$A:$L,12,0),0)+IFERROR(VLOOKUP($A612,[2]库存使用数据!$A:$L,12,0),0)+IFERROR(VLOOKUP($A612,[3]库存使用数据!$A:$L,12,0),0)+IFERROR(VLOOKUP($A612,[4]库存使用数据!$A:$L,12,0),0)+IFERROR(VLOOKUP($A612,[5]库存使用数据!$A:$L,12,0),0)</f>
        <v>0</v>
      </c>
      <c r="M612" s="1">
        <f ca="1">IFERROR(VLOOKUP($A612,[1]库存使用数据!$A:$M,13,0),0)+IFERROR(VLOOKUP($A612,[2]库存使用数据!$A:$M,13,0),0)+公式!$B$14*IFERROR(VLOOKUP($A612,[3]库存使用数据!$A:$M,13,0),0)+IFERROR(VLOOKUP($A612,[4]库存使用数据!$A:$M,13,0),0)+IFERROR(VLOOKUP($A612,[5]库存使用数据!$A:$M,13,0),0)</f>
        <v>0</v>
      </c>
    </row>
    <row r="613" spans="1:13">
      <c r="A613" s="6" t="s">
        <v>618</v>
      </c>
      <c r="B613" s="2">
        <f ca="1">IFERROR(VLOOKUP(A613,[1]库存使用数据!$A:$B,2,0),0)+IFERROR(VLOOKUP(A613,[2]库存使用数据!$A:$B,2,0),0)+IFERROR(VLOOKUP(,[3]库存使用数据!$A:$B,2,0),0)+IFERROR(VLOOKUP(A613,[4]库存使用数据!$A:$B,2,0),0)+IFERROR(VLOOKUP(A613,[5]库存使用数据!$A:$B,2,0),0)</f>
        <v>0</v>
      </c>
      <c r="C613" s="1">
        <f ca="1">IFERROR(VLOOKUP($A613,[1]库存使用数据!$A:$C,3,0),0)+IFERROR(VLOOKUP($A613,[2]库存使用数据!$A:$C,3,0),0)+IFERROR(VLOOKUP($A613,[3]库存使用数据!$A:$C,3,0),0)+IFERROR(VLOOKUP($A613,[4]库存使用数据!$A:$C,3,0),0)+IFERROR(VLOOKUP($A613,[5]库存使用数据!$A:$C,3,0),0)</f>
        <v>0</v>
      </c>
      <c r="D613" s="1">
        <f ca="1">IFERROR(VLOOKUP($A613,[1]库存使用数据!$A:$D,4,0),0)+IFERROR(VLOOKUP($A613,[2]库存使用数据!$A:$D,4,0),0)+公式!$B$1*IFERROR(VLOOKUP($A613,[3]库存使用数据!$A:$D,4,0),0)+IFERROR(VLOOKUP($A613,[4]库存使用数据!$A:$D,4,0),0)+IFERROR(VLOOKUP($A613,[5]库存使用数据!$A:$D,4,0),0)</f>
        <v>0</v>
      </c>
      <c r="E613" s="1">
        <f ca="1">IFERROR(VLOOKUP($A613,[1]库存使用数据!$A:$E,5,0),0)+IFERROR(VLOOKUP($A613,[2]库存使用数据!$A:$E,5,0),0)+IFERROR(VLOOKUP($A613,[3]库存使用数据!$A:$E,5,0),0)+IFERROR(VLOOKUP($A613,[4]库存使用数据!$A:$E,5,0),0)+IFERROR(VLOOKUP($A613,[5]库存使用数据!$A:$E,5,0),0)</f>
        <v>0</v>
      </c>
      <c r="F613" s="1">
        <f ca="1">IFERROR(VLOOKUP($A613,[1]库存使用数据!$A:$F,6,0),0)+IFERROR(VLOOKUP($A613,[2]库存使用数据!$A:$F,6,0),0)+IFERROR(VLOOKUP($A613,[4]库存使用数据!$A:$F,6,0),0)+IFERROR(VLOOKUP($A613,[3]库存使用数据!$A:$F,6,0),0)+IFERROR(VLOOKUP($A613,[5]库存使用数据!$A:$F,6,0),0)</f>
        <v>0</v>
      </c>
      <c r="G613" s="1">
        <f ca="1">IFERROR(VLOOKUP($A613,[1]库存使用数据!$A:$G,7,0),0)+IFERROR(VLOOKUP($A613,[2]库存使用数据!$A:$G,7,0),0)+公式!$B$14*IFERROR(VLOOKUP($A613,[3]库存使用数据!$A:$G,7,0),0)+IFERROR(VLOOKUP($A613,[4]库存使用数据!$A:$G,7,0),0)+IFERROR(VLOOKUP($A613,[5]库存使用数据!$A:$G,7,0),0)</f>
        <v>0</v>
      </c>
      <c r="H613" s="1">
        <f ca="1">IFERROR(VLOOKUP($A613,[1]库存使用数据!$A:$H,8,0),0)+IFERROR(VLOOKUP($A613,[2]库存使用数据!$A:$H,8,0),0)+IFERROR(VLOOKUP($A613,[3]库存使用数据!$A:$H,8,0),0)+IFERROR(VLOOKUP($A613,[4]库存使用数据!$A:$H,8,0),0)+IFERROR(VLOOKUP($A613,[5]库存使用数据!$A:$H,8,0),0)</f>
        <v>0</v>
      </c>
      <c r="I613" s="1">
        <f ca="1">IFERROR(VLOOKUP($A613,[1]库存使用数据!$A:$I,9,0),0)+IFERROR(VLOOKUP($A613,[2]库存使用数据!$A:$I,9,0),0)+IFERROR(VLOOKUP($A613,[3]库存使用数据!$A:$I,9,0),0)+IFERROR(VLOOKUP($A613,[4]库存使用数据!$A:$I,9,0),0)+IFERROR(VLOOKUP($A613,[5]库存使用数据!$A:$I,9,0),0)</f>
        <v>0</v>
      </c>
      <c r="J613" s="1">
        <f ca="1">IFERROR(VLOOKUP($A613,[1]库存使用数据!$A:$J,10,0),0)+IFERROR(VLOOKUP($A613,[2]库存使用数据!$A:$J,10,0),0)+公式!$B$14*IFERROR(VLOOKUP($A613,[3]库存使用数据!$A:$J,10,0),0)+IFERROR(VLOOKUP($A613,[4]库存使用数据!$A:$J,10,0),0)+IFERROR(VLOOKUP($A613,[5]库存使用数据!$A:$J,10,0),0)</f>
        <v>0</v>
      </c>
      <c r="K613" s="1">
        <f ca="1">IFERROR(VLOOKUP($A613,[1]库存使用数据!$A:$K,11,0),0)+IFERROR(VLOOKUP($A613,[2]库存使用数据!$A:$K,11,0),0)+IFERROR(VLOOKUP($A613,[3]库存使用数据!$A:$K,11,0),0)+IFERROR(VLOOKUP($A613,[4]库存使用数据!$A:$K,11,0),0)+IFERROR(VLOOKUP($A613,[5]库存使用数据!$A:$K,11,0),0)</f>
        <v>110</v>
      </c>
      <c r="L613" s="1">
        <f ca="1">IFERROR(VLOOKUP($A613,[1]库存使用数据!$A:$L,12,0),0)+IFERROR(VLOOKUP($A613,[2]库存使用数据!$A:$L,12,0),0)+IFERROR(VLOOKUP($A613,[3]库存使用数据!$A:$L,12,0),0)+IFERROR(VLOOKUP($A613,[4]库存使用数据!$A:$L,12,0),0)+IFERROR(VLOOKUP($A613,[5]库存使用数据!$A:$L,12,0),0)</f>
        <v>1</v>
      </c>
      <c r="M613" s="1">
        <f ca="1">IFERROR(VLOOKUP($A613,[1]库存使用数据!$A:$M,13,0),0)+IFERROR(VLOOKUP($A613,[2]库存使用数据!$A:$M,13,0),0)+公式!$B$14*IFERROR(VLOOKUP($A613,[3]库存使用数据!$A:$M,13,0),0)+IFERROR(VLOOKUP($A613,[4]库存使用数据!$A:$M,13,0),0)+IFERROR(VLOOKUP($A613,[5]库存使用数据!$A:$M,13,0),0)</f>
        <v>0.22</v>
      </c>
    </row>
    <row r="614" spans="1:13">
      <c r="A614" s="6" t="s">
        <v>619</v>
      </c>
      <c r="B614" s="2">
        <f ca="1">IFERROR(VLOOKUP(A614,[1]库存使用数据!$A:$B,2,0),0)+IFERROR(VLOOKUP(A614,[2]库存使用数据!$A:$B,2,0),0)+IFERROR(VLOOKUP(,[3]库存使用数据!$A:$B,2,0),0)+IFERROR(VLOOKUP(A614,[4]库存使用数据!$A:$B,2,0),0)+IFERROR(VLOOKUP(A614,[5]库存使用数据!$A:$B,2,0),0)</f>
        <v>0</v>
      </c>
      <c r="C614" s="1">
        <f ca="1">IFERROR(VLOOKUP($A614,[1]库存使用数据!$A:$C,3,0),0)+IFERROR(VLOOKUP($A614,[2]库存使用数据!$A:$C,3,0),0)+IFERROR(VLOOKUP($A614,[3]库存使用数据!$A:$C,3,0),0)+IFERROR(VLOOKUP($A614,[4]库存使用数据!$A:$C,3,0),0)+IFERROR(VLOOKUP($A614,[5]库存使用数据!$A:$C,3,0),0)</f>
        <v>0</v>
      </c>
      <c r="D614" s="1">
        <f ca="1">IFERROR(VLOOKUP($A614,[1]库存使用数据!$A:$D,4,0),0)+IFERROR(VLOOKUP($A614,[2]库存使用数据!$A:$D,4,0),0)+公式!$B$1*IFERROR(VLOOKUP($A614,[3]库存使用数据!$A:$D,4,0),0)+IFERROR(VLOOKUP($A614,[4]库存使用数据!$A:$D,4,0),0)+IFERROR(VLOOKUP($A614,[5]库存使用数据!$A:$D,4,0),0)</f>
        <v>0</v>
      </c>
      <c r="E614" s="1">
        <f ca="1">IFERROR(VLOOKUP($A614,[1]库存使用数据!$A:$E,5,0),0)+IFERROR(VLOOKUP($A614,[2]库存使用数据!$A:$E,5,0),0)+IFERROR(VLOOKUP($A614,[3]库存使用数据!$A:$E,5,0),0)+IFERROR(VLOOKUP($A614,[4]库存使用数据!$A:$E,5,0),0)+IFERROR(VLOOKUP($A614,[5]库存使用数据!$A:$E,5,0),0)</f>
        <v>0</v>
      </c>
      <c r="F614" s="1">
        <f ca="1">IFERROR(VLOOKUP($A614,[1]库存使用数据!$A:$F,6,0),0)+IFERROR(VLOOKUP($A614,[2]库存使用数据!$A:$F,6,0),0)+IFERROR(VLOOKUP($A614,[4]库存使用数据!$A:$F,6,0),0)+IFERROR(VLOOKUP($A614,[3]库存使用数据!$A:$F,6,0),0)+IFERROR(VLOOKUP($A614,[5]库存使用数据!$A:$F,6,0),0)</f>
        <v>0</v>
      </c>
      <c r="G614" s="1">
        <f ca="1">IFERROR(VLOOKUP($A614,[1]库存使用数据!$A:$G,7,0),0)+IFERROR(VLOOKUP($A614,[2]库存使用数据!$A:$G,7,0),0)+公式!$B$14*IFERROR(VLOOKUP($A614,[3]库存使用数据!$A:$G,7,0),0)+IFERROR(VLOOKUP($A614,[4]库存使用数据!$A:$G,7,0),0)+IFERROR(VLOOKUP($A614,[5]库存使用数据!$A:$G,7,0),0)</f>
        <v>0</v>
      </c>
      <c r="H614" s="1">
        <f ca="1">IFERROR(VLOOKUP($A614,[1]库存使用数据!$A:$H,8,0),0)+IFERROR(VLOOKUP($A614,[2]库存使用数据!$A:$H,8,0),0)+IFERROR(VLOOKUP($A614,[3]库存使用数据!$A:$H,8,0),0)+IFERROR(VLOOKUP($A614,[4]库存使用数据!$A:$H,8,0),0)+IFERROR(VLOOKUP($A614,[5]库存使用数据!$A:$H,8,0),0)</f>
        <v>0</v>
      </c>
      <c r="I614" s="1">
        <f ca="1">IFERROR(VLOOKUP($A614,[1]库存使用数据!$A:$I,9,0),0)+IFERROR(VLOOKUP($A614,[2]库存使用数据!$A:$I,9,0),0)+IFERROR(VLOOKUP($A614,[3]库存使用数据!$A:$I,9,0),0)+IFERROR(VLOOKUP($A614,[4]库存使用数据!$A:$I,9,0),0)+IFERROR(VLOOKUP($A614,[5]库存使用数据!$A:$I,9,0),0)</f>
        <v>0</v>
      </c>
      <c r="J614" s="1">
        <f ca="1">IFERROR(VLOOKUP($A614,[1]库存使用数据!$A:$J,10,0),0)+IFERROR(VLOOKUP($A614,[2]库存使用数据!$A:$J,10,0),0)+公式!$B$14*IFERROR(VLOOKUP($A614,[3]库存使用数据!$A:$J,10,0),0)+IFERROR(VLOOKUP($A614,[4]库存使用数据!$A:$J,10,0),0)+IFERROR(VLOOKUP($A614,[5]库存使用数据!$A:$J,10,0),0)</f>
        <v>0</v>
      </c>
      <c r="K614" s="1">
        <f ca="1">IFERROR(VLOOKUP($A614,[1]库存使用数据!$A:$K,11,0),0)+IFERROR(VLOOKUP($A614,[2]库存使用数据!$A:$K,11,0),0)+IFERROR(VLOOKUP($A614,[3]库存使用数据!$A:$K,11,0),0)+IFERROR(VLOOKUP($A614,[4]库存使用数据!$A:$K,11,0),0)+IFERROR(VLOOKUP($A614,[5]库存使用数据!$A:$K,11,0),0)</f>
        <v>350</v>
      </c>
      <c r="L614" s="1">
        <f ca="1">IFERROR(VLOOKUP($A614,[1]库存使用数据!$A:$L,12,0),0)+IFERROR(VLOOKUP($A614,[2]库存使用数据!$A:$L,12,0),0)+IFERROR(VLOOKUP($A614,[3]库存使用数据!$A:$L,12,0),0)+IFERROR(VLOOKUP($A614,[4]库存使用数据!$A:$L,12,0),0)+IFERROR(VLOOKUP($A614,[5]库存使用数据!$A:$L,12,0),0)</f>
        <v>2</v>
      </c>
      <c r="M614" s="1">
        <f ca="1">IFERROR(VLOOKUP($A614,[1]库存使用数据!$A:$M,13,0),0)+IFERROR(VLOOKUP($A614,[2]库存使用数据!$A:$M,13,0),0)+公式!$B$14*IFERROR(VLOOKUP($A614,[3]库存使用数据!$A:$M,13,0),0)+IFERROR(VLOOKUP($A614,[4]库存使用数据!$A:$M,13,0),0)+IFERROR(VLOOKUP($A614,[5]库存使用数据!$A:$M,13,0),0)</f>
        <v>0.5</v>
      </c>
    </row>
    <row r="615" spans="1:13">
      <c r="A615" s="6" t="s">
        <v>620</v>
      </c>
      <c r="B615" s="2">
        <f ca="1">IFERROR(VLOOKUP(A615,[1]库存使用数据!$A:$B,2,0),0)+IFERROR(VLOOKUP(A615,[2]库存使用数据!$A:$B,2,0),0)+IFERROR(VLOOKUP(,[3]库存使用数据!$A:$B,2,0),0)+IFERROR(VLOOKUP(A615,[4]库存使用数据!$A:$B,2,0),0)+IFERROR(VLOOKUP(A615,[5]库存使用数据!$A:$B,2,0),0)</f>
        <v>0</v>
      </c>
      <c r="C615" s="1">
        <f ca="1">IFERROR(VLOOKUP($A615,[1]库存使用数据!$A:$C,3,0),0)+IFERROR(VLOOKUP($A615,[2]库存使用数据!$A:$C,3,0),0)+IFERROR(VLOOKUP($A615,[3]库存使用数据!$A:$C,3,0),0)+IFERROR(VLOOKUP($A615,[4]库存使用数据!$A:$C,3,0),0)+IFERROR(VLOOKUP($A615,[5]库存使用数据!$A:$C,3,0),0)</f>
        <v>0</v>
      </c>
      <c r="D615" s="1">
        <f ca="1">IFERROR(VLOOKUP($A615,[1]库存使用数据!$A:$D,4,0),0)+IFERROR(VLOOKUP($A615,[2]库存使用数据!$A:$D,4,0),0)+公式!$B$1*IFERROR(VLOOKUP($A615,[3]库存使用数据!$A:$D,4,0),0)+IFERROR(VLOOKUP($A615,[4]库存使用数据!$A:$D,4,0),0)+IFERROR(VLOOKUP($A615,[5]库存使用数据!$A:$D,4,0),0)</f>
        <v>0</v>
      </c>
      <c r="E615" s="1">
        <f ca="1">IFERROR(VLOOKUP($A615,[1]库存使用数据!$A:$E,5,0),0)+IFERROR(VLOOKUP($A615,[2]库存使用数据!$A:$E,5,0),0)+IFERROR(VLOOKUP($A615,[3]库存使用数据!$A:$E,5,0),0)+IFERROR(VLOOKUP($A615,[4]库存使用数据!$A:$E,5,0),0)+IFERROR(VLOOKUP($A615,[5]库存使用数据!$A:$E,5,0),0)</f>
        <v>5777</v>
      </c>
      <c r="F615" s="1">
        <f ca="1">IFERROR(VLOOKUP($A615,[1]库存使用数据!$A:$F,6,0),0)+IFERROR(VLOOKUP($A615,[2]库存使用数据!$A:$F,6,0),0)+IFERROR(VLOOKUP($A615,[4]库存使用数据!$A:$F,6,0),0)+IFERROR(VLOOKUP($A615,[3]库存使用数据!$A:$F,6,0),0)+IFERROR(VLOOKUP($A615,[5]库存使用数据!$A:$F,6,0),0)</f>
        <v>10</v>
      </c>
      <c r="G615" s="1">
        <f ca="1">IFERROR(VLOOKUP($A615,[1]库存使用数据!$A:$G,7,0),0)+IFERROR(VLOOKUP($A615,[2]库存使用数据!$A:$G,7,0),0)+公式!$B$14*IFERROR(VLOOKUP($A615,[3]库存使用数据!$A:$G,7,0),0)+IFERROR(VLOOKUP($A615,[4]库存使用数据!$A:$G,7,0),0)+IFERROR(VLOOKUP($A615,[5]库存使用数据!$A:$G,7,0),0)</f>
        <v>1.04</v>
      </c>
      <c r="H615" s="1">
        <f ca="1">IFERROR(VLOOKUP($A615,[1]库存使用数据!$A:$H,8,0),0)+IFERROR(VLOOKUP($A615,[2]库存使用数据!$A:$H,8,0),0)+IFERROR(VLOOKUP($A615,[3]库存使用数据!$A:$H,8,0),0)+IFERROR(VLOOKUP($A615,[4]库存使用数据!$A:$H,8,0),0)+IFERROR(VLOOKUP($A615,[5]库存使用数据!$A:$H,8,0),0)</f>
        <v>5863</v>
      </c>
      <c r="I615" s="1">
        <f ca="1">IFERROR(VLOOKUP($A615,[1]库存使用数据!$A:$I,9,0),0)+IFERROR(VLOOKUP($A615,[2]库存使用数据!$A:$I,9,0),0)+IFERROR(VLOOKUP($A615,[3]库存使用数据!$A:$I,9,0),0)+IFERROR(VLOOKUP($A615,[4]库存使用数据!$A:$I,9,0),0)+IFERROR(VLOOKUP($A615,[5]库存使用数据!$A:$I,9,0),0)</f>
        <v>10</v>
      </c>
      <c r="J615" s="1">
        <f ca="1">IFERROR(VLOOKUP($A615,[1]库存使用数据!$A:$J,10,0),0)+IFERROR(VLOOKUP($A615,[2]库存使用数据!$A:$J,10,0),0)+公式!$B$14*IFERROR(VLOOKUP($A615,[3]库存使用数据!$A:$J,10,0),0)+IFERROR(VLOOKUP($A615,[4]库存使用数据!$A:$J,10,0),0)+IFERROR(VLOOKUP($A615,[5]库存使用数据!$A:$J,10,0),0)</f>
        <v>1.04</v>
      </c>
      <c r="K615" s="1">
        <f ca="1">IFERROR(VLOOKUP($A615,[1]库存使用数据!$A:$K,11,0),0)+IFERROR(VLOOKUP($A615,[2]库存使用数据!$A:$K,11,0),0)+IFERROR(VLOOKUP($A615,[3]库存使用数据!$A:$K,11,0),0)+IFERROR(VLOOKUP($A615,[4]库存使用数据!$A:$K,11,0),0)+IFERROR(VLOOKUP($A615,[5]库存使用数据!$A:$K,11,0),0)</f>
        <v>10895</v>
      </c>
      <c r="L615" s="1">
        <f ca="1">IFERROR(VLOOKUP($A615,[1]库存使用数据!$A:$L,12,0),0)+IFERROR(VLOOKUP($A615,[2]库存使用数据!$A:$L,12,0),0)+IFERROR(VLOOKUP($A615,[3]库存使用数据!$A:$L,12,0),0)+IFERROR(VLOOKUP($A615,[4]库存使用数据!$A:$L,12,0),0)+IFERROR(VLOOKUP($A615,[5]库存使用数据!$A:$L,12,0),0)</f>
        <v>29</v>
      </c>
      <c r="M615" s="1">
        <f ca="1">IFERROR(VLOOKUP($A615,[1]库存使用数据!$A:$M,13,0),0)+IFERROR(VLOOKUP($A615,[2]库存使用数据!$A:$M,13,0),0)+公式!$B$14*IFERROR(VLOOKUP($A615,[3]库存使用数据!$A:$M,13,0),0)+IFERROR(VLOOKUP($A615,[4]库存使用数据!$A:$M,13,0),0)+IFERROR(VLOOKUP($A615,[5]库存使用数据!$A:$M,13,0),0)</f>
        <v>3.31</v>
      </c>
    </row>
    <row r="616" spans="1:13">
      <c r="A616" s="6" t="s">
        <v>621</v>
      </c>
      <c r="B616" s="2">
        <f ca="1">IFERROR(VLOOKUP(A616,[1]库存使用数据!$A:$B,2,0),0)+IFERROR(VLOOKUP(A616,[2]库存使用数据!$A:$B,2,0),0)+IFERROR(VLOOKUP(,[3]库存使用数据!$A:$B,2,0),0)+IFERROR(VLOOKUP(A616,[4]库存使用数据!$A:$B,2,0),0)+IFERROR(VLOOKUP(A616,[5]库存使用数据!$A:$B,2,0),0)</f>
        <v>0</v>
      </c>
      <c r="C616" s="1">
        <f ca="1">IFERROR(VLOOKUP($A616,[1]库存使用数据!$A:$C,3,0),0)+IFERROR(VLOOKUP($A616,[2]库存使用数据!$A:$C,3,0),0)+IFERROR(VLOOKUP($A616,[3]库存使用数据!$A:$C,3,0),0)+IFERROR(VLOOKUP($A616,[4]库存使用数据!$A:$C,3,0),0)+IFERROR(VLOOKUP($A616,[5]库存使用数据!$A:$C,3,0),0)</f>
        <v>0</v>
      </c>
      <c r="D616" s="1">
        <f ca="1">IFERROR(VLOOKUP($A616,[1]库存使用数据!$A:$D,4,0),0)+IFERROR(VLOOKUP($A616,[2]库存使用数据!$A:$D,4,0),0)+公式!$B$1*IFERROR(VLOOKUP($A616,[3]库存使用数据!$A:$D,4,0),0)+IFERROR(VLOOKUP($A616,[4]库存使用数据!$A:$D,4,0),0)+IFERROR(VLOOKUP($A616,[5]库存使用数据!$A:$D,4,0),0)</f>
        <v>0</v>
      </c>
      <c r="E616" s="1">
        <f ca="1">IFERROR(VLOOKUP($A616,[1]库存使用数据!$A:$E,5,0),0)+IFERROR(VLOOKUP($A616,[2]库存使用数据!$A:$E,5,0),0)+IFERROR(VLOOKUP($A616,[3]库存使用数据!$A:$E,5,0),0)+IFERROR(VLOOKUP($A616,[4]库存使用数据!$A:$E,5,0),0)+IFERROR(VLOOKUP($A616,[5]库存使用数据!$A:$E,5,0),0)</f>
        <v>13</v>
      </c>
      <c r="F616" s="1">
        <f ca="1">IFERROR(VLOOKUP($A616,[1]库存使用数据!$A:$F,6,0),0)+IFERROR(VLOOKUP($A616,[2]库存使用数据!$A:$F,6,0),0)+IFERROR(VLOOKUP($A616,[4]库存使用数据!$A:$F,6,0),0)+IFERROR(VLOOKUP($A616,[3]库存使用数据!$A:$F,6,0),0)+IFERROR(VLOOKUP($A616,[5]库存使用数据!$A:$F,6,0),0)</f>
        <v>0</v>
      </c>
      <c r="G616" s="1">
        <f ca="1">IFERROR(VLOOKUP($A616,[1]库存使用数据!$A:$G,7,0),0)+IFERROR(VLOOKUP($A616,[2]库存使用数据!$A:$G,7,0),0)+公式!$B$14*IFERROR(VLOOKUP($A616,[3]库存使用数据!$A:$G,7,0),0)+IFERROR(VLOOKUP($A616,[4]库存使用数据!$A:$G,7,0),0)+IFERROR(VLOOKUP($A616,[5]库存使用数据!$A:$G,7,0),0)</f>
        <v>0</v>
      </c>
      <c r="H616" s="1">
        <f ca="1">IFERROR(VLOOKUP($A616,[1]库存使用数据!$A:$H,8,0),0)+IFERROR(VLOOKUP($A616,[2]库存使用数据!$A:$H,8,0),0)+IFERROR(VLOOKUP($A616,[3]库存使用数据!$A:$H,8,0),0)+IFERROR(VLOOKUP($A616,[4]库存使用数据!$A:$H,8,0),0)+IFERROR(VLOOKUP($A616,[5]库存使用数据!$A:$H,8,0),0)</f>
        <v>18</v>
      </c>
      <c r="I616" s="1">
        <f ca="1">IFERROR(VLOOKUP($A616,[1]库存使用数据!$A:$I,9,0),0)+IFERROR(VLOOKUP($A616,[2]库存使用数据!$A:$I,9,0),0)+IFERROR(VLOOKUP($A616,[3]库存使用数据!$A:$I,9,0),0)+IFERROR(VLOOKUP($A616,[4]库存使用数据!$A:$I,9,0),0)+IFERROR(VLOOKUP($A616,[5]库存使用数据!$A:$I,9,0),0)</f>
        <v>1</v>
      </c>
      <c r="J616" s="1">
        <f ca="1">IFERROR(VLOOKUP($A616,[1]库存使用数据!$A:$J,10,0),0)+IFERROR(VLOOKUP($A616,[2]库存使用数据!$A:$J,10,0),0)+公式!$B$14*IFERROR(VLOOKUP($A616,[3]库存使用数据!$A:$J,10,0),0)+IFERROR(VLOOKUP($A616,[4]库存使用数据!$A:$J,10,0),0)+IFERROR(VLOOKUP($A616,[5]库存使用数据!$A:$J,10,0),0)</f>
        <v>0.26</v>
      </c>
      <c r="K616" s="1">
        <f ca="1">IFERROR(VLOOKUP($A616,[1]库存使用数据!$A:$K,11,0),0)+IFERROR(VLOOKUP($A616,[2]库存使用数据!$A:$K,11,0),0)+IFERROR(VLOOKUP($A616,[3]库存使用数据!$A:$K,11,0),0)+IFERROR(VLOOKUP($A616,[4]库存使用数据!$A:$K,11,0),0)+IFERROR(VLOOKUP($A616,[5]库存使用数据!$A:$K,11,0),0)</f>
        <v>0</v>
      </c>
      <c r="L616" s="1">
        <f ca="1">IFERROR(VLOOKUP($A616,[1]库存使用数据!$A:$L,12,0),0)+IFERROR(VLOOKUP($A616,[2]库存使用数据!$A:$L,12,0),0)+IFERROR(VLOOKUP($A616,[3]库存使用数据!$A:$L,12,0),0)+IFERROR(VLOOKUP($A616,[4]库存使用数据!$A:$L,12,0),0)+IFERROR(VLOOKUP($A616,[5]库存使用数据!$A:$L,12,0),0)</f>
        <v>0</v>
      </c>
      <c r="M616" s="1">
        <f ca="1">IFERROR(VLOOKUP($A616,[1]库存使用数据!$A:$M,13,0),0)+IFERROR(VLOOKUP($A616,[2]库存使用数据!$A:$M,13,0),0)+公式!$B$14*IFERROR(VLOOKUP($A616,[3]库存使用数据!$A:$M,13,0),0)+IFERROR(VLOOKUP($A616,[4]库存使用数据!$A:$M,13,0),0)+IFERROR(VLOOKUP($A616,[5]库存使用数据!$A:$M,13,0),0)</f>
        <v>0</v>
      </c>
    </row>
    <row r="617" spans="1:13">
      <c r="A617" s="6" t="s">
        <v>622</v>
      </c>
      <c r="B617" s="2">
        <f ca="1">IFERROR(VLOOKUP(A617,[1]库存使用数据!$A:$B,2,0),0)+IFERROR(VLOOKUP(A617,[2]库存使用数据!$A:$B,2,0),0)+IFERROR(VLOOKUP(,[3]库存使用数据!$A:$B,2,0),0)+IFERROR(VLOOKUP(A617,[4]库存使用数据!$A:$B,2,0),0)+IFERROR(VLOOKUP(A617,[5]库存使用数据!$A:$B,2,0),0)</f>
        <v>0</v>
      </c>
      <c r="C617" s="1">
        <f ca="1">IFERROR(VLOOKUP($A617,[1]库存使用数据!$A:$C,3,0),0)+IFERROR(VLOOKUP($A617,[2]库存使用数据!$A:$C,3,0),0)+IFERROR(VLOOKUP($A617,[3]库存使用数据!$A:$C,3,0),0)+IFERROR(VLOOKUP($A617,[4]库存使用数据!$A:$C,3,0),0)+IFERROR(VLOOKUP($A617,[5]库存使用数据!$A:$C,3,0),0)</f>
        <v>0</v>
      </c>
      <c r="D617" s="1">
        <f ca="1">IFERROR(VLOOKUP($A617,[1]库存使用数据!$A:$D,4,0),0)+IFERROR(VLOOKUP($A617,[2]库存使用数据!$A:$D,4,0),0)+公式!$B$1*IFERROR(VLOOKUP($A617,[3]库存使用数据!$A:$D,4,0),0)+IFERROR(VLOOKUP($A617,[4]库存使用数据!$A:$D,4,0),0)+IFERROR(VLOOKUP($A617,[5]库存使用数据!$A:$D,4,0),0)</f>
        <v>0</v>
      </c>
      <c r="E617" s="1">
        <f ca="1">IFERROR(VLOOKUP($A617,[1]库存使用数据!$A:$E,5,0),0)+IFERROR(VLOOKUP($A617,[2]库存使用数据!$A:$E,5,0),0)+IFERROR(VLOOKUP($A617,[3]库存使用数据!$A:$E,5,0),0)+IFERROR(VLOOKUP($A617,[4]库存使用数据!$A:$E,5,0),0)+IFERROR(VLOOKUP($A617,[5]库存使用数据!$A:$E,5,0),0)</f>
        <v>2381</v>
      </c>
      <c r="F617" s="1">
        <f ca="1">IFERROR(VLOOKUP($A617,[1]库存使用数据!$A:$F,6,0),0)+IFERROR(VLOOKUP($A617,[2]库存使用数据!$A:$F,6,0),0)+IFERROR(VLOOKUP($A617,[4]库存使用数据!$A:$F,6,0),0)+IFERROR(VLOOKUP($A617,[3]库存使用数据!$A:$F,6,0),0)+IFERROR(VLOOKUP($A617,[5]库存使用数据!$A:$F,6,0),0)</f>
        <v>6</v>
      </c>
      <c r="G617" s="1">
        <f ca="1">IFERROR(VLOOKUP($A617,[1]库存使用数据!$A:$G,7,0),0)+IFERROR(VLOOKUP($A617,[2]库存使用数据!$A:$G,7,0),0)+公式!$B$14*IFERROR(VLOOKUP($A617,[3]库存使用数据!$A:$G,7,0),0)+IFERROR(VLOOKUP($A617,[4]库存使用数据!$A:$G,7,0),0)+IFERROR(VLOOKUP($A617,[5]库存使用数据!$A:$G,7,0),0)</f>
        <v>1.53</v>
      </c>
      <c r="H617" s="1">
        <f ca="1">IFERROR(VLOOKUP($A617,[1]库存使用数据!$A:$H,8,0),0)+IFERROR(VLOOKUP($A617,[2]库存使用数据!$A:$H,8,0),0)+IFERROR(VLOOKUP($A617,[3]库存使用数据!$A:$H,8,0),0)+IFERROR(VLOOKUP($A617,[4]库存使用数据!$A:$H,8,0),0)+IFERROR(VLOOKUP($A617,[5]库存使用数据!$A:$H,8,0),0)</f>
        <v>2583</v>
      </c>
      <c r="I617" s="1">
        <f ca="1">IFERROR(VLOOKUP($A617,[1]库存使用数据!$A:$I,9,0),0)+IFERROR(VLOOKUP($A617,[2]库存使用数据!$A:$I,9,0),0)+IFERROR(VLOOKUP($A617,[3]库存使用数据!$A:$I,9,0),0)+IFERROR(VLOOKUP($A617,[4]库存使用数据!$A:$I,9,0),0)+IFERROR(VLOOKUP($A617,[5]库存使用数据!$A:$I,9,0),0)</f>
        <v>9</v>
      </c>
      <c r="J617" s="1">
        <f ca="1">IFERROR(VLOOKUP($A617,[1]库存使用数据!$A:$J,10,0),0)+IFERROR(VLOOKUP($A617,[2]库存使用数据!$A:$J,10,0),0)+公式!$B$14*IFERROR(VLOOKUP($A617,[3]库存使用数据!$A:$J,10,0),0)+IFERROR(VLOOKUP($A617,[4]库存使用数据!$A:$J,10,0),0)+IFERROR(VLOOKUP($A617,[5]库存使用数据!$A:$J,10,0),0)</f>
        <v>1.91</v>
      </c>
      <c r="K617" s="1">
        <f ca="1">IFERROR(VLOOKUP($A617,[1]库存使用数据!$A:$K,11,0),0)+IFERROR(VLOOKUP($A617,[2]库存使用数据!$A:$K,11,0),0)+IFERROR(VLOOKUP($A617,[3]库存使用数据!$A:$K,11,0),0)+IFERROR(VLOOKUP($A617,[4]库存使用数据!$A:$K,11,0),0)+IFERROR(VLOOKUP($A617,[5]库存使用数据!$A:$K,11,0),0)</f>
        <v>0</v>
      </c>
      <c r="L617" s="1">
        <f ca="1">IFERROR(VLOOKUP($A617,[1]库存使用数据!$A:$L,12,0),0)+IFERROR(VLOOKUP($A617,[2]库存使用数据!$A:$L,12,0),0)+IFERROR(VLOOKUP($A617,[3]库存使用数据!$A:$L,12,0),0)+IFERROR(VLOOKUP($A617,[4]库存使用数据!$A:$L,12,0),0)+IFERROR(VLOOKUP($A617,[5]库存使用数据!$A:$L,12,0),0)</f>
        <v>0</v>
      </c>
      <c r="M617" s="1">
        <f ca="1">IFERROR(VLOOKUP($A617,[1]库存使用数据!$A:$M,13,0),0)+IFERROR(VLOOKUP($A617,[2]库存使用数据!$A:$M,13,0),0)+公式!$B$14*IFERROR(VLOOKUP($A617,[3]库存使用数据!$A:$M,13,0),0)+IFERROR(VLOOKUP($A617,[4]库存使用数据!$A:$M,13,0),0)+IFERROR(VLOOKUP($A617,[5]库存使用数据!$A:$M,13,0),0)</f>
        <v>0</v>
      </c>
    </row>
    <row r="618" spans="1:13">
      <c r="A618" s="6" t="s">
        <v>623</v>
      </c>
      <c r="B618" s="2">
        <f ca="1">IFERROR(VLOOKUP(A618,[1]库存使用数据!$A:$B,2,0),0)+IFERROR(VLOOKUP(A618,[2]库存使用数据!$A:$B,2,0),0)+IFERROR(VLOOKUP(,[3]库存使用数据!$A:$B,2,0),0)+IFERROR(VLOOKUP(A618,[4]库存使用数据!$A:$B,2,0),0)+IFERROR(VLOOKUP(A618,[5]库存使用数据!$A:$B,2,0),0)</f>
        <v>39</v>
      </c>
      <c r="C618" s="1">
        <f ca="1">IFERROR(VLOOKUP($A618,[1]库存使用数据!$A:$C,3,0),0)+IFERROR(VLOOKUP($A618,[2]库存使用数据!$A:$C,3,0),0)+IFERROR(VLOOKUP($A618,[3]库存使用数据!$A:$C,3,0),0)+IFERROR(VLOOKUP($A618,[4]库存使用数据!$A:$C,3,0),0)+IFERROR(VLOOKUP($A618,[5]库存使用数据!$A:$C,3,0),0)</f>
        <v>0</v>
      </c>
      <c r="D618" s="1">
        <f ca="1">IFERROR(VLOOKUP($A618,[1]库存使用数据!$A:$D,4,0),0)+IFERROR(VLOOKUP($A618,[2]库存使用数据!$A:$D,4,0),0)+公式!$B$1*IFERROR(VLOOKUP($A618,[3]库存使用数据!$A:$D,4,0),0)+IFERROR(VLOOKUP($A618,[4]库存使用数据!$A:$D,4,0),0)+IFERROR(VLOOKUP($A618,[5]库存使用数据!$A:$D,4,0),0)</f>
        <v>0</v>
      </c>
      <c r="E618" s="1">
        <f ca="1">IFERROR(VLOOKUP($A618,[1]库存使用数据!$A:$E,5,0),0)+IFERROR(VLOOKUP($A618,[2]库存使用数据!$A:$E,5,0),0)+IFERROR(VLOOKUP($A618,[3]库存使用数据!$A:$E,5,0),0)+IFERROR(VLOOKUP($A618,[4]库存使用数据!$A:$E,5,0),0)+IFERROR(VLOOKUP($A618,[5]库存使用数据!$A:$E,5,0),0)</f>
        <v>107</v>
      </c>
      <c r="F618" s="1">
        <f ca="1">IFERROR(VLOOKUP($A618,[1]库存使用数据!$A:$F,6,0),0)+IFERROR(VLOOKUP($A618,[2]库存使用数据!$A:$F,6,0),0)+IFERROR(VLOOKUP($A618,[4]库存使用数据!$A:$F,6,0),0)+IFERROR(VLOOKUP($A618,[3]库存使用数据!$A:$F,6,0),0)+IFERROR(VLOOKUP($A618,[5]库存使用数据!$A:$F,6,0),0)</f>
        <v>0</v>
      </c>
      <c r="G618" s="1">
        <f ca="1">IFERROR(VLOOKUP($A618,[1]库存使用数据!$A:$G,7,0),0)+IFERROR(VLOOKUP($A618,[2]库存使用数据!$A:$G,7,0),0)+公式!$B$14*IFERROR(VLOOKUP($A618,[3]库存使用数据!$A:$G,7,0),0)+IFERROR(VLOOKUP($A618,[4]库存使用数据!$A:$G,7,0),0)+IFERROR(VLOOKUP($A618,[5]库存使用数据!$A:$G,7,0),0)</f>
        <v>0</v>
      </c>
      <c r="H618" s="1">
        <f ca="1">IFERROR(VLOOKUP($A618,[1]库存使用数据!$A:$H,8,0),0)+IFERROR(VLOOKUP($A618,[2]库存使用数据!$A:$H,8,0),0)+IFERROR(VLOOKUP($A618,[3]库存使用数据!$A:$H,8,0),0)+IFERROR(VLOOKUP($A618,[4]库存使用数据!$A:$H,8,0),0)+IFERROR(VLOOKUP($A618,[5]库存使用数据!$A:$H,8,0),0)</f>
        <v>23</v>
      </c>
      <c r="I618" s="1">
        <f ca="1">IFERROR(VLOOKUP($A618,[1]库存使用数据!$A:$I,9,0),0)+IFERROR(VLOOKUP($A618,[2]库存使用数据!$A:$I,9,0),0)+IFERROR(VLOOKUP($A618,[3]库存使用数据!$A:$I,9,0),0)+IFERROR(VLOOKUP($A618,[4]库存使用数据!$A:$I,9,0),0)+IFERROR(VLOOKUP($A618,[5]库存使用数据!$A:$I,9,0),0)</f>
        <v>0</v>
      </c>
      <c r="J618" s="1">
        <f ca="1">IFERROR(VLOOKUP($A618,[1]库存使用数据!$A:$J,10,0),0)+IFERROR(VLOOKUP($A618,[2]库存使用数据!$A:$J,10,0),0)+公式!$B$14*IFERROR(VLOOKUP($A618,[3]库存使用数据!$A:$J,10,0),0)+IFERROR(VLOOKUP($A618,[4]库存使用数据!$A:$J,10,0),0)+IFERROR(VLOOKUP($A618,[5]库存使用数据!$A:$J,10,0),0)</f>
        <v>0</v>
      </c>
      <c r="K618" s="1">
        <f ca="1">IFERROR(VLOOKUP($A618,[1]库存使用数据!$A:$K,11,0),0)+IFERROR(VLOOKUP($A618,[2]库存使用数据!$A:$K,11,0),0)+IFERROR(VLOOKUP($A618,[3]库存使用数据!$A:$K,11,0),0)+IFERROR(VLOOKUP($A618,[4]库存使用数据!$A:$K,11,0),0)+IFERROR(VLOOKUP($A618,[5]库存使用数据!$A:$K,11,0),0)</f>
        <v>224</v>
      </c>
      <c r="L618" s="1">
        <f ca="1">IFERROR(VLOOKUP($A618,[1]库存使用数据!$A:$L,12,0),0)+IFERROR(VLOOKUP($A618,[2]库存使用数据!$A:$L,12,0),0)+IFERROR(VLOOKUP($A618,[3]库存使用数据!$A:$L,12,0),0)+IFERROR(VLOOKUP($A618,[4]库存使用数据!$A:$L,12,0),0)+IFERROR(VLOOKUP($A618,[5]库存使用数据!$A:$L,12,0),0)</f>
        <v>1</v>
      </c>
      <c r="M618" s="1">
        <f ca="1">IFERROR(VLOOKUP($A618,[1]库存使用数据!$A:$M,13,0),0)+IFERROR(VLOOKUP($A618,[2]库存使用数据!$A:$M,13,0),0)+公式!$B$14*IFERROR(VLOOKUP($A618,[3]库存使用数据!$A:$M,13,0),0)+IFERROR(VLOOKUP($A618,[4]库存使用数据!$A:$M,13,0),0)+IFERROR(VLOOKUP($A618,[5]库存使用数据!$A:$M,13,0),0)</f>
        <v>0.05</v>
      </c>
    </row>
    <row r="619" spans="1:13">
      <c r="A619" s="6" t="s">
        <v>624</v>
      </c>
      <c r="B619" s="2">
        <f ca="1">IFERROR(VLOOKUP(A619,[1]库存使用数据!$A:$B,2,0),0)+IFERROR(VLOOKUP(A619,[2]库存使用数据!$A:$B,2,0),0)+IFERROR(VLOOKUP(,[3]库存使用数据!$A:$B,2,0),0)+IFERROR(VLOOKUP(A619,[4]库存使用数据!$A:$B,2,0),0)+IFERROR(VLOOKUP(A619,[5]库存使用数据!$A:$B,2,0),0)</f>
        <v>192</v>
      </c>
      <c r="C619" s="1">
        <f ca="1">IFERROR(VLOOKUP($A619,[1]库存使用数据!$A:$C,3,0),0)+IFERROR(VLOOKUP($A619,[2]库存使用数据!$A:$C,3,0),0)+IFERROR(VLOOKUP($A619,[3]库存使用数据!$A:$C,3,0),0)+IFERROR(VLOOKUP($A619,[4]库存使用数据!$A:$C,3,0),0)+IFERROR(VLOOKUP($A619,[5]库存使用数据!$A:$C,3,0),0)</f>
        <v>4</v>
      </c>
      <c r="D619" s="1">
        <f ca="1">IFERROR(VLOOKUP($A619,[1]库存使用数据!$A:$D,4,0),0)+IFERROR(VLOOKUP($A619,[2]库存使用数据!$A:$D,4,0),0)+公式!$B$1*IFERROR(VLOOKUP($A619,[3]库存使用数据!$A:$D,4,0),0)+IFERROR(VLOOKUP($A619,[4]库存使用数据!$A:$D,4,0),0)+IFERROR(VLOOKUP($A619,[5]库存使用数据!$A:$D,4,0),0)</f>
        <v>0.41</v>
      </c>
      <c r="E619" s="1">
        <f ca="1">IFERROR(VLOOKUP($A619,[1]库存使用数据!$A:$E,5,0),0)+IFERROR(VLOOKUP($A619,[2]库存使用数据!$A:$E,5,0),0)+IFERROR(VLOOKUP($A619,[3]库存使用数据!$A:$E,5,0),0)+IFERROR(VLOOKUP($A619,[4]库存使用数据!$A:$E,5,0),0)+IFERROR(VLOOKUP($A619,[5]库存使用数据!$A:$E,5,0),0)</f>
        <v>718</v>
      </c>
      <c r="F619" s="1">
        <f ca="1">IFERROR(VLOOKUP($A619,[1]库存使用数据!$A:$F,6,0),0)+IFERROR(VLOOKUP($A619,[2]库存使用数据!$A:$F,6,0),0)+IFERROR(VLOOKUP($A619,[4]库存使用数据!$A:$F,6,0),0)+IFERROR(VLOOKUP($A619,[3]库存使用数据!$A:$F,6,0),0)+IFERROR(VLOOKUP($A619,[5]库存使用数据!$A:$F,6,0),0)</f>
        <v>2</v>
      </c>
      <c r="G619" s="1">
        <f ca="1">IFERROR(VLOOKUP($A619,[1]库存使用数据!$A:$G,7,0),0)+IFERROR(VLOOKUP($A619,[2]库存使用数据!$A:$G,7,0),0)+公式!$B$14*IFERROR(VLOOKUP($A619,[3]库存使用数据!$A:$G,7,0),0)+IFERROR(VLOOKUP($A619,[4]库存使用数据!$A:$G,7,0),0)+IFERROR(VLOOKUP($A619,[5]库存使用数据!$A:$G,7,0),0)</f>
        <v>0.2</v>
      </c>
      <c r="H619" s="1">
        <f ca="1">IFERROR(VLOOKUP($A619,[1]库存使用数据!$A:$H,8,0),0)+IFERROR(VLOOKUP($A619,[2]库存使用数据!$A:$H,8,0),0)+IFERROR(VLOOKUP($A619,[3]库存使用数据!$A:$H,8,0),0)+IFERROR(VLOOKUP($A619,[4]库存使用数据!$A:$H,8,0),0)+IFERROR(VLOOKUP($A619,[5]库存使用数据!$A:$H,8,0),0)</f>
        <v>685</v>
      </c>
      <c r="I619" s="1">
        <f ca="1">IFERROR(VLOOKUP($A619,[1]库存使用数据!$A:$I,9,0),0)+IFERROR(VLOOKUP($A619,[2]库存使用数据!$A:$I,9,0),0)+IFERROR(VLOOKUP($A619,[3]库存使用数据!$A:$I,9,0),0)+IFERROR(VLOOKUP($A619,[4]库存使用数据!$A:$I,9,0),0)+IFERROR(VLOOKUP($A619,[5]库存使用数据!$A:$I,9,0),0)</f>
        <v>3</v>
      </c>
      <c r="J619" s="1">
        <f ca="1">IFERROR(VLOOKUP($A619,[1]库存使用数据!$A:$J,10,0),0)+IFERROR(VLOOKUP($A619,[2]库存使用数据!$A:$J,10,0),0)+公式!$B$14*IFERROR(VLOOKUP($A619,[3]库存使用数据!$A:$J,10,0),0)+IFERROR(VLOOKUP($A619,[4]库存使用数据!$A:$J,10,0),0)+IFERROR(VLOOKUP($A619,[5]库存使用数据!$A:$J,10,0),0)</f>
        <v>0.29</v>
      </c>
      <c r="K619" s="1">
        <f ca="1">IFERROR(VLOOKUP($A619,[1]库存使用数据!$A:$K,11,0),0)+IFERROR(VLOOKUP($A619,[2]库存使用数据!$A:$K,11,0),0)+IFERROR(VLOOKUP($A619,[3]库存使用数据!$A:$K,11,0),0)+IFERROR(VLOOKUP($A619,[4]库存使用数据!$A:$K,11,0),0)+IFERROR(VLOOKUP($A619,[5]库存使用数据!$A:$K,11,0),0)</f>
        <v>418</v>
      </c>
      <c r="L619" s="1">
        <f ca="1">IFERROR(VLOOKUP($A619,[1]库存使用数据!$A:$L,12,0),0)+IFERROR(VLOOKUP($A619,[2]库存使用数据!$A:$L,12,0),0)+IFERROR(VLOOKUP($A619,[3]库存使用数据!$A:$L,12,0),0)+IFERROR(VLOOKUP($A619,[4]库存使用数据!$A:$L,12,0),0)+IFERROR(VLOOKUP($A619,[5]库存使用数据!$A:$L,12,0),0)</f>
        <v>3</v>
      </c>
      <c r="M619" s="1">
        <f ca="1">IFERROR(VLOOKUP($A619,[1]库存使用数据!$A:$M,13,0),0)+IFERROR(VLOOKUP($A619,[2]库存使用数据!$A:$M,13,0),0)+公式!$B$14*IFERROR(VLOOKUP($A619,[3]库存使用数据!$A:$M,13,0),0)+IFERROR(VLOOKUP($A619,[4]库存使用数据!$A:$M,13,0),0)+IFERROR(VLOOKUP($A619,[5]库存使用数据!$A:$M,13,0),0)</f>
        <v>0.19</v>
      </c>
    </row>
    <row r="620" spans="1:13">
      <c r="A620" s="6" t="s">
        <v>625</v>
      </c>
      <c r="B620" s="2">
        <f ca="1">IFERROR(VLOOKUP(A620,[1]库存使用数据!$A:$B,2,0),0)+IFERROR(VLOOKUP(A620,[2]库存使用数据!$A:$B,2,0),0)+IFERROR(VLOOKUP(,[3]库存使用数据!$A:$B,2,0),0)+IFERROR(VLOOKUP(A620,[4]库存使用数据!$A:$B,2,0),0)+IFERROR(VLOOKUP(A620,[5]库存使用数据!$A:$B,2,0),0)</f>
        <v>134</v>
      </c>
      <c r="C620" s="1">
        <f ca="1">IFERROR(VLOOKUP($A620,[1]库存使用数据!$A:$C,3,0),0)+IFERROR(VLOOKUP($A620,[2]库存使用数据!$A:$C,3,0),0)+IFERROR(VLOOKUP($A620,[3]库存使用数据!$A:$C,3,0),0)+IFERROR(VLOOKUP($A620,[4]库存使用数据!$A:$C,3,0),0)+IFERROR(VLOOKUP($A620,[5]库存使用数据!$A:$C,3,0),0)</f>
        <v>0</v>
      </c>
      <c r="D620" s="1">
        <f ca="1">IFERROR(VLOOKUP($A620,[1]库存使用数据!$A:$D,4,0),0)+IFERROR(VLOOKUP($A620,[2]库存使用数据!$A:$D,4,0),0)+公式!$B$1*IFERROR(VLOOKUP($A620,[3]库存使用数据!$A:$D,4,0),0)+IFERROR(VLOOKUP($A620,[4]库存使用数据!$A:$D,4,0),0)+IFERROR(VLOOKUP($A620,[5]库存使用数据!$A:$D,4,0),0)</f>
        <v>0</v>
      </c>
      <c r="E620" s="1">
        <f ca="1">IFERROR(VLOOKUP($A620,[1]库存使用数据!$A:$E,5,0),0)+IFERROR(VLOOKUP($A620,[2]库存使用数据!$A:$E,5,0),0)+IFERROR(VLOOKUP($A620,[3]库存使用数据!$A:$E,5,0),0)+IFERROR(VLOOKUP($A620,[4]库存使用数据!$A:$E,5,0),0)+IFERROR(VLOOKUP($A620,[5]库存使用数据!$A:$E,5,0),0)</f>
        <v>471</v>
      </c>
      <c r="F620" s="1">
        <f ca="1">IFERROR(VLOOKUP($A620,[1]库存使用数据!$A:$F,6,0),0)+IFERROR(VLOOKUP($A620,[2]库存使用数据!$A:$F,6,0),0)+IFERROR(VLOOKUP($A620,[4]库存使用数据!$A:$F,6,0),0)+IFERROR(VLOOKUP($A620,[3]库存使用数据!$A:$F,6,0),0)+IFERROR(VLOOKUP($A620,[5]库存使用数据!$A:$F,6,0),0)</f>
        <v>1</v>
      </c>
      <c r="G620" s="1">
        <f ca="1">IFERROR(VLOOKUP($A620,[1]库存使用数据!$A:$G,7,0),0)+IFERROR(VLOOKUP($A620,[2]库存使用数据!$A:$G,7,0),0)+公式!$B$14*IFERROR(VLOOKUP($A620,[3]库存使用数据!$A:$G,7,0),0)+IFERROR(VLOOKUP($A620,[4]库存使用数据!$A:$G,7,0),0)+IFERROR(VLOOKUP($A620,[5]库存使用数据!$A:$G,7,0),0)</f>
        <v>0.23</v>
      </c>
      <c r="H620" s="1">
        <f ca="1">IFERROR(VLOOKUP($A620,[1]库存使用数据!$A:$H,8,0),0)+IFERROR(VLOOKUP($A620,[2]库存使用数据!$A:$H,8,0),0)+IFERROR(VLOOKUP($A620,[3]库存使用数据!$A:$H,8,0),0)+IFERROR(VLOOKUP($A620,[4]库存使用数据!$A:$H,8,0),0)+IFERROR(VLOOKUP($A620,[5]库存使用数据!$A:$H,8,0),0)</f>
        <v>178</v>
      </c>
      <c r="I620" s="1">
        <f ca="1">IFERROR(VLOOKUP($A620,[1]库存使用数据!$A:$I,9,0),0)+IFERROR(VLOOKUP($A620,[2]库存使用数据!$A:$I,9,0),0)+IFERROR(VLOOKUP($A620,[3]库存使用数据!$A:$I,9,0),0)+IFERROR(VLOOKUP($A620,[4]库存使用数据!$A:$I,9,0),0)+IFERROR(VLOOKUP($A620,[5]库存使用数据!$A:$I,9,0),0)</f>
        <v>0</v>
      </c>
      <c r="J620" s="1">
        <f ca="1">IFERROR(VLOOKUP($A620,[1]库存使用数据!$A:$J,10,0),0)+IFERROR(VLOOKUP($A620,[2]库存使用数据!$A:$J,10,0),0)+公式!$B$14*IFERROR(VLOOKUP($A620,[3]库存使用数据!$A:$J,10,0),0)+IFERROR(VLOOKUP($A620,[4]库存使用数据!$A:$J,10,0),0)+IFERROR(VLOOKUP($A620,[5]库存使用数据!$A:$J,10,0),0)</f>
        <v>0</v>
      </c>
      <c r="K620" s="1">
        <f ca="1">IFERROR(VLOOKUP($A620,[1]库存使用数据!$A:$K,11,0),0)+IFERROR(VLOOKUP($A620,[2]库存使用数据!$A:$K,11,0),0)+IFERROR(VLOOKUP($A620,[3]库存使用数据!$A:$K,11,0),0)+IFERROR(VLOOKUP($A620,[4]库存使用数据!$A:$K,11,0),0)+IFERROR(VLOOKUP($A620,[5]库存使用数据!$A:$K,11,0),0)</f>
        <v>291</v>
      </c>
      <c r="L620" s="1">
        <f ca="1">IFERROR(VLOOKUP($A620,[1]库存使用数据!$A:$L,12,0),0)+IFERROR(VLOOKUP($A620,[2]库存使用数据!$A:$L,12,0),0)+IFERROR(VLOOKUP($A620,[3]库存使用数据!$A:$L,12,0),0)+IFERROR(VLOOKUP($A620,[4]库存使用数据!$A:$L,12,0),0)+IFERROR(VLOOKUP($A620,[5]库存使用数据!$A:$L,12,0),0)</f>
        <v>0</v>
      </c>
      <c r="M620" s="1">
        <f ca="1">IFERROR(VLOOKUP($A620,[1]库存使用数据!$A:$M,13,0),0)+IFERROR(VLOOKUP($A620,[2]库存使用数据!$A:$M,13,0),0)+公式!$B$14*IFERROR(VLOOKUP($A620,[3]库存使用数据!$A:$M,13,0),0)+IFERROR(VLOOKUP($A620,[4]库存使用数据!$A:$M,13,0),0)+IFERROR(VLOOKUP($A620,[5]库存使用数据!$A:$M,13,0),0)</f>
        <v>0</v>
      </c>
    </row>
    <row r="621" spans="1:13">
      <c r="A621" s="6" t="s">
        <v>626</v>
      </c>
      <c r="B621" s="2">
        <f ca="1">IFERROR(VLOOKUP(A621,[1]库存使用数据!$A:$B,2,0),0)+IFERROR(VLOOKUP(A621,[2]库存使用数据!$A:$B,2,0),0)+IFERROR(VLOOKUP(,[3]库存使用数据!$A:$B,2,0),0)+IFERROR(VLOOKUP(A621,[4]库存使用数据!$A:$B,2,0),0)+IFERROR(VLOOKUP(A621,[5]库存使用数据!$A:$B,2,0),0)</f>
        <v>250</v>
      </c>
      <c r="C621" s="1">
        <f ca="1">IFERROR(VLOOKUP($A621,[1]库存使用数据!$A:$C,3,0),0)+IFERROR(VLOOKUP($A621,[2]库存使用数据!$A:$C,3,0),0)+IFERROR(VLOOKUP($A621,[3]库存使用数据!$A:$C,3,0),0)+IFERROR(VLOOKUP($A621,[4]库存使用数据!$A:$C,3,0),0)+IFERROR(VLOOKUP($A621,[5]库存使用数据!$A:$C,3,0),0)</f>
        <v>1</v>
      </c>
      <c r="D621" s="1">
        <f ca="1">IFERROR(VLOOKUP($A621,[1]库存使用数据!$A:$D,4,0),0)+IFERROR(VLOOKUP($A621,[2]库存使用数据!$A:$D,4,0),0)+公式!$B$1*IFERROR(VLOOKUP($A621,[3]库存使用数据!$A:$D,4,0),0)+IFERROR(VLOOKUP($A621,[4]库存使用数据!$A:$D,4,0),0)+IFERROR(VLOOKUP($A621,[5]库存使用数据!$A:$D,4,0),0)</f>
        <v>0.14</v>
      </c>
      <c r="E621" s="1">
        <f ca="1">IFERROR(VLOOKUP($A621,[1]库存使用数据!$A:$E,5,0),0)+IFERROR(VLOOKUP($A621,[2]库存使用数据!$A:$E,5,0),0)+IFERROR(VLOOKUP($A621,[3]库存使用数据!$A:$E,5,0),0)+IFERROR(VLOOKUP($A621,[4]库存使用数据!$A:$E,5,0),0)+IFERROR(VLOOKUP($A621,[5]库存使用数据!$A:$E,5,0),0)</f>
        <v>917</v>
      </c>
      <c r="F621" s="1">
        <f ca="1">IFERROR(VLOOKUP($A621,[1]库存使用数据!$A:$F,6,0),0)+IFERROR(VLOOKUP($A621,[2]库存使用数据!$A:$F,6,0),0)+IFERROR(VLOOKUP($A621,[4]库存使用数据!$A:$F,6,0),0)+IFERROR(VLOOKUP($A621,[3]库存使用数据!$A:$F,6,0),0)+IFERROR(VLOOKUP($A621,[5]库存使用数据!$A:$F,6,0),0)</f>
        <v>4</v>
      </c>
      <c r="G621" s="1">
        <f ca="1">IFERROR(VLOOKUP($A621,[1]库存使用数据!$A:$G,7,0),0)+IFERROR(VLOOKUP($A621,[2]库存使用数据!$A:$G,7,0),0)+公式!$B$14*IFERROR(VLOOKUP($A621,[3]库存使用数据!$A:$G,7,0),0)+IFERROR(VLOOKUP($A621,[4]库存使用数据!$A:$G,7,0),0)+IFERROR(VLOOKUP($A621,[5]库存使用数据!$A:$G,7,0),0)</f>
        <v>0.46</v>
      </c>
      <c r="H621" s="1">
        <f ca="1">IFERROR(VLOOKUP($A621,[1]库存使用数据!$A:$H,8,0),0)+IFERROR(VLOOKUP($A621,[2]库存使用数据!$A:$H,8,0),0)+IFERROR(VLOOKUP($A621,[3]库存使用数据!$A:$H,8,0),0)+IFERROR(VLOOKUP($A621,[4]库存使用数据!$A:$H,8,0),0)+IFERROR(VLOOKUP($A621,[5]库存使用数据!$A:$H,8,0),0)</f>
        <v>736</v>
      </c>
      <c r="I621" s="1">
        <f ca="1">IFERROR(VLOOKUP($A621,[1]库存使用数据!$A:$I,9,0),0)+IFERROR(VLOOKUP($A621,[2]库存使用数据!$A:$I,9,0),0)+IFERROR(VLOOKUP($A621,[3]库存使用数据!$A:$I,9,0),0)+IFERROR(VLOOKUP($A621,[4]库存使用数据!$A:$I,9,0),0)+IFERROR(VLOOKUP($A621,[5]库存使用数据!$A:$I,9,0),0)</f>
        <v>1</v>
      </c>
      <c r="J621" s="1">
        <f ca="1">IFERROR(VLOOKUP($A621,[1]库存使用数据!$A:$J,10,0),0)+IFERROR(VLOOKUP($A621,[2]库存使用数据!$A:$J,10,0),0)+公式!$B$14*IFERROR(VLOOKUP($A621,[3]库存使用数据!$A:$J,10,0),0)+IFERROR(VLOOKUP($A621,[4]库存使用数据!$A:$J,10,0),0)+IFERROR(VLOOKUP($A621,[5]库存使用数据!$A:$J,10,0),0)</f>
        <v>0.08</v>
      </c>
      <c r="K621" s="1">
        <f ca="1">IFERROR(VLOOKUP($A621,[1]库存使用数据!$A:$K,11,0),0)+IFERROR(VLOOKUP($A621,[2]库存使用数据!$A:$K,11,0),0)+IFERROR(VLOOKUP($A621,[3]库存使用数据!$A:$K,11,0),0)+IFERROR(VLOOKUP($A621,[4]库存使用数据!$A:$K,11,0),0)+IFERROR(VLOOKUP($A621,[5]库存使用数据!$A:$K,11,0),0)</f>
        <v>1410</v>
      </c>
      <c r="L621" s="1">
        <f ca="1">IFERROR(VLOOKUP($A621,[1]库存使用数据!$A:$L,12,0),0)+IFERROR(VLOOKUP($A621,[2]库存使用数据!$A:$L,12,0),0)+IFERROR(VLOOKUP($A621,[3]库存使用数据!$A:$L,12,0),0)+IFERROR(VLOOKUP($A621,[4]库存使用数据!$A:$L,12,0),0)+IFERROR(VLOOKUP($A621,[5]库存使用数据!$A:$L,12,0),0)</f>
        <v>8</v>
      </c>
      <c r="M621" s="1">
        <f ca="1">IFERROR(VLOOKUP($A621,[1]库存使用数据!$A:$M,13,0),0)+IFERROR(VLOOKUP($A621,[2]库存使用数据!$A:$M,13,0),0)+公式!$B$14*IFERROR(VLOOKUP($A621,[3]库存使用数据!$A:$M,13,0),0)+IFERROR(VLOOKUP($A621,[4]库存使用数据!$A:$M,13,0),0)+IFERROR(VLOOKUP($A621,[5]库存使用数据!$A:$M,13,0),0)</f>
        <v>1.09</v>
      </c>
    </row>
    <row r="622" spans="1:13">
      <c r="A622" s="6" t="s">
        <v>627</v>
      </c>
      <c r="B622" s="2">
        <f ca="1">IFERROR(VLOOKUP(A622,[1]库存使用数据!$A:$B,2,0),0)+IFERROR(VLOOKUP(A622,[2]库存使用数据!$A:$B,2,0),0)+IFERROR(VLOOKUP(,[3]库存使用数据!$A:$B,2,0),0)+IFERROR(VLOOKUP(A622,[4]库存使用数据!$A:$B,2,0),0)+IFERROR(VLOOKUP(A622,[5]库存使用数据!$A:$B,2,0),0)</f>
        <v>1022</v>
      </c>
      <c r="C622" s="1">
        <f ca="1">IFERROR(VLOOKUP($A622,[1]库存使用数据!$A:$C,3,0),0)+IFERROR(VLOOKUP($A622,[2]库存使用数据!$A:$C,3,0),0)+IFERROR(VLOOKUP($A622,[3]库存使用数据!$A:$C,3,0),0)+IFERROR(VLOOKUP($A622,[4]库存使用数据!$A:$C,3,0),0)+IFERROR(VLOOKUP($A622,[5]库存使用数据!$A:$C,3,0),0)</f>
        <v>0</v>
      </c>
      <c r="D622" s="1">
        <f ca="1">IFERROR(VLOOKUP($A622,[1]库存使用数据!$A:$D,4,0),0)+IFERROR(VLOOKUP($A622,[2]库存使用数据!$A:$D,4,0),0)+公式!$B$1*IFERROR(VLOOKUP($A622,[3]库存使用数据!$A:$D,4,0),0)+IFERROR(VLOOKUP($A622,[4]库存使用数据!$A:$D,4,0),0)+IFERROR(VLOOKUP($A622,[5]库存使用数据!$A:$D,4,0),0)</f>
        <v>0</v>
      </c>
      <c r="E622" s="1">
        <f ca="1">IFERROR(VLOOKUP($A622,[1]库存使用数据!$A:$E,5,0),0)+IFERROR(VLOOKUP($A622,[2]库存使用数据!$A:$E,5,0),0)+IFERROR(VLOOKUP($A622,[3]库存使用数据!$A:$E,5,0),0)+IFERROR(VLOOKUP($A622,[4]库存使用数据!$A:$E,5,0),0)+IFERROR(VLOOKUP($A622,[5]库存使用数据!$A:$E,5,0),0)</f>
        <v>1459</v>
      </c>
      <c r="F622" s="1">
        <f ca="1">IFERROR(VLOOKUP($A622,[1]库存使用数据!$A:$F,6,0),0)+IFERROR(VLOOKUP($A622,[2]库存使用数据!$A:$F,6,0),0)+IFERROR(VLOOKUP($A622,[4]库存使用数据!$A:$F,6,0),0)+IFERROR(VLOOKUP($A622,[3]库存使用数据!$A:$F,6,0),0)+IFERROR(VLOOKUP($A622,[5]库存使用数据!$A:$F,6,0),0)</f>
        <v>2</v>
      </c>
      <c r="G622" s="1">
        <f ca="1">IFERROR(VLOOKUP($A622,[1]库存使用数据!$A:$G,7,0),0)+IFERROR(VLOOKUP($A622,[2]库存使用数据!$A:$G,7,0),0)+公式!$B$14*IFERROR(VLOOKUP($A622,[3]库存使用数据!$A:$G,7,0),0)+IFERROR(VLOOKUP($A622,[4]库存使用数据!$A:$G,7,0),0)+IFERROR(VLOOKUP($A622,[5]库存使用数据!$A:$G,7,0),0)</f>
        <v>0.14</v>
      </c>
      <c r="H622" s="1">
        <f ca="1">IFERROR(VLOOKUP($A622,[1]库存使用数据!$A:$H,8,0),0)+IFERROR(VLOOKUP($A622,[2]库存使用数据!$A:$H,8,0),0)+IFERROR(VLOOKUP($A622,[3]库存使用数据!$A:$H,8,0),0)+IFERROR(VLOOKUP($A622,[4]库存使用数据!$A:$H,8,0),0)+IFERROR(VLOOKUP($A622,[5]库存使用数据!$A:$H,8,0),0)</f>
        <v>677</v>
      </c>
      <c r="I622" s="1">
        <f ca="1">IFERROR(VLOOKUP($A622,[1]库存使用数据!$A:$I,9,0),0)+IFERROR(VLOOKUP($A622,[2]库存使用数据!$A:$I,9,0),0)+IFERROR(VLOOKUP($A622,[3]库存使用数据!$A:$I,9,0),0)+IFERROR(VLOOKUP($A622,[4]库存使用数据!$A:$I,9,0),0)+IFERROR(VLOOKUP($A622,[5]库存使用数据!$A:$I,9,0),0)</f>
        <v>4</v>
      </c>
      <c r="J622" s="1">
        <f ca="1">IFERROR(VLOOKUP($A622,[1]库存使用数据!$A:$J,10,0),0)+IFERROR(VLOOKUP($A622,[2]库存使用数据!$A:$J,10,0),0)+公式!$B$14*IFERROR(VLOOKUP($A622,[3]库存使用数据!$A:$J,10,0),0)+IFERROR(VLOOKUP($A622,[4]库存使用数据!$A:$J,10,0),0)+IFERROR(VLOOKUP($A622,[5]库存使用数据!$A:$J,10,0),0)</f>
        <v>0.27</v>
      </c>
      <c r="K622" s="1">
        <f ca="1">IFERROR(VLOOKUP($A622,[1]库存使用数据!$A:$K,11,0),0)+IFERROR(VLOOKUP($A622,[2]库存使用数据!$A:$K,11,0),0)+IFERROR(VLOOKUP($A622,[3]库存使用数据!$A:$K,11,0),0)+IFERROR(VLOOKUP($A622,[4]库存使用数据!$A:$K,11,0),0)+IFERROR(VLOOKUP($A622,[5]库存使用数据!$A:$K,11,0),0)</f>
        <v>647</v>
      </c>
      <c r="L622" s="1">
        <f ca="1">IFERROR(VLOOKUP($A622,[1]库存使用数据!$A:$L,12,0),0)+IFERROR(VLOOKUP($A622,[2]库存使用数据!$A:$L,12,0),0)+IFERROR(VLOOKUP($A622,[3]库存使用数据!$A:$L,12,0),0)+IFERROR(VLOOKUP($A622,[4]库存使用数据!$A:$L,12,0),0)+IFERROR(VLOOKUP($A622,[5]库存使用数据!$A:$L,12,0),0)</f>
        <v>1</v>
      </c>
      <c r="M622" s="1">
        <f ca="1">IFERROR(VLOOKUP($A622,[1]库存使用数据!$A:$M,13,0),0)+IFERROR(VLOOKUP($A622,[2]库存使用数据!$A:$M,13,0),0)+公式!$B$14*IFERROR(VLOOKUP($A622,[3]库存使用数据!$A:$M,13,0),0)+IFERROR(VLOOKUP($A622,[4]库存使用数据!$A:$M,13,0),0)+IFERROR(VLOOKUP($A622,[5]库存使用数据!$A:$M,13,0),0)</f>
        <v>0.14</v>
      </c>
    </row>
    <row r="623" spans="1:13">
      <c r="A623" s="6" t="s">
        <v>628</v>
      </c>
      <c r="B623" s="2">
        <f ca="1">IFERROR(VLOOKUP(A623,[1]库存使用数据!$A:$B,2,0),0)+IFERROR(VLOOKUP(A623,[2]库存使用数据!$A:$B,2,0),0)+IFERROR(VLOOKUP(,[3]库存使用数据!$A:$B,2,0),0)+IFERROR(VLOOKUP(A623,[4]库存使用数据!$A:$B,2,0),0)+IFERROR(VLOOKUP(A623,[5]库存使用数据!$A:$B,2,0),0)</f>
        <v>0</v>
      </c>
      <c r="C623" s="1">
        <f ca="1">IFERROR(VLOOKUP($A623,[1]库存使用数据!$A:$C,3,0),0)+IFERROR(VLOOKUP($A623,[2]库存使用数据!$A:$C,3,0),0)+IFERROR(VLOOKUP($A623,[3]库存使用数据!$A:$C,3,0),0)+IFERROR(VLOOKUP($A623,[4]库存使用数据!$A:$C,3,0),0)+IFERROR(VLOOKUP($A623,[5]库存使用数据!$A:$C,3,0),0)</f>
        <v>0</v>
      </c>
      <c r="D623" s="1">
        <f ca="1">IFERROR(VLOOKUP($A623,[1]库存使用数据!$A:$D,4,0),0)+IFERROR(VLOOKUP($A623,[2]库存使用数据!$A:$D,4,0),0)+公式!$B$1*IFERROR(VLOOKUP($A623,[3]库存使用数据!$A:$D,4,0),0)+IFERROR(VLOOKUP($A623,[4]库存使用数据!$A:$D,4,0),0)+IFERROR(VLOOKUP($A623,[5]库存使用数据!$A:$D,4,0),0)</f>
        <v>0</v>
      </c>
      <c r="E623" s="1">
        <f ca="1">IFERROR(VLOOKUP($A623,[1]库存使用数据!$A:$E,5,0),0)+IFERROR(VLOOKUP($A623,[2]库存使用数据!$A:$E,5,0),0)+IFERROR(VLOOKUP($A623,[3]库存使用数据!$A:$E,5,0),0)+IFERROR(VLOOKUP($A623,[4]库存使用数据!$A:$E,5,0),0)+IFERROR(VLOOKUP($A623,[5]库存使用数据!$A:$E,5,0),0)</f>
        <v>0</v>
      </c>
      <c r="F623" s="1">
        <f ca="1">IFERROR(VLOOKUP($A623,[1]库存使用数据!$A:$F,6,0),0)+IFERROR(VLOOKUP($A623,[2]库存使用数据!$A:$F,6,0),0)+IFERROR(VLOOKUP($A623,[4]库存使用数据!$A:$F,6,0),0)+IFERROR(VLOOKUP($A623,[3]库存使用数据!$A:$F,6,0),0)+IFERROR(VLOOKUP($A623,[5]库存使用数据!$A:$F,6,0),0)</f>
        <v>0</v>
      </c>
      <c r="G623" s="1">
        <f ca="1">IFERROR(VLOOKUP($A623,[1]库存使用数据!$A:$G,7,0),0)+IFERROR(VLOOKUP($A623,[2]库存使用数据!$A:$G,7,0),0)+公式!$B$14*IFERROR(VLOOKUP($A623,[3]库存使用数据!$A:$G,7,0),0)+IFERROR(VLOOKUP($A623,[4]库存使用数据!$A:$G,7,0),0)+IFERROR(VLOOKUP($A623,[5]库存使用数据!$A:$G,7,0),0)</f>
        <v>0</v>
      </c>
      <c r="H623" s="1">
        <f ca="1">IFERROR(VLOOKUP($A623,[1]库存使用数据!$A:$H,8,0),0)+IFERROR(VLOOKUP($A623,[2]库存使用数据!$A:$H,8,0),0)+IFERROR(VLOOKUP($A623,[3]库存使用数据!$A:$H,8,0),0)+IFERROR(VLOOKUP($A623,[4]库存使用数据!$A:$H,8,0),0)+IFERROR(VLOOKUP($A623,[5]库存使用数据!$A:$H,8,0),0)</f>
        <v>0</v>
      </c>
      <c r="I623" s="1">
        <f ca="1">IFERROR(VLOOKUP($A623,[1]库存使用数据!$A:$I,9,0),0)+IFERROR(VLOOKUP($A623,[2]库存使用数据!$A:$I,9,0),0)+IFERROR(VLOOKUP($A623,[3]库存使用数据!$A:$I,9,0),0)+IFERROR(VLOOKUP($A623,[4]库存使用数据!$A:$I,9,0),0)+IFERROR(VLOOKUP($A623,[5]库存使用数据!$A:$I,9,0),0)</f>
        <v>0</v>
      </c>
      <c r="J623" s="1">
        <f ca="1">IFERROR(VLOOKUP($A623,[1]库存使用数据!$A:$J,10,0),0)+IFERROR(VLOOKUP($A623,[2]库存使用数据!$A:$J,10,0),0)+公式!$B$14*IFERROR(VLOOKUP($A623,[3]库存使用数据!$A:$J,10,0),0)+IFERROR(VLOOKUP($A623,[4]库存使用数据!$A:$J,10,0),0)+IFERROR(VLOOKUP($A623,[5]库存使用数据!$A:$J,10,0),0)</f>
        <v>0</v>
      </c>
      <c r="K623" s="1">
        <f ca="1">IFERROR(VLOOKUP($A623,[1]库存使用数据!$A:$K,11,0),0)+IFERROR(VLOOKUP($A623,[2]库存使用数据!$A:$K,11,0),0)+IFERROR(VLOOKUP($A623,[3]库存使用数据!$A:$K,11,0),0)+IFERROR(VLOOKUP($A623,[4]库存使用数据!$A:$K,11,0),0)+IFERROR(VLOOKUP($A623,[5]库存使用数据!$A:$K,11,0),0)</f>
        <v>544</v>
      </c>
      <c r="L623" s="1">
        <f ca="1">IFERROR(VLOOKUP($A623,[1]库存使用数据!$A:$L,12,0),0)+IFERROR(VLOOKUP($A623,[2]库存使用数据!$A:$L,12,0),0)+IFERROR(VLOOKUP($A623,[3]库存使用数据!$A:$L,12,0),0)+IFERROR(VLOOKUP($A623,[4]库存使用数据!$A:$L,12,0),0)+IFERROR(VLOOKUP($A623,[5]库存使用数据!$A:$L,12,0),0)</f>
        <v>2</v>
      </c>
      <c r="M623" s="1">
        <f ca="1">IFERROR(VLOOKUP($A623,[1]库存使用数据!$A:$M,13,0),0)+IFERROR(VLOOKUP($A623,[2]库存使用数据!$A:$M,13,0),0)+公式!$B$14*IFERROR(VLOOKUP($A623,[3]库存使用数据!$A:$M,13,0),0)+IFERROR(VLOOKUP($A623,[4]库存使用数据!$A:$M,13,0),0)+IFERROR(VLOOKUP($A623,[5]库存使用数据!$A:$M,13,0),0)</f>
        <v>0.04</v>
      </c>
    </row>
    <row r="624" spans="1:13">
      <c r="A624" s="6" t="s">
        <v>629</v>
      </c>
      <c r="B624" s="2">
        <f ca="1">IFERROR(VLOOKUP(A624,[1]库存使用数据!$A:$B,2,0),0)+IFERROR(VLOOKUP(A624,[2]库存使用数据!$A:$B,2,0),0)+IFERROR(VLOOKUP(,[3]库存使用数据!$A:$B,2,0),0)+IFERROR(VLOOKUP(A624,[4]库存使用数据!$A:$B,2,0),0)+IFERROR(VLOOKUP(A624,[5]库存使用数据!$A:$B,2,0),0)</f>
        <v>446</v>
      </c>
      <c r="C624" s="1">
        <f ca="1">IFERROR(VLOOKUP($A624,[1]库存使用数据!$A:$C,3,0),0)+IFERROR(VLOOKUP($A624,[2]库存使用数据!$A:$C,3,0),0)+IFERROR(VLOOKUP($A624,[3]库存使用数据!$A:$C,3,0),0)+IFERROR(VLOOKUP($A624,[4]库存使用数据!$A:$C,3,0),0)+IFERROR(VLOOKUP($A624,[5]库存使用数据!$A:$C,3,0),0)</f>
        <v>1</v>
      </c>
      <c r="D624" s="1">
        <f ca="1">IFERROR(VLOOKUP($A624,[1]库存使用数据!$A:$D,4,0),0)+IFERROR(VLOOKUP($A624,[2]库存使用数据!$A:$D,4,0),0)+公式!$B$1*IFERROR(VLOOKUP($A624,[3]库存使用数据!$A:$D,4,0),0)+IFERROR(VLOOKUP($A624,[4]库存使用数据!$A:$D,4,0),0)+IFERROR(VLOOKUP($A624,[5]库存使用数据!$A:$D,4,0),0)</f>
        <v>0.06</v>
      </c>
      <c r="E624" s="1">
        <f ca="1">IFERROR(VLOOKUP($A624,[1]库存使用数据!$A:$E,5,0),0)+IFERROR(VLOOKUP($A624,[2]库存使用数据!$A:$E,5,0),0)+IFERROR(VLOOKUP($A624,[3]库存使用数据!$A:$E,5,0),0)+IFERROR(VLOOKUP($A624,[4]库存使用数据!$A:$E,5,0),0)+IFERROR(VLOOKUP($A624,[5]库存使用数据!$A:$E,5,0),0)</f>
        <v>288</v>
      </c>
      <c r="F624" s="1">
        <f ca="1">IFERROR(VLOOKUP($A624,[1]库存使用数据!$A:$F,6,0),0)+IFERROR(VLOOKUP($A624,[2]库存使用数据!$A:$F,6,0),0)+IFERROR(VLOOKUP($A624,[4]库存使用数据!$A:$F,6,0),0)+IFERROR(VLOOKUP($A624,[3]库存使用数据!$A:$F,6,0),0)+IFERROR(VLOOKUP($A624,[5]库存使用数据!$A:$F,6,0),0)</f>
        <v>0</v>
      </c>
      <c r="G624" s="1">
        <f ca="1">IFERROR(VLOOKUP($A624,[1]库存使用数据!$A:$G,7,0),0)+IFERROR(VLOOKUP($A624,[2]库存使用数据!$A:$G,7,0),0)+公式!$B$14*IFERROR(VLOOKUP($A624,[3]库存使用数据!$A:$G,7,0),0)+IFERROR(VLOOKUP($A624,[4]库存使用数据!$A:$G,7,0),0)+IFERROR(VLOOKUP($A624,[5]库存使用数据!$A:$G,7,0),0)</f>
        <v>0</v>
      </c>
      <c r="H624" s="1">
        <f ca="1">IFERROR(VLOOKUP($A624,[1]库存使用数据!$A:$H,8,0),0)+IFERROR(VLOOKUP($A624,[2]库存使用数据!$A:$H,8,0),0)+IFERROR(VLOOKUP($A624,[3]库存使用数据!$A:$H,8,0),0)+IFERROR(VLOOKUP($A624,[4]库存使用数据!$A:$H,8,0),0)+IFERROR(VLOOKUP($A624,[5]库存使用数据!$A:$H,8,0),0)</f>
        <v>360</v>
      </c>
      <c r="I624" s="1">
        <f ca="1">IFERROR(VLOOKUP($A624,[1]库存使用数据!$A:$I,9,0),0)+IFERROR(VLOOKUP($A624,[2]库存使用数据!$A:$I,9,0),0)+IFERROR(VLOOKUP($A624,[3]库存使用数据!$A:$I,9,0),0)+IFERROR(VLOOKUP($A624,[4]库存使用数据!$A:$I,9,0),0)+IFERROR(VLOOKUP($A624,[5]库存使用数据!$A:$I,9,0),0)</f>
        <v>0</v>
      </c>
      <c r="J624" s="1">
        <f ca="1">IFERROR(VLOOKUP($A624,[1]库存使用数据!$A:$J,10,0),0)+IFERROR(VLOOKUP($A624,[2]库存使用数据!$A:$J,10,0),0)+公式!$B$14*IFERROR(VLOOKUP($A624,[3]库存使用数据!$A:$J,10,0),0)+IFERROR(VLOOKUP($A624,[4]库存使用数据!$A:$J,10,0),0)+IFERROR(VLOOKUP($A624,[5]库存使用数据!$A:$J,10,0),0)</f>
        <v>0</v>
      </c>
      <c r="K624" s="1">
        <f ca="1">IFERROR(VLOOKUP($A624,[1]库存使用数据!$A:$K,11,0),0)+IFERROR(VLOOKUP($A624,[2]库存使用数据!$A:$K,11,0),0)+IFERROR(VLOOKUP($A624,[3]库存使用数据!$A:$K,11,0),0)+IFERROR(VLOOKUP($A624,[4]库存使用数据!$A:$K,11,0),0)+IFERROR(VLOOKUP($A624,[5]库存使用数据!$A:$K,11,0),0)</f>
        <v>344</v>
      </c>
      <c r="L624" s="1">
        <f ca="1">IFERROR(VLOOKUP($A624,[1]库存使用数据!$A:$L,12,0),0)+IFERROR(VLOOKUP($A624,[2]库存使用数据!$A:$L,12,0),0)+IFERROR(VLOOKUP($A624,[3]库存使用数据!$A:$L,12,0),0)+IFERROR(VLOOKUP($A624,[4]库存使用数据!$A:$L,12,0),0)+IFERROR(VLOOKUP($A624,[5]库存使用数据!$A:$L,12,0),0)</f>
        <v>1</v>
      </c>
      <c r="M624" s="1">
        <f ca="1">IFERROR(VLOOKUP($A624,[1]库存使用数据!$A:$M,13,0),0)+IFERROR(VLOOKUP($A624,[2]库存使用数据!$A:$M,13,0),0)+公式!$B$14*IFERROR(VLOOKUP($A624,[3]库存使用数据!$A:$M,13,0),0)+IFERROR(VLOOKUP($A624,[4]库存使用数据!$A:$M,13,0),0)+IFERROR(VLOOKUP($A624,[5]库存使用数据!$A:$M,13,0),0)</f>
        <v>0.1</v>
      </c>
    </row>
    <row r="625" spans="1:13">
      <c r="A625" s="6" t="s">
        <v>630</v>
      </c>
      <c r="B625" s="2">
        <f ca="1">IFERROR(VLOOKUP(A625,[1]库存使用数据!$A:$B,2,0),0)+IFERROR(VLOOKUP(A625,[2]库存使用数据!$A:$B,2,0),0)+IFERROR(VLOOKUP(,[3]库存使用数据!$A:$B,2,0),0)+IFERROR(VLOOKUP(A625,[4]库存使用数据!$A:$B,2,0),0)+IFERROR(VLOOKUP(A625,[5]库存使用数据!$A:$B,2,0),0)</f>
        <v>54</v>
      </c>
      <c r="C625" s="1">
        <f ca="1">IFERROR(VLOOKUP($A625,[1]库存使用数据!$A:$C,3,0),0)+IFERROR(VLOOKUP($A625,[2]库存使用数据!$A:$C,3,0),0)+IFERROR(VLOOKUP($A625,[3]库存使用数据!$A:$C,3,0),0)+IFERROR(VLOOKUP($A625,[4]库存使用数据!$A:$C,3,0),0)+IFERROR(VLOOKUP($A625,[5]库存使用数据!$A:$C,3,0),0)</f>
        <v>0</v>
      </c>
      <c r="D625" s="1">
        <f ca="1">IFERROR(VLOOKUP($A625,[1]库存使用数据!$A:$D,4,0),0)+IFERROR(VLOOKUP($A625,[2]库存使用数据!$A:$D,4,0),0)+公式!$B$1*IFERROR(VLOOKUP($A625,[3]库存使用数据!$A:$D,4,0),0)+IFERROR(VLOOKUP($A625,[4]库存使用数据!$A:$D,4,0),0)+IFERROR(VLOOKUP($A625,[5]库存使用数据!$A:$D,4,0),0)</f>
        <v>0</v>
      </c>
      <c r="E625" s="1">
        <f ca="1">IFERROR(VLOOKUP($A625,[1]库存使用数据!$A:$E,5,0),0)+IFERROR(VLOOKUP($A625,[2]库存使用数据!$A:$E,5,0),0)+IFERROR(VLOOKUP($A625,[3]库存使用数据!$A:$E,5,0),0)+IFERROR(VLOOKUP($A625,[4]库存使用数据!$A:$E,5,0),0)+IFERROR(VLOOKUP($A625,[5]库存使用数据!$A:$E,5,0),0)</f>
        <v>49</v>
      </c>
      <c r="F625" s="1">
        <f ca="1">IFERROR(VLOOKUP($A625,[1]库存使用数据!$A:$F,6,0),0)+IFERROR(VLOOKUP($A625,[2]库存使用数据!$A:$F,6,0),0)+IFERROR(VLOOKUP($A625,[4]库存使用数据!$A:$F,6,0),0)+IFERROR(VLOOKUP($A625,[3]库存使用数据!$A:$F,6,0),0)+IFERROR(VLOOKUP($A625,[5]库存使用数据!$A:$F,6,0),0)</f>
        <v>0</v>
      </c>
      <c r="G625" s="1">
        <f ca="1">IFERROR(VLOOKUP($A625,[1]库存使用数据!$A:$G,7,0),0)+IFERROR(VLOOKUP($A625,[2]库存使用数据!$A:$G,7,0),0)+公式!$B$14*IFERROR(VLOOKUP($A625,[3]库存使用数据!$A:$G,7,0),0)+IFERROR(VLOOKUP($A625,[4]库存使用数据!$A:$G,7,0),0)+IFERROR(VLOOKUP($A625,[5]库存使用数据!$A:$G,7,0),0)</f>
        <v>0</v>
      </c>
      <c r="H625" s="1">
        <f ca="1">IFERROR(VLOOKUP($A625,[1]库存使用数据!$A:$H,8,0),0)+IFERROR(VLOOKUP($A625,[2]库存使用数据!$A:$H,8,0),0)+IFERROR(VLOOKUP($A625,[3]库存使用数据!$A:$H,8,0),0)+IFERROR(VLOOKUP($A625,[4]库存使用数据!$A:$H,8,0),0)+IFERROR(VLOOKUP($A625,[5]库存使用数据!$A:$H,8,0),0)</f>
        <v>76</v>
      </c>
      <c r="I625" s="1">
        <f ca="1">IFERROR(VLOOKUP($A625,[1]库存使用数据!$A:$I,9,0),0)+IFERROR(VLOOKUP($A625,[2]库存使用数据!$A:$I,9,0),0)+IFERROR(VLOOKUP($A625,[3]库存使用数据!$A:$I,9,0),0)+IFERROR(VLOOKUP($A625,[4]库存使用数据!$A:$I,9,0),0)+IFERROR(VLOOKUP($A625,[5]库存使用数据!$A:$I,9,0),0)</f>
        <v>0</v>
      </c>
      <c r="J625" s="1">
        <f ca="1">IFERROR(VLOOKUP($A625,[1]库存使用数据!$A:$J,10,0),0)+IFERROR(VLOOKUP($A625,[2]库存使用数据!$A:$J,10,0),0)+公式!$B$14*IFERROR(VLOOKUP($A625,[3]库存使用数据!$A:$J,10,0),0)+IFERROR(VLOOKUP($A625,[4]库存使用数据!$A:$J,10,0),0)+IFERROR(VLOOKUP($A625,[5]库存使用数据!$A:$J,10,0),0)</f>
        <v>0</v>
      </c>
      <c r="K625" s="1">
        <f ca="1">IFERROR(VLOOKUP($A625,[1]库存使用数据!$A:$K,11,0),0)+IFERROR(VLOOKUP($A625,[2]库存使用数据!$A:$K,11,0),0)+IFERROR(VLOOKUP($A625,[3]库存使用数据!$A:$K,11,0),0)+IFERROR(VLOOKUP($A625,[4]库存使用数据!$A:$K,11,0),0)+IFERROR(VLOOKUP($A625,[5]库存使用数据!$A:$K,11,0),0)</f>
        <v>107</v>
      </c>
      <c r="L625" s="1">
        <f ca="1">IFERROR(VLOOKUP($A625,[1]库存使用数据!$A:$L,12,0),0)+IFERROR(VLOOKUP($A625,[2]库存使用数据!$A:$L,12,0),0)+IFERROR(VLOOKUP($A625,[3]库存使用数据!$A:$L,12,0),0)+IFERROR(VLOOKUP($A625,[4]库存使用数据!$A:$L,12,0),0)+IFERROR(VLOOKUP($A625,[5]库存使用数据!$A:$L,12,0),0)</f>
        <v>2</v>
      </c>
      <c r="M625" s="1">
        <f ca="1">IFERROR(VLOOKUP($A625,[1]库存使用数据!$A:$M,13,0),0)+IFERROR(VLOOKUP($A625,[2]库存使用数据!$A:$M,13,0),0)+公式!$B$14*IFERROR(VLOOKUP($A625,[3]库存使用数据!$A:$M,13,0),0)+IFERROR(VLOOKUP($A625,[4]库存使用数据!$A:$M,13,0),0)+IFERROR(VLOOKUP($A625,[5]库存使用数据!$A:$M,13,0),0)</f>
        <v>0.04</v>
      </c>
    </row>
    <row r="626" spans="1:13">
      <c r="A626" s="6" t="s">
        <v>631</v>
      </c>
      <c r="B626" s="2">
        <f ca="1">IFERROR(VLOOKUP(A626,[1]库存使用数据!$A:$B,2,0),0)+IFERROR(VLOOKUP(A626,[2]库存使用数据!$A:$B,2,0),0)+IFERROR(VLOOKUP(,[3]库存使用数据!$A:$B,2,0),0)+IFERROR(VLOOKUP(A626,[4]库存使用数据!$A:$B,2,0),0)+IFERROR(VLOOKUP(A626,[5]库存使用数据!$A:$B,2,0),0)</f>
        <v>196</v>
      </c>
      <c r="C626" s="1">
        <f ca="1">IFERROR(VLOOKUP($A626,[1]库存使用数据!$A:$C,3,0),0)+IFERROR(VLOOKUP($A626,[2]库存使用数据!$A:$C,3,0),0)+IFERROR(VLOOKUP($A626,[3]库存使用数据!$A:$C,3,0),0)+IFERROR(VLOOKUP($A626,[4]库存使用数据!$A:$C,3,0),0)+IFERROR(VLOOKUP($A626,[5]库存使用数据!$A:$C,3,0),0)</f>
        <v>1</v>
      </c>
      <c r="D626" s="1">
        <f ca="1">IFERROR(VLOOKUP($A626,[1]库存使用数据!$A:$D,4,0),0)+IFERROR(VLOOKUP($A626,[2]库存使用数据!$A:$D,4,0),0)+公式!$B$1*IFERROR(VLOOKUP($A626,[3]库存使用数据!$A:$D,4,0),0)+IFERROR(VLOOKUP($A626,[4]库存使用数据!$A:$D,4,0),0)+IFERROR(VLOOKUP($A626,[5]库存使用数据!$A:$D,4,0),0)</f>
        <v>0.02</v>
      </c>
      <c r="E626" s="1">
        <f ca="1">IFERROR(VLOOKUP($A626,[1]库存使用数据!$A:$E,5,0),0)+IFERROR(VLOOKUP($A626,[2]库存使用数据!$A:$E,5,0),0)+IFERROR(VLOOKUP($A626,[3]库存使用数据!$A:$E,5,0),0)+IFERROR(VLOOKUP($A626,[4]库存使用数据!$A:$E,5,0),0)+IFERROR(VLOOKUP($A626,[5]库存使用数据!$A:$E,5,0),0)</f>
        <v>337</v>
      </c>
      <c r="F626" s="1">
        <f ca="1">IFERROR(VLOOKUP($A626,[1]库存使用数据!$A:$F,6,0),0)+IFERROR(VLOOKUP($A626,[2]库存使用数据!$A:$F,6,0),0)+IFERROR(VLOOKUP($A626,[4]库存使用数据!$A:$F,6,0),0)+IFERROR(VLOOKUP($A626,[3]库存使用数据!$A:$F,6,0),0)+IFERROR(VLOOKUP($A626,[5]库存使用数据!$A:$F,6,0),0)</f>
        <v>0</v>
      </c>
      <c r="G626" s="1">
        <f ca="1">IFERROR(VLOOKUP($A626,[1]库存使用数据!$A:$G,7,0),0)+IFERROR(VLOOKUP($A626,[2]库存使用数据!$A:$G,7,0),0)+公式!$B$14*IFERROR(VLOOKUP($A626,[3]库存使用数据!$A:$G,7,0),0)+IFERROR(VLOOKUP($A626,[4]库存使用数据!$A:$G,7,0),0)+IFERROR(VLOOKUP($A626,[5]库存使用数据!$A:$G,7,0),0)</f>
        <v>0</v>
      </c>
      <c r="H626" s="1">
        <f ca="1">IFERROR(VLOOKUP($A626,[1]库存使用数据!$A:$H,8,0),0)+IFERROR(VLOOKUP($A626,[2]库存使用数据!$A:$H,8,0),0)+IFERROR(VLOOKUP($A626,[3]库存使用数据!$A:$H,8,0),0)+IFERROR(VLOOKUP($A626,[4]库存使用数据!$A:$H,8,0),0)+IFERROR(VLOOKUP($A626,[5]库存使用数据!$A:$H,8,0),0)</f>
        <v>455</v>
      </c>
      <c r="I626" s="1">
        <f ca="1">IFERROR(VLOOKUP($A626,[1]库存使用数据!$A:$I,9,0),0)+IFERROR(VLOOKUP($A626,[2]库存使用数据!$A:$I,9,0),0)+IFERROR(VLOOKUP($A626,[3]库存使用数据!$A:$I,9,0),0)+IFERROR(VLOOKUP($A626,[4]库存使用数据!$A:$I,9,0),0)+IFERROR(VLOOKUP($A626,[5]库存使用数据!$A:$I,9,0),0)</f>
        <v>3</v>
      </c>
      <c r="J626" s="1">
        <f ca="1">IFERROR(VLOOKUP($A626,[1]库存使用数据!$A:$J,10,0),0)+IFERROR(VLOOKUP($A626,[2]库存使用数据!$A:$J,10,0),0)+公式!$B$14*IFERROR(VLOOKUP($A626,[3]库存使用数据!$A:$J,10,0),0)+IFERROR(VLOOKUP($A626,[4]库存使用数据!$A:$J,10,0),0)+IFERROR(VLOOKUP($A626,[5]库存使用数据!$A:$J,10,0),0)</f>
        <v>0.06</v>
      </c>
      <c r="K626" s="1">
        <f ca="1">IFERROR(VLOOKUP($A626,[1]库存使用数据!$A:$K,11,0),0)+IFERROR(VLOOKUP($A626,[2]库存使用数据!$A:$K,11,0),0)+IFERROR(VLOOKUP($A626,[3]库存使用数据!$A:$K,11,0),0)+IFERROR(VLOOKUP($A626,[4]库存使用数据!$A:$K,11,0),0)+IFERROR(VLOOKUP($A626,[5]库存使用数据!$A:$K,11,0),0)</f>
        <v>277</v>
      </c>
      <c r="L626" s="1">
        <f ca="1">IFERROR(VLOOKUP($A626,[1]库存使用数据!$A:$L,12,0),0)+IFERROR(VLOOKUP($A626,[2]库存使用数据!$A:$L,12,0),0)+IFERROR(VLOOKUP($A626,[3]库存使用数据!$A:$L,12,0),0)+IFERROR(VLOOKUP($A626,[4]库存使用数据!$A:$L,12,0),0)+IFERROR(VLOOKUP($A626,[5]库存使用数据!$A:$L,12,0),0)</f>
        <v>2</v>
      </c>
      <c r="M626" s="1">
        <f ca="1">IFERROR(VLOOKUP($A626,[1]库存使用数据!$A:$M,13,0),0)+IFERROR(VLOOKUP($A626,[2]库存使用数据!$A:$M,13,0),0)+公式!$B$14*IFERROR(VLOOKUP($A626,[3]库存使用数据!$A:$M,13,0),0)+IFERROR(VLOOKUP($A626,[4]库存使用数据!$A:$M,13,0),0)+IFERROR(VLOOKUP($A626,[5]库存使用数据!$A:$M,13,0),0)</f>
        <v>0.04</v>
      </c>
    </row>
    <row r="627" spans="1:13">
      <c r="A627" s="6" t="s">
        <v>632</v>
      </c>
      <c r="B627" s="2">
        <f ca="1">IFERROR(VLOOKUP(A627,[1]库存使用数据!$A:$B,2,0),0)+IFERROR(VLOOKUP(A627,[2]库存使用数据!$A:$B,2,0),0)+IFERROR(VLOOKUP(,[3]库存使用数据!$A:$B,2,0),0)+IFERROR(VLOOKUP(A627,[4]库存使用数据!$A:$B,2,0),0)+IFERROR(VLOOKUP(A627,[5]库存使用数据!$A:$B,2,0),0)</f>
        <v>58</v>
      </c>
      <c r="C627" s="1">
        <f ca="1">IFERROR(VLOOKUP($A627,[1]库存使用数据!$A:$C,3,0),0)+IFERROR(VLOOKUP($A627,[2]库存使用数据!$A:$C,3,0),0)+IFERROR(VLOOKUP($A627,[3]库存使用数据!$A:$C,3,0),0)+IFERROR(VLOOKUP($A627,[4]库存使用数据!$A:$C,3,0),0)+IFERROR(VLOOKUP($A627,[5]库存使用数据!$A:$C,3,0),0)</f>
        <v>0</v>
      </c>
      <c r="D627" s="1">
        <f ca="1">IFERROR(VLOOKUP($A627,[1]库存使用数据!$A:$D,4,0),0)+IFERROR(VLOOKUP($A627,[2]库存使用数据!$A:$D,4,0),0)+公式!$B$1*IFERROR(VLOOKUP($A627,[3]库存使用数据!$A:$D,4,0),0)+IFERROR(VLOOKUP($A627,[4]库存使用数据!$A:$D,4,0),0)+IFERROR(VLOOKUP($A627,[5]库存使用数据!$A:$D,4,0),0)</f>
        <v>0</v>
      </c>
      <c r="E627" s="1">
        <f ca="1">IFERROR(VLOOKUP($A627,[1]库存使用数据!$A:$E,5,0),0)+IFERROR(VLOOKUP($A627,[2]库存使用数据!$A:$E,5,0),0)+IFERROR(VLOOKUP($A627,[3]库存使用数据!$A:$E,5,0),0)+IFERROR(VLOOKUP($A627,[4]库存使用数据!$A:$E,5,0),0)+IFERROR(VLOOKUP($A627,[5]库存使用数据!$A:$E,5,0),0)</f>
        <v>65</v>
      </c>
      <c r="F627" s="1">
        <f ca="1">IFERROR(VLOOKUP($A627,[1]库存使用数据!$A:$F,6,0),0)+IFERROR(VLOOKUP($A627,[2]库存使用数据!$A:$F,6,0),0)+IFERROR(VLOOKUP($A627,[4]库存使用数据!$A:$F,6,0),0)+IFERROR(VLOOKUP($A627,[3]库存使用数据!$A:$F,6,0),0)+IFERROR(VLOOKUP($A627,[5]库存使用数据!$A:$F,6,0),0)</f>
        <v>0</v>
      </c>
      <c r="G627" s="1">
        <f ca="1">IFERROR(VLOOKUP($A627,[1]库存使用数据!$A:$G,7,0),0)+IFERROR(VLOOKUP($A627,[2]库存使用数据!$A:$G,7,0),0)+公式!$B$14*IFERROR(VLOOKUP($A627,[3]库存使用数据!$A:$G,7,0),0)+IFERROR(VLOOKUP($A627,[4]库存使用数据!$A:$G,7,0),0)+IFERROR(VLOOKUP($A627,[5]库存使用数据!$A:$G,7,0),0)</f>
        <v>0</v>
      </c>
      <c r="H627" s="1">
        <f ca="1">IFERROR(VLOOKUP($A627,[1]库存使用数据!$A:$H,8,0),0)+IFERROR(VLOOKUP($A627,[2]库存使用数据!$A:$H,8,0),0)+IFERROR(VLOOKUP($A627,[3]库存使用数据!$A:$H,8,0),0)+IFERROR(VLOOKUP($A627,[4]库存使用数据!$A:$H,8,0),0)+IFERROR(VLOOKUP($A627,[5]库存使用数据!$A:$H,8,0),0)</f>
        <v>165</v>
      </c>
      <c r="I627" s="1">
        <f ca="1">IFERROR(VLOOKUP($A627,[1]库存使用数据!$A:$I,9,0),0)+IFERROR(VLOOKUP($A627,[2]库存使用数据!$A:$I,9,0),0)+IFERROR(VLOOKUP($A627,[3]库存使用数据!$A:$I,9,0),0)+IFERROR(VLOOKUP($A627,[4]库存使用数据!$A:$I,9,0),0)+IFERROR(VLOOKUP($A627,[5]库存使用数据!$A:$I,9,0),0)</f>
        <v>0</v>
      </c>
      <c r="J627" s="1">
        <f ca="1">IFERROR(VLOOKUP($A627,[1]库存使用数据!$A:$J,10,0),0)+IFERROR(VLOOKUP($A627,[2]库存使用数据!$A:$J,10,0),0)+公式!$B$14*IFERROR(VLOOKUP($A627,[3]库存使用数据!$A:$J,10,0),0)+IFERROR(VLOOKUP($A627,[4]库存使用数据!$A:$J,10,0),0)+IFERROR(VLOOKUP($A627,[5]库存使用数据!$A:$J,10,0),0)</f>
        <v>0</v>
      </c>
      <c r="K627" s="1">
        <f ca="1">IFERROR(VLOOKUP($A627,[1]库存使用数据!$A:$K,11,0),0)+IFERROR(VLOOKUP($A627,[2]库存使用数据!$A:$K,11,0),0)+IFERROR(VLOOKUP($A627,[3]库存使用数据!$A:$K,11,0),0)+IFERROR(VLOOKUP($A627,[4]库存使用数据!$A:$K,11,0),0)+IFERROR(VLOOKUP($A627,[5]库存使用数据!$A:$K,11,0),0)</f>
        <v>235</v>
      </c>
      <c r="L627" s="1">
        <f ca="1">IFERROR(VLOOKUP($A627,[1]库存使用数据!$A:$L,12,0),0)+IFERROR(VLOOKUP($A627,[2]库存使用数据!$A:$L,12,0),0)+IFERROR(VLOOKUP($A627,[3]库存使用数据!$A:$L,12,0),0)+IFERROR(VLOOKUP($A627,[4]库存使用数据!$A:$L,12,0),0)+IFERROR(VLOOKUP($A627,[5]库存使用数据!$A:$L,12,0),0)</f>
        <v>0</v>
      </c>
      <c r="M627" s="1">
        <f ca="1">IFERROR(VLOOKUP($A627,[1]库存使用数据!$A:$M,13,0),0)+IFERROR(VLOOKUP($A627,[2]库存使用数据!$A:$M,13,0),0)+公式!$B$14*IFERROR(VLOOKUP($A627,[3]库存使用数据!$A:$M,13,0),0)+IFERROR(VLOOKUP($A627,[4]库存使用数据!$A:$M,13,0),0)+IFERROR(VLOOKUP($A627,[5]库存使用数据!$A:$M,13,0),0)</f>
        <v>0</v>
      </c>
    </row>
    <row r="628" spans="1:13">
      <c r="A628" s="6" t="s">
        <v>633</v>
      </c>
      <c r="B628" s="2">
        <f ca="1">IFERROR(VLOOKUP(A628,[1]库存使用数据!$A:$B,2,0),0)+IFERROR(VLOOKUP(A628,[2]库存使用数据!$A:$B,2,0),0)+IFERROR(VLOOKUP(,[3]库存使用数据!$A:$B,2,0),0)+IFERROR(VLOOKUP(A628,[4]库存使用数据!$A:$B,2,0),0)+IFERROR(VLOOKUP(A628,[5]库存使用数据!$A:$B,2,0),0)</f>
        <v>95</v>
      </c>
      <c r="C628" s="1">
        <f ca="1">IFERROR(VLOOKUP($A628,[1]库存使用数据!$A:$C,3,0),0)+IFERROR(VLOOKUP($A628,[2]库存使用数据!$A:$C,3,0),0)+IFERROR(VLOOKUP($A628,[3]库存使用数据!$A:$C,3,0),0)+IFERROR(VLOOKUP($A628,[4]库存使用数据!$A:$C,3,0),0)+IFERROR(VLOOKUP($A628,[5]库存使用数据!$A:$C,3,0),0)</f>
        <v>0</v>
      </c>
      <c r="D628" s="1">
        <f ca="1">IFERROR(VLOOKUP($A628,[1]库存使用数据!$A:$D,4,0),0)+IFERROR(VLOOKUP($A628,[2]库存使用数据!$A:$D,4,0),0)+公式!$B$1*IFERROR(VLOOKUP($A628,[3]库存使用数据!$A:$D,4,0),0)+IFERROR(VLOOKUP($A628,[4]库存使用数据!$A:$D,4,0),0)+IFERROR(VLOOKUP($A628,[5]库存使用数据!$A:$D,4,0),0)</f>
        <v>0</v>
      </c>
      <c r="E628" s="1">
        <f ca="1">IFERROR(VLOOKUP($A628,[1]库存使用数据!$A:$E,5,0),0)+IFERROR(VLOOKUP($A628,[2]库存使用数据!$A:$E,5,0),0)+IFERROR(VLOOKUP($A628,[3]库存使用数据!$A:$E,5,0),0)+IFERROR(VLOOKUP($A628,[4]库存使用数据!$A:$E,5,0),0)+IFERROR(VLOOKUP($A628,[5]库存使用数据!$A:$E,5,0),0)</f>
        <v>118</v>
      </c>
      <c r="F628" s="1">
        <f ca="1">IFERROR(VLOOKUP($A628,[1]库存使用数据!$A:$F,6,0),0)+IFERROR(VLOOKUP($A628,[2]库存使用数据!$A:$F,6,0),0)+IFERROR(VLOOKUP($A628,[4]库存使用数据!$A:$F,6,0),0)+IFERROR(VLOOKUP($A628,[3]库存使用数据!$A:$F,6,0),0)+IFERROR(VLOOKUP($A628,[5]库存使用数据!$A:$F,6,0),0)</f>
        <v>1</v>
      </c>
      <c r="G628" s="1">
        <f ca="1">IFERROR(VLOOKUP($A628,[1]库存使用数据!$A:$G,7,0),0)+IFERROR(VLOOKUP($A628,[2]库存使用数据!$A:$G,7,0),0)+公式!$B$14*IFERROR(VLOOKUP($A628,[3]库存使用数据!$A:$G,7,0),0)+IFERROR(VLOOKUP($A628,[4]库存使用数据!$A:$G,7,0),0)+IFERROR(VLOOKUP($A628,[5]库存使用数据!$A:$G,7,0),0)</f>
        <v>0.02</v>
      </c>
      <c r="H628" s="1">
        <f ca="1">IFERROR(VLOOKUP($A628,[1]库存使用数据!$A:$H,8,0),0)+IFERROR(VLOOKUP($A628,[2]库存使用数据!$A:$H,8,0),0)+IFERROR(VLOOKUP($A628,[3]库存使用数据!$A:$H,8,0),0)+IFERROR(VLOOKUP($A628,[4]库存使用数据!$A:$H,8,0),0)+IFERROR(VLOOKUP($A628,[5]库存使用数据!$A:$H,8,0),0)</f>
        <v>156</v>
      </c>
      <c r="I628" s="1">
        <f ca="1">IFERROR(VLOOKUP($A628,[1]库存使用数据!$A:$I,9,0),0)+IFERROR(VLOOKUP($A628,[2]库存使用数据!$A:$I,9,0),0)+IFERROR(VLOOKUP($A628,[3]库存使用数据!$A:$I,9,0),0)+IFERROR(VLOOKUP($A628,[4]库存使用数据!$A:$I,9,0),0)+IFERROR(VLOOKUP($A628,[5]库存使用数据!$A:$I,9,0),0)</f>
        <v>1</v>
      </c>
      <c r="J628" s="1">
        <f ca="1">IFERROR(VLOOKUP($A628,[1]库存使用数据!$A:$J,10,0),0)+IFERROR(VLOOKUP($A628,[2]库存使用数据!$A:$J,10,0),0)+公式!$B$14*IFERROR(VLOOKUP($A628,[3]库存使用数据!$A:$J,10,0),0)+IFERROR(VLOOKUP($A628,[4]库存使用数据!$A:$J,10,0),0)+IFERROR(VLOOKUP($A628,[5]库存使用数据!$A:$J,10,0),0)</f>
        <v>0.02</v>
      </c>
      <c r="K628" s="1">
        <f ca="1">IFERROR(VLOOKUP($A628,[1]库存使用数据!$A:$K,11,0),0)+IFERROR(VLOOKUP($A628,[2]库存使用数据!$A:$K,11,0),0)+IFERROR(VLOOKUP($A628,[3]库存使用数据!$A:$K,11,0),0)+IFERROR(VLOOKUP($A628,[4]库存使用数据!$A:$K,11,0),0)+IFERROR(VLOOKUP($A628,[5]库存使用数据!$A:$K,11,0),0)</f>
        <v>343</v>
      </c>
      <c r="L628" s="1">
        <f ca="1">IFERROR(VLOOKUP($A628,[1]库存使用数据!$A:$L,12,0),0)+IFERROR(VLOOKUP($A628,[2]库存使用数据!$A:$L,12,0),0)+IFERROR(VLOOKUP($A628,[3]库存使用数据!$A:$L,12,0),0)+IFERROR(VLOOKUP($A628,[4]库存使用数据!$A:$L,12,0),0)+IFERROR(VLOOKUP($A628,[5]库存使用数据!$A:$L,12,0),0)</f>
        <v>1</v>
      </c>
      <c r="M628" s="1">
        <f ca="1">IFERROR(VLOOKUP($A628,[1]库存使用数据!$A:$M,13,0),0)+IFERROR(VLOOKUP($A628,[2]库存使用数据!$A:$M,13,0),0)+公式!$B$14*IFERROR(VLOOKUP($A628,[3]库存使用数据!$A:$M,13,0),0)+IFERROR(VLOOKUP($A628,[4]库存使用数据!$A:$M,13,0),0)+IFERROR(VLOOKUP($A628,[5]库存使用数据!$A:$M,13,0),0)</f>
        <v>0.02</v>
      </c>
    </row>
    <row r="629" spans="1:13">
      <c r="A629" s="6" t="s">
        <v>634</v>
      </c>
      <c r="B629" s="2">
        <f ca="1">IFERROR(VLOOKUP(A629,[1]库存使用数据!$A:$B,2,0),0)+IFERROR(VLOOKUP(A629,[2]库存使用数据!$A:$B,2,0),0)+IFERROR(VLOOKUP(,[3]库存使用数据!$A:$B,2,0),0)+IFERROR(VLOOKUP(A629,[4]库存使用数据!$A:$B,2,0),0)+IFERROR(VLOOKUP(A629,[5]库存使用数据!$A:$B,2,0),0)</f>
        <v>128</v>
      </c>
      <c r="C629" s="1">
        <f ca="1">IFERROR(VLOOKUP($A629,[1]库存使用数据!$A:$C,3,0),0)+IFERROR(VLOOKUP($A629,[2]库存使用数据!$A:$C,3,0),0)+IFERROR(VLOOKUP($A629,[3]库存使用数据!$A:$C,3,0),0)+IFERROR(VLOOKUP($A629,[4]库存使用数据!$A:$C,3,0),0)+IFERROR(VLOOKUP($A629,[5]库存使用数据!$A:$C,3,0),0)</f>
        <v>4</v>
      </c>
      <c r="D629" s="1">
        <f ca="1">IFERROR(VLOOKUP($A629,[1]库存使用数据!$A:$D,4,0),0)+IFERROR(VLOOKUP($A629,[2]库存使用数据!$A:$D,4,0),0)+公式!$B$1*IFERROR(VLOOKUP($A629,[3]库存使用数据!$A:$D,4,0),0)+IFERROR(VLOOKUP($A629,[4]库存使用数据!$A:$D,4,0),0)+IFERROR(VLOOKUP($A629,[5]库存使用数据!$A:$D,4,0),0)</f>
        <v>0.08</v>
      </c>
      <c r="E629" s="1">
        <f ca="1">IFERROR(VLOOKUP($A629,[1]库存使用数据!$A:$E,5,0),0)+IFERROR(VLOOKUP($A629,[2]库存使用数据!$A:$E,5,0),0)+IFERROR(VLOOKUP($A629,[3]库存使用数据!$A:$E,5,0),0)+IFERROR(VLOOKUP($A629,[4]库存使用数据!$A:$E,5,0),0)+IFERROR(VLOOKUP($A629,[5]库存使用数据!$A:$E,5,0),0)</f>
        <v>250</v>
      </c>
      <c r="F629" s="1">
        <f ca="1">IFERROR(VLOOKUP($A629,[1]库存使用数据!$A:$F,6,0),0)+IFERROR(VLOOKUP($A629,[2]库存使用数据!$A:$F,6,0),0)+IFERROR(VLOOKUP($A629,[4]库存使用数据!$A:$F,6,0),0)+IFERROR(VLOOKUP($A629,[3]库存使用数据!$A:$F,6,0),0)+IFERROR(VLOOKUP($A629,[5]库存使用数据!$A:$F,6,0),0)</f>
        <v>4</v>
      </c>
      <c r="G629" s="1">
        <f ca="1">IFERROR(VLOOKUP($A629,[1]库存使用数据!$A:$G,7,0),0)+IFERROR(VLOOKUP($A629,[2]库存使用数据!$A:$G,7,0),0)+公式!$B$14*IFERROR(VLOOKUP($A629,[3]库存使用数据!$A:$G,7,0),0)+IFERROR(VLOOKUP($A629,[4]库存使用数据!$A:$G,7,0),0)+IFERROR(VLOOKUP($A629,[5]库存使用数据!$A:$G,7,0),0)</f>
        <v>0.08</v>
      </c>
      <c r="H629" s="1">
        <f ca="1">IFERROR(VLOOKUP($A629,[1]库存使用数据!$A:$H,8,0),0)+IFERROR(VLOOKUP($A629,[2]库存使用数据!$A:$H,8,0),0)+IFERROR(VLOOKUP($A629,[3]库存使用数据!$A:$H,8,0),0)+IFERROR(VLOOKUP($A629,[4]库存使用数据!$A:$H,8,0),0)+IFERROR(VLOOKUP($A629,[5]库存使用数据!$A:$H,8,0),0)</f>
        <v>166</v>
      </c>
      <c r="I629" s="1">
        <f ca="1">IFERROR(VLOOKUP($A629,[1]库存使用数据!$A:$I,9,0),0)+IFERROR(VLOOKUP($A629,[2]库存使用数据!$A:$I,9,0),0)+IFERROR(VLOOKUP($A629,[3]库存使用数据!$A:$I,9,0),0)+IFERROR(VLOOKUP($A629,[4]库存使用数据!$A:$I,9,0),0)+IFERROR(VLOOKUP($A629,[5]库存使用数据!$A:$I,9,0),0)</f>
        <v>2</v>
      </c>
      <c r="J629" s="1">
        <f ca="1">IFERROR(VLOOKUP($A629,[1]库存使用数据!$A:$J,10,0),0)+IFERROR(VLOOKUP($A629,[2]库存使用数据!$A:$J,10,0),0)+公式!$B$14*IFERROR(VLOOKUP($A629,[3]库存使用数据!$A:$J,10,0),0)+IFERROR(VLOOKUP($A629,[4]库存使用数据!$A:$J,10,0),0)+IFERROR(VLOOKUP($A629,[5]库存使用数据!$A:$J,10,0),0)</f>
        <v>0.04</v>
      </c>
      <c r="K629" s="1">
        <f ca="1">IFERROR(VLOOKUP($A629,[1]库存使用数据!$A:$K,11,0),0)+IFERROR(VLOOKUP($A629,[2]库存使用数据!$A:$K,11,0),0)+IFERROR(VLOOKUP($A629,[3]库存使用数据!$A:$K,11,0),0)+IFERROR(VLOOKUP($A629,[4]库存使用数据!$A:$K,11,0),0)+IFERROR(VLOOKUP($A629,[5]库存使用数据!$A:$K,11,0),0)</f>
        <v>138</v>
      </c>
      <c r="L629" s="1">
        <f ca="1">IFERROR(VLOOKUP($A629,[1]库存使用数据!$A:$L,12,0),0)+IFERROR(VLOOKUP($A629,[2]库存使用数据!$A:$L,12,0),0)+IFERROR(VLOOKUP($A629,[3]库存使用数据!$A:$L,12,0),0)+IFERROR(VLOOKUP($A629,[4]库存使用数据!$A:$L,12,0),0)+IFERROR(VLOOKUP($A629,[5]库存使用数据!$A:$L,12,0),0)</f>
        <v>3</v>
      </c>
      <c r="M629" s="1">
        <f ca="1">IFERROR(VLOOKUP($A629,[1]库存使用数据!$A:$M,13,0),0)+IFERROR(VLOOKUP($A629,[2]库存使用数据!$A:$M,13,0),0)+公式!$B$14*IFERROR(VLOOKUP($A629,[3]库存使用数据!$A:$M,13,0),0)+IFERROR(VLOOKUP($A629,[4]库存使用数据!$A:$M,13,0),0)+IFERROR(VLOOKUP($A629,[5]库存使用数据!$A:$M,13,0),0)</f>
        <v>0.06</v>
      </c>
    </row>
    <row r="630" spans="1:13">
      <c r="A630" s="6" t="s">
        <v>635</v>
      </c>
      <c r="B630" s="2">
        <f ca="1">IFERROR(VLOOKUP(A630,[1]库存使用数据!$A:$B,2,0),0)+IFERROR(VLOOKUP(A630,[2]库存使用数据!$A:$B,2,0),0)+IFERROR(VLOOKUP(,[3]库存使用数据!$A:$B,2,0),0)+IFERROR(VLOOKUP(A630,[4]库存使用数据!$A:$B,2,0),0)+IFERROR(VLOOKUP(A630,[5]库存使用数据!$A:$B,2,0),0)</f>
        <v>24</v>
      </c>
      <c r="C630" s="1">
        <f ca="1">IFERROR(VLOOKUP($A630,[1]库存使用数据!$A:$C,3,0),0)+IFERROR(VLOOKUP($A630,[2]库存使用数据!$A:$C,3,0),0)+IFERROR(VLOOKUP($A630,[3]库存使用数据!$A:$C,3,0),0)+IFERROR(VLOOKUP($A630,[4]库存使用数据!$A:$C,3,0),0)+IFERROR(VLOOKUP($A630,[5]库存使用数据!$A:$C,3,0),0)</f>
        <v>0</v>
      </c>
      <c r="D630" s="1">
        <f ca="1">IFERROR(VLOOKUP($A630,[1]库存使用数据!$A:$D,4,0),0)+IFERROR(VLOOKUP($A630,[2]库存使用数据!$A:$D,4,0),0)+公式!$B$1*IFERROR(VLOOKUP($A630,[3]库存使用数据!$A:$D,4,0),0)+IFERROR(VLOOKUP($A630,[4]库存使用数据!$A:$D,4,0),0)+IFERROR(VLOOKUP($A630,[5]库存使用数据!$A:$D,4,0),0)</f>
        <v>0</v>
      </c>
      <c r="E630" s="1">
        <f ca="1">IFERROR(VLOOKUP($A630,[1]库存使用数据!$A:$E,5,0),0)+IFERROR(VLOOKUP($A630,[2]库存使用数据!$A:$E,5,0),0)+IFERROR(VLOOKUP($A630,[3]库存使用数据!$A:$E,5,0),0)+IFERROR(VLOOKUP($A630,[4]库存使用数据!$A:$E,5,0),0)+IFERROR(VLOOKUP($A630,[5]库存使用数据!$A:$E,5,0),0)</f>
        <v>25</v>
      </c>
      <c r="F630" s="1">
        <f ca="1">IFERROR(VLOOKUP($A630,[1]库存使用数据!$A:$F,6,0),0)+IFERROR(VLOOKUP($A630,[2]库存使用数据!$A:$F,6,0),0)+IFERROR(VLOOKUP($A630,[4]库存使用数据!$A:$F,6,0),0)+IFERROR(VLOOKUP($A630,[3]库存使用数据!$A:$F,6,0),0)+IFERROR(VLOOKUP($A630,[5]库存使用数据!$A:$F,6,0),0)</f>
        <v>0</v>
      </c>
      <c r="G630" s="1">
        <f ca="1">IFERROR(VLOOKUP($A630,[1]库存使用数据!$A:$G,7,0),0)+IFERROR(VLOOKUP($A630,[2]库存使用数据!$A:$G,7,0),0)+公式!$B$14*IFERROR(VLOOKUP($A630,[3]库存使用数据!$A:$G,7,0),0)+IFERROR(VLOOKUP($A630,[4]库存使用数据!$A:$G,7,0),0)+IFERROR(VLOOKUP($A630,[5]库存使用数据!$A:$G,7,0),0)</f>
        <v>0</v>
      </c>
      <c r="H630" s="1">
        <f ca="1">IFERROR(VLOOKUP($A630,[1]库存使用数据!$A:$H,8,0),0)+IFERROR(VLOOKUP($A630,[2]库存使用数据!$A:$H,8,0),0)+IFERROR(VLOOKUP($A630,[3]库存使用数据!$A:$H,8,0),0)+IFERROR(VLOOKUP($A630,[4]库存使用数据!$A:$H,8,0),0)+IFERROR(VLOOKUP($A630,[5]库存使用数据!$A:$H,8,0),0)</f>
        <v>48</v>
      </c>
      <c r="I630" s="1">
        <f ca="1">IFERROR(VLOOKUP($A630,[1]库存使用数据!$A:$I,9,0),0)+IFERROR(VLOOKUP($A630,[2]库存使用数据!$A:$I,9,0),0)+IFERROR(VLOOKUP($A630,[3]库存使用数据!$A:$I,9,0),0)+IFERROR(VLOOKUP($A630,[4]库存使用数据!$A:$I,9,0),0)+IFERROR(VLOOKUP($A630,[5]库存使用数据!$A:$I,9,0),0)</f>
        <v>0</v>
      </c>
      <c r="J630" s="1">
        <f ca="1">IFERROR(VLOOKUP($A630,[1]库存使用数据!$A:$J,10,0),0)+IFERROR(VLOOKUP($A630,[2]库存使用数据!$A:$J,10,0),0)+公式!$B$14*IFERROR(VLOOKUP($A630,[3]库存使用数据!$A:$J,10,0),0)+IFERROR(VLOOKUP($A630,[4]库存使用数据!$A:$J,10,0),0)+IFERROR(VLOOKUP($A630,[5]库存使用数据!$A:$J,10,0),0)</f>
        <v>0</v>
      </c>
      <c r="K630" s="1">
        <f ca="1">IFERROR(VLOOKUP($A630,[1]库存使用数据!$A:$K,11,0),0)+IFERROR(VLOOKUP($A630,[2]库存使用数据!$A:$K,11,0),0)+IFERROR(VLOOKUP($A630,[3]库存使用数据!$A:$K,11,0),0)+IFERROR(VLOOKUP($A630,[4]库存使用数据!$A:$K,11,0),0)+IFERROR(VLOOKUP($A630,[5]库存使用数据!$A:$K,11,0),0)</f>
        <v>58</v>
      </c>
      <c r="L630" s="1">
        <f ca="1">IFERROR(VLOOKUP($A630,[1]库存使用数据!$A:$L,12,0),0)+IFERROR(VLOOKUP($A630,[2]库存使用数据!$A:$L,12,0),0)+IFERROR(VLOOKUP($A630,[3]库存使用数据!$A:$L,12,0),0)+IFERROR(VLOOKUP($A630,[4]库存使用数据!$A:$L,12,0),0)+IFERROR(VLOOKUP($A630,[5]库存使用数据!$A:$L,12,0),0)</f>
        <v>0</v>
      </c>
      <c r="M630" s="1">
        <f ca="1">IFERROR(VLOOKUP($A630,[1]库存使用数据!$A:$M,13,0),0)+IFERROR(VLOOKUP($A630,[2]库存使用数据!$A:$M,13,0),0)+公式!$B$14*IFERROR(VLOOKUP($A630,[3]库存使用数据!$A:$M,13,0),0)+IFERROR(VLOOKUP($A630,[4]库存使用数据!$A:$M,13,0),0)+IFERROR(VLOOKUP($A630,[5]库存使用数据!$A:$M,13,0),0)</f>
        <v>0</v>
      </c>
    </row>
    <row r="631" spans="1:13">
      <c r="A631" s="6" t="s">
        <v>636</v>
      </c>
      <c r="B631" s="2">
        <f ca="1">IFERROR(VLOOKUP(A631,[1]库存使用数据!$A:$B,2,0),0)+IFERROR(VLOOKUP(A631,[2]库存使用数据!$A:$B,2,0),0)+IFERROR(VLOOKUP(,[3]库存使用数据!$A:$B,2,0),0)+IFERROR(VLOOKUP(A631,[4]库存使用数据!$A:$B,2,0),0)+IFERROR(VLOOKUP(A631,[5]库存使用数据!$A:$B,2,0),0)</f>
        <v>14</v>
      </c>
      <c r="C631" s="1">
        <f ca="1">IFERROR(VLOOKUP($A631,[1]库存使用数据!$A:$C,3,0),0)+IFERROR(VLOOKUP($A631,[2]库存使用数据!$A:$C,3,0),0)+IFERROR(VLOOKUP($A631,[3]库存使用数据!$A:$C,3,0),0)+IFERROR(VLOOKUP($A631,[4]库存使用数据!$A:$C,3,0),0)+IFERROR(VLOOKUP($A631,[5]库存使用数据!$A:$C,3,0),0)</f>
        <v>0</v>
      </c>
      <c r="D631" s="1">
        <f ca="1">IFERROR(VLOOKUP($A631,[1]库存使用数据!$A:$D,4,0),0)+IFERROR(VLOOKUP($A631,[2]库存使用数据!$A:$D,4,0),0)+公式!$B$1*IFERROR(VLOOKUP($A631,[3]库存使用数据!$A:$D,4,0),0)+IFERROR(VLOOKUP($A631,[4]库存使用数据!$A:$D,4,0),0)+IFERROR(VLOOKUP($A631,[5]库存使用数据!$A:$D,4,0),0)</f>
        <v>0</v>
      </c>
      <c r="E631" s="1">
        <f ca="1">IFERROR(VLOOKUP($A631,[1]库存使用数据!$A:$E,5,0),0)+IFERROR(VLOOKUP($A631,[2]库存使用数据!$A:$E,5,0),0)+IFERROR(VLOOKUP($A631,[3]库存使用数据!$A:$E,5,0),0)+IFERROR(VLOOKUP($A631,[4]库存使用数据!$A:$E,5,0),0)+IFERROR(VLOOKUP($A631,[5]库存使用数据!$A:$E,5,0),0)</f>
        <v>13</v>
      </c>
      <c r="F631" s="1">
        <f ca="1">IFERROR(VLOOKUP($A631,[1]库存使用数据!$A:$F,6,0),0)+IFERROR(VLOOKUP($A631,[2]库存使用数据!$A:$F,6,0),0)+IFERROR(VLOOKUP($A631,[4]库存使用数据!$A:$F,6,0),0)+IFERROR(VLOOKUP($A631,[3]库存使用数据!$A:$F,6,0),0)+IFERROR(VLOOKUP($A631,[5]库存使用数据!$A:$F,6,0),0)</f>
        <v>0</v>
      </c>
      <c r="G631" s="1">
        <f ca="1">IFERROR(VLOOKUP($A631,[1]库存使用数据!$A:$G,7,0),0)+IFERROR(VLOOKUP($A631,[2]库存使用数据!$A:$G,7,0),0)+公式!$B$14*IFERROR(VLOOKUP($A631,[3]库存使用数据!$A:$G,7,0),0)+IFERROR(VLOOKUP($A631,[4]库存使用数据!$A:$G,7,0),0)+IFERROR(VLOOKUP($A631,[5]库存使用数据!$A:$G,7,0),0)</f>
        <v>0</v>
      </c>
      <c r="H631" s="1">
        <f ca="1">IFERROR(VLOOKUP($A631,[1]库存使用数据!$A:$H,8,0),0)+IFERROR(VLOOKUP($A631,[2]库存使用数据!$A:$H,8,0),0)+IFERROR(VLOOKUP($A631,[3]库存使用数据!$A:$H,8,0),0)+IFERROR(VLOOKUP($A631,[4]库存使用数据!$A:$H,8,0),0)+IFERROR(VLOOKUP($A631,[5]库存使用数据!$A:$H,8,0),0)</f>
        <v>24</v>
      </c>
      <c r="I631" s="1">
        <f ca="1">IFERROR(VLOOKUP($A631,[1]库存使用数据!$A:$I,9,0),0)+IFERROR(VLOOKUP($A631,[2]库存使用数据!$A:$I,9,0),0)+IFERROR(VLOOKUP($A631,[3]库存使用数据!$A:$I,9,0),0)+IFERROR(VLOOKUP($A631,[4]库存使用数据!$A:$I,9,0),0)+IFERROR(VLOOKUP($A631,[5]库存使用数据!$A:$I,9,0),0)</f>
        <v>0</v>
      </c>
      <c r="J631" s="1">
        <f ca="1">IFERROR(VLOOKUP($A631,[1]库存使用数据!$A:$J,10,0),0)+IFERROR(VLOOKUP($A631,[2]库存使用数据!$A:$J,10,0),0)+公式!$B$14*IFERROR(VLOOKUP($A631,[3]库存使用数据!$A:$J,10,0),0)+IFERROR(VLOOKUP($A631,[4]库存使用数据!$A:$J,10,0),0)+IFERROR(VLOOKUP($A631,[5]库存使用数据!$A:$J,10,0),0)</f>
        <v>0</v>
      </c>
      <c r="K631" s="1">
        <f ca="1">IFERROR(VLOOKUP($A631,[1]库存使用数据!$A:$K,11,0),0)+IFERROR(VLOOKUP($A631,[2]库存使用数据!$A:$K,11,0),0)+IFERROR(VLOOKUP($A631,[3]库存使用数据!$A:$K,11,0),0)+IFERROR(VLOOKUP($A631,[4]库存使用数据!$A:$K,11,0),0)+IFERROR(VLOOKUP($A631,[5]库存使用数据!$A:$K,11,0),0)</f>
        <v>23</v>
      </c>
      <c r="L631" s="1">
        <f ca="1">IFERROR(VLOOKUP($A631,[1]库存使用数据!$A:$L,12,0),0)+IFERROR(VLOOKUP($A631,[2]库存使用数据!$A:$L,12,0),0)+IFERROR(VLOOKUP($A631,[3]库存使用数据!$A:$L,12,0),0)+IFERROR(VLOOKUP($A631,[4]库存使用数据!$A:$L,12,0),0)+IFERROR(VLOOKUP($A631,[5]库存使用数据!$A:$L,12,0),0)</f>
        <v>0</v>
      </c>
      <c r="M631" s="1">
        <f ca="1">IFERROR(VLOOKUP($A631,[1]库存使用数据!$A:$M,13,0),0)+IFERROR(VLOOKUP($A631,[2]库存使用数据!$A:$M,13,0),0)+公式!$B$14*IFERROR(VLOOKUP($A631,[3]库存使用数据!$A:$M,13,0),0)+IFERROR(VLOOKUP($A631,[4]库存使用数据!$A:$M,13,0),0)+IFERROR(VLOOKUP($A631,[5]库存使用数据!$A:$M,13,0),0)</f>
        <v>0</v>
      </c>
    </row>
    <row r="632" spans="1:13">
      <c r="A632" s="6" t="s">
        <v>637</v>
      </c>
      <c r="B632" s="2">
        <f ca="1">IFERROR(VLOOKUP(A632,[1]库存使用数据!$A:$B,2,0),0)+IFERROR(VLOOKUP(A632,[2]库存使用数据!$A:$B,2,0),0)+IFERROR(VLOOKUP(,[3]库存使用数据!$A:$B,2,0),0)+IFERROR(VLOOKUP(A632,[4]库存使用数据!$A:$B,2,0),0)+IFERROR(VLOOKUP(A632,[5]库存使用数据!$A:$B,2,0),0)</f>
        <v>19</v>
      </c>
      <c r="C632" s="1">
        <f ca="1">IFERROR(VLOOKUP($A632,[1]库存使用数据!$A:$C,3,0),0)+IFERROR(VLOOKUP($A632,[2]库存使用数据!$A:$C,3,0),0)+IFERROR(VLOOKUP($A632,[3]库存使用数据!$A:$C,3,0),0)+IFERROR(VLOOKUP($A632,[4]库存使用数据!$A:$C,3,0),0)+IFERROR(VLOOKUP($A632,[5]库存使用数据!$A:$C,3,0),0)</f>
        <v>0</v>
      </c>
      <c r="D632" s="1">
        <f ca="1">IFERROR(VLOOKUP($A632,[1]库存使用数据!$A:$D,4,0),0)+IFERROR(VLOOKUP($A632,[2]库存使用数据!$A:$D,4,0),0)+公式!$B$1*IFERROR(VLOOKUP($A632,[3]库存使用数据!$A:$D,4,0),0)+IFERROR(VLOOKUP($A632,[4]库存使用数据!$A:$D,4,0),0)+IFERROR(VLOOKUP($A632,[5]库存使用数据!$A:$D,4,0),0)</f>
        <v>0</v>
      </c>
      <c r="E632" s="1">
        <f ca="1">IFERROR(VLOOKUP($A632,[1]库存使用数据!$A:$E,5,0),0)+IFERROR(VLOOKUP($A632,[2]库存使用数据!$A:$E,5,0),0)+IFERROR(VLOOKUP($A632,[3]库存使用数据!$A:$E,5,0),0)+IFERROR(VLOOKUP($A632,[4]库存使用数据!$A:$E,5,0),0)+IFERROR(VLOOKUP($A632,[5]库存使用数据!$A:$E,5,0),0)</f>
        <v>23</v>
      </c>
      <c r="F632" s="1">
        <f ca="1">IFERROR(VLOOKUP($A632,[1]库存使用数据!$A:$F,6,0),0)+IFERROR(VLOOKUP($A632,[2]库存使用数据!$A:$F,6,0),0)+IFERROR(VLOOKUP($A632,[4]库存使用数据!$A:$F,6,0),0)+IFERROR(VLOOKUP($A632,[3]库存使用数据!$A:$F,6,0),0)+IFERROR(VLOOKUP($A632,[5]库存使用数据!$A:$F,6,0),0)</f>
        <v>1</v>
      </c>
      <c r="G632" s="1">
        <f ca="1">IFERROR(VLOOKUP($A632,[1]库存使用数据!$A:$G,7,0),0)+IFERROR(VLOOKUP($A632,[2]库存使用数据!$A:$G,7,0),0)+公式!$B$14*IFERROR(VLOOKUP($A632,[3]库存使用数据!$A:$G,7,0),0)+IFERROR(VLOOKUP($A632,[4]库存使用数据!$A:$G,7,0),0)+IFERROR(VLOOKUP($A632,[5]库存使用数据!$A:$G,7,0),0)</f>
        <v>0.02</v>
      </c>
      <c r="H632" s="1">
        <f ca="1">IFERROR(VLOOKUP($A632,[1]库存使用数据!$A:$H,8,0),0)+IFERROR(VLOOKUP($A632,[2]库存使用数据!$A:$H,8,0),0)+IFERROR(VLOOKUP($A632,[3]库存使用数据!$A:$H,8,0),0)+IFERROR(VLOOKUP($A632,[4]库存使用数据!$A:$H,8,0),0)+IFERROR(VLOOKUP($A632,[5]库存使用数据!$A:$H,8,0),0)</f>
        <v>13</v>
      </c>
      <c r="I632" s="1">
        <f ca="1">IFERROR(VLOOKUP($A632,[1]库存使用数据!$A:$I,9,0),0)+IFERROR(VLOOKUP($A632,[2]库存使用数据!$A:$I,9,0),0)+IFERROR(VLOOKUP($A632,[3]库存使用数据!$A:$I,9,0),0)+IFERROR(VLOOKUP($A632,[4]库存使用数据!$A:$I,9,0),0)+IFERROR(VLOOKUP($A632,[5]库存使用数据!$A:$I,9,0),0)</f>
        <v>0</v>
      </c>
      <c r="J632" s="1">
        <f ca="1">IFERROR(VLOOKUP($A632,[1]库存使用数据!$A:$J,10,0),0)+IFERROR(VLOOKUP($A632,[2]库存使用数据!$A:$J,10,0),0)+公式!$B$14*IFERROR(VLOOKUP($A632,[3]库存使用数据!$A:$J,10,0),0)+IFERROR(VLOOKUP($A632,[4]库存使用数据!$A:$J,10,0),0)+IFERROR(VLOOKUP($A632,[5]库存使用数据!$A:$J,10,0),0)</f>
        <v>0</v>
      </c>
      <c r="K632" s="1">
        <f ca="1">IFERROR(VLOOKUP($A632,[1]库存使用数据!$A:$K,11,0),0)+IFERROR(VLOOKUP($A632,[2]库存使用数据!$A:$K,11,0),0)+IFERROR(VLOOKUP($A632,[3]库存使用数据!$A:$K,11,0),0)+IFERROR(VLOOKUP($A632,[4]库存使用数据!$A:$K,11,0),0)+IFERROR(VLOOKUP($A632,[5]库存使用数据!$A:$K,11,0),0)</f>
        <v>8</v>
      </c>
      <c r="L632" s="1">
        <f ca="1">IFERROR(VLOOKUP($A632,[1]库存使用数据!$A:$L,12,0),0)+IFERROR(VLOOKUP($A632,[2]库存使用数据!$A:$L,12,0),0)+IFERROR(VLOOKUP($A632,[3]库存使用数据!$A:$L,12,0),0)+IFERROR(VLOOKUP($A632,[4]库存使用数据!$A:$L,12,0),0)+IFERROR(VLOOKUP($A632,[5]库存使用数据!$A:$L,12,0),0)</f>
        <v>0</v>
      </c>
      <c r="M632" s="1">
        <f ca="1">IFERROR(VLOOKUP($A632,[1]库存使用数据!$A:$M,13,0),0)+IFERROR(VLOOKUP($A632,[2]库存使用数据!$A:$M,13,0),0)+公式!$B$14*IFERROR(VLOOKUP($A632,[3]库存使用数据!$A:$M,13,0),0)+IFERROR(VLOOKUP($A632,[4]库存使用数据!$A:$M,13,0),0)+IFERROR(VLOOKUP($A632,[5]库存使用数据!$A:$M,13,0),0)</f>
        <v>0</v>
      </c>
    </row>
    <row r="633" spans="1:13">
      <c r="A633" s="6" t="s">
        <v>638</v>
      </c>
      <c r="B633" s="2">
        <f ca="1">IFERROR(VLOOKUP(A633,[1]库存使用数据!$A:$B,2,0),0)+IFERROR(VLOOKUP(A633,[2]库存使用数据!$A:$B,2,0),0)+IFERROR(VLOOKUP(,[3]库存使用数据!$A:$B,2,0),0)+IFERROR(VLOOKUP(A633,[4]库存使用数据!$A:$B,2,0),0)+IFERROR(VLOOKUP(A633,[5]库存使用数据!$A:$B,2,0),0)</f>
        <v>12</v>
      </c>
      <c r="C633" s="1">
        <f ca="1">IFERROR(VLOOKUP($A633,[1]库存使用数据!$A:$C,3,0),0)+IFERROR(VLOOKUP($A633,[2]库存使用数据!$A:$C,3,0),0)+IFERROR(VLOOKUP($A633,[3]库存使用数据!$A:$C,3,0),0)+IFERROR(VLOOKUP($A633,[4]库存使用数据!$A:$C,3,0),0)+IFERROR(VLOOKUP($A633,[5]库存使用数据!$A:$C,3,0),0)</f>
        <v>0</v>
      </c>
      <c r="D633" s="1">
        <f ca="1">IFERROR(VLOOKUP($A633,[1]库存使用数据!$A:$D,4,0),0)+IFERROR(VLOOKUP($A633,[2]库存使用数据!$A:$D,4,0),0)+公式!$B$1*IFERROR(VLOOKUP($A633,[3]库存使用数据!$A:$D,4,0),0)+IFERROR(VLOOKUP($A633,[4]库存使用数据!$A:$D,4,0),0)+IFERROR(VLOOKUP($A633,[5]库存使用数据!$A:$D,4,0),0)</f>
        <v>0</v>
      </c>
      <c r="E633" s="1">
        <f ca="1">IFERROR(VLOOKUP($A633,[1]库存使用数据!$A:$E,5,0),0)+IFERROR(VLOOKUP($A633,[2]库存使用数据!$A:$E,5,0),0)+IFERROR(VLOOKUP($A633,[3]库存使用数据!$A:$E,5,0),0)+IFERROR(VLOOKUP($A633,[4]库存使用数据!$A:$E,5,0),0)+IFERROR(VLOOKUP($A633,[5]库存使用数据!$A:$E,5,0),0)</f>
        <v>12</v>
      </c>
      <c r="F633" s="1">
        <f ca="1">IFERROR(VLOOKUP($A633,[1]库存使用数据!$A:$F,6,0),0)+IFERROR(VLOOKUP($A633,[2]库存使用数据!$A:$F,6,0),0)+IFERROR(VLOOKUP($A633,[4]库存使用数据!$A:$F,6,0),0)+IFERROR(VLOOKUP($A633,[3]库存使用数据!$A:$F,6,0),0)+IFERROR(VLOOKUP($A633,[5]库存使用数据!$A:$F,6,0),0)</f>
        <v>0</v>
      </c>
      <c r="G633" s="1">
        <f ca="1">IFERROR(VLOOKUP($A633,[1]库存使用数据!$A:$G,7,0),0)+IFERROR(VLOOKUP($A633,[2]库存使用数据!$A:$G,7,0),0)+公式!$B$14*IFERROR(VLOOKUP($A633,[3]库存使用数据!$A:$G,7,0),0)+IFERROR(VLOOKUP($A633,[4]库存使用数据!$A:$G,7,0),0)+IFERROR(VLOOKUP($A633,[5]库存使用数据!$A:$G,7,0),0)</f>
        <v>0</v>
      </c>
      <c r="H633" s="1">
        <f ca="1">IFERROR(VLOOKUP($A633,[1]库存使用数据!$A:$H,8,0),0)+IFERROR(VLOOKUP($A633,[2]库存使用数据!$A:$H,8,0),0)+IFERROR(VLOOKUP($A633,[3]库存使用数据!$A:$H,8,0),0)+IFERROR(VLOOKUP($A633,[4]库存使用数据!$A:$H,8,0),0)+IFERROR(VLOOKUP($A633,[5]库存使用数据!$A:$H,8,0),0)</f>
        <v>15</v>
      </c>
      <c r="I633" s="1">
        <f ca="1">IFERROR(VLOOKUP($A633,[1]库存使用数据!$A:$I,9,0),0)+IFERROR(VLOOKUP($A633,[2]库存使用数据!$A:$I,9,0),0)+IFERROR(VLOOKUP($A633,[3]库存使用数据!$A:$I,9,0),0)+IFERROR(VLOOKUP($A633,[4]库存使用数据!$A:$I,9,0),0)+IFERROR(VLOOKUP($A633,[5]库存使用数据!$A:$I,9,0),0)</f>
        <v>0</v>
      </c>
      <c r="J633" s="1">
        <f ca="1">IFERROR(VLOOKUP($A633,[1]库存使用数据!$A:$J,10,0),0)+IFERROR(VLOOKUP($A633,[2]库存使用数据!$A:$J,10,0),0)+公式!$B$14*IFERROR(VLOOKUP($A633,[3]库存使用数据!$A:$J,10,0),0)+IFERROR(VLOOKUP($A633,[4]库存使用数据!$A:$J,10,0),0)+IFERROR(VLOOKUP($A633,[5]库存使用数据!$A:$J,10,0),0)</f>
        <v>0</v>
      </c>
      <c r="K633" s="1">
        <f ca="1">IFERROR(VLOOKUP($A633,[1]库存使用数据!$A:$K,11,0),0)+IFERROR(VLOOKUP($A633,[2]库存使用数据!$A:$K,11,0),0)+IFERROR(VLOOKUP($A633,[3]库存使用数据!$A:$K,11,0),0)+IFERROR(VLOOKUP($A633,[4]库存使用数据!$A:$K,11,0),0)+IFERROR(VLOOKUP($A633,[5]库存使用数据!$A:$K,11,0),0)</f>
        <v>11</v>
      </c>
      <c r="L633" s="1">
        <f ca="1">IFERROR(VLOOKUP($A633,[1]库存使用数据!$A:$L,12,0),0)+IFERROR(VLOOKUP($A633,[2]库存使用数据!$A:$L,12,0),0)+IFERROR(VLOOKUP($A633,[3]库存使用数据!$A:$L,12,0),0)+IFERROR(VLOOKUP($A633,[4]库存使用数据!$A:$L,12,0),0)+IFERROR(VLOOKUP($A633,[5]库存使用数据!$A:$L,12,0),0)</f>
        <v>0</v>
      </c>
      <c r="M633" s="1">
        <f ca="1">IFERROR(VLOOKUP($A633,[1]库存使用数据!$A:$M,13,0),0)+IFERROR(VLOOKUP($A633,[2]库存使用数据!$A:$M,13,0),0)+公式!$B$14*IFERROR(VLOOKUP($A633,[3]库存使用数据!$A:$M,13,0),0)+IFERROR(VLOOKUP($A633,[4]库存使用数据!$A:$M,13,0),0)+IFERROR(VLOOKUP($A633,[5]库存使用数据!$A:$M,13,0),0)</f>
        <v>0</v>
      </c>
    </row>
    <row r="634" spans="1:13">
      <c r="A634" s="6" t="s">
        <v>639</v>
      </c>
      <c r="B634" s="2">
        <f ca="1">IFERROR(VLOOKUP(A634,[1]库存使用数据!$A:$B,2,0),0)+IFERROR(VLOOKUP(A634,[2]库存使用数据!$A:$B,2,0),0)+IFERROR(VLOOKUP(,[3]库存使用数据!$A:$B,2,0),0)+IFERROR(VLOOKUP(A634,[4]库存使用数据!$A:$B,2,0),0)+IFERROR(VLOOKUP(A634,[5]库存使用数据!$A:$B,2,0),0)</f>
        <v>160</v>
      </c>
      <c r="C634" s="1">
        <f ca="1">IFERROR(VLOOKUP($A634,[1]库存使用数据!$A:$C,3,0),0)+IFERROR(VLOOKUP($A634,[2]库存使用数据!$A:$C,3,0),0)+IFERROR(VLOOKUP($A634,[3]库存使用数据!$A:$C,3,0),0)+IFERROR(VLOOKUP($A634,[4]库存使用数据!$A:$C,3,0),0)+IFERROR(VLOOKUP($A634,[5]库存使用数据!$A:$C,3,0),0)</f>
        <v>0</v>
      </c>
      <c r="D634" s="1">
        <f ca="1">IFERROR(VLOOKUP($A634,[1]库存使用数据!$A:$D,4,0),0)+IFERROR(VLOOKUP($A634,[2]库存使用数据!$A:$D,4,0),0)+公式!$B$1*IFERROR(VLOOKUP($A634,[3]库存使用数据!$A:$D,4,0),0)+IFERROR(VLOOKUP($A634,[4]库存使用数据!$A:$D,4,0),0)+IFERROR(VLOOKUP($A634,[5]库存使用数据!$A:$D,4,0),0)</f>
        <v>0</v>
      </c>
      <c r="E634" s="1">
        <f ca="1">IFERROR(VLOOKUP($A634,[1]库存使用数据!$A:$E,5,0),0)+IFERROR(VLOOKUP($A634,[2]库存使用数据!$A:$E,5,0),0)+IFERROR(VLOOKUP($A634,[3]库存使用数据!$A:$E,5,0),0)+IFERROR(VLOOKUP($A634,[4]库存使用数据!$A:$E,5,0),0)+IFERROR(VLOOKUP($A634,[5]库存使用数据!$A:$E,5,0),0)</f>
        <v>56</v>
      </c>
      <c r="F634" s="1">
        <f ca="1">IFERROR(VLOOKUP($A634,[1]库存使用数据!$A:$F,6,0),0)+IFERROR(VLOOKUP($A634,[2]库存使用数据!$A:$F,6,0),0)+IFERROR(VLOOKUP($A634,[4]库存使用数据!$A:$F,6,0),0)+IFERROR(VLOOKUP($A634,[3]库存使用数据!$A:$F,6,0),0)+IFERROR(VLOOKUP($A634,[5]库存使用数据!$A:$F,6,0),0)</f>
        <v>1</v>
      </c>
      <c r="G634" s="1">
        <f ca="1">IFERROR(VLOOKUP($A634,[1]库存使用数据!$A:$G,7,0),0)+IFERROR(VLOOKUP($A634,[2]库存使用数据!$A:$G,7,0),0)+公式!$B$14*IFERROR(VLOOKUP($A634,[3]库存使用数据!$A:$G,7,0),0)+IFERROR(VLOOKUP($A634,[4]库存使用数据!$A:$G,7,0),0)+IFERROR(VLOOKUP($A634,[5]库存使用数据!$A:$G,7,0),0)</f>
        <v>0.05</v>
      </c>
      <c r="H634" s="1">
        <f ca="1">IFERROR(VLOOKUP($A634,[1]库存使用数据!$A:$H,8,0),0)+IFERROR(VLOOKUP($A634,[2]库存使用数据!$A:$H,8,0),0)+IFERROR(VLOOKUP($A634,[3]库存使用数据!$A:$H,8,0),0)+IFERROR(VLOOKUP($A634,[4]库存使用数据!$A:$H,8,0),0)+IFERROR(VLOOKUP($A634,[5]库存使用数据!$A:$H,8,0),0)</f>
        <v>34</v>
      </c>
      <c r="I634" s="1">
        <f ca="1">IFERROR(VLOOKUP($A634,[1]库存使用数据!$A:$I,9,0),0)+IFERROR(VLOOKUP($A634,[2]库存使用数据!$A:$I,9,0),0)+IFERROR(VLOOKUP($A634,[3]库存使用数据!$A:$I,9,0),0)+IFERROR(VLOOKUP($A634,[4]库存使用数据!$A:$I,9,0),0)+IFERROR(VLOOKUP($A634,[5]库存使用数据!$A:$I,9,0),0)</f>
        <v>0</v>
      </c>
      <c r="J634" s="1">
        <f ca="1">IFERROR(VLOOKUP($A634,[1]库存使用数据!$A:$J,10,0),0)+IFERROR(VLOOKUP($A634,[2]库存使用数据!$A:$J,10,0),0)+公式!$B$14*IFERROR(VLOOKUP($A634,[3]库存使用数据!$A:$J,10,0),0)+IFERROR(VLOOKUP($A634,[4]库存使用数据!$A:$J,10,0),0)+IFERROR(VLOOKUP($A634,[5]库存使用数据!$A:$J,10,0),0)</f>
        <v>0</v>
      </c>
      <c r="K634" s="1">
        <f ca="1">IFERROR(VLOOKUP($A634,[1]库存使用数据!$A:$K,11,0),0)+IFERROR(VLOOKUP($A634,[2]库存使用数据!$A:$K,11,0),0)+IFERROR(VLOOKUP($A634,[3]库存使用数据!$A:$K,11,0),0)+IFERROR(VLOOKUP($A634,[4]库存使用数据!$A:$K,11,0),0)+IFERROR(VLOOKUP($A634,[5]库存使用数据!$A:$K,11,0),0)</f>
        <v>22</v>
      </c>
      <c r="L634" s="1">
        <f ca="1">IFERROR(VLOOKUP($A634,[1]库存使用数据!$A:$L,12,0),0)+IFERROR(VLOOKUP($A634,[2]库存使用数据!$A:$L,12,0),0)+IFERROR(VLOOKUP($A634,[3]库存使用数据!$A:$L,12,0),0)+IFERROR(VLOOKUP($A634,[4]库存使用数据!$A:$L,12,0),0)+IFERROR(VLOOKUP($A634,[5]库存使用数据!$A:$L,12,0),0)</f>
        <v>1</v>
      </c>
      <c r="M634" s="1">
        <f ca="1">IFERROR(VLOOKUP($A634,[1]库存使用数据!$A:$M,13,0),0)+IFERROR(VLOOKUP($A634,[2]库存使用数据!$A:$M,13,0),0)+公式!$B$14*IFERROR(VLOOKUP($A634,[3]库存使用数据!$A:$M,13,0),0)+IFERROR(VLOOKUP($A634,[4]库存使用数据!$A:$M,13,0),0)+IFERROR(VLOOKUP($A634,[5]库存使用数据!$A:$M,13,0),0)</f>
        <v>0.05</v>
      </c>
    </row>
    <row r="635" spans="1:13">
      <c r="A635" s="6" t="s">
        <v>640</v>
      </c>
      <c r="B635" s="2">
        <f ca="1">IFERROR(VLOOKUP(A635,[1]库存使用数据!$A:$B,2,0),0)+IFERROR(VLOOKUP(A635,[2]库存使用数据!$A:$B,2,0),0)+IFERROR(VLOOKUP(,[3]库存使用数据!$A:$B,2,0),0)+IFERROR(VLOOKUP(A635,[4]库存使用数据!$A:$B,2,0),0)+IFERROR(VLOOKUP(A635,[5]库存使用数据!$A:$B,2,0),0)</f>
        <v>121</v>
      </c>
      <c r="C635" s="1">
        <f ca="1">IFERROR(VLOOKUP($A635,[1]库存使用数据!$A:$C,3,0),0)+IFERROR(VLOOKUP($A635,[2]库存使用数据!$A:$C,3,0),0)+IFERROR(VLOOKUP($A635,[3]库存使用数据!$A:$C,3,0),0)+IFERROR(VLOOKUP($A635,[4]库存使用数据!$A:$C,3,0),0)+IFERROR(VLOOKUP($A635,[5]库存使用数据!$A:$C,3,0),0)</f>
        <v>0</v>
      </c>
      <c r="D635" s="1">
        <f ca="1">IFERROR(VLOOKUP($A635,[1]库存使用数据!$A:$D,4,0),0)+IFERROR(VLOOKUP($A635,[2]库存使用数据!$A:$D,4,0),0)+公式!$B$1*IFERROR(VLOOKUP($A635,[3]库存使用数据!$A:$D,4,0),0)+IFERROR(VLOOKUP($A635,[4]库存使用数据!$A:$D,4,0),0)+IFERROR(VLOOKUP($A635,[5]库存使用数据!$A:$D,4,0),0)</f>
        <v>0</v>
      </c>
      <c r="E635" s="1">
        <f ca="1">IFERROR(VLOOKUP($A635,[1]库存使用数据!$A:$E,5,0),0)+IFERROR(VLOOKUP($A635,[2]库存使用数据!$A:$E,5,0),0)+IFERROR(VLOOKUP($A635,[3]库存使用数据!$A:$E,5,0),0)+IFERROR(VLOOKUP($A635,[4]库存使用数据!$A:$E,5,0),0)+IFERROR(VLOOKUP($A635,[5]库存使用数据!$A:$E,5,0),0)</f>
        <v>38</v>
      </c>
      <c r="F635" s="1">
        <f ca="1">IFERROR(VLOOKUP($A635,[1]库存使用数据!$A:$F,6,0),0)+IFERROR(VLOOKUP($A635,[2]库存使用数据!$A:$F,6,0),0)+IFERROR(VLOOKUP($A635,[4]库存使用数据!$A:$F,6,0),0)+IFERROR(VLOOKUP($A635,[3]库存使用数据!$A:$F,6,0),0)+IFERROR(VLOOKUP($A635,[5]库存使用数据!$A:$F,6,0),0)</f>
        <v>0</v>
      </c>
      <c r="G635" s="1">
        <f ca="1">IFERROR(VLOOKUP($A635,[1]库存使用数据!$A:$G,7,0),0)+IFERROR(VLOOKUP($A635,[2]库存使用数据!$A:$G,7,0),0)+公式!$B$14*IFERROR(VLOOKUP($A635,[3]库存使用数据!$A:$G,7,0),0)+IFERROR(VLOOKUP($A635,[4]库存使用数据!$A:$G,7,0),0)+IFERROR(VLOOKUP($A635,[5]库存使用数据!$A:$G,7,0),0)</f>
        <v>0</v>
      </c>
      <c r="H635" s="1">
        <f ca="1">IFERROR(VLOOKUP($A635,[1]库存使用数据!$A:$H,8,0),0)+IFERROR(VLOOKUP($A635,[2]库存使用数据!$A:$H,8,0),0)+IFERROR(VLOOKUP($A635,[3]库存使用数据!$A:$H,8,0),0)+IFERROR(VLOOKUP($A635,[4]库存使用数据!$A:$H,8,0),0)+IFERROR(VLOOKUP($A635,[5]库存使用数据!$A:$H,8,0),0)</f>
        <v>16</v>
      </c>
      <c r="I635" s="1">
        <f ca="1">IFERROR(VLOOKUP($A635,[1]库存使用数据!$A:$I,9,0),0)+IFERROR(VLOOKUP($A635,[2]库存使用数据!$A:$I,9,0),0)+IFERROR(VLOOKUP($A635,[3]库存使用数据!$A:$I,9,0),0)+IFERROR(VLOOKUP($A635,[4]库存使用数据!$A:$I,9,0),0)+IFERROR(VLOOKUP($A635,[5]库存使用数据!$A:$I,9,0),0)</f>
        <v>0</v>
      </c>
      <c r="J635" s="1">
        <f ca="1">IFERROR(VLOOKUP($A635,[1]库存使用数据!$A:$J,10,0),0)+IFERROR(VLOOKUP($A635,[2]库存使用数据!$A:$J,10,0),0)+公式!$B$14*IFERROR(VLOOKUP($A635,[3]库存使用数据!$A:$J,10,0),0)+IFERROR(VLOOKUP($A635,[4]库存使用数据!$A:$J,10,0),0)+IFERROR(VLOOKUP($A635,[5]库存使用数据!$A:$J,10,0),0)</f>
        <v>0</v>
      </c>
      <c r="K635" s="1">
        <f ca="1">IFERROR(VLOOKUP($A635,[1]库存使用数据!$A:$K,11,0),0)+IFERROR(VLOOKUP($A635,[2]库存使用数据!$A:$K,11,0),0)+IFERROR(VLOOKUP($A635,[3]库存使用数据!$A:$K,11,0),0)+IFERROR(VLOOKUP($A635,[4]库存使用数据!$A:$K,11,0),0)+IFERROR(VLOOKUP($A635,[5]库存使用数据!$A:$K,11,0),0)</f>
        <v>28</v>
      </c>
      <c r="L635" s="1">
        <f ca="1">IFERROR(VLOOKUP($A635,[1]库存使用数据!$A:$L,12,0),0)+IFERROR(VLOOKUP($A635,[2]库存使用数据!$A:$L,12,0),0)+IFERROR(VLOOKUP($A635,[3]库存使用数据!$A:$L,12,0),0)+IFERROR(VLOOKUP($A635,[4]库存使用数据!$A:$L,12,0),0)+IFERROR(VLOOKUP($A635,[5]库存使用数据!$A:$L,12,0),0)</f>
        <v>2</v>
      </c>
      <c r="M635" s="1">
        <f ca="1">IFERROR(VLOOKUP($A635,[1]库存使用数据!$A:$M,13,0),0)+IFERROR(VLOOKUP($A635,[2]库存使用数据!$A:$M,13,0),0)+公式!$B$14*IFERROR(VLOOKUP($A635,[3]库存使用数据!$A:$M,13,0),0)+IFERROR(VLOOKUP($A635,[4]库存使用数据!$A:$M,13,0),0)+IFERROR(VLOOKUP($A635,[5]库存使用数据!$A:$M,13,0),0)</f>
        <v>0.07</v>
      </c>
    </row>
    <row r="636" spans="1:13">
      <c r="A636" s="6" t="s">
        <v>641</v>
      </c>
      <c r="B636" s="2">
        <f ca="1">IFERROR(VLOOKUP(A636,[1]库存使用数据!$A:$B,2,0),0)+IFERROR(VLOOKUP(A636,[2]库存使用数据!$A:$B,2,0),0)+IFERROR(VLOOKUP(,[3]库存使用数据!$A:$B,2,0),0)+IFERROR(VLOOKUP(A636,[4]库存使用数据!$A:$B,2,0),0)+IFERROR(VLOOKUP(A636,[5]库存使用数据!$A:$B,2,0),0)</f>
        <v>4916</v>
      </c>
      <c r="C636" s="1">
        <f ca="1">IFERROR(VLOOKUP($A636,[1]库存使用数据!$A:$C,3,0),0)+IFERROR(VLOOKUP($A636,[2]库存使用数据!$A:$C,3,0),0)+IFERROR(VLOOKUP($A636,[3]库存使用数据!$A:$C,3,0),0)+IFERROR(VLOOKUP($A636,[4]库存使用数据!$A:$C,3,0),0)+IFERROR(VLOOKUP($A636,[5]库存使用数据!$A:$C,3,0),0)</f>
        <v>15</v>
      </c>
      <c r="D636" s="1">
        <f ca="1">IFERROR(VLOOKUP($A636,[1]库存使用数据!$A:$D,4,0),0)+IFERROR(VLOOKUP($A636,[2]库存使用数据!$A:$D,4,0),0)+公式!$B$1*IFERROR(VLOOKUP($A636,[3]库存使用数据!$A:$D,4,0),0)+IFERROR(VLOOKUP($A636,[4]库存使用数据!$A:$D,4,0),0)+IFERROR(VLOOKUP($A636,[5]库存使用数据!$A:$D,4,0),0)</f>
        <v>3.95</v>
      </c>
      <c r="E636" s="1">
        <f ca="1">IFERROR(VLOOKUP($A636,[1]库存使用数据!$A:$E,5,0),0)+IFERROR(VLOOKUP($A636,[2]库存使用数据!$A:$E,5,0),0)+IFERROR(VLOOKUP($A636,[3]库存使用数据!$A:$E,5,0),0)+IFERROR(VLOOKUP($A636,[4]库存使用数据!$A:$E,5,0),0)+IFERROR(VLOOKUP($A636,[5]库存使用数据!$A:$E,5,0),0)</f>
        <v>7671</v>
      </c>
      <c r="F636" s="1">
        <f ca="1">IFERROR(VLOOKUP($A636,[1]库存使用数据!$A:$F,6,0),0)+IFERROR(VLOOKUP($A636,[2]库存使用数据!$A:$F,6,0),0)+IFERROR(VLOOKUP($A636,[4]库存使用数据!$A:$F,6,0),0)+IFERROR(VLOOKUP($A636,[3]库存使用数据!$A:$F,6,0),0)+IFERROR(VLOOKUP($A636,[5]库存使用数据!$A:$F,6,0),0)</f>
        <v>11</v>
      </c>
      <c r="G636" s="1">
        <f ca="1">IFERROR(VLOOKUP($A636,[1]库存使用数据!$A:$G,7,0),0)+IFERROR(VLOOKUP($A636,[2]库存使用数据!$A:$G,7,0),0)+公式!$B$14*IFERROR(VLOOKUP($A636,[3]库存使用数据!$A:$G,7,0),0)+IFERROR(VLOOKUP($A636,[4]库存使用数据!$A:$G,7,0),0)+IFERROR(VLOOKUP($A636,[5]库存使用数据!$A:$G,7,0),0)</f>
        <v>2.72</v>
      </c>
      <c r="H636" s="1">
        <f ca="1">IFERROR(VLOOKUP($A636,[1]库存使用数据!$A:$H,8,0),0)+IFERROR(VLOOKUP($A636,[2]库存使用数据!$A:$H,8,0),0)+IFERROR(VLOOKUP($A636,[3]库存使用数据!$A:$H,8,0),0)+IFERROR(VLOOKUP($A636,[4]库存使用数据!$A:$H,8,0),0)+IFERROR(VLOOKUP($A636,[5]库存使用数据!$A:$H,8,0),0)</f>
        <v>9277</v>
      </c>
      <c r="I636" s="1">
        <f ca="1">IFERROR(VLOOKUP($A636,[1]库存使用数据!$A:$I,9,0),0)+IFERROR(VLOOKUP($A636,[2]库存使用数据!$A:$I,9,0),0)+IFERROR(VLOOKUP($A636,[3]库存使用数据!$A:$I,9,0),0)+IFERROR(VLOOKUP($A636,[4]库存使用数据!$A:$I,9,0),0)+IFERROR(VLOOKUP($A636,[5]库存使用数据!$A:$I,9,0),0)</f>
        <v>12</v>
      </c>
      <c r="J636" s="1">
        <f ca="1">IFERROR(VLOOKUP($A636,[1]库存使用数据!$A:$J,10,0),0)+IFERROR(VLOOKUP($A636,[2]库存使用数据!$A:$J,10,0),0)+公式!$B$14*IFERROR(VLOOKUP($A636,[3]库存使用数据!$A:$J,10,0),0)+IFERROR(VLOOKUP($A636,[4]库存使用数据!$A:$J,10,0),0)+IFERROR(VLOOKUP($A636,[5]库存使用数据!$A:$J,10,0),0)</f>
        <v>3.08</v>
      </c>
      <c r="K636" s="1">
        <f ca="1">IFERROR(VLOOKUP($A636,[1]库存使用数据!$A:$K,11,0),0)+IFERROR(VLOOKUP($A636,[2]库存使用数据!$A:$K,11,0),0)+IFERROR(VLOOKUP($A636,[3]库存使用数据!$A:$K,11,0),0)+IFERROR(VLOOKUP($A636,[4]库存使用数据!$A:$K,11,0),0)+IFERROR(VLOOKUP($A636,[5]库存使用数据!$A:$K,11,0),0)</f>
        <v>4498</v>
      </c>
      <c r="L636" s="1">
        <f ca="1">IFERROR(VLOOKUP($A636,[1]库存使用数据!$A:$L,12,0),0)+IFERROR(VLOOKUP($A636,[2]库存使用数据!$A:$L,12,0),0)+IFERROR(VLOOKUP($A636,[3]库存使用数据!$A:$L,12,0),0)+IFERROR(VLOOKUP($A636,[4]库存使用数据!$A:$L,12,0),0)+IFERROR(VLOOKUP($A636,[5]库存使用数据!$A:$L,12,0),0)</f>
        <v>10</v>
      </c>
      <c r="M636" s="1">
        <f ca="1">IFERROR(VLOOKUP($A636,[1]库存使用数据!$A:$M,13,0),0)+IFERROR(VLOOKUP($A636,[2]库存使用数据!$A:$M,13,0),0)+公式!$B$14*IFERROR(VLOOKUP($A636,[3]库存使用数据!$A:$M,13,0),0)+IFERROR(VLOOKUP($A636,[4]库存使用数据!$A:$M,13,0),0)+IFERROR(VLOOKUP($A636,[5]库存使用数据!$A:$M,13,0),0)</f>
        <v>2.68</v>
      </c>
    </row>
    <row r="637" spans="1:13">
      <c r="A637" s="6" t="s">
        <v>642</v>
      </c>
      <c r="B637" s="2">
        <f ca="1">IFERROR(VLOOKUP(A637,[1]库存使用数据!$A:$B,2,0),0)+IFERROR(VLOOKUP(A637,[2]库存使用数据!$A:$B,2,0),0)+IFERROR(VLOOKUP(,[3]库存使用数据!$A:$B,2,0),0)+IFERROR(VLOOKUP(A637,[4]库存使用数据!$A:$B,2,0),0)+IFERROR(VLOOKUP(A637,[5]库存使用数据!$A:$B,2,0),0)</f>
        <v>7580</v>
      </c>
      <c r="C637" s="1">
        <f ca="1">IFERROR(VLOOKUP($A637,[1]库存使用数据!$A:$C,3,0),0)+IFERROR(VLOOKUP($A637,[2]库存使用数据!$A:$C,3,0),0)+IFERROR(VLOOKUP($A637,[3]库存使用数据!$A:$C,3,0),0)+IFERROR(VLOOKUP($A637,[4]库存使用数据!$A:$C,3,0),0)+IFERROR(VLOOKUP($A637,[5]库存使用数据!$A:$C,3,0),0)</f>
        <v>6</v>
      </c>
      <c r="D637" s="1">
        <f ca="1">IFERROR(VLOOKUP($A637,[1]库存使用数据!$A:$D,4,0),0)+IFERROR(VLOOKUP($A637,[2]库存使用数据!$A:$D,4,0),0)+公式!$B$1*IFERROR(VLOOKUP($A637,[3]库存使用数据!$A:$D,4,0),0)+IFERROR(VLOOKUP($A637,[4]库存使用数据!$A:$D,4,0),0)+IFERROR(VLOOKUP($A637,[5]库存使用数据!$A:$D,4,0),0)</f>
        <v>1.9</v>
      </c>
      <c r="E637" s="1">
        <f ca="1">IFERROR(VLOOKUP($A637,[1]库存使用数据!$A:$E,5,0),0)+IFERROR(VLOOKUP($A637,[2]库存使用数据!$A:$E,5,0),0)+IFERROR(VLOOKUP($A637,[3]库存使用数据!$A:$E,5,0),0)+IFERROR(VLOOKUP($A637,[4]库存使用数据!$A:$E,5,0),0)+IFERROR(VLOOKUP($A637,[5]库存使用数据!$A:$E,5,0),0)</f>
        <v>10075</v>
      </c>
      <c r="F637" s="1">
        <f ca="1">IFERROR(VLOOKUP($A637,[1]库存使用数据!$A:$F,6,0),0)+IFERROR(VLOOKUP($A637,[2]库存使用数据!$A:$F,6,0),0)+IFERROR(VLOOKUP($A637,[4]库存使用数据!$A:$F,6,0),0)+IFERROR(VLOOKUP($A637,[3]库存使用数据!$A:$F,6,0),0)+IFERROR(VLOOKUP($A637,[5]库存使用数据!$A:$F,6,0),0)</f>
        <v>12</v>
      </c>
      <c r="G637" s="1">
        <f ca="1">IFERROR(VLOOKUP($A637,[1]库存使用数据!$A:$G,7,0),0)+IFERROR(VLOOKUP($A637,[2]库存使用数据!$A:$G,7,0),0)+公式!$B$14*IFERROR(VLOOKUP($A637,[3]库存使用数据!$A:$G,7,0),0)+IFERROR(VLOOKUP($A637,[4]库存使用数据!$A:$G,7,0),0)+IFERROR(VLOOKUP($A637,[5]库存使用数据!$A:$G,7,0),0)</f>
        <v>3.7</v>
      </c>
      <c r="H637" s="1">
        <f ca="1">IFERROR(VLOOKUP($A637,[1]库存使用数据!$A:$H,8,0),0)+IFERROR(VLOOKUP($A637,[2]库存使用数据!$A:$H,8,0),0)+IFERROR(VLOOKUP($A637,[3]库存使用数据!$A:$H,8,0),0)+IFERROR(VLOOKUP($A637,[4]库存使用数据!$A:$H,8,0),0)+IFERROR(VLOOKUP($A637,[5]库存使用数据!$A:$H,8,0),0)</f>
        <v>5417</v>
      </c>
      <c r="I637" s="1">
        <f ca="1">IFERROR(VLOOKUP($A637,[1]库存使用数据!$A:$I,9,0),0)+IFERROR(VLOOKUP($A637,[2]库存使用数据!$A:$I,9,0),0)+IFERROR(VLOOKUP($A637,[3]库存使用数据!$A:$I,9,0),0)+IFERROR(VLOOKUP($A637,[4]库存使用数据!$A:$I,9,0),0)+IFERROR(VLOOKUP($A637,[5]库存使用数据!$A:$I,9,0),0)</f>
        <v>9</v>
      </c>
      <c r="J637" s="1">
        <f ca="1">IFERROR(VLOOKUP($A637,[1]库存使用数据!$A:$J,10,0),0)+IFERROR(VLOOKUP($A637,[2]库存使用数据!$A:$J,10,0),0)+公式!$B$14*IFERROR(VLOOKUP($A637,[3]库存使用数据!$A:$J,10,0),0)+IFERROR(VLOOKUP($A637,[4]库存使用数据!$A:$J,10,0),0)+IFERROR(VLOOKUP($A637,[5]库存使用数据!$A:$J,10,0),0)</f>
        <v>2.93</v>
      </c>
      <c r="K637" s="1">
        <f ca="1">IFERROR(VLOOKUP($A637,[1]库存使用数据!$A:$K,11,0),0)+IFERROR(VLOOKUP($A637,[2]库存使用数据!$A:$K,11,0),0)+IFERROR(VLOOKUP($A637,[3]库存使用数据!$A:$K,11,0),0)+IFERROR(VLOOKUP($A637,[4]库存使用数据!$A:$K,11,0),0)+IFERROR(VLOOKUP($A637,[5]库存使用数据!$A:$K,11,0),0)</f>
        <v>7823</v>
      </c>
      <c r="L637" s="1">
        <f ca="1">IFERROR(VLOOKUP($A637,[1]库存使用数据!$A:$L,12,0),0)+IFERROR(VLOOKUP($A637,[2]库存使用数据!$A:$L,12,0),0)+IFERROR(VLOOKUP($A637,[3]库存使用数据!$A:$L,12,0),0)+IFERROR(VLOOKUP($A637,[4]库存使用数据!$A:$L,12,0),0)+IFERROR(VLOOKUP($A637,[5]库存使用数据!$A:$L,12,0),0)</f>
        <v>3</v>
      </c>
      <c r="M637" s="1">
        <f ca="1">IFERROR(VLOOKUP($A637,[1]库存使用数据!$A:$M,13,0),0)+IFERROR(VLOOKUP($A637,[2]库存使用数据!$A:$M,13,0),0)+公式!$B$14*IFERROR(VLOOKUP($A637,[3]库存使用数据!$A:$M,13,0),0)+IFERROR(VLOOKUP($A637,[4]库存使用数据!$A:$M,13,0),0)+IFERROR(VLOOKUP($A637,[5]库存使用数据!$A:$M,13,0),0)</f>
        <v>1.04</v>
      </c>
    </row>
    <row r="638" spans="1:13">
      <c r="A638" s="6" t="s">
        <v>643</v>
      </c>
      <c r="B638" s="2">
        <f ca="1">IFERROR(VLOOKUP(A638,[1]库存使用数据!$A:$B,2,0),0)+IFERROR(VLOOKUP(A638,[2]库存使用数据!$A:$B,2,0),0)+IFERROR(VLOOKUP(,[3]库存使用数据!$A:$B,2,0),0)+IFERROR(VLOOKUP(A638,[4]库存使用数据!$A:$B,2,0),0)+IFERROR(VLOOKUP(A638,[5]库存使用数据!$A:$B,2,0),0)</f>
        <v>448</v>
      </c>
      <c r="C638" s="1">
        <f ca="1">IFERROR(VLOOKUP($A638,[1]库存使用数据!$A:$C,3,0),0)+IFERROR(VLOOKUP($A638,[2]库存使用数据!$A:$C,3,0),0)+IFERROR(VLOOKUP($A638,[3]库存使用数据!$A:$C,3,0),0)+IFERROR(VLOOKUP($A638,[4]库存使用数据!$A:$C,3,0),0)+IFERROR(VLOOKUP($A638,[5]库存使用数据!$A:$C,3,0),0)</f>
        <v>0</v>
      </c>
      <c r="D638" s="1">
        <f ca="1">IFERROR(VLOOKUP($A638,[1]库存使用数据!$A:$D,4,0),0)+IFERROR(VLOOKUP($A638,[2]库存使用数据!$A:$D,4,0),0)+公式!$B$1*IFERROR(VLOOKUP($A638,[3]库存使用数据!$A:$D,4,0),0)+IFERROR(VLOOKUP($A638,[4]库存使用数据!$A:$D,4,0),0)+IFERROR(VLOOKUP($A638,[5]库存使用数据!$A:$D,4,0),0)</f>
        <v>0</v>
      </c>
      <c r="E638" s="1">
        <f ca="1">IFERROR(VLOOKUP($A638,[1]库存使用数据!$A:$E,5,0),0)+IFERROR(VLOOKUP($A638,[2]库存使用数据!$A:$E,5,0),0)+IFERROR(VLOOKUP($A638,[3]库存使用数据!$A:$E,5,0),0)+IFERROR(VLOOKUP($A638,[4]库存使用数据!$A:$E,5,0),0)+IFERROR(VLOOKUP($A638,[5]库存使用数据!$A:$E,5,0),0)</f>
        <v>266</v>
      </c>
      <c r="F638" s="1">
        <f ca="1">IFERROR(VLOOKUP($A638,[1]库存使用数据!$A:$F,6,0),0)+IFERROR(VLOOKUP($A638,[2]库存使用数据!$A:$F,6,0),0)+IFERROR(VLOOKUP($A638,[4]库存使用数据!$A:$F,6,0),0)+IFERROR(VLOOKUP($A638,[3]库存使用数据!$A:$F,6,0),0)+IFERROR(VLOOKUP($A638,[5]库存使用数据!$A:$F,6,0),0)</f>
        <v>1</v>
      </c>
      <c r="G638" s="1">
        <f ca="1">IFERROR(VLOOKUP($A638,[1]库存使用数据!$A:$G,7,0),0)+IFERROR(VLOOKUP($A638,[2]库存使用数据!$A:$G,7,0),0)+公式!$B$14*IFERROR(VLOOKUP($A638,[3]库存使用数据!$A:$G,7,0),0)+IFERROR(VLOOKUP($A638,[4]库存使用数据!$A:$G,7,0),0)+IFERROR(VLOOKUP($A638,[5]库存使用数据!$A:$G,7,0),0)</f>
        <v>0.2</v>
      </c>
      <c r="H638" s="1">
        <f ca="1">IFERROR(VLOOKUP($A638,[1]库存使用数据!$A:$H,8,0),0)+IFERROR(VLOOKUP($A638,[2]库存使用数据!$A:$H,8,0),0)+IFERROR(VLOOKUP($A638,[3]库存使用数据!$A:$H,8,0),0)+IFERROR(VLOOKUP($A638,[4]库存使用数据!$A:$H,8,0),0)+IFERROR(VLOOKUP($A638,[5]库存使用数据!$A:$H,8,0),0)</f>
        <v>314</v>
      </c>
      <c r="I638" s="1">
        <f ca="1">IFERROR(VLOOKUP($A638,[1]库存使用数据!$A:$I,9,0),0)+IFERROR(VLOOKUP($A638,[2]库存使用数据!$A:$I,9,0),0)+IFERROR(VLOOKUP($A638,[3]库存使用数据!$A:$I,9,0),0)+IFERROR(VLOOKUP($A638,[4]库存使用数据!$A:$I,9,0),0)+IFERROR(VLOOKUP($A638,[5]库存使用数据!$A:$I,9,0),0)</f>
        <v>2</v>
      </c>
      <c r="J638" s="1">
        <f ca="1">IFERROR(VLOOKUP($A638,[1]库存使用数据!$A:$J,10,0),0)+IFERROR(VLOOKUP($A638,[2]库存使用数据!$A:$J,10,0),0)+公式!$B$14*IFERROR(VLOOKUP($A638,[3]库存使用数据!$A:$J,10,0),0)+IFERROR(VLOOKUP($A638,[4]库存使用数据!$A:$J,10,0),0)+IFERROR(VLOOKUP($A638,[5]库存使用数据!$A:$J,10,0),0)</f>
        <v>0.45</v>
      </c>
      <c r="K638" s="1">
        <f ca="1">IFERROR(VLOOKUP($A638,[1]库存使用数据!$A:$K,11,0),0)+IFERROR(VLOOKUP($A638,[2]库存使用数据!$A:$K,11,0),0)+IFERROR(VLOOKUP($A638,[3]库存使用数据!$A:$K,11,0),0)+IFERROR(VLOOKUP($A638,[4]库存使用数据!$A:$K,11,0),0)+IFERROR(VLOOKUP($A638,[5]库存使用数据!$A:$K,11,0),0)</f>
        <v>821</v>
      </c>
      <c r="L638" s="1">
        <f ca="1">IFERROR(VLOOKUP($A638,[1]库存使用数据!$A:$L,12,0),0)+IFERROR(VLOOKUP($A638,[2]库存使用数据!$A:$L,12,0),0)+IFERROR(VLOOKUP($A638,[3]库存使用数据!$A:$L,12,0),0)+IFERROR(VLOOKUP($A638,[4]库存使用数据!$A:$L,12,0),0)+IFERROR(VLOOKUP($A638,[5]库存使用数据!$A:$L,12,0),0)</f>
        <v>5</v>
      </c>
      <c r="M638" s="1">
        <f ca="1">IFERROR(VLOOKUP($A638,[1]库存使用数据!$A:$M,13,0),0)+IFERROR(VLOOKUP($A638,[2]库存使用数据!$A:$M,13,0),0)+公式!$B$14*IFERROR(VLOOKUP($A638,[3]库存使用数据!$A:$M,13,0),0)+IFERROR(VLOOKUP($A638,[4]库存使用数据!$A:$M,13,0),0)+IFERROR(VLOOKUP($A638,[5]库存使用数据!$A:$M,13,0),0)</f>
        <v>0.91</v>
      </c>
    </row>
    <row r="639" spans="1:13">
      <c r="A639" s="6" t="s">
        <v>644</v>
      </c>
      <c r="B639" s="2">
        <f ca="1">IFERROR(VLOOKUP(A639,[1]库存使用数据!$A:$B,2,0),0)+IFERROR(VLOOKUP(A639,[2]库存使用数据!$A:$B,2,0),0)+IFERROR(VLOOKUP(,[3]库存使用数据!$A:$B,2,0),0)+IFERROR(VLOOKUP(A639,[4]库存使用数据!$A:$B,2,0),0)+IFERROR(VLOOKUP(A639,[5]库存使用数据!$A:$B,2,0),0)</f>
        <v>131</v>
      </c>
      <c r="C639" s="1">
        <f ca="1">IFERROR(VLOOKUP($A639,[1]库存使用数据!$A:$C,3,0),0)+IFERROR(VLOOKUP($A639,[2]库存使用数据!$A:$C,3,0),0)+IFERROR(VLOOKUP($A639,[3]库存使用数据!$A:$C,3,0),0)+IFERROR(VLOOKUP($A639,[4]库存使用数据!$A:$C,3,0),0)+IFERROR(VLOOKUP($A639,[5]库存使用数据!$A:$C,3,0),0)</f>
        <v>0</v>
      </c>
      <c r="D639" s="1">
        <f ca="1">IFERROR(VLOOKUP($A639,[1]库存使用数据!$A:$D,4,0),0)+IFERROR(VLOOKUP($A639,[2]库存使用数据!$A:$D,4,0),0)+公式!$B$1*IFERROR(VLOOKUP($A639,[3]库存使用数据!$A:$D,4,0),0)+IFERROR(VLOOKUP($A639,[4]库存使用数据!$A:$D,4,0),0)+IFERROR(VLOOKUP($A639,[5]库存使用数据!$A:$D,4,0),0)</f>
        <v>0</v>
      </c>
      <c r="E639" s="1">
        <f ca="1">IFERROR(VLOOKUP($A639,[1]库存使用数据!$A:$E,5,0),0)+IFERROR(VLOOKUP($A639,[2]库存使用数据!$A:$E,5,0),0)+IFERROR(VLOOKUP($A639,[3]库存使用数据!$A:$E,5,0),0)+IFERROR(VLOOKUP($A639,[4]库存使用数据!$A:$E,5,0),0)+IFERROR(VLOOKUP($A639,[5]库存使用数据!$A:$E,5,0),0)</f>
        <v>102</v>
      </c>
      <c r="F639" s="1">
        <f ca="1">IFERROR(VLOOKUP($A639,[1]库存使用数据!$A:$F,6,0),0)+IFERROR(VLOOKUP($A639,[2]库存使用数据!$A:$F,6,0),0)+IFERROR(VLOOKUP($A639,[4]库存使用数据!$A:$F,6,0),0)+IFERROR(VLOOKUP($A639,[3]库存使用数据!$A:$F,6,0),0)+IFERROR(VLOOKUP($A639,[5]库存使用数据!$A:$F,6,0),0)</f>
        <v>0</v>
      </c>
      <c r="G639" s="1">
        <f ca="1">IFERROR(VLOOKUP($A639,[1]库存使用数据!$A:$G,7,0),0)+IFERROR(VLOOKUP($A639,[2]库存使用数据!$A:$G,7,0),0)+公式!$B$14*IFERROR(VLOOKUP($A639,[3]库存使用数据!$A:$G,7,0),0)+IFERROR(VLOOKUP($A639,[4]库存使用数据!$A:$G,7,0),0)+IFERROR(VLOOKUP($A639,[5]库存使用数据!$A:$G,7,0),0)</f>
        <v>0</v>
      </c>
      <c r="H639" s="1">
        <f ca="1">IFERROR(VLOOKUP($A639,[1]库存使用数据!$A:$H,8,0),0)+IFERROR(VLOOKUP($A639,[2]库存使用数据!$A:$H,8,0),0)+IFERROR(VLOOKUP($A639,[3]库存使用数据!$A:$H,8,0),0)+IFERROR(VLOOKUP($A639,[4]库存使用数据!$A:$H,8,0),0)+IFERROR(VLOOKUP($A639,[5]库存使用数据!$A:$H,8,0),0)</f>
        <v>7586</v>
      </c>
      <c r="I639" s="1">
        <f ca="1">IFERROR(VLOOKUP($A639,[1]库存使用数据!$A:$I,9,0),0)+IFERROR(VLOOKUP($A639,[2]库存使用数据!$A:$I,9,0),0)+IFERROR(VLOOKUP($A639,[3]库存使用数据!$A:$I,9,0),0)+IFERROR(VLOOKUP($A639,[4]库存使用数据!$A:$I,9,0),0)+IFERROR(VLOOKUP($A639,[5]库存使用数据!$A:$I,9,0),0)</f>
        <v>7</v>
      </c>
      <c r="J639" s="1">
        <f ca="1">IFERROR(VLOOKUP($A639,[1]库存使用数据!$A:$J,10,0),0)+IFERROR(VLOOKUP($A639,[2]库存使用数据!$A:$J,10,0),0)+公式!$B$14*IFERROR(VLOOKUP($A639,[3]库存使用数据!$A:$J,10,0),0)+IFERROR(VLOOKUP($A639,[4]库存使用数据!$A:$J,10,0),0)+IFERROR(VLOOKUP($A639,[5]库存使用数据!$A:$J,10,0),0)</f>
        <v>1.02</v>
      </c>
      <c r="K639" s="1">
        <f ca="1">IFERROR(VLOOKUP($A639,[1]库存使用数据!$A:$K,11,0),0)+IFERROR(VLOOKUP($A639,[2]库存使用数据!$A:$K,11,0),0)+IFERROR(VLOOKUP($A639,[3]库存使用数据!$A:$K,11,0),0)+IFERROR(VLOOKUP($A639,[4]库存使用数据!$A:$K,11,0),0)+IFERROR(VLOOKUP($A639,[5]库存使用数据!$A:$K,11,0),0)</f>
        <v>198</v>
      </c>
      <c r="L639" s="1">
        <f ca="1">IFERROR(VLOOKUP($A639,[1]库存使用数据!$A:$L,12,0),0)+IFERROR(VLOOKUP($A639,[2]库存使用数据!$A:$L,12,0),0)+IFERROR(VLOOKUP($A639,[3]库存使用数据!$A:$L,12,0),0)+IFERROR(VLOOKUP($A639,[4]库存使用数据!$A:$L,12,0),0)+IFERROR(VLOOKUP($A639,[5]库存使用数据!$A:$L,12,0),0)</f>
        <v>1</v>
      </c>
      <c r="M639" s="1">
        <f ca="1">IFERROR(VLOOKUP($A639,[1]库存使用数据!$A:$M,13,0),0)+IFERROR(VLOOKUP($A639,[2]库存使用数据!$A:$M,13,0),0)+公式!$B$14*IFERROR(VLOOKUP($A639,[3]库存使用数据!$A:$M,13,0),0)+IFERROR(VLOOKUP($A639,[4]库存使用数据!$A:$M,13,0),0)+IFERROR(VLOOKUP($A639,[5]库存使用数据!$A:$M,13,0),0)</f>
        <v>0.15</v>
      </c>
    </row>
    <row r="640" spans="1:13">
      <c r="A640" s="6" t="s">
        <v>645</v>
      </c>
      <c r="B640" s="2">
        <f ca="1">IFERROR(VLOOKUP(A640,[1]库存使用数据!$A:$B,2,0),0)+IFERROR(VLOOKUP(A640,[2]库存使用数据!$A:$B,2,0),0)+IFERROR(VLOOKUP(,[3]库存使用数据!$A:$B,2,0),0)+IFERROR(VLOOKUP(A640,[4]库存使用数据!$A:$B,2,0),0)+IFERROR(VLOOKUP(A640,[5]库存使用数据!$A:$B,2,0),0)</f>
        <v>44</v>
      </c>
      <c r="C640" s="1">
        <f ca="1">IFERROR(VLOOKUP($A640,[1]库存使用数据!$A:$C,3,0),0)+IFERROR(VLOOKUP($A640,[2]库存使用数据!$A:$C,3,0),0)+IFERROR(VLOOKUP($A640,[3]库存使用数据!$A:$C,3,0),0)+IFERROR(VLOOKUP($A640,[4]库存使用数据!$A:$C,3,0),0)+IFERROR(VLOOKUP($A640,[5]库存使用数据!$A:$C,3,0),0)</f>
        <v>0</v>
      </c>
      <c r="D640" s="1">
        <f ca="1">IFERROR(VLOOKUP($A640,[1]库存使用数据!$A:$D,4,0),0)+IFERROR(VLOOKUP($A640,[2]库存使用数据!$A:$D,4,0),0)+公式!$B$1*IFERROR(VLOOKUP($A640,[3]库存使用数据!$A:$D,4,0),0)+IFERROR(VLOOKUP($A640,[4]库存使用数据!$A:$D,4,0),0)+IFERROR(VLOOKUP($A640,[5]库存使用数据!$A:$D,4,0),0)</f>
        <v>0</v>
      </c>
      <c r="E640" s="1">
        <f ca="1">IFERROR(VLOOKUP($A640,[1]库存使用数据!$A:$E,5,0),0)+IFERROR(VLOOKUP($A640,[2]库存使用数据!$A:$E,5,0),0)+IFERROR(VLOOKUP($A640,[3]库存使用数据!$A:$E,5,0),0)+IFERROR(VLOOKUP($A640,[4]库存使用数据!$A:$E,5,0),0)+IFERROR(VLOOKUP($A640,[5]库存使用数据!$A:$E,5,0),0)</f>
        <v>44</v>
      </c>
      <c r="F640" s="1">
        <f ca="1">IFERROR(VLOOKUP($A640,[1]库存使用数据!$A:$F,6,0),0)+IFERROR(VLOOKUP($A640,[2]库存使用数据!$A:$F,6,0),0)+IFERROR(VLOOKUP($A640,[4]库存使用数据!$A:$F,6,0),0)+IFERROR(VLOOKUP($A640,[3]库存使用数据!$A:$F,6,0),0)+IFERROR(VLOOKUP($A640,[5]库存使用数据!$A:$F,6,0),0)</f>
        <v>0</v>
      </c>
      <c r="G640" s="1">
        <f ca="1">IFERROR(VLOOKUP($A640,[1]库存使用数据!$A:$G,7,0),0)+IFERROR(VLOOKUP($A640,[2]库存使用数据!$A:$G,7,0),0)+公式!$B$14*IFERROR(VLOOKUP($A640,[3]库存使用数据!$A:$G,7,0),0)+IFERROR(VLOOKUP($A640,[4]库存使用数据!$A:$G,7,0),0)+IFERROR(VLOOKUP($A640,[5]库存使用数据!$A:$G,7,0),0)</f>
        <v>0</v>
      </c>
      <c r="H640" s="1">
        <f ca="1">IFERROR(VLOOKUP($A640,[1]库存使用数据!$A:$H,8,0),0)+IFERROR(VLOOKUP($A640,[2]库存使用数据!$A:$H,8,0),0)+IFERROR(VLOOKUP($A640,[3]库存使用数据!$A:$H,8,0),0)+IFERROR(VLOOKUP($A640,[4]库存使用数据!$A:$H,8,0),0)+IFERROR(VLOOKUP($A640,[5]库存使用数据!$A:$H,8,0),0)</f>
        <v>1230</v>
      </c>
      <c r="I640" s="1">
        <f ca="1">IFERROR(VLOOKUP($A640,[1]库存使用数据!$A:$I,9,0),0)+IFERROR(VLOOKUP($A640,[2]库存使用数据!$A:$I,9,0),0)+IFERROR(VLOOKUP($A640,[3]库存使用数据!$A:$I,9,0),0)+IFERROR(VLOOKUP($A640,[4]库存使用数据!$A:$I,9,0),0)+IFERROR(VLOOKUP($A640,[5]库存使用数据!$A:$I,9,0),0)</f>
        <v>1</v>
      </c>
      <c r="J640" s="1">
        <f ca="1">IFERROR(VLOOKUP($A640,[1]库存使用数据!$A:$J,10,0),0)+IFERROR(VLOOKUP($A640,[2]库存使用数据!$A:$J,10,0),0)+公式!$B$14*IFERROR(VLOOKUP($A640,[3]库存使用数据!$A:$J,10,0),0)+IFERROR(VLOOKUP($A640,[4]库存使用数据!$A:$J,10,0),0)+IFERROR(VLOOKUP($A640,[5]库存使用数据!$A:$J,10,0),0)</f>
        <v>0.22</v>
      </c>
      <c r="K640" s="1">
        <f ca="1">IFERROR(VLOOKUP($A640,[1]库存使用数据!$A:$K,11,0),0)+IFERROR(VLOOKUP($A640,[2]库存使用数据!$A:$K,11,0),0)+IFERROR(VLOOKUP($A640,[3]库存使用数据!$A:$K,11,0),0)+IFERROR(VLOOKUP($A640,[4]库存使用数据!$A:$K,11,0),0)+IFERROR(VLOOKUP($A640,[5]库存使用数据!$A:$K,11,0),0)</f>
        <v>7010</v>
      </c>
      <c r="L640" s="1">
        <f ca="1">IFERROR(VLOOKUP($A640,[1]库存使用数据!$A:$L,12,0),0)+IFERROR(VLOOKUP($A640,[2]库存使用数据!$A:$L,12,0),0)+IFERROR(VLOOKUP($A640,[3]库存使用数据!$A:$L,12,0),0)+IFERROR(VLOOKUP($A640,[4]库存使用数据!$A:$L,12,0),0)+IFERROR(VLOOKUP($A640,[5]库存使用数据!$A:$L,12,0),0)</f>
        <v>2</v>
      </c>
      <c r="M640" s="1">
        <f ca="1">IFERROR(VLOOKUP($A640,[1]库存使用数据!$A:$M,13,0),0)+IFERROR(VLOOKUP($A640,[2]库存使用数据!$A:$M,13,0),0)+公式!$B$14*IFERROR(VLOOKUP($A640,[3]库存使用数据!$A:$M,13,0),0)+IFERROR(VLOOKUP($A640,[4]库存使用数据!$A:$M,13,0),0)+IFERROR(VLOOKUP($A640,[5]库存使用数据!$A:$M,13,0),0)</f>
        <v>0.13</v>
      </c>
    </row>
    <row r="641" spans="1:13">
      <c r="A641" s="6" t="s">
        <v>646</v>
      </c>
      <c r="B641" s="2">
        <f ca="1">IFERROR(VLOOKUP(A641,[1]库存使用数据!$A:$B,2,0),0)+IFERROR(VLOOKUP(A641,[2]库存使用数据!$A:$B,2,0),0)+IFERROR(VLOOKUP(,[3]库存使用数据!$A:$B,2,0),0)+IFERROR(VLOOKUP(A641,[4]库存使用数据!$A:$B,2,0),0)+IFERROR(VLOOKUP(A641,[5]库存使用数据!$A:$B,2,0),0)</f>
        <v>721</v>
      </c>
      <c r="C641" s="1">
        <f ca="1">IFERROR(VLOOKUP($A641,[1]库存使用数据!$A:$C,3,0),0)+IFERROR(VLOOKUP($A641,[2]库存使用数据!$A:$C,3,0),0)+IFERROR(VLOOKUP($A641,[3]库存使用数据!$A:$C,3,0),0)+IFERROR(VLOOKUP($A641,[4]库存使用数据!$A:$C,3,0),0)+IFERROR(VLOOKUP($A641,[5]库存使用数据!$A:$C,3,0),0)</f>
        <v>1</v>
      </c>
      <c r="D641" s="1">
        <f ca="1">IFERROR(VLOOKUP($A641,[1]库存使用数据!$A:$D,4,0),0)+IFERROR(VLOOKUP($A641,[2]库存使用数据!$A:$D,4,0),0)+公式!$B$1*IFERROR(VLOOKUP($A641,[3]库存使用数据!$A:$D,4,0),0)+IFERROR(VLOOKUP($A641,[4]库存使用数据!$A:$D,4,0),0)+IFERROR(VLOOKUP($A641,[5]库存使用数据!$A:$D,4,0),0)</f>
        <v>0.13</v>
      </c>
      <c r="E641" s="1">
        <f ca="1">IFERROR(VLOOKUP($A641,[1]库存使用数据!$A:$E,5,0),0)+IFERROR(VLOOKUP($A641,[2]库存使用数据!$A:$E,5,0),0)+IFERROR(VLOOKUP($A641,[3]库存使用数据!$A:$E,5,0),0)+IFERROR(VLOOKUP($A641,[4]库存使用数据!$A:$E,5,0),0)+IFERROR(VLOOKUP($A641,[5]库存使用数据!$A:$E,5,0),0)</f>
        <v>93</v>
      </c>
      <c r="F641" s="1">
        <f ca="1">IFERROR(VLOOKUP($A641,[1]库存使用数据!$A:$F,6,0),0)+IFERROR(VLOOKUP($A641,[2]库存使用数据!$A:$F,6,0),0)+IFERROR(VLOOKUP($A641,[4]库存使用数据!$A:$F,6,0),0)+IFERROR(VLOOKUP($A641,[3]库存使用数据!$A:$F,6,0),0)+IFERROR(VLOOKUP($A641,[5]库存使用数据!$A:$F,6,0),0)</f>
        <v>0</v>
      </c>
      <c r="G641" s="1">
        <f ca="1">IFERROR(VLOOKUP($A641,[1]库存使用数据!$A:$G,7,0),0)+IFERROR(VLOOKUP($A641,[2]库存使用数据!$A:$G,7,0),0)+公式!$B$14*IFERROR(VLOOKUP($A641,[3]库存使用数据!$A:$G,7,0),0)+IFERROR(VLOOKUP($A641,[4]库存使用数据!$A:$G,7,0),0)+IFERROR(VLOOKUP($A641,[5]库存使用数据!$A:$G,7,0),0)</f>
        <v>0</v>
      </c>
      <c r="H641" s="1">
        <f ca="1">IFERROR(VLOOKUP($A641,[1]库存使用数据!$A:$H,8,0),0)+IFERROR(VLOOKUP($A641,[2]库存使用数据!$A:$H,8,0),0)+IFERROR(VLOOKUP($A641,[3]库存使用数据!$A:$H,8,0),0)+IFERROR(VLOOKUP($A641,[4]库存使用数据!$A:$H,8,0),0)+IFERROR(VLOOKUP($A641,[5]库存使用数据!$A:$H,8,0),0)</f>
        <v>36</v>
      </c>
      <c r="I641" s="1">
        <f ca="1">IFERROR(VLOOKUP($A641,[1]库存使用数据!$A:$I,9,0),0)+IFERROR(VLOOKUP($A641,[2]库存使用数据!$A:$I,9,0),0)+IFERROR(VLOOKUP($A641,[3]库存使用数据!$A:$I,9,0),0)+IFERROR(VLOOKUP($A641,[4]库存使用数据!$A:$I,9,0),0)+IFERROR(VLOOKUP($A641,[5]库存使用数据!$A:$I,9,0),0)</f>
        <v>1</v>
      </c>
      <c r="J641" s="1">
        <f ca="1">IFERROR(VLOOKUP($A641,[1]库存使用数据!$A:$J,10,0),0)+IFERROR(VLOOKUP($A641,[2]库存使用数据!$A:$J,10,0),0)+公式!$B$14*IFERROR(VLOOKUP($A641,[3]库存使用数据!$A:$J,10,0),0)+IFERROR(VLOOKUP($A641,[4]库存使用数据!$A:$J,10,0),0)+IFERROR(VLOOKUP($A641,[5]库存使用数据!$A:$J,10,0),0)</f>
        <v>0.26</v>
      </c>
      <c r="K641" s="1">
        <f ca="1">IFERROR(VLOOKUP($A641,[1]库存使用数据!$A:$K,11,0),0)+IFERROR(VLOOKUP($A641,[2]库存使用数据!$A:$K,11,0),0)+IFERROR(VLOOKUP($A641,[3]库存使用数据!$A:$K,11,0),0)+IFERROR(VLOOKUP($A641,[4]库存使用数据!$A:$K,11,0),0)+IFERROR(VLOOKUP($A641,[5]库存使用数据!$A:$K,11,0),0)</f>
        <v>105</v>
      </c>
      <c r="L641" s="1">
        <f ca="1">IFERROR(VLOOKUP($A641,[1]库存使用数据!$A:$L,12,0),0)+IFERROR(VLOOKUP($A641,[2]库存使用数据!$A:$L,12,0),0)+IFERROR(VLOOKUP($A641,[3]库存使用数据!$A:$L,12,0),0)+IFERROR(VLOOKUP($A641,[4]库存使用数据!$A:$L,12,0),0)+IFERROR(VLOOKUP($A641,[5]库存使用数据!$A:$L,12,0),0)</f>
        <v>0</v>
      </c>
      <c r="M641" s="1">
        <f ca="1">IFERROR(VLOOKUP($A641,[1]库存使用数据!$A:$M,13,0),0)+IFERROR(VLOOKUP($A641,[2]库存使用数据!$A:$M,13,0),0)+公式!$B$14*IFERROR(VLOOKUP($A641,[3]库存使用数据!$A:$M,13,0),0)+IFERROR(VLOOKUP($A641,[4]库存使用数据!$A:$M,13,0),0)+IFERROR(VLOOKUP($A641,[5]库存使用数据!$A:$M,13,0),0)</f>
        <v>0</v>
      </c>
    </row>
    <row r="642" spans="1:13">
      <c r="A642" s="6" t="s">
        <v>647</v>
      </c>
      <c r="B642" s="2">
        <f ca="1">IFERROR(VLOOKUP(A642,[1]库存使用数据!$A:$B,2,0),0)+IFERROR(VLOOKUP(A642,[2]库存使用数据!$A:$B,2,0),0)+IFERROR(VLOOKUP(,[3]库存使用数据!$A:$B,2,0),0)+IFERROR(VLOOKUP(A642,[4]库存使用数据!$A:$B,2,0),0)+IFERROR(VLOOKUP(A642,[5]库存使用数据!$A:$B,2,0),0)</f>
        <v>69</v>
      </c>
      <c r="C642" s="1">
        <f ca="1">IFERROR(VLOOKUP($A642,[1]库存使用数据!$A:$C,3,0),0)+IFERROR(VLOOKUP($A642,[2]库存使用数据!$A:$C,3,0),0)+IFERROR(VLOOKUP($A642,[3]库存使用数据!$A:$C,3,0),0)+IFERROR(VLOOKUP($A642,[4]库存使用数据!$A:$C,3,0),0)+IFERROR(VLOOKUP($A642,[5]库存使用数据!$A:$C,3,0),0)</f>
        <v>0</v>
      </c>
      <c r="D642" s="1">
        <f ca="1">IFERROR(VLOOKUP($A642,[1]库存使用数据!$A:$D,4,0),0)+IFERROR(VLOOKUP($A642,[2]库存使用数据!$A:$D,4,0),0)+公式!$B$1*IFERROR(VLOOKUP($A642,[3]库存使用数据!$A:$D,4,0),0)+IFERROR(VLOOKUP($A642,[4]库存使用数据!$A:$D,4,0),0)+IFERROR(VLOOKUP($A642,[5]库存使用数据!$A:$D,4,0),0)</f>
        <v>0</v>
      </c>
      <c r="E642" s="1">
        <f ca="1">IFERROR(VLOOKUP($A642,[1]库存使用数据!$A:$E,5,0),0)+IFERROR(VLOOKUP($A642,[2]库存使用数据!$A:$E,5,0),0)+IFERROR(VLOOKUP($A642,[3]库存使用数据!$A:$E,5,0),0)+IFERROR(VLOOKUP($A642,[4]库存使用数据!$A:$E,5,0),0)+IFERROR(VLOOKUP($A642,[5]库存使用数据!$A:$E,5,0),0)</f>
        <v>304</v>
      </c>
      <c r="F642" s="1">
        <f ca="1">IFERROR(VLOOKUP($A642,[1]库存使用数据!$A:$F,6,0),0)+IFERROR(VLOOKUP($A642,[2]库存使用数据!$A:$F,6,0),0)+IFERROR(VLOOKUP($A642,[4]库存使用数据!$A:$F,6,0),0)+IFERROR(VLOOKUP($A642,[3]库存使用数据!$A:$F,6,0),0)+IFERROR(VLOOKUP($A642,[5]库存使用数据!$A:$F,6,0),0)</f>
        <v>0</v>
      </c>
      <c r="G642" s="1">
        <f ca="1">IFERROR(VLOOKUP($A642,[1]库存使用数据!$A:$G,7,0),0)+IFERROR(VLOOKUP($A642,[2]库存使用数据!$A:$G,7,0),0)+公式!$B$14*IFERROR(VLOOKUP($A642,[3]库存使用数据!$A:$G,7,0),0)+IFERROR(VLOOKUP($A642,[4]库存使用数据!$A:$G,7,0),0)+IFERROR(VLOOKUP($A642,[5]库存使用数据!$A:$G,7,0),0)</f>
        <v>0</v>
      </c>
      <c r="H642" s="1">
        <f ca="1">IFERROR(VLOOKUP($A642,[1]库存使用数据!$A:$H,8,0),0)+IFERROR(VLOOKUP($A642,[2]库存使用数据!$A:$H,8,0),0)+IFERROR(VLOOKUP($A642,[3]库存使用数据!$A:$H,8,0),0)+IFERROR(VLOOKUP($A642,[4]库存使用数据!$A:$H,8,0),0)+IFERROR(VLOOKUP($A642,[5]库存使用数据!$A:$H,8,0),0)</f>
        <v>839</v>
      </c>
      <c r="I642" s="1">
        <f ca="1">IFERROR(VLOOKUP($A642,[1]库存使用数据!$A:$I,9,0),0)+IFERROR(VLOOKUP($A642,[2]库存使用数据!$A:$I,9,0),0)+IFERROR(VLOOKUP($A642,[3]库存使用数据!$A:$I,9,0),0)+IFERROR(VLOOKUP($A642,[4]库存使用数据!$A:$I,9,0),0)+IFERROR(VLOOKUP($A642,[5]库存使用数据!$A:$I,9,0),0)</f>
        <v>0</v>
      </c>
      <c r="J642" s="1">
        <f ca="1">IFERROR(VLOOKUP($A642,[1]库存使用数据!$A:$J,10,0),0)+IFERROR(VLOOKUP($A642,[2]库存使用数据!$A:$J,10,0),0)+公式!$B$14*IFERROR(VLOOKUP($A642,[3]库存使用数据!$A:$J,10,0),0)+IFERROR(VLOOKUP($A642,[4]库存使用数据!$A:$J,10,0),0)+IFERROR(VLOOKUP($A642,[5]库存使用数据!$A:$J,10,0),0)</f>
        <v>0</v>
      </c>
      <c r="K642" s="1">
        <f ca="1">IFERROR(VLOOKUP($A642,[1]库存使用数据!$A:$K,11,0),0)+IFERROR(VLOOKUP($A642,[2]库存使用数据!$A:$K,11,0),0)+IFERROR(VLOOKUP($A642,[3]库存使用数据!$A:$K,11,0),0)+IFERROR(VLOOKUP($A642,[4]库存使用数据!$A:$K,11,0),0)+IFERROR(VLOOKUP($A642,[5]库存使用数据!$A:$K,11,0),0)</f>
        <v>309</v>
      </c>
      <c r="L642" s="1">
        <f ca="1">IFERROR(VLOOKUP($A642,[1]库存使用数据!$A:$L,12,0),0)+IFERROR(VLOOKUP($A642,[2]库存使用数据!$A:$L,12,0),0)+IFERROR(VLOOKUP($A642,[3]库存使用数据!$A:$L,12,0),0)+IFERROR(VLOOKUP($A642,[4]库存使用数据!$A:$L,12,0),0)+IFERROR(VLOOKUP($A642,[5]库存使用数据!$A:$L,12,0),0)</f>
        <v>1</v>
      </c>
      <c r="M642" s="1">
        <f ca="1">IFERROR(VLOOKUP($A642,[1]库存使用数据!$A:$M,13,0),0)+IFERROR(VLOOKUP($A642,[2]库存使用数据!$A:$M,13,0),0)+公式!$B$14*IFERROR(VLOOKUP($A642,[3]库存使用数据!$A:$M,13,0),0)+IFERROR(VLOOKUP($A642,[4]库存使用数据!$A:$M,13,0),0)+IFERROR(VLOOKUP($A642,[5]库存使用数据!$A:$M,13,0),0)</f>
        <v>0.09</v>
      </c>
    </row>
    <row r="643" spans="1:13">
      <c r="A643" s="6" t="s">
        <v>648</v>
      </c>
      <c r="B643" s="2">
        <f ca="1">IFERROR(VLOOKUP(A643,[1]库存使用数据!$A:$B,2,0),0)+IFERROR(VLOOKUP(A643,[2]库存使用数据!$A:$B,2,0),0)+IFERROR(VLOOKUP(,[3]库存使用数据!$A:$B,2,0),0)+IFERROR(VLOOKUP(A643,[4]库存使用数据!$A:$B,2,0),0)+IFERROR(VLOOKUP(A643,[5]库存使用数据!$A:$B,2,0),0)</f>
        <v>273</v>
      </c>
      <c r="C643" s="1">
        <f ca="1">IFERROR(VLOOKUP($A643,[1]库存使用数据!$A:$C,3,0),0)+IFERROR(VLOOKUP($A643,[2]库存使用数据!$A:$C,3,0),0)+IFERROR(VLOOKUP($A643,[3]库存使用数据!$A:$C,3,0),0)+IFERROR(VLOOKUP($A643,[4]库存使用数据!$A:$C,3,0),0)+IFERROR(VLOOKUP($A643,[5]库存使用数据!$A:$C,3,0),0)</f>
        <v>0</v>
      </c>
      <c r="D643" s="1">
        <f ca="1">IFERROR(VLOOKUP($A643,[1]库存使用数据!$A:$D,4,0),0)+IFERROR(VLOOKUP($A643,[2]库存使用数据!$A:$D,4,0),0)+公式!$B$1*IFERROR(VLOOKUP($A643,[3]库存使用数据!$A:$D,4,0),0)+IFERROR(VLOOKUP($A643,[4]库存使用数据!$A:$D,4,0),0)+IFERROR(VLOOKUP($A643,[5]库存使用数据!$A:$D,4,0),0)</f>
        <v>0</v>
      </c>
      <c r="E643" s="1">
        <f ca="1">IFERROR(VLOOKUP($A643,[1]库存使用数据!$A:$E,5,0),0)+IFERROR(VLOOKUP($A643,[2]库存使用数据!$A:$E,5,0),0)+IFERROR(VLOOKUP($A643,[3]库存使用数据!$A:$E,5,0),0)+IFERROR(VLOOKUP($A643,[4]库存使用数据!$A:$E,5,0),0)+IFERROR(VLOOKUP($A643,[5]库存使用数据!$A:$E,5,0),0)</f>
        <v>599</v>
      </c>
      <c r="F643" s="1">
        <f ca="1">IFERROR(VLOOKUP($A643,[1]库存使用数据!$A:$F,6,0),0)+IFERROR(VLOOKUP($A643,[2]库存使用数据!$A:$F,6,0),0)+IFERROR(VLOOKUP($A643,[4]库存使用数据!$A:$F,6,0),0)+IFERROR(VLOOKUP($A643,[3]库存使用数据!$A:$F,6,0),0)+IFERROR(VLOOKUP($A643,[5]库存使用数据!$A:$F,6,0),0)</f>
        <v>1</v>
      </c>
      <c r="G643" s="1">
        <f ca="1">IFERROR(VLOOKUP($A643,[1]库存使用数据!$A:$G,7,0),0)+IFERROR(VLOOKUP($A643,[2]库存使用数据!$A:$G,7,0),0)+公式!$B$14*IFERROR(VLOOKUP($A643,[3]库存使用数据!$A:$G,7,0),0)+IFERROR(VLOOKUP($A643,[4]库存使用数据!$A:$G,7,0),0)+IFERROR(VLOOKUP($A643,[5]库存使用数据!$A:$G,7,0),0)</f>
        <v>0.26</v>
      </c>
      <c r="H643" s="1">
        <f ca="1">IFERROR(VLOOKUP($A643,[1]库存使用数据!$A:$H,8,0),0)+IFERROR(VLOOKUP($A643,[2]库存使用数据!$A:$H,8,0),0)+IFERROR(VLOOKUP($A643,[3]库存使用数据!$A:$H,8,0),0)+IFERROR(VLOOKUP($A643,[4]库存使用数据!$A:$H,8,0),0)+IFERROR(VLOOKUP($A643,[5]库存使用数据!$A:$H,8,0),0)</f>
        <v>1046</v>
      </c>
      <c r="I643" s="1">
        <f ca="1">IFERROR(VLOOKUP($A643,[1]库存使用数据!$A:$I,9,0),0)+IFERROR(VLOOKUP($A643,[2]库存使用数据!$A:$I,9,0),0)+IFERROR(VLOOKUP($A643,[3]库存使用数据!$A:$I,9,0),0)+IFERROR(VLOOKUP($A643,[4]库存使用数据!$A:$I,9,0),0)+IFERROR(VLOOKUP($A643,[5]库存使用数据!$A:$I,9,0),0)</f>
        <v>3</v>
      </c>
      <c r="J643" s="1">
        <f ca="1">IFERROR(VLOOKUP($A643,[1]库存使用数据!$A:$J,10,0),0)+IFERROR(VLOOKUP($A643,[2]库存使用数据!$A:$J,10,0),0)+公式!$B$14*IFERROR(VLOOKUP($A643,[3]库存使用数据!$A:$J,10,0),0)+IFERROR(VLOOKUP($A643,[4]库存使用数据!$A:$J,10,0),0)+IFERROR(VLOOKUP($A643,[5]库存使用数据!$A:$J,10,0),0)</f>
        <v>0.43</v>
      </c>
      <c r="K643" s="1">
        <f ca="1">IFERROR(VLOOKUP($A643,[1]库存使用数据!$A:$K,11,0),0)+IFERROR(VLOOKUP($A643,[2]库存使用数据!$A:$K,11,0),0)+IFERROR(VLOOKUP($A643,[3]库存使用数据!$A:$K,11,0),0)+IFERROR(VLOOKUP($A643,[4]库存使用数据!$A:$K,11,0),0)+IFERROR(VLOOKUP($A643,[5]库存使用数据!$A:$K,11,0),0)</f>
        <v>466</v>
      </c>
      <c r="L643" s="1">
        <f ca="1">IFERROR(VLOOKUP($A643,[1]库存使用数据!$A:$L,12,0),0)+IFERROR(VLOOKUP($A643,[2]库存使用数据!$A:$L,12,0),0)+IFERROR(VLOOKUP($A643,[3]库存使用数据!$A:$L,12,0),0)+IFERROR(VLOOKUP($A643,[4]库存使用数据!$A:$L,12,0),0)+IFERROR(VLOOKUP($A643,[5]库存使用数据!$A:$L,12,0),0)</f>
        <v>1</v>
      </c>
      <c r="M643" s="1">
        <f ca="1">IFERROR(VLOOKUP($A643,[1]库存使用数据!$A:$M,13,0),0)+IFERROR(VLOOKUP($A643,[2]库存使用数据!$A:$M,13,0),0)+公式!$B$14*IFERROR(VLOOKUP($A643,[3]库存使用数据!$A:$M,13,0),0)+IFERROR(VLOOKUP($A643,[4]库存使用数据!$A:$M,13,0),0)+IFERROR(VLOOKUP($A643,[5]库存使用数据!$A:$M,13,0),0)</f>
        <v>0.2</v>
      </c>
    </row>
    <row r="644" spans="1:13">
      <c r="A644" s="6" t="s">
        <v>649</v>
      </c>
      <c r="B644" s="2">
        <f ca="1">IFERROR(VLOOKUP(A644,[1]库存使用数据!$A:$B,2,0),0)+IFERROR(VLOOKUP(A644,[2]库存使用数据!$A:$B,2,0),0)+IFERROR(VLOOKUP(,[3]库存使用数据!$A:$B,2,0),0)+IFERROR(VLOOKUP(A644,[4]库存使用数据!$A:$B,2,0),0)+IFERROR(VLOOKUP(A644,[5]库存使用数据!$A:$B,2,0),0)</f>
        <v>10761</v>
      </c>
      <c r="C644" s="1">
        <f ca="1">IFERROR(VLOOKUP($A644,[1]库存使用数据!$A:$C,3,0),0)+IFERROR(VLOOKUP($A644,[2]库存使用数据!$A:$C,3,0),0)+IFERROR(VLOOKUP($A644,[3]库存使用数据!$A:$C,3,0),0)+IFERROR(VLOOKUP($A644,[4]库存使用数据!$A:$C,3,0),0)+IFERROR(VLOOKUP($A644,[5]库存使用数据!$A:$C,3,0),0)</f>
        <v>15</v>
      </c>
      <c r="D644" s="1">
        <f ca="1">IFERROR(VLOOKUP($A644,[1]库存使用数据!$A:$D,4,0),0)+IFERROR(VLOOKUP($A644,[2]库存使用数据!$A:$D,4,0),0)+公式!$B$1*IFERROR(VLOOKUP($A644,[3]库存使用数据!$A:$D,4,0),0)+IFERROR(VLOOKUP($A644,[4]库存使用数据!$A:$D,4,0),0)+IFERROR(VLOOKUP($A644,[5]库存使用数据!$A:$D,4,0),0)</f>
        <v>1.63</v>
      </c>
      <c r="E644" s="1">
        <f ca="1">IFERROR(VLOOKUP($A644,[1]库存使用数据!$A:$E,5,0),0)+IFERROR(VLOOKUP($A644,[2]库存使用数据!$A:$E,5,0),0)+IFERROR(VLOOKUP($A644,[3]库存使用数据!$A:$E,5,0),0)+IFERROR(VLOOKUP($A644,[4]库存使用数据!$A:$E,5,0),0)+IFERROR(VLOOKUP($A644,[5]库存使用数据!$A:$E,5,0),0)</f>
        <v>4569</v>
      </c>
      <c r="F644" s="1">
        <f ca="1">IFERROR(VLOOKUP($A644,[1]库存使用数据!$A:$F,6,0),0)+IFERROR(VLOOKUP($A644,[2]库存使用数据!$A:$F,6,0),0)+IFERROR(VLOOKUP($A644,[4]库存使用数据!$A:$F,6,0),0)+IFERROR(VLOOKUP($A644,[3]库存使用数据!$A:$F,6,0),0)+IFERROR(VLOOKUP($A644,[5]库存使用数据!$A:$F,6,0),0)</f>
        <v>11</v>
      </c>
      <c r="G644" s="1">
        <f ca="1">IFERROR(VLOOKUP($A644,[1]库存使用数据!$A:$G,7,0),0)+IFERROR(VLOOKUP($A644,[2]库存使用数据!$A:$G,7,0),0)+公式!$B$14*IFERROR(VLOOKUP($A644,[3]库存使用数据!$A:$G,7,0),0)+IFERROR(VLOOKUP($A644,[4]库存使用数据!$A:$G,7,0),0)+IFERROR(VLOOKUP($A644,[5]库存使用数据!$A:$G,7,0),0)</f>
        <v>1.65</v>
      </c>
      <c r="H644" s="1">
        <f ca="1">IFERROR(VLOOKUP($A644,[1]库存使用数据!$A:$H,8,0),0)+IFERROR(VLOOKUP($A644,[2]库存使用数据!$A:$H,8,0),0)+IFERROR(VLOOKUP($A644,[3]库存使用数据!$A:$H,8,0),0)+IFERROR(VLOOKUP($A644,[4]库存使用数据!$A:$H,8,0),0)+IFERROR(VLOOKUP($A644,[5]库存使用数据!$A:$H,8,0),0)</f>
        <v>1909</v>
      </c>
      <c r="I644" s="1">
        <f ca="1">IFERROR(VLOOKUP($A644,[1]库存使用数据!$A:$I,9,0),0)+IFERROR(VLOOKUP($A644,[2]库存使用数据!$A:$I,9,0),0)+IFERROR(VLOOKUP($A644,[3]库存使用数据!$A:$I,9,0),0)+IFERROR(VLOOKUP($A644,[4]库存使用数据!$A:$I,9,0),0)+IFERROR(VLOOKUP($A644,[5]库存使用数据!$A:$I,9,0),0)</f>
        <v>8</v>
      </c>
      <c r="J644" s="1">
        <f ca="1">IFERROR(VLOOKUP($A644,[1]库存使用数据!$A:$J,10,0),0)+IFERROR(VLOOKUP($A644,[2]库存使用数据!$A:$J,10,0),0)+公式!$B$14*IFERROR(VLOOKUP($A644,[3]库存使用数据!$A:$J,10,0),0)+IFERROR(VLOOKUP($A644,[4]库存使用数据!$A:$J,10,0),0)+IFERROR(VLOOKUP($A644,[5]库存使用数据!$A:$J,10,0),0)</f>
        <v>1.44</v>
      </c>
      <c r="K644" s="1">
        <f ca="1">IFERROR(VLOOKUP($A644,[1]库存使用数据!$A:$K,11,0),0)+IFERROR(VLOOKUP($A644,[2]库存使用数据!$A:$K,11,0),0)+IFERROR(VLOOKUP($A644,[3]库存使用数据!$A:$K,11,0),0)+IFERROR(VLOOKUP($A644,[4]库存使用数据!$A:$K,11,0),0)+IFERROR(VLOOKUP($A644,[5]库存使用数据!$A:$K,11,0),0)</f>
        <v>2896</v>
      </c>
      <c r="L644" s="1">
        <f ca="1">IFERROR(VLOOKUP($A644,[1]库存使用数据!$A:$L,12,0),0)+IFERROR(VLOOKUP($A644,[2]库存使用数据!$A:$L,12,0),0)+IFERROR(VLOOKUP($A644,[3]库存使用数据!$A:$L,12,0),0)+IFERROR(VLOOKUP($A644,[4]库存使用数据!$A:$L,12,0),0)+IFERROR(VLOOKUP($A644,[5]库存使用数据!$A:$L,12,0),0)</f>
        <v>3</v>
      </c>
      <c r="M644" s="1">
        <f ca="1">IFERROR(VLOOKUP($A644,[1]库存使用数据!$A:$M,13,0),0)+IFERROR(VLOOKUP($A644,[2]库存使用数据!$A:$M,13,0),0)+公式!$B$14*IFERROR(VLOOKUP($A644,[3]库存使用数据!$A:$M,13,0),0)+IFERROR(VLOOKUP($A644,[4]库存使用数据!$A:$M,13,0),0)+IFERROR(VLOOKUP($A644,[5]库存使用数据!$A:$M,13,0),0)</f>
        <v>0.43</v>
      </c>
    </row>
    <row r="645" spans="1:13">
      <c r="A645" s="6" t="s">
        <v>650</v>
      </c>
      <c r="B645" s="2">
        <f ca="1">IFERROR(VLOOKUP(A645,[1]库存使用数据!$A:$B,2,0),0)+IFERROR(VLOOKUP(A645,[2]库存使用数据!$A:$B,2,0),0)+IFERROR(VLOOKUP(,[3]库存使用数据!$A:$B,2,0),0)+IFERROR(VLOOKUP(A645,[4]库存使用数据!$A:$B,2,0),0)+IFERROR(VLOOKUP(A645,[5]库存使用数据!$A:$B,2,0),0)</f>
        <v>1008</v>
      </c>
      <c r="C645" s="1">
        <f ca="1">IFERROR(VLOOKUP($A645,[1]库存使用数据!$A:$C,3,0),0)+IFERROR(VLOOKUP($A645,[2]库存使用数据!$A:$C,3,0),0)+IFERROR(VLOOKUP($A645,[3]库存使用数据!$A:$C,3,0),0)+IFERROR(VLOOKUP($A645,[4]库存使用数据!$A:$C,3,0),0)+IFERROR(VLOOKUP($A645,[5]库存使用数据!$A:$C,3,0),0)</f>
        <v>1</v>
      </c>
      <c r="D645" s="1">
        <f ca="1">IFERROR(VLOOKUP($A645,[1]库存使用数据!$A:$D,4,0),0)+IFERROR(VLOOKUP($A645,[2]库存使用数据!$A:$D,4,0),0)+公式!$B$1*IFERROR(VLOOKUP($A645,[3]库存使用数据!$A:$D,4,0),0)+IFERROR(VLOOKUP($A645,[4]库存使用数据!$A:$D,4,0),0)+IFERROR(VLOOKUP($A645,[5]库存使用数据!$A:$D,4,0),0)</f>
        <v>0.18</v>
      </c>
      <c r="E645" s="1">
        <f ca="1">IFERROR(VLOOKUP($A645,[1]库存使用数据!$A:$E,5,0),0)+IFERROR(VLOOKUP($A645,[2]库存使用数据!$A:$E,5,0),0)+IFERROR(VLOOKUP($A645,[3]库存使用数据!$A:$E,5,0),0)+IFERROR(VLOOKUP($A645,[4]库存使用数据!$A:$E,5,0),0)+IFERROR(VLOOKUP($A645,[5]库存使用数据!$A:$E,5,0),0)</f>
        <v>901</v>
      </c>
      <c r="F645" s="1">
        <f ca="1">IFERROR(VLOOKUP($A645,[1]库存使用数据!$A:$F,6,0),0)+IFERROR(VLOOKUP($A645,[2]库存使用数据!$A:$F,6,0),0)+IFERROR(VLOOKUP($A645,[4]库存使用数据!$A:$F,6,0),0)+IFERROR(VLOOKUP($A645,[3]库存使用数据!$A:$F,6,0),0)+IFERROR(VLOOKUP($A645,[5]库存使用数据!$A:$F,6,0),0)</f>
        <v>1</v>
      </c>
      <c r="G645" s="1">
        <f ca="1">IFERROR(VLOOKUP($A645,[1]库存使用数据!$A:$G,7,0),0)+IFERROR(VLOOKUP($A645,[2]库存使用数据!$A:$G,7,0),0)+公式!$B$14*IFERROR(VLOOKUP($A645,[3]库存使用数据!$A:$G,7,0),0)+IFERROR(VLOOKUP($A645,[4]库存使用数据!$A:$G,7,0),0)+IFERROR(VLOOKUP($A645,[5]库存使用数据!$A:$G,7,0),0)</f>
        <v>0.2</v>
      </c>
      <c r="H645" s="1">
        <f ca="1">IFERROR(VLOOKUP($A645,[1]库存使用数据!$A:$H,8,0),0)+IFERROR(VLOOKUP($A645,[2]库存使用数据!$A:$H,8,0),0)+IFERROR(VLOOKUP($A645,[3]库存使用数据!$A:$H,8,0),0)+IFERROR(VLOOKUP($A645,[4]库存使用数据!$A:$H,8,0),0)+IFERROR(VLOOKUP($A645,[5]库存使用数据!$A:$H,8,0),0)</f>
        <v>426</v>
      </c>
      <c r="I645" s="1">
        <f ca="1">IFERROR(VLOOKUP($A645,[1]库存使用数据!$A:$I,9,0),0)+IFERROR(VLOOKUP($A645,[2]库存使用数据!$A:$I,9,0),0)+IFERROR(VLOOKUP($A645,[3]库存使用数据!$A:$I,9,0),0)+IFERROR(VLOOKUP($A645,[4]库存使用数据!$A:$I,9,0),0)+IFERROR(VLOOKUP($A645,[5]库存使用数据!$A:$I,9,0),0)</f>
        <v>2</v>
      </c>
      <c r="J645" s="1">
        <f ca="1">IFERROR(VLOOKUP($A645,[1]库存使用数据!$A:$J,10,0),0)+IFERROR(VLOOKUP($A645,[2]库存使用数据!$A:$J,10,0),0)+公式!$B$14*IFERROR(VLOOKUP($A645,[3]库存使用数据!$A:$J,10,0),0)+IFERROR(VLOOKUP($A645,[4]库存使用数据!$A:$J,10,0),0)+IFERROR(VLOOKUP($A645,[5]库存使用数据!$A:$J,10,0),0)</f>
        <v>0.3</v>
      </c>
      <c r="K645" s="1">
        <f ca="1">IFERROR(VLOOKUP($A645,[1]库存使用数据!$A:$K,11,0),0)+IFERROR(VLOOKUP($A645,[2]库存使用数据!$A:$K,11,0),0)+IFERROR(VLOOKUP($A645,[3]库存使用数据!$A:$K,11,0),0)+IFERROR(VLOOKUP($A645,[4]库存使用数据!$A:$K,11,0),0)+IFERROR(VLOOKUP($A645,[5]库存使用数据!$A:$K,11,0),0)</f>
        <v>609</v>
      </c>
      <c r="L645" s="1">
        <f ca="1">IFERROR(VLOOKUP($A645,[1]库存使用数据!$A:$L,12,0),0)+IFERROR(VLOOKUP($A645,[2]库存使用数据!$A:$L,12,0),0)+IFERROR(VLOOKUP($A645,[3]库存使用数据!$A:$L,12,0),0)+IFERROR(VLOOKUP($A645,[4]库存使用数据!$A:$L,12,0),0)+IFERROR(VLOOKUP($A645,[5]库存使用数据!$A:$L,12,0),0)</f>
        <v>0</v>
      </c>
      <c r="M645" s="1">
        <f ca="1">IFERROR(VLOOKUP($A645,[1]库存使用数据!$A:$M,13,0),0)+IFERROR(VLOOKUP($A645,[2]库存使用数据!$A:$M,13,0),0)+公式!$B$14*IFERROR(VLOOKUP($A645,[3]库存使用数据!$A:$M,13,0),0)+IFERROR(VLOOKUP($A645,[4]库存使用数据!$A:$M,13,0),0)+IFERROR(VLOOKUP($A645,[5]库存使用数据!$A:$M,13,0),0)</f>
        <v>0</v>
      </c>
    </row>
    <row r="646" spans="1:13">
      <c r="A646" s="6" t="s">
        <v>651</v>
      </c>
      <c r="B646" s="2">
        <f ca="1">IFERROR(VLOOKUP(A646,[1]库存使用数据!$A:$B,2,0),0)+IFERROR(VLOOKUP(A646,[2]库存使用数据!$A:$B,2,0),0)+IFERROR(VLOOKUP(,[3]库存使用数据!$A:$B,2,0),0)+IFERROR(VLOOKUP(A646,[4]库存使用数据!$A:$B,2,0),0)+IFERROR(VLOOKUP(A646,[5]库存使用数据!$A:$B,2,0),0)</f>
        <v>2428</v>
      </c>
      <c r="C646" s="1">
        <f ca="1">IFERROR(VLOOKUP($A646,[1]库存使用数据!$A:$C,3,0),0)+IFERROR(VLOOKUP($A646,[2]库存使用数据!$A:$C,3,0),0)+IFERROR(VLOOKUP($A646,[3]库存使用数据!$A:$C,3,0),0)+IFERROR(VLOOKUP($A646,[4]库存使用数据!$A:$C,3,0),0)+IFERROR(VLOOKUP($A646,[5]库存使用数据!$A:$C,3,0),0)</f>
        <v>7</v>
      </c>
      <c r="D646" s="1">
        <f ca="1">IFERROR(VLOOKUP($A646,[1]库存使用数据!$A:$D,4,0),0)+IFERROR(VLOOKUP($A646,[2]库存使用数据!$A:$D,4,0),0)+公式!$B$1*IFERROR(VLOOKUP($A646,[3]库存使用数据!$A:$D,4,0),0)+IFERROR(VLOOKUP($A646,[4]库存使用数据!$A:$D,4,0),0)+IFERROR(VLOOKUP($A646,[5]库存使用数据!$A:$D,4,0),0)</f>
        <v>0.57</v>
      </c>
      <c r="E646" s="1">
        <f ca="1">IFERROR(VLOOKUP($A646,[1]库存使用数据!$A:$E,5,0),0)+IFERROR(VLOOKUP($A646,[2]库存使用数据!$A:$E,5,0),0)+IFERROR(VLOOKUP($A646,[3]库存使用数据!$A:$E,5,0),0)+IFERROR(VLOOKUP($A646,[4]库存使用数据!$A:$E,5,0),0)+IFERROR(VLOOKUP($A646,[5]库存使用数据!$A:$E,5,0),0)</f>
        <v>465</v>
      </c>
      <c r="F646" s="1">
        <f ca="1">IFERROR(VLOOKUP($A646,[1]库存使用数据!$A:$F,6,0),0)+IFERROR(VLOOKUP($A646,[2]库存使用数据!$A:$F,6,0),0)+IFERROR(VLOOKUP($A646,[4]库存使用数据!$A:$F,6,0),0)+IFERROR(VLOOKUP($A646,[3]库存使用数据!$A:$F,6,0),0)+IFERROR(VLOOKUP($A646,[5]库存使用数据!$A:$F,6,0),0)</f>
        <v>5</v>
      </c>
      <c r="G646" s="1">
        <f ca="1">IFERROR(VLOOKUP($A646,[1]库存使用数据!$A:$G,7,0),0)+IFERROR(VLOOKUP($A646,[2]库存使用数据!$A:$G,7,0),0)+公式!$B$14*IFERROR(VLOOKUP($A646,[3]库存使用数据!$A:$G,7,0),0)+IFERROR(VLOOKUP($A646,[4]库存使用数据!$A:$G,7,0),0)+IFERROR(VLOOKUP($A646,[5]库存使用数据!$A:$G,7,0),0)</f>
        <v>0.59</v>
      </c>
      <c r="H646" s="1">
        <f ca="1">IFERROR(VLOOKUP($A646,[1]库存使用数据!$A:$H,8,0),0)+IFERROR(VLOOKUP($A646,[2]库存使用数据!$A:$H,8,0),0)+IFERROR(VLOOKUP($A646,[3]库存使用数据!$A:$H,8,0),0)+IFERROR(VLOOKUP($A646,[4]库存使用数据!$A:$H,8,0),0)+IFERROR(VLOOKUP($A646,[5]库存使用数据!$A:$H,8,0),0)</f>
        <v>273</v>
      </c>
      <c r="I646" s="1">
        <f ca="1">IFERROR(VLOOKUP($A646,[1]库存使用数据!$A:$I,9,0),0)+IFERROR(VLOOKUP($A646,[2]库存使用数据!$A:$I,9,0),0)+IFERROR(VLOOKUP($A646,[3]库存使用数据!$A:$I,9,0),0)+IFERROR(VLOOKUP($A646,[4]库存使用数据!$A:$I,9,0),0)+IFERROR(VLOOKUP($A646,[5]库存使用数据!$A:$I,9,0),0)</f>
        <v>2</v>
      </c>
      <c r="J646" s="1">
        <f ca="1">IFERROR(VLOOKUP($A646,[1]库存使用数据!$A:$J,10,0),0)+IFERROR(VLOOKUP($A646,[2]库存使用数据!$A:$J,10,0),0)+公式!$B$14*IFERROR(VLOOKUP($A646,[3]库存使用数据!$A:$J,10,0),0)+IFERROR(VLOOKUP($A646,[4]库存使用数据!$A:$J,10,0),0)+IFERROR(VLOOKUP($A646,[5]库存使用数据!$A:$J,10,0),0)</f>
        <v>0.11</v>
      </c>
      <c r="K646" s="1">
        <f ca="1">IFERROR(VLOOKUP($A646,[1]库存使用数据!$A:$K,11,0),0)+IFERROR(VLOOKUP($A646,[2]库存使用数据!$A:$K,11,0),0)+IFERROR(VLOOKUP($A646,[3]库存使用数据!$A:$K,11,0),0)+IFERROR(VLOOKUP($A646,[4]库存使用数据!$A:$K,11,0),0)+IFERROR(VLOOKUP($A646,[5]库存使用数据!$A:$K,11,0),0)</f>
        <v>251</v>
      </c>
      <c r="L646" s="1">
        <f ca="1">IFERROR(VLOOKUP($A646,[1]库存使用数据!$A:$L,12,0),0)+IFERROR(VLOOKUP($A646,[2]库存使用数据!$A:$L,12,0),0)+IFERROR(VLOOKUP($A646,[3]库存使用数据!$A:$L,12,0),0)+IFERROR(VLOOKUP($A646,[4]库存使用数据!$A:$L,12,0),0)+IFERROR(VLOOKUP($A646,[5]库存使用数据!$A:$L,12,0),0)</f>
        <v>0</v>
      </c>
      <c r="M646" s="1">
        <f ca="1">IFERROR(VLOOKUP($A646,[1]库存使用数据!$A:$M,13,0),0)+IFERROR(VLOOKUP($A646,[2]库存使用数据!$A:$M,13,0),0)+公式!$B$14*IFERROR(VLOOKUP($A646,[3]库存使用数据!$A:$M,13,0),0)+IFERROR(VLOOKUP($A646,[4]库存使用数据!$A:$M,13,0),0)+IFERROR(VLOOKUP($A646,[5]库存使用数据!$A:$M,13,0),0)</f>
        <v>0</v>
      </c>
    </row>
    <row r="647" spans="1:13">
      <c r="A647" s="6" t="s">
        <v>652</v>
      </c>
      <c r="B647" s="2">
        <f ca="1">IFERROR(VLOOKUP(A647,[1]库存使用数据!$A:$B,2,0),0)+IFERROR(VLOOKUP(A647,[2]库存使用数据!$A:$B,2,0),0)+IFERROR(VLOOKUP(,[3]库存使用数据!$A:$B,2,0),0)+IFERROR(VLOOKUP(A647,[4]库存使用数据!$A:$B,2,0),0)+IFERROR(VLOOKUP(A647,[5]库存使用数据!$A:$B,2,0),0)</f>
        <v>770</v>
      </c>
      <c r="C647" s="1">
        <f ca="1">IFERROR(VLOOKUP($A647,[1]库存使用数据!$A:$C,3,0),0)+IFERROR(VLOOKUP($A647,[2]库存使用数据!$A:$C,3,0),0)+IFERROR(VLOOKUP($A647,[3]库存使用数据!$A:$C,3,0),0)+IFERROR(VLOOKUP($A647,[4]库存使用数据!$A:$C,3,0),0)+IFERROR(VLOOKUP($A647,[5]库存使用数据!$A:$C,3,0),0)</f>
        <v>4</v>
      </c>
      <c r="D647" s="1">
        <f ca="1">IFERROR(VLOOKUP($A647,[1]库存使用数据!$A:$D,4,0),0)+IFERROR(VLOOKUP($A647,[2]库存使用数据!$A:$D,4,0),0)+公式!$B$1*IFERROR(VLOOKUP($A647,[3]库存使用数据!$A:$D,4,0),0)+IFERROR(VLOOKUP($A647,[4]库存使用数据!$A:$D,4,0),0)+IFERROR(VLOOKUP($A647,[5]库存使用数据!$A:$D,4,0),0)</f>
        <v>0.29</v>
      </c>
      <c r="E647" s="1">
        <f ca="1">IFERROR(VLOOKUP($A647,[1]库存使用数据!$A:$E,5,0),0)+IFERROR(VLOOKUP($A647,[2]库存使用数据!$A:$E,5,0),0)+IFERROR(VLOOKUP($A647,[3]库存使用数据!$A:$E,5,0),0)+IFERROR(VLOOKUP($A647,[4]库存使用数据!$A:$E,5,0),0)+IFERROR(VLOOKUP($A647,[5]库存使用数据!$A:$E,5,0),0)</f>
        <v>473</v>
      </c>
      <c r="F647" s="1">
        <f ca="1">IFERROR(VLOOKUP($A647,[1]库存使用数据!$A:$F,6,0),0)+IFERROR(VLOOKUP($A647,[2]库存使用数据!$A:$F,6,0),0)+IFERROR(VLOOKUP($A647,[4]库存使用数据!$A:$F,6,0),0)+IFERROR(VLOOKUP($A647,[3]库存使用数据!$A:$F,6,0),0)+IFERROR(VLOOKUP($A647,[5]库存使用数据!$A:$F,6,0),0)</f>
        <v>4</v>
      </c>
      <c r="G647" s="1">
        <f ca="1">IFERROR(VLOOKUP($A647,[1]库存使用数据!$A:$G,7,0),0)+IFERROR(VLOOKUP($A647,[2]库存使用数据!$A:$G,7,0),0)+公式!$B$14*IFERROR(VLOOKUP($A647,[3]库存使用数据!$A:$G,7,0),0)+IFERROR(VLOOKUP($A647,[4]库存使用数据!$A:$G,7,0),0)+IFERROR(VLOOKUP($A647,[5]库存使用数据!$A:$G,7,0),0)</f>
        <v>0.48</v>
      </c>
      <c r="H647" s="1">
        <f ca="1">IFERROR(VLOOKUP($A647,[1]库存使用数据!$A:$H,8,0),0)+IFERROR(VLOOKUP($A647,[2]库存使用数据!$A:$H,8,0),0)+IFERROR(VLOOKUP($A647,[3]库存使用数据!$A:$H,8,0),0)+IFERROR(VLOOKUP($A647,[4]库存使用数据!$A:$H,8,0),0)+IFERROR(VLOOKUP($A647,[5]库存使用数据!$A:$H,8,0),0)</f>
        <v>2014</v>
      </c>
      <c r="I647" s="1">
        <f ca="1">IFERROR(VLOOKUP($A647,[1]库存使用数据!$A:$I,9,0),0)+IFERROR(VLOOKUP($A647,[2]库存使用数据!$A:$I,9,0),0)+IFERROR(VLOOKUP($A647,[3]库存使用数据!$A:$I,9,0),0)+IFERROR(VLOOKUP($A647,[4]库存使用数据!$A:$I,9,0),0)+IFERROR(VLOOKUP($A647,[5]库存使用数据!$A:$I,9,0),0)</f>
        <v>3</v>
      </c>
      <c r="J647" s="1">
        <f ca="1">IFERROR(VLOOKUP($A647,[1]库存使用数据!$A:$J,10,0),0)+IFERROR(VLOOKUP($A647,[2]库存使用数据!$A:$J,10,0),0)+公式!$B$14*IFERROR(VLOOKUP($A647,[3]库存使用数据!$A:$J,10,0),0)+IFERROR(VLOOKUP($A647,[4]库存使用数据!$A:$J,10,0),0)+IFERROR(VLOOKUP($A647,[5]库存使用数据!$A:$J,10,0),0)</f>
        <v>0.46</v>
      </c>
      <c r="K647" s="1">
        <f ca="1">IFERROR(VLOOKUP($A647,[1]库存使用数据!$A:$K,11,0),0)+IFERROR(VLOOKUP($A647,[2]库存使用数据!$A:$K,11,0),0)+IFERROR(VLOOKUP($A647,[3]库存使用数据!$A:$K,11,0),0)+IFERROR(VLOOKUP($A647,[4]库存使用数据!$A:$K,11,0),0)+IFERROR(VLOOKUP($A647,[5]库存使用数据!$A:$K,11,0),0)</f>
        <v>9413</v>
      </c>
      <c r="L647" s="1">
        <f ca="1">IFERROR(VLOOKUP($A647,[1]库存使用数据!$A:$L,12,0),0)+IFERROR(VLOOKUP($A647,[2]库存使用数据!$A:$L,12,0),0)+IFERROR(VLOOKUP($A647,[3]库存使用数据!$A:$L,12,0),0)+IFERROR(VLOOKUP($A647,[4]库存使用数据!$A:$L,12,0),0)+IFERROR(VLOOKUP($A647,[5]库存使用数据!$A:$L,12,0),0)</f>
        <v>24</v>
      </c>
      <c r="M647" s="1">
        <f ca="1">IFERROR(VLOOKUP($A647,[1]库存使用数据!$A:$M,13,0),0)+IFERROR(VLOOKUP($A647,[2]库存使用数据!$A:$M,13,0),0)+公式!$B$14*IFERROR(VLOOKUP($A647,[3]库存使用数据!$A:$M,13,0),0)+IFERROR(VLOOKUP($A647,[4]库存使用数据!$A:$M,13,0),0)+IFERROR(VLOOKUP($A647,[5]库存使用数据!$A:$M,13,0),0)</f>
        <v>3.07</v>
      </c>
    </row>
    <row r="648" spans="1:13">
      <c r="A648" s="6" t="s">
        <v>653</v>
      </c>
      <c r="B648" s="2">
        <f ca="1">IFERROR(VLOOKUP(A648,[1]库存使用数据!$A:$B,2,0),0)+IFERROR(VLOOKUP(A648,[2]库存使用数据!$A:$B,2,0),0)+IFERROR(VLOOKUP(,[3]库存使用数据!$A:$B,2,0),0)+IFERROR(VLOOKUP(A648,[4]库存使用数据!$A:$B,2,0),0)+IFERROR(VLOOKUP(A648,[5]库存使用数据!$A:$B,2,0),0)</f>
        <v>390</v>
      </c>
      <c r="C648" s="1">
        <f ca="1">IFERROR(VLOOKUP($A648,[1]库存使用数据!$A:$C,3,0),0)+IFERROR(VLOOKUP($A648,[2]库存使用数据!$A:$C,3,0),0)+IFERROR(VLOOKUP($A648,[3]库存使用数据!$A:$C,3,0),0)+IFERROR(VLOOKUP($A648,[4]库存使用数据!$A:$C,3,0),0)+IFERROR(VLOOKUP($A648,[5]库存使用数据!$A:$C,3,0),0)</f>
        <v>1</v>
      </c>
      <c r="D648" s="1">
        <f ca="1">IFERROR(VLOOKUP($A648,[1]库存使用数据!$A:$D,4,0),0)+IFERROR(VLOOKUP($A648,[2]库存使用数据!$A:$D,4,0),0)+公式!$B$1*IFERROR(VLOOKUP($A648,[3]库存使用数据!$A:$D,4,0),0)+IFERROR(VLOOKUP($A648,[4]库存使用数据!$A:$D,4,0),0)+IFERROR(VLOOKUP($A648,[5]库存使用数据!$A:$D,4,0),0)</f>
        <v>0.18</v>
      </c>
      <c r="E648" s="1">
        <f ca="1">IFERROR(VLOOKUP($A648,[1]库存使用数据!$A:$E,5,0),0)+IFERROR(VLOOKUP($A648,[2]库存使用数据!$A:$E,5,0),0)+IFERROR(VLOOKUP($A648,[3]库存使用数据!$A:$E,5,0),0)+IFERROR(VLOOKUP($A648,[4]库存使用数据!$A:$E,5,0),0)+IFERROR(VLOOKUP($A648,[5]库存使用数据!$A:$E,5,0),0)</f>
        <v>634</v>
      </c>
      <c r="F648" s="1">
        <f ca="1">IFERROR(VLOOKUP($A648,[1]库存使用数据!$A:$F,6,0),0)+IFERROR(VLOOKUP($A648,[2]库存使用数据!$A:$F,6,0),0)+IFERROR(VLOOKUP($A648,[4]库存使用数据!$A:$F,6,0),0)+IFERROR(VLOOKUP($A648,[3]库存使用数据!$A:$F,6,0),0)+IFERROR(VLOOKUP($A648,[5]库存使用数据!$A:$F,6,0),0)</f>
        <v>6</v>
      </c>
      <c r="G648" s="1">
        <f ca="1">IFERROR(VLOOKUP($A648,[1]库存使用数据!$A:$G,7,0),0)+IFERROR(VLOOKUP($A648,[2]库存使用数据!$A:$G,7,0),0)+公式!$B$14*IFERROR(VLOOKUP($A648,[3]库存使用数据!$A:$G,7,0),0)+IFERROR(VLOOKUP($A648,[4]库存使用数据!$A:$G,7,0),0)+IFERROR(VLOOKUP($A648,[5]库存使用数据!$A:$G,7,0),0)</f>
        <v>0.98</v>
      </c>
      <c r="H648" s="1">
        <f ca="1">IFERROR(VLOOKUP($A648,[1]库存使用数据!$A:$H,8,0),0)+IFERROR(VLOOKUP($A648,[2]库存使用数据!$A:$H,8,0),0)+IFERROR(VLOOKUP($A648,[3]库存使用数据!$A:$H,8,0),0)+IFERROR(VLOOKUP($A648,[4]库存使用数据!$A:$H,8,0),0)+IFERROR(VLOOKUP($A648,[5]库存使用数据!$A:$H,8,0),0)</f>
        <v>910</v>
      </c>
      <c r="I648" s="1">
        <f ca="1">IFERROR(VLOOKUP($A648,[1]库存使用数据!$A:$I,9,0),0)+IFERROR(VLOOKUP($A648,[2]库存使用数据!$A:$I,9,0),0)+IFERROR(VLOOKUP($A648,[3]库存使用数据!$A:$I,9,0),0)+IFERROR(VLOOKUP($A648,[4]库存使用数据!$A:$I,9,0),0)+IFERROR(VLOOKUP($A648,[5]库存使用数据!$A:$I,9,0),0)</f>
        <v>2</v>
      </c>
      <c r="J648" s="1">
        <f ca="1">IFERROR(VLOOKUP($A648,[1]库存使用数据!$A:$J,10,0),0)+IFERROR(VLOOKUP($A648,[2]库存使用数据!$A:$J,10,0),0)+公式!$B$14*IFERROR(VLOOKUP($A648,[3]库存使用数据!$A:$J,10,0),0)+IFERROR(VLOOKUP($A648,[4]库存使用数据!$A:$J,10,0),0)+IFERROR(VLOOKUP($A648,[5]库存使用数据!$A:$J,10,0),0)</f>
        <v>0.25</v>
      </c>
      <c r="K648" s="1">
        <f ca="1">IFERROR(VLOOKUP($A648,[1]库存使用数据!$A:$K,11,0),0)+IFERROR(VLOOKUP($A648,[2]库存使用数据!$A:$K,11,0),0)+IFERROR(VLOOKUP($A648,[3]库存使用数据!$A:$K,11,0),0)+IFERROR(VLOOKUP($A648,[4]库存使用数据!$A:$K,11,0),0)+IFERROR(VLOOKUP($A648,[5]库存使用数据!$A:$K,11,0),0)</f>
        <v>108</v>
      </c>
      <c r="L648" s="1">
        <f ca="1">IFERROR(VLOOKUP($A648,[1]库存使用数据!$A:$L,12,0),0)+IFERROR(VLOOKUP($A648,[2]库存使用数据!$A:$L,12,0),0)+IFERROR(VLOOKUP($A648,[3]库存使用数据!$A:$L,12,0),0)+IFERROR(VLOOKUP($A648,[4]库存使用数据!$A:$L,12,0),0)+IFERROR(VLOOKUP($A648,[5]库存使用数据!$A:$L,12,0),0)</f>
        <v>1</v>
      </c>
      <c r="M648" s="1">
        <f ca="1">IFERROR(VLOOKUP($A648,[1]库存使用数据!$A:$M,13,0),0)+IFERROR(VLOOKUP($A648,[2]库存使用数据!$A:$M,13,0),0)+公式!$B$14*IFERROR(VLOOKUP($A648,[3]库存使用数据!$A:$M,13,0),0)+IFERROR(VLOOKUP($A648,[4]库存使用数据!$A:$M,13,0),0)+IFERROR(VLOOKUP($A648,[5]库存使用数据!$A:$M,13,0),0)</f>
        <v>0.13</v>
      </c>
    </row>
    <row r="649" spans="1:13">
      <c r="A649" s="6" t="s">
        <v>654</v>
      </c>
      <c r="B649" s="2">
        <f ca="1">IFERROR(VLOOKUP(A649,[1]库存使用数据!$A:$B,2,0),0)+IFERROR(VLOOKUP(A649,[2]库存使用数据!$A:$B,2,0),0)+IFERROR(VLOOKUP(,[3]库存使用数据!$A:$B,2,0),0)+IFERROR(VLOOKUP(A649,[4]库存使用数据!$A:$B,2,0),0)+IFERROR(VLOOKUP(A649,[5]库存使用数据!$A:$B,2,0),0)</f>
        <v>343</v>
      </c>
      <c r="C649" s="1">
        <f ca="1">IFERROR(VLOOKUP($A649,[1]库存使用数据!$A:$C,3,0),0)+IFERROR(VLOOKUP($A649,[2]库存使用数据!$A:$C,3,0),0)+IFERROR(VLOOKUP($A649,[3]库存使用数据!$A:$C,3,0),0)+IFERROR(VLOOKUP($A649,[4]库存使用数据!$A:$C,3,0),0)+IFERROR(VLOOKUP($A649,[5]库存使用数据!$A:$C,3,0),0)</f>
        <v>1</v>
      </c>
      <c r="D649" s="1">
        <f ca="1">IFERROR(VLOOKUP($A649,[1]库存使用数据!$A:$D,4,0),0)+IFERROR(VLOOKUP($A649,[2]库存使用数据!$A:$D,4,0),0)+公式!$B$1*IFERROR(VLOOKUP($A649,[3]库存使用数据!$A:$D,4,0),0)+IFERROR(VLOOKUP($A649,[4]库存使用数据!$A:$D,4,0),0)+IFERROR(VLOOKUP($A649,[5]库存使用数据!$A:$D,4,0),0)</f>
        <v>0.19</v>
      </c>
      <c r="E649" s="1">
        <f ca="1">IFERROR(VLOOKUP($A649,[1]库存使用数据!$A:$E,5,0),0)+IFERROR(VLOOKUP($A649,[2]库存使用数据!$A:$E,5,0),0)+IFERROR(VLOOKUP($A649,[3]库存使用数据!$A:$E,5,0),0)+IFERROR(VLOOKUP($A649,[4]库存使用数据!$A:$E,5,0),0)+IFERROR(VLOOKUP($A649,[5]库存使用数据!$A:$E,5,0),0)</f>
        <v>209</v>
      </c>
      <c r="F649" s="1">
        <f ca="1">IFERROR(VLOOKUP($A649,[1]库存使用数据!$A:$F,6,0),0)+IFERROR(VLOOKUP($A649,[2]库存使用数据!$A:$F,6,0),0)+IFERROR(VLOOKUP($A649,[4]库存使用数据!$A:$F,6,0),0)+IFERROR(VLOOKUP($A649,[3]库存使用数据!$A:$F,6,0),0)+IFERROR(VLOOKUP($A649,[5]库存使用数据!$A:$F,6,0),0)</f>
        <v>0</v>
      </c>
      <c r="G649" s="1">
        <f ca="1">IFERROR(VLOOKUP($A649,[1]库存使用数据!$A:$G,7,0),0)+IFERROR(VLOOKUP($A649,[2]库存使用数据!$A:$G,7,0),0)+公式!$B$14*IFERROR(VLOOKUP($A649,[3]库存使用数据!$A:$G,7,0),0)+IFERROR(VLOOKUP($A649,[4]库存使用数据!$A:$G,7,0),0)+IFERROR(VLOOKUP($A649,[5]库存使用数据!$A:$G,7,0),0)</f>
        <v>0</v>
      </c>
      <c r="H649" s="1">
        <f ca="1">IFERROR(VLOOKUP($A649,[1]库存使用数据!$A:$H,8,0),0)+IFERROR(VLOOKUP($A649,[2]库存使用数据!$A:$H,8,0),0)+IFERROR(VLOOKUP($A649,[3]库存使用数据!$A:$H,8,0),0)+IFERROR(VLOOKUP($A649,[4]库存使用数据!$A:$H,8,0),0)+IFERROR(VLOOKUP($A649,[5]库存使用数据!$A:$H,8,0),0)</f>
        <v>42</v>
      </c>
      <c r="I649" s="1">
        <f ca="1">IFERROR(VLOOKUP($A649,[1]库存使用数据!$A:$I,9,0),0)+IFERROR(VLOOKUP($A649,[2]库存使用数据!$A:$I,9,0),0)+IFERROR(VLOOKUP($A649,[3]库存使用数据!$A:$I,9,0),0)+IFERROR(VLOOKUP($A649,[4]库存使用数据!$A:$I,9,0),0)+IFERROR(VLOOKUP($A649,[5]库存使用数据!$A:$I,9,0),0)</f>
        <v>0</v>
      </c>
      <c r="J649" s="1">
        <f ca="1">IFERROR(VLOOKUP($A649,[1]库存使用数据!$A:$J,10,0),0)+IFERROR(VLOOKUP($A649,[2]库存使用数据!$A:$J,10,0),0)+公式!$B$14*IFERROR(VLOOKUP($A649,[3]库存使用数据!$A:$J,10,0),0)+IFERROR(VLOOKUP($A649,[4]库存使用数据!$A:$J,10,0),0)+IFERROR(VLOOKUP($A649,[5]库存使用数据!$A:$J,10,0),0)</f>
        <v>0</v>
      </c>
      <c r="K649" s="1">
        <f ca="1">IFERROR(VLOOKUP($A649,[1]库存使用数据!$A:$K,11,0),0)+IFERROR(VLOOKUP($A649,[2]库存使用数据!$A:$K,11,0),0)+IFERROR(VLOOKUP($A649,[3]库存使用数据!$A:$K,11,0),0)+IFERROR(VLOOKUP($A649,[4]库存使用数据!$A:$K,11,0),0)+IFERROR(VLOOKUP($A649,[5]库存使用数据!$A:$K,11,0),0)</f>
        <v>40</v>
      </c>
      <c r="L649" s="1">
        <f ca="1">IFERROR(VLOOKUP($A649,[1]库存使用数据!$A:$L,12,0),0)+IFERROR(VLOOKUP($A649,[2]库存使用数据!$A:$L,12,0),0)+IFERROR(VLOOKUP($A649,[3]库存使用数据!$A:$L,12,0),0)+IFERROR(VLOOKUP($A649,[4]库存使用数据!$A:$L,12,0),0)+IFERROR(VLOOKUP($A649,[5]库存使用数据!$A:$L,12,0),0)</f>
        <v>0</v>
      </c>
      <c r="M649" s="1">
        <f ca="1">IFERROR(VLOOKUP($A649,[1]库存使用数据!$A:$M,13,0),0)+IFERROR(VLOOKUP($A649,[2]库存使用数据!$A:$M,13,0),0)+公式!$B$14*IFERROR(VLOOKUP($A649,[3]库存使用数据!$A:$M,13,0),0)+IFERROR(VLOOKUP($A649,[4]库存使用数据!$A:$M,13,0),0)+IFERROR(VLOOKUP($A649,[5]库存使用数据!$A:$M,13,0),0)</f>
        <v>0</v>
      </c>
    </row>
    <row r="650" spans="1:13">
      <c r="A650" s="6" t="s">
        <v>655</v>
      </c>
      <c r="B650" s="2">
        <f ca="1">IFERROR(VLOOKUP(A650,[1]库存使用数据!$A:$B,2,0),0)+IFERROR(VLOOKUP(A650,[2]库存使用数据!$A:$B,2,0),0)+IFERROR(VLOOKUP(,[3]库存使用数据!$A:$B,2,0),0)+IFERROR(VLOOKUP(A650,[4]库存使用数据!$A:$B,2,0),0)+IFERROR(VLOOKUP(A650,[5]库存使用数据!$A:$B,2,0),0)</f>
        <v>814</v>
      </c>
      <c r="C650" s="1">
        <f ca="1">IFERROR(VLOOKUP($A650,[1]库存使用数据!$A:$C,3,0),0)+IFERROR(VLOOKUP($A650,[2]库存使用数据!$A:$C,3,0),0)+IFERROR(VLOOKUP($A650,[3]库存使用数据!$A:$C,3,0),0)+IFERROR(VLOOKUP($A650,[4]库存使用数据!$A:$C,3,0),0)+IFERROR(VLOOKUP($A650,[5]库存使用数据!$A:$C,3,0),0)</f>
        <v>3</v>
      </c>
      <c r="D650" s="1">
        <f ca="1">IFERROR(VLOOKUP($A650,[1]库存使用数据!$A:$D,4,0),0)+IFERROR(VLOOKUP($A650,[2]库存使用数据!$A:$D,4,0),0)+公式!$B$1*IFERROR(VLOOKUP($A650,[3]库存使用数据!$A:$D,4,0),0)+IFERROR(VLOOKUP($A650,[4]库存使用数据!$A:$D,4,0),0)+IFERROR(VLOOKUP($A650,[5]库存使用数据!$A:$D,4,0),0)</f>
        <v>0.29</v>
      </c>
      <c r="E650" s="1">
        <f ca="1">IFERROR(VLOOKUP($A650,[1]库存使用数据!$A:$E,5,0),0)+IFERROR(VLOOKUP($A650,[2]库存使用数据!$A:$E,5,0),0)+IFERROR(VLOOKUP($A650,[3]库存使用数据!$A:$E,5,0),0)+IFERROR(VLOOKUP($A650,[4]库存使用数据!$A:$E,5,0),0)+IFERROR(VLOOKUP($A650,[5]库存使用数据!$A:$E,5,0),0)</f>
        <v>1566</v>
      </c>
      <c r="F650" s="1">
        <f ca="1">IFERROR(VLOOKUP($A650,[1]库存使用数据!$A:$F,6,0),0)+IFERROR(VLOOKUP($A650,[2]库存使用数据!$A:$F,6,0),0)+IFERROR(VLOOKUP($A650,[4]库存使用数据!$A:$F,6,0),0)+IFERROR(VLOOKUP($A650,[3]库存使用数据!$A:$F,6,0),0)+IFERROR(VLOOKUP($A650,[5]库存使用数据!$A:$F,6,0),0)</f>
        <v>6</v>
      </c>
      <c r="G650" s="1">
        <f ca="1">IFERROR(VLOOKUP($A650,[1]库存使用数据!$A:$G,7,0),0)+IFERROR(VLOOKUP($A650,[2]库存使用数据!$A:$G,7,0),0)+公式!$B$14*IFERROR(VLOOKUP($A650,[3]库存使用数据!$A:$G,7,0),0)+IFERROR(VLOOKUP($A650,[4]库存使用数据!$A:$G,7,0),0)+IFERROR(VLOOKUP($A650,[5]库存使用数据!$A:$G,7,0),0)</f>
        <v>0.81</v>
      </c>
      <c r="H650" s="1">
        <f ca="1">IFERROR(VLOOKUP($A650,[1]库存使用数据!$A:$H,8,0),0)+IFERROR(VLOOKUP($A650,[2]库存使用数据!$A:$H,8,0),0)+IFERROR(VLOOKUP($A650,[3]库存使用数据!$A:$H,8,0),0)+IFERROR(VLOOKUP($A650,[4]库存使用数据!$A:$H,8,0),0)+IFERROR(VLOOKUP($A650,[5]库存使用数据!$A:$H,8,0),0)</f>
        <v>120</v>
      </c>
      <c r="I650" s="1">
        <f ca="1">IFERROR(VLOOKUP($A650,[1]库存使用数据!$A:$I,9,0),0)+IFERROR(VLOOKUP($A650,[2]库存使用数据!$A:$I,9,0),0)+IFERROR(VLOOKUP($A650,[3]库存使用数据!$A:$I,9,0),0)+IFERROR(VLOOKUP($A650,[4]库存使用数据!$A:$I,9,0),0)+IFERROR(VLOOKUP($A650,[5]库存使用数据!$A:$I,9,0),0)</f>
        <v>2</v>
      </c>
      <c r="J650" s="1">
        <f ca="1">IFERROR(VLOOKUP($A650,[1]库存使用数据!$A:$J,10,0),0)+IFERROR(VLOOKUP($A650,[2]库存使用数据!$A:$J,10,0),0)+公式!$B$14*IFERROR(VLOOKUP($A650,[3]库存使用数据!$A:$J,10,0),0)+IFERROR(VLOOKUP($A650,[4]库存使用数据!$A:$J,10,0),0)+IFERROR(VLOOKUP($A650,[5]库存使用数据!$A:$J,10,0),0)</f>
        <v>0.17</v>
      </c>
      <c r="K650" s="1">
        <f ca="1">IFERROR(VLOOKUP($A650,[1]库存使用数据!$A:$K,11,0),0)+IFERROR(VLOOKUP($A650,[2]库存使用数据!$A:$K,11,0),0)+IFERROR(VLOOKUP($A650,[3]库存使用数据!$A:$K,11,0),0)+IFERROR(VLOOKUP($A650,[4]库存使用数据!$A:$K,11,0),0)+IFERROR(VLOOKUP($A650,[5]库存使用数据!$A:$K,11,0),0)</f>
        <v>138</v>
      </c>
      <c r="L650" s="1">
        <f ca="1">IFERROR(VLOOKUP($A650,[1]库存使用数据!$A:$L,12,0),0)+IFERROR(VLOOKUP($A650,[2]库存使用数据!$A:$L,12,0),0)+IFERROR(VLOOKUP($A650,[3]库存使用数据!$A:$L,12,0),0)+IFERROR(VLOOKUP($A650,[4]库存使用数据!$A:$L,12,0),0)+IFERROR(VLOOKUP($A650,[5]库存使用数据!$A:$L,12,0),0)</f>
        <v>0</v>
      </c>
      <c r="M650" s="1">
        <f ca="1">IFERROR(VLOOKUP($A650,[1]库存使用数据!$A:$M,13,0),0)+IFERROR(VLOOKUP($A650,[2]库存使用数据!$A:$M,13,0),0)+公式!$B$14*IFERROR(VLOOKUP($A650,[3]库存使用数据!$A:$M,13,0),0)+IFERROR(VLOOKUP($A650,[4]库存使用数据!$A:$M,13,0),0)+IFERROR(VLOOKUP($A650,[5]库存使用数据!$A:$M,13,0),0)</f>
        <v>0</v>
      </c>
    </row>
    <row r="651" spans="1:13">
      <c r="A651" s="6" t="s">
        <v>656</v>
      </c>
      <c r="B651" s="2">
        <f ca="1">IFERROR(VLOOKUP(A651,[1]库存使用数据!$A:$B,2,0),0)+IFERROR(VLOOKUP(A651,[2]库存使用数据!$A:$B,2,0),0)+IFERROR(VLOOKUP(,[3]库存使用数据!$A:$B,2,0),0)+IFERROR(VLOOKUP(A651,[4]库存使用数据!$A:$B,2,0),0)+IFERROR(VLOOKUP(A651,[5]库存使用数据!$A:$B,2,0),0)</f>
        <v>5174</v>
      </c>
      <c r="C651" s="1">
        <f ca="1">IFERROR(VLOOKUP($A651,[1]库存使用数据!$A:$C,3,0),0)+IFERROR(VLOOKUP($A651,[2]库存使用数据!$A:$C,3,0),0)+IFERROR(VLOOKUP($A651,[3]库存使用数据!$A:$C,3,0),0)+IFERROR(VLOOKUP($A651,[4]库存使用数据!$A:$C,3,0),0)+IFERROR(VLOOKUP($A651,[5]库存使用数据!$A:$C,3,0),0)</f>
        <v>17</v>
      </c>
      <c r="D651" s="1">
        <f ca="1">IFERROR(VLOOKUP($A651,[1]库存使用数据!$A:$D,4,0),0)+IFERROR(VLOOKUP($A651,[2]库存使用数据!$A:$D,4,0),0)+公式!$B$1*IFERROR(VLOOKUP($A651,[3]库存使用数据!$A:$D,4,0),0)+IFERROR(VLOOKUP($A651,[4]库存使用数据!$A:$D,4,0),0)+IFERROR(VLOOKUP($A651,[5]库存使用数据!$A:$D,4,0),0)</f>
        <v>1.65</v>
      </c>
      <c r="E651" s="1">
        <f ca="1">IFERROR(VLOOKUP($A651,[1]库存使用数据!$A:$E,5,0),0)+IFERROR(VLOOKUP($A651,[2]库存使用数据!$A:$E,5,0),0)+IFERROR(VLOOKUP($A651,[3]库存使用数据!$A:$E,5,0),0)+IFERROR(VLOOKUP($A651,[4]库存使用数据!$A:$E,5,0),0)+IFERROR(VLOOKUP($A651,[5]库存使用数据!$A:$E,5,0),0)</f>
        <v>2733</v>
      </c>
      <c r="F651" s="1">
        <f ca="1">IFERROR(VLOOKUP($A651,[1]库存使用数据!$A:$F,6,0),0)+IFERROR(VLOOKUP($A651,[2]库存使用数据!$A:$F,6,0),0)+IFERROR(VLOOKUP($A651,[4]库存使用数据!$A:$F,6,0),0)+IFERROR(VLOOKUP($A651,[3]库存使用数据!$A:$F,6,0),0)+IFERROR(VLOOKUP($A651,[5]库存使用数据!$A:$F,6,0),0)</f>
        <v>15</v>
      </c>
      <c r="G651" s="1">
        <f ca="1">IFERROR(VLOOKUP($A651,[1]库存使用数据!$A:$G,7,0),0)+IFERROR(VLOOKUP($A651,[2]库存使用数据!$A:$G,7,0),0)+公式!$B$14*IFERROR(VLOOKUP($A651,[3]库存使用数据!$A:$G,7,0),0)+IFERROR(VLOOKUP($A651,[4]库存使用数据!$A:$G,7,0),0)+IFERROR(VLOOKUP($A651,[5]库存使用数据!$A:$G,7,0),0)</f>
        <v>2.11</v>
      </c>
      <c r="H651" s="1">
        <f ca="1">IFERROR(VLOOKUP($A651,[1]库存使用数据!$A:$H,8,0),0)+IFERROR(VLOOKUP($A651,[2]库存使用数据!$A:$H,8,0),0)+IFERROR(VLOOKUP($A651,[3]库存使用数据!$A:$H,8,0),0)+IFERROR(VLOOKUP($A651,[4]库存使用数据!$A:$H,8,0),0)+IFERROR(VLOOKUP($A651,[5]库存使用数据!$A:$H,8,0),0)</f>
        <v>478</v>
      </c>
      <c r="I651" s="1">
        <f ca="1">IFERROR(VLOOKUP($A651,[1]库存使用数据!$A:$I,9,0),0)+IFERROR(VLOOKUP($A651,[2]库存使用数据!$A:$I,9,0),0)+IFERROR(VLOOKUP($A651,[3]库存使用数据!$A:$I,9,0),0)+IFERROR(VLOOKUP($A651,[4]库存使用数据!$A:$I,9,0),0)+IFERROR(VLOOKUP($A651,[5]库存使用数据!$A:$I,9,0),0)</f>
        <v>5</v>
      </c>
      <c r="J651" s="1">
        <f ca="1">IFERROR(VLOOKUP($A651,[1]库存使用数据!$A:$J,10,0),0)+IFERROR(VLOOKUP($A651,[2]库存使用数据!$A:$J,10,0),0)+公式!$B$14*IFERROR(VLOOKUP($A651,[3]库存使用数据!$A:$J,10,0),0)+IFERROR(VLOOKUP($A651,[4]库存使用数据!$A:$J,10,0),0)+IFERROR(VLOOKUP($A651,[5]库存使用数据!$A:$J,10,0),0)</f>
        <v>0.63</v>
      </c>
      <c r="K651" s="1">
        <f ca="1">IFERROR(VLOOKUP($A651,[1]库存使用数据!$A:$K,11,0),0)+IFERROR(VLOOKUP($A651,[2]库存使用数据!$A:$K,11,0),0)+IFERROR(VLOOKUP($A651,[3]库存使用数据!$A:$K,11,0),0)+IFERROR(VLOOKUP($A651,[4]库存使用数据!$A:$K,11,0),0)+IFERROR(VLOOKUP($A651,[5]库存使用数据!$A:$K,11,0),0)</f>
        <v>812</v>
      </c>
      <c r="L651" s="1">
        <f ca="1">IFERROR(VLOOKUP($A651,[1]库存使用数据!$A:$L,12,0),0)+IFERROR(VLOOKUP($A651,[2]库存使用数据!$A:$L,12,0),0)+IFERROR(VLOOKUP($A651,[3]库存使用数据!$A:$L,12,0),0)+IFERROR(VLOOKUP($A651,[4]库存使用数据!$A:$L,12,0),0)+IFERROR(VLOOKUP($A651,[5]库存使用数据!$A:$L,12,0),0)</f>
        <v>5</v>
      </c>
      <c r="M651" s="1">
        <f ca="1">IFERROR(VLOOKUP($A651,[1]库存使用数据!$A:$M,13,0),0)+IFERROR(VLOOKUP($A651,[2]库存使用数据!$A:$M,13,0),0)+公式!$B$14*IFERROR(VLOOKUP($A651,[3]库存使用数据!$A:$M,13,0),0)+IFERROR(VLOOKUP($A651,[4]库存使用数据!$A:$M,13,0),0)+IFERROR(VLOOKUP($A651,[5]库存使用数据!$A:$M,13,0),0)</f>
        <v>0.78</v>
      </c>
    </row>
    <row r="652" spans="1:13">
      <c r="A652" s="6" t="s">
        <v>657</v>
      </c>
      <c r="B652" s="2">
        <f ca="1">IFERROR(VLOOKUP(A652,[1]库存使用数据!$A:$B,2,0),0)+IFERROR(VLOOKUP(A652,[2]库存使用数据!$A:$B,2,0),0)+IFERROR(VLOOKUP(,[3]库存使用数据!$A:$B,2,0),0)+IFERROR(VLOOKUP(A652,[4]库存使用数据!$A:$B,2,0),0)+IFERROR(VLOOKUP(A652,[5]库存使用数据!$A:$B,2,0),0)</f>
        <v>0</v>
      </c>
      <c r="C652" s="1">
        <f ca="1">IFERROR(VLOOKUP($A652,[1]库存使用数据!$A:$C,3,0),0)+IFERROR(VLOOKUP($A652,[2]库存使用数据!$A:$C,3,0),0)+IFERROR(VLOOKUP($A652,[3]库存使用数据!$A:$C,3,0),0)+IFERROR(VLOOKUP($A652,[4]库存使用数据!$A:$C,3,0),0)+IFERROR(VLOOKUP($A652,[5]库存使用数据!$A:$C,3,0),0)</f>
        <v>0</v>
      </c>
      <c r="D652" s="1">
        <f ca="1">IFERROR(VLOOKUP($A652,[1]库存使用数据!$A:$D,4,0),0)+IFERROR(VLOOKUP($A652,[2]库存使用数据!$A:$D,4,0),0)+公式!$B$1*IFERROR(VLOOKUP($A652,[3]库存使用数据!$A:$D,4,0),0)+IFERROR(VLOOKUP($A652,[4]库存使用数据!$A:$D,4,0),0)+IFERROR(VLOOKUP($A652,[5]库存使用数据!$A:$D,4,0),0)</f>
        <v>0</v>
      </c>
      <c r="E652" s="1">
        <f ca="1">IFERROR(VLOOKUP($A652,[1]库存使用数据!$A:$E,5,0),0)+IFERROR(VLOOKUP($A652,[2]库存使用数据!$A:$E,5,0),0)+IFERROR(VLOOKUP($A652,[3]库存使用数据!$A:$E,5,0),0)+IFERROR(VLOOKUP($A652,[4]库存使用数据!$A:$E,5,0),0)+IFERROR(VLOOKUP($A652,[5]库存使用数据!$A:$E,5,0),0)</f>
        <v>0</v>
      </c>
      <c r="F652" s="1">
        <f ca="1">IFERROR(VLOOKUP($A652,[1]库存使用数据!$A:$F,6,0),0)+IFERROR(VLOOKUP($A652,[2]库存使用数据!$A:$F,6,0),0)+IFERROR(VLOOKUP($A652,[4]库存使用数据!$A:$F,6,0),0)+IFERROR(VLOOKUP($A652,[3]库存使用数据!$A:$F,6,0),0)+IFERROR(VLOOKUP($A652,[5]库存使用数据!$A:$F,6,0),0)</f>
        <v>0</v>
      </c>
      <c r="G652" s="1">
        <f ca="1">IFERROR(VLOOKUP($A652,[1]库存使用数据!$A:$G,7,0),0)+IFERROR(VLOOKUP($A652,[2]库存使用数据!$A:$G,7,0),0)+公式!$B$14*IFERROR(VLOOKUP($A652,[3]库存使用数据!$A:$G,7,0),0)+IFERROR(VLOOKUP($A652,[4]库存使用数据!$A:$G,7,0),0)+IFERROR(VLOOKUP($A652,[5]库存使用数据!$A:$G,7,0),0)</f>
        <v>0</v>
      </c>
      <c r="H652" s="1">
        <f ca="1">IFERROR(VLOOKUP($A652,[1]库存使用数据!$A:$H,8,0),0)+IFERROR(VLOOKUP($A652,[2]库存使用数据!$A:$H,8,0),0)+IFERROR(VLOOKUP($A652,[3]库存使用数据!$A:$H,8,0),0)+IFERROR(VLOOKUP($A652,[4]库存使用数据!$A:$H,8,0),0)+IFERROR(VLOOKUP($A652,[5]库存使用数据!$A:$H,8,0),0)</f>
        <v>20305</v>
      </c>
      <c r="I652" s="1">
        <f ca="1">IFERROR(VLOOKUP($A652,[1]库存使用数据!$A:$I,9,0),0)+IFERROR(VLOOKUP($A652,[2]库存使用数据!$A:$I,9,0),0)+IFERROR(VLOOKUP($A652,[3]库存使用数据!$A:$I,9,0),0)+IFERROR(VLOOKUP($A652,[4]库存使用数据!$A:$I,9,0),0)+IFERROR(VLOOKUP($A652,[5]库存使用数据!$A:$I,9,0),0)</f>
        <v>66</v>
      </c>
      <c r="J652" s="1">
        <f ca="1">IFERROR(VLOOKUP($A652,[1]库存使用数据!$A:$J,10,0),0)+IFERROR(VLOOKUP($A652,[2]库存使用数据!$A:$J,10,0),0)+公式!$B$14*IFERROR(VLOOKUP($A652,[3]库存使用数据!$A:$J,10,0),0)+IFERROR(VLOOKUP($A652,[4]库存使用数据!$A:$J,10,0),0)+IFERROR(VLOOKUP($A652,[5]库存使用数据!$A:$J,10,0),0)</f>
        <v>10.78</v>
      </c>
      <c r="K652" s="1">
        <f ca="1">IFERROR(VLOOKUP($A652,[1]库存使用数据!$A:$K,11,0),0)+IFERROR(VLOOKUP($A652,[2]库存使用数据!$A:$K,11,0),0)+IFERROR(VLOOKUP($A652,[3]库存使用数据!$A:$K,11,0),0)+IFERROR(VLOOKUP($A652,[4]库存使用数据!$A:$K,11,0),0)+IFERROR(VLOOKUP($A652,[5]库存使用数据!$A:$K,11,0),0)</f>
        <v>23957</v>
      </c>
      <c r="L652" s="1">
        <f ca="1">IFERROR(VLOOKUP($A652,[1]库存使用数据!$A:$L,12,0),0)+IFERROR(VLOOKUP($A652,[2]库存使用数据!$A:$L,12,0),0)+IFERROR(VLOOKUP($A652,[3]库存使用数据!$A:$L,12,0),0)+IFERROR(VLOOKUP($A652,[4]库存使用数据!$A:$L,12,0),0)+IFERROR(VLOOKUP($A652,[5]库存使用数据!$A:$L,12,0),0)</f>
        <v>122</v>
      </c>
      <c r="M652" s="1">
        <f ca="1">IFERROR(VLOOKUP($A652,[1]库存使用数据!$A:$M,13,0),0)+IFERROR(VLOOKUP($A652,[2]库存使用数据!$A:$M,13,0),0)+公式!$B$14*IFERROR(VLOOKUP($A652,[3]库存使用数据!$A:$M,13,0),0)+IFERROR(VLOOKUP($A652,[4]库存使用数据!$A:$M,13,0),0)+IFERROR(VLOOKUP($A652,[5]库存使用数据!$A:$M,13,0),0)</f>
        <v>21.02</v>
      </c>
    </row>
    <row r="653" spans="1:13">
      <c r="A653" s="6" t="s">
        <v>658</v>
      </c>
      <c r="B653" s="2">
        <f ca="1">IFERROR(VLOOKUP(A653,[1]库存使用数据!$A:$B,2,0),0)+IFERROR(VLOOKUP(A653,[2]库存使用数据!$A:$B,2,0),0)+IFERROR(VLOOKUP(,[3]库存使用数据!$A:$B,2,0),0)+IFERROR(VLOOKUP(A653,[4]库存使用数据!$A:$B,2,0),0)+IFERROR(VLOOKUP(A653,[5]库存使用数据!$A:$B,2,0),0)</f>
        <v>226</v>
      </c>
      <c r="C653" s="1">
        <f ca="1">IFERROR(VLOOKUP($A653,[1]库存使用数据!$A:$C,3,0),0)+IFERROR(VLOOKUP($A653,[2]库存使用数据!$A:$C,3,0),0)+IFERROR(VLOOKUP($A653,[3]库存使用数据!$A:$C,3,0),0)+IFERROR(VLOOKUP($A653,[4]库存使用数据!$A:$C,3,0),0)+IFERROR(VLOOKUP($A653,[5]库存使用数据!$A:$C,3,0),0)</f>
        <v>0</v>
      </c>
      <c r="D653" s="1">
        <f ca="1">IFERROR(VLOOKUP($A653,[1]库存使用数据!$A:$D,4,0),0)+IFERROR(VLOOKUP($A653,[2]库存使用数据!$A:$D,4,0),0)+公式!$B$1*IFERROR(VLOOKUP($A653,[3]库存使用数据!$A:$D,4,0),0)+IFERROR(VLOOKUP($A653,[4]库存使用数据!$A:$D,4,0),0)+IFERROR(VLOOKUP($A653,[5]库存使用数据!$A:$D,4,0),0)</f>
        <v>0</v>
      </c>
      <c r="E653" s="1">
        <f ca="1">IFERROR(VLOOKUP($A653,[1]库存使用数据!$A:$E,5,0),0)+IFERROR(VLOOKUP($A653,[2]库存使用数据!$A:$E,5,0),0)+IFERROR(VLOOKUP($A653,[3]库存使用数据!$A:$E,5,0),0)+IFERROR(VLOOKUP($A653,[4]库存使用数据!$A:$E,5,0),0)+IFERROR(VLOOKUP($A653,[5]库存使用数据!$A:$E,5,0),0)</f>
        <v>156</v>
      </c>
      <c r="F653" s="1">
        <f ca="1">IFERROR(VLOOKUP($A653,[1]库存使用数据!$A:$F,6,0),0)+IFERROR(VLOOKUP($A653,[2]库存使用数据!$A:$F,6,0),0)+IFERROR(VLOOKUP($A653,[4]库存使用数据!$A:$F,6,0),0)+IFERROR(VLOOKUP($A653,[3]库存使用数据!$A:$F,6,0),0)+IFERROR(VLOOKUP($A653,[5]库存使用数据!$A:$F,6,0),0)</f>
        <v>1</v>
      </c>
      <c r="G653" s="1">
        <f ca="1">IFERROR(VLOOKUP($A653,[1]库存使用数据!$A:$G,7,0),0)+IFERROR(VLOOKUP($A653,[2]库存使用数据!$A:$G,7,0),0)+公式!$B$14*IFERROR(VLOOKUP($A653,[3]库存使用数据!$A:$G,7,0),0)+IFERROR(VLOOKUP($A653,[4]库存使用数据!$A:$G,7,0),0)+IFERROR(VLOOKUP($A653,[5]库存使用数据!$A:$G,7,0),0)</f>
        <v>0.2</v>
      </c>
      <c r="H653" s="1">
        <f ca="1">IFERROR(VLOOKUP($A653,[1]库存使用数据!$A:$H,8,0),0)+IFERROR(VLOOKUP($A653,[2]库存使用数据!$A:$H,8,0),0)+IFERROR(VLOOKUP($A653,[3]库存使用数据!$A:$H,8,0),0)+IFERROR(VLOOKUP($A653,[4]库存使用数据!$A:$H,8,0),0)+IFERROR(VLOOKUP($A653,[5]库存使用数据!$A:$H,8,0),0)</f>
        <v>42</v>
      </c>
      <c r="I653" s="1">
        <f ca="1">IFERROR(VLOOKUP($A653,[1]库存使用数据!$A:$I,9,0),0)+IFERROR(VLOOKUP($A653,[2]库存使用数据!$A:$I,9,0),0)+IFERROR(VLOOKUP($A653,[3]库存使用数据!$A:$I,9,0),0)+IFERROR(VLOOKUP($A653,[4]库存使用数据!$A:$I,9,0),0)+IFERROR(VLOOKUP($A653,[5]库存使用数据!$A:$I,9,0),0)</f>
        <v>0</v>
      </c>
      <c r="J653" s="1">
        <f ca="1">IFERROR(VLOOKUP($A653,[1]库存使用数据!$A:$J,10,0),0)+IFERROR(VLOOKUP($A653,[2]库存使用数据!$A:$J,10,0),0)+公式!$B$14*IFERROR(VLOOKUP($A653,[3]库存使用数据!$A:$J,10,0),0)+IFERROR(VLOOKUP($A653,[4]库存使用数据!$A:$J,10,0),0)+IFERROR(VLOOKUP($A653,[5]库存使用数据!$A:$J,10,0),0)</f>
        <v>0</v>
      </c>
      <c r="K653" s="1">
        <f ca="1">IFERROR(VLOOKUP($A653,[1]库存使用数据!$A:$K,11,0),0)+IFERROR(VLOOKUP($A653,[2]库存使用数据!$A:$K,11,0),0)+IFERROR(VLOOKUP($A653,[3]库存使用数据!$A:$K,11,0),0)+IFERROR(VLOOKUP($A653,[4]库存使用数据!$A:$K,11,0),0)+IFERROR(VLOOKUP($A653,[5]库存使用数据!$A:$K,11,0),0)</f>
        <v>203</v>
      </c>
      <c r="L653" s="1">
        <f ca="1">IFERROR(VLOOKUP($A653,[1]库存使用数据!$A:$L,12,0),0)+IFERROR(VLOOKUP($A653,[2]库存使用数据!$A:$L,12,0),0)+IFERROR(VLOOKUP($A653,[3]库存使用数据!$A:$L,12,0),0)+IFERROR(VLOOKUP($A653,[4]库存使用数据!$A:$L,12,0),0)+IFERROR(VLOOKUP($A653,[5]库存使用数据!$A:$L,12,0),0)</f>
        <v>1</v>
      </c>
      <c r="M653" s="1">
        <f ca="1">IFERROR(VLOOKUP($A653,[1]库存使用数据!$A:$M,13,0),0)+IFERROR(VLOOKUP($A653,[2]库存使用数据!$A:$M,13,0),0)+公式!$B$14*IFERROR(VLOOKUP($A653,[3]库存使用数据!$A:$M,13,0),0)+IFERROR(VLOOKUP($A653,[4]库存使用数据!$A:$M,13,0),0)+IFERROR(VLOOKUP($A653,[5]库存使用数据!$A:$M,13,0),0)</f>
        <v>0.15</v>
      </c>
    </row>
    <row r="654" spans="1:13">
      <c r="A654" s="6" t="s">
        <v>659</v>
      </c>
      <c r="B654" s="2">
        <f ca="1">IFERROR(VLOOKUP(A654,[1]库存使用数据!$A:$B,2,0),0)+IFERROR(VLOOKUP(A654,[2]库存使用数据!$A:$B,2,0),0)+IFERROR(VLOOKUP(,[3]库存使用数据!$A:$B,2,0),0)+IFERROR(VLOOKUP(A654,[4]库存使用数据!$A:$B,2,0),0)+IFERROR(VLOOKUP(A654,[5]库存使用数据!$A:$B,2,0),0)</f>
        <v>122</v>
      </c>
      <c r="C654" s="1">
        <f ca="1">IFERROR(VLOOKUP($A654,[1]库存使用数据!$A:$C,3,0),0)+IFERROR(VLOOKUP($A654,[2]库存使用数据!$A:$C,3,0),0)+IFERROR(VLOOKUP($A654,[3]库存使用数据!$A:$C,3,0),0)+IFERROR(VLOOKUP($A654,[4]库存使用数据!$A:$C,3,0),0)+IFERROR(VLOOKUP($A654,[5]库存使用数据!$A:$C,3,0),0)</f>
        <v>0</v>
      </c>
      <c r="D654" s="1">
        <f ca="1">IFERROR(VLOOKUP($A654,[1]库存使用数据!$A:$D,4,0),0)+IFERROR(VLOOKUP($A654,[2]库存使用数据!$A:$D,4,0),0)+公式!$B$1*IFERROR(VLOOKUP($A654,[3]库存使用数据!$A:$D,4,0),0)+IFERROR(VLOOKUP($A654,[4]库存使用数据!$A:$D,4,0),0)+IFERROR(VLOOKUP($A654,[5]库存使用数据!$A:$D,4,0),0)</f>
        <v>0</v>
      </c>
      <c r="E654" s="1">
        <f ca="1">IFERROR(VLOOKUP($A654,[1]库存使用数据!$A:$E,5,0),0)+IFERROR(VLOOKUP($A654,[2]库存使用数据!$A:$E,5,0),0)+IFERROR(VLOOKUP($A654,[3]库存使用数据!$A:$E,5,0),0)+IFERROR(VLOOKUP($A654,[4]库存使用数据!$A:$E,5,0),0)+IFERROR(VLOOKUP($A654,[5]库存使用数据!$A:$E,5,0),0)</f>
        <v>279</v>
      </c>
      <c r="F654" s="1">
        <f ca="1">IFERROR(VLOOKUP($A654,[1]库存使用数据!$A:$F,6,0),0)+IFERROR(VLOOKUP($A654,[2]库存使用数据!$A:$F,6,0),0)+IFERROR(VLOOKUP($A654,[4]库存使用数据!$A:$F,6,0),0)+IFERROR(VLOOKUP($A654,[3]库存使用数据!$A:$F,6,0),0)+IFERROR(VLOOKUP($A654,[5]库存使用数据!$A:$F,6,0),0)</f>
        <v>0</v>
      </c>
      <c r="G654" s="1">
        <f ca="1">IFERROR(VLOOKUP($A654,[1]库存使用数据!$A:$G,7,0),0)+IFERROR(VLOOKUP($A654,[2]库存使用数据!$A:$G,7,0),0)+公式!$B$14*IFERROR(VLOOKUP($A654,[3]库存使用数据!$A:$G,7,0),0)+IFERROR(VLOOKUP($A654,[4]库存使用数据!$A:$G,7,0),0)+IFERROR(VLOOKUP($A654,[5]库存使用数据!$A:$G,7,0),0)</f>
        <v>0</v>
      </c>
      <c r="H654" s="1">
        <f ca="1">IFERROR(VLOOKUP($A654,[1]库存使用数据!$A:$H,8,0),0)+IFERROR(VLOOKUP($A654,[2]库存使用数据!$A:$H,8,0),0)+IFERROR(VLOOKUP($A654,[3]库存使用数据!$A:$H,8,0),0)+IFERROR(VLOOKUP($A654,[4]库存使用数据!$A:$H,8,0),0)+IFERROR(VLOOKUP($A654,[5]库存使用数据!$A:$H,8,0),0)</f>
        <v>157</v>
      </c>
      <c r="I654" s="1">
        <f ca="1">IFERROR(VLOOKUP($A654,[1]库存使用数据!$A:$I,9,0),0)+IFERROR(VLOOKUP($A654,[2]库存使用数据!$A:$I,9,0),0)+IFERROR(VLOOKUP($A654,[3]库存使用数据!$A:$I,9,0),0)+IFERROR(VLOOKUP($A654,[4]库存使用数据!$A:$I,9,0),0)+IFERROR(VLOOKUP($A654,[5]库存使用数据!$A:$I,9,0),0)</f>
        <v>0</v>
      </c>
      <c r="J654" s="1">
        <f ca="1">IFERROR(VLOOKUP($A654,[1]库存使用数据!$A:$J,10,0),0)+IFERROR(VLOOKUP($A654,[2]库存使用数据!$A:$J,10,0),0)+公式!$B$14*IFERROR(VLOOKUP($A654,[3]库存使用数据!$A:$J,10,0),0)+IFERROR(VLOOKUP($A654,[4]库存使用数据!$A:$J,10,0),0)+IFERROR(VLOOKUP($A654,[5]库存使用数据!$A:$J,10,0),0)</f>
        <v>0</v>
      </c>
      <c r="K654" s="1">
        <f ca="1">IFERROR(VLOOKUP($A654,[1]库存使用数据!$A:$K,11,0),0)+IFERROR(VLOOKUP($A654,[2]库存使用数据!$A:$K,11,0),0)+IFERROR(VLOOKUP($A654,[3]库存使用数据!$A:$K,11,0),0)+IFERROR(VLOOKUP($A654,[4]库存使用数据!$A:$K,11,0),0)+IFERROR(VLOOKUP($A654,[5]库存使用数据!$A:$K,11,0),0)</f>
        <v>27</v>
      </c>
      <c r="L654" s="1">
        <f ca="1">IFERROR(VLOOKUP($A654,[1]库存使用数据!$A:$L,12,0),0)+IFERROR(VLOOKUP($A654,[2]库存使用数据!$A:$L,12,0),0)+IFERROR(VLOOKUP($A654,[3]库存使用数据!$A:$L,12,0),0)+IFERROR(VLOOKUP($A654,[4]库存使用数据!$A:$L,12,0),0)+IFERROR(VLOOKUP($A654,[5]库存使用数据!$A:$L,12,0),0)</f>
        <v>0</v>
      </c>
      <c r="M654" s="1">
        <f ca="1">IFERROR(VLOOKUP($A654,[1]库存使用数据!$A:$M,13,0),0)+IFERROR(VLOOKUP($A654,[2]库存使用数据!$A:$M,13,0),0)+公式!$B$14*IFERROR(VLOOKUP($A654,[3]库存使用数据!$A:$M,13,0),0)+IFERROR(VLOOKUP($A654,[4]库存使用数据!$A:$M,13,0),0)+IFERROR(VLOOKUP($A654,[5]库存使用数据!$A:$M,13,0),0)</f>
        <v>0</v>
      </c>
    </row>
    <row r="655" spans="1:13">
      <c r="A655" s="6" t="s">
        <v>660</v>
      </c>
      <c r="B655" s="2">
        <f ca="1">IFERROR(VLOOKUP(A655,[1]库存使用数据!$A:$B,2,0),0)+IFERROR(VLOOKUP(A655,[2]库存使用数据!$A:$B,2,0),0)+IFERROR(VLOOKUP(,[3]库存使用数据!$A:$B,2,0),0)+IFERROR(VLOOKUP(A655,[4]库存使用数据!$A:$B,2,0),0)+IFERROR(VLOOKUP(A655,[5]库存使用数据!$A:$B,2,0),0)</f>
        <v>0</v>
      </c>
      <c r="C655" s="1">
        <f ca="1">IFERROR(VLOOKUP($A655,[1]库存使用数据!$A:$C,3,0),0)+IFERROR(VLOOKUP($A655,[2]库存使用数据!$A:$C,3,0),0)+IFERROR(VLOOKUP($A655,[3]库存使用数据!$A:$C,3,0),0)+IFERROR(VLOOKUP($A655,[4]库存使用数据!$A:$C,3,0),0)+IFERROR(VLOOKUP($A655,[5]库存使用数据!$A:$C,3,0),0)</f>
        <v>0</v>
      </c>
      <c r="D655" s="1">
        <f ca="1">IFERROR(VLOOKUP($A655,[1]库存使用数据!$A:$D,4,0),0)+IFERROR(VLOOKUP($A655,[2]库存使用数据!$A:$D,4,0),0)+公式!$B$1*IFERROR(VLOOKUP($A655,[3]库存使用数据!$A:$D,4,0),0)+IFERROR(VLOOKUP($A655,[4]库存使用数据!$A:$D,4,0),0)+IFERROR(VLOOKUP($A655,[5]库存使用数据!$A:$D,4,0),0)</f>
        <v>0</v>
      </c>
      <c r="E655" s="1">
        <f ca="1">IFERROR(VLOOKUP($A655,[1]库存使用数据!$A:$E,5,0),0)+IFERROR(VLOOKUP($A655,[2]库存使用数据!$A:$E,5,0),0)+IFERROR(VLOOKUP($A655,[3]库存使用数据!$A:$E,5,0),0)+IFERROR(VLOOKUP($A655,[4]库存使用数据!$A:$E,5,0),0)+IFERROR(VLOOKUP($A655,[5]库存使用数据!$A:$E,5,0),0)</f>
        <v>0</v>
      </c>
      <c r="F655" s="1">
        <f ca="1">IFERROR(VLOOKUP($A655,[1]库存使用数据!$A:$F,6,0),0)+IFERROR(VLOOKUP($A655,[2]库存使用数据!$A:$F,6,0),0)+IFERROR(VLOOKUP($A655,[4]库存使用数据!$A:$F,6,0),0)+IFERROR(VLOOKUP($A655,[3]库存使用数据!$A:$F,6,0),0)+IFERROR(VLOOKUP($A655,[5]库存使用数据!$A:$F,6,0),0)</f>
        <v>0</v>
      </c>
      <c r="G655" s="1">
        <f ca="1">IFERROR(VLOOKUP($A655,[1]库存使用数据!$A:$G,7,0),0)+IFERROR(VLOOKUP($A655,[2]库存使用数据!$A:$G,7,0),0)+公式!$B$14*IFERROR(VLOOKUP($A655,[3]库存使用数据!$A:$G,7,0),0)+IFERROR(VLOOKUP($A655,[4]库存使用数据!$A:$G,7,0),0)+IFERROR(VLOOKUP($A655,[5]库存使用数据!$A:$G,7,0),0)</f>
        <v>0</v>
      </c>
      <c r="H655" s="1">
        <f ca="1">IFERROR(VLOOKUP($A655,[1]库存使用数据!$A:$H,8,0),0)+IFERROR(VLOOKUP($A655,[2]库存使用数据!$A:$H,8,0),0)+IFERROR(VLOOKUP($A655,[3]库存使用数据!$A:$H,8,0),0)+IFERROR(VLOOKUP($A655,[4]库存使用数据!$A:$H,8,0),0)+IFERROR(VLOOKUP($A655,[5]库存使用数据!$A:$H,8,0),0)</f>
        <v>30</v>
      </c>
      <c r="I655" s="1">
        <f ca="1">IFERROR(VLOOKUP($A655,[1]库存使用数据!$A:$I,9,0),0)+IFERROR(VLOOKUP($A655,[2]库存使用数据!$A:$I,9,0),0)+IFERROR(VLOOKUP($A655,[3]库存使用数据!$A:$I,9,0),0)+IFERROR(VLOOKUP($A655,[4]库存使用数据!$A:$I,9,0),0)+IFERROR(VLOOKUP($A655,[5]库存使用数据!$A:$I,9,0),0)</f>
        <v>1</v>
      </c>
      <c r="J655" s="1">
        <f ca="1">IFERROR(VLOOKUP($A655,[1]库存使用数据!$A:$J,10,0),0)+IFERROR(VLOOKUP($A655,[2]库存使用数据!$A:$J,10,0),0)+公式!$B$14*IFERROR(VLOOKUP($A655,[3]库存使用数据!$A:$J,10,0),0)+IFERROR(VLOOKUP($A655,[4]库存使用数据!$A:$J,10,0),0)+IFERROR(VLOOKUP($A655,[5]库存使用数据!$A:$J,10,0),0)</f>
        <v>0.09</v>
      </c>
      <c r="K655" s="1">
        <f ca="1">IFERROR(VLOOKUP($A655,[1]库存使用数据!$A:$K,11,0),0)+IFERROR(VLOOKUP($A655,[2]库存使用数据!$A:$K,11,0),0)+IFERROR(VLOOKUP($A655,[3]库存使用数据!$A:$K,11,0),0)+IFERROR(VLOOKUP($A655,[4]库存使用数据!$A:$K,11,0),0)+IFERROR(VLOOKUP($A655,[5]库存使用数据!$A:$K,11,0),0)</f>
        <v>60</v>
      </c>
      <c r="L655" s="1">
        <f ca="1">IFERROR(VLOOKUP($A655,[1]库存使用数据!$A:$L,12,0),0)+IFERROR(VLOOKUP($A655,[2]库存使用数据!$A:$L,12,0),0)+IFERROR(VLOOKUP($A655,[3]库存使用数据!$A:$L,12,0),0)+IFERROR(VLOOKUP($A655,[4]库存使用数据!$A:$L,12,0),0)+IFERROR(VLOOKUP($A655,[5]库存使用数据!$A:$L,12,0),0)</f>
        <v>0</v>
      </c>
      <c r="M655" s="1">
        <f ca="1">IFERROR(VLOOKUP($A655,[1]库存使用数据!$A:$M,13,0),0)+IFERROR(VLOOKUP($A655,[2]库存使用数据!$A:$M,13,0),0)+公式!$B$14*IFERROR(VLOOKUP($A655,[3]库存使用数据!$A:$M,13,0),0)+IFERROR(VLOOKUP($A655,[4]库存使用数据!$A:$M,13,0),0)+IFERROR(VLOOKUP($A655,[5]库存使用数据!$A:$M,13,0),0)</f>
        <v>0</v>
      </c>
    </row>
    <row r="656" spans="1:13">
      <c r="A656" s="6" t="s">
        <v>661</v>
      </c>
      <c r="B656" s="2">
        <f ca="1">IFERROR(VLOOKUP(A656,[1]库存使用数据!$A:$B,2,0),0)+IFERROR(VLOOKUP(A656,[2]库存使用数据!$A:$B,2,0),0)+IFERROR(VLOOKUP(,[3]库存使用数据!$A:$B,2,0),0)+IFERROR(VLOOKUP(A656,[4]库存使用数据!$A:$B,2,0),0)+IFERROR(VLOOKUP(A656,[5]库存使用数据!$A:$B,2,0),0)</f>
        <v>134</v>
      </c>
      <c r="C656" s="1">
        <f ca="1">IFERROR(VLOOKUP($A656,[1]库存使用数据!$A:$C,3,0),0)+IFERROR(VLOOKUP($A656,[2]库存使用数据!$A:$C,3,0),0)+IFERROR(VLOOKUP($A656,[3]库存使用数据!$A:$C,3,0),0)+IFERROR(VLOOKUP($A656,[4]库存使用数据!$A:$C,3,0),0)+IFERROR(VLOOKUP($A656,[5]库存使用数据!$A:$C,3,0),0)</f>
        <v>2</v>
      </c>
      <c r="D656" s="1">
        <f ca="1">IFERROR(VLOOKUP($A656,[1]库存使用数据!$A:$D,4,0),0)+IFERROR(VLOOKUP($A656,[2]库存使用数据!$A:$D,4,0),0)+公式!$B$1*IFERROR(VLOOKUP($A656,[3]库存使用数据!$A:$D,4,0),0)+IFERROR(VLOOKUP($A656,[4]库存使用数据!$A:$D,4,0),0)+IFERROR(VLOOKUP($A656,[5]库存使用数据!$A:$D,4,0),0)</f>
        <v>0.14</v>
      </c>
      <c r="E656" s="1">
        <f ca="1">IFERROR(VLOOKUP($A656,[1]库存使用数据!$A:$E,5,0),0)+IFERROR(VLOOKUP($A656,[2]库存使用数据!$A:$E,5,0),0)+IFERROR(VLOOKUP($A656,[3]库存使用数据!$A:$E,5,0),0)+IFERROR(VLOOKUP($A656,[4]库存使用数据!$A:$E,5,0),0)+IFERROR(VLOOKUP($A656,[5]库存使用数据!$A:$E,5,0),0)</f>
        <v>186</v>
      </c>
      <c r="F656" s="1">
        <f ca="1">IFERROR(VLOOKUP($A656,[1]库存使用数据!$A:$F,6,0),0)+IFERROR(VLOOKUP($A656,[2]库存使用数据!$A:$F,6,0),0)+IFERROR(VLOOKUP($A656,[4]库存使用数据!$A:$F,6,0),0)+IFERROR(VLOOKUP($A656,[3]库存使用数据!$A:$F,6,0),0)+IFERROR(VLOOKUP($A656,[5]库存使用数据!$A:$F,6,0),0)</f>
        <v>1</v>
      </c>
      <c r="G656" s="1">
        <f ca="1">IFERROR(VLOOKUP($A656,[1]库存使用数据!$A:$G,7,0),0)+IFERROR(VLOOKUP($A656,[2]库存使用数据!$A:$G,7,0),0)+公式!$B$14*IFERROR(VLOOKUP($A656,[3]库存使用数据!$A:$G,7,0),0)+IFERROR(VLOOKUP($A656,[4]库存使用数据!$A:$G,7,0),0)+IFERROR(VLOOKUP($A656,[5]库存使用数据!$A:$G,7,0),0)</f>
        <v>0.11</v>
      </c>
      <c r="H656" s="1">
        <f ca="1">IFERROR(VLOOKUP($A656,[1]库存使用数据!$A:$H,8,0),0)+IFERROR(VLOOKUP($A656,[2]库存使用数据!$A:$H,8,0),0)+IFERROR(VLOOKUP($A656,[3]库存使用数据!$A:$H,8,0),0)+IFERROR(VLOOKUP($A656,[4]库存使用数据!$A:$H,8,0),0)+IFERROR(VLOOKUP($A656,[5]库存使用数据!$A:$H,8,0),0)</f>
        <v>137</v>
      </c>
      <c r="I656" s="1">
        <f ca="1">IFERROR(VLOOKUP($A656,[1]库存使用数据!$A:$I,9,0),0)+IFERROR(VLOOKUP($A656,[2]库存使用数据!$A:$I,9,0),0)+IFERROR(VLOOKUP($A656,[3]库存使用数据!$A:$I,9,0),0)+IFERROR(VLOOKUP($A656,[4]库存使用数据!$A:$I,9,0),0)+IFERROR(VLOOKUP($A656,[5]库存使用数据!$A:$I,9,0),0)</f>
        <v>0</v>
      </c>
      <c r="J656" s="1">
        <f ca="1">IFERROR(VLOOKUP($A656,[1]库存使用数据!$A:$J,10,0),0)+IFERROR(VLOOKUP($A656,[2]库存使用数据!$A:$J,10,0),0)+公式!$B$14*IFERROR(VLOOKUP($A656,[3]库存使用数据!$A:$J,10,0),0)+IFERROR(VLOOKUP($A656,[4]库存使用数据!$A:$J,10,0),0)+IFERROR(VLOOKUP($A656,[5]库存使用数据!$A:$J,10,0),0)</f>
        <v>0</v>
      </c>
      <c r="K656" s="1">
        <f ca="1">IFERROR(VLOOKUP($A656,[1]库存使用数据!$A:$K,11,0),0)+IFERROR(VLOOKUP($A656,[2]库存使用数据!$A:$K,11,0),0)+IFERROR(VLOOKUP($A656,[3]库存使用数据!$A:$K,11,0),0)+IFERROR(VLOOKUP($A656,[4]库存使用数据!$A:$K,11,0),0)+IFERROR(VLOOKUP($A656,[5]库存使用数据!$A:$K,11,0),0)</f>
        <v>102</v>
      </c>
      <c r="L656" s="1">
        <f ca="1">IFERROR(VLOOKUP($A656,[1]库存使用数据!$A:$L,12,0),0)+IFERROR(VLOOKUP($A656,[2]库存使用数据!$A:$L,12,0),0)+IFERROR(VLOOKUP($A656,[3]库存使用数据!$A:$L,12,0),0)+IFERROR(VLOOKUP($A656,[4]库存使用数据!$A:$L,12,0),0)+IFERROR(VLOOKUP($A656,[5]库存使用数据!$A:$L,12,0),0)</f>
        <v>1</v>
      </c>
      <c r="M656" s="1">
        <f ca="1">IFERROR(VLOOKUP($A656,[1]库存使用数据!$A:$M,13,0),0)+IFERROR(VLOOKUP($A656,[2]库存使用数据!$A:$M,13,0),0)+公式!$B$14*IFERROR(VLOOKUP($A656,[3]库存使用数据!$A:$M,13,0),0)+IFERROR(VLOOKUP($A656,[4]库存使用数据!$A:$M,13,0),0)+IFERROR(VLOOKUP($A656,[5]库存使用数据!$A:$M,13,0),0)</f>
        <v>0.1</v>
      </c>
    </row>
    <row r="657" spans="1:13">
      <c r="A657" s="6" t="s">
        <v>662</v>
      </c>
      <c r="B657" s="2">
        <f ca="1">IFERROR(VLOOKUP(A657,[1]库存使用数据!$A:$B,2,0),0)+IFERROR(VLOOKUP(A657,[2]库存使用数据!$A:$B,2,0),0)+IFERROR(VLOOKUP(,[3]库存使用数据!$A:$B,2,0),0)+IFERROR(VLOOKUP(A657,[4]库存使用数据!$A:$B,2,0),0)+IFERROR(VLOOKUP(A657,[5]库存使用数据!$A:$B,2,0),0)</f>
        <v>649</v>
      </c>
      <c r="C657" s="1">
        <f ca="1">IFERROR(VLOOKUP($A657,[1]库存使用数据!$A:$C,3,0),0)+IFERROR(VLOOKUP($A657,[2]库存使用数据!$A:$C,3,0),0)+IFERROR(VLOOKUP($A657,[3]库存使用数据!$A:$C,3,0),0)+IFERROR(VLOOKUP($A657,[4]库存使用数据!$A:$C,3,0),0)+IFERROR(VLOOKUP($A657,[5]库存使用数据!$A:$C,3,0),0)</f>
        <v>3</v>
      </c>
      <c r="D657" s="1">
        <f ca="1">IFERROR(VLOOKUP($A657,[1]库存使用数据!$A:$D,4,0),0)+IFERROR(VLOOKUP($A657,[2]库存使用数据!$A:$D,4,0),0)+公式!$B$1*IFERROR(VLOOKUP($A657,[3]库存使用数据!$A:$D,4,0),0)+IFERROR(VLOOKUP($A657,[4]库存使用数据!$A:$D,4,0),0)+IFERROR(VLOOKUP($A657,[5]库存使用数据!$A:$D,4,0),0)</f>
        <v>0.19</v>
      </c>
      <c r="E657" s="1">
        <f ca="1">IFERROR(VLOOKUP($A657,[1]库存使用数据!$A:$E,5,0),0)+IFERROR(VLOOKUP($A657,[2]库存使用数据!$A:$E,5,0),0)+IFERROR(VLOOKUP($A657,[3]库存使用数据!$A:$E,5,0),0)+IFERROR(VLOOKUP($A657,[4]库存使用数据!$A:$E,5,0),0)+IFERROR(VLOOKUP($A657,[5]库存使用数据!$A:$E,5,0),0)</f>
        <v>292</v>
      </c>
      <c r="F657" s="1">
        <f ca="1">IFERROR(VLOOKUP($A657,[1]库存使用数据!$A:$F,6,0),0)+IFERROR(VLOOKUP($A657,[2]库存使用数据!$A:$F,6,0),0)+IFERROR(VLOOKUP($A657,[4]库存使用数据!$A:$F,6,0),0)+IFERROR(VLOOKUP($A657,[3]库存使用数据!$A:$F,6,0),0)+IFERROR(VLOOKUP($A657,[5]库存使用数据!$A:$F,6,0),0)</f>
        <v>2</v>
      </c>
      <c r="G657" s="1">
        <f ca="1">IFERROR(VLOOKUP($A657,[1]库存使用数据!$A:$G,7,0),0)+IFERROR(VLOOKUP($A657,[2]库存使用数据!$A:$G,7,0),0)+公式!$B$14*IFERROR(VLOOKUP($A657,[3]库存使用数据!$A:$G,7,0),0)+IFERROR(VLOOKUP($A657,[4]库存使用数据!$A:$G,7,0),0)+IFERROR(VLOOKUP($A657,[5]库存使用数据!$A:$G,7,0),0)</f>
        <v>0.3</v>
      </c>
      <c r="H657" s="1">
        <f ca="1">IFERROR(VLOOKUP($A657,[1]库存使用数据!$A:$H,8,0),0)+IFERROR(VLOOKUP($A657,[2]库存使用数据!$A:$H,8,0),0)+IFERROR(VLOOKUP($A657,[3]库存使用数据!$A:$H,8,0),0)+IFERROR(VLOOKUP($A657,[4]库存使用数据!$A:$H,8,0),0)+IFERROR(VLOOKUP($A657,[5]库存使用数据!$A:$H,8,0),0)</f>
        <v>205</v>
      </c>
      <c r="I657" s="1">
        <f ca="1">IFERROR(VLOOKUP($A657,[1]库存使用数据!$A:$I,9,0),0)+IFERROR(VLOOKUP($A657,[2]库存使用数据!$A:$I,9,0),0)+IFERROR(VLOOKUP($A657,[3]库存使用数据!$A:$I,9,0),0)+IFERROR(VLOOKUP($A657,[4]库存使用数据!$A:$I,9,0),0)+IFERROR(VLOOKUP($A657,[5]库存使用数据!$A:$I,9,0),0)</f>
        <v>1</v>
      </c>
      <c r="J657" s="1">
        <f ca="1">IFERROR(VLOOKUP($A657,[1]库存使用数据!$A:$J,10,0),0)+IFERROR(VLOOKUP($A657,[2]库存使用数据!$A:$J,10,0),0)+公式!$B$14*IFERROR(VLOOKUP($A657,[3]库存使用数据!$A:$J,10,0),0)+IFERROR(VLOOKUP($A657,[4]库存使用数据!$A:$J,10,0),0)+IFERROR(VLOOKUP($A657,[5]库存使用数据!$A:$J,10,0),0)</f>
        <v>0.12</v>
      </c>
      <c r="K657" s="1">
        <f ca="1">IFERROR(VLOOKUP($A657,[1]库存使用数据!$A:$K,11,0),0)+IFERROR(VLOOKUP($A657,[2]库存使用数据!$A:$K,11,0),0)+IFERROR(VLOOKUP($A657,[3]库存使用数据!$A:$K,11,0),0)+IFERROR(VLOOKUP($A657,[4]库存使用数据!$A:$K,11,0),0)+IFERROR(VLOOKUP($A657,[5]库存使用数据!$A:$K,11,0),0)</f>
        <v>233</v>
      </c>
      <c r="L657" s="1">
        <f ca="1">IFERROR(VLOOKUP($A657,[1]库存使用数据!$A:$L,12,0),0)+IFERROR(VLOOKUP($A657,[2]库存使用数据!$A:$L,12,0),0)+IFERROR(VLOOKUP($A657,[3]库存使用数据!$A:$L,12,0),0)+IFERROR(VLOOKUP($A657,[4]库存使用数据!$A:$L,12,0),0)+IFERROR(VLOOKUP($A657,[5]库存使用数据!$A:$L,12,0),0)</f>
        <v>3</v>
      </c>
      <c r="M657" s="1">
        <f ca="1">IFERROR(VLOOKUP($A657,[1]库存使用数据!$A:$M,13,0),0)+IFERROR(VLOOKUP($A657,[2]库存使用数据!$A:$M,13,0),0)+公式!$B$14*IFERROR(VLOOKUP($A657,[3]库存使用数据!$A:$M,13,0),0)+IFERROR(VLOOKUP($A657,[4]库存使用数据!$A:$M,13,0),0)+IFERROR(VLOOKUP($A657,[5]库存使用数据!$A:$M,13,0),0)</f>
        <v>0.26</v>
      </c>
    </row>
    <row r="658" spans="1:13">
      <c r="A658" s="6" t="s">
        <v>663</v>
      </c>
      <c r="B658" s="2">
        <f ca="1">IFERROR(VLOOKUP(A658,[1]库存使用数据!$A:$B,2,0),0)+IFERROR(VLOOKUP(A658,[2]库存使用数据!$A:$B,2,0),0)+IFERROR(VLOOKUP(,[3]库存使用数据!$A:$B,2,0),0)+IFERROR(VLOOKUP(A658,[4]库存使用数据!$A:$B,2,0),0)+IFERROR(VLOOKUP(A658,[5]库存使用数据!$A:$B,2,0),0)</f>
        <v>0</v>
      </c>
      <c r="C658" s="1">
        <f ca="1">IFERROR(VLOOKUP($A658,[1]库存使用数据!$A:$C,3,0),0)+IFERROR(VLOOKUP($A658,[2]库存使用数据!$A:$C,3,0),0)+IFERROR(VLOOKUP($A658,[3]库存使用数据!$A:$C,3,0),0)+IFERROR(VLOOKUP($A658,[4]库存使用数据!$A:$C,3,0),0)+IFERROR(VLOOKUP($A658,[5]库存使用数据!$A:$C,3,0),0)</f>
        <v>0</v>
      </c>
      <c r="D658" s="1">
        <f ca="1">IFERROR(VLOOKUP($A658,[1]库存使用数据!$A:$D,4,0),0)+IFERROR(VLOOKUP($A658,[2]库存使用数据!$A:$D,4,0),0)+公式!$B$1*IFERROR(VLOOKUP($A658,[3]库存使用数据!$A:$D,4,0),0)+IFERROR(VLOOKUP($A658,[4]库存使用数据!$A:$D,4,0),0)+IFERROR(VLOOKUP($A658,[5]库存使用数据!$A:$D,4,0),0)</f>
        <v>0</v>
      </c>
      <c r="E658" s="1">
        <f ca="1">IFERROR(VLOOKUP($A658,[1]库存使用数据!$A:$E,5,0),0)+IFERROR(VLOOKUP($A658,[2]库存使用数据!$A:$E,5,0),0)+IFERROR(VLOOKUP($A658,[3]库存使用数据!$A:$E,5,0),0)+IFERROR(VLOOKUP($A658,[4]库存使用数据!$A:$E,5,0),0)+IFERROR(VLOOKUP($A658,[5]库存使用数据!$A:$E,5,0),0)</f>
        <v>0</v>
      </c>
      <c r="F658" s="1">
        <f ca="1">IFERROR(VLOOKUP($A658,[1]库存使用数据!$A:$F,6,0),0)+IFERROR(VLOOKUP($A658,[2]库存使用数据!$A:$F,6,0),0)+IFERROR(VLOOKUP($A658,[4]库存使用数据!$A:$F,6,0),0)+IFERROR(VLOOKUP($A658,[3]库存使用数据!$A:$F,6,0),0)+IFERROR(VLOOKUP($A658,[5]库存使用数据!$A:$F,6,0),0)</f>
        <v>0</v>
      </c>
      <c r="G658" s="1">
        <f ca="1">IFERROR(VLOOKUP($A658,[1]库存使用数据!$A:$G,7,0),0)+IFERROR(VLOOKUP($A658,[2]库存使用数据!$A:$G,7,0),0)+公式!$B$14*IFERROR(VLOOKUP($A658,[3]库存使用数据!$A:$G,7,0),0)+IFERROR(VLOOKUP($A658,[4]库存使用数据!$A:$G,7,0),0)+IFERROR(VLOOKUP($A658,[5]库存使用数据!$A:$G,7,0),0)</f>
        <v>0</v>
      </c>
      <c r="H658" s="1">
        <f ca="1">IFERROR(VLOOKUP($A658,[1]库存使用数据!$A:$H,8,0),0)+IFERROR(VLOOKUP($A658,[2]库存使用数据!$A:$H,8,0),0)+IFERROR(VLOOKUP($A658,[3]库存使用数据!$A:$H,8,0),0)+IFERROR(VLOOKUP($A658,[4]库存使用数据!$A:$H,8,0),0)+IFERROR(VLOOKUP($A658,[5]库存使用数据!$A:$H,8,0),0)</f>
        <v>0</v>
      </c>
      <c r="I658" s="1">
        <f ca="1">IFERROR(VLOOKUP($A658,[1]库存使用数据!$A:$I,9,0),0)+IFERROR(VLOOKUP($A658,[2]库存使用数据!$A:$I,9,0),0)+IFERROR(VLOOKUP($A658,[3]库存使用数据!$A:$I,9,0),0)+IFERROR(VLOOKUP($A658,[4]库存使用数据!$A:$I,9,0),0)+IFERROR(VLOOKUP($A658,[5]库存使用数据!$A:$I,9,0),0)</f>
        <v>0</v>
      </c>
      <c r="J658" s="1">
        <f ca="1">IFERROR(VLOOKUP($A658,[1]库存使用数据!$A:$J,10,0),0)+IFERROR(VLOOKUP($A658,[2]库存使用数据!$A:$J,10,0),0)+公式!$B$14*IFERROR(VLOOKUP($A658,[3]库存使用数据!$A:$J,10,0),0)+IFERROR(VLOOKUP($A658,[4]库存使用数据!$A:$J,10,0),0)+IFERROR(VLOOKUP($A658,[5]库存使用数据!$A:$J,10,0),0)</f>
        <v>0</v>
      </c>
      <c r="K658" s="1">
        <f ca="1">IFERROR(VLOOKUP($A658,[1]库存使用数据!$A:$K,11,0),0)+IFERROR(VLOOKUP($A658,[2]库存使用数据!$A:$K,11,0),0)+IFERROR(VLOOKUP($A658,[3]库存使用数据!$A:$K,11,0),0)+IFERROR(VLOOKUP($A658,[4]库存使用数据!$A:$K,11,0),0)+IFERROR(VLOOKUP($A658,[5]库存使用数据!$A:$K,11,0),0)</f>
        <v>43</v>
      </c>
      <c r="L658" s="1">
        <f ca="1">IFERROR(VLOOKUP($A658,[1]库存使用数据!$A:$L,12,0),0)+IFERROR(VLOOKUP($A658,[2]库存使用数据!$A:$L,12,0),0)+IFERROR(VLOOKUP($A658,[3]库存使用数据!$A:$L,12,0),0)+IFERROR(VLOOKUP($A658,[4]库存使用数据!$A:$L,12,0),0)+IFERROR(VLOOKUP($A658,[5]库存使用数据!$A:$L,12,0),0)</f>
        <v>0</v>
      </c>
      <c r="M658" s="1">
        <f ca="1">IFERROR(VLOOKUP($A658,[1]库存使用数据!$A:$M,13,0),0)+IFERROR(VLOOKUP($A658,[2]库存使用数据!$A:$M,13,0),0)+公式!$B$14*IFERROR(VLOOKUP($A658,[3]库存使用数据!$A:$M,13,0),0)+IFERROR(VLOOKUP($A658,[4]库存使用数据!$A:$M,13,0),0)+IFERROR(VLOOKUP($A658,[5]库存使用数据!$A:$M,13,0),0)</f>
        <v>0</v>
      </c>
    </row>
    <row r="659" spans="1:13">
      <c r="A659" s="6" t="s">
        <v>664</v>
      </c>
      <c r="B659" s="2">
        <f ca="1">IFERROR(VLOOKUP(A659,[1]库存使用数据!$A:$B,2,0),0)+IFERROR(VLOOKUP(A659,[2]库存使用数据!$A:$B,2,0),0)+IFERROR(VLOOKUP(,[3]库存使用数据!$A:$B,2,0),0)+IFERROR(VLOOKUP(A659,[4]库存使用数据!$A:$B,2,0),0)+IFERROR(VLOOKUP(A659,[5]库存使用数据!$A:$B,2,0),0)</f>
        <v>7083</v>
      </c>
      <c r="C659" s="1">
        <f ca="1">IFERROR(VLOOKUP($A659,[1]库存使用数据!$A:$C,3,0),0)+IFERROR(VLOOKUP($A659,[2]库存使用数据!$A:$C,3,0),0)+IFERROR(VLOOKUP($A659,[3]库存使用数据!$A:$C,3,0),0)+IFERROR(VLOOKUP($A659,[4]库存使用数据!$A:$C,3,0),0)+IFERROR(VLOOKUP($A659,[5]库存使用数据!$A:$C,3,0),0)</f>
        <v>16</v>
      </c>
      <c r="D659" s="1">
        <f ca="1">IFERROR(VLOOKUP($A659,[1]库存使用数据!$A:$D,4,0),0)+IFERROR(VLOOKUP($A659,[2]库存使用数据!$A:$D,4,0),0)+公式!$B$1*IFERROR(VLOOKUP($A659,[3]库存使用数据!$A:$D,4,0),0)+IFERROR(VLOOKUP($A659,[4]库存使用数据!$A:$D,4,0),0)+IFERROR(VLOOKUP($A659,[5]库存使用数据!$A:$D,4,0),0)</f>
        <v>3.12</v>
      </c>
      <c r="E659" s="1">
        <f ca="1">IFERROR(VLOOKUP($A659,[1]库存使用数据!$A:$E,5,0),0)+IFERROR(VLOOKUP($A659,[2]库存使用数据!$A:$E,5,0),0)+IFERROR(VLOOKUP($A659,[3]库存使用数据!$A:$E,5,0),0)+IFERROR(VLOOKUP($A659,[4]库存使用数据!$A:$E,5,0),0)+IFERROR(VLOOKUP($A659,[5]库存使用数据!$A:$E,5,0),0)</f>
        <v>14774</v>
      </c>
      <c r="F659" s="1">
        <f ca="1">IFERROR(VLOOKUP($A659,[1]库存使用数据!$A:$F,6,0),0)+IFERROR(VLOOKUP($A659,[2]库存使用数据!$A:$F,6,0),0)+IFERROR(VLOOKUP($A659,[4]库存使用数据!$A:$F,6,0),0)+IFERROR(VLOOKUP($A659,[3]库存使用数据!$A:$F,6,0),0)+IFERROR(VLOOKUP($A659,[5]库存使用数据!$A:$F,6,0),0)</f>
        <v>43</v>
      </c>
      <c r="G659" s="1">
        <f ca="1">IFERROR(VLOOKUP($A659,[1]库存使用数据!$A:$G,7,0),0)+IFERROR(VLOOKUP($A659,[2]库存使用数据!$A:$G,7,0),0)+公式!$B$14*IFERROR(VLOOKUP($A659,[3]库存使用数据!$A:$G,7,0),0)+IFERROR(VLOOKUP($A659,[4]库存使用数据!$A:$G,7,0),0)+IFERROR(VLOOKUP($A659,[5]库存使用数据!$A:$G,7,0),0)</f>
        <v>7</v>
      </c>
      <c r="H659" s="1">
        <f ca="1">IFERROR(VLOOKUP($A659,[1]库存使用数据!$A:$H,8,0),0)+IFERROR(VLOOKUP($A659,[2]库存使用数据!$A:$H,8,0),0)+IFERROR(VLOOKUP($A659,[3]库存使用数据!$A:$H,8,0),0)+IFERROR(VLOOKUP($A659,[4]库存使用数据!$A:$H,8,0),0)+IFERROR(VLOOKUP($A659,[5]库存使用数据!$A:$H,8,0),0)</f>
        <v>89289</v>
      </c>
      <c r="I659" s="1">
        <f ca="1">IFERROR(VLOOKUP($A659,[1]库存使用数据!$A:$I,9,0),0)+IFERROR(VLOOKUP($A659,[2]库存使用数据!$A:$I,9,0),0)+IFERROR(VLOOKUP($A659,[3]库存使用数据!$A:$I,9,0),0)+IFERROR(VLOOKUP($A659,[4]库存使用数据!$A:$I,9,0),0)+IFERROR(VLOOKUP($A659,[5]库存使用数据!$A:$I,9,0),0)</f>
        <v>157</v>
      </c>
      <c r="J659" s="1">
        <f ca="1">IFERROR(VLOOKUP($A659,[1]库存使用数据!$A:$J,10,0),0)+IFERROR(VLOOKUP($A659,[2]库存使用数据!$A:$J,10,0),0)+公式!$B$14*IFERROR(VLOOKUP($A659,[3]库存使用数据!$A:$J,10,0),0)+IFERROR(VLOOKUP($A659,[4]库存使用数据!$A:$J,10,0),0)+IFERROR(VLOOKUP($A659,[5]库存使用数据!$A:$J,10,0),0)</f>
        <v>26.12</v>
      </c>
      <c r="K659" s="1">
        <f ca="1">IFERROR(VLOOKUP($A659,[1]库存使用数据!$A:$K,11,0),0)+IFERROR(VLOOKUP($A659,[2]库存使用数据!$A:$K,11,0),0)+IFERROR(VLOOKUP($A659,[3]库存使用数据!$A:$K,11,0),0)+IFERROR(VLOOKUP($A659,[4]库存使用数据!$A:$K,11,0),0)+IFERROR(VLOOKUP($A659,[5]库存使用数据!$A:$K,11,0),0)</f>
        <v>3007</v>
      </c>
      <c r="L659" s="1">
        <f ca="1">IFERROR(VLOOKUP($A659,[1]库存使用数据!$A:$L,12,0),0)+IFERROR(VLOOKUP($A659,[2]库存使用数据!$A:$L,12,0),0)+IFERROR(VLOOKUP($A659,[3]库存使用数据!$A:$L,12,0),0)+IFERROR(VLOOKUP($A659,[4]库存使用数据!$A:$L,12,0),0)+IFERROR(VLOOKUP($A659,[5]库存使用数据!$A:$L,12,0),0)</f>
        <v>5</v>
      </c>
      <c r="M659" s="1">
        <f ca="1">IFERROR(VLOOKUP($A659,[1]库存使用数据!$A:$M,13,0),0)+IFERROR(VLOOKUP($A659,[2]库存使用数据!$A:$M,13,0),0)+公式!$B$14*IFERROR(VLOOKUP($A659,[3]库存使用数据!$A:$M,13,0),0)+IFERROR(VLOOKUP($A659,[4]库存使用数据!$A:$M,13,0),0)+IFERROR(VLOOKUP($A659,[5]库存使用数据!$A:$M,13,0),0)</f>
        <v>1.29</v>
      </c>
    </row>
    <row r="660" spans="1:13">
      <c r="A660" s="6" t="s">
        <v>665</v>
      </c>
      <c r="B660" s="2">
        <f ca="1">IFERROR(VLOOKUP(A660,[1]库存使用数据!$A:$B,2,0),0)+IFERROR(VLOOKUP(A660,[2]库存使用数据!$A:$B,2,0),0)+IFERROR(VLOOKUP(,[3]库存使用数据!$A:$B,2,0),0)+IFERROR(VLOOKUP(A660,[4]库存使用数据!$A:$B,2,0),0)+IFERROR(VLOOKUP(A660,[5]库存使用数据!$A:$B,2,0),0)</f>
        <v>82262</v>
      </c>
      <c r="C660" s="1">
        <f ca="1">IFERROR(VLOOKUP($A660,[1]库存使用数据!$A:$C,3,0),0)+IFERROR(VLOOKUP($A660,[2]库存使用数据!$A:$C,3,0),0)+IFERROR(VLOOKUP($A660,[3]库存使用数据!$A:$C,3,0),0)+IFERROR(VLOOKUP($A660,[4]库存使用数据!$A:$C,3,0),0)+IFERROR(VLOOKUP($A660,[5]库存使用数据!$A:$C,3,0),0)</f>
        <v>108</v>
      </c>
      <c r="D660" s="1">
        <f ca="1">IFERROR(VLOOKUP($A660,[1]库存使用数据!$A:$D,4,0),0)+IFERROR(VLOOKUP($A660,[2]库存使用数据!$A:$D,4,0),0)+公式!$B$1*IFERROR(VLOOKUP($A660,[3]库存使用数据!$A:$D,4,0),0)+IFERROR(VLOOKUP($A660,[4]库存使用数据!$A:$D,4,0),0)+IFERROR(VLOOKUP($A660,[5]库存使用数据!$A:$D,4,0),0)</f>
        <v>15.55</v>
      </c>
      <c r="E660" s="1">
        <f ca="1">IFERROR(VLOOKUP($A660,[1]库存使用数据!$A:$E,5,0),0)+IFERROR(VLOOKUP($A660,[2]库存使用数据!$A:$E,5,0),0)+IFERROR(VLOOKUP($A660,[3]库存使用数据!$A:$E,5,0),0)+IFERROR(VLOOKUP($A660,[4]库存使用数据!$A:$E,5,0),0)+IFERROR(VLOOKUP($A660,[5]库存使用数据!$A:$E,5,0),0)</f>
        <v>60244</v>
      </c>
      <c r="F660" s="1">
        <f ca="1">IFERROR(VLOOKUP($A660,[1]库存使用数据!$A:$F,6,0),0)+IFERROR(VLOOKUP($A660,[2]库存使用数据!$A:$F,6,0),0)+IFERROR(VLOOKUP($A660,[4]库存使用数据!$A:$F,6,0),0)+IFERROR(VLOOKUP($A660,[3]库存使用数据!$A:$F,6,0),0)+IFERROR(VLOOKUP($A660,[5]库存使用数据!$A:$F,6,0),0)</f>
        <v>109</v>
      </c>
      <c r="G660" s="1">
        <f ca="1">IFERROR(VLOOKUP($A660,[1]库存使用数据!$A:$G,7,0),0)+IFERROR(VLOOKUP($A660,[2]库存使用数据!$A:$G,7,0),0)+公式!$B$14*IFERROR(VLOOKUP($A660,[3]库存使用数据!$A:$G,7,0),0)+IFERROR(VLOOKUP($A660,[4]库存使用数据!$A:$G,7,0),0)+IFERROR(VLOOKUP($A660,[5]库存使用数据!$A:$G,7,0),0)</f>
        <v>17.49</v>
      </c>
      <c r="H660" s="1">
        <f ca="1">IFERROR(VLOOKUP($A660,[1]库存使用数据!$A:$H,8,0),0)+IFERROR(VLOOKUP($A660,[2]库存使用数据!$A:$H,8,0),0)+IFERROR(VLOOKUP($A660,[3]库存使用数据!$A:$H,8,0),0)+IFERROR(VLOOKUP($A660,[4]库存使用数据!$A:$H,8,0),0)+IFERROR(VLOOKUP($A660,[5]库存使用数据!$A:$H,8,0),0)</f>
        <v>12976</v>
      </c>
      <c r="I660" s="1">
        <f ca="1">IFERROR(VLOOKUP($A660,[1]库存使用数据!$A:$I,9,0),0)+IFERROR(VLOOKUP($A660,[2]库存使用数据!$A:$I,9,0),0)+IFERROR(VLOOKUP($A660,[3]库存使用数据!$A:$I,9,0),0)+IFERROR(VLOOKUP($A660,[4]库存使用数据!$A:$I,9,0),0)+IFERROR(VLOOKUP($A660,[5]库存使用数据!$A:$I,9,0),0)</f>
        <v>54</v>
      </c>
      <c r="J660" s="1">
        <f ca="1">IFERROR(VLOOKUP($A660,[1]库存使用数据!$A:$J,10,0),0)+IFERROR(VLOOKUP($A660,[2]库存使用数据!$A:$J,10,0),0)+公式!$B$14*IFERROR(VLOOKUP($A660,[3]库存使用数据!$A:$J,10,0),0)+IFERROR(VLOOKUP($A660,[4]库存使用数据!$A:$J,10,0),0)+IFERROR(VLOOKUP($A660,[5]库存使用数据!$A:$J,10,0),0)</f>
        <v>9.51</v>
      </c>
      <c r="K660" s="1">
        <f ca="1">IFERROR(VLOOKUP($A660,[1]库存使用数据!$A:$K,11,0),0)+IFERROR(VLOOKUP($A660,[2]库存使用数据!$A:$K,11,0),0)+IFERROR(VLOOKUP($A660,[3]库存使用数据!$A:$K,11,0),0)+IFERROR(VLOOKUP($A660,[4]库存使用数据!$A:$K,11,0),0)+IFERROR(VLOOKUP($A660,[5]库存使用数据!$A:$K,11,0),0)</f>
        <v>16248</v>
      </c>
      <c r="L660" s="1">
        <f ca="1">IFERROR(VLOOKUP($A660,[1]库存使用数据!$A:$L,12,0),0)+IFERROR(VLOOKUP($A660,[2]库存使用数据!$A:$L,12,0),0)+IFERROR(VLOOKUP($A660,[3]库存使用数据!$A:$L,12,0),0)+IFERROR(VLOOKUP($A660,[4]库存使用数据!$A:$L,12,0),0)+IFERROR(VLOOKUP($A660,[5]库存使用数据!$A:$L,12,0),0)</f>
        <v>66</v>
      </c>
      <c r="M660" s="1">
        <f ca="1">IFERROR(VLOOKUP($A660,[1]库存使用数据!$A:$M,13,0),0)+IFERROR(VLOOKUP($A660,[2]库存使用数据!$A:$M,13,0),0)+公式!$B$14*IFERROR(VLOOKUP($A660,[3]库存使用数据!$A:$M,13,0),0)+IFERROR(VLOOKUP($A660,[4]库存使用数据!$A:$M,13,0),0)+IFERROR(VLOOKUP($A660,[5]库存使用数据!$A:$M,13,0),0)</f>
        <v>10.9</v>
      </c>
    </row>
    <row r="661" spans="1:13">
      <c r="A661" s="6" t="s">
        <v>666</v>
      </c>
      <c r="B661" s="2">
        <f ca="1">IFERROR(VLOOKUP(A661,[1]库存使用数据!$A:$B,2,0),0)+IFERROR(VLOOKUP(A661,[2]库存使用数据!$A:$B,2,0),0)+IFERROR(VLOOKUP(,[3]库存使用数据!$A:$B,2,0),0)+IFERROR(VLOOKUP(A661,[4]库存使用数据!$A:$B,2,0),0)+IFERROR(VLOOKUP(A661,[5]库存使用数据!$A:$B,2,0),0)</f>
        <v>1666</v>
      </c>
      <c r="C661" s="1">
        <f ca="1">IFERROR(VLOOKUP($A661,[1]库存使用数据!$A:$C,3,0),0)+IFERROR(VLOOKUP($A661,[2]库存使用数据!$A:$C,3,0),0)+IFERROR(VLOOKUP($A661,[3]库存使用数据!$A:$C,3,0),0)+IFERROR(VLOOKUP($A661,[4]库存使用数据!$A:$C,3,0),0)+IFERROR(VLOOKUP($A661,[5]库存使用数据!$A:$C,3,0),0)</f>
        <v>7</v>
      </c>
      <c r="D661" s="1">
        <f ca="1">IFERROR(VLOOKUP($A661,[1]库存使用数据!$A:$D,4,0),0)+IFERROR(VLOOKUP($A661,[2]库存使用数据!$A:$D,4,0),0)+公式!$B$1*IFERROR(VLOOKUP($A661,[3]库存使用数据!$A:$D,4,0),0)+IFERROR(VLOOKUP($A661,[4]库存使用数据!$A:$D,4,0),0)+IFERROR(VLOOKUP($A661,[5]库存使用数据!$A:$D,4,0),0)</f>
        <v>1.72</v>
      </c>
      <c r="E661" s="1">
        <f ca="1">IFERROR(VLOOKUP($A661,[1]库存使用数据!$A:$E,5,0),0)+IFERROR(VLOOKUP($A661,[2]库存使用数据!$A:$E,5,0),0)+IFERROR(VLOOKUP($A661,[3]库存使用数据!$A:$E,5,0),0)+IFERROR(VLOOKUP($A661,[4]库存使用数据!$A:$E,5,0),0)+IFERROR(VLOOKUP($A661,[5]库存使用数据!$A:$E,5,0),0)</f>
        <v>1538</v>
      </c>
      <c r="F661" s="1">
        <f ca="1">IFERROR(VLOOKUP($A661,[1]库存使用数据!$A:$F,6,0),0)+IFERROR(VLOOKUP($A661,[2]库存使用数据!$A:$F,6,0),0)+IFERROR(VLOOKUP($A661,[4]库存使用数据!$A:$F,6,0),0)+IFERROR(VLOOKUP($A661,[3]库存使用数据!$A:$F,6,0),0)+IFERROR(VLOOKUP($A661,[5]库存使用数据!$A:$F,6,0),0)</f>
        <v>5</v>
      </c>
      <c r="G661" s="1">
        <f ca="1">IFERROR(VLOOKUP($A661,[1]库存使用数据!$A:$G,7,0),0)+IFERROR(VLOOKUP($A661,[2]库存使用数据!$A:$G,7,0),0)+公式!$B$14*IFERROR(VLOOKUP($A661,[3]库存使用数据!$A:$G,7,0),0)+IFERROR(VLOOKUP($A661,[4]库存使用数据!$A:$G,7,0),0)+IFERROR(VLOOKUP($A661,[5]库存使用数据!$A:$G,7,0),0)</f>
        <v>0.99</v>
      </c>
      <c r="H661" s="1">
        <f ca="1">IFERROR(VLOOKUP($A661,[1]库存使用数据!$A:$H,8,0),0)+IFERROR(VLOOKUP($A661,[2]库存使用数据!$A:$H,8,0),0)+IFERROR(VLOOKUP($A661,[3]库存使用数据!$A:$H,8,0),0)+IFERROR(VLOOKUP($A661,[4]库存使用数据!$A:$H,8,0),0)+IFERROR(VLOOKUP($A661,[5]库存使用数据!$A:$H,8,0),0)</f>
        <v>1357</v>
      </c>
      <c r="I661" s="1">
        <f ca="1">IFERROR(VLOOKUP($A661,[1]库存使用数据!$A:$I,9,0),0)+IFERROR(VLOOKUP($A661,[2]库存使用数据!$A:$I,9,0),0)+IFERROR(VLOOKUP($A661,[3]库存使用数据!$A:$I,9,0),0)+IFERROR(VLOOKUP($A661,[4]库存使用数据!$A:$I,9,0),0)+IFERROR(VLOOKUP($A661,[5]库存使用数据!$A:$I,9,0),0)</f>
        <v>5</v>
      </c>
      <c r="J661" s="1">
        <f ca="1">IFERROR(VLOOKUP($A661,[1]库存使用数据!$A:$J,10,0),0)+IFERROR(VLOOKUP($A661,[2]库存使用数据!$A:$J,10,0),0)+公式!$B$14*IFERROR(VLOOKUP($A661,[3]库存使用数据!$A:$J,10,0),0)+IFERROR(VLOOKUP($A661,[4]库存使用数据!$A:$J,10,0),0)+IFERROR(VLOOKUP($A661,[5]库存使用数据!$A:$J,10,0),0)</f>
        <v>1.13</v>
      </c>
      <c r="K661" s="1">
        <f ca="1">IFERROR(VLOOKUP($A661,[1]库存使用数据!$A:$K,11,0),0)+IFERROR(VLOOKUP($A661,[2]库存使用数据!$A:$K,11,0),0)+IFERROR(VLOOKUP($A661,[3]库存使用数据!$A:$K,11,0),0)+IFERROR(VLOOKUP($A661,[4]库存使用数据!$A:$K,11,0),0)+IFERROR(VLOOKUP($A661,[5]库存使用数据!$A:$K,11,0),0)</f>
        <v>1505</v>
      </c>
      <c r="L661" s="1">
        <f ca="1">IFERROR(VLOOKUP($A661,[1]库存使用数据!$A:$L,12,0),0)+IFERROR(VLOOKUP($A661,[2]库存使用数据!$A:$L,12,0),0)+IFERROR(VLOOKUP($A661,[3]库存使用数据!$A:$L,12,0),0)+IFERROR(VLOOKUP($A661,[4]库存使用数据!$A:$L,12,0),0)+IFERROR(VLOOKUP($A661,[5]库存使用数据!$A:$L,12,0),0)</f>
        <v>1</v>
      </c>
      <c r="M661" s="1">
        <f ca="1">IFERROR(VLOOKUP($A661,[1]库存使用数据!$A:$M,13,0),0)+IFERROR(VLOOKUP($A661,[2]库存使用数据!$A:$M,13,0),0)+公式!$B$14*IFERROR(VLOOKUP($A661,[3]库存使用数据!$A:$M,13,0),0)+IFERROR(VLOOKUP($A661,[4]库存使用数据!$A:$M,13,0),0)+IFERROR(VLOOKUP($A661,[5]库存使用数据!$A:$M,13,0),0)</f>
        <v>0.21</v>
      </c>
    </row>
    <row r="662" spans="1:13">
      <c r="A662" s="6" t="s">
        <v>667</v>
      </c>
      <c r="B662" s="2">
        <f ca="1">IFERROR(VLOOKUP(A662,[1]库存使用数据!$A:$B,2,0),0)+IFERROR(VLOOKUP(A662,[2]库存使用数据!$A:$B,2,0),0)+IFERROR(VLOOKUP(,[3]库存使用数据!$A:$B,2,0),0)+IFERROR(VLOOKUP(A662,[4]库存使用数据!$A:$B,2,0),0)+IFERROR(VLOOKUP(A662,[5]库存使用数据!$A:$B,2,0),0)</f>
        <v>1161</v>
      </c>
      <c r="C662" s="1">
        <f ca="1">IFERROR(VLOOKUP($A662,[1]库存使用数据!$A:$C,3,0),0)+IFERROR(VLOOKUP($A662,[2]库存使用数据!$A:$C,3,0),0)+IFERROR(VLOOKUP($A662,[3]库存使用数据!$A:$C,3,0),0)+IFERROR(VLOOKUP($A662,[4]库存使用数据!$A:$C,3,0),0)+IFERROR(VLOOKUP($A662,[5]库存使用数据!$A:$C,3,0),0)</f>
        <v>2</v>
      </c>
      <c r="D662" s="1">
        <f ca="1">IFERROR(VLOOKUP($A662,[1]库存使用数据!$A:$D,4,0),0)+IFERROR(VLOOKUP($A662,[2]库存使用数据!$A:$D,4,0),0)+公式!$B$1*IFERROR(VLOOKUP($A662,[3]库存使用数据!$A:$D,4,0),0)+IFERROR(VLOOKUP($A662,[4]库存使用数据!$A:$D,4,0),0)+IFERROR(VLOOKUP($A662,[5]库存使用数据!$A:$D,4,0),0)</f>
        <v>0.63</v>
      </c>
      <c r="E662" s="1">
        <f ca="1">IFERROR(VLOOKUP($A662,[1]库存使用数据!$A:$E,5,0),0)+IFERROR(VLOOKUP($A662,[2]库存使用数据!$A:$E,5,0),0)+IFERROR(VLOOKUP($A662,[3]库存使用数据!$A:$E,5,0),0)+IFERROR(VLOOKUP($A662,[4]库存使用数据!$A:$E,5,0),0)+IFERROR(VLOOKUP($A662,[5]库存使用数据!$A:$E,5,0),0)</f>
        <v>1565</v>
      </c>
      <c r="F662" s="1">
        <f ca="1">IFERROR(VLOOKUP($A662,[1]库存使用数据!$A:$F,6,0),0)+IFERROR(VLOOKUP($A662,[2]库存使用数据!$A:$F,6,0),0)+IFERROR(VLOOKUP($A662,[4]库存使用数据!$A:$F,6,0),0)+IFERROR(VLOOKUP($A662,[3]库存使用数据!$A:$F,6,0),0)+IFERROR(VLOOKUP($A662,[5]库存使用数据!$A:$F,6,0),0)</f>
        <v>4</v>
      </c>
      <c r="G662" s="1">
        <f ca="1">IFERROR(VLOOKUP($A662,[1]库存使用数据!$A:$G,7,0),0)+IFERROR(VLOOKUP($A662,[2]库存使用数据!$A:$G,7,0),0)+公式!$B$14*IFERROR(VLOOKUP($A662,[3]库存使用数据!$A:$G,7,0),0)+IFERROR(VLOOKUP($A662,[4]库存使用数据!$A:$G,7,0),0)+IFERROR(VLOOKUP($A662,[5]库存使用数据!$A:$G,7,0),0)</f>
        <v>1.02</v>
      </c>
      <c r="H662" s="1">
        <f ca="1">IFERROR(VLOOKUP($A662,[1]库存使用数据!$A:$H,8,0),0)+IFERROR(VLOOKUP($A662,[2]库存使用数据!$A:$H,8,0),0)+IFERROR(VLOOKUP($A662,[3]库存使用数据!$A:$H,8,0),0)+IFERROR(VLOOKUP($A662,[4]库存使用数据!$A:$H,8,0),0)+IFERROR(VLOOKUP($A662,[5]库存使用数据!$A:$H,8,0),0)</f>
        <v>810</v>
      </c>
      <c r="I662" s="1">
        <f ca="1">IFERROR(VLOOKUP($A662,[1]库存使用数据!$A:$I,9,0),0)+IFERROR(VLOOKUP($A662,[2]库存使用数据!$A:$I,9,0),0)+IFERROR(VLOOKUP($A662,[3]库存使用数据!$A:$I,9,0),0)+IFERROR(VLOOKUP($A662,[4]库存使用数据!$A:$I,9,0),0)+IFERROR(VLOOKUP($A662,[5]库存使用数据!$A:$I,9,0),0)</f>
        <v>1</v>
      </c>
      <c r="J662" s="1">
        <f ca="1">IFERROR(VLOOKUP($A662,[1]库存使用数据!$A:$J,10,0),0)+IFERROR(VLOOKUP($A662,[2]库存使用数据!$A:$J,10,0),0)+公式!$B$14*IFERROR(VLOOKUP($A662,[3]库存使用数据!$A:$J,10,0),0)+IFERROR(VLOOKUP($A662,[4]库存使用数据!$A:$J,10,0),0)+IFERROR(VLOOKUP($A662,[5]库存使用数据!$A:$J,10,0),0)</f>
        <v>0.27</v>
      </c>
      <c r="K662" s="1">
        <f ca="1">IFERROR(VLOOKUP($A662,[1]库存使用数据!$A:$K,11,0),0)+IFERROR(VLOOKUP($A662,[2]库存使用数据!$A:$K,11,0),0)+IFERROR(VLOOKUP($A662,[3]库存使用数据!$A:$K,11,0),0)+IFERROR(VLOOKUP($A662,[4]库存使用数据!$A:$K,11,0),0)+IFERROR(VLOOKUP($A662,[5]库存使用数据!$A:$K,11,0),0)</f>
        <v>1453</v>
      </c>
      <c r="L662" s="1">
        <f ca="1">IFERROR(VLOOKUP($A662,[1]库存使用数据!$A:$L,12,0),0)+IFERROR(VLOOKUP($A662,[2]库存使用数据!$A:$L,12,0),0)+IFERROR(VLOOKUP($A662,[3]库存使用数据!$A:$L,12,0),0)+IFERROR(VLOOKUP($A662,[4]库存使用数据!$A:$L,12,0),0)+IFERROR(VLOOKUP($A662,[5]库存使用数据!$A:$L,12,0),0)</f>
        <v>2</v>
      </c>
      <c r="M662" s="1">
        <f ca="1">IFERROR(VLOOKUP($A662,[1]库存使用数据!$A:$M,13,0),0)+IFERROR(VLOOKUP($A662,[2]库存使用数据!$A:$M,13,0),0)+公式!$B$14*IFERROR(VLOOKUP($A662,[3]库存使用数据!$A:$M,13,0),0)+IFERROR(VLOOKUP($A662,[4]库存使用数据!$A:$M,13,0),0)+IFERROR(VLOOKUP($A662,[5]库存使用数据!$A:$M,13,0),0)</f>
        <v>0.64</v>
      </c>
    </row>
    <row r="663" spans="1:13">
      <c r="A663" s="6" t="s">
        <v>668</v>
      </c>
      <c r="B663" s="2">
        <f ca="1">IFERROR(VLOOKUP(A663,[1]库存使用数据!$A:$B,2,0),0)+IFERROR(VLOOKUP(A663,[2]库存使用数据!$A:$B,2,0),0)+IFERROR(VLOOKUP(,[3]库存使用数据!$A:$B,2,0),0)+IFERROR(VLOOKUP(A663,[4]库存使用数据!$A:$B,2,0),0)+IFERROR(VLOOKUP(A663,[5]库存使用数据!$A:$B,2,0),0)</f>
        <v>5931</v>
      </c>
      <c r="C663" s="1">
        <f ca="1">IFERROR(VLOOKUP($A663,[1]库存使用数据!$A:$C,3,0),0)+IFERROR(VLOOKUP($A663,[2]库存使用数据!$A:$C,3,0),0)+IFERROR(VLOOKUP($A663,[3]库存使用数据!$A:$C,3,0),0)+IFERROR(VLOOKUP($A663,[4]库存使用数据!$A:$C,3,0),0)+IFERROR(VLOOKUP($A663,[5]库存使用数据!$A:$C,3,0),0)</f>
        <v>14</v>
      </c>
      <c r="D663" s="1">
        <f ca="1">IFERROR(VLOOKUP($A663,[1]库存使用数据!$A:$D,4,0),0)+IFERROR(VLOOKUP($A663,[2]库存使用数据!$A:$D,4,0),0)+公式!$B$1*IFERROR(VLOOKUP($A663,[3]库存使用数据!$A:$D,4,0),0)+IFERROR(VLOOKUP($A663,[4]库存使用数据!$A:$D,4,0),0)+IFERROR(VLOOKUP($A663,[5]库存使用数据!$A:$D,4,0),0)</f>
        <v>3.24</v>
      </c>
      <c r="E663" s="1">
        <f ca="1">IFERROR(VLOOKUP($A663,[1]库存使用数据!$A:$E,5,0),0)+IFERROR(VLOOKUP($A663,[2]库存使用数据!$A:$E,5,0),0)+IFERROR(VLOOKUP($A663,[3]库存使用数据!$A:$E,5,0),0)+IFERROR(VLOOKUP($A663,[4]库存使用数据!$A:$E,5,0),0)+IFERROR(VLOOKUP($A663,[5]库存使用数据!$A:$E,5,0),0)</f>
        <v>10754</v>
      </c>
      <c r="F663" s="1">
        <f ca="1">IFERROR(VLOOKUP($A663,[1]库存使用数据!$A:$F,6,0),0)+IFERROR(VLOOKUP($A663,[2]库存使用数据!$A:$F,6,0),0)+IFERROR(VLOOKUP($A663,[4]库存使用数据!$A:$F,6,0),0)+IFERROR(VLOOKUP($A663,[3]库存使用数据!$A:$F,6,0),0)+IFERROR(VLOOKUP($A663,[5]库存使用数据!$A:$F,6,0),0)</f>
        <v>17</v>
      </c>
      <c r="G663" s="1">
        <f ca="1">IFERROR(VLOOKUP($A663,[1]库存使用数据!$A:$G,7,0),0)+IFERROR(VLOOKUP($A663,[2]库存使用数据!$A:$G,7,0),0)+公式!$B$14*IFERROR(VLOOKUP($A663,[3]库存使用数据!$A:$G,7,0),0)+IFERROR(VLOOKUP($A663,[4]库存使用数据!$A:$G,7,0),0)+IFERROR(VLOOKUP($A663,[5]库存使用数据!$A:$G,7,0),0)</f>
        <v>3.95</v>
      </c>
      <c r="H663" s="1">
        <f ca="1">IFERROR(VLOOKUP($A663,[1]库存使用数据!$A:$H,8,0),0)+IFERROR(VLOOKUP($A663,[2]库存使用数据!$A:$H,8,0),0)+IFERROR(VLOOKUP($A663,[3]库存使用数据!$A:$H,8,0),0)+IFERROR(VLOOKUP($A663,[4]库存使用数据!$A:$H,8,0),0)+IFERROR(VLOOKUP($A663,[5]库存使用数据!$A:$H,8,0),0)</f>
        <v>9732</v>
      </c>
      <c r="I663" s="1">
        <f ca="1">IFERROR(VLOOKUP($A663,[1]库存使用数据!$A:$I,9,0),0)+IFERROR(VLOOKUP($A663,[2]库存使用数据!$A:$I,9,0),0)+IFERROR(VLOOKUP($A663,[3]库存使用数据!$A:$I,9,0),0)+IFERROR(VLOOKUP($A663,[4]库存使用数据!$A:$I,9,0),0)+IFERROR(VLOOKUP($A663,[5]库存使用数据!$A:$I,9,0),0)</f>
        <v>21</v>
      </c>
      <c r="J663" s="1">
        <f ca="1">IFERROR(VLOOKUP($A663,[1]库存使用数据!$A:$J,10,0),0)+IFERROR(VLOOKUP($A663,[2]库存使用数据!$A:$J,10,0),0)+公式!$B$14*IFERROR(VLOOKUP($A663,[3]库存使用数据!$A:$J,10,0),0)+IFERROR(VLOOKUP($A663,[4]库存使用数据!$A:$J,10,0),0)+IFERROR(VLOOKUP($A663,[5]库存使用数据!$A:$J,10,0),0)</f>
        <v>5.44</v>
      </c>
      <c r="K663" s="1">
        <f ca="1">IFERROR(VLOOKUP($A663,[1]库存使用数据!$A:$K,11,0),0)+IFERROR(VLOOKUP($A663,[2]库存使用数据!$A:$K,11,0),0)+IFERROR(VLOOKUP($A663,[3]库存使用数据!$A:$K,11,0),0)+IFERROR(VLOOKUP($A663,[4]库存使用数据!$A:$K,11,0),0)+IFERROR(VLOOKUP($A663,[5]库存使用数据!$A:$K,11,0),0)</f>
        <v>5569</v>
      </c>
      <c r="L663" s="1">
        <f ca="1">IFERROR(VLOOKUP($A663,[1]库存使用数据!$A:$L,12,0),0)+IFERROR(VLOOKUP($A663,[2]库存使用数据!$A:$L,12,0),0)+IFERROR(VLOOKUP($A663,[3]库存使用数据!$A:$L,12,0),0)+IFERROR(VLOOKUP($A663,[4]库存使用数据!$A:$L,12,0),0)+IFERROR(VLOOKUP($A663,[5]库存使用数据!$A:$L,12,0),0)</f>
        <v>14</v>
      </c>
      <c r="M663" s="1">
        <f ca="1">IFERROR(VLOOKUP($A663,[1]库存使用数据!$A:$M,13,0),0)+IFERROR(VLOOKUP($A663,[2]库存使用数据!$A:$M,13,0),0)+公式!$B$14*IFERROR(VLOOKUP($A663,[3]库存使用数据!$A:$M,13,0),0)+IFERROR(VLOOKUP($A663,[4]库存使用数据!$A:$M,13,0),0)+IFERROR(VLOOKUP($A663,[5]库存使用数据!$A:$M,13,0),0)</f>
        <v>3.33</v>
      </c>
    </row>
    <row r="664" spans="1:13">
      <c r="A664" s="6" t="s">
        <v>669</v>
      </c>
      <c r="B664" s="2">
        <f ca="1">IFERROR(VLOOKUP(A664,[1]库存使用数据!$A:$B,2,0),0)+IFERROR(VLOOKUP(A664,[2]库存使用数据!$A:$B,2,0),0)+IFERROR(VLOOKUP(,[3]库存使用数据!$A:$B,2,0),0)+IFERROR(VLOOKUP(A664,[4]库存使用数据!$A:$B,2,0),0)+IFERROR(VLOOKUP(A664,[5]库存使用数据!$A:$B,2,0),0)</f>
        <v>0</v>
      </c>
      <c r="C664" s="1">
        <f ca="1">IFERROR(VLOOKUP($A664,[1]库存使用数据!$A:$C,3,0),0)+IFERROR(VLOOKUP($A664,[2]库存使用数据!$A:$C,3,0),0)+IFERROR(VLOOKUP($A664,[3]库存使用数据!$A:$C,3,0),0)+IFERROR(VLOOKUP($A664,[4]库存使用数据!$A:$C,3,0),0)+IFERROR(VLOOKUP($A664,[5]库存使用数据!$A:$C,3,0),0)</f>
        <v>0</v>
      </c>
      <c r="D664" s="1">
        <f ca="1">IFERROR(VLOOKUP($A664,[1]库存使用数据!$A:$D,4,0),0)+IFERROR(VLOOKUP($A664,[2]库存使用数据!$A:$D,4,0),0)+公式!$B$1*IFERROR(VLOOKUP($A664,[3]库存使用数据!$A:$D,4,0),0)+IFERROR(VLOOKUP($A664,[4]库存使用数据!$A:$D,4,0),0)+IFERROR(VLOOKUP($A664,[5]库存使用数据!$A:$D,4,0),0)</f>
        <v>0</v>
      </c>
      <c r="E664" s="1">
        <f ca="1">IFERROR(VLOOKUP($A664,[1]库存使用数据!$A:$E,5,0),0)+IFERROR(VLOOKUP($A664,[2]库存使用数据!$A:$E,5,0),0)+IFERROR(VLOOKUP($A664,[3]库存使用数据!$A:$E,5,0),0)+IFERROR(VLOOKUP($A664,[4]库存使用数据!$A:$E,5,0),0)+IFERROR(VLOOKUP($A664,[5]库存使用数据!$A:$E,5,0),0)</f>
        <v>0</v>
      </c>
      <c r="F664" s="1">
        <f ca="1">IFERROR(VLOOKUP($A664,[1]库存使用数据!$A:$F,6,0),0)+IFERROR(VLOOKUP($A664,[2]库存使用数据!$A:$F,6,0),0)+IFERROR(VLOOKUP($A664,[4]库存使用数据!$A:$F,6,0),0)+IFERROR(VLOOKUP($A664,[3]库存使用数据!$A:$F,6,0),0)+IFERROR(VLOOKUP($A664,[5]库存使用数据!$A:$F,6,0),0)</f>
        <v>0</v>
      </c>
      <c r="G664" s="1">
        <f ca="1">IFERROR(VLOOKUP($A664,[1]库存使用数据!$A:$G,7,0),0)+IFERROR(VLOOKUP($A664,[2]库存使用数据!$A:$G,7,0),0)+公式!$B$14*IFERROR(VLOOKUP($A664,[3]库存使用数据!$A:$G,7,0),0)+IFERROR(VLOOKUP($A664,[4]库存使用数据!$A:$G,7,0),0)+IFERROR(VLOOKUP($A664,[5]库存使用数据!$A:$G,7,0),0)</f>
        <v>0</v>
      </c>
      <c r="H664" s="1">
        <f ca="1">IFERROR(VLOOKUP($A664,[1]库存使用数据!$A:$H,8,0),0)+IFERROR(VLOOKUP($A664,[2]库存使用数据!$A:$H,8,0),0)+IFERROR(VLOOKUP($A664,[3]库存使用数据!$A:$H,8,0),0)+IFERROR(VLOOKUP($A664,[4]库存使用数据!$A:$H,8,0),0)+IFERROR(VLOOKUP($A664,[5]库存使用数据!$A:$H,8,0),0)</f>
        <v>0</v>
      </c>
      <c r="I664" s="1">
        <f ca="1">IFERROR(VLOOKUP($A664,[1]库存使用数据!$A:$I,9,0),0)+IFERROR(VLOOKUP($A664,[2]库存使用数据!$A:$I,9,0),0)+IFERROR(VLOOKUP($A664,[3]库存使用数据!$A:$I,9,0),0)+IFERROR(VLOOKUP($A664,[4]库存使用数据!$A:$I,9,0),0)+IFERROR(VLOOKUP($A664,[5]库存使用数据!$A:$I,9,0),0)</f>
        <v>0</v>
      </c>
      <c r="J664" s="1">
        <f ca="1">IFERROR(VLOOKUP($A664,[1]库存使用数据!$A:$J,10,0),0)+IFERROR(VLOOKUP($A664,[2]库存使用数据!$A:$J,10,0),0)+公式!$B$14*IFERROR(VLOOKUP($A664,[3]库存使用数据!$A:$J,10,0),0)+IFERROR(VLOOKUP($A664,[4]库存使用数据!$A:$J,10,0),0)+IFERROR(VLOOKUP($A664,[5]库存使用数据!$A:$J,10,0),0)</f>
        <v>0</v>
      </c>
      <c r="K664" s="1">
        <f ca="1">IFERROR(VLOOKUP($A664,[1]库存使用数据!$A:$K,11,0),0)+IFERROR(VLOOKUP($A664,[2]库存使用数据!$A:$K,11,0),0)+IFERROR(VLOOKUP($A664,[3]库存使用数据!$A:$K,11,0),0)+IFERROR(VLOOKUP($A664,[4]库存使用数据!$A:$K,11,0),0)+IFERROR(VLOOKUP($A664,[5]库存使用数据!$A:$K,11,0),0)</f>
        <v>0</v>
      </c>
      <c r="L664" s="1">
        <f ca="1">IFERROR(VLOOKUP($A664,[1]库存使用数据!$A:$L,12,0),0)+IFERROR(VLOOKUP($A664,[2]库存使用数据!$A:$L,12,0),0)+IFERROR(VLOOKUP($A664,[3]库存使用数据!$A:$L,12,0),0)+IFERROR(VLOOKUP($A664,[4]库存使用数据!$A:$L,12,0),0)+IFERROR(VLOOKUP($A664,[5]库存使用数据!$A:$L,12,0),0)</f>
        <v>0</v>
      </c>
      <c r="M664" s="1">
        <f ca="1">IFERROR(VLOOKUP($A664,[1]库存使用数据!$A:$M,13,0),0)+IFERROR(VLOOKUP($A664,[2]库存使用数据!$A:$M,13,0),0)+公式!$B$14*IFERROR(VLOOKUP($A664,[3]库存使用数据!$A:$M,13,0),0)+IFERROR(VLOOKUP($A664,[4]库存使用数据!$A:$M,13,0),0)+IFERROR(VLOOKUP($A664,[5]库存使用数据!$A:$M,13,0),0)</f>
        <v>0</v>
      </c>
    </row>
    <row r="665" spans="1:13">
      <c r="A665" s="6" t="s">
        <v>670</v>
      </c>
      <c r="B665" s="2">
        <f ca="1">IFERROR(VLOOKUP(A665,[1]库存使用数据!$A:$B,2,0),0)+IFERROR(VLOOKUP(A665,[2]库存使用数据!$A:$B,2,0),0)+IFERROR(VLOOKUP(,[3]库存使用数据!$A:$B,2,0),0)+IFERROR(VLOOKUP(A665,[4]库存使用数据!$A:$B,2,0),0)+IFERROR(VLOOKUP(A665,[5]库存使用数据!$A:$B,2,0),0)</f>
        <v>0</v>
      </c>
      <c r="C665" s="1">
        <f ca="1">IFERROR(VLOOKUP($A665,[1]库存使用数据!$A:$C,3,0),0)+IFERROR(VLOOKUP($A665,[2]库存使用数据!$A:$C,3,0),0)+IFERROR(VLOOKUP($A665,[3]库存使用数据!$A:$C,3,0),0)+IFERROR(VLOOKUP($A665,[4]库存使用数据!$A:$C,3,0),0)+IFERROR(VLOOKUP($A665,[5]库存使用数据!$A:$C,3,0),0)</f>
        <v>0</v>
      </c>
      <c r="D665" s="1">
        <f ca="1">IFERROR(VLOOKUP($A665,[1]库存使用数据!$A:$D,4,0),0)+IFERROR(VLOOKUP($A665,[2]库存使用数据!$A:$D,4,0),0)+公式!$B$1*IFERROR(VLOOKUP($A665,[3]库存使用数据!$A:$D,4,0),0)+IFERROR(VLOOKUP($A665,[4]库存使用数据!$A:$D,4,0),0)+IFERROR(VLOOKUP($A665,[5]库存使用数据!$A:$D,4,0),0)</f>
        <v>0</v>
      </c>
      <c r="E665" s="1">
        <f ca="1">IFERROR(VLOOKUP($A665,[1]库存使用数据!$A:$E,5,0),0)+IFERROR(VLOOKUP($A665,[2]库存使用数据!$A:$E,5,0),0)+IFERROR(VLOOKUP($A665,[3]库存使用数据!$A:$E,5,0),0)+IFERROR(VLOOKUP($A665,[4]库存使用数据!$A:$E,5,0),0)+IFERROR(VLOOKUP($A665,[5]库存使用数据!$A:$E,5,0),0)</f>
        <v>0</v>
      </c>
      <c r="F665" s="1">
        <f ca="1">IFERROR(VLOOKUP($A665,[1]库存使用数据!$A:$F,6,0),0)+IFERROR(VLOOKUP($A665,[2]库存使用数据!$A:$F,6,0),0)+IFERROR(VLOOKUP($A665,[4]库存使用数据!$A:$F,6,0),0)+IFERROR(VLOOKUP($A665,[3]库存使用数据!$A:$F,6,0),0)+IFERROR(VLOOKUP($A665,[5]库存使用数据!$A:$F,6,0),0)</f>
        <v>0</v>
      </c>
      <c r="G665" s="1">
        <f ca="1">IFERROR(VLOOKUP($A665,[1]库存使用数据!$A:$G,7,0),0)+IFERROR(VLOOKUP($A665,[2]库存使用数据!$A:$G,7,0),0)+公式!$B$14*IFERROR(VLOOKUP($A665,[3]库存使用数据!$A:$G,7,0),0)+IFERROR(VLOOKUP($A665,[4]库存使用数据!$A:$G,7,0),0)+IFERROR(VLOOKUP($A665,[5]库存使用数据!$A:$G,7,0),0)</f>
        <v>0</v>
      </c>
      <c r="H665" s="1">
        <f ca="1">IFERROR(VLOOKUP($A665,[1]库存使用数据!$A:$H,8,0),0)+IFERROR(VLOOKUP($A665,[2]库存使用数据!$A:$H,8,0),0)+IFERROR(VLOOKUP($A665,[3]库存使用数据!$A:$H,8,0),0)+IFERROR(VLOOKUP($A665,[4]库存使用数据!$A:$H,8,0),0)+IFERROR(VLOOKUP($A665,[5]库存使用数据!$A:$H,8,0),0)</f>
        <v>12</v>
      </c>
      <c r="I665" s="1">
        <f ca="1">IFERROR(VLOOKUP($A665,[1]库存使用数据!$A:$I,9,0),0)+IFERROR(VLOOKUP($A665,[2]库存使用数据!$A:$I,9,0),0)+IFERROR(VLOOKUP($A665,[3]库存使用数据!$A:$I,9,0),0)+IFERROR(VLOOKUP($A665,[4]库存使用数据!$A:$I,9,0),0)+IFERROR(VLOOKUP($A665,[5]库存使用数据!$A:$I,9,0),0)</f>
        <v>0</v>
      </c>
      <c r="J665" s="1">
        <f ca="1">IFERROR(VLOOKUP($A665,[1]库存使用数据!$A:$J,10,0),0)+IFERROR(VLOOKUP($A665,[2]库存使用数据!$A:$J,10,0),0)+公式!$B$14*IFERROR(VLOOKUP($A665,[3]库存使用数据!$A:$J,10,0),0)+IFERROR(VLOOKUP($A665,[4]库存使用数据!$A:$J,10,0),0)+IFERROR(VLOOKUP($A665,[5]库存使用数据!$A:$J,10,0),0)</f>
        <v>0</v>
      </c>
      <c r="K665" s="1">
        <f ca="1">IFERROR(VLOOKUP($A665,[1]库存使用数据!$A:$K,11,0),0)+IFERROR(VLOOKUP($A665,[2]库存使用数据!$A:$K,11,0),0)+IFERROR(VLOOKUP($A665,[3]库存使用数据!$A:$K,11,0),0)+IFERROR(VLOOKUP($A665,[4]库存使用数据!$A:$K,11,0),0)+IFERROR(VLOOKUP($A665,[5]库存使用数据!$A:$K,11,0),0)</f>
        <v>25</v>
      </c>
      <c r="L665" s="1">
        <f ca="1">IFERROR(VLOOKUP($A665,[1]库存使用数据!$A:$L,12,0),0)+IFERROR(VLOOKUP($A665,[2]库存使用数据!$A:$L,12,0),0)+IFERROR(VLOOKUP($A665,[3]库存使用数据!$A:$L,12,0),0)+IFERROR(VLOOKUP($A665,[4]库存使用数据!$A:$L,12,0),0)+IFERROR(VLOOKUP($A665,[5]库存使用数据!$A:$L,12,0),0)</f>
        <v>0</v>
      </c>
      <c r="M665" s="1">
        <f ca="1">IFERROR(VLOOKUP($A665,[1]库存使用数据!$A:$M,13,0),0)+IFERROR(VLOOKUP($A665,[2]库存使用数据!$A:$M,13,0),0)+公式!$B$14*IFERROR(VLOOKUP($A665,[3]库存使用数据!$A:$M,13,0),0)+IFERROR(VLOOKUP($A665,[4]库存使用数据!$A:$M,13,0),0)+IFERROR(VLOOKUP($A665,[5]库存使用数据!$A:$M,13,0),0)</f>
        <v>0</v>
      </c>
    </row>
    <row r="666" spans="1:13">
      <c r="A666" s="6" t="s">
        <v>671</v>
      </c>
      <c r="B666" s="2">
        <f ca="1">IFERROR(VLOOKUP(A666,[1]库存使用数据!$A:$B,2,0),0)+IFERROR(VLOOKUP(A666,[2]库存使用数据!$A:$B,2,0),0)+IFERROR(VLOOKUP(,[3]库存使用数据!$A:$B,2,0),0)+IFERROR(VLOOKUP(A666,[4]库存使用数据!$A:$B,2,0),0)+IFERROR(VLOOKUP(A666,[5]库存使用数据!$A:$B,2,0),0)</f>
        <v>26</v>
      </c>
      <c r="C666" s="1">
        <f ca="1">IFERROR(VLOOKUP($A666,[1]库存使用数据!$A:$C,3,0),0)+IFERROR(VLOOKUP($A666,[2]库存使用数据!$A:$C,3,0),0)+IFERROR(VLOOKUP($A666,[3]库存使用数据!$A:$C,3,0),0)+IFERROR(VLOOKUP($A666,[4]库存使用数据!$A:$C,3,0),0)+IFERROR(VLOOKUP($A666,[5]库存使用数据!$A:$C,3,0),0)</f>
        <v>0</v>
      </c>
      <c r="D666" s="1">
        <f ca="1">IFERROR(VLOOKUP($A666,[1]库存使用数据!$A:$D,4,0),0)+IFERROR(VLOOKUP($A666,[2]库存使用数据!$A:$D,4,0),0)+公式!$B$1*IFERROR(VLOOKUP($A666,[3]库存使用数据!$A:$D,4,0),0)+IFERROR(VLOOKUP($A666,[4]库存使用数据!$A:$D,4,0),0)+IFERROR(VLOOKUP($A666,[5]库存使用数据!$A:$D,4,0),0)</f>
        <v>0</v>
      </c>
      <c r="E666" s="1">
        <f ca="1">IFERROR(VLOOKUP($A666,[1]库存使用数据!$A:$E,5,0),0)+IFERROR(VLOOKUP($A666,[2]库存使用数据!$A:$E,5,0),0)+IFERROR(VLOOKUP($A666,[3]库存使用数据!$A:$E,5,0),0)+IFERROR(VLOOKUP($A666,[4]库存使用数据!$A:$E,5,0),0)+IFERROR(VLOOKUP($A666,[5]库存使用数据!$A:$E,5,0),0)</f>
        <v>21</v>
      </c>
      <c r="F666" s="1">
        <f ca="1">IFERROR(VLOOKUP($A666,[1]库存使用数据!$A:$F,6,0),0)+IFERROR(VLOOKUP($A666,[2]库存使用数据!$A:$F,6,0),0)+IFERROR(VLOOKUP($A666,[4]库存使用数据!$A:$F,6,0),0)+IFERROR(VLOOKUP($A666,[3]库存使用数据!$A:$F,6,0),0)+IFERROR(VLOOKUP($A666,[5]库存使用数据!$A:$F,6,0),0)</f>
        <v>0</v>
      </c>
      <c r="G666" s="1">
        <f ca="1">IFERROR(VLOOKUP($A666,[1]库存使用数据!$A:$G,7,0),0)+IFERROR(VLOOKUP($A666,[2]库存使用数据!$A:$G,7,0),0)+公式!$B$14*IFERROR(VLOOKUP($A666,[3]库存使用数据!$A:$G,7,0),0)+IFERROR(VLOOKUP($A666,[4]库存使用数据!$A:$G,7,0),0)+IFERROR(VLOOKUP($A666,[5]库存使用数据!$A:$G,7,0),0)</f>
        <v>0</v>
      </c>
      <c r="H666" s="1">
        <f ca="1">IFERROR(VLOOKUP($A666,[1]库存使用数据!$A:$H,8,0),0)+IFERROR(VLOOKUP($A666,[2]库存使用数据!$A:$H,8,0),0)+IFERROR(VLOOKUP($A666,[3]库存使用数据!$A:$H,8,0),0)+IFERROR(VLOOKUP($A666,[4]库存使用数据!$A:$H,8,0),0)+IFERROR(VLOOKUP($A666,[5]库存使用数据!$A:$H,8,0),0)</f>
        <v>14</v>
      </c>
      <c r="I666" s="1">
        <f ca="1">IFERROR(VLOOKUP($A666,[1]库存使用数据!$A:$I,9,0),0)+IFERROR(VLOOKUP($A666,[2]库存使用数据!$A:$I,9,0),0)+IFERROR(VLOOKUP($A666,[3]库存使用数据!$A:$I,9,0),0)+IFERROR(VLOOKUP($A666,[4]库存使用数据!$A:$I,9,0),0)+IFERROR(VLOOKUP($A666,[5]库存使用数据!$A:$I,9,0),0)</f>
        <v>0</v>
      </c>
      <c r="J666" s="1">
        <f ca="1">IFERROR(VLOOKUP($A666,[1]库存使用数据!$A:$J,10,0),0)+IFERROR(VLOOKUP($A666,[2]库存使用数据!$A:$J,10,0),0)+公式!$B$14*IFERROR(VLOOKUP($A666,[3]库存使用数据!$A:$J,10,0),0)+IFERROR(VLOOKUP($A666,[4]库存使用数据!$A:$J,10,0),0)+IFERROR(VLOOKUP($A666,[5]库存使用数据!$A:$J,10,0),0)</f>
        <v>0</v>
      </c>
      <c r="K666" s="1">
        <f ca="1">IFERROR(VLOOKUP($A666,[1]库存使用数据!$A:$K,11,0),0)+IFERROR(VLOOKUP($A666,[2]库存使用数据!$A:$K,11,0),0)+IFERROR(VLOOKUP($A666,[3]库存使用数据!$A:$K,11,0),0)+IFERROR(VLOOKUP($A666,[4]库存使用数据!$A:$K,11,0),0)+IFERROR(VLOOKUP($A666,[5]库存使用数据!$A:$K,11,0),0)</f>
        <v>15</v>
      </c>
      <c r="L666" s="1">
        <f ca="1">IFERROR(VLOOKUP($A666,[1]库存使用数据!$A:$L,12,0),0)+IFERROR(VLOOKUP($A666,[2]库存使用数据!$A:$L,12,0),0)+IFERROR(VLOOKUP($A666,[3]库存使用数据!$A:$L,12,0),0)+IFERROR(VLOOKUP($A666,[4]库存使用数据!$A:$L,12,0),0)+IFERROR(VLOOKUP($A666,[5]库存使用数据!$A:$L,12,0),0)</f>
        <v>0</v>
      </c>
      <c r="M666" s="1">
        <f ca="1">IFERROR(VLOOKUP($A666,[1]库存使用数据!$A:$M,13,0),0)+IFERROR(VLOOKUP($A666,[2]库存使用数据!$A:$M,13,0),0)+公式!$B$14*IFERROR(VLOOKUP($A666,[3]库存使用数据!$A:$M,13,0),0)+IFERROR(VLOOKUP($A666,[4]库存使用数据!$A:$M,13,0),0)+IFERROR(VLOOKUP($A666,[5]库存使用数据!$A:$M,13,0),0)</f>
        <v>0</v>
      </c>
    </row>
    <row r="667" spans="1:13">
      <c r="A667" s="6" t="s">
        <v>672</v>
      </c>
      <c r="B667" s="2">
        <f ca="1">IFERROR(VLOOKUP(A667,[1]库存使用数据!$A:$B,2,0),0)+IFERROR(VLOOKUP(A667,[2]库存使用数据!$A:$B,2,0),0)+IFERROR(VLOOKUP(,[3]库存使用数据!$A:$B,2,0),0)+IFERROR(VLOOKUP(A667,[4]库存使用数据!$A:$B,2,0),0)+IFERROR(VLOOKUP(A667,[5]库存使用数据!$A:$B,2,0),0)</f>
        <v>0</v>
      </c>
      <c r="C667" s="1">
        <f ca="1">IFERROR(VLOOKUP($A667,[1]库存使用数据!$A:$C,3,0),0)+IFERROR(VLOOKUP($A667,[2]库存使用数据!$A:$C,3,0),0)+IFERROR(VLOOKUP($A667,[3]库存使用数据!$A:$C,3,0),0)+IFERROR(VLOOKUP($A667,[4]库存使用数据!$A:$C,3,0),0)+IFERROR(VLOOKUP($A667,[5]库存使用数据!$A:$C,3,0),0)</f>
        <v>0</v>
      </c>
      <c r="D667" s="1">
        <f ca="1">IFERROR(VLOOKUP($A667,[1]库存使用数据!$A:$D,4,0),0)+IFERROR(VLOOKUP($A667,[2]库存使用数据!$A:$D,4,0),0)+公式!$B$1*IFERROR(VLOOKUP($A667,[3]库存使用数据!$A:$D,4,0),0)+IFERROR(VLOOKUP($A667,[4]库存使用数据!$A:$D,4,0),0)+IFERROR(VLOOKUP($A667,[5]库存使用数据!$A:$D,4,0),0)</f>
        <v>0</v>
      </c>
      <c r="E667" s="1">
        <f ca="1">IFERROR(VLOOKUP($A667,[1]库存使用数据!$A:$E,5,0),0)+IFERROR(VLOOKUP($A667,[2]库存使用数据!$A:$E,5,0),0)+IFERROR(VLOOKUP($A667,[3]库存使用数据!$A:$E,5,0),0)+IFERROR(VLOOKUP($A667,[4]库存使用数据!$A:$E,5,0),0)+IFERROR(VLOOKUP($A667,[5]库存使用数据!$A:$E,5,0),0)</f>
        <v>0</v>
      </c>
      <c r="F667" s="1">
        <f ca="1">IFERROR(VLOOKUP($A667,[1]库存使用数据!$A:$F,6,0),0)+IFERROR(VLOOKUP($A667,[2]库存使用数据!$A:$F,6,0),0)+IFERROR(VLOOKUP($A667,[4]库存使用数据!$A:$F,6,0),0)+IFERROR(VLOOKUP($A667,[3]库存使用数据!$A:$F,6,0),0)+IFERROR(VLOOKUP($A667,[5]库存使用数据!$A:$F,6,0),0)</f>
        <v>0</v>
      </c>
      <c r="G667" s="1">
        <f ca="1">IFERROR(VLOOKUP($A667,[1]库存使用数据!$A:$G,7,0),0)+IFERROR(VLOOKUP($A667,[2]库存使用数据!$A:$G,7,0),0)+公式!$B$14*IFERROR(VLOOKUP($A667,[3]库存使用数据!$A:$G,7,0),0)+IFERROR(VLOOKUP($A667,[4]库存使用数据!$A:$G,7,0),0)+IFERROR(VLOOKUP($A667,[5]库存使用数据!$A:$G,7,0),0)</f>
        <v>0</v>
      </c>
      <c r="H667" s="1">
        <f ca="1">IFERROR(VLOOKUP($A667,[1]库存使用数据!$A:$H,8,0),0)+IFERROR(VLOOKUP($A667,[2]库存使用数据!$A:$H,8,0),0)+IFERROR(VLOOKUP($A667,[3]库存使用数据!$A:$H,8,0),0)+IFERROR(VLOOKUP($A667,[4]库存使用数据!$A:$H,8,0),0)+IFERROR(VLOOKUP($A667,[5]库存使用数据!$A:$H,8,0),0)</f>
        <v>0</v>
      </c>
      <c r="I667" s="1">
        <f ca="1">IFERROR(VLOOKUP($A667,[1]库存使用数据!$A:$I,9,0),0)+IFERROR(VLOOKUP($A667,[2]库存使用数据!$A:$I,9,0),0)+IFERROR(VLOOKUP($A667,[3]库存使用数据!$A:$I,9,0),0)+IFERROR(VLOOKUP($A667,[4]库存使用数据!$A:$I,9,0),0)+IFERROR(VLOOKUP($A667,[5]库存使用数据!$A:$I,9,0),0)</f>
        <v>0</v>
      </c>
      <c r="J667" s="1">
        <f ca="1">IFERROR(VLOOKUP($A667,[1]库存使用数据!$A:$J,10,0),0)+IFERROR(VLOOKUP($A667,[2]库存使用数据!$A:$J,10,0),0)+公式!$B$14*IFERROR(VLOOKUP($A667,[3]库存使用数据!$A:$J,10,0),0)+IFERROR(VLOOKUP($A667,[4]库存使用数据!$A:$J,10,0),0)+IFERROR(VLOOKUP($A667,[5]库存使用数据!$A:$J,10,0),0)</f>
        <v>0</v>
      </c>
      <c r="K667" s="1">
        <f ca="1">IFERROR(VLOOKUP($A667,[1]库存使用数据!$A:$K,11,0),0)+IFERROR(VLOOKUP($A667,[2]库存使用数据!$A:$K,11,0),0)+IFERROR(VLOOKUP($A667,[3]库存使用数据!$A:$K,11,0),0)+IFERROR(VLOOKUP($A667,[4]库存使用数据!$A:$K,11,0),0)+IFERROR(VLOOKUP($A667,[5]库存使用数据!$A:$K,11,0),0)</f>
        <v>567</v>
      </c>
      <c r="L667" s="1">
        <f ca="1">IFERROR(VLOOKUP($A667,[1]库存使用数据!$A:$L,12,0),0)+IFERROR(VLOOKUP($A667,[2]库存使用数据!$A:$L,12,0),0)+IFERROR(VLOOKUP($A667,[3]库存使用数据!$A:$L,12,0),0)+IFERROR(VLOOKUP($A667,[4]库存使用数据!$A:$L,12,0),0)+IFERROR(VLOOKUP($A667,[5]库存使用数据!$A:$L,12,0),0)</f>
        <v>0</v>
      </c>
      <c r="M667" s="1">
        <f ca="1">IFERROR(VLOOKUP($A667,[1]库存使用数据!$A:$M,13,0),0)+IFERROR(VLOOKUP($A667,[2]库存使用数据!$A:$M,13,0),0)+公式!$B$14*IFERROR(VLOOKUP($A667,[3]库存使用数据!$A:$M,13,0),0)+IFERROR(VLOOKUP($A667,[4]库存使用数据!$A:$M,13,0),0)+IFERROR(VLOOKUP($A667,[5]库存使用数据!$A:$M,13,0),0)</f>
        <v>0</v>
      </c>
    </row>
    <row r="668" spans="1:13">
      <c r="A668" s="6" t="s">
        <v>673</v>
      </c>
      <c r="B668" s="2">
        <f ca="1">IFERROR(VLOOKUP(A668,[1]库存使用数据!$A:$B,2,0),0)+IFERROR(VLOOKUP(A668,[2]库存使用数据!$A:$B,2,0),0)+IFERROR(VLOOKUP(,[3]库存使用数据!$A:$B,2,0),0)+IFERROR(VLOOKUP(A668,[4]库存使用数据!$A:$B,2,0),0)+IFERROR(VLOOKUP(A668,[5]库存使用数据!$A:$B,2,0),0)</f>
        <v>0</v>
      </c>
      <c r="C668" s="1">
        <f ca="1">IFERROR(VLOOKUP($A668,[1]库存使用数据!$A:$C,3,0),0)+IFERROR(VLOOKUP($A668,[2]库存使用数据!$A:$C,3,0),0)+IFERROR(VLOOKUP($A668,[3]库存使用数据!$A:$C,3,0),0)+IFERROR(VLOOKUP($A668,[4]库存使用数据!$A:$C,3,0),0)+IFERROR(VLOOKUP($A668,[5]库存使用数据!$A:$C,3,0),0)</f>
        <v>0</v>
      </c>
      <c r="D668" s="1">
        <f ca="1">IFERROR(VLOOKUP($A668,[1]库存使用数据!$A:$D,4,0),0)+IFERROR(VLOOKUP($A668,[2]库存使用数据!$A:$D,4,0),0)+公式!$B$1*IFERROR(VLOOKUP($A668,[3]库存使用数据!$A:$D,4,0),0)+IFERROR(VLOOKUP($A668,[4]库存使用数据!$A:$D,4,0),0)+IFERROR(VLOOKUP($A668,[5]库存使用数据!$A:$D,4,0),0)</f>
        <v>0</v>
      </c>
      <c r="E668" s="1">
        <f ca="1">IFERROR(VLOOKUP($A668,[1]库存使用数据!$A:$E,5,0),0)+IFERROR(VLOOKUP($A668,[2]库存使用数据!$A:$E,5,0),0)+IFERROR(VLOOKUP($A668,[3]库存使用数据!$A:$E,5,0),0)+IFERROR(VLOOKUP($A668,[4]库存使用数据!$A:$E,5,0),0)+IFERROR(VLOOKUP($A668,[5]库存使用数据!$A:$E,5,0),0)</f>
        <v>30</v>
      </c>
      <c r="F668" s="1">
        <f ca="1">IFERROR(VLOOKUP($A668,[1]库存使用数据!$A:$F,6,0),0)+IFERROR(VLOOKUP($A668,[2]库存使用数据!$A:$F,6,0),0)+IFERROR(VLOOKUP($A668,[4]库存使用数据!$A:$F,6,0),0)+IFERROR(VLOOKUP($A668,[3]库存使用数据!$A:$F,6,0),0)+IFERROR(VLOOKUP($A668,[5]库存使用数据!$A:$F,6,0),0)</f>
        <v>2</v>
      </c>
      <c r="G668" s="1">
        <f ca="1">IFERROR(VLOOKUP($A668,[1]库存使用数据!$A:$G,7,0),0)+IFERROR(VLOOKUP($A668,[2]库存使用数据!$A:$G,7,0),0)+公式!$B$14*IFERROR(VLOOKUP($A668,[3]库存使用数据!$A:$G,7,0),0)+IFERROR(VLOOKUP($A668,[4]库存使用数据!$A:$G,7,0),0)+IFERROR(VLOOKUP($A668,[5]库存使用数据!$A:$G,7,0),0)</f>
        <v>0.29</v>
      </c>
      <c r="H668" s="1">
        <f ca="1">IFERROR(VLOOKUP($A668,[1]库存使用数据!$A:$H,8,0),0)+IFERROR(VLOOKUP($A668,[2]库存使用数据!$A:$H,8,0),0)+IFERROR(VLOOKUP($A668,[3]库存使用数据!$A:$H,8,0),0)+IFERROR(VLOOKUP($A668,[4]库存使用数据!$A:$H,8,0),0)+IFERROR(VLOOKUP($A668,[5]库存使用数据!$A:$H,8,0),0)</f>
        <v>1304</v>
      </c>
      <c r="I668" s="1">
        <f ca="1">IFERROR(VLOOKUP($A668,[1]库存使用数据!$A:$I,9,0),0)+IFERROR(VLOOKUP($A668,[2]库存使用数据!$A:$I,9,0),0)+IFERROR(VLOOKUP($A668,[3]库存使用数据!$A:$I,9,0),0)+IFERROR(VLOOKUP($A668,[4]库存使用数据!$A:$I,9,0),0)+IFERROR(VLOOKUP($A668,[5]库存使用数据!$A:$I,9,0),0)</f>
        <v>4</v>
      </c>
      <c r="J668" s="1">
        <f ca="1">IFERROR(VLOOKUP($A668,[1]库存使用数据!$A:$J,10,0),0)+IFERROR(VLOOKUP($A668,[2]库存使用数据!$A:$J,10,0),0)+公式!$B$14*IFERROR(VLOOKUP($A668,[3]库存使用数据!$A:$J,10,0),0)+IFERROR(VLOOKUP($A668,[4]库存使用数据!$A:$J,10,0),0)+IFERROR(VLOOKUP($A668,[5]库存使用数据!$A:$J,10,0),0)</f>
        <v>0.72</v>
      </c>
      <c r="K668" s="1">
        <f ca="1">IFERROR(VLOOKUP($A668,[1]库存使用数据!$A:$K,11,0),0)+IFERROR(VLOOKUP($A668,[2]库存使用数据!$A:$K,11,0),0)+IFERROR(VLOOKUP($A668,[3]库存使用数据!$A:$K,11,0),0)+IFERROR(VLOOKUP($A668,[4]库存使用数据!$A:$K,11,0),0)+IFERROR(VLOOKUP($A668,[5]库存使用数据!$A:$K,11,0),0)</f>
        <v>507</v>
      </c>
      <c r="L668" s="1">
        <f ca="1">IFERROR(VLOOKUP($A668,[1]库存使用数据!$A:$L,12,0),0)+IFERROR(VLOOKUP($A668,[2]库存使用数据!$A:$L,12,0),0)+IFERROR(VLOOKUP($A668,[3]库存使用数据!$A:$L,12,0),0)+IFERROR(VLOOKUP($A668,[4]库存使用数据!$A:$L,12,0),0)+IFERROR(VLOOKUP($A668,[5]库存使用数据!$A:$L,12,0),0)</f>
        <v>2</v>
      </c>
      <c r="M668" s="1">
        <f ca="1">IFERROR(VLOOKUP($A668,[1]库存使用数据!$A:$M,13,0),0)+IFERROR(VLOOKUP($A668,[2]库存使用数据!$A:$M,13,0),0)+公式!$B$14*IFERROR(VLOOKUP($A668,[3]库存使用数据!$A:$M,13,0),0)+IFERROR(VLOOKUP($A668,[4]库存使用数据!$A:$M,13,0),0)+IFERROR(VLOOKUP($A668,[5]库存使用数据!$A:$M,13,0),0)</f>
        <v>0.44</v>
      </c>
    </row>
    <row r="669" spans="1:13">
      <c r="A669" s="6" t="s">
        <v>674</v>
      </c>
      <c r="B669" s="2">
        <f ca="1">IFERROR(VLOOKUP(A669,[1]库存使用数据!$A:$B,2,0),0)+IFERROR(VLOOKUP(A669,[2]库存使用数据!$A:$B,2,0),0)+IFERROR(VLOOKUP(,[3]库存使用数据!$A:$B,2,0),0)+IFERROR(VLOOKUP(A669,[4]库存使用数据!$A:$B,2,0),0)+IFERROR(VLOOKUP(A669,[5]库存使用数据!$A:$B,2,0),0)</f>
        <v>52</v>
      </c>
      <c r="C669" s="1">
        <f ca="1">IFERROR(VLOOKUP($A669,[1]库存使用数据!$A:$C,3,0),0)+IFERROR(VLOOKUP($A669,[2]库存使用数据!$A:$C,3,0),0)+IFERROR(VLOOKUP($A669,[3]库存使用数据!$A:$C,3,0),0)+IFERROR(VLOOKUP($A669,[4]库存使用数据!$A:$C,3,0),0)+IFERROR(VLOOKUP($A669,[5]库存使用数据!$A:$C,3,0),0)</f>
        <v>0</v>
      </c>
      <c r="D669" s="1">
        <f ca="1">IFERROR(VLOOKUP($A669,[1]库存使用数据!$A:$D,4,0),0)+IFERROR(VLOOKUP($A669,[2]库存使用数据!$A:$D,4,0),0)+公式!$B$1*IFERROR(VLOOKUP($A669,[3]库存使用数据!$A:$D,4,0),0)+IFERROR(VLOOKUP($A669,[4]库存使用数据!$A:$D,4,0),0)+IFERROR(VLOOKUP($A669,[5]库存使用数据!$A:$D,4,0),0)</f>
        <v>0</v>
      </c>
      <c r="E669" s="1">
        <f ca="1">IFERROR(VLOOKUP($A669,[1]库存使用数据!$A:$E,5,0),0)+IFERROR(VLOOKUP($A669,[2]库存使用数据!$A:$E,5,0),0)+IFERROR(VLOOKUP($A669,[3]库存使用数据!$A:$E,5,0),0)+IFERROR(VLOOKUP($A669,[4]库存使用数据!$A:$E,5,0),0)+IFERROR(VLOOKUP($A669,[5]库存使用数据!$A:$E,5,0),0)</f>
        <v>5701</v>
      </c>
      <c r="F669" s="1">
        <f ca="1">IFERROR(VLOOKUP($A669,[1]库存使用数据!$A:$F,6,0),0)+IFERROR(VLOOKUP($A669,[2]库存使用数据!$A:$F,6,0),0)+IFERROR(VLOOKUP($A669,[4]库存使用数据!$A:$F,6,0),0)+IFERROR(VLOOKUP($A669,[3]库存使用数据!$A:$F,6,0),0)+IFERROR(VLOOKUP($A669,[5]库存使用数据!$A:$F,6,0),0)</f>
        <v>9</v>
      </c>
      <c r="G669" s="1">
        <f ca="1">IFERROR(VLOOKUP($A669,[1]库存使用数据!$A:$G,7,0),0)+IFERROR(VLOOKUP($A669,[2]库存使用数据!$A:$G,7,0),0)+公式!$B$14*IFERROR(VLOOKUP($A669,[3]库存使用数据!$A:$G,7,0),0)+IFERROR(VLOOKUP($A669,[4]库存使用数据!$A:$G,7,0),0)+IFERROR(VLOOKUP($A669,[5]库存使用数据!$A:$G,7,0),0)</f>
        <v>1.61</v>
      </c>
      <c r="H669" s="1">
        <f ca="1">IFERROR(VLOOKUP($A669,[1]库存使用数据!$A:$H,8,0),0)+IFERROR(VLOOKUP($A669,[2]库存使用数据!$A:$H,8,0),0)+IFERROR(VLOOKUP($A669,[3]库存使用数据!$A:$H,8,0),0)+IFERROR(VLOOKUP($A669,[4]库存使用数据!$A:$H,8,0),0)+IFERROR(VLOOKUP($A669,[5]库存使用数据!$A:$H,8,0),0)</f>
        <v>3300</v>
      </c>
      <c r="I669" s="1">
        <f ca="1">IFERROR(VLOOKUP($A669,[1]库存使用数据!$A:$I,9,0),0)+IFERROR(VLOOKUP($A669,[2]库存使用数据!$A:$I,9,0),0)+IFERROR(VLOOKUP($A669,[3]库存使用数据!$A:$I,9,0),0)+IFERROR(VLOOKUP($A669,[4]库存使用数据!$A:$I,9,0),0)+IFERROR(VLOOKUP($A669,[5]库存使用数据!$A:$I,9,0),0)</f>
        <v>4</v>
      </c>
      <c r="J669" s="1">
        <f ca="1">IFERROR(VLOOKUP($A669,[1]库存使用数据!$A:$J,10,0),0)+IFERROR(VLOOKUP($A669,[2]库存使用数据!$A:$J,10,0),0)+公式!$B$14*IFERROR(VLOOKUP($A669,[3]库存使用数据!$A:$J,10,0),0)+IFERROR(VLOOKUP($A669,[4]库存使用数据!$A:$J,10,0),0)+IFERROR(VLOOKUP($A669,[5]库存使用数据!$A:$J,10,0),0)</f>
        <v>0.59</v>
      </c>
      <c r="K669" s="1">
        <f ca="1">IFERROR(VLOOKUP($A669,[1]库存使用数据!$A:$K,11,0),0)+IFERROR(VLOOKUP($A669,[2]库存使用数据!$A:$K,11,0),0)+IFERROR(VLOOKUP($A669,[3]库存使用数据!$A:$K,11,0),0)+IFERROR(VLOOKUP($A669,[4]库存使用数据!$A:$K,11,0),0)+IFERROR(VLOOKUP($A669,[5]库存使用数据!$A:$K,11,0),0)</f>
        <v>711</v>
      </c>
      <c r="L669" s="1">
        <f ca="1">IFERROR(VLOOKUP($A669,[1]库存使用数据!$A:$L,12,0),0)+IFERROR(VLOOKUP($A669,[2]库存使用数据!$A:$L,12,0),0)+IFERROR(VLOOKUP($A669,[3]库存使用数据!$A:$L,12,0),0)+IFERROR(VLOOKUP($A669,[4]库存使用数据!$A:$L,12,0),0)+IFERROR(VLOOKUP($A669,[5]库存使用数据!$A:$L,12,0),0)</f>
        <v>2</v>
      </c>
      <c r="M669" s="1">
        <f ca="1">IFERROR(VLOOKUP($A669,[1]库存使用数据!$A:$M,13,0),0)+IFERROR(VLOOKUP($A669,[2]库存使用数据!$A:$M,13,0),0)+公式!$B$14*IFERROR(VLOOKUP($A669,[3]库存使用数据!$A:$M,13,0),0)+IFERROR(VLOOKUP($A669,[4]库存使用数据!$A:$M,13,0),0)+IFERROR(VLOOKUP($A669,[5]库存使用数据!$A:$M,13,0),0)</f>
        <v>0.34</v>
      </c>
    </row>
    <row r="670" spans="1:13">
      <c r="A670" s="6" t="s">
        <v>675</v>
      </c>
      <c r="B670" s="2">
        <f ca="1">IFERROR(VLOOKUP(A670,[1]库存使用数据!$A:$B,2,0),0)+IFERROR(VLOOKUP(A670,[2]库存使用数据!$A:$B,2,0),0)+IFERROR(VLOOKUP(,[3]库存使用数据!$A:$B,2,0),0)+IFERROR(VLOOKUP(A670,[4]库存使用数据!$A:$B,2,0),0)+IFERROR(VLOOKUP(A670,[5]库存使用数据!$A:$B,2,0),0)</f>
        <v>13079</v>
      </c>
      <c r="C670" s="1">
        <f ca="1">IFERROR(VLOOKUP($A670,[1]库存使用数据!$A:$C,3,0),0)+IFERROR(VLOOKUP($A670,[2]库存使用数据!$A:$C,3,0),0)+IFERROR(VLOOKUP($A670,[3]库存使用数据!$A:$C,3,0),0)+IFERROR(VLOOKUP($A670,[4]库存使用数据!$A:$C,3,0),0)+IFERROR(VLOOKUP($A670,[5]库存使用数据!$A:$C,3,0),0)</f>
        <v>17</v>
      </c>
      <c r="D670" s="1">
        <f ca="1">IFERROR(VLOOKUP($A670,[1]库存使用数据!$A:$D,4,0),0)+IFERROR(VLOOKUP($A670,[2]库存使用数据!$A:$D,4,0),0)+公式!$B$1*IFERROR(VLOOKUP($A670,[3]库存使用数据!$A:$D,4,0),0)+IFERROR(VLOOKUP($A670,[4]库存使用数据!$A:$D,4,0),0)+IFERROR(VLOOKUP($A670,[5]库存使用数据!$A:$D,4,0),0)</f>
        <v>2.82</v>
      </c>
      <c r="E670" s="1">
        <f ca="1">IFERROR(VLOOKUP($A670,[1]库存使用数据!$A:$E,5,0),0)+IFERROR(VLOOKUP($A670,[2]库存使用数据!$A:$E,5,0),0)+IFERROR(VLOOKUP($A670,[3]库存使用数据!$A:$E,5,0),0)+IFERROR(VLOOKUP($A670,[4]库存使用数据!$A:$E,5,0),0)+IFERROR(VLOOKUP($A670,[5]库存使用数据!$A:$E,5,0),0)</f>
        <v>23819</v>
      </c>
      <c r="F670" s="1">
        <f ca="1">IFERROR(VLOOKUP($A670,[1]库存使用数据!$A:$F,6,0),0)+IFERROR(VLOOKUP($A670,[2]库存使用数据!$A:$F,6,0),0)+IFERROR(VLOOKUP($A670,[4]库存使用数据!$A:$F,6,0),0)+IFERROR(VLOOKUP($A670,[3]库存使用数据!$A:$F,6,0),0)+IFERROR(VLOOKUP($A670,[5]库存使用数据!$A:$F,6,0),0)</f>
        <v>29</v>
      </c>
      <c r="G670" s="1">
        <f ca="1">IFERROR(VLOOKUP($A670,[1]库存使用数据!$A:$G,7,0),0)+IFERROR(VLOOKUP($A670,[2]库存使用数据!$A:$G,7,0),0)+公式!$B$14*IFERROR(VLOOKUP($A670,[3]库存使用数据!$A:$G,7,0),0)+IFERROR(VLOOKUP($A670,[4]库存使用数据!$A:$G,7,0),0)+IFERROR(VLOOKUP($A670,[5]库存使用数据!$A:$G,7,0),0)</f>
        <v>4.83</v>
      </c>
      <c r="H670" s="1">
        <f ca="1">IFERROR(VLOOKUP($A670,[1]库存使用数据!$A:$H,8,0),0)+IFERROR(VLOOKUP($A670,[2]库存使用数据!$A:$H,8,0),0)+IFERROR(VLOOKUP($A670,[3]库存使用数据!$A:$H,8,0),0)+IFERROR(VLOOKUP($A670,[4]库存使用数据!$A:$H,8,0),0)+IFERROR(VLOOKUP($A670,[5]库存使用数据!$A:$H,8,0),0)</f>
        <v>4556</v>
      </c>
      <c r="I670" s="1">
        <f ca="1">IFERROR(VLOOKUP($A670,[1]库存使用数据!$A:$I,9,0),0)+IFERROR(VLOOKUP($A670,[2]库存使用数据!$A:$I,9,0),0)+IFERROR(VLOOKUP($A670,[3]库存使用数据!$A:$I,9,0),0)+IFERROR(VLOOKUP($A670,[4]库存使用数据!$A:$I,9,0),0)+IFERROR(VLOOKUP($A670,[5]库存使用数据!$A:$I,9,0),0)</f>
        <v>8</v>
      </c>
      <c r="J670" s="1">
        <f ca="1">IFERROR(VLOOKUP($A670,[1]库存使用数据!$A:$J,10,0),0)+IFERROR(VLOOKUP($A670,[2]库存使用数据!$A:$J,10,0),0)+公式!$B$14*IFERROR(VLOOKUP($A670,[3]库存使用数据!$A:$J,10,0),0)+IFERROR(VLOOKUP($A670,[4]库存使用数据!$A:$J,10,0),0)+IFERROR(VLOOKUP($A670,[5]库存使用数据!$A:$J,10,0),0)</f>
        <v>0.96</v>
      </c>
      <c r="K670" s="1">
        <f ca="1">IFERROR(VLOOKUP($A670,[1]库存使用数据!$A:$K,11,0),0)+IFERROR(VLOOKUP($A670,[2]库存使用数据!$A:$K,11,0),0)+IFERROR(VLOOKUP($A670,[3]库存使用数据!$A:$K,11,0),0)+IFERROR(VLOOKUP($A670,[4]库存使用数据!$A:$K,11,0),0)+IFERROR(VLOOKUP($A670,[5]库存使用数据!$A:$K,11,0),0)</f>
        <v>677</v>
      </c>
      <c r="L670" s="1">
        <f ca="1">IFERROR(VLOOKUP($A670,[1]库存使用数据!$A:$L,12,0),0)+IFERROR(VLOOKUP($A670,[2]库存使用数据!$A:$L,12,0),0)+IFERROR(VLOOKUP($A670,[3]库存使用数据!$A:$L,12,0),0)+IFERROR(VLOOKUP($A670,[4]库存使用数据!$A:$L,12,0),0)+IFERROR(VLOOKUP($A670,[5]库存使用数据!$A:$L,12,0),0)</f>
        <v>3</v>
      </c>
      <c r="M670" s="1">
        <f ca="1">IFERROR(VLOOKUP($A670,[1]库存使用数据!$A:$M,13,0),0)+IFERROR(VLOOKUP($A670,[2]库存使用数据!$A:$M,13,0),0)+公式!$B$14*IFERROR(VLOOKUP($A670,[3]库存使用数据!$A:$M,13,0),0)+IFERROR(VLOOKUP($A670,[4]库存使用数据!$A:$M,13,0),0)+IFERROR(VLOOKUP($A670,[5]库存使用数据!$A:$M,13,0),0)</f>
        <v>0.58</v>
      </c>
    </row>
    <row r="671" spans="1:13">
      <c r="A671" s="6" t="s">
        <v>676</v>
      </c>
      <c r="B671" s="2">
        <f ca="1">IFERROR(VLOOKUP(A671,[1]库存使用数据!$A:$B,2,0),0)+IFERROR(VLOOKUP(A671,[2]库存使用数据!$A:$B,2,0),0)+IFERROR(VLOOKUP(,[3]库存使用数据!$A:$B,2,0),0)+IFERROR(VLOOKUP(A671,[4]库存使用数据!$A:$B,2,0),0)+IFERROR(VLOOKUP(A671,[5]库存使用数据!$A:$B,2,0),0)</f>
        <v>419</v>
      </c>
      <c r="C671" s="1">
        <f ca="1">IFERROR(VLOOKUP($A671,[1]库存使用数据!$A:$C,3,0),0)+IFERROR(VLOOKUP($A671,[2]库存使用数据!$A:$C,3,0),0)+IFERROR(VLOOKUP($A671,[3]库存使用数据!$A:$C,3,0),0)+IFERROR(VLOOKUP($A671,[4]库存使用数据!$A:$C,3,0),0)+IFERROR(VLOOKUP($A671,[5]库存使用数据!$A:$C,3,0),0)</f>
        <v>0</v>
      </c>
      <c r="D671" s="1">
        <f ca="1">IFERROR(VLOOKUP($A671,[1]库存使用数据!$A:$D,4,0),0)+IFERROR(VLOOKUP($A671,[2]库存使用数据!$A:$D,4,0),0)+公式!$B$1*IFERROR(VLOOKUP($A671,[3]库存使用数据!$A:$D,4,0),0)+IFERROR(VLOOKUP($A671,[4]库存使用数据!$A:$D,4,0),0)+IFERROR(VLOOKUP($A671,[5]库存使用数据!$A:$D,4,0),0)</f>
        <v>0</v>
      </c>
      <c r="E671" s="1">
        <f ca="1">IFERROR(VLOOKUP($A671,[1]库存使用数据!$A:$E,5,0),0)+IFERROR(VLOOKUP($A671,[2]库存使用数据!$A:$E,5,0),0)+IFERROR(VLOOKUP($A671,[3]库存使用数据!$A:$E,5,0),0)+IFERROR(VLOOKUP($A671,[4]库存使用数据!$A:$E,5,0),0)+IFERROR(VLOOKUP($A671,[5]库存使用数据!$A:$E,5,0),0)</f>
        <v>29</v>
      </c>
      <c r="F671" s="1">
        <f ca="1">IFERROR(VLOOKUP($A671,[1]库存使用数据!$A:$F,6,0),0)+IFERROR(VLOOKUP($A671,[2]库存使用数据!$A:$F,6,0),0)+IFERROR(VLOOKUP($A671,[4]库存使用数据!$A:$F,6,0),0)+IFERROR(VLOOKUP($A671,[3]库存使用数据!$A:$F,6,0),0)+IFERROR(VLOOKUP($A671,[5]库存使用数据!$A:$F,6,0),0)</f>
        <v>0</v>
      </c>
      <c r="G671" s="1">
        <f ca="1">IFERROR(VLOOKUP($A671,[1]库存使用数据!$A:$G,7,0),0)+IFERROR(VLOOKUP($A671,[2]库存使用数据!$A:$G,7,0),0)+公式!$B$14*IFERROR(VLOOKUP($A671,[3]库存使用数据!$A:$G,7,0),0)+IFERROR(VLOOKUP($A671,[4]库存使用数据!$A:$G,7,0),0)+IFERROR(VLOOKUP($A671,[5]库存使用数据!$A:$G,7,0),0)</f>
        <v>0</v>
      </c>
      <c r="H671" s="1">
        <f ca="1">IFERROR(VLOOKUP($A671,[1]库存使用数据!$A:$H,8,0),0)+IFERROR(VLOOKUP($A671,[2]库存使用数据!$A:$H,8,0),0)+IFERROR(VLOOKUP($A671,[3]库存使用数据!$A:$H,8,0),0)+IFERROR(VLOOKUP($A671,[4]库存使用数据!$A:$H,8,0),0)+IFERROR(VLOOKUP($A671,[5]库存使用数据!$A:$H,8,0),0)</f>
        <v>38</v>
      </c>
      <c r="I671" s="1">
        <f ca="1">IFERROR(VLOOKUP($A671,[1]库存使用数据!$A:$I,9,0),0)+IFERROR(VLOOKUP($A671,[2]库存使用数据!$A:$I,9,0),0)+IFERROR(VLOOKUP($A671,[3]库存使用数据!$A:$I,9,0),0)+IFERROR(VLOOKUP($A671,[4]库存使用数据!$A:$I,9,0),0)+IFERROR(VLOOKUP($A671,[5]库存使用数据!$A:$I,9,0),0)</f>
        <v>0</v>
      </c>
      <c r="J671" s="1">
        <f ca="1">IFERROR(VLOOKUP($A671,[1]库存使用数据!$A:$J,10,0),0)+IFERROR(VLOOKUP($A671,[2]库存使用数据!$A:$J,10,0),0)+公式!$B$14*IFERROR(VLOOKUP($A671,[3]库存使用数据!$A:$J,10,0),0)+IFERROR(VLOOKUP($A671,[4]库存使用数据!$A:$J,10,0),0)+IFERROR(VLOOKUP($A671,[5]库存使用数据!$A:$J,10,0),0)</f>
        <v>0</v>
      </c>
      <c r="K671" s="1">
        <f ca="1">IFERROR(VLOOKUP($A671,[1]库存使用数据!$A:$K,11,0),0)+IFERROR(VLOOKUP($A671,[2]库存使用数据!$A:$K,11,0),0)+IFERROR(VLOOKUP($A671,[3]库存使用数据!$A:$K,11,0),0)+IFERROR(VLOOKUP($A671,[4]库存使用数据!$A:$K,11,0),0)+IFERROR(VLOOKUP($A671,[5]库存使用数据!$A:$K,11,0),0)</f>
        <v>38</v>
      </c>
      <c r="L671" s="1">
        <f ca="1">IFERROR(VLOOKUP($A671,[1]库存使用数据!$A:$L,12,0),0)+IFERROR(VLOOKUP($A671,[2]库存使用数据!$A:$L,12,0),0)+IFERROR(VLOOKUP($A671,[3]库存使用数据!$A:$L,12,0),0)+IFERROR(VLOOKUP($A671,[4]库存使用数据!$A:$L,12,0),0)+IFERROR(VLOOKUP($A671,[5]库存使用数据!$A:$L,12,0),0)</f>
        <v>0</v>
      </c>
      <c r="M671" s="1">
        <f ca="1">IFERROR(VLOOKUP($A671,[1]库存使用数据!$A:$M,13,0),0)+IFERROR(VLOOKUP($A671,[2]库存使用数据!$A:$M,13,0),0)+公式!$B$14*IFERROR(VLOOKUP($A671,[3]库存使用数据!$A:$M,13,0),0)+IFERROR(VLOOKUP($A671,[4]库存使用数据!$A:$M,13,0),0)+IFERROR(VLOOKUP($A671,[5]库存使用数据!$A:$M,13,0),0)</f>
        <v>0</v>
      </c>
    </row>
    <row r="672" spans="1:13">
      <c r="A672" s="6" t="s">
        <v>677</v>
      </c>
      <c r="B672" s="2">
        <f ca="1">IFERROR(VLOOKUP(A672,[1]库存使用数据!$A:$B,2,0),0)+IFERROR(VLOOKUP(A672,[2]库存使用数据!$A:$B,2,0),0)+IFERROR(VLOOKUP(,[3]库存使用数据!$A:$B,2,0),0)+IFERROR(VLOOKUP(A672,[4]库存使用数据!$A:$B,2,0),0)+IFERROR(VLOOKUP(A672,[5]库存使用数据!$A:$B,2,0),0)</f>
        <v>626</v>
      </c>
      <c r="C672" s="1">
        <f ca="1">IFERROR(VLOOKUP($A672,[1]库存使用数据!$A:$C,3,0),0)+IFERROR(VLOOKUP($A672,[2]库存使用数据!$A:$C,3,0),0)+IFERROR(VLOOKUP($A672,[3]库存使用数据!$A:$C,3,0),0)+IFERROR(VLOOKUP($A672,[4]库存使用数据!$A:$C,3,0),0)+IFERROR(VLOOKUP($A672,[5]库存使用数据!$A:$C,3,0),0)</f>
        <v>1</v>
      </c>
      <c r="D672" s="1">
        <f ca="1">IFERROR(VLOOKUP($A672,[1]库存使用数据!$A:$D,4,0),0)+IFERROR(VLOOKUP($A672,[2]库存使用数据!$A:$D,4,0),0)+公式!$B$1*IFERROR(VLOOKUP($A672,[3]库存使用数据!$A:$D,4,0),0)+IFERROR(VLOOKUP($A672,[4]库存使用数据!$A:$D,4,0),0)+IFERROR(VLOOKUP($A672,[5]库存使用数据!$A:$D,4,0),0)</f>
        <v>0.22</v>
      </c>
      <c r="E672" s="1">
        <f ca="1">IFERROR(VLOOKUP($A672,[1]库存使用数据!$A:$E,5,0),0)+IFERROR(VLOOKUP($A672,[2]库存使用数据!$A:$E,5,0),0)+IFERROR(VLOOKUP($A672,[3]库存使用数据!$A:$E,5,0),0)+IFERROR(VLOOKUP($A672,[4]库存使用数据!$A:$E,5,0),0)+IFERROR(VLOOKUP($A672,[5]库存使用数据!$A:$E,5,0),0)</f>
        <v>688</v>
      </c>
      <c r="F672" s="1">
        <f ca="1">IFERROR(VLOOKUP($A672,[1]库存使用数据!$A:$F,6,0),0)+IFERROR(VLOOKUP($A672,[2]库存使用数据!$A:$F,6,0),0)+IFERROR(VLOOKUP($A672,[4]库存使用数据!$A:$F,6,0),0)+IFERROR(VLOOKUP($A672,[3]库存使用数据!$A:$F,6,0),0)+IFERROR(VLOOKUP($A672,[5]库存使用数据!$A:$F,6,0),0)</f>
        <v>4</v>
      </c>
      <c r="G672" s="1">
        <f ca="1">IFERROR(VLOOKUP($A672,[1]库存使用数据!$A:$G,7,0),0)+IFERROR(VLOOKUP($A672,[2]库存使用数据!$A:$G,7,0),0)+公式!$B$14*IFERROR(VLOOKUP($A672,[3]库存使用数据!$A:$G,7,0),0)+IFERROR(VLOOKUP($A672,[4]库存使用数据!$A:$G,7,0),0)+IFERROR(VLOOKUP($A672,[5]库存使用数据!$A:$G,7,0),0)</f>
        <v>0.77</v>
      </c>
      <c r="H672" s="1">
        <f ca="1">IFERROR(VLOOKUP($A672,[1]库存使用数据!$A:$H,8,0),0)+IFERROR(VLOOKUP($A672,[2]库存使用数据!$A:$H,8,0),0)+IFERROR(VLOOKUP($A672,[3]库存使用数据!$A:$H,8,0),0)+IFERROR(VLOOKUP($A672,[4]库存使用数据!$A:$H,8,0),0)+IFERROR(VLOOKUP($A672,[5]库存使用数据!$A:$H,8,0),0)</f>
        <v>161</v>
      </c>
      <c r="I672" s="1">
        <f ca="1">IFERROR(VLOOKUP($A672,[1]库存使用数据!$A:$I,9,0),0)+IFERROR(VLOOKUP($A672,[2]库存使用数据!$A:$I,9,0),0)+IFERROR(VLOOKUP($A672,[3]库存使用数据!$A:$I,9,0),0)+IFERROR(VLOOKUP($A672,[4]库存使用数据!$A:$I,9,0),0)+IFERROR(VLOOKUP($A672,[5]库存使用数据!$A:$I,9,0),0)</f>
        <v>0</v>
      </c>
      <c r="J672" s="1">
        <f ca="1">IFERROR(VLOOKUP($A672,[1]库存使用数据!$A:$J,10,0),0)+IFERROR(VLOOKUP($A672,[2]库存使用数据!$A:$J,10,0),0)+公式!$B$14*IFERROR(VLOOKUP($A672,[3]库存使用数据!$A:$J,10,0),0)+IFERROR(VLOOKUP($A672,[4]库存使用数据!$A:$J,10,0),0)+IFERROR(VLOOKUP($A672,[5]库存使用数据!$A:$J,10,0),0)</f>
        <v>0</v>
      </c>
      <c r="K672" s="1">
        <f ca="1">IFERROR(VLOOKUP($A672,[1]库存使用数据!$A:$K,11,0),0)+IFERROR(VLOOKUP($A672,[2]库存使用数据!$A:$K,11,0),0)+IFERROR(VLOOKUP($A672,[3]库存使用数据!$A:$K,11,0),0)+IFERROR(VLOOKUP($A672,[4]库存使用数据!$A:$K,11,0),0)+IFERROR(VLOOKUP($A672,[5]库存使用数据!$A:$K,11,0),0)</f>
        <v>522</v>
      </c>
      <c r="L672" s="1">
        <f ca="1">IFERROR(VLOOKUP($A672,[1]库存使用数据!$A:$L,12,0),0)+IFERROR(VLOOKUP($A672,[2]库存使用数据!$A:$L,12,0),0)+IFERROR(VLOOKUP($A672,[3]库存使用数据!$A:$L,12,0),0)+IFERROR(VLOOKUP($A672,[4]库存使用数据!$A:$L,12,0),0)+IFERROR(VLOOKUP($A672,[5]库存使用数据!$A:$L,12,0),0)</f>
        <v>1</v>
      </c>
      <c r="M672" s="1">
        <f ca="1">IFERROR(VLOOKUP($A672,[1]库存使用数据!$A:$M,13,0),0)+IFERROR(VLOOKUP($A672,[2]库存使用数据!$A:$M,13,0),0)+公式!$B$14*IFERROR(VLOOKUP($A672,[3]库存使用数据!$A:$M,13,0),0)+IFERROR(VLOOKUP($A672,[4]库存使用数据!$A:$M,13,0),0)+IFERROR(VLOOKUP($A672,[5]库存使用数据!$A:$M,13,0),0)</f>
        <v>0.26</v>
      </c>
    </row>
    <row r="673" spans="1:13">
      <c r="A673" s="6" t="s">
        <v>678</v>
      </c>
      <c r="B673" s="2">
        <f ca="1">IFERROR(VLOOKUP(A673,[1]库存使用数据!$A:$B,2,0),0)+IFERROR(VLOOKUP(A673,[2]库存使用数据!$A:$B,2,0),0)+IFERROR(VLOOKUP(,[3]库存使用数据!$A:$B,2,0),0)+IFERROR(VLOOKUP(A673,[4]库存使用数据!$A:$B,2,0),0)+IFERROR(VLOOKUP(A673,[5]库存使用数据!$A:$B,2,0),0)</f>
        <v>3414</v>
      </c>
      <c r="C673" s="1">
        <f ca="1">IFERROR(VLOOKUP($A673,[1]库存使用数据!$A:$C,3,0),0)+IFERROR(VLOOKUP($A673,[2]库存使用数据!$A:$C,3,0),0)+IFERROR(VLOOKUP($A673,[3]库存使用数据!$A:$C,3,0),0)+IFERROR(VLOOKUP($A673,[4]库存使用数据!$A:$C,3,0),0)+IFERROR(VLOOKUP($A673,[5]库存使用数据!$A:$C,3,0),0)</f>
        <v>2</v>
      </c>
      <c r="D673" s="1">
        <f ca="1">IFERROR(VLOOKUP($A673,[1]库存使用数据!$A:$D,4,0),0)+IFERROR(VLOOKUP($A673,[2]库存使用数据!$A:$D,4,0),0)+公式!$B$1*IFERROR(VLOOKUP($A673,[3]库存使用数据!$A:$D,4,0),0)+IFERROR(VLOOKUP($A673,[4]库存使用数据!$A:$D,4,0),0)+IFERROR(VLOOKUP($A673,[5]库存使用数据!$A:$D,4,0),0)</f>
        <v>0.3</v>
      </c>
      <c r="E673" s="1">
        <f ca="1">IFERROR(VLOOKUP($A673,[1]库存使用数据!$A:$E,5,0),0)+IFERROR(VLOOKUP($A673,[2]库存使用数据!$A:$E,5,0),0)+IFERROR(VLOOKUP($A673,[3]库存使用数据!$A:$E,5,0),0)+IFERROR(VLOOKUP($A673,[4]库存使用数据!$A:$E,5,0),0)+IFERROR(VLOOKUP($A673,[5]库存使用数据!$A:$E,5,0),0)</f>
        <v>1695</v>
      </c>
      <c r="F673" s="1">
        <f ca="1">IFERROR(VLOOKUP($A673,[1]库存使用数据!$A:$F,6,0),0)+IFERROR(VLOOKUP($A673,[2]库存使用数据!$A:$F,6,0),0)+IFERROR(VLOOKUP($A673,[4]库存使用数据!$A:$F,6,0),0)+IFERROR(VLOOKUP($A673,[3]库存使用数据!$A:$F,6,0),0)+IFERROR(VLOOKUP($A673,[5]库存使用数据!$A:$F,6,0),0)</f>
        <v>0</v>
      </c>
      <c r="G673" s="1">
        <f ca="1">IFERROR(VLOOKUP($A673,[1]库存使用数据!$A:$G,7,0),0)+IFERROR(VLOOKUP($A673,[2]库存使用数据!$A:$G,7,0),0)+公式!$B$14*IFERROR(VLOOKUP($A673,[3]库存使用数据!$A:$G,7,0),0)+IFERROR(VLOOKUP($A673,[4]库存使用数据!$A:$G,7,0),0)+IFERROR(VLOOKUP($A673,[5]库存使用数据!$A:$G,7,0),0)</f>
        <v>0</v>
      </c>
      <c r="H673" s="1">
        <f ca="1">IFERROR(VLOOKUP($A673,[1]库存使用数据!$A:$H,8,0),0)+IFERROR(VLOOKUP($A673,[2]库存使用数据!$A:$H,8,0),0)+IFERROR(VLOOKUP($A673,[3]库存使用数据!$A:$H,8,0),0)+IFERROR(VLOOKUP($A673,[4]库存使用数据!$A:$H,8,0),0)+IFERROR(VLOOKUP($A673,[5]库存使用数据!$A:$H,8,0),0)</f>
        <v>236</v>
      </c>
      <c r="I673" s="1">
        <f ca="1">IFERROR(VLOOKUP($A673,[1]库存使用数据!$A:$I,9,0),0)+IFERROR(VLOOKUP($A673,[2]库存使用数据!$A:$I,9,0),0)+IFERROR(VLOOKUP($A673,[3]库存使用数据!$A:$I,9,0),0)+IFERROR(VLOOKUP($A673,[4]库存使用数据!$A:$I,9,0),0)+IFERROR(VLOOKUP($A673,[5]库存使用数据!$A:$I,9,0),0)</f>
        <v>0</v>
      </c>
      <c r="J673" s="1">
        <f ca="1">IFERROR(VLOOKUP($A673,[1]库存使用数据!$A:$J,10,0),0)+IFERROR(VLOOKUP($A673,[2]库存使用数据!$A:$J,10,0),0)+公式!$B$14*IFERROR(VLOOKUP($A673,[3]库存使用数据!$A:$J,10,0),0)+IFERROR(VLOOKUP($A673,[4]库存使用数据!$A:$J,10,0),0)+IFERROR(VLOOKUP($A673,[5]库存使用数据!$A:$J,10,0),0)</f>
        <v>0</v>
      </c>
      <c r="K673" s="1">
        <f ca="1">IFERROR(VLOOKUP($A673,[1]库存使用数据!$A:$K,11,0),0)+IFERROR(VLOOKUP($A673,[2]库存使用数据!$A:$K,11,0),0)+IFERROR(VLOOKUP($A673,[3]库存使用数据!$A:$K,11,0),0)+IFERROR(VLOOKUP($A673,[4]库存使用数据!$A:$K,11,0),0)+IFERROR(VLOOKUP($A673,[5]库存使用数据!$A:$K,11,0),0)</f>
        <v>491</v>
      </c>
      <c r="L673" s="1">
        <f ca="1">IFERROR(VLOOKUP($A673,[1]库存使用数据!$A:$L,12,0),0)+IFERROR(VLOOKUP($A673,[2]库存使用数据!$A:$L,12,0),0)+IFERROR(VLOOKUP($A673,[3]库存使用数据!$A:$L,12,0),0)+IFERROR(VLOOKUP($A673,[4]库存使用数据!$A:$L,12,0),0)+IFERROR(VLOOKUP($A673,[5]库存使用数据!$A:$L,12,0),0)</f>
        <v>3</v>
      </c>
      <c r="M673" s="1">
        <f ca="1">IFERROR(VLOOKUP($A673,[1]库存使用数据!$A:$M,13,0),0)+IFERROR(VLOOKUP($A673,[2]库存使用数据!$A:$M,13,0),0)+公式!$B$14*IFERROR(VLOOKUP($A673,[3]库存使用数据!$A:$M,13,0),0)+IFERROR(VLOOKUP($A673,[4]库存使用数据!$A:$M,13,0),0)+IFERROR(VLOOKUP($A673,[5]库存使用数据!$A:$M,13,0),0)</f>
        <v>0.45</v>
      </c>
    </row>
    <row r="674" spans="1:13">
      <c r="A674" s="6" t="s">
        <v>679</v>
      </c>
      <c r="B674" s="2">
        <f ca="1">IFERROR(VLOOKUP(A674,[1]库存使用数据!$A:$B,2,0),0)+IFERROR(VLOOKUP(A674,[2]库存使用数据!$A:$B,2,0),0)+IFERROR(VLOOKUP(,[3]库存使用数据!$A:$B,2,0),0)+IFERROR(VLOOKUP(A674,[4]库存使用数据!$A:$B,2,0),0)+IFERROR(VLOOKUP(A674,[5]库存使用数据!$A:$B,2,0),0)</f>
        <v>2813</v>
      </c>
      <c r="C674" s="1">
        <f ca="1">IFERROR(VLOOKUP($A674,[1]库存使用数据!$A:$C,3,0),0)+IFERROR(VLOOKUP($A674,[2]库存使用数据!$A:$C,3,0),0)+IFERROR(VLOOKUP($A674,[3]库存使用数据!$A:$C,3,0),0)+IFERROR(VLOOKUP($A674,[4]库存使用数据!$A:$C,3,0),0)+IFERROR(VLOOKUP($A674,[5]库存使用数据!$A:$C,3,0),0)</f>
        <v>5</v>
      </c>
      <c r="D674" s="1">
        <f ca="1">IFERROR(VLOOKUP($A674,[1]库存使用数据!$A:$D,4,0),0)+IFERROR(VLOOKUP($A674,[2]库存使用数据!$A:$D,4,0),0)+公式!$B$1*IFERROR(VLOOKUP($A674,[3]库存使用数据!$A:$D,4,0),0)+IFERROR(VLOOKUP($A674,[4]库存使用数据!$A:$D,4,0),0)+IFERROR(VLOOKUP($A674,[5]库存使用数据!$A:$D,4,0),0)</f>
        <v>0.77</v>
      </c>
      <c r="E674" s="1">
        <f ca="1">IFERROR(VLOOKUP($A674,[1]库存使用数据!$A:$E,5,0),0)+IFERROR(VLOOKUP($A674,[2]库存使用数据!$A:$E,5,0),0)+IFERROR(VLOOKUP($A674,[3]库存使用数据!$A:$E,5,0),0)+IFERROR(VLOOKUP($A674,[4]库存使用数据!$A:$E,5,0),0)+IFERROR(VLOOKUP($A674,[5]库存使用数据!$A:$E,5,0),0)</f>
        <v>739</v>
      </c>
      <c r="F674" s="1">
        <f ca="1">IFERROR(VLOOKUP($A674,[1]库存使用数据!$A:$F,6,0),0)+IFERROR(VLOOKUP($A674,[2]库存使用数据!$A:$F,6,0),0)+IFERROR(VLOOKUP($A674,[4]库存使用数据!$A:$F,6,0),0)+IFERROR(VLOOKUP($A674,[3]库存使用数据!$A:$F,6,0),0)+IFERROR(VLOOKUP($A674,[5]库存使用数据!$A:$F,6,0),0)</f>
        <v>6</v>
      </c>
      <c r="G674" s="1">
        <f ca="1">IFERROR(VLOOKUP($A674,[1]库存使用数据!$A:$G,7,0),0)+IFERROR(VLOOKUP($A674,[2]库存使用数据!$A:$G,7,0),0)+公式!$B$14*IFERROR(VLOOKUP($A674,[3]库存使用数据!$A:$G,7,0),0)+IFERROR(VLOOKUP($A674,[4]库存使用数据!$A:$G,7,0),0)+IFERROR(VLOOKUP($A674,[5]库存使用数据!$A:$G,7,0),0)</f>
        <v>0.89</v>
      </c>
      <c r="H674" s="1">
        <f ca="1">IFERROR(VLOOKUP($A674,[1]库存使用数据!$A:$H,8,0),0)+IFERROR(VLOOKUP($A674,[2]库存使用数据!$A:$H,8,0),0)+IFERROR(VLOOKUP($A674,[3]库存使用数据!$A:$H,8,0),0)+IFERROR(VLOOKUP($A674,[4]库存使用数据!$A:$H,8,0),0)+IFERROR(VLOOKUP($A674,[5]库存使用数据!$A:$H,8,0),0)</f>
        <v>1066</v>
      </c>
      <c r="I674" s="1">
        <f ca="1">IFERROR(VLOOKUP($A674,[1]库存使用数据!$A:$I,9,0),0)+IFERROR(VLOOKUP($A674,[2]库存使用数据!$A:$I,9,0),0)+IFERROR(VLOOKUP($A674,[3]库存使用数据!$A:$I,9,0),0)+IFERROR(VLOOKUP($A674,[4]库存使用数据!$A:$I,9,0),0)+IFERROR(VLOOKUP($A674,[5]库存使用数据!$A:$I,9,0),0)</f>
        <v>2</v>
      </c>
      <c r="J674" s="1">
        <f ca="1">IFERROR(VLOOKUP($A674,[1]库存使用数据!$A:$J,10,0),0)+IFERROR(VLOOKUP($A674,[2]库存使用数据!$A:$J,10,0),0)+公式!$B$14*IFERROR(VLOOKUP($A674,[3]库存使用数据!$A:$J,10,0),0)+IFERROR(VLOOKUP($A674,[4]库存使用数据!$A:$J,10,0),0)+IFERROR(VLOOKUP($A674,[5]库存使用数据!$A:$J,10,0),0)</f>
        <v>0.38</v>
      </c>
      <c r="K674" s="1">
        <f ca="1">IFERROR(VLOOKUP($A674,[1]库存使用数据!$A:$K,11,0),0)+IFERROR(VLOOKUP($A674,[2]库存使用数据!$A:$K,11,0),0)+IFERROR(VLOOKUP($A674,[3]库存使用数据!$A:$K,11,0),0)+IFERROR(VLOOKUP($A674,[4]库存使用数据!$A:$K,11,0),0)+IFERROR(VLOOKUP($A674,[5]库存使用数据!$A:$K,11,0),0)</f>
        <v>356</v>
      </c>
      <c r="L674" s="1">
        <f ca="1">IFERROR(VLOOKUP($A674,[1]库存使用数据!$A:$L,12,0),0)+IFERROR(VLOOKUP($A674,[2]库存使用数据!$A:$L,12,0),0)+IFERROR(VLOOKUP($A674,[3]库存使用数据!$A:$L,12,0),0)+IFERROR(VLOOKUP($A674,[4]库存使用数据!$A:$L,12,0),0)+IFERROR(VLOOKUP($A674,[5]库存使用数据!$A:$L,12,0),0)</f>
        <v>1</v>
      </c>
      <c r="M674" s="1">
        <f ca="1">IFERROR(VLOOKUP($A674,[1]库存使用数据!$A:$M,13,0),0)+IFERROR(VLOOKUP($A674,[2]库存使用数据!$A:$M,13,0),0)+公式!$B$14*IFERROR(VLOOKUP($A674,[3]库存使用数据!$A:$M,13,0),0)+IFERROR(VLOOKUP($A674,[4]库存使用数据!$A:$M,13,0),0)+IFERROR(VLOOKUP($A674,[5]库存使用数据!$A:$M,13,0),0)</f>
        <v>0.15</v>
      </c>
    </row>
    <row r="675" spans="1:13">
      <c r="A675" s="6" t="s">
        <v>680</v>
      </c>
      <c r="B675" s="2">
        <f ca="1">IFERROR(VLOOKUP(A675,[1]库存使用数据!$A:$B,2,0),0)+IFERROR(VLOOKUP(A675,[2]库存使用数据!$A:$B,2,0),0)+IFERROR(VLOOKUP(,[3]库存使用数据!$A:$B,2,0),0)+IFERROR(VLOOKUP(A675,[4]库存使用数据!$A:$B,2,0),0)+IFERROR(VLOOKUP(A675,[5]库存使用数据!$A:$B,2,0),0)</f>
        <v>0</v>
      </c>
      <c r="C675" s="1">
        <f ca="1">IFERROR(VLOOKUP($A675,[1]库存使用数据!$A:$C,3,0),0)+IFERROR(VLOOKUP($A675,[2]库存使用数据!$A:$C,3,0),0)+IFERROR(VLOOKUP($A675,[3]库存使用数据!$A:$C,3,0),0)+IFERROR(VLOOKUP($A675,[4]库存使用数据!$A:$C,3,0),0)+IFERROR(VLOOKUP($A675,[5]库存使用数据!$A:$C,3,0),0)</f>
        <v>0</v>
      </c>
      <c r="D675" s="1">
        <f ca="1">IFERROR(VLOOKUP($A675,[1]库存使用数据!$A:$D,4,0),0)+IFERROR(VLOOKUP($A675,[2]库存使用数据!$A:$D,4,0),0)+公式!$B$1*IFERROR(VLOOKUP($A675,[3]库存使用数据!$A:$D,4,0),0)+IFERROR(VLOOKUP($A675,[4]库存使用数据!$A:$D,4,0),0)+IFERROR(VLOOKUP($A675,[5]库存使用数据!$A:$D,4,0),0)</f>
        <v>0</v>
      </c>
      <c r="E675" s="1">
        <f ca="1">IFERROR(VLOOKUP($A675,[1]库存使用数据!$A:$E,5,0),0)+IFERROR(VLOOKUP($A675,[2]库存使用数据!$A:$E,5,0),0)+IFERROR(VLOOKUP($A675,[3]库存使用数据!$A:$E,5,0),0)+IFERROR(VLOOKUP($A675,[4]库存使用数据!$A:$E,5,0),0)+IFERROR(VLOOKUP($A675,[5]库存使用数据!$A:$E,5,0),0)</f>
        <v>82</v>
      </c>
      <c r="F675" s="1">
        <f ca="1">IFERROR(VLOOKUP($A675,[1]库存使用数据!$A:$F,6,0),0)+IFERROR(VLOOKUP($A675,[2]库存使用数据!$A:$F,6,0),0)+IFERROR(VLOOKUP($A675,[4]库存使用数据!$A:$F,6,0),0)+IFERROR(VLOOKUP($A675,[3]库存使用数据!$A:$F,6,0),0)+IFERROR(VLOOKUP($A675,[5]库存使用数据!$A:$F,6,0),0)</f>
        <v>1</v>
      </c>
      <c r="G675" s="1">
        <f ca="1">IFERROR(VLOOKUP($A675,[1]库存使用数据!$A:$G,7,0),0)+IFERROR(VLOOKUP($A675,[2]库存使用数据!$A:$G,7,0),0)+公式!$B$14*IFERROR(VLOOKUP($A675,[3]库存使用数据!$A:$G,7,0),0)+IFERROR(VLOOKUP($A675,[4]库存使用数据!$A:$G,7,0),0)+IFERROR(VLOOKUP($A675,[5]库存使用数据!$A:$G,7,0),0)</f>
        <v>0.13</v>
      </c>
      <c r="H675" s="1">
        <f ca="1">IFERROR(VLOOKUP($A675,[1]库存使用数据!$A:$H,8,0),0)+IFERROR(VLOOKUP($A675,[2]库存使用数据!$A:$H,8,0),0)+IFERROR(VLOOKUP($A675,[3]库存使用数据!$A:$H,8,0),0)+IFERROR(VLOOKUP($A675,[4]库存使用数据!$A:$H,8,0),0)+IFERROR(VLOOKUP($A675,[5]库存使用数据!$A:$H,8,0),0)</f>
        <v>544</v>
      </c>
      <c r="I675" s="1">
        <f ca="1">IFERROR(VLOOKUP($A675,[1]库存使用数据!$A:$I,9,0),0)+IFERROR(VLOOKUP($A675,[2]库存使用数据!$A:$I,9,0),0)+IFERROR(VLOOKUP($A675,[3]库存使用数据!$A:$I,9,0),0)+IFERROR(VLOOKUP($A675,[4]库存使用数据!$A:$I,9,0),0)+IFERROR(VLOOKUP($A675,[5]库存使用数据!$A:$I,9,0),0)</f>
        <v>1</v>
      </c>
      <c r="J675" s="1">
        <f ca="1">IFERROR(VLOOKUP($A675,[1]库存使用数据!$A:$J,10,0),0)+IFERROR(VLOOKUP($A675,[2]库存使用数据!$A:$J,10,0),0)+公式!$B$14*IFERROR(VLOOKUP($A675,[3]库存使用数据!$A:$J,10,0),0)+IFERROR(VLOOKUP($A675,[4]库存使用数据!$A:$J,10,0),0)+IFERROR(VLOOKUP($A675,[5]库存使用数据!$A:$J,10,0),0)</f>
        <v>0.13</v>
      </c>
      <c r="K675" s="1">
        <f ca="1">IFERROR(VLOOKUP($A675,[1]库存使用数据!$A:$K,11,0),0)+IFERROR(VLOOKUP($A675,[2]库存使用数据!$A:$K,11,0),0)+IFERROR(VLOOKUP($A675,[3]库存使用数据!$A:$K,11,0),0)+IFERROR(VLOOKUP($A675,[4]库存使用数据!$A:$K,11,0),0)+IFERROR(VLOOKUP($A675,[5]库存使用数据!$A:$K,11,0),0)</f>
        <v>1003</v>
      </c>
      <c r="L675" s="1">
        <f ca="1">IFERROR(VLOOKUP($A675,[1]库存使用数据!$A:$L,12,0),0)+IFERROR(VLOOKUP($A675,[2]库存使用数据!$A:$L,12,0),0)+IFERROR(VLOOKUP($A675,[3]库存使用数据!$A:$L,12,0),0)+IFERROR(VLOOKUP($A675,[4]库存使用数据!$A:$L,12,0),0)+IFERROR(VLOOKUP($A675,[5]库存使用数据!$A:$L,12,0),0)</f>
        <v>0</v>
      </c>
      <c r="M675" s="1">
        <f ca="1">IFERROR(VLOOKUP($A675,[1]库存使用数据!$A:$M,13,0),0)+IFERROR(VLOOKUP($A675,[2]库存使用数据!$A:$M,13,0),0)+公式!$B$14*IFERROR(VLOOKUP($A675,[3]库存使用数据!$A:$M,13,0),0)+IFERROR(VLOOKUP($A675,[4]库存使用数据!$A:$M,13,0),0)+IFERROR(VLOOKUP($A675,[5]库存使用数据!$A:$M,13,0),0)</f>
        <v>0</v>
      </c>
    </row>
    <row r="676" spans="1:13">
      <c r="A676" s="6" t="s">
        <v>681</v>
      </c>
      <c r="B676" s="2">
        <f ca="1">IFERROR(VLOOKUP(A676,[1]库存使用数据!$A:$B,2,0),0)+IFERROR(VLOOKUP(A676,[2]库存使用数据!$A:$B,2,0),0)+IFERROR(VLOOKUP(,[3]库存使用数据!$A:$B,2,0),0)+IFERROR(VLOOKUP(A676,[4]库存使用数据!$A:$B,2,0),0)+IFERROR(VLOOKUP(A676,[5]库存使用数据!$A:$B,2,0),0)</f>
        <v>0</v>
      </c>
      <c r="C676" s="1">
        <f ca="1">IFERROR(VLOOKUP($A676,[1]库存使用数据!$A:$C,3,0),0)+IFERROR(VLOOKUP($A676,[2]库存使用数据!$A:$C,3,0),0)+IFERROR(VLOOKUP($A676,[3]库存使用数据!$A:$C,3,0),0)+IFERROR(VLOOKUP($A676,[4]库存使用数据!$A:$C,3,0),0)+IFERROR(VLOOKUP($A676,[5]库存使用数据!$A:$C,3,0),0)</f>
        <v>0</v>
      </c>
      <c r="D676" s="1">
        <f ca="1">IFERROR(VLOOKUP($A676,[1]库存使用数据!$A:$D,4,0),0)+IFERROR(VLOOKUP($A676,[2]库存使用数据!$A:$D,4,0),0)+公式!$B$1*IFERROR(VLOOKUP($A676,[3]库存使用数据!$A:$D,4,0),0)+IFERROR(VLOOKUP($A676,[4]库存使用数据!$A:$D,4,0),0)+IFERROR(VLOOKUP($A676,[5]库存使用数据!$A:$D,4,0),0)</f>
        <v>0</v>
      </c>
      <c r="E676" s="1">
        <f ca="1">IFERROR(VLOOKUP($A676,[1]库存使用数据!$A:$E,5,0),0)+IFERROR(VLOOKUP($A676,[2]库存使用数据!$A:$E,5,0),0)+IFERROR(VLOOKUP($A676,[3]库存使用数据!$A:$E,5,0),0)+IFERROR(VLOOKUP($A676,[4]库存使用数据!$A:$E,5,0),0)+IFERROR(VLOOKUP($A676,[5]库存使用数据!$A:$E,5,0),0)</f>
        <v>51</v>
      </c>
      <c r="F676" s="1">
        <f ca="1">IFERROR(VLOOKUP($A676,[1]库存使用数据!$A:$F,6,0),0)+IFERROR(VLOOKUP($A676,[2]库存使用数据!$A:$F,6,0),0)+IFERROR(VLOOKUP($A676,[4]库存使用数据!$A:$F,6,0),0)+IFERROR(VLOOKUP($A676,[3]库存使用数据!$A:$F,6,0),0)+IFERROR(VLOOKUP($A676,[5]库存使用数据!$A:$F,6,0),0)</f>
        <v>0</v>
      </c>
      <c r="G676" s="1">
        <f ca="1">IFERROR(VLOOKUP($A676,[1]库存使用数据!$A:$G,7,0),0)+IFERROR(VLOOKUP($A676,[2]库存使用数据!$A:$G,7,0),0)+公式!$B$14*IFERROR(VLOOKUP($A676,[3]库存使用数据!$A:$G,7,0),0)+IFERROR(VLOOKUP($A676,[4]库存使用数据!$A:$G,7,0),0)+IFERROR(VLOOKUP($A676,[5]库存使用数据!$A:$G,7,0),0)</f>
        <v>0</v>
      </c>
      <c r="H676" s="1">
        <f ca="1">IFERROR(VLOOKUP($A676,[1]库存使用数据!$A:$H,8,0),0)+IFERROR(VLOOKUP($A676,[2]库存使用数据!$A:$H,8,0),0)+IFERROR(VLOOKUP($A676,[3]库存使用数据!$A:$H,8,0),0)+IFERROR(VLOOKUP($A676,[4]库存使用数据!$A:$H,8,0),0)+IFERROR(VLOOKUP($A676,[5]库存使用数据!$A:$H,8,0),0)</f>
        <v>32</v>
      </c>
      <c r="I676" s="1">
        <f ca="1">IFERROR(VLOOKUP($A676,[1]库存使用数据!$A:$I,9,0),0)+IFERROR(VLOOKUP($A676,[2]库存使用数据!$A:$I,9,0),0)+IFERROR(VLOOKUP($A676,[3]库存使用数据!$A:$I,9,0),0)+IFERROR(VLOOKUP($A676,[4]库存使用数据!$A:$I,9,0),0)+IFERROR(VLOOKUP($A676,[5]库存使用数据!$A:$I,9,0),0)</f>
        <v>0</v>
      </c>
      <c r="J676" s="1">
        <f ca="1">IFERROR(VLOOKUP($A676,[1]库存使用数据!$A:$J,10,0),0)+IFERROR(VLOOKUP($A676,[2]库存使用数据!$A:$J,10,0),0)+公式!$B$14*IFERROR(VLOOKUP($A676,[3]库存使用数据!$A:$J,10,0),0)+IFERROR(VLOOKUP($A676,[4]库存使用数据!$A:$J,10,0),0)+IFERROR(VLOOKUP($A676,[5]库存使用数据!$A:$J,10,0),0)</f>
        <v>0</v>
      </c>
      <c r="K676" s="1">
        <f ca="1">IFERROR(VLOOKUP($A676,[1]库存使用数据!$A:$K,11,0),0)+IFERROR(VLOOKUP($A676,[2]库存使用数据!$A:$K,11,0),0)+IFERROR(VLOOKUP($A676,[3]库存使用数据!$A:$K,11,0),0)+IFERROR(VLOOKUP($A676,[4]库存使用数据!$A:$K,11,0),0)+IFERROR(VLOOKUP($A676,[5]库存使用数据!$A:$K,11,0),0)</f>
        <v>30</v>
      </c>
      <c r="L676" s="1">
        <f ca="1">IFERROR(VLOOKUP($A676,[1]库存使用数据!$A:$L,12,0),0)+IFERROR(VLOOKUP($A676,[2]库存使用数据!$A:$L,12,0),0)+IFERROR(VLOOKUP($A676,[3]库存使用数据!$A:$L,12,0),0)+IFERROR(VLOOKUP($A676,[4]库存使用数据!$A:$L,12,0),0)+IFERROR(VLOOKUP($A676,[5]库存使用数据!$A:$L,12,0),0)</f>
        <v>1</v>
      </c>
      <c r="M676" s="1">
        <f ca="1">IFERROR(VLOOKUP($A676,[1]库存使用数据!$A:$M,13,0),0)+IFERROR(VLOOKUP($A676,[2]库存使用数据!$A:$M,13,0),0)+公式!$B$14*IFERROR(VLOOKUP($A676,[3]库存使用数据!$A:$M,13,0),0)+IFERROR(VLOOKUP($A676,[4]库存使用数据!$A:$M,13,0),0)+IFERROR(VLOOKUP($A676,[5]库存使用数据!$A:$M,13,0),0)</f>
        <v>0.27</v>
      </c>
    </row>
    <row r="677" spans="1:13">
      <c r="A677" s="6" t="s">
        <v>682</v>
      </c>
      <c r="B677" s="2">
        <f ca="1">IFERROR(VLOOKUP(A677,[1]库存使用数据!$A:$B,2,0),0)+IFERROR(VLOOKUP(A677,[2]库存使用数据!$A:$B,2,0),0)+IFERROR(VLOOKUP(,[3]库存使用数据!$A:$B,2,0),0)+IFERROR(VLOOKUP(A677,[4]库存使用数据!$A:$B,2,0),0)+IFERROR(VLOOKUP(A677,[5]库存使用数据!$A:$B,2,0),0)</f>
        <v>0</v>
      </c>
      <c r="C677" s="1">
        <f ca="1">IFERROR(VLOOKUP($A677,[1]库存使用数据!$A:$C,3,0),0)+IFERROR(VLOOKUP($A677,[2]库存使用数据!$A:$C,3,0),0)+IFERROR(VLOOKUP($A677,[3]库存使用数据!$A:$C,3,0),0)+IFERROR(VLOOKUP($A677,[4]库存使用数据!$A:$C,3,0),0)+IFERROR(VLOOKUP($A677,[5]库存使用数据!$A:$C,3,0),0)</f>
        <v>0</v>
      </c>
      <c r="D677" s="1">
        <f ca="1">IFERROR(VLOOKUP($A677,[1]库存使用数据!$A:$D,4,0),0)+IFERROR(VLOOKUP($A677,[2]库存使用数据!$A:$D,4,0),0)+公式!$B$1*IFERROR(VLOOKUP($A677,[3]库存使用数据!$A:$D,4,0),0)+IFERROR(VLOOKUP($A677,[4]库存使用数据!$A:$D,4,0),0)+IFERROR(VLOOKUP($A677,[5]库存使用数据!$A:$D,4,0),0)</f>
        <v>0</v>
      </c>
      <c r="E677" s="1">
        <f ca="1">IFERROR(VLOOKUP($A677,[1]库存使用数据!$A:$E,5,0),0)+IFERROR(VLOOKUP($A677,[2]库存使用数据!$A:$E,5,0),0)+IFERROR(VLOOKUP($A677,[3]库存使用数据!$A:$E,5,0),0)+IFERROR(VLOOKUP($A677,[4]库存使用数据!$A:$E,5,0),0)+IFERROR(VLOOKUP($A677,[5]库存使用数据!$A:$E,5,0),0)</f>
        <v>84</v>
      </c>
      <c r="F677" s="1">
        <f ca="1">IFERROR(VLOOKUP($A677,[1]库存使用数据!$A:$F,6,0),0)+IFERROR(VLOOKUP($A677,[2]库存使用数据!$A:$F,6,0),0)+IFERROR(VLOOKUP($A677,[4]库存使用数据!$A:$F,6,0),0)+IFERROR(VLOOKUP($A677,[3]库存使用数据!$A:$F,6,0),0)+IFERROR(VLOOKUP($A677,[5]库存使用数据!$A:$F,6,0),0)</f>
        <v>1</v>
      </c>
      <c r="G677" s="1">
        <f ca="1">IFERROR(VLOOKUP($A677,[1]库存使用数据!$A:$G,7,0),0)+IFERROR(VLOOKUP($A677,[2]库存使用数据!$A:$G,7,0),0)+公式!$B$14*IFERROR(VLOOKUP($A677,[3]库存使用数据!$A:$G,7,0),0)+IFERROR(VLOOKUP($A677,[4]库存使用数据!$A:$G,7,0),0)+IFERROR(VLOOKUP($A677,[5]库存使用数据!$A:$G,7,0),0)</f>
        <v>0.26</v>
      </c>
      <c r="H677" s="1">
        <f ca="1">IFERROR(VLOOKUP($A677,[1]库存使用数据!$A:$H,8,0),0)+IFERROR(VLOOKUP($A677,[2]库存使用数据!$A:$H,8,0),0)+IFERROR(VLOOKUP($A677,[3]库存使用数据!$A:$H,8,0),0)+IFERROR(VLOOKUP($A677,[4]库存使用数据!$A:$H,8,0),0)+IFERROR(VLOOKUP($A677,[5]库存使用数据!$A:$H,8,0),0)</f>
        <v>10</v>
      </c>
      <c r="I677" s="1">
        <f ca="1">IFERROR(VLOOKUP($A677,[1]库存使用数据!$A:$I,9,0),0)+IFERROR(VLOOKUP($A677,[2]库存使用数据!$A:$I,9,0),0)+IFERROR(VLOOKUP($A677,[3]库存使用数据!$A:$I,9,0),0)+IFERROR(VLOOKUP($A677,[4]库存使用数据!$A:$I,9,0),0)+IFERROR(VLOOKUP($A677,[5]库存使用数据!$A:$I,9,0),0)</f>
        <v>0</v>
      </c>
      <c r="J677" s="1">
        <f ca="1">IFERROR(VLOOKUP($A677,[1]库存使用数据!$A:$J,10,0),0)+IFERROR(VLOOKUP($A677,[2]库存使用数据!$A:$J,10,0),0)+公式!$B$14*IFERROR(VLOOKUP($A677,[3]库存使用数据!$A:$J,10,0),0)+IFERROR(VLOOKUP($A677,[4]库存使用数据!$A:$J,10,0),0)+IFERROR(VLOOKUP($A677,[5]库存使用数据!$A:$J,10,0),0)</f>
        <v>0</v>
      </c>
      <c r="K677" s="1">
        <f ca="1">IFERROR(VLOOKUP($A677,[1]库存使用数据!$A:$K,11,0),0)+IFERROR(VLOOKUP($A677,[2]库存使用数据!$A:$K,11,0),0)+IFERROR(VLOOKUP($A677,[3]库存使用数据!$A:$K,11,0),0)+IFERROR(VLOOKUP($A677,[4]库存使用数据!$A:$K,11,0),0)+IFERROR(VLOOKUP($A677,[5]库存使用数据!$A:$K,11,0),0)</f>
        <v>41</v>
      </c>
      <c r="L677" s="1">
        <f ca="1">IFERROR(VLOOKUP($A677,[1]库存使用数据!$A:$L,12,0),0)+IFERROR(VLOOKUP($A677,[2]库存使用数据!$A:$L,12,0),0)+IFERROR(VLOOKUP($A677,[3]库存使用数据!$A:$L,12,0),0)+IFERROR(VLOOKUP($A677,[4]库存使用数据!$A:$L,12,0),0)+IFERROR(VLOOKUP($A677,[5]库存使用数据!$A:$L,12,0),0)</f>
        <v>1</v>
      </c>
      <c r="M677" s="1">
        <f ca="1">IFERROR(VLOOKUP($A677,[1]库存使用数据!$A:$M,13,0),0)+IFERROR(VLOOKUP($A677,[2]库存使用数据!$A:$M,13,0),0)+公式!$B$14*IFERROR(VLOOKUP($A677,[3]库存使用数据!$A:$M,13,0),0)+IFERROR(VLOOKUP($A677,[4]库存使用数据!$A:$M,13,0),0)+IFERROR(VLOOKUP($A677,[5]库存使用数据!$A:$M,13,0),0)</f>
        <v>0.27</v>
      </c>
    </row>
    <row r="678" spans="1:13">
      <c r="A678" s="6" t="s">
        <v>683</v>
      </c>
      <c r="B678" s="2">
        <f ca="1">IFERROR(VLOOKUP(A678,[1]库存使用数据!$A:$B,2,0),0)+IFERROR(VLOOKUP(A678,[2]库存使用数据!$A:$B,2,0),0)+IFERROR(VLOOKUP(,[3]库存使用数据!$A:$B,2,0),0)+IFERROR(VLOOKUP(A678,[4]库存使用数据!$A:$B,2,0),0)+IFERROR(VLOOKUP(A678,[5]库存使用数据!$A:$B,2,0),0)</f>
        <v>1923</v>
      </c>
      <c r="C678" s="1">
        <f ca="1">IFERROR(VLOOKUP($A678,[1]库存使用数据!$A:$C,3,0),0)+IFERROR(VLOOKUP($A678,[2]库存使用数据!$A:$C,3,0),0)+IFERROR(VLOOKUP($A678,[3]库存使用数据!$A:$C,3,0),0)+IFERROR(VLOOKUP($A678,[4]库存使用数据!$A:$C,3,0),0)+IFERROR(VLOOKUP($A678,[5]库存使用数据!$A:$C,3,0),0)</f>
        <v>6</v>
      </c>
      <c r="D678" s="1">
        <f ca="1">IFERROR(VLOOKUP($A678,[1]库存使用数据!$A:$D,4,0),0)+IFERROR(VLOOKUP($A678,[2]库存使用数据!$A:$D,4,0),0)+公式!$B$1*IFERROR(VLOOKUP($A678,[3]库存使用数据!$A:$D,4,0),0)+IFERROR(VLOOKUP($A678,[4]库存使用数据!$A:$D,4,0),0)+IFERROR(VLOOKUP($A678,[5]库存使用数据!$A:$D,4,0),0)</f>
        <v>1.1</v>
      </c>
      <c r="E678" s="1">
        <f ca="1">IFERROR(VLOOKUP($A678,[1]库存使用数据!$A:$E,5,0),0)+IFERROR(VLOOKUP($A678,[2]库存使用数据!$A:$E,5,0),0)+IFERROR(VLOOKUP($A678,[3]库存使用数据!$A:$E,5,0),0)+IFERROR(VLOOKUP($A678,[4]库存使用数据!$A:$E,5,0),0)+IFERROR(VLOOKUP($A678,[5]库存使用数据!$A:$E,5,0),0)</f>
        <v>3814</v>
      </c>
      <c r="F678" s="1">
        <f ca="1">IFERROR(VLOOKUP($A678,[1]库存使用数据!$A:$F,6,0),0)+IFERROR(VLOOKUP($A678,[2]库存使用数据!$A:$F,6,0),0)+IFERROR(VLOOKUP($A678,[4]库存使用数据!$A:$F,6,0),0)+IFERROR(VLOOKUP($A678,[3]库存使用数据!$A:$F,6,0),0)+IFERROR(VLOOKUP($A678,[5]库存使用数据!$A:$F,6,0),0)</f>
        <v>9</v>
      </c>
      <c r="G678" s="1">
        <f ca="1">IFERROR(VLOOKUP($A678,[1]库存使用数据!$A:$G,7,0),0)+IFERROR(VLOOKUP($A678,[2]库存使用数据!$A:$G,7,0),0)+公式!$B$14*IFERROR(VLOOKUP($A678,[3]库存使用数据!$A:$G,7,0),0)+IFERROR(VLOOKUP($A678,[4]库存使用数据!$A:$G,7,0),0)+IFERROR(VLOOKUP($A678,[5]库存使用数据!$A:$G,7,0),0)</f>
        <v>1.08</v>
      </c>
      <c r="H678" s="1">
        <f ca="1">IFERROR(VLOOKUP($A678,[1]库存使用数据!$A:$H,8,0),0)+IFERROR(VLOOKUP($A678,[2]库存使用数据!$A:$H,8,0),0)+IFERROR(VLOOKUP($A678,[3]库存使用数据!$A:$H,8,0),0)+IFERROR(VLOOKUP($A678,[4]库存使用数据!$A:$H,8,0),0)+IFERROR(VLOOKUP($A678,[5]库存使用数据!$A:$H,8,0),0)</f>
        <v>1286</v>
      </c>
      <c r="I678" s="1">
        <f ca="1">IFERROR(VLOOKUP($A678,[1]库存使用数据!$A:$I,9,0),0)+IFERROR(VLOOKUP($A678,[2]库存使用数据!$A:$I,9,0),0)+IFERROR(VLOOKUP($A678,[3]库存使用数据!$A:$I,9,0),0)+IFERROR(VLOOKUP($A678,[4]库存使用数据!$A:$I,9,0),0)+IFERROR(VLOOKUP($A678,[5]库存使用数据!$A:$I,9,0),0)</f>
        <v>1</v>
      </c>
      <c r="J678" s="1">
        <f ca="1">IFERROR(VLOOKUP($A678,[1]库存使用数据!$A:$J,10,0),0)+IFERROR(VLOOKUP($A678,[2]库存使用数据!$A:$J,10,0),0)+公式!$B$14*IFERROR(VLOOKUP($A678,[3]库存使用数据!$A:$J,10,0),0)+IFERROR(VLOOKUP($A678,[4]库存使用数据!$A:$J,10,0),0)+IFERROR(VLOOKUP($A678,[5]库存使用数据!$A:$J,10,0),0)</f>
        <v>0.13</v>
      </c>
      <c r="K678" s="1">
        <f ca="1">IFERROR(VLOOKUP($A678,[1]库存使用数据!$A:$K,11,0),0)+IFERROR(VLOOKUP($A678,[2]库存使用数据!$A:$K,11,0),0)+IFERROR(VLOOKUP($A678,[3]库存使用数据!$A:$K,11,0),0)+IFERROR(VLOOKUP($A678,[4]库存使用数据!$A:$K,11,0),0)+IFERROR(VLOOKUP($A678,[5]库存使用数据!$A:$K,11,0),0)</f>
        <v>1353</v>
      </c>
      <c r="L678" s="1">
        <f ca="1">IFERROR(VLOOKUP($A678,[1]库存使用数据!$A:$L,12,0),0)+IFERROR(VLOOKUP($A678,[2]库存使用数据!$A:$L,12,0),0)+IFERROR(VLOOKUP($A678,[3]库存使用数据!$A:$L,12,0),0)+IFERROR(VLOOKUP($A678,[4]库存使用数据!$A:$L,12,0),0)+IFERROR(VLOOKUP($A678,[5]库存使用数据!$A:$L,12,0),0)</f>
        <v>4</v>
      </c>
      <c r="M678" s="1">
        <f ca="1">IFERROR(VLOOKUP($A678,[1]库存使用数据!$A:$M,13,0),0)+IFERROR(VLOOKUP($A678,[2]库存使用数据!$A:$M,13,0),0)+公式!$B$14*IFERROR(VLOOKUP($A678,[3]库存使用数据!$A:$M,13,0),0)+IFERROR(VLOOKUP($A678,[4]库存使用数据!$A:$M,13,0),0)+IFERROR(VLOOKUP($A678,[5]库存使用数据!$A:$M,13,0),0)</f>
        <v>0.66</v>
      </c>
    </row>
    <row r="679" spans="1:13">
      <c r="A679" s="6" t="s">
        <v>684</v>
      </c>
      <c r="B679" s="2">
        <f ca="1">IFERROR(VLOOKUP(A679,[1]库存使用数据!$A:$B,2,0),0)+IFERROR(VLOOKUP(A679,[2]库存使用数据!$A:$B,2,0),0)+IFERROR(VLOOKUP(,[3]库存使用数据!$A:$B,2,0),0)+IFERROR(VLOOKUP(A679,[4]库存使用数据!$A:$B,2,0),0)+IFERROR(VLOOKUP(A679,[5]库存使用数据!$A:$B,2,0),0)</f>
        <v>1443</v>
      </c>
      <c r="C679" s="1">
        <f ca="1">IFERROR(VLOOKUP($A679,[1]库存使用数据!$A:$C,3,0),0)+IFERROR(VLOOKUP($A679,[2]库存使用数据!$A:$C,3,0),0)+IFERROR(VLOOKUP($A679,[3]库存使用数据!$A:$C,3,0),0)+IFERROR(VLOOKUP($A679,[4]库存使用数据!$A:$C,3,0),0)+IFERROR(VLOOKUP($A679,[5]库存使用数据!$A:$C,3,0),0)</f>
        <v>2</v>
      </c>
      <c r="D679" s="1">
        <f ca="1">IFERROR(VLOOKUP($A679,[1]库存使用数据!$A:$D,4,0),0)+IFERROR(VLOOKUP($A679,[2]库存使用数据!$A:$D,4,0),0)+公式!$B$1*IFERROR(VLOOKUP($A679,[3]库存使用数据!$A:$D,4,0),0)+IFERROR(VLOOKUP($A679,[4]库存使用数据!$A:$D,4,0),0)+IFERROR(VLOOKUP($A679,[5]库存使用数据!$A:$D,4,0),0)</f>
        <v>0.18</v>
      </c>
      <c r="E679" s="1">
        <f ca="1">IFERROR(VLOOKUP($A679,[1]库存使用数据!$A:$E,5,0),0)+IFERROR(VLOOKUP($A679,[2]库存使用数据!$A:$E,5,0),0)+IFERROR(VLOOKUP($A679,[3]库存使用数据!$A:$E,5,0),0)+IFERROR(VLOOKUP($A679,[4]库存使用数据!$A:$E,5,0),0)+IFERROR(VLOOKUP($A679,[5]库存使用数据!$A:$E,5,0),0)</f>
        <v>1904</v>
      </c>
      <c r="F679" s="1">
        <f ca="1">IFERROR(VLOOKUP($A679,[1]库存使用数据!$A:$F,6,0),0)+IFERROR(VLOOKUP($A679,[2]库存使用数据!$A:$F,6,0),0)+IFERROR(VLOOKUP($A679,[4]库存使用数据!$A:$F,6,0),0)+IFERROR(VLOOKUP($A679,[3]库存使用数据!$A:$F,6,0),0)+IFERROR(VLOOKUP($A679,[5]库存使用数据!$A:$F,6,0),0)</f>
        <v>6</v>
      </c>
      <c r="G679" s="1">
        <f ca="1">IFERROR(VLOOKUP($A679,[1]库存使用数据!$A:$G,7,0),0)+IFERROR(VLOOKUP($A679,[2]库存使用数据!$A:$G,7,0),0)+公式!$B$14*IFERROR(VLOOKUP($A679,[3]库存使用数据!$A:$G,7,0),0)+IFERROR(VLOOKUP($A679,[4]库存使用数据!$A:$G,7,0),0)+IFERROR(VLOOKUP($A679,[5]库存使用数据!$A:$G,7,0),0)</f>
        <v>0.89</v>
      </c>
      <c r="H679" s="1">
        <f ca="1">IFERROR(VLOOKUP($A679,[1]库存使用数据!$A:$H,8,0),0)+IFERROR(VLOOKUP($A679,[2]库存使用数据!$A:$H,8,0),0)+IFERROR(VLOOKUP($A679,[3]库存使用数据!$A:$H,8,0),0)+IFERROR(VLOOKUP($A679,[4]库存使用数据!$A:$H,8,0),0)+IFERROR(VLOOKUP($A679,[5]库存使用数据!$A:$H,8,0),0)</f>
        <v>200</v>
      </c>
      <c r="I679" s="1">
        <f ca="1">IFERROR(VLOOKUP($A679,[1]库存使用数据!$A:$I,9,0),0)+IFERROR(VLOOKUP($A679,[2]库存使用数据!$A:$I,9,0),0)+IFERROR(VLOOKUP($A679,[3]库存使用数据!$A:$I,9,0),0)+IFERROR(VLOOKUP($A679,[4]库存使用数据!$A:$I,9,0),0)+IFERROR(VLOOKUP($A679,[5]库存使用数据!$A:$I,9,0),0)</f>
        <v>2</v>
      </c>
      <c r="J679" s="1">
        <f ca="1">IFERROR(VLOOKUP($A679,[1]库存使用数据!$A:$J,10,0),0)+IFERROR(VLOOKUP($A679,[2]库存使用数据!$A:$J,10,0),0)+公式!$B$14*IFERROR(VLOOKUP($A679,[3]库存使用数据!$A:$J,10,0),0)+IFERROR(VLOOKUP($A679,[4]库存使用数据!$A:$J,10,0),0)+IFERROR(VLOOKUP($A679,[5]库存使用数据!$A:$J,10,0),0)</f>
        <v>0.21</v>
      </c>
      <c r="K679" s="1">
        <f ca="1">IFERROR(VLOOKUP($A679,[1]库存使用数据!$A:$K,11,0),0)+IFERROR(VLOOKUP($A679,[2]库存使用数据!$A:$K,11,0),0)+IFERROR(VLOOKUP($A679,[3]库存使用数据!$A:$K,11,0),0)+IFERROR(VLOOKUP($A679,[4]库存使用数据!$A:$K,11,0),0)+IFERROR(VLOOKUP($A679,[5]库存使用数据!$A:$K,11,0),0)</f>
        <v>302</v>
      </c>
      <c r="L679" s="1">
        <f ca="1">IFERROR(VLOOKUP($A679,[1]库存使用数据!$A:$L,12,0),0)+IFERROR(VLOOKUP($A679,[2]库存使用数据!$A:$L,12,0),0)+IFERROR(VLOOKUP($A679,[3]库存使用数据!$A:$L,12,0),0)+IFERROR(VLOOKUP($A679,[4]库存使用数据!$A:$L,12,0),0)+IFERROR(VLOOKUP($A679,[5]库存使用数据!$A:$L,12,0),0)</f>
        <v>0</v>
      </c>
      <c r="M679" s="1">
        <f ca="1">IFERROR(VLOOKUP($A679,[1]库存使用数据!$A:$M,13,0),0)+IFERROR(VLOOKUP($A679,[2]库存使用数据!$A:$M,13,0),0)+公式!$B$14*IFERROR(VLOOKUP($A679,[3]库存使用数据!$A:$M,13,0),0)+IFERROR(VLOOKUP($A679,[4]库存使用数据!$A:$M,13,0),0)+IFERROR(VLOOKUP($A679,[5]库存使用数据!$A:$M,13,0),0)</f>
        <v>0</v>
      </c>
    </row>
    <row r="680" spans="1:13">
      <c r="A680" s="6" t="s">
        <v>685</v>
      </c>
      <c r="B680" s="2">
        <f ca="1">IFERROR(VLOOKUP(A680,[1]库存使用数据!$A:$B,2,0),0)+IFERROR(VLOOKUP(A680,[2]库存使用数据!$A:$B,2,0),0)+IFERROR(VLOOKUP(,[3]库存使用数据!$A:$B,2,0),0)+IFERROR(VLOOKUP(A680,[4]库存使用数据!$A:$B,2,0),0)+IFERROR(VLOOKUP(A680,[5]库存使用数据!$A:$B,2,0),0)</f>
        <v>0</v>
      </c>
      <c r="C680" s="1">
        <f ca="1">IFERROR(VLOOKUP($A680,[1]库存使用数据!$A:$C,3,0),0)+IFERROR(VLOOKUP($A680,[2]库存使用数据!$A:$C,3,0),0)+IFERROR(VLOOKUP($A680,[3]库存使用数据!$A:$C,3,0),0)+IFERROR(VLOOKUP($A680,[4]库存使用数据!$A:$C,3,0),0)+IFERROR(VLOOKUP($A680,[5]库存使用数据!$A:$C,3,0),0)</f>
        <v>0</v>
      </c>
      <c r="D680" s="1">
        <f ca="1">IFERROR(VLOOKUP($A680,[1]库存使用数据!$A:$D,4,0),0)+IFERROR(VLOOKUP($A680,[2]库存使用数据!$A:$D,4,0),0)+公式!$B$1*IFERROR(VLOOKUP($A680,[3]库存使用数据!$A:$D,4,0),0)+IFERROR(VLOOKUP($A680,[4]库存使用数据!$A:$D,4,0),0)+IFERROR(VLOOKUP($A680,[5]库存使用数据!$A:$D,4,0),0)</f>
        <v>0</v>
      </c>
      <c r="E680" s="1">
        <f ca="1">IFERROR(VLOOKUP($A680,[1]库存使用数据!$A:$E,5,0),0)+IFERROR(VLOOKUP($A680,[2]库存使用数据!$A:$E,5,0),0)+IFERROR(VLOOKUP($A680,[3]库存使用数据!$A:$E,5,0),0)+IFERROR(VLOOKUP($A680,[4]库存使用数据!$A:$E,5,0),0)+IFERROR(VLOOKUP($A680,[5]库存使用数据!$A:$E,5,0),0)</f>
        <v>5734</v>
      </c>
      <c r="F680" s="1">
        <f ca="1">IFERROR(VLOOKUP($A680,[1]库存使用数据!$A:$F,6,0),0)+IFERROR(VLOOKUP($A680,[2]库存使用数据!$A:$F,6,0),0)+IFERROR(VLOOKUP($A680,[4]库存使用数据!$A:$F,6,0),0)+IFERROR(VLOOKUP($A680,[3]库存使用数据!$A:$F,6,0),0)+IFERROR(VLOOKUP($A680,[5]库存使用数据!$A:$F,6,0),0)</f>
        <v>16</v>
      </c>
      <c r="G680" s="1">
        <f ca="1">IFERROR(VLOOKUP($A680,[1]库存使用数据!$A:$G,7,0),0)+IFERROR(VLOOKUP($A680,[2]库存使用数据!$A:$G,7,0),0)+公式!$B$14*IFERROR(VLOOKUP($A680,[3]库存使用数据!$A:$G,7,0),0)+IFERROR(VLOOKUP($A680,[4]库存使用数据!$A:$G,7,0),0)+IFERROR(VLOOKUP($A680,[5]库存使用数据!$A:$G,7,0),0)</f>
        <v>4.63</v>
      </c>
      <c r="H680" s="1">
        <f ca="1">IFERROR(VLOOKUP($A680,[1]库存使用数据!$A:$H,8,0),0)+IFERROR(VLOOKUP($A680,[2]库存使用数据!$A:$H,8,0),0)+IFERROR(VLOOKUP($A680,[3]库存使用数据!$A:$H,8,0),0)+IFERROR(VLOOKUP($A680,[4]库存使用数据!$A:$H,8,0),0)+IFERROR(VLOOKUP($A680,[5]库存使用数据!$A:$H,8,0),0)</f>
        <v>2835</v>
      </c>
      <c r="I680" s="1">
        <f ca="1">IFERROR(VLOOKUP($A680,[1]库存使用数据!$A:$I,9,0),0)+IFERROR(VLOOKUP($A680,[2]库存使用数据!$A:$I,9,0),0)+IFERROR(VLOOKUP($A680,[3]库存使用数据!$A:$I,9,0),0)+IFERROR(VLOOKUP($A680,[4]库存使用数据!$A:$I,9,0),0)+IFERROR(VLOOKUP($A680,[5]库存使用数据!$A:$I,9,0),0)</f>
        <v>8</v>
      </c>
      <c r="J680" s="1">
        <f ca="1">IFERROR(VLOOKUP($A680,[1]库存使用数据!$A:$J,10,0),0)+IFERROR(VLOOKUP($A680,[2]库存使用数据!$A:$J,10,0),0)+公式!$B$14*IFERROR(VLOOKUP($A680,[3]库存使用数据!$A:$J,10,0),0)+IFERROR(VLOOKUP($A680,[4]库存使用数据!$A:$J,10,0),0)+IFERROR(VLOOKUP($A680,[5]库存使用数据!$A:$J,10,0),0)</f>
        <v>2.42</v>
      </c>
      <c r="K680" s="1">
        <f ca="1">IFERROR(VLOOKUP($A680,[1]库存使用数据!$A:$K,11,0),0)+IFERROR(VLOOKUP($A680,[2]库存使用数据!$A:$K,11,0),0)+IFERROR(VLOOKUP($A680,[3]库存使用数据!$A:$K,11,0),0)+IFERROR(VLOOKUP($A680,[4]库存使用数据!$A:$K,11,0),0)+IFERROR(VLOOKUP($A680,[5]库存使用数据!$A:$K,11,0),0)</f>
        <v>816</v>
      </c>
      <c r="L680" s="1">
        <f ca="1">IFERROR(VLOOKUP($A680,[1]库存使用数据!$A:$L,12,0),0)+IFERROR(VLOOKUP($A680,[2]库存使用数据!$A:$L,12,0),0)+IFERROR(VLOOKUP($A680,[3]库存使用数据!$A:$L,12,0),0)+IFERROR(VLOOKUP($A680,[4]库存使用数据!$A:$L,12,0),0)+IFERROR(VLOOKUP($A680,[5]库存使用数据!$A:$L,12,0),0)</f>
        <v>3</v>
      </c>
      <c r="M680" s="1">
        <f ca="1">IFERROR(VLOOKUP($A680,[1]库存使用数据!$A:$M,13,0),0)+IFERROR(VLOOKUP($A680,[2]库存使用数据!$A:$M,13,0),0)+公式!$B$14*IFERROR(VLOOKUP($A680,[3]库存使用数据!$A:$M,13,0),0)+IFERROR(VLOOKUP($A680,[4]库存使用数据!$A:$M,13,0),0)+IFERROR(VLOOKUP($A680,[5]库存使用数据!$A:$M,13,0),0)</f>
        <v>1.2</v>
      </c>
    </row>
    <row r="681" spans="1:13">
      <c r="A681" s="6" t="s">
        <v>686</v>
      </c>
      <c r="B681" s="2">
        <f ca="1">IFERROR(VLOOKUP(A681,[1]库存使用数据!$A:$B,2,0),0)+IFERROR(VLOOKUP(A681,[2]库存使用数据!$A:$B,2,0),0)+IFERROR(VLOOKUP(,[3]库存使用数据!$A:$B,2,0),0)+IFERROR(VLOOKUP(A681,[4]库存使用数据!$A:$B,2,0),0)+IFERROR(VLOOKUP(A681,[5]库存使用数据!$A:$B,2,0),0)</f>
        <v>0</v>
      </c>
      <c r="C681" s="1">
        <f ca="1">IFERROR(VLOOKUP($A681,[1]库存使用数据!$A:$C,3,0),0)+IFERROR(VLOOKUP($A681,[2]库存使用数据!$A:$C,3,0),0)+IFERROR(VLOOKUP($A681,[3]库存使用数据!$A:$C,3,0),0)+IFERROR(VLOOKUP($A681,[4]库存使用数据!$A:$C,3,0),0)+IFERROR(VLOOKUP($A681,[5]库存使用数据!$A:$C,3,0),0)</f>
        <v>0</v>
      </c>
      <c r="D681" s="1">
        <f ca="1">IFERROR(VLOOKUP($A681,[1]库存使用数据!$A:$D,4,0),0)+IFERROR(VLOOKUP($A681,[2]库存使用数据!$A:$D,4,0),0)+公式!$B$1*IFERROR(VLOOKUP($A681,[3]库存使用数据!$A:$D,4,0),0)+IFERROR(VLOOKUP($A681,[4]库存使用数据!$A:$D,4,0),0)+IFERROR(VLOOKUP($A681,[5]库存使用数据!$A:$D,4,0),0)</f>
        <v>0</v>
      </c>
      <c r="E681" s="1">
        <f ca="1">IFERROR(VLOOKUP($A681,[1]库存使用数据!$A:$E,5,0),0)+IFERROR(VLOOKUP($A681,[2]库存使用数据!$A:$E,5,0),0)+IFERROR(VLOOKUP($A681,[3]库存使用数据!$A:$E,5,0),0)+IFERROR(VLOOKUP($A681,[4]库存使用数据!$A:$E,5,0),0)+IFERROR(VLOOKUP($A681,[5]库存使用数据!$A:$E,5,0),0)</f>
        <v>821</v>
      </c>
      <c r="F681" s="1">
        <f ca="1">IFERROR(VLOOKUP($A681,[1]库存使用数据!$A:$F,6,0),0)+IFERROR(VLOOKUP($A681,[2]库存使用数据!$A:$F,6,0),0)+IFERROR(VLOOKUP($A681,[4]库存使用数据!$A:$F,6,0),0)+IFERROR(VLOOKUP($A681,[3]库存使用数据!$A:$F,6,0),0)+IFERROR(VLOOKUP($A681,[5]库存使用数据!$A:$F,6,0),0)</f>
        <v>6</v>
      </c>
      <c r="G681" s="1">
        <f ca="1">IFERROR(VLOOKUP($A681,[1]库存使用数据!$A:$G,7,0),0)+IFERROR(VLOOKUP($A681,[2]库存使用数据!$A:$G,7,0),0)+公式!$B$14*IFERROR(VLOOKUP($A681,[3]库存使用数据!$A:$G,7,0),0)+IFERROR(VLOOKUP($A681,[4]库存使用数据!$A:$G,7,0),0)+IFERROR(VLOOKUP($A681,[5]库存使用数据!$A:$G,7,0),0)</f>
        <v>2.26</v>
      </c>
      <c r="H681" s="1">
        <f ca="1">IFERROR(VLOOKUP($A681,[1]库存使用数据!$A:$H,8,0),0)+IFERROR(VLOOKUP($A681,[2]库存使用数据!$A:$H,8,0),0)+IFERROR(VLOOKUP($A681,[3]库存使用数据!$A:$H,8,0),0)+IFERROR(VLOOKUP($A681,[4]库存使用数据!$A:$H,8,0),0)+IFERROR(VLOOKUP($A681,[5]库存使用数据!$A:$H,8,0),0)</f>
        <v>783</v>
      </c>
      <c r="I681" s="1">
        <f ca="1">IFERROR(VLOOKUP($A681,[1]库存使用数据!$A:$I,9,0),0)+IFERROR(VLOOKUP($A681,[2]库存使用数据!$A:$I,9,0),0)+IFERROR(VLOOKUP($A681,[3]库存使用数据!$A:$I,9,0),0)+IFERROR(VLOOKUP($A681,[4]库存使用数据!$A:$I,9,0),0)+IFERROR(VLOOKUP($A681,[5]库存使用数据!$A:$I,9,0),0)</f>
        <v>6</v>
      </c>
      <c r="J681" s="1">
        <f ca="1">IFERROR(VLOOKUP($A681,[1]库存使用数据!$A:$J,10,0),0)+IFERROR(VLOOKUP($A681,[2]库存使用数据!$A:$J,10,0),0)+公式!$B$14*IFERROR(VLOOKUP($A681,[3]库存使用数据!$A:$J,10,0),0)+IFERROR(VLOOKUP($A681,[4]库存使用数据!$A:$J,10,0),0)+IFERROR(VLOOKUP($A681,[5]库存使用数据!$A:$J,10,0),0)</f>
        <v>2.26</v>
      </c>
      <c r="K681" s="1">
        <f ca="1">IFERROR(VLOOKUP($A681,[1]库存使用数据!$A:$K,11,0),0)+IFERROR(VLOOKUP($A681,[2]库存使用数据!$A:$K,11,0),0)+IFERROR(VLOOKUP($A681,[3]库存使用数据!$A:$K,11,0),0)+IFERROR(VLOOKUP($A681,[4]库存使用数据!$A:$K,11,0),0)+IFERROR(VLOOKUP($A681,[5]库存使用数据!$A:$K,11,0),0)</f>
        <v>2249</v>
      </c>
      <c r="L681" s="1">
        <f ca="1">IFERROR(VLOOKUP($A681,[1]库存使用数据!$A:$L,12,0),0)+IFERROR(VLOOKUP($A681,[2]库存使用数据!$A:$L,12,0),0)+IFERROR(VLOOKUP($A681,[3]库存使用数据!$A:$L,12,0),0)+IFERROR(VLOOKUP($A681,[4]库存使用数据!$A:$L,12,0),0)+IFERROR(VLOOKUP($A681,[5]库存使用数据!$A:$L,12,0),0)</f>
        <v>21</v>
      </c>
      <c r="M681" s="1">
        <f ca="1">IFERROR(VLOOKUP($A681,[1]库存使用数据!$A:$M,13,0),0)+IFERROR(VLOOKUP($A681,[2]库存使用数据!$A:$M,13,0),0)+公式!$B$14*IFERROR(VLOOKUP($A681,[3]库存使用数据!$A:$M,13,0),0)+IFERROR(VLOOKUP($A681,[4]库存使用数据!$A:$M,13,0),0)+IFERROR(VLOOKUP($A681,[5]库存使用数据!$A:$M,13,0),0)</f>
        <v>7.5</v>
      </c>
    </row>
    <row r="682" spans="1:13">
      <c r="A682" s="6" t="s">
        <v>687</v>
      </c>
      <c r="B682" s="2">
        <f ca="1">IFERROR(VLOOKUP(A682,[1]库存使用数据!$A:$B,2,0),0)+IFERROR(VLOOKUP(A682,[2]库存使用数据!$A:$B,2,0),0)+IFERROR(VLOOKUP(,[3]库存使用数据!$A:$B,2,0),0)+IFERROR(VLOOKUP(A682,[4]库存使用数据!$A:$B,2,0),0)+IFERROR(VLOOKUP(A682,[5]库存使用数据!$A:$B,2,0),0)</f>
        <v>497</v>
      </c>
      <c r="C682" s="1">
        <f ca="1">IFERROR(VLOOKUP($A682,[1]库存使用数据!$A:$C,3,0),0)+IFERROR(VLOOKUP($A682,[2]库存使用数据!$A:$C,3,0),0)+IFERROR(VLOOKUP($A682,[3]库存使用数据!$A:$C,3,0),0)+IFERROR(VLOOKUP($A682,[4]库存使用数据!$A:$C,3,0),0)+IFERROR(VLOOKUP($A682,[5]库存使用数据!$A:$C,3,0),0)</f>
        <v>1</v>
      </c>
      <c r="D682" s="1">
        <f ca="1">IFERROR(VLOOKUP($A682,[1]库存使用数据!$A:$D,4,0),0)+IFERROR(VLOOKUP($A682,[2]库存使用数据!$A:$D,4,0),0)+公式!$B$1*IFERROR(VLOOKUP($A682,[3]库存使用数据!$A:$D,4,0),0)+IFERROR(VLOOKUP($A682,[4]库存使用数据!$A:$D,4,0),0)+IFERROR(VLOOKUP($A682,[5]库存使用数据!$A:$D,4,0),0)</f>
        <v>0.33</v>
      </c>
      <c r="E682" s="1">
        <f ca="1">IFERROR(VLOOKUP($A682,[1]库存使用数据!$A:$E,5,0),0)+IFERROR(VLOOKUP($A682,[2]库存使用数据!$A:$E,5,0),0)+IFERROR(VLOOKUP($A682,[3]库存使用数据!$A:$E,5,0),0)+IFERROR(VLOOKUP($A682,[4]库存使用数据!$A:$E,5,0),0)+IFERROR(VLOOKUP($A682,[5]库存使用数据!$A:$E,5,0),0)</f>
        <v>21201</v>
      </c>
      <c r="F682" s="1">
        <f ca="1">IFERROR(VLOOKUP($A682,[1]库存使用数据!$A:$F,6,0),0)+IFERROR(VLOOKUP($A682,[2]库存使用数据!$A:$F,6,0),0)+IFERROR(VLOOKUP($A682,[4]库存使用数据!$A:$F,6,0),0)+IFERROR(VLOOKUP($A682,[3]库存使用数据!$A:$F,6,0),0)+IFERROR(VLOOKUP($A682,[5]库存使用数据!$A:$F,6,0),0)</f>
        <v>90</v>
      </c>
      <c r="G682" s="1">
        <f ca="1">IFERROR(VLOOKUP($A682,[1]库存使用数据!$A:$G,7,0),0)+IFERROR(VLOOKUP($A682,[2]库存使用数据!$A:$G,7,0),0)+公式!$B$14*IFERROR(VLOOKUP($A682,[3]库存使用数据!$A:$G,7,0),0)+IFERROR(VLOOKUP($A682,[4]库存使用数据!$A:$G,7,0),0)+IFERROR(VLOOKUP($A682,[5]库存使用数据!$A:$G,7,0),0)</f>
        <v>21.67</v>
      </c>
      <c r="H682" s="1">
        <f ca="1">IFERROR(VLOOKUP($A682,[1]库存使用数据!$A:$H,8,0),0)+IFERROR(VLOOKUP($A682,[2]库存使用数据!$A:$H,8,0),0)+IFERROR(VLOOKUP($A682,[3]库存使用数据!$A:$H,8,0),0)+IFERROR(VLOOKUP($A682,[4]库存使用数据!$A:$H,8,0),0)+IFERROR(VLOOKUP($A682,[5]库存使用数据!$A:$H,8,0),0)</f>
        <v>7354</v>
      </c>
      <c r="I682" s="1">
        <f ca="1">IFERROR(VLOOKUP($A682,[1]库存使用数据!$A:$I,9,0),0)+IFERROR(VLOOKUP($A682,[2]库存使用数据!$A:$I,9,0),0)+IFERROR(VLOOKUP($A682,[3]库存使用数据!$A:$I,9,0),0)+IFERROR(VLOOKUP($A682,[4]库存使用数据!$A:$I,9,0),0)+IFERROR(VLOOKUP($A682,[5]库存使用数据!$A:$I,9,0),0)</f>
        <v>33</v>
      </c>
      <c r="J682" s="1">
        <f ca="1">IFERROR(VLOOKUP($A682,[1]库存使用数据!$A:$J,10,0),0)+IFERROR(VLOOKUP($A682,[2]库存使用数据!$A:$J,10,0),0)+公式!$B$14*IFERROR(VLOOKUP($A682,[3]库存使用数据!$A:$J,10,0),0)+IFERROR(VLOOKUP($A682,[4]库存使用数据!$A:$J,10,0),0)+IFERROR(VLOOKUP($A682,[5]库存使用数据!$A:$J,10,0),0)</f>
        <v>7.68</v>
      </c>
      <c r="K682" s="1">
        <f ca="1">IFERROR(VLOOKUP($A682,[1]库存使用数据!$A:$K,11,0),0)+IFERROR(VLOOKUP($A682,[2]库存使用数据!$A:$K,11,0),0)+IFERROR(VLOOKUP($A682,[3]库存使用数据!$A:$K,11,0),0)+IFERROR(VLOOKUP($A682,[4]库存使用数据!$A:$K,11,0),0)+IFERROR(VLOOKUP($A682,[5]库存使用数据!$A:$K,11,0),0)</f>
        <v>8554</v>
      </c>
      <c r="L682" s="1">
        <f ca="1">IFERROR(VLOOKUP($A682,[1]库存使用数据!$A:$L,12,0),0)+IFERROR(VLOOKUP($A682,[2]库存使用数据!$A:$L,12,0),0)+IFERROR(VLOOKUP($A682,[3]库存使用数据!$A:$L,12,0),0)+IFERROR(VLOOKUP($A682,[4]库存使用数据!$A:$L,12,0),0)+IFERROR(VLOOKUP($A682,[5]库存使用数据!$A:$L,12,0),0)</f>
        <v>32</v>
      </c>
      <c r="M682" s="1">
        <f ca="1">IFERROR(VLOOKUP($A682,[1]库存使用数据!$A:$M,13,0),0)+IFERROR(VLOOKUP($A682,[2]库存使用数据!$A:$M,13,0),0)+公式!$B$14*IFERROR(VLOOKUP($A682,[3]库存使用数据!$A:$M,13,0),0)+IFERROR(VLOOKUP($A682,[4]库存使用数据!$A:$M,13,0),0)+IFERROR(VLOOKUP($A682,[5]库存使用数据!$A:$M,13,0),0)</f>
        <v>6.61</v>
      </c>
    </row>
    <row r="683" spans="1:13">
      <c r="A683" s="6" t="s">
        <v>688</v>
      </c>
      <c r="B683" s="2">
        <f ca="1">IFERROR(VLOOKUP(A683,[1]库存使用数据!$A:$B,2,0),0)+IFERROR(VLOOKUP(A683,[2]库存使用数据!$A:$B,2,0),0)+IFERROR(VLOOKUP(,[3]库存使用数据!$A:$B,2,0),0)+IFERROR(VLOOKUP(A683,[4]库存使用数据!$A:$B,2,0),0)+IFERROR(VLOOKUP(A683,[5]库存使用数据!$A:$B,2,0),0)</f>
        <v>4</v>
      </c>
      <c r="C683" s="1">
        <f ca="1">IFERROR(VLOOKUP($A683,[1]库存使用数据!$A:$C,3,0),0)+IFERROR(VLOOKUP($A683,[2]库存使用数据!$A:$C,3,0),0)+IFERROR(VLOOKUP($A683,[3]库存使用数据!$A:$C,3,0),0)+IFERROR(VLOOKUP($A683,[4]库存使用数据!$A:$C,3,0),0)+IFERROR(VLOOKUP($A683,[5]库存使用数据!$A:$C,3,0),0)</f>
        <v>0</v>
      </c>
      <c r="D683" s="1">
        <f ca="1">IFERROR(VLOOKUP($A683,[1]库存使用数据!$A:$D,4,0),0)+IFERROR(VLOOKUP($A683,[2]库存使用数据!$A:$D,4,0),0)+公式!$B$1*IFERROR(VLOOKUP($A683,[3]库存使用数据!$A:$D,4,0),0)+IFERROR(VLOOKUP($A683,[4]库存使用数据!$A:$D,4,0),0)+IFERROR(VLOOKUP($A683,[5]库存使用数据!$A:$D,4,0),0)</f>
        <v>0</v>
      </c>
      <c r="E683" s="1">
        <f ca="1">IFERROR(VLOOKUP($A683,[1]库存使用数据!$A:$E,5,0),0)+IFERROR(VLOOKUP($A683,[2]库存使用数据!$A:$E,5,0),0)+IFERROR(VLOOKUP($A683,[3]库存使用数据!$A:$E,5,0),0)+IFERROR(VLOOKUP($A683,[4]库存使用数据!$A:$E,5,0),0)+IFERROR(VLOOKUP($A683,[5]库存使用数据!$A:$E,5,0),0)</f>
        <v>9</v>
      </c>
      <c r="F683" s="1">
        <f ca="1">IFERROR(VLOOKUP($A683,[1]库存使用数据!$A:$F,6,0),0)+IFERROR(VLOOKUP($A683,[2]库存使用数据!$A:$F,6,0),0)+IFERROR(VLOOKUP($A683,[4]库存使用数据!$A:$F,6,0),0)+IFERROR(VLOOKUP($A683,[3]库存使用数据!$A:$F,6,0),0)+IFERROR(VLOOKUP($A683,[5]库存使用数据!$A:$F,6,0),0)</f>
        <v>1</v>
      </c>
      <c r="G683" s="1">
        <f ca="1">IFERROR(VLOOKUP($A683,[1]库存使用数据!$A:$G,7,0),0)+IFERROR(VLOOKUP($A683,[2]库存使用数据!$A:$G,7,0),0)+公式!$B$14*IFERROR(VLOOKUP($A683,[3]库存使用数据!$A:$G,7,0),0)+IFERROR(VLOOKUP($A683,[4]库存使用数据!$A:$G,7,0),0)+IFERROR(VLOOKUP($A683,[5]库存使用数据!$A:$G,7,0),0)</f>
        <v>0.24</v>
      </c>
      <c r="H683" s="1">
        <f ca="1">IFERROR(VLOOKUP($A683,[1]库存使用数据!$A:$H,8,0),0)+IFERROR(VLOOKUP($A683,[2]库存使用数据!$A:$H,8,0),0)+IFERROR(VLOOKUP($A683,[3]库存使用数据!$A:$H,8,0),0)+IFERROR(VLOOKUP($A683,[4]库存使用数据!$A:$H,8,0),0)+IFERROR(VLOOKUP($A683,[5]库存使用数据!$A:$H,8,0),0)</f>
        <v>6</v>
      </c>
      <c r="I683" s="1">
        <f ca="1">IFERROR(VLOOKUP($A683,[1]库存使用数据!$A:$I,9,0),0)+IFERROR(VLOOKUP($A683,[2]库存使用数据!$A:$I,9,0),0)+IFERROR(VLOOKUP($A683,[3]库存使用数据!$A:$I,9,0),0)+IFERROR(VLOOKUP($A683,[4]库存使用数据!$A:$I,9,0),0)+IFERROR(VLOOKUP($A683,[5]库存使用数据!$A:$I,9,0),0)</f>
        <v>1</v>
      </c>
      <c r="J683" s="1">
        <f ca="1">IFERROR(VLOOKUP($A683,[1]库存使用数据!$A:$J,10,0),0)+IFERROR(VLOOKUP($A683,[2]库存使用数据!$A:$J,10,0),0)+公式!$B$14*IFERROR(VLOOKUP($A683,[3]库存使用数据!$A:$J,10,0),0)+IFERROR(VLOOKUP($A683,[4]库存使用数据!$A:$J,10,0),0)+IFERROR(VLOOKUP($A683,[5]库存使用数据!$A:$J,10,0),0)</f>
        <v>0.24</v>
      </c>
      <c r="K683" s="1">
        <f ca="1">IFERROR(VLOOKUP($A683,[1]库存使用数据!$A:$K,11,0),0)+IFERROR(VLOOKUP($A683,[2]库存使用数据!$A:$K,11,0),0)+IFERROR(VLOOKUP($A683,[3]库存使用数据!$A:$K,11,0),0)+IFERROR(VLOOKUP($A683,[4]库存使用数据!$A:$K,11,0),0)+IFERROR(VLOOKUP($A683,[5]库存使用数据!$A:$K,11,0),0)</f>
        <v>5</v>
      </c>
      <c r="L683" s="1">
        <f ca="1">IFERROR(VLOOKUP($A683,[1]库存使用数据!$A:$L,12,0),0)+IFERROR(VLOOKUP($A683,[2]库存使用数据!$A:$L,12,0),0)+IFERROR(VLOOKUP($A683,[3]库存使用数据!$A:$L,12,0),0)+IFERROR(VLOOKUP($A683,[4]库存使用数据!$A:$L,12,0),0)+IFERROR(VLOOKUP($A683,[5]库存使用数据!$A:$L,12,0),0)</f>
        <v>0</v>
      </c>
      <c r="M683" s="1">
        <f ca="1">IFERROR(VLOOKUP($A683,[1]库存使用数据!$A:$M,13,0),0)+IFERROR(VLOOKUP($A683,[2]库存使用数据!$A:$M,13,0),0)+公式!$B$14*IFERROR(VLOOKUP($A683,[3]库存使用数据!$A:$M,13,0),0)+IFERROR(VLOOKUP($A683,[4]库存使用数据!$A:$M,13,0),0)+IFERROR(VLOOKUP($A683,[5]库存使用数据!$A:$M,13,0),0)</f>
        <v>0</v>
      </c>
    </row>
    <row r="684" spans="1:13">
      <c r="A684" s="6" t="s">
        <v>689</v>
      </c>
      <c r="B684" s="2">
        <f ca="1">IFERROR(VLOOKUP(A684,[1]库存使用数据!$A:$B,2,0),0)+IFERROR(VLOOKUP(A684,[2]库存使用数据!$A:$B,2,0),0)+IFERROR(VLOOKUP(,[3]库存使用数据!$A:$B,2,0),0)+IFERROR(VLOOKUP(A684,[4]库存使用数据!$A:$B,2,0),0)+IFERROR(VLOOKUP(A684,[5]库存使用数据!$A:$B,2,0),0)</f>
        <v>0</v>
      </c>
      <c r="C684" s="1">
        <f ca="1">IFERROR(VLOOKUP($A684,[1]库存使用数据!$A:$C,3,0),0)+IFERROR(VLOOKUP($A684,[2]库存使用数据!$A:$C,3,0),0)+IFERROR(VLOOKUP($A684,[3]库存使用数据!$A:$C,3,0),0)+IFERROR(VLOOKUP($A684,[4]库存使用数据!$A:$C,3,0),0)+IFERROR(VLOOKUP($A684,[5]库存使用数据!$A:$C,3,0),0)</f>
        <v>0</v>
      </c>
      <c r="D684" s="1">
        <f ca="1">IFERROR(VLOOKUP($A684,[1]库存使用数据!$A:$D,4,0),0)+IFERROR(VLOOKUP($A684,[2]库存使用数据!$A:$D,4,0),0)+公式!$B$1*IFERROR(VLOOKUP($A684,[3]库存使用数据!$A:$D,4,0),0)+IFERROR(VLOOKUP($A684,[4]库存使用数据!$A:$D,4,0),0)+IFERROR(VLOOKUP($A684,[5]库存使用数据!$A:$D,4,0),0)</f>
        <v>0</v>
      </c>
      <c r="E684" s="1">
        <f ca="1">IFERROR(VLOOKUP($A684,[1]库存使用数据!$A:$E,5,0),0)+IFERROR(VLOOKUP($A684,[2]库存使用数据!$A:$E,5,0),0)+IFERROR(VLOOKUP($A684,[3]库存使用数据!$A:$E,5,0),0)+IFERROR(VLOOKUP($A684,[4]库存使用数据!$A:$E,5,0),0)+IFERROR(VLOOKUP($A684,[5]库存使用数据!$A:$E,5,0),0)</f>
        <v>13362</v>
      </c>
      <c r="F684" s="1">
        <f ca="1">IFERROR(VLOOKUP($A684,[1]库存使用数据!$A:$F,6,0),0)+IFERROR(VLOOKUP($A684,[2]库存使用数据!$A:$F,6,0),0)+IFERROR(VLOOKUP($A684,[4]库存使用数据!$A:$F,6,0),0)+IFERROR(VLOOKUP($A684,[3]库存使用数据!$A:$F,6,0),0)+IFERROR(VLOOKUP($A684,[5]库存使用数据!$A:$F,6,0),0)</f>
        <v>71</v>
      </c>
      <c r="G684" s="1">
        <f ca="1">IFERROR(VLOOKUP($A684,[1]库存使用数据!$A:$G,7,0),0)+IFERROR(VLOOKUP($A684,[2]库存使用数据!$A:$G,7,0),0)+公式!$B$14*IFERROR(VLOOKUP($A684,[3]库存使用数据!$A:$G,7,0),0)+IFERROR(VLOOKUP($A684,[4]库存使用数据!$A:$G,7,0),0)+IFERROR(VLOOKUP($A684,[5]库存使用数据!$A:$G,7,0),0)</f>
        <v>17.4</v>
      </c>
      <c r="H684" s="1">
        <f ca="1">IFERROR(VLOOKUP($A684,[1]库存使用数据!$A:$H,8,0),0)+IFERROR(VLOOKUP($A684,[2]库存使用数据!$A:$H,8,0),0)+IFERROR(VLOOKUP($A684,[3]库存使用数据!$A:$H,8,0),0)+IFERROR(VLOOKUP($A684,[4]库存使用数据!$A:$H,8,0),0)+IFERROR(VLOOKUP($A684,[5]库存使用数据!$A:$H,8,0),0)</f>
        <v>7423</v>
      </c>
      <c r="I684" s="1">
        <f ca="1">IFERROR(VLOOKUP($A684,[1]库存使用数据!$A:$I,9,0),0)+IFERROR(VLOOKUP($A684,[2]库存使用数据!$A:$I,9,0),0)+IFERROR(VLOOKUP($A684,[3]库存使用数据!$A:$I,9,0),0)+IFERROR(VLOOKUP($A684,[4]库存使用数据!$A:$I,9,0),0)+IFERROR(VLOOKUP($A684,[5]库存使用数据!$A:$I,9,0),0)</f>
        <v>51</v>
      </c>
      <c r="J684" s="1">
        <f ca="1">IFERROR(VLOOKUP($A684,[1]库存使用数据!$A:$J,10,0),0)+IFERROR(VLOOKUP($A684,[2]库存使用数据!$A:$J,10,0),0)+公式!$B$14*IFERROR(VLOOKUP($A684,[3]库存使用数据!$A:$J,10,0),0)+IFERROR(VLOOKUP($A684,[4]库存使用数据!$A:$J,10,0),0)+IFERROR(VLOOKUP($A684,[5]库存使用数据!$A:$J,10,0),0)</f>
        <v>12.24</v>
      </c>
      <c r="K684" s="1">
        <f ca="1">IFERROR(VLOOKUP($A684,[1]库存使用数据!$A:$K,11,0),0)+IFERROR(VLOOKUP($A684,[2]库存使用数据!$A:$K,11,0),0)+IFERROR(VLOOKUP($A684,[3]库存使用数据!$A:$K,11,0),0)+IFERROR(VLOOKUP($A684,[4]库存使用数据!$A:$K,11,0),0)+IFERROR(VLOOKUP($A684,[5]库存使用数据!$A:$K,11,0),0)</f>
        <v>11024</v>
      </c>
      <c r="L684" s="1">
        <f ca="1">IFERROR(VLOOKUP($A684,[1]库存使用数据!$A:$L,12,0),0)+IFERROR(VLOOKUP($A684,[2]库存使用数据!$A:$L,12,0),0)+IFERROR(VLOOKUP($A684,[3]库存使用数据!$A:$L,12,0),0)+IFERROR(VLOOKUP($A684,[4]库存使用数据!$A:$L,12,0),0)+IFERROR(VLOOKUP($A684,[5]库存使用数据!$A:$L,12,0),0)</f>
        <v>77</v>
      </c>
      <c r="M684" s="1">
        <f ca="1">IFERROR(VLOOKUP($A684,[1]库存使用数据!$A:$M,13,0),0)+IFERROR(VLOOKUP($A684,[2]库存使用数据!$A:$M,13,0),0)+公式!$B$14*IFERROR(VLOOKUP($A684,[3]库存使用数据!$A:$M,13,0),0)+IFERROR(VLOOKUP($A684,[4]库存使用数据!$A:$M,13,0),0)+IFERROR(VLOOKUP($A684,[5]库存使用数据!$A:$M,13,0),0)</f>
        <v>19.28</v>
      </c>
    </row>
    <row r="685" spans="1:13">
      <c r="A685" s="6" t="s">
        <v>690</v>
      </c>
      <c r="B685" s="2">
        <f ca="1">IFERROR(VLOOKUP(A685,[1]库存使用数据!$A:$B,2,0),0)+IFERROR(VLOOKUP(A685,[2]库存使用数据!$A:$B,2,0),0)+IFERROR(VLOOKUP(,[3]库存使用数据!$A:$B,2,0),0)+IFERROR(VLOOKUP(A685,[4]库存使用数据!$A:$B,2,0),0)+IFERROR(VLOOKUP(A685,[5]库存使用数据!$A:$B,2,0),0)</f>
        <v>68</v>
      </c>
      <c r="C685" s="1">
        <f ca="1">IFERROR(VLOOKUP($A685,[1]库存使用数据!$A:$C,3,0),0)+IFERROR(VLOOKUP($A685,[2]库存使用数据!$A:$C,3,0),0)+IFERROR(VLOOKUP($A685,[3]库存使用数据!$A:$C,3,0),0)+IFERROR(VLOOKUP($A685,[4]库存使用数据!$A:$C,3,0),0)+IFERROR(VLOOKUP($A685,[5]库存使用数据!$A:$C,3,0),0)</f>
        <v>1</v>
      </c>
      <c r="D685" s="1">
        <f ca="1">IFERROR(VLOOKUP($A685,[1]库存使用数据!$A:$D,4,0),0)+IFERROR(VLOOKUP($A685,[2]库存使用数据!$A:$D,4,0),0)+公式!$B$1*IFERROR(VLOOKUP($A685,[3]库存使用数据!$A:$D,4,0),0)+IFERROR(VLOOKUP($A685,[4]库存使用数据!$A:$D,4,0),0)+IFERROR(VLOOKUP($A685,[5]库存使用数据!$A:$D,4,0),0)</f>
        <v>0.31</v>
      </c>
      <c r="E685" s="1">
        <f ca="1">IFERROR(VLOOKUP($A685,[1]库存使用数据!$A:$E,5,0),0)+IFERROR(VLOOKUP($A685,[2]库存使用数据!$A:$E,5,0),0)+IFERROR(VLOOKUP($A685,[3]库存使用数据!$A:$E,5,0),0)+IFERROR(VLOOKUP($A685,[4]库存使用数据!$A:$E,5,0),0)+IFERROR(VLOOKUP($A685,[5]库存使用数据!$A:$E,5,0),0)</f>
        <v>127</v>
      </c>
      <c r="F685" s="1">
        <f ca="1">IFERROR(VLOOKUP($A685,[1]库存使用数据!$A:$F,6,0),0)+IFERROR(VLOOKUP($A685,[2]库存使用数据!$A:$F,6,0),0)+IFERROR(VLOOKUP($A685,[4]库存使用数据!$A:$F,6,0),0)+IFERROR(VLOOKUP($A685,[3]库存使用数据!$A:$F,6,0),0)+IFERROR(VLOOKUP($A685,[5]库存使用数据!$A:$F,6,0),0)</f>
        <v>2</v>
      </c>
      <c r="G685" s="1">
        <f ca="1">IFERROR(VLOOKUP($A685,[1]库存使用数据!$A:$G,7,0),0)+IFERROR(VLOOKUP($A685,[2]库存使用数据!$A:$G,7,0),0)+公式!$B$14*IFERROR(VLOOKUP($A685,[3]库存使用数据!$A:$G,7,0),0)+IFERROR(VLOOKUP($A685,[4]库存使用数据!$A:$G,7,0),0)+IFERROR(VLOOKUP($A685,[5]库存使用数据!$A:$G,7,0),0)</f>
        <v>0.63</v>
      </c>
      <c r="H685" s="1">
        <f ca="1">IFERROR(VLOOKUP($A685,[1]库存使用数据!$A:$H,8,0),0)+IFERROR(VLOOKUP($A685,[2]库存使用数据!$A:$H,8,0),0)+IFERROR(VLOOKUP($A685,[3]库存使用数据!$A:$H,8,0),0)+IFERROR(VLOOKUP($A685,[4]库存使用数据!$A:$H,8,0),0)+IFERROR(VLOOKUP($A685,[5]库存使用数据!$A:$H,8,0),0)</f>
        <v>65</v>
      </c>
      <c r="I685" s="1">
        <f ca="1">IFERROR(VLOOKUP($A685,[1]库存使用数据!$A:$I,9,0),0)+IFERROR(VLOOKUP($A685,[2]库存使用数据!$A:$I,9,0),0)+IFERROR(VLOOKUP($A685,[3]库存使用数据!$A:$I,9,0),0)+IFERROR(VLOOKUP($A685,[4]库存使用数据!$A:$I,9,0),0)+IFERROR(VLOOKUP($A685,[5]库存使用数据!$A:$I,9,0),0)</f>
        <v>1</v>
      </c>
      <c r="J685" s="1">
        <f ca="1">IFERROR(VLOOKUP($A685,[1]库存使用数据!$A:$J,10,0),0)+IFERROR(VLOOKUP($A685,[2]库存使用数据!$A:$J,10,0),0)+公式!$B$14*IFERROR(VLOOKUP($A685,[3]库存使用数据!$A:$J,10,0),0)+IFERROR(VLOOKUP($A685,[4]库存使用数据!$A:$J,10,0),0)+IFERROR(VLOOKUP($A685,[5]库存使用数据!$A:$J,10,0),0)</f>
        <v>0.31</v>
      </c>
      <c r="K685" s="1">
        <f ca="1">IFERROR(VLOOKUP($A685,[1]库存使用数据!$A:$K,11,0),0)+IFERROR(VLOOKUP($A685,[2]库存使用数据!$A:$K,11,0),0)+IFERROR(VLOOKUP($A685,[3]库存使用数据!$A:$K,11,0),0)+IFERROR(VLOOKUP($A685,[4]库存使用数据!$A:$K,11,0),0)+IFERROR(VLOOKUP($A685,[5]库存使用数据!$A:$K,11,0),0)</f>
        <v>77</v>
      </c>
      <c r="L685" s="1">
        <f ca="1">IFERROR(VLOOKUP($A685,[1]库存使用数据!$A:$L,12,0),0)+IFERROR(VLOOKUP($A685,[2]库存使用数据!$A:$L,12,0),0)+IFERROR(VLOOKUP($A685,[3]库存使用数据!$A:$L,12,0),0)+IFERROR(VLOOKUP($A685,[4]库存使用数据!$A:$L,12,0),0)+IFERROR(VLOOKUP($A685,[5]库存使用数据!$A:$L,12,0),0)</f>
        <v>3</v>
      </c>
      <c r="M685" s="1">
        <f ca="1">IFERROR(VLOOKUP($A685,[1]库存使用数据!$A:$M,13,0),0)+IFERROR(VLOOKUP($A685,[2]库存使用数据!$A:$M,13,0),0)+公式!$B$14*IFERROR(VLOOKUP($A685,[3]库存使用数据!$A:$M,13,0),0)+IFERROR(VLOOKUP($A685,[4]库存使用数据!$A:$M,13,0),0)+IFERROR(VLOOKUP($A685,[5]库存使用数据!$A:$M,13,0),0)</f>
        <v>0.66</v>
      </c>
    </row>
    <row r="686" spans="1:13">
      <c r="A686" s="6" t="s">
        <v>691</v>
      </c>
      <c r="B686" s="2">
        <f ca="1">IFERROR(VLOOKUP(A686,[1]库存使用数据!$A:$B,2,0),0)+IFERROR(VLOOKUP(A686,[2]库存使用数据!$A:$B,2,0),0)+IFERROR(VLOOKUP(,[3]库存使用数据!$A:$B,2,0),0)+IFERROR(VLOOKUP(A686,[4]库存使用数据!$A:$B,2,0),0)+IFERROR(VLOOKUP(A686,[5]库存使用数据!$A:$B,2,0),0)</f>
        <v>51</v>
      </c>
      <c r="C686" s="1">
        <f ca="1">IFERROR(VLOOKUP($A686,[1]库存使用数据!$A:$C,3,0),0)+IFERROR(VLOOKUP($A686,[2]库存使用数据!$A:$C,3,0),0)+IFERROR(VLOOKUP($A686,[3]库存使用数据!$A:$C,3,0),0)+IFERROR(VLOOKUP($A686,[4]库存使用数据!$A:$C,3,0),0)+IFERROR(VLOOKUP($A686,[5]库存使用数据!$A:$C,3,0),0)</f>
        <v>0</v>
      </c>
      <c r="D686" s="1">
        <f ca="1">IFERROR(VLOOKUP($A686,[1]库存使用数据!$A:$D,4,0),0)+IFERROR(VLOOKUP($A686,[2]库存使用数据!$A:$D,4,0),0)+公式!$B$1*IFERROR(VLOOKUP($A686,[3]库存使用数据!$A:$D,4,0),0)+IFERROR(VLOOKUP($A686,[4]库存使用数据!$A:$D,4,0),0)+IFERROR(VLOOKUP($A686,[5]库存使用数据!$A:$D,4,0),0)</f>
        <v>0</v>
      </c>
      <c r="E686" s="1">
        <f ca="1">IFERROR(VLOOKUP($A686,[1]库存使用数据!$A:$E,5,0),0)+IFERROR(VLOOKUP($A686,[2]库存使用数据!$A:$E,5,0),0)+IFERROR(VLOOKUP($A686,[3]库存使用数据!$A:$E,5,0),0)+IFERROR(VLOOKUP($A686,[4]库存使用数据!$A:$E,5,0),0)+IFERROR(VLOOKUP($A686,[5]库存使用数据!$A:$E,5,0),0)</f>
        <v>198</v>
      </c>
      <c r="F686" s="1">
        <f ca="1">IFERROR(VLOOKUP($A686,[1]库存使用数据!$A:$F,6,0),0)+IFERROR(VLOOKUP($A686,[2]库存使用数据!$A:$F,6,0),0)+IFERROR(VLOOKUP($A686,[4]库存使用数据!$A:$F,6,0),0)+IFERROR(VLOOKUP($A686,[3]库存使用数据!$A:$F,6,0),0)+IFERROR(VLOOKUP($A686,[5]库存使用数据!$A:$F,6,0),0)</f>
        <v>2</v>
      </c>
      <c r="G686" s="1">
        <f ca="1">IFERROR(VLOOKUP($A686,[1]库存使用数据!$A:$G,7,0),0)+IFERROR(VLOOKUP($A686,[2]库存使用数据!$A:$G,7,0),0)+公式!$B$14*IFERROR(VLOOKUP($A686,[3]库存使用数据!$A:$G,7,0),0)+IFERROR(VLOOKUP($A686,[4]库存使用数据!$A:$G,7,0),0)+IFERROR(VLOOKUP($A686,[5]库存使用数据!$A:$G,7,0),0)</f>
        <v>0.52</v>
      </c>
      <c r="H686" s="1">
        <f ca="1">IFERROR(VLOOKUP($A686,[1]库存使用数据!$A:$H,8,0),0)+IFERROR(VLOOKUP($A686,[2]库存使用数据!$A:$H,8,0),0)+IFERROR(VLOOKUP($A686,[3]库存使用数据!$A:$H,8,0),0)+IFERROR(VLOOKUP($A686,[4]库存使用数据!$A:$H,8,0),0)+IFERROR(VLOOKUP($A686,[5]库存使用数据!$A:$H,8,0),0)</f>
        <v>108</v>
      </c>
      <c r="I686" s="1">
        <f ca="1">IFERROR(VLOOKUP($A686,[1]库存使用数据!$A:$I,9,0),0)+IFERROR(VLOOKUP($A686,[2]库存使用数据!$A:$I,9,0),0)+IFERROR(VLOOKUP($A686,[3]库存使用数据!$A:$I,9,0),0)+IFERROR(VLOOKUP($A686,[4]库存使用数据!$A:$I,9,0),0)+IFERROR(VLOOKUP($A686,[5]库存使用数据!$A:$I,9,0),0)</f>
        <v>1</v>
      </c>
      <c r="J686" s="1">
        <f ca="1">IFERROR(VLOOKUP($A686,[1]库存使用数据!$A:$J,10,0),0)+IFERROR(VLOOKUP($A686,[2]库存使用数据!$A:$J,10,0),0)+公式!$B$14*IFERROR(VLOOKUP($A686,[3]库存使用数据!$A:$J,10,0),0)+IFERROR(VLOOKUP($A686,[4]库存使用数据!$A:$J,10,0),0)+IFERROR(VLOOKUP($A686,[5]库存使用数据!$A:$J,10,0),0)</f>
        <v>0.21</v>
      </c>
      <c r="K686" s="1">
        <f ca="1">IFERROR(VLOOKUP($A686,[1]库存使用数据!$A:$K,11,0),0)+IFERROR(VLOOKUP($A686,[2]库存使用数据!$A:$K,11,0),0)+IFERROR(VLOOKUP($A686,[3]库存使用数据!$A:$K,11,0),0)+IFERROR(VLOOKUP($A686,[4]库存使用数据!$A:$K,11,0),0)+IFERROR(VLOOKUP($A686,[5]库存使用数据!$A:$K,11,0),0)</f>
        <v>64</v>
      </c>
      <c r="L686" s="1">
        <f ca="1">IFERROR(VLOOKUP($A686,[1]库存使用数据!$A:$L,12,0),0)+IFERROR(VLOOKUP($A686,[2]库存使用数据!$A:$L,12,0),0)+IFERROR(VLOOKUP($A686,[3]库存使用数据!$A:$L,12,0),0)+IFERROR(VLOOKUP($A686,[4]库存使用数据!$A:$L,12,0),0)+IFERROR(VLOOKUP($A686,[5]库存使用数据!$A:$L,12,0),0)</f>
        <v>0</v>
      </c>
      <c r="M686" s="1">
        <f ca="1">IFERROR(VLOOKUP($A686,[1]库存使用数据!$A:$M,13,0),0)+IFERROR(VLOOKUP($A686,[2]库存使用数据!$A:$M,13,0),0)+公式!$B$14*IFERROR(VLOOKUP($A686,[3]库存使用数据!$A:$M,13,0),0)+IFERROR(VLOOKUP($A686,[4]库存使用数据!$A:$M,13,0),0)+IFERROR(VLOOKUP($A686,[5]库存使用数据!$A:$M,13,0),0)</f>
        <v>0</v>
      </c>
    </row>
    <row r="687" spans="1:13">
      <c r="A687" s="6" t="s">
        <v>692</v>
      </c>
      <c r="B687" s="2">
        <f ca="1">IFERROR(VLOOKUP(A687,[1]库存使用数据!$A:$B,2,0),0)+IFERROR(VLOOKUP(A687,[2]库存使用数据!$A:$B,2,0),0)+IFERROR(VLOOKUP(,[3]库存使用数据!$A:$B,2,0),0)+IFERROR(VLOOKUP(A687,[4]库存使用数据!$A:$B,2,0),0)+IFERROR(VLOOKUP(A687,[5]库存使用数据!$A:$B,2,0),0)</f>
        <v>1</v>
      </c>
      <c r="C687" s="1">
        <f ca="1">IFERROR(VLOOKUP($A687,[1]库存使用数据!$A:$C,3,0),0)+IFERROR(VLOOKUP($A687,[2]库存使用数据!$A:$C,3,0),0)+IFERROR(VLOOKUP($A687,[3]库存使用数据!$A:$C,3,0),0)+IFERROR(VLOOKUP($A687,[4]库存使用数据!$A:$C,3,0),0)+IFERROR(VLOOKUP($A687,[5]库存使用数据!$A:$C,3,0),0)</f>
        <v>0</v>
      </c>
      <c r="D687" s="1">
        <f ca="1">IFERROR(VLOOKUP($A687,[1]库存使用数据!$A:$D,4,0),0)+IFERROR(VLOOKUP($A687,[2]库存使用数据!$A:$D,4,0),0)+公式!$B$1*IFERROR(VLOOKUP($A687,[3]库存使用数据!$A:$D,4,0),0)+IFERROR(VLOOKUP($A687,[4]库存使用数据!$A:$D,4,0),0)+IFERROR(VLOOKUP($A687,[5]库存使用数据!$A:$D,4,0),0)</f>
        <v>0</v>
      </c>
      <c r="E687" s="1">
        <f ca="1">IFERROR(VLOOKUP($A687,[1]库存使用数据!$A:$E,5,0),0)+IFERROR(VLOOKUP($A687,[2]库存使用数据!$A:$E,5,0),0)+IFERROR(VLOOKUP($A687,[3]库存使用数据!$A:$E,5,0),0)+IFERROR(VLOOKUP($A687,[4]库存使用数据!$A:$E,5,0),0)+IFERROR(VLOOKUP($A687,[5]库存使用数据!$A:$E,5,0),0)</f>
        <v>56</v>
      </c>
      <c r="F687" s="1">
        <f ca="1">IFERROR(VLOOKUP($A687,[1]库存使用数据!$A:$F,6,0),0)+IFERROR(VLOOKUP($A687,[2]库存使用数据!$A:$F,6,0),0)+IFERROR(VLOOKUP($A687,[4]库存使用数据!$A:$F,6,0),0)+IFERROR(VLOOKUP($A687,[3]库存使用数据!$A:$F,6,0),0)+IFERROR(VLOOKUP($A687,[5]库存使用数据!$A:$F,6,0),0)</f>
        <v>2</v>
      </c>
      <c r="G687" s="1">
        <f ca="1">IFERROR(VLOOKUP($A687,[1]库存使用数据!$A:$G,7,0),0)+IFERROR(VLOOKUP($A687,[2]库存使用数据!$A:$G,7,0),0)+公式!$B$14*IFERROR(VLOOKUP($A687,[3]库存使用数据!$A:$G,7,0),0)+IFERROR(VLOOKUP($A687,[4]库存使用数据!$A:$G,7,0),0)+IFERROR(VLOOKUP($A687,[5]库存使用数据!$A:$G,7,0),0)</f>
        <v>0.82</v>
      </c>
      <c r="H687" s="1">
        <f ca="1">IFERROR(VLOOKUP($A687,[1]库存使用数据!$A:$H,8,0),0)+IFERROR(VLOOKUP($A687,[2]库存使用数据!$A:$H,8,0),0)+IFERROR(VLOOKUP($A687,[3]库存使用数据!$A:$H,8,0),0)+IFERROR(VLOOKUP($A687,[4]库存使用数据!$A:$H,8,0),0)+IFERROR(VLOOKUP($A687,[5]库存使用数据!$A:$H,8,0),0)</f>
        <v>55</v>
      </c>
      <c r="I687" s="1">
        <f ca="1">IFERROR(VLOOKUP($A687,[1]库存使用数据!$A:$I,9,0),0)+IFERROR(VLOOKUP($A687,[2]库存使用数据!$A:$I,9,0),0)+IFERROR(VLOOKUP($A687,[3]库存使用数据!$A:$I,9,0),0)+IFERROR(VLOOKUP($A687,[4]库存使用数据!$A:$I,9,0),0)+IFERROR(VLOOKUP($A687,[5]库存使用数据!$A:$I,9,0),0)</f>
        <v>2</v>
      </c>
      <c r="J687" s="1">
        <f ca="1">IFERROR(VLOOKUP($A687,[1]库存使用数据!$A:$J,10,0),0)+IFERROR(VLOOKUP($A687,[2]库存使用数据!$A:$J,10,0),0)+公式!$B$14*IFERROR(VLOOKUP($A687,[3]库存使用数据!$A:$J,10,0),0)+IFERROR(VLOOKUP($A687,[4]库存使用数据!$A:$J,10,0),0)+IFERROR(VLOOKUP($A687,[5]库存使用数据!$A:$J,10,0),0)</f>
        <v>0.82</v>
      </c>
      <c r="K687" s="1">
        <f ca="1">IFERROR(VLOOKUP($A687,[1]库存使用数据!$A:$K,11,0),0)+IFERROR(VLOOKUP($A687,[2]库存使用数据!$A:$K,11,0),0)+IFERROR(VLOOKUP($A687,[3]库存使用数据!$A:$K,11,0),0)+IFERROR(VLOOKUP($A687,[4]库存使用数据!$A:$K,11,0),0)+IFERROR(VLOOKUP($A687,[5]库存使用数据!$A:$K,11,0),0)</f>
        <v>132</v>
      </c>
      <c r="L687" s="1">
        <f ca="1">IFERROR(VLOOKUP($A687,[1]库存使用数据!$A:$L,12,0),0)+IFERROR(VLOOKUP($A687,[2]库存使用数据!$A:$L,12,0),0)+IFERROR(VLOOKUP($A687,[3]库存使用数据!$A:$L,12,0),0)+IFERROR(VLOOKUP($A687,[4]库存使用数据!$A:$L,12,0),0)+IFERROR(VLOOKUP($A687,[5]库存使用数据!$A:$L,12,0),0)</f>
        <v>0</v>
      </c>
      <c r="M687" s="1">
        <f ca="1">IFERROR(VLOOKUP($A687,[1]库存使用数据!$A:$M,13,0),0)+IFERROR(VLOOKUP($A687,[2]库存使用数据!$A:$M,13,0),0)+公式!$B$14*IFERROR(VLOOKUP($A687,[3]库存使用数据!$A:$M,13,0),0)+IFERROR(VLOOKUP($A687,[4]库存使用数据!$A:$M,13,0),0)+IFERROR(VLOOKUP($A687,[5]库存使用数据!$A:$M,13,0),0)</f>
        <v>0</v>
      </c>
    </row>
    <row r="688" spans="1:13">
      <c r="A688" s="6" t="s">
        <v>693</v>
      </c>
      <c r="B688" s="2">
        <f ca="1">IFERROR(VLOOKUP(A688,[1]库存使用数据!$A:$B,2,0),0)+IFERROR(VLOOKUP(A688,[2]库存使用数据!$A:$B,2,0),0)+IFERROR(VLOOKUP(,[3]库存使用数据!$A:$B,2,0),0)+IFERROR(VLOOKUP(A688,[4]库存使用数据!$A:$B,2,0),0)+IFERROR(VLOOKUP(A688,[5]库存使用数据!$A:$B,2,0),0)</f>
        <v>3</v>
      </c>
      <c r="C688" s="1">
        <f ca="1">IFERROR(VLOOKUP($A688,[1]库存使用数据!$A:$C,3,0),0)+IFERROR(VLOOKUP($A688,[2]库存使用数据!$A:$C,3,0),0)+IFERROR(VLOOKUP($A688,[3]库存使用数据!$A:$C,3,0),0)+IFERROR(VLOOKUP($A688,[4]库存使用数据!$A:$C,3,0),0)+IFERROR(VLOOKUP($A688,[5]库存使用数据!$A:$C,3,0),0)</f>
        <v>0</v>
      </c>
      <c r="D688" s="1">
        <f ca="1">IFERROR(VLOOKUP($A688,[1]库存使用数据!$A:$D,4,0),0)+IFERROR(VLOOKUP($A688,[2]库存使用数据!$A:$D,4,0),0)+公式!$B$1*IFERROR(VLOOKUP($A688,[3]库存使用数据!$A:$D,4,0),0)+IFERROR(VLOOKUP($A688,[4]库存使用数据!$A:$D,4,0),0)+IFERROR(VLOOKUP($A688,[5]库存使用数据!$A:$D,4,0),0)</f>
        <v>0</v>
      </c>
      <c r="E688" s="1">
        <f ca="1">IFERROR(VLOOKUP($A688,[1]库存使用数据!$A:$E,5,0),0)+IFERROR(VLOOKUP($A688,[2]库存使用数据!$A:$E,5,0),0)+IFERROR(VLOOKUP($A688,[3]库存使用数据!$A:$E,5,0),0)+IFERROR(VLOOKUP($A688,[4]库存使用数据!$A:$E,5,0),0)+IFERROR(VLOOKUP($A688,[5]库存使用数据!$A:$E,5,0),0)</f>
        <v>739</v>
      </c>
      <c r="F688" s="1">
        <f ca="1">IFERROR(VLOOKUP($A688,[1]库存使用数据!$A:$F,6,0),0)+IFERROR(VLOOKUP($A688,[2]库存使用数据!$A:$F,6,0),0)+IFERROR(VLOOKUP($A688,[4]库存使用数据!$A:$F,6,0),0)+IFERROR(VLOOKUP($A688,[3]库存使用数据!$A:$F,6,0),0)+IFERROR(VLOOKUP($A688,[5]库存使用数据!$A:$F,6,0),0)</f>
        <v>3</v>
      </c>
      <c r="G688" s="1">
        <f ca="1">IFERROR(VLOOKUP($A688,[1]库存使用数据!$A:$G,7,0),0)+IFERROR(VLOOKUP($A688,[2]库存使用数据!$A:$G,7,0),0)+公式!$B$14*IFERROR(VLOOKUP($A688,[3]库存使用数据!$A:$G,7,0),0)+IFERROR(VLOOKUP($A688,[4]库存使用数据!$A:$G,7,0),0)+IFERROR(VLOOKUP($A688,[5]库存使用数据!$A:$G,7,0),0)</f>
        <v>0.88</v>
      </c>
      <c r="H688" s="1">
        <f ca="1">IFERROR(VLOOKUP($A688,[1]库存使用数据!$A:$H,8,0),0)+IFERROR(VLOOKUP($A688,[2]库存使用数据!$A:$H,8,0),0)+IFERROR(VLOOKUP($A688,[3]库存使用数据!$A:$H,8,0),0)+IFERROR(VLOOKUP($A688,[4]库存使用数据!$A:$H,8,0),0)+IFERROR(VLOOKUP($A688,[5]库存使用数据!$A:$H,8,0),0)</f>
        <v>725</v>
      </c>
      <c r="I688" s="1">
        <f ca="1">IFERROR(VLOOKUP($A688,[1]库存使用数据!$A:$I,9,0),0)+IFERROR(VLOOKUP($A688,[2]库存使用数据!$A:$I,9,0),0)+IFERROR(VLOOKUP($A688,[3]库存使用数据!$A:$I,9,0),0)+IFERROR(VLOOKUP($A688,[4]库存使用数据!$A:$I,9,0),0)+IFERROR(VLOOKUP($A688,[5]库存使用数据!$A:$I,9,0),0)</f>
        <v>3</v>
      </c>
      <c r="J688" s="1">
        <f ca="1">IFERROR(VLOOKUP($A688,[1]库存使用数据!$A:$J,10,0),0)+IFERROR(VLOOKUP($A688,[2]库存使用数据!$A:$J,10,0),0)+公式!$B$14*IFERROR(VLOOKUP($A688,[3]库存使用数据!$A:$J,10,0),0)+IFERROR(VLOOKUP($A688,[4]库存使用数据!$A:$J,10,0),0)+IFERROR(VLOOKUP($A688,[5]库存使用数据!$A:$J,10,0),0)</f>
        <v>0.88</v>
      </c>
      <c r="K688" s="1">
        <f ca="1">IFERROR(VLOOKUP($A688,[1]库存使用数据!$A:$K,11,0),0)+IFERROR(VLOOKUP($A688,[2]库存使用数据!$A:$K,11,0),0)+IFERROR(VLOOKUP($A688,[3]库存使用数据!$A:$K,11,0),0)+IFERROR(VLOOKUP($A688,[4]库存使用数据!$A:$K,11,0),0)+IFERROR(VLOOKUP($A688,[5]库存使用数据!$A:$K,11,0),0)</f>
        <v>505</v>
      </c>
      <c r="L688" s="1">
        <f ca="1">IFERROR(VLOOKUP($A688,[1]库存使用数据!$A:$L,12,0),0)+IFERROR(VLOOKUP($A688,[2]库存使用数据!$A:$L,12,0),0)+IFERROR(VLOOKUP($A688,[3]库存使用数据!$A:$L,12,0),0)+IFERROR(VLOOKUP($A688,[4]库存使用数据!$A:$L,12,0),0)+IFERROR(VLOOKUP($A688,[5]库存使用数据!$A:$L,12,0),0)</f>
        <v>8</v>
      </c>
      <c r="M688" s="1">
        <f ca="1">IFERROR(VLOOKUP($A688,[1]库存使用数据!$A:$M,13,0),0)+IFERROR(VLOOKUP($A688,[2]库存使用数据!$A:$M,13,0),0)+公式!$B$14*IFERROR(VLOOKUP($A688,[3]库存使用数据!$A:$M,13,0),0)+IFERROR(VLOOKUP($A688,[4]库存使用数据!$A:$M,13,0),0)+IFERROR(VLOOKUP($A688,[5]库存使用数据!$A:$M,13,0),0)</f>
        <v>2.62</v>
      </c>
    </row>
    <row r="689" spans="1:13">
      <c r="A689" s="6" t="s">
        <v>694</v>
      </c>
      <c r="B689" s="2">
        <f ca="1">IFERROR(VLOOKUP(A689,[1]库存使用数据!$A:$B,2,0),0)+IFERROR(VLOOKUP(A689,[2]库存使用数据!$A:$B,2,0),0)+IFERROR(VLOOKUP(,[3]库存使用数据!$A:$B,2,0),0)+IFERROR(VLOOKUP(A689,[4]库存使用数据!$A:$B,2,0),0)+IFERROR(VLOOKUP(A689,[5]库存使用数据!$A:$B,2,0),0)</f>
        <v>5</v>
      </c>
      <c r="C689" s="1">
        <f ca="1">IFERROR(VLOOKUP($A689,[1]库存使用数据!$A:$C,3,0),0)+IFERROR(VLOOKUP($A689,[2]库存使用数据!$A:$C,3,0),0)+IFERROR(VLOOKUP($A689,[3]库存使用数据!$A:$C,3,0),0)+IFERROR(VLOOKUP($A689,[4]库存使用数据!$A:$C,3,0),0)+IFERROR(VLOOKUP($A689,[5]库存使用数据!$A:$C,3,0),0)</f>
        <v>0</v>
      </c>
      <c r="D689" s="1">
        <f ca="1">IFERROR(VLOOKUP($A689,[1]库存使用数据!$A:$D,4,0),0)+IFERROR(VLOOKUP($A689,[2]库存使用数据!$A:$D,4,0),0)+公式!$B$1*IFERROR(VLOOKUP($A689,[3]库存使用数据!$A:$D,4,0),0)+IFERROR(VLOOKUP($A689,[4]库存使用数据!$A:$D,4,0),0)+IFERROR(VLOOKUP($A689,[5]库存使用数据!$A:$D,4,0),0)</f>
        <v>0</v>
      </c>
      <c r="E689" s="1">
        <f ca="1">IFERROR(VLOOKUP($A689,[1]库存使用数据!$A:$E,5,0),0)+IFERROR(VLOOKUP($A689,[2]库存使用数据!$A:$E,5,0),0)+IFERROR(VLOOKUP($A689,[3]库存使用数据!$A:$E,5,0),0)+IFERROR(VLOOKUP($A689,[4]库存使用数据!$A:$E,5,0),0)+IFERROR(VLOOKUP($A689,[5]库存使用数据!$A:$E,5,0),0)</f>
        <v>687</v>
      </c>
      <c r="F689" s="1">
        <f ca="1">IFERROR(VLOOKUP($A689,[1]库存使用数据!$A:$F,6,0),0)+IFERROR(VLOOKUP($A689,[2]库存使用数据!$A:$F,6,0),0)+IFERROR(VLOOKUP($A689,[4]库存使用数据!$A:$F,6,0),0)+IFERROR(VLOOKUP($A689,[3]库存使用数据!$A:$F,6,0),0)+IFERROR(VLOOKUP($A689,[5]库存使用数据!$A:$F,6,0),0)</f>
        <v>1</v>
      </c>
      <c r="G689" s="1">
        <f ca="1">IFERROR(VLOOKUP($A689,[1]库存使用数据!$A:$G,7,0),0)+IFERROR(VLOOKUP($A689,[2]库存使用数据!$A:$G,7,0),0)+公式!$B$14*IFERROR(VLOOKUP($A689,[3]库存使用数据!$A:$G,7,0),0)+IFERROR(VLOOKUP($A689,[4]库存使用数据!$A:$G,7,0),0)+IFERROR(VLOOKUP($A689,[5]库存使用数据!$A:$G,7,0),0)</f>
        <v>0.25</v>
      </c>
      <c r="H689" s="1">
        <f ca="1">IFERROR(VLOOKUP($A689,[1]库存使用数据!$A:$H,8,0),0)+IFERROR(VLOOKUP($A689,[2]库存使用数据!$A:$H,8,0),0)+IFERROR(VLOOKUP($A689,[3]库存使用数据!$A:$H,8,0),0)+IFERROR(VLOOKUP($A689,[4]库存使用数据!$A:$H,8,0),0)+IFERROR(VLOOKUP($A689,[5]库存使用数据!$A:$H,8,0),0)</f>
        <v>682</v>
      </c>
      <c r="I689" s="1">
        <f ca="1">IFERROR(VLOOKUP($A689,[1]库存使用数据!$A:$I,9,0),0)+IFERROR(VLOOKUP($A689,[2]库存使用数据!$A:$I,9,0),0)+IFERROR(VLOOKUP($A689,[3]库存使用数据!$A:$I,9,0),0)+IFERROR(VLOOKUP($A689,[4]库存使用数据!$A:$I,9,0),0)+IFERROR(VLOOKUP($A689,[5]库存使用数据!$A:$I,9,0),0)</f>
        <v>1</v>
      </c>
      <c r="J689" s="1">
        <f ca="1">IFERROR(VLOOKUP($A689,[1]库存使用数据!$A:$J,10,0),0)+IFERROR(VLOOKUP($A689,[2]库存使用数据!$A:$J,10,0),0)+公式!$B$14*IFERROR(VLOOKUP($A689,[3]库存使用数据!$A:$J,10,0),0)+IFERROR(VLOOKUP($A689,[4]库存使用数据!$A:$J,10,0),0)+IFERROR(VLOOKUP($A689,[5]库存使用数据!$A:$J,10,0),0)</f>
        <v>0.25</v>
      </c>
      <c r="K689" s="1">
        <f ca="1">IFERROR(VLOOKUP($A689,[1]库存使用数据!$A:$K,11,0),0)+IFERROR(VLOOKUP($A689,[2]库存使用数据!$A:$K,11,0),0)+IFERROR(VLOOKUP($A689,[3]库存使用数据!$A:$K,11,0),0)+IFERROR(VLOOKUP($A689,[4]库存使用数据!$A:$K,11,0),0)+IFERROR(VLOOKUP($A689,[5]库存使用数据!$A:$K,11,0),0)</f>
        <v>154</v>
      </c>
      <c r="L689" s="1">
        <f ca="1">IFERROR(VLOOKUP($A689,[1]库存使用数据!$A:$L,12,0),0)+IFERROR(VLOOKUP($A689,[2]库存使用数据!$A:$L,12,0),0)+IFERROR(VLOOKUP($A689,[3]库存使用数据!$A:$L,12,0),0)+IFERROR(VLOOKUP($A689,[4]库存使用数据!$A:$L,12,0),0)+IFERROR(VLOOKUP($A689,[5]库存使用数据!$A:$L,12,0),0)</f>
        <v>1</v>
      </c>
      <c r="M689" s="1">
        <f ca="1">IFERROR(VLOOKUP($A689,[1]库存使用数据!$A:$M,13,0),0)+IFERROR(VLOOKUP($A689,[2]库存使用数据!$A:$M,13,0),0)+公式!$B$14*IFERROR(VLOOKUP($A689,[3]库存使用数据!$A:$M,13,0),0)+IFERROR(VLOOKUP($A689,[4]库存使用数据!$A:$M,13,0),0)+IFERROR(VLOOKUP($A689,[5]库存使用数据!$A:$M,13,0),0)</f>
        <v>0.29</v>
      </c>
    </row>
    <row r="690" spans="1:13">
      <c r="A690" s="6" t="s">
        <v>695</v>
      </c>
      <c r="B690" s="2">
        <f ca="1">IFERROR(VLOOKUP(A690,[1]库存使用数据!$A:$B,2,0),0)+IFERROR(VLOOKUP(A690,[2]库存使用数据!$A:$B,2,0),0)+IFERROR(VLOOKUP(,[3]库存使用数据!$A:$B,2,0),0)+IFERROR(VLOOKUP(A690,[4]库存使用数据!$A:$B,2,0),0)+IFERROR(VLOOKUP(A690,[5]库存使用数据!$A:$B,2,0),0)</f>
        <v>0</v>
      </c>
      <c r="C690" s="1">
        <f ca="1">IFERROR(VLOOKUP($A690,[1]库存使用数据!$A:$C,3,0),0)+IFERROR(VLOOKUP($A690,[2]库存使用数据!$A:$C,3,0),0)+IFERROR(VLOOKUP($A690,[3]库存使用数据!$A:$C,3,0),0)+IFERROR(VLOOKUP($A690,[4]库存使用数据!$A:$C,3,0),0)+IFERROR(VLOOKUP($A690,[5]库存使用数据!$A:$C,3,0),0)</f>
        <v>0</v>
      </c>
      <c r="D690" s="1">
        <f ca="1">IFERROR(VLOOKUP($A690,[1]库存使用数据!$A:$D,4,0),0)+IFERROR(VLOOKUP($A690,[2]库存使用数据!$A:$D,4,0),0)+公式!$B$1*IFERROR(VLOOKUP($A690,[3]库存使用数据!$A:$D,4,0),0)+IFERROR(VLOOKUP($A690,[4]库存使用数据!$A:$D,4,0),0)+IFERROR(VLOOKUP($A690,[5]库存使用数据!$A:$D,4,0),0)</f>
        <v>0</v>
      </c>
      <c r="E690" s="1">
        <f ca="1">IFERROR(VLOOKUP($A690,[1]库存使用数据!$A:$E,5,0),0)+IFERROR(VLOOKUP($A690,[2]库存使用数据!$A:$E,5,0),0)+IFERROR(VLOOKUP($A690,[3]库存使用数据!$A:$E,5,0),0)+IFERROR(VLOOKUP($A690,[4]库存使用数据!$A:$E,5,0),0)+IFERROR(VLOOKUP($A690,[5]库存使用数据!$A:$E,5,0),0)</f>
        <v>91</v>
      </c>
      <c r="F690" s="1">
        <f ca="1">IFERROR(VLOOKUP($A690,[1]库存使用数据!$A:$F,6,0),0)+IFERROR(VLOOKUP($A690,[2]库存使用数据!$A:$F,6,0),0)+IFERROR(VLOOKUP($A690,[4]库存使用数据!$A:$F,6,0),0)+IFERROR(VLOOKUP($A690,[3]库存使用数据!$A:$F,6,0),0)+IFERROR(VLOOKUP($A690,[5]库存使用数据!$A:$F,6,0),0)</f>
        <v>1</v>
      </c>
      <c r="G690" s="1">
        <f ca="1">IFERROR(VLOOKUP($A690,[1]库存使用数据!$A:$G,7,0),0)+IFERROR(VLOOKUP($A690,[2]库存使用数据!$A:$G,7,0),0)+公式!$B$14*IFERROR(VLOOKUP($A690,[3]库存使用数据!$A:$G,7,0),0)+IFERROR(VLOOKUP($A690,[4]库存使用数据!$A:$G,7,0),0)+IFERROR(VLOOKUP($A690,[5]库存使用数据!$A:$G,7,0),0)</f>
        <v>0.11</v>
      </c>
      <c r="H690" s="1">
        <f ca="1">IFERROR(VLOOKUP($A690,[1]库存使用数据!$A:$H,8,0),0)+IFERROR(VLOOKUP($A690,[2]库存使用数据!$A:$H,8,0),0)+IFERROR(VLOOKUP($A690,[3]库存使用数据!$A:$H,8,0),0)+IFERROR(VLOOKUP($A690,[4]库存使用数据!$A:$H,8,0),0)+IFERROR(VLOOKUP($A690,[5]库存使用数据!$A:$H,8,0),0)</f>
        <v>91</v>
      </c>
      <c r="I690" s="1">
        <f ca="1">IFERROR(VLOOKUP($A690,[1]库存使用数据!$A:$I,9,0),0)+IFERROR(VLOOKUP($A690,[2]库存使用数据!$A:$I,9,0),0)+IFERROR(VLOOKUP($A690,[3]库存使用数据!$A:$I,9,0),0)+IFERROR(VLOOKUP($A690,[4]库存使用数据!$A:$I,9,0),0)+IFERROR(VLOOKUP($A690,[5]库存使用数据!$A:$I,9,0),0)</f>
        <v>1</v>
      </c>
      <c r="J690" s="1">
        <f ca="1">IFERROR(VLOOKUP($A690,[1]库存使用数据!$A:$J,10,0),0)+IFERROR(VLOOKUP($A690,[2]库存使用数据!$A:$J,10,0),0)+公式!$B$14*IFERROR(VLOOKUP($A690,[3]库存使用数据!$A:$J,10,0),0)+IFERROR(VLOOKUP($A690,[4]库存使用数据!$A:$J,10,0),0)+IFERROR(VLOOKUP($A690,[5]库存使用数据!$A:$J,10,0),0)</f>
        <v>0.11</v>
      </c>
      <c r="K690" s="1">
        <f ca="1">IFERROR(VLOOKUP($A690,[1]库存使用数据!$A:$K,11,0),0)+IFERROR(VLOOKUP($A690,[2]库存使用数据!$A:$K,11,0),0)+IFERROR(VLOOKUP($A690,[3]库存使用数据!$A:$K,11,0),0)+IFERROR(VLOOKUP($A690,[4]库存使用数据!$A:$K,11,0),0)+IFERROR(VLOOKUP($A690,[5]库存使用数据!$A:$K,11,0),0)</f>
        <v>563</v>
      </c>
      <c r="L690" s="1">
        <f ca="1">IFERROR(VLOOKUP($A690,[1]库存使用数据!$A:$L,12,0),0)+IFERROR(VLOOKUP($A690,[2]库存使用数据!$A:$L,12,0),0)+IFERROR(VLOOKUP($A690,[3]库存使用数据!$A:$L,12,0),0)+IFERROR(VLOOKUP($A690,[4]库存使用数据!$A:$L,12,0),0)+IFERROR(VLOOKUP($A690,[5]库存使用数据!$A:$L,12,0),0)</f>
        <v>3</v>
      </c>
      <c r="M690" s="1">
        <f ca="1">IFERROR(VLOOKUP($A690,[1]库存使用数据!$A:$M,13,0),0)+IFERROR(VLOOKUP($A690,[2]库存使用数据!$A:$M,13,0),0)+公式!$B$14*IFERROR(VLOOKUP($A690,[3]库存使用数据!$A:$M,13,0),0)+IFERROR(VLOOKUP($A690,[4]库存使用数据!$A:$M,13,0),0)+IFERROR(VLOOKUP($A690,[5]库存使用数据!$A:$M,13,0),0)</f>
        <v>0.31</v>
      </c>
    </row>
    <row r="691" spans="1:13">
      <c r="A691" s="6" t="s">
        <v>696</v>
      </c>
      <c r="B691" s="2">
        <f ca="1">IFERROR(VLOOKUP(A691,[1]库存使用数据!$A:$B,2,0),0)+IFERROR(VLOOKUP(A691,[2]库存使用数据!$A:$B,2,0),0)+IFERROR(VLOOKUP(,[3]库存使用数据!$A:$B,2,0),0)+IFERROR(VLOOKUP(A691,[4]库存使用数据!$A:$B,2,0),0)+IFERROR(VLOOKUP(A691,[5]库存使用数据!$A:$B,2,0),0)</f>
        <v>735</v>
      </c>
      <c r="C691" s="1">
        <f ca="1">IFERROR(VLOOKUP($A691,[1]库存使用数据!$A:$C,3,0),0)+IFERROR(VLOOKUP($A691,[2]库存使用数据!$A:$C,3,0),0)+IFERROR(VLOOKUP($A691,[3]库存使用数据!$A:$C,3,0),0)+IFERROR(VLOOKUP($A691,[4]库存使用数据!$A:$C,3,0),0)+IFERROR(VLOOKUP($A691,[5]库存使用数据!$A:$C,3,0),0)</f>
        <v>3</v>
      </c>
      <c r="D691" s="1">
        <f ca="1">IFERROR(VLOOKUP($A691,[1]库存使用数据!$A:$D,4,0),0)+IFERROR(VLOOKUP($A691,[2]库存使用数据!$A:$D,4,0),0)+公式!$B$1*IFERROR(VLOOKUP($A691,[3]库存使用数据!$A:$D,4,0),0)+IFERROR(VLOOKUP($A691,[4]库存使用数据!$A:$D,4,0),0)+IFERROR(VLOOKUP($A691,[5]库存使用数据!$A:$D,4,0),0)</f>
        <v>0.41</v>
      </c>
      <c r="E691" s="1">
        <f ca="1">IFERROR(VLOOKUP($A691,[1]库存使用数据!$A:$E,5,0),0)+IFERROR(VLOOKUP($A691,[2]库存使用数据!$A:$E,5,0),0)+IFERROR(VLOOKUP($A691,[3]库存使用数据!$A:$E,5,0),0)+IFERROR(VLOOKUP($A691,[4]库存使用数据!$A:$E,5,0),0)+IFERROR(VLOOKUP($A691,[5]库存使用数据!$A:$E,5,0),0)</f>
        <v>50036</v>
      </c>
      <c r="F691" s="1">
        <f ca="1">IFERROR(VLOOKUP($A691,[1]库存使用数据!$A:$F,6,0),0)+IFERROR(VLOOKUP($A691,[2]库存使用数据!$A:$F,6,0),0)+IFERROR(VLOOKUP($A691,[4]库存使用数据!$A:$F,6,0),0)+IFERROR(VLOOKUP($A691,[3]库存使用数据!$A:$F,6,0),0)+IFERROR(VLOOKUP($A691,[5]库存使用数据!$A:$F,6,0),0)</f>
        <v>32</v>
      </c>
      <c r="G691" s="1">
        <f ca="1">IFERROR(VLOOKUP($A691,[1]库存使用数据!$A:$G,7,0),0)+IFERROR(VLOOKUP($A691,[2]库存使用数据!$A:$G,7,0),0)+公式!$B$14*IFERROR(VLOOKUP($A691,[3]库存使用数据!$A:$G,7,0),0)+IFERROR(VLOOKUP($A691,[4]库存使用数据!$A:$G,7,0),0)+IFERROR(VLOOKUP($A691,[5]库存使用数据!$A:$G,7,0),0)</f>
        <v>5.68</v>
      </c>
      <c r="H691" s="1">
        <f ca="1">IFERROR(VLOOKUP($A691,[1]库存使用数据!$A:$H,8,0),0)+IFERROR(VLOOKUP($A691,[2]库存使用数据!$A:$H,8,0),0)+IFERROR(VLOOKUP($A691,[3]库存使用数据!$A:$H,8,0),0)+IFERROR(VLOOKUP($A691,[4]库存使用数据!$A:$H,8,0),0)+IFERROR(VLOOKUP($A691,[5]库存使用数据!$A:$H,8,0),0)</f>
        <v>45512</v>
      </c>
      <c r="I691" s="1">
        <f ca="1">IFERROR(VLOOKUP($A691,[1]库存使用数据!$A:$I,9,0),0)+IFERROR(VLOOKUP($A691,[2]库存使用数据!$A:$I,9,0),0)+IFERROR(VLOOKUP($A691,[3]库存使用数据!$A:$I,9,0),0)+IFERROR(VLOOKUP($A691,[4]库存使用数据!$A:$I,9,0),0)+IFERROR(VLOOKUP($A691,[5]库存使用数据!$A:$I,9,0),0)</f>
        <v>25</v>
      </c>
      <c r="J691" s="1">
        <f ca="1">IFERROR(VLOOKUP($A691,[1]库存使用数据!$A:$J,10,0),0)+IFERROR(VLOOKUP($A691,[2]库存使用数据!$A:$J,10,0),0)+公式!$B$14*IFERROR(VLOOKUP($A691,[3]库存使用数据!$A:$J,10,0),0)+IFERROR(VLOOKUP($A691,[4]库存使用数据!$A:$J,10,0),0)+IFERROR(VLOOKUP($A691,[5]库存使用数据!$A:$J,10,0),0)</f>
        <v>4.63</v>
      </c>
      <c r="K691" s="1">
        <f ca="1">IFERROR(VLOOKUP($A691,[1]库存使用数据!$A:$K,11,0),0)+IFERROR(VLOOKUP($A691,[2]库存使用数据!$A:$K,11,0),0)+IFERROR(VLOOKUP($A691,[3]库存使用数据!$A:$K,11,0),0)+IFERROR(VLOOKUP($A691,[4]库存使用数据!$A:$K,11,0),0)+IFERROR(VLOOKUP($A691,[5]库存使用数据!$A:$K,11,0),0)</f>
        <v>2216</v>
      </c>
      <c r="L691" s="1">
        <f ca="1">IFERROR(VLOOKUP($A691,[1]库存使用数据!$A:$L,12,0),0)+IFERROR(VLOOKUP($A691,[2]库存使用数据!$A:$L,12,0),0)+IFERROR(VLOOKUP($A691,[3]库存使用数据!$A:$L,12,0),0)+IFERROR(VLOOKUP($A691,[4]库存使用数据!$A:$L,12,0),0)+IFERROR(VLOOKUP($A691,[5]库存使用数据!$A:$L,12,0),0)</f>
        <v>9</v>
      </c>
      <c r="M691" s="1">
        <f ca="1">IFERROR(VLOOKUP($A691,[1]库存使用数据!$A:$M,13,0),0)+IFERROR(VLOOKUP($A691,[2]库存使用数据!$A:$M,13,0),0)+公式!$B$14*IFERROR(VLOOKUP($A691,[3]库存使用数据!$A:$M,13,0),0)+IFERROR(VLOOKUP($A691,[4]库存使用数据!$A:$M,13,0),0)+IFERROR(VLOOKUP($A691,[5]库存使用数据!$A:$M,13,0),0)</f>
        <v>1.4</v>
      </c>
    </row>
    <row r="692" spans="1:13">
      <c r="A692" s="6" t="s">
        <v>697</v>
      </c>
      <c r="B692" s="2">
        <f ca="1">IFERROR(VLOOKUP(A692,[1]库存使用数据!$A:$B,2,0),0)+IFERROR(VLOOKUP(A692,[2]库存使用数据!$A:$B,2,0),0)+IFERROR(VLOOKUP(,[3]库存使用数据!$A:$B,2,0),0)+IFERROR(VLOOKUP(A692,[4]库存使用数据!$A:$B,2,0),0)+IFERROR(VLOOKUP(A692,[5]库存使用数据!$A:$B,2,0),0)</f>
        <v>2105</v>
      </c>
      <c r="C692" s="1">
        <f ca="1">IFERROR(VLOOKUP($A692,[1]库存使用数据!$A:$C,3,0),0)+IFERROR(VLOOKUP($A692,[2]库存使用数据!$A:$C,3,0),0)+IFERROR(VLOOKUP($A692,[3]库存使用数据!$A:$C,3,0),0)+IFERROR(VLOOKUP($A692,[4]库存使用数据!$A:$C,3,0),0)+IFERROR(VLOOKUP($A692,[5]库存使用数据!$A:$C,3,0),0)</f>
        <v>6</v>
      </c>
      <c r="D692" s="1">
        <f ca="1">IFERROR(VLOOKUP($A692,[1]库存使用数据!$A:$D,4,0),0)+IFERROR(VLOOKUP($A692,[2]库存使用数据!$A:$D,4,0),0)+公式!$B$1*IFERROR(VLOOKUP($A692,[3]库存使用数据!$A:$D,4,0),0)+IFERROR(VLOOKUP($A692,[4]库存使用数据!$A:$D,4,0),0)+IFERROR(VLOOKUP($A692,[5]库存使用数据!$A:$D,4,0),0)</f>
        <v>0.79</v>
      </c>
      <c r="E692" s="1">
        <f ca="1">IFERROR(VLOOKUP($A692,[1]库存使用数据!$A:$E,5,0),0)+IFERROR(VLOOKUP($A692,[2]库存使用数据!$A:$E,5,0),0)+IFERROR(VLOOKUP($A692,[3]库存使用数据!$A:$E,5,0),0)+IFERROR(VLOOKUP($A692,[4]库存使用数据!$A:$E,5,0),0)+IFERROR(VLOOKUP($A692,[5]库存使用数据!$A:$E,5,0),0)</f>
        <v>14153</v>
      </c>
      <c r="F692" s="1">
        <f ca="1">IFERROR(VLOOKUP($A692,[1]库存使用数据!$A:$F,6,0),0)+IFERROR(VLOOKUP($A692,[2]库存使用数据!$A:$F,6,0),0)+IFERROR(VLOOKUP($A692,[4]库存使用数据!$A:$F,6,0),0)+IFERROR(VLOOKUP($A692,[3]库存使用数据!$A:$F,6,0),0)+IFERROR(VLOOKUP($A692,[5]库存使用数据!$A:$F,6,0),0)</f>
        <v>64</v>
      </c>
      <c r="G692" s="1">
        <f ca="1">IFERROR(VLOOKUP($A692,[1]库存使用数据!$A:$G,7,0),0)+IFERROR(VLOOKUP($A692,[2]库存使用数据!$A:$G,7,0),0)+公式!$B$14*IFERROR(VLOOKUP($A692,[3]库存使用数据!$A:$G,7,0),0)+IFERROR(VLOOKUP($A692,[4]库存使用数据!$A:$G,7,0),0)+IFERROR(VLOOKUP($A692,[5]库存使用数据!$A:$G,7,0),0)</f>
        <v>8.1</v>
      </c>
      <c r="H692" s="1">
        <f ca="1">IFERROR(VLOOKUP($A692,[1]库存使用数据!$A:$H,8,0),0)+IFERROR(VLOOKUP($A692,[2]库存使用数据!$A:$H,8,0),0)+IFERROR(VLOOKUP($A692,[3]库存使用数据!$A:$H,8,0),0)+IFERROR(VLOOKUP($A692,[4]库存使用数据!$A:$H,8,0),0)+IFERROR(VLOOKUP($A692,[5]库存使用数据!$A:$H,8,0),0)</f>
        <v>2966</v>
      </c>
      <c r="I692" s="1">
        <f ca="1">IFERROR(VLOOKUP($A692,[1]库存使用数据!$A:$I,9,0),0)+IFERROR(VLOOKUP($A692,[2]库存使用数据!$A:$I,9,0),0)+IFERROR(VLOOKUP($A692,[3]库存使用数据!$A:$I,9,0),0)+IFERROR(VLOOKUP($A692,[4]库存使用数据!$A:$I,9,0),0)+IFERROR(VLOOKUP($A692,[5]库存使用数据!$A:$I,9,0),0)</f>
        <v>14</v>
      </c>
      <c r="J692" s="1">
        <f ca="1">IFERROR(VLOOKUP($A692,[1]库存使用数据!$A:$J,10,0),0)+IFERROR(VLOOKUP($A692,[2]库存使用数据!$A:$J,10,0),0)+公式!$B$14*IFERROR(VLOOKUP($A692,[3]库存使用数据!$A:$J,10,0),0)+IFERROR(VLOOKUP($A692,[4]库存使用数据!$A:$J,10,0),0)+IFERROR(VLOOKUP($A692,[5]库存使用数据!$A:$J,10,0),0)</f>
        <v>1.77</v>
      </c>
      <c r="K692" s="1">
        <f ca="1">IFERROR(VLOOKUP($A692,[1]库存使用数据!$A:$K,11,0),0)+IFERROR(VLOOKUP($A692,[2]库存使用数据!$A:$K,11,0),0)+IFERROR(VLOOKUP($A692,[3]库存使用数据!$A:$K,11,0),0)+IFERROR(VLOOKUP($A692,[4]库存使用数据!$A:$K,11,0),0)+IFERROR(VLOOKUP($A692,[5]库存使用数据!$A:$K,11,0),0)</f>
        <v>1002</v>
      </c>
      <c r="L692" s="1">
        <f ca="1">IFERROR(VLOOKUP($A692,[1]库存使用数据!$A:$L,12,0),0)+IFERROR(VLOOKUP($A692,[2]库存使用数据!$A:$L,12,0),0)+IFERROR(VLOOKUP($A692,[3]库存使用数据!$A:$L,12,0),0)+IFERROR(VLOOKUP($A692,[4]库存使用数据!$A:$L,12,0),0)+IFERROR(VLOOKUP($A692,[5]库存使用数据!$A:$L,12,0),0)</f>
        <v>4</v>
      </c>
      <c r="M692" s="1">
        <f ca="1">IFERROR(VLOOKUP($A692,[1]库存使用数据!$A:$M,13,0),0)+IFERROR(VLOOKUP($A692,[2]库存使用数据!$A:$M,13,0),0)+公式!$B$14*IFERROR(VLOOKUP($A692,[3]库存使用数据!$A:$M,13,0),0)+IFERROR(VLOOKUP($A692,[4]库存使用数据!$A:$M,13,0),0)+IFERROR(VLOOKUP($A692,[5]库存使用数据!$A:$M,13,0),0)</f>
        <v>0.41</v>
      </c>
    </row>
    <row r="693" spans="1:13">
      <c r="A693" s="6" t="s">
        <v>698</v>
      </c>
      <c r="B693" s="2">
        <f ca="1">IFERROR(VLOOKUP(A693,[1]库存使用数据!$A:$B,2,0),0)+IFERROR(VLOOKUP(A693,[2]库存使用数据!$A:$B,2,0),0)+IFERROR(VLOOKUP(,[3]库存使用数据!$A:$B,2,0),0)+IFERROR(VLOOKUP(A693,[4]库存使用数据!$A:$B,2,0),0)+IFERROR(VLOOKUP(A693,[5]库存使用数据!$A:$B,2,0),0)</f>
        <v>0</v>
      </c>
      <c r="C693" s="1">
        <f ca="1">IFERROR(VLOOKUP($A693,[1]库存使用数据!$A:$C,3,0),0)+IFERROR(VLOOKUP($A693,[2]库存使用数据!$A:$C,3,0),0)+IFERROR(VLOOKUP($A693,[3]库存使用数据!$A:$C,3,0),0)+IFERROR(VLOOKUP($A693,[4]库存使用数据!$A:$C,3,0),0)+IFERROR(VLOOKUP($A693,[5]库存使用数据!$A:$C,3,0),0)</f>
        <v>0</v>
      </c>
      <c r="D693" s="1">
        <f ca="1">IFERROR(VLOOKUP($A693,[1]库存使用数据!$A:$D,4,0),0)+IFERROR(VLOOKUP($A693,[2]库存使用数据!$A:$D,4,0),0)+公式!$B$1*IFERROR(VLOOKUP($A693,[3]库存使用数据!$A:$D,4,0),0)+IFERROR(VLOOKUP($A693,[4]库存使用数据!$A:$D,4,0),0)+IFERROR(VLOOKUP($A693,[5]库存使用数据!$A:$D,4,0),0)</f>
        <v>0</v>
      </c>
      <c r="E693" s="1">
        <f ca="1">IFERROR(VLOOKUP($A693,[1]库存使用数据!$A:$E,5,0),0)+IFERROR(VLOOKUP($A693,[2]库存使用数据!$A:$E,5,0),0)+IFERROR(VLOOKUP($A693,[3]库存使用数据!$A:$E,5,0),0)+IFERROR(VLOOKUP($A693,[4]库存使用数据!$A:$E,5,0),0)+IFERROR(VLOOKUP($A693,[5]库存使用数据!$A:$E,5,0),0)</f>
        <v>0</v>
      </c>
      <c r="F693" s="1">
        <f ca="1">IFERROR(VLOOKUP($A693,[1]库存使用数据!$A:$F,6,0),0)+IFERROR(VLOOKUP($A693,[2]库存使用数据!$A:$F,6,0),0)+IFERROR(VLOOKUP($A693,[4]库存使用数据!$A:$F,6,0),0)+IFERROR(VLOOKUP($A693,[3]库存使用数据!$A:$F,6,0),0)+IFERROR(VLOOKUP($A693,[5]库存使用数据!$A:$F,6,0),0)</f>
        <v>0</v>
      </c>
      <c r="G693" s="1">
        <f ca="1">IFERROR(VLOOKUP($A693,[1]库存使用数据!$A:$G,7,0),0)+IFERROR(VLOOKUP($A693,[2]库存使用数据!$A:$G,7,0),0)+公式!$B$14*IFERROR(VLOOKUP($A693,[3]库存使用数据!$A:$G,7,0),0)+IFERROR(VLOOKUP($A693,[4]库存使用数据!$A:$G,7,0),0)+IFERROR(VLOOKUP($A693,[5]库存使用数据!$A:$G,7,0),0)</f>
        <v>0</v>
      </c>
      <c r="H693" s="1">
        <f ca="1">IFERROR(VLOOKUP($A693,[1]库存使用数据!$A:$H,8,0),0)+IFERROR(VLOOKUP($A693,[2]库存使用数据!$A:$H,8,0),0)+IFERROR(VLOOKUP($A693,[3]库存使用数据!$A:$H,8,0),0)+IFERROR(VLOOKUP($A693,[4]库存使用数据!$A:$H,8,0),0)+IFERROR(VLOOKUP($A693,[5]库存使用数据!$A:$H,8,0),0)</f>
        <v>0</v>
      </c>
      <c r="I693" s="1">
        <f ca="1">IFERROR(VLOOKUP($A693,[1]库存使用数据!$A:$I,9,0),0)+IFERROR(VLOOKUP($A693,[2]库存使用数据!$A:$I,9,0),0)+IFERROR(VLOOKUP($A693,[3]库存使用数据!$A:$I,9,0),0)+IFERROR(VLOOKUP($A693,[4]库存使用数据!$A:$I,9,0),0)+IFERROR(VLOOKUP($A693,[5]库存使用数据!$A:$I,9,0),0)</f>
        <v>0</v>
      </c>
      <c r="J693" s="1">
        <f ca="1">IFERROR(VLOOKUP($A693,[1]库存使用数据!$A:$J,10,0),0)+IFERROR(VLOOKUP($A693,[2]库存使用数据!$A:$J,10,0),0)+公式!$B$14*IFERROR(VLOOKUP($A693,[3]库存使用数据!$A:$J,10,0),0)+IFERROR(VLOOKUP($A693,[4]库存使用数据!$A:$J,10,0),0)+IFERROR(VLOOKUP($A693,[5]库存使用数据!$A:$J,10,0),0)</f>
        <v>0</v>
      </c>
      <c r="K693" s="1">
        <f ca="1">IFERROR(VLOOKUP($A693,[1]库存使用数据!$A:$K,11,0),0)+IFERROR(VLOOKUP($A693,[2]库存使用数据!$A:$K,11,0),0)+IFERROR(VLOOKUP($A693,[3]库存使用数据!$A:$K,11,0),0)+IFERROR(VLOOKUP($A693,[4]库存使用数据!$A:$K,11,0),0)+IFERROR(VLOOKUP($A693,[5]库存使用数据!$A:$K,11,0),0)</f>
        <v>82</v>
      </c>
      <c r="L693" s="1">
        <f ca="1">IFERROR(VLOOKUP($A693,[1]库存使用数据!$A:$L,12,0),0)+IFERROR(VLOOKUP($A693,[2]库存使用数据!$A:$L,12,0),0)+IFERROR(VLOOKUP($A693,[3]库存使用数据!$A:$L,12,0),0)+IFERROR(VLOOKUP($A693,[4]库存使用数据!$A:$L,12,0),0)+IFERROR(VLOOKUP($A693,[5]库存使用数据!$A:$L,12,0),0)</f>
        <v>2</v>
      </c>
      <c r="M693" s="1">
        <f ca="1">IFERROR(VLOOKUP($A693,[1]库存使用数据!$A:$M,13,0),0)+IFERROR(VLOOKUP($A693,[2]库存使用数据!$A:$M,13,0),0)+公式!$B$14*IFERROR(VLOOKUP($A693,[3]库存使用数据!$A:$M,13,0),0)+IFERROR(VLOOKUP($A693,[4]库存使用数据!$A:$M,13,0),0)+IFERROR(VLOOKUP($A693,[5]库存使用数据!$A:$M,13,0),0)</f>
        <v>0.61</v>
      </c>
    </row>
    <row r="694" spans="1:13">
      <c r="A694" s="6" t="s">
        <v>699</v>
      </c>
      <c r="B694" s="2">
        <f ca="1">IFERROR(VLOOKUP(A694,[1]库存使用数据!$A:$B,2,0),0)+IFERROR(VLOOKUP(A694,[2]库存使用数据!$A:$B,2,0),0)+IFERROR(VLOOKUP(,[3]库存使用数据!$A:$B,2,0),0)+IFERROR(VLOOKUP(A694,[4]库存使用数据!$A:$B,2,0),0)+IFERROR(VLOOKUP(A694,[5]库存使用数据!$A:$B,2,0),0)</f>
        <v>512</v>
      </c>
      <c r="C694" s="1">
        <f ca="1">IFERROR(VLOOKUP($A694,[1]库存使用数据!$A:$C,3,0),0)+IFERROR(VLOOKUP($A694,[2]库存使用数据!$A:$C,3,0),0)+IFERROR(VLOOKUP($A694,[3]库存使用数据!$A:$C,3,0),0)+IFERROR(VLOOKUP($A694,[4]库存使用数据!$A:$C,3,0),0)+IFERROR(VLOOKUP($A694,[5]库存使用数据!$A:$C,3,0),0)</f>
        <v>0</v>
      </c>
      <c r="D694" s="1">
        <f ca="1">IFERROR(VLOOKUP($A694,[1]库存使用数据!$A:$D,4,0),0)+IFERROR(VLOOKUP($A694,[2]库存使用数据!$A:$D,4,0),0)+公式!$B$1*IFERROR(VLOOKUP($A694,[3]库存使用数据!$A:$D,4,0),0)+IFERROR(VLOOKUP($A694,[4]库存使用数据!$A:$D,4,0),0)+IFERROR(VLOOKUP($A694,[5]库存使用数据!$A:$D,4,0),0)</f>
        <v>0</v>
      </c>
      <c r="E694" s="1">
        <f ca="1">IFERROR(VLOOKUP($A694,[1]库存使用数据!$A:$E,5,0),0)+IFERROR(VLOOKUP($A694,[2]库存使用数据!$A:$E,5,0),0)+IFERROR(VLOOKUP($A694,[3]库存使用数据!$A:$E,5,0),0)+IFERROR(VLOOKUP($A694,[4]库存使用数据!$A:$E,5,0),0)+IFERROR(VLOOKUP($A694,[5]库存使用数据!$A:$E,5,0),0)</f>
        <v>743</v>
      </c>
      <c r="F694" s="1">
        <f ca="1">IFERROR(VLOOKUP($A694,[1]库存使用数据!$A:$F,6,0),0)+IFERROR(VLOOKUP($A694,[2]库存使用数据!$A:$F,6,0),0)+IFERROR(VLOOKUP($A694,[4]库存使用数据!$A:$F,6,0),0)+IFERROR(VLOOKUP($A694,[3]库存使用数据!$A:$F,6,0),0)+IFERROR(VLOOKUP($A694,[5]库存使用数据!$A:$F,6,0),0)</f>
        <v>2</v>
      </c>
      <c r="G694" s="1">
        <f ca="1">IFERROR(VLOOKUP($A694,[1]库存使用数据!$A:$G,7,0),0)+IFERROR(VLOOKUP($A694,[2]库存使用数据!$A:$G,7,0),0)+公式!$B$14*IFERROR(VLOOKUP($A694,[3]库存使用数据!$A:$G,7,0),0)+IFERROR(VLOOKUP($A694,[4]库存使用数据!$A:$G,7,0),0)+IFERROR(VLOOKUP($A694,[5]库存使用数据!$A:$G,7,0),0)</f>
        <v>0.59</v>
      </c>
      <c r="H694" s="1">
        <f ca="1">IFERROR(VLOOKUP($A694,[1]库存使用数据!$A:$H,8,0),0)+IFERROR(VLOOKUP($A694,[2]库存使用数据!$A:$H,8,0),0)+IFERROR(VLOOKUP($A694,[3]库存使用数据!$A:$H,8,0),0)+IFERROR(VLOOKUP($A694,[4]库存使用数据!$A:$H,8,0),0)+IFERROR(VLOOKUP($A694,[5]库存使用数据!$A:$H,8,0),0)</f>
        <v>284</v>
      </c>
      <c r="I694" s="1">
        <f ca="1">IFERROR(VLOOKUP($A694,[1]库存使用数据!$A:$I,9,0),0)+IFERROR(VLOOKUP($A694,[2]库存使用数据!$A:$I,9,0),0)+IFERROR(VLOOKUP($A694,[3]库存使用数据!$A:$I,9,0),0)+IFERROR(VLOOKUP($A694,[4]库存使用数据!$A:$I,9,0),0)+IFERROR(VLOOKUP($A694,[5]库存使用数据!$A:$I,9,0),0)</f>
        <v>1</v>
      </c>
      <c r="J694" s="1">
        <f ca="1">IFERROR(VLOOKUP($A694,[1]库存使用数据!$A:$J,10,0),0)+IFERROR(VLOOKUP($A694,[2]库存使用数据!$A:$J,10,0),0)+公式!$B$14*IFERROR(VLOOKUP($A694,[3]库存使用数据!$A:$J,10,0),0)+IFERROR(VLOOKUP($A694,[4]库存使用数据!$A:$J,10,0),0)+IFERROR(VLOOKUP($A694,[5]库存使用数据!$A:$J,10,0),0)</f>
        <v>0.43</v>
      </c>
      <c r="K694" s="1">
        <f ca="1">IFERROR(VLOOKUP($A694,[1]库存使用数据!$A:$K,11,0),0)+IFERROR(VLOOKUP($A694,[2]库存使用数据!$A:$K,11,0),0)+IFERROR(VLOOKUP($A694,[3]库存使用数据!$A:$K,11,0),0)+IFERROR(VLOOKUP($A694,[4]库存使用数据!$A:$K,11,0),0)+IFERROR(VLOOKUP($A694,[5]库存使用数据!$A:$K,11,0),0)</f>
        <v>68</v>
      </c>
      <c r="L694" s="1">
        <f ca="1">IFERROR(VLOOKUP($A694,[1]库存使用数据!$A:$L,12,0),0)+IFERROR(VLOOKUP($A694,[2]库存使用数据!$A:$L,12,0),0)+IFERROR(VLOOKUP($A694,[3]库存使用数据!$A:$L,12,0),0)+IFERROR(VLOOKUP($A694,[4]库存使用数据!$A:$L,12,0),0)+IFERROR(VLOOKUP($A694,[5]库存使用数据!$A:$L,12,0),0)</f>
        <v>0</v>
      </c>
      <c r="M694" s="1">
        <f ca="1">IFERROR(VLOOKUP($A694,[1]库存使用数据!$A:$M,13,0),0)+IFERROR(VLOOKUP($A694,[2]库存使用数据!$A:$M,13,0),0)+公式!$B$14*IFERROR(VLOOKUP($A694,[3]库存使用数据!$A:$M,13,0),0)+IFERROR(VLOOKUP($A694,[4]库存使用数据!$A:$M,13,0),0)+IFERROR(VLOOKUP($A694,[5]库存使用数据!$A:$M,13,0),0)</f>
        <v>0</v>
      </c>
    </row>
    <row r="695" spans="1:13">
      <c r="A695" s="6" t="s">
        <v>700</v>
      </c>
      <c r="B695" s="2">
        <f ca="1">IFERROR(VLOOKUP(A695,[1]库存使用数据!$A:$B,2,0),0)+IFERROR(VLOOKUP(A695,[2]库存使用数据!$A:$B,2,0),0)+IFERROR(VLOOKUP(,[3]库存使用数据!$A:$B,2,0),0)+IFERROR(VLOOKUP(A695,[4]库存使用数据!$A:$B,2,0),0)+IFERROR(VLOOKUP(A695,[5]库存使用数据!$A:$B,2,0),0)</f>
        <v>888</v>
      </c>
      <c r="C695" s="1">
        <f ca="1">IFERROR(VLOOKUP($A695,[1]库存使用数据!$A:$C,3,0),0)+IFERROR(VLOOKUP($A695,[2]库存使用数据!$A:$C,3,0),0)+IFERROR(VLOOKUP($A695,[3]库存使用数据!$A:$C,3,0),0)+IFERROR(VLOOKUP($A695,[4]库存使用数据!$A:$C,3,0),0)+IFERROR(VLOOKUP($A695,[5]库存使用数据!$A:$C,3,0),0)</f>
        <v>4</v>
      </c>
      <c r="D695" s="1">
        <f ca="1">IFERROR(VLOOKUP($A695,[1]库存使用数据!$A:$D,4,0),0)+IFERROR(VLOOKUP($A695,[2]库存使用数据!$A:$D,4,0),0)+公式!$B$1*IFERROR(VLOOKUP($A695,[3]库存使用数据!$A:$D,4,0),0)+IFERROR(VLOOKUP($A695,[4]库存使用数据!$A:$D,4,0),0)+IFERROR(VLOOKUP($A695,[5]库存使用数据!$A:$D,4,0),0)</f>
        <v>1.01</v>
      </c>
      <c r="E695" s="1">
        <f ca="1">IFERROR(VLOOKUP($A695,[1]库存使用数据!$A:$E,5,0),0)+IFERROR(VLOOKUP($A695,[2]库存使用数据!$A:$E,5,0),0)+IFERROR(VLOOKUP($A695,[3]库存使用数据!$A:$E,5,0),0)+IFERROR(VLOOKUP($A695,[4]库存使用数据!$A:$E,5,0),0)+IFERROR(VLOOKUP($A695,[5]库存使用数据!$A:$E,5,0),0)</f>
        <v>2520</v>
      </c>
      <c r="F695" s="1">
        <f ca="1">IFERROR(VLOOKUP($A695,[1]库存使用数据!$A:$F,6,0),0)+IFERROR(VLOOKUP($A695,[2]库存使用数据!$A:$F,6,0),0)+IFERROR(VLOOKUP($A695,[4]库存使用数据!$A:$F,6,0),0)+IFERROR(VLOOKUP($A695,[3]库存使用数据!$A:$F,6,0),0)+IFERROR(VLOOKUP($A695,[5]库存使用数据!$A:$F,6,0),0)</f>
        <v>9</v>
      </c>
      <c r="G695" s="1">
        <f ca="1">IFERROR(VLOOKUP($A695,[1]库存使用数据!$A:$G,7,0),0)+IFERROR(VLOOKUP($A695,[2]库存使用数据!$A:$G,7,0),0)+公式!$B$14*IFERROR(VLOOKUP($A695,[3]库存使用数据!$A:$G,7,0),0)+IFERROR(VLOOKUP($A695,[4]库存使用数据!$A:$G,7,0),0)+IFERROR(VLOOKUP($A695,[5]库存使用数据!$A:$G,7,0),0)</f>
        <v>1.8</v>
      </c>
      <c r="H695" s="1">
        <f ca="1">IFERROR(VLOOKUP($A695,[1]库存使用数据!$A:$H,8,0),0)+IFERROR(VLOOKUP($A695,[2]库存使用数据!$A:$H,8,0),0)+IFERROR(VLOOKUP($A695,[3]库存使用数据!$A:$H,8,0),0)+IFERROR(VLOOKUP($A695,[4]库存使用数据!$A:$H,8,0),0)+IFERROR(VLOOKUP($A695,[5]库存使用数据!$A:$H,8,0),0)</f>
        <v>899</v>
      </c>
      <c r="I695" s="1">
        <f ca="1">IFERROR(VLOOKUP($A695,[1]库存使用数据!$A:$I,9,0),0)+IFERROR(VLOOKUP($A695,[2]库存使用数据!$A:$I,9,0),0)+IFERROR(VLOOKUP($A695,[3]库存使用数据!$A:$I,9,0),0)+IFERROR(VLOOKUP($A695,[4]库存使用数据!$A:$I,9,0),0)+IFERROR(VLOOKUP($A695,[5]库存使用数据!$A:$I,9,0),0)</f>
        <v>6</v>
      </c>
      <c r="J695" s="1">
        <f ca="1">IFERROR(VLOOKUP($A695,[1]库存使用数据!$A:$J,10,0),0)+IFERROR(VLOOKUP($A695,[2]库存使用数据!$A:$J,10,0),0)+公式!$B$14*IFERROR(VLOOKUP($A695,[3]库存使用数据!$A:$J,10,0),0)+IFERROR(VLOOKUP($A695,[4]库存使用数据!$A:$J,10,0),0)+IFERROR(VLOOKUP($A695,[5]库存使用数据!$A:$J,10,0),0)</f>
        <v>1.26</v>
      </c>
      <c r="K695" s="1">
        <f ca="1">IFERROR(VLOOKUP($A695,[1]库存使用数据!$A:$K,11,0),0)+IFERROR(VLOOKUP($A695,[2]库存使用数据!$A:$K,11,0),0)+IFERROR(VLOOKUP($A695,[3]库存使用数据!$A:$K,11,0),0)+IFERROR(VLOOKUP($A695,[4]库存使用数据!$A:$K,11,0),0)+IFERROR(VLOOKUP($A695,[5]库存使用数据!$A:$K,11,0),0)</f>
        <v>560</v>
      </c>
      <c r="L695" s="1">
        <f ca="1">IFERROR(VLOOKUP($A695,[1]库存使用数据!$A:$L,12,0),0)+IFERROR(VLOOKUP($A695,[2]库存使用数据!$A:$L,12,0),0)+IFERROR(VLOOKUP($A695,[3]库存使用数据!$A:$L,12,0),0)+IFERROR(VLOOKUP($A695,[4]库存使用数据!$A:$L,12,0),0)+IFERROR(VLOOKUP($A695,[5]库存使用数据!$A:$L,12,0),0)</f>
        <v>2</v>
      </c>
      <c r="M695" s="1">
        <f ca="1">IFERROR(VLOOKUP($A695,[1]库存使用数据!$A:$M,13,0),0)+IFERROR(VLOOKUP($A695,[2]库存使用数据!$A:$M,13,0),0)+公式!$B$14*IFERROR(VLOOKUP($A695,[3]库存使用数据!$A:$M,13,0),0)+IFERROR(VLOOKUP($A695,[4]库存使用数据!$A:$M,13,0),0)+IFERROR(VLOOKUP($A695,[5]库存使用数据!$A:$M,13,0),0)</f>
        <v>0.36</v>
      </c>
    </row>
    <row r="696" spans="1:13">
      <c r="A696" s="6" t="s">
        <v>701</v>
      </c>
      <c r="B696" s="2">
        <f ca="1">IFERROR(VLOOKUP(A696,[1]库存使用数据!$A:$B,2,0),0)+IFERROR(VLOOKUP(A696,[2]库存使用数据!$A:$B,2,0),0)+IFERROR(VLOOKUP(,[3]库存使用数据!$A:$B,2,0),0)+IFERROR(VLOOKUP(A696,[4]库存使用数据!$A:$B,2,0),0)+IFERROR(VLOOKUP(A696,[5]库存使用数据!$A:$B,2,0),0)</f>
        <v>0</v>
      </c>
      <c r="C696" s="1">
        <f ca="1">IFERROR(VLOOKUP($A696,[1]库存使用数据!$A:$C,3,0),0)+IFERROR(VLOOKUP($A696,[2]库存使用数据!$A:$C,3,0),0)+IFERROR(VLOOKUP($A696,[3]库存使用数据!$A:$C,3,0),0)+IFERROR(VLOOKUP($A696,[4]库存使用数据!$A:$C,3,0),0)+IFERROR(VLOOKUP($A696,[5]库存使用数据!$A:$C,3,0),0)</f>
        <v>0</v>
      </c>
      <c r="D696" s="1">
        <f ca="1">IFERROR(VLOOKUP($A696,[1]库存使用数据!$A:$D,4,0),0)+IFERROR(VLOOKUP($A696,[2]库存使用数据!$A:$D,4,0),0)+公式!$B$1*IFERROR(VLOOKUP($A696,[3]库存使用数据!$A:$D,4,0),0)+IFERROR(VLOOKUP($A696,[4]库存使用数据!$A:$D,4,0),0)+IFERROR(VLOOKUP($A696,[5]库存使用数据!$A:$D,4,0),0)</f>
        <v>0</v>
      </c>
      <c r="E696" s="1">
        <f ca="1">IFERROR(VLOOKUP($A696,[1]库存使用数据!$A:$E,5,0),0)+IFERROR(VLOOKUP($A696,[2]库存使用数据!$A:$E,5,0),0)+IFERROR(VLOOKUP($A696,[3]库存使用数据!$A:$E,5,0),0)+IFERROR(VLOOKUP($A696,[4]库存使用数据!$A:$E,5,0),0)+IFERROR(VLOOKUP($A696,[5]库存使用数据!$A:$E,5,0),0)</f>
        <v>0</v>
      </c>
      <c r="F696" s="1">
        <f ca="1">IFERROR(VLOOKUP($A696,[1]库存使用数据!$A:$F,6,0),0)+IFERROR(VLOOKUP($A696,[2]库存使用数据!$A:$F,6,0),0)+IFERROR(VLOOKUP($A696,[4]库存使用数据!$A:$F,6,0),0)+IFERROR(VLOOKUP($A696,[3]库存使用数据!$A:$F,6,0),0)+IFERROR(VLOOKUP($A696,[5]库存使用数据!$A:$F,6,0),0)</f>
        <v>0</v>
      </c>
      <c r="G696" s="1">
        <f ca="1">IFERROR(VLOOKUP($A696,[1]库存使用数据!$A:$G,7,0),0)+IFERROR(VLOOKUP($A696,[2]库存使用数据!$A:$G,7,0),0)+公式!$B$14*IFERROR(VLOOKUP($A696,[3]库存使用数据!$A:$G,7,0),0)+IFERROR(VLOOKUP($A696,[4]库存使用数据!$A:$G,7,0),0)+IFERROR(VLOOKUP($A696,[5]库存使用数据!$A:$G,7,0),0)</f>
        <v>0</v>
      </c>
      <c r="H696" s="1">
        <f ca="1">IFERROR(VLOOKUP($A696,[1]库存使用数据!$A:$H,8,0),0)+IFERROR(VLOOKUP($A696,[2]库存使用数据!$A:$H,8,0),0)+IFERROR(VLOOKUP($A696,[3]库存使用数据!$A:$H,8,0),0)+IFERROR(VLOOKUP($A696,[4]库存使用数据!$A:$H,8,0),0)+IFERROR(VLOOKUP($A696,[5]库存使用数据!$A:$H,8,0),0)</f>
        <v>0</v>
      </c>
      <c r="I696" s="1">
        <f ca="1">IFERROR(VLOOKUP($A696,[1]库存使用数据!$A:$I,9,0),0)+IFERROR(VLOOKUP($A696,[2]库存使用数据!$A:$I,9,0),0)+IFERROR(VLOOKUP($A696,[3]库存使用数据!$A:$I,9,0),0)+IFERROR(VLOOKUP($A696,[4]库存使用数据!$A:$I,9,0),0)+IFERROR(VLOOKUP($A696,[5]库存使用数据!$A:$I,9,0),0)</f>
        <v>0</v>
      </c>
      <c r="J696" s="1">
        <f ca="1">IFERROR(VLOOKUP($A696,[1]库存使用数据!$A:$J,10,0),0)+IFERROR(VLOOKUP($A696,[2]库存使用数据!$A:$J,10,0),0)+公式!$B$14*IFERROR(VLOOKUP($A696,[3]库存使用数据!$A:$J,10,0),0)+IFERROR(VLOOKUP($A696,[4]库存使用数据!$A:$J,10,0),0)+IFERROR(VLOOKUP($A696,[5]库存使用数据!$A:$J,10,0),0)</f>
        <v>0</v>
      </c>
      <c r="K696" s="1">
        <f ca="1">IFERROR(VLOOKUP($A696,[1]库存使用数据!$A:$K,11,0),0)+IFERROR(VLOOKUP($A696,[2]库存使用数据!$A:$K,11,0),0)+IFERROR(VLOOKUP($A696,[3]库存使用数据!$A:$K,11,0),0)+IFERROR(VLOOKUP($A696,[4]库存使用数据!$A:$K,11,0),0)+IFERROR(VLOOKUP($A696,[5]库存使用数据!$A:$K,11,0),0)</f>
        <v>1972</v>
      </c>
      <c r="L696" s="1">
        <f ca="1">IFERROR(VLOOKUP($A696,[1]库存使用数据!$A:$L,12,0),0)+IFERROR(VLOOKUP($A696,[2]库存使用数据!$A:$L,12,0),0)+IFERROR(VLOOKUP($A696,[3]库存使用数据!$A:$L,12,0),0)+IFERROR(VLOOKUP($A696,[4]库存使用数据!$A:$L,12,0),0)+IFERROR(VLOOKUP($A696,[5]库存使用数据!$A:$L,12,0),0)</f>
        <v>1</v>
      </c>
      <c r="M696" s="1">
        <f ca="1">IFERROR(VLOOKUP($A696,[1]库存使用数据!$A:$M,13,0),0)+IFERROR(VLOOKUP($A696,[2]库存使用数据!$A:$M,13,0),0)+公式!$B$14*IFERROR(VLOOKUP($A696,[3]库存使用数据!$A:$M,13,0),0)+IFERROR(VLOOKUP($A696,[4]库存使用数据!$A:$M,13,0),0)+IFERROR(VLOOKUP($A696,[5]库存使用数据!$A:$M,13,0),0)</f>
        <v>0.25</v>
      </c>
    </row>
    <row r="697" spans="1:13">
      <c r="A697" s="6" t="s">
        <v>702</v>
      </c>
      <c r="B697" s="2">
        <f ca="1">IFERROR(VLOOKUP(A697,[1]库存使用数据!$A:$B,2,0),0)+IFERROR(VLOOKUP(A697,[2]库存使用数据!$A:$B,2,0),0)+IFERROR(VLOOKUP(,[3]库存使用数据!$A:$B,2,0),0)+IFERROR(VLOOKUP(A697,[4]库存使用数据!$A:$B,2,0),0)+IFERROR(VLOOKUP(A697,[5]库存使用数据!$A:$B,2,0),0)</f>
        <v>1025</v>
      </c>
      <c r="C697" s="1">
        <f ca="1">IFERROR(VLOOKUP($A697,[1]库存使用数据!$A:$C,3,0),0)+IFERROR(VLOOKUP($A697,[2]库存使用数据!$A:$C,3,0),0)+IFERROR(VLOOKUP($A697,[3]库存使用数据!$A:$C,3,0),0)+IFERROR(VLOOKUP($A697,[4]库存使用数据!$A:$C,3,0),0)+IFERROR(VLOOKUP($A697,[5]库存使用数据!$A:$C,3,0),0)</f>
        <v>0</v>
      </c>
      <c r="D697" s="1">
        <f ca="1">IFERROR(VLOOKUP($A697,[1]库存使用数据!$A:$D,4,0),0)+IFERROR(VLOOKUP($A697,[2]库存使用数据!$A:$D,4,0),0)+公式!$B$1*IFERROR(VLOOKUP($A697,[3]库存使用数据!$A:$D,4,0),0)+IFERROR(VLOOKUP($A697,[4]库存使用数据!$A:$D,4,0),0)+IFERROR(VLOOKUP($A697,[5]库存使用数据!$A:$D,4,0),0)</f>
        <v>0</v>
      </c>
      <c r="E697" s="1">
        <f ca="1">IFERROR(VLOOKUP($A697,[1]库存使用数据!$A:$E,5,0),0)+IFERROR(VLOOKUP($A697,[2]库存使用数据!$A:$E,5,0),0)+IFERROR(VLOOKUP($A697,[3]库存使用数据!$A:$E,5,0),0)+IFERROR(VLOOKUP($A697,[4]库存使用数据!$A:$E,5,0),0)+IFERROR(VLOOKUP($A697,[5]库存使用数据!$A:$E,5,0),0)</f>
        <v>1377</v>
      </c>
      <c r="F697" s="1">
        <f ca="1">IFERROR(VLOOKUP($A697,[1]库存使用数据!$A:$F,6,0),0)+IFERROR(VLOOKUP($A697,[2]库存使用数据!$A:$F,6,0),0)+IFERROR(VLOOKUP($A697,[4]库存使用数据!$A:$F,6,0),0)+IFERROR(VLOOKUP($A697,[3]库存使用数据!$A:$F,6,0),0)+IFERROR(VLOOKUP($A697,[5]库存使用数据!$A:$F,6,0),0)</f>
        <v>4</v>
      </c>
      <c r="G697" s="1">
        <f ca="1">IFERROR(VLOOKUP($A697,[1]库存使用数据!$A:$G,7,0),0)+IFERROR(VLOOKUP($A697,[2]库存使用数据!$A:$G,7,0),0)+公式!$B$14*IFERROR(VLOOKUP($A697,[3]库存使用数据!$A:$G,7,0),0)+IFERROR(VLOOKUP($A697,[4]库存使用数据!$A:$G,7,0),0)+IFERROR(VLOOKUP($A697,[5]库存使用数据!$A:$G,7,0),0)</f>
        <v>0.85</v>
      </c>
      <c r="H697" s="1">
        <f ca="1">IFERROR(VLOOKUP($A697,[1]库存使用数据!$A:$H,8,0),0)+IFERROR(VLOOKUP($A697,[2]库存使用数据!$A:$H,8,0),0)+IFERROR(VLOOKUP($A697,[3]库存使用数据!$A:$H,8,0),0)+IFERROR(VLOOKUP($A697,[4]库存使用数据!$A:$H,8,0),0)+IFERROR(VLOOKUP($A697,[5]库存使用数据!$A:$H,8,0),0)</f>
        <v>756</v>
      </c>
      <c r="I697" s="1">
        <f ca="1">IFERROR(VLOOKUP($A697,[1]库存使用数据!$A:$I,9,0),0)+IFERROR(VLOOKUP($A697,[2]库存使用数据!$A:$I,9,0),0)+IFERROR(VLOOKUP($A697,[3]库存使用数据!$A:$I,9,0),0)+IFERROR(VLOOKUP($A697,[4]库存使用数据!$A:$I,9,0),0)+IFERROR(VLOOKUP($A697,[5]库存使用数据!$A:$I,9,0),0)</f>
        <v>1</v>
      </c>
      <c r="J697" s="1">
        <f ca="1">IFERROR(VLOOKUP($A697,[1]库存使用数据!$A:$J,10,0),0)+IFERROR(VLOOKUP($A697,[2]库存使用数据!$A:$J,10,0),0)+公式!$B$14*IFERROR(VLOOKUP($A697,[3]库存使用数据!$A:$J,10,0),0)+IFERROR(VLOOKUP($A697,[4]库存使用数据!$A:$J,10,0),0)+IFERROR(VLOOKUP($A697,[5]库存使用数据!$A:$J,10,0),0)</f>
        <v>0.29</v>
      </c>
      <c r="K697" s="1">
        <f ca="1">IFERROR(VLOOKUP($A697,[1]库存使用数据!$A:$K,11,0),0)+IFERROR(VLOOKUP($A697,[2]库存使用数据!$A:$K,11,0),0)+IFERROR(VLOOKUP($A697,[3]库存使用数据!$A:$K,11,0),0)+IFERROR(VLOOKUP($A697,[4]库存使用数据!$A:$K,11,0),0)+IFERROR(VLOOKUP($A697,[5]库存使用数据!$A:$K,11,0),0)</f>
        <v>1554</v>
      </c>
      <c r="L697" s="1">
        <f ca="1">IFERROR(VLOOKUP($A697,[1]库存使用数据!$A:$L,12,0),0)+IFERROR(VLOOKUP($A697,[2]库存使用数据!$A:$L,12,0),0)+IFERROR(VLOOKUP($A697,[3]库存使用数据!$A:$L,12,0),0)+IFERROR(VLOOKUP($A697,[4]库存使用数据!$A:$L,12,0),0)+IFERROR(VLOOKUP($A697,[5]库存使用数据!$A:$L,12,0),0)</f>
        <v>4</v>
      </c>
      <c r="M697" s="1">
        <f ca="1">IFERROR(VLOOKUP($A697,[1]库存使用数据!$A:$M,13,0),0)+IFERROR(VLOOKUP($A697,[2]库存使用数据!$A:$M,13,0),0)+公式!$B$14*IFERROR(VLOOKUP($A697,[3]库存使用数据!$A:$M,13,0),0)+IFERROR(VLOOKUP($A697,[4]库存使用数据!$A:$M,13,0),0)+IFERROR(VLOOKUP($A697,[5]库存使用数据!$A:$M,13,0),0)</f>
        <v>0.42</v>
      </c>
    </row>
    <row r="698" spans="1:13">
      <c r="A698" s="6" t="s">
        <v>703</v>
      </c>
      <c r="B698" s="2">
        <f ca="1">IFERROR(VLOOKUP(A698,[1]库存使用数据!$A:$B,2,0),0)+IFERROR(VLOOKUP(A698,[2]库存使用数据!$A:$B,2,0),0)+IFERROR(VLOOKUP(,[3]库存使用数据!$A:$B,2,0),0)+IFERROR(VLOOKUP(A698,[4]库存使用数据!$A:$B,2,0),0)+IFERROR(VLOOKUP(A698,[5]库存使用数据!$A:$B,2,0),0)</f>
        <v>5</v>
      </c>
      <c r="C698" s="1">
        <f ca="1">IFERROR(VLOOKUP($A698,[1]库存使用数据!$A:$C,3,0),0)+IFERROR(VLOOKUP($A698,[2]库存使用数据!$A:$C,3,0),0)+IFERROR(VLOOKUP($A698,[3]库存使用数据!$A:$C,3,0),0)+IFERROR(VLOOKUP($A698,[4]库存使用数据!$A:$C,3,0),0)+IFERROR(VLOOKUP($A698,[5]库存使用数据!$A:$C,3,0),0)</f>
        <v>0</v>
      </c>
      <c r="D698" s="1">
        <f ca="1">IFERROR(VLOOKUP($A698,[1]库存使用数据!$A:$D,4,0),0)+IFERROR(VLOOKUP($A698,[2]库存使用数据!$A:$D,4,0),0)+公式!$B$1*IFERROR(VLOOKUP($A698,[3]库存使用数据!$A:$D,4,0),0)+IFERROR(VLOOKUP($A698,[4]库存使用数据!$A:$D,4,0),0)+IFERROR(VLOOKUP($A698,[5]库存使用数据!$A:$D,4,0),0)</f>
        <v>0</v>
      </c>
      <c r="E698" s="1">
        <f ca="1">IFERROR(VLOOKUP($A698,[1]库存使用数据!$A:$E,5,0),0)+IFERROR(VLOOKUP($A698,[2]库存使用数据!$A:$E,5,0),0)+IFERROR(VLOOKUP($A698,[3]库存使用数据!$A:$E,5,0),0)+IFERROR(VLOOKUP($A698,[4]库存使用数据!$A:$E,5,0),0)+IFERROR(VLOOKUP($A698,[5]库存使用数据!$A:$E,5,0),0)</f>
        <v>8</v>
      </c>
      <c r="F698" s="1">
        <f ca="1">IFERROR(VLOOKUP($A698,[1]库存使用数据!$A:$F,6,0),0)+IFERROR(VLOOKUP($A698,[2]库存使用数据!$A:$F,6,0),0)+IFERROR(VLOOKUP($A698,[4]库存使用数据!$A:$F,6,0),0)+IFERROR(VLOOKUP($A698,[3]库存使用数据!$A:$F,6,0),0)+IFERROR(VLOOKUP($A698,[5]库存使用数据!$A:$F,6,0),0)</f>
        <v>0</v>
      </c>
      <c r="G698" s="1">
        <f ca="1">IFERROR(VLOOKUP($A698,[1]库存使用数据!$A:$G,7,0),0)+IFERROR(VLOOKUP($A698,[2]库存使用数据!$A:$G,7,0),0)+公式!$B$14*IFERROR(VLOOKUP($A698,[3]库存使用数据!$A:$G,7,0),0)+IFERROR(VLOOKUP($A698,[4]库存使用数据!$A:$G,7,0),0)+IFERROR(VLOOKUP($A698,[5]库存使用数据!$A:$G,7,0),0)</f>
        <v>0</v>
      </c>
      <c r="H698" s="1">
        <f ca="1">IFERROR(VLOOKUP($A698,[1]库存使用数据!$A:$H,8,0),0)+IFERROR(VLOOKUP($A698,[2]库存使用数据!$A:$H,8,0),0)+IFERROR(VLOOKUP($A698,[3]库存使用数据!$A:$H,8,0),0)+IFERROR(VLOOKUP($A698,[4]库存使用数据!$A:$H,8,0),0)+IFERROR(VLOOKUP($A698,[5]库存使用数据!$A:$H,8,0),0)</f>
        <v>7</v>
      </c>
      <c r="I698" s="1">
        <f ca="1">IFERROR(VLOOKUP($A698,[1]库存使用数据!$A:$I,9,0),0)+IFERROR(VLOOKUP($A698,[2]库存使用数据!$A:$I,9,0),0)+IFERROR(VLOOKUP($A698,[3]库存使用数据!$A:$I,9,0),0)+IFERROR(VLOOKUP($A698,[4]库存使用数据!$A:$I,9,0),0)+IFERROR(VLOOKUP($A698,[5]库存使用数据!$A:$I,9,0),0)</f>
        <v>0</v>
      </c>
      <c r="J698" s="1">
        <f ca="1">IFERROR(VLOOKUP($A698,[1]库存使用数据!$A:$J,10,0),0)+IFERROR(VLOOKUP($A698,[2]库存使用数据!$A:$J,10,0),0)+公式!$B$14*IFERROR(VLOOKUP($A698,[3]库存使用数据!$A:$J,10,0),0)+IFERROR(VLOOKUP($A698,[4]库存使用数据!$A:$J,10,0),0)+IFERROR(VLOOKUP($A698,[5]库存使用数据!$A:$J,10,0),0)</f>
        <v>0</v>
      </c>
      <c r="K698" s="1">
        <f ca="1">IFERROR(VLOOKUP($A698,[1]库存使用数据!$A:$K,11,0),0)+IFERROR(VLOOKUP($A698,[2]库存使用数据!$A:$K,11,0),0)+IFERROR(VLOOKUP($A698,[3]库存使用数据!$A:$K,11,0),0)+IFERROR(VLOOKUP($A698,[4]库存使用数据!$A:$K,11,0),0)+IFERROR(VLOOKUP($A698,[5]库存使用数据!$A:$K,11,0),0)</f>
        <v>3</v>
      </c>
      <c r="L698" s="1">
        <f ca="1">IFERROR(VLOOKUP($A698,[1]库存使用数据!$A:$L,12,0),0)+IFERROR(VLOOKUP($A698,[2]库存使用数据!$A:$L,12,0),0)+IFERROR(VLOOKUP($A698,[3]库存使用数据!$A:$L,12,0),0)+IFERROR(VLOOKUP($A698,[4]库存使用数据!$A:$L,12,0),0)+IFERROR(VLOOKUP($A698,[5]库存使用数据!$A:$L,12,0),0)</f>
        <v>0</v>
      </c>
      <c r="M698" s="1">
        <f ca="1">IFERROR(VLOOKUP($A698,[1]库存使用数据!$A:$M,13,0),0)+IFERROR(VLOOKUP($A698,[2]库存使用数据!$A:$M,13,0),0)+公式!$B$14*IFERROR(VLOOKUP($A698,[3]库存使用数据!$A:$M,13,0),0)+IFERROR(VLOOKUP($A698,[4]库存使用数据!$A:$M,13,0),0)+IFERROR(VLOOKUP($A698,[5]库存使用数据!$A:$M,13,0),0)</f>
        <v>0</v>
      </c>
    </row>
    <row r="699" spans="1:13">
      <c r="A699" s="6" t="s">
        <v>704</v>
      </c>
      <c r="B699" s="2">
        <f ca="1">IFERROR(VLOOKUP(A699,[1]库存使用数据!$A:$B,2,0),0)+IFERROR(VLOOKUP(A699,[2]库存使用数据!$A:$B,2,0),0)+IFERROR(VLOOKUP(,[3]库存使用数据!$A:$B,2,0),0)+IFERROR(VLOOKUP(A699,[4]库存使用数据!$A:$B,2,0),0)+IFERROR(VLOOKUP(A699,[5]库存使用数据!$A:$B,2,0),0)</f>
        <v>2574</v>
      </c>
      <c r="C699" s="1">
        <f ca="1">IFERROR(VLOOKUP($A699,[1]库存使用数据!$A:$C,3,0),0)+IFERROR(VLOOKUP($A699,[2]库存使用数据!$A:$C,3,0),0)+IFERROR(VLOOKUP($A699,[3]库存使用数据!$A:$C,3,0),0)+IFERROR(VLOOKUP($A699,[4]库存使用数据!$A:$C,3,0),0)+IFERROR(VLOOKUP($A699,[5]库存使用数据!$A:$C,3,0),0)</f>
        <v>17</v>
      </c>
      <c r="D699" s="1">
        <f ca="1">IFERROR(VLOOKUP($A699,[1]库存使用数据!$A:$D,4,0),0)+IFERROR(VLOOKUP($A699,[2]库存使用数据!$A:$D,4,0),0)+公式!$B$1*IFERROR(VLOOKUP($A699,[3]库存使用数据!$A:$D,4,0),0)+IFERROR(VLOOKUP($A699,[4]库存使用数据!$A:$D,4,0),0)+IFERROR(VLOOKUP($A699,[5]库存使用数据!$A:$D,4,0),0)</f>
        <v>3.43</v>
      </c>
      <c r="E699" s="1">
        <f ca="1">IFERROR(VLOOKUP($A699,[1]库存使用数据!$A:$E,5,0),0)+IFERROR(VLOOKUP($A699,[2]库存使用数据!$A:$E,5,0),0)+IFERROR(VLOOKUP($A699,[3]库存使用数据!$A:$E,5,0),0)+IFERROR(VLOOKUP($A699,[4]库存使用数据!$A:$E,5,0),0)+IFERROR(VLOOKUP($A699,[5]库存使用数据!$A:$E,5,0),0)</f>
        <v>6229</v>
      </c>
      <c r="F699" s="1">
        <f ca="1">IFERROR(VLOOKUP($A699,[1]库存使用数据!$A:$F,6,0),0)+IFERROR(VLOOKUP($A699,[2]库存使用数据!$A:$F,6,0),0)+IFERROR(VLOOKUP($A699,[4]库存使用数据!$A:$F,6,0),0)+IFERROR(VLOOKUP($A699,[3]库存使用数据!$A:$F,6,0),0)+IFERROR(VLOOKUP($A699,[5]库存使用数据!$A:$F,6,0),0)</f>
        <v>19</v>
      </c>
      <c r="G699" s="1">
        <f ca="1">IFERROR(VLOOKUP($A699,[1]库存使用数据!$A:$G,7,0),0)+IFERROR(VLOOKUP($A699,[2]库存使用数据!$A:$G,7,0),0)+公式!$B$14*IFERROR(VLOOKUP($A699,[3]库存使用数据!$A:$G,7,0),0)+IFERROR(VLOOKUP($A699,[4]库存使用数据!$A:$G,7,0),0)+IFERROR(VLOOKUP($A699,[5]库存使用数据!$A:$G,7,0),0)</f>
        <v>4</v>
      </c>
      <c r="H699" s="1">
        <f ca="1">IFERROR(VLOOKUP($A699,[1]库存使用数据!$A:$H,8,0),0)+IFERROR(VLOOKUP($A699,[2]库存使用数据!$A:$H,8,0),0)+IFERROR(VLOOKUP($A699,[3]库存使用数据!$A:$H,8,0),0)+IFERROR(VLOOKUP($A699,[4]库存使用数据!$A:$H,8,0),0)+IFERROR(VLOOKUP($A699,[5]库存使用数据!$A:$H,8,0),0)</f>
        <v>5613</v>
      </c>
      <c r="I699" s="1">
        <f ca="1">IFERROR(VLOOKUP($A699,[1]库存使用数据!$A:$I,9,0),0)+IFERROR(VLOOKUP($A699,[2]库存使用数据!$A:$I,9,0),0)+IFERROR(VLOOKUP($A699,[3]库存使用数据!$A:$I,9,0),0)+IFERROR(VLOOKUP($A699,[4]库存使用数据!$A:$I,9,0),0)+IFERROR(VLOOKUP($A699,[5]库存使用数据!$A:$I,9,0),0)</f>
        <v>17</v>
      </c>
      <c r="J699" s="1">
        <f ca="1">IFERROR(VLOOKUP($A699,[1]库存使用数据!$A:$J,10,0),0)+IFERROR(VLOOKUP($A699,[2]库存使用数据!$A:$J,10,0),0)+公式!$B$14*IFERROR(VLOOKUP($A699,[3]库存使用数据!$A:$J,10,0),0)+IFERROR(VLOOKUP($A699,[4]库存使用数据!$A:$J,10,0),0)+IFERROR(VLOOKUP($A699,[5]库存使用数据!$A:$J,10,0),0)</f>
        <v>3.52</v>
      </c>
      <c r="K699" s="1">
        <f ca="1">IFERROR(VLOOKUP($A699,[1]库存使用数据!$A:$K,11,0),0)+IFERROR(VLOOKUP($A699,[2]库存使用数据!$A:$K,11,0),0)+IFERROR(VLOOKUP($A699,[3]库存使用数据!$A:$K,11,0),0)+IFERROR(VLOOKUP($A699,[4]库存使用数据!$A:$K,11,0),0)+IFERROR(VLOOKUP($A699,[5]库存使用数据!$A:$K,11,0),0)</f>
        <v>4263</v>
      </c>
      <c r="L699" s="1">
        <f ca="1">IFERROR(VLOOKUP($A699,[1]库存使用数据!$A:$L,12,0),0)+IFERROR(VLOOKUP($A699,[2]库存使用数据!$A:$L,12,0),0)+IFERROR(VLOOKUP($A699,[3]库存使用数据!$A:$L,12,0),0)+IFERROR(VLOOKUP($A699,[4]库存使用数据!$A:$L,12,0),0)+IFERROR(VLOOKUP($A699,[5]库存使用数据!$A:$L,12,0),0)</f>
        <v>27</v>
      </c>
      <c r="M699" s="1">
        <f ca="1">IFERROR(VLOOKUP($A699,[1]库存使用数据!$A:$M,13,0),0)+IFERROR(VLOOKUP($A699,[2]库存使用数据!$A:$M,13,0),0)+公式!$B$14*IFERROR(VLOOKUP($A699,[3]库存使用数据!$A:$M,13,0),0)+IFERROR(VLOOKUP($A699,[4]库存使用数据!$A:$M,13,0),0)+IFERROR(VLOOKUP($A699,[5]库存使用数据!$A:$M,13,0),0)</f>
        <v>5.95</v>
      </c>
    </row>
    <row r="700" spans="1:13">
      <c r="A700" s="6" t="s">
        <v>705</v>
      </c>
      <c r="B700" s="2">
        <f ca="1">IFERROR(VLOOKUP(A700,[1]库存使用数据!$A:$B,2,0),0)+IFERROR(VLOOKUP(A700,[2]库存使用数据!$A:$B,2,0),0)+IFERROR(VLOOKUP(,[3]库存使用数据!$A:$B,2,0),0)+IFERROR(VLOOKUP(A700,[4]库存使用数据!$A:$B,2,0),0)+IFERROR(VLOOKUP(A700,[5]库存使用数据!$A:$B,2,0),0)</f>
        <v>3171</v>
      </c>
      <c r="C700" s="1">
        <f ca="1">IFERROR(VLOOKUP($A700,[1]库存使用数据!$A:$C,3,0),0)+IFERROR(VLOOKUP($A700,[2]库存使用数据!$A:$C,3,0),0)+IFERROR(VLOOKUP($A700,[3]库存使用数据!$A:$C,3,0),0)+IFERROR(VLOOKUP($A700,[4]库存使用数据!$A:$C,3,0),0)+IFERROR(VLOOKUP($A700,[5]库存使用数据!$A:$C,3,0),0)</f>
        <v>15</v>
      </c>
      <c r="D700" s="1">
        <f ca="1">IFERROR(VLOOKUP($A700,[1]库存使用数据!$A:$D,4,0),0)+IFERROR(VLOOKUP($A700,[2]库存使用数据!$A:$D,4,0),0)+公式!$B$1*IFERROR(VLOOKUP($A700,[3]库存使用数据!$A:$D,4,0),0)+IFERROR(VLOOKUP($A700,[4]库存使用数据!$A:$D,4,0),0)+IFERROR(VLOOKUP($A700,[5]库存使用数据!$A:$D,4,0),0)</f>
        <v>2.99</v>
      </c>
      <c r="E700" s="1">
        <f ca="1">IFERROR(VLOOKUP($A700,[1]库存使用数据!$A:$E,5,0),0)+IFERROR(VLOOKUP($A700,[2]库存使用数据!$A:$E,5,0),0)+IFERROR(VLOOKUP($A700,[3]库存使用数据!$A:$E,5,0),0)+IFERROR(VLOOKUP($A700,[4]库存使用数据!$A:$E,5,0),0)+IFERROR(VLOOKUP($A700,[5]库存使用数据!$A:$E,5,0),0)</f>
        <v>8167</v>
      </c>
      <c r="F700" s="1">
        <f ca="1">IFERROR(VLOOKUP($A700,[1]库存使用数据!$A:$F,6,0),0)+IFERROR(VLOOKUP($A700,[2]库存使用数据!$A:$F,6,0),0)+IFERROR(VLOOKUP($A700,[4]库存使用数据!$A:$F,6,0),0)+IFERROR(VLOOKUP($A700,[3]库存使用数据!$A:$F,6,0),0)+IFERROR(VLOOKUP($A700,[5]库存使用数据!$A:$F,6,0),0)</f>
        <v>30</v>
      </c>
      <c r="G700" s="1">
        <f ca="1">IFERROR(VLOOKUP($A700,[1]库存使用数据!$A:$G,7,0),0)+IFERROR(VLOOKUP($A700,[2]库存使用数据!$A:$G,7,0),0)+公式!$B$14*IFERROR(VLOOKUP($A700,[3]库存使用数据!$A:$G,7,0),0)+IFERROR(VLOOKUP($A700,[4]库存使用数据!$A:$G,7,0),0)+IFERROR(VLOOKUP($A700,[5]库存使用数据!$A:$G,7,0),0)</f>
        <v>5.94</v>
      </c>
      <c r="H700" s="1">
        <f ca="1">IFERROR(VLOOKUP($A700,[1]库存使用数据!$A:$H,8,0),0)+IFERROR(VLOOKUP($A700,[2]库存使用数据!$A:$H,8,0),0)+IFERROR(VLOOKUP($A700,[3]库存使用数据!$A:$H,8,0),0)+IFERROR(VLOOKUP($A700,[4]库存使用数据!$A:$H,8,0),0)+IFERROR(VLOOKUP($A700,[5]库存使用数据!$A:$H,8,0),0)</f>
        <v>2070</v>
      </c>
      <c r="I700" s="1">
        <f ca="1">IFERROR(VLOOKUP($A700,[1]库存使用数据!$A:$I,9,0),0)+IFERROR(VLOOKUP($A700,[2]库存使用数据!$A:$I,9,0),0)+IFERROR(VLOOKUP($A700,[3]库存使用数据!$A:$I,9,0),0)+IFERROR(VLOOKUP($A700,[4]库存使用数据!$A:$I,9,0),0)+IFERROR(VLOOKUP($A700,[5]库存使用数据!$A:$I,9,0),0)</f>
        <v>6</v>
      </c>
      <c r="J700" s="1">
        <f ca="1">IFERROR(VLOOKUP($A700,[1]库存使用数据!$A:$J,10,0),0)+IFERROR(VLOOKUP($A700,[2]库存使用数据!$A:$J,10,0),0)+公式!$B$14*IFERROR(VLOOKUP($A700,[3]库存使用数据!$A:$J,10,0),0)+IFERROR(VLOOKUP($A700,[4]库存使用数据!$A:$J,10,0),0)+IFERROR(VLOOKUP($A700,[5]库存使用数据!$A:$J,10,0),0)</f>
        <v>1.28</v>
      </c>
      <c r="K700" s="1">
        <f ca="1">IFERROR(VLOOKUP($A700,[1]库存使用数据!$A:$K,11,0),0)+IFERROR(VLOOKUP($A700,[2]库存使用数据!$A:$K,11,0),0)+IFERROR(VLOOKUP($A700,[3]库存使用数据!$A:$K,11,0),0)+IFERROR(VLOOKUP($A700,[4]库存使用数据!$A:$K,11,0),0)+IFERROR(VLOOKUP($A700,[5]库存使用数据!$A:$K,11,0),0)</f>
        <v>594</v>
      </c>
      <c r="L700" s="1">
        <f ca="1">IFERROR(VLOOKUP($A700,[1]库存使用数据!$A:$L,12,0),0)+IFERROR(VLOOKUP($A700,[2]库存使用数据!$A:$L,12,0),0)+IFERROR(VLOOKUP($A700,[3]库存使用数据!$A:$L,12,0),0)+IFERROR(VLOOKUP($A700,[4]库存使用数据!$A:$L,12,0),0)+IFERROR(VLOOKUP($A700,[5]库存使用数据!$A:$L,12,0),0)</f>
        <v>2</v>
      </c>
      <c r="M700" s="1">
        <f ca="1">IFERROR(VLOOKUP($A700,[1]库存使用数据!$A:$M,13,0),0)+IFERROR(VLOOKUP($A700,[2]库存使用数据!$A:$M,13,0),0)+公式!$B$14*IFERROR(VLOOKUP($A700,[3]库存使用数据!$A:$M,13,0),0)+IFERROR(VLOOKUP($A700,[4]库存使用数据!$A:$M,13,0),0)+IFERROR(VLOOKUP($A700,[5]库存使用数据!$A:$M,13,0),0)</f>
        <v>0.57</v>
      </c>
    </row>
    <row r="701" spans="1:13">
      <c r="A701" s="6" t="s">
        <v>706</v>
      </c>
      <c r="B701" s="2">
        <f ca="1">IFERROR(VLOOKUP(A701,[1]库存使用数据!$A:$B,2,0),0)+IFERROR(VLOOKUP(A701,[2]库存使用数据!$A:$B,2,0),0)+IFERROR(VLOOKUP(,[3]库存使用数据!$A:$B,2,0),0)+IFERROR(VLOOKUP(A701,[4]库存使用数据!$A:$B,2,0),0)+IFERROR(VLOOKUP(A701,[5]库存使用数据!$A:$B,2,0),0)</f>
        <v>4906</v>
      </c>
      <c r="C701" s="1">
        <f ca="1">IFERROR(VLOOKUP($A701,[1]库存使用数据!$A:$C,3,0),0)+IFERROR(VLOOKUP($A701,[2]库存使用数据!$A:$C,3,0),0)+IFERROR(VLOOKUP($A701,[3]库存使用数据!$A:$C,3,0),0)+IFERROR(VLOOKUP($A701,[4]库存使用数据!$A:$C,3,0),0)+IFERROR(VLOOKUP($A701,[5]库存使用数据!$A:$C,3,0),0)</f>
        <v>33</v>
      </c>
      <c r="D701" s="1">
        <f ca="1">IFERROR(VLOOKUP($A701,[1]库存使用数据!$A:$D,4,0),0)+IFERROR(VLOOKUP($A701,[2]库存使用数据!$A:$D,4,0),0)+公式!$B$1*IFERROR(VLOOKUP($A701,[3]库存使用数据!$A:$D,4,0),0)+IFERROR(VLOOKUP($A701,[4]库存使用数据!$A:$D,4,0),0)+IFERROR(VLOOKUP($A701,[5]库存使用数据!$A:$D,4,0),0)</f>
        <v>6.59</v>
      </c>
      <c r="E701" s="1">
        <f ca="1">IFERROR(VLOOKUP($A701,[1]库存使用数据!$A:$E,5,0),0)+IFERROR(VLOOKUP($A701,[2]库存使用数据!$A:$E,5,0),0)+IFERROR(VLOOKUP($A701,[3]库存使用数据!$A:$E,5,0),0)+IFERROR(VLOOKUP($A701,[4]库存使用数据!$A:$E,5,0),0)+IFERROR(VLOOKUP($A701,[5]库存使用数据!$A:$E,5,0),0)</f>
        <v>11426</v>
      </c>
      <c r="F701" s="1">
        <f ca="1">IFERROR(VLOOKUP($A701,[1]库存使用数据!$A:$F,6,0),0)+IFERROR(VLOOKUP($A701,[2]库存使用数据!$A:$F,6,0),0)+IFERROR(VLOOKUP($A701,[4]库存使用数据!$A:$F,6,0),0)+IFERROR(VLOOKUP($A701,[3]库存使用数据!$A:$F,6,0),0)+IFERROR(VLOOKUP($A701,[5]库存使用数据!$A:$F,6,0),0)</f>
        <v>67</v>
      </c>
      <c r="G701" s="1">
        <f ca="1">IFERROR(VLOOKUP($A701,[1]库存使用数据!$A:$G,7,0),0)+IFERROR(VLOOKUP($A701,[2]库存使用数据!$A:$G,7,0),0)+公式!$B$14*IFERROR(VLOOKUP($A701,[3]库存使用数据!$A:$G,7,0),0)+IFERROR(VLOOKUP($A701,[4]库存使用数据!$A:$G,7,0),0)+IFERROR(VLOOKUP($A701,[5]库存使用数据!$A:$G,7,0),0)</f>
        <v>12.54</v>
      </c>
      <c r="H701" s="1">
        <f ca="1">IFERROR(VLOOKUP($A701,[1]库存使用数据!$A:$H,8,0),0)+IFERROR(VLOOKUP($A701,[2]库存使用数据!$A:$H,8,0),0)+IFERROR(VLOOKUP($A701,[3]库存使用数据!$A:$H,8,0),0)+IFERROR(VLOOKUP($A701,[4]库存使用数据!$A:$H,8,0),0)+IFERROR(VLOOKUP($A701,[5]库存使用数据!$A:$H,8,0),0)</f>
        <v>5468</v>
      </c>
      <c r="I701" s="1">
        <f ca="1">IFERROR(VLOOKUP($A701,[1]库存使用数据!$A:$I,9,0),0)+IFERROR(VLOOKUP($A701,[2]库存使用数据!$A:$I,9,0),0)+IFERROR(VLOOKUP($A701,[3]库存使用数据!$A:$I,9,0),0)+IFERROR(VLOOKUP($A701,[4]库存使用数据!$A:$I,9,0),0)+IFERROR(VLOOKUP($A701,[5]库存使用数据!$A:$I,9,0),0)</f>
        <v>39</v>
      </c>
      <c r="J701" s="1">
        <f ca="1">IFERROR(VLOOKUP($A701,[1]库存使用数据!$A:$J,10,0),0)+IFERROR(VLOOKUP($A701,[2]库存使用数据!$A:$J,10,0),0)+公式!$B$14*IFERROR(VLOOKUP($A701,[3]库存使用数据!$A:$J,10,0),0)+IFERROR(VLOOKUP($A701,[4]库存使用数据!$A:$J,10,0),0)+IFERROR(VLOOKUP($A701,[5]库存使用数据!$A:$J,10,0),0)</f>
        <v>7.33</v>
      </c>
      <c r="K701" s="1">
        <f ca="1">IFERROR(VLOOKUP($A701,[1]库存使用数据!$A:$K,11,0),0)+IFERROR(VLOOKUP($A701,[2]库存使用数据!$A:$K,11,0),0)+IFERROR(VLOOKUP($A701,[3]库存使用数据!$A:$K,11,0),0)+IFERROR(VLOOKUP($A701,[4]库存使用数据!$A:$K,11,0),0)+IFERROR(VLOOKUP($A701,[5]库存使用数据!$A:$K,11,0),0)</f>
        <v>12934</v>
      </c>
      <c r="L701" s="1">
        <f ca="1">IFERROR(VLOOKUP($A701,[1]库存使用数据!$A:$L,12,0),0)+IFERROR(VLOOKUP($A701,[2]库存使用数据!$A:$L,12,0),0)+IFERROR(VLOOKUP($A701,[3]库存使用数据!$A:$L,12,0),0)+IFERROR(VLOOKUP($A701,[4]库存使用数据!$A:$L,12,0),0)+IFERROR(VLOOKUP($A701,[5]库存使用数据!$A:$L,12,0),0)</f>
        <v>53</v>
      </c>
      <c r="M701" s="1">
        <f ca="1">IFERROR(VLOOKUP($A701,[1]库存使用数据!$A:$M,13,0),0)+IFERROR(VLOOKUP($A701,[2]库存使用数据!$A:$M,13,0),0)+公式!$B$14*IFERROR(VLOOKUP($A701,[3]库存使用数据!$A:$M,13,0),0)+IFERROR(VLOOKUP($A701,[4]库存使用数据!$A:$M,13,0),0)+IFERROR(VLOOKUP($A701,[5]库存使用数据!$A:$M,13,0),0)</f>
        <v>9.77</v>
      </c>
    </row>
    <row r="702" spans="1:13">
      <c r="A702" s="6" t="s">
        <v>707</v>
      </c>
      <c r="B702" s="2">
        <f ca="1">IFERROR(VLOOKUP(A702,[1]库存使用数据!$A:$B,2,0),0)+IFERROR(VLOOKUP(A702,[2]库存使用数据!$A:$B,2,0),0)+IFERROR(VLOOKUP(,[3]库存使用数据!$A:$B,2,0),0)+IFERROR(VLOOKUP(A702,[4]库存使用数据!$A:$B,2,0),0)+IFERROR(VLOOKUP(A702,[5]库存使用数据!$A:$B,2,0),0)</f>
        <v>7</v>
      </c>
      <c r="C702" s="1">
        <f ca="1">IFERROR(VLOOKUP($A702,[1]库存使用数据!$A:$C,3,0),0)+IFERROR(VLOOKUP($A702,[2]库存使用数据!$A:$C,3,0),0)+IFERROR(VLOOKUP($A702,[3]库存使用数据!$A:$C,3,0),0)+IFERROR(VLOOKUP($A702,[4]库存使用数据!$A:$C,3,0),0)+IFERROR(VLOOKUP($A702,[5]库存使用数据!$A:$C,3,0),0)</f>
        <v>0</v>
      </c>
      <c r="D702" s="1">
        <f ca="1">IFERROR(VLOOKUP($A702,[1]库存使用数据!$A:$D,4,0),0)+IFERROR(VLOOKUP($A702,[2]库存使用数据!$A:$D,4,0),0)+公式!$B$1*IFERROR(VLOOKUP($A702,[3]库存使用数据!$A:$D,4,0),0)+IFERROR(VLOOKUP($A702,[4]库存使用数据!$A:$D,4,0),0)+IFERROR(VLOOKUP($A702,[5]库存使用数据!$A:$D,4,0),0)</f>
        <v>0</v>
      </c>
      <c r="E702" s="1">
        <f ca="1">IFERROR(VLOOKUP($A702,[1]库存使用数据!$A:$E,5,0),0)+IFERROR(VLOOKUP($A702,[2]库存使用数据!$A:$E,5,0),0)+IFERROR(VLOOKUP($A702,[3]库存使用数据!$A:$E,5,0),0)+IFERROR(VLOOKUP($A702,[4]库存使用数据!$A:$E,5,0),0)+IFERROR(VLOOKUP($A702,[5]库存使用数据!$A:$E,5,0),0)</f>
        <v>21</v>
      </c>
      <c r="F702" s="1">
        <f ca="1">IFERROR(VLOOKUP($A702,[1]库存使用数据!$A:$F,6,0),0)+IFERROR(VLOOKUP($A702,[2]库存使用数据!$A:$F,6,0),0)+IFERROR(VLOOKUP($A702,[4]库存使用数据!$A:$F,6,0),0)+IFERROR(VLOOKUP($A702,[3]库存使用数据!$A:$F,6,0),0)+IFERROR(VLOOKUP($A702,[5]库存使用数据!$A:$F,6,0),0)</f>
        <v>0</v>
      </c>
      <c r="G702" s="1">
        <f ca="1">IFERROR(VLOOKUP($A702,[1]库存使用数据!$A:$G,7,0),0)+IFERROR(VLOOKUP($A702,[2]库存使用数据!$A:$G,7,0),0)+公式!$B$14*IFERROR(VLOOKUP($A702,[3]库存使用数据!$A:$G,7,0),0)+IFERROR(VLOOKUP($A702,[4]库存使用数据!$A:$G,7,0),0)+IFERROR(VLOOKUP($A702,[5]库存使用数据!$A:$G,7,0),0)</f>
        <v>0</v>
      </c>
      <c r="H702" s="1">
        <f ca="1">IFERROR(VLOOKUP($A702,[1]库存使用数据!$A:$H,8,0),0)+IFERROR(VLOOKUP($A702,[2]库存使用数据!$A:$H,8,0),0)+IFERROR(VLOOKUP($A702,[3]库存使用数据!$A:$H,8,0),0)+IFERROR(VLOOKUP($A702,[4]库存使用数据!$A:$H,8,0),0)+IFERROR(VLOOKUP($A702,[5]库存使用数据!$A:$H,8,0),0)</f>
        <v>9</v>
      </c>
      <c r="I702" s="1">
        <f ca="1">IFERROR(VLOOKUP($A702,[1]库存使用数据!$A:$I,9,0),0)+IFERROR(VLOOKUP($A702,[2]库存使用数据!$A:$I,9,0),0)+IFERROR(VLOOKUP($A702,[3]库存使用数据!$A:$I,9,0),0)+IFERROR(VLOOKUP($A702,[4]库存使用数据!$A:$I,9,0),0)+IFERROR(VLOOKUP($A702,[5]库存使用数据!$A:$I,9,0),0)</f>
        <v>0</v>
      </c>
      <c r="J702" s="1">
        <f ca="1">IFERROR(VLOOKUP($A702,[1]库存使用数据!$A:$J,10,0),0)+IFERROR(VLOOKUP($A702,[2]库存使用数据!$A:$J,10,0),0)+公式!$B$14*IFERROR(VLOOKUP($A702,[3]库存使用数据!$A:$J,10,0),0)+IFERROR(VLOOKUP($A702,[4]库存使用数据!$A:$J,10,0),0)+IFERROR(VLOOKUP($A702,[5]库存使用数据!$A:$J,10,0),0)</f>
        <v>0</v>
      </c>
      <c r="K702" s="1">
        <f ca="1">IFERROR(VLOOKUP($A702,[1]库存使用数据!$A:$K,11,0),0)+IFERROR(VLOOKUP($A702,[2]库存使用数据!$A:$K,11,0),0)+IFERROR(VLOOKUP($A702,[3]库存使用数据!$A:$K,11,0),0)+IFERROR(VLOOKUP($A702,[4]库存使用数据!$A:$K,11,0),0)+IFERROR(VLOOKUP($A702,[5]库存使用数据!$A:$K,11,0),0)</f>
        <v>14</v>
      </c>
      <c r="L702" s="1">
        <f ca="1">IFERROR(VLOOKUP($A702,[1]库存使用数据!$A:$L,12,0),0)+IFERROR(VLOOKUP($A702,[2]库存使用数据!$A:$L,12,0),0)+IFERROR(VLOOKUP($A702,[3]库存使用数据!$A:$L,12,0),0)+IFERROR(VLOOKUP($A702,[4]库存使用数据!$A:$L,12,0),0)+IFERROR(VLOOKUP($A702,[5]库存使用数据!$A:$L,12,0),0)</f>
        <v>0</v>
      </c>
      <c r="M702" s="1">
        <f ca="1">IFERROR(VLOOKUP($A702,[1]库存使用数据!$A:$M,13,0),0)+IFERROR(VLOOKUP($A702,[2]库存使用数据!$A:$M,13,0),0)+公式!$B$14*IFERROR(VLOOKUP($A702,[3]库存使用数据!$A:$M,13,0),0)+IFERROR(VLOOKUP($A702,[4]库存使用数据!$A:$M,13,0),0)+IFERROR(VLOOKUP($A702,[5]库存使用数据!$A:$M,13,0),0)</f>
        <v>0</v>
      </c>
    </row>
    <row r="703" spans="1:13">
      <c r="A703" s="6" t="s">
        <v>708</v>
      </c>
      <c r="B703" s="2">
        <f ca="1">IFERROR(VLOOKUP(A703,[1]库存使用数据!$A:$B,2,0),0)+IFERROR(VLOOKUP(A703,[2]库存使用数据!$A:$B,2,0),0)+IFERROR(VLOOKUP(,[3]库存使用数据!$A:$B,2,0),0)+IFERROR(VLOOKUP(A703,[4]库存使用数据!$A:$B,2,0),0)+IFERROR(VLOOKUP(A703,[5]库存使用数据!$A:$B,2,0),0)</f>
        <v>19</v>
      </c>
      <c r="C703" s="1">
        <f ca="1">IFERROR(VLOOKUP($A703,[1]库存使用数据!$A:$C,3,0),0)+IFERROR(VLOOKUP($A703,[2]库存使用数据!$A:$C,3,0),0)+IFERROR(VLOOKUP($A703,[3]库存使用数据!$A:$C,3,0),0)+IFERROR(VLOOKUP($A703,[4]库存使用数据!$A:$C,3,0),0)+IFERROR(VLOOKUP($A703,[5]库存使用数据!$A:$C,3,0),0)</f>
        <v>0</v>
      </c>
      <c r="D703" s="1">
        <f ca="1">IFERROR(VLOOKUP($A703,[1]库存使用数据!$A:$D,4,0),0)+IFERROR(VLOOKUP($A703,[2]库存使用数据!$A:$D,4,0),0)+公式!$B$1*IFERROR(VLOOKUP($A703,[3]库存使用数据!$A:$D,4,0),0)+IFERROR(VLOOKUP($A703,[4]库存使用数据!$A:$D,4,0),0)+IFERROR(VLOOKUP($A703,[5]库存使用数据!$A:$D,4,0),0)</f>
        <v>0</v>
      </c>
      <c r="E703" s="1">
        <f ca="1">IFERROR(VLOOKUP($A703,[1]库存使用数据!$A:$E,5,0),0)+IFERROR(VLOOKUP($A703,[2]库存使用数据!$A:$E,5,0),0)+IFERROR(VLOOKUP($A703,[3]库存使用数据!$A:$E,5,0),0)+IFERROR(VLOOKUP($A703,[4]库存使用数据!$A:$E,5,0),0)+IFERROR(VLOOKUP($A703,[5]库存使用数据!$A:$E,5,0),0)</f>
        <v>152</v>
      </c>
      <c r="F703" s="1">
        <f ca="1">IFERROR(VLOOKUP($A703,[1]库存使用数据!$A:$F,6,0),0)+IFERROR(VLOOKUP($A703,[2]库存使用数据!$A:$F,6,0),0)+IFERROR(VLOOKUP($A703,[4]库存使用数据!$A:$F,6,0),0)+IFERROR(VLOOKUP($A703,[3]库存使用数据!$A:$F,6,0),0)+IFERROR(VLOOKUP($A703,[5]库存使用数据!$A:$F,6,0),0)</f>
        <v>0</v>
      </c>
      <c r="G703" s="1">
        <f ca="1">IFERROR(VLOOKUP($A703,[1]库存使用数据!$A:$G,7,0),0)+IFERROR(VLOOKUP($A703,[2]库存使用数据!$A:$G,7,0),0)+公式!$B$14*IFERROR(VLOOKUP($A703,[3]库存使用数据!$A:$G,7,0),0)+IFERROR(VLOOKUP($A703,[4]库存使用数据!$A:$G,7,0),0)+IFERROR(VLOOKUP($A703,[5]库存使用数据!$A:$G,7,0),0)</f>
        <v>0</v>
      </c>
      <c r="H703" s="1">
        <f ca="1">IFERROR(VLOOKUP($A703,[1]库存使用数据!$A:$H,8,0),0)+IFERROR(VLOOKUP($A703,[2]库存使用数据!$A:$H,8,0),0)+IFERROR(VLOOKUP($A703,[3]库存使用数据!$A:$H,8,0),0)+IFERROR(VLOOKUP($A703,[4]库存使用数据!$A:$H,8,0),0)+IFERROR(VLOOKUP($A703,[5]库存使用数据!$A:$H,8,0),0)</f>
        <v>62</v>
      </c>
      <c r="I703" s="1">
        <f ca="1">IFERROR(VLOOKUP($A703,[1]库存使用数据!$A:$I,9,0),0)+IFERROR(VLOOKUP($A703,[2]库存使用数据!$A:$I,9,0),0)+IFERROR(VLOOKUP($A703,[3]库存使用数据!$A:$I,9,0),0)+IFERROR(VLOOKUP($A703,[4]库存使用数据!$A:$I,9,0),0)+IFERROR(VLOOKUP($A703,[5]库存使用数据!$A:$I,9,0),0)</f>
        <v>0</v>
      </c>
      <c r="J703" s="1">
        <f ca="1">IFERROR(VLOOKUP($A703,[1]库存使用数据!$A:$J,10,0),0)+IFERROR(VLOOKUP($A703,[2]库存使用数据!$A:$J,10,0),0)+公式!$B$14*IFERROR(VLOOKUP($A703,[3]库存使用数据!$A:$J,10,0),0)+IFERROR(VLOOKUP($A703,[4]库存使用数据!$A:$J,10,0),0)+IFERROR(VLOOKUP($A703,[5]库存使用数据!$A:$J,10,0),0)</f>
        <v>0</v>
      </c>
      <c r="K703" s="1">
        <f ca="1">IFERROR(VLOOKUP($A703,[1]库存使用数据!$A:$K,11,0),0)+IFERROR(VLOOKUP($A703,[2]库存使用数据!$A:$K,11,0),0)+IFERROR(VLOOKUP($A703,[3]库存使用数据!$A:$K,11,0),0)+IFERROR(VLOOKUP($A703,[4]库存使用数据!$A:$K,11,0),0)+IFERROR(VLOOKUP($A703,[5]库存使用数据!$A:$K,11,0),0)</f>
        <v>34</v>
      </c>
      <c r="L703" s="1">
        <f ca="1">IFERROR(VLOOKUP($A703,[1]库存使用数据!$A:$L,12,0),0)+IFERROR(VLOOKUP($A703,[2]库存使用数据!$A:$L,12,0),0)+IFERROR(VLOOKUP($A703,[3]库存使用数据!$A:$L,12,0),0)+IFERROR(VLOOKUP($A703,[4]库存使用数据!$A:$L,12,0),0)+IFERROR(VLOOKUP($A703,[5]库存使用数据!$A:$L,12,0),0)</f>
        <v>0</v>
      </c>
      <c r="M703" s="1">
        <f ca="1">IFERROR(VLOOKUP($A703,[1]库存使用数据!$A:$M,13,0),0)+IFERROR(VLOOKUP($A703,[2]库存使用数据!$A:$M,13,0),0)+公式!$B$14*IFERROR(VLOOKUP($A703,[3]库存使用数据!$A:$M,13,0),0)+IFERROR(VLOOKUP($A703,[4]库存使用数据!$A:$M,13,0),0)+IFERROR(VLOOKUP($A703,[5]库存使用数据!$A:$M,13,0),0)</f>
        <v>0</v>
      </c>
    </row>
    <row r="704" spans="1:13">
      <c r="A704" s="6" t="s">
        <v>709</v>
      </c>
      <c r="B704" s="2">
        <f ca="1">IFERROR(VLOOKUP(A704,[1]库存使用数据!$A:$B,2,0),0)+IFERROR(VLOOKUP(A704,[2]库存使用数据!$A:$B,2,0),0)+IFERROR(VLOOKUP(,[3]库存使用数据!$A:$B,2,0),0)+IFERROR(VLOOKUP(A704,[4]库存使用数据!$A:$B,2,0),0)+IFERROR(VLOOKUP(A704,[5]库存使用数据!$A:$B,2,0),0)</f>
        <v>9</v>
      </c>
      <c r="C704" s="1">
        <f ca="1">IFERROR(VLOOKUP($A704,[1]库存使用数据!$A:$C,3,0),0)+IFERROR(VLOOKUP($A704,[2]库存使用数据!$A:$C,3,0),0)+IFERROR(VLOOKUP($A704,[3]库存使用数据!$A:$C,3,0),0)+IFERROR(VLOOKUP($A704,[4]库存使用数据!$A:$C,3,0),0)+IFERROR(VLOOKUP($A704,[5]库存使用数据!$A:$C,3,0),0)</f>
        <v>0</v>
      </c>
      <c r="D704" s="1">
        <f ca="1">IFERROR(VLOOKUP($A704,[1]库存使用数据!$A:$D,4,0),0)+IFERROR(VLOOKUP($A704,[2]库存使用数据!$A:$D,4,0),0)+公式!$B$1*IFERROR(VLOOKUP($A704,[3]库存使用数据!$A:$D,4,0),0)+IFERROR(VLOOKUP($A704,[4]库存使用数据!$A:$D,4,0),0)+IFERROR(VLOOKUP($A704,[5]库存使用数据!$A:$D,4,0),0)</f>
        <v>0</v>
      </c>
      <c r="E704" s="1">
        <f ca="1">IFERROR(VLOOKUP($A704,[1]库存使用数据!$A:$E,5,0),0)+IFERROR(VLOOKUP($A704,[2]库存使用数据!$A:$E,5,0),0)+IFERROR(VLOOKUP($A704,[3]库存使用数据!$A:$E,5,0),0)+IFERROR(VLOOKUP($A704,[4]库存使用数据!$A:$E,5,0),0)+IFERROR(VLOOKUP($A704,[5]库存使用数据!$A:$E,5,0),0)</f>
        <v>15</v>
      </c>
      <c r="F704" s="1">
        <f ca="1">IFERROR(VLOOKUP($A704,[1]库存使用数据!$A:$F,6,0),0)+IFERROR(VLOOKUP($A704,[2]库存使用数据!$A:$F,6,0),0)+IFERROR(VLOOKUP($A704,[4]库存使用数据!$A:$F,6,0),0)+IFERROR(VLOOKUP($A704,[3]库存使用数据!$A:$F,6,0),0)+IFERROR(VLOOKUP($A704,[5]库存使用数据!$A:$F,6,0),0)</f>
        <v>0</v>
      </c>
      <c r="G704" s="1">
        <f ca="1">IFERROR(VLOOKUP($A704,[1]库存使用数据!$A:$G,7,0),0)+IFERROR(VLOOKUP($A704,[2]库存使用数据!$A:$G,7,0),0)+公式!$B$14*IFERROR(VLOOKUP($A704,[3]库存使用数据!$A:$G,7,0),0)+IFERROR(VLOOKUP($A704,[4]库存使用数据!$A:$G,7,0),0)+IFERROR(VLOOKUP($A704,[5]库存使用数据!$A:$G,7,0),0)</f>
        <v>0</v>
      </c>
      <c r="H704" s="1">
        <f ca="1">IFERROR(VLOOKUP($A704,[1]库存使用数据!$A:$H,8,0),0)+IFERROR(VLOOKUP($A704,[2]库存使用数据!$A:$H,8,0),0)+IFERROR(VLOOKUP($A704,[3]库存使用数据!$A:$H,8,0),0)+IFERROR(VLOOKUP($A704,[4]库存使用数据!$A:$H,8,0),0)+IFERROR(VLOOKUP($A704,[5]库存使用数据!$A:$H,8,0),0)</f>
        <v>6</v>
      </c>
      <c r="I704" s="1">
        <f ca="1">IFERROR(VLOOKUP($A704,[1]库存使用数据!$A:$I,9,0),0)+IFERROR(VLOOKUP($A704,[2]库存使用数据!$A:$I,9,0),0)+IFERROR(VLOOKUP($A704,[3]库存使用数据!$A:$I,9,0),0)+IFERROR(VLOOKUP($A704,[4]库存使用数据!$A:$I,9,0),0)+IFERROR(VLOOKUP($A704,[5]库存使用数据!$A:$I,9,0),0)</f>
        <v>0</v>
      </c>
      <c r="J704" s="1">
        <f ca="1">IFERROR(VLOOKUP($A704,[1]库存使用数据!$A:$J,10,0),0)+IFERROR(VLOOKUP($A704,[2]库存使用数据!$A:$J,10,0),0)+公式!$B$14*IFERROR(VLOOKUP($A704,[3]库存使用数据!$A:$J,10,0),0)+IFERROR(VLOOKUP($A704,[4]库存使用数据!$A:$J,10,0),0)+IFERROR(VLOOKUP($A704,[5]库存使用数据!$A:$J,10,0),0)</f>
        <v>0</v>
      </c>
      <c r="K704" s="1">
        <f ca="1">IFERROR(VLOOKUP($A704,[1]库存使用数据!$A:$K,11,0),0)+IFERROR(VLOOKUP($A704,[2]库存使用数据!$A:$K,11,0),0)+IFERROR(VLOOKUP($A704,[3]库存使用数据!$A:$K,11,0),0)+IFERROR(VLOOKUP($A704,[4]库存使用数据!$A:$K,11,0),0)+IFERROR(VLOOKUP($A704,[5]库存使用数据!$A:$K,11,0),0)</f>
        <v>14</v>
      </c>
      <c r="L704" s="1">
        <f ca="1">IFERROR(VLOOKUP($A704,[1]库存使用数据!$A:$L,12,0),0)+IFERROR(VLOOKUP($A704,[2]库存使用数据!$A:$L,12,0),0)+IFERROR(VLOOKUP($A704,[3]库存使用数据!$A:$L,12,0),0)+IFERROR(VLOOKUP($A704,[4]库存使用数据!$A:$L,12,0),0)+IFERROR(VLOOKUP($A704,[5]库存使用数据!$A:$L,12,0),0)</f>
        <v>0</v>
      </c>
      <c r="M704" s="1">
        <f ca="1">IFERROR(VLOOKUP($A704,[1]库存使用数据!$A:$M,13,0),0)+IFERROR(VLOOKUP($A704,[2]库存使用数据!$A:$M,13,0),0)+公式!$B$14*IFERROR(VLOOKUP($A704,[3]库存使用数据!$A:$M,13,0),0)+IFERROR(VLOOKUP($A704,[4]库存使用数据!$A:$M,13,0),0)+IFERROR(VLOOKUP($A704,[5]库存使用数据!$A:$M,13,0),0)</f>
        <v>0</v>
      </c>
    </row>
    <row r="705" spans="1:13">
      <c r="A705" s="6" t="s">
        <v>710</v>
      </c>
      <c r="B705" s="2">
        <f ca="1">IFERROR(VLOOKUP(A705,[1]库存使用数据!$A:$B,2,0),0)+IFERROR(VLOOKUP(A705,[2]库存使用数据!$A:$B,2,0),0)+IFERROR(VLOOKUP(,[3]库存使用数据!$A:$B,2,0),0)+IFERROR(VLOOKUP(A705,[4]库存使用数据!$A:$B,2,0),0)+IFERROR(VLOOKUP(A705,[5]库存使用数据!$A:$B,2,0),0)</f>
        <v>33</v>
      </c>
      <c r="C705" s="1">
        <f ca="1">IFERROR(VLOOKUP($A705,[1]库存使用数据!$A:$C,3,0),0)+IFERROR(VLOOKUP($A705,[2]库存使用数据!$A:$C,3,0),0)+IFERROR(VLOOKUP($A705,[3]库存使用数据!$A:$C,3,0),0)+IFERROR(VLOOKUP($A705,[4]库存使用数据!$A:$C,3,0),0)+IFERROR(VLOOKUP($A705,[5]库存使用数据!$A:$C,3,0),0)</f>
        <v>1</v>
      </c>
      <c r="D705" s="1">
        <f ca="1">IFERROR(VLOOKUP($A705,[1]库存使用数据!$A:$D,4,0),0)+IFERROR(VLOOKUP($A705,[2]库存使用数据!$A:$D,4,0),0)+公式!$B$1*IFERROR(VLOOKUP($A705,[3]库存使用数据!$A:$D,4,0),0)+IFERROR(VLOOKUP($A705,[4]库存使用数据!$A:$D,4,0),0)+IFERROR(VLOOKUP($A705,[5]库存使用数据!$A:$D,4,0),0)</f>
        <v>0.21</v>
      </c>
      <c r="E705" s="1">
        <f ca="1">IFERROR(VLOOKUP($A705,[1]库存使用数据!$A:$E,5,0),0)+IFERROR(VLOOKUP($A705,[2]库存使用数据!$A:$E,5,0),0)+IFERROR(VLOOKUP($A705,[3]库存使用数据!$A:$E,5,0),0)+IFERROR(VLOOKUP($A705,[4]库存使用数据!$A:$E,5,0),0)+IFERROR(VLOOKUP($A705,[5]库存使用数据!$A:$E,5,0),0)</f>
        <v>62</v>
      </c>
      <c r="F705" s="1">
        <f ca="1">IFERROR(VLOOKUP($A705,[1]库存使用数据!$A:$F,6,0),0)+IFERROR(VLOOKUP($A705,[2]库存使用数据!$A:$F,6,0),0)+IFERROR(VLOOKUP($A705,[4]库存使用数据!$A:$F,6,0),0)+IFERROR(VLOOKUP($A705,[3]库存使用数据!$A:$F,6,0),0)+IFERROR(VLOOKUP($A705,[5]库存使用数据!$A:$F,6,0),0)</f>
        <v>0</v>
      </c>
      <c r="G705" s="1">
        <f ca="1">IFERROR(VLOOKUP($A705,[1]库存使用数据!$A:$G,7,0),0)+IFERROR(VLOOKUP($A705,[2]库存使用数据!$A:$G,7,0),0)+公式!$B$14*IFERROR(VLOOKUP($A705,[3]库存使用数据!$A:$G,7,0),0)+IFERROR(VLOOKUP($A705,[4]库存使用数据!$A:$G,7,0),0)+IFERROR(VLOOKUP($A705,[5]库存使用数据!$A:$G,7,0),0)</f>
        <v>0</v>
      </c>
      <c r="H705" s="1">
        <f ca="1">IFERROR(VLOOKUP($A705,[1]库存使用数据!$A:$H,8,0),0)+IFERROR(VLOOKUP($A705,[2]库存使用数据!$A:$H,8,0),0)+IFERROR(VLOOKUP($A705,[3]库存使用数据!$A:$H,8,0),0)+IFERROR(VLOOKUP($A705,[4]库存使用数据!$A:$H,8,0),0)+IFERROR(VLOOKUP($A705,[5]库存使用数据!$A:$H,8,0),0)</f>
        <v>35</v>
      </c>
      <c r="I705" s="1">
        <f ca="1">IFERROR(VLOOKUP($A705,[1]库存使用数据!$A:$I,9,0),0)+IFERROR(VLOOKUP($A705,[2]库存使用数据!$A:$I,9,0),0)+IFERROR(VLOOKUP($A705,[3]库存使用数据!$A:$I,9,0),0)+IFERROR(VLOOKUP($A705,[4]库存使用数据!$A:$I,9,0),0)+IFERROR(VLOOKUP($A705,[5]库存使用数据!$A:$I,9,0),0)</f>
        <v>0</v>
      </c>
      <c r="J705" s="1">
        <f ca="1">IFERROR(VLOOKUP($A705,[1]库存使用数据!$A:$J,10,0),0)+IFERROR(VLOOKUP($A705,[2]库存使用数据!$A:$J,10,0),0)+公式!$B$14*IFERROR(VLOOKUP($A705,[3]库存使用数据!$A:$J,10,0),0)+IFERROR(VLOOKUP($A705,[4]库存使用数据!$A:$J,10,0),0)+IFERROR(VLOOKUP($A705,[5]库存使用数据!$A:$J,10,0),0)</f>
        <v>0</v>
      </c>
      <c r="K705" s="1">
        <f ca="1">IFERROR(VLOOKUP($A705,[1]库存使用数据!$A:$K,11,0),0)+IFERROR(VLOOKUP($A705,[2]库存使用数据!$A:$K,11,0),0)+IFERROR(VLOOKUP($A705,[3]库存使用数据!$A:$K,11,0),0)+IFERROR(VLOOKUP($A705,[4]库存使用数据!$A:$K,11,0),0)+IFERROR(VLOOKUP($A705,[5]库存使用数据!$A:$K,11,0),0)</f>
        <v>50</v>
      </c>
      <c r="L705" s="1">
        <f ca="1">IFERROR(VLOOKUP($A705,[1]库存使用数据!$A:$L,12,0),0)+IFERROR(VLOOKUP($A705,[2]库存使用数据!$A:$L,12,0),0)+IFERROR(VLOOKUP($A705,[3]库存使用数据!$A:$L,12,0),0)+IFERROR(VLOOKUP($A705,[4]库存使用数据!$A:$L,12,0),0)+IFERROR(VLOOKUP($A705,[5]库存使用数据!$A:$L,12,0),0)</f>
        <v>0</v>
      </c>
      <c r="M705" s="1">
        <f ca="1">IFERROR(VLOOKUP($A705,[1]库存使用数据!$A:$M,13,0),0)+IFERROR(VLOOKUP($A705,[2]库存使用数据!$A:$M,13,0),0)+公式!$B$14*IFERROR(VLOOKUP($A705,[3]库存使用数据!$A:$M,13,0),0)+IFERROR(VLOOKUP($A705,[4]库存使用数据!$A:$M,13,0),0)+IFERROR(VLOOKUP($A705,[5]库存使用数据!$A:$M,13,0),0)</f>
        <v>0</v>
      </c>
    </row>
    <row r="706" spans="1:13">
      <c r="A706" s="6" t="s">
        <v>711</v>
      </c>
      <c r="B706" s="2">
        <f ca="1">IFERROR(VLOOKUP(A706,[1]库存使用数据!$A:$B,2,0),0)+IFERROR(VLOOKUP(A706,[2]库存使用数据!$A:$B,2,0),0)+IFERROR(VLOOKUP(,[3]库存使用数据!$A:$B,2,0),0)+IFERROR(VLOOKUP(A706,[4]库存使用数据!$A:$B,2,0),0)+IFERROR(VLOOKUP(A706,[5]库存使用数据!$A:$B,2,0),0)</f>
        <v>7</v>
      </c>
      <c r="C706" s="1">
        <f ca="1">IFERROR(VLOOKUP($A706,[1]库存使用数据!$A:$C,3,0),0)+IFERROR(VLOOKUP($A706,[2]库存使用数据!$A:$C,3,0),0)+IFERROR(VLOOKUP($A706,[3]库存使用数据!$A:$C,3,0),0)+IFERROR(VLOOKUP($A706,[4]库存使用数据!$A:$C,3,0),0)+IFERROR(VLOOKUP($A706,[5]库存使用数据!$A:$C,3,0),0)</f>
        <v>0</v>
      </c>
      <c r="D706" s="1">
        <f ca="1">IFERROR(VLOOKUP($A706,[1]库存使用数据!$A:$D,4,0),0)+IFERROR(VLOOKUP($A706,[2]库存使用数据!$A:$D,4,0),0)+公式!$B$1*IFERROR(VLOOKUP($A706,[3]库存使用数据!$A:$D,4,0),0)+IFERROR(VLOOKUP($A706,[4]库存使用数据!$A:$D,4,0),0)+IFERROR(VLOOKUP($A706,[5]库存使用数据!$A:$D,4,0),0)</f>
        <v>0</v>
      </c>
      <c r="E706" s="1">
        <f ca="1">IFERROR(VLOOKUP($A706,[1]库存使用数据!$A:$E,5,0),0)+IFERROR(VLOOKUP($A706,[2]库存使用数据!$A:$E,5,0),0)+IFERROR(VLOOKUP($A706,[3]库存使用数据!$A:$E,5,0),0)+IFERROR(VLOOKUP($A706,[4]库存使用数据!$A:$E,5,0),0)+IFERROR(VLOOKUP($A706,[5]库存使用数据!$A:$E,5,0),0)</f>
        <v>35</v>
      </c>
      <c r="F706" s="1">
        <f ca="1">IFERROR(VLOOKUP($A706,[1]库存使用数据!$A:$F,6,0),0)+IFERROR(VLOOKUP($A706,[2]库存使用数据!$A:$F,6,0),0)+IFERROR(VLOOKUP($A706,[4]库存使用数据!$A:$F,6,0),0)+IFERROR(VLOOKUP($A706,[3]库存使用数据!$A:$F,6,0),0)+IFERROR(VLOOKUP($A706,[5]库存使用数据!$A:$F,6,0),0)</f>
        <v>0</v>
      </c>
      <c r="G706" s="1">
        <f ca="1">IFERROR(VLOOKUP($A706,[1]库存使用数据!$A:$G,7,0),0)+IFERROR(VLOOKUP($A706,[2]库存使用数据!$A:$G,7,0),0)+公式!$B$14*IFERROR(VLOOKUP($A706,[3]库存使用数据!$A:$G,7,0),0)+IFERROR(VLOOKUP($A706,[4]库存使用数据!$A:$G,7,0),0)+IFERROR(VLOOKUP($A706,[5]库存使用数据!$A:$G,7,0),0)</f>
        <v>0</v>
      </c>
      <c r="H706" s="1">
        <f ca="1">IFERROR(VLOOKUP($A706,[1]库存使用数据!$A:$H,8,0),0)+IFERROR(VLOOKUP($A706,[2]库存使用数据!$A:$H,8,0),0)+IFERROR(VLOOKUP($A706,[3]库存使用数据!$A:$H,8,0),0)+IFERROR(VLOOKUP($A706,[4]库存使用数据!$A:$H,8,0),0)+IFERROR(VLOOKUP($A706,[5]库存使用数据!$A:$H,8,0),0)</f>
        <v>12</v>
      </c>
      <c r="I706" s="1">
        <f ca="1">IFERROR(VLOOKUP($A706,[1]库存使用数据!$A:$I,9,0),0)+IFERROR(VLOOKUP($A706,[2]库存使用数据!$A:$I,9,0),0)+IFERROR(VLOOKUP($A706,[3]库存使用数据!$A:$I,9,0),0)+IFERROR(VLOOKUP($A706,[4]库存使用数据!$A:$I,9,0),0)+IFERROR(VLOOKUP($A706,[5]库存使用数据!$A:$I,9,0),0)</f>
        <v>0</v>
      </c>
      <c r="J706" s="1">
        <f ca="1">IFERROR(VLOOKUP($A706,[1]库存使用数据!$A:$J,10,0),0)+IFERROR(VLOOKUP($A706,[2]库存使用数据!$A:$J,10,0),0)+公式!$B$14*IFERROR(VLOOKUP($A706,[3]库存使用数据!$A:$J,10,0),0)+IFERROR(VLOOKUP($A706,[4]库存使用数据!$A:$J,10,0),0)+IFERROR(VLOOKUP($A706,[5]库存使用数据!$A:$J,10,0),0)</f>
        <v>0</v>
      </c>
      <c r="K706" s="1">
        <f ca="1">IFERROR(VLOOKUP($A706,[1]库存使用数据!$A:$K,11,0),0)+IFERROR(VLOOKUP($A706,[2]库存使用数据!$A:$K,11,0),0)+IFERROR(VLOOKUP($A706,[3]库存使用数据!$A:$K,11,0),0)+IFERROR(VLOOKUP($A706,[4]库存使用数据!$A:$K,11,0),0)+IFERROR(VLOOKUP($A706,[5]库存使用数据!$A:$K,11,0),0)</f>
        <v>31</v>
      </c>
      <c r="L706" s="1">
        <f ca="1">IFERROR(VLOOKUP($A706,[1]库存使用数据!$A:$L,12,0),0)+IFERROR(VLOOKUP($A706,[2]库存使用数据!$A:$L,12,0),0)+IFERROR(VLOOKUP($A706,[3]库存使用数据!$A:$L,12,0),0)+IFERROR(VLOOKUP($A706,[4]库存使用数据!$A:$L,12,0),0)+IFERROR(VLOOKUP($A706,[5]库存使用数据!$A:$L,12,0),0)</f>
        <v>0</v>
      </c>
      <c r="M706" s="1">
        <f ca="1">IFERROR(VLOOKUP($A706,[1]库存使用数据!$A:$M,13,0),0)+IFERROR(VLOOKUP($A706,[2]库存使用数据!$A:$M,13,0),0)+公式!$B$14*IFERROR(VLOOKUP($A706,[3]库存使用数据!$A:$M,13,0),0)+IFERROR(VLOOKUP($A706,[4]库存使用数据!$A:$M,13,0),0)+IFERROR(VLOOKUP($A706,[5]库存使用数据!$A:$M,13,0),0)</f>
        <v>0</v>
      </c>
    </row>
    <row r="707" spans="1:13">
      <c r="A707" s="6" t="s">
        <v>712</v>
      </c>
      <c r="B707" s="2">
        <f ca="1">IFERROR(VLOOKUP(A707,[1]库存使用数据!$A:$B,2,0),0)+IFERROR(VLOOKUP(A707,[2]库存使用数据!$A:$B,2,0),0)+IFERROR(VLOOKUP(,[3]库存使用数据!$A:$B,2,0),0)+IFERROR(VLOOKUP(A707,[4]库存使用数据!$A:$B,2,0),0)+IFERROR(VLOOKUP(A707,[5]库存使用数据!$A:$B,2,0),0)</f>
        <v>10</v>
      </c>
      <c r="C707" s="1">
        <f ca="1">IFERROR(VLOOKUP($A707,[1]库存使用数据!$A:$C,3,0),0)+IFERROR(VLOOKUP($A707,[2]库存使用数据!$A:$C,3,0),0)+IFERROR(VLOOKUP($A707,[3]库存使用数据!$A:$C,3,0),0)+IFERROR(VLOOKUP($A707,[4]库存使用数据!$A:$C,3,0),0)+IFERROR(VLOOKUP($A707,[5]库存使用数据!$A:$C,3,0),0)</f>
        <v>0</v>
      </c>
      <c r="D707" s="1">
        <f ca="1">IFERROR(VLOOKUP($A707,[1]库存使用数据!$A:$D,4,0),0)+IFERROR(VLOOKUP($A707,[2]库存使用数据!$A:$D,4,0),0)+公式!$B$1*IFERROR(VLOOKUP($A707,[3]库存使用数据!$A:$D,4,0),0)+IFERROR(VLOOKUP($A707,[4]库存使用数据!$A:$D,4,0),0)+IFERROR(VLOOKUP($A707,[5]库存使用数据!$A:$D,4,0),0)</f>
        <v>0</v>
      </c>
      <c r="E707" s="1">
        <f ca="1">IFERROR(VLOOKUP($A707,[1]库存使用数据!$A:$E,5,0),0)+IFERROR(VLOOKUP($A707,[2]库存使用数据!$A:$E,5,0),0)+IFERROR(VLOOKUP($A707,[3]库存使用数据!$A:$E,5,0),0)+IFERROR(VLOOKUP($A707,[4]库存使用数据!$A:$E,5,0),0)+IFERROR(VLOOKUP($A707,[5]库存使用数据!$A:$E,5,0),0)</f>
        <v>71</v>
      </c>
      <c r="F707" s="1">
        <f ca="1">IFERROR(VLOOKUP($A707,[1]库存使用数据!$A:$F,6,0),0)+IFERROR(VLOOKUP($A707,[2]库存使用数据!$A:$F,6,0),0)+IFERROR(VLOOKUP($A707,[4]库存使用数据!$A:$F,6,0),0)+IFERROR(VLOOKUP($A707,[3]库存使用数据!$A:$F,6,0),0)+IFERROR(VLOOKUP($A707,[5]库存使用数据!$A:$F,6,0),0)</f>
        <v>0</v>
      </c>
      <c r="G707" s="1">
        <f ca="1">IFERROR(VLOOKUP($A707,[1]库存使用数据!$A:$G,7,0),0)+IFERROR(VLOOKUP($A707,[2]库存使用数据!$A:$G,7,0),0)+公式!$B$14*IFERROR(VLOOKUP($A707,[3]库存使用数据!$A:$G,7,0),0)+IFERROR(VLOOKUP($A707,[4]库存使用数据!$A:$G,7,0),0)+IFERROR(VLOOKUP($A707,[5]库存使用数据!$A:$G,7,0),0)</f>
        <v>0</v>
      </c>
      <c r="H707" s="1">
        <f ca="1">IFERROR(VLOOKUP($A707,[1]库存使用数据!$A:$H,8,0),0)+IFERROR(VLOOKUP($A707,[2]库存使用数据!$A:$H,8,0),0)+IFERROR(VLOOKUP($A707,[3]库存使用数据!$A:$H,8,0),0)+IFERROR(VLOOKUP($A707,[4]库存使用数据!$A:$H,8,0),0)+IFERROR(VLOOKUP($A707,[5]库存使用数据!$A:$H,8,0),0)</f>
        <v>67</v>
      </c>
      <c r="I707" s="1">
        <f ca="1">IFERROR(VLOOKUP($A707,[1]库存使用数据!$A:$I,9,0),0)+IFERROR(VLOOKUP($A707,[2]库存使用数据!$A:$I,9,0),0)+IFERROR(VLOOKUP($A707,[3]库存使用数据!$A:$I,9,0),0)+IFERROR(VLOOKUP($A707,[4]库存使用数据!$A:$I,9,0),0)+IFERROR(VLOOKUP($A707,[5]库存使用数据!$A:$I,9,0),0)</f>
        <v>0</v>
      </c>
      <c r="J707" s="1">
        <f ca="1">IFERROR(VLOOKUP($A707,[1]库存使用数据!$A:$J,10,0),0)+IFERROR(VLOOKUP($A707,[2]库存使用数据!$A:$J,10,0),0)+公式!$B$14*IFERROR(VLOOKUP($A707,[3]库存使用数据!$A:$J,10,0),0)+IFERROR(VLOOKUP($A707,[4]库存使用数据!$A:$J,10,0),0)+IFERROR(VLOOKUP($A707,[5]库存使用数据!$A:$J,10,0),0)</f>
        <v>0</v>
      </c>
      <c r="K707" s="1">
        <f ca="1">IFERROR(VLOOKUP($A707,[1]库存使用数据!$A:$K,11,0),0)+IFERROR(VLOOKUP($A707,[2]库存使用数据!$A:$K,11,0),0)+IFERROR(VLOOKUP($A707,[3]库存使用数据!$A:$K,11,0),0)+IFERROR(VLOOKUP($A707,[4]库存使用数据!$A:$K,11,0),0)+IFERROR(VLOOKUP($A707,[5]库存使用数据!$A:$K,11,0),0)</f>
        <v>22</v>
      </c>
      <c r="L707" s="1">
        <f ca="1">IFERROR(VLOOKUP($A707,[1]库存使用数据!$A:$L,12,0),0)+IFERROR(VLOOKUP($A707,[2]库存使用数据!$A:$L,12,0),0)+IFERROR(VLOOKUP($A707,[3]库存使用数据!$A:$L,12,0),0)+IFERROR(VLOOKUP($A707,[4]库存使用数据!$A:$L,12,0),0)+IFERROR(VLOOKUP($A707,[5]库存使用数据!$A:$L,12,0),0)</f>
        <v>0</v>
      </c>
      <c r="M707" s="1">
        <f ca="1">IFERROR(VLOOKUP($A707,[1]库存使用数据!$A:$M,13,0),0)+IFERROR(VLOOKUP($A707,[2]库存使用数据!$A:$M,13,0),0)+公式!$B$14*IFERROR(VLOOKUP($A707,[3]库存使用数据!$A:$M,13,0),0)+IFERROR(VLOOKUP($A707,[4]库存使用数据!$A:$M,13,0),0)+IFERROR(VLOOKUP($A707,[5]库存使用数据!$A:$M,13,0),0)</f>
        <v>0</v>
      </c>
    </row>
    <row r="708" spans="1:13">
      <c r="A708" s="6" t="s">
        <v>713</v>
      </c>
      <c r="B708" s="2">
        <f ca="1">IFERROR(VLOOKUP(A708,[1]库存使用数据!$A:$B,2,0),0)+IFERROR(VLOOKUP(A708,[2]库存使用数据!$A:$B,2,0),0)+IFERROR(VLOOKUP(,[3]库存使用数据!$A:$B,2,0),0)+IFERROR(VLOOKUP(A708,[4]库存使用数据!$A:$B,2,0),0)+IFERROR(VLOOKUP(A708,[5]库存使用数据!$A:$B,2,0),0)</f>
        <v>5</v>
      </c>
      <c r="C708" s="1">
        <f ca="1">IFERROR(VLOOKUP($A708,[1]库存使用数据!$A:$C,3,0),0)+IFERROR(VLOOKUP($A708,[2]库存使用数据!$A:$C,3,0),0)+IFERROR(VLOOKUP($A708,[3]库存使用数据!$A:$C,3,0),0)+IFERROR(VLOOKUP($A708,[4]库存使用数据!$A:$C,3,0),0)+IFERROR(VLOOKUP($A708,[5]库存使用数据!$A:$C,3,0),0)</f>
        <v>0</v>
      </c>
      <c r="D708" s="1">
        <f ca="1">IFERROR(VLOOKUP($A708,[1]库存使用数据!$A:$D,4,0),0)+IFERROR(VLOOKUP($A708,[2]库存使用数据!$A:$D,4,0),0)+公式!$B$1*IFERROR(VLOOKUP($A708,[3]库存使用数据!$A:$D,4,0),0)+IFERROR(VLOOKUP($A708,[4]库存使用数据!$A:$D,4,0),0)+IFERROR(VLOOKUP($A708,[5]库存使用数据!$A:$D,4,0),0)</f>
        <v>0</v>
      </c>
      <c r="E708" s="1">
        <f ca="1">IFERROR(VLOOKUP($A708,[1]库存使用数据!$A:$E,5,0),0)+IFERROR(VLOOKUP($A708,[2]库存使用数据!$A:$E,5,0),0)+IFERROR(VLOOKUP($A708,[3]库存使用数据!$A:$E,5,0),0)+IFERROR(VLOOKUP($A708,[4]库存使用数据!$A:$E,5,0),0)+IFERROR(VLOOKUP($A708,[5]库存使用数据!$A:$E,5,0),0)</f>
        <v>12</v>
      </c>
      <c r="F708" s="1">
        <f ca="1">IFERROR(VLOOKUP($A708,[1]库存使用数据!$A:$F,6,0),0)+IFERROR(VLOOKUP($A708,[2]库存使用数据!$A:$F,6,0),0)+IFERROR(VLOOKUP($A708,[4]库存使用数据!$A:$F,6,0),0)+IFERROR(VLOOKUP($A708,[3]库存使用数据!$A:$F,6,0),0)+IFERROR(VLOOKUP($A708,[5]库存使用数据!$A:$F,6,0),0)</f>
        <v>0</v>
      </c>
      <c r="G708" s="1">
        <f ca="1">IFERROR(VLOOKUP($A708,[1]库存使用数据!$A:$G,7,0),0)+IFERROR(VLOOKUP($A708,[2]库存使用数据!$A:$G,7,0),0)+公式!$B$14*IFERROR(VLOOKUP($A708,[3]库存使用数据!$A:$G,7,0),0)+IFERROR(VLOOKUP($A708,[4]库存使用数据!$A:$G,7,0),0)+IFERROR(VLOOKUP($A708,[5]库存使用数据!$A:$G,7,0),0)</f>
        <v>0</v>
      </c>
      <c r="H708" s="1">
        <f ca="1">IFERROR(VLOOKUP($A708,[1]库存使用数据!$A:$H,8,0),0)+IFERROR(VLOOKUP($A708,[2]库存使用数据!$A:$H,8,0),0)+IFERROR(VLOOKUP($A708,[3]库存使用数据!$A:$H,8,0),0)+IFERROR(VLOOKUP($A708,[4]库存使用数据!$A:$H,8,0),0)+IFERROR(VLOOKUP($A708,[5]库存使用数据!$A:$H,8,0),0)</f>
        <v>7</v>
      </c>
      <c r="I708" s="1">
        <f ca="1">IFERROR(VLOOKUP($A708,[1]库存使用数据!$A:$I,9,0),0)+IFERROR(VLOOKUP($A708,[2]库存使用数据!$A:$I,9,0),0)+IFERROR(VLOOKUP($A708,[3]库存使用数据!$A:$I,9,0),0)+IFERROR(VLOOKUP($A708,[4]库存使用数据!$A:$I,9,0),0)+IFERROR(VLOOKUP($A708,[5]库存使用数据!$A:$I,9,0),0)</f>
        <v>0</v>
      </c>
      <c r="J708" s="1">
        <f ca="1">IFERROR(VLOOKUP($A708,[1]库存使用数据!$A:$J,10,0),0)+IFERROR(VLOOKUP($A708,[2]库存使用数据!$A:$J,10,0),0)+公式!$B$14*IFERROR(VLOOKUP($A708,[3]库存使用数据!$A:$J,10,0),0)+IFERROR(VLOOKUP($A708,[4]库存使用数据!$A:$J,10,0),0)+IFERROR(VLOOKUP($A708,[5]库存使用数据!$A:$J,10,0),0)</f>
        <v>0</v>
      </c>
      <c r="K708" s="1">
        <f ca="1">IFERROR(VLOOKUP($A708,[1]库存使用数据!$A:$K,11,0),0)+IFERROR(VLOOKUP($A708,[2]库存使用数据!$A:$K,11,0),0)+IFERROR(VLOOKUP($A708,[3]库存使用数据!$A:$K,11,0),0)+IFERROR(VLOOKUP($A708,[4]库存使用数据!$A:$K,11,0),0)+IFERROR(VLOOKUP($A708,[5]库存使用数据!$A:$K,11,0),0)</f>
        <v>22</v>
      </c>
      <c r="L708" s="1">
        <f ca="1">IFERROR(VLOOKUP($A708,[1]库存使用数据!$A:$L,12,0),0)+IFERROR(VLOOKUP($A708,[2]库存使用数据!$A:$L,12,0),0)+IFERROR(VLOOKUP($A708,[3]库存使用数据!$A:$L,12,0),0)+IFERROR(VLOOKUP($A708,[4]库存使用数据!$A:$L,12,0),0)+IFERROR(VLOOKUP($A708,[5]库存使用数据!$A:$L,12,0),0)</f>
        <v>0</v>
      </c>
      <c r="M708" s="1">
        <f ca="1">IFERROR(VLOOKUP($A708,[1]库存使用数据!$A:$M,13,0),0)+IFERROR(VLOOKUP($A708,[2]库存使用数据!$A:$M,13,0),0)+公式!$B$14*IFERROR(VLOOKUP($A708,[3]库存使用数据!$A:$M,13,0),0)+IFERROR(VLOOKUP($A708,[4]库存使用数据!$A:$M,13,0),0)+IFERROR(VLOOKUP($A708,[5]库存使用数据!$A:$M,13,0),0)</f>
        <v>0</v>
      </c>
    </row>
    <row r="709" spans="1:13">
      <c r="A709" s="6" t="s">
        <v>714</v>
      </c>
      <c r="B709" s="2">
        <f ca="1">IFERROR(VLOOKUP(A709,[1]库存使用数据!$A:$B,2,0),0)+IFERROR(VLOOKUP(A709,[2]库存使用数据!$A:$B,2,0),0)+IFERROR(VLOOKUP(,[3]库存使用数据!$A:$B,2,0),0)+IFERROR(VLOOKUP(A709,[4]库存使用数据!$A:$B,2,0),0)+IFERROR(VLOOKUP(A709,[5]库存使用数据!$A:$B,2,0),0)</f>
        <v>0</v>
      </c>
      <c r="C709" s="1">
        <f ca="1">IFERROR(VLOOKUP($A709,[1]库存使用数据!$A:$C,3,0),0)+IFERROR(VLOOKUP($A709,[2]库存使用数据!$A:$C,3,0),0)+IFERROR(VLOOKUP($A709,[3]库存使用数据!$A:$C,3,0),0)+IFERROR(VLOOKUP($A709,[4]库存使用数据!$A:$C,3,0),0)+IFERROR(VLOOKUP($A709,[5]库存使用数据!$A:$C,3,0),0)</f>
        <v>0</v>
      </c>
      <c r="D709" s="1">
        <f ca="1">IFERROR(VLOOKUP($A709,[1]库存使用数据!$A:$D,4,0),0)+IFERROR(VLOOKUP($A709,[2]库存使用数据!$A:$D,4,0),0)+公式!$B$1*IFERROR(VLOOKUP($A709,[3]库存使用数据!$A:$D,4,0),0)+IFERROR(VLOOKUP($A709,[4]库存使用数据!$A:$D,4,0),0)+IFERROR(VLOOKUP($A709,[5]库存使用数据!$A:$D,4,0),0)</f>
        <v>0</v>
      </c>
      <c r="E709" s="1">
        <f ca="1">IFERROR(VLOOKUP($A709,[1]库存使用数据!$A:$E,5,0),0)+IFERROR(VLOOKUP($A709,[2]库存使用数据!$A:$E,5,0),0)+IFERROR(VLOOKUP($A709,[3]库存使用数据!$A:$E,5,0),0)+IFERROR(VLOOKUP($A709,[4]库存使用数据!$A:$E,5,0),0)+IFERROR(VLOOKUP($A709,[5]库存使用数据!$A:$E,5,0),0)</f>
        <v>51</v>
      </c>
      <c r="F709" s="1">
        <f ca="1">IFERROR(VLOOKUP($A709,[1]库存使用数据!$A:$F,6,0),0)+IFERROR(VLOOKUP($A709,[2]库存使用数据!$A:$F,6,0),0)+IFERROR(VLOOKUP($A709,[4]库存使用数据!$A:$F,6,0),0)+IFERROR(VLOOKUP($A709,[3]库存使用数据!$A:$F,6,0),0)+IFERROR(VLOOKUP($A709,[5]库存使用数据!$A:$F,6,0),0)</f>
        <v>0</v>
      </c>
      <c r="G709" s="1">
        <f ca="1">IFERROR(VLOOKUP($A709,[1]库存使用数据!$A:$G,7,0),0)+IFERROR(VLOOKUP($A709,[2]库存使用数据!$A:$G,7,0),0)+公式!$B$14*IFERROR(VLOOKUP($A709,[3]库存使用数据!$A:$G,7,0),0)+IFERROR(VLOOKUP($A709,[4]库存使用数据!$A:$G,7,0),0)+IFERROR(VLOOKUP($A709,[5]库存使用数据!$A:$G,7,0),0)</f>
        <v>0</v>
      </c>
      <c r="H709" s="1">
        <f ca="1">IFERROR(VLOOKUP($A709,[1]库存使用数据!$A:$H,8,0),0)+IFERROR(VLOOKUP($A709,[2]库存使用数据!$A:$H,8,0),0)+IFERROR(VLOOKUP($A709,[3]库存使用数据!$A:$H,8,0),0)+IFERROR(VLOOKUP($A709,[4]库存使用数据!$A:$H,8,0),0)+IFERROR(VLOOKUP($A709,[5]库存使用数据!$A:$H,8,0),0)</f>
        <v>17</v>
      </c>
      <c r="I709" s="1">
        <f ca="1">IFERROR(VLOOKUP($A709,[1]库存使用数据!$A:$I,9,0),0)+IFERROR(VLOOKUP($A709,[2]库存使用数据!$A:$I,9,0),0)+IFERROR(VLOOKUP($A709,[3]库存使用数据!$A:$I,9,0),0)+IFERROR(VLOOKUP($A709,[4]库存使用数据!$A:$I,9,0),0)+IFERROR(VLOOKUP($A709,[5]库存使用数据!$A:$I,9,0),0)</f>
        <v>0</v>
      </c>
      <c r="J709" s="1">
        <f ca="1">IFERROR(VLOOKUP($A709,[1]库存使用数据!$A:$J,10,0),0)+IFERROR(VLOOKUP($A709,[2]库存使用数据!$A:$J,10,0),0)+公式!$B$14*IFERROR(VLOOKUP($A709,[3]库存使用数据!$A:$J,10,0),0)+IFERROR(VLOOKUP($A709,[4]库存使用数据!$A:$J,10,0),0)+IFERROR(VLOOKUP($A709,[5]库存使用数据!$A:$J,10,0),0)</f>
        <v>0</v>
      </c>
      <c r="K709" s="1">
        <f ca="1">IFERROR(VLOOKUP($A709,[1]库存使用数据!$A:$K,11,0),0)+IFERROR(VLOOKUP($A709,[2]库存使用数据!$A:$K,11,0),0)+IFERROR(VLOOKUP($A709,[3]库存使用数据!$A:$K,11,0),0)+IFERROR(VLOOKUP($A709,[4]库存使用数据!$A:$K,11,0),0)+IFERROR(VLOOKUP($A709,[5]库存使用数据!$A:$K,11,0),0)</f>
        <v>141</v>
      </c>
      <c r="L709" s="1">
        <f ca="1">IFERROR(VLOOKUP($A709,[1]库存使用数据!$A:$L,12,0),0)+IFERROR(VLOOKUP($A709,[2]库存使用数据!$A:$L,12,0),0)+IFERROR(VLOOKUP($A709,[3]库存使用数据!$A:$L,12,0),0)+IFERROR(VLOOKUP($A709,[4]库存使用数据!$A:$L,12,0),0)+IFERROR(VLOOKUP($A709,[5]库存使用数据!$A:$L,12,0),0)</f>
        <v>1</v>
      </c>
      <c r="M709" s="1">
        <f ca="1">IFERROR(VLOOKUP($A709,[1]库存使用数据!$A:$M,13,0),0)+IFERROR(VLOOKUP($A709,[2]库存使用数据!$A:$M,13,0),0)+公式!$B$14*IFERROR(VLOOKUP($A709,[3]库存使用数据!$A:$M,13,0),0)+IFERROR(VLOOKUP($A709,[4]库存使用数据!$A:$M,13,0),0)+IFERROR(VLOOKUP($A709,[5]库存使用数据!$A:$M,13,0),0)</f>
        <v>0.19</v>
      </c>
    </row>
    <row r="710" spans="1:13">
      <c r="A710" s="6" t="s">
        <v>715</v>
      </c>
      <c r="B710" s="2">
        <f ca="1">IFERROR(VLOOKUP(A710,[1]库存使用数据!$A:$B,2,0),0)+IFERROR(VLOOKUP(A710,[2]库存使用数据!$A:$B,2,0),0)+IFERROR(VLOOKUP(,[3]库存使用数据!$A:$B,2,0),0)+IFERROR(VLOOKUP(A710,[4]库存使用数据!$A:$B,2,0),0)+IFERROR(VLOOKUP(A710,[5]库存使用数据!$A:$B,2,0),0)</f>
        <v>143</v>
      </c>
      <c r="C710" s="1">
        <f ca="1">IFERROR(VLOOKUP($A710,[1]库存使用数据!$A:$C,3,0),0)+IFERROR(VLOOKUP($A710,[2]库存使用数据!$A:$C,3,0),0)+IFERROR(VLOOKUP($A710,[3]库存使用数据!$A:$C,3,0),0)+IFERROR(VLOOKUP($A710,[4]库存使用数据!$A:$C,3,0),0)+IFERROR(VLOOKUP($A710,[5]库存使用数据!$A:$C,3,0),0)</f>
        <v>0</v>
      </c>
      <c r="D710" s="1">
        <f ca="1">IFERROR(VLOOKUP($A710,[1]库存使用数据!$A:$D,4,0),0)+IFERROR(VLOOKUP($A710,[2]库存使用数据!$A:$D,4,0),0)+公式!$B$1*IFERROR(VLOOKUP($A710,[3]库存使用数据!$A:$D,4,0),0)+IFERROR(VLOOKUP($A710,[4]库存使用数据!$A:$D,4,0),0)+IFERROR(VLOOKUP($A710,[5]库存使用数据!$A:$D,4,0),0)</f>
        <v>0</v>
      </c>
      <c r="E710" s="1">
        <f ca="1">IFERROR(VLOOKUP($A710,[1]库存使用数据!$A:$E,5,0),0)+IFERROR(VLOOKUP($A710,[2]库存使用数据!$A:$E,5,0),0)+IFERROR(VLOOKUP($A710,[3]库存使用数据!$A:$E,5,0),0)+IFERROR(VLOOKUP($A710,[4]库存使用数据!$A:$E,5,0),0)+IFERROR(VLOOKUP($A710,[5]库存使用数据!$A:$E,5,0),0)</f>
        <v>639</v>
      </c>
      <c r="F710" s="1">
        <f ca="1">IFERROR(VLOOKUP($A710,[1]库存使用数据!$A:$F,6,0),0)+IFERROR(VLOOKUP($A710,[2]库存使用数据!$A:$F,6,0),0)+IFERROR(VLOOKUP($A710,[4]库存使用数据!$A:$F,6,0),0)+IFERROR(VLOOKUP($A710,[3]库存使用数据!$A:$F,6,0),0)+IFERROR(VLOOKUP($A710,[5]库存使用数据!$A:$F,6,0),0)</f>
        <v>0</v>
      </c>
      <c r="G710" s="1">
        <f ca="1">IFERROR(VLOOKUP($A710,[1]库存使用数据!$A:$G,7,0),0)+IFERROR(VLOOKUP($A710,[2]库存使用数据!$A:$G,7,0),0)+公式!$B$14*IFERROR(VLOOKUP($A710,[3]库存使用数据!$A:$G,7,0),0)+IFERROR(VLOOKUP($A710,[4]库存使用数据!$A:$G,7,0),0)+IFERROR(VLOOKUP($A710,[5]库存使用数据!$A:$G,7,0),0)</f>
        <v>0</v>
      </c>
      <c r="H710" s="1">
        <f ca="1">IFERROR(VLOOKUP($A710,[1]库存使用数据!$A:$H,8,0),0)+IFERROR(VLOOKUP($A710,[2]库存使用数据!$A:$H,8,0),0)+IFERROR(VLOOKUP($A710,[3]库存使用数据!$A:$H,8,0),0)+IFERROR(VLOOKUP($A710,[4]库存使用数据!$A:$H,8,0),0)+IFERROR(VLOOKUP($A710,[5]库存使用数据!$A:$H,8,0),0)</f>
        <v>380</v>
      </c>
      <c r="I710" s="1">
        <f ca="1">IFERROR(VLOOKUP($A710,[1]库存使用数据!$A:$I,9,0),0)+IFERROR(VLOOKUP($A710,[2]库存使用数据!$A:$I,9,0),0)+IFERROR(VLOOKUP($A710,[3]库存使用数据!$A:$I,9,0),0)+IFERROR(VLOOKUP($A710,[4]库存使用数据!$A:$I,9,0),0)+IFERROR(VLOOKUP($A710,[5]库存使用数据!$A:$I,9,0),0)</f>
        <v>0</v>
      </c>
      <c r="J710" s="1">
        <f ca="1">IFERROR(VLOOKUP($A710,[1]库存使用数据!$A:$J,10,0),0)+IFERROR(VLOOKUP($A710,[2]库存使用数据!$A:$J,10,0),0)+公式!$B$14*IFERROR(VLOOKUP($A710,[3]库存使用数据!$A:$J,10,0),0)+IFERROR(VLOOKUP($A710,[4]库存使用数据!$A:$J,10,0),0)+IFERROR(VLOOKUP($A710,[5]库存使用数据!$A:$J,10,0),0)</f>
        <v>0</v>
      </c>
      <c r="K710" s="1">
        <f ca="1">IFERROR(VLOOKUP($A710,[1]库存使用数据!$A:$K,11,0),0)+IFERROR(VLOOKUP($A710,[2]库存使用数据!$A:$K,11,0),0)+IFERROR(VLOOKUP($A710,[3]库存使用数据!$A:$K,11,0),0)+IFERROR(VLOOKUP($A710,[4]库存使用数据!$A:$K,11,0),0)+IFERROR(VLOOKUP($A710,[5]库存使用数据!$A:$K,11,0),0)</f>
        <v>303</v>
      </c>
      <c r="L710" s="1">
        <f ca="1">IFERROR(VLOOKUP($A710,[1]库存使用数据!$A:$L,12,0),0)+IFERROR(VLOOKUP($A710,[2]库存使用数据!$A:$L,12,0),0)+IFERROR(VLOOKUP($A710,[3]库存使用数据!$A:$L,12,0),0)+IFERROR(VLOOKUP($A710,[4]库存使用数据!$A:$L,12,0),0)+IFERROR(VLOOKUP($A710,[5]库存使用数据!$A:$L,12,0),0)</f>
        <v>0</v>
      </c>
      <c r="M710" s="1">
        <f ca="1">IFERROR(VLOOKUP($A710,[1]库存使用数据!$A:$M,13,0),0)+IFERROR(VLOOKUP($A710,[2]库存使用数据!$A:$M,13,0),0)+公式!$B$14*IFERROR(VLOOKUP($A710,[3]库存使用数据!$A:$M,13,0),0)+IFERROR(VLOOKUP($A710,[4]库存使用数据!$A:$M,13,0),0)+IFERROR(VLOOKUP($A710,[5]库存使用数据!$A:$M,13,0),0)</f>
        <v>0</v>
      </c>
    </row>
    <row r="711" spans="1:13">
      <c r="A711" s="6" t="s">
        <v>716</v>
      </c>
      <c r="B711" s="2">
        <f ca="1">IFERROR(VLOOKUP(A711,[1]库存使用数据!$A:$B,2,0),0)+IFERROR(VLOOKUP(A711,[2]库存使用数据!$A:$B,2,0),0)+IFERROR(VLOOKUP(,[3]库存使用数据!$A:$B,2,0),0)+IFERROR(VLOOKUP(A711,[4]库存使用数据!$A:$B,2,0),0)+IFERROR(VLOOKUP(A711,[5]库存使用数据!$A:$B,2,0),0)</f>
        <v>65</v>
      </c>
      <c r="C711" s="1">
        <f ca="1">IFERROR(VLOOKUP($A711,[1]库存使用数据!$A:$C,3,0),0)+IFERROR(VLOOKUP($A711,[2]库存使用数据!$A:$C,3,0),0)+IFERROR(VLOOKUP($A711,[3]库存使用数据!$A:$C,3,0),0)+IFERROR(VLOOKUP($A711,[4]库存使用数据!$A:$C,3,0),0)+IFERROR(VLOOKUP($A711,[5]库存使用数据!$A:$C,3,0),0)</f>
        <v>0</v>
      </c>
      <c r="D711" s="1">
        <f ca="1">IFERROR(VLOOKUP($A711,[1]库存使用数据!$A:$D,4,0),0)+IFERROR(VLOOKUP($A711,[2]库存使用数据!$A:$D,4,0),0)+公式!$B$1*IFERROR(VLOOKUP($A711,[3]库存使用数据!$A:$D,4,0),0)+IFERROR(VLOOKUP($A711,[4]库存使用数据!$A:$D,4,0),0)+IFERROR(VLOOKUP($A711,[5]库存使用数据!$A:$D,4,0),0)</f>
        <v>0</v>
      </c>
      <c r="E711" s="1">
        <f ca="1">IFERROR(VLOOKUP($A711,[1]库存使用数据!$A:$E,5,0),0)+IFERROR(VLOOKUP($A711,[2]库存使用数据!$A:$E,5,0),0)+IFERROR(VLOOKUP($A711,[3]库存使用数据!$A:$E,5,0),0)+IFERROR(VLOOKUP($A711,[4]库存使用数据!$A:$E,5,0),0)+IFERROR(VLOOKUP($A711,[5]库存使用数据!$A:$E,5,0),0)</f>
        <v>90</v>
      </c>
      <c r="F711" s="1">
        <f ca="1">IFERROR(VLOOKUP($A711,[1]库存使用数据!$A:$F,6,0),0)+IFERROR(VLOOKUP($A711,[2]库存使用数据!$A:$F,6,0),0)+IFERROR(VLOOKUP($A711,[4]库存使用数据!$A:$F,6,0),0)+IFERROR(VLOOKUP($A711,[3]库存使用数据!$A:$F,6,0),0)+IFERROR(VLOOKUP($A711,[5]库存使用数据!$A:$F,6,0),0)</f>
        <v>0</v>
      </c>
      <c r="G711" s="1">
        <f ca="1">IFERROR(VLOOKUP($A711,[1]库存使用数据!$A:$G,7,0),0)+IFERROR(VLOOKUP($A711,[2]库存使用数据!$A:$G,7,0),0)+公式!$B$14*IFERROR(VLOOKUP($A711,[3]库存使用数据!$A:$G,7,0),0)+IFERROR(VLOOKUP($A711,[4]库存使用数据!$A:$G,7,0),0)+IFERROR(VLOOKUP($A711,[5]库存使用数据!$A:$G,7,0),0)</f>
        <v>0</v>
      </c>
      <c r="H711" s="1">
        <f ca="1">IFERROR(VLOOKUP($A711,[1]库存使用数据!$A:$H,8,0),0)+IFERROR(VLOOKUP($A711,[2]库存使用数据!$A:$H,8,0),0)+IFERROR(VLOOKUP($A711,[3]库存使用数据!$A:$H,8,0),0)+IFERROR(VLOOKUP($A711,[4]库存使用数据!$A:$H,8,0),0)+IFERROR(VLOOKUP($A711,[5]库存使用数据!$A:$H,8,0),0)</f>
        <v>55</v>
      </c>
      <c r="I711" s="1">
        <f ca="1">IFERROR(VLOOKUP($A711,[1]库存使用数据!$A:$I,9,0),0)+IFERROR(VLOOKUP($A711,[2]库存使用数据!$A:$I,9,0),0)+IFERROR(VLOOKUP($A711,[3]库存使用数据!$A:$I,9,0),0)+IFERROR(VLOOKUP($A711,[4]库存使用数据!$A:$I,9,0),0)+IFERROR(VLOOKUP($A711,[5]库存使用数据!$A:$I,9,0),0)</f>
        <v>0</v>
      </c>
      <c r="J711" s="1">
        <f ca="1">IFERROR(VLOOKUP($A711,[1]库存使用数据!$A:$J,10,0),0)+IFERROR(VLOOKUP($A711,[2]库存使用数据!$A:$J,10,0),0)+公式!$B$14*IFERROR(VLOOKUP($A711,[3]库存使用数据!$A:$J,10,0),0)+IFERROR(VLOOKUP($A711,[4]库存使用数据!$A:$J,10,0),0)+IFERROR(VLOOKUP($A711,[5]库存使用数据!$A:$J,10,0),0)</f>
        <v>0</v>
      </c>
      <c r="K711" s="1">
        <f ca="1">IFERROR(VLOOKUP($A711,[1]库存使用数据!$A:$K,11,0),0)+IFERROR(VLOOKUP($A711,[2]库存使用数据!$A:$K,11,0),0)+IFERROR(VLOOKUP($A711,[3]库存使用数据!$A:$K,11,0),0)+IFERROR(VLOOKUP($A711,[4]库存使用数据!$A:$K,11,0),0)+IFERROR(VLOOKUP($A711,[5]库存使用数据!$A:$K,11,0),0)</f>
        <v>87</v>
      </c>
      <c r="L711" s="1">
        <f ca="1">IFERROR(VLOOKUP($A711,[1]库存使用数据!$A:$L,12,0),0)+IFERROR(VLOOKUP($A711,[2]库存使用数据!$A:$L,12,0),0)+IFERROR(VLOOKUP($A711,[3]库存使用数据!$A:$L,12,0),0)+IFERROR(VLOOKUP($A711,[4]库存使用数据!$A:$L,12,0),0)+IFERROR(VLOOKUP($A711,[5]库存使用数据!$A:$L,12,0),0)</f>
        <v>0</v>
      </c>
      <c r="M711" s="1">
        <f ca="1">IFERROR(VLOOKUP($A711,[1]库存使用数据!$A:$M,13,0),0)+IFERROR(VLOOKUP($A711,[2]库存使用数据!$A:$M,13,0),0)+公式!$B$14*IFERROR(VLOOKUP($A711,[3]库存使用数据!$A:$M,13,0),0)+IFERROR(VLOOKUP($A711,[4]库存使用数据!$A:$M,13,0),0)+IFERROR(VLOOKUP($A711,[5]库存使用数据!$A:$M,13,0),0)</f>
        <v>0</v>
      </c>
    </row>
    <row r="712" spans="1:13">
      <c r="A712" s="6" t="s">
        <v>717</v>
      </c>
      <c r="B712" s="2">
        <f ca="1">IFERROR(VLOOKUP(A712,[1]库存使用数据!$A:$B,2,0),0)+IFERROR(VLOOKUP(A712,[2]库存使用数据!$A:$B,2,0),0)+IFERROR(VLOOKUP(,[3]库存使用数据!$A:$B,2,0),0)+IFERROR(VLOOKUP(A712,[4]库存使用数据!$A:$B,2,0),0)+IFERROR(VLOOKUP(A712,[5]库存使用数据!$A:$B,2,0),0)</f>
        <v>6</v>
      </c>
      <c r="C712" s="1">
        <f ca="1">IFERROR(VLOOKUP($A712,[1]库存使用数据!$A:$C,3,0),0)+IFERROR(VLOOKUP($A712,[2]库存使用数据!$A:$C,3,0),0)+IFERROR(VLOOKUP($A712,[3]库存使用数据!$A:$C,3,0),0)+IFERROR(VLOOKUP($A712,[4]库存使用数据!$A:$C,3,0),0)+IFERROR(VLOOKUP($A712,[5]库存使用数据!$A:$C,3,0),0)</f>
        <v>0</v>
      </c>
      <c r="D712" s="1">
        <f ca="1">IFERROR(VLOOKUP($A712,[1]库存使用数据!$A:$D,4,0),0)+IFERROR(VLOOKUP($A712,[2]库存使用数据!$A:$D,4,0),0)+公式!$B$1*IFERROR(VLOOKUP($A712,[3]库存使用数据!$A:$D,4,0),0)+IFERROR(VLOOKUP($A712,[4]库存使用数据!$A:$D,4,0),0)+IFERROR(VLOOKUP($A712,[5]库存使用数据!$A:$D,4,0),0)</f>
        <v>0</v>
      </c>
      <c r="E712" s="1">
        <f ca="1">IFERROR(VLOOKUP($A712,[1]库存使用数据!$A:$E,5,0),0)+IFERROR(VLOOKUP($A712,[2]库存使用数据!$A:$E,5,0),0)+IFERROR(VLOOKUP($A712,[3]库存使用数据!$A:$E,5,0),0)+IFERROR(VLOOKUP($A712,[4]库存使用数据!$A:$E,5,0),0)+IFERROR(VLOOKUP($A712,[5]库存使用数据!$A:$E,5,0),0)</f>
        <v>61</v>
      </c>
      <c r="F712" s="1">
        <f ca="1">IFERROR(VLOOKUP($A712,[1]库存使用数据!$A:$F,6,0),0)+IFERROR(VLOOKUP($A712,[2]库存使用数据!$A:$F,6,0),0)+IFERROR(VLOOKUP($A712,[4]库存使用数据!$A:$F,6,0),0)+IFERROR(VLOOKUP($A712,[3]库存使用数据!$A:$F,6,0),0)+IFERROR(VLOOKUP($A712,[5]库存使用数据!$A:$F,6,0),0)</f>
        <v>0</v>
      </c>
      <c r="G712" s="1">
        <f ca="1">IFERROR(VLOOKUP($A712,[1]库存使用数据!$A:$G,7,0),0)+IFERROR(VLOOKUP($A712,[2]库存使用数据!$A:$G,7,0),0)+公式!$B$14*IFERROR(VLOOKUP($A712,[3]库存使用数据!$A:$G,7,0),0)+IFERROR(VLOOKUP($A712,[4]库存使用数据!$A:$G,7,0),0)+IFERROR(VLOOKUP($A712,[5]库存使用数据!$A:$G,7,0),0)</f>
        <v>0</v>
      </c>
      <c r="H712" s="1">
        <f ca="1">IFERROR(VLOOKUP($A712,[1]库存使用数据!$A:$H,8,0),0)+IFERROR(VLOOKUP($A712,[2]库存使用数据!$A:$H,8,0),0)+IFERROR(VLOOKUP($A712,[3]库存使用数据!$A:$H,8,0),0)+IFERROR(VLOOKUP($A712,[4]库存使用数据!$A:$H,8,0),0)+IFERROR(VLOOKUP($A712,[5]库存使用数据!$A:$H,8,0),0)</f>
        <v>42</v>
      </c>
      <c r="I712" s="1">
        <f ca="1">IFERROR(VLOOKUP($A712,[1]库存使用数据!$A:$I,9,0),0)+IFERROR(VLOOKUP($A712,[2]库存使用数据!$A:$I,9,0),0)+IFERROR(VLOOKUP($A712,[3]库存使用数据!$A:$I,9,0),0)+IFERROR(VLOOKUP($A712,[4]库存使用数据!$A:$I,9,0),0)+IFERROR(VLOOKUP($A712,[5]库存使用数据!$A:$I,9,0),0)</f>
        <v>0</v>
      </c>
      <c r="J712" s="1">
        <f ca="1">IFERROR(VLOOKUP($A712,[1]库存使用数据!$A:$J,10,0),0)+IFERROR(VLOOKUP($A712,[2]库存使用数据!$A:$J,10,0),0)+公式!$B$14*IFERROR(VLOOKUP($A712,[3]库存使用数据!$A:$J,10,0),0)+IFERROR(VLOOKUP($A712,[4]库存使用数据!$A:$J,10,0),0)+IFERROR(VLOOKUP($A712,[5]库存使用数据!$A:$J,10,0),0)</f>
        <v>0</v>
      </c>
      <c r="K712" s="1">
        <f ca="1">IFERROR(VLOOKUP($A712,[1]库存使用数据!$A:$K,11,0),0)+IFERROR(VLOOKUP($A712,[2]库存使用数据!$A:$K,11,0),0)+IFERROR(VLOOKUP($A712,[3]库存使用数据!$A:$K,11,0),0)+IFERROR(VLOOKUP($A712,[4]库存使用数据!$A:$K,11,0),0)+IFERROR(VLOOKUP($A712,[5]库存使用数据!$A:$K,11,0),0)</f>
        <v>26</v>
      </c>
      <c r="L712" s="1">
        <f ca="1">IFERROR(VLOOKUP($A712,[1]库存使用数据!$A:$L,12,0),0)+IFERROR(VLOOKUP($A712,[2]库存使用数据!$A:$L,12,0),0)+IFERROR(VLOOKUP($A712,[3]库存使用数据!$A:$L,12,0),0)+IFERROR(VLOOKUP($A712,[4]库存使用数据!$A:$L,12,0),0)+IFERROR(VLOOKUP($A712,[5]库存使用数据!$A:$L,12,0),0)</f>
        <v>0</v>
      </c>
      <c r="M712" s="1">
        <f ca="1">IFERROR(VLOOKUP($A712,[1]库存使用数据!$A:$M,13,0),0)+IFERROR(VLOOKUP($A712,[2]库存使用数据!$A:$M,13,0),0)+公式!$B$14*IFERROR(VLOOKUP($A712,[3]库存使用数据!$A:$M,13,0),0)+IFERROR(VLOOKUP($A712,[4]库存使用数据!$A:$M,13,0),0)+IFERROR(VLOOKUP($A712,[5]库存使用数据!$A:$M,13,0),0)</f>
        <v>0</v>
      </c>
    </row>
    <row r="713" spans="1:13">
      <c r="A713" s="6" t="s">
        <v>718</v>
      </c>
      <c r="B713" s="2">
        <f ca="1">IFERROR(VLOOKUP(A713,[1]库存使用数据!$A:$B,2,0),0)+IFERROR(VLOOKUP(A713,[2]库存使用数据!$A:$B,2,0),0)+IFERROR(VLOOKUP(,[3]库存使用数据!$A:$B,2,0),0)+IFERROR(VLOOKUP(A713,[4]库存使用数据!$A:$B,2,0),0)+IFERROR(VLOOKUP(A713,[5]库存使用数据!$A:$B,2,0),0)</f>
        <v>146</v>
      </c>
      <c r="C713" s="1">
        <f ca="1">IFERROR(VLOOKUP($A713,[1]库存使用数据!$A:$C,3,0),0)+IFERROR(VLOOKUP($A713,[2]库存使用数据!$A:$C,3,0),0)+IFERROR(VLOOKUP($A713,[3]库存使用数据!$A:$C,3,0),0)+IFERROR(VLOOKUP($A713,[4]库存使用数据!$A:$C,3,0),0)+IFERROR(VLOOKUP($A713,[5]库存使用数据!$A:$C,3,0),0)</f>
        <v>0</v>
      </c>
      <c r="D713" s="1">
        <f ca="1">IFERROR(VLOOKUP($A713,[1]库存使用数据!$A:$D,4,0),0)+IFERROR(VLOOKUP($A713,[2]库存使用数据!$A:$D,4,0),0)+公式!$B$1*IFERROR(VLOOKUP($A713,[3]库存使用数据!$A:$D,4,0),0)+IFERROR(VLOOKUP($A713,[4]库存使用数据!$A:$D,4,0),0)+IFERROR(VLOOKUP($A713,[5]库存使用数据!$A:$D,4,0),0)</f>
        <v>0</v>
      </c>
      <c r="E713" s="1">
        <f ca="1">IFERROR(VLOOKUP($A713,[1]库存使用数据!$A:$E,5,0),0)+IFERROR(VLOOKUP($A713,[2]库存使用数据!$A:$E,5,0),0)+IFERROR(VLOOKUP($A713,[3]库存使用数据!$A:$E,5,0),0)+IFERROR(VLOOKUP($A713,[4]库存使用数据!$A:$E,5,0),0)+IFERROR(VLOOKUP($A713,[5]库存使用数据!$A:$E,5,0),0)</f>
        <v>57</v>
      </c>
      <c r="F713" s="1">
        <f ca="1">IFERROR(VLOOKUP($A713,[1]库存使用数据!$A:$F,6,0),0)+IFERROR(VLOOKUP($A713,[2]库存使用数据!$A:$F,6,0),0)+IFERROR(VLOOKUP($A713,[4]库存使用数据!$A:$F,6,0),0)+IFERROR(VLOOKUP($A713,[3]库存使用数据!$A:$F,6,0),0)+IFERROR(VLOOKUP($A713,[5]库存使用数据!$A:$F,6,0),0)</f>
        <v>0</v>
      </c>
      <c r="G713" s="1">
        <f ca="1">IFERROR(VLOOKUP($A713,[1]库存使用数据!$A:$G,7,0),0)+IFERROR(VLOOKUP($A713,[2]库存使用数据!$A:$G,7,0),0)+公式!$B$14*IFERROR(VLOOKUP($A713,[3]库存使用数据!$A:$G,7,0),0)+IFERROR(VLOOKUP($A713,[4]库存使用数据!$A:$G,7,0),0)+IFERROR(VLOOKUP($A713,[5]库存使用数据!$A:$G,7,0),0)</f>
        <v>0</v>
      </c>
      <c r="H713" s="1">
        <f ca="1">IFERROR(VLOOKUP($A713,[1]库存使用数据!$A:$H,8,0),0)+IFERROR(VLOOKUP($A713,[2]库存使用数据!$A:$H,8,0),0)+IFERROR(VLOOKUP($A713,[3]库存使用数据!$A:$H,8,0),0)+IFERROR(VLOOKUP($A713,[4]库存使用数据!$A:$H,8,0),0)+IFERROR(VLOOKUP($A713,[5]库存使用数据!$A:$H,8,0),0)</f>
        <v>37</v>
      </c>
      <c r="I713" s="1">
        <f ca="1">IFERROR(VLOOKUP($A713,[1]库存使用数据!$A:$I,9,0),0)+IFERROR(VLOOKUP($A713,[2]库存使用数据!$A:$I,9,0),0)+IFERROR(VLOOKUP($A713,[3]库存使用数据!$A:$I,9,0),0)+IFERROR(VLOOKUP($A713,[4]库存使用数据!$A:$I,9,0),0)+IFERROR(VLOOKUP($A713,[5]库存使用数据!$A:$I,9,0),0)</f>
        <v>0</v>
      </c>
      <c r="J713" s="1">
        <f ca="1">IFERROR(VLOOKUP($A713,[1]库存使用数据!$A:$J,10,0),0)+IFERROR(VLOOKUP($A713,[2]库存使用数据!$A:$J,10,0),0)+公式!$B$14*IFERROR(VLOOKUP($A713,[3]库存使用数据!$A:$J,10,0),0)+IFERROR(VLOOKUP($A713,[4]库存使用数据!$A:$J,10,0),0)+IFERROR(VLOOKUP($A713,[5]库存使用数据!$A:$J,10,0),0)</f>
        <v>0</v>
      </c>
      <c r="K713" s="1">
        <f ca="1">IFERROR(VLOOKUP($A713,[1]库存使用数据!$A:$K,11,0),0)+IFERROR(VLOOKUP($A713,[2]库存使用数据!$A:$K,11,0),0)+IFERROR(VLOOKUP($A713,[3]库存使用数据!$A:$K,11,0),0)+IFERROR(VLOOKUP($A713,[4]库存使用数据!$A:$K,11,0),0)+IFERROR(VLOOKUP($A713,[5]库存使用数据!$A:$K,11,0),0)</f>
        <v>42</v>
      </c>
      <c r="L713" s="1">
        <f ca="1">IFERROR(VLOOKUP($A713,[1]库存使用数据!$A:$L,12,0),0)+IFERROR(VLOOKUP($A713,[2]库存使用数据!$A:$L,12,0),0)+IFERROR(VLOOKUP($A713,[3]库存使用数据!$A:$L,12,0),0)+IFERROR(VLOOKUP($A713,[4]库存使用数据!$A:$L,12,0),0)+IFERROR(VLOOKUP($A713,[5]库存使用数据!$A:$L,12,0),0)</f>
        <v>0</v>
      </c>
      <c r="M713" s="1">
        <f ca="1">IFERROR(VLOOKUP($A713,[1]库存使用数据!$A:$M,13,0),0)+IFERROR(VLOOKUP($A713,[2]库存使用数据!$A:$M,13,0),0)+公式!$B$14*IFERROR(VLOOKUP($A713,[3]库存使用数据!$A:$M,13,0),0)+IFERROR(VLOOKUP($A713,[4]库存使用数据!$A:$M,13,0),0)+IFERROR(VLOOKUP($A713,[5]库存使用数据!$A:$M,13,0),0)</f>
        <v>0</v>
      </c>
    </row>
    <row r="714" spans="1:13">
      <c r="A714" s="6" t="s">
        <v>719</v>
      </c>
      <c r="B714" s="2">
        <f ca="1">IFERROR(VLOOKUP(A714,[1]库存使用数据!$A:$B,2,0),0)+IFERROR(VLOOKUP(A714,[2]库存使用数据!$A:$B,2,0),0)+IFERROR(VLOOKUP(,[3]库存使用数据!$A:$B,2,0),0)+IFERROR(VLOOKUP(A714,[4]库存使用数据!$A:$B,2,0),0)+IFERROR(VLOOKUP(A714,[5]库存使用数据!$A:$B,2,0),0)</f>
        <v>102</v>
      </c>
      <c r="C714" s="1">
        <f ca="1">IFERROR(VLOOKUP($A714,[1]库存使用数据!$A:$C,3,0),0)+IFERROR(VLOOKUP($A714,[2]库存使用数据!$A:$C,3,0),0)+IFERROR(VLOOKUP($A714,[3]库存使用数据!$A:$C,3,0),0)+IFERROR(VLOOKUP($A714,[4]库存使用数据!$A:$C,3,0),0)+IFERROR(VLOOKUP($A714,[5]库存使用数据!$A:$C,3,0),0)</f>
        <v>1</v>
      </c>
      <c r="D714" s="1">
        <f ca="1">IFERROR(VLOOKUP($A714,[1]库存使用数据!$A:$D,4,0),0)+IFERROR(VLOOKUP($A714,[2]库存使用数据!$A:$D,4,0),0)+公式!$B$1*IFERROR(VLOOKUP($A714,[3]库存使用数据!$A:$D,4,0),0)+IFERROR(VLOOKUP($A714,[4]库存使用数据!$A:$D,4,0),0)+IFERROR(VLOOKUP($A714,[5]库存使用数据!$A:$D,4,0),0)</f>
        <v>0.22</v>
      </c>
      <c r="E714" s="1">
        <f ca="1">IFERROR(VLOOKUP($A714,[1]库存使用数据!$A:$E,5,0),0)+IFERROR(VLOOKUP($A714,[2]库存使用数据!$A:$E,5,0),0)+IFERROR(VLOOKUP($A714,[3]库存使用数据!$A:$E,5,0),0)+IFERROR(VLOOKUP($A714,[4]库存使用数据!$A:$E,5,0),0)+IFERROR(VLOOKUP($A714,[5]库存使用数据!$A:$E,5,0),0)</f>
        <v>386</v>
      </c>
      <c r="F714" s="1">
        <f ca="1">IFERROR(VLOOKUP($A714,[1]库存使用数据!$A:$F,6,0),0)+IFERROR(VLOOKUP($A714,[2]库存使用数据!$A:$F,6,0),0)+IFERROR(VLOOKUP($A714,[4]库存使用数据!$A:$F,6,0),0)+IFERROR(VLOOKUP($A714,[3]库存使用数据!$A:$F,6,0),0)+IFERROR(VLOOKUP($A714,[5]库存使用数据!$A:$F,6,0),0)</f>
        <v>1</v>
      </c>
      <c r="G714" s="1">
        <f ca="1">IFERROR(VLOOKUP($A714,[1]库存使用数据!$A:$G,7,0),0)+IFERROR(VLOOKUP($A714,[2]库存使用数据!$A:$G,7,0),0)+公式!$B$14*IFERROR(VLOOKUP($A714,[3]库存使用数据!$A:$G,7,0),0)+IFERROR(VLOOKUP($A714,[4]库存使用数据!$A:$G,7,0),0)+IFERROR(VLOOKUP($A714,[5]库存使用数据!$A:$G,7,0),0)</f>
        <v>0.28</v>
      </c>
      <c r="H714" s="1">
        <f ca="1">IFERROR(VLOOKUP($A714,[1]库存使用数据!$A:$H,8,0),0)+IFERROR(VLOOKUP($A714,[2]库存使用数据!$A:$H,8,0),0)+IFERROR(VLOOKUP($A714,[3]库存使用数据!$A:$H,8,0),0)+IFERROR(VLOOKUP($A714,[4]库存使用数据!$A:$H,8,0),0)+IFERROR(VLOOKUP($A714,[5]库存使用数据!$A:$H,8,0),0)</f>
        <v>222</v>
      </c>
      <c r="I714" s="1">
        <f ca="1">IFERROR(VLOOKUP($A714,[1]库存使用数据!$A:$I,9,0),0)+IFERROR(VLOOKUP($A714,[2]库存使用数据!$A:$I,9,0),0)+IFERROR(VLOOKUP($A714,[3]库存使用数据!$A:$I,9,0),0)+IFERROR(VLOOKUP($A714,[4]库存使用数据!$A:$I,9,0),0)+IFERROR(VLOOKUP($A714,[5]库存使用数据!$A:$I,9,0),0)</f>
        <v>0</v>
      </c>
      <c r="J714" s="1">
        <f ca="1">IFERROR(VLOOKUP($A714,[1]库存使用数据!$A:$J,10,0),0)+IFERROR(VLOOKUP($A714,[2]库存使用数据!$A:$J,10,0),0)+公式!$B$14*IFERROR(VLOOKUP($A714,[3]库存使用数据!$A:$J,10,0),0)+IFERROR(VLOOKUP($A714,[4]库存使用数据!$A:$J,10,0),0)+IFERROR(VLOOKUP($A714,[5]库存使用数据!$A:$J,10,0),0)</f>
        <v>0</v>
      </c>
      <c r="K714" s="1">
        <f ca="1">IFERROR(VLOOKUP($A714,[1]库存使用数据!$A:$K,11,0),0)+IFERROR(VLOOKUP($A714,[2]库存使用数据!$A:$K,11,0),0)+IFERROR(VLOOKUP($A714,[3]库存使用数据!$A:$K,11,0),0)+IFERROR(VLOOKUP($A714,[4]库存使用数据!$A:$K,11,0),0)+IFERROR(VLOOKUP($A714,[5]库存使用数据!$A:$K,11,0),0)</f>
        <v>1753</v>
      </c>
      <c r="L714" s="1">
        <f ca="1">IFERROR(VLOOKUP($A714,[1]库存使用数据!$A:$L,12,0),0)+IFERROR(VLOOKUP($A714,[2]库存使用数据!$A:$L,12,0),0)+IFERROR(VLOOKUP($A714,[3]库存使用数据!$A:$L,12,0),0)+IFERROR(VLOOKUP($A714,[4]库存使用数据!$A:$L,12,0),0)+IFERROR(VLOOKUP($A714,[5]库存使用数据!$A:$L,12,0),0)</f>
        <v>0</v>
      </c>
      <c r="M714" s="1">
        <f ca="1">IFERROR(VLOOKUP($A714,[1]库存使用数据!$A:$M,13,0),0)+IFERROR(VLOOKUP($A714,[2]库存使用数据!$A:$M,13,0),0)+公式!$B$14*IFERROR(VLOOKUP($A714,[3]库存使用数据!$A:$M,13,0),0)+IFERROR(VLOOKUP($A714,[4]库存使用数据!$A:$M,13,0),0)+IFERROR(VLOOKUP($A714,[5]库存使用数据!$A:$M,13,0),0)</f>
        <v>0</v>
      </c>
    </row>
    <row r="715" spans="1:13">
      <c r="A715" s="6" t="s">
        <v>720</v>
      </c>
      <c r="B715" s="2">
        <f ca="1">IFERROR(VLOOKUP(A715,[1]库存使用数据!$A:$B,2,0),0)+IFERROR(VLOOKUP(A715,[2]库存使用数据!$A:$B,2,0),0)+IFERROR(VLOOKUP(,[3]库存使用数据!$A:$B,2,0),0)+IFERROR(VLOOKUP(A715,[4]库存使用数据!$A:$B,2,0),0)+IFERROR(VLOOKUP(A715,[5]库存使用数据!$A:$B,2,0),0)</f>
        <v>171</v>
      </c>
      <c r="C715" s="1">
        <f ca="1">IFERROR(VLOOKUP($A715,[1]库存使用数据!$A:$C,3,0),0)+IFERROR(VLOOKUP($A715,[2]库存使用数据!$A:$C,3,0),0)+IFERROR(VLOOKUP($A715,[3]库存使用数据!$A:$C,3,0),0)+IFERROR(VLOOKUP($A715,[4]库存使用数据!$A:$C,3,0),0)+IFERROR(VLOOKUP($A715,[5]库存使用数据!$A:$C,3,0),0)</f>
        <v>0</v>
      </c>
      <c r="D715" s="1">
        <f ca="1">IFERROR(VLOOKUP($A715,[1]库存使用数据!$A:$D,4,0),0)+IFERROR(VLOOKUP($A715,[2]库存使用数据!$A:$D,4,0),0)+公式!$B$1*IFERROR(VLOOKUP($A715,[3]库存使用数据!$A:$D,4,0),0)+IFERROR(VLOOKUP($A715,[4]库存使用数据!$A:$D,4,0),0)+IFERROR(VLOOKUP($A715,[5]库存使用数据!$A:$D,4,0),0)</f>
        <v>0</v>
      </c>
      <c r="E715" s="1">
        <f ca="1">IFERROR(VLOOKUP($A715,[1]库存使用数据!$A:$E,5,0),0)+IFERROR(VLOOKUP($A715,[2]库存使用数据!$A:$E,5,0),0)+IFERROR(VLOOKUP($A715,[3]库存使用数据!$A:$E,5,0),0)+IFERROR(VLOOKUP($A715,[4]库存使用数据!$A:$E,5,0),0)+IFERROR(VLOOKUP($A715,[5]库存使用数据!$A:$E,5,0),0)</f>
        <v>627</v>
      </c>
      <c r="F715" s="1">
        <f ca="1">IFERROR(VLOOKUP($A715,[1]库存使用数据!$A:$F,6,0),0)+IFERROR(VLOOKUP($A715,[2]库存使用数据!$A:$F,6,0),0)+IFERROR(VLOOKUP($A715,[4]库存使用数据!$A:$F,6,0),0)+IFERROR(VLOOKUP($A715,[3]库存使用数据!$A:$F,6,0),0)+IFERROR(VLOOKUP($A715,[5]库存使用数据!$A:$F,6,0),0)</f>
        <v>1</v>
      </c>
      <c r="G715" s="1">
        <f ca="1">IFERROR(VLOOKUP($A715,[1]库存使用数据!$A:$G,7,0),0)+IFERROR(VLOOKUP($A715,[2]库存使用数据!$A:$G,7,0),0)+公式!$B$14*IFERROR(VLOOKUP($A715,[3]库存使用数据!$A:$G,7,0),0)+IFERROR(VLOOKUP($A715,[4]库存使用数据!$A:$G,7,0),0)+IFERROR(VLOOKUP($A715,[5]库存使用数据!$A:$G,7,0),0)</f>
        <v>0.17</v>
      </c>
      <c r="H715" s="1">
        <f ca="1">IFERROR(VLOOKUP($A715,[1]库存使用数据!$A:$H,8,0),0)+IFERROR(VLOOKUP($A715,[2]库存使用数据!$A:$H,8,0),0)+IFERROR(VLOOKUP($A715,[3]库存使用数据!$A:$H,8,0),0)+IFERROR(VLOOKUP($A715,[4]库存使用数据!$A:$H,8,0),0)+IFERROR(VLOOKUP($A715,[5]库存使用数据!$A:$H,8,0),0)</f>
        <v>147</v>
      </c>
      <c r="I715" s="1">
        <f ca="1">IFERROR(VLOOKUP($A715,[1]库存使用数据!$A:$I,9,0),0)+IFERROR(VLOOKUP($A715,[2]库存使用数据!$A:$I,9,0),0)+IFERROR(VLOOKUP($A715,[3]库存使用数据!$A:$I,9,0),0)+IFERROR(VLOOKUP($A715,[4]库存使用数据!$A:$I,9,0),0)+IFERROR(VLOOKUP($A715,[5]库存使用数据!$A:$I,9,0),0)</f>
        <v>0</v>
      </c>
      <c r="J715" s="1">
        <f ca="1">IFERROR(VLOOKUP($A715,[1]库存使用数据!$A:$J,10,0),0)+IFERROR(VLOOKUP($A715,[2]库存使用数据!$A:$J,10,0),0)+公式!$B$14*IFERROR(VLOOKUP($A715,[3]库存使用数据!$A:$J,10,0),0)+IFERROR(VLOOKUP($A715,[4]库存使用数据!$A:$J,10,0),0)+IFERROR(VLOOKUP($A715,[5]库存使用数据!$A:$J,10,0),0)</f>
        <v>0</v>
      </c>
      <c r="K715" s="1">
        <f ca="1">IFERROR(VLOOKUP($A715,[1]库存使用数据!$A:$K,11,0),0)+IFERROR(VLOOKUP($A715,[2]库存使用数据!$A:$K,11,0),0)+IFERROR(VLOOKUP($A715,[3]库存使用数据!$A:$K,11,0),0)+IFERROR(VLOOKUP($A715,[4]库存使用数据!$A:$K,11,0),0)+IFERROR(VLOOKUP($A715,[5]库存使用数据!$A:$K,11,0),0)</f>
        <v>22</v>
      </c>
      <c r="L715" s="1">
        <f ca="1">IFERROR(VLOOKUP($A715,[1]库存使用数据!$A:$L,12,0),0)+IFERROR(VLOOKUP($A715,[2]库存使用数据!$A:$L,12,0),0)+IFERROR(VLOOKUP($A715,[3]库存使用数据!$A:$L,12,0),0)+IFERROR(VLOOKUP($A715,[4]库存使用数据!$A:$L,12,0),0)+IFERROR(VLOOKUP($A715,[5]库存使用数据!$A:$L,12,0),0)</f>
        <v>0</v>
      </c>
      <c r="M715" s="1">
        <f ca="1">IFERROR(VLOOKUP($A715,[1]库存使用数据!$A:$M,13,0),0)+IFERROR(VLOOKUP($A715,[2]库存使用数据!$A:$M,13,0),0)+公式!$B$14*IFERROR(VLOOKUP($A715,[3]库存使用数据!$A:$M,13,0),0)+IFERROR(VLOOKUP($A715,[4]库存使用数据!$A:$M,13,0),0)+IFERROR(VLOOKUP($A715,[5]库存使用数据!$A:$M,13,0),0)</f>
        <v>0</v>
      </c>
    </row>
    <row r="716" spans="1:13">
      <c r="A716" s="6" t="s">
        <v>721</v>
      </c>
      <c r="B716" s="2">
        <f ca="1">IFERROR(VLOOKUP(A716,[1]库存使用数据!$A:$B,2,0),0)+IFERROR(VLOOKUP(A716,[2]库存使用数据!$A:$B,2,0),0)+IFERROR(VLOOKUP(,[3]库存使用数据!$A:$B,2,0),0)+IFERROR(VLOOKUP(A716,[4]库存使用数据!$A:$B,2,0),0)+IFERROR(VLOOKUP(A716,[5]库存使用数据!$A:$B,2,0),0)</f>
        <v>63</v>
      </c>
      <c r="C716" s="1">
        <f ca="1">IFERROR(VLOOKUP($A716,[1]库存使用数据!$A:$C,3,0),0)+IFERROR(VLOOKUP($A716,[2]库存使用数据!$A:$C,3,0),0)+IFERROR(VLOOKUP($A716,[3]库存使用数据!$A:$C,3,0),0)+IFERROR(VLOOKUP($A716,[4]库存使用数据!$A:$C,3,0),0)+IFERROR(VLOOKUP($A716,[5]库存使用数据!$A:$C,3,0),0)</f>
        <v>0</v>
      </c>
      <c r="D716" s="1">
        <f ca="1">IFERROR(VLOOKUP($A716,[1]库存使用数据!$A:$D,4,0),0)+IFERROR(VLOOKUP($A716,[2]库存使用数据!$A:$D,4,0),0)+公式!$B$1*IFERROR(VLOOKUP($A716,[3]库存使用数据!$A:$D,4,0),0)+IFERROR(VLOOKUP($A716,[4]库存使用数据!$A:$D,4,0),0)+IFERROR(VLOOKUP($A716,[5]库存使用数据!$A:$D,4,0),0)</f>
        <v>0</v>
      </c>
      <c r="E716" s="1">
        <f ca="1">IFERROR(VLOOKUP($A716,[1]库存使用数据!$A:$E,5,0),0)+IFERROR(VLOOKUP($A716,[2]库存使用数据!$A:$E,5,0),0)+IFERROR(VLOOKUP($A716,[3]库存使用数据!$A:$E,5,0),0)+IFERROR(VLOOKUP($A716,[4]库存使用数据!$A:$E,5,0),0)+IFERROR(VLOOKUP($A716,[5]库存使用数据!$A:$E,5,0),0)</f>
        <v>246</v>
      </c>
      <c r="F716" s="1">
        <f ca="1">IFERROR(VLOOKUP($A716,[1]库存使用数据!$A:$F,6,0),0)+IFERROR(VLOOKUP($A716,[2]库存使用数据!$A:$F,6,0),0)+IFERROR(VLOOKUP($A716,[4]库存使用数据!$A:$F,6,0),0)+IFERROR(VLOOKUP($A716,[3]库存使用数据!$A:$F,6,0),0)+IFERROR(VLOOKUP($A716,[5]库存使用数据!$A:$F,6,0),0)</f>
        <v>0</v>
      </c>
      <c r="G716" s="1">
        <f ca="1">IFERROR(VLOOKUP($A716,[1]库存使用数据!$A:$G,7,0),0)+IFERROR(VLOOKUP($A716,[2]库存使用数据!$A:$G,7,0),0)+公式!$B$14*IFERROR(VLOOKUP($A716,[3]库存使用数据!$A:$G,7,0),0)+IFERROR(VLOOKUP($A716,[4]库存使用数据!$A:$G,7,0),0)+IFERROR(VLOOKUP($A716,[5]库存使用数据!$A:$G,7,0),0)</f>
        <v>0</v>
      </c>
      <c r="H716" s="1">
        <f ca="1">IFERROR(VLOOKUP($A716,[1]库存使用数据!$A:$H,8,0),0)+IFERROR(VLOOKUP($A716,[2]库存使用数据!$A:$H,8,0),0)+IFERROR(VLOOKUP($A716,[3]库存使用数据!$A:$H,8,0),0)+IFERROR(VLOOKUP($A716,[4]库存使用数据!$A:$H,8,0),0)+IFERROR(VLOOKUP($A716,[5]库存使用数据!$A:$H,8,0),0)</f>
        <v>189</v>
      </c>
      <c r="I716" s="1">
        <f ca="1">IFERROR(VLOOKUP($A716,[1]库存使用数据!$A:$I,9,0),0)+IFERROR(VLOOKUP($A716,[2]库存使用数据!$A:$I,9,0),0)+IFERROR(VLOOKUP($A716,[3]库存使用数据!$A:$I,9,0),0)+IFERROR(VLOOKUP($A716,[4]库存使用数据!$A:$I,9,0),0)+IFERROR(VLOOKUP($A716,[5]库存使用数据!$A:$I,9,0),0)</f>
        <v>0</v>
      </c>
      <c r="J716" s="1">
        <f ca="1">IFERROR(VLOOKUP($A716,[1]库存使用数据!$A:$J,10,0),0)+IFERROR(VLOOKUP($A716,[2]库存使用数据!$A:$J,10,0),0)+公式!$B$14*IFERROR(VLOOKUP($A716,[3]库存使用数据!$A:$J,10,0),0)+IFERROR(VLOOKUP($A716,[4]库存使用数据!$A:$J,10,0),0)+IFERROR(VLOOKUP($A716,[5]库存使用数据!$A:$J,10,0),0)</f>
        <v>0</v>
      </c>
      <c r="K716" s="1">
        <f ca="1">IFERROR(VLOOKUP($A716,[1]库存使用数据!$A:$K,11,0),0)+IFERROR(VLOOKUP($A716,[2]库存使用数据!$A:$K,11,0),0)+IFERROR(VLOOKUP($A716,[3]库存使用数据!$A:$K,11,0),0)+IFERROR(VLOOKUP($A716,[4]库存使用数据!$A:$K,11,0),0)+IFERROR(VLOOKUP($A716,[5]库存使用数据!$A:$K,11,0),0)</f>
        <v>36</v>
      </c>
      <c r="L716" s="1">
        <f ca="1">IFERROR(VLOOKUP($A716,[1]库存使用数据!$A:$L,12,0),0)+IFERROR(VLOOKUP($A716,[2]库存使用数据!$A:$L,12,0),0)+IFERROR(VLOOKUP($A716,[3]库存使用数据!$A:$L,12,0),0)+IFERROR(VLOOKUP($A716,[4]库存使用数据!$A:$L,12,0),0)+IFERROR(VLOOKUP($A716,[5]库存使用数据!$A:$L,12,0),0)</f>
        <v>0</v>
      </c>
      <c r="M716" s="1">
        <f ca="1">IFERROR(VLOOKUP($A716,[1]库存使用数据!$A:$M,13,0),0)+IFERROR(VLOOKUP($A716,[2]库存使用数据!$A:$M,13,0),0)+公式!$B$14*IFERROR(VLOOKUP($A716,[3]库存使用数据!$A:$M,13,0),0)+IFERROR(VLOOKUP($A716,[4]库存使用数据!$A:$M,13,0),0)+IFERROR(VLOOKUP($A716,[5]库存使用数据!$A:$M,13,0),0)</f>
        <v>0</v>
      </c>
    </row>
    <row r="717" spans="1:13">
      <c r="A717" s="6" t="s">
        <v>722</v>
      </c>
      <c r="B717" s="2">
        <f ca="1">IFERROR(VLOOKUP(A717,[1]库存使用数据!$A:$B,2,0),0)+IFERROR(VLOOKUP(A717,[2]库存使用数据!$A:$B,2,0),0)+IFERROR(VLOOKUP(,[3]库存使用数据!$A:$B,2,0),0)+IFERROR(VLOOKUP(A717,[4]库存使用数据!$A:$B,2,0),0)+IFERROR(VLOOKUP(A717,[5]库存使用数据!$A:$B,2,0),0)</f>
        <v>55</v>
      </c>
      <c r="C717" s="1">
        <f ca="1">IFERROR(VLOOKUP($A717,[1]库存使用数据!$A:$C,3,0),0)+IFERROR(VLOOKUP($A717,[2]库存使用数据!$A:$C,3,0),0)+IFERROR(VLOOKUP($A717,[3]库存使用数据!$A:$C,3,0),0)+IFERROR(VLOOKUP($A717,[4]库存使用数据!$A:$C,3,0),0)+IFERROR(VLOOKUP($A717,[5]库存使用数据!$A:$C,3,0),0)</f>
        <v>0</v>
      </c>
      <c r="D717" s="1">
        <f ca="1">IFERROR(VLOOKUP($A717,[1]库存使用数据!$A:$D,4,0),0)+IFERROR(VLOOKUP($A717,[2]库存使用数据!$A:$D,4,0),0)+公式!$B$1*IFERROR(VLOOKUP($A717,[3]库存使用数据!$A:$D,4,0),0)+IFERROR(VLOOKUP($A717,[4]库存使用数据!$A:$D,4,0),0)+IFERROR(VLOOKUP($A717,[5]库存使用数据!$A:$D,4,0),0)</f>
        <v>0</v>
      </c>
      <c r="E717" s="1">
        <f ca="1">IFERROR(VLOOKUP($A717,[1]库存使用数据!$A:$E,5,0),0)+IFERROR(VLOOKUP($A717,[2]库存使用数据!$A:$E,5,0),0)+IFERROR(VLOOKUP($A717,[3]库存使用数据!$A:$E,5,0),0)+IFERROR(VLOOKUP($A717,[4]库存使用数据!$A:$E,5,0),0)+IFERROR(VLOOKUP($A717,[5]库存使用数据!$A:$E,5,0),0)</f>
        <v>254</v>
      </c>
      <c r="F717" s="1">
        <f ca="1">IFERROR(VLOOKUP($A717,[1]库存使用数据!$A:$F,6,0),0)+IFERROR(VLOOKUP($A717,[2]库存使用数据!$A:$F,6,0),0)+IFERROR(VLOOKUP($A717,[4]库存使用数据!$A:$F,6,0),0)+IFERROR(VLOOKUP($A717,[3]库存使用数据!$A:$F,6,0),0)+IFERROR(VLOOKUP($A717,[5]库存使用数据!$A:$F,6,0),0)</f>
        <v>0</v>
      </c>
      <c r="G717" s="1">
        <f ca="1">IFERROR(VLOOKUP($A717,[1]库存使用数据!$A:$G,7,0),0)+IFERROR(VLOOKUP($A717,[2]库存使用数据!$A:$G,7,0),0)+公式!$B$14*IFERROR(VLOOKUP($A717,[3]库存使用数据!$A:$G,7,0),0)+IFERROR(VLOOKUP($A717,[4]库存使用数据!$A:$G,7,0),0)+IFERROR(VLOOKUP($A717,[5]库存使用数据!$A:$G,7,0),0)</f>
        <v>0</v>
      </c>
      <c r="H717" s="1">
        <f ca="1">IFERROR(VLOOKUP($A717,[1]库存使用数据!$A:$H,8,0),0)+IFERROR(VLOOKUP($A717,[2]库存使用数据!$A:$H,8,0),0)+IFERROR(VLOOKUP($A717,[3]库存使用数据!$A:$H,8,0),0)+IFERROR(VLOOKUP($A717,[4]库存使用数据!$A:$H,8,0),0)+IFERROR(VLOOKUP($A717,[5]库存使用数据!$A:$H,8,0),0)</f>
        <v>94</v>
      </c>
      <c r="I717" s="1">
        <f ca="1">IFERROR(VLOOKUP($A717,[1]库存使用数据!$A:$I,9,0),0)+IFERROR(VLOOKUP($A717,[2]库存使用数据!$A:$I,9,0),0)+IFERROR(VLOOKUP($A717,[3]库存使用数据!$A:$I,9,0),0)+IFERROR(VLOOKUP($A717,[4]库存使用数据!$A:$I,9,0),0)+IFERROR(VLOOKUP($A717,[5]库存使用数据!$A:$I,9,0),0)</f>
        <v>0</v>
      </c>
      <c r="J717" s="1">
        <f ca="1">IFERROR(VLOOKUP($A717,[1]库存使用数据!$A:$J,10,0),0)+IFERROR(VLOOKUP($A717,[2]库存使用数据!$A:$J,10,0),0)+公式!$B$14*IFERROR(VLOOKUP($A717,[3]库存使用数据!$A:$J,10,0),0)+IFERROR(VLOOKUP($A717,[4]库存使用数据!$A:$J,10,0),0)+IFERROR(VLOOKUP($A717,[5]库存使用数据!$A:$J,10,0),0)</f>
        <v>0</v>
      </c>
      <c r="K717" s="1">
        <f ca="1">IFERROR(VLOOKUP($A717,[1]库存使用数据!$A:$K,11,0),0)+IFERROR(VLOOKUP($A717,[2]库存使用数据!$A:$K,11,0),0)+IFERROR(VLOOKUP($A717,[3]库存使用数据!$A:$K,11,0),0)+IFERROR(VLOOKUP($A717,[4]库存使用数据!$A:$K,11,0),0)+IFERROR(VLOOKUP($A717,[5]库存使用数据!$A:$K,11,0),0)</f>
        <v>125</v>
      </c>
      <c r="L717" s="1">
        <f ca="1">IFERROR(VLOOKUP($A717,[1]库存使用数据!$A:$L,12,0),0)+IFERROR(VLOOKUP($A717,[2]库存使用数据!$A:$L,12,0),0)+IFERROR(VLOOKUP($A717,[3]库存使用数据!$A:$L,12,0),0)+IFERROR(VLOOKUP($A717,[4]库存使用数据!$A:$L,12,0),0)+IFERROR(VLOOKUP($A717,[5]库存使用数据!$A:$L,12,0),0)</f>
        <v>0</v>
      </c>
      <c r="M717" s="1">
        <f ca="1">IFERROR(VLOOKUP($A717,[1]库存使用数据!$A:$M,13,0),0)+IFERROR(VLOOKUP($A717,[2]库存使用数据!$A:$M,13,0),0)+公式!$B$14*IFERROR(VLOOKUP($A717,[3]库存使用数据!$A:$M,13,0),0)+IFERROR(VLOOKUP($A717,[4]库存使用数据!$A:$M,13,0),0)+IFERROR(VLOOKUP($A717,[5]库存使用数据!$A:$M,13,0),0)</f>
        <v>0</v>
      </c>
    </row>
    <row r="718" spans="1:13">
      <c r="A718" s="6" t="s">
        <v>723</v>
      </c>
      <c r="B718" s="2">
        <f ca="1">IFERROR(VLOOKUP(A718,[1]库存使用数据!$A:$B,2,0),0)+IFERROR(VLOOKUP(A718,[2]库存使用数据!$A:$B,2,0),0)+IFERROR(VLOOKUP(,[3]库存使用数据!$A:$B,2,0),0)+IFERROR(VLOOKUP(A718,[4]库存使用数据!$A:$B,2,0),0)+IFERROR(VLOOKUP(A718,[5]库存使用数据!$A:$B,2,0),0)</f>
        <v>4</v>
      </c>
      <c r="C718" s="1">
        <f ca="1">IFERROR(VLOOKUP($A718,[1]库存使用数据!$A:$C,3,0),0)+IFERROR(VLOOKUP($A718,[2]库存使用数据!$A:$C,3,0),0)+IFERROR(VLOOKUP($A718,[3]库存使用数据!$A:$C,3,0),0)+IFERROR(VLOOKUP($A718,[4]库存使用数据!$A:$C,3,0),0)+IFERROR(VLOOKUP($A718,[5]库存使用数据!$A:$C,3,0),0)</f>
        <v>0</v>
      </c>
      <c r="D718" s="1">
        <f ca="1">IFERROR(VLOOKUP($A718,[1]库存使用数据!$A:$D,4,0),0)+IFERROR(VLOOKUP($A718,[2]库存使用数据!$A:$D,4,0),0)+公式!$B$1*IFERROR(VLOOKUP($A718,[3]库存使用数据!$A:$D,4,0),0)+IFERROR(VLOOKUP($A718,[4]库存使用数据!$A:$D,4,0),0)+IFERROR(VLOOKUP($A718,[5]库存使用数据!$A:$D,4,0),0)</f>
        <v>0</v>
      </c>
      <c r="E718" s="1">
        <f ca="1">IFERROR(VLOOKUP($A718,[1]库存使用数据!$A:$E,5,0),0)+IFERROR(VLOOKUP($A718,[2]库存使用数据!$A:$E,5,0),0)+IFERROR(VLOOKUP($A718,[3]库存使用数据!$A:$E,5,0),0)+IFERROR(VLOOKUP($A718,[4]库存使用数据!$A:$E,5,0),0)+IFERROR(VLOOKUP($A718,[5]库存使用数据!$A:$E,5,0),0)</f>
        <v>28</v>
      </c>
      <c r="F718" s="1">
        <f ca="1">IFERROR(VLOOKUP($A718,[1]库存使用数据!$A:$F,6,0),0)+IFERROR(VLOOKUP($A718,[2]库存使用数据!$A:$F,6,0),0)+IFERROR(VLOOKUP($A718,[4]库存使用数据!$A:$F,6,0),0)+IFERROR(VLOOKUP($A718,[3]库存使用数据!$A:$F,6,0),0)+IFERROR(VLOOKUP($A718,[5]库存使用数据!$A:$F,6,0),0)</f>
        <v>0</v>
      </c>
      <c r="G718" s="1">
        <f ca="1">IFERROR(VLOOKUP($A718,[1]库存使用数据!$A:$G,7,0),0)+IFERROR(VLOOKUP($A718,[2]库存使用数据!$A:$G,7,0),0)+公式!$B$14*IFERROR(VLOOKUP($A718,[3]库存使用数据!$A:$G,7,0),0)+IFERROR(VLOOKUP($A718,[4]库存使用数据!$A:$G,7,0),0)+IFERROR(VLOOKUP($A718,[5]库存使用数据!$A:$G,7,0),0)</f>
        <v>0</v>
      </c>
      <c r="H718" s="1">
        <f ca="1">IFERROR(VLOOKUP($A718,[1]库存使用数据!$A:$H,8,0),0)+IFERROR(VLOOKUP($A718,[2]库存使用数据!$A:$H,8,0),0)+IFERROR(VLOOKUP($A718,[3]库存使用数据!$A:$H,8,0),0)+IFERROR(VLOOKUP($A718,[4]库存使用数据!$A:$H,8,0),0)+IFERROR(VLOOKUP($A718,[5]库存使用数据!$A:$H,8,0),0)</f>
        <v>19</v>
      </c>
      <c r="I718" s="1">
        <f ca="1">IFERROR(VLOOKUP($A718,[1]库存使用数据!$A:$I,9,0),0)+IFERROR(VLOOKUP($A718,[2]库存使用数据!$A:$I,9,0),0)+IFERROR(VLOOKUP($A718,[3]库存使用数据!$A:$I,9,0),0)+IFERROR(VLOOKUP($A718,[4]库存使用数据!$A:$I,9,0),0)+IFERROR(VLOOKUP($A718,[5]库存使用数据!$A:$I,9,0),0)</f>
        <v>0</v>
      </c>
      <c r="J718" s="1">
        <f ca="1">IFERROR(VLOOKUP($A718,[1]库存使用数据!$A:$J,10,0),0)+IFERROR(VLOOKUP($A718,[2]库存使用数据!$A:$J,10,0),0)+公式!$B$14*IFERROR(VLOOKUP($A718,[3]库存使用数据!$A:$J,10,0),0)+IFERROR(VLOOKUP($A718,[4]库存使用数据!$A:$J,10,0),0)+IFERROR(VLOOKUP($A718,[5]库存使用数据!$A:$J,10,0),0)</f>
        <v>0</v>
      </c>
      <c r="K718" s="1">
        <f ca="1">IFERROR(VLOOKUP($A718,[1]库存使用数据!$A:$K,11,0),0)+IFERROR(VLOOKUP($A718,[2]库存使用数据!$A:$K,11,0),0)+IFERROR(VLOOKUP($A718,[3]库存使用数据!$A:$K,11,0),0)+IFERROR(VLOOKUP($A718,[4]库存使用数据!$A:$K,11,0),0)+IFERROR(VLOOKUP($A718,[5]库存使用数据!$A:$K,11,0),0)</f>
        <v>14</v>
      </c>
      <c r="L718" s="1">
        <f ca="1">IFERROR(VLOOKUP($A718,[1]库存使用数据!$A:$L,12,0),0)+IFERROR(VLOOKUP($A718,[2]库存使用数据!$A:$L,12,0),0)+IFERROR(VLOOKUP($A718,[3]库存使用数据!$A:$L,12,0),0)+IFERROR(VLOOKUP($A718,[4]库存使用数据!$A:$L,12,0),0)+IFERROR(VLOOKUP($A718,[5]库存使用数据!$A:$L,12,0),0)</f>
        <v>0</v>
      </c>
      <c r="M718" s="1">
        <f ca="1">IFERROR(VLOOKUP($A718,[1]库存使用数据!$A:$M,13,0),0)+IFERROR(VLOOKUP($A718,[2]库存使用数据!$A:$M,13,0),0)+公式!$B$14*IFERROR(VLOOKUP($A718,[3]库存使用数据!$A:$M,13,0),0)+IFERROR(VLOOKUP($A718,[4]库存使用数据!$A:$M,13,0),0)+IFERROR(VLOOKUP($A718,[5]库存使用数据!$A:$M,13,0),0)</f>
        <v>0</v>
      </c>
    </row>
    <row r="719" spans="1:13">
      <c r="A719" s="6" t="s">
        <v>724</v>
      </c>
      <c r="B719" s="2">
        <f ca="1">IFERROR(VLOOKUP(A719,[1]库存使用数据!$A:$B,2,0),0)+IFERROR(VLOOKUP(A719,[2]库存使用数据!$A:$B,2,0),0)+IFERROR(VLOOKUP(,[3]库存使用数据!$A:$B,2,0),0)+IFERROR(VLOOKUP(A719,[4]库存使用数据!$A:$B,2,0),0)+IFERROR(VLOOKUP(A719,[5]库存使用数据!$A:$B,2,0),0)</f>
        <v>3</v>
      </c>
      <c r="C719" s="1">
        <f ca="1">IFERROR(VLOOKUP($A719,[1]库存使用数据!$A:$C,3,0),0)+IFERROR(VLOOKUP($A719,[2]库存使用数据!$A:$C,3,0),0)+IFERROR(VLOOKUP($A719,[3]库存使用数据!$A:$C,3,0),0)+IFERROR(VLOOKUP($A719,[4]库存使用数据!$A:$C,3,0),0)+IFERROR(VLOOKUP($A719,[5]库存使用数据!$A:$C,3,0),0)</f>
        <v>0</v>
      </c>
      <c r="D719" s="1">
        <f ca="1">IFERROR(VLOOKUP($A719,[1]库存使用数据!$A:$D,4,0),0)+IFERROR(VLOOKUP($A719,[2]库存使用数据!$A:$D,4,0),0)+公式!$B$1*IFERROR(VLOOKUP($A719,[3]库存使用数据!$A:$D,4,0),0)+IFERROR(VLOOKUP($A719,[4]库存使用数据!$A:$D,4,0),0)+IFERROR(VLOOKUP($A719,[5]库存使用数据!$A:$D,4,0),0)</f>
        <v>0</v>
      </c>
      <c r="E719" s="1">
        <f ca="1">IFERROR(VLOOKUP($A719,[1]库存使用数据!$A:$E,5,0),0)+IFERROR(VLOOKUP($A719,[2]库存使用数据!$A:$E,5,0),0)+IFERROR(VLOOKUP($A719,[3]库存使用数据!$A:$E,5,0),0)+IFERROR(VLOOKUP($A719,[4]库存使用数据!$A:$E,5,0),0)+IFERROR(VLOOKUP($A719,[5]库存使用数据!$A:$E,5,0),0)</f>
        <v>124</v>
      </c>
      <c r="F719" s="1">
        <f ca="1">IFERROR(VLOOKUP($A719,[1]库存使用数据!$A:$F,6,0),0)+IFERROR(VLOOKUP($A719,[2]库存使用数据!$A:$F,6,0),0)+IFERROR(VLOOKUP($A719,[4]库存使用数据!$A:$F,6,0),0)+IFERROR(VLOOKUP($A719,[3]库存使用数据!$A:$F,6,0),0)+IFERROR(VLOOKUP($A719,[5]库存使用数据!$A:$F,6,0),0)</f>
        <v>0</v>
      </c>
      <c r="G719" s="1">
        <f ca="1">IFERROR(VLOOKUP($A719,[1]库存使用数据!$A:$G,7,0),0)+IFERROR(VLOOKUP($A719,[2]库存使用数据!$A:$G,7,0),0)+公式!$B$14*IFERROR(VLOOKUP($A719,[3]库存使用数据!$A:$G,7,0),0)+IFERROR(VLOOKUP($A719,[4]库存使用数据!$A:$G,7,0),0)+IFERROR(VLOOKUP($A719,[5]库存使用数据!$A:$G,7,0),0)</f>
        <v>0</v>
      </c>
      <c r="H719" s="1">
        <f ca="1">IFERROR(VLOOKUP($A719,[1]库存使用数据!$A:$H,8,0),0)+IFERROR(VLOOKUP($A719,[2]库存使用数据!$A:$H,8,0),0)+IFERROR(VLOOKUP($A719,[3]库存使用数据!$A:$H,8,0),0)+IFERROR(VLOOKUP($A719,[4]库存使用数据!$A:$H,8,0),0)+IFERROR(VLOOKUP($A719,[5]库存使用数据!$A:$H,8,0),0)</f>
        <v>114</v>
      </c>
      <c r="I719" s="1">
        <f ca="1">IFERROR(VLOOKUP($A719,[1]库存使用数据!$A:$I,9,0),0)+IFERROR(VLOOKUP($A719,[2]库存使用数据!$A:$I,9,0),0)+IFERROR(VLOOKUP($A719,[3]库存使用数据!$A:$I,9,0),0)+IFERROR(VLOOKUP($A719,[4]库存使用数据!$A:$I,9,0),0)+IFERROR(VLOOKUP($A719,[5]库存使用数据!$A:$I,9,0),0)</f>
        <v>0</v>
      </c>
      <c r="J719" s="1">
        <f ca="1">IFERROR(VLOOKUP($A719,[1]库存使用数据!$A:$J,10,0),0)+IFERROR(VLOOKUP($A719,[2]库存使用数据!$A:$J,10,0),0)+公式!$B$14*IFERROR(VLOOKUP($A719,[3]库存使用数据!$A:$J,10,0),0)+IFERROR(VLOOKUP($A719,[4]库存使用数据!$A:$J,10,0),0)+IFERROR(VLOOKUP($A719,[5]库存使用数据!$A:$J,10,0),0)</f>
        <v>0</v>
      </c>
      <c r="K719" s="1">
        <f ca="1">IFERROR(VLOOKUP($A719,[1]库存使用数据!$A:$K,11,0),0)+IFERROR(VLOOKUP($A719,[2]库存使用数据!$A:$K,11,0),0)+IFERROR(VLOOKUP($A719,[3]库存使用数据!$A:$K,11,0),0)+IFERROR(VLOOKUP($A719,[4]库存使用数据!$A:$K,11,0),0)+IFERROR(VLOOKUP($A719,[5]库存使用数据!$A:$K,11,0),0)</f>
        <v>25</v>
      </c>
      <c r="L719" s="1">
        <f ca="1">IFERROR(VLOOKUP($A719,[1]库存使用数据!$A:$L,12,0),0)+IFERROR(VLOOKUP($A719,[2]库存使用数据!$A:$L,12,0),0)+IFERROR(VLOOKUP($A719,[3]库存使用数据!$A:$L,12,0),0)+IFERROR(VLOOKUP($A719,[4]库存使用数据!$A:$L,12,0),0)+IFERROR(VLOOKUP($A719,[5]库存使用数据!$A:$L,12,0),0)</f>
        <v>0</v>
      </c>
      <c r="M719" s="1">
        <f ca="1">IFERROR(VLOOKUP($A719,[1]库存使用数据!$A:$M,13,0),0)+IFERROR(VLOOKUP($A719,[2]库存使用数据!$A:$M,13,0),0)+公式!$B$14*IFERROR(VLOOKUP($A719,[3]库存使用数据!$A:$M,13,0),0)+IFERROR(VLOOKUP($A719,[4]库存使用数据!$A:$M,13,0),0)+IFERROR(VLOOKUP($A719,[5]库存使用数据!$A:$M,13,0),0)</f>
        <v>0</v>
      </c>
    </row>
    <row r="720" spans="1:13">
      <c r="A720" s="6" t="s">
        <v>725</v>
      </c>
      <c r="B720" s="2">
        <f ca="1">IFERROR(VLOOKUP(A720,[1]库存使用数据!$A:$B,2,0),0)+IFERROR(VLOOKUP(A720,[2]库存使用数据!$A:$B,2,0),0)+IFERROR(VLOOKUP(,[3]库存使用数据!$A:$B,2,0),0)+IFERROR(VLOOKUP(A720,[4]库存使用数据!$A:$B,2,0),0)+IFERROR(VLOOKUP(A720,[5]库存使用数据!$A:$B,2,0),0)</f>
        <v>75</v>
      </c>
      <c r="C720" s="1">
        <f ca="1">IFERROR(VLOOKUP($A720,[1]库存使用数据!$A:$C,3,0),0)+IFERROR(VLOOKUP($A720,[2]库存使用数据!$A:$C,3,0),0)+IFERROR(VLOOKUP($A720,[3]库存使用数据!$A:$C,3,0),0)+IFERROR(VLOOKUP($A720,[4]库存使用数据!$A:$C,3,0),0)+IFERROR(VLOOKUP($A720,[5]库存使用数据!$A:$C,3,0),0)</f>
        <v>1</v>
      </c>
      <c r="D720" s="1">
        <f ca="1">IFERROR(VLOOKUP($A720,[1]库存使用数据!$A:$D,4,0),0)+IFERROR(VLOOKUP($A720,[2]库存使用数据!$A:$D,4,0),0)+公式!$B$1*IFERROR(VLOOKUP($A720,[3]库存使用数据!$A:$D,4,0),0)+IFERROR(VLOOKUP($A720,[4]库存使用数据!$A:$D,4,0),0)+IFERROR(VLOOKUP($A720,[5]库存使用数据!$A:$D,4,0),0)</f>
        <v>0.07</v>
      </c>
      <c r="E720" s="1">
        <f ca="1">IFERROR(VLOOKUP($A720,[1]库存使用数据!$A:$E,5,0),0)+IFERROR(VLOOKUP($A720,[2]库存使用数据!$A:$E,5,0),0)+IFERROR(VLOOKUP($A720,[3]库存使用数据!$A:$E,5,0),0)+IFERROR(VLOOKUP($A720,[4]库存使用数据!$A:$E,5,0),0)+IFERROR(VLOOKUP($A720,[5]库存使用数据!$A:$E,5,0),0)</f>
        <v>27</v>
      </c>
      <c r="F720" s="1">
        <f ca="1">IFERROR(VLOOKUP($A720,[1]库存使用数据!$A:$F,6,0),0)+IFERROR(VLOOKUP($A720,[2]库存使用数据!$A:$F,6,0),0)+IFERROR(VLOOKUP($A720,[4]库存使用数据!$A:$F,6,0),0)+IFERROR(VLOOKUP($A720,[3]库存使用数据!$A:$F,6,0),0)+IFERROR(VLOOKUP($A720,[5]库存使用数据!$A:$F,6,0),0)</f>
        <v>0</v>
      </c>
      <c r="G720" s="1">
        <f ca="1">IFERROR(VLOOKUP($A720,[1]库存使用数据!$A:$G,7,0),0)+IFERROR(VLOOKUP($A720,[2]库存使用数据!$A:$G,7,0),0)+公式!$B$14*IFERROR(VLOOKUP($A720,[3]库存使用数据!$A:$G,7,0),0)+IFERROR(VLOOKUP($A720,[4]库存使用数据!$A:$G,7,0),0)+IFERROR(VLOOKUP($A720,[5]库存使用数据!$A:$G,7,0),0)</f>
        <v>0</v>
      </c>
      <c r="H720" s="1">
        <f ca="1">IFERROR(VLOOKUP($A720,[1]库存使用数据!$A:$H,8,0),0)+IFERROR(VLOOKUP($A720,[2]库存使用数据!$A:$H,8,0),0)+IFERROR(VLOOKUP($A720,[3]库存使用数据!$A:$H,8,0),0)+IFERROR(VLOOKUP($A720,[4]库存使用数据!$A:$H,8,0),0)+IFERROR(VLOOKUP($A720,[5]库存使用数据!$A:$H,8,0),0)</f>
        <v>15</v>
      </c>
      <c r="I720" s="1">
        <f ca="1">IFERROR(VLOOKUP($A720,[1]库存使用数据!$A:$I,9,0),0)+IFERROR(VLOOKUP($A720,[2]库存使用数据!$A:$I,9,0),0)+IFERROR(VLOOKUP($A720,[3]库存使用数据!$A:$I,9,0),0)+IFERROR(VLOOKUP($A720,[4]库存使用数据!$A:$I,9,0),0)+IFERROR(VLOOKUP($A720,[5]库存使用数据!$A:$I,9,0),0)</f>
        <v>0</v>
      </c>
      <c r="J720" s="1">
        <f ca="1">IFERROR(VLOOKUP($A720,[1]库存使用数据!$A:$J,10,0),0)+IFERROR(VLOOKUP($A720,[2]库存使用数据!$A:$J,10,0),0)+公式!$B$14*IFERROR(VLOOKUP($A720,[3]库存使用数据!$A:$J,10,0),0)+IFERROR(VLOOKUP($A720,[4]库存使用数据!$A:$J,10,0),0)+IFERROR(VLOOKUP($A720,[5]库存使用数据!$A:$J,10,0),0)</f>
        <v>0</v>
      </c>
      <c r="K720" s="1">
        <f ca="1">IFERROR(VLOOKUP($A720,[1]库存使用数据!$A:$K,11,0),0)+IFERROR(VLOOKUP($A720,[2]库存使用数据!$A:$K,11,0),0)+IFERROR(VLOOKUP($A720,[3]库存使用数据!$A:$K,11,0),0)+IFERROR(VLOOKUP($A720,[4]库存使用数据!$A:$K,11,0),0)+IFERROR(VLOOKUP($A720,[5]库存使用数据!$A:$K,11,0),0)</f>
        <v>17</v>
      </c>
      <c r="L720" s="1">
        <f ca="1">IFERROR(VLOOKUP($A720,[1]库存使用数据!$A:$L,12,0),0)+IFERROR(VLOOKUP($A720,[2]库存使用数据!$A:$L,12,0),0)+IFERROR(VLOOKUP($A720,[3]库存使用数据!$A:$L,12,0),0)+IFERROR(VLOOKUP($A720,[4]库存使用数据!$A:$L,12,0),0)+IFERROR(VLOOKUP($A720,[5]库存使用数据!$A:$L,12,0),0)</f>
        <v>0</v>
      </c>
      <c r="M720" s="1">
        <f ca="1">IFERROR(VLOOKUP($A720,[1]库存使用数据!$A:$M,13,0),0)+IFERROR(VLOOKUP($A720,[2]库存使用数据!$A:$M,13,0),0)+公式!$B$14*IFERROR(VLOOKUP($A720,[3]库存使用数据!$A:$M,13,0),0)+IFERROR(VLOOKUP($A720,[4]库存使用数据!$A:$M,13,0),0)+IFERROR(VLOOKUP($A720,[5]库存使用数据!$A:$M,13,0),0)</f>
        <v>0</v>
      </c>
    </row>
    <row r="721" spans="1:13">
      <c r="A721" s="6" t="s">
        <v>726</v>
      </c>
      <c r="B721" s="2">
        <f ca="1">IFERROR(VLOOKUP(A721,[1]库存使用数据!$A:$B,2,0),0)+IFERROR(VLOOKUP(A721,[2]库存使用数据!$A:$B,2,0),0)+IFERROR(VLOOKUP(,[3]库存使用数据!$A:$B,2,0),0)+IFERROR(VLOOKUP(A721,[4]库存使用数据!$A:$B,2,0),0)+IFERROR(VLOOKUP(A721,[5]库存使用数据!$A:$B,2,0),0)</f>
        <v>33</v>
      </c>
      <c r="C721" s="1">
        <f ca="1">IFERROR(VLOOKUP($A721,[1]库存使用数据!$A:$C,3,0),0)+IFERROR(VLOOKUP($A721,[2]库存使用数据!$A:$C,3,0),0)+IFERROR(VLOOKUP($A721,[3]库存使用数据!$A:$C,3,0),0)+IFERROR(VLOOKUP($A721,[4]库存使用数据!$A:$C,3,0),0)+IFERROR(VLOOKUP($A721,[5]库存使用数据!$A:$C,3,0),0)</f>
        <v>0</v>
      </c>
      <c r="D721" s="1">
        <f ca="1">IFERROR(VLOOKUP($A721,[1]库存使用数据!$A:$D,4,0),0)+IFERROR(VLOOKUP($A721,[2]库存使用数据!$A:$D,4,0),0)+公式!$B$1*IFERROR(VLOOKUP($A721,[3]库存使用数据!$A:$D,4,0),0)+IFERROR(VLOOKUP($A721,[4]库存使用数据!$A:$D,4,0),0)+IFERROR(VLOOKUP($A721,[5]库存使用数据!$A:$D,4,0),0)</f>
        <v>0</v>
      </c>
      <c r="E721" s="1">
        <f ca="1">IFERROR(VLOOKUP($A721,[1]库存使用数据!$A:$E,5,0),0)+IFERROR(VLOOKUP($A721,[2]库存使用数据!$A:$E,5,0),0)+IFERROR(VLOOKUP($A721,[3]库存使用数据!$A:$E,5,0),0)+IFERROR(VLOOKUP($A721,[4]库存使用数据!$A:$E,5,0),0)+IFERROR(VLOOKUP($A721,[5]库存使用数据!$A:$E,5,0),0)</f>
        <v>36</v>
      </c>
      <c r="F721" s="1">
        <f ca="1">IFERROR(VLOOKUP($A721,[1]库存使用数据!$A:$F,6,0),0)+IFERROR(VLOOKUP($A721,[2]库存使用数据!$A:$F,6,0),0)+IFERROR(VLOOKUP($A721,[4]库存使用数据!$A:$F,6,0),0)+IFERROR(VLOOKUP($A721,[3]库存使用数据!$A:$F,6,0),0)+IFERROR(VLOOKUP($A721,[5]库存使用数据!$A:$F,6,0),0)</f>
        <v>1</v>
      </c>
      <c r="G721" s="1">
        <f ca="1">IFERROR(VLOOKUP($A721,[1]库存使用数据!$A:$G,7,0),0)+IFERROR(VLOOKUP($A721,[2]库存使用数据!$A:$G,7,0),0)+公式!$B$14*IFERROR(VLOOKUP($A721,[3]库存使用数据!$A:$G,7,0),0)+IFERROR(VLOOKUP($A721,[4]库存使用数据!$A:$G,7,0),0)+IFERROR(VLOOKUP($A721,[5]库存使用数据!$A:$G,7,0),0)</f>
        <v>0.13</v>
      </c>
      <c r="H721" s="1">
        <f ca="1">IFERROR(VLOOKUP($A721,[1]库存使用数据!$A:$H,8,0),0)+IFERROR(VLOOKUP($A721,[2]库存使用数据!$A:$H,8,0),0)+IFERROR(VLOOKUP($A721,[3]库存使用数据!$A:$H,8,0),0)+IFERROR(VLOOKUP($A721,[4]库存使用数据!$A:$H,8,0),0)+IFERROR(VLOOKUP($A721,[5]库存使用数据!$A:$H,8,0),0)</f>
        <v>6</v>
      </c>
      <c r="I721" s="1">
        <f ca="1">IFERROR(VLOOKUP($A721,[1]库存使用数据!$A:$I,9,0),0)+IFERROR(VLOOKUP($A721,[2]库存使用数据!$A:$I,9,0),0)+IFERROR(VLOOKUP($A721,[3]库存使用数据!$A:$I,9,0),0)+IFERROR(VLOOKUP($A721,[4]库存使用数据!$A:$I,9,0),0)+IFERROR(VLOOKUP($A721,[5]库存使用数据!$A:$I,9,0),0)</f>
        <v>0</v>
      </c>
      <c r="J721" s="1">
        <f ca="1">IFERROR(VLOOKUP($A721,[1]库存使用数据!$A:$J,10,0),0)+IFERROR(VLOOKUP($A721,[2]库存使用数据!$A:$J,10,0),0)+公式!$B$14*IFERROR(VLOOKUP($A721,[3]库存使用数据!$A:$J,10,0),0)+IFERROR(VLOOKUP($A721,[4]库存使用数据!$A:$J,10,0),0)+IFERROR(VLOOKUP($A721,[5]库存使用数据!$A:$J,10,0),0)</f>
        <v>0</v>
      </c>
      <c r="K721" s="1">
        <f ca="1">IFERROR(VLOOKUP($A721,[1]库存使用数据!$A:$K,11,0),0)+IFERROR(VLOOKUP($A721,[2]库存使用数据!$A:$K,11,0),0)+IFERROR(VLOOKUP($A721,[3]库存使用数据!$A:$K,11,0),0)+IFERROR(VLOOKUP($A721,[4]库存使用数据!$A:$K,11,0),0)+IFERROR(VLOOKUP($A721,[5]库存使用数据!$A:$K,11,0),0)</f>
        <v>551</v>
      </c>
      <c r="L721" s="1">
        <f ca="1">IFERROR(VLOOKUP($A721,[1]库存使用数据!$A:$L,12,0),0)+IFERROR(VLOOKUP($A721,[2]库存使用数据!$A:$L,12,0),0)+IFERROR(VLOOKUP($A721,[3]库存使用数据!$A:$L,12,0),0)+IFERROR(VLOOKUP($A721,[4]库存使用数据!$A:$L,12,0),0)+IFERROR(VLOOKUP($A721,[5]库存使用数据!$A:$L,12,0),0)</f>
        <v>0</v>
      </c>
      <c r="M721" s="1">
        <f ca="1">IFERROR(VLOOKUP($A721,[1]库存使用数据!$A:$M,13,0),0)+IFERROR(VLOOKUP($A721,[2]库存使用数据!$A:$M,13,0),0)+公式!$B$14*IFERROR(VLOOKUP($A721,[3]库存使用数据!$A:$M,13,0),0)+IFERROR(VLOOKUP($A721,[4]库存使用数据!$A:$M,13,0),0)+IFERROR(VLOOKUP($A721,[5]库存使用数据!$A:$M,13,0),0)</f>
        <v>0</v>
      </c>
    </row>
    <row r="722" spans="1:13">
      <c r="A722" s="6" t="s">
        <v>727</v>
      </c>
      <c r="B722" s="2">
        <f ca="1">IFERROR(VLOOKUP(A722,[1]库存使用数据!$A:$B,2,0),0)+IFERROR(VLOOKUP(A722,[2]库存使用数据!$A:$B,2,0),0)+IFERROR(VLOOKUP(,[3]库存使用数据!$A:$B,2,0),0)+IFERROR(VLOOKUP(A722,[4]库存使用数据!$A:$B,2,0),0)+IFERROR(VLOOKUP(A722,[5]库存使用数据!$A:$B,2,0),0)</f>
        <v>0</v>
      </c>
      <c r="C722" s="1">
        <f ca="1">IFERROR(VLOOKUP($A722,[1]库存使用数据!$A:$C,3,0),0)+IFERROR(VLOOKUP($A722,[2]库存使用数据!$A:$C,3,0),0)+IFERROR(VLOOKUP($A722,[3]库存使用数据!$A:$C,3,0),0)+IFERROR(VLOOKUP($A722,[4]库存使用数据!$A:$C,3,0),0)+IFERROR(VLOOKUP($A722,[5]库存使用数据!$A:$C,3,0),0)</f>
        <v>0</v>
      </c>
      <c r="D722" s="1">
        <f ca="1">IFERROR(VLOOKUP($A722,[1]库存使用数据!$A:$D,4,0),0)+IFERROR(VLOOKUP($A722,[2]库存使用数据!$A:$D,4,0),0)+公式!$B$1*IFERROR(VLOOKUP($A722,[3]库存使用数据!$A:$D,4,0),0)+IFERROR(VLOOKUP($A722,[4]库存使用数据!$A:$D,4,0),0)+IFERROR(VLOOKUP($A722,[5]库存使用数据!$A:$D,4,0),0)</f>
        <v>0</v>
      </c>
      <c r="E722" s="1">
        <f ca="1">IFERROR(VLOOKUP($A722,[1]库存使用数据!$A:$E,5,0),0)+IFERROR(VLOOKUP($A722,[2]库存使用数据!$A:$E,5,0),0)+IFERROR(VLOOKUP($A722,[3]库存使用数据!$A:$E,5,0),0)+IFERROR(VLOOKUP($A722,[4]库存使用数据!$A:$E,5,0),0)+IFERROR(VLOOKUP($A722,[5]库存使用数据!$A:$E,5,0),0)</f>
        <v>741</v>
      </c>
      <c r="F722" s="1">
        <f ca="1">IFERROR(VLOOKUP($A722,[1]库存使用数据!$A:$F,6,0),0)+IFERROR(VLOOKUP($A722,[2]库存使用数据!$A:$F,6,0),0)+IFERROR(VLOOKUP($A722,[4]库存使用数据!$A:$F,6,0),0)+IFERROR(VLOOKUP($A722,[3]库存使用数据!$A:$F,6,0),0)+IFERROR(VLOOKUP($A722,[5]库存使用数据!$A:$F,6,0),0)</f>
        <v>0</v>
      </c>
      <c r="G722" s="1">
        <f ca="1">IFERROR(VLOOKUP($A722,[1]库存使用数据!$A:$G,7,0),0)+IFERROR(VLOOKUP($A722,[2]库存使用数据!$A:$G,7,0),0)+公式!$B$14*IFERROR(VLOOKUP($A722,[3]库存使用数据!$A:$G,7,0),0)+IFERROR(VLOOKUP($A722,[4]库存使用数据!$A:$G,7,0),0)+IFERROR(VLOOKUP($A722,[5]库存使用数据!$A:$G,7,0),0)</f>
        <v>0</v>
      </c>
      <c r="H722" s="1">
        <f ca="1">IFERROR(VLOOKUP($A722,[1]库存使用数据!$A:$H,8,0),0)+IFERROR(VLOOKUP($A722,[2]库存使用数据!$A:$H,8,0),0)+IFERROR(VLOOKUP($A722,[3]库存使用数据!$A:$H,8,0),0)+IFERROR(VLOOKUP($A722,[4]库存使用数据!$A:$H,8,0),0)+IFERROR(VLOOKUP($A722,[5]库存使用数据!$A:$H,8,0),0)</f>
        <v>741</v>
      </c>
      <c r="I722" s="1">
        <f ca="1">IFERROR(VLOOKUP($A722,[1]库存使用数据!$A:$I,9,0),0)+IFERROR(VLOOKUP($A722,[2]库存使用数据!$A:$I,9,0),0)+IFERROR(VLOOKUP($A722,[3]库存使用数据!$A:$I,9,0),0)+IFERROR(VLOOKUP($A722,[4]库存使用数据!$A:$I,9,0),0)+IFERROR(VLOOKUP($A722,[5]库存使用数据!$A:$I,9,0),0)</f>
        <v>0</v>
      </c>
      <c r="J722" s="1">
        <f ca="1">IFERROR(VLOOKUP($A722,[1]库存使用数据!$A:$J,10,0),0)+IFERROR(VLOOKUP($A722,[2]库存使用数据!$A:$J,10,0),0)+公式!$B$14*IFERROR(VLOOKUP($A722,[3]库存使用数据!$A:$J,10,0),0)+IFERROR(VLOOKUP($A722,[4]库存使用数据!$A:$J,10,0),0)+IFERROR(VLOOKUP($A722,[5]库存使用数据!$A:$J,10,0),0)</f>
        <v>0</v>
      </c>
      <c r="K722" s="1">
        <f ca="1">IFERROR(VLOOKUP($A722,[1]库存使用数据!$A:$K,11,0),0)+IFERROR(VLOOKUP($A722,[2]库存使用数据!$A:$K,11,0),0)+IFERROR(VLOOKUP($A722,[3]库存使用数据!$A:$K,11,0),0)+IFERROR(VLOOKUP($A722,[4]库存使用数据!$A:$K,11,0),0)+IFERROR(VLOOKUP($A722,[5]库存使用数据!$A:$K,11,0),0)</f>
        <v>1592</v>
      </c>
      <c r="L722" s="1">
        <f ca="1">IFERROR(VLOOKUP($A722,[1]库存使用数据!$A:$L,12,0),0)+IFERROR(VLOOKUP($A722,[2]库存使用数据!$A:$L,12,0),0)+IFERROR(VLOOKUP($A722,[3]库存使用数据!$A:$L,12,0),0)+IFERROR(VLOOKUP($A722,[4]库存使用数据!$A:$L,12,0),0)+IFERROR(VLOOKUP($A722,[5]库存使用数据!$A:$L,12,0),0)</f>
        <v>0</v>
      </c>
      <c r="M722" s="1">
        <f ca="1">IFERROR(VLOOKUP($A722,[1]库存使用数据!$A:$M,13,0),0)+IFERROR(VLOOKUP($A722,[2]库存使用数据!$A:$M,13,0),0)+公式!$B$14*IFERROR(VLOOKUP($A722,[3]库存使用数据!$A:$M,13,0),0)+IFERROR(VLOOKUP($A722,[4]库存使用数据!$A:$M,13,0),0)+IFERROR(VLOOKUP($A722,[5]库存使用数据!$A:$M,13,0),0)</f>
        <v>0</v>
      </c>
    </row>
    <row r="723" spans="1:13">
      <c r="A723" s="6" t="s">
        <v>728</v>
      </c>
      <c r="B723" s="2">
        <f ca="1">IFERROR(VLOOKUP(A723,[1]库存使用数据!$A:$B,2,0),0)+IFERROR(VLOOKUP(A723,[2]库存使用数据!$A:$B,2,0),0)+IFERROR(VLOOKUP(,[3]库存使用数据!$A:$B,2,0),0)+IFERROR(VLOOKUP(A723,[4]库存使用数据!$A:$B,2,0),0)+IFERROR(VLOOKUP(A723,[5]库存使用数据!$A:$B,2,0),0)</f>
        <v>54</v>
      </c>
      <c r="C723" s="1">
        <f ca="1">IFERROR(VLOOKUP($A723,[1]库存使用数据!$A:$C,3,0),0)+IFERROR(VLOOKUP($A723,[2]库存使用数据!$A:$C,3,0),0)+IFERROR(VLOOKUP($A723,[3]库存使用数据!$A:$C,3,0),0)+IFERROR(VLOOKUP($A723,[4]库存使用数据!$A:$C,3,0),0)+IFERROR(VLOOKUP($A723,[5]库存使用数据!$A:$C,3,0),0)</f>
        <v>0</v>
      </c>
      <c r="D723" s="1">
        <f ca="1">IFERROR(VLOOKUP($A723,[1]库存使用数据!$A:$D,4,0),0)+IFERROR(VLOOKUP($A723,[2]库存使用数据!$A:$D,4,0),0)+公式!$B$1*IFERROR(VLOOKUP($A723,[3]库存使用数据!$A:$D,4,0),0)+IFERROR(VLOOKUP($A723,[4]库存使用数据!$A:$D,4,0),0)+IFERROR(VLOOKUP($A723,[5]库存使用数据!$A:$D,4,0),0)</f>
        <v>0</v>
      </c>
      <c r="E723" s="1">
        <f ca="1">IFERROR(VLOOKUP($A723,[1]库存使用数据!$A:$E,5,0),0)+IFERROR(VLOOKUP($A723,[2]库存使用数据!$A:$E,5,0),0)+IFERROR(VLOOKUP($A723,[3]库存使用数据!$A:$E,5,0),0)+IFERROR(VLOOKUP($A723,[4]库存使用数据!$A:$E,5,0),0)+IFERROR(VLOOKUP($A723,[5]库存使用数据!$A:$E,5,0),0)</f>
        <v>181</v>
      </c>
      <c r="F723" s="1">
        <f ca="1">IFERROR(VLOOKUP($A723,[1]库存使用数据!$A:$F,6,0),0)+IFERROR(VLOOKUP($A723,[2]库存使用数据!$A:$F,6,0),0)+IFERROR(VLOOKUP($A723,[4]库存使用数据!$A:$F,6,0),0)+IFERROR(VLOOKUP($A723,[3]库存使用数据!$A:$F,6,0),0)+IFERROR(VLOOKUP($A723,[5]库存使用数据!$A:$F,6,0),0)</f>
        <v>0</v>
      </c>
      <c r="G723" s="1">
        <f ca="1">IFERROR(VLOOKUP($A723,[1]库存使用数据!$A:$G,7,0),0)+IFERROR(VLOOKUP($A723,[2]库存使用数据!$A:$G,7,0),0)+公式!$B$14*IFERROR(VLOOKUP($A723,[3]库存使用数据!$A:$G,7,0),0)+IFERROR(VLOOKUP($A723,[4]库存使用数据!$A:$G,7,0),0)+IFERROR(VLOOKUP($A723,[5]库存使用数据!$A:$G,7,0),0)</f>
        <v>0</v>
      </c>
      <c r="H723" s="1">
        <f ca="1">IFERROR(VLOOKUP($A723,[1]库存使用数据!$A:$H,8,0),0)+IFERROR(VLOOKUP($A723,[2]库存使用数据!$A:$H,8,0),0)+IFERROR(VLOOKUP($A723,[3]库存使用数据!$A:$H,8,0),0)+IFERROR(VLOOKUP($A723,[4]库存使用数据!$A:$H,8,0),0)+IFERROR(VLOOKUP($A723,[5]库存使用数据!$A:$H,8,0),0)</f>
        <v>94</v>
      </c>
      <c r="I723" s="1">
        <f ca="1">IFERROR(VLOOKUP($A723,[1]库存使用数据!$A:$I,9,0),0)+IFERROR(VLOOKUP($A723,[2]库存使用数据!$A:$I,9,0),0)+IFERROR(VLOOKUP($A723,[3]库存使用数据!$A:$I,9,0),0)+IFERROR(VLOOKUP($A723,[4]库存使用数据!$A:$I,9,0),0)+IFERROR(VLOOKUP($A723,[5]库存使用数据!$A:$I,9,0),0)</f>
        <v>0</v>
      </c>
      <c r="J723" s="1">
        <f ca="1">IFERROR(VLOOKUP($A723,[1]库存使用数据!$A:$J,10,0),0)+IFERROR(VLOOKUP($A723,[2]库存使用数据!$A:$J,10,0),0)+公式!$B$14*IFERROR(VLOOKUP($A723,[3]库存使用数据!$A:$J,10,0),0)+IFERROR(VLOOKUP($A723,[4]库存使用数据!$A:$J,10,0),0)+IFERROR(VLOOKUP($A723,[5]库存使用数据!$A:$J,10,0),0)</f>
        <v>0</v>
      </c>
      <c r="K723" s="1">
        <f ca="1">IFERROR(VLOOKUP($A723,[1]库存使用数据!$A:$K,11,0),0)+IFERROR(VLOOKUP($A723,[2]库存使用数据!$A:$K,11,0),0)+IFERROR(VLOOKUP($A723,[3]库存使用数据!$A:$K,11,0),0)+IFERROR(VLOOKUP($A723,[4]库存使用数据!$A:$K,11,0),0)+IFERROR(VLOOKUP($A723,[5]库存使用数据!$A:$K,11,0),0)</f>
        <v>81</v>
      </c>
      <c r="L723" s="1">
        <f ca="1">IFERROR(VLOOKUP($A723,[1]库存使用数据!$A:$L,12,0),0)+IFERROR(VLOOKUP($A723,[2]库存使用数据!$A:$L,12,0),0)+IFERROR(VLOOKUP($A723,[3]库存使用数据!$A:$L,12,0),0)+IFERROR(VLOOKUP($A723,[4]库存使用数据!$A:$L,12,0),0)+IFERROR(VLOOKUP($A723,[5]库存使用数据!$A:$L,12,0),0)</f>
        <v>0</v>
      </c>
      <c r="M723" s="1">
        <f ca="1">IFERROR(VLOOKUP($A723,[1]库存使用数据!$A:$M,13,0),0)+IFERROR(VLOOKUP($A723,[2]库存使用数据!$A:$M,13,0),0)+公式!$B$14*IFERROR(VLOOKUP($A723,[3]库存使用数据!$A:$M,13,0),0)+IFERROR(VLOOKUP($A723,[4]库存使用数据!$A:$M,13,0),0)+IFERROR(VLOOKUP($A723,[5]库存使用数据!$A:$M,13,0),0)</f>
        <v>0</v>
      </c>
    </row>
    <row r="724" spans="1:13">
      <c r="A724" s="6" t="s">
        <v>729</v>
      </c>
      <c r="B724" s="2">
        <f ca="1">IFERROR(VLOOKUP(A724,[1]库存使用数据!$A:$B,2,0),0)+IFERROR(VLOOKUP(A724,[2]库存使用数据!$A:$B,2,0),0)+IFERROR(VLOOKUP(,[3]库存使用数据!$A:$B,2,0),0)+IFERROR(VLOOKUP(A724,[4]库存使用数据!$A:$B,2,0),0)+IFERROR(VLOOKUP(A724,[5]库存使用数据!$A:$B,2,0),0)</f>
        <v>96</v>
      </c>
      <c r="C724" s="1">
        <f ca="1">IFERROR(VLOOKUP($A724,[1]库存使用数据!$A:$C,3,0),0)+IFERROR(VLOOKUP($A724,[2]库存使用数据!$A:$C,3,0),0)+IFERROR(VLOOKUP($A724,[3]库存使用数据!$A:$C,3,0),0)+IFERROR(VLOOKUP($A724,[4]库存使用数据!$A:$C,3,0),0)+IFERROR(VLOOKUP($A724,[5]库存使用数据!$A:$C,3,0),0)</f>
        <v>0</v>
      </c>
      <c r="D724" s="1">
        <f ca="1">IFERROR(VLOOKUP($A724,[1]库存使用数据!$A:$D,4,0),0)+IFERROR(VLOOKUP($A724,[2]库存使用数据!$A:$D,4,0),0)+公式!$B$1*IFERROR(VLOOKUP($A724,[3]库存使用数据!$A:$D,4,0),0)+IFERROR(VLOOKUP($A724,[4]库存使用数据!$A:$D,4,0),0)+IFERROR(VLOOKUP($A724,[5]库存使用数据!$A:$D,4,0),0)</f>
        <v>0</v>
      </c>
      <c r="E724" s="1">
        <f ca="1">IFERROR(VLOOKUP($A724,[1]库存使用数据!$A:$E,5,0),0)+IFERROR(VLOOKUP($A724,[2]库存使用数据!$A:$E,5,0),0)+IFERROR(VLOOKUP($A724,[3]库存使用数据!$A:$E,5,0),0)+IFERROR(VLOOKUP($A724,[4]库存使用数据!$A:$E,5,0),0)+IFERROR(VLOOKUP($A724,[5]库存使用数据!$A:$E,5,0),0)</f>
        <v>58</v>
      </c>
      <c r="F724" s="1">
        <f ca="1">IFERROR(VLOOKUP($A724,[1]库存使用数据!$A:$F,6,0),0)+IFERROR(VLOOKUP($A724,[2]库存使用数据!$A:$F,6,0),0)+IFERROR(VLOOKUP($A724,[4]库存使用数据!$A:$F,6,0),0)+IFERROR(VLOOKUP($A724,[3]库存使用数据!$A:$F,6,0),0)+IFERROR(VLOOKUP($A724,[5]库存使用数据!$A:$F,6,0),0)</f>
        <v>0</v>
      </c>
      <c r="G724" s="1">
        <f ca="1">IFERROR(VLOOKUP($A724,[1]库存使用数据!$A:$G,7,0),0)+IFERROR(VLOOKUP($A724,[2]库存使用数据!$A:$G,7,0),0)+公式!$B$14*IFERROR(VLOOKUP($A724,[3]库存使用数据!$A:$G,7,0),0)+IFERROR(VLOOKUP($A724,[4]库存使用数据!$A:$G,7,0),0)+IFERROR(VLOOKUP($A724,[5]库存使用数据!$A:$G,7,0),0)</f>
        <v>0</v>
      </c>
      <c r="H724" s="1">
        <f ca="1">IFERROR(VLOOKUP($A724,[1]库存使用数据!$A:$H,8,0),0)+IFERROR(VLOOKUP($A724,[2]库存使用数据!$A:$H,8,0),0)+IFERROR(VLOOKUP($A724,[3]库存使用数据!$A:$H,8,0),0)+IFERROR(VLOOKUP($A724,[4]库存使用数据!$A:$H,8,0),0)+IFERROR(VLOOKUP($A724,[5]库存使用数据!$A:$H,8,0),0)</f>
        <v>34</v>
      </c>
      <c r="I724" s="1">
        <f ca="1">IFERROR(VLOOKUP($A724,[1]库存使用数据!$A:$I,9,0),0)+IFERROR(VLOOKUP($A724,[2]库存使用数据!$A:$I,9,0),0)+IFERROR(VLOOKUP($A724,[3]库存使用数据!$A:$I,9,0),0)+IFERROR(VLOOKUP($A724,[4]库存使用数据!$A:$I,9,0),0)+IFERROR(VLOOKUP($A724,[5]库存使用数据!$A:$I,9,0),0)</f>
        <v>0</v>
      </c>
      <c r="J724" s="1">
        <f ca="1">IFERROR(VLOOKUP($A724,[1]库存使用数据!$A:$J,10,0),0)+IFERROR(VLOOKUP($A724,[2]库存使用数据!$A:$J,10,0),0)+公式!$B$14*IFERROR(VLOOKUP($A724,[3]库存使用数据!$A:$J,10,0),0)+IFERROR(VLOOKUP($A724,[4]库存使用数据!$A:$J,10,0),0)+IFERROR(VLOOKUP($A724,[5]库存使用数据!$A:$J,10,0),0)</f>
        <v>0</v>
      </c>
      <c r="K724" s="1">
        <f ca="1">IFERROR(VLOOKUP($A724,[1]库存使用数据!$A:$K,11,0),0)+IFERROR(VLOOKUP($A724,[2]库存使用数据!$A:$K,11,0),0)+IFERROR(VLOOKUP($A724,[3]库存使用数据!$A:$K,11,0),0)+IFERROR(VLOOKUP($A724,[4]库存使用数据!$A:$K,11,0),0)+IFERROR(VLOOKUP($A724,[5]库存使用数据!$A:$K,11,0),0)</f>
        <v>252</v>
      </c>
      <c r="L724" s="1">
        <f ca="1">IFERROR(VLOOKUP($A724,[1]库存使用数据!$A:$L,12,0),0)+IFERROR(VLOOKUP($A724,[2]库存使用数据!$A:$L,12,0),0)+IFERROR(VLOOKUP($A724,[3]库存使用数据!$A:$L,12,0),0)+IFERROR(VLOOKUP($A724,[4]库存使用数据!$A:$L,12,0),0)+IFERROR(VLOOKUP($A724,[5]库存使用数据!$A:$L,12,0),0)</f>
        <v>0</v>
      </c>
      <c r="M724" s="1">
        <f ca="1">IFERROR(VLOOKUP($A724,[1]库存使用数据!$A:$M,13,0),0)+IFERROR(VLOOKUP($A724,[2]库存使用数据!$A:$M,13,0),0)+公式!$B$14*IFERROR(VLOOKUP($A724,[3]库存使用数据!$A:$M,13,0),0)+IFERROR(VLOOKUP($A724,[4]库存使用数据!$A:$M,13,0),0)+IFERROR(VLOOKUP($A724,[5]库存使用数据!$A:$M,13,0),0)</f>
        <v>0</v>
      </c>
    </row>
    <row r="725" spans="1:13">
      <c r="A725" s="6" t="s">
        <v>730</v>
      </c>
      <c r="B725" s="2">
        <f ca="1">IFERROR(VLOOKUP(A725,[1]库存使用数据!$A:$B,2,0),0)+IFERROR(VLOOKUP(A725,[2]库存使用数据!$A:$B,2,0),0)+IFERROR(VLOOKUP(,[3]库存使用数据!$A:$B,2,0),0)+IFERROR(VLOOKUP(A725,[4]库存使用数据!$A:$B,2,0),0)+IFERROR(VLOOKUP(A725,[5]库存使用数据!$A:$B,2,0),0)</f>
        <v>183</v>
      </c>
      <c r="C725" s="1">
        <f ca="1">IFERROR(VLOOKUP($A725,[1]库存使用数据!$A:$C,3,0),0)+IFERROR(VLOOKUP($A725,[2]库存使用数据!$A:$C,3,0),0)+IFERROR(VLOOKUP($A725,[3]库存使用数据!$A:$C,3,0),0)+IFERROR(VLOOKUP($A725,[4]库存使用数据!$A:$C,3,0),0)+IFERROR(VLOOKUP($A725,[5]库存使用数据!$A:$C,3,0),0)</f>
        <v>0</v>
      </c>
      <c r="D725" s="1">
        <f ca="1">IFERROR(VLOOKUP($A725,[1]库存使用数据!$A:$D,4,0),0)+IFERROR(VLOOKUP($A725,[2]库存使用数据!$A:$D,4,0),0)+公式!$B$1*IFERROR(VLOOKUP($A725,[3]库存使用数据!$A:$D,4,0),0)+IFERROR(VLOOKUP($A725,[4]库存使用数据!$A:$D,4,0),0)+IFERROR(VLOOKUP($A725,[5]库存使用数据!$A:$D,4,0),0)</f>
        <v>0</v>
      </c>
      <c r="E725" s="1">
        <f ca="1">IFERROR(VLOOKUP($A725,[1]库存使用数据!$A:$E,5,0),0)+IFERROR(VLOOKUP($A725,[2]库存使用数据!$A:$E,5,0),0)+IFERROR(VLOOKUP($A725,[3]库存使用数据!$A:$E,5,0),0)+IFERROR(VLOOKUP($A725,[4]库存使用数据!$A:$E,5,0),0)+IFERROR(VLOOKUP($A725,[5]库存使用数据!$A:$E,5,0),0)</f>
        <v>304</v>
      </c>
      <c r="F725" s="1">
        <f ca="1">IFERROR(VLOOKUP($A725,[1]库存使用数据!$A:$F,6,0),0)+IFERROR(VLOOKUP($A725,[2]库存使用数据!$A:$F,6,0),0)+IFERROR(VLOOKUP($A725,[4]库存使用数据!$A:$F,6,0),0)+IFERROR(VLOOKUP($A725,[3]库存使用数据!$A:$F,6,0),0)+IFERROR(VLOOKUP($A725,[5]库存使用数据!$A:$F,6,0),0)</f>
        <v>1</v>
      </c>
      <c r="G725" s="1">
        <f ca="1">IFERROR(VLOOKUP($A725,[1]库存使用数据!$A:$G,7,0),0)+IFERROR(VLOOKUP($A725,[2]库存使用数据!$A:$G,7,0),0)+公式!$B$14*IFERROR(VLOOKUP($A725,[3]库存使用数据!$A:$G,7,0),0)+IFERROR(VLOOKUP($A725,[4]库存使用数据!$A:$G,7,0),0)+IFERROR(VLOOKUP($A725,[5]库存使用数据!$A:$G,7,0),0)</f>
        <v>0.3</v>
      </c>
      <c r="H725" s="1">
        <f ca="1">IFERROR(VLOOKUP($A725,[1]库存使用数据!$A:$H,8,0),0)+IFERROR(VLOOKUP($A725,[2]库存使用数据!$A:$H,8,0),0)+IFERROR(VLOOKUP($A725,[3]库存使用数据!$A:$H,8,0),0)+IFERROR(VLOOKUP($A725,[4]库存使用数据!$A:$H,8,0),0)+IFERROR(VLOOKUP($A725,[5]库存使用数据!$A:$H,8,0),0)</f>
        <v>132</v>
      </c>
      <c r="I725" s="1">
        <f ca="1">IFERROR(VLOOKUP($A725,[1]库存使用数据!$A:$I,9,0),0)+IFERROR(VLOOKUP($A725,[2]库存使用数据!$A:$I,9,0),0)+IFERROR(VLOOKUP($A725,[3]库存使用数据!$A:$I,9,0),0)+IFERROR(VLOOKUP($A725,[4]库存使用数据!$A:$I,9,0),0)+IFERROR(VLOOKUP($A725,[5]库存使用数据!$A:$I,9,0),0)</f>
        <v>1</v>
      </c>
      <c r="J725" s="1">
        <f ca="1">IFERROR(VLOOKUP($A725,[1]库存使用数据!$A:$J,10,0),0)+IFERROR(VLOOKUP($A725,[2]库存使用数据!$A:$J,10,0),0)+公式!$B$14*IFERROR(VLOOKUP($A725,[3]库存使用数据!$A:$J,10,0),0)+IFERROR(VLOOKUP($A725,[4]库存使用数据!$A:$J,10,0),0)+IFERROR(VLOOKUP($A725,[5]库存使用数据!$A:$J,10,0),0)</f>
        <v>0.3</v>
      </c>
      <c r="K725" s="1">
        <f ca="1">IFERROR(VLOOKUP($A725,[1]库存使用数据!$A:$K,11,0),0)+IFERROR(VLOOKUP($A725,[2]库存使用数据!$A:$K,11,0),0)+IFERROR(VLOOKUP($A725,[3]库存使用数据!$A:$K,11,0),0)+IFERROR(VLOOKUP($A725,[4]库存使用数据!$A:$K,11,0),0)+IFERROR(VLOOKUP($A725,[5]库存使用数据!$A:$K,11,0),0)</f>
        <v>19</v>
      </c>
      <c r="L725" s="1">
        <f ca="1">IFERROR(VLOOKUP($A725,[1]库存使用数据!$A:$L,12,0),0)+IFERROR(VLOOKUP($A725,[2]库存使用数据!$A:$L,12,0),0)+IFERROR(VLOOKUP($A725,[3]库存使用数据!$A:$L,12,0),0)+IFERROR(VLOOKUP($A725,[4]库存使用数据!$A:$L,12,0),0)+IFERROR(VLOOKUP($A725,[5]库存使用数据!$A:$L,12,0),0)</f>
        <v>0</v>
      </c>
      <c r="M725" s="1">
        <f ca="1">IFERROR(VLOOKUP($A725,[1]库存使用数据!$A:$M,13,0),0)+IFERROR(VLOOKUP($A725,[2]库存使用数据!$A:$M,13,0),0)+公式!$B$14*IFERROR(VLOOKUP($A725,[3]库存使用数据!$A:$M,13,0),0)+IFERROR(VLOOKUP($A725,[4]库存使用数据!$A:$M,13,0),0)+IFERROR(VLOOKUP($A725,[5]库存使用数据!$A:$M,13,0),0)</f>
        <v>0</v>
      </c>
    </row>
    <row r="726" spans="1:13">
      <c r="A726" s="6" t="s">
        <v>731</v>
      </c>
      <c r="B726" s="2">
        <f ca="1">IFERROR(VLOOKUP(A726,[1]库存使用数据!$A:$B,2,0),0)+IFERROR(VLOOKUP(A726,[2]库存使用数据!$A:$B,2,0),0)+IFERROR(VLOOKUP(,[3]库存使用数据!$A:$B,2,0),0)+IFERROR(VLOOKUP(A726,[4]库存使用数据!$A:$B,2,0),0)+IFERROR(VLOOKUP(A726,[5]库存使用数据!$A:$B,2,0),0)</f>
        <v>26</v>
      </c>
      <c r="C726" s="1">
        <f ca="1">IFERROR(VLOOKUP($A726,[1]库存使用数据!$A:$C,3,0),0)+IFERROR(VLOOKUP($A726,[2]库存使用数据!$A:$C,3,0),0)+IFERROR(VLOOKUP($A726,[3]库存使用数据!$A:$C,3,0),0)+IFERROR(VLOOKUP($A726,[4]库存使用数据!$A:$C,3,0),0)+IFERROR(VLOOKUP($A726,[5]库存使用数据!$A:$C,3,0),0)</f>
        <v>0</v>
      </c>
      <c r="D726" s="1">
        <f ca="1">IFERROR(VLOOKUP($A726,[1]库存使用数据!$A:$D,4,0),0)+IFERROR(VLOOKUP($A726,[2]库存使用数据!$A:$D,4,0),0)+公式!$B$1*IFERROR(VLOOKUP($A726,[3]库存使用数据!$A:$D,4,0),0)+IFERROR(VLOOKUP($A726,[4]库存使用数据!$A:$D,4,0),0)+IFERROR(VLOOKUP($A726,[5]库存使用数据!$A:$D,4,0),0)</f>
        <v>0</v>
      </c>
      <c r="E726" s="1">
        <f ca="1">IFERROR(VLOOKUP($A726,[1]库存使用数据!$A:$E,5,0),0)+IFERROR(VLOOKUP($A726,[2]库存使用数据!$A:$E,5,0),0)+IFERROR(VLOOKUP($A726,[3]库存使用数据!$A:$E,5,0),0)+IFERROR(VLOOKUP($A726,[4]库存使用数据!$A:$E,5,0),0)+IFERROR(VLOOKUP($A726,[5]库存使用数据!$A:$E,5,0),0)</f>
        <v>208</v>
      </c>
      <c r="F726" s="1">
        <f ca="1">IFERROR(VLOOKUP($A726,[1]库存使用数据!$A:$F,6,0),0)+IFERROR(VLOOKUP($A726,[2]库存使用数据!$A:$F,6,0),0)+IFERROR(VLOOKUP($A726,[4]库存使用数据!$A:$F,6,0),0)+IFERROR(VLOOKUP($A726,[3]库存使用数据!$A:$F,6,0),0)+IFERROR(VLOOKUP($A726,[5]库存使用数据!$A:$F,6,0),0)</f>
        <v>0</v>
      </c>
      <c r="G726" s="1">
        <f ca="1">IFERROR(VLOOKUP($A726,[1]库存使用数据!$A:$G,7,0),0)+IFERROR(VLOOKUP($A726,[2]库存使用数据!$A:$G,7,0),0)+公式!$B$14*IFERROR(VLOOKUP($A726,[3]库存使用数据!$A:$G,7,0),0)+IFERROR(VLOOKUP($A726,[4]库存使用数据!$A:$G,7,0),0)+IFERROR(VLOOKUP($A726,[5]库存使用数据!$A:$G,7,0),0)</f>
        <v>0</v>
      </c>
      <c r="H726" s="1">
        <f ca="1">IFERROR(VLOOKUP($A726,[1]库存使用数据!$A:$H,8,0),0)+IFERROR(VLOOKUP($A726,[2]库存使用数据!$A:$H,8,0),0)+IFERROR(VLOOKUP($A726,[3]库存使用数据!$A:$H,8,0),0)+IFERROR(VLOOKUP($A726,[4]库存使用数据!$A:$H,8,0),0)+IFERROR(VLOOKUP($A726,[5]库存使用数据!$A:$H,8,0),0)</f>
        <v>149</v>
      </c>
      <c r="I726" s="1">
        <f ca="1">IFERROR(VLOOKUP($A726,[1]库存使用数据!$A:$I,9,0),0)+IFERROR(VLOOKUP($A726,[2]库存使用数据!$A:$I,9,0),0)+IFERROR(VLOOKUP($A726,[3]库存使用数据!$A:$I,9,0),0)+IFERROR(VLOOKUP($A726,[4]库存使用数据!$A:$I,9,0),0)+IFERROR(VLOOKUP($A726,[5]库存使用数据!$A:$I,9,0),0)</f>
        <v>0</v>
      </c>
      <c r="J726" s="1">
        <f ca="1">IFERROR(VLOOKUP($A726,[1]库存使用数据!$A:$J,10,0),0)+IFERROR(VLOOKUP($A726,[2]库存使用数据!$A:$J,10,0),0)+公式!$B$14*IFERROR(VLOOKUP($A726,[3]库存使用数据!$A:$J,10,0),0)+IFERROR(VLOOKUP($A726,[4]库存使用数据!$A:$J,10,0),0)+IFERROR(VLOOKUP($A726,[5]库存使用数据!$A:$J,10,0),0)</f>
        <v>0</v>
      </c>
      <c r="K726" s="1">
        <f ca="1">IFERROR(VLOOKUP($A726,[1]库存使用数据!$A:$K,11,0),0)+IFERROR(VLOOKUP($A726,[2]库存使用数据!$A:$K,11,0),0)+IFERROR(VLOOKUP($A726,[3]库存使用数据!$A:$K,11,0),0)+IFERROR(VLOOKUP($A726,[4]库存使用数据!$A:$K,11,0),0)+IFERROR(VLOOKUP($A726,[5]库存使用数据!$A:$K,11,0),0)</f>
        <v>77</v>
      </c>
      <c r="L726" s="1">
        <f ca="1">IFERROR(VLOOKUP($A726,[1]库存使用数据!$A:$L,12,0),0)+IFERROR(VLOOKUP($A726,[2]库存使用数据!$A:$L,12,0),0)+IFERROR(VLOOKUP($A726,[3]库存使用数据!$A:$L,12,0),0)+IFERROR(VLOOKUP($A726,[4]库存使用数据!$A:$L,12,0),0)+IFERROR(VLOOKUP($A726,[5]库存使用数据!$A:$L,12,0),0)</f>
        <v>0</v>
      </c>
      <c r="M726" s="1">
        <f ca="1">IFERROR(VLOOKUP($A726,[1]库存使用数据!$A:$M,13,0),0)+IFERROR(VLOOKUP($A726,[2]库存使用数据!$A:$M,13,0),0)+公式!$B$14*IFERROR(VLOOKUP($A726,[3]库存使用数据!$A:$M,13,0),0)+IFERROR(VLOOKUP($A726,[4]库存使用数据!$A:$M,13,0),0)+IFERROR(VLOOKUP($A726,[5]库存使用数据!$A:$M,13,0),0)</f>
        <v>0</v>
      </c>
    </row>
    <row r="727" spans="1:13">
      <c r="A727" s="6" t="s">
        <v>732</v>
      </c>
      <c r="B727" s="2">
        <f ca="1">IFERROR(VLOOKUP(A727,[1]库存使用数据!$A:$B,2,0),0)+IFERROR(VLOOKUP(A727,[2]库存使用数据!$A:$B,2,0),0)+IFERROR(VLOOKUP(,[3]库存使用数据!$A:$B,2,0),0)+IFERROR(VLOOKUP(A727,[4]库存使用数据!$A:$B,2,0),0)+IFERROR(VLOOKUP(A727,[5]库存使用数据!$A:$B,2,0),0)</f>
        <v>0</v>
      </c>
      <c r="C727" s="1">
        <f ca="1">IFERROR(VLOOKUP($A727,[1]库存使用数据!$A:$C,3,0),0)+IFERROR(VLOOKUP($A727,[2]库存使用数据!$A:$C,3,0),0)+IFERROR(VLOOKUP($A727,[3]库存使用数据!$A:$C,3,0),0)+IFERROR(VLOOKUP($A727,[4]库存使用数据!$A:$C,3,0),0)+IFERROR(VLOOKUP($A727,[5]库存使用数据!$A:$C,3,0),0)</f>
        <v>0</v>
      </c>
      <c r="D727" s="1">
        <f ca="1">IFERROR(VLOOKUP($A727,[1]库存使用数据!$A:$D,4,0),0)+IFERROR(VLOOKUP($A727,[2]库存使用数据!$A:$D,4,0),0)+公式!$B$1*IFERROR(VLOOKUP($A727,[3]库存使用数据!$A:$D,4,0),0)+IFERROR(VLOOKUP($A727,[4]库存使用数据!$A:$D,4,0),0)+IFERROR(VLOOKUP($A727,[5]库存使用数据!$A:$D,4,0),0)</f>
        <v>0</v>
      </c>
      <c r="E727" s="1">
        <f ca="1">IFERROR(VLOOKUP($A727,[1]库存使用数据!$A:$E,5,0),0)+IFERROR(VLOOKUP($A727,[2]库存使用数据!$A:$E,5,0),0)+IFERROR(VLOOKUP($A727,[3]库存使用数据!$A:$E,5,0),0)+IFERROR(VLOOKUP($A727,[4]库存使用数据!$A:$E,5,0),0)+IFERROR(VLOOKUP($A727,[5]库存使用数据!$A:$E,5,0),0)</f>
        <v>127</v>
      </c>
      <c r="F727" s="1">
        <f ca="1">IFERROR(VLOOKUP($A727,[1]库存使用数据!$A:$F,6,0),0)+IFERROR(VLOOKUP($A727,[2]库存使用数据!$A:$F,6,0),0)+IFERROR(VLOOKUP($A727,[4]库存使用数据!$A:$F,6,0),0)+IFERROR(VLOOKUP($A727,[3]库存使用数据!$A:$F,6,0),0)+IFERROR(VLOOKUP($A727,[5]库存使用数据!$A:$F,6,0),0)</f>
        <v>0</v>
      </c>
      <c r="G727" s="1">
        <f ca="1">IFERROR(VLOOKUP($A727,[1]库存使用数据!$A:$G,7,0),0)+IFERROR(VLOOKUP($A727,[2]库存使用数据!$A:$G,7,0),0)+公式!$B$14*IFERROR(VLOOKUP($A727,[3]库存使用数据!$A:$G,7,0),0)+IFERROR(VLOOKUP($A727,[4]库存使用数据!$A:$G,7,0),0)+IFERROR(VLOOKUP($A727,[5]库存使用数据!$A:$G,7,0),0)</f>
        <v>0</v>
      </c>
      <c r="H727" s="1">
        <f ca="1">IFERROR(VLOOKUP($A727,[1]库存使用数据!$A:$H,8,0),0)+IFERROR(VLOOKUP($A727,[2]库存使用数据!$A:$H,8,0),0)+IFERROR(VLOOKUP($A727,[3]库存使用数据!$A:$H,8,0),0)+IFERROR(VLOOKUP($A727,[4]库存使用数据!$A:$H,8,0),0)+IFERROR(VLOOKUP($A727,[5]库存使用数据!$A:$H,8,0),0)</f>
        <v>122</v>
      </c>
      <c r="I727" s="1">
        <f ca="1">IFERROR(VLOOKUP($A727,[1]库存使用数据!$A:$I,9,0),0)+IFERROR(VLOOKUP($A727,[2]库存使用数据!$A:$I,9,0),0)+IFERROR(VLOOKUP($A727,[3]库存使用数据!$A:$I,9,0),0)+IFERROR(VLOOKUP($A727,[4]库存使用数据!$A:$I,9,0),0)+IFERROR(VLOOKUP($A727,[5]库存使用数据!$A:$I,9,0),0)</f>
        <v>0</v>
      </c>
      <c r="J727" s="1">
        <f ca="1">IFERROR(VLOOKUP($A727,[1]库存使用数据!$A:$J,10,0),0)+IFERROR(VLOOKUP($A727,[2]库存使用数据!$A:$J,10,0),0)+公式!$B$14*IFERROR(VLOOKUP($A727,[3]库存使用数据!$A:$J,10,0),0)+IFERROR(VLOOKUP($A727,[4]库存使用数据!$A:$J,10,0),0)+IFERROR(VLOOKUP($A727,[5]库存使用数据!$A:$J,10,0),0)</f>
        <v>0</v>
      </c>
      <c r="K727" s="1">
        <f ca="1">IFERROR(VLOOKUP($A727,[1]库存使用数据!$A:$K,11,0),0)+IFERROR(VLOOKUP($A727,[2]库存使用数据!$A:$K,11,0),0)+IFERROR(VLOOKUP($A727,[3]库存使用数据!$A:$K,11,0),0)+IFERROR(VLOOKUP($A727,[4]库存使用数据!$A:$K,11,0),0)+IFERROR(VLOOKUP($A727,[5]库存使用数据!$A:$K,11,0),0)</f>
        <v>157</v>
      </c>
      <c r="L727" s="1">
        <f ca="1">IFERROR(VLOOKUP($A727,[1]库存使用数据!$A:$L,12,0),0)+IFERROR(VLOOKUP($A727,[2]库存使用数据!$A:$L,12,0),0)+IFERROR(VLOOKUP($A727,[3]库存使用数据!$A:$L,12,0),0)+IFERROR(VLOOKUP($A727,[4]库存使用数据!$A:$L,12,0),0)+IFERROR(VLOOKUP($A727,[5]库存使用数据!$A:$L,12,0),0)</f>
        <v>1</v>
      </c>
      <c r="M727" s="1">
        <f ca="1">IFERROR(VLOOKUP($A727,[1]库存使用数据!$A:$M,13,0),0)+IFERROR(VLOOKUP($A727,[2]库存使用数据!$A:$M,13,0),0)+公式!$B$14*IFERROR(VLOOKUP($A727,[3]库存使用数据!$A:$M,13,0),0)+IFERROR(VLOOKUP($A727,[4]库存使用数据!$A:$M,13,0),0)+IFERROR(VLOOKUP($A727,[5]库存使用数据!$A:$M,13,0),0)</f>
        <v>0.14</v>
      </c>
    </row>
    <row r="728" spans="1:13">
      <c r="A728" s="6" t="s">
        <v>733</v>
      </c>
      <c r="B728" s="2">
        <f ca="1">IFERROR(VLOOKUP(A728,[1]库存使用数据!$A:$B,2,0),0)+IFERROR(VLOOKUP(A728,[2]库存使用数据!$A:$B,2,0),0)+IFERROR(VLOOKUP(,[3]库存使用数据!$A:$B,2,0),0)+IFERROR(VLOOKUP(A728,[4]库存使用数据!$A:$B,2,0),0)+IFERROR(VLOOKUP(A728,[5]库存使用数据!$A:$B,2,0),0)</f>
        <v>383</v>
      </c>
      <c r="C728" s="1">
        <f ca="1">IFERROR(VLOOKUP($A728,[1]库存使用数据!$A:$C,3,0),0)+IFERROR(VLOOKUP($A728,[2]库存使用数据!$A:$C,3,0),0)+IFERROR(VLOOKUP($A728,[3]库存使用数据!$A:$C,3,0),0)+IFERROR(VLOOKUP($A728,[4]库存使用数据!$A:$C,3,0),0)+IFERROR(VLOOKUP($A728,[5]库存使用数据!$A:$C,3,0),0)</f>
        <v>0</v>
      </c>
      <c r="D728" s="1">
        <f ca="1">IFERROR(VLOOKUP($A728,[1]库存使用数据!$A:$D,4,0),0)+IFERROR(VLOOKUP($A728,[2]库存使用数据!$A:$D,4,0),0)+公式!$B$1*IFERROR(VLOOKUP($A728,[3]库存使用数据!$A:$D,4,0),0)+IFERROR(VLOOKUP($A728,[4]库存使用数据!$A:$D,4,0),0)+IFERROR(VLOOKUP($A728,[5]库存使用数据!$A:$D,4,0),0)</f>
        <v>0</v>
      </c>
      <c r="E728" s="1">
        <f ca="1">IFERROR(VLOOKUP($A728,[1]库存使用数据!$A:$E,5,0),0)+IFERROR(VLOOKUP($A728,[2]库存使用数据!$A:$E,5,0),0)+IFERROR(VLOOKUP($A728,[3]库存使用数据!$A:$E,5,0),0)+IFERROR(VLOOKUP($A728,[4]库存使用数据!$A:$E,5,0),0)+IFERROR(VLOOKUP($A728,[5]库存使用数据!$A:$E,5,0),0)</f>
        <v>990</v>
      </c>
      <c r="F728" s="1">
        <f ca="1">IFERROR(VLOOKUP($A728,[1]库存使用数据!$A:$F,6,0),0)+IFERROR(VLOOKUP($A728,[2]库存使用数据!$A:$F,6,0),0)+IFERROR(VLOOKUP($A728,[4]库存使用数据!$A:$F,6,0),0)+IFERROR(VLOOKUP($A728,[3]库存使用数据!$A:$F,6,0),0)+IFERROR(VLOOKUP($A728,[5]库存使用数据!$A:$F,6,0),0)</f>
        <v>1</v>
      </c>
      <c r="G728" s="1">
        <f ca="1">IFERROR(VLOOKUP($A728,[1]库存使用数据!$A:$G,7,0),0)+IFERROR(VLOOKUP($A728,[2]库存使用数据!$A:$G,7,0),0)+公式!$B$14*IFERROR(VLOOKUP($A728,[3]库存使用数据!$A:$G,7,0),0)+IFERROR(VLOOKUP($A728,[4]库存使用数据!$A:$G,7,0),0)+IFERROR(VLOOKUP($A728,[5]库存使用数据!$A:$G,7,0),0)</f>
        <v>0.14</v>
      </c>
      <c r="H728" s="1">
        <f ca="1">IFERROR(VLOOKUP($A728,[1]库存使用数据!$A:$H,8,0),0)+IFERROR(VLOOKUP($A728,[2]库存使用数据!$A:$H,8,0),0)+IFERROR(VLOOKUP($A728,[3]库存使用数据!$A:$H,8,0),0)+IFERROR(VLOOKUP($A728,[4]库存使用数据!$A:$H,8,0),0)+IFERROR(VLOOKUP($A728,[5]库存使用数据!$A:$H,8,0),0)</f>
        <v>522</v>
      </c>
      <c r="I728" s="1">
        <f ca="1">IFERROR(VLOOKUP($A728,[1]库存使用数据!$A:$I,9,0),0)+IFERROR(VLOOKUP($A728,[2]库存使用数据!$A:$I,9,0),0)+IFERROR(VLOOKUP($A728,[3]库存使用数据!$A:$I,9,0),0)+IFERROR(VLOOKUP($A728,[4]库存使用数据!$A:$I,9,0),0)+IFERROR(VLOOKUP($A728,[5]库存使用数据!$A:$I,9,0),0)</f>
        <v>0</v>
      </c>
      <c r="J728" s="1">
        <f ca="1">IFERROR(VLOOKUP($A728,[1]库存使用数据!$A:$J,10,0),0)+IFERROR(VLOOKUP($A728,[2]库存使用数据!$A:$J,10,0),0)+公式!$B$14*IFERROR(VLOOKUP($A728,[3]库存使用数据!$A:$J,10,0),0)+IFERROR(VLOOKUP($A728,[4]库存使用数据!$A:$J,10,0),0)+IFERROR(VLOOKUP($A728,[5]库存使用数据!$A:$J,10,0),0)</f>
        <v>0</v>
      </c>
      <c r="K728" s="1">
        <f ca="1">IFERROR(VLOOKUP($A728,[1]库存使用数据!$A:$K,11,0),0)+IFERROR(VLOOKUP($A728,[2]库存使用数据!$A:$K,11,0),0)+IFERROR(VLOOKUP($A728,[3]库存使用数据!$A:$K,11,0),0)+IFERROR(VLOOKUP($A728,[4]库存使用数据!$A:$K,11,0),0)+IFERROR(VLOOKUP($A728,[5]库存使用数据!$A:$K,11,0),0)</f>
        <v>135</v>
      </c>
      <c r="L728" s="1">
        <f ca="1">IFERROR(VLOOKUP($A728,[1]库存使用数据!$A:$L,12,0),0)+IFERROR(VLOOKUP($A728,[2]库存使用数据!$A:$L,12,0),0)+IFERROR(VLOOKUP($A728,[3]库存使用数据!$A:$L,12,0),0)+IFERROR(VLOOKUP($A728,[4]库存使用数据!$A:$L,12,0),0)+IFERROR(VLOOKUP($A728,[5]库存使用数据!$A:$L,12,0),0)</f>
        <v>0</v>
      </c>
      <c r="M728" s="1">
        <f ca="1">IFERROR(VLOOKUP($A728,[1]库存使用数据!$A:$M,13,0),0)+IFERROR(VLOOKUP($A728,[2]库存使用数据!$A:$M,13,0),0)+公式!$B$14*IFERROR(VLOOKUP($A728,[3]库存使用数据!$A:$M,13,0),0)+IFERROR(VLOOKUP($A728,[4]库存使用数据!$A:$M,13,0),0)+IFERROR(VLOOKUP($A728,[5]库存使用数据!$A:$M,13,0),0)</f>
        <v>0</v>
      </c>
    </row>
    <row r="729" spans="1:13">
      <c r="A729" s="6" t="s">
        <v>734</v>
      </c>
      <c r="B729" s="2">
        <f ca="1">IFERROR(VLOOKUP(A729,[1]库存使用数据!$A:$B,2,0),0)+IFERROR(VLOOKUP(A729,[2]库存使用数据!$A:$B,2,0),0)+IFERROR(VLOOKUP(,[3]库存使用数据!$A:$B,2,0),0)+IFERROR(VLOOKUP(A729,[4]库存使用数据!$A:$B,2,0),0)+IFERROR(VLOOKUP(A729,[5]库存使用数据!$A:$B,2,0),0)</f>
        <v>36</v>
      </c>
      <c r="C729" s="1">
        <f ca="1">IFERROR(VLOOKUP($A729,[1]库存使用数据!$A:$C,3,0),0)+IFERROR(VLOOKUP($A729,[2]库存使用数据!$A:$C,3,0),0)+IFERROR(VLOOKUP($A729,[3]库存使用数据!$A:$C,3,0),0)+IFERROR(VLOOKUP($A729,[4]库存使用数据!$A:$C,3,0),0)+IFERROR(VLOOKUP($A729,[5]库存使用数据!$A:$C,3,0),0)</f>
        <v>0</v>
      </c>
      <c r="D729" s="1">
        <f ca="1">IFERROR(VLOOKUP($A729,[1]库存使用数据!$A:$D,4,0),0)+IFERROR(VLOOKUP($A729,[2]库存使用数据!$A:$D,4,0),0)+公式!$B$1*IFERROR(VLOOKUP($A729,[3]库存使用数据!$A:$D,4,0),0)+IFERROR(VLOOKUP($A729,[4]库存使用数据!$A:$D,4,0),0)+IFERROR(VLOOKUP($A729,[5]库存使用数据!$A:$D,4,0),0)</f>
        <v>0</v>
      </c>
      <c r="E729" s="1">
        <f ca="1">IFERROR(VLOOKUP($A729,[1]库存使用数据!$A:$E,5,0),0)+IFERROR(VLOOKUP($A729,[2]库存使用数据!$A:$E,5,0),0)+IFERROR(VLOOKUP($A729,[3]库存使用数据!$A:$E,5,0),0)+IFERROR(VLOOKUP($A729,[4]库存使用数据!$A:$E,5,0),0)+IFERROR(VLOOKUP($A729,[5]库存使用数据!$A:$E,5,0),0)</f>
        <v>190</v>
      </c>
      <c r="F729" s="1">
        <f ca="1">IFERROR(VLOOKUP($A729,[1]库存使用数据!$A:$F,6,0),0)+IFERROR(VLOOKUP($A729,[2]库存使用数据!$A:$F,6,0),0)+IFERROR(VLOOKUP($A729,[4]库存使用数据!$A:$F,6,0),0)+IFERROR(VLOOKUP($A729,[3]库存使用数据!$A:$F,6,0),0)+IFERROR(VLOOKUP($A729,[5]库存使用数据!$A:$F,6,0),0)</f>
        <v>1</v>
      </c>
      <c r="G729" s="1">
        <f ca="1">IFERROR(VLOOKUP($A729,[1]库存使用数据!$A:$G,7,0),0)+IFERROR(VLOOKUP($A729,[2]库存使用数据!$A:$G,7,0),0)+公式!$B$14*IFERROR(VLOOKUP($A729,[3]库存使用数据!$A:$G,7,0),0)+IFERROR(VLOOKUP($A729,[4]库存使用数据!$A:$G,7,0),0)+IFERROR(VLOOKUP($A729,[5]库存使用数据!$A:$G,7,0),0)</f>
        <v>0.17</v>
      </c>
      <c r="H729" s="1">
        <f ca="1">IFERROR(VLOOKUP($A729,[1]库存使用数据!$A:$H,8,0),0)+IFERROR(VLOOKUP($A729,[2]库存使用数据!$A:$H,8,0),0)+IFERROR(VLOOKUP($A729,[3]库存使用数据!$A:$H,8,0),0)+IFERROR(VLOOKUP($A729,[4]库存使用数据!$A:$H,8,0),0)+IFERROR(VLOOKUP($A729,[5]库存使用数据!$A:$H,8,0),0)</f>
        <v>107</v>
      </c>
      <c r="I729" s="1">
        <f ca="1">IFERROR(VLOOKUP($A729,[1]库存使用数据!$A:$I,9,0),0)+IFERROR(VLOOKUP($A729,[2]库存使用数据!$A:$I,9,0),0)+IFERROR(VLOOKUP($A729,[3]库存使用数据!$A:$I,9,0),0)+IFERROR(VLOOKUP($A729,[4]库存使用数据!$A:$I,9,0),0)+IFERROR(VLOOKUP($A729,[5]库存使用数据!$A:$I,9,0),0)</f>
        <v>1</v>
      </c>
      <c r="J729" s="1">
        <f ca="1">IFERROR(VLOOKUP($A729,[1]库存使用数据!$A:$J,10,0),0)+IFERROR(VLOOKUP($A729,[2]库存使用数据!$A:$J,10,0),0)+公式!$B$14*IFERROR(VLOOKUP($A729,[3]库存使用数据!$A:$J,10,0),0)+IFERROR(VLOOKUP($A729,[4]库存使用数据!$A:$J,10,0),0)+IFERROR(VLOOKUP($A729,[5]库存使用数据!$A:$J,10,0),0)</f>
        <v>0.17</v>
      </c>
      <c r="K729" s="1">
        <f ca="1">IFERROR(VLOOKUP($A729,[1]库存使用数据!$A:$K,11,0),0)+IFERROR(VLOOKUP($A729,[2]库存使用数据!$A:$K,11,0),0)+IFERROR(VLOOKUP($A729,[3]库存使用数据!$A:$K,11,0),0)+IFERROR(VLOOKUP($A729,[4]库存使用数据!$A:$K,11,0),0)+IFERROR(VLOOKUP($A729,[5]库存使用数据!$A:$K,11,0),0)</f>
        <v>54</v>
      </c>
      <c r="L729" s="1">
        <f ca="1">IFERROR(VLOOKUP($A729,[1]库存使用数据!$A:$L,12,0),0)+IFERROR(VLOOKUP($A729,[2]库存使用数据!$A:$L,12,0),0)+IFERROR(VLOOKUP($A729,[3]库存使用数据!$A:$L,12,0),0)+IFERROR(VLOOKUP($A729,[4]库存使用数据!$A:$L,12,0),0)+IFERROR(VLOOKUP($A729,[5]库存使用数据!$A:$L,12,0),0)</f>
        <v>0</v>
      </c>
      <c r="M729" s="1">
        <f ca="1">IFERROR(VLOOKUP($A729,[1]库存使用数据!$A:$M,13,0),0)+IFERROR(VLOOKUP($A729,[2]库存使用数据!$A:$M,13,0),0)+公式!$B$14*IFERROR(VLOOKUP($A729,[3]库存使用数据!$A:$M,13,0),0)+IFERROR(VLOOKUP($A729,[4]库存使用数据!$A:$M,13,0),0)+IFERROR(VLOOKUP($A729,[5]库存使用数据!$A:$M,13,0),0)</f>
        <v>0</v>
      </c>
    </row>
    <row r="730" spans="1:13">
      <c r="A730" s="6" t="s">
        <v>735</v>
      </c>
      <c r="B730" s="2">
        <f ca="1">IFERROR(VLOOKUP(A730,[1]库存使用数据!$A:$B,2,0),0)+IFERROR(VLOOKUP(A730,[2]库存使用数据!$A:$B,2,0),0)+IFERROR(VLOOKUP(,[3]库存使用数据!$A:$B,2,0),0)+IFERROR(VLOOKUP(A730,[4]库存使用数据!$A:$B,2,0),0)+IFERROR(VLOOKUP(A730,[5]库存使用数据!$A:$B,2,0),0)</f>
        <v>25</v>
      </c>
      <c r="C730" s="1">
        <f ca="1">IFERROR(VLOOKUP($A730,[1]库存使用数据!$A:$C,3,0),0)+IFERROR(VLOOKUP($A730,[2]库存使用数据!$A:$C,3,0),0)+IFERROR(VLOOKUP($A730,[3]库存使用数据!$A:$C,3,0),0)+IFERROR(VLOOKUP($A730,[4]库存使用数据!$A:$C,3,0),0)+IFERROR(VLOOKUP($A730,[5]库存使用数据!$A:$C,3,0),0)</f>
        <v>0</v>
      </c>
      <c r="D730" s="1">
        <f ca="1">IFERROR(VLOOKUP($A730,[1]库存使用数据!$A:$D,4,0),0)+IFERROR(VLOOKUP($A730,[2]库存使用数据!$A:$D,4,0),0)+公式!$B$1*IFERROR(VLOOKUP($A730,[3]库存使用数据!$A:$D,4,0),0)+IFERROR(VLOOKUP($A730,[4]库存使用数据!$A:$D,4,0),0)+IFERROR(VLOOKUP($A730,[5]库存使用数据!$A:$D,4,0),0)</f>
        <v>0</v>
      </c>
      <c r="E730" s="1">
        <f ca="1">IFERROR(VLOOKUP($A730,[1]库存使用数据!$A:$E,5,0),0)+IFERROR(VLOOKUP($A730,[2]库存使用数据!$A:$E,5,0),0)+IFERROR(VLOOKUP($A730,[3]库存使用数据!$A:$E,5,0),0)+IFERROR(VLOOKUP($A730,[4]库存使用数据!$A:$E,5,0),0)+IFERROR(VLOOKUP($A730,[5]库存使用数据!$A:$E,5,0),0)</f>
        <v>101</v>
      </c>
      <c r="F730" s="1">
        <f ca="1">IFERROR(VLOOKUP($A730,[1]库存使用数据!$A:$F,6,0),0)+IFERROR(VLOOKUP($A730,[2]库存使用数据!$A:$F,6,0),0)+IFERROR(VLOOKUP($A730,[4]库存使用数据!$A:$F,6,0),0)+IFERROR(VLOOKUP($A730,[3]库存使用数据!$A:$F,6,0),0)+IFERROR(VLOOKUP($A730,[5]库存使用数据!$A:$F,6,0),0)</f>
        <v>0</v>
      </c>
      <c r="G730" s="1">
        <f ca="1">IFERROR(VLOOKUP($A730,[1]库存使用数据!$A:$G,7,0),0)+IFERROR(VLOOKUP($A730,[2]库存使用数据!$A:$G,7,0),0)+公式!$B$14*IFERROR(VLOOKUP($A730,[3]库存使用数据!$A:$G,7,0),0)+IFERROR(VLOOKUP($A730,[4]库存使用数据!$A:$G,7,0),0)+IFERROR(VLOOKUP($A730,[5]库存使用数据!$A:$G,7,0),0)</f>
        <v>0</v>
      </c>
      <c r="H730" s="1">
        <f ca="1">IFERROR(VLOOKUP($A730,[1]库存使用数据!$A:$H,8,0),0)+IFERROR(VLOOKUP($A730,[2]库存使用数据!$A:$H,8,0),0)+IFERROR(VLOOKUP($A730,[3]库存使用数据!$A:$H,8,0),0)+IFERROR(VLOOKUP($A730,[4]库存使用数据!$A:$H,8,0),0)+IFERROR(VLOOKUP($A730,[5]库存使用数据!$A:$H,8,0),0)</f>
        <v>32</v>
      </c>
      <c r="I730" s="1">
        <f ca="1">IFERROR(VLOOKUP($A730,[1]库存使用数据!$A:$I,9,0),0)+IFERROR(VLOOKUP($A730,[2]库存使用数据!$A:$I,9,0),0)+IFERROR(VLOOKUP($A730,[3]库存使用数据!$A:$I,9,0),0)+IFERROR(VLOOKUP($A730,[4]库存使用数据!$A:$I,9,0),0)+IFERROR(VLOOKUP($A730,[5]库存使用数据!$A:$I,9,0),0)</f>
        <v>0</v>
      </c>
      <c r="J730" s="1">
        <f ca="1">IFERROR(VLOOKUP($A730,[1]库存使用数据!$A:$J,10,0),0)+IFERROR(VLOOKUP($A730,[2]库存使用数据!$A:$J,10,0),0)+公式!$B$14*IFERROR(VLOOKUP($A730,[3]库存使用数据!$A:$J,10,0),0)+IFERROR(VLOOKUP($A730,[4]库存使用数据!$A:$J,10,0),0)+IFERROR(VLOOKUP($A730,[5]库存使用数据!$A:$J,10,0),0)</f>
        <v>0</v>
      </c>
      <c r="K730" s="1">
        <f ca="1">IFERROR(VLOOKUP($A730,[1]库存使用数据!$A:$K,11,0),0)+IFERROR(VLOOKUP($A730,[2]库存使用数据!$A:$K,11,0),0)+IFERROR(VLOOKUP($A730,[3]库存使用数据!$A:$K,11,0),0)+IFERROR(VLOOKUP($A730,[4]库存使用数据!$A:$K,11,0),0)+IFERROR(VLOOKUP($A730,[5]库存使用数据!$A:$K,11,0),0)</f>
        <v>4</v>
      </c>
      <c r="L730" s="1">
        <f ca="1">IFERROR(VLOOKUP($A730,[1]库存使用数据!$A:$L,12,0),0)+IFERROR(VLOOKUP($A730,[2]库存使用数据!$A:$L,12,0),0)+IFERROR(VLOOKUP($A730,[3]库存使用数据!$A:$L,12,0),0)+IFERROR(VLOOKUP($A730,[4]库存使用数据!$A:$L,12,0),0)+IFERROR(VLOOKUP($A730,[5]库存使用数据!$A:$L,12,0),0)</f>
        <v>0</v>
      </c>
      <c r="M730" s="1">
        <f ca="1">IFERROR(VLOOKUP($A730,[1]库存使用数据!$A:$M,13,0),0)+IFERROR(VLOOKUP($A730,[2]库存使用数据!$A:$M,13,0),0)+公式!$B$14*IFERROR(VLOOKUP($A730,[3]库存使用数据!$A:$M,13,0),0)+IFERROR(VLOOKUP($A730,[4]库存使用数据!$A:$M,13,0),0)+IFERROR(VLOOKUP($A730,[5]库存使用数据!$A:$M,13,0),0)</f>
        <v>0</v>
      </c>
    </row>
    <row r="731" spans="1:13">
      <c r="A731" s="6" t="s">
        <v>736</v>
      </c>
      <c r="B731" s="2">
        <f ca="1">IFERROR(VLOOKUP(A731,[1]库存使用数据!$A:$B,2,0),0)+IFERROR(VLOOKUP(A731,[2]库存使用数据!$A:$B,2,0),0)+IFERROR(VLOOKUP(,[3]库存使用数据!$A:$B,2,0),0)+IFERROR(VLOOKUP(A731,[4]库存使用数据!$A:$B,2,0),0)+IFERROR(VLOOKUP(A731,[5]库存使用数据!$A:$B,2,0),0)</f>
        <v>26</v>
      </c>
      <c r="C731" s="1">
        <f ca="1">IFERROR(VLOOKUP($A731,[1]库存使用数据!$A:$C,3,0),0)+IFERROR(VLOOKUP($A731,[2]库存使用数据!$A:$C,3,0),0)+IFERROR(VLOOKUP($A731,[3]库存使用数据!$A:$C,3,0),0)+IFERROR(VLOOKUP($A731,[4]库存使用数据!$A:$C,3,0),0)+IFERROR(VLOOKUP($A731,[5]库存使用数据!$A:$C,3,0),0)</f>
        <v>0</v>
      </c>
      <c r="D731" s="1">
        <f ca="1">IFERROR(VLOOKUP($A731,[1]库存使用数据!$A:$D,4,0),0)+IFERROR(VLOOKUP($A731,[2]库存使用数据!$A:$D,4,0),0)+公式!$B$1*IFERROR(VLOOKUP($A731,[3]库存使用数据!$A:$D,4,0),0)+IFERROR(VLOOKUP($A731,[4]库存使用数据!$A:$D,4,0),0)+IFERROR(VLOOKUP($A731,[5]库存使用数据!$A:$D,4,0),0)</f>
        <v>0</v>
      </c>
      <c r="E731" s="1">
        <f ca="1">IFERROR(VLOOKUP($A731,[1]库存使用数据!$A:$E,5,0),0)+IFERROR(VLOOKUP($A731,[2]库存使用数据!$A:$E,5,0),0)+IFERROR(VLOOKUP($A731,[3]库存使用数据!$A:$E,5,0),0)+IFERROR(VLOOKUP($A731,[4]库存使用数据!$A:$E,5,0),0)+IFERROR(VLOOKUP($A731,[5]库存使用数据!$A:$E,5,0),0)</f>
        <v>341</v>
      </c>
      <c r="F731" s="1">
        <f ca="1">IFERROR(VLOOKUP($A731,[1]库存使用数据!$A:$F,6,0),0)+IFERROR(VLOOKUP($A731,[2]库存使用数据!$A:$F,6,0),0)+IFERROR(VLOOKUP($A731,[4]库存使用数据!$A:$F,6,0),0)+IFERROR(VLOOKUP($A731,[3]库存使用数据!$A:$F,6,0),0)+IFERROR(VLOOKUP($A731,[5]库存使用数据!$A:$F,6,0),0)</f>
        <v>0</v>
      </c>
      <c r="G731" s="1">
        <f ca="1">IFERROR(VLOOKUP($A731,[1]库存使用数据!$A:$G,7,0),0)+IFERROR(VLOOKUP($A731,[2]库存使用数据!$A:$G,7,0),0)+公式!$B$14*IFERROR(VLOOKUP($A731,[3]库存使用数据!$A:$G,7,0),0)+IFERROR(VLOOKUP($A731,[4]库存使用数据!$A:$G,7,0),0)+IFERROR(VLOOKUP($A731,[5]库存使用数据!$A:$G,7,0),0)</f>
        <v>0</v>
      </c>
      <c r="H731" s="1">
        <f ca="1">IFERROR(VLOOKUP($A731,[1]库存使用数据!$A:$H,8,0),0)+IFERROR(VLOOKUP($A731,[2]库存使用数据!$A:$H,8,0),0)+IFERROR(VLOOKUP($A731,[3]库存使用数据!$A:$H,8,0),0)+IFERROR(VLOOKUP($A731,[4]库存使用数据!$A:$H,8,0),0)+IFERROR(VLOOKUP($A731,[5]库存使用数据!$A:$H,8,0),0)</f>
        <v>83</v>
      </c>
      <c r="I731" s="1">
        <f ca="1">IFERROR(VLOOKUP($A731,[1]库存使用数据!$A:$I,9,0),0)+IFERROR(VLOOKUP($A731,[2]库存使用数据!$A:$I,9,0),0)+IFERROR(VLOOKUP($A731,[3]库存使用数据!$A:$I,9,0),0)+IFERROR(VLOOKUP($A731,[4]库存使用数据!$A:$I,9,0),0)+IFERROR(VLOOKUP($A731,[5]库存使用数据!$A:$I,9,0),0)</f>
        <v>0</v>
      </c>
      <c r="J731" s="1">
        <f ca="1">IFERROR(VLOOKUP($A731,[1]库存使用数据!$A:$J,10,0),0)+IFERROR(VLOOKUP($A731,[2]库存使用数据!$A:$J,10,0),0)+公式!$B$14*IFERROR(VLOOKUP($A731,[3]库存使用数据!$A:$J,10,0),0)+IFERROR(VLOOKUP($A731,[4]库存使用数据!$A:$J,10,0),0)+IFERROR(VLOOKUP($A731,[5]库存使用数据!$A:$J,10,0),0)</f>
        <v>0</v>
      </c>
      <c r="K731" s="1">
        <f ca="1">IFERROR(VLOOKUP($A731,[1]库存使用数据!$A:$K,11,0),0)+IFERROR(VLOOKUP($A731,[2]库存使用数据!$A:$K,11,0),0)+IFERROR(VLOOKUP($A731,[3]库存使用数据!$A:$K,11,0),0)+IFERROR(VLOOKUP($A731,[4]库存使用数据!$A:$K,11,0),0)+IFERROR(VLOOKUP($A731,[5]库存使用数据!$A:$K,11,0),0)</f>
        <v>76</v>
      </c>
      <c r="L731" s="1">
        <f ca="1">IFERROR(VLOOKUP($A731,[1]库存使用数据!$A:$L,12,0),0)+IFERROR(VLOOKUP($A731,[2]库存使用数据!$A:$L,12,0),0)+IFERROR(VLOOKUP($A731,[3]库存使用数据!$A:$L,12,0),0)+IFERROR(VLOOKUP($A731,[4]库存使用数据!$A:$L,12,0),0)+IFERROR(VLOOKUP($A731,[5]库存使用数据!$A:$L,12,0),0)</f>
        <v>1</v>
      </c>
      <c r="M731" s="1">
        <f ca="1">IFERROR(VLOOKUP($A731,[1]库存使用数据!$A:$M,13,0),0)+IFERROR(VLOOKUP($A731,[2]库存使用数据!$A:$M,13,0),0)+公式!$B$14*IFERROR(VLOOKUP($A731,[3]库存使用数据!$A:$M,13,0),0)+IFERROR(VLOOKUP($A731,[4]库存使用数据!$A:$M,13,0),0)+IFERROR(VLOOKUP($A731,[5]库存使用数据!$A:$M,13,0),0)</f>
        <v>0.07</v>
      </c>
    </row>
    <row r="732" spans="1:13">
      <c r="A732" s="6" t="s">
        <v>737</v>
      </c>
      <c r="B732" s="2">
        <f ca="1">IFERROR(VLOOKUP(A732,[1]库存使用数据!$A:$B,2,0),0)+IFERROR(VLOOKUP(A732,[2]库存使用数据!$A:$B,2,0),0)+IFERROR(VLOOKUP(,[3]库存使用数据!$A:$B,2,0),0)+IFERROR(VLOOKUP(A732,[4]库存使用数据!$A:$B,2,0),0)+IFERROR(VLOOKUP(A732,[5]库存使用数据!$A:$B,2,0),0)</f>
        <v>0</v>
      </c>
      <c r="C732" s="1">
        <f ca="1">IFERROR(VLOOKUP($A732,[1]库存使用数据!$A:$C,3,0),0)+IFERROR(VLOOKUP($A732,[2]库存使用数据!$A:$C,3,0),0)+IFERROR(VLOOKUP($A732,[3]库存使用数据!$A:$C,3,0),0)+IFERROR(VLOOKUP($A732,[4]库存使用数据!$A:$C,3,0),0)+IFERROR(VLOOKUP($A732,[5]库存使用数据!$A:$C,3,0),0)</f>
        <v>0</v>
      </c>
      <c r="D732" s="1">
        <f ca="1">IFERROR(VLOOKUP($A732,[1]库存使用数据!$A:$D,4,0),0)+IFERROR(VLOOKUP($A732,[2]库存使用数据!$A:$D,4,0),0)+公式!$B$1*IFERROR(VLOOKUP($A732,[3]库存使用数据!$A:$D,4,0),0)+IFERROR(VLOOKUP($A732,[4]库存使用数据!$A:$D,4,0),0)+IFERROR(VLOOKUP($A732,[5]库存使用数据!$A:$D,4,0),0)</f>
        <v>0</v>
      </c>
      <c r="E732" s="1">
        <f ca="1">IFERROR(VLOOKUP($A732,[1]库存使用数据!$A:$E,5,0),0)+IFERROR(VLOOKUP($A732,[2]库存使用数据!$A:$E,5,0),0)+IFERROR(VLOOKUP($A732,[3]库存使用数据!$A:$E,5,0),0)+IFERROR(VLOOKUP($A732,[4]库存使用数据!$A:$E,5,0),0)+IFERROR(VLOOKUP($A732,[5]库存使用数据!$A:$E,5,0),0)</f>
        <v>112</v>
      </c>
      <c r="F732" s="1">
        <f ca="1">IFERROR(VLOOKUP($A732,[1]库存使用数据!$A:$F,6,0),0)+IFERROR(VLOOKUP($A732,[2]库存使用数据!$A:$F,6,0),0)+IFERROR(VLOOKUP($A732,[4]库存使用数据!$A:$F,6,0),0)+IFERROR(VLOOKUP($A732,[3]库存使用数据!$A:$F,6,0),0)+IFERROR(VLOOKUP($A732,[5]库存使用数据!$A:$F,6,0),0)</f>
        <v>2</v>
      </c>
      <c r="G732" s="1">
        <f ca="1">IFERROR(VLOOKUP($A732,[1]库存使用数据!$A:$G,7,0),0)+IFERROR(VLOOKUP($A732,[2]库存使用数据!$A:$G,7,0),0)+公式!$B$14*IFERROR(VLOOKUP($A732,[3]库存使用数据!$A:$G,7,0),0)+IFERROR(VLOOKUP($A732,[4]库存使用数据!$A:$G,7,0),0)+IFERROR(VLOOKUP($A732,[5]库存使用数据!$A:$G,7,0),0)</f>
        <v>0.49</v>
      </c>
      <c r="H732" s="1">
        <f ca="1">IFERROR(VLOOKUP($A732,[1]库存使用数据!$A:$H,8,0),0)+IFERROR(VLOOKUP($A732,[2]库存使用数据!$A:$H,8,0),0)+IFERROR(VLOOKUP($A732,[3]库存使用数据!$A:$H,8,0),0)+IFERROR(VLOOKUP($A732,[4]库存使用数据!$A:$H,8,0),0)+IFERROR(VLOOKUP($A732,[5]库存使用数据!$A:$H,8,0),0)</f>
        <v>112</v>
      </c>
      <c r="I732" s="1">
        <f ca="1">IFERROR(VLOOKUP($A732,[1]库存使用数据!$A:$I,9,0),0)+IFERROR(VLOOKUP($A732,[2]库存使用数据!$A:$I,9,0),0)+IFERROR(VLOOKUP($A732,[3]库存使用数据!$A:$I,9,0),0)+IFERROR(VLOOKUP($A732,[4]库存使用数据!$A:$I,9,0),0)+IFERROR(VLOOKUP($A732,[5]库存使用数据!$A:$I,9,0),0)</f>
        <v>2</v>
      </c>
      <c r="J732" s="1">
        <f ca="1">IFERROR(VLOOKUP($A732,[1]库存使用数据!$A:$J,10,0),0)+IFERROR(VLOOKUP($A732,[2]库存使用数据!$A:$J,10,0),0)+公式!$B$14*IFERROR(VLOOKUP($A732,[3]库存使用数据!$A:$J,10,0),0)+IFERROR(VLOOKUP($A732,[4]库存使用数据!$A:$J,10,0),0)+IFERROR(VLOOKUP($A732,[5]库存使用数据!$A:$J,10,0),0)</f>
        <v>0.49</v>
      </c>
      <c r="K732" s="1">
        <f ca="1">IFERROR(VLOOKUP($A732,[1]库存使用数据!$A:$K,11,0),0)+IFERROR(VLOOKUP($A732,[2]库存使用数据!$A:$K,11,0),0)+IFERROR(VLOOKUP($A732,[3]库存使用数据!$A:$K,11,0),0)+IFERROR(VLOOKUP($A732,[4]库存使用数据!$A:$K,11,0),0)+IFERROR(VLOOKUP($A732,[5]库存使用数据!$A:$K,11,0),0)</f>
        <v>139</v>
      </c>
      <c r="L732" s="1">
        <f ca="1">IFERROR(VLOOKUP($A732,[1]库存使用数据!$A:$L,12,0),0)+IFERROR(VLOOKUP($A732,[2]库存使用数据!$A:$L,12,0),0)+IFERROR(VLOOKUP($A732,[3]库存使用数据!$A:$L,12,0),0)+IFERROR(VLOOKUP($A732,[4]库存使用数据!$A:$L,12,0),0)+IFERROR(VLOOKUP($A732,[5]库存使用数据!$A:$L,12,0),0)</f>
        <v>0</v>
      </c>
      <c r="M732" s="1">
        <f ca="1">IFERROR(VLOOKUP($A732,[1]库存使用数据!$A:$M,13,0),0)+IFERROR(VLOOKUP($A732,[2]库存使用数据!$A:$M,13,0),0)+公式!$B$14*IFERROR(VLOOKUP($A732,[3]库存使用数据!$A:$M,13,0),0)+IFERROR(VLOOKUP($A732,[4]库存使用数据!$A:$M,13,0),0)+IFERROR(VLOOKUP($A732,[5]库存使用数据!$A:$M,13,0),0)</f>
        <v>0</v>
      </c>
    </row>
    <row r="733" spans="1:13">
      <c r="A733" s="6" t="s">
        <v>738</v>
      </c>
      <c r="B733" s="2">
        <f ca="1">IFERROR(VLOOKUP(A733,[1]库存使用数据!$A:$B,2,0),0)+IFERROR(VLOOKUP(A733,[2]库存使用数据!$A:$B,2,0),0)+IFERROR(VLOOKUP(,[3]库存使用数据!$A:$B,2,0),0)+IFERROR(VLOOKUP(A733,[4]库存使用数据!$A:$B,2,0),0)+IFERROR(VLOOKUP(A733,[5]库存使用数据!$A:$B,2,0),0)</f>
        <v>0</v>
      </c>
      <c r="C733" s="1">
        <f ca="1">IFERROR(VLOOKUP($A733,[1]库存使用数据!$A:$C,3,0),0)+IFERROR(VLOOKUP($A733,[2]库存使用数据!$A:$C,3,0),0)+IFERROR(VLOOKUP($A733,[3]库存使用数据!$A:$C,3,0),0)+IFERROR(VLOOKUP($A733,[4]库存使用数据!$A:$C,3,0),0)+IFERROR(VLOOKUP($A733,[5]库存使用数据!$A:$C,3,0),0)</f>
        <v>0</v>
      </c>
      <c r="D733" s="1">
        <f ca="1">IFERROR(VLOOKUP($A733,[1]库存使用数据!$A:$D,4,0),0)+IFERROR(VLOOKUP($A733,[2]库存使用数据!$A:$D,4,0),0)+公式!$B$1*IFERROR(VLOOKUP($A733,[3]库存使用数据!$A:$D,4,0),0)+IFERROR(VLOOKUP($A733,[4]库存使用数据!$A:$D,4,0),0)+IFERROR(VLOOKUP($A733,[5]库存使用数据!$A:$D,4,0),0)</f>
        <v>0</v>
      </c>
      <c r="E733" s="1">
        <f ca="1">IFERROR(VLOOKUP($A733,[1]库存使用数据!$A:$E,5,0),0)+IFERROR(VLOOKUP($A733,[2]库存使用数据!$A:$E,5,0),0)+IFERROR(VLOOKUP($A733,[3]库存使用数据!$A:$E,5,0),0)+IFERROR(VLOOKUP($A733,[4]库存使用数据!$A:$E,5,0),0)+IFERROR(VLOOKUP($A733,[5]库存使用数据!$A:$E,5,0),0)</f>
        <v>83</v>
      </c>
      <c r="F733" s="1">
        <f ca="1">IFERROR(VLOOKUP($A733,[1]库存使用数据!$A:$F,6,0),0)+IFERROR(VLOOKUP($A733,[2]库存使用数据!$A:$F,6,0),0)+IFERROR(VLOOKUP($A733,[4]库存使用数据!$A:$F,6,0),0)+IFERROR(VLOOKUP($A733,[3]库存使用数据!$A:$F,6,0),0)+IFERROR(VLOOKUP($A733,[5]库存使用数据!$A:$F,6,0),0)</f>
        <v>1</v>
      </c>
      <c r="G733" s="1">
        <f ca="1">IFERROR(VLOOKUP($A733,[1]库存使用数据!$A:$G,7,0),0)+IFERROR(VLOOKUP($A733,[2]库存使用数据!$A:$G,7,0),0)+公式!$B$14*IFERROR(VLOOKUP($A733,[3]库存使用数据!$A:$G,7,0),0)+IFERROR(VLOOKUP($A733,[4]库存使用数据!$A:$G,7,0),0)+IFERROR(VLOOKUP($A733,[5]库存使用数据!$A:$G,7,0),0)</f>
        <v>0.18</v>
      </c>
      <c r="H733" s="1">
        <f ca="1">IFERROR(VLOOKUP($A733,[1]库存使用数据!$A:$H,8,0),0)+IFERROR(VLOOKUP($A733,[2]库存使用数据!$A:$H,8,0),0)+IFERROR(VLOOKUP($A733,[3]库存使用数据!$A:$H,8,0),0)+IFERROR(VLOOKUP($A733,[4]库存使用数据!$A:$H,8,0),0)+IFERROR(VLOOKUP($A733,[5]库存使用数据!$A:$H,8,0),0)</f>
        <v>70</v>
      </c>
      <c r="I733" s="1">
        <f ca="1">IFERROR(VLOOKUP($A733,[1]库存使用数据!$A:$I,9,0),0)+IFERROR(VLOOKUP($A733,[2]库存使用数据!$A:$I,9,0),0)+IFERROR(VLOOKUP($A733,[3]库存使用数据!$A:$I,9,0),0)+IFERROR(VLOOKUP($A733,[4]库存使用数据!$A:$I,9,0),0)+IFERROR(VLOOKUP($A733,[5]库存使用数据!$A:$I,9,0),0)</f>
        <v>1</v>
      </c>
      <c r="J733" s="1">
        <f ca="1">IFERROR(VLOOKUP($A733,[1]库存使用数据!$A:$J,10,0),0)+IFERROR(VLOOKUP($A733,[2]库存使用数据!$A:$J,10,0),0)+公式!$B$14*IFERROR(VLOOKUP($A733,[3]库存使用数据!$A:$J,10,0),0)+IFERROR(VLOOKUP($A733,[4]库存使用数据!$A:$J,10,0),0)+IFERROR(VLOOKUP($A733,[5]库存使用数据!$A:$J,10,0),0)</f>
        <v>0.18</v>
      </c>
      <c r="K733" s="1">
        <f ca="1">IFERROR(VLOOKUP($A733,[1]库存使用数据!$A:$K,11,0),0)+IFERROR(VLOOKUP($A733,[2]库存使用数据!$A:$K,11,0),0)+IFERROR(VLOOKUP($A733,[3]库存使用数据!$A:$K,11,0),0)+IFERROR(VLOOKUP($A733,[4]库存使用数据!$A:$K,11,0),0)+IFERROR(VLOOKUP($A733,[5]库存使用数据!$A:$K,11,0),0)</f>
        <v>65</v>
      </c>
      <c r="L733" s="1">
        <f ca="1">IFERROR(VLOOKUP($A733,[1]库存使用数据!$A:$L,12,0),0)+IFERROR(VLOOKUP($A733,[2]库存使用数据!$A:$L,12,0),0)+IFERROR(VLOOKUP($A733,[3]库存使用数据!$A:$L,12,0),0)+IFERROR(VLOOKUP($A733,[4]库存使用数据!$A:$L,12,0),0)+IFERROR(VLOOKUP($A733,[5]库存使用数据!$A:$L,12,0),0)</f>
        <v>0</v>
      </c>
      <c r="M733" s="1">
        <f ca="1">IFERROR(VLOOKUP($A733,[1]库存使用数据!$A:$M,13,0),0)+IFERROR(VLOOKUP($A733,[2]库存使用数据!$A:$M,13,0),0)+公式!$B$14*IFERROR(VLOOKUP($A733,[3]库存使用数据!$A:$M,13,0),0)+IFERROR(VLOOKUP($A733,[4]库存使用数据!$A:$M,13,0),0)+IFERROR(VLOOKUP($A733,[5]库存使用数据!$A:$M,13,0),0)</f>
        <v>0</v>
      </c>
    </row>
    <row r="734" spans="1:13">
      <c r="A734" s="6" t="s">
        <v>739</v>
      </c>
      <c r="B734" s="2">
        <f ca="1">IFERROR(VLOOKUP(A734,[1]库存使用数据!$A:$B,2,0),0)+IFERROR(VLOOKUP(A734,[2]库存使用数据!$A:$B,2,0),0)+IFERROR(VLOOKUP(,[3]库存使用数据!$A:$B,2,0),0)+IFERROR(VLOOKUP(A734,[4]库存使用数据!$A:$B,2,0),0)+IFERROR(VLOOKUP(A734,[5]库存使用数据!$A:$B,2,0),0)</f>
        <v>54</v>
      </c>
      <c r="C734" s="1">
        <f ca="1">IFERROR(VLOOKUP($A734,[1]库存使用数据!$A:$C,3,0),0)+IFERROR(VLOOKUP($A734,[2]库存使用数据!$A:$C,3,0),0)+IFERROR(VLOOKUP($A734,[3]库存使用数据!$A:$C,3,0),0)+IFERROR(VLOOKUP($A734,[4]库存使用数据!$A:$C,3,0),0)+IFERROR(VLOOKUP($A734,[5]库存使用数据!$A:$C,3,0),0)</f>
        <v>0</v>
      </c>
      <c r="D734" s="1">
        <f ca="1">IFERROR(VLOOKUP($A734,[1]库存使用数据!$A:$D,4,0),0)+IFERROR(VLOOKUP($A734,[2]库存使用数据!$A:$D,4,0),0)+公式!$B$1*IFERROR(VLOOKUP($A734,[3]库存使用数据!$A:$D,4,0),0)+IFERROR(VLOOKUP($A734,[4]库存使用数据!$A:$D,4,0),0)+IFERROR(VLOOKUP($A734,[5]库存使用数据!$A:$D,4,0),0)</f>
        <v>0</v>
      </c>
      <c r="E734" s="1">
        <f ca="1">IFERROR(VLOOKUP($A734,[1]库存使用数据!$A:$E,5,0),0)+IFERROR(VLOOKUP($A734,[2]库存使用数据!$A:$E,5,0),0)+IFERROR(VLOOKUP($A734,[3]库存使用数据!$A:$E,5,0),0)+IFERROR(VLOOKUP($A734,[4]库存使用数据!$A:$E,5,0),0)+IFERROR(VLOOKUP($A734,[5]库存使用数据!$A:$E,5,0),0)</f>
        <v>108</v>
      </c>
      <c r="F734" s="1">
        <f ca="1">IFERROR(VLOOKUP($A734,[1]库存使用数据!$A:$F,6,0),0)+IFERROR(VLOOKUP($A734,[2]库存使用数据!$A:$F,6,0),0)+IFERROR(VLOOKUP($A734,[4]库存使用数据!$A:$F,6,0),0)+IFERROR(VLOOKUP($A734,[3]库存使用数据!$A:$F,6,0),0)+IFERROR(VLOOKUP($A734,[5]库存使用数据!$A:$F,6,0),0)</f>
        <v>0</v>
      </c>
      <c r="G734" s="1">
        <f ca="1">IFERROR(VLOOKUP($A734,[1]库存使用数据!$A:$G,7,0),0)+IFERROR(VLOOKUP($A734,[2]库存使用数据!$A:$G,7,0),0)+公式!$B$14*IFERROR(VLOOKUP($A734,[3]库存使用数据!$A:$G,7,0),0)+IFERROR(VLOOKUP($A734,[4]库存使用数据!$A:$G,7,0),0)+IFERROR(VLOOKUP($A734,[5]库存使用数据!$A:$G,7,0),0)</f>
        <v>0</v>
      </c>
      <c r="H734" s="1">
        <f ca="1">IFERROR(VLOOKUP($A734,[1]库存使用数据!$A:$H,8,0),0)+IFERROR(VLOOKUP($A734,[2]库存使用数据!$A:$H,8,0),0)+IFERROR(VLOOKUP($A734,[3]库存使用数据!$A:$H,8,0),0)+IFERROR(VLOOKUP($A734,[4]库存使用数据!$A:$H,8,0),0)+IFERROR(VLOOKUP($A734,[5]库存使用数据!$A:$H,8,0),0)</f>
        <v>57</v>
      </c>
      <c r="I734" s="1">
        <f ca="1">IFERROR(VLOOKUP($A734,[1]库存使用数据!$A:$I,9,0),0)+IFERROR(VLOOKUP($A734,[2]库存使用数据!$A:$I,9,0),0)+IFERROR(VLOOKUP($A734,[3]库存使用数据!$A:$I,9,0),0)+IFERROR(VLOOKUP($A734,[4]库存使用数据!$A:$I,9,0),0)+IFERROR(VLOOKUP($A734,[5]库存使用数据!$A:$I,9,0),0)</f>
        <v>0</v>
      </c>
      <c r="J734" s="1">
        <f ca="1">IFERROR(VLOOKUP($A734,[1]库存使用数据!$A:$J,10,0),0)+IFERROR(VLOOKUP($A734,[2]库存使用数据!$A:$J,10,0),0)+公式!$B$14*IFERROR(VLOOKUP($A734,[3]库存使用数据!$A:$J,10,0),0)+IFERROR(VLOOKUP($A734,[4]库存使用数据!$A:$J,10,0),0)+IFERROR(VLOOKUP($A734,[5]库存使用数据!$A:$J,10,0),0)</f>
        <v>0</v>
      </c>
      <c r="K734" s="1">
        <f ca="1">IFERROR(VLOOKUP($A734,[1]库存使用数据!$A:$K,11,0),0)+IFERROR(VLOOKUP($A734,[2]库存使用数据!$A:$K,11,0),0)+IFERROR(VLOOKUP($A734,[3]库存使用数据!$A:$K,11,0),0)+IFERROR(VLOOKUP($A734,[4]库存使用数据!$A:$K,11,0),0)+IFERROR(VLOOKUP($A734,[5]库存使用数据!$A:$K,11,0),0)</f>
        <v>85</v>
      </c>
      <c r="L734" s="1">
        <f ca="1">IFERROR(VLOOKUP($A734,[1]库存使用数据!$A:$L,12,0),0)+IFERROR(VLOOKUP($A734,[2]库存使用数据!$A:$L,12,0),0)+IFERROR(VLOOKUP($A734,[3]库存使用数据!$A:$L,12,0),0)+IFERROR(VLOOKUP($A734,[4]库存使用数据!$A:$L,12,0),0)+IFERROR(VLOOKUP($A734,[5]库存使用数据!$A:$L,12,0),0)</f>
        <v>0</v>
      </c>
      <c r="M734" s="1">
        <f ca="1">IFERROR(VLOOKUP($A734,[1]库存使用数据!$A:$M,13,0),0)+IFERROR(VLOOKUP($A734,[2]库存使用数据!$A:$M,13,0),0)+公式!$B$14*IFERROR(VLOOKUP($A734,[3]库存使用数据!$A:$M,13,0),0)+IFERROR(VLOOKUP($A734,[4]库存使用数据!$A:$M,13,0),0)+IFERROR(VLOOKUP($A734,[5]库存使用数据!$A:$M,13,0),0)</f>
        <v>0</v>
      </c>
    </row>
    <row r="735" spans="1:13">
      <c r="A735" s="6" t="s">
        <v>740</v>
      </c>
      <c r="B735" s="2">
        <f ca="1">IFERROR(VLOOKUP(A735,[1]库存使用数据!$A:$B,2,0),0)+IFERROR(VLOOKUP(A735,[2]库存使用数据!$A:$B,2,0),0)+IFERROR(VLOOKUP(,[3]库存使用数据!$A:$B,2,0),0)+IFERROR(VLOOKUP(A735,[4]库存使用数据!$A:$B,2,0),0)+IFERROR(VLOOKUP(A735,[5]库存使用数据!$A:$B,2,0),0)</f>
        <v>36</v>
      </c>
      <c r="C735" s="1">
        <f ca="1">IFERROR(VLOOKUP($A735,[1]库存使用数据!$A:$C,3,0),0)+IFERROR(VLOOKUP($A735,[2]库存使用数据!$A:$C,3,0),0)+IFERROR(VLOOKUP($A735,[3]库存使用数据!$A:$C,3,0),0)+IFERROR(VLOOKUP($A735,[4]库存使用数据!$A:$C,3,0),0)+IFERROR(VLOOKUP($A735,[5]库存使用数据!$A:$C,3,0),0)</f>
        <v>0</v>
      </c>
      <c r="D735" s="1">
        <f ca="1">IFERROR(VLOOKUP($A735,[1]库存使用数据!$A:$D,4,0),0)+IFERROR(VLOOKUP($A735,[2]库存使用数据!$A:$D,4,0),0)+公式!$B$1*IFERROR(VLOOKUP($A735,[3]库存使用数据!$A:$D,4,0),0)+IFERROR(VLOOKUP($A735,[4]库存使用数据!$A:$D,4,0),0)+IFERROR(VLOOKUP($A735,[5]库存使用数据!$A:$D,4,0),0)</f>
        <v>0</v>
      </c>
      <c r="E735" s="1">
        <f ca="1">IFERROR(VLOOKUP($A735,[1]库存使用数据!$A:$E,5,0),0)+IFERROR(VLOOKUP($A735,[2]库存使用数据!$A:$E,5,0),0)+IFERROR(VLOOKUP($A735,[3]库存使用数据!$A:$E,5,0),0)+IFERROR(VLOOKUP($A735,[4]库存使用数据!$A:$E,5,0),0)+IFERROR(VLOOKUP($A735,[5]库存使用数据!$A:$E,5,0),0)</f>
        <v>73</v>
      </c>
      <c r="F735" s="1">
        <f ca="1">IFERROR(VLOOKUP($A735,[1]库存使用数据!$A:$F,6,0),0)+IFERROR(VLOOKUP($A735,[2]库存使用数据!$A:$F,6,0),0)+IFERROR(VLOOKUP($A735,[4]库存使用数据!$A:$F,6,0),0)+IFERROR(VLOOKUP($A735,[3]库存使用数据!$A:$F,6,0),0)+IFERROR(VLOOKUP($A735,[5]库存使用数据!$A:$F,6,0),0)</f>
        <v>0</v>
      </c>
      <c r="G735" s="1">
        <f ca="1">IFERROR(VLOOKUP($A735,[1]库存使用数据!$A:$G,7,0),0)+IFERROR(VLOOKUP($A735,[2]库存使用数据!$A:$G,7,0),0)+公式!$B$14*IFERROR(VLOOKUP($A735,[3]库存使用数据!$A:$G,7,0),0)+IFERROR(VLOOKUP($A735,[4]库存使用数据!$A:$G,7,0),0)+IFERROR(VLOOKUP($A735,[5]库存使用数据!$A:$G,7,0),0)</f>
        <v>0</v>
      </c>
      <c r="H735" s="1">
        <f ca="1">IFERROR(VLOOKUP($A735,[1]库存使用数据!$A:$H,8,0),0)+IFERROR(VLOOKUP($A735,[2]库存使用数据!$A:$H,8,0),0)+IFERROR(VLOOKUP($A735,[3]库存使用数据!$A:$H,8,0),0)+IFERROR(VLOOKUP($A735,[4]库存使用数据!$A:$H,8,0),0)+IFERROR(VLOOKUP($A735,[5]库存使用数据!$A:$H,8,0),0)</f>
        <v>43</v>
      </c>
      <c r="I735" s="1">
        <f ca="1">IFERROR(VLOOKUP($A735,[1]库存使用数据!$A:$I,9,0),0)+IFERROR(VLOOKUP($A735,[2]库存使用数据!$A:$I,9,0),0)+IFERROR(VLOOKUP($A735,[3]库存使用数据!$A:$I,9,0),0)+IFERROR(VLOOKUP($A735,[4]库存使用数据!$A:$I,9,0),0)+IFERROR(VLOOKUP($A735,[5]库存使用数据!$A:$I,9,0),0)</f>
        <v>0</v>
      </c>
      <c r="J735" s="1">
        <f ca="1">IFERROR(VLOOKUP($A735,[1]库存使用数据!$A:$J,10,0),0)+IFERROR(VLOOKUP($A735,[2]库存使用数据!$A:$J,10,0),0)+公式!$B$14*IFERROR(VLOOKUP($A735,[3]库存使用数据!$A:$J,10,0),0)+IFERROR(VLOOKUP($A735,[4]库存使用数据!$A:$J,10,0),0)+IFERROR(VLOOKUP($A735,[5]库存使用数据!$A:$J,10,0),0)</f>
        <v>0</v>
      </c>
      <c r="K735" s="1">
        <f ca="1">IFERROR(VLOOKUP($A735,[1]库存使用数据!$A:$K,11,0),0)+IFERROR(VLOOKUP($A735,[2]库存使用数据!$A:$K,11,0),0)+IFERROR(VLOOKUP($A735,[3]库存使用数据!$A:$K,11,0),0)+IFERROR(VLOOKUP($A735,[4]库存使用数据!$A:$K,11,0),0)+IFERROR(VLOOKUP($A735,[5]库存使用数据!$A:$K,11,0),0)</f>
        <v>98</v>
      </c>
      <c r="L735" s="1">
        <f ca="1">IFERROR(VLOOKUP($A735,[1]库存使用数据!$A:$L,12,0),0)+IFERROR(VLOOKUP($A735,[2]库存使用数据!$A:$L,12,0),0)+IFERROR(VLOOKUP($A735,[3]库存使用数据!$A:$L,12,0),0)+IFERROR(VLOOKUP($A735,[4]库存使用数据!$A:$L,12,0),0)+IFERROR(VLOOKUP($A735,[5]库存使用数据!$A:$L,12,0),0)</f>
        <v>0</v>
      </c>
      <c r="M735" s="1">
        <f ca="1">IFERROR(VLOOKUP($A735,[1]库存使用数据!$A:$M,13,0),0)+IFERROR(VLOOKUP($A735,[2]库存使用数据!$A:$M,13,0),0)+公式!$B$14*IFERROR(VLOOKUP($A735,[3]库存使用数据!$A:$M,13,0),0)+IFERROR(VLOOKUP($A735,[4]库存使用数据!$A:$M,13,0),0)+IFERROR(VLOOKUP($A735,[5]库存使用数据!$A:$M,13,0),0)</f>
        <v>0</v>
      </c>
    </row>
    <row r="736" spans="1:13">
      <c r="A736" s="6" t="s">
        <v>741</v>
      </c>
      <c r="B736" s="2">
        <f ca="1">IFERROR(VLOOKUP(A736,[1]库存使用数据!$A:$B,2,0),0)+IFERROR(VLOOKUP(A736,[2]库存使用数据!$A:$B,2,0),0)+IFERROR(VLOOKUP(,[3]库存使用数据!$A:$B,2,0),0)+IFERROR(VLOOKUP(A736,[4]库存使用数据!$A:$B,2,0),0)+IFERROR(VLOOKUP(A736,[5]库存使用数据!$A:$B,2,0),0)</f>
        <v>54</v>
      </c>
      <c r="C736" s="1">
        <f ca="1">IFERROR(VLOOKUP($A736,[1]库存使用数据!$A:$C,3,0),0)+IFERROR(VLOOKUP($A736,[2]库存使用数据!$A:$C,3,0),0)+IFERROR(VLOOKUP($A736,[3]库存使用数据!$A:$C,3,0),0)+IFERROR(VLOOKUP($A736,[4]库存使用数据!$A:$C,3,0),0)+IFERROR(VLOOKUP($A736,[5]库存使用数据!$A:$C,3,0),0)</f>
        <v>0</v>
      </c>
      <c r="D736" s="1">
        <f ca="1">IFERROR(VLOOKUP($A736,[1]库存使用数据!$A:$D,4,0),0)+IFERROR(VLOOKUP($A736,[2]库存使用数据!$A:$D,4,0),0)+公式!$B$1*IFERROR(VLOOKUP($A736,[3]库存使用数据!$A:$D,4,0),0)+IFERROR(VLOOKUP($A736,[4]库存使用数据!$A:$D,4,0),0)+IFERROR(VLOOKUP($A736,[5]库存使用数据!$A:$D,4,0),0)</f>
        <v>0</v>
      </c>
      <c r="E736" s="1">
        <f ca="1">IFERROR(VLOOKUP($A736,[1]库存使用数据!$A:$E,5,0),0)+IFERROR(VLOOKUP($A736,[2]库存使用数据!$A:$E,5,0),0)+IFERROR(VLOOKUP($A736,[3]库存使用数据!$A:$E,5,0),0)+IFERROR(VLOOKUP($A736,[4]库存使用数据!$A:$E,5,0),0)+IFERROR(VLOOKUP($A736,[5]库存使用数据!$A:$E,5,0),0)</f>
        <v>141</v>
      </c>
      <c r="F736" s="1">
        <f ca="1">IFERROR(VLOOKUP($A736,[1]库存使用数据!$A:$F,6,0),0)+IFERROR(VLOOKUP($A736,[2]库存使用数据!$A:$F,6,0),0)+IFERROR(VLOOKUP($A736,[4]库存使用数据!$A:$F,6,0),0)+IFERROR(VLOOKUP($A736,[3]库存使用数据!$A:$F,6,0),0)+IFERROR(VLOOKUP($A736,[5]库存使用数据!$A:$F,6,0),0)</f>
        <v>0</v>
      </c>
      <c r="G736" s="1">
        <f ca="1">IFERROR(VLOOKUP($A736,[1]库存使用数据!$A:$G,7,0),0)+IFERROR(VLOOKUP($A736,[2]库存使用数据!$A:$G,7,0),0)+公式!$B$14*IFERROR(VLOOKUP($A736,[3]库存使用数据!$A:$G,7,0),0)+IFERROR(VLOOKUP($A736,[4]库存使用数据!$A:$G,7,0),0)+IFERROR(VLOOKUP($A736,[5]库存使用数据!$A:$G,7,0),0)</f>
        <v>0</v>
      </c>
      <c r="H736" s="1">
        <f ca="1">IFERROR(VLOOKUP($A736,[1]库存使用数据!$A:$H,8,0),0)+IFERROR(VLOOKUP($A736,[2]库存使用数据!$A:$H,8,0),0)+IFERROR(VLOOKUP($A736,[3]库存使用数据!$A:$H,8,0),0)+IFERROR(VLOOKUP($A736,[4]库存使用数据!$A:$H,8,0),0)+IFERROR(VLOOKUP($A736,[5]库存使用数据!$A:$H,8,0),0)</f>
        <v>73</v>
      </c>
      <c r="I736" s="1">
        <f ca="1">IFERROR(VLOOKUP($A736,[1]库存使用数据!$A:$I,9,0),0)+IFERROR(VLOOKUP($A736,[2]库存使用数据!$A:$I,9,0),0)+IFERROR(VLOOKUP($A736,[3]库存使用数据!$A:$I,9,0),0)+IFERROR(VLOOKUP($A736,[4]库存使用数据!$A:$I,9,0),0)+IFERROR(VLOOKUP($A736,[5]库存使用数据!$A:$I,9,0),0)</f>
        <v>0</v>
      </c>
      <c r="J736" s="1">
        <f ca="1">IFERROR(VLOOKUP($A736,[1]库存使用数据!$A:$J,10,0),0)+IFERROR(VLOOKUP($A736,[2]库存使用数据!$A:$J,10,0),0)+公式!$B$14*IFERROR(VLOOKUP($A736,[3]库存使用数据!$A:$J,10,0),0)+IFERROR(VLOOKUP($A736,[4]库存使用数据!$A:$J,10,0),0)+IFERROR(VLOOKUP($A736,[5]库存使用数据!$A:$J,10,0),0)</f>
        <v>0</v>
      </c>
      <c r="K736" s="1">
        <f ca="1">IFERROR(VLOOKUP($A736,[1]库存使用数据!$A:$K,11,0),0)+IFERROR(VLOOKUP($A736,[2]库存使用数据!$A:$K,11,0),0)+IFERROR(VLOOKUP($A736,[3]库存使用数据!$A:$K,11,0),0)+IFERROR(VLOOKUP($A736,[4]库存使用数据!$A:$K,11,0),0)+IFERROR(VLOOKUP($A736,[5]库存使用数据!$A:$K,11,0),0)</f>
        <v>82</v>
      </c>
      <c r="L736" s="1">
        <f ca="1">IFERROR(VLOOKUP($A736,[1]库存使用数据!$A:$L,12,0),0)+IFERROR(VLOOKUP($A736,[2]库存使用数据!$A:$L,12,0),0)+IFERROR(VLOOKUP($A736,[3]库存使用数据!$A:$L,12,0),0)+IFERROR(VLOOKUP($A736,[4]库存使用数据!$A:$L,12,0),0)+IFERROR(VLOOKUP($A736,[5]库存使用数据!$A:$L,12,0),0)</f>
        <v>0</v>
      </c>
      <c r="M736" s="1">
        <f ca="1">IFERROR(VLOOKUP($A736,[1]库存使用数据!$A:$M,13,0),0)+IFERROR(VLOOKUP($A736,[2]库存使用数据!$A:$M,13,0),0)+公式!$B$14*IFERROR(VLOOKUP($A736,[3]库存使用数据!$A:$M,13,0),0)+IFERROR(VLOOKUP($A736,[4]库存使用数据!$A:$M,13,0),0)+IFERROR(VLOOKUP($A736,[5]库存使用数据!$A:$M,13,0),0)</f>
        <v>0</v>
      </c>
    </row>
    <row r="737" spans="1:13">
      <c r="A737" s="6" t="s">
        <v>742</v>
      </c>
      <c r="B737" s="2">
        <f ca="1">IFERROR(VLOOKUP(A737,[1]库存使用数据!$A:$B,2,0),0)+IFERROR(VLOOKUP(A737,[2]库存使用数据!$A:$B,2,0),0)+IFERROR(VLOOKUP(,[3]库存使用数据!$A:$B,2,0),0)+IFERROR(VLOOKUP(A737,[4]库存使用数据!$A:$B,2,0),0)+IFERROR(VLOOKUP(A737,[5]库存使用数据!$A:$B,2,0),0)</f>
        <v>9</v>
      </c>
      <c r="C737" s="1">
        <f ca="1">IFERROR(VLOOKUP($A737,[1]库存使用数据!$A:$C,3,0),0)+IFERROR(VLOOKUP($A737,[2]库存使用数据!$A:$C,3,0),0)+IFERROR(VLOOKUP($A737,[3]库存使用数据!$A:$C,3,0),0)+IFERROR(VLOOKUP($A737,[4]库存使用数据!$A:$C,3,0),0)+IFERROR(VLOOKUP($A737,[5]库存使用数据!$A:$C,3,0),0)</f>
        <v>0</v>
      </c>
      <c r="D737" s="1">
        <f ca="1">IFERROR(VLOOKUP($A737,[1]库存使用数据!$A:$D,4,0),0)+IFERROR(VLOOKUP($A737,[2]库存使用数据!$A:$D,4,0),0)+公式!$B$1*IFERROR(VLOOKUP($A737,[3]库存使用数据!$A:$D,4,0),0)+IFERROR(VLOOKUP($A737,[4]库存使用数据!$A:$D,4,0),0)+IFERROR(VLOOKUP($A737,[5]库存使用数据!$A:$D,4,0),0)</f>
        <v>0</v>
      </c>
      <c r="E737" s="1">
        <f ca="1">IFERROR(VLOOKUP($A737,[1]库存使用数据!$A:$E,5,0),0)+IFERROR(VLOOKUP($A737,[2]库存使用数据!$A:$E,5,0),0)+IFERROR(VLOOKUP($A737,[3]库存使用数据!$A:$E,5,0),0)+IFERROR(VLOOKUP($A737,[4]库存使用数据!$A:$E,5,0),0)+IFERROR(VLOOKUP($A737,[5]库存使用数据!$A:$E,5,0),0)</f>
        <v>68</v>
      </c>
      <c r="F737" s="1">
        <f ca="1">IFERROR(VLOOKUP($A737,[1]库存使用数据!$A:$F,6,0),0)+IFERROR(VLOOKUP($A737,[2]库存使用数据!$A:$F,6,0),0)+IFERROR(VLOOKUP($A737,[4]库存使用数据!$A:$F,6,0),0)+IFERROR(VLOOKUP($A737,[3]库存使用数据!$A:$F,6,0),0)+IFERROR(VLOOKUP($A737,[5]库存使用数据!$A:$F,6,0),0)</f>
        <v>0</v>
      </c>
      <c r="G737" s="1">
        <f ca="1">IFERROR(VLOOKUP($A737,[1]库存使用数据!$A:$G,7,0),0)+IFERROR(VLOOKUP($A737,[2]库存使用数据!$A:$G,7,0),0)+公式!$B$14*IFERROR(VLOOKUP($A737,[3]库存使用数据!$A:$G,7,0),0)+IFERROR(VLOOKUP($A737,[4]库存使用数据!$A:$G,7,0),0)+IFERROR(VLOOKUP($A737,[5]库存使用数据!$A:$G,7,0),0)</f>
        <v>0</v>
      </c>
      <c r="H737" s="1">
        <f ca="1">IFERROR(VLOOKUP($A737,[1]库存使用数据!$A:$H,8,0),0)+IFERROR(VLOOKUP($A737,[2]库存使用数据!$A:$H,8,0),0)+IFERROR(VLOOKUP($A737,[3]库存使用数据!$A:$H,8,0),0)+IFERROR(VLOOKUP($A737,[4]库存使用数据!$A:$H,8,0),0)+IFERROR(VLOOKUP($A737,[5]库存使用数据!$A:$H,8,0),0)</f>
        <v>21</v>
      </c>
      <c r="I737" s="1">
        <f ca="1">IFERROR(VLOOKUP($A737,[1]库存使用数据!$A:$I,9,0),0)+IFERROR(VLOOKUP($A737,[2]库存使用数据!$A:$I,9,0),0)+IFERROR(VLOOKUP($A737,[3]库存使用数据!$A:$I,9,0),0)+IFERROR(VLOOKUP($A737,[4]库存使用数据!$A:$I,9,0),0)+IFERROR(VLOOKUP($A737,[5]库存使用数据!$A:$I,9,0),0)</f>
        <v>0</v>
      </c>
      <c r="J737" s="1">
        <f ca="1">IFERROR(VLOOKUP($A737,[1]库存使用数据!$A:$J,10,0),0)+IFERROR(VLOOKUP($A737,[2]库存使用数据!$A:$J,10,0),0)+公式!$B$14*IFERROR(VLOOKUP($A737,[3]库存使用数据!$A:$J,10,0),0)+IFERROR(VLOOKUP($A737,[4]库存使用数据!$A:$J,10,0),0)+IFERROR(VLOOKUP($A737,[5]库存使用数据!$A:$J,10,0),0)</f>
        <v>0</v>
      </c>
      <c r="K737" s="1">
        <f ca="1">IFERROR(VLOOKUP($A737,[1]库存使用数据!$A:$K,11,0),0)+IFERROR(VLOOKUP($A737,[2]库存使用数据!$A:$K,11,0),0)+IFERROR(VLOOKUP($A737,[3]库存使用数据!$A:$K,11,0),0)+IFERROR(VLOOKUP($A737,[4]库存使用数据!$A:$K,11,0),0)+IFERROR(VLOOKUP($A737,[5]库存使用数据!$A:$K,11,0),0)</f>
        <v>89</v>
      </c>
      <c r="L737" s="1">
        <f ca="1">IFERROR(VLOOKUP($A737,[1]库存使用数据!$A:$L,12,0),0)+IFERROR(VLOOKUP($A737,[2]库存使用数据!$A:$L,12,0),0)+IFERROR(VLOOKUP($A737,[3]库存使用数据!$A:$L,12,0),0)+IFERROR(VLOOKUP($A737,[4]库存使用数据!$A:$L,12,0),0)+IFERROR(VLOOKUP($A737,[5]库存使用数据!$A:$L,12,0),0)</f>
        <v>0</v>
      </c>
      <c r="M737" s="1">
        <f ca="1">IFERROR(VLOOKUP($A737,[1]库存使用数据!$A:$M,13,0),0)+IFERROR(VLOOKUP($A737,[2]库存使用数据!$A:$M,13,0),0)+公式!$B$14*IFERROR(VLOOKUP($A737,[3]库存使用数据!$A:$M,13,0),0)+IFERROR(VLOOKUP($A737,[4]库存使用数据!$A:$M,13,0),0)+IFERROR(VLOOKUP($A737,[5]库存使用数据!$A:$M,13,0),0)</f>
        <v>0</v>
      </c>
    </row>
    <row r="738" spans="1:13">
      <c r="A738" s="6" t="s">
        <v>743</v>
      </c>
      <c r="B738" s="2">
        <f ca="1">IFERROR(VLOOKUP(A738,[1]库存使用数据!$A:$B,2,0),0)+IFERROR(VLOOKUP(A738,[2]库存使用数据!$A:$B,2,0),0)+IFERROR(VLOOKUP(,[3]库存使用数据!$A:$B,2,0),0)+IFERROR(VLOOKUP(A738,[4]库存使用数据!$A:$B,2,0),0)+IFERROR(VLOOKUP(A738,[5]库存使用数据!$A:$B,2,0),0)</f>
        <v>34</v>
      </c>
      <c r="C738" s="1">
        <f ca="1">IFERROR(VLOOKUP($A738,[1]库存使用数据!$A:$C,3,0),0)+IFERROR(VLOOKUP($A738,[2]库存使用数据!$A:$C,3,0),0)+IFERROR(VLOOKUP($A738,[3]库存使用数据!$A:$C,3,0),0)+IFERROR(VLOOKUP($A738,[4]库存使用数据!$A:$C,3,0),0)+IFERROR(VLOOKUP($A738,[5]库存使用数据!$A:$C,3,0),0)</f>
        <v>0</v>
      </c>
      <c r="D738" s="1">
        <f ca="1">IFERROR(VLOOKUP($A738,[1]库存使用数据!$A:$D,4,0),0)+IFERROR(VLOOKUP($A738,[2]库存使用数据!$A:$D,4,0),0)+公式!$B$1*IFERROR(VLOOKUP($A738,[3]库存使用数据!$A:$D,4,0),0)+IFERROR(VLOOKUP($A738,[4]库存使用数据!$A:$D,4,0),0)+IFERROR(VLOOKUP($A738,[5]库存使用数据!$A:$D,4,0),0)</f>
        <v>0</v>
      </c>
      <c r="E738" s="1">
        <f ca="1">IFERROR(VLOOKUP($A738,[1]库存使用数据!$A:$E,5,0),0)+IFERROR(VLOOKUP($A738,[2]库存使用数据!$A:$E,5,0),0)+IFERROR(VLOOKUP($A738,[3]库存使用数据!$A:$E,5,0),0)+IFERROR(VLOOKUP($A738,[4]库存使用数据!$A:$E,5,0),0)+IFERROR(VLOOKUP($A738,[5]库存使用数据!$A:$E,5,0),0)</f>
        <v>85</v>
      </c>
      <c r="F738" s="1">
        <f ca="1">IFERROR(VLOOKUP($A738,[1]库存使用数据!$A:$F,6,0),0)+IFERROR(VLOOKUP($A738,[2]库存使用数据!$A:$F,6,0),0)+IFERROR(VLOOKUP($A738,[4]库存使用数据!$A:$F,6,0),0)+IFERROR(VLOOKUP($A738,[3]库存使用数据!$A:$F,6,0),0)+IFERROR(VLOOKUP($A738,[5]库存使用数据!$A:$F,6,0),0)</f>
        <v>0</v>
      </c>
      <c r="G738" s="1">
        <f ca="1">IFERROR(VLOOKUP($A738,[1]库存使用数据!$A:$G,7,0),0)+IFERROR(VLOOKUP($A738,[2]库存使用数据!$A:$G,7,0),0)+公式!$B$14*IFERROR(VLOOKUP($A738,[3]库存使用数据!$A:$G,7,0),0)+IFERROR(VLOOKUP($A738,[4]库存使用数据!$A:$G,7,0),0)+IFERROR(VLOOKUP($A738,[5]库存使用数据!$A:$G,7,0),0)</f>
        <v>0</v>
      </c>
      <c r="H738" s="1">
        <f ca="1">IFERROR(VLOOKUP($A738,[1]库存使用数据!$A:$H,8,0),0)+IFERROR(VLOOKUP($A738,[2]库存使用数据!$A:$H,8,0),0)+IFERROR(VLOOKUP($A738,[3]库存使用数据!$A:$H,8,0),0)+IFERROR(VLOOKUP($A738,[4]库存使用数据!$A:$H,8,0),0)+IFERROR(VLOOKUP($A738,[5]库存使用数据!$A:$H,8,0),0)</f>
        <v>42</v>
      </c>
      <c r="I738" s="1">
        <f ca="1">IFERROR(VLOOKUP($A738,[1]库存使用数据!$A:$I,9,0),0)+IFERROR(VLOOKUP($A738,[2]库存使用数据!$A:$I,9,0),0)+IFERROR(VLOOKUP($A738,[3]库存使用数据!$A:$I,9,0),0)+IFERROR(VLOOKUP($A738,[4]库存使用数据!$A:$I,9,0),0)+IFERROR(VLOOKUP($A738,[5]库存使用数据!$A:$I,9,0),0)</f>
        <v>0</v>
      </c>
      <c r="J738" s="1">
        <f ca="1">IFERROR(VLOOKUP($A738,[1]库存使用数据!$A:$J,10,0),0)+IFERROR(VLOOKUP($A738,[2]库存使用数据!$A:$J,10,0),0)+公式!$B$14*IFERROR(VLOOKUP($A738,[3]库存使用数据!$A:$J,10,0),0)+IFERROR(VLOOKUP($A738,[4]库存使用数据!$A:$J,10,0),0)+IFERROR(VLOOKUP($A738,[5]库存使用数据!$A:$J,10,0),0)</f>
        <v>0</v>
      </c>
      <c r="K738" s="1">
        <f ca="1">IFERROR(VLOOKUP($A738,[1]库存使用数据!$A:$K,11,0),0)+IFERROR(VLOOKUP($A738,[2]库存使用数据!$A:$K,11,0),0)+IFERROR(VLOOKUP($A738,[3]库存使用数据!$A:$K,11,0),0)+IFERROR(VLOOKUP($A738,[4]库存使用数据!$A:$K,11,0),0)+IFERROR(VLOOKUP($A738,[5]库存使用数据!$A:$K,11,0),0)</f>
        <v>167</v>
      </c>
      <c r="L738" s="1">
        <f ca="1">IFERROR(VLOOKUP($A738,[1]库存使用数据!$A:$L,12,0),0)+IFERROR(VLOOKUP($A738,[2]库存使用数据!$A:$L,12,0),0)+IFERROR(VLOOKUP($A738,[3]库存使用数据!$A:$L,12,0),0)+IFERROR(VLOOKUP($A738,[4]库存使用数据!$A:$L,12,0),0)+IFERROR(VLOOKUP($A738,[5]库存使用数据!$A:$L,12,0),0)</f>
        <v>0</v>
      </c>
      <c r="M738" s="1">
        <f ca="1">IFERROR(VLOOKUP($A738,[1]库存使用数据!$A:$M,13,0),0)+IFERROR(VLOOKUP($A738,[2]库存使用数据!$A:$M,13,0),0)+公式!$B$14*IFERROR(VLOOKUP($A738,[3]库存使用数据!$A:$M,13,0),0)+IFERROR(VLOOKUP($A738,[4]库存使用数据!$A:$M,13,0),0)+IFERROR(VLOOKUP($A738,[5]库存使用数据!$A:$M,13,0),0)</f>
        <v>0</v>
      </c>
    </row>
    <row r="739" spans="1:13">
      <c r="A739" s="6" t="s">
        <v>744</v>
      </c>
      <c r="B739" s="2">
        <f ca="1">IFERROR(VLOOKUP(A739,[1]库存使用数据!$A:$B,2,0),0)+IFERROR(VLOOKUP(A739,[2]库存使用数据!$A:$B,2,0),0)+IFERROR(VLOOKUP(,[3]库存使用数据!$A:$B,2,0),0)+IFERROR(VLOOKUP(A739,[4]库存使用数据!$A:$B,2,0),0)+IFERROR(VLOOKUP(A739,[5]库存使用数据!$A:$B,2,0),0)</f>
        <v>101</v>
      </c>
      <c r="C739" s="1">
        <f ca="1">IFERROR(VLOOKUP($A739,[1]库存使用数据!$A:$C,3,0),0)+IFERROR(VLOOKUP($A739,[2]库存使用数据!$A:$C,3,0),0)+IFERROR(VLOOKUP($A739,[3]库存使用数据!$A:$C,3,0),0)+IFERROR(VLOOKUP($A739,[4]库存使用数据!$A:$C,3,0),0)+IFERROR(VLOOKUP($A739,[5]库存使用数据!$A:$C,3,0),0)</f>
        <v>0</v>
      </c>
      <c r="D739" s="1">
        <f ca="1">IFERROR(VLOOKUP($A739,[1]库存使用数据!$A:$D,4,0),0)+IFERROR(VLOOKUP($A739,[2]库存使用数据!$A:$D,4,0),0)+公式!$B$1*IFERROR(VLOOKUP($A739,[3]库存使用数据!$A:$D,4,0),0)+IFERROR(VLOOKUP($A739,[4]库存使用数据!$A:$D,4,0),0)+IFERROR(VLOOKUP($A739,[5]库存使用数据!$A:$D,4,0),0)</f>
        <v>0</v>
      </c>
      <c r="E739" s="1">
        <f ca="1">IFERROR(VLOOKUP($A739,[1]库存使用数据!$A:$E,5,0),0)+IFERROR(VLOOKUP($A739,[2]库存使用数据!$A:$E,5,0),0)+IFERROR(VLOOKUP($A739,[3]库存使用数据!$A:$E,5,0),0)+IFERROR(VLOOKUP($A739,[4]库存使用数据!$A:$E,5,0),0)+IFERROR(VLOOKUP($A739,[5]库存使用数据!$A:$E,5,0),0)</f>
        <v>215</v>
      </c>
      <c r="F739" s="1">
        <f ca="1">IFERROR(VLOOKUP($A739,[1]库存使用数据!$A:$F,6,0),0)+IFERROR(VLOOKUP($A739,[2]库存使用数据!$A:$F,6,0),0)+IFERROR(VLOOKUP($A739,[4]库存使用数据!$A:$F,6,0),0)+IFERROR(VLOOKUP($A739,[3]库存使用数据!$A:$F,6,0),0)+IFERROR(VLOOKUP($A739,[5]库存使用数据!$A:$F,6,0),0)</f>
        <v>0</v>
      </c>
      <c r="G739" s="1">
        <f ca="1">IFERROR(VLOOKUP($A739,[1]库存使用数据!$A:$G,7,0),0)+IFERROR(VLOOKUP($A739,[2]库存使用数据!$A:$G,7,0),0)+公式!$B$14*IFERROR(VLOOKUP($A739,[3]库存使用数据!$A:$G,7,0),0)+IFERROR(VLOOKUP($A739,[4]库存使用数据!$A:$G,7,0),0)+IFERROR(VLOOKUP($A739,[5]库存使用数据!$A:$G,7,0),0)</f>
        <v>0</v>
      </c>
      <c r="H739" s="1">
        <f ca="1">IFERROR(VLOOKUP($A739,[1]库存使用数据!$A:$H,8,0),0)+IFERROR(VLOOKUP($A739,[2]库存使用数据!$A:$H,8,0),0)+IFERROR(VLOOKUP($A739,[3]库存使用数据!$A:$H,8,0),0)+IFERROR(VLOOKUP($A739,[4]库存使用数据!$A:$H,8,0),0)+IFERROR(VLOOKUP($A739,[5]库存使用数据!$A:$H,8,0),0)</f>
        <v>76</v>
      </c>
      <c r="I739" s="1">
        <f ca="1">IFERROR(VLOOKUP($A739,[1]库存使用数据!$A:$I,9,0),0)+IFERROR(VLOOKUP($A739,[2]库存使用数据!$A:$I,9,0),0)+IFERROR(VLOOKUP($A739,[3]库存使用数据!$A:$I,9,0),0)+IFERROR(VLOOKUP($A739,[4]库存使用数据!$A:$I,9,0),0)+IFERROR(VLOOKUP($A739,[5]库存使用数据!$A:$I,9,0),0)</f>
        <v>0</v>
      </c>
      <c r="J739" s="1">
        <f ca="1">IFERROR(VLOOKUP($A739,[1]库存使用数据!$A:$J,10,0),0)+IFERROR(VLOOKUP($A739,[2]库存使用数据!$A:$J,10,0),0)+公式!$B$14*IFERROR(VLOOKUP($A739,[3]库存使用数据!$A:$J,10,0),0)+IFERROR(VLOOKUP($A739,[4]库存使用数据!$A:$J,10,0),0)+IFERROR(VLOOKUP($A739,[5]库存使用数据!$A:$J,10,0),0)</f>
        <v>0</v>
      </c>
      <c r="K739" s="1">
        <f ca="1">IFERROR(VLOOKUP($A739,[1]库存使用数据!$A:$K,11,0),0)+IFERROR(VLOOKUP($A739,[2]库存使用数据!$A:$K,11,0),0)+IFERROR(VLOOKUP($A739,[3]库存使用数据!$A:$K,11,0),0)+IFERROR(VLOOKUP($A739,[4]库存使用数据!$A:$K,11,0),0)+IFERROR(VLOOKUP($A739,[5]库存使用数据!$A:$K,11,0),0)</f>
        <v>82</v>
      </c>
      <c r="L739" s="1">
        <f ca="1">IFERROR(VLOOKUP($A739,[1]库存使用数据!$A:$L,12,0),0)+IFERROR(VLOOKUP($A739,[2]库存使用数据!$A:$L,12,0),0)+IFERROR(VLOOKUP($A739,[3]库存使用数据!$A:$L,12,0),0)+IFERROR(VLOOKUP($A739,[4]库存使用数据!$A:$L,12,0),0)+IFERROR(VLOOKUP($A739,[5]库存使用数据!$A:$L,12,0),0)</f>
        <v>0</v>
      </c>
      <c r="M739" s="1">
        <f ca="1">IFERROR(VLOOKUP($A739,[1]库存使用数据!$A:$M,13,0),0)+IFERROR(VLOOKUP($A739,[2]库存使用数据!$A:$M,13,0),0)+公式!$B$14*IFERROR(VLOOKUP($A739,[3]库存使用数据!$A:$M,13,0),0)+IFERROR(VLOOKUP($A739,[4]库存使用数据!$A:$M,13,0),0)+IFERROR(VLOOKUP($A739,[5]库存使用数据!$A:$M,13,0),0)</f>
        <v>0</v>
      </c>
    </row>
    <row r="740" spans="1:13">
      <c r="A740" s="6" t="s">
        <v>745</v>
      </c>
      <c r="B740" s="2">
        <f ca="1">IFERROR(VLOOKUP(A740,[1]库存使用数据!$A:$B,2,0),0)+IFERROR(VLOOKUP(A740,[2]库存使用数据!$A:$B,2,0),0)+IFERROR(VLOOKUP(,[3]库存使用数据!$A:$B,2,0),0)+IFERROR(VLOOKUP(A740,[4]库存使用数据!$A:$B,2,0),0)+IFERROR(VLOOKUP(A740,[5]库存使用数据!$A:$B,2,0),0)</f>
        <v>130</v>
      </c>
      <c r="C740" s="1">
        <f ca="1">IFERROR(VLOOKUP($A740,[1]库存使用数据!$A:$C,3,0),0)+IFERROR(VLOOKUP($A740,[2]库存使用数据!$A:$C,3,0),0)+IFERROR(VLOOKUP($A740,[3]库存使用数据!$A:$C,3,0),0)+IFERROR(VLOOKUP($A740,[4]库存使用数据!$A:$C,3,0),0)+IFERROR(VLOOKUP($A740,[5]库存使用数据!$A:$C,3,0),0)</f>
        <v>0</v>
      </c>
      <c r="D740" s="1">
        <f ca="1">IFERROR(VLOOKUP($A740,[1]库存使用数据!$A:$D,4,0),0)+IFERROR(VLOOKUP($A740,[2]库存使用数据!$A:$D,4,0),0)+公式!$B$1*IFERROR(VLOOKUP($A740,[3]库存使用数据!$A:$D,4,0),0)+IFERROR(VLOOKUP($A740,[4]库存使用数据!$A:$D,4,0),0)+IFERROR(VLOOKUP($A740,[5]库存使用数据!$A:$D,4,0),0)</f>
        <v>0</v>
      </c>
      <c r="E740" s="1">
        <f ca="1">IFERROR(VLOOKUP($A740,[1]库存使用数据!$A:$E,5,0),0)+IFERROR(VLOOKUP($A740,[2]库存使用数据!$A:$E,5,0),0)+IFERROR(VLOOKUP($A740,[3]库存使用数据!$A:$E,5,0),0)+IFERROR(VLOOKUP($A740,[4]库存使用数据!$A:$E,5,0),0)+IFERROR(VLOOKUP($A740,[5]库存使用数据!$A:$E,5,0),0)</f>
        <v>76</v>
      </c>
      <c r="F740" s="1">
        <f ca="1">IFERROR(VLOOKUP($A740,[1]库存使用数据!$A:$F,6,0),0)+IFERROR(VLOOKUP($A740,[2]库存使用数据!$A:$F,6,0),0)+IFERROR(VLOOKUP($A740,[4]库存使用数据!$A:$F,6,0),0)+IFERROR(VLOOKUP($A740,[3]库存使用数据!$A:$F,6,0),0)+IFERROR(VLOOKUP($A740,[5]库存使用数据!$A:$F,6,0),0)</f>
        <v>0</v>
      </c>
      <c r="G740" s="1">
        <f ca="1">IFERROR(VLOOKUP($A740,[1]库存使用数据!$A:$G,7,0),0)+IFERROR(VLOOKUP($A740,[2]库存使用数据!$A:$G,7,0),0)+公式!$B$14*IFERROR(VLOOKUP($A740,[3]库存使用数据!$A:$G,7,0),0)+IFERROR(VLOOKUP($A740,[4]库存使用数据!$A:$G,7,0),0)+IFERROR(VLOOKUP($A740,[5]库存使用数据!$A:$G,7,0),0)</f>
        <v>0</v>
      </c>
      <c r="H740" s="1">
        <f ca="1">IFERROR(VLOOKUP($A740,[1]库存使用数据!$A:$H,8,0),0)+IFERROR(VLOOKUP($A740,[2]库存使用数据!$A:$H,8,0),0)+IFERROR(VLOOKUP($A740,[3]库存使用数据!$A:$H,8,0),0)+IFERROR(VLOOKUP($A740,[4]库存使用数据!$A:$H,8,0),0)+IFERROR(VLOOKUP($A740,[5]库存使用数据!$A:$H,8,0),0)</f>
        <v>46</v>
      </c>
      <c r="I740" s="1">
        <f ca="1">IFERROR(VLOOKUP($A740,[1]库存使用数据!$A:$I,9,0),0)+IFERROR(VLOOKUP($A740,[2]库存使用数据!$A:$I,9,0),0)+IFERROR(VLOOKUP($A740,[3]库存使用数据!$A:$I,9,0),0)+IFERROR(VLOOKUP($A740,[4]库存使用数据!$A:$I,9,0),0)+IFERROR(VLOOKUP($A740,[5]库存使用数据!$A:$I,9,0),0)</f>
        <v>0</v>
      </c>
      <c r="J740" s="1">
        <f ca="1">IFERROR(VLOOKUP($A740,[1]库存使用数据!$A:$J,10,0),0)+IFERROR(VLOOKUP($A740,[2]库存使用数据!$A:$J,10,0),0)+公式!$B$14*IFERROR(VLOOKUP($A740,[3]库存使用数据!$A:$J,10,0),0)+IFERROR(VLOOKUP($A740,[4]库存使用数据!$A:$J,10,0),0)+IFERROR(VLOOKUP($A740,[5]库存使用数据!$A:$J,10,0),0)</f>
        <v>0</v>
      </c>
      <c r="K740" s="1">
        <f ca="1">IFERROR(VLOOKUP($A740,[1]库存使用数据!$A:$K,11,0),0)+IFERROR(VLOOKUP($A740,[2]库存使用数据!$A:$K,11,0),0)+IFERROR(VLOOKUP($A740,[3]库存使用数据!$A:$K,11,0),0)+IFERROR(VLOOKUP($A740,[4]库存使用数据!$A:$K,11,0),0)+IFERROR(VLOOKUP($A740,[5]库存使用数据!$A:$K,11,0),0)</f>
        <v>112</v>
      </c>
      <c r="L740" s="1">
        <f ca="1">IFERROR(VLOOKUP($A740,[1]库存使用数据!$A:$L,12,0),0)+IFERROR(VLOOKUP($A740,[2]库存使用数据!$A:$L,12,0),0)+IFERROR(VLOOKUP($A740,[3]库存使用数据!$A:$L,12,0),0)+IFERROR(VLOOKUP($A740,[4]库存使用数据!$A:$L,12,0),0)+IFERROR(VLOOKUP($A740,[5]库存使用数据!$A:$L,12,0),0)</f>
        <v>0</v>
      </c>
      <c r="M740" s="1">
        <f ca="1">IFERROR(VLOOKUP($A740,[1]库存使用数据!$A:$M,13,0),0)+IFERROR(VLOOKUP($A740,[2]库存使用数据!$A:$M,13,0),0)+公式!$B$14*IFERROR(VLOOKUP($A740,[3]库存使用数据!$A:$M,13,0),0)+IFERROR(VLOOKUP($A740,[4]库存使用数据!$A:$M,13,0),0)+IFERROR(VLOOKUP($A740,[5]库存使用数据!$A:$M,13,0),0)</f>
        <v>0</v>
      </c>
    </row>
    <row r="741" spans="1:13">
      <c r="A741" s="6" t="s">
        <v>746</v>
      </c>
      <c r="B741" s="2">
        <f ca="1">IFERROR(VLOOKUP(A741,[1]库存使用数据!$A:$B,2,0),0)+IFERROR(VLOOKUP(A741,[2]库存使用数据!$A:$B,2,0),0)+IFERROR(VLOOKUP(,[3]库存使用数据!$A:$B,2,0),0)+IFERROR(VLOOKUP(A741,[4]库存使用数据!$A:$B,2,0),0)+IFERROR(VLOOKUP(A741,[5]库存使用数据!$A:$B,2,0),0)</f>
        <v>95</v>
      </c>
      <c r="C741" s="1">
        <f ca="1">IFERROR(VLOOKUP($A741,[1]库存使用数据!$A:$C,3,0),0)+IFERROR(VLOOKUP($A741,[2]库存使用数据!$A:$C,3,0),0)+IFERROR(VLOOKUP($A741,[3]库存使用数据!$A:$C,3,0),0)+IFERROR(VLOOKUP($A741,[4]库存使用数据!$A:$C,3,0),0)+IFERROR(VLOOKUP($A741,[5]库存使用数据!$A:$C,3,0),0)</f>
        <v>0</v>
      </c>
      <c r="D741" s="1">
        <f ca="1">IFERROR(VLOOKUP($A741,[1]库存使用数据!$A:$D,4,0),0)+IFERROR(VLOOKUP($A741,[2]库存使用数据!$A:$D,4,0),0)+公式!$B$1*IFERROR(VLOOKUP($A741,[3]库存使用数据!$A:$D,4,0),0)+IFERROR(VLOOKUP($A741,[4]库存使用数据!$A:$D,4,0),0)+IFERROR(VLOOKUP($A741,[5]库存使用数据!$A:$D,4,0),0)</f>
        <v>0</v>
      </c>
      <c r="E741" s="1">
        <f ca="1">IFERROR(VLOOKUP($A741,[1]库存使用数据!$A:$E,5,0),0)+IFERROR(VLOOKUP($A741,[2]库存使用数据!$A:$E,5,0),0)+IFERROR(VLOOKUP($A741,[3]库存使用数据!$A:$E,5,0),0)+IFERROR(VLOOKUP($A741,[4]库存使用数据!$A:$E,5,0),0)+IFERROR(VLOOKUP($A741,[5]库存使用数据!$A:$E,5,0),0)</f>
        <v>239</v>
      </c>
      <c r="F741" s="1">
        <f ca="1">IFERROR(VLOOKUP($A741,[1]库存使用数据!$A:$F,6,0),0)+IFERROR(VLOOKUP($A741,[2]库存使用数据!$A:$F,6,0),0)+IFERROR(VLOOKUP($A741,[4]库存使用数据!$A:$F,6,0),0)+IFERROR(VLOOKUP($A741,[3]库存使用数据!$A:$F,6,0),0)+IFERROR(VLOOKUP($A741,[5]库存使用数据!$A:$F,6,0),0)</f>
        <v>0</v>
      </c>
      <c r="G741" s="1">
        <f ca="1">IFERROR(VLOOKUP($A741,[1]库存使用数据!$A:$G,7,0),0)+IFERROR(VLOOKUP($A741,[2]库存使用数据!$A:$G,7,0),0)+公式!$B$14*IFERROR(VLOOKUP($A741,[3]库存使用数据!$A:$G,7,0),0)+IFERROR(VLOOKUP($A741,[4]库存使用数据!$A:$G,7,0),0)+IFERROR(VLOOKUP($A741,[5]库存使用数据!$A:$G,7,0),0)</f>
        <v>0</v>
      </c>
      <c r="H741" s="1">
        <f ca="1">IFERROR(VLOOKUP($A741,[1]库存使用数据!$A:$H,8,0),0)+IFERROR(VLOOKUP($A741,[2]库存使用数据!$A:$H,8,0),0)+IFERROR(VLOOKUP($A741,[3]库存使用数据!$A:$H,8,0),0)+IFERROR(VLOOKUP($A741,[4]库存使用数据!$A:$H,8,0),0)+IFERROR(VLOOKUP($A741,[5]库存使用数据!$A:$H,8,0),0)</f>
        <v>43</v>
      </c>
      <c r="I741" s="1">
        <f ca="1">IFERROR(VLOOKUP($A741,[1]库存使用数据!$A:$I,9,0),0)+IFERROR(VLOOKUP($A741,[2]库存使用数据!$A:$I,9,0),0)+IFERROR(VLOOKUP($A741,[3]库存使用数据!$A:$I,9,0),0)+IFERROR(VLOOKUP($A741,[4]库存使用数据!$A:$I,9,0),0)+IFERROR(VLOOKUP($A741,[5]库存使用数据!$A:$I,9,0),0)</f>
        <v>0</v>
      </c>
      <c r="J741" s="1">
        <f ca="1">IFERROR(VLOOKUP($A741,[1]库存使用数据!$A:$J,10,0),0)+IFERROR(VLOOKUP($A741,[2]库存使用数据!$A:$J,10,0),0)+公式!$B$14*IFERROR(VLOOKUP($A741,[3]库存使用数据!$A:$J,10,0),0)+IFERROR(VLOOKUP($A741,[4]库存使用数据!$A:$J,10,0),0)+IFERROR(VLOOKUP($A741,[5]库存使用数据!$A:$J,10,0),0)</f>
        <v>0</v>
      </c>
      <c r="K741" s="1">
        <f ca="1">IFERROR(VLOOKUP($A741,[1]库存使用数据!$A:$K,11,0),0)+IFERROR(VLOOKUP($A741,[2]库存使用数据!$A:$K,11,0),0)+IFERROR(VLOOKUP($A741,[3]库存使用数据!$A:$K,11,0),0)+IFERROR(VLOOKUP($A741,[4]库存使用数据!$A:$K,11,0),0)+IFERROR(VLOOKUP($A741,[5]库存使用数据!$A:$K,11,0),0)</f>
        <v>48</v>
      </c>
      <c r="L741" s="1">
        <f ca="1">IFERROR(VLOOKUP($A741,[1]库存使用数据!$A:$L,12,0),0)+IFERROR(VLOOKUP($A741,[2]库存使用数据!$A:$L,12,0),0)+IFERROR(VLOOKUP($A741,[3]库存使用数据!$A:$L,12,0),0)+IFERROR(VLOOKUP($A741,[4]库存使用数据!$A:$L,12,0),0)+IFERROR(VLOOKUP($A741,[5]库存使用数据!$A:$L,12,0),0)</f>
        <v>1</v>
      </c>
      <c r="M741" s="1">
        <f ca="1">IFERROR(VLOOKUP($A741,[1]库存使用数据!$A:$M,13,0),0)+IFERROR(VLOOKUP($A741,[2]库存使用数据!$A:$M,13,0),0)+公式!$B$14*IFERROR(VLOOKUP($A741,[3]库存使用数据!$A:$M,13,0),0)+IFERROR(VLOOKUP($A741,[4]库存使用数据!$A:$M,13,0),0)+IFERROR(VLOOKUP($A741,[5]库存使用数据!$A:$M,13,0),0)</f>
        <v>0.22</v>
      </c>
    </row>
    <row r="742" spans="1:13">
      <c r="A742" s="6" t="s">
        <v>747</v>
      </c>
      <c r="B742" s="2">
        <f ca="1">IFERROR(VLOOKUP(A742,[1]库存使用数据!$A:$B,2,0),0)+IFERROR(VLOOKUP(A742,[2]库存使用数据!$A:$B,2,0),0)+IFERROR(VLOOKUP(,[3]库存使用数据!$A:$B,2,0),0)+IFERROR(VLOOKUP(A742,[4]库存使用数据!$A:$B,2,0),0)+IFERROR(VLOOKUP(A742,[5]库存使用数据!$A:$B,2,0),0)</f>
        <v>0</v>
      </c>
      <c r="C742" s="1">
        <f ca="1">IFERROR(VLOOKUP($A742,[1]库存使用数据!$A:$C,3,0),0)+IFERROR(VLOOKUP($A742,[2]库存使用数据!$A:$C,3,0),0)+IFERROR(VLOOKUP($A742,[3]库存使用数据!$A:$C,3,0),0)+IFERROR(VLOOKUP($A742,[4]库存使用数据!$A:$C,3,0),0)+IFERROR(VLOOKUP($A742,[5]库存使用数据!$A:$C,3,0),0)</f>
        <v>0</v>
      </c>
      <c r="D742" s="1">
        <f ca="1">IFERROR(VLOOKUP($A742,[1]库存使用数据!$A:$D,4,0),0)+IFERROR(VLOOKUP($A742,[2]库存使用数据!$A:$D,4,0),0)+公式!$B$1*IFERROR(VLOOKUP($A742,[3]库存使用数据!$A:$D,4,0),0)+IFERROR(VLOOKUP($A742,[4]库存使用数据!$A:$D,4,0),0)+IFERROR(VLOOKUP($A742,[5]库存使用数据!$A:$D,4,0),0)</f>
        <v>0</v>
      </c>
      <c r="E742" s="1">
        <f ca="1">IFERROR(VLOOKUP($A742,[1]库存使用数据!$A:$E,5,0),0)+IFERROR(VLOOKUP($A742,[2]库存使用数据!$A:$E,5,0),0)+IFERROR(VLOOKUP($A742,[3]库存使用数据!$A:$E,5,0),0)+IFERROR(VLOOKUP($A742,[4]库存使用数据!$A:$E,5,0),0)+IFERROR(VLOOKUP($A742,[5]库存使用数据!$A:$E,5,0),0)</f>
        <v>0</v>
      </c>
      <c r="F742" s="1">
        <f ca="1">IFERROR(VLOOKUP($A742,[1]库存使用数据!$A:$F,6,0),0)+IFERROR(VLOOKUP($A742,[2]库存使用数据!$A:$F,6,0),0)+IFERROR(VLOOKUP($A742,[4]库存使用数据!$A:$F,6,0),0)+IFERROR(VLOOKUP($A742,[3]库存使用数据!$A:$F,6,0),0)+IFERROR(VLOOKUP($A742,[5]库存使用数据!$A:$F,6,0),0)</f>
        <v>0</v>
      </c>
      <c r="G742" s="1">
        <f ca="1">IFERROR(VLOOKUP($A742,[1]库存使用数据!$A:$G,7,0),0)+IFERROR(VLOOKUP($A742,[2]库存使用数据!$A:$G,7,0),0)+公式!$B$14*IFERROR(VLOOKUP($A742,[3]库存使用数据!$A:$G,7,0),0)+IFERROR(VLOOKUP($A742,[4]库存使用数据!$A:$G,7,0),0)+IFERROR(VLOOKUP($A742,[5]库存使用数据!$A:$G,7,0),0)</f>
        <v>0</v>
      </c>
      <c r="H742" s="1">
        <f ca="1">IFERROR(VLOOKUP($A742,[1]库存使用数据!$A:$H,8,0),0)+IFERROR(VLOOKUP($A742,[2]库存使用数据!$A:$H,8,0),0)+IFERROR(VLOOKUP($A742,[3]库存使用数据!$A:$H,8,0),0)+IFERROR(VLOOKUP($A742,[4]库存使用数据!$A:$H,8,0),0)+IFERROR(VLOOKUP($A742,[5]库存使用数据!$A:$H,8,0),0)</f>
        <v>0</v>
      </c>
      <c r="I742" s="1">
        <f ca="1">IFERROR(VLOOKUP($A742,[1]库存使用数据!$A:$I,9,0),0)+IFERROR(VLOOKUP($A742,[2]库存使用数据!$A:$I,9,0),0)+IFERROR(VLOOKUP($A742,[3]库存使用数据!$A:$I,9,0),0)+IFERROR(VLOOKUP($A742,[4]库存使用数据!$A:$I,9,0),0)+IFERROR(VLOOKUP($A742,[5]库存使用数据!$A:$I,9,0),0)</f>
        <v>0</v>
      </c>
      <c r="J742" s="1">
        <f ca="1">IFERROR(VLOOKUP($A742,[1]库存使用数据!$A:$J,10,0),0)+IFERROR(VLOOKUP($A742,[2]库存使用数据!$A:$J,10,0),0)+公式!$B$14*IFERROR(VLOOKUP($A742,[3]库存使用数据!$A:$J,10,0),0)+IFERROR(VLOOKUP($A742,[4]库存使用数据!$A:$J,10,0),0)+IFERROR(VLOOKUP($A742,[5]库存使用数据!$A:$J,10,0),0)</f>
        <v>0</v>
      </c>
      <c r="K742" s="1">
        <f ca="1">IFERROR(VLOOKUP($A742,[1]库存使用数据!$A:$K,11,0),0)+IFERROR(VLOOKUP($A742,[2]库存使用数据!$A:$K,11,0),0)+IFERROR(VLOOKUP($A742,[3]库存使用数据!$A:$K,11,0),0)+IFERROR(VLOOKUP($A742,[4]库存使用数据!$A:$K,11,0),0)+IFERROR(VLOOKUP($A742,[5]库存使用数据!$A:$K,11,0),0)</f>
        <v>3</v>
      </c>
      <c r="L742" s="1">
        <f ca="1">IFERROR(VLOOKUP($A742,[1]库存使用数据!$A:$L,12,0),0)+IFERROR(VLOOKUP($A742,[2]库存使用数据!$A:$L,12,0),0)+IFERROR(VLOOKUP($A742,[3]库存使用数据!$A:$L,12,0),0)+IFERROR(VLOOKUP($A742,[4]库存使用数据!$A:$L,12,0),0)+IFERROR(VLOOKUP($A742,[5]库存使用数据!$A:$L,12,0),0)</f>
        <v>0</v>
      </c>
      <c r="M742" s="1">
        <f ca="1">IFERROR(VLOOKUP($A742,[1]库存使用数据!$A:$M,13,0),0)+IFERROR(VLOOKUP($A742,[2]库存使用数据!$A:$M,13,0),0)+公式!$B$14*IFERROR(VLOOKUP($A742,[3]库存使用数据!$A:$M,13,0),0)+IFERROR(VLOOKUP($A742,[4]库存使用数据!$A:$M,13,0),0)+IFERROR(VLOOKUP($A742,[5]库存使用数据!$A:$M,13,0),0)</f>
        <v>0</v>
      </c>
    </row>
    <row r="743" spans="1:13">
      <c r="A743" s="6" t="s">
        <v>748</v>
      </c>
      <c r="B743" s="2">
        <f ca="1">IFERROR(VLOOKUP(A743,[1]库存使用数据!$A:$B,2,0),0)+IFERROR(VLOOKUP(A743,[2]库存使用数据!$A:$B,2,0),0)+IFERROR(VLOOKUP(,[3]库存使用数据!$A:$B,2,0),0)+IFERROR(VLOOKUP(A743,[4]库存使用数据!$A:$B,2,0),0)+IFERROR(VLOOKUP(A743,[5]库存使用数据!$A:$B,2,0),0)</f>
        <v>14</v>
      </c>
      <c r="C743" s="1">
        <f ca="1">IFERROR(VLOOKUP($A743,[1]库存使用数据!$A:$C,3,0),0)+IFERROR(VLOOKUP($A743,[2]库存使用数据!$A:$C,3,0),0)+IFERROR(VLOOKUP($A743,[3]库存使用数据!$A:$C,3,0),0)+IFERROR(VLOOKUP($A743,[4]库存使用数据!$A:$C,3,0),0)+IFERROR(VLOOKUP($A743,[5]库存使用数据!$A:$C,3,0),0)</f>
        <v>0</v>
      </c>
      <c r="D743" s="1">
        <f ca="1">IFERROR(VLOOKUP($A743,[1]库存使用数据!$A:$D,4,0),0)+IFERROR(VLOOKUP($A743,[2]库存使用数据!$A:$D,4,0),0)+公式!$B$1*IFERROR(VLOOKUP($A743,[3]库存使用数据!$A:$D,4,0),0)+IFERROR(VLOOKUP($A743,[4]库存使用数据!$A:$D,4,0),0)+IFERROR(VLOOKUP($A743,[5]库存使用数据!$A:$D,4,0),0)</f>
        <v>0</v>
      </c>
      <c r="E743" s="1">
        <f ca="1">IFERROR(VLOOKUP($A743,[1]库存使用数据!$A:$E,5,0),0)+IFERROR(VLOOKUP($A743,[2]库存使用数据!$A:$E,5,0),0)+IFERROR(VLOOKUP($A743,[3]库存使用数据!$A:$E,5,0),0)+IFERROR(VLOOKUP($A743,[4]库存使用数据!$A:$E,5,0),0)+IFERROR(VLOOKUP($A743,[5]库存使用数据!$A:$E,5,0),0)</f>
        <v>30</v>
      </c>
      <c r="F743" s="1">
        <f ca="1">IFERROR(VLOOKUP($A743,[1]库存使用数据!$A:$F,6,0),0)+IFERROR(VLOOKUP($A743,[2]库存使用数据!$A:$F,6,0),0)+IFERROR(VLOOKUP($A743,[4]库存使用数据!$A:$F,6,0),0)+IFERROR(VLOOKUP($A743,[3]库存使用数据!$A:$F,6,0),0)+IFERROR(VLOOKUP($A743,[5]库存使用数据!$A:$F,6,0),0)</f>
        <v>0</v>
      </c>
      <c r="G743" s="1">
        <f ca="1">IFERROR(VLOOKUP($A743,[1]库存使用数据!$A:$G,7,0),0)+IFERROR(VLOOKUP($A743,[2]库存使用数据!$A:$G,7,0),0)+公式!$B$14*IFERROR(VLOOKUP($A743,[3]库存使用数据!$A:$G,7,0),0)+IFERROR(VLOOKUP($A743,[4]库存使用数据!$A:$G,7,0),0)+IFERROR(VLOOKUP($A743,[5]库存使用数据!$A:$G,7,0),0)</f>
        <v>0</v>
      </c>
      <c r="H743" s="1">
        <f ca="1">IFERROR(VLOOKUP($A743,[1]库存使用数据!$A:$H,8,0),0)+IFERROR(VLOOKUP($A743,[2]库存使用数据!$A:$H,8,0),0)+IFERROR(VLOOKUP($A743,[3]库存使用数据!$A:$H,8,0),0)+IFERROR(VLOOKUP($A743,[4]库存使用数据!$A:$H,8,0),0)+IFERROR(VLOOKUP($A743,[5]库存使用数据!$A:$H,8,0),0)</f>
        <v>18</v>
      </c>
      <c r="I743" s="1">
        <f ca="1">IFERROR(VLOOKUP($A743,[1]库存使用数据!$A:$I,9,0),0)+IFERROR(VLOOKUP($A743,[2]库存使用数据!$A:$I,9,0),0)+IFERROR(VLOOKUP($A743,[3]库存使用数据!$A:$I,9,0),0)+IFERROR(VLOOKUP($A743,[4]库存使用数据!$A:$I,9,0),0)+IFERROR(VLOOKUP($A743,[5]库存使用数据!$A:$I,9,0),0)</f>
        <v>0</v>
      </c>
      <c r="J743" s="1">
        <f ca="1">IFERROR(VLOOKUP($A743,[1]库存使用数据!$A:$J,10,0),0)+IFERROR(VLOOKUP($A743,[2]库存使用数据!$A:$J,10,0),0)+公式!$B$14*IFERROR(VLOOKUP($A743,[3]库存使用数据!$A:$J,10,0),0)+IFERROR(VLOOKUP($A743,[4]库存使用数据!$A:$J,10,0),0)+IFERROR(VLOOKUP($A743,[5]库存使用数据!$A:$J,10,0),0)</f>
        <v>0</v>
      </c>
      <c r="K743" s="1">
        <f ca="1">IFERROR(VLOOKUP($A743,[1]库存使用数据!$A:$K,11,0),0)+IFERROR(VLOOKUP($A743,[2]库存使用数据!$A:$K,11,0),0)+IFERROR(VLOOKUP($A743,[3]库存使用数据!$A:$K,11,0),0)+IFERROR(VLOOKUP($A743,[4]库存使用数据!$A:$K,11,0),0)+IFERROR(VLOOKUP($A743,[5]库存使用数据!$A:$K,11,0),0)</f>
        <v>19</v>
      </c>
      <c r="L743" s="1">
        <f ca="1">IFERROR(VLOOKUP($A743,[1]库存使用数据!$A:$L,12,0),0)+IFERROR(VLOOKUP($A743,[2]库存使用数据!$A:$L,12,0),0)+IFERROR(VLOOKUP($A743,[3]库存使用数据!$A:$L,12,0),0)+IFERROR(VLOOKUP($A743,[4]库存使用数据!$A:$L,12,0),0)+IFERROR(VLOOKUP($A743,[5]库存使用数据!$A:$L,12,0),0)</f>
        <v>0</v>
      </c>
      <c r="M743" s="1">
        <f ca="1">IFERROR(VLOOKUP($A743,[1]库存使用数据!$A:$M,13,0),0)+IFERROR(VLOOKUP($A743,[2]库存使用数据!$A:$M,13,0),0)+公式!$B$14*IFERROR(VLOOKUP($A743,[3]库存使用数据!$A:$M,13,0),0)+IFERROR(VLOOKUP($A743,[4]库存使用数据!$A:$M,13,0),0)+IFERROR(VLOOKUP($A743,[5]库存使用数据!$A:$M,13,0),0)</f>
        <v>0</v>
      </c>
    </row>
    <row r="744" spans="1:13">
      <c r="A744" s="6" t="s">
        <v>749</v>
      </c>
      <c r="B744" s="2">
        <f ca="1">IFERROR(VLOOKUP(A744,[1]库存使用数据!$A:$B,2,0),0)+IFERROR(VLOOKUP(A744,[2]库存使用数据!$A:$B,2,0),0)+IFERROR(VLOOKUP(,[3]库存使用数据!$A:$B,2,0),0)+IFERROR(VLOOKUP(A744,[4]库存使用数据!$A:$B,2,0),0)+IFERROR(VLOOKUP(A744,[5]库存使用数据!$A:$B,2,0),0)</f>
        <v>26</v>
      </c>
      <c r="C744" s="1">
        <f ca="1">IFERROR(VLOOKUP($A744,[1]库存使用数据!$A:$C,3,0),0)+IFERROR(VLOOKUP($A744,[2]库存使用数据!$A:$C,3,0),0)+IFERROR(VLOOKUP($A744,[3]库存使用数据!$A:$C,3,0),0)+IFERROR(VLOOKUP($A744,[4]库存使用数据!$A:$C,3,0),0)+IFERROR(VLOOKUP($A744,[5]库存使用数据!$A:$C,3,0),0)</f>
        <v>0</v>
      </c>
      <c r="D744" s="1">
        <f ca="1">IFERROR(VLOOKUP($A744,[1]库存使用数据!$A:$D,4,0),0)+IFERROR(VLOOKUP($A744,[2]库存使用数据!$A:$D,4,0),0)+公式!$B$1*IFERROR(VLOOKUP($A744,[3]库存使用数据!$A:$D,4,0),0)+IFERROR(VLOOKUP($A744,[4]库存使用数据!$A:$D,4,0),0)+IFERROR(VLOOKUP($A744,[5]库存使用数据!$A:$D,4,0),0)</f>
        <v>0</v>
      </c>
      <c r="E744" s="1">
        <f ca="1">IFERROR(VLOOKUP($A744,[1]库存使用数据!$A:$E,5,0),0)+IFERROR(VLOOKUP($A744,[2]库存使用数据!$A:$E,5,0),0)+IFERROR(VLOOKUP($A744,[3]库存使用数据!$A:$E,5,0),0)+IFERROR(VLOOKUP($A744,[4]库存使用数据!$A:$E,5,0),0)+IFERROR(VLOOKUP($A744,[5]库存使用数据!$A:$E,5,0),0)</f>
        <v>44</v>
      </c>
      <c r="F744" s="1">
        <f ca="1">IFERROR(VLOOKUP($A744,[1]库存使用数据!$A:$F,6,0),0)+IFERROR(VLOOKUP($A744,[2]库存使用数据!$A:$F,6,0),0)+IFERROR(VLOOKUP($A744,[4]库存使用数据!$A:$F,6,0),0)+IFERROR(VLOOKUP($A744,[3]库存使用数据!$A:$F,6,0),0)+IFERROR(VLOOKUP($A744,[5]库存使用数据!$A:$F,6,0),0)</f>
        <v>1</v>
      </c>
      <c r="G744" s="1">
        <f ca="1">IFERROR(VLOOKUP($A744,[1]库存使用数据!$A:$G,7,0),0)+IFERROR(VLOOKUP($A744,[2]库存使用数据!$A:$G,7,0),0)+公式!$B$14*IFERROR(VLOOKUP($A744,[3]库存使用数据!$A:$G,7,0),0)+IFERROR(VLOOKUP($A744,[4]库存使用数据!$A:$G,7,0),0)+IFERROR(VLOOKUP($A744,[5]库存使用数据!$A:$G,7,0),0)</f>
        <v>0.11</v>
      </c>
      <c r="H744" s="1">
        <f ca="1">IFERROR(VLOOKUP($A744,[1]库存使用数据!$A:$H,8,0),0)+IFERROR(VLOOKUP($A744,[2]库存使用数据!$A:$H,8,0),0)+IFERROR(VLOOKUP($A744,[3]库存使用数据!$A:$H,8,0),0)+IFERROR(VLOOKUP($A744,[4]库存使用数据!$A:$H,8,0),0)+IFERROR(VLOOKUP($A744,[5]库存使用数据!$A:$H,8,0),0)</f>
        <v>21</v>
      </c>
      <c r="I744" s="1">
        <f ca="1">IFERROR(VLOOKUP($A744,[1]库存使用数据!$A:$I,9,0),0)+IFERROR(VLOOKUP($A744,[2]库存使用数据!$A:$I,9,0),0)+IFERROR(VLOOKUP($A744,[3]库存使用数据!$A:$I,9,0),0)+IFERROR(VLOOKUP($A744,[4]库存使用数据!$A:$I,9,0),0)+IFERROR(VLOOKUP($A744,[5]库存使用数据!$A:$I,9,0),0)</f>
        <v>0</v>
      </c>
      <c r="J744" s="1">
        <f ca="1">IFERROR(VLOOKUP($A744,[1]库存使用数据!$A:$J,10,0),0)+IFERROR(VLOOKUP($A744,[2]库存使用数据!$A:$J,10,0),0)+公式!$B$14*IFERROR(VLOOKUP($A744,[3]库存使用数据!$A:$J,10,0),0)+IFERROR(VLOOKUP($A744,[4]库存使用数据!$A:$J,10,0),0)+IFERROR(VLOOKUP($A744,[5]库存使用数据!$A:$J,10,0),0)</f>
        <v>0</v>
      </c>
      <c r="K744" s="1">
        <f ca="1">IFERROR(VLOOKUP($A744,[1]库存使用数据!$A:$K,11,0),0)+IFERROR(VLOOKUP($A744,[2]库存使用数据!$A:$K,11,0),0)+IFERROR(VLOOKUP($A744,[3]库存使用数据!$A:$K,11,0),0)+IFERROR(VLOOKUP($A744,[4]库存使用数据!$A:$K,11,0),0)+IFERROR(VLOOKUP($A744,[5]库存使用数据!$A:$K,11,0),0)</f>
        <v>42</v>
      </c>
      <c r="L744" s="1">
        <f ca="1">IFERROR(VLOOKUP($A744,[1]库存使用数据!$A:$L,12,0),0)+IFERROR(VLOOKUP($A744,[2]库存使用数据!$A:$L,12,0),0)+IFERROR(VLOOKUP($A744,[3]库存使用数据!$A:$L,12,0),0)+IFERROR(VLOOKUP($A744,[4]库存使用数据!$A:$L,12,0),0)+IFERROR(VLOOKUP($A744,[5]库存使用数据!$A:$L,12,0),0)</f>
        <v>1</v>
      </c>
      <c r="M744" s="1">
        <f ca="1">IFERROR(VLOOKUP($A744,[1]库存使用数据!$A:$M,13,0),0)+IFERROR(VLOOKUP($A744,[2]库存使用数据!$A:$M,13,0),0)+公式!$B$14*IFERROR(VLOOKUP($A744,[3]库存使用数据!$A:$M,13,0),0)+IFERROR(VLOOKUP($A744,[4]库存使用数据!$A:$M,13,0),0)+IFERROR(VLOOKUP($A744,[5]库存使用数据!$A:$M,13,0),0)</f>
        <v>0.15</v>
      </c>
    </row>
    <row r="745" spans="1:13">
      <c r="A745" s="6" t="s">
        <v>750</v>
      </c>
      <c r="B745" s="2">
        <f ca="1">IFERROR(VLOOKUP(A745,[1]库存使用数据!$A:$B,2,0),0)+IFERROR(VLOOKUP(A745,[2]库存使用数据!$A:$B,2,0),0)+IFERROR(VLOOKUP(,[3]库存使用数据!$A:$B,2,0),0)+IFERROR(VLOOKUP(A745,[4]库存使用数据!$A:$B,2,0),0)+IFERROR(VLOOKUP(A745,[5]库存使用数据!$A:$B,2,0),0)</f>
        <v>0</v>
      </c>
      <c r="C745" s="1">
        <f ca="1">IFERROR(VLOOKUP($A745,[1]库存使用数据!$A:$C,3,0),0)+IFERROR(VLOOKUP($A745,[2]库存使用数据!$A:$C,3,0),0)+IFERROR(VLOOKUP($A745,[3]库存使用数据!$A:$C,3,0),0)+IFERROR(VLOOKUP($A745,[4]库存使用数据!$A:$C,3,0),0)+IFERROR(VLOOKUP($A745,[5]库存使用数据!$A:$C,3,0),0)</f>
        <v>0</v>
      </c>
      <c r="D745" s="1">
        <f ca="1">IFERROR(VLOOKUP($A745,[1]库存使用数据!$A:$D,4,0),0)+IFERROR(VLOOKUP($A745,[2]库存使用数据!$A:$D,4,0),0)+公式!$B$1*IFERROR(VLOOKUP($A745,[3]库存使用数据!$A:$D,4,0),0)+IFERROR(VLOOKUP($A745,[4]库存使用数据!$A:$D,4,0),0)+IFERROR(VLOOKUP($A745,[5]库存使用数据!$A:$D,4,0),0)</f>
        <v>0</v>
      </c>
      <c r="E745" s="1">
        <f ca="1">IFERROR(VLOOKUP($A745,[1]库存使用数据!$A:$E,5,0),0)+IFERROR(VLOOKUP($A745,[2]库存使用数据!$A:$E,5,0),0)+IFERROR(VLOOKUP($A745,[3]库存使用数据!$A:$E,5,0),0)+IFERROR(VLOOKUP($A745,[4]库存使用数据!$A:$E,5,0),0)+IFERROR(VLOOKUP($A745,[5]库存使用数据!$A:$E,5,0),0)</f>
        <v>49</v>
      </c>
      <c r="F745" s="1">
        <f ca="1">IFERROR(VLOOKUP($A745,[1]库存使用数据!$A:$F,6,0),0)+IFERROR(VLOOKUP($A745,[2]库存使用数据!$A:$F,6,0),0)+IFERROR(VLOOKUP($A745,[4]库存使用数据!$A:$F,6,0),0)+IFERROR(VLOOKUP($A745,[3]库存使用数据!$A:$F,6,0),0)+IFERROR(VLOOKUP($A745,[5]库存使用数据!$A:$F,6,0),0)</f>
        <v>0</v>
      </c>
      <c r="G745" s="1">
        <f ca="1">IFERROR(VLOOKUP($A745,[1]库存使用数据!$A:$G,7,0),0)+IFERROR(VLOOKUP($A745,[2]库存使用数据!$A:$G,7,0),0)+公式!$B$14*IFERROR(VLOOKUP($A745,[3]库存使用数据!$A:$G,7,0),0)+IFERROR(VLOOKUP($A745,[4]库存使用数据!$A:$G,7,0),0)+IFERROR(VLOOKUP($A745,[5]库存使用数据!$A:$G,7,0),0)</f>
        <v>0</v>
      </c>
      <c r="H745" s="1">
        <f ca="1">IFERROR(VLOOKUP($A745,[1]库存使用数据!$A:$H,8,0),0)+IFERROR(VLOOKUP($A745,[2]库存使用数据!$A:$H,8,0),0)+IFERROR(VLOOKUP($A745,[3]库存使用数据!$A:$H,8,0),0)+IFERROR(VLOOKUP($A745,[4]库存使用数据!$A:$H,8,0),0)+IFERROR(VLOOKUP($A745,[5]库存使用数据!$A:$H,8,0),0)</f>
        <v>33</v>
      </c>
      <c r="I745" s="1">
        <f ca="1">IFERROR(VLOOKUP($A745,[1]库存使用数据!$A:$I,9,0),0)+IFERROR(VLOOKUP($A745,[2]库存使用数据!$A:$I,9,0),0)+IFERROR(VLOOKUP($A745,[3]库存使用数据!$A:$I,9,0),0)+IFERROR(VLOOKUP($A745,[4]库存使用数据!$A:$I,9,0),0)+IFERROR(VLOOKUP($A745,[5]库存使用数据!$A:$I,9,0),0)</f>
        <v>0</v>
      </c>
      <c r="J745" s="1">
        <f ca="1">IFERROR(VLOOKUP($A745,[1]库存使用数据!$A:$J,10,0),0)+IFERROR(VLOOKUP($A745,[2]库存使用数据!$A:$J,10,0),0)+公式!$B$14*IFERROR(VLOOKUP($A745,[3]库存使用数据!$A:$J,10,0),0)+IFERROR(VLOOKUP($A745,[4]库存使用数据!$A:$J,10,0),0)+IFERROR(VLOOKUP($A745,[5]库存使用数据!$A:$J,10,0),0)</f>
        <v>0</v>
      </c>
      <c r="K745" s="1">
        <f ca="1">IFERROR(VLOOKUP($A745,[1]库存使用数据!$A:$K,11,0),0)+IFERROR(VLOOKUP($A745,[2]库存使用数据!$A:$K,11,0),0)+IFERROR(VLOOKUP($A745,[3]库存使用数据!$A:$K,11,0),0)+IFERROR(VLOOKUP($A745,[4]库存使用数据!$A:$K,11,0),0)+IFERROR(VLOOKUP($A745,[5]库存使用数据!$A:$K,11,0),0)</f>
        <v>24</v>
      </c>
      <c r="L745" s="1">
        <f ca="1">IFERROR(VLOOKUP($A745,[1]库存使用数据!$A:$L,12,0),0)+IFERROR(VLOOKUP($A745,[2]库存使用数据!$A:$L,12,0),0)+IFERROR(VLOOKUP($A745,[3]库存使用数据!$A:$L,12,0),0)+IFERROR(VLOOKUP($A745,[4]库存使用数据!$A:$L,12,0),0)+IFERROR(VLOOKUP($A745,[5]库存使用数据!$A:$L,12,0),0)</f>
        <v>0</v>
      </c>
      <c r="M745" s="1">
        <f ca="1">IFERROR(VLOOKUP($A745,[1]库存使用数据!$A:$M,13,0),0)+IFERROR(VLOOKUP($A745,[2]库存使用数据!$A:$M,13,0),0)+公式!$B$14*IFERROR(VLOOKUP($A745,[3]库存使用数据!$A:$M,13,0),0)+IFERROR(VLOOKUP($A745,[4]库存使用数据!$A:$M,13,0),0)+IFERROR(VLOOKUP($A745,[5]库存使用数据!$A:$M,13,0),0)</f>
        <v>0</v>
      </c>
    </row>
    <row r="746" spans="1:13">
      <c r="A746" s="6" t="s">
        <v>751</v>
      </c>
      <c r="B746" s="2">
        <f ca="1">IFERROR(VLOOKUP(A746,[1]库存使用数据!$A:$B,2,0),0)+IFERROR(VLOOKUP(A746,[2]库存使用数据!$A:$B,2,0),0)+IFERROR(VLOOKUP(,[3]库存使用数据!$A:$B,2,0),0)+IFERROR(VLOOKUP(A746,[4]库存使用数据!$A:$B,2,0),0)+IFERROR(VLOOKUP(A746,[5]库存使用数据!$A:$B,2,0),0)</f>
        <v>11</v>
      </c>
      <c r="C746" s="1">
        <f ca="1">IFERROR(VLOOKUP($A746,[1]库存使用数据!$A:$C,3,0),0)+IFERROR(VLOOKUP($A746,[2]库存使用数据!$A:$C,3,0),0)+IFERROR(VLOOKUP($A746,[3]库存使用数据!$A:$C,3,0),0)+IFERROR(VLOOKUP($A746,[4]库存使用数据!$A:$C,3,0),0)+IFERROR(VLOOKUP($A746,[5]库存使用数据!$A:$C,3,0),0)</f>
        <v>0</v>
      </c>
      <c r="D746" s="1">
        <f ca="1">IFERROR(VLOOKUP($A746,[1]库存使用数据!$A:$D,4,0),0)+IFERROR(VLOOKUP($A746,[2]库存使用数据!$A:$D,4,0),0)+公式!$B$1*IFERROR(VLOOKUP($A746,[3]库存使用数据!$A:$D,4,0),0)+IFERROR(VLOOKUP($A746,[4]库存使用数据!$A:$D,4,0),0)+IFERROR(VLOOKUP($A746,[5]库存使用数据!$A:$D,4,0),0)</f>
        <v>0</v>
      </c>
      <c r="E746" s="1">
        <f ca="1">IFERROR(VLOOKUP($A746,[1]库存使用数据!$A:$E,5,0),0)+IFERROR(VLOOKUP($A746,[2]库存使用数据!$A:$E,5,0),0)+IFERROR(VLOOKUP($A746,[3]库存使用数据!$A:$E,5,0),0)+IFERROR(VLOOKUP($A746,[4]库存使用数据!$A:$E,5,0),0)+IFERROR(VLOOKUP($A746,[5]库存使用数据!$A:$E,5,0),0)</f>
        <v>8</v>
      </c>
      <c r="F746" s="1">
        <f ca="1">IFERROR(VLOOKUP($A746,[1]库存使用数据!$A:$F,6,0),0)+IFERROR(VLOOKUP($A746,[2]库存使用数据!$A:$F,6,0),0)+IFERROR(VLOOKUP($A746,[4]库存使用数据!$A:$F,6,0),0)+IFERROR(VLOOKUP($A746,[3]库存使用数据!$A:$F,6,0),0)+IFERROR(VLOOKUP($A746,[5]库存使用数据!$A:$F,6,0),0)</f>
        <v>0</v>
      </c>
      <c r="G746" s="1">
        <f ca="1">IFERROR(VLOOKUP($A746,[1]库存使用数据!$A:$G,7,0),0)+IFERROR(VLOOKUP($A746,[2]库存使用数据!$A:$G,7,0),0)+公式!$B$14*IFERROR(VLOOKUP($A746,[3]库存使用数据!$A:$G,7,0),0)+IFERROR(VLOOKUP($A746,[4]库存使用数据!$A:$G,7,0),0)+IFERROR(VLOOKUP($A746,[5]库存使用数据!$A:$G,7,0),0)</f>
        <v>0</v>
      </c>
      <c r="H746" s="1">
        <f ca="1">IFERROR(VLOOKUP($A746,[1]库存使用数据!$A:$H,8,0),0)+IFERROR(VLOOKUP($A746,[2]库存使用数据!$A:$H,8,0),0)+IFERROR(VLOOKUP($A746,[3]库存使用数据!$A:$H,8,0),0)+IFERROR(VLOOKUP($A746,[4]库存使用数据!$A:$H,8,0),0)+IFERROR(VLOOKUP($A746,[5]库存使用数据!$A:$H,8,0),0)</f>
        <v>4</v>
      </c>
      <c r="I746" s="1">
        <f ca="1">IFERROR(VLOOKUP($A746,[1]库存使用数据!$A:$I,9,0),0)+IFERROR(VLOOKUP($A746,[2]库存使用数据!$A:$I,9,0),0)+IFERROR(VLOOKUP($A746,[3]库存使用数据!$A:$I,9,0),0)+IFERROR(VLOOKUP($A746,[4]库存使用数据!$A:$I,9,0),0)+IFERROR(VLOOKUP($A746,[5]库存使用数据!$A:$I,9,0),0)</f>
        <v>0</v>
      </c>
      <c r="J746" s="1">
        <f ca="1">IFERROR(VLOOKUP($A746,[1]库存使用数据!$A:$J,10,0),0)+IFERROR(VLOOKUP($A746,[2]库存使用数据!$A:$J,10,0),0)+公式!$B$14*IFERROR(VLOOKUP($A746,[3]库存使用数据!$A:$J,10,0),0)+IFERROR(VLOOKUP($A746,[4]库存使用数据!$A:$J,10,0),0)+IFERROR(VLOOKUP($A746,[5]库存使用数据!$A:$J,10,0),0)</f>
        <v>0</v>
      </c>
      <c r="K746" s="1">
        <f ca="1">IFERROR(VLOOKUP($A746,[1]库存使用数据!$A:$K,11,0),0)+IFERROR(VLOOKUP($A746,[2]库存使用数据!$A:$K,11,0),0)+IFERROR(VLOOKUP($A746,[3]库存使用数据!$A:$K,11,0),0)+IFERROR(VLOOKUP($A746,[4]库存使用数据!$A:$K,11,0),0)+IFERROR(VLOOKUP($A746,[5]库存使用数据!$A:$K,11,0),0)</f>
        <v>33</v>
      </c>
      <c r="L746" s="1">
        <f ca="1">IFERROR(VLOOKUP($A746,[1]库存使用数据!$A:$L,12,0),0)+IFERROR(VLOOKUP($A746,[2]库存使用数据!$A:$L,12,0),0)+IFERROR(VLOOKUP($A746,[3]库存使用数据!$A:$L,12,0),0)+IFERROR(VLOOKUP($A746,[4]库存使用数据!$A:$L,12,0),0)+IFERROR(VLOOKUP($A746,[5]库存使用数据!$A:$L,12,0),0)</f>
        <v>0</v>
      </c>
      <c r="M746" s="1">
        <f ca="1">IFERROR(VLOOKUP($A746,[1]库存使用数据!$A:$M,13,0),0)+IFERROR(VLOOKUP($A746,[2]库存使用数据!$A:$M,13,0),0)+公式!$B$14*IFERROR(VLOOKUP($A746,[3]库存使用数据!$A:$M,13,0),0)+IFERROR(VLOOKUP($A746,[4]库存使用数据!$A:$M,13,0),0)+IFERROR(VLOOKUP($A746,[5]库存使用数据!$A:$M,13,0),0)</f>
        <v>0</v>
      </c>
    </row>
    <row r="747" spans="1:13">
      <c r="A747" s="6" t="s">
        <v>752</v>
      </c>
      <c r="B747" s="2">
        <f ca="1">IFERROR(VLOOKUP(A747,[1]库存使用数据!$A:$B,2,0),0)+IFERROR(VLOOKUP(A747,[2]库存使用数据!$A:$B,2,0),0)+IFERROR(VLOOKUP(,[3]库存使用数据!$A:$B,2,0),0)+IFERROR(VLOOKUP(A747,[4]库存使用数据!$A:$B,2,0),0)+IFERROR(VLOOKUP(A747,[5]库存使用数据!$A:$B,2,0),0)</f>
        <v>77</v>
      </c>
      <c r="C747" s="1">
        <f ca="1">IFERROR(VLOOKUP($A747,[1]库存使用数据!$A:$C,3,0),0)+IFERROR(VLOOKUP($A747,[2]库存使用数据!$A:$C,3,0),0)+IFERROR(VLOOKUP($A747,[3]库存使用数据!$A:$C,3,0),0)+IFERROR(VLOOKUP($A747,[4]库存使用数据!$A:$C,3,0),0)+IFERROR(VLOOKUP($A747,[5]库存使用数据!$A:$C,3,0),0)</f>
        <v>0</v>
      </c>
      <c r="D747" s="1">
        <f ca="1">IFERROR(VLOOKUP($A747,[1]库存使用数据!$A:$D,4,0),0)+IFERROR(VLOOKUP($A747,[2]库存使用数据!$A:$D,4,0),0)+公式!$B$1*IFERROR(VLOOKUP($A747,[3]库存使用数据!$A:$D,4,0),0)+IFERROR(VLOOKUP($A747,[4]库存使用数据!$A:$D,4,0),0)+IFERROR(VLOOKUP($A747,[5]库存使用数据!$A:$D,4,0),0)</f>
        <v>0</v>
      </c>
      <c r="E747" s="1">
        <f ca="1">IFERROR(VLOOKUP($A747,[1]库存使用数据!$A:$E,5,0),0)+IFERROR(VLOOKUP($A747,[2]库存使用数据!$A:$E,5,0),0)+IFERROR(VLOOKUP($A747,[3]库存使用数据!$A:$E,5,0),0)+IFERROR(VLOOKUP($A747,[4]库存使用数据!$A:$E,5,0),0)+IFERROR(VLOOKUP($A747,[5]库存使用数据!$A:$E,5,0),0)</f>
        <v>143</v>
      </c>
      <c r="F747" s="1">
        <f ca="1">IFERROR(VLOOKUP($A747,[1]库存使用数据!$A:$F,6,0),0)+IFERROR(VLOOKUP($A747,[2]库存使用数据!$A:$F,6,0),0)+IFERROR(VLOOKUP($A747,[4]库存使用数据!$A:$F,6,0),0)+IFERROR(VLOOKUP($A747,[3]库存使用数据!$A:$F,6,0),0)+IFERROR(VLOOKUP($A747,[5]库存使用数据!$A:$F,6,0),0)</f>
        <v>0</v>
      </c>
      <c r="G747" s="1">
        <f ca="1">IFERROR(VLOOKUP($A747,[1]库存使用数据!$A:$G,7,0),0)+IFERROR(VLOOKUP($A747,[2]库存使用数据!$A:$G,7,0),0)+公式!$B$14*IFERROR(VLOOKUP($A747,[3]库存使用数据!$A:$G,7,0),0)+IFERROR(VLOOKUP($A747,[4]库存使用数据!$A:$G,7,0),0)+IFERROR(VLOOKUP($A747,[5]库存使用数据!$A:$G,7,0),0)</f>
        <v>0</v>
      </c>
      <c r="H747" s="1">
        <f ca="1">IFERROR(VLOOKUP($A747,[1]库存使用数据!$A:$H,8,0),0)+IFERROR(VLOOKUP($A747,[2]库存使用数据!$A:$H,8,0),0)+IFERROR(VLOOKUP($A747,[3]库存使用数据!$A:$H,8,0),0)+IFERROR(VLOOKUP($A747,[4]库存使用数据!$A:$H,8,0),0)+IFERROR(VLOOKUP($A747,[5]库存使用数据!$A:$H,8,0),0)</f>
        <v>53</v>
      </c>
      <c r="I747" s="1">
        <f ca="1">IFERROR(VLOOKUP($A747,[1]库存使用数据!$A:$I,9,0),0)+IFERROR(VLOOKUP($A747,[2]库存使用数据!$A:$I,9,0),0)+IFERROR(VLOOKUP($A747,[3]库存使用数据!$A:$I,9,0),0)+IFERROR(VLOOKUP($A747,[4]库存使用数据!$A:$I,9,0),0)+IFERROR(VLOOKUP($A747,[5]库存使用数据!$A:$I,9,0),0)</f>
        <v>0</v>
      </c>
      <c r="J747" s="1">
        <f ca="1">IFERROR(VLOOKUP($A747,[1]库存使用数据!$A:$J,10,0),0)+IFERROR(VLOOKUP($A747,[2]库存使用数据!$A:$J,10,0),0)+公式!$B$14*IFERROR(VLOOKUP($A747,[3]库存使用数据!$A:$J,10,0),0)+IFERROR(VLOOKUP($A747,[4]库存使用数据!$A:$J,10,0),0)+IFERROR(VLOOKUP($A747,[5]库存使用数据!$A:$J,10,0),0)</f>
        <v>0</v>
      </c>
      <c r="K747" s="1">
        <f ca="1">IFERROR(VLOOKUP($A747,[1]库存使用数据!$A:$K,11,0),0)+IFERROR(VLOOKUP($A747,[2]库存使用数据!$A:$K,11,0),0)+IFERROR(VLOOKUP($A747,[3]库存使用数据!$A:$K,11,0),0)+IFERROR(VLOOKUP($A747,[4]库存使用数据!$A:$K,11,0),0)+IFERROR(VLOOKUP($A747,[5]库存使用数据!$A:$K,11,0),0)</f>
        <v>70</v>
      </c>
      <c r="L747" s="1">
        <f ca="1">IFERROR(VLOOKUP($A747,[1]库存使用数据!$A:$L,12,0),0)+IFERROR(VLOOKUP($A747,[2]库存使用数据!$A:$L,12,0),0)+IFERROR(VLOOKUP($A747,[3]库存使用数据!$A:$L,12,0),0)+IFERROR(VLOOKUP($A747,[4]库存使用数据!$A:$L,12,0),0)+IFERROR(VLOOKUP($A747,[5]库存使用数据!$A:$L,12,0),0)</f>
        <v>0</v>
      </c>
      <c r="M747" s="1">
        <f ca="1">IFERROR(VLOOKUP($A747,[1]库存使用数据!$A:$M,13,0),0)+IFERROR(VLOOKUP($A747,[2]库存使用数据!$A:$M,13,0),0)+公式!$B$14*IFERROR(VLOOKUP($A747,[3]库存使用数据!$A:$M,13,0),0)+IFERROR(VLOOKUP($A747,[4]库存使用数据!$A:$M,13,0),0)+IFERROR(VLOOKUP($A747,[5]库存使用数据!$A:$M,13,0),0)</f>
        <v>0</v>
      </c>
    </row>
    <row r="748" spans="1:13">
      <c r="A748" s="6" t="s">
        <v>753</v>
      </c>
      <c r="B748" s="2">
        <f ca="1">IFERROR(VLOOKUP(A748,[1]库存使用数据!$A:$B,2,0),0)+IFERROR(VLOOKUP(A748,[2]库存使用数据!$A:$B,2,0),0)+IFERROR(VLOOKUP(,[3]库存使用数据!$A:$B,2,0),0)+IFERROR(VLOOKUP(A748,[4]库存使用数据!$A:$B,2,0),0)+IFERROR(VLOOKUP(A748,[5]库存使用数据!$A:$B,2,0),0)</f>
        <v>0</v>
      </c>
      <c r="C748" s="1">
        <f ca="1">IFERROR(VLOOKUP($A748,[1]库存使用数据!$A:$C,3,0),0)+IFERROR(VLOOKUP($A748,[2]库存使用数据!$A:$C,3,0),0)+IFERROR(VLOOKUP($A748,[3]库存使用数据!$A:$C,3,0),0)+IFERROR(VLOOKUP($A748,[4]库存使用数据!$A:$C,3,0),0)+IFERROR(VLOOKUP($A748,[5]库存使用数据!$A:$C,3,0),0)</f>
        <v>0</v>
      </c>
      <c r="D748" s="1">
        <f ca="1">IFERROR(VLOOKUP($A748,[1]库存使用数据!$A:$D,4,0),0)+IFERROR(VLOOKUP($A748,[2]库存使用数据!$A:$D,4,0),0)+公式!$B$1*IFERROR(VLOOKUP($A748,[3]库存使用数据!$A:$D,4,0),0)+IFERROR(VLOOKUP($A748,[4]库存使用数据!$A:$D,4,0),0)+IFERROR(VLOOKUP($A748,[5]库存使用数据!$A:$D,4,0),0)</f>
        <v>0</v>
      </c>
      <c r="E748" s="1">
        <f ca="1">IFERROR(VLOOKUP($A748,[1]库存使用数据!$A:$E,5,0),0)+IFERROR(VLOOKUP($A748,[2]库存使用数据!$A:$E,5,0),0)+IFERROR(VLOOKUP($A748,[3]库存使用数据!$A:$E,5,0),0)+IFERROR(VLOOKUP($A748,[4]库存使用数据!$A:$E,5,0),0)+IFERROR(VLOOKUP($A748,[5]库存使用数据!$A:$E,5,0),0)</f>
        <v>22</v>
      </c>
      <c r="F748" s="1">
        <f ca="1">IFERROR(VLOOKUP($A748,[1]库存使用数据!$A:$F,6,0),0)+IFERROR(VLOOKUP($A748,[2]库存使用数据!$A:$F,6,0),0)+IFERROR(VLOOKUP($A748,[4]库存使用数据!$A:$F,6,0),0)+IFERROR(VLOOKUP($A748,[3]库存使用数据!$A:$F,6,0),0)+IFERROR(VLOOKUP($A748,[5]库存使用数据!$A:$F,6,0),0)</f>
        <v>0</v>
      </c>
      <c r="G748" s="1">
        <f ca="1">IFERROR(VLOOKUP($A748,[1]库存使用数据!$A:$G,7,0),0)+IFERROR(VLOOKUP($A748,[2]库存使用数据!$A:$G,7,0),0)+公式!$B$14*IFERROR(VLOOKUP($A748,[3]库存使用数据!$A:$G,7,0),0)+IFERROR(VLOOKUP($A748,[4]库存使用数据!$A:$G,7,0),0)+IFERROR(VLOOKUP($A748,[5]库存使用数据!$A:$G,7,0),0)</f>
        <v>0</v>
      </c>
      <c r="H748" s="1">
        <f ca="1">IFERROR(VLOOKUP($A748,[1]库存使用数据!$A:$H,8,0),0)+IFERROR(VLOOKUP($A748,[2]库存使用数据!$A:$H,8,0),0)+IFERROR(VLOOKUP($A748,[3]库存使用数据!$A:$H,8,0),0)+IFERROR(VLOOKUP($A748,[4]库存使用数据!$A:$H,8,0),0)+IFERROR(VLOOKUP($A748,[5]库存使用数据!$A:$H,8,0),0)</f>
        <v>22</v>
      </c>
      <c r="I748" s="1">
        <f ca="1">IFERROR(VLOOKUP($A748,[1]库存使用数据!$A:$I,9,0),0)+IFERROR(VLOOKUP($A748,[2]库存使用数据!$A:$I,9,0),0)+IFERROR(VLOOKUP($A748,[3]库存使用数据!$A:$I,9,0),0)+IFERROR(VLOOKUP($A748,[4]库存使用数据!$A:$I,9,0),0)+IFERROR(VLOOKUP($A748,[5]库存使用数据!$A:$I,9,0),0)</f>
        <v>0</v>
      </c>
      <c r="J748" s="1">
        <f ca="1">IFERROR(VLOOKUP($A748,[1]库存使用数据!$A:$J,10,0),0)+IFERROR(VLOOKUP($A748,[2]库存使用数据!$A:$J,10,0),0)+公式!$B$14*IFERROR(VLOOKUP($A748,[3]库存使用数据!$A:$J,10,0),0)+IFERROR(VLOOKUP($A748,[4]库存使用数据!$A:$J,10,0),0)+IFERROR(VLOOKUP($A748,[5]库存使用数据!$A:$J,10,0),0)</f>
        <v>0</v>
      </c>
      <c r="K748" s="1">
        <f ca="1">IFERROR(VLOOKUP($A748,[1]库存使用数据!$A:$K,11,0),0)+IFERROR(VLOOKUP($A748,[2]库存使用数据!$A:$K,11,0),0)+IFERROR(VLOOKUP($A748,[3]库存使用数据!$A:$K,11,0),0)+IFERROR(VLOOKUP($A748,[4]库存使用数据!$A:$K,11,0),0)+IFERROR(VLOOKUP($A748,[5]库存使用数据!$A:$K,11,0),0)</f>
        <v>34</v>
      </c>
      <c r="L748" s="1">
        <f ca="1">IFERROR(VLOOKUP($A748,[1]库存使用数据!$A:$L,12,0),0)+IFERROR(VLOOKUP($A748,[2]库存使用数据!$A:$L,12,0),0)+IFERROR(VLOOKUP($A748,[3]库存使用数据!$A:$L,12,0),0)+IFERROR(VLOOKUP($A748,[4]库存使用数据!$A:$L,12,0),0)+IFERROR(VLOOKUP($A748,[5]库存使用数据!$A:$L,12,0),0)</f>
        <v>0</v>
      </c>
      <c r="M748" s="1">
        <f ca="1">IFERROR(VLOOKUP($A748,[1]库存使用数据!$A:$M,13,0),0)+IFERROR(VLOOKUP($A748,[2]库存使用数据!$A:$M,13,0),0)+公式!$B$14*IFERROR(VLOOKUP($A748,[3]库存使用数据!$A:$M,13,0),0)+IFERROR(VLOOKUP($A748,[4]库存使用数据!$A:$M,13,0),0)+IFERROR(VLOOKUP($A748,[5]库存使用数据!$A:$M,13,0),0)</f>
        <v>0</v>
      </c>
    </row>
    <row r="749" spans="1:13">
      <c r="A749" s="6" t="s">
        <v>754</v>
      </c>
      <c r="B749" s="2">
        <f ca="1">IFERROR(VLOOKUP(A749,[1]库存使用数据!$A:$B,2,0),0)+IFERROR(VLOOKUP(A749,[2]库存使用数据!$A:$B,2,0),0)+IFERROR(VLOOKUP(,[3]库存使用数据!$A:$B,2,0),0)+IFERROR(VLOOKUP(A749,[4]库存使用数据!$A:$B,2,0),0)+IFERROR(VLOOKUP(A749,[5]库存使用数据!$A:$B,2,0),0)</f>
        <v>719</v>
      </c>
      <c r="C749" s="1">
        <f ca="1">IFERROR(VLOOKUP($A749,[1]库存使用数据!$A:$C,3,0),0)+IFERROR(VLOOKUP($A749,[2]库存使用数据!$A:$C,3,0),0)+IFERROR(VLOOKUP($A749,[3]库存使用数据!$A:$C,3,0),0)+IFERROR(VLOOKUP($A749,[4]库存使用数据!$A:$C,3,0),0)+IFERROR(VLOOKUP($A749,[5]库存使用数据!$A:$C,3,0),0)</f>
        <v>2</v>
      </c>
      <c r="D749" s="1">
        <f ca="1">IFERROR(VLOOKUP($A749,[1]库存使用数据!$A:$D,4,0),0)+IFERROR(VLOOKUP($A749,[2]库存使用数据!$A:$D,4,0),0)+公式!$B$1*IFERROR(VLOOKUP($A749,[3]库存使用数据!$A:$D,4,0),0)+IFERROR(VLOOKUP($A749,[4]库存使用数据!$A:$D,4,0),0)+IFERROR(VLOOKUP($A749,[5]库存使用数据!$A:$D,4,0),0)</f>
        <v>0.58</v>
      </c>
      <c r="E749" s="1">
        <f ca="1">IFERROR(VLOOKUP($A749,[1]库存使用数据!$A:$E,5,0),0)+IFERROR(VLOOKUP($A749,[2]库存使用数据!$A:$E,5,0),0)+IFERROR(VLOOKUP($A749,[3]库存使用数据!$A:$E,5,0),0)+IFERROR(VLOOKUP($A749,[4]库存使用数据!$A:$E,5,0),0)+IFERROR(VLOOKUP($A749,[5]库存使用数据!$A:$E,5,0),0)</f>
        <v>2687</v>
      </c>
      <c r="F749" s="1">
        <f ca="1">IFERROR(VLOOKUP($A749,[1]库存使用数据!$A:$F,6,0),0)+IFERROR(VLOOKUP($A749,[2]库存使用数据!$A:$F,6,0),0)+IFERROR(VLOOKUP($A749,[4]库存使用数据!$A:$F,6,0),0)+IFERROR(VLOOKUP($A749,[3]库存使用数据!$A:$F,6,0),0)+IFERROR(VLOOKUP($A749,[5]库存使用数据!$A:$F,6,0),0)</f>
        <v>10</v>
      </c>
      <c r="G749" s="1">
        <f ca="1">IFERROR(VLOOKUP($A749,[1]库存使用数据!$A:$G,7,0),0)+IFERROR(VLOOKUP($A749,[2]库存使用数据!$A:$G,7,0),0)+公式!$B$14*IFERROR(VLOOKUP($A749,[3]库存使用数据!$A:$G,7,0),0)+IFERROR(VLOOKUP($A749,[4]库存使用数据!$A:$G,7,0),0)+IFERROR(VLOOKUP($A749,[5]库存使用数据!$A:$G,7,0),0)</f>
        <v>3.68</v>
      </c>
      <c r="H749" s="1">
        <f ca="1">IFERROR(VLOOKUP($A749,[1]库存使用数据!$A:$H,8,0),0)+IFERROR(VLOOKUP($A749,[2]库存使用数据!$A:$H,8,0),0)+IFERROR(VLOOKUP($A749,[3]库存使用数据!$A:$H,8,0),0)+IFERROR(VLOOKUP($A749,[4]库存使用数据!$A:$H,8,0),0)+IFERROR(VLOOKUP($A749,[5]库存使用数据!$A:$H,8,0),0)</f>
        <v>1908</v>
      </c>
      <c r="I749" s="1">
        <f ca="1">IFERROR(VLOOKUP($A749,[1]库存使用数据!$A:$I,9,0),0)+IFERROR(VLOOKUP($A749,[2]库存使用数据!$A:$I,9,0),0)+IFERROR(VLOOKUP($A749,[3]库存使用数据!$A:$I,9,0),0)+IFERROR(VLOOKUP($A749,[4]库存使用数据!$A:$I,9,0),0)+IFERROR(VLOOKUP($A749,[5]库存使用数据!$A:$I,9,0),0)</f>
        <v>6</v>
      </c>
      <c r="J749" s="1">
        <f ca="1">IFERROR(VLOOKUP($A749,[1]库存使用数据!$A:$J,10,0),0)+IFERROR(VLOOKUP($A749,[2]库存使用数据!$A:$J,10,0),0)+公式!$B$14*IFERROR(VLOOKUP($A749,[3]库存使用数据!$A:$J,10,0),0)+IFERROR(VLOOKUP($A749,[4]库存使用数据!$A:$J,10,0),0)+IFERROR(VLOOKUP($A749,[5]库存使用数据!$A:$J,10,0),0)</f>
        <v>2.16</v>
      </c>
      <c r="K749" s="1">
        <f ca="1">IFERROR(VLOOKUP($A749,[1]库存使用数据!$A:$K,11,0),0)+IFERROR(VLOOKUP($A749,[2]库存使用数据!$A:$K,11,0),0)+IFERROR(VLOOKUP($A749,[3]库存使用数据!$A:$K,11,0),0)+IFERROR(VLOOKUP($A749,[4]库存使用数据!$A:$K,11,0),0)+IFERROR(VLOOKUP($A749,[5]库存使用数据!$A:$K,11,0),0)</f>
        <v>9264</v>
      </c>
      <c r="L749" s="1">
        <f ca="1">IFERROR(VLOOKUP($A749,[1]库存使用数据!$A:$L,12,0),0)+IFERROR(VLOOKUP($A749,[2]库存使用数据!$A:$L,12,0),0)+IFERROR(VLOOKUP($A749,[3]库存使用数据!$A:$L,12,0),0)+IFERROR(VLOOKUP($A749,[4]库存使用数据!$A:$L,12,0),0)+IFERROR(VLOOKUP($A749,[5]库存使用数据!$A:$L,12,0),0)</f>
        <v>11</v>
      </c>
      <c r="M749" s="1">
        <f ca="1">IFERROR(VLOOKUP($A749,[1]库存使用数据!$A:$M,13,0),0)+IFERROR(VLOOKUP($A749,[2]库存使用数据!$A:$M,13,0),0)+公式!$B$14*IFERROR(VLOOKUP($A749,[3]库存使用数据!$A:$M,13,0),0)+IFERROR(VLOOKUP($A749,[4]库存使用数据!$A:$M,13,0),0)+IFERROR(VLOOKUP($A749,[5]库存使用数据!$A:$M,13,0),0)</f>
        <v>2.95</v>
      </c>
    </row>
    <row r="750" spans="1:13">
      <c r="A750" s="6" t="s">
        <v>755</v>
      </c>
      <c r="B750" s="2">
        <f ca="1">IFERROR(VLOOKUP(A750,[1]库存使用数据!$A:$B,2,0),0)+IFERROR(VLOOKUP(A750,[2]库存使用数据!$A:$B,2,0),0)+IFERROR(VLOOKUP(,[3]库存使用数据!$A:$B,2,0),0)+IFERROR(VLOOKUP(A750,[4]库存使用数据!$A:$B,2,0),0)+IFERROR(VLOOKUP(A750,[5]库存使用数据!$A:$B,2,0),0)</f>
        <v>58</v>
      </c>
      <c r="C750" s="1">
        <f ca="1">IFERROR(VLOOKUP($A750,[1]库存使用数据!$A:$C,3,0),0)+IFERROR(VLOOKUP($A750,[2]库存使用数据!$A:$C,3,0),0)+IFERROR(VLOOKUP($A750,[3]库存使用数据!$A:$C,3,0),0)+IFERROR(VLOOKUP($A750,[4]库存使用数据!$A:$C,3,0),0)+IFERROR(VLOOKUP($A750,[5]库存使用数据!$A:$C,3,0),0)</f>
        <v>0</v>
      </c>
      <c r="D750" s="1">
        <f ca="1">IFERROR(VLOOKUP($A750,[1]库存使用数据!$A:$D,4,0),0)+IFERROR(VLOOKUP($A750,[2]库存使用数据!$A:$D,4,0),0)+公式!$B$1*IFERROR(VLOOKUP($A750,[3]库存使用数据!$A:$D,4,0),0)+IFERROR(VLOOKUP($A750,[4]库存使用数据!$A:$D,4,0),0)+IFERROR(VLOOKUP($A750,[5]库存使用数据!$A:$D,4,0),0)</f>
        <v>0</v>
      </c>
      <c r="E750" s="1">
        <f ca="1">IFERROR(VLOOKUP($A750,[1]库存使用数据!$A:$E,5,0),0)+IFERROR(VLOOKUP($A750,[2]库存使用数据!$A:$E,5,0),0)+IFERROR(VLOOKUP($A750,[3]库存使用数据!$A:$E,5,0),0)+IFERROR(VLOOKUP($A750,[4]库存使用数据!$A:$E,5,0),0)+IFERROR(VLOOKUP($A750,[5]库存使用数据!$A:$E,5,0),0)</f>
        <v>99</v>
      </c>
      <c r="F750" s="1">
        <f ca="1">IFERROR(VLOOKUP($A750,[1]库存使用数据!$A:$F,6,0),0)+IFERROR(VLOOKUP($A750,[2]库存使用数据!$A:$F,6,0),0)+IFERROR(VLOOKUP($A750,[4]库存使用数据!$A:$F,6,0),0)+IFERROR(VLOOKUP($A750,[3]库存使用数据!$A:$F,6,0),0)+IFERROR(VLOOKUP($A750,[5]库存使用数据!$A:$F,6,0),0)</f>
        <v>0</v>
      </c>
      <c r="G750" s="1">
        <f ca="1">IFERROR(VLOOKUP($A750,[1]库存使用数据!$A:$G,7,0),0)+IFERROR(VLOOKUP($A750,[2]库存使用数据!$A:$G,7,0),0)+公式!$B$14*IFERROR(VLOOKUP($A750,[3]库存使用数据!$A:$G,7,0),0)+IFERROR(VLOOKUP($A750,[4]库存使用数据!$A:$G,7,0),0)+IFERROR(VLOOKUP($A750,[5]库存使用数据!$A:$G,7,0),0)</f>
        <v>0</v>
      </c>
      <c r="H750" s="1">
        <f ca="1">IFERROR(VLOOKUP($A750,[1]库存使用数据!$A:$H,8,0),0)+IFERROR(VLOOKUP($A750,[2]库存使用数据!$A:$H,8,0),0)+IFERROR(VLOOKUP($A750,[3]库存使用数据!$A:$H,8,0),0)+IFERROR(VLOOKUP($A750,[4]库存使用数据!$A:$H,8,0),0)+IFERROR(VLOOKUP($A750,[5]库存使用数据!$A:$H,8,0),0)</f>
        <v>12</v>
      </c>
      <c r="I750" s="1">
        <f ca="1">IFERROR(VLOOKUP($A750,[1]库存使用数据!$A:$I,9,0),0)+IFERROR(VLOOKUP($A750,[2]库存使用数据!$A:$I,9,0),0)+IFERROR(VLOOKUP($A750,[3]库存使用数据!$A:$I,9,0),0)+IFERROR(VLOOKUP($A750,[4]库存使用数据!$A:$I,9,0),0)+IFERROR(VLOOKUP($A750,[5]库存使用数据!$A:$I,9,0),0)</f>
        <v>0</v>
      </c>
      <c r="J750" s="1">
        <f ca="1">IFERROR(VLOOKUP($A750,[1]库存使用数据!$A:$J,10,0),0)+IFERROR(VLOOKUP($A750,[2]库存使用数据!$A:$J,10,0),0)+公式!$B$14*IFERROR(VLOOKUP($A750,[3]库存使用数据!$A:$J,10,0),0)+IFERROR(VLOOKUP($A750,[4]库存使用数据!$A:$J,10,0),0)+IFERROR(VLOOKUP($A750,[5]库存使用数据!$A:$J,10,0),0)</f>
        <v>0</v>
      </c>
      <c r="K750" s="1">
        <f ca="1">IFERROR(VLOOKUP($A750,[1]库存使用数据!$A:$K,11,0),0)+IFERROR(VLOOKUP($A750,[2]库存使用数据!$A:$K,11,0),0)+IFERROR(VLOOKUP($A750,[3]库存使用数据!$A:$K,11,0),0)+IFERROR(VLOOKUP($A750,[4]库存使用数据!$A:$K,11,0),0)+IFERROR(VLOOKUP($A750,[5]库存使用数据!$A:$K,11,0),0)</f>
        <v>12</v>
      </c>
      <c r="L750" s="1">
        <f ca="1">IFERROR(VLOOKUP($A750,[1]库存使用数据!$A:$L,12,0),0)+IFERROR(VLOOKUP($A750,[2]库存使用数据!$A:$L,12,0),0)+IFERROR(VLOOKUP($A750,[3]库存使用数据!$A:$L,12,0),0)+IFERROR(VLOOKUP($A750,[4]库存使用数据!$A:$L,12,0),0)+IFERROR(VLOOKUP($A750,[5]库存使用数据!$A:$L,12,0),0)</f>
        <v>0</v>
      </c>
      <c r="M750" s="1">
        <f ca="1">IFERROR(VLOOKUP($A750,[1]库存使用数据!$A:$M,13,0),0)+IFERROR(VLOOKUP($A750,[2]库存使用数据!$A:$M,13,0),0)+公式!$B$14*IFERROR(VLOOKUP($A750,[3]库存使用数据!$A:$M,13,0),0)+IFERROR(VLOOKUP($A750,[4]库存使用数据!$A:$M,13,0),0)+IFERROR(VLOOKUP($A750,[5]库存使用数据!$A:$M,13,0),0)</f>
        <v>0</v>
      </c>
    </row>
    <row r="751" spans="1:13">
      <c r="A751" s="6" t="s">
        <v>756</v>
      </c>
      <c r="B751" s="2">
        <f ca="1">IFERROR(VLOOKUP(A751,[1]库存使用数据!$A:$B,2,0),0)+IFERROR(VLOOKUP(A751,[2]库存使用数据!$A:$B,2,0),0)+IFERROR(VLOOKUP(,[3]库存使用数据!$A:$B,2,0),0)+IFERROR(VLOOKUP(A751,[4]库存使用数据!$A:$B,2,0),0)+IFERROR(VLOOKUP(A751,[5]库存使用数据!$A:$B,2,0),0)</f>
        <v>45</v>
      </c>
      <c r="C751" s="1">
        <f ca="1">IFERROR(VLOOKUP($A751,[1]库存使用数据!$A:$C,3,0),0)+IFERROR(VLOOKUP($A751,[2]库存使用数据!$A:$C,3,0),0)+IFERROR(VLOOKUP($A751,[3]库存使用数据!$A:$C,3,0),0)+IFERROR(VLOOKUP($A751,[4]库存使用数据!$A:$C,3,0),0)+IFERROR(VLOOKUP($A751,[5]库存使用数据!$A:$C,3,0),0)</f>
        <v>0</v>
      </c>
      <c r="D751" s="1">
        <f ca="1">IFERROR(VLOOKUP($A751,[1]库存使用数据!$A:$D,4,0),0)+IFERROR(VLOOKUP($A751,[2]库存使用数据!$A:$D,4,0),0)+公式!$B$1*IFERROR(VLOOKUP($A751,[3]库存使用数据!$A:$D,4,0),0)+IFERROR(VLOOKUP($A751,[4]库存使用数据!$A:$D,4,0),0)+IFERROR(VLOOKUP($A751,[5]库存使用数据!$A:$D,4,0),0)</f>
        <v>0</v>
      </c>
      <c r="E751" s="1">
        <f ca="1">IFERROR(VLOOKUP($A751,[1]库存使用数据!$A:$E,5,0),0)+IFERROR(VLOOKUP($A751,[2]库存使用数据!$A:$E,5,0),0)+IFERROR(VLOOKUP($A751,[3]库存使用数据!$A:$E,5,0),0)+IFERROR(VLOOKUP($A751,[4]库存使用数据!$A:$E,5,0),0)+IFERROR(VLOOKUP($A751,[5]库存使用数据!$A:$E,5,0),0)</f>
        <v>82</v>
      </c>
      <c r="F751" s="1">
        <f ca="1">IFERROR(VLOOKUP($A751,[1]库存使用数据!$A:$F,6,0),0)+IFERROR(VLOOKUP($A751,[2]库存使用数据!$A:$F,6,0),0)+IFERROR(VLOOKUP($A751,[4]库存使用数据!$A:$F,6,0),0)+IFERROR(VLOOKUP($A751,[3]库存使用数据!$A:$F,6,0),0)+IFERROR(VLOOKUP($A751,[5]库存使用数据!$A:$F,6,0),0)</f>
        <v>0</v>
      </c>
      <c r="G751" s="1">
        <f ca="1">IFERROR(VLOOKUP($A751,[1]库存使用数据!$A:$G,7,0),0)+IFERROR(VLOOKUP($A751,[2]库存使用数据!$A:$G,7,0),0)+公式!$B$14*IFERROR(VLOOKUP($A751,[3]库存使用数据!$A:$G,7,0),0)+IFERROR(VLOOKUP($A751,[4]库存使用数据!$A:$G,7,0),0)+IFERROR(VLOOKUP($A751,[5]库存使用数据!$A:$G,7,0),0)</f>
        <v>0</v>
      </c>
      <c r="H751" s="1">
        <f ca="1">IFERROR(VLOOKUP($A751,[1]库存使用数据!$A:$H,8,0),0)+IFERROR(VLOOKUP($A751,[2]库存使用数据!$A:$H,8,0),0)+IFERROR(VLOOKUP($A751,[3]库存使用数据!$A:$H,8,0),0)+IFERROR(VLOOKUP($A751,[4]库存使用数据!$A:$H,8,0),0)+IFERROR(VLOOKUP($A751,[5]库存使用数据!$A:$H,8,0),0)</f>
        <v>13</v>
      </c>
      <c r="I751" s="1">
        <f ca="1">IFERROR(VLOOKUP($A751,[1]库存使用数据!$A:$I,9,0),0)+IFERROR(VLOOKUP($A751,[2]库存使用数据!$A:$I,9,0),0)+IFERROR(VLOOKUP($A751,[3]库存使用数据!$A:$I,9,0),0)+IFERROR(VLOOKUP($A751,[4]库存使用数据!$A:$I,9,0),0)+IFERROR(VLOOKUP($A751,[5]库存使用数据!$A:$I,9,0),0)</f>
        <v>0</v>
      </c>
      <c r="J751" s="1">
        <f ca="1">IFERROR(VLOOKUP($A751,[1]库存使用数据!$A:$J,10,0),0)+IFERROR(VLOOKUP($A751,[2]库存使用数据!$A:$J,10,0),0)+公式!$B$14*IFERROR(VLOOKUP($A751,[3]库存使用数据!$A:$J,10,0),0)+IFERROR(VLOOKUP($A751,[4]库存使用数据!$A:$J,10,0),0)+IFERROR(VLOOKUP($A751,[5]库存使用数据!$A:$J,10,0),0)</f>
        <v>0</v>
      </c>
      <c r="K751" s="1">
        <f ca="1">IFERROR(VLOOKUP($A751,[1]库存使用数据!$A:$K,11,0),0)+IFERROR(VLOOKUP($A751,[2]库存使用数据!$A:$K,11,0),0)+IFERROR(VLOOKUP($A751,[3]库存使用数据!$A:$K,11,0),0)+IFERROR(VLOOKUP($A751,[4]库存使用数据!$A:$K,11,0),0)+IFERROR(VLOOKUP($A751,[5]库存使用数据!$A:$K,11,0),0)</f>
        <v>15</v>
      </c>
      <c r="L751" s="1">
        <f ca="1">IFERROR(VLOOKUP($A751,[1]库存使用数据!$A:$L,12,0),0)+IFERROR(VLOOKUP($A751,[2]库存使用数据!$A:$L,12,0),0)+IFERROR(VLOOKUP($A751,[3]库存使用数据!$A:$L,12,0),0)+IFERROR(VLOOKUP($A751,[4]库存使用数据!$A:$L,12,0),0)+IFERROR(VLOOKUP($A751,[5]库存使用数据!$A:$L,12,0),0)</f>
        <v>0</v>
      </c>
      <c r="M751" s="1">
        <f ca="1">IFERROR(VLOOKUP($A751,[1]库存使用数据!$A:$M,13,0),0)+IFERROR(VLOOKUP($A751,[2]库存使用数据!$A:$M,13,0),0)+公式!$B$14*IFERROR(VLOOKUP($A751,[3]库存使用数据!$A:$M,13,0),0)+IFERROR(VLOOKUP($A751,[4]库存使用数据!$A:$M,13,0),0)+IFERROR(VLOOKUP($A751,[5]库存使用数据!$A:$M,13,0),0)</f>
        <v>0</v>
      </c>
    </row>
    <row r="752" spans="1:13">
      <c r="A752" s="6" t="s">
        <v>757</v>
      </c>
      <c r="B752" s="2">
        <f ca="1">IFERROR(VLOOKUP(A752,[1]库存使用数据!$A:$B,2,0),0)+IFERROR(VLOOKUP(A752,[2]库存使用数据!$A:$B,2,0),0)+IFERROR(VLOOKUP(,[3]库存使用数据!$A:$B,2,0),0)+IFERROR(VLOOKUP(A752,[4]库存使用数据!$A:$B,2,0),0)+IFERROR(VLOOKUP(A752,[5]库存使用数据!$A:$B,2,0),0)</f>
        <v>65</v>
      </c>
      <c r="C752" s="1">
        <f ca="1">IFERROR(VLOOKUP($A752,[1]库存使用数据!$A:$C,3,0),0)+IFERROR(VLOOKUP($A752,[2]库存使用数据!$A:$C,3,0),0)+IFERROR(VLOOKUP($A752,[3]库存使用数据!$A:$C,3,0),0)+IFERROR(VLOOKUP($A752,[4]库存使用数据!$A:$C,3,0),0)+IFERROR(VLOOKUP($A752,[5]库存使用数据!$A:$C,3,0),0)</f>
        <v>0</v>
      </c>
      <c r="D752" s="1">
        <f ca="1">IFERROR(VLOOKUP($A752,[1]库存使用数据!$A:$D,4,0),0)+IFERROR(VLOOKUP($A752,[2]库存使用数据!$A:$D,4,0),0)+公式!$B$1*IFERROR(VLOOKUP($A752,[3]库存使用数据!$A:$D,4,0),0)+IFERROR(VLOOKUP($A752,[4]库存使用数据!$A:$D,4,0),0)+IFERROR(VLOOKUP($A752,[5]库存使用数据!$A:$D,4,0),0)</f>
        <v>0</v>
      </c>
      <c r="E752" s="1">
        <f ca="1">IFERROR(VLOOKUP($A752,[1]库存使用数据!$A:$E,5,0),0)+IFERROR(VLOOKUP($A752,[2]库存使用数据!$A:$E,5,0),0)+IFERROR(VLOOKUP($A752,[3]库存使用数据!$A:$E,5,0),0)+IFERROR(VLOOKUP($A752,[4]库存使用数据!$A:$E,5,0),0)+IFERROR(VLOOKUP($A752,[5]库存使用数据!$A:$E,5,0),0)</f>
        <v>84</v>
      </c>
      <c r="F752" s="1">
        <f ca="1">IFERROR(VLOOKUP($A752,[1]库存使用数据!$A:$F,6,0),0)+IFERROR(VLOOKUP($A752,[2]库存使用数据!$A:$F,6,0),0)+IFERROR(VLOOKUP($A752,[4]库存使用数据!$A:$F,6,0),0)+IFERROR(VLOOKUP($A752,[3]库存使用数据!$A:$F,6,0),0)+IFERROR(VLOOKUP($A752,[5]库存使用数据!$A:$F,6,0),0)</f>
        <v>0</v>
      </c>
      <c r="G752" s="1">
        <f ca="1">IFERROR(VLOOKUP($A752,[1]库存使用数据!$A:$G,7,0),0)+IFERROR(VLOOKUP($A752,[2]库存使用数据!$A:$G,7,0),0)+公式!$B$14*IFERROR(VLOOKUP($A752,[3]库存使用数据!$A:$G,7,0),0)+IFERROR(VLOOKUP($A752,[4]库存使用数据!$A:$G,7,0),0)+IFERROR(VLOOKUP($A752,[5]库存使用数据!$A:$G,7,0),0)</f>
        <v>0</v>
      </c>
      <c r="H752" s="1">
        <f ca="1">IFERROR(VLOOKUP($A752,[1]库存使用数据!$A:$H,8,0),0)+IFERROR(VLOOKUP($A752,[2]库存使用数据!$A:$H,8,0),0)+IFERROR(VLOOKUP($A752,[3]库存使用数据!$A:$H,8,0),0)+IFERROR(VLOOKUP($A752,[4]库存使用数据!$A:$H,8,0),0)+IFERROR(VLOOKUP($A752,[5]库存使用数据!$A:$H,8,0),0)</f>
        <v>9</v>
      </c>
      <c r="I752" s="1">
        <f ca="1">IFERROR(VLOOKUP($A752,[1]库存使用数据!$A:$I,9,0),0)+IFERROR(VLOOKUP($A752,[2]库存使用数据!$A:$I,9,0),0)+IFERROR(VLOOKUP($A752,[3]库存使用数据!$A:$I,9,0),0)+IFERROR(VLOOKUP($A752,[4]库存使用数据!$A:$I,9,0),0)+IFERROR(VLOOKUP($A752,[5]库存使用数据!$A:$I,9,0),0)</f>
        <v>0</v>
      </c>
      <c r="J752" s="1">
        <f ca="1">IFERROR(VLOOKUP($A752,[1]库存使用数据!$A:$J,10,0),0)+IFERROR(VLOOKUP($A752,[2]库存使用数据!$A:$J,10,0),0)+公式!$B$14*IFERROR(VLOOKUP($A752,[3]库存使用数据!$A:$J,10,0),0)+IFERROR(VLOOKUP($A752,[4]库存使用数据!$A:$J,10,0),0)+IFERROR(VLOOKUP($A752,[5]库存使用数据!$A:$J,10,0),0)</f>
        <v>0</v>
      </c>
      <c r="K752" s="1">
        <f ca="1">IFERROR(VLOOKUP($A752,[1]库存使用数据!$A:$K,11,0),0)+IFERROR(VLOOKUP($A752,[2]库存使用数据!$A:$K,11,0),0)+IFERROR(VLOOKUP($A752,[3]库存使用数据!$A:$K,11,0),0)+IFERROR(VLOOKUP($A752,[4]库存使用数据!$A:$K,11,0),0)+IFERROR(VLOOKUP($A752,[5]库存使用数据!$A:$K,11,0),0)</f>
        <v>13</v>
      </c>
      <c r="L752" s="1">
        <f ca="1">IFERROR(VLOOKUP($A752,[1]库存使用数据!$A:$L,12,0),0)+IFERROR(VLOOKUP($A752,[2]库存使用数据!$A:$L,12,0),0)+IFERROR(VLOOKUP($A752,[3]库存使用数据!$A:$L,12,0),0)+IFERROR(VLOOKUP($A752,[4]库存使用数据!$A:$L,12,0),0)+IFERROR(VLOOKUP($A752,[5]库存使用数据!$A:$L,12,0),0)</f>
        <v>0</v>
      </c>
      <c r="M752" s="1">
        <f ca="1">IFERROR(VLOOKUP($A752,[1]库存使用数据!$A:$M,13,0),0)+IFERROR(VLOOKUP($A752,[2]库存使用数据!$A:$M,13,0),0)+公式!$B$14*IFERROR(VLOOKUP($A752,[3]库存使用数据!$A:$M,13,0),0)+IFERROR(VLOOKUP($A752,[4]库存使用数据!$A:$M,13,0),0)+IFERROR(VLOOKUP($A752,[5]库存使用数据!$A:$M,13,0),0)</f>
        <v>0</v>
      </c>
    </row>
    <row r="753" spans="1:13">
      <c r="A753" s="6" t="s">
        <v>758</v>
      </c>
      <c r="B753" s="2">
        <f ca="1">IFERROR(VLOOKUP(A753,[1]库存使用数据!$A:$B,2,0),0)+IFERROR(VLOOKUP(A753,[2]库存使用数据!$A:$B,2,0),0)+IFERROR(VLOOKUP(,[3]库存使用数据!$A:$B,2,0),0)+IFERROR(VLOOKUP(A753,[4]库存使用数据!$A:$B,2,0),0)+IFERROR(VLOOKUP(A753,[5]库存使用数据!$A:$B,2,0),0)</f>
        <v>181</v>
      </c>
      <c r="C753" s="1">
        <f ca="1">IFERROR(VLOOKUP($A753,[1]库存使用数据!$A:$C,3,0),0)+IFERROR(VLOOKUP($A753,[2]库存使用数据!$A:$C,3,0),0)+IFERROR(VLOOKUP($A753,[3]库存使用数据!$A:$C,3,0),0)+IFERROR(VLOOKUP($A753,[4]库存使用数据!$A:$C,3,0),0)+IFERROR(VLOOKUP($A753,[5]库存使用数据!$A:$C,3,0),0)</f>
        <v>0</v>
      </c>
      <c r="D753" s="1">
        <f ca="1">IFERROR(VLOOKUP($A753,[1]库存使用数据!$A:$D,4,0),0)+IFERROR(VLOOKUP($A753,[2]库存使用数据!$A:$D,4,0),0)+公式!$B$1*IFERROR(VLOOKUP($A753,[3]库存使用数据!$A:$D,4,0),0)+IFERROR(VLOOKUP($A753,[4]库存使用数据!$A:$D,4,0),0)+IFERROR(VLOOKUP($A753,[5]库存使用数据!$A:$D,4,0),0)</f>
        <v>0</v>
      </c>
      <c r="E753" s="1">
        <f ca="1">IFERROR(VLOOKUP($A753,[1]库存使用数据!$A:$E,5,0),0)+IFERROR(VLOOKUP($A753,[2]库存使用数据!$A:$E,5,0),0)+IFERROR(VLOOKUP($A753,[3]库存使用数据!$A:$E,5,0),0)+IFERROR(VLOOKUP($A753,[4]库存使用数据!$A:$E,5,0),0)+IFERROR(VLOOKUP($A753,[5]库存使用数据!$A:$E,5,0),0)</f>
        <v>199</v>
      </c>
      <c r="F753" s="1">
        <f ca="1">IFERROR(VLOOKUP($A753,[1]库存使用数据!$A:$F,6,0),0)+IFERROR(VLOOKUP($A753,[2]库存使用数据!$A:$F,6,0),0)+IFERROR(VLOOKUP($A753,[4]库存使用数据!$A:$F,6,0),0)+IFERROR(VLOOKUP($A753,[3]库存使用数据!$A:$F,6,0),0)+IFERROR(VLOOKUP($A753,[5]库存使用数据!$A:$F,6,0),0)</f>
        <v>0</v>
      </c>
      <c r="G753" s="1">
        <f ca="1">IFERROR(VLOOKUP($A753,[1]库存使用数据!$A:$G,7,0),0)+IFERROR(VLOOKUP($A753,[2]库存使用数据!$A:$G,7,0),0)+公式!$B$14*IFERROR(VLOOKUP($A753,[3]库存使用数据!$A:$G,7,0),0)+IFERROR(VLOOKUP($A753,[4]库存使用数据!$A:$G,7,0),0)+IFERROR(VLOOKUP($A753,[5]库存使用数据!$A:$G,7,0),0)</f>
        <v>0</v>
      </c>
      <c r="H753" s="1">
        <f ca="1">IFERROR(VLOOKUP($A753,[1]库存使用数据!$A:$H,8,0),0)+IFERROR(VLOOKUP($A753,[2]库存使用数据!$A:$H,8,0),0)+IFERROR(VLOOKUP($A753,[3]库存使用数据!$A:$H,8,0),0)+IFERROR(VLOOKUP($A753,[4]库存使用数据!$A:$H,8,0),0)+IFERROR(VLOOKUP($A753,[5]库存使用数据!$A:$H,8,0),0)</f>
        <v>11</v>
      </c>
      <c r="I753" s="1">
        <f ca="1">IFERROR(VLOOKUP($A753,[1]库存使用数据!$A:$I,9,0),0)+IFERROR(VLOOKUP($A753,[2]库存使用数据!$A:$I,9,0),0)+IFERROR(VLOOKUP($A753,[3]库存使用数据!$A:$I,9,0),0)+IFERROR(VLOOKUP($A753,[4]库存使用数据!$A:$I,9,0),0)+IFERROR(VLOOKUP($A753,[5]库存使用数据!$A:$I,9,0),0)</f>
        <v>0</v>
      </c>
      <c r="J753" s="1">
        <f ca="1">IFERROR(VLOOKUP($A753,[1]库存使用数据!$A:$J,10,0),0)+IFERROR(VLOOKUP($A753,[2]库存使用数据!$A:$J,10,0),0)+公式!$B$14*IFERROR(VLOOKUP($A753,[3]库存使用数据!$A:$J,10,0),0)+IFERROR(VLOOKUP($A753,[4]库存使用数据!$A:$J,10,0),0)+IFERROR(VLOOKUP($A753,[5]库存使用数据!$A:$J,10,0),0)</f>
        <v>0</v>
      </c>
      <c r="K753" s="1">
        <f ca="1">IFERROR(VLOOKUP($A753,[1]库存使用数据!$A:$K,11,0),0)+IFERROR(VLOOKUP($A753,[2]库存使用数据!$A:$K,11,0),0)+IFERROR(VLOOKUP($A753,[3]库存使用数据!$A:$K,11,0),0)+IFERROR(VLOOKUP($A753,[4]库存使用数据!$A:$K,11,0),0)+IFERROR(VLOOKUP($A753,[5]库存使用数据!$A:$K,11,0),0)</f>
        <v>12</v>
      </c>
      <c r="L753" s="1">
        <f ca="1">IFERROR(VLOOKUP($A753,[1]库存使用数据!$A:$L,12,0),0)+IFERROR(VLOOKUP($A753,[2]库存使用数据!$A:$L,12,0),0)+IFERROR(VLOOKUP($A753,[3]库存使用数据!$A:$L,12,0),0)+IFERROR(VLOOKUP($A753,[4]库存使用数据!$A:$L,12,0),0)+IFERROR(VLOOKUP($A753,[5]库存使用数据!$A:$L,12,0),0)</f>
        <v>0</v>
      </c>
      <c r="M753" s="1">
        <f ca="1">IFERROR(VLOOKUP($A753,[1]库存使用数据!$A:$M,13,0),0)+IFERROR(VLOOKUP($A753,[2]库存使用数据!$A:$M,13,0),0)+公式!$B$14*IFERROR(VLOOKUP($A753,[3]库存使用数据!$A:$M,13,0),0)+IFERROR(VLOOKUP($A753,[4]库存使用数据!$A:$M,13,0),0)+IFERROR(VLOOKUP($A753,[5]库存使用数据!$A:$M,13,0),0)</f>
        <v>0</v>
      </c>
    </row>
    <row r="754" spans="1:13">
      <c r="A754" s="6" t="s">
        <v>759</v>
      </c>
      <c r="B754" s="2">
        <f ca="1">IFERROR(VLOOKUP(A754,[1]库存使用数据!$A:$B,2,0),0)+IFERROR(VLOOKUP(A754,[2]库存使用数据!$A:$B,2,0),0)+IFERROR(VLOOKUP(,[3]库存使用数据!$A:$B,2,0),0)+IFERROR(VLOOKUP(A754,[4]库存使用数据!$A:$B,2,0),0)+IFERROR(VLOOKUP(A754,[5]库存使用数据!$A:$B,2,0),0)</f>
        <v>46</v>
      </c>
      <c r="C754" s="1">
        <f ca="1">IFERROR(VLOOKUP($A754,[1]库存使用数据!$A:$C,3,0),0)+IFERROR(VLOOKUP($A754,[2]库存使用数据!$A:$C,3,0),0)+IFERROR(VLOOKUP($A754,[3]库存使用数据!$A:$C,3,0),0)+IFERROR(VLOOKUP($A754,[4]库存使用数据!$A:$C,3,0),0)+IFERROR(VLOOKUP($A754,[5]库存使用数据!$A:$C,3,0),0)</f>
        <v>1</v>
      </c>
      <c r="D754" s="1">
        <f ca="1">IFERROR(VLOOKUP($A754,[1]库存使用数据!$A:$D,4,0),0)+IFERROR(VLOOKUP($A754,[2]库存使用数据!$A:$D,4,0),0)+公式!$B$1*IFERROR(VLOOKUP($A754,[3]库存使用数据!$A:$D,4,0),0)+IFERROR(VLOOKUP($A754,[4]库存使用数据!$A:$D,4,0),0)+IFERROR(VLOOKUP($A754,[5]库存使用数据!$A:$D,4,0),0)</f>
        <v>0.31</v>
      </c>
      <c r="E754" s="1">
        <f ca="1">IFERROR(VLOOKUP($A754,[1]库存使用数据!$A:$E,5,0),0)+IFERROR(VLOOKUP($A754,[2]库存使用数据!$A:$E,5,0),0)+IFERROR(VLOOKUP($A754,[3]库存使用数据!$A:$E,5,0),0)+IFERROR(VLOOKUP($A754,[4]库存使用数据!$A:$E,5,0),0)+IFERROR(VLOOKUP($A754,[5]库存使用数据!$A:$E,5,0),0)</f>
        <v>85</v>
      </c>
      <c r="F754" s="1">
        <f ca="1">IFERROR(VLOOKUP($A754,[1]库存使用数据!$A:$F,6,0),0)+IFERROR(VLOOKUP($A754,[2]库存使用数据!$A:$F,6,0),0)+IFERROR(VLOOKUP($A754,[4]库存使用数据!$A:$F,6,0),0)+IFERROR(VLOOKUP($A754,[3]库存使用数据!$A:$F,6,0),0)+IFERROR(VLOOKUP($A754,[5]库存使用数据!$A:$F,6,0),0)</f>
        <v>1</v>
      </c>
      <c r="G754" s="1">
        <f ca="1">IFERROR(VLOOKUP($A754,[1]库存使用数据!$A:$G,7,0),0)+IFERROR(VLOOKUP($A754,[2]库存使用数据!$A:$G,7,0),0)+公式!$B$14*IFERROR(VLOOKUP($A754,[3]库存使用数据!$A:$G,7,0),0)+IFERROR(VLOOKUP($A754,[4]库存使用数据!$A:$G,7,0),0)+IFERROR(VLOOKUP($A754,[5]库存使用数据!$A:$G,7,0),0)</f>
        <v>0.2</v>
      </c>
      <c r="H754" s="1">
        <f ca="1">IFERROR(VLOOKUP($A754,[1]库存使用数据!$A:$H,8,0),0)+IFERROR(VLOOKUP($A754,[2]库存使用数据!$A:$H,8,0),0)+IFERROR(VLOOKUP($A754,[3]库存使用数据!$A:$H,8,0),0)+IFERROR(VLOOKUP($A754,[4]库存使用数据!$A:$H,8,0),0)+IFERROR(VLOOKUP($A754,[5]库存使用数据!$A:$H,8,0),0)</f>
        <v>14</v>
      </c>
      <c r="I754" s="1">
        <f ca="1">IFERROR(VLOOKUP($A754,[1]库存使用数据!$A:$I,9,0),0)+IFERROR(VLOOKUP($A754,[2]库存使用数据!$A:$I,9,0),0)+IFERROR(VLOOKUP($A754,[3]库存使用数据!$A:$I,9,0),0)+IFERROR(VLOOKUP($A754,[4]库存使用数据!$A:$I,9,0),0)+IFERROR(VLOOKUP($A754,[5]库存使用数据!$A:$I,9,0),0)</f>
        <v>1</v>
      </c>
      <c r="J754" s="1">
        <f ca="1">IFERROR(VLOOKUP($A754,[1]库存使用数据!$A:$J,10,0),0)+IFERROR(VLOOKUP($A754,[2]库存使用数据!$A:$J,10,0),0)+公式!$B$14*IFERROR(VLOOKUP($A754,[3]库存使用数据!$A:$J,10,0),0)+IFERROR(VLOOKUP($A754,[4]库存使用数据!$A:$J,10,0),0)+IFERROR(VLOOKUP($A754,[5]库存使用数据!$A:$J,10,0),0)</f>
        <v>0.2</v>
      </c>
      <c r="K754" s="1">
        <f ca="1">IFERROR(VLOOKUP($A754,[1]库存使用数据!$A:$K,11,0),0)+IFERROR(VLOOKUP($A754,[2]库存使用数据!$A:$K,11,0),0)+IFERROR(VLOOKUP($A754,[3]库存使用数据!$A:$K,11,0),0)+IFERROR(VLOOKUP($A754,[4]库存使用数据!$A:$K,11,0),0)+IFERROR(VLOOKUP($A754,[5]库存使用数据!$A:$K,11,0),0)</f>
        <v>7</v>
      </c>
      <c r="L754" s="1">
        <f ca="1">IFERROR(VLOOKUP($A754,[1]库存使用数据!$A:$L,12,0),0)+IFERROR(VLOOKUP($A754,[2]库存使用数据!$A:$L,12,0),0)+IFERROR(VLOOKUP($A754,[3]库存使用数据!$A:$L,12,0),0)+IFERROR(VLOOKUP($A754,[4]库存使用数据!$A:$L,12,0),0)+IFERROR(VLOOKUP($A754,[5]库存使用数据!$A:$L,12,0),0)</f>
        <v>0</v>
      </c>
      <c r="M754" s="1">
        <f ca="1">IFERROR(VLOOKUP($A754,[1]库存使用数据!$A:$M,13,0),0)+IFERROR(VLOOKUP($A754,[2]库存使用数据!$A:$M,13,0),0)+公式!$B$14*IFERROR(VLOOKUP($A754,[3]库存使用数据!$A:$M,13,0),0)+IFERROR(VLOOKUP($A754,[4]库存使用数据!$A:$M,13,0),0)+IFERROR(VLOOKUP($A754,[5]库存使用数据!$A:$M,13,0),0)</f>
        <v>0</v>
      </c>
    </row>
    <row r="755" spans="1:13">
      <c r="A755" s="6" t="s">
        <v>760</v>
      </c>
      <c r="B755" s="2">
        <f ca="1">IFERROR(VLOOKUP(A755,[1]库存使用数据!$A:$B,2,0),0)+IFERROR(VLOOKUP(A755,[2]库存使用数据!$A:$B,2,0),0)+IFERROR(VLOOKUP(,[3]库存使用数据!$A:$B,2,0),0)+IFERROR(VLOOKUP(A755,[4]库存使用数据!$A:$B,2,0),0)+IFERROR(VLOOKUP(A755,[5]库存使用数据!$A:$B,2,0),0)</f>
        <v>142</v>
      </c>
      <c r="C755" s="1">
        <f ca="1">IFERROR(VLOOKUP($A755,[1]库存使用数据!$A:$C,3,0),0)+IFERROR(VLOOKUP($A755,[2]库存使用数据!$A:$C,3,0),0)+IFERROR(VLOOKUP($A755,[3]库存使用数据!$A:$C,3,0),0)+IFERROR(VLOOKUP($A755,[4]库存使用数据!$A:$C,3,0),0)+IFERROR(VLOOKUP($A755,[5]库存使用数据!$A:$C,3,0),0)</f>
        <v>0</v>
      </c>
      <c r="D755" s="1">
        <f ca="1">IFERROR(VLOOKUP($A755,[1]库存使用数据!$A:$D,4,0),0)+IFERROR(VLOOKUP($A755,[2]库存使用数据!$A:$D,4,0),0)+公式!$B$1*IFERROR(VLOOKUP($A755,[3]库存使用数据!$A:$D,4,0),0)+IFERROR(VLOOKUP($A755,[4]库存使用数据!$A:$D,4,0),0)+IFERROR(VLOOKUP($A755,[5]库存使用数据!$A:$D,4,0),0)</f>
        <v>0</v>
      </c>
      <c r="E755" s="1">
        <f ca="1">IFERROR(VLOOKUP($A755,[1]库存使用数据!$A:$E,5,0),0)+IFERROR(VLOOKUP($A755,[2]库存使用数据!$A:$E,5,0),0)+IFERROR(VLOOKUP($A755,[3]库存使用数据!$A:$E,5,0),0)+IFERROR(VLOOKUP($A755,[4]库存使用数据!$A:$E,5,0),0)+IFERROR(VLOOKUP($A755,[5]库存使用数据!$A:$E,5,0),0)</f>
        <v>160</v>
      </c>
      <c r="F755" s="1">
        <f ca="1">IFERROR(VLOOKUP($A755,[1]库存使用数据!$A:$F,6,0),0)+IFERROR(VLOOKUP($A755,[2]库存使用数据!$A:$F,6,0),0)+IFERROR(VLOOKUP($A755,[4]库存使用数据!$A:$F,6,0),0)+IFERROR(VLOOKUP($A755,[3]库存使用数据!$A:$F,6,0),0)+IFERROR(VLOOKUP($A755,[5]库存使用数据!$A:$F,6,0),0)</f>
        <v>0</v>
      </c>
      <c r="G755" s="1">
        <f ca="1">IFERROR(VLOOKUP($A755,[1]库存使用数据!$A:$G,7,0),0)+IFERROR(VLOOKUP($A755,[2]库存使用数据!$A:$G,7,0),0)+公式!$B$14*IFERROR(VLOOKUP($A755,[3]库存使用数据!$A:$G,7,0),0)+IFERROR(VLOOKUP($A755,[4]库存使用数据!$A:$G,7,0),0)+IFERROR(VLOOKUP($A755,[5]库存使用数据!$A:$G,7,0),0)</f>
        <v>0</v>
      </c>
      <c r="H755" s="1">
        <f ca="1">IFERROR(VLOOKUP($A755,[1]库存使用数据!$A:$H,8,0),0)+IFERROR(VLOOKUP($A755,[2]库存使用数据!$A:$H,8,0),0)+IFERROR(VLOOKUP($A755,[3]库存使用数据!$A:$H,8,0),0)+IFERROR(VLOOKUP($A755,[4]库存使用数据!$A:$H,8,0),0)+IFERROR(VLOOKUP($A755,[5]库存使用数据!$A:$H,8,0),0)</f>
        <v>26</v>
      </c>
      <c r="I755" s="1">
        <f ca="1">IFERROR(VLOOKUP($A755,[1]库存使用数据!$A:$I,9,0),0)+IFERROR(VLOOKUP($A755,[2]库存使用数据!$A:$I,9,0),0)+IFERROR(VLOOKUP($A755,[3]库存使用数据!$A:$I,9,0),0)+IFERROR(VLOOKUP($A755,[4]库存使用数据!$A:$I,9,0),0)+IFERROR(VLOOKUP($A755,[5]库存使用数据!$A:$I,9,0),0)</f>
        <v>0</v>
      </c>
      <c r="J755" s="1">
        <f ca="1">IFERROR(VLOOKUP($A755,[1]库存使用数据!$A:$J,10,0),0)+IFERROR(VLOOKUP($A755,[2]库存使用数据!$A:$J,10,0),0)+公式!$B$14*IFERROR(VLOOKUP($A755,[3]库存使用数据!$A:$J,10,0),0)+IFERROR(VLOOKUP($A755,[4]库存使用数据!$A:$J,10,0),0)+IFERROR(VLOOKUP($A755,[5]库存使用数据!$A:$J,10,0),0)</f>
        <v>0</v>
      </c>
      <c r="K755" s="1">
        <f ca="1">IFERROR(VLOOKUP($A755,[1]库存使用数据!$A:$K,11,0),0)+IFERROR(VLOOKUP($A755,[2]库存使用数据!$A:$K,11,0),0)+IFERROR(VLOOKUP($A755,[3]库存使用数据!$A:$K,11,0),0)+IFERROR(VLOOKUP($A755,[4]库存使用数据!$A:$K,11,0),0)+IFERROR(VLOOKUP($A755,[5]库存使用数据!$A:$K,11,0),0)</f>
        <v>7</v>
      </c>
      <c r="L755" s="1">
        <f ca="1">IFERROR(VLOOKUP($A755,[1]库存使用数据!$A:$L,12,0),0)+IFERROR(VLOOKUP($A755,[2]库存使用数据!$A:$L,12,0),0)+IFERROR(VLOOKUP($A755,[3]库存使用数据!$A:$L,12,0),0)+IFERROR(VLOOKUP($A755,[4]库存使用数据!$A:$L,12,0),0)+IFERROR(VLOOKUP($A755,[5]库存使用数据!$A:$L,12,0),0)</f>
        <v>0</v>
      </c>
      <c r="M755" s="1">
        <f ca="1">IFERROR(VLOOKUP($A755,[1]库存使用数据!$A:$M,13,0),0)+IFERROR(VLOOKUP($A755,[2]库存使用数据!$A:$M,13,0),0)+公式!$B$14*IFERROR(VLOOKUP($A755,[3]库存使用数据!$A:$M,13,0),0)+IFERROR(VLOOKUP($A755,[4]库存使用数据!$A:$M,13,0),0)+IFERROR(VLOOKUP($A755,[5]库存使用数据!$A:$M,13,0),0)</f>
        <v>0</v>
      </c>
    </row>
    <row r="756" spans="1:13">
      <c r="A756" s="6" t="s">
        <v>761</v>
      </c>
      <c r="B756" s="2">
        <f ca="1">IFERROR(VLOOKUP(A756,[1]库存使用数据!$A:$B,2,0),0)+IFERROR(VLOOKUP(A756,[2]库存使用数据!$A:$B,2,0),0)+IFERROR(VLOOKUP(,[3]库存使用数据!$A:$B,2,0),0)+IFERROR(VLOOKUP(A756,[4]库存使用数据!$A:$B,2,0),0)+IFERROR(VLOOKUP(A756,[5]库存使用数据!$A:$B,2,0),0)</f>
        <v>43</v>
      </c>
      <c r="C756" s="1">
        <f ca="1">IFERROR(VLOOKUP($A756,[1]库存使用数据!$A:$C,3,0),0)+IFERROR(VLOOKUP($A756,[2]库存使用数据!$A:$C,3,0),0)+IFERROR(VLOOKUP($A756,[3]库存使用数据!$A:$C,3,0),0)+IFERROR(VLOOKUP($A756,[4]库存使用数据!$A:$C,3,0),0)+IFERROR(VLOOKUP($A756,[5]库存使用数据!$A:$C,3,0),0)</f>
        <v>0</v>
      </c>
      <c r="D756" s="1">
        <f ca="1">IFERROR(VLOOKUP($A756,[1]库存使用数据!$A:$D,4,0),0)+IFERROR(VLOOKUP($A756,[2]库存使用数据!$A:$D,4,0),0)+公式!$B$1*IFERROR(VLOOKUP($A756,[3]库存使用数据!$A:$D,4,0),0)+IFERROR(VLOOKUP($A756,[4]库存使用数据!$A:$D,4,0),0)+IFERROR(VLOOKUP($A756,[5]库存使用数据!$A:$D,4,0),0)</f>
        <v>0</v>
      </c>
      <c r="E756" s="1">
        <f ca="1">IFERROR(VLOOKUP($A756,[1]库存使用数据!$A:$E,5,0),0)+IFERROR(VLOOKUP($A756,[2]库存使用数据!$A:$E,5,0),0)+IFERROR(VLOOKUP($A756,[3]库存使用数据!$A:$E,5,0),0)+IFERROR(VLOOKUP($A756,[4]库存使用数据!$A:$E,5,0),0)+IFERROR(VLOOKUP($A756,[5]库存使用数据!$A:$E,5,0),0)</f>
        <v>71</v>
      </c>
      <c r="F756" s="1">
        <f ca="1">IFERROR(VLOOKUP($A756,[1]库存使用数据!$A:$F,6,0),0)+IFERROR(VLOOKUP($A756,[2]库存使用数据!$A:$F,6,0),0)+IFERROR(VLOOKUP($A756,[4]库存使用数据!$A:$F,6,0),0)+IFERROR(VLOOKUP($A756,[3]库存使用数据!$A:$F,6,0),0)+IFERROR(VLOOKUP($A756,[5]库存使用数据!$A:$F,6,0),0)</f>
        <v>0</v>
      </c>
      <c r="G756" s="1">
        <f ca="1">IFERROR(VLOOKUP($A756,[1]库存使用数据!$A:$G,7,0),0)+IFERROR(VLOOKUP($A756,[2]库存使用数据!$A:$G,7,0),0)+公式!$B$14*IFERROR(VLOOKUP($A756,[3]库存使用数据!$A:$G,7,0),0)+IFERROR(VLOOKUP($A756,[4]库存使用数据!$A:$G,7,0),0)+IFERROR(VLOOKUP($A756,[5]库存使用数据!$A:$G,7,0),0)</f>
        <v>0</v>
      </c>
      <c r="H756" s="1">
        <f ca="1">IFERROR(VLOOKUP($A756,[1]库存使用数据!$A:$H,8,0),0)+IFERROR(VLOOKUP($A756,[2]库存使用数据!$A:$H,8,0),0)+IFERROR(VLOOKUP($A756,[3]库存使用数据!$A:$H,8,0),0)+IFERROR(VLOOKUP($A756,[4]库存使用数据!$A:$H,8,0),0)+IFERROR(VLOOKUP($A756,[5]库存使用数据!$A:$H,8,0),0)</f>
        <v>17</v>
      </c>
      <c r="I756" s="1">
        <f ca="1">IFERROR(VLOOKUP($A756,[1]库存使用数据!$A:$I,9,0),0)+IFERROR(VLOOKUP($A756,[2]库存使用数据!$A:$I,9,0),0)+IFERROR(VLOOKUP($A756,[3]库存使用数据!$A:$I,9,0),0)+IFERROR(VLOOKUP($A756,[4]库存使用数据!$A:$I,9,0),0)+IFERROR(VLOOKUP($A756,[5]库存使用数据!$A:$I,9,0),0)</f>
        <v>0</v>
      </c>
      <c r="J756" s="1">
        <f ca="1">IFERROR(VLOOKUP($A756,[1]库存使用数据!$A:$J,10,0),0)+IFERROR(VLOOKUP($A756,[2]库存使用数据!$A:$J,10,0),0)+公式!$B$14*IFERROR(VLOOKUP($A756,[3]库存使用数据!$A:$J,10,0),0)+IFERROR(VLOOKUP($A756,[4]库存使用数据!$A:$J,10,0),0)+IFERROR(VLOOKUP($A756,[5]库存使用数据!$A:$J,10,0),0)</f>
        <v>0</v>
      </c>
      <c r="K756" s="1">
        <f ca="1">IFERROR(VLOOKUP($A756,[1]库存使用数据!$A:$K,11,0),0)+IFERROR(VLOOKUP($A756,[2]库存使用数据!$A:$K,11,0),0)+IFERROR(VLOOKUP($A756,[3]库存使用数据!$A:$K,11,0),0)+IFERROR(VLOOKUP($A756,[4]库存使用数据!$A:$K,11,0),0)+IFERROR(VLOOKUP($A756,[5]库存使用数据!$A:$K,11,0),0)</f>
        <v>9</v>
      </c>
      <c r="L756" s="1">
        <f ca="1">IFERROR(VLOOKUP($A756,[1]库存使用数据!$A:$L,12,0),0)+IFERROR(VLOOKUP($A756,[2]库存使用数据!$A:$L,12,0),0)+IFERROR(VLOOKUP($A756,[3]库存使用数据!$A:$L,12,0),0)+IFERROR(VLOOKUP($A756,[4]库存使用数据!$A:$L,12,0),0)+IFERROR(VLOOKUP($A756,[5]库存使用数据!$A:$L,12,0),0)</f>
        <v>0</v>
      </c>
      <c r="M756" s="1">
        <f ca="1">IFERROR(VLOOKUP($A756,[1]库存使用数据!$A:$M,13,0),0)+IFERROR(VLOOKUP($A756,[2]库存使用数据!$A:$M,13,0),0)+公式!$B$14*IFERROR(VLOOKUP($A756,[3]库存使用数据!$A:$M,13,0),0)+IFERROR(VLOOKUP($A756,[4]库存使用数据!$A:$M,13,0),0)+IFERROR(VLOOKUP($A756,[5]库存使用数据!$A:$M,13,0),0)</f>
        <v>0</v>
      </c>
    </row>
    <row r="757" spans="1:13">
      <c r="A757" s="6" t="s">
        <v>762</v>
      </c>
      <c r="B757" s="2">
        <f ca="1">IFERROR(VLOOKUP(A757,[1]库存使用数据!$A:$B,2,0),0)+IFERROR(VLOOKUP(A757,[2]库存使用数据!$A:$B,2,0),0)+IFERROR(VLOOKUP(,[3]库存使用数据!$A:$B,2,0),0)+IFERROR(VLOOKUP(A757,[4]库存使用数据!$A:$B,2,0),0)+IFERROR(VLOOKUP(A757,[5]库存使用数据!$A:$B,2,0),0)</f>
        <v>55</v>
      </c>
      <c r="C757" s="1">
        <f ca="1">IFERROR(VLOOKUP($A757,[1]库存使用数据!$A:$C,3,0),0)+IFERROR(VLOOKUP($A757,[2]库存使用数据!$A:$C,3,0),0)+IFERROR(VLOOKUP($A757,[3]库存使用数据!$A:$C,3,0),0)+IFERROR(VLOOKUP($A757,[4]库存使用数据!$A:$C,3,0),0)+IFERROR(VLOOKUP($A757,[5]库存使用数据!$A:$C,3,0),0)</f>
        <v>0</v>
      </c>
      <c r="D757" s="1">
        <f ca="1">IFERROR(VLOOKUP($A757,[1]库存使用数据!$A:$D,4,0),0)+IFERROR(VLOOKUP($A757,[2]库存使用数据!$A:$D,4,0),0)+公式!$B$1*IFERROR(VLOOKUP($A757,[3]库存使用数据!$A:$D,4,0),0)+IFERROR(VLOOKUP($A757,[4]库存使用数据!$A:$D,4,0),0)+IFERROR(VLOOKUP($A757,[5]库存使用数据!$A:$D,4,0),0)</f>
        <v>0</v>
      </c>
      <c r="E757" s="1">
        <f ca="1">IFERROR(VLOOKUP($A757,[1]库存使用数据!$A:$E,5,0),0)+IFERROR(VLOOKUP($A757,[2]库存使用数据!$A:$E,5,0),0)+IFERROR(VLOOKUP($A757,[3]库存使用数据!$A:$E,5,0),0)+IFERROR(VLOOKUP($A757,[4]库存使用数据!$A:$E,5,0),0)+IFERROR(VLOOKUP($A757,[5]库存使用数据!$A:$E,5,0),0)</f>
        <v>70</v>
      </c>
      <c r="F757" s="1">
        <f ca="1">IFERROR(VLOOKUP($A757,[1]库存使用数据!$A:$F,6,0),0)+IFERROR(VLOOKUP($A757,[2]库存使用数据!$A:$F,6,0),0)+IFERROR(VLOOKUP($A757,[4]库存使用数据!$A:$F,6,0),0)+IFERROR(VLOOKUP($A757,[3]库存使用数据!$A:$F,6,0),0)+IFERROR(VLOOKUP($A757,[5]库存使用数据!$A:$F,6,0),0)</f>
        <v>0</v>
      </c>
      <c r="G757" s="1">
        <f ca="1">IFERROR(VLOOKUP($A757,[1]库存使用数据!$A:$G,7,0),0)+IFERROR(VLOOKUP($A757,[2]库存使用数据!$A:$G,7,0),0)+公式!$B$14*IFERROR(VLOOKUP($A757,[3]库存使用数据!$A:$G,7,0),0)+IFERROR(VLOOKUP($A757,[4]库存使用数据!$A:$G,7,0),0)+IFERROR(VLOOKUP($A757,[5]库存使用数据!$A:$G,7,0),0)</f>
        <v>0</v>
      </c>
      <c r="H757" s="1">
        <f ca="1">IFERROR(VLOOKUP($A757,[1]库存使用数据!$A:$H,8,0),0)+IFERROR(VLOOKUP($A757,[2]库存使用数据!$A:$H,8,0),0)+IFERROR(VLOOKUP($A757,[3]库存使用数据!$A:$H,8,0),0)+IFERROR(VLOOKUP($A757,[4]库存使用数据!$A:$H,8,0),0)+IFERROR(VLOOKUP($A757,[5]库存使用数据!$A:$H,8,0),0)</f>
        <v>13</v>
      </c>
      <c r="I757" s="1">
        <f ca="1">IFERROR(VLOOKUP($A757,[1]库存使用数据!$A:$I,9,0),0)+IFERROR(VLOOKUP($A757,[2]库存使用数据!$A:$I,9,0),0)+IFERROR(VLOOKUP($A757,[3]库存使用数据!$A:$I,9,0),0)+IFERROR(VLOOKUP($A757,[4]库存使用数据!$A:$I,9,0),0)+IFERROR(VLOOKUP($A757,[5]库存使用数据!$A:$I,9,0),0)</f>
        <v>0</v>
      </c>
      <c r="J757" s="1">
        <f ca="1">IFERROR(VLOOKUP($A757,[1]库存使用数据!$A:$J,10,0),0)+IFERROR(VLOOKUP($A757,[2]库存使用数据!$A:$J,10,0),0)+公式!$B$14*IFERROR(VLOOKUP($A757,[3]库存使用数据!$A:$J,10,0),0)+IFERROR(VLOOKUP($A757,[4]库存使用数据!$A:$J,10,0),0)+IFERROR(VLOOKUP($A757,[5]库存使用数据!$A:$J,10,0),0)</f>
        <v>0</v>
      </c>
      <c r="K757" s="1">
        <f ca="1">IFERROR(VLOOKUP($A757,[1]库存使用数据!$A:$K,11,0),0)+IFERROR(VLOOKUP($A757,[2]库存使用数据!$A:$K,11,0),0)+IFERROR(VLOOKUP($A757,[3]库存使用数据!$A:$K,11,0),0)+IFERROR(VLOOKUP($A757,[4]库存使用数据!$A:$K,11,0),0)+IFERROR(VLOOKUP($A757,[5]库存使用数据!$A:$K,11,0),0)</f>
        <v>11</v>
      </c>
      <c r="L757" s="1">
        <f ca="1">IFERROR(VLOOKUP($A757,[1]库存使用数据!$A:$L,12,0),0)+IFERROR(VLOOKUP($A757,[2]库存使用数据!$A:$L,12,0),0)+IFERROR(VLOOKUP($A757,[3]库存使用数据!$A:$L,12,0),0)+IFERROR(VLOOKUP($A757,[4]库存使用数据!$A:$L,12,0),0)+IFERROR(VLOOKUP($A757,[5]库存使用数据!$A:$L,12,0),0)</f>
        <v>0</v>
      </c>
      <c r="M757" s="1">
        <f ca="1">IFERROR(VLOOKUP($A757,[1]库存使用数据!$A:$M,13,0),0)+IFERROR(VLOOKUP($A757,[2]库存使用数据!$A:$M,13,0),0)+公式!$B$14*IFERROR(VLOOKUP($A757,[3]库存使用数据!$A:$M,13,0),0)+IFERROR(VLOOKUP($A757,[4]库存使用数据!$A:$M,13,0),0)+IFERROR(VLOOKUP($A757,[5]库存使用数据!$A:$M,13,0),0)</f>
        <v>0</v>
      </c>
    </row>
    <row r="758" spans="1:13">
      <c r="A758" s="6" t="s">
        <v>763</v>
      </c>
      <c r="B758" s="2">
        <f ca="1">IFERROR(VLOOKUP(A758,[1]库存使用数据!$A:$B,2,0),0)+IFERROR(VLOOKUP(A758,[2]库存使用数据!$A:$B,2,0),0)+IFERROR(VLOOKUP(,[3]库存使用数据!$A:$B,2,0),0)+IFERROR(VLOOKUP(A758,[4]库存使用数据!$A:$B,2,0),0)+IFERROR(VLOOKUP(A758,[5]库存使用数据!$A:$B,2,0),0)</f>
        <v>35</v>
      </c>
      <c r="C758" s="1">
        <f ca="1">IFERROR(VLOOKUP($A758,[1]库存使用数据!$A:$C,3,0),0)+IFERROR(VLOOKUP($A758,[2]库存使用数据!$A:$C,3,0),0)+IFERROR(VLOOKUP($A758,[3]库存使用数据!$A:$C,3,0),0)+IFERROR(VLOOKUP($A758,[4]库存使用数据!$A:$C,3,0),0)+IFERROR(VLOOKUP($A758,[5]库存使用数据!$A:$C,3,0),0)</f>
        <v>0</v>
      </c>
      <c r="D758" s="1">
        <f ca="1">IFERROR(VLOOKUP($A758,[1]库存使用数据!$A:$D,4,0),0)+IFERROR(VLOOKUP($A758,[2]库存使用数据!$A:$D,4,0),0)+公式!$B$1*IFERROR(VLOOKUP($A758,[3]库存使用数据!$A:$D,4,0),0)+IFERROR(VLOOKUP($A758,[4]库存使用数据!$A:$D,4,0),0)+IFERROR(VLOOKUP($A758,[5]库存使用数据!$A:$D,4,0),0)</f>
        <v>0</v>
      </c>
      <c r="E758" s="1">
        <f ca="1">IFERROR(VLOOKUP($A758,[1]库存使用数据!$A:$E,5,0),0)+IFERROR(VLOOKUP($A758,[2]库存使用数据!$A:$E,5,0),0)+IFERROR(VLOOKUP($A758,[3]库存使用数据!$A:$E,5,0),0)+IFERROR(VLOOKUP($A758,[4]库存使用数据!$A:$E,5,0),0)+IFERROR(VLOOKUP($A758,[5]库存使用数据!$A:$E,5,0),0)</f>
        <v>527</v>
      </c>
      <c r="F758" s="1">
        <f ca="1">IFERROR(VLOOKUP($A758,[1]库存使用数据!$A:$F,6,0),0)+IFERROR(VLOOKUP($A758,[2]库存使用数据!$A:$F,6,0),0)+IFERROR(VLOOKUP($A758,[4]库存使用数据!$A:$F,6,0),0)+IFERROR(VLOOKUP($A758,[3]库存使用数据!$A:$F,6,0),0)+IFERROR(VLOOKUP($A758,[5]库存使用数据!$A:$F,6,0),0)</f>
        <v>2</v>
      </c>
      <c r="G758" s="1">
        <f ca="1">IFERROR(VLOOKUP($A758,[1]库存使用数据!$A:$G,7,0),0)+IFERROR(VLOOKUP($A758,[2]库存使用数据!$A:$G,7,0),0)+公式!$B$14*IFERROR(VLOOKUP($A758,[3]库存使用数据!$A:$G,7,0),0)+IFERROR(VLOOKUP($A758,[4]库存使用数据!$A:$G,7,0),0)+IFERROR(VLOOKUP($A758,[5]库存使用数据!$A:$G,7,0),0)</f>
        <v>0.52</v>
      </c>
      <c r="H758" s="1">
        <f ca="1">IFERROR(VLOOKUP($A758,[1]库存使用数据!$A:$H,8,0),0)+IFERROR(VLOOKUP($A758,[2]库存使用数据!$A:$H,8,0),0)+IFERROR(VLOOKUP($A758,[3]库存使用数据!$A:$H,8,0),0)+IFERROR(VLOOKUP($A758,[4]库存使用数据!$A:$H,8,0),0)+IFERROR(VLOOKUP($A758,[5]库存使用数据!$A:$H,8,0),0)</f>
        <v>56</v>
      </c>
      <c r="I758" s="1">
        <f ca="1">IFERROR(VLOOKUP($A758,[1]库存使用数据!$A:$I,9,0),0)+IFERROR(VLOOKUP($A758,[2]库存使用数据!$A:$I,9,0),0)+IFERROR(VLOOKUP($A758,[3]库存使用数据!$A:$I,9,0),0)+IFERROR(VLOOKUP($A758,[4]库存使用数据!$A:$I,9,0),0)+IFERROR(VLOOKUP($A758,[5]库存使用数据!$A:$I,9,0),0)</f>
        <v>0</v>
      </c>
      <c r="J758" s="1">
        <f ca="1">IFERROR(VLOOKUP($A758,[1]库存使用数据!$A:$J,10,0),0)+IFERROR(VLOOKUP($A758,[2]库存使用数据!$A:$J,10,0),0)+公式!$B$14*IFERROR(VLOOKUP($A758,[3]库存使用数据!$A:$J,10,0),0)+IFERROR(VLOOKUP($A758,[4]库存使用数据!$A:$J,10,0),0)+IFERROR(VLOOKUP($A758,[5]库存使用数据!$A:$J,10,0),0)</f>
        <v>0</v>
      </c>
      <c r="K758" s="1">
        <f ca="1">IFERROR(VLOOKUP($A758,[1]库存使用数据!$A:$K,11,0),0)+IFERROR(VLOOKUP($A758,[2]库存使用数据!$A:$K,11,0),0)+IFERROR(VLOOKUP($A758,[3]库存使用数据!$A:$K,11,0),0)+IFERROR(VLOOKUP($A758,[4]库存使用数据!$A:$K,11,0),0)+IFERROR(VLOOKUP($A758,[5]库存使用数据!$A:$K,11,0),0)</f>
        <v>28</v>
      </c>
      <c r="L758" s="1">
        <f ca="1">IFERROR(VLOOKUP($A758,[1]库存使用数据!$A:$L,12,0),0)+IFERROR(VLOOKUP($A758,[2]库存使用数据!$A:$L,12,0),0)+IFERROR(VLOOKUP($A758,[3]库存使用数据!$A:$L,12,0),0)+IFERROR(VLOOKUP($A758,[4]库存使用数据!$A:$L,12,0),0)+IFERROR(VLOOKUP($A758,[5]库存使用数据!$A:$L,12,0),0)</f>
        <v>0</v>
      </c>
      <c r="M758" s="1">
        <f ca="1">IFERROR(VLOOKUP($A758,[1]库存使用数据!$A:$M,13,0),0)+IFERROR(VLOOKUP($A758,[2]库存使用数据!$A:$M,13,0),0)+公式!$B$14*IFERROR(VLOOKUP($A758,[3]库存使用数据!$A:$M,13,0),0)+IFERROR(VLOOKUP($A758,[4]库存使用数据!$A:$M,13,0),0)+IFERROR(VLOOKUP($A758,[5]库存使用数据!$A:$M,13,0),0)</f>
        <v>0</v>
      </c>
    </row>
    <row r="759" spans="1:13">
      <c r="A759" s="6" t="s">
        <v>764</v>
      </c>
      <c r="B759" s="2">
        <f ca="1">IFERROR(VLOOKUP(A759,[1]库存使用数据!$A:$B,2,0),0)+IFERROR(VLOOKUP(A759,[2]库存使用数据!$A:$B,2,0),0)+IFERROR(VLOOKUP(,[3]库存使用数据!$A:$B,2,0),0)+IFERROR(VLOOKUP(A759,[4]库存使用数据!$A:$B,2,0),0)+IFERROR(VLOOKUP(A759,[5]库存使用数据!$A:$B,2,0),0)</f>
        <v>54</v>
      </c>
      <c r="C759" s="1">
        <f ca="1">IFERROR(VLOOKUP($A759,[1]库存使用数据!$A:$C,3,0),0)+IFERROR(VLOOKUP($A759,[2]库存使用数据!$A:$C,3,0),0)+IFERROR(VLOOKUP($A759,[3]库存使用数据!$A:$C,3,0),0)+IFERROR(VLOOKUP($A759,[4]库存使用数据!$A:$C,3,0),0)+IFERROR(VLOOKUP($A759,[5]库存使用数据!$A:$C,3,0),0)</f>
        <v>0</v>
      </c>
      <c r="D759" s="1">
        <f ca="1">IFERROR(VLOOKUP($A759,[1]库存使用数据!$A:$D,4,0),0)+IFERROR(VLOOKUP($A759,[2]库存使用数据!$A:$D,4,0),0)+公式!$B$1*IFERROR(VLOOKUP($A759,[3]库存使用数据!$A:$D,4,0),0)+IFERROR(VLOOKUP($A759,[4]库存使用数据!$A:$D,4,0),0)+IFERROR(VLOOKUP($A759,[5]库存使用数据!$A:$D,4,0),0)</f>
        <v>0</v>
      </c>
      <c r="E759" s="1">
        <f ca="1">IFERROR(VLOOKUP($A759,[1]库存使用数据!$A:$E,5,0),0)+IFERROR(VLOOKUP($A759,[2]库存使用数据!$A:$E,5,0),0)+IFERROR(VLOOKUP($A759,[3]库存使用数据!$A:$E,5,0),0)+IFERROR(VLOOKUP($A759,[4]库存使用数据!$A:$E,5,0),0)+IFERROR(VLOOKUP($A759,[5]库存使用数据!$A:$E,5,0),0)</f>
        <v>86</v>
      </c>
      <c r="F759" s="1">
        <f ca="1">IFERROR(VLOOKUP($A759,[1]库存使用数据!$A:$F,6,0),0)+IFERROR(VLOOKUP($A759,[2]库存使用数据!$A:$F,6,0),0)+IFERROR(VLOOKUP($A759,[4]库存使用数据!$A:$F,6,0),0)+IFERROR(VLOOKUP($A759,[3]库存使用数据!$A:$F,6,0),0)+IFERROR(VLOOKUP($A759,[5]库存使用数据!$A:$F,6,0),0)</f>
        <v>0</v>
      </c>
      <c r="G759" s="1">
        <f ca="1">IFERROR(VLOOKUP($A759,[1]库存使用数据!$A:$G,7,0),0)+IFERROR(VLOOKUP($A759,[2]库存使用数据!$A:$G,7,0),0)+公式!$B$14*IFERROR(VLOOKUP($A759,[3]库存使用数据!$A:$G,7,0),0)+IFERROR(VLOOKUP($A759,[4]库存使用数据!$A:$G,7,0),0)+IFERROR(VLOOKUP($A759,[5]库存使用数据!$A:$G,7,0),0)</f>
        <v>0</v>
      </c>
      <c r="H759" s="1">
        <f ca="1">IFERROR(VLOOKUP($A759,[1]库存使用数据!$A:$H,8,0),0)+IFERROR(VLOOKUP($A759,[2]库存使用数据!$A:$H,8,0),0)+IFERROR(VLOOKUP($A759,[3]库存使用数据!$A:$H,8,0),0)+IFERROR(VLOOKUP($A759,[4]库存使用数据!$A:$H,8,0),0)+IFERROR(VLOOKUP($A759,[5]库存使用数据!$A:$H,8,0),0)</f>
        <v>8</v>
      </c>
      <c r="I759" s="1">
        <f ca="1">IFERROR(VLOOKUP($A759,[1]库存使用数据!$A:$I,9,0),0)+IFERROR(VLOOKUP($A759,[2]库存使用数据!$A:$I,9,0),0)+IFERROR(VLOOKUP($A759,[3]库存使用数据!$A:$I,9,0),0)+IFERROR(VLOOKUP($A759,[4]库存使用数据!$A:$I,9,0),0)+IFERROR(VLOOKUP($A759,[5]库存使用数据!$A:$I,9,0),0)</f>
        <v>0</v>
      </c>
      <c r="J759" s="1">
        <f ca="1">IFERROR(VLOOKUP($A759,[1]库存使用数据!$A:$J,10,0),0)+IFERROR(VLOOKUP($A759,[2]库存使用数据!$A:$J,10,0),0)+公式!$B$14*IFERROR(VLOOKUP($A759,[3]库存使用数据!$A:$J,10,0),0)+IFERROR(VLOOKUP($A759,[4]库存使用数据!$A:$J,10,0),0)+IFERROR(VLOOKUP($A759,[5]库存使用数据!$A:$J,10,0),0)</f>
        <v>0</v>
      </c>
      <c r="K759" s="1">
        <f ca="1">IFERROR(VLOOKUP($A759,[1]库存使用数据!$A:$K,11,0),0)+IFERROR(VLOOKUP($A759,[2]库存使用数据!$A:$K,11,0),0)+IFERROR(VLOOKUP($A759,[3]库存使用数据!$A:$K,11,0),0)+IFERROR(VLOOKUP($A759,[4]库存使用数据!$A:$K,11,0),0)+IFERROR(VLOOKUP($A759,[5]库存使用数据!$A:$K,11,0),0)</f>
        <v>8</v>
      </c>
      <c r="L759" s="1">
        <f ca="1">IFERROR(VLOOKUP($A759,[1]库存使用数据!$A:$L,12,0),0)+IFERROR(VLOOKUP($A759,[2]库存使用数据!$A:$L,12,0),0)+IFERROR(VLOOKUP($A759,[3]库存使用数据!$A:$L,12,0),0)+IFERROR(VLOOKUP($A759,[4]库存使用数据!$A:$L,12,0),0)+IFERROR(VLOOKUP($A759,[5]库存使用数据!$A:$L,12,0),0)</f>
        <v>0</v>
      </c>
      <c r="M759" s="1">
        <f ca="1">IFERROR(VLOOKUP($A759,[1]库存使用数据!$A:$M,13,0),0)+IFERROR(VLOOKUP($A759,[2]库存使用数据!$A:$M,13,0),0)+公式!$B$14*IFERROR(VLOOKUP($A759,[3]库存使用数据!$A:$M,13,0),0)+IFERROR(VLOOKUP($A759,[4]库存使用数据!$A:$M,13,0),0)+IFERROR(VLOOKUP($A759,[5]库存使用数据!$A:$M,13,0),0)</f>
        <v>0</v>
      </c>
    </row>
    <row r="760" spans="1:13">
      <c r="A760" s="6" t="s">
        <v>765</v>
      </c>
      <c r="B760" s="2">
        <f ca="1">IFERROR(VLOOKUP(A760,[1]库存使用数据!$A:$B,2,0),0)+IFERROR(VLOOKUP(A760,[2]库存使用数据!$A:$B,2,0),0)+IFERROR(VLOOKUP(,[3]库存使用数据!$A:$B,2,0),0)+IFERROR(VLOOKUP(A760,[4]库存使用数据!$A:$B,2,0),0)+IFERROR(VLOOKUP(A760,[5]库存使用数据!$A:$B,2,0),0)</f>
        <v>29</v>
      </c>
      <c r="C760" s="1">
        <f ca="1">IFERROR(VLOOKUP($A760,[1]库存使用数据!$A:$C,3,0),0)+IFERROR(VLOOKUP($A760,[2]库存使用数据!$A:$C,3,0),0)+IFERROR(VLOOKUP($A760,[3]库存使用数据!$A:$C,3,0),0)+IFERROR(VLOOKUP($A760,[4]库存使用数据!$A:$C,3,0),0)+IFERROR(VLOOKUP($A760,[5]库存使用数据!$A:$C,3,0),0)</f>
        <v>0</v>
      </c>
      <c r="D760" s="1">
        <f ca="1">IFERROR(VLOOKUP($A760,[1]库存使用数据!$A:$D,4,0),0)+IFERROR(VLOOKUP($A760,[2]库存使用数据!$A:$D,4,0),0)+公式!$B$1*IFERROR(VLOOKUP($A760,[3]库存使用数据!$A:$D,4,0),0)+IFERROR(VLOOKUP($A760,[4]库存使用数据!$A:$D,4,0),0)+IFERROR(VLOOKUP($A760,[5]库存使用数据!$A:$D,4,0),0)</f>
        <v>0</v>
      </c>
      <c r="E760" s="1">
        <f ca="1">IFERROR(VLOOKUP($A760,[1]库存使用数据!$A:$E,5,0),0)+IFERROR(VLOOKUP($A760,[2]库存使用数据!$A:$E,5,0),0)+IFERROR(VLOOKUP($A760,[3]库存使用数据!$A:$E,5,0),0)+IFERROR(VLOOKUP($A760,[4]库存使用数据!$A:$E,5,0),0)+IFERROR(VLOOKUP($A760,[5]库存使用数据!$A:$E,5,0),0)</f>
        <v>64</v>
      </c>
      <c r="F760" s="1">
        <f ca="1">IFERROR(VLOOKUP($A760,[1]库存使用数据!$A:$F,6,0),0)+IFERROR(VLOOKUP($A760,[2]库存使用数据!$A:$F,6,0),0)+IFERROR(VLOOKUP($A760,[4]库存使用数据!$A:$F,6,0),0)+IFERROR(VLOOKUP($A760,[3]库存使用数据!$A:$F,6,0),0)+IFERROR(VLOOKUP($A760,[5]库存使用数据!$A:$F,6,0),0)</f>
        <v>0</v>
      </c>
      <c r="G760" s="1">
        <f ca="1">IFERROR(VLOOKUP($A760,[1]库存使用数据!$A:$G,7,0),0)+IFERROR(VLOOKUP($A760,[2]库存使用数据!$A:$G,7,0),0)+公式!$B$14*IFERROR(VLOOKUP($A760,[3]库存使用数据!$A:$G,7,0),0)+IFERROR(VLOOKUP($A760,[4]库存使用数据!$A:$G,7,0),0)+IFERROR(VLOOKUP($A760,[5]库存使用数据!$A:$G,7,0),0)</f>
        <v>0</v>
      </c>
      <c r="H760" s="1">
        <f ca="1">IFERROR(VLOOKUP($A760,[1]库存使用数据!$A:$H,8,0),0)+IFERROR(VLOOKUP($A760,[2]库存使用数据!$A:$H,8,0),0)+IFERROR(VLOOKUP($A760,[3]库存使用数据!$A:$H,8,0),0)+IFERROR(VLOOKUP($A760,[4]库存使用数据!$A:$H,8,0),0)+IFERROR(VLOOKUP($A760,[5]库存使用数据!$A:$H,8,0),0)</f>
        <v>5</v>
      </c>
      <c r="I760" s="1">
        <f ca="1">IFERROR(VLOOKUP($A760,[1]库存使用数据!$A:$I,9,0),0)+IFERROR(VLOOKUP($A760,[2]库存使用数据!$A:$I,9,0),0)+IFERROR(VLOOKUP($A760,[3]库存使用数据!$A:$I,9,0),0)+IFERROR(VLOOKUP($A760,[4]库存使用数据!$A:$I,9,0),0)+IFERROR(VLOOKUP($A760,[5]库存使用数据!$A:$I,9,0),0)</f>
        <v>0</v>
      </c>
      <c r="J760" s="1">
        <f ca="1">IFERROR(VLOOKUP($A760,[1]库存使用数据!$A:$J,10,0),0)+IFERROR(VLOOKUP($A760,[2]库存使用数据!$A:$J,10,0),0)+公式!$B$14*IFERROR(VLOOKUP($A760,[3]库存使用数据!$A:$J,10,0),0)+IFERROR(VLOOKUP($A760,[4]库存使用数据!$A:$J,10,0),0)+IFERROR(VLOOKUP($A760,[5]库存使用数据!$A:$J,10,0),0)</f>
        <v>0</v>
      </c>
      <c r="K760" s="1">
        <f ca="1">IFERROR(VLOOKUP($A760,[1]库存使用数据!$A:$K,11,0),0)+IFERROR(VLOOKUP($A760,[2]库存使用数据!$A:$K,11,0),0)+IFERROR(VLOOKUP($A760,[3]库存使用数据!$A:$K,11,0),0)+IFERROR(VLOOKUP($A760,[4]库存使用数据!$A:$K,11,0),0)+IFERROR(VLOOKUP($A760,[5]库存使用数据!$A:$K,11,0),0)</f>
        <v>5</v>
      </c>
      <c r="L760" s="1">
        <f ca="1">IFERROR(VLOOKUP($A760,[1]库存使用数据!$A:$L,12,0),0)+IFERROR(VLOOKUP($A760,[2]库存使用数据!$A:$L,12,0),0)+IFERROR(VLOOKUP($A760,[3]库存使用数据!$A:$L,12,0),0)+IFERROR(VLOOKUP($A760,[4]库存使用数据!$A:$L,12,0),0)+IFERROR(VLOOKUP($A760,[5]库存使用数据!$A:$L,12,0),0)</f>
        <v>0</v>
      </c>
      <c r="M760" s="1">
        <f ca="1">IFERROR(VLOOKUP($A760,[1]库存使用数据!$A:$M,13,0),0)+IFERROR(VLOOKUP($A760,[2]库存使用数据!$A:$M,13,0),0)+公式!$B$14*IFERROR(VLOOKUP($A760,[3]库存使用数据!$A:$M,13,0),0)+IFERROR(VLOOKUP($A760,[4]库存使用数据!$A:$M,13,0),0)+IFERROR(VLOOKUP($A760,[5]库存使用数据!$A:$M,13,0),0)</f>
        <v>0</v>
      </c>
    </row>
    <row r="761" spans="1:13">
      <c r="A761" s="6" t="s">
        <v>766</v>
      </c>
      <c r="B761" s="2">
        <f ca="1">IFERROR(VLOOKUP(A761,[1]库存使用数据!$A:$B,2,0),0)+IFERROR(VLOOKUP(A761,[2]库存使用数据!$A:$B,2,0),0)+IFERROR(VLOOKUP(,[3]库存使用数据!$A:$B,2,0),0)+IFERROR(VLOOKUP(A761,[4]库存使用数据!$A:$B,2,0),0)+IFERROR(VLOOKUP(A761,[5]库存使用数据!$A:$B,2,0),0)</f>
        <v>319</v>
      </c>
      <c r="C761" s="1">
        <f ca="1">IFERROR(VLOOKUP($A761,[1]库存使用数据!$A:$C,3,0),0)+IFERROR(VLOOKUP($A761,[2]库存使用数据!$A:$C,3,0),0)+IFERROR(VLOOKUP($A761,[3]库存使用数据!$A:$C,3,0),0)+IFERROR(VLOOKUP($A761,[4]库存使用数据!$A:$C,3,0),0)+IFERROR(VLOOKUP($A761,[5]库存使用数据!$A:$C,3,0),0)</f>
        <v>0</v>
      </c>
      <c r="D761" s="1">
        <f ca="1">IFERROR(VLOOKUP($A761,[1]库存使用数据!$A:$D,4,0),0)+IFERROR(VLOOKUP($A761,[2]库存使用数据!$A:$D,4,0),0)+公式!$B$1*IFERROR(VLOOKUP($A761,[3]库存使用数据!$A:$D,4,0),0)+IFERROR(VLOOKUP($A761,[4]库存使用数据!$A:$D,4,0),0)+IFERROR(VLOOKUP($A761,[5]库存使用数据!$A:$D,4,0),0)</f>
        <v>0</v>
      </c>
      <c r="E761" s="1">
        <f ca="1">IFERROR(VLOOKUP($A761,[1]库存使用数据!$A:$E,5,0),0)+IFERROR(VLOOKUP($A761,[2]库存使用数据!$A:$E,5,0),0)+IFERROR(VLOOKUP($A761,[3]库存使用数据!$A:$E,5,0),0)+IFERROR(VLOOKUP($A761,[4]库存使用数据!$A:$E,5,0),0)+IFERROR(VLOOKUP($A761,[5]库存使用数据!$A:$E,5,0),0)</f>
        <v>667</v>
      </c>
      <c r="F761" s="1">
        <f ca="1">IFERROR(VLOOKUP($A761,[1]库存使用数据!$A:$F,6,0),0)+IFERROR(VLOOKUP($A761,[2]库存使用数据!$A:$F,6,0),0)+IFERROR(VLOOKUP($A761,[4]库存使用数据!$A:$F,6,0),0)+IFERROR(VLOOKUP($A761,[3]库存使用数据!$A:$F,6,0),0)+IFERROR(VLOOKUP($A761,[5]库存使用数据!$A:$F,6,0),0)</f>
        <v>3</v>
      </c>
      <c r="G761" s="1">
        <f ca="1">IFERROR(VLOOKUP($A761,[1]库存使用数据!$A:$G,7,0),0)+IFERROR(VLOOKUP($A761,[2]库存使用数据!$A:$G,7,0),0)+公式!$B$14*IFERROR(VLOOKUP($A761,[3]库存使用数据!$A:$G,7,0),0)+IFERROR(VLOOKUP($A761,[4]库存使用数据!$A:$G,7,0),0)+IFERROR(VLOOKUP($A761,[5]库存使用数据!$A:$G,7,0),0)</f>
        <v>0.68</v>
      </c>
      <c r="H761" s="1">
        <f ca="1">IFERROR(VLOOKUP($A761,[1]库存使用数据!$A:$H,8,0),0)+IFERROR(VLOOKUP($A761,[2]库存使用数据!$A:$H,8,0),0)+IFERROR(VLOOKUP($A761,[3]库存使用数据!$A:$H,8,0),0)+IFERROR(VLOOKUP($A761,[4]库存使用数据!$A:$H,8,0),0)+IFERROR(VLOOKUP($A761,[5]库存使用数据!$A:$H,8,0),0)</f>
        <v>49</v>
      </c>
      <c r="I761" s="1">
        <f ca="1">IFERROR(VLOOKUP($A761,[1]库存使用数据!$A:$I,9,0),0)+IFERROR(VLOOKUP($A761,[2]库存使用数据!$A:$I,9,0),0)+IFERROR(VLOOKUP($A761,[3]库存使用数据!$A:$I,9,0),0)+IFERROR(VLOOKUP($A761,[4]库存使用数据!$A:$I,9,0),0)+IFERROR(VLOOKUP($A761,[5]库存使用数据!$A:$I,9,0),0)</f>
        <v>0</v>
      </c>
      <c r="J761" s="1">
        <f ca="1">IFERROR(VLOOKUP($A761,[1]库存使用数据!$A:$J,10,0),0)+IFERROR(VLOOKUP($A761,[2]库存使用数据!$A:$J,10,0),0)+公式!$B$14*IFERROR(VLOOKUP($A761,[3]库存使用数据!$A:$J,10,0),0)+IFERROR(VLOOKUP($A761,[4]库存使用数据!$A:$J,10,0),0)+IFERROR(VLOOKUP($A761,[5]库存使用数据!$A:$J,10,0),0)</f>
        <v>0</v>
      </c>
      <c r="K761" s="1">
        <f ca="1">IFERROR(VLOOKUP($A761,[1]库存使用数据!$A:$K,11,0),0)+IFERROR(VLOOKUP($A761,[2]库存使用数据!$A:$K,11,0),0)+IFERROR(VLOOKUP($A761,[3]库存使用数据!$A:$K,11,0),0)+IFERROR(VLOOKUP($A761,[4]库存使用数据!$A:$K,11,0),0)+IFERROR(VLOOKUP($A761,[5]库存使用数据!$A:$K,11,0),0)</f>
        <v>24</v>
      </c>
      <c r="L761" s="1">
        <f ca="1">IFERROR(VLOOKUP($A761,[1]库存使用数据!$A:$L,12,0),0)+IFERROR(VLOOKUP($A761,[2]库存使用数据!$A:$L,12,0),0)+IFERROR(VLOOKUP($A761,[3]库存使用数据!$A:$L,12,0),0)+IFERROR(VLOOKUP($A761,[4]库存使用数据!$A:$L,12,0),0)+IFERROR(VLOOKUP($A761,[5]库存使用数据!$A:$L,12,0),0)</f>
        <v>0</v>
      </c>
      <c r="M761" s="1">
        <f ca="1">IFERROR(VLOOKUP($A761,[1]库存使用数据!$A:$M,13,0),0)+IFERROR(VLOOKUP($A761,[2]库存使用数据!$A:$M,13,0),0)+公式!$B$14*IFERROR(VLOOKUP($A761,[3]库存使用数据!$A:$M,13,0),0)+IFERROR(VLOOKUP($A761,[4]库存使用数据!$A:$M,13,0),0)+IFERROR(VLOOKUP($A761,[5]库存使用数据!$A:$M,13,0),0)</f>
        <v>0</v>
      </c>
    </row>
    <row r="762" spans="1:13">
      <c r="A762" s="6" t="s">
        <v>767</v>
      </c>
      <c r="B762" s="2">
        <f ca="1">IFERROR(VLOOKUP(A762,[1]库存使用数据!$A:$B,2,0),0)+IFERROR(VLOOKUP(A762,[2]库存使用数据!$A:$B,2,0),0)+IFERROR(VLOOKUP(,[3]库存使用数据!$A:$B,2,0),0)+IFERROR(VLOOKUP(A762,[4]库存使用数据!$A:$B,2,0),0)+IFERROR(VLOOKUP(A762,[5]库存使用数据!$A:$B,2,0),0)</f>
        <v>54</v>
      </c>
      <c r="C762" s="1">
        <f ca="1">IFERROR(VLOOKUP($A762,[1]库存使用数据!$A:$C,3,0),0)+IFERROR(VLOOKUP($A762,[2]库存使用数据!$A:$C,3,0),0)+IFERROR(VLOOKUP($A762,[3]库存使用数据!$A:$C,3,0),0)+IFERROR(VLOOKUP($A762,[4]库存使用数据!$A:$C,3,0),0)+IFERROR(VLOOKUP($A762,[5]库存使用数据!$A:$C,3,0),0)</f>
        <v>0</v>
      </c>
      <c r="D762" s="1">
        <f ca="1">IFERROR(VLOOKUP($A762,[1]库存使用数据!$A:$D,4,0),0)+IFERROR(VLOOKUP($A762,[2]库存使用数据!$A:$D,4,0),0)+公式!$B$1*IFERROR(VLOOKUP($A762,[3]库存使用数据!$A:$D,4,0),0)+IFERROR(VLOOKUP($A762,[4]库存使用数据!$A:$D,4,0),0)+IFERROR(VLOOKUP($A762,[5]库存使用数据!$A:$D,4,0),0)</f>
        <v>0</v>
      </c>
      <c r="E762" s="1">
        <f ca="1">IFERROR(VLOOKUP($A762,[1]库存使用数据!$A:$E,5,0),0)+IFERROR(VLOOKUP($A762,[2]库存使用数据!$A:$E,5,0),0)+IFERROR(VLOOKUP($A762,[3]库存使用数据!$A:$E,5,0),0)+IFERROR(VLOOKUP($A762,[4]库存使用数据!$A:$E,5,0),0)+IFERROR(VLOOKUP($A762,[5]库存使用数据!$A:$E,5,0),0)</f>
        <v>81</v>
      </c>
      <c r="F762" s="1">
        <f ca="1">IFERROR(VLOOKUP($A762,[1]库存使用数据!$A:$F,6,0),0)+IFERROR(VLOOKUP($A762,[2]库存使用数据!$A:$F,6,0),0)+IFERROR(VLOOKUP($A762,[4]库存使用数据!$A:$F,6,0),0)+IFERROR(VLOOKUP($A762,[3]库存使用数据!$A:$F,6,0),0)+IFERROR(VLOOKUP($A762,[5]库存使用数据!$A:$F,6,0),0)</f>
        <v>0</v>
      </c>
      <c r="G762" s="1">
        <f ca="1">IFERROR(VLOOKUP($A762,[1]库存使用数据!$A:$G,7,0),0)+IFERROR(VLOOKUP($A762,[2]库存使用数据!$A:$G,7,0),0)+公式!$B$14*IFERROR(VLOOKUP($A762,[3]库存使用数据!$A:$G,7,0),0)+IFERROR(VLOOKUP($A762,[4]库存使用数据!$A:$G,7,0),0)+IFERROR(VLOOKUP($A762,[5]库存使用数据!$A:$G,7,0),0)</f>
        <v>0</v>
      </c>
      <c r="H762" s="1">
        <f ca="1">IFERROR(VLOOKUP($A762,[1]库存使用数据!$A:$H,8,0),0)+IFERROR(VLOOKUP($A762,[2]库存使用数据!$A:$H,8,0),0)+IFERROR(VLOOKUP($A762,[3]库存使用数据!$A:$H,8,0),0)+IFERROR(VLOOKUP($A762,[4]库存使用数据!$A:$H,8,0),0)+IFERROR(VLOOKUP($A762,[5]库存使用数据!$A:$H,8,0),0)</f>
        <v>19</v>
      </c>
      <c r="I762" s="1">
        <f ca="1">IFERROR(VLOOKUP($A762,[1]库存使用数据!$A:$I,9,0),0)+IFERROR(VLOOKUP($A762,[2]库存使用数据!$A:$I,9,0),0)+IFERROR(VLOOKUP($A762,[3]库存使用数据!$A:$I,9,0),0)+IFERROR(VLOOKUP($A762,[4]库存使用数据!$A:$I,9,0),0)+IFERROR(VLOOKUP($A762,[5]库存使用数据!$A:$I,9,0),0)</f>
        <v>0</v>
      </c>
      <c r="J762" s="1">
        <f ca="1">IFERROR(VLOOKUP($A762,[1]库存使用数据!$A:$J,10,0),0)+IFERROR(VLOOKUP($A762,[2]库存使用数据!$A:$J,10,0),0)+公式!$B$14*IFERROR(VLOOKUP($A762,[3]库存使用数据!$A:$J,10,0),0)+IFERROR(VLOOKUP($A762,[4]库存使用数据!$A:$J,10,0),0)+IFERROR(VLOOKUP($A762,[5]库存使用数据!$A:$J,10,0),0)</f>
        <v>0</v>
      </c>
      <c r="K762" s="1">
        <f ca="1">IFERROR(VLOOKUP($A762,[1]库存使用数据!$A:$K,11,0),0)+IFERROR(VLOOKUP($A762,[2]库存使用数据!$A:$K,11,0),0)+IFERROR(VLOOKUP($A762,[3]库存使用数据!$A:$K,11,0),0)+IFERROR(VLOOKUP($A762,[4]库存使用数据!$A:$K,11,0),0)+IFERROR(VLOOKUP($A762,[5]库存使用数据!$A:$K,11,0),0)</f>
        <v>11</v>
      </c>
      <c r="L762" s="1">
        <f ca="1">IFERROR(VLOOKUP($A762,[1]库存使用数据!$A:$L,12,0),0)+IFERROR(VLOOKUP($A762,[2]库存使用数据!$A:$L,12,0),0)+IFERROR(VLOOKUP($A762,[3]库存使用数据!$A:$L,12,0),0)+IFERROR(VLOOKUP($A762,[4]库存使用数据!$A:$L,12,0),0)+IFERROR(VLOOKUP($A762,[5]库存使用数据!$A:$L,12,0),0)</f>
        <v>0</v>
      </c>
      <c r="M762" s="1">
        <f ca="1">IFERROR(VLOOKUP($A762,[1]库存使用数据!$A:$M,13,0),0)+IFERROR(VLOOKUP($A762,[2]库存使用数据!$A:$M,13,0),0)+公式!$B$14*IFERROR(VLOOKUP($A762,[3]库存使用数据!$A:$M,13,0),0)+IFERROR(VLOOKUP($A762,[4]库存使用数据!$A:$M,13,0),0)+IFERROR(VLOOKUP($A762,[5]库存使用数据!$A:$M,13,0),0)</f>
        <v>0</v>
      </c>
    </row>
    <row r="763" spans="1:13">
      <c r="A763" s="6" t="s">
        <v>768</v>
      </c>
      <c r="B763" s="2">
        <f ca="1">IFERROR(VLOOKUP(A763,[1]库存使用数据!$A:$B,2,0),0)+IFERROR(VLOOKUP(A763,[2]库存使用数据!$A:$B,2,0),0)+IFERROR(VLOOKUP(,[3]库存使用数据!$A:$B,2,0),0)+IFERROR(VLOOKUP(A763,[4]库存使用数据!$A:$B,2,0),0)+IFERROR(VLOOKUP(A763,[5]库存使用数据!$A:$B,2,0),0)</f>
        <v>42</v>
      </c>
      <c r="C763" s="1">
        <f ca="1">IFERROR(VLOOKUP($A763,[1]库存使用数据!$A:$C,3,0),0)+IFERROR(VLOOKUP($A763,[2]库存使用数据!$A:$C,3,0),0)+IFERROR(VLOOKUP($A763,[3]库存使用数据!$A:$C,3,0),0)+IFERROR(VLOOKUP($A763,[4]库存使用数据!$A:$C,3,0),0)+IFERROR(VLOOKUP($A763,[5]库存使用数据!$A:$C,3,0),0)</f>
        <v>0</v>
      </c>
      <c r="D763" s="1">
        <f ca="1">IFERROR(VLOOKUP($A763,[1]库存使用数据!$A:$D,4,0),0)+IFERROR(VLOOKUP($A763,[2]库存使用数据!$A:$D,4,0),0)+公式!$B$1*IFERROR(VLOOKUP($A763,[3]库存使用数据!$A:$D,4,0),0)+IFERROR(VLOOKUP($A763,[4]库存使用数据!$A:$D,4,0),0)+IFERROR(VLOOKUP($A763,[5]库存使用数据!$A:$D,4,0),0)</f>
        <v>0</v>
      </c>
      <c r="E763" s="1">
        <f ca="1">IFERROR(VLOOKUP($A763,[1]库存使用数据!$A:$E,5,0),0)+IFERROR(VLOOKUP($A763,[2]库存使用数据!$A:$E,5,0),0)+IFERROR(VLOOKUP($A763,[3]库存使用数据!$A:$E,5,0),0)+IFERROR(VLOOKUP($A763,[4]库存使用数据!$A:$E,5,0),0)+IFERROR(VLOOKUP($A763,[5]库存使用数据!$A:$E,5,0),0)</f>
        <v>93</v>
      </c>
      <c r="F763" s="1">
        <f ca="1">IFERROR(VLOOKUP($A763,[1]库存使用数据!$A:$F,6,0),0)+IFERROR(VLOOKUP($A763,[2]库存使用数据!$A:$F,6,0),0)+IFERROR(VLOOKUP($A763,[4]库存使用数据!$A:$F,6,0),0)+IFERROR(VLOOKUP($A763,[3]库存使用数据!$A:$F,6,0),0)+IFERROR(VLOOKUP($A763,[5]库存使用数据!$A:$F,6,0),0)</f>
        <v>0</v>
      </c>
      <c r="G763" s="1">
        <f ca="1">IFERROR(VLOOKUP($A763,[1]库存使用数据!$A:$G,7,0),0)+IFERROR(VLOOKUP($A763,[2]库存使用数据!$A:$G,7,0),0)+公式!$B$14*IFERROR(VLOOKUP($A763,[3]库存使用数据!$A:$G,7,0),0)+IFERROR(VLOOKUP($A763,[4]库存使用数据!$A:$G,7,0),0)+IFERROR(VLOOKUP($A763,[5]库存使用数据!$A:$G,7,0),0)</f>
        <v>0</v>
      </c>
      <c r="H763" s="1">
        <f ca="1">IFERROR(VLOOKUP($A763,[1]库存使用数据!$A:$H,8,0),0)+IFERROR(VLOOKUP($A763,[2]库存使用数据!$A:$H,8,0),0)+IFERROR(VLOOKUP($A763,[3]库存使用数据!$A:$H,8,0),0)+IFERROR(VLOOKUP($A763,[4]库存使用数据!$A:$H,8,0),0)+IFERROR(VLOOKUP($A763,[5]库存使用数据!$A:$H,8,0),0)</f>
        <v>13</v>
      </c>
      <c r="I763" s="1">
        <f ca="1">IFERROR(VLOOKUP($A763,[1]库存使用数据!$A:$I,9,0),0)+IFERROR(VLOOKUP($A763,[2]库存使用数据!$A:$I,9,0),0)+IFERROR(VLOOKUP($A763,[3]库存使用数据!$A:$I,9,0),0)+IFERROR(VLOOKUP($A763,[4]库存使用数据!$A:$I,9,0),0)+IFERROR(VLOOKUP($A763,[5]库存使用数据!$A:$I,9,0),0)</f>
        <v>0</v>
      </c>
      <c r="J763" s="1">
        <f ca="1">IFERROR(VLOOKUP($A763,[1]库存使用数据!$A:$J,10,0),0)+IFERROR(VLOOKUP($A763,[2]库存使用数据!$A:$J,10,0),0)+公式!$B$14*IFERROR(VLOOKUP($A763,[3]库存使用数据!$A:$J,10,0),0)+IFERROR(VLOOKUP($A763,[4]库存使用数据!$A:$J,10,0),0)+IFERROR(VLOOKUP($A763,[5]库存使用数据!$A:$J,10,0),0)</f>
        <v>0</v>
      </c>
      <c r="K763" s="1">
        <f ca="1">IFERROR(VLOOKUP($A763,[1]库存使用数据!$A:$K,11,0),0)+IFERROR(VLOOKUP($A763,[2]库存使用数据!$A:$K,11,0),0)+IFERROR(VLOOKUP($A763,[3]库存使用数据!$A:$K,11,0),0)+IFERROR(VLOOKUP($A763,[4]库存使用数据!$A:$K,11,0),0)+IFERROR(VLOOKUP($A763,[5]库存使用数据!$A:$K,11,0),0)</f>
        <v>7</v>
      </c>
      <c r="L763" s="1">
        <f ca="1">IFERROR(VLOOKUP($A763,[1]库存使用数据!$A:$L,12,0),0)+IFERROR(VLOOKUP($A763,[2]库存使用数据!$A:$L,12,0),0)+IFERROR(VLOOKUP($A763,[3]库存使用数据!$A:$L,12,0),0)+IFERROR(VLOOKUP($A763,[4]库存使用数据!$A:$L,12,0),0)+IFERROR(VLOOKUP($A763,[5]库存使用数据!$A:$L,12,0),0)</f>
        <v>0</v>
      </c>
      <c r="M763" s="1">
        <f ca="1">IFERROR(VLOOKUP($A763,[1]库存使用数据!$A:$M,13,0),0)+IFERROR(VLOOKUP($A763,[2]库存使用数据!$A:$M,13,0),0)+公式!$B$14*IFERROR(VLOOKUP($A763,[3]库存使用数据!$A:$M,13,0),0)+IFERROR(VLOOKUP($A763,[4]库存使用数据!$A:$M,13,0),0)+IFERROR(VLOOKUP($A763,[5]库存使用数据!$A:$M,13,0),0)</f>
        <v>0</v>
      </c>
    </row>
    <row r="764" spans="1:13">
      <c r="A764" s="6" t="s">
        <v>769</v>
      </c>
      <c r="B764" s="2">
        <f ca="1">IFERROR(VLOOKUP(A764,[1]库存使用数据!$A:$B,2,0),0)+IFERROR(VLOOKUP(A764,[2]库存使用数据!$A:$B,2,0),0)+IFERROR(VLOOKUP(,[3]库存使用数据!$A:$B,2,0),0)+IFERROR(VLOOKUP(A764,[4]库存使用数据!$A:$B,2,0),0)+IFERROR(VLOOKUP(A764,[5]库存使用数据!$A:$B,2,0),0)</f>
        <v>40</v>
      </c>
      <c r="C764" s="1">
        <f ca="1">IFERROR(VLOOKUP($A764,[1]库存使用数据!$A:$C,3,0),0)+IFERROR(VLOOKUP($A764,[2]库存使用数据!$A:$C,3,0),0)+IFERROR(VLOOKUP($A764,[3]库存使用数据!$A:$C,3,0),0)+IFERROR(VLOOKUP($A764,[4]库存使用数据!$A:$C,3,0),0)+IFERROR(VLOOKUP($A764,[5]库存使用数据!$A:$C,3,0),0)</f>
        <v>0</v>
      </c>
      <c r="D764" s="1">
        <f ca="1">IFERROR(VLOOKUP($A764,[1]库存使用数据!$A:$D,4,0),0)+IFERROR(VLOOKUP($A764,[2]库存使用数据!$A:$D,4,0),0)+公式!$B$1*IFERROR(VLOOKUP($A764,[3]库存使用数据!$A:$D,4,0),0)+IFERROR(VLOOKUP($A764,[4]库存使用数据!$A:$D,4,0),0)+IFERROR(VLOOKUP($A764,[5]库存使用数据!$A:$D,4,0),0)</f>
        <v>0</v>
      </c>
      <c r="E764" s="1">
        <f ca="1">IFERROR(VLOOKUP($A764,[1]库存使用数据!$A:$E,5,0),0)+IFERROR(VLOOKUP($A764,[2]库存使用数据!$A:$E,5,0),0)+IFERROR(VLOOKUP($A764,[3]库存使用数据!$A:$E,5,0),0)+IFERROR(VLOOKUP($A764,[4]库存使用数据!$A:$E,5,0),0)+IFERROR(VLOOKUP($A764,[5]库存使用数据!$A:$E,5,0),0)</f>
        <v>87</v>
      </c>
      <c r="F764" s="1">
        <f ca="1">IFERROR(VLOOKUP($A764,[1]库存使用数据!$A:$F,6,0),0)+IFERROR(VLOOKUP($A764,[2]库存使用数据!$A:$F,6,0),0)+IFERROR(VLOOKUP($A764,[4]库存使用数据!$A:$F,6,0),0)+IFERROR(VLOOKUP($A764,[3]库存使用数据!$A:$F,6,0),0)+IFERROR(VLOOKUP($A764,[5]库存使用数据!$A:$F,6,0),0)</f>
        <v>1</v>
      </c>
      <c r="G764" s="1">
        <f ca="1">IFERROR(VLOOKUP($A764,[1]库存使用数据!$A:$G,7,0),0)+IFERROR(VLOOKUP($A764,[2]库存使用数据!$A:$G,7,0),0)+公式!$B$14*IFERROR(VLOOKUP($A764,[3]库存使用数据!$A:$G,7,0),0)+IFERROR(VLOOKUP($A764,[4]库存使用数据!$A:$G,7,0),0)+IFERROR(VLOOKUP($A764,[5]库存使用数据!$A:$G,7,0),0)</f>
        <v>0.33</v>
      </c>
      <c r="H764" s="1">
        <f ca="1">IFERROR(VLOOKUP($A764,[1]库存使用数据!$A:$H,8,0),0)+IFERROR(VLOOKUP($A764,[2]库存使用数据!$A:$H,8,0),0)+IFERROR(VLOOKUP($A764,[3]库存使用数据!$A:$H,8,0),0)+IFERROR(VLOOKUP($A764,[4]库存使用数据!$A:$H,8,0),0)+IFERROR(VLOOKUP($A764,[5]库存使用数据!$A:$H,8,0),0)</f>
        <v>10</v>
      </c>
      <c r="I764" s="1">
        <f ca="1">IFERROR(VLOOKUP($A764,[1]库存使用数据!$A:$I,9,0),0)+IFERROR(VLOOKUP($A764,[2]库存使用数据!$A:$I,9,0),0)+IFERROR(VLOOKUP($A764,[3]库存使用数据!$A:$I,9,0),0)+IFERROR(VLOOKUP($A764,[4]库存使用数据!$A:$I,9,0),0)+IFERROR(VLOOKUP($A764,[5]库存使用数据!$A:$I,9,0),0)</f>
        <v>0</v>
      </c>
      <c r="J764" s="1">
        <f ca="1">IFERROR(VLOOKUP($A764,[1]库存使用数据!$A:$J,10,0),0)+IFERROR(VLOOKUP($A764,[2]库存使用数据!$A:$J,10,0),0)+公式!$B$14*IFERROR(VLOOKUP($A764,[3]库存使用数据!$A:$J,10,0),0)+IFERROR(VLOOKUP($A764,[4]库存使用数据!$A:$J,10,0),0)+IFERROR(VLOOKUP($A764,[5]库存使用数据!$A:$J,10,0),0)</f>
        <v>0</v>
      </c>
      <c r="K764" s="1">
        <f ca="1">IFERROR(VLOOKUP($A764,[1]库存使用数据!$A:$K,11,0),0)+IFERROR(VLOOKUP($A764,[2]库存使用数据!$A:$K,11,0),0)+IFERROR(VLOOKUP($A764,[3]库存使用数据!$A:$K,11,0),0)+IFERROR(VLOOKUP($A764,[4]库存使用数据!$A:$K,11,0),0)+IFERROR(VLOOKUP($A764,[5]库存使用数据!$A:$K,11,0),0)</f>
        <v>9</v>
      </c>
      <c r="L764" s="1">
        <f ca="1">IFERROR(VLOOKUP($A764,[1]库存使用数据!$A:$L,12,0),0)+IFERROR(VLOOKUP($A764,[2]库存使用数据!$A:$L,12,0),0)+IFERROR(VLOOKUP($A764,[3]库存使用数据!$A:$L,12,0),0)+IFERROR(VLOOKUP($A764,[4]库存使用数据!$A:$L,12,0),0)+IFERROR(VLOOKUP($A764,[5]库存使用数据!$A:$L,12,0),0)</f>
        <v>0</v>
      </c>
      <c r="M764" s="1">
        <f ca="1">IFERROR(VLOOKUP($A764,[1]库存使用数据!$A:$M,13,0),0)+IFERROR(VLOOKUP($A764,[2]库存使用数据!$A:$M,13,0),0)+公式!$B$14*IFERROR(VLOOKUP($A764,[3]库存使用数据!$A:$M,13,0),0)+IFERROR(VLOOKUP($A764,[4]库存使用数据!$A:$M,13,0),0)+IFERROR(VLOOKUP($A764,[5]库存使用数据!$A:$M,13,0),0)</f>
        <v>0</v>
      </c>
    </row>
    <row r="765" spans="1:13">
      <c r="A765" s="6" t="s">
        <v>770</v>
      </c>
      <c r="B765" s="2">
        <f ca="1">IFERROR(VLOOKUP(A765,[1]库存使用数据!$A:$B,2,0),0)+IFERROR(VLOOKUP(A765,[2]库存使用数据!$A:$B,2,0),0)+IFERROR(VLOOKUP(,[3]库存使用数据!$A:$B,2,0),0)+IFERROR(VLOOKUP(A765,[4]库存使用数据!$A:$B,2,0),0)+IFERROR(VLOOKUP(A765,[5]库存使用数据!$A:$B,2,0),0)</f>
        <v>45</v>
      </c>
      <c r="C765" s="1">
        <f ca="1">IFERROR(VLOOKUP($A765,[1]库存使用数据!$A:$C,3,0),0)+IFERROR(VLOOKUP($A765,[2]库存使用数据!$A:$C,3,0),0)+IFERROR(VLOOKUP($A765,[3]库存使用数据!$A:$C,3,0),0)+IFERROR(VLOOKUP($A765,[4]库存使用数据!$A:$C,3,0),0)+IFERROR(VLOOKUP($A765,[5]库存使用数据!$A:$C,3,0),0)</f>
        <v>0</v>
      </c>
      <c r="D765" s="1">
        <f ca="1">IFERROR(VLOOKUP($A765,[1]库存使用数据!$A:$D,4,0),0)+IFERROR(VLOOKUP($A765,[2]库存使用数据!$A:$D,4,0),0)+公式!$B$1*IFERROR(VLOOKUP($A765,[3]库存使用数据!$A:$D,4,0),0)+IFERROR(VLOOKUP($A765,[4]库存使用数据!$A:$D,4,0),0)+IFERROR(VLOOKUP($A765,[5]库存使用数据!$A:$D,4,0),0)</f>
        <v>0</v>
      </c>
      <c r="E765" s="1">
        <f ca="1">IFERROR(VLOOKUP($A765,[1]库存使用数据!$A:$E,5,0),0)+IFERROR(VLOOKUP($A765,[2]库存使用数据!$A:$E,5,0),0)+IFERROR(VLOOKUP($A765,[3]库存使用数据!$A:$E,5,0),0)+IFERROR(VLOOKUP($A765,[4]库存使用数据!$A:$E,5,0),0)+IFERROR(VLOOKUP($A765,[5]库存使用数据!$A:$E,5,0),0)</f>
        <v>85</v>
      </c>
      <c r="F765" s="1">
        <f ca="1">IFERROR(VLOOKUP($A765,[1]库存使用数据!$A:$F,6,0),0)+IFERROR(VLOOKUP($A765,[2]库存使用数据!$A:$F,6,0),0)+IFERROR(VLOOKUP($A765,[4]库存使用数据!$A:$F,6,0),0)+IFERROR(VLOOKUP($A765,[3]库存使用数据!$A:$F,6,0),0)+IFERROR(VLOOKUP($A765,[5]库存使用数据!$A:$F,6,0),0)</f>
        <v>0</v>
      </c>
      <c r="G765" s="1">
        <f ca="1">IFERROR(VLOOKUP($A765,[1]库存使用数据!$A:$G,7,0),0)+IFERROR(VLOOKUP($A765,[2]库存使用数据!$A:$G,7,0),0)+公式!$B$14*IFERROR(VLOOKUP($A765,[3]库存使用数据!$A:$G,7,0),0)+IFERROR(VLOOKUP($A765,[4]库存使用数据!$A:$G,7,0),0)+IFERROR(VLOOKUP($A765,[5]库存使用数据!$A:$G,7,0),0)</f>
        <v>0</v>
      </c>
      <c r="H765" s="1">
        <f ca="1">IFERROR(VLOOKUP($A765,[1]库存使用数据!$A:$H,8,0),0)+IFERROR(VLOOKUP($A765,[2]库存使用数据!$A:$H,8,0),0)+IFERROR(VLOOKUP($A765,[3]库存使用数据!$A:$H,8,0),0)+IFERROR(VLOOKUP($A765,[4]库存使用数据!$A:$H,8,0),0)+IFERROR(VLOOKUP($A765,[5]库存使用数据!$A:$H,8,0),0)</f>
        <v>15</v>
      </c>
      <c r="I765" s="1">
        <f ca="1">IFERROR(VLOOKUP($A765,[1]库存使用数据!$A:$I,9,0),0)+IFERROR(VLOOKUP($A765,[2]库存使用数据!$A:$I,9,0),0)+IFERROR(VLOOKUP($A765,[3]库存使用数据!$A:$I,9,0),0)+IFERROR(VLOOKUP($A765,[4]库存使用数据!$A:$I,9,0),0)+IFERROR(VLOOKUP($A765,[5]库存使用数据!$A:$I,9,0),0)</f>
        <v>0</v>
      </c>
      <c r="J765" s="1">
        <f ca="1">IFERROR(VLOOKUP($A765,[1]库存使用数据!$A:$J,10,0),0)+IFERROR(VLOOKUP($A765,[2]库存使用数据!$A:$J,10,0),0)+公式!$B$14*IFERROR(VLOOKUP($A765,[3]库存使用数据!$A:$J,10,0),0)+IFERROR(VLOOKUP($A765,[4]库存使用数据!$A:$J,10,0),0)+IFERROR(VLOOKUP($A765,[5]库存使用数据!$A:$J,10,0),0)</f>
        <v>0</v>
      </c>
      <c r="K765" s="1">
        <f ca="1">IFERROR(VLOOKUP($A765,[1]库存使用数据!$A:$K,11,0),0)+IFERROR(VLOOKUP($A765,[2]库存使用数据!$A:$K,11,0),0)+IFERROR(VLOOKUP($A765,[3]库存使用数据!$A:$K,11,0),0)+IFERROR(VLOOKUP($A765,[4]库存使用数据!$A:$K,11,0),0)+IFERROR(VLOOKUP($A765,[5]库存使用数据!$A:$K,11,0),0)</f>
        <v>11</v>
      </c>
      <c r="L765" s="1">
        <f ca="1">IFERROR(VLOOKUP($A765,[1]库存使用数据!$A:$L,12,0),0)+IFERROR(VLOOKUP($A765,[2]库存使用数据!$A:$L,12,0),0)+IFERROR(VLOOKUP($A765,[3]库存使用数据!$A:$L,12,0),0)+IFERROR(VLOOKUP($A765,[4]库存使用数据!$A:$L,12,0),0)+IFERROR(VLOOKUP($A765,[5]库存使用数据!$A:$L,12,0),0)</f>
        <v>0</v>
      </c>
      <c r="M765" s="1">
        <f ca="1">IFERROR(VLOOKUP($A765,[1]库存使用数据!$A:$M,13,0),0)+IFERROR(VLOOKUP($A765,[2]库存使用数据!$A:$M,13,0),0)+公式!$B$14*IFERROR(VLOOKUP($A765,[3]库存使用数据!$A:$M,13,0),0)+IFERROR(VLOOKUP($A765,[4]库存使用数据!$A:$M,13,0),0)+IFERROR(VLOOKUP($A765,[5]库存使用数据!$A:$M,13,0),0)</f>
        <v>0</v>
      </c>
    </row>
    <row r="766" spans="1:13">
      <c r="A766" s="6" t="s">
        <v>771</v>
      </c>
      <c r="B766" s="2">
        <f ca="1">IFERROR(VLOOKUP(A766,[1]库存使用数据!$A:$B,2,0),0)+IFERROR(VLOOKUP(A766,[2]库存使用数据!$A:$B,2,0),0)+IFERROR(VLOOKUP(,[3]库存使用数据!$A:$B,2,0),0)+IFERROR(VLOOKUP(A766,[4]库存使用数据!$A:$B,2,0),0)+IFERROR(VLOOKUP(A766,[5]库存使用数据!$A:$B,2,0),0)</f>
        <v>37</v>
      </c>
      <c r="C766" s="1">
        <f ca="1">IFERROR(VLOOKUP($A766,[1]库存使用数据!$A:$C,3,0),0)+IFERROR(VLOOKUP($A766,[2]库存使用数据!$A:$C,3,0),0)+IFERROR(VLOOKUP($A766,[3]库存使用数据!$A:$C,3,0),0)+IFERROR(VLOOKUP($A766,[4]库存使用数据!$A:$C,3,0),0)+IFERROR(VLOOKUP($A766,[5]库存使用数据!$A:$C,3,0),0)</f>
        <v>0</v>
      </c>
      <c r="D766" s="1">
        <f ca="1">IFERROR(VLOOKUP($A766,[1]库存使用数据!$A:$D,4,0),0)+IFERROR(VLOOKUP($A766,[2]库存使用数据!$A:$D,4,0),0)+公式!$B$1*IFERROR(VLOOKUP($A766,[3]库存使用数据!$A:$D,4,0),0)+IFERROR(VLOOKUP($A766,[4]库存使用数据!$A:$D,4,0),0)+IFERROR(VLOOKUP($A766,[5]库存使用数据!$A:$D,4,0),0)</f>
        <v>0</v>
      </c>
      <c r="E766" s="1">
        <f ca="1">IFERROR(VLOOKUP($A766,[1]库存使用数据!$A:$E,5,0),0)+IFERROR(VLOOKUP($A766,[2]库存使用数据!$A:$E,5,0),0)+IFERROR(VLOOKUP($A766,[3]库存使用数据!$A:$E,5,0),0)+IFERROR(VLOOKUP($A766,[4]库存使用数据!$A:$E,5,0),0)+IFERROR(VLOOKUP($A766,[5]库存使用数据!$A:$E,5,0),0)</f>
        <v>81</v>
      </c>
      <c r="F766" s="1">
        <f ca="1">IFERROR(VLOOKUP($A766,[1]库存使用数据!$A:$F,6,0),0)+IFERROR(VLOOKUP($A766,[2]库存使用数据!$A:$F,6,0),0)+IFERROR(VLOOKUP($A766,[4]库存使用数据!$A:$F,6,0),0)+IFERROR(VLOOKUP($A766,[3]库存使用数据!$A:$F,6,0),0)+IFERROR(VLOOKUP($A766,[5]库存使用数据!$A:$F,6,0),0)</f>
        <v>0</v>
      </c>
      <c r="G766" s="1">
        <f ca="1">IFERROR(VLOOKUP($A766,[1]库存使用数据!$A:$G,7,0),0)+IFERROR(VLOOKUP($A766,[2]库存使用数据!$A:$G,7,0),0)+公式!$B$14*IFERROR(VLOOKUP($A766,[3]库存使用数据!$A:$G,7,0),0)+IFERROR(VLOOKUP($A766,[4]库存使用数据!$A:$G,7,0),0)+IFERROR(VLOOKUP($A766,[5]库存使用数据!$A:$G,7,0),0)</f>
        <v>0</v>
      </c>
      <c r="H766" s="1">
        <f ca="1">IFERROR(VLOOKUP($A766,[1]库存使用数据!$A:$H,8,0),0)+IFERROR(VLOOKUP($A766,[2]库存使用数据!$A:$H,8,0),0)+IFERROR(VLOOKUP($A766,[3]库存使用数据!$A:$H,8,0),0)+IFERROR(VLOOKUP($A766,[4]库存使用数据!$A:$H,8,0),0)+IFERROR(VLOOKUP($A766,[5]库存使用数据!$A:$H,8,0),0)</f>
        <v>15</v>
      </c>
      <c r="I766" s="1">
        <f ca="1">IFERROR(VLOOKUP($A766,[1]库存使用数据!$A:$I,9,0),0)+IFERROR(VLOOKUP($A766,[2]库存使用数据!$A:$I,9,0),0)+IFERROR(VLOOKUP($A766,[3]库存使用数据!$A:$I,9,0),0)+IFERROR(VLOOKUP($A766,[4]库存使用数据!$A:$I,9,0),0)+IFERROR(VLOOKUP($A766,[5]库存使用数据!$A:$I,9,0),0)</f>
        <v>0</v>
      </c>
      <c r="J766" s="1">
        <f ca="1">IFERROR(VLOOKUP($A766,[1]库存使用数据!$A:$J,10,0),0)+IFERROR(VLOOKUP($A766,[2]库存使用数据!$A:$J,10,0),0)+公式!$B$14*IFERROR(VLOOKUP($A766,[3]库存使用数据!$A:$J,10,0),0)+IFERROR(VLOOKUP($A766,[4]库存使用数据!$A:$J,10,0),0)+IFERROR(VLOOKUP($A766,[5]库存使用数据!$A:$J,10,0),0)</f>
        <v>0</v>
      </c>
      <c r="K766" s="1">
        <f ca="1">IFERROR(VLOOKUP($A766,[1]库存使用数据!$A:$K,11,0),0)+IFERROR(VLOOKUP($A766,[2]库存使用数据!$A:$K,11,0),0)+IFERROR(VLOOKUP($A766,[3]库存使用数据!$A:$K,11,0),0)+IFERROR(VLOOKUP($A766,[4]库存使用数据!$A:$K,11,0),0)+IFERROR(VLOOKUP($A766,[5]库存使用数据!$A:$K,11,0),0)</f>
        <v>7</v>
      </c>
      <c r="L766" s="1">
        <f ca="1">IFERROR(VLOOKUP($A766,[1]库存使用数据!$A:$L,12,0),0)+IFERROR(VLOOKUP($A766,[2]库存使用数据!$A:$L,12,0),0)+IFERROR(VLOOKUP($A766,[3]库存使用数据!$A:$L,12,0),0)+IFERROR(VLOOKUP($A766,[4]库存使用数据!$A:$L,12,0),0)+IFERROR(VLOOKUP($A766,[5]库存使用数据!$A:$L,12,0),0)</f>
        <v>1</v>
      </c>
      <c r="M766" s="1">
        <f ca="1">IFERROR(VLOOKUP($A766,[1]库存使用数据!$A:$M,13,0),0)+IFERROR(VLOOKUP($A766,[2]库存使用数据!$A:$M,13,0),0)+公式!$B$14*IFERROR(VLOOKUP($A766,[3]库存使用数据!$A:$M,13,0),0)+IFERROR(VLOOKUP($A766,[4]库存使用数据!$A:$M,13,0),0)+IFERROR(VLOOKUP($A766,[5]库存使用数据!$A:$M,13,0),0)</f>
        <v>0.33</v>
      </c>
    </row>
    <row r="767" spans="1:13">
      <c r="A767" s="6" t="s">
        <v>772</v>
      </c>
      <c r="B767" s="2">
        <f ca="1">IFERROR(VLOOKUP(A767,[1]库存使用数据!$A:$B,2,0),0)+IFERROR(VLOOKUP(A767,[2]库存使用数据!$A:$B,2,0),0)+IFERROR(VLOOKUP(,[3]库存使用数据!$A:$B,2,0),0)+IFERROR(VLOOKUP(A767,[4]库存使用数据!$A:$B,2,0),0)+IFERROR(VLOOKUP(A767,[5]库存使用数据!$A:$B,2,0),0)</f>
        <v>65</v>
      </c>
      <c r="C767" s="1">
        <f ca="1">IFERROR(VLOOKUP($A767,[1]库存使用数据!$A:$C,3,0),0)+IFERROR(VLOOKUP($A767,[2]库存使用数据!$A:$C,3,0),0)+IFERROR(VLOOKUP($A767,[3]库存使用数据!$A:$C,3,0),0)+IFERROR(VLOOKUP($A767,[4]库存使用数据!$A:$C,3,0),0)+IFERROR(VLOOKUP($A767,[5]库存使用数据!$A:$C,3,0),0)</f>
        <v>0</v>
      </c>
      <c r="D767" s="1">
        <f ca="1">IFERROR(VLOOKUP($A767,[1]库存使用数据!$A:$D,4,0),0)+IFERROR(VLOOKUP($A767,[2]库存使用数据!$A:$D,4,0),0)+公式!$B$1*IFERROR(VLOOKUP($A767,[3]库存使用数据!$A:$D,4,0),0)+IFERROR(VLOOKUP($A767,[4]库存使用数据!$A:$D,4,0),0)+IFERROR(VLOOKUP($A767,[5]库存使用数据!$A:$D,4,0),0)</f>
        <v>0</v>
      </c>
      <c r="E767" s="1">
        <f ca="1">IFERROR(VLOOKUP($A767,[1]库存使用数据!$A:$E,5,0),0)+IFERROR(VLOOKUP($A767,[2]库存使用数据!$A:$E,5,0),0)+IFERROR(VLOOKUP($A767,[3]库存使用数据!$A:$E,5,0),0)+IFERROR(VLOOKUP($A767,[4]库存使用数据!$A:$E,5,0),0)+IFERROR(VLOOKUP($A767,[5]库存使用数据!$A:$E,5,0),0)</f>
        <v>70</v>
      </c>
      <c r="F767" s="1">
        <f ca="1">IFERROR(VLOOKUP($A767,[1]库存使用数据!$A:$F,6,0),0)+IFERROR(VLOOKUP($A767,[2]库存使用数据!$A:$F,6,0),0)+IFERROR(VLOOKUP($A767,[4]库存使用数据!$A:$F,6,0),0)+IFERROR(VLOOKUP($A767,[3]库存使用数据!$A:$F,6,0),0)+IFERROR(VLOOKUP($A767,[5]库存使用数据!$A:$F,6,0),0)</f>
        <v>0</v>
      </c>
      <c r="G767" s="1">
        <f ca="1">IFERROR(VLOOKUP($A767,[1]库存使用数据!$A:$G,7,0),0)+IFERROR(VLOOKUP($A767,[2]库存使用数据!$A:$G,7,0),0)+公式!$B$14*IFERROR(VLOOKUP($A767,[3]库存使用数据!$A:$G,7,0),0)+IFERROR(VLOOKUP($A767,[4]库存使用数据!$A:$G,7,0),0)+IFERROR(VLOOKUP($A767,[5]库存使用数据!$A:$G,7,0),0)</f>
        <v>0</v>
      </c>
      <c r="H767" s="1">
        <f ca="1">IFERROR(VLOOKUP($A767,[1]库存使用数据!$A:$H,8,0),0)+IFERROR(VLOOKUP($A767,[2]库存使用数据!$A:$H,8,0),0)+IFERROR(VLOOKUP($A767,[3]库存使用数据!$A:$H,8,0),0)+IFERROR(VLOOKUP($A767,[4]库存使用数据!$A:$H,8,0),0)+IFERROR(VLOOKUP($A767,[5]库存使用数据!$A:$H,8,0),0)</f>
        <v>8</v>
      </c>
      <c r="I767" s="1">
        <f ca="1">IFERROR(VLOOKUP($A767,[1]库存使用数据!$A:$I,9,0),0)+IFERROR(VLOOKUP($A767,[2]库存使用数据!$A:$I,9,0),0)+IFERROR(VLOOKUP($A767,[3]库存使用数据!$A:$I,9,0),0)+IFERROR(VLOOKUP($A767,[4]库存使用数据!$A:$I,9,0),0)+IFERROR(VLOOKUP($A767,[5]库存使用数据!$A:$I,9,0),0)</f>
        <v>0</v>
      </c>
      <c r="J767" s="1">
        <f ca="1">IFERROR(VLOOKUP($A767,[1]库存使用数据!$A:$J,10,0),0)+IFERROR(VLOOKUP($A767,[2]库存使用数据!$A:$J,10,0),0)+公式!$B$14*IFERROR(VLOOKUP($A767,[3]库存使用数据!$A:$J,10,0),0)+IFERROR(VLOOKUP($A767,[4]库存使用数据!$A:$J,10,0),0)+IFERROR(VLOOKUP($A767,[5]库存使用数据!$A:$J,10,0),0)</f>
        <v>0</v>
      </c>
      <c r="K767" s="1">
        <f ca="1">IFERROR(VLOOKUP($A767,[1]库存使用数据!$A:$K,11,0),0)+IFERROR(VLOOKUP($A767,[2]库存使用数据!$A:$K,11,0),0)+IFERROR(VLOOKUP($A767,[3]库存使用数据!$A:$K,11,0),0)+IFERROR(VLOOKUP($A767,[4]库存使用数据!$A:$K,11,0),0)+IFERROR(VLOOKUP($A767,[5]库存使用数据!$A:$K,11,0),0)</f>
        <v>9</v>
      </c>
      <c r="L767" s="1">
        <f ca="1">IFERROR(VLOOKUP($A767,[1]库存使用数据!$A:$L,12,0),0)+IFERROR(VLOOKUP($A767,[2]库存使用数据!$A:$L,12,0),0)+IFERROR(VLOOKUP($A767,[3]库存使用数据!$A:$L,12,0),0)+IFERROR(VLOOKUP($A767,[4]库存使用数据!$A:$L,12,0),0)+IFERROR(VLOOKUP($A767,[5]库存使用数据!$A:$L,12,0),0)</f>
        <v>0</v>
      </c>
      <c r="M767" s="1">
        <f ca="1">IFERROR(VLOOKUP($A767,[1]库存使用数据!$A:$M,13,0),0)+IFERROR(VLOOKUP($A767,[2]库存使用数据!$A:$M,13,0),0)+公式!$B$14*IFERROR(VLOOKUP($A767,[3]库存使用数据!$A:$M,13,0),0)+IFERROR(VLOOKUP($A767,[4]库存使用数据!$A:$M,13,0),0)+IFERROR(VLOOKUP($A767,[5]库存使用数据!$A:$M,13,0),0)</f>
        <v>0</v>
      </c>
    </row>
    <row r="768" spans="1:13">
      <c r="A768" s="6" t="s">
        <v>773</v>
      </c>
      <c r="B768" s="2">
        <f ca="1">IFERROR(VLOOKUP(A768,[1]库存使用数据!$A:$B,2,0),0)+IFERROR(VLOOKUP(A768,[2]库存使用数据!$A:$B,2,0),0)+IFERROR(VLOOKUP(,[3]库存使用数据!$A:$B,2,0),0)+IFERROR(VLOOKUP(A768,[4]库存使用数据!$A:$B,2,0),0)+IFERROR(VLOOKUP(A768,[5]库存使用数据!$A:$B,2,0),0)</f>
        <v>53</v>
      </c>
      <c r="C768" s="1">
        <f ca="1">IFERROR(VLOOKUP($A768,[1]库存使用数据!$A:$C,3,0),0)+IFERROR(VLOOKUP($A768,[2]库存使用数据!$A:$C,3,0),0)+IFERROR(VLOOKUP($A768,[3]库存使用数据!$A:$C,3,0),0)+IFERROR(VLOOKUP($A768,[4]库存使用数据!$A:$C,3,0),0)+IFERROR(VLOOKUP($A768,[5]库存使用数据!$A:$C,3,0),0)</f>
        <v>0</v>
      </c>
      <c r="D768" s="1">
        <f ca="1">IFERROR(VLOOKUP($A768,[1]库存使用数据!$A:$D,4,0),0)+IFERROR(VLOOKUP($A768,[2]库存使用数据!$A:$D,4,0),0)+公式!$B$1*IFERROR(VLOOKUP($A768,[3]库存使用数据!$A:$D,4,0),0)+IFERROR(VLOOKUP($A768,[4]库存使用数据!$A:$D,4,0),0)+IFERROR(VLOOKUP($A768,[5]库存使用数据!$A:$D,4,0),0)</f>
        <v>0</v>
      </c>
      <c r="E768" s="1">
        <f ca="1">IFERROR(VLOOKUP($A768,[1]库存使用数据!$A:$E,5,0),0)+IFERROR(VLOOKUP($A768,[2]库存使用数据!$A:$E,5,0),0)+IFERROR(VLOOKUP($A768,[3]库存使用数据!$A:$E,5,0),0)+IFERROR(VLOOKUP($A768,[4]库存使用数据!$A:$E,5,0),0)+IFERROR(VLOOKUP($A768,[5]库存使用数据!$A:$E,5,0),0)</f>
        <v>93</v>
      </c>
      <c r="F768" s="1">
        <f ca="1">IFERROR(VLOOKUP($A768,[1]库存使用数据!$A:$F,6,0),0)+IFERROR(VLOOKUP($A768,[2]库存使用数据!$A:$F,6,0),0)+IFERROR(VLOOKUP($A768,[4]库存使用数据!$A:$F,6,0),0)+IFERROR(VLOOKUP($A768,[3]库存使用数据!$A:$F,6,0),0)+IFERROR(VLOOKUP($A768,[5]库存使用数据!$A:$F,6,0),0)</f>
        <v>0</v>
      </c>
      <c r="G768" s="1">
        <f ca="1">IFERROR(VLOOKUP($A768,[1]库存使用数据!$A:$G,7,0),0)+IFERROR(VLOOKUP($A768,[2]库存使用数据!$A:$G,7,0),0)+公式!$B$14*IFERROR(VLOOKUP($A768,[3]库存使用数据!$A:$G,7,0),0)+IFERROR(VLOOKUP($A768,[4]库存使用数据!$A:$G,7,0),0)+IFERROR(VLOOKUP($A768,[5]库存使用数据!$A:$G,7,0),0)</f>
        <v>0</v>
      </c>
      <c r="H768" s="1">
        <f ca="1">IFERROR(VLOOKUP($A768,[1]库存使用数据!$A:$H,8,0),0)+IFERROR(VLOOKUP($A768,[2]库存使用数据!$A:$H,8,0),0)+IFERROR(VLOOKUP($A768,[3]库存使用数据!$A:$H,8,0),0)+IFERROR(VLOOKUP($A768,[4]库存使用数据!$A:$H,8,0),0)+IFERROR(VLOOKUP($A768,[5]库存使用数据!$A:$H,8,0),0)</f>
        <v>16</v>
      </c>
      <c r="I768" s="1">
        <f ca="1">IFERROR(VLOOKUP($A768,[1]库存使用数据!$A:$I,9,0),0)+IFERROR(VLOOKUP($A768,[2]库存使用数据!$A:$I,9,0),0)+IFERROR(VLOOKUP($A768,[3]库存使用数据!$A:$I,9,0),0)+IFERROR(VLOOKUP($A768,[4]库存使用数据!$A:$I,9,0),0)+IFERROR(VLOOKUP($A768,[5]库存使用数据!$A:$I,9,0),0)</f>
        <v>0</v>
      </c>
      <c r="J768" s="1">
        <f ca="1">IFERROR(VLOOKUP($A768,[1]库存使用数据!$A:$J,10,0),0)+IFERROR(VLOOKUP($A768,[2]库存使用数据!$A:$J,10,0),0)+公式!$B$14*IFERROR(VLOOKUP($A768,[3]库存使用数据!$A:$J,10,0),0)+IFERROR(VLOOKUP($A768,[4]库存使用数据!$A:$J,10,0),0)+IFERROR(VLOOKUP($A768,[5]库存使用数据!$A:$J,10,0),0)</f>
        <v>0</v>
      </c>
      <c r="K768" s="1">
        <f ca="1">IFERROR(VLOOKUP($A768,[1]库存使用数据!$A:$K,11,0),0)+IFERROR(VLOOKUP($A768,[2]库存使用数据!$A:$K,11,0),0)+IFERROR(VLOOKUP($A768,[3]库存使用数据!$A:$K,11,0),0)+IFERROR(VLOOKUP($A768,[4]库存使用数据!$A:$K,11,0),0)+IFERROR(VLOOKUP($A768,[5]库存使用数据!$A:$K,11,0),0)</f>
        <v>16</v>
      </c>
      <c r="L768" s="1">
        <f ca="1">IFERROR(VLOOKUP($A768,[1]库存使用数据!$A:$L,12,0),0)+IFERROR(VLOOKUP($A768,[2]库存使用数据!$A:$L,12,0),0)+IFERROR(VLOOKUP($A768,[3]库存使用数据!$A:$L,12,0),0)+IFERROR(VLOOKUP($A768,[4]库存使用数据!$A:$L,12,0),0)+IFERROR(VLOOKUP($A768,[5]库存使用数据!$A:$L,12,0),0)</f>
        <v>0</v>
      </c>
      <c r="M768" s="1">
        <f ca="1">IFERROR(VLOOKUP($A768,[1]库存使用数据!$A:$M,13,0),0)+IFERROR(VLOOKUP($A768,[2]库存使用数据!$A:$M,13,0),0)+公式!$B$14*IFERROR(VLOOKUP($A768,[3]库存使用数据!$A:$M,13,0),0)+IFERROR(VLOOKUP($A768,[4]库存使用数据!$A:$M,13,0),0)+IFERROR(VLOOKUP($A768,[5]库存使用数据!$A:$M,13,0),0)</f>
        <v>0</v>
      </c>
    </row>
    <row r="769" spans="1:13">
      <c r="A769" s="6" t="s">
        <v>774</v>
      </c>
      <c r="B769" s="2">
        <f ca="1">IFERROR(VLOOKUP(A769,[1]库存使用数据!$A:$B,2,0),0)+IFERROR(VLOOKUP(A769,[2]库存使用数据!$A:$B,2,0),0)+IFERROR(VLOOKUP(,[3]库存使用数据!$A:$B,2,0),0)+IFERROR(VLOOKUP(A769,[4]库存使用数据!$A:$B,2,0),0)+IFERROR(VLOOKUP(A769,[5]库存使用数据!$A:$B,2,0),0)</f>
        <v>51</v>
      </c>
      <c r="C769" s="1">
        <f ca="1">IFERROR(VLOOKUP($A769,[1]库存使用数据!$A:$C,3,0),0)+IFERROR(VLOOKUP($A769,[2]库存使用数据!$A:$C,3,0),0)+IFERROR(VLOOKUP($A769,[3]库存使用数据!$A:$C,3,0),0)+IFERROR(VLOOKUP($A769,[4]库存使用数据!$A:$C,3,0),0)+IFERROR(VLOOKUP($A769,[5]库存使用数据!$A:$C,3,0),0)</f>
        <v>0</v>
      </c>
      <c r="D769" s="1">
        <f ca="1">IFERROR(VLOOKUP($A769,[1]库存使用数据!$A:$D,4,0),0)+IFERROR(VLOOKUP($A769,[2]库存使用数据!$A:$D,4,0),0)+公式!$B$1*IFERROR(VLOOKUP($A769,[3]库存使用数据!$A:$D,4,0),0)+IFERROR(VLOOKUP($A769,[4]库存使用数据!$A:$D,4,0),0)+IFERROR(VLOOKUP($A769,[5]库存使用数据!$A:$D,4,0),0)</f>
        <v>0</v>
      </c>
      <c r="E769" s="1">
        <f ca="1">IFERROR(VLOOKUP($A769,[1]库存使用数据!$A:$E,5,0),0)+IFERROR(VLOOKUP($A769,[2]库存使用数据!$A:$E,5,0),0)+IFERROR(VLOOKUP($A769,[3]库存使用数据!$A:$E,5,0),0)+IFERROR(VLOOKUP($A769,[4]库存使用数据!$A:$E,5,0),0)+IFERROR(VLOOKUP($A769,[5]库存使用数据!$A:$E,5,0),0)</f>
        <v>102</v>
      </c>
      <c r="F769" s="1">
        <f ca="1">IFERROR(VLOOKUP($A769,[1]库存使用数据!$A:$F,6,0),0)+IFERROR(VLOOKUP($A769,[2]库存使用数据!$A:$F,6,0),0)+IFERROR(VLOOKUP($A769,[4]库存使用数据!$A:$F,6,0),0)+IFERROR(VLOOKUP($A769,[3]库存使用数据!$A:$F,6,0),0)+IFERROR(VLOOKUP($A769,[5]库存使用数据!$A:$F,6,0),0)</f>
        <v>0</v>
      </c>
      <c r="G769" s="1">
        <f ca="1">IFERROR(VLOOKUP($A769,[1]库存使用数据!$A:$G,7,0),0)+IFERROR(VLOOKUP($A769,[2]库存使用数据!$A:$G,7,0),0)+公式!$B$14*IFERROR(VLOOKUP($A769,[3]库存使用数据!$A:$G,7,0),0)+IFERROR(VLOOKUP($A769,[4]库存使用数据!$A:$G,7,0),0)+IFERROR(VLOOKUP($A769,[5]库存使用数据!$A:$G,7,0),0)</f>
        <v>0</v>
      </c>
      <c r="H769" s="1">
        <f ca="1">IFERROR(VLOOKUP($A769,[1]库存使用数据!$A:$H,8,0),0)+IFERROR(VLOOKUP($A769,[2]库存使用数据!$A:$H,8,0),0)+IFERROR(VLOOKUP($A769,[3]库存使用数据!$A:$H,8,0),0)+IFERROR(VLOOKUP($A769,[4]库存使用数据!$A:$H,8,0),0)+IFERROR(VLOOKUP($A769,[5]库存使用数据!$A:$H,8,0),0)</f>
        <v>22</v>
      </c>
      <c r="I769" s="1">
        <f ca="1">IFERROR(VLOOKUP($A769,[1]库存使用数据!$A:$I,9,0),0)+IFERROR(VLOOKUP($A769,[2]库存使用数据!$A:$I,9,0),0)+IFERROR(VLOOKUP($A769,[3]库存使用数据!$A:$I,9,0),0)+IFERROR(VLOOKUP($A769,[4]库存使用数据!$A:$I,9,0),0)+IFERROR(VLOOKUP($A769,[5]库存使用数据!$A:$I,9,0),0)</f>
        <v>0</v>
      </c>
      <c r="J769" s="1">
        <f ca="1">IFERROR(VLOOKUP($A769,[1]库存使用数据!$A:$J,10,0),0)+IFERROR(VLOOKUP($A769,[2]库存使用数据!$A:$J,10,0),0)+公式!$B$14*IFERROR(VLOOKUP($A769,[3]库存使用数据!$A:$J,10,0),0)+IFERROR(VLOOKUP($A769,[4]库存使用数据!$A:$J,10,0),0)+IFERROR(VLOOKUP($A769,[5]库存使用数据!$A:$J,10,0),0)</f>
        <v>0</v>
      </c>
      <c r="K769" s="1">
        <f ca="1">IFERROR(VLOOKUP($A769,[1]库存使用数据!$A:$K,11,0),0)+IFERROR(VLOOKUP($A769,[2]库存使用数据!$A:$K,11,0),0)+IFERROR(VLOOKUP($A769,[3]库存使用数据!$A:$K,11,0),0)+IFERROR(VLOOKUP($A769,[4]库存使用数据!$A:$K,11,0),0)+IFERROR(VLOOKUP($A769,[5]库存使用数据!$A:$K,11,0),0)</f>
        <v>9</v>
      </c>
      <c r="L769" s="1">
        <f ca="1">IFERROR(VLOOKUP($A769,[1]库存使用数据!$A:$L,12,0),0)+IFERROR(VLOOKUP($A769,[2]库存使用数据!$A:$L,12,0),0)+IFERROR(VLOOKUP($A769,[3]库存使用数据!$A:$L,12,0),0)+IFERROR(VLOOKUP($A769,[4]库存使用数据!$A:$L,12,0),0)+IFERROR(VLOOKUP($A769,[5]库存使用数据!$A:$L,12,0),0)</f>
        <v>0</v>
      </c>
      <c r="M769" s="1">
        <f ca="1">IFERROR(VLOOKUP($A769,[1]库存使用数据!$A:$M,13,0),0)+IFERROR(VLOOKUP($A769,[2]库存使用数据!$A:$M,13,0),0)+公式!$B$14*IFERROR(VLOOKUP($A769,[3]库存使用数据!$A:$M,13,0),0)+IFERROR(VLOOKUP($A769,[4]库存使用数据!$A:$M,13,0),0)+IFERROR(VLOOKUP($A769,[5]库存使用数据!$A:$M,13,0),0)</f>
        <v>0</v>
      </c>
    </row>
    <row r="770" spans="1:13">
      <c r="A770" s="6" t="s">
        <v>775</v>
      </c>
      <c r="B770" s="2">
        <f ca="1">IFERROR(VLOOKUP(A770,[1]库存使用数据!$A:$B,2,0),0)+IFERROR(VLOOKUP(A770,[2]库存使用数据!$A:$B,2,0),0)+IFERROR(VLOOKUP(,[3]库存使用数据!$A:$B,2,0),0)+IFERROR(VLOOKUP(A770,[4]库存使用数据!$A:$B,2,0),0)+IFERROR(VLOOKUP(A770,[5]库存使用数据!$A:$B,2,0),0)</f>
        <v>43</v>
      </c>
      <c r="C770" s="1">
        <f ca="1">IFERROR(VLOOKUP($A770,[1]库存使用数据!$A:$C,3,0),0)+IFERROR(VLOOKUP($A770,[2]库存使用数据!$A:$C,3,0),0)+IFERROR(VLOOKUP($A770,[3]库存使用数据!$A:$C,3,0),0)+IFERROR(VLOOKUP($A770,[4]库存使用数据!$A:$C,3,0),0)+IFERROR(VLOOKUP($A770,[5]库存使用数据!$A:$C,3,0),0)</f>
        <v>0</v>
      </c>
      <c r="D770" s="1">
        <f ca="1">IFERROR(VLOOKUP($A770,[1]库存使用数据!$A:$D,4,0),0)+IFERROR(VLOOKUP($A770,[2]库存使用数据!$A:$D,4,0),0)+公式!$B$1*IFERROR(VLOOKUP($A770,[3]库存使用数据!$A:$D,4,0),0)+IFERROR(VLOOKUP($A770,[4]库存使用数据!$A:$D,4,0),0)+IFERROR(VLOOKUP($A770,[5]库存使用数据!$A:$D,4,0),0)</f>
        <v>0</v>
      </c>
      <c r="E770" s="1">
        <f ca="1">IFERROR(VLOOKUP($A770,[1]库存使用数据!$A:$E,5,0),0)+IFERROR(VLOOKUP($A770,[2]库存使用数据!$A:$E,5,0),0)+IFERROR(VLOOKUP($A770,[3]库存使用数据!$A:$E,5,0),0)+IFERROR(VLOOKUP($A770,[4]库存使用数据!$A:$E,5,0),0)+IFERROR(VLOOKUP($A770,[5]库存使用数据!$A:$E,5,0),0)</f>
        <v>88</v>
      </c>
      <c r="F770" s="1">
        <f ca="1">IFERROR(VLOOKUP($A770,[1]库存使用数据!$A:$F,6,0),0)+IFERROR(VLOOKUP($A770,[2]库存使用数据!$A:$F,6,0),0)+IFERROR(VLOOKUP($A770,[4]库存使用数据!$A:$F,6,0),0)+IFERROR(VLOOKUP($A770,[3]库存使用数据!$A:$F,6,0),0)+IFERROR(VLOOKUP($A770,[5]库存使用数据!$A:$F,6,0),0)</f>
        <v>0</v>
      </c>
      <c r="G770" s="1">
        <f ca="1">IFERROR(VLOOKUP($A770,[1]库存使用数据!$A:$G,7,0),0)+IFERROR(VLOOKUP($A770,[2]库存使用数据!$A:$G,7,0),0)+公式!$B$14*IFERROR(VLOOKUP($A770,[3]库存使用数据!$A:$G,7,0),0)+IFERROR(VLOOKUP($A770,[4]库存使用数据!$A:$G,7,0),0)+IFERROR(VLOOKUP($A770,[5]库存使用数据!$A:$G,7,0),0)</f>
        <v>0</v>
      </c>
      <c r="H770" s="1">
        <f ca="1">IFERROR(VLOOKUP($A770,[1]库存使用数据!$A:$H,8,0),0)+IFERROR(VLOOKUP($A770,[2]库存使用数据!$A:$H,8,0),0)+IFERROR(VLOOKUP($A770,[3]库存使用数据!$A:$H,8,0),0)+IFERROR(VLOOKUP($A770,[4]库存使用数据!$A:$H,8,0),0)+IFERROR(VLOOKUP($A770,[5]库存使用数据!$A:$H,8,0),0)</f>
        <v>20</v>
      </c>
      <c r="I770" s="1">
        <f ca="1">IFERROR(VLOOKUP($A770,[1]库存使用数据!$A:$I,9,0),0)+IFERROR(VLOOKUP($A770,[2]库存使用数据!$A:$I,9,0),0)+IFERROR(VLOOKUP($A770,[3]库存使用数据!$A:$I,9,0),0)+IFERROR(VLOOKUP($A770,[4]库存使用数据!$A:$I,9,0),0)+IFERROR(VLOOKUP($A770,[5]库存使用数据!$A:$I,9,0),0)</f>
        <v>0</v>
      </c>
      <c r="J770" s="1">
        <f ca="1">IFERROR(VLOOKUP($A770,[1]库存使用数据!$A:$J,10,0),0)+IFERROR(VLOOKUP($A770,[2]库存使用数据!$A:$J,10,0),0)+公式!$B$14*IFERROR(VLOOKUP($A770,[3]库存使用数据!$A:$J,10,0),0)+IFERROR(VLOOKUP($A770,[4]库存使用数据!$A:$J,10,0),0)+IFERROR(VLOOKUP($A770,[5]库存使用数据!$A:$J,10,0),0)</f>
        <v>0</v>
      </c>
      <c r="K770" s="1">
        <f ca="1">IFERROR(VLOOKUP($A770,[1]库存使用数据!$A:$K,11,0),0)+IFERROR(VLOOKUP($A770,[2]库存使用数据!$A:$K,11,0),0)+IFERROR(VLOOKUP($A770,[3]库存使用数据!$A:$K,11,0),0)+IFERROR(VLOOKUP($A770,[4]库存使用数据!$A:$K,11,0),0)+IFERROR(VLOOKUP($A770,[5]库存使用数据!$A:$K,11,0),0)</f>
        <v>10</v>
      </c>
      <c r="L770" s="1">
        <f ca="1">IFERROR(VLOOKUP($A770,[1]库存使用数据!$A:$L,12,0),0)+IFERROR(VLOOKUP($A770,[2]库存使用数据!$A:$L,12,0),0)+IFERROR(VLOOKUP($A770,[3]库存使用数据!$A:$L,12,0),0)+IFERROR(VLOOKUP($A770,[4]库存使用数据!$A:$L,12,0),0)+IFERROR(VLOOKUP($A770,[5]库存使用数据!$A:$L,12,0),0)</f>
        <v>0</v>
      </c>
      <c r="M770" s="1">
        <f ca="1">IFERROR(VLOOKUP($A770,[1]库存使用数据!$A:$M,13,0),0)+IFERROR(VLOOKUP($A770,[2]库存使用数据!$A:$M,13,0),0)+公式!$B$14*IFERROR(VLOOKUP($A770,[3]库存使用数据!$A:$M,13,0),0)+IFERROR(VLOOKUP($A770,[4]库存使用数据!$A:$M,13,0),0)+IFERROR(VLOOKUP($A770,[5]库存使用数据!$A:$M,13,0),0)</f>
        <v>0</v>
      </c>
    </row>
    <row r="771" spans="1:13">
      <c r="A771" s="6" t="s">
        <v>776</v>
      </c>
      <c r="B771" s="2">
        <f ca="1">IFERROR(VLOOKUP(A771,[1]库存使用数据!$A:$B,2,0),0)+IFERROR(VLOOKUP(A771,[2]库存使用数据!$A:$B,2,0),0)+IFERROR(VLOOKUP(,[3]库存使用数据!$A:$B,2,0),0)+IFERROR(VLOOKUP(A771,[4]库存使用数据!$A:$B,2,0),0)+IFERROR(VLOOKUP(A771,[5]库存使用数据!$A:$B,2,0),0)</f>
        <v>40</v>
      </c>
      <c r="C771" s="1">
        <f ca="1">IFERROR(VLOOKUP($A771,[1]库存使用数据!$A:$C,3,0),0)+IFERROR(VLOOKUP($A771,[2]库存使用数据!$A:$C,3,0),0)+IFERROR(VLOOKUP($A771,[3]库存使用数据!$A:$C,3,0),0)+IFERROR(VLOOKUP($A771,[4]库存使用数据!$A:$C,3,0),0)+IFERROR(VLOOKUP($A771,[5]库存使用数据!$A:$C,3,0),0)</f>
        <v>0</v>
      </c>
      <c r="D771" s="1">
        <f ca="1">IFERROR(VLOOKUP($A771,[1]库存使用数据!$A:$D,4,0),0)+IFERROR(VLOOKUP($A771,[2]库存使用数据!$A:$D,4,0),0)+公式!$B$1*IFERROR(VLOOKUP($A771,[3]库存使用数据!$A:$D,4,0),0)+IFERROR(VLOOKUP($A771,[4]库存使用数据!$A:$D,4,0),0)+IFERROR(VLOOKUP($A771,[5]库存使用数据!$A:$D,4,0),0)</f>
        <v>0</v>
      </c>
      <c r="E771" s="1">
        <f ca="1">IFERROR(VLOOKUP($A771,[1]库存使用数据!$A:$E,5,0),0)+IFERROR(VLOOKUP($A771,[2]库存使用数据!$A:$E,5,0),0)+IFERROR(VLOOKUP($A771,[3]库存使用数据!$A:$E,5,0),0)+IFERROR(VLOOKUP($A771,[4]库存使用数据!$A:$E,5,0),0)+IFERROR(VLOOKUP($A771,[5]库存使用数据!$A:$E,5,0),0)</f>
        <v>78</v>
      </c>
      <c r="F771" s="1">
        <f ca="1">IFERROR(VLOOKUP($A771,[1]库存使用数据!$A:$F,6,0),0)+IFERROR(VLOOKUP($A771,[2]库存使用数据!$A:$F,6,0),0)+IFERROR(VLOOKUP($A771,[4]库存使用数据!$A:$F,6,0),0)+IFERROR(VLOOKUP($A771,[3]库存使用数据!$A:$F,6,0),0)+IFERROR(VLOOKUP($A771,[5]库存使用数据!$A:$F,6,0),0)</f>
        <v>0</v>
      </c>
      <c r="G771" s="1">
        <f ca="1">IFERROR(VLOOKUP($A771,[1]库存使用数据!$A:$G,7,0),0)+IFERROR(VLOOKUP($A771,[2]库存使用数据!$A:$G,7,0),0)+公式!$B$14*IFERROR(VLOOKUP($A771,[3]库存使用数据!$A:$G,7,0),0)+IFERROR(VLOOKUP($A771,[4]库存使用数据!$A:$G,7,0),0)+IFERROR(VLOOKUP($A771,[5]库存使用数据!$A:$G,7,0),0)</f>
        <v>0</v>
      </c>
      <c r="H771" s="1">
        <f ca="1">IFERROR(VLOOKUP($A771,[1]库存使用数据!$A:$H,8,0),0)+IFERROR(VLOOKUP($A771,[2]库存使用数据!$A:$H,8,0),0)+IFERROR(VLOOKUP($A771,[3]库存使用数据!$A:$H,8,0),0)+IFERROR(VLOOKUP($A771,[4]库存使用数据!$A:$H,8,0),0)+IFERROR(VLOOKUP($A771,[5]库存使用数据!$A:$H,8,0),0)</f>
        <v>15</v>
      </c>
      <c r="I771" s="1">
        <f ca="1">IFERROR(VLOOKUP($A771,[1]库存使用数据!$A:$I,9,0),0)+IFERROR(VLOOKUP($A771,[2]库存使用数据!$A:$I,9,0),0)+IFERROR(VLOOKUP($A771,[3]库存使用数据!$A:$I,9,0),0)+IFERROR(VLOOKUP($A771,[4]库存使用数据!$A:$I,9,0),0)+IFERROR(VLOOKUP($A771,[5]库存使用数据!$A:$I,9,0),0)</f>
        <v>0</v>
      </c>
      <c r="J771" s="1">
        <f ca="1">IFERROR(VLOOKUP($A771,[1]库存使用数据!$A:$J,10,0),0)+IFERROR(VLOOKUP($A771,[2]库存使用数据!$A:$J,10,0),0)+公式!$B$14*IFERROR(VLOOKUP($A771,[3]库存使用数据!$A:$J,10,0),0)+IFERROR(VLOOKUP($A771,[4]库存使用数据!$A:$J,10,0),0)+IFERROR(VLOOKUP($A771,[5]库存使用数据!$A:$J,10,0),0)</f>
        <v>0</v>
      </c>
      <c r="K771" s="1">
        <f ca="1">IFERROR(VLOOKUP($A771,[1]库存使用数据!$A:$K,11,0),0)+IFERROR(VLOOKUP($A771,[2]库存使用数据!$A:$K,11,0),0)+IFERROR(VLOOKUP($A771,[3]库存使用数据!$A:$K,11,0),0)+IFERROR(VLOOKUP($A771,[4]库存使用数据!$A:$K,11,0),0)+IFERROR(VLOOKUP($A771,[5]库存使用数据!$A:$K,11,0),0)</f>
        <v>7</v>
      </c>
      <c r="L771" s="1">
        <f ca="1">IFERROR(VLOOKUP($A771,[1]库存使用数据!$A:$L,12,0),0)+IFERROR(VLOOKUP($A771,[2]库存使用数据!$A:$L,12,0),0)+IFERROR(VLOOKUP($A771,[3]库存使用数据!$A:$L,12,0),0)+IFERROR(VLOOKUP($A771,[4]库存使用数据!$A:$L,12,0),0)+IFERROR(VLOOKUP($A771,[5]库存使用数据!$A:$L,12,0),0)</f>
        <v>0</v>
      </c>
      <c r="M771" s="1">
        <f ca="1">IFERROR(VLOOKUP($A771,[1]库存使用数据!$A:$M,13,0),0)+IFERROR(VLOOKUP($A771,[2]库存使用数据!$A:$M,13,0),0)+公式!$B$14*IFERROR(VLOOKUP($A771,[3]库存使用数据!$A:$M,13,0),0)+IFERROR(VLOOKUP($A771,[4]库存使用数据!$A:$M,13,0),0)+IFERROR(VLOOKUP($A771,[5]库存使用数据!$A:$M,13,0),0)</f>
        <v>0</v>
      </c>
    </row>
    <row r="772" spans="1:13">
      <c r="A772" s="6" t="s">
        <v>777</v>
      </c>
      <c r="B772" s="2">
        <f ca="1">IFERROR(VLOOKUP(A772,[1]库存使用数据!$A:$B,2,0),0)+IFERROR(VLOOKUP(A772,[2]库存使用数据!$A:$B,2,0),0)+IFERROR(VLOOKUP(,[3]库存使用数据!$A:$B,2,0),0)+IFERROR(VLOOKUP(A772,[4]库存使用数据!$A:$B,2,0),0)+IFERROR(VLOOKUP(A772,[5]库存使用数据!$A:$B,2,0),0)</f>
        <v>1067</v>
      </c>
      <c r="C772" s="1">
        <f ca="1">IFERROR(VLOOKUP($A772,[1]库存使用数据!$A:$C,3,0),0)+IFERROR(VLOOKUP($A772,[2]库存使用数据!$A:$C,3,0),0)+IFERROR(VLOOKUP($A772,[3]库存使用数据!$A:$C,3,0),0)+IFERROR(VLOOKUP($A772,[4]库存使用数据!$A:$C,3,0),0)+IFERROR(VLOOKUP($A772,[5]库存使用数据!$A:$C,3,0),0)</f>
        <v>3</v>
      </c>
      <c r="D772" s="1">
        <f ca="1">IFERROR(VLOOKUP($A772,[1]库存使用数据!$A:$D,4,0),0)+IFERROR(VLOOKUP($A772,[2]库存使用数据!$A:$D,4,0),0)+公式!$B$1*IFERROR(VLOOKUP($A772,[3]库存使用数据!$A:$D,4,0),0)+IFERROR(VLOOKUP($A772,[4]库存使用数据!$A:$D,4,0),0)+IFERROR(VLOOKUP($A772,[5]库存使用数据!$A:$D,4,0),0)</f>
        <v>0.83</v>
      </c>
      <c r="E772" s="1">
        <f ca="1">IFERROR(VLOOKUP($A772,[1]库存使用数据!$A:$E,5,0),0)+IFERROR(VLOOKUP($A772,[2]库存使用数据!$A:$E,5,0),0)+IFERROR(VLOOKUP($A772,[3]库存使用数据!$A:$E,5,0),0)+IFERROR(VLOOKUP($A772,[4]库存使用数据!$A:$E,5,0),0)+IFERROR(VLOOKUP($A772,[5]库存使用数据!$A:$E,5,0),0)</f>
        <v>1591</v>
      </c>
      <c r="F772" s="1">
        <f ca="1">IFERROR(VLOOKUP($A772,[1]库存使用数据!$A:$F,6,0),0)+IFERROR(VLOOKUP($A772,[2]库存使用数据!$A:$F,6,0),0)+IFERROR(VLOOKUP($A772,[4]库存使用数据!$A:$F,6,0),0)+IFERROR(VLOOKUP($A772,[3]库存使用数据!$A:$F,6,0),0)+IFERROR(VLOOKUP($A772,[5]库存使用数据!$A:$F,6,0),0)</f>
        <v>2</v>
      </c>
      <c r="G772" s="1">
        <f ca="1">IFERROR(VLOOKUP($A772,[1]库存使用数据!$A:$G,7,0),0)+IFERROR(VLOOKUP($A772,[2]库存使用数据!$A:$G,7,0),0)+公式!$B$14*IFERROR(VLOOKUP($A772,[3]库存使用数据!$A:$G,7,0),0)+IFERROR(VLOOKUP($A772,[4]库存使用数据!$A:$G,7,0),0)+IFERROR(VLOOKUP($A772,[5]库存使用数据!$A:$G,7,0),0)</f>
        <v>0.33</v>
      </c>
      <c r="H772" s="1">
        <f ca="1">IFERROR(VLOOKUP($A772,[1]库存使用数据!$A:$H,8,0),0)+IFERROR(VLOOKUP($A772,[2]库存使用数据!$A:$H,8,0),0)+IFERROR(VLOOKUP($A772,[3]库存使用数据!$A:$H,8,0),0)+IFERROR(VLOOKUP($A772,[4]库存使用数据!$A:$H,8,0),0)+IFERROR(VLOOKUP($A772,[5]库存使用数据!$A:$H,8,0),0)</f>
        <v>15</v>
      </c>
      <c r="I772" s="1">
        <f ca="1">IFERROR(VLOOKUP($A772,[1]库存使用数据!$A:$I,9,0),0)+IFERROR(VLOOKUP($A772,[2]库存使用数据!$A:$I,9,0),0)+IFERROR(VLOOKUP($A772,[3]库存使用数据!$A:$I,9,0),0)+IFERROR(VLOOKUP($A772,[4]库存使用数据!$A:$I,9,0),0)+IFERROR(VLOOKUP($A772,[5]库存使用数据!$A:$I,9,0),0)</f>
        <v>0</v>
      </c>
      <c r="J772" s="1">
        <f ca="1">IFERROR(VLOOKUP($A772,[1]库存使用数据!$A:$J,10,0),0)+IFERROR(VLOOKUP($A772,[2]库存使用数据!$A:$J,10,0),0)+公式!$B$14*IFERROR(VLOOKUP($A772,[3]库存使用数据!$A:$J,10,0),0)+IFERROR(VLOOKUP($A772,[4]库存使用数据!$A:$J,10,0),0)+IFERROR(VLOOKUP($A772,[5]库存使用数据!$A:$J,10,0),0)</f>
        <v>0</v>
      </c>
      <c r="K772" s="1">
        <f ca="1">IFERROR(VLOOKUP($A772,[1]库存使用数据!$A:$K,11,0),0)+IFERROR(VLOOKUP($A772,[2]库存使用数据!$A:$K,11,0),0)+IFERROR(VLOOKUP($A772,[3]库存使用数据!$A:$K,11,0),0)+IFERROR(VLOOKUP($A772,[4]库存使用数据!$A:$K,11,0),0)+IFERROR(VLOOKUP($A772,[5]库存使用数据!$A:$K,11,0),0)</f>
        <v>13</v>
      </c>
      <c r="L772" s="1">
        <f ca="1">IFERROR(VLOOKUP($A772,[1]库存使用数据!$A:$L,12,0),0)+IFERROR(VLOOKUP($A772,[2]库存使用数据!$A:$L,12,0),0)+IFERROR(VLOOKUP($A772,[3]库存使用数据!$A:$L,12,0),0)+IFERROR(VLOOKUP($A772,[4]库存使用数据!$A:$L,12,0),0)+IFERROR(VLOOKUP($A772,[5]库存使用数据!$A:$L,12,0),0)</f>
        <v>0</v>
      </c>
      <c r="M772" s="1">
        <f ca="1">IFERROR(VLOOKUP($A772,[1]库存使用数据!$A:$M,13,0),0)+IFERROR(VLOOKUP($A772,[2]库存使用数据!$A:$M,13,0),0)+公式!$B$14*IFERROR(VLOOKUP($A772,[3]库存使用数据!$A:$M,13,0),0)+IFERROR(VLOOKUP($A772,[4]库存使用数据!$A:$M,13,0),0)+IFERROR(VLOOKUP($A772,[5]库存使用数据!$A:$M,13,0),0)</f>
        <v>0</v>
      </c>
    </row>
    <row r="773" spans="1:13">
      <c r="A773" s="6" t="s">
        <v>778</v>
      </c>
      <c r="B773" s="2">
        <f ca="1">IFERROR(VLOOKUP(A773,[1]库存使用数据!$A:$B,2,0),0)+IFERROR(VLOOKUP(A773,[2]库存使用数据!$A:$B,2,0),0)+IFERROR(VLOOKUP(,[3]库存使用数据!$A:$B,2,0),0)+IFERROR(VLOOKUP(A773,[4]库存使用数据!$A:$B,2,0),0)+IFERROR(VLOOKUP(A773,[5]库存使用数据!$A:$B,2,0),0)</f>
        <v>2</v>
      </c>
      <c r="C773" s="1">
        <f ca="1">IFERROR(VLOOKUP($A773,[1]库存使用数据!$A:$C,3,0),0)+IFERROR(VLOOKUP($A773,[2]库存使用数据!$A:$C,3,0),0)+IFERROR(VLOOKUP($A773,[3]库存使用数据!$A:$C,3,0),0)+IFERROR(VLOOKUP($A773,[4]库存使用数据!$A:$C,3,0),0)+IFERROR(VLOOKUP($A773,[5]库存使用数据!$A:$C,3,0),0)</f>
        <v>0</v>
      </c>
      <c r="D773" s="1">
        <f ca="1">IFERROR(VLOOKUP($A773,[1]库存使用数据!$A:$D,4,0),0)+IFERROR(VLOOKUP($A773,[2]库存使用数据!$A:$D,4,0),0)+公式!$B$1*IFERROR(VLOOKUP($A773,[3]库存使用数据!$A:$D,4,0),0)+IFERROR(VLOOKUP($A773,[4]库存使用数据!$A:$D,4,0),0)+IFERROR(VLOOKUP($A773,[5]库存使用数据!$A:$D,4,0),0)</f>
        <v>0</v>
      </c>
      <c r="E773" s="1">
        <f ca="1">IFERROR(VLOOKUP($A773,[1]库存使用数据!$A:$E,5,0),0)+IFERROR(VLOOKUP($A773,[2]库存使用数据!$A:$E,5,0),0)+IFERROR(VLOOKUP($A773,[3]库存使用数据!$A:$E,5,0),0)+IFERROR(VLOOKUP($A773,[4]库存使用数据!$A:$E,5,0),0)+IFERROR(VLOOKUP($A773,[5]库存使用数据!$A:$E,5,0),0)</f>
        <v>39</v>
      </c>
      <c r="F773" s="1">
        <f ca="1">IFERROR(VLOOKUP($A773,[1]库存使用数据!$A:$F,6,0),0)+IFERROR(VLOOKUP($A773,[2]库存使用数据!$A:$F,6,0),0)+IFERROR(VLOOKUP($A773,[4]库存使用数据!$A:$F,6,0),0)+IFERROR(VLOOKUP($A773,[3]库存使用数据!$A:$F,6,0),0)+IFERROR(VLOOKUP($A773,[5]库存使用数据!$A:$F,6,0),0)</f>
        <v>1</v>
      </c>
      <c r="G773" s="1">
        <f ca="1">IFERROR(VLOOKUP($A773,[1]库存使用数据!$A:$G,7,0),0)+IFERROR(VLOOKUP($A773,[2]库存使用数据!$A:$G,7,0),0)+公式!$B$14*IFERROR(VLOOKUP($A773,[3]库存使用数据!$A:$G,7,0),0)+IFERROR(VLOOKUP($A773,[4]库存使用数据!$A:$G,7,0),0)+IFERROR(VLOOKUP($A773,[5]库存使用数据!$A:$G,7,0),0)</f>
        <v>0.12</v>
      </c>
      <c r="H773" s="1">
        <f ca="1">IFERROR(VLOOKUP($A773,[1]库存使用数据!$A:$H,8,0),0)+IFERROR(VLOOKUP($A773,[2]库存使用数据!$A:$H,8,0),0)+IFERROR(VLOOKUP($A773,[3]库存使用数据!$A:$H,8,0),0)+IFERROR(VLOOKUP($A773,[4]库存使用数据!$A:$H,8,0),0)+IFERROR(VLOOKUP($A773,[5]库存使用数据!$A:$H,8,0),0)</f>
        <v>39</v>
      </c>
      <c r="I773" s="1">
        <f ca="1">IFERROR(VLOOKUP($A773,[1]库存使用数据!$A:$I,9,0),0)+IFERROR(VLOOKUP($A773,[2]库存使用数据!$A:$I,9,0),0)+IFERROR(VLOOKUP($A773,[3]库存使用数据!$A:$I,9,0),0)+IFERROR(VLOOKUP($A773,[4]库存使用数据!$A:$I,9,0),0)+IFERROR(VLOOKUP($A773,[5]库存使用数据!$A:$I,9,0),0)</f>
        <v>1</v>
      </c>
      <c r="J773" s="1">
        <f ca="1">IFERROR(VLOOKUP($A773,[1]库存使用数据!$A:$J,10,0),0)+IFERROR(VLOOKUP($A773,[2]库存使用数据!$A:$J,10,0),0)+公式!$B$14*IFERROR(VLOOKUP($A773,[3]库存使用数据!$A:$J,10,0),0)+IFERROR(VLOOKUP($A773,[4]库存使用数据!$A:$J,10,0),0)+IFERROR(VLOOKUP($A773,[5]库存使用数据!$A:$J,10,0),0)</f>
        <v>0.12</v>
      </c>
      <c r="K773" s="1">
        <f ca="1">IFERROR(VLOOKUP($A773,[1]库存使用数据!$A:$K,11,0),0)+IFERROR(VLOOKUP($A773,[2]库存使用数据!$A:$K,11,0),0)+IFERROR(VLOOKUP($A773,[3]库存使用数据!$A:$K,11,0),0)+IFERROR(VLOOKUP($A773,[4]库存使用数据!$A:$K,11,0),0)+IFERROR(VLOOKUP($A773,[5]库存使用数据!$A:$K,11,0),0)</f>
        <v>67</v>
      </c>
      <c r="L773" s="1">
        <f ca="1">IFERROR(VLOOKUP($A773,[1]库存使用数据!$A:$L,12,0),0)+IFERROR(VLOOKUP($A773,[2]库存使用数据!$A:$L,12,0),0)+IFERROR(VLOOKUP($A773,[3]库存使用数据!$A:$L,12,0),0)+IFERROR(VLOOKUP($A773,[4]库存使用数据!$A:$L,12,0),0)+IFERROR(VLOOKUP($A773,[5]库存使用数据!$A:$L,12,0),0)</f>
        <v>0</v>
      </c>
      <c r="M773" s="1">
        <f ca="1">IFERROR(VLOOKUP($A773,[1]库存使用数据!$A:$M,13,0),0)+IFERROR(VLOOKUP($A773,[2]库存使用数据!$A:$M,13,0),0)+公式!$B$14*IFERROR(VLOOKUP($A773,[3]库存使用数据!$A:$M,13,0),0)+IFERROR(VLOOKUP($A773,[4]库存使用数据!$A:$M,13,0),0)+IFERROR(VLOOKUP($A773,[5]库存使用数据!$A:$M,13,0),0)</f>
        <v>0</v>
      </c>
    </row>
    <row r="774" spans="1:13">
      <c r="A774" s="6" t="s">
        <v>779</v>
      </c>
      <c r="B774" s="2">
        <f ca="1">IFERROR(VLOOKUP(A774,[1]库存使用数据!$A:$B,2,0),0)+IFERROR(VLOOKUP(A774,[2]库存使用数据!$A:$B,2,0),0)+IFERROR(VLOOKUP(,[3]库存使用数据!$A:$B,2,0),0)+IFERROR(VLOOKUP(A774,[4]库存使用数据!$A:$B,2,0),0)+IFERROR(VLOOKUP(A774,[5]库存使用数据!$A:$B,2,0),0)</f>
        <v>0</v>
      </c>
      <c r="C774" s="1">
        <f ca="1">IFERROR(VLOOKUP($A774,[1]库存使用数据!$A:$C,3,0),0)+IFERROR(VLOOKUP($A774,[2]库存使用数据!$A:$C,3,0),0)+IFERROR(VLOOKUP($A774,[3]库存使用数据!$A:$C,3,0),0)+IFERROR(VLOOKUP($A774,[4]库存使用数据!$A:$C,3,0),0)+IFERROR(VLOOKUP($A774,[5]库存使用数据!$A:$C,3,0),0)</f>
        <v>0</v>
      </c>
      <c r="D774" s="1">
        <f ca="1">IFERROR(VLOOKUP($A774,[1]库存使用数据!$A:$D,4,0),0)+IFERROR(VLOOKUP($A774,[2]库存使用数据!$A:$D,4,0),0)+公式!$B$1*IFERROR(VLOOKUP($A774,[3]库存使用数据!$A:$D,4,0),0)+IFERROR(VLOOKUP($A774,[4]库存使用数据!$A:$D,4,0),0)+IFERROR(VLOOKUP($A774,[5]库存使用数据!$A:$D,4,0),0)</f>
        <v>0</v>
      </c>
      <c r="E774" s="1">
        <f ca="1">IFERROR(VLOOKUP($A774,[1]库存使用数据!$A:$E,5,0),0)+IFERROR(VLOOKUP($A774,[2]库存使用数据!$A:$E,5,0),0)+IFERROR(VLOOKUP($A774,[3]库存使用数据!$A:$E,5,0),0)+IFERROR(VLOOKUP($A774,[4]库存使用数据!$A:$E,5,0),0)+IFERROR(VLOOKUP($A774,[5]库存使用数据!$A:$E,5,0),0)</f>
        <v>178</v>
      </c>
      <c r="F774" s="1">
        <f ca="1">IFERROR(VLOOKUP($A774,[1]库存使用数据!$A:$F,6,0),0)+IFERROR(VLOOKUP($A774,[2]库存使用数据!$A:$F,6,0),0)+IFERROR(VLOOKUP($A774,[4]库存使用数据!$A:$F,6,0),0)+IFERROR(VLOOKUP($A774,[3]库存使用数据!$A:$F,6,0),0)+IFERROR(VLOOKUP($A774,[5]库存使用数据!$A:$F,6,0),0)</f>
        <v>0</v>
      </c>
      <c r="G774" s="1">
        <f ca="1">IFERROR(VLOOKUP($A774,[1]库存使用数据!$A:$G,7,0),0)+IFERROR(VLOOKUP($A774,[2]库存使用数据!$A:$G,7,0),0)+公式!$B$14*IFERROR(VLOOKUP($A774,[3]库存使用数据!$A:$G,7,0),0)+IFERROR(VLOOKUP($A774,[4]库存使用数据!$A:$G,7,0),0)+IFERROR(VLOOKUP($A774,[5]库存使用数据!$A:$G,7,0),0)</f>
        <v>0</v>
      </c>
      <c r="H774" s="1">
        <f ca="1">IFERROR(VLOOKUP($A774,[1]库存使用数据!$A:$H,8,0),0)+IFERROR(VLOOKUP($A774,[2]库存使用数据!$A:$H,8,0),0)+IFERROR(VLOOKUP($A774,[3]库存使用数据!$A:$H,8,0),0)+IFERROR(VLOOKUP($A774,[4]库存使用数据!$A:$H,8,0),0)+IFERROR(VLOOKUP($A774,[5]库存使用数据!$A:$H,8,0),0)</f>
        <v>66</v>
      </c>
      <c r="I774" s="1">
        <f ca="1">IFERROR(VLOOKUP($A774,[1]库存使用数据!$A:$I,9,0),0)+IFERROR(VLOOKUP($A774,[2]库存使用数据!$A:$I,9,0),0)+IFERROR(VLOOKUP($A774,[3]库存使用数据!$A:$I,9,0),0)+IFERROR(VLOOKUP($A774,[4]库存使用数据!$A:$I,9,0),0)+IFERROR(VLOOKUP($A774,[5]库存使用数据!$A:$I,9,0),0)</f>
        <v>0</v>
      </c>
      <c r="J774" s="1">
        <f ca="1">IFERROR(VLOOKUP($A774,[1]库存使用数据!$A:$J,10,0),0)+IFERROR(VLOOKUP($A774,[2]库存使用数据!$A:$J,10,0),0)+公式!$B$14*IFERROR(VLOOKUP($A774,[3]库存使用数据!$A:$J,10,0),0)+IFERROR(VLOOKUP($A774,[4]库存使用数据!$A:$J,10,0),0)+IFERROR(VLOOKUP($A774,[5]库存使用数据!$A:$J,10,0),0)</f>
        <v>0</v>
      </c>
      <c r="K774" s="1">
        <f ca="1">IFERROR(VLOOKUP($A774,[1]库存使用数据!$A:$K,11,0),0)+IFERROR(VLOOKUP($A774,[2]库存使用数据!$A:$K,11,0),0)+IFERROR(VLOOKUP($A774,[3]库存使用数据!$A:$K,11,0),0)+IFERROR(VLOOKUP($A774,[4]库存使用数据!$A:$K,11,0),0)+IFERROR(VLOOKUP($A774,[5]库存使用数据!$A:$K,11,0),0)</f>
        <v>42</v>
      </c>
      <c r="L774" s="1">
        <f ca="1">IFERROR(VLOOKUP($A774,[1]库存使用数据!$A:$L,12,0),0)+IFERROR(VLOOKUP($A774,[2]库存使用数据!$A:$L,12,0),0)+IFERROR(VLOOKUP($A774,[3]库存使用数据!$A:$L,12,0),0)+IFERROR(VLOOKUP($A774,[4]库存使用数据!$A:$L,12,0),0)+IFERROR(VLOOKUP($A774,[5]库存使用数据!$A:$L,12,0),0)</f>
        <v>0</v>
      </c>
      <c r="M774" s="1">
        <f ca="1">IFERROR(VLOOKUP($A774,[1]库存使用数据!$A:$M,13,0),0)+IFERROR(VLOOKUP($A774,[2]库存使用数据!$A:$M,13,0),0)+公式!$B$14*IFERROR(VLOOKUP($A774,[3]库存使用数据!$A:$M,13,0),0)+IFERROR(VLOOKUP($A774,[4]库存使用数据!$A:$M,13,0),0)+IFERROR(VLOOKUP($A774,[5]库存使用数据!$A:$M,13,0),0)</f>
        <v>0</v>
      </c>
    </row>
    <row r="775" spans="1:13">
      <c r="A775" s="6" t="s">
        <v>780</v>
      </c>
      <c r="B775" s="2">
        <f ca="1">IFERROR(VLOOKUP(A775,[1]库存使用数据!$A:$B,2,0),0)+IFERROR(VLOOKUP(A775,[2]库存使用数据!$A:$B,2,0),0)+IFERROR(VLOOKUP(,[3]库存使用数据!$A:$B,2,0),0)+IFERROR(VLOOKUP(A775,[4]库存使用数据!$A:$B,2,0),0)+IFERROR(VLOOKUP(A775,[5]库存使用数据!$A:$B,2,0),0)</f>
        <v>211</v>
      </c>
      <c r="C775" s="1">
        <f ca="1">IFERROR(VLOOKUP($A775,[1]库存使用数据!$A:$C,3,0),0)+IFERROR(VLOOKUP($A775,[2]库存使用数据!$A:$C,3,0),0)+IFERROR(VLOOKUP($A775,[3]库存使用数据!$A:$C,3,0),0)+IFERROR(VLOOKUP($A775,[4]库存使用数据!$A:$C,3,0),0)+IFERROR(VLOOKUP($A775,[5]库存使用数据!$A:$C,3,0),0)</f>
        <v>0</v>
      </c>
      <c r="D775" s="1">
        <f ca="1">IFERROR(VLOOKUP($A775,[1]库存使用数据!$A:$D,4,0),0)+IFERROR(VLOOKUP($A775,[2]库存使用数据!$A:$D,4,0),0)+公式!$B$1*IFERROR(VLOOKUP($A775,[3]库存使用数据!$A:$D,4,0),0)+IFERROR(VLOOKUP($A775,[4]库存使用数据!$A:$D,4,0),0)+IFERROR(VLOOKUP($A775,[5]库存使用数据!$A:$D,4,0),0)</f>
        <v>0</v>
      </c>
      <c r="E775" s="1">
        <f ca="1">IFERROR(VLOOKUP($A775,[1]库存使用数据!$A:$E,5,0),0)+IFERROR(VLOOKUP($A775,[2]库存使用数据!$A:$E,5,0),0)+IFERROR(VLOOKUP($A775,[3]库存使用数据!$A:$E,5,0),0)+IFERROR(VLOOKUP($A775,[4]库存使用数据!$A:$E,5,0),0)+IFERROR(VLOOKUP($A775,[5]库存使用数据!$A:$E,5,0),0)</f>
        <v>0</v>
      </c>
      <c r="F775" s="1">
        <f ca="1">IFERROR(VLOOKUP($A775,[1]库存使用数据!$A:$F,6,0),0)+IFERROR(VLOOKUP($A775,[2]库存使用数据!$A:$F,6,0),0)+IFERROR(VLOOKUP($A775,[4]库存使用数据!$A:$F,6,0),0)+IFERROR(VLOOKUP($A775,[3]库存使用数据!$A:$F,6,0),0)+IFERROR(VLOOKUP($A775,[5]库存使用数据!$A:$F,6,0),0)</f>
        <v>0</v>
      </c>
      <c r="G775" s="1">
        <f ca="1">IFERROR(VLOOKUP($A775,[1]库存使用数据!$A:$G,7,0),0)+IFERROR(VLOOKUP($A775,[2]库存使用数据!$A:$G,7,0),0)+公式!$B$14*IFERROR(VLOOKUP($A775,[3]库存使用数据!$A:$G,7,0),0)+IFERROR(VLOOKUP($A775,[4]库存使用数据!$A:$G,7,0),0)+IFERROR(VLOOKUP($A775,[5]库存使用数据!$A:$G,7,0),0)</f>
        <v>0</v>
      </c>
      <c r="H775" s="1">
        <f ca="1">IFERROR(VLOOKUP($A775,[1]库存使用数据!$A:$H,8,0),0)+IFERROR(VLOOKUP($A775,[2]库存使用数据!$A:$H,8,0),0)+IFERROR(VLOOKUP($A775,[3]库存使用数据!$A:$H,8,0),0)+IFERROR(VLOOKUP($A775,[4]库存使用数据!$A:$H,8,0),0)+IFERROR(VLOOKUP($A775,[5]库存使用数据!$A:$H,8,0),0)</f>
        <v>0</v>
      </c>
      <c r="I775" s="1">
        <f ca="1">IFERROR(VLOOKUP($A775,[1]库存使用数据!$A:$I,9,0),0)+IFERROR(VLOOKUP($A775,[2]库存使用数据!$A:$I,9,0),0)+IFERROR(VLOOKUP($A775,[3]库存使用数据!$A:$I,9,0),0)+IFERROR(VLOOKUP($A775,[4]库存使用数据!$A:$I,9,0),0)+IFERROR(VLOOKUP($A775,[5]库存使用数据!$A:$I,9,0),0)</f>
        <v>0</v>
      </c>
      <c r="J775" s="1">
        <f ca="1">IFERROR(VLOOKUP($A775,[1]库存使用数据!$A:$J,10,0),0)+IFERROR(VLOOKUP($A775,[2]库存使用数据!$A:$J,10,0),0)+公式!$B$14*IFERROR(VLOOKUP($A775,[3]库存使用数据!$A:$J,10,0),0)+IFERROR(VLOOKUP($A775,[4]库存使用数据!$A:$J,10,0),0)+IFERROR(VLOOKUP($A775,[5]库存使用数据!$A:$J,10,0),0)</f>
        <v>0</v>
      </c>
      <c r="K775" s="1">
        <f ca="1">IFERROR(VLOOKUP($A775,[1]库存使用数据!$A:$K,11,0),0)+IFERROR(VLOOKUP($A775,[2]库存使用数据!$A:$K,11,0),0)+IFERROR(VLOOKUP($A775,[3]库存使用数据!$A:$K,11,0),0)+IFERROR(VLOOKUP($A775,[4]库存使用数据!$A:$K,11,0),0)+IFERROR(VLOOKUP($A775,[5]库存使用数据!$A:$K,11,0),0)</f>
        <v>48</v>
      </c>
      <c r="L775" s="1">
        <f ca="1">IFERROR(VLOOKUP($A775,[1]库存使用数据!$A:$L,12,0),0)+IFERROR(VLOOKUP($A775,[2]库存使用数据!$A:$L,12,0),0)+IFERROR(VLOOKUP($A775,[3]库存使用数据!$A:$L,12,0),0)+IFERROR(VLOOKUP($A775,[4]库存使用数据!$A:$L,12,0),0)+IFERROR(VLOOKUP($A775,[5]库存使用数据!$A:$L,12,0),0)</f>
        <v>0</v>
      </c>
      <c r="M775" s="1">
        <f ca="1">IFERROR(VLOOKUP($A775,[1]库存使用数据!$A:$M,13,0),0)+IFERROR(VLOOKUP($A775,[2]库存使用数据!$A:$M,13,0),0)+公式!$B$14*IFERROR(VLOOKUP($A775,[3]库存使用数据!$A:$M,13,0),0)+IFERROR(VLOOKUP($A775,[4]库存使用数据!$A:$M,13,0),0)+IFERROR(VLOOKUP($A775,[5]库存使用数据!$A:$M,13,0),0)</f>
        <v>0</v>
      </c>
    </row>
    <row r="776" spans="1:13">
      <c r="A776" s="6" t="s">
        <v>781</v>
      </c>
      <c r="B776" s="2">
        <f ca="1">IFERROR(VLOOKUP(A776,[1]库存使用数据!$A:$B,2,0),0)+IFERROR(VLOOKUP(A776,[2]库存使用数据!$A:$B,2,0),0)+IFERROR(VLOOKUP(,[3]库存使用数据!$A:$B,2,0),0)+IFERROR(VLOOKUP(A776,[4]库存使用数据!$A:$B,2,0),0)+IFERROR(VLOOKUP(A776,[5]库存使用数据!$A:$B,2,0),0)</f>
        <v>58</v>
      </c>
      <c r="C776" s="1">
        <f ca="1">IFERROR(VLOOKUP($A776,[1]库存使用数据!$A:$C,3,0),0)+IFERROR(VLOOKUP($A776,[2]库存使用数据!$A:$C,3,0),0)+IFERROR(VLOOKUP($A776,[3]库存使用数据!$A:$C,3,0),0)+IFERROR(VLOOKUP($A776,[4]库存使用数据!$A:$C,3,0),0)+IFERROR(VLOOKUP($A776,[5]库存使用数据!$A:$C,3,0),0)</f>
        <v>1</v>
      </c>
      <c r="D776" s="1">
        <f ca="1">IFERROR(VLOOKUP($A776,[1]库存使用数据!$A:$D,4,0),0)+IFERROR(VLOOKUP($A776,[2]库存使用数据!$A:$D,4,0),0)+公式!$B$1*IFERROR(VLOOKUP($A776,[3]库存使用数据!$A:$D,4,0),0)+IFERROR(VLOOKUP($A776,[4]库存使用数据!$A:$D,4,0),0)+IFERROR(VLOOKUP($A776,[5]库存使用数据!$A:$D,4,0),0)</f>
        <v>0.05</v>
      </c>
      <c r="E776" s="1">
        <f ca="1">IFERROR(VLOOKUP($A776,[1]库存使用数据!$A:$E,5,0),0)+IFERROR(VLOOKUP($A776,[2]库存使用数据!$A:$E,5,0),0)+IFERROR(VLOOKUP($A776,[3]库存使用数据!$A:$E,5,0),0)+IFERROR(VLOOKUP($A776,[4]库存使用数据!$A:$E,5,0),0)+IFERROR(VLOOKUP($A776,[5]库存使用数据!$A:$E,5,0),0)</f>
        <v>187</v>
      </c>
      <c r="F776" s="1">
        <f ca="1">IFERROR(VLOOKUP($A776,[1]库存使用数据!$A:$F,6,0),0)+IFERROR(VLOOKUP($A776,[2]库存使用数据!$A:$F,6,0),0)+IFERROR(VLOOKUP($A776,[4]库存使用数据!$A:$F,6,0),0)+IFERROR(VLOOKUP($A776,[3]库存使用数据!$A:$F,6,0),0)+IFERROR(VLOOKUP($A776,[5]库存使用数据!$A:$F,6,0),0)</f>
        <v>2</v>
      </c>
      <c r="G776" s="1">
        <f ca="1">IFERROR(VLOOKUP($A776,[1]库存使用数据!$A:$G,7,0),0)+IFERROR(VLOOKUP($A776,[2]库存使用数据!$A:$G,7,0),0)+公式!$B$14*IFERROR(VLOOKUP($A776,[3]库存使用数据!$A:$G,7,0),0)+IFERROR(VLOOKUP($A776,[4]库存使用数据!$A:$G,7,0),0)+IFERROR(VLOOKUP($A776,[5]库存使用数据!$A:$G,7,0),0)</f>
        <v>0.34</v>
      </c>
      <c r="H776" s="1">
        <f ca="1">IFERROR(VLOOKUP($A776,[1]库存使用数据!$A:$H,8,0),0)+IFERROR(VLOOKUP($A776,[2]库存使用数据!$A:$H,8,0),0)+IFERROR(VLOOKUP($A776,[3]库存使用数据!$A:$H,8,0),0)+IFERROR(VLOOKUP($A776,[4]库存使用数据!$A:$H,8,0),0)+IFERROR(VLOOKUP($A776,[5]库存使用数据!$A:$H,8,0),0)</f>
        <v>63</v>
      </c>
      <c r="I776" s="1">
        <f ca="1">IFERROR(VLOOKUP($A776,[1]库存使用数据!$A:$I,9,0),0)+IFERROR(VLOOKUP($A776,[2]库存使用数据!$A:$I,9,0),0)+IFERROR(VLOOKUP($A776,[3]库存使用数据!$A:$I,9,0),0)+IFERROR(VLOOKUP($A776,[4]库存使用数据!$A:$I,9,0),0)+IFERROR(VLOOKUP($A776,[5]库存使用数据!$A:$I,9,0),0)</f>
        <v>2</v>
      </c>
      <c r="J776" s="1">
        <f ca="1">IFERROR(VLOOKUP($A776,[1]库存使用数据!$A:$J,10,0),0)+IFERROR(VLOOKUP($A776,[2]库存使用数据!$A:$J,10,0),0)+公式!$B$14*IFERROR(VLOOKUP($A776,[3]库存使用数据!$A:$J,10,0),0)+IFERROR(VLOOKUP($A776,[4]库存使用数据!$A:$J,10,0),0)+IFERROR(VLOOKUP($A776,[5]库存使用数据!$A:$J,10,0),0)</f>
        <v>0.34</v>
      </c>
      <c r="K776" s="1">
        <f ca="1">IFERROR(VLOOKUP($A776,[1]库存使用数据!$A:$K,11,0),0)+IFERROR(VLOOKUP($A776,[2]库存使用数据!$A:$K,11,0),0)+IFERROR(VLOOKUP($A776,[3]库存使用数据!$A:$K,11,0),0)+IFERROR(VLOOKUP($A776,[4]库存使用数据!$A:$K,11,0),0)+IFERROR(VLOOKUP($A776,[5]库存使用数据!$A:$K,11,0),0)</f>
        <v>80</v>
      </c>
      <c r="L776" s="1">
        <f ca="1">IFERROR(VLOOKUP($A776,[1]库存使用数据!$A:$L,12,0),0)+IFERROR(VLOOKUP($A776,[2]库存使用数据!$A:$L,12,0),0)+IFERROR(VLOOKUP($A776,[3]库存使用数据!$A:$L,12,0),0)+IFERROR(VLOOKUP($A776,[4]库存使用数据!$A:$L,12,0),0)+IFERROR(VLOOKUP($A776,[5]库存使用数据!$A:$L,12,0),0)</f>
        <v>0</v>
      </c>
      <c r="M776" s="1">
        <f ca="1">IFERROR(VLOOKUP($A776,[1]库存使用数据!$A:$M,13,0),0)+IFERROR(VLOOKUP($A776,[2]库存使用数据!$A:$M,13,0),0)+公式!$B$14*IFERROR(VLOOKUP($A776,[3]库存使用数据!$A:$M,13,0),0)+IFERROR(VLOOKUP($A776,[4]库存使用数据!$A:$M,13,0),0)+IFERROR(VLOOKUP($A776,[5]库存使用数据!$A:$M,13,0),0)</f>
        <v>0</v>
      </c>
    </row>
    <row r="777" spans="1:13">
      <c r="A777" s="6" t="s">
        <v>782</v>
      </c>
      <c r="B777" s="2">
        <f ca="1">IFERROR(VLOOKUP(A777,[1]库存使用数据!$A:$B,2,0),0)+IFERROR(VLOOKUP(A777,[2]库存使用数据!$A:$B,2,0),0)+IFERROR(VLOOKUP(,[3]库存使用数据!$A:$B,2,0),0)+IFERROR(VLOOKUP(A777,[4]库存使用数据!$A:$B,2,0),0)+IFERROR(VLOOKUP(A777,[5]库存使用数据!$A:$B,2,0),0)</f>
        <v>2</v>
      </c>
      <c r="C777" s="1">
        <f ca="1">IFERROR(VLOOKUP($A777,[1]库存使用数据!$A:$C,3,0),0)+IFERROR(VLOOKUP($A777,[2]库存使用数据!$A:$C,3,0),0)+IFERROR(VLOOKUP($A777,[3]库存使用数据!$A:$C,3,0),0)+IFERROR(VLOOKUP($A777,[4]库存使用数据!$A:$C,3,0),0)+IFERROR(VLOOKUP($A777,[5]库存使用数据!$A:$C,3,0),0)</f>
        <v>0</v>
      </c>
      <c r="D777" s="1">
        <f ca="1">IFERROR(VLOOKUP($A777,[1]库存使用数据!$A:$D,4,0),0)+IFERROR(VLOOKUP($A777,[2]库存使用数据!$A:$D,4,0),0)+公式!$B$1*IFERROR(VLOOKUP($A777,[3]库存使用数据!$A:$D,4,0),0)+IFERROR(VLOOKUP($A777,[4]库存使用数据!$A:$D,4,0),0)+IFERROR(VLOOKUP($A777,[5]库存使用数据!$A:$D,4,0),0)</f>
        <v>0</v>
      </c>
      <c r="E777" s="1">
        <f ca="1">IFERROR(VLOOKUP($A777,[1]库存使用数据!$A:$E,5,0),0)+IFERROR(VLOOKUP($A777,[2]库存使用数据!$A:$E,5,0),0)+IFERROR(VLOOKUP($A777,[3]库存使用数据!$A:$E,5,0),0)+IFERROR(VLOOKUP($A777,[4]库存使用数据!$A:$E,5,0),0)+IFERROR(VLOOKUP($A777,[5]库存使用数据!$A:$E,5,0),0)</f>
        <v>5</v>
      </c>
      <c r="F777" s="1">
        <f ca="1">IFERROR(VLOOKUP($A777,[1]库存使用数据!$A:$F,6,0),0)+IFERROR(VLOOKUP($A777,[2]库存使用数据!$A:$F,6,0),0)+IFERROR(VLOOKUP($A777,[4]库存使用数据!$A:$F,6,0),0)+IFERROR(VLOOKUP($A777,[3]库存使用数据!$A:$F,6,0),0)+IFERROR(VLOOKUP($A777,[5]库存使用数据!$A:$F,6,0),0)</f>
        <v>0</v>
      </c>
      <c r="G777" s="1">
        <f ca="1">IFERROR(VLOOKUP($A777,[1]库存使用数据!$A:$G,7,0),0)+IFERROR(VLOOKUP($A777,[2]库存使用数据!$A:$G,7,0),0)+公式!$B$14*IFERROR(VLOOKUP($A777,[3]库存使用数据!$A:$G,7,0),0)+IFERROR(VLOOKUP($A777,[4]库存使用数据!$A:$G,7,0),0)+IFERROR(VLOOKUP($A777,[5]库存使用数据!$A:$G,7,0),0)</f>
        <v>0</v>
      </c>
      <c r="H777" s="1">
        <f ca="1">IFERROR(VLOOKUP($A777,[1]库存使用数据!$A:$H,8,0),0)+IFERROR(VLOOKUP($A777,[2]库存使用数据!$A:$H,8,0),0)+IFERROR(VLOOKUP($A777,[3]库存使用数据!$A:$H,8,0),0)+IFERROR(VLOOKUP($A777,[4]库存使用数据!$A:$H,8,0),0)+IFERROR(VLOOKUP($A777,[5]库存使用数据!$A:$H,8,0),0)</f>
        <v>4</v>
      </c>
      <c r="I777" s="1">
        <f ca="1">IFERROR(VLOOKUP($A777,[1]库存使用数据!$A:$I,9,0),0)+IFERROR(VLOOKUP($A777,[2]库存使用数据!$A:$I,9,0),0)+IFERROR(VLOOKUP($A777,[3]库存使用数据!$A:$I,9,0),0)+IFERROR(VLOOKUP($A777,[4]库存使用数据!$A:$I,9,0),0)+IFERROR(VLOOKUP($A777,[5]库存使用数据!$A:$I,9,0),0)</f>
        <v>0</v>
      </c>
      <c r="J777" s="1">
        <f ca="1">IFERROR(VLOOKUP($A777,[1]库存使用数据!$A:$J,10,0),0)+IFERROR(VLOOKUP($A777,[2]库存使用数据!$A:$J,10,0),0)+公式!$B$14*IFERROR(VLOOKUP($A777,[3]库存使用数据!$A:$J,10,0),0)+IFERROR(VLOOKUP($A777,[4]库存使用数据!$A:$J,10,0),0)+IFERROR(VLOOKUP($A777,[5]库存使用数据!$A:$J,10,0),0)</f>
        <v>0</v>
      </c>
      <c r="K777" s="1">
        <f ca="1">IFERROR(VLOOKUP($A777,[1]库存使用数据!$A:$K,11,0),0)+IFERROR(VLOOKUP($A777,[2]库存使用数据!$A:$K,11,0),0)+IFERROR(VLOOKUP($A777,[3]库存使用数据!$A:$K,11,0),0)+IFERROR(VLOOKUP($A777,[4]库存使用数据!$A:$K,11,0),0)+IFERROR(VLOOKUP($A777,[5]库存使用数据!$A:$K,11,0),0)</f>
        <v>2</v>
      </c>
      <c r="L777" s="1">
        <f ca="1">IFERROR(VLOOKUP($A777,[1]库存使用数据!$A:$L,12,0),0)+IFERROR(VLOOKUP($A777,[2]库存使用数据!$A:$L,12,0),0)+IFERROR(VLOOKUP($A777,[3]库存使用数据!$A:$L,12,0),0)+IFERROR(VLOOKUP($A777,[4]库存使用数据!$A:$L,12,0),0)+IFERROR(VLOOKUP($A777,[5]库存使用数据!$A:$L,12,0),0)</f>
        <v>0</v>
      </c>
      <c r="M777" s="1">
        <f ca="1">IFERROR(VLOOKUP($A777,[1]库存使用数据!$A:$M,13,0),0)+IFERROR(VLOOKUP($A777,[2]库存使用数据!$A:$M,13,0),0)+公式!$B$14*IFERROR(VLOOKUP($A777,[3]库存使用数据!$A:$M,13,0),0)+IFERROR(VLOOKUP($A777,[4]库存使用数据!$A:$M,13,0),0)+IFERROR(VLOOKUP($A777,[5]库存使用数据!$A:$M,13,0),0)</f>
        <v>0</v>
      </c>
    </row>
    <row r="778" spans="1:13">
      <c r="A778" s="6" t="s">
        <v>783</v>
      </c>
      <c r="B778" s="2">
        <f ca="1">IFERROR(VLOOKUP(A778,[1]库存使用数据!$A:$B,2,0),0)+IFERROR(VLOOKUP(A778,[2]库存使用数据!$A:$B,2,0),0)+IFERROR(VLOOKUP(,[3]库存使用数据!$A:$B,2,0),0)+IFERROR(VLOOKUP(A778,[4]库存使用数据!$A:$B,2,0),0)+IFERROR(VLOOKUP(A778,[5]库存使用数据!$A:$B,2,0),0)</f>
        <v>2</v>
      </c>
      <c r="C778" s="1">
        <f ca="1">IFERROR(VLOOKUP($A778,[1]库存使用数据!$A:$C,3,0),0)+IFERROR(VLOOKUP($A778,[2]库存使用数据!$A:$C,3,0),0)+IFERROR(VLOOKUP($A778,[3]库存使用数据!$A:$C,3,0),0)+IFERROR(VLOOKUP($A778,[4]库存使用数据!$A:$C,3,0),0)+IFERROR(VLOOKUP($A778,[5]库存使用数据!$A:$C,3,0),0)</f>
        <v>0</v>
      </c>
      <c r="D778" s="1">
        <f ca="1">IFERROR(VLOOKUP($A778,[1]库存使用数据!$A:$D,4,0),0)+IFERROR(VLOOKUP($A778,[2]库存使用数据!$A:$D,4,0),0)+公式!$B$1*IFERROR(VLOOKUP($A778,[3]库存使用数据!$A:$D,4,0),0)+IFERROR(VLOOKUP($A778,[4]库存使用数据!$A:$D,4,0),0)+IFERROR(VLOOKUP($A778,[5]库存使用数据!$A:$D,4,0),0)</f>
        <v>0</v>
      </c>
      <c r="E778" s="1">
        <f ca="1">IFERROR(VLOOKUP($A778,[1]库存使用数据!$A:$E,5,0),0)+IFERROR(VLOOKUP($A778,[2]库存使用数据!$A:$E,5,0),0)+IFERROR(VLOOKUP($A778,[3]库存使用数据!$A:$E,5,0),0)+IFERROR(VLOOKUP($A778,[4]库存使用数据!$A:$E,5,0),0)+IFERROR(VLOOKUP($A778,[5]库存使用数据!$A:$E,5,0),0)</f>
        <v>1</v>
      </c>
      <c r="F778" s="1">
        <f ca="1">IFERROR(VLOOKUP($A778,[1]库存使用数据!$A:$F,6,0),0)+IFERROR(VLOOKUP($A778,[2]库存使用数据!$A:$F,6,0),0)+IFERROR(VLOOKUP($A778,[4]库存使用数据!$A:$F,6,0),0)+IFERROR(VLOOKUP($A778,[3]库存使用数据!$A:$F,6,0),0)+IFERROR(VLOOKUP($A778,[5]库存使用数据!$A:$F,6,0),0)</f>
        <v>0</v>
      </c>
      <c r="G778" s="1">
        <f ca="1">IFERROR(VLOOKUP($A778,[1]库存使用数据!$A:$G,7,0),0)+IFERROR(VLOOKUP($A778,[2]库存使用数据!$A:$G,7,0),0)+公式!$B$14*IFERROR(VLOOKUP($A778,[3]库存使用数据!$A:$G,7,0),0)+IFERROR(VLOOKUP($A778,[4]库存使用数据!$A:$G,7,0),0)+IFERROR(VLOOKUP($A778,[5]库存使用数据!$A:$G,7,0),0)</f>
        <v>0</v>
      </c>
      <c r="H778" s="1">
        <f ca="1">IFERROR(VLOOKUP($A778,[1]库存使用数据!$A:$H,8,0),0)+IFERROR(VLOOKUP($A778,[2]库存使用数据!$A:$H,8,0),0)+IFERROR(VLOOKUP($A778,[3]库存使用数据!$A:$H,8,0),0)+IFERROR(VLOOKUP($A778,[4]库存使用数据!$A:$H,8,0),0)+IFERROR(VLOOKUP($A778,[5]库存使用数据!$A:$H,8,0),0)</f>
        <v>0</v>
      </c>
      <c r="I778" s="1">
        <f ca="1">IFERROR(VLOOKUP($A778,[1]库存使用数据!$A:$I,9,0),0)+IFERROR(VLOOKUP($A778,[2]库存使用数据!$A:$I,9,0),0)+IFERROR(VLOOKUP($A778,[3]库存使用数据!$A:$I,9,0),0)+IFERROR(VLOOKUP($A778,[4]库存使用数据!$A:$I,9,0),0)+IFERROR(VLOOKUP($A778,[5]库存使用数据!$A:$I,9,0),0)</f>
        <v>0</v>
      </c>
      <c r="J778" s="1">
        <f ca="1">IFERROR(VLOOKUP($A778,[1]库存使用数据!$A:$J,10,0),0)+IFERROR(VLOOKUP($A778,[2]库存使用数据!$A:$J,10,0),0)+公式!$B$14*IFERROR(VLOOKUP($A778,[3]库存使用数据!$A:$J,10,0),0)+IFERROR(VLOOKUP($A778,[4]库存使用数据!$A:$J,10,0),0)+IFERROR(VLOOKUP($A778,[5]库存使用数据!$A:$J,10,0),0)</f>
        <v>0</v>
      </c>
      <c r="K778" s="1">
        <f ca="1">IFERROR(VLOOKUP($A778,[1]库存使用数据!$A:$K,11,0),0)+IFERROR(VLOOKUP($A778,[2]库存使用数据!$A:$K,11,0),0)+IFERROR(VLOOKUP($A778,[3]库存使用数据!$A:$K,11,0),0)+IFERROR(VLOOKUP($A778,[4]库存使用数据!$A:$K,11,0),0)+IFERROR(VLOOKUP($A778,[5]库存使用数据!$A:$K,11,0),0)</f>
        <v>2</v>
      </c>
      <c r="L778" s="1">
        <f ca="1">IFERROR(VLOOKUP($A778,[1]库存使用数据!$A:$L,12,0),0)+IFERROR(VLOOKUP($A778,[2]库存使用数据!$A:$L,12,0),0)+IFERROR(VLOOKUP($A778,[3]库存使用数据!$A:$L,12,0),0)+IFERROR(VLOOKUP($A778,[4]库存使用数据!$A:$L,12,0),0)+IFERROR(VLOOKUP($A778,[5]库存使用数据!$A:$L,12,0),0)</f>
        <v>0</v>
      </c>
      <c r="M778" s="1">
        <f ca="1">IFERROR(VLOOKUP($A778,[1]库存使用数据!$A:$M,13,0),0)+IFERROR(VLOOKUP($A778,[2]库存使用数据!$A:$M,13,0),0)+公式!$B$14*IFERROR(VLOOKUP($A778,[3]库存使用数据!$A:$M,13,0),0)+IFERROR(VLOOKUP($A778,[4]库存使用数据!$A:$M,13,0),0)+IFERROR(VLOOKUP($A778,[5]库存使用数据!$A:$M,13,0),0)</f>
        <v>0</v>
      </c>
    </row>
    <row r="779" spans="1:13">
      <c r="A779" s="6" t="s">
        <v>784</v>
      </c>
      <c r="B779" s="2">
        <f ca="1">IFERROR(VLOOKUP(A779,[1]库存使用数据!$A:$B,2,0),0)+IFERROR(VLOOKUP(A779,[2]库存使用数据!$A:$B,2,0),0)+IFERROR(VLOOKUP(,[3]库存使用数据!$A:$B,2,0),0)+IFERROR(VLOOKUP(A779,[4]库存使用数据!$A:$B,2,0),0)+IFERROR(VLOOKUP(A779,[5]库存使用数据!$A:$B,2,0),0)</f>
        <v>4</v>
      </c>
      <c r="C779" s="1">
        <f ca="1">IFERROR(VLOOKUP($A779,[1]库存使用数据!$A:$C,3,0),0)+IFERROR(VLOOKUP($A779,[2]库存使用数据!$A:$C,3,0),0)+IFERROR(VLOOKUP($A779,[3]库存使用数据!$A:$C,3,0),0)+IFERROR(VLOOKUP($A779,[4]库存使用数据!$A:$C,3,0),0)+IFERROR(VLOOKUP($A779,[5]库存使用数据!$A:$C,3,0),0)</f>
        <v>0</v>
      </c>
      <c r="D779" s="1">
        <f ca="1">IFERROR(VLOOKUP($A779,[1]库存使用数据!$A:$D,4,0),0)+IFERROR(VLOOKUP($A779,[2]库存使用数据!$A:$D,4,0),0)+公式!$B$1*IFERROR(VLOOKUP($A779,[3]库存使用数据!$A:$D,4,0),0)+IFERROR(VLOOKUP($A779,[4]库存使用数据!$A:$D,4,0),0)+IFERROR(VLOOKUP($A779,[5]库存使用数据!$A:$D,4,0),0)</f>
        <v>0</v>
      </c>
      <c r="E779" s="1">
        <f ca="1">IFERROR(VLOOKUP($A779,[1]库存使用数据!$A:$E,5,0),0)+IFERROR(VLOOKUP($A779,[2]库存使用数据!$A:$E,5,0),0)+IFERROR(VLOOKUP($A779,[3]库存使用数据!$A:$E,5,0),0)+IFERROR(VLOOKUP($A779,[4]库存使用数据!$A:$E,5,0),0)+IFERROR(VLOOKUP($A779,[5]库存使用数据!$A:$E,5,0),0)</f>
        <v>0</v>
      </c>
      <c r="F779" s="1">
        <f ca="1">IFERROR(VLOOKUP($A779,[1]库存使用数据!$A:$F,6,0),0)+IFERROR(VLOOKUP($A779,[2]库存使用数据!$A:$F,6,0),0)+IFERROR(VLOOKUP($A779,[4]库存使用数据!$A:$F,6,0),0)+IFERROR(VLOOKUP($A779,[3]库存使用数据!$A:$F,6,0),0)+IFERROR(VLOOKUP($A779,[5]库存使用数据!$A:$F,6,0),0)</f>
        <v>0</v>
      </c>
      <c r="G779" s="1">
        <f ca="1">IFERROR(VLOOKUP($A779,[1]库存使用数据!$A:$G,7,0),0)+IFERROR(VLOOKUP($A779,[2]库存使用数据!$A:$G,7,0),0)+公式!$B$14*IFERROR(VLOOKUP($A779,[3]库存使用数据!$A:$G,7,0),0)+IFERROR(VLOOKUP($A779,[4]库存使用数据!$A:$G,7,0),0)+IFERROR(VLOOKUP($A779,[5]库存使用数据!$A:$G,7,0),0)</f>
        <v>0</v>
      </c>
      <c r="H779" s="1">
        <f ca="1">IFERROR(VLOOKUP($A779,[1]库存使用数据!$A:$H,8,0),0)+IFERROR(VLOOKUP($A779,[2]库存使用数据!$A:$H,8,0),0)+IFERROR(VLOOKUP($A779,[3]库存使用数据!$A:$H,8,0),0)+IFERROR(VLOOKUP($A779,[4]库存使用数据!$A:$H,8,0),0)+IFERROR(VLOOKUP($A779,[5]库存使用数据!$A:$H,8,0),0)</f>
        <v>0</v>
      </c>
      <c r="I779" s="1">
        <f ca="1">IFERROR(VLOOKUP($A779,[1]库存使用数据!$A:$I,9,0),0)+IFERROR(VLOOKUP($A779,[2]库存使用数据!$A:$I,9,0),0)+IFERROR(VLOOKUP($A779,[3]库存使用数据!$A:$I,9,0),0)+IFERROR(VLOOKUP($A779,[4]库存使用数据!$A:$I,9,0),0)+IFERROR(VLOOKUP($A779,[5]库存使用数据!$A:$I,9,0),0)</f>
        <v>0</v>
      </c>
      <c r="J779" s="1">
        <f ca="1">IFERROR(VLOOKUP($A779,[1]库存使用数据!$A:$J,10,0),0)+IFERROR(VLOOKUP($A779,[2]库存使用数据!$A:$J,10,0),0)+公式!$B$14*IFERROR(VLOOKUP($A779,[3]库存使用数据!$A:$J,10,0),0)+IFERROR(VLOOKUP($A779,[4]库存使用数据!$A:$J,10,0),0)+IFERROR(VLOOKUP($A779,[5]库存使用数据!$A:$J,10,0),0)</f>
        <v>0</v>
      </c>
      <c r="K779" s="1">
        <f ca="1">IFERROR(VLOOKUP($A779,[1]库存使用数据!$A:$K,11,0),0)+IFERROR(VLOOKUP($A779,[2]库存使用数据!$A:$K,11,0),0)+IFERROR(VLOOKUP($A779,[3]库存使用数据!$A:$K,11,0),0)+IFERROR(VLOOKUP($A779,[4]库存使用数据!$A:$K,11,0),0)+IFERROR(VLOOKUP($A779,[5]库存使用数据!$A:$K,11,0),0)</f>
        <v>4</v>
      </c>
      <c r="L779" s="1">
        <f ca="1">IFERROR(VLOOKUP($A779,[1]库存使用数据!$A:$L,12,0),0)+IFERROR(VLOOKUP($A779,[2]库存使用数据!$A:$L,12,0),0)+IFERROR(VLOOKUP($A779,[3]库存使用数据!$A:$L,12,0),0)+IFERROR(VLOOKUP($A779,[4]库存使用数据!$A:$L,12,0),0)+IFERROR(VLOOKUP($A779,[5]库存使用数据!$A:$L,12,0),0)</f>
        <v>0</v>
      </c>
      <c r="M779" s="1">
        <f ca="1">IFERROR(VLOOKUP($A779,[1]库存使用数据!$A:$M,13,0),0)+IFERROR(VLOOKUP($A779,[2]库存使用数据!$A:$M,13,0),0)+公式!$B$14*IFERROR(VLOOKUP($A779,[3]库存使用数据!$A:$M,13,0),0)+IFERROR(VLOOKUP($A779,[4]库存使用数据!$A:$M,13,0),0)+IFERROR(VLOOKUP($A779,[5]库存使用数据!$A:$M,13,0),0)</f>
        <v>0</v>
      </c>
    </row>
    <row r="780" spans="1:13">
      <c r="A780" s="6" t="s">
        <v>785</v>
      </c>
      <c r="B780" s="2">
        <f ca="1">IFERROR(VLOOKUP(A780,[1]库存使用数据!$A:$B,2,0),0)+IFERROR(VLOOKUP(A780,[2]库存使用数据!$A:$B,2,0),0)+IFERROR(VLOOKUP(,[3]库存使用数据!$A:$B,2,0),0)+IFERROR(VLOOKUP(A780,[4]库存使用数据!$A:$B,2,0),0)+IFERROR(VLOOKUP(A780,[5]库存使用数据!$A:$B,2,0),0)</f>
        <v>1</v>
      </c>
      <c r="C780" s="1">
        <f ca="1">IFERROR(VLOOKUP($A780,[1]库存使用数据!$A:$C,3,0),0)+IFERROR(VLOOKUP($A780,[2]库存使用数据!$A:$C,3,0),0)+IFERROR(VLOOKUP($A780,[3]库存使用数据!$A:$C,3,0),0)+IFERROR(VLOOKUP($A780,[4]库存使用数据!$A:$C,3,0),0)+IFERROR(VLOOKUP($A780,[5]库存使用数据!$A:$C,3,0),0)</f>
        <v>0</v>
      </c>
      <c r="D780" s="1">
        <f ca="1">IFERROR(VLOOKUP($A780,[1]库存使用数据!$A:$D,4,0),0)+IFERROR(VLOOKUP($A780,[2]库存使用数据!$A:$D,4,0),0)+公式!$B$1*IFERROR(VLOOKUP($A780,[3]库存使用数据!$A:$D,4,0),0)+IFERROR(VLOOKUP($A780,[4]库存使用数据!$A:$D,4,0),0)+IFERROR(VLOOKUP($A780,[5]库存使用数据!$A:$D,4,0),0)</f>
        <v>0</v>
      </c>
      <c r="E780" s="1">
        <f ca="1">IFERROR(VLOOKUP($A780,[1]库存使用数据!$A:$E,5,0),0)+IFERROR(VLOOKUP($A780,[2]库存使用数据!$A:$E,5,0),0)+IFERROR(VLOOKUP($A780,[3]库存使用数据!$A:$E,5,0),0)+IFERROR(VLOOKUP($A780,[4]库存使用数据!$A:$E,5,0),0)+IFERROR(VLOOKUP($A780,[5]库存使用数据!$A:$E,5,0),0)</f>
        <v>0</v>
      </c>
      <c r="F780" s="1">
        <f ca="1">IFERROR(VLOOKUP($A780,[1]库存使用数据!$A:$F,6,0),0)+IFERROR(VLOOKUP($A780,[2]库存使用数据!$A:$F,6,0),0)+IFERROR(VLOOKUP($A780,[4]库存使用数据!$A:$F,6,0),0)+IFERROR(VLOOKUP($A780,[3]库存使用数据!$A:$F,6,0),0)+IFERROR(VLOOKUP($A780,[5]库存使用数据!$A:$F,6,0),0)</f>
        <v>0</v>
      </c>
      <c r="G780" s="1">
        <f ca="1">IFERROR(VLOOKUP($A780,[1]库存使用数据!$A:$G,7,0),0)+IFERROR(VLOOKUP($A780,[2]库存使用数据!$A:$G,7,0),0)+公式!$B$14*IFERROR(VLOOKUP($A780,[3]库存使用数据!$A:$G,7,0),0)+IFERROR(VLOOKUP($A780,[4]库存使用数据!$A:$G,7,0),0)+IFERROR(VLOOKUP($A780,[5]库存使用数据!$A:$G,7,0),0)</f>
        <v>0</v>
      </c>
      <c r="H780" s="1">
        <f ca="1">IFERROR(VLOOKUP($A780,[1]库存使用数据!$A:$H,8,0),0)+IFERROR(VLOOKUP($A780,[2]库存使用数据!$A:$H,8,0),0)+IFERROR(VLOOKUP($A780,[3]库存使用数据!$A:$H,8,0),0)+IFERROR(VLOOKUP($A780,[4]库存使用数据!$A:$H,8,0),0)+IFERROR(VLOOKUP($A780,[5]库存使用数据!$A:$H,8,0),0)</f>
        <v>0</v>
      </c>
      <c r="I780" s="1">
        <f ca="1">IFERROR(VLOOKUP($A780,[1]库存使用数据!$A:$I,9,0),0)+IFERROR(VLOOKUP($A780,[2]库存使用数据!$A:$I,9,0),0)+IFERROR(VLOOKUP($A780,[3]库存使用数据!$A:$I,9,0),0)+IFERROR(VLOOKUP($A780,[4]库存使用数据!$A:$I,9,0),0)+IFERROR(VLOOKUP($A780,[5]库存使用数据!$A:$I,9,0),0)</f>
        <v>0</v>
      </c>
      <c r="J780" s="1">
        <f ca="1">IFERROR(VLOOKUP($A780,[1]库存使用数据!$A:$J,10,0),0)+IFERROR(VLOOKUP($A780,[2]库存使用数据!$A:$J,10,0),0)+公式!$B$14*IFERROR(VLOOKUP($A780,[3]库存使用数据!$A:$J,10,0),0)+IFERROR(VLOOKUP($A780,[4]库存使用数据!$A:$J,10,0),0)+IFERROR(VLOOKUP($A780,[5]库存使用数据!$A:$J,10,0),0)</f>
        <v>0</v>
      </c>
      <c r="K780" s="1">
        <f ca="1">IFERROR(VLOOKUP($A780,[1]库存使用数据!$A:$K,11,0),0)+IFERROR(VLOOKUP($A780,[2]库存使用数据!$A:$K,11,0),0)+IFERROR(VLOOKUP($A780,[3]库存使用数据!$A:$K,11,0),0)+IFERROR(VLOOKUP($A780,[4]库存使用数据!$A:$K,11,0),0)+IFERROR(VLOOKUP($A780,[5]库存使用数据!$A:$K,11,0),0)</f>
        <v>0</v>
      </c>
      <c r="L780" s="1">
        <f ca="1">IFERROR(VLOOKUP($A780,[1]库存使用数据!$A:$L,12,0),0)+IFERROR(VLOOKUP($A780,[2]库存使用数据!$A:$L,12,0),0)+IFERROR(VLOOKUP($A780,[3]库存使用数据!$A:$L,12,0),0)+IFERROR(VLOOKUP($A780,[4]库存使用数据!$A:$L,12,0),0)+IFERROR(VLOOKUP($A780,[5]库存使用数据!$A:$L,12,0),0)</f>
        <v>0</v>
      </c>
      <c r="M780" s="1">
        <f ca="1">IFERROR(VLOOKUP($A780,[1]库存使用数据!$A:$M,13,0),0)+IFERROR(VLOOKUP($A780,[2]库存使用数据!$A:$M,13,0),0)+公式!$B$14*IFERROR(VLOOKUP($A780,[3]库存使用数据!$A:$M,13,0),0)+IFERROR(VLOOKUP($A780,[4]库存使用数据!$A:$M,13,0),0)+IFERROR(VLOOKUP($A780,[5]库存使用数据!$A:$M,13,0),0)</f>
        <v>0</v>
      </c>
    </row>
    <row r="781" spans="1:13">
      <c r="A781" s="6" t="s">
        <v>786</v>
      </c>
      <c r="B781" s="2">
        <f ca="1">IFERROR(VLOOKUP(A781,[1]库存使用数据!$A:$B,2,0),0)+IFERROR(VLOOKUP(A781,[2]库存使用数据!$A:$B,2,0),0)+IFERROR(VLOOKUP(,[3]库存使用数据!$A:$B,2,0),0)+IFERROR(VLOOKUP(A781,[4]库存使用数据!$A:$B,2,0),0)+IFERROR(VLOOKUP(A781,[5]库存使用数据!$A:$B,2,0),0)</f>
        <v>0</v>
      </c>
      <c r="C781" s="1">
        <f ca="1">IFERROR(VLOOKUP($A781,[1]库存使用数据!$A:$C,3,0),0)+IFERROR(VLOOKUP($A781,[2]库存使用数据!$A:$C,3,0),0)+IFERROR(VLOOKUP($A781,[3]库存使用数据!$A:$C,3,0),0)+IFERROR(VLOOKUP($A781,[4]库存使用数据!$A:$C,3,0),0)+IFERROR(VLOOKUP($A781,[5]库存使用数据!$A:$C,3,0),0)</f>
        <v>0</v>
      </c>
      <c r="D781" s="1">
        <f ca="1">IFERROR(VLOOKUP($A781,[1]库存使用数据!$A:$D,4,0),0)+IFERROR(VLOOKUP($A781,[2]库存使用数据!$A:$D,4,0),0)+公式!$B$1*IFERROR(VLOOKUP($A781,[3]库存使用数据!$A:$D,4,0),0)+IFERROR(VLOOKUP($A781,[4]库存使用数据!$A:$D,4,0),0)+IFERROR(VLOOKUP($A781,[5]库存使用数据!$A:$D,4,0),0)</f>
        <v>0</v>
      </c>
      <c r="E781" s="1">
        <f ca="1">IFERROR(VLOOKUP($A781,[1]库存使用数据!$A:$E,5,0),0)+IFERROR(VLOOKUP($A781,[2]库存使用数据!$A:$E,5,0),0)+IFERROR(VLOOKUP($A781,[3]库存使用数据!$A:$E,5,0),0)+IFERROR(VLOOKUP($A781,[4]库存使用数据!$A:$E,5,0),0)+IFERROR(VLOOKUP($A781,[5]库存使用数据!$A:$E,5,0),0)</f>
        <v>4</v>
      </c>
      <c r="F781" s="1">
        <f ca="1">IFERROR(VLOOKUP($A781,[1]库存使用数据!$A:$F,6,0),0)+IFERROR(VLOOKUP($A781,[2]库存使用数据!$A:$F,6,0),0)+IFERROR(VLOOKUP($A781,[4]库存使用数据!$A:$F,6,0),0)+IFERROR(VLOOKUP($A781,[3]库存使用数据!$A:$F,6,0),0)+IFERROR(VLOOKUP($A781,[5]库存使用数据!$A:$F,6,0),0)</f>
        <v>0</v>
      </c>
      <c r="G781" s="1">
        <f ca="1">IFERROR(VLOOKUP($A781,[1]库存使用数据!$A:$G,7,0),0)+IFERROR(VLOOKUP($A781,[2]库存使用数据!$A:$G,7,0),0)+公式!$B$14*IFERROR(VLOOKUP($A781,[3]库存使用数据!$A:$G,7,0),0)+IFERROR(VLOOKUP($A781,[4]库存使用数据!$A:$G,7,0),0)+IFERROR(VLOOKUP($A781,[5]库存使用数据!$A:$G,7,0),0)</f>
        <v>0</v>
      </c>
      <c r="H781" s="1">
        <f ca="1">IFERROR(VLOOKUP($A781,[1]库存使用数据!$A:$H,8,0),0)+IFERROR(VLOOKUP($A781,[2]库存使用数据!$A:$H,8,0),0)+IFERROR(VLOOKUP($A781,[3]库存使用数据!$A:$H,8,0),0)+IFERROR(VLOOKUP($A781,[4]库存使用数据!$A:$H,8,0),0)+IFERROR(VLOOKUP($A781,[5]库存使用数据!$A:$H,8,0),0)</f>
        <v>3</v>
      </c>
      <c r="I781" s="1">
        <f ca="1">IFERROR(VLOOKUP($A781,[1]库存使用数据!$A:$I,9,0),0)+IFERROR(VLOOKUP($A781,[2]库存使用数据!$A:$I,9,0),0)+IFERROR(VLOOKUP($A781,[3]库存使用数据!$A:$I,9,0),0)+IFERROR(VLOOKUP($A781,[4]库存使用数据!$A:$I,9,0),0)+IFERROR(VLOOKUP($A781,[5]库存使用数据!$A:$I,9,0),0)</f>
        <v>0</v>
      </c>
      <c r="J781" s="1">
        <f ca="1">IFERROR(VLOOKUP($A781,[1]库存使用数据!$A:$J,10,0),0)+IFERROR(VLOOKUP($A781,[2]库存使用数据!$A:$J,10,0),0)+公式!$B$14*IFERROR(VLOOKUP($A781,[3]库存使用数据!$A:$J,10,0),0)+IFERROR(VLOOKUP($A781,[4]库存使用数据!$A:$J,10,0),0)+IFERROR(VLOOKUP($A781,[5]库存使用数据!$A:$J,10,0),0)</f>
        <v>0</v>
      </c>
      <c r="K781" s="1">
        <f ca="1">IFERROR(VLOOKUP($A781,[1]库存使用数据!$A:$K,11,0),0)+IFERROR(VLOOKUP($A781,[2]库存使用数据!$A:$K,11,0),0)+IFERROR(VLOOKUP($A781,[3]库存使用数据!$A:$K,11,0),0)+IFERROR(VLOOKUP($A781,[4]库存使用数据!$A:$K,11,0),0)+IFERROR(VLOOKUP($A781,[5]库存使用数据!$A:$K,11,0),0)</f>
        <v>8</v>
      </c>
      <c r="L781" s="1">
        <f ca="1">IFERROR(VLOOKUP($A781,[1]库存使用数据!$A:$L,12,0),0)+IFERROR(VLOOKUP($A781,[2]库存使用数据!$A:$L,12,0),0)+IFERROR(VLOOKUP($A781,[3]库存使用数据!$A:$L,12,0),0)+IFERROR(VLOOKUP($A781,[4]库存使用数据!$A:$L,12,0),0)+IFERROR(VLOOKUP($A781,[5]库存使用数据!$A:$L,12,0),0)</f>
        <v>0</v>
      </c>
      <c r="M781" s="1">
        <f ca="1">IFERROR(VLOOKUP($A781,[1]库存使用数据!$A:$M,13,0),0)+IFERROR(VLOOKUP($A781,[2]库存使用数据!$A:$M,13,0),0)+公式!$B$14*IFERROR(VLOOKUP($A781,[3]库存使用数据!$A:$M,13,0),0)+IFERROR(VLOOKUP($A781,[4]库存使用数据!$A:$M,13,0),0)+IFERROR(VLOOKUP($A781,[5]库存使用数据!$A:$M,13,0),0)</f>
        <v>0</v>
      </c>
    </row>
    <row r="782" spans="1:13">
      <c r="A782" s="6" t="s">
        <v>787</v>
      </c>
      <c r="B782" s="2">
        <f ca="1">IFERROR(VLOOKUP(A782,[1]库存使用数据!$A:$B,2,0),0)+IFERROR(VLOOKUP(A782,[2]库存使用数据!$A:$B,2,0),0)+IFERROR(VLOOKUP(,[3]库存使用数据!$A:$B,2,0),0)+IFERROR(VLOOKUP(A782,[4]库存使用数据!$A:$B,2,0),0)+IFERROR(VLOOKUP(A782,[5]库存使用数据!$A:$B,2,0),0)</f>
        <v>0</v>
      </c>
      <c r="C782" s="1">
        <f ca="1">IFERROR(VLOOKUP($A782,[1]库存使用数据!$A:$C,3,0),0)+IFERROR(VLOOKUP($A782,[2]库存使用数据!$A:$C,3,0),0)+IFERROR(VLOOKUP($A782,[3]库存使用数据!$A:$C,3,0),0)+IFERROR(VLOOKUP($A782,[4]库存使用数据!$A:$C,3,0),0)+IFERROR(VLOOKUP($A782,[5]库存使用数据!$A:$C,3,0),0)</f>
        <v>0</v>
      </c>
      <c r="D782" s="1">
        <f ca="1">IFERROR(VLOOKUP($A782,[1]库存使用数据!$A:$D,4,0),0)+IFERROR(VLOOKUP($A782,[2]库存使用数据!$A:$D,4,0),0)+公式!$B$1*IFERROR(VLOOKUP($A782,[3]库存使用数据!$A:$D,4,0),0)+IFERROR(VLOOKUP($A782,[4]库存使用数据!$A:$D,4,0),0)+IFERROR(VLOOKUP($A782,[5]库存使用数据!$A:$D,4,0),0)</f>
        <v>0</v>
      </c>
      <c r="E782" s="1">
        <f ca="1">IFERROR(VLOOKUP($A782,[1]库存使用数据!$A:$E,5,0),0)+IFERROR(VLOOKUP($A782,[2]库存使用数据!$A:$E,5,0),0)+IFERROR(VLOOKUP($A782,[3]库存使用数据!$A:$E,5,0),0)+IFERROR(VLOOKUP($A782,[4]库存使用数据!$A:$E,5,0),0)+IFERROR(VLOOKUP($A782,[5]库存使用数据!$A:$E,5,0),0)</f>
        <v>2</v>
      </c>
      <c r="F782" s="1">
        <f ca="1">IFERROR(VLOOKUP($A782,[1]库存使用数据!$A:$F,6,0),0)+IFERROR(VLOOKUP($A782,[2]库存使用数据!$A:$F,6,0),0)+IFERROR(VLOOKUP($A782,[4]库存使用数据!$A:$F,6,0),0)+IFERROR(VLOOKUP($A782,[3]库存使用数据!$A:$F,6,0),0)+IFERROR(VLOOKUP($A782,[5]库存使用数据!$A:$F,6,0),0)</f>
        <v>0</v>
      </c>
      <c r="G782" s="1">
        <f ca="1">IFERROR(VLOOKUP($A782,[1]库存使用数据!$A:$G,7,0),0)+IFERROR(VLOOKUP($A782,[2]库存使用数据!$A:$G,7,0),0)+公式!$B$14*IFERROR(VLOOKUP($A782,[3]库存使用数据!$A:$G,7,0),0)+IFERROR(VLOOKUP($A782,[4]库存使用数据!$A:$G,7,0),0)+IFERROR(VLOOKUP($A782,[5]库存使用数据!$A:$G,7,0),0)</f>
        <v>0</v>
      </c>
      <c r="H782" s="1">
        <f ca="1">IFERROR(VLOOKUP($A782,[1]库存使用数据!$A:$H,8,0),0)+IFERROR(VLOOKUP($A782,[2]库存使用数据!$A:$H,8,0),0)+IFERROR(VLOOKUP($A782,[3]库存使用数据!$A:$H,8,0),0)+IFERROR(VLOOKUP($A782,[4]库存使用数据!$A:$H,8,0),0)+IFERROR(VLOOKUP($A782,[5]库存使用数据!$A:$H,8,0),0)</f>
        <v>1</v>
      </c>
      <c r="I782" s="1">
        <f ca="1">IFERROR(VLOOKUP($A782,[1]库存使用数据!$A:$I,9,0),0)+IFERROR(VLOOKUP($A782,[2]库存使用数据!$A:$I,9,0),0)+IFERROR(VLOOKUP($A782,[3]库存使用数据!$A:$I,9,0),0)+IFERROR(VLOOKUP($A782,[4]库存使用数据!$A:$I,9,0),0)+IFERROR(VLOOKUP($A782,[5]库存使用数据!$A:$I,9,0),0)</f>
        <v>0</v>
      </c>
      <c r="J782" s="1">
        <f ca="1">IFERROR(VLOOKUP($A782,[1]库存使用数据!$A:$J,10,0),0)+IFERROR(VLOOKUP($A782,[2]库存使用数据!$A:$J,10,0),0)+公式!$B$14*IFERROR(VLOOKUP($A782,[3]库存使用数据!$A:$J,10,0),0)+IFERROR(VLOOKUP($A782,[4]库存使用数据!$A:$J,10,0),0)+IFERROR(VLOOKUP($A782,[5]库存使用数据!$A:$J,10,0),0)</f>
        <v>0</v>
      </c>
      <c r="K782" s="1">
        <f ca="1">IFERROR(VLOOKUP($A782,[1]库存使用数据!$A:$K,11,0),0)+IFERROR(VLOOKUP($A782,[2]库存使用数据!$A:$K,11,0),0)+IFERROR(VLOOKUP($A782,[3]库存使用数据!$A:$K,11,0),0)+IFERROR(VLOOKUP($A782,[4]库存使用数据!$A:$K,11,0),0)+IFERROR(VLOOKUP($A782,[5]库存使用数据!$A:$K,11,0),0)</f>
        <v>2</v>
      </c>
      <c r="L782" s="1">
        <f ca="1">IFERROR(VLOOKUP($A782,[1]库存使用数据!$A:$L,12,0),0)+IFERROR(VLOOKUP($A782,[2]库存使用数据!$A:$L,12,0),0)+IFERROR(VLOOKUP($A782,[3]库存使用数据!$A:$L,12,0),0)+IFERROR(VLOOKUP($A782,[4]库存使用数据!$A:$L,12,0),0)+IFERROR(VLOOKUP($A782,[5]库存使用数据!$A:$L,12,0),0)</f>
        <v>0</v>
      </c>
      <c r="M782" s="1">
        <f ca="1">IFERROR(VLOOKUP($A782,[1]库存使用数据!$A:$M,13,0),0)+IFERROR(VLOOKUP($A782,[2]库存使用数据!$A:$M,13,0),0)+公式!$B$14*IFERROR(VLOOKUP($A782,[3]库存使用数据!$A:$M,13,0),0)+IFERROR(VLOOKUP($A782,[4]库存使用数据!$A:$M,13,0),0)+IFERROR(VLOOKUP($A782,[5]库存使用数据!$A:$M,13,0),0)</f>
        <v>0</v>
      </c>
    </row>
    <row r="783" spans="1:13">
      <c r="A783" s="6" t="s">
        <v>788</v>
      </c>
      <c r="B783" s="2">
        <f ca="1">IFERROR(VLOOKUP(A783,[1]库存使用数据!$A:$B,2,0),0)+IFERROR(VLOOKUP(A783,[2]库存使用数据!$A:$B,2,0),0)+IFERROR(VLOOKUP(,[3]库存使用数据!$A:$B,2,0),0)+IFERROR(VLOOKUP(A783,[4]库存使用数据!$A:$B,2,0),0)+IFERROR(VLOOKUP(A783,[5]库存使用数据!$A:$B,2,0),0)</f>
        <v>1</v>
      </c>
      <c r="C783" s="1">
        <f ca="1">IFERROR(VLOOKUP($A783,[1]库存使用数据!$A:$C,3,0),0)+IFERROR(VLOOKUP($A783,[2]库存使用数据!$A:$C,3,0),0)+IFERROR(VLOOKUP($A783,[3]库存使用数据!$A:$C,3,0),0)+IFERROR(VLOOKUP($A783,[4]库存使用数据!$A:$C,3,0),0)+IFERROR(VLOOKUP($A783,[5]库存使用数据!$A:$C,3,0),0)</f>
        <v>0</v>
      </c>
      <c r="D783" s="1">
        <f ca="1">IFERROR(VLOOKUP($A783,[1]库存使用数据!$A:$D,4,0),0)+IFERROR(VLOOKUP($A783,[2]库存使用数据!$A:$D,4,0),0)+公式!$B$1*IFERROR(VLOOKUP($A783,[3]库存使用数据!$A:$D,4,0),0)+IFERROR(VLOOKUP($A783,[4]库存使用数据!$A:$D,4,0),0)+IFERROR(VLOOKUP($A783,[5]库存使用数据!$A:$D,4,0),0)</f>
        <v>0</v>
      </c>
      <c r="E783" s="1">
        <f ca="1">IFERROR(VLOOKUP($A783,[1]库存使用数据!$A:$E,5,0),0)+IFERROR(VLOOKUP($A783,[2]库存使用数据!$A:$E,5,0),0)+IFERROR(VLOOKUP($A783,[3]库存使用数据!$A:$E,5,0),0)+IFERROR(VLOOKUP($A783,[4]库存使用数据!$A:$E,5,0),0)+IFERROR(VLOOKUP($A783,[5]库存使用数据!$A:$E,5,0),0)</f>
        <v>6</v>
      </c>
      <c r="F783" s="1">
        <f ca="1">IFERROR(VLOOKUP($A783,[1]库存使用数据!$A:$F,6,0),0)+IFERROR(VLOOKUP($A783,[2]库存使用数据!$A:$F,6,0),0)+IFERROR(VLOOKUP($A783,[4]库存使用数据!$A:$F,6,0),0)+IFERROR(VLOOKUP($A783,[3]库存使用数据!$A:$F,6,0),0)+IFERROR(VLOOKUP($A783,[5]库存使用数据!$A:$F,6,0),0)</f>
        <v>0</v>
      </c>
      <c r="G783" s="1">
        <f ca="1">IFERROR(VLOOKUP($A783,[1]库存使用数据!$A:$G,7,0),0)+IFERROR(VLOOKUP($A783,[2]库存使用数据!$A:$G,7,0),0)+公式!$B$14*IFERROR(VLOOKUP($A783,[3]库存使用数据!$A:$G,7,0),0)+IFERROR(VLOOKUP($A783,[4]库存使用数据!$A:$G,7,0),0)+IFERROR(VLOOKUP($A783,[5]库存使用数据!$A:$G,7,0),0)</f>
        <v>0</v>
      </c>
      <c r="H783" s="1">
        <f ca="1">IFERROR(VLOOKUP($A783,[1]库存使用数据!$A:$H,8,0),0)+IFERROR(VLOOKUP($A783,[2]库存使用数据!$A:$H,8,0),0)+IFERROR(VLOOKUP($A783,[3]库存使用数据!$A:$H,8,0),0)+IFERROR(VLOOKUP($A783,[4]库存使用数据!$A:$H,8,0),0)+IFERROR(VLOOKUP($A783,[5]库存使用数据!$A:$H,8,0),0)</f>
        <v>2</v>
      </c>
      <c r="I783" s="1">
        <f ca="1">IFERROR(VLOOKUP($A783,[1]库存使用数据!$A:$I,9,0),0)+IFERROR(VLOOKUP($A783,[2]库存使用数据!$A:$I,9,0),0)+IFERROR(VLOOKUP($A783,[3]库存使用数据!$A:$I,9,0),0)+IFERROR(VLOOKUP($A783,[4]库存使用数据!$A:$I,9,0),0)+IFERROR(VLOOKUP($A783,[5]库存使用数据!$A:$I,9,0),0)</f>
        <v>0</v>
      </c>
      <c r="J783" s="1">
        <f ca="1">IFERROR(VLOOKUP($A783,[1]库存使用数据!$A:$J,10,0),0)+IFERROR(VLOOKUP($A783,[2]库存使用数据!$A:$J,10,0),0)+公式!$B$14*IFERROR(VLOOKUP($A783,[3]库存使用数据!$A:$J,10,0),0)+IFERROR(VLOOKUP($A783,[4]库存使用数据!$A:$J,10,0),0)+IFERROR(VLOOKUP($A783,[5]库存使用数据!$A:$J,10,0),0)</f>
        <v>0</v>
      </c>
      <c r="K783" s="1">
        <f ca="1">IFERROR(VLOOKUP($A783,[1]库存使用数据!$A:$K,11,0),0)+IFERROR(VLOOKUP($A783,[2]库存使用数据!$A:$K,11,0),0)+IFERROR(VLOOKUP($A783,[3]库存使用数据!$A:$K,11,0),0)+IFERROR(VLOOKUP($A783,[4]库存使用数据!$A:$K,11,0),0)+IFERROR(VLOOKUP($A783,[5]库存使用数据!$A:$K,11,0),0)</f>
        <v>2</v>
      </c>
      <c r="L783" s="1">
        <f ca="1">IFERROR(VLOOKUP($A783,[1]库存使用数据!$A:$L,12,0),0)+IFERROR(VLOOKUP($A783,[2]库存使用数据!$A:$L,12,0),0)+IFERROR(VLOOKUP($A783,[3]库存使用数据!$A:$L,12,0),0)+IFERROR(VLOOKUP($A783,[4]库存使用数据!$A:$L,12,0),0)+IFERROR(VLOOKUP($A783,[5]库存使用数据!$A:$L,12,0),0)</f>
        <v>0</v>
      </c>
      <c r="M783" s="1">
        <f ca="1">IFERROR(VLOOKUP($A783,[1]库存使用数据!$A:$M,13,0),0)+IFERROR(VLOOKUP($A783,[2]库存使用数据!$A:$M,13,0),0)+公式!$B$14*IFERROR(VLOOKUP($A783,[3]库存使用数据!$A:$M,13,0),0)+IFERROR(VLOOKUP($A783,[4]库存使用数据!$A:$M,13,0),0)+IFERROR(VLOOKUP($A783,[5]库存使用数据!$A:$M,13,0),0)</f>
        <v>0</v>
      </c>
    </row>
    <row r="784" spans="1:13">
      <c r="A784" s="6" t="s">
        <v>789</v>
      </c>
      <c r="B784" s="2">
        <f ca="1">IFERROR(VLOOKUP(A784,[1]库存使用数据!$A:$B,2,0),0)+IFERROR(VLOOKUP(A784,[2]库存使用数据!$A:$B,2,0),0)+IFERROR(VLOOKUP(,[3]库存使用数据!$A:$B,2,0),0)+IFERROR(VLOOKUP(A784,[4]库存使用数据!$A:$B,2,0),0)+IFERROR(VLOOKUP(A784,[5]库存使用数据!$A:$B,2,0),0)</f>
        <v>0</v>
      </c>
      <c r="C784" s="1">
        <f ca="1">IFERROR(VLOOKUP($A784,[1]库存使用数据!$A:$C,3,0),0)+IFERROR(VLOOKUP($A784,[2]库存使用数据!$A:$C,3,0),0)+IFERROR(VLOOKUP($A784,[3]库存使用数据!$A:$C,3,0),0)+IFERROR(VLOOKUP($A784,[4]库存使用数据!$A:$C,3,0),0)+IFERROR(VLOOKUP($A784,[5]库存使用数据!$A:$C,3,0),0)</f>
        <v>0</v>
      </c>
      <c r="D784" s="1">
        <f ca="1">IFERROR(VLOOKUP($A784,[1]库存使用数据!$A:$D,4,0),0)+IFERROR(VLOOKUP($A784,[2]库存使用数据!$A:$D,4,0),0)+公式!$B$1*IFERROR(VLOOKUP($A784,[3]库存使用数据!$A:$D,4,0),0)+IFERROR(VLOOKUP($A784,[4]库存使用数据!$A:$D,4,0),0)+IFERROR(VLOOKUP($A784,[5]库存使用数据!$A:$D,4,0),0)</f>
        <v>0</v>
      </c>
      <c r="E784" s="1">
        <f ca="1">IFERROR(VLOOKUP($A784,[1]库存使用数据!$A:$E,5,0),0)+IFERROR(VLOOKUP($A784,[2]库存使用数据!$A:$E,5,0),0)+IFERROR(VLOOKUP($A784,[3]库存使用数据!$A:$E,5,0),0)+IFERROR(VLOOKUP($A784,[4]库存使用数据!$A:$E,5,0),0)+IFERROR(VLOOKUP($A784,[5]库存使用数据!$A:$E,5,0),0)</f>
        <v>1</v>
      </c>
      <c r="F784" s="1">
        <f ca="1">IFERROR(VLOOKUP($A784,[1]库存使用数据!$A:$F,6,0),0)+IFERROR(VLOOKUP($A784,[2]库存使用数据!$A:$F,6,0),0)+IFERROR(VLOOKUP($A784,[4]库存使用数据!$A:$F,6,0),0)+IFERROR(VLOOKUP($A784,[3]库存使用数据!$A:$F,6,0),0)+IFERROR(VLOOKUP($A784,[5]库存使用数据!$A:$F,6,0),0)</f>
        <v>0</v>
      </c>
      <c r="G784" s="1">
        <f ca="1">IFERROR(VLOOKUP($A784,[1]库存使用数据!$A:$G,7,0),0)+IFERROR(VLOOKUP($A784,[2]库存使用数据!$A:$G,7,0),0)+公式!$B$14*IFERROR(VLOOKUP($A784,[3]库存使用数据!$A:$G,7,0),0)+IFERROR(VLOOKUP($A784,[4]库存使用数据!$A:$G,7,0),0)+IFERROR(VLOOKUP($A784,[5]库存使用数据!$A:$G,7,0),0)</f>
        <v>0</v>
      </c>
      <c r="H784" s="1">
        <f ca="1">IFERROR(VLOOKUP($A784,[1]库存使用数据!$A:$H,8,0),0)+IFERROR(VLOOKUP($A784,[2]库存使用数据!$A:$H,8,0),0)+IFERROR(VLOOKUP($A784,[3]库存使用数据!$A:$H,8,0),0)+IFERROR(VLOOKUP($A784,[4]库存使用数据!$A:$H,8,0),0)+IFERROR(VLOOKUP($A784,[5]库存使用数据!$A:$H,8,0),0)</f>
        <v>0</v>
      </c>
      <c r="I784" s="1">
        <f ca="1">IFERROR(VLOOKUP($A784,[1]库存使用数据!$A:$I,9,0),0)+IFERROR(VLOOKUP($A784,[2]库存使用数据!$A:$I,9,0),0)+IFERROR(VLOOKUP($A784,[3]库存使用数据!$A:$I,9,0),0)+IFERROR(VLOOKUP($A784,[4]库存使用数据!$A:$I,9,0),0)+IFERROR(VLOOKUP($A784,[5]库存使用数据!$A:$I,9,0),0)</f>
        <v>0</v>
      </c>
      <c r="J784" s="1">
        <f ca="1">IFERROR(VLOOKUP($A784,[1]库存使用数据!$A:$J,10,0),0)+IFERROR(VLOOKUP($A784,[2]库存使用数据!$A:$J,10,0),0)+公式!$B$14*IFERROR(VLOOKUP($A784,[3]库存使用数据!$A:$J,10,0),0)+IFERROR(VLOOKUP($A784,[4]库存使用数据!$A:$J,10,0),0)+IFERROR(VLOOKUP($A784,[5]库存使用数据!$A:$J,10,0),0)</f>
        <v>0</v>
      </c>
      <c r="K784" s="1">
        <f ca="1">IFERROR(VLOOKUP($A784,[1]库存使用数据!$A:$K,11,0),0)+IFERROR(VLOOKUP($A784,[2]库存使用数据!$A:$K,11,0),0)+IFERROR(VLOOKUP($A784,[3]库存使用数据!$A:$K,11,0),0)+IFERROR(VLOOKUP($A784,[4]库存使用数据!$A:$K,11,0),0)+IFERROR(VLOOKUP($A784,[5]库存使用数据!$A:$K,11,0),0)</f>
        <v>2</v>
      </c>
      <c r="L784" s="1">
        <f ca="1">IFERROR(VLOOKUP($A784,[1]库存使用数据!$A:$L,12,0),0)+IFERROR(VLOOKUP($A784,[2]库存使用数据!$A:$L,12,0),0)+IFERROR(VLOOKUP($A784,[3]库存使用数据!$A:$L,12,0),0)+IFERROR(VLOOKUP($A784,[4]库存使用数据!$A:$L,12,0),0)+IFERROR(VLOOKUP($A784,[5]库存使用数据!$A:$L,12,0),0)</f>
        <v>0</v>
      </c>
      <c r="M784" s="1">
        <f ca="1">IFERROR(VLOOKUP($A784,[1]库存使用数据!$A:$M,13,0),0)+IFERROR(VLOOKUP($A784,[2]库存使用数据!$A:$M,13,0),0)+公式!$B$14*IFERROR(VLOOKUP($A784,[3]库存使用数据!$A:$M,13,0),0)+IFERROR(VLOOKUP($A784,[4]库存使用数据!$A:$M,13,0),0)+IFERROR(VLOOKUP($A784,[5]库存使用数据!$A:$M,13,0),0)</f>
        <v>0</v>
      </c>
    </row>
    <row r="785" spans="1:13">
      <c r="A785" s="6" t="s">
        <v>790</v>
      </c>
      <c r="B785" s="2">
        <f ca="1">IFERROR(VLOOKUP(A785,[1]库存使用数据!$A:$B,2,0),0)+IFERROR(VLOOKUP(A785,[2]库存使用数据!$A:$B,2,0),0)+IFERROR(VLOOKUP(,[3]库存使用数据!$A:$B,2,0),0)+IFERROR(VLOOKUP(A785,[4]库存使用数据!$A:$B,2,0),0)+IFERROR(VLOOKUP(A785,[5]库存使用数据!$A:$B,2,0),0)</f>
        <v>25</v>
      </c>
      <c r="C785" s="1">
        <f ca="1">IFERROR(VLOOKUP($A785,[1]库存使用数据!$A:$C,3,0),0)+IFERROR(VLOOKUP($A785,[2]库存使用数据!$A:$C,3,0),0)+IFERROR(VLOOKUP($A785,[3]库存使用数据!$A:$C,3,0),0)+IFERROR(VLOOKUP($A785,[4]库存使用数据!$A:$C,3,0),0)+IFERROR(VLOOKUP($A785,[5]库存使用数据!$A:$C,3,0),0)</f>
        <v>0</v>
      </c>
      <c r="D785" s="1">
        <f ca="1">IFERROR(VLOOKUP($A785,[1]库存使用数据!$A:$D,4,0),0)+IFERROR(VLOOKUP($A785,[2]库存使用数据!$A:$D,4,0),0)+公式!$B$1*IFERROR(VLOOKUP($A785,[3]库存使用数据!$A:$D,4,0),0)+IFERROR(VLOOKUP($A785,[4]库存使用数据!$A:$D,4,0),0)+IFERROR(VLOOKUP($A785,[5]库存使用数据!$A:$D,4,0),0)</f>
        <v>0</v>
      </c>
      <c r="E785" s="1">
        <f ca="1">IFERROR(VLOOKUP($A785,[1]库存使用数据!$A:$E,5,0),0)+IFERROR(VLOOKUP($A785,[2]库存使用数据!$A:$E,5,0),0)+IFERROR(VLOOKUP($A785,[3]库存使用数据!$A:$E,5,0),0)+IFERROR(VLOOKUP($A785,[4]库存使用数据!$A:$E,5,0),0)+IFERROR(VLOOKUP($A785,[5]库存使用数据!$A:$E,5,0),0)</f>
        <v>23</v>
      </c>
      <c r="F785" s="1">
        <f ca="1">IFERROR(VLOOKUP($A785,[1]库存使用数据!$A:$F,6,0),0)+IFERROR(VLOOKUP($A785,[2]库存使用数据!$A:$F,6,0),0)+IFERROR(VLOOKUP($A785,[4]库存使用数据!$A:$F,6,0),0)+IFERROR(VLOOKUP($A785,[3]库存使用数据!$A:$F,6,0),0)+IFERROR(VLOOKUP($A785,[5]库存使用数据!$A:$F,6,0),0)</f>
        <v>0</v>
      </c>
      <c r="G785" s="1">
        <f ca="1">IFERROR(VLOOKUP($A785,[1]库存使用数据!$A:$G,7,0),0)+IFERROR(VLOOKUP($A785,[2]库存使用数据!$A:$G,7,0),0)+公式!$B$14*IFERROR(VLOOKUP($A785,[3]库存使用数据!$A:$G,7,0),0)+IFERROR(VLOOKUP($A785,[4]库存使用数据!$A:$G,7,0),0)+IFERROR(VLOOKUP($A785,[5]库存使用数据!$A:$G,7,0),0)</f>
        <v>0</v>
      </c>
      <c r="H785" s="1">
        <f ca="1">IFERROR(VLOOKUP($A785,[1]库存使用数据!$A:$H,8,0),0)+IFERROR(VLOOKUP($A785,[2]库存使用数据!$A:$H,8,0),0)+IFERROR(VLOOKUP($A785,[3]库存使用数据!$A:$H,8,0),0)+IFERROR(VLOOKUP($A785,[4]库存使用数据!$A:$H,8,0),0)+IFERROR(VLOOKUP($A785,[5]库存使用数据!$A:$H,8,0),0)</f>
        <v>4</v>
      </c>
      <c r="I785" s="1">
        <f ca="1">IFERROR(VLOOKUP($A785,[1]库存使用数据!$A:$I,9,0),0)+IFERROR(VLOOKUP($A785,[2]库存使用数据!$A:$I,9,0),0)+IFERROR(VLOOKUP($A785,[3]库存使用数据!$A:$I,9,0),0)+IFERROR(VLOOKUP($A785,[4]库存使用数据!$A:$I,9,0),0)+IFERROR(VLOOKUP($A785,[5]库存使用数据!$A:$I,9,0),0)</f>
        <v>0</v>
      </c>
      <c r="J785" s="1">
        <f ca="1">IFERROR(VLOOKUP($A785,[1]库存使用数据!$A:$J,10,0),0)+IFERROR(VLOOKUP($A785,[2]库存使用数据!$A:$J,10,0),0)+公式!$B$14*IFERROR(VLOOKUP($A785,[3]库存使用数据!$A:$J,10,0),0)+IFERROR(VLOOKUP($A785,[4]库存使用数据!$A:$J,10,0),0)+IFERROR(VLOOKUP($A785,[5]库存使用数据!$A:$J,10,0),0)</f>
        <v>0</v>
      </c>
      <c r="K785" s="1">
        <f ca="1">IFERROR(VLOOKUP($A785,[1]库存使用数据!$A:$K,11,0),0)+IFERROR(VLOOKUP($A785,[2]库存使用数据!$A:$K,11,0),0)+IFERROR(VLOOKUP($A785,[3]库存使用数据!$A:$K,11,0),0)+IFERROR(VLOOKUP($A785,[4]库存使用数据!$A:$K,11,0),0)+IFERROR(VLOOKUP($A785,[5]库存使用数据!$A:$K,11,0),0)</f>
        <v>3</v>
      </c>
      <c r="L785" s="1">
        <f ca="1">IFERROR(VLOOKUP($A785,[1]库存使用数据!$A:$L,12,0),0)+IFERROR(VLOOKUP($A785,[2]库存使用数据!$A:$L,12,0),0)+IFERROR(VLOOKUP($A785,[3]库存使用数据!$A:$L,12,0),0)+IFERROR(VLOOKUP($A785,[4]库存使用数据!$A:$L,12,0),0)+IFERROR(VLOOKUP($A785,[5]库存使用数据!$A:$L,12,0),0)</f>
        <v>0</v>
      </c>
      <c r="M785" s="1">
        <f ca="1">IFERROR(VLOOKUP($A785,[1]库存使用数据!$A:$M,13,0),0)+IFERROR(VLOOKUP($A785,[2]库存使用数据!$A:$M,13,0),0)+公式!$B$14*IFERROR(VLOOKUP($A785,[3]库存使用数据!$A:$M,13,0),0)+IFERROR(VLOOKUP($A785,[4]库存使用数据!$A:$M,13,0),0)+IFERROR(VLOOKUP($A785,[5]库存使用数据!$A:$M,13,0),0)</f>
        <v>0</v>
      </c>
    </row>
    <row r="786" spans="1:13">
      <c r="A786" s="6" t="s">
        <v>791</v>
      </c>
      <c r="B786" s="2">
        <f ca="1">IFERROR(VLOOKUP(A786,[1]库存使用数据!$A:$B,2,0),0)+IFERROR(VLOOKUP(A786,[2]库存使用数据!$A:$B,2,0),0)+IFERROR(VLOOKUP(,[3]库存使用数据!$A:$B,2,0),0)+IFERROR(VLOOKUP(A786,[4]库存使用数据!$A:$B,2,0),0)+IFERROR(VLOOKUP(A786,[5]库存使用数据!$A:$B,2,0),0)</f>
        <v>8</v>
      </c>
      <c r="C786" s="1">
        <f ca="1">IFERROR(VLOOKUP($A786,[1]库存使用数据!$A:$C,3,0),0)+IFERROR(VLOOKUP($A786,[2]库存使用数据!$A:$C,3,0),0)+IFERROR(VLOOKUP($A786,[3]库存使用数据!$A:$C,3,0),0)+IFERROR(VLOOKUP($A786,[4]库存使用数据!$A:$C,3,0),0)+IFERROR(VLOOKUP($A786,[5]库存使用数据!$A:$C,3,0),0)</f>
        <v>0</v>
      </c>
      <c r="D786" s="1">
        <f ca="1">IFERROR(VLOOKUP($A786,[1]库存使用数据!$A:$D,4,0),0)+IFERROR(VLOOKUP($A786,[2]库存使用数据!$A:$D,4,0),0)+公式!$B$1*IFERROR(VLOOKUP($A786,[3]库存使用数据!$A:$D,4,0),0)+IFERROR(VLOOKUP($A786,[4]库存使用数据!$A:$D,4,0),0)+IFERROR(VLOOKUP($A786,[5]库存使用数据!$A:$D,4,0),0)</f>
        <v>0</v>
      </c>
      <c r="E786" s="1">
        <f ca="1">IFERROR(VLOOKUP($A786,[1]库存使用数据!$A:$E,5,0),0)+IFERROR(VLOOKUP($A786,[2]库存使用数据!$A:$E,5,0),0)+IFERROR(VLOOKUP($A786,[3]库存使用数据!$A:$E,5,0),0)+IFERROR(VLOOKUP($A786,[4]库存使用数据!$A:$E,5,0),0)+IFERROR(VLOOKUP($A786,[5]库存使用数据!$A:$E,5,0),0)</f>
        <v>5</v>
      </c>
      <c r="F786" s="1">
        <f ca="1">IFERROR(VLOOKUP($A786,[1]库存使用数据!$A:$F,6,0),0)+IFERROR(VLOOKUP($A786,[2]库存使用数据!$A:$F,6,0),0)+IFERROR(VLOOKUP($A786,[4]库存使用数据!$A:$F,6,0),0)+IFERROR(VLOOKUP($A786,[3]库存使用数据!$A:$F,6,0),0)+IFERROR(VLOOKUP($A786,[5]库存使用数据!$A:$F,6,0),0)</f>
        <v>0</v>
      </c>
      <c r="G786" s="1">
        <f ca="1">IFERROR(VLOOKUP($A786,[1]库存使用数据!$A:$G,7,0),0)+IFERROR(VLOOKUP($A786,[2]库存使用数据!$A:$G,7,0),0)+公式!$B$14*IFERROR(VLOOKUP($A786,[3]库存使用数据!$A:$G,7,0),0)+IFERROR(VLOOKUP($A786,[4]库存使用数据!$A:$G,7,0),0)+IFERROR(VLOOKUP($A786,[5]库存使用数据!$A:$G,7,0),0)</f>
        <v>0</v>
      </c>
      <c r="H786" s="1">
        <f ca="1">IFERROR(VLOOKUP($A786,[1]库存使用数据!$A:$H,8,0),0)+IFERROR(VLOOKUP($A786,[2]库存使用数据!$A:$H,8,0),0)+IFERROR(VLOOKUP($A786,[3]库存使用数据!$A:$H,8,0),0)+IFERROR(VLOOKUP($A786,[4]库存使用数据!$A:$H,8,0),0)+IFERROR(VLOOKUP($A786,[5]库存使用数据!$A:$H,8,0),0)</f>
        <v>0</v>
      </c>
      <c r="I786" s="1">
        <f ca="1">IFERROR(VLOOKUP($A786,[1]库存使用数据!$A:$I,9,0),0)+IFERROR(VLOOKUP($A786,[2]库存使用数据!$A:$I,9,0),0)+IFERROR(VLOOKUP($A786,[3]库存使用数据!$A:$I,9,0),0)+IFERROR(VLOOKUP($A786,[4]库存使用数据!$A:$I,9,0),0)+IFERROR(VLOOKUP($A786,[5]库存使用数据!$A:$I,9,0),0)</f>
        <v>0</v>
      </c>
      <c r="J786" s="1">
        <f ca="1">IFERROR(VLOOKUP($A786,[1]库存使用数据!$A:$J,10,0),0)+IFERROR(VLOOKUP($A786,[2]库存使用数据!$A:$J,10,0),0)+公式!$B$14*IFERROR(VLOOKUP($A786,[3]库存使用数据!$A:$J,10,0),0)+IFERROR(VLOOKUP($A786,[4]库存使用数据!$A:$J,10,0),0)+IFERROR(VLOOKUP($A786,[5]库存使用数据!$A:$J,10,0),0)</f>
        <v>0</v>
      </c>
      <c r="K786" s="1">
        <f ca="1">IFERROR(VLOOKUP($A786,[1]库存使用数据!$A:$K,11,0),0)+IFERROR(VLOOKUP($A786,[2]库存使用数据!$A:$K,11,0),0)+IFERROR(VLOOKUP($A786,[3]库存使用数据!$A:$K,11,0),0)+IFERROR(VLOOKUP($A786,[4]库存使用数据!$A:$K,11,0),0)+IFERROR(VLOOKUP($A786,[5]库存使用数据!$A:$K,11,0),0)</f>
        <v>3</v>
      </c>
      <c r="L786" s="1">
        <f ca="1">IFERROR(VLOOKUP($A786,[1]库存使用数据!$A:$L,12,0),0)+IFERROR(VLOOKUP($A786,[2]库存使用数据!$A:$L,12,0),0)+IFERROR(VLOOKUP($A786,[3]库存使用数据!$A:$L,12,0),0)+IFERROR(VLOOKUP($A786,[4]库存使用数据!$A:$L,12,0),0)+IFERROR(VLOOKUP($A786,[5]库存使用数据!$A:$L,12,0),0)</f>
        <v>0</v>
      </c>
      <c r="M786" s="1">
        <f ca="1">IFERROR(VLOOKUP($A786,[1]库存使用数据!$A:$M,13,0),0)+IFERROR(VLOOKUP($A786,[2]库存使用数据!$A:$M,13,0),0)+公式!$B$14*IFERROR(VLOOKUP($A786,[3]库存使用数据!$A:$M,13,0),0)+IFERROR(VLOOKUP($A786,[4]库存使用数据!$A:$M,13,0),0)+IFERROR(VLOOKUP($A786,[5]库存使用数据!$A:$M,13,0),0)</f>
        <v>0</v>
      </c>
    </row>
    <row r="787" spans="1:13">
      <c r="A787" s="6" t="s">
        <v>792</v>
      </c>
      <c r="B787" s="2">
        <f ca="1">IFERROR(VLOOKUP(A787,[1]库存使用数据!$A:$B,2,0),0)+IFERROR(VLOOKUP(A787,[2]库存使用数据!$A:$B,2,0),0)+IFERROR(VLOOKUP(,[3]库存使用数据!$A:$B,2,0),0)+IFERROR(VLOOKUP(A787,[4]库存使用数据!$A:$B,2,0),0)+IFERROR(VLOOKUP(A787,[5]库存使用数据!$A:$B,2,0),0)</f>
        <v>3</v>
      </c>
      <c r="C787" s="1">
        <f ca="1">IFERROR(VLOOKUP($A787,[1]库存使用数据!$A:$C,3,0),0)+IFERROR(VLOOKUP($A787,[2]库存使用数据!$A:$C,3,0),0)+IFERROR(VLOOKUP($A787,[3]库存使用数据!$A:$C,3,0),0)+IFERROR(VLOOKUP($A787,[4]库存使用数据!$A:$C,3,0),0)+IFERROR(VLOOKUP($A787,[5]库存使用数据!$A:$C,3,0),0)</f>
        <v>0</v>
      </c>
      <c r="D787" s="1">
        <f ca="1">IFERROR(VLOOKUP($A787,[1]库存使用数据!$A:$D,4,0),0)+IFERROR(VLOOKUP($A787,[2]库存使用数据!$A:$D,4,0),0)+公式!$B$1*IFERROR(VLOOKUP($A787,[3]库存使用数据!$A:$D,4,0),0)+IFERROR(VLOOKUP($A787,[4]库存使用数据!$A:$D,4,0),0)+IFERROR(VLOOKUP($A787,[5]库存使用数据!$A:$D,4,0),0)</f>
        <v>0</v>
      </c>
      <c r="E787" s="1">
        <f ca="1">IFERROR(VLOOKUP($A787,[1]库存使用数据!$A:$E,5,0),0)+IFERROR(VLOOKUP($A787,[2]库存使用数据!$A:$E,5,0),0)+IFERROR(VLOOKUP($A787,[3]库存使用数据!$A:$E,5,0),0)+IFERROR(VLOOKUP($A787,[4]库存使用数据!$A:$E,5,0),0)+IFERROR(VLOOKUP($A787,[5]库存使用数据!$A:$E,5,0),0)</f>
        <v>3</v>
      </c>
      <c r="F787" s="1">
        <f ca="1">IFERROR(VLOOKUP($A787,[1]库存使用数据!$A:$F,6,0),0)+IFERROR(VLOOKUP($A787,[2]库存使用数据!$A:$F,6,0),0)+IFERROR(VLOOKUP($A787,[4]库存使用数据!$A:$F,6,0),0)+IFERROR(VLOOKUP($A787,[3]库存使用数据!$A:$F,6,0),0)+IFERROR(VLOOKUP($A787,[5]库存使用数据!$A:$F,6,0),0)</f>
        <v>0</v>
      </c>
      <c r="G787" s="1">
        <f ca="1">IFERROR(VLOOKUP($A787,[1]库存使用数据!$A:$G,7,0),0)+IFERROR(VLOOKUP($A787,[2]库存使用数据!$A:$G,7,0),0)+公式!$B$14*IFERROR(VLOOKUP($A787,[3]库存使用数据!$A:$G,7,0),0)+IFERROR(VLOOKUP($A787,[4]库存使用数据!$A:$G,7,0),0)+IFERROR(VLOOKUP($A787,[5]库存使用数据!$A:$G,7,0),0)</f>
        <v>0</v>
      </c>
      <c r="H787" s="1">
        <f ca="1">IFERROR(VLOOKUP($A787,[1]库存使用数据!$A:$H,8,0),0)+IFERROR(VLOOKUP($A787,[2]库存使用数据!$A:$H,8,0),0)+IFERROR(VLOOKUP($A787,[3]库存使用数据!$A:$H,8,0),0)+IFERROR(VLOOKUP($A787,[4]库存使用数据!$A:$H,8,0),0)+IFERROR(VLOOKUP($A787,[5]库存使用数据!$A:$H,8,0),0)</f>
        <v>2</v>
      </c>
      <c r="I787" s="1">
        <f ca="1">IFERROR(VLOOKUP($A787,[1]库存使用数据!$A:$I,9,0),0)+IFERROR(VLOOKUP($A787,[2]库存使用数据!$A:$I,9,0),0)+IFERROR(VLOOKUP($A787,[3]库存使用数据!$A:$I,9,0),0)+IFERROR(VLOOKUP($A787,[4]库存使用数据!$A:$I,9,0),0)+IFERROR(VLOOKUP($A787,[5]库存使用数据!$A:$I,9,0),0)</f>
        <v>0</v>
      </c>
      <c r="J787" s="1">
        <f ca="1">IFERROR(VLOOKUP($A787,[1]库存使用数据!$A:$J,10,0),0)+IFERROR(VLOOKUP($A787,[2]库存使用数据!$A:$J,10,0),0)+公式!$B$14*IFERROR(VLOOKUP($A787,[3]库存使用数据!$A:$J,10,0),0)+IFERROR(VLOOKUP($A787,[4]库存使用数据!$A:$J,10,0),0)+IFERROR(VLOOKUP($A787,[5]库存使用数据!$A:$J,10,0),0)</f>
        <v>0</v>
      </c>
      <c r="K787" s="1">
        <f ca="1">IFERROR(VLOOKUP($A787,[1]库存使用数据!$A:$K,11,0),0)+IFERROR(VLOOKUP($A787,[2]库存使用数据!$A:$K,11,0),0)+IFERROR(VLOOKUP($A787,[3]库存使用数据!$A:$K,11,0),0)+IFERROR(VLOOKUP($A787,[4]库存使用数据!$A:$K,11,0),0)+IFERROR(VLOOKUP($A787,[5]库存使用数据!$A:$K,11,0),0)</f>
        <v>17</v>
      </c>
      <c r="L787" s="1">
        <f ca="1">IFERROR(VLOOKUP($A787,[1]库存使用数据!$A:$L,12,0),0)+IFERROR(VLOOKUP($A787,[2]库存使用数据!$A:$L,12,0),0)+IFERROR(VLOOKUP($A787,[3]库存使用数据!$A:$L,12,0),0)+IFERROR(VLOOKUP($A787,[4]库存使用数据!$A:$L,12,0),0)+IFERROR(VLOOKUP($A787,[5]库存使用数据!$A:$L,12,0),0)</f>
        <v>0</v>
      </c>
      <c r="M787" s="1">
        <f ca="1">IFERROR(VLOOKUP($A787,[1]库存使用数据!$A:$M,13,0),0)+IFERROR(VLOOKUP($A787,[2]库存使用数据!$A:$M,13,0),0)+公式!$B$14*IFERROR(VLOOKUP($A787,[3]库存使用数据!$A:$M,13,0),0)+IFERROR(VLOOKUP($A787,[4]库存使用数据!$A:$M,13,0),0)+IFERROR(VLOOKUP($A787,[5]库存使用数据!$A:$M,13,0),0)</f>
        <v>0</v>
      </c>
    </row>
    <row r="788" spans="1:13">
      <c r="A788" s="6" t="s">
        <v>793</v>
      </c>
      <c r="B788" s="2">
        <f ca="1">IFERROR(VLOOKUP(A788,[1]库存使用数据!$A:$B,2,0),0)+IFERROR(VLOOKUP(A788,[2]库存使用数据!$A:$B,2,0),0)+IFERROR(VLOOKUP(,[3]库存使用数据!$A:$B,2,0),0)+IFERROR(VLOOKUP(A788,[4]库存使用数据!$A:$B,2,0),0)+IFERROR(VLOOKUP(A788,[5]库存使用数据!$A:$B,2,0),0)</f>
        <v>0</v>
      </c>
      <c r="C788" s="1">
        <f ca="1">IFERROR(VLOOKUP($A788,[1]库存使用数据!$A:$C,3,0),0)+IFERROR(VLOOKUP($A788,[2]库存使用数据!$A:$C,3,0),0)+IFERROR(VLOOKUP($A788,[3]库存使用数据!$A:$C,3,0),0)+IFERROR(VLOOKUP($A788,[4]库存使用数据!$A:$C,3,0),0)+IFERROR(VLOOKUP($A788,[5]库存使用数据!$A:$C,3,0),0)</f>
        <v>0</v>
      </c>
      <c r="D788" s="1">
        <f ca="1">IFERROR(VLOOKUP($A788,[1]库存使用数据!$A:$D,4,0),0)+IFERROR(VLOOKUP($A788,[2]库存使用数据!$A:$D,4,0),0)+公式!$B$1*IFERROR(VLOOKUP($A788,[3]库存使用数据!$A:$D,4,0),0)+IFERROR(VLOOKUP($A788,[4]库存使用数据!$A:$D,4,0),0)+IFERROR(VLOOKUP($A788,[5]库存使用数据!$A:$D,4,0),0)</f>
        <v>0</v>
      </c>
      <c r="E788" s="1">
        <f ca="1">IFERROR(VLOOKUP($A788,[1]库存使用数据!$A:$E,5,0),0)+IFERROR(VLOOKUP($A788,[2]库存使用数据!$A:$E,5,0),0)+IFERROR(VLOOKUP($A788,[3]库存使用数据!$A:$E,5,0),0)+IFERROR(VLOOKUP($A788,[4]库存使用数据!$A:$E,5,0),0)+IFERROR(VLOOKUP($A788,[5]库存使用数据!$A:$E,5,0),0)</f>
        <v>1</v>
      </c>
      <c r="F788" s="1">
        <f ca="1">IFERROR(VLOOKUP($A788,[1]库存使用数据!$A:$F,6,0),0)+IFERROR(VLOOKUP($A788,[2]库存使用数据!$A:$F,6,0),0)+IFERROR(VLOOKUP($A788,[4]库存使用数据!$A:$F,6,0),0)+IFERROR(VLOOKUP($A788,[3]库存使用数据!$A:$F,6,0),0)+IFERROR(VLOOKUP($A788,[5]库存使用数据!$A:$F,6,0),0)</f>
        <v>0</v>
      </c>
      <c r="G788" s="1">
        <f ca="1">IFERROR(VLOOKUP($A788,[1]库存使用数据!$A:$G,7,0),0)+IFERROR(VLOOKUP($A788,[2]库存使用数据!$A:$G,7,0),0)+公式!$B$14*IFERROR(VLOOKUP($A788,[3]库存使用数据!$A:$G,7,0),0)+IFERROR(VLOOKUP($A788,[4]库存使用数据!$A:$G,7,0),0)+IFERROR(VLOOKUP($A788,[5]库存使用数据!$A:$G,7,0),0)</f>
        <v>0</v>
      </c>
      <c r="H788" s="1">
        <f ca="1">IFERROR(VLOOKUP($A788,[1]库存使用数据!$A:$H,8,0),0)+IFERROR(VLOOKUP($A788,[2]库存使用数据!$A:$H,8,0),0)+IFERROR(VLOOKUP($A788,[3]库存使用数据!$A:$H,8,0),0)+IFERROR(VLOOKUP($A788,[4]库存使用数据!$A:$H,8,0),0)+IFERROR(VLOOKUP($A788,[5]库存使用数据!$A:$H,8,0),0)</f>
        <v>0</v>
      </c>
      <c r="I788" s="1">
        <f ca="1">IFERROR(VLOOKUP($A788,[1]库存使用数据!$A:$I,9,0),0)+IFERROR(VLOOKUP($A788,[2]库存使用数据!$A:$I,9,0),0)+IFERROR(VLOOKUP($A788,[3]库存使用数据!$A:$I,9,0),0)+IFERROR(VLOOKUP($A788,[4]库存使用数据!$A:$I,9,0),0)+IFERROR(VLOOKUP($A788,[5]库存使用数据!$A:$I,9,0),0)</f>
        <v>0</v>
      </c>
      <c r="J788" s="1">
        <f ca="1">IFERROR(VLOOKUP($A788,[1]库存使用数据!$A:$J,10,0),0)+IFERROR(VLOOKUP($A788,[2]库存使用数据!$A:$J,10,0),0)+公式!$B$14*IFERROR(VLOOKUP($A788,[3]库存使用数据!$A:$J,10,0),0)+IFERROR(VLOOKUP($A788,[4]库存使用数据!$A:$J,10,0),0)+IFERROR(VLOOKUP($A788,[5]库存使用数据!$A:$J,10,0),0)</f>
        <v>0</v>
      </c>
      <c r="K788" s="1">
        <f ca="1">IFERROR(VLOOKUP($A788,[1]库存使用数据!$A:$K,11,0),0)+IFERROR(VLOOKUP($A788,[2]库存使用数据!$A:$K,11,0),0)+IFERROR(VLOOKUP($A788,[3]库存使用数据!$A:$K,11,0),0)+IFERROR(VLOOKUP($A788,[4]库存使用数据!$A:$K,11,0),0)+IFERROR(VLOOKUP($A788,[5]库存使用数据!$A:$K,11,0),0)</f>
        <v>1</v>
      </c>
      <c r="L788" s="1">
        <f ca="1">IFERROR(VLOOKUP($A788,[1]库存使用数据!$A:$L,12,0),0)+IFERROR(VLOOKUP($A788,[2]库存使用数据!$A:$L,12,0),0)+IFERROR(VLOOKUP($A788,[3]库存使用数据!$A:$L,12,0),0)+IFERROR(VLOOKUP($A788,[4]库存使用数据!$A:$L,12,0),0)+IFERROR(VLOOKUP($A788,[5]库存使用数据!$A:$L,12,0),0)</f>
        <v>0</v>
      </c>
      <c r="M788" s="1">
        <f ca="1">IFERROR(VLOOKUP($A788,[1]库存使用数据!$A:$M,13,0),0)+IFERROR(VLOOKUP($A788,[2]库存使用数据!$A:$M,13,0),0)+公式!$B$14*IFERROR(VLOOKUP($A788,[3]库存使用数据!$A:$M,13,0),0)+IFERROR(VLOOKUP($A788,[4]库存使用数据!$A:$M,13,0),0)+IFERROR(VLOOKUP($A788,[5]库存使用数据!$A:$M,13,0),0)</f>
        <v>0</v>
      </c>
    </row>
    <row r="789" spans="1:13">
      <c r="A789" s="6" t="s">
        <v>794</v>
      </c>
      <c r="B789" s="2">
        <f ca="1">IFERROR(VLOOKUP(A789,[1]库存使用数据!$A:$B,2,0),0)+IFERROR(VLOOKUP(A789,[2]库存使用数据!$A:$B,2,0),0)+IFERROR(VLOOKUP(,[3]库存使用数据!$A:$B,2,0),0)+IFERROR(VLOOKUP(A789,[4]库存使用数据!$A:$B,2,0),0)+IFERROR(VLOOKUP(A789,[5]库存使用数据!$A:$B,2,0),0)</f>
        <v>3</v>
      </c>
      <c r="C789" s="1">
        <f ca="1">IFERROR(VLOOKUP($A789,[1]库存使用数据!$A:$C,3,0),0)+IFERROR(VLOOKUP($A789,[2]库存使用数据!$A:$C,3,0),0)+IFERROR(VLOOKUP($A789,[3]库存使用数据!$A:$C,3,0),0)+IFERROR(VLOOKUP($A789,[4]库存使用数据!$A:$C,3,0),0)+IFERROR(VLOOKUP($A789,[5]库存使用数据!$A:$C,3,0),0)</f>
        <v>0</v>
      </c>
      <c r="D789" s="1">
        <f ca="1">IFERROR(VLOOKUP($A789,[1]库存使用数据!$A:$D,4,0),0)+IFERROR(VLOOKUP($A789,[2]库存使用数据!$A:$D,4,0),0)+公式!$B$1*IFERROR(VLOOKUP($A789,[3]库存使用数据!$A:$D,4,0),0)+IFERROR(VLOOKUP($A789,[4]库存使用数据!$A:$D,4,0),0)+IFERROR(VLOOKUP($A789,[5]库存使用数据!$A:$D,4,0),0)</f>
        <v>0</v>
      </c>
      <c r="E789" s="1">
        <f ca="1">IFERROR(VLOOKUP($A789,[1]库存使用数据!$A:$E,5,0),0)+IFERROR(VLOOKUP($A789,[2]库存使用数据!$A:$E,5,0),0)+IFERROR(VLOOKUP($A789,[3]库存使用数据!$A:$E,5,0),0)+IFERROR(VLOOKUP($A789,[4]库存使用数据!$A:$E,5,0),0)+IFERROR(VLOOKUP($A789,[5]库存使用数据!$A:$E,5,0),0)</f>
        <v>33</v>
      </c>
      <c r="F789" s="1">
        <f ca="1">IFERROR(VLOOKUP($A789,[1]库存使用数据!$A:$F,6,0),0)+IFERROR(VLOOKUP($A789,[2]库存使用数据!$A:$F,6,0),0)+IFERROR(VLOOKUP($A789,[4]库存使用数据!$A:$F,6,0),0)+IFERROR(VLOOKUP($A789,[3]库存使用数据!$A:$F,6,0),0)+IFERROR(VLOOKUP($A789,[5]库存使用数据!$A:$F,6,0),0)</f>
        <v>0</v>
      </c>
      <c r="G789" s="1">
        <f ca="1">IFERROR(VLOOKUP($A789,[1]库存使用数据!$A:$G,7,0),0)+IFERROR(VLOOKUP($A789,[2]库存使用数据!$A:$G,7,0),0)+公式!$B$14*IFERROR(VLOOKUP($A789,[3]库存使用数据!$A:$G,7,0),0)+IFERROR(VLOOKUP($A789,[4]库存使用数据!$A:$G,7,0),0)+IFERROR(VLOOKUP($A789,[5]库存使用数据!$A:$G,7,0),0)</f>
        <v>0</v>
      </c>
      <c r="H789" s="1">
        <f ca="1">IFERROR(VLOOKUP($A789,[1]库存使用数据!$A:$H,8,0),0)+IFERROR(VLOOKUP($A789,[2]库存使用数据!$A:$H,8,0),0)+IFERROR(VLOOKUP($A789,[3]库存使用数据!$A:$H,8,0),0)+IFERROR(VLOOKUP($A789,[4]库存使用数据!$A:$H,8,0),0)+IFERROR(VLOOKUP($A789,[5]库存使用数据!$A:$H,8,0),0)</f>
        <v>27</v>
      </c>
      <c r="I789" s="1">
        <f ca="1">IFERROR(VLOOKUP($A789,[1]库存使用数据!$A:$I,9,0),0)+IFERROR(VLOOKUP($A789,[2]库存使用数据!$A:$I,9,0),0)+IFERROR(VLOOKUP($A789,[3]库存使用数据!$A:$I,9,0),0)+IFERROR(VLOOKUP($A789,[4]库存使用数据!$A:$I,9,0),0)+IFERROR(VLOOKUP($A789,[5]库存使用数据!$A:$I,9,0),0)</f>
        <v>0</v>
      </c>
      <c r="J789" s="1">
        <f ca="1">IFERROR(VLOOKUP($A789,[1]库存使用数据!$A:$J,10,0),0)+IFERROR(VLOOKUP($A789,[2]库存使用数据!$A:$J,10,0),0)+公式!$B$14*IFERROR(VLOOKUP($A789,[3]库存使用数据!$A:$J,10,0),0)+IFERROR(VLOOKUP($A789,[4]库存使用数据!$A:$J,10,0),0)+IFERROR(VLOOKUP($A789,[5]库存使用数据!$A:$J,10,0),0)</f>
        <v>0</v>
      </c>
      <c r="K789" s="1">
        <f ca="1">IFERROR(VLOOKUP($A789,[1]库存使用数据!$A:$K,11,0),0)+IFERROR(VLOOKUP($A789,[2]库存使用数据!$A:$K,11,0),0)+IFERROR(VLOOKUP($A789,[3]库存使用数据!$A:$K,11,0),0)+IFERROR(VLOOKUP($A789,[4]库存使用数据!$A:$K,11,0),0)+IFERROR(VLOOKUP($A789,[5]库存使用数据!$A:$K,11,0),0)</f>
        <v>26</v>
      </c>
      <c r="L789" s="1">
        <f ca="1">IFERROR(VLOOKUP($A789,[1]库存使用数据!$A:$L,12,0),0)+IFERROR(VLOOKUP($A789,[2]库存使用数据!$A:$L,12,0),0)+IFERROR(VLOOKUP($A789,[3]库存使用数据!$A:$L,12,0),0)+IFERROR(VLOOKUP($A789,[4]库存使用数据!$A:$L,12,0),0)+IFERROR(VLOOKUP($A789,[5]库存使用数据!$A:$L,12,0),0)</f>
        <v>0</v>
      </c>
      <c r="M789" s="1">
        <f ca="1">IFERROR(VLOOKUP($A789,[1]库存使用数据!$A:$M,13,0),0)+IFERROR(VLOOKUP($A789,[2]库存使用数据!$A:$M,13,0),0)+公式!$B$14*IFERROR(VLOOKUP($A789,[3]库存使用数据!$A:$M,13,0),0)+IFERROR(VLOOKUP($A789,[4]库存使用数据!$A:$M,13,0),0)+IFERROR(VLOOKUP($A789,[5]库存使用数据!$A:$M,13,0),0)</f>
        <v>0</v>
      </c>
    </row>
    <row r="790" spans="1:13">
      <c r="A790" s="6" t="s">
        <v>795</v>
      </c>
      <c r="B790" s="2">
        <f ca="1">IFERROR(VLOOKUP(A790,[1]库存使用数据!$A:$B,2,0),0)+IFERROR(VLOOKUP(A790,[2]库存使用数据!$A:$B,2,0),0)+IFERROR(VLOOKUP(,[3]库存使用数据!$A:$B,2,0),0)+IFERROR(VLOOKUP(A790,[4]库存使用数据!$A:$B,2,0),0)+IFERROR(VLOOKUP(A790,[5]库存使用数据!$A:$B,2,0),0)</f>
        <v>6</v>
      </c>
      <c r="C790" s="1">
        <f ca="1">IFERROR(VLOOKUP($A790,[1]库存使用数据!$A:$C,3,0),0)+IFERROR(VLOOKUP($A790,[2]库存使用数据!$A:$C,3,0),0)+IFERROR(VLOOKUP($A790,[3]库存使用数据!$A:$C,3,0),0)+IFERROR(VLOOKUP($A790,[4]库存使用数据!$A:$C,3,0),0)+IFERROR(VLOOKUP($A790,[5]库存使用数据!$A:$C,3,0),0)</f>
        <v>0</v>
      </c>
      <c r="D790" s="1">
        <f ca="1">IFERROR(VLOOKUP($A790,[1]库存使用数据!$A:$D,4,0),0)+IFERROR(VLOOKUP($A790,[2]库存使用数据!$A:$D,4,0),0)+公式!$B$1*IFERROR(VLOOKUP($A790,[3]库存使用数据!$A:$D,4,0),0)+IFERROR(VLOOKUP($A790,[4]库存使用数据!$A:$D,4,0),0)+IFERROR(VLOOKUP($A790,[5]库存使用数据!$A:$D,4,0),0)</f>
        <v>0</v>
      </c>
      <c r="E790" s="1">
        <f ca="1">IFERROR(VLOOKUP($A790,[1]库存使用数据!$A:$E,5,0),0)+IFERROR(VLOOKUP($A790,[2]库存使用数据!$A:$E,5,0),0)+IFERROR(VLOOKUP($A790,[3]库存使用数据!$A:$E,5,0),0)+IFERROR(VLOOKUP($A790,[4]库存使用数据!$A:$E,5,0),0)+IFERROR(VLOOKUP($A790,[5]库存使用数据!$A:$E,5,0),0)</f>
        <v>43</v>
      </c>
      <c r="F790" s="1">
        <f ca="1">IFERROR(VLOOKUP($A790,[1]库存使用数据!$A:$F,6,0),0)+IFERROR(VLOOKUP($A790,[2]库存使用数据!$A:$F,6,0),0)+IFERROR(VLOOKUP($A790,[4]库存使用数据!$A:$F,6,0),0)+IFERROR(VLOOKUP($A790,[3]库存使用数据!$A:$F,6,0),0)+IFERROR(VLOOKUP($A790,[5]库存使用数据!$A:$F,6,0),0)</f>
        <v>0</v>
      </c>
      <c r="G790" s="1">
        <f ca="1">IFERROR(VLOOKUP($A790,[1]库存使用数据!$A:$G,7,0),0)+IFERROR(VLOOKUP($A790,[2]库存使用数据!$A:$G,7,0),0)+公式!$B$14*IFERROR(VLOOKUP($A790,[3]库存使用数据!$A:$G,7,0),0)+IFERROR(VLOOKUP($A790,[4]库存使用数据!$A:$G,7,0),0)+IFERROR(VLOOKUP($A790,[5]库存使用数据!$A:$G,7,0),0)</f>
        <v>0</v>
      </c>
      <c r="H790" s="1">
        <f ca="1">IFERROR(VLOOKUP($A790,[1]库存使用数据!$A:$H,8,0),0)+IFERROR(VLOOKUP($A790,[2]库存使用数据!$A:$H,8,0),0)+IFERROR(VLOOKUP($A790,[3]库存使用数据!$A:$H,8,0),0)+IFERROR(VLOOKUP($A790,[4]库存使用数据!$A:$H,8,0),0)+IFERROR(VLOOKUP($A790,[5]库存使用数据!$A:$H,8,0),0)</f>
        <v>2</v>
      </c>
      <c r="I790" s="1">
        <f ca="1">IFERROR(VLOOKUP($A790,[1]库存使用数据!$A:$I,9,0),0)+IFERROR(VLOOKUP($A790,[2]库存使用数据!$A:$I,9,0),0)+IFERROR(VLOOKUP($A790,[3]库存使用数据!$A:$I,9,0),0)+IFERROR(VLOOKUP($A790,[4]库存使用数据!$A:$I,9,0),0)+IFERROR(VLOOKUP($A790,[5]库存使用数据!$A:$I,9,0),0)</f>
        <v>0</v>
      </c>
      <c r="J790" s="1">
        <f ca="1">IFERROR(VLOOKUP($A790,[1]库存使用数据!$A:$J,10,0),0)+IFERROR(VLOOKUP($A790,[2]库存使用数据!$A:$J,10,0),0)+公式!$B$14*IFERROR(VLOOKUP($A790,[3]库存使用数据!$A:$J,10,0),0)+IFERROR(VLOOKUP($A790,[4]库存使用数据!$A:$J,10,0),0)+IFERROR(VLOOKUP($A790,[5]库存使用数据!$A:$J,10,0),0)</f>
        <v>0</v>
      </c>
      <c r="K790" s="1">
        <f ca="1">IFERROR(VLOOKUP($A790,[1]库存使用数据!$A:$K,11,0),0)+IFERROR(VLOOKUP($A790,[2]库存使用数据!$A:$K,11,0),0)+IFERROR(VLOOKUP($A790,[3]库存使用数据!$A:$K,11,0),0)+IFERROR(VLOOKUP($A790,[4]库存使用数据!$A:$K,11,0),0)+IFERROR(VLOOKUP($A790,[5]库存使用数据!$A:$K,11,0),0)</f>
        <v>4</v>
      </c>
      <c r="L790" s="1">
        <f ca="1">IFERROR(VLOOKUP($A790,[1]库存使用数据!$A:$L,12,0),0)+IFERROR(VLOOKUP($A790,[2]库存使用数据!$A:$L,12,0),0)+IFERROR(VLOOKUP($A790,[3]库存使用数据!$A:$L,12,0),0)+IFERROR(VLOOKUP($A790,[4]库存使用数据!$A:$L,12,0),0)+IFERROR(VLOOKUP($A790,[5]库存使用数据!$A:$L,12,0),0)</f>
        <v>0</v>
      </c>
      <c r="M790" s="1">
        <f ca="1">IFERROR(VLOOKUP($A790,[1]库存使用数据!$A:$M,13,0),0)+IFERROR(VLOOKUP($A790,[2]库存使用数据!$A:$M,13,0),0)+公式!$B$14*IFERROR(VLOOKUP($A790,[3]库存使用数据!$A:$M,13,0),0)+IFERROR(VLOOKUP($A790,[4]库存使用数据!$A:$M,13,0),0)+IFERROR(VLOOKUP($A790,[5]库存使用数据!$A:$M,13,0),0)</f>
        <v>0</v>
      </c>
    </row>
    <row r="791" spans="1:13">
      <c r="A791" s="6" t="s">
        <v>796</v>
      </c>
      <c r="B791" s="2">
        <f ca="1">IFERROR(VLOOKUP(A791,[1]库存使用数据!$A:$B,2,0),0)+IFERROR(VLOOKUP(A791,[2]库存使用数据!$A:$B,2,0),0)+IFERROR(VLOOKUP(,[3]库存使用数据!$A:$B,2,0),0)+IFERROR(VLOOKUP(A791,[4]库存使用数据!$A:$B,2,0),0)+IFERROR(VLOOKUP(A791,[5]库存使用数据!$A:$B,2,0),0)</f>
        <v>9</v>
      </c>
      <c r="C791" s="1">
        <f ca="1">IFERROR(VLOOKUP($A791,[1]库存使用数据!$A:$C,3,0),0)+IFERROR(VLOOKUP($A791,[2]库存使用数据!$A:$C,3,0),0)+IFERROR(VLOOKUP($A791,[3]库存使用数据!$A:$C,3,0),0)+IFERROR(VLOOKUP($A791,[4]库存使用数据!$A:$C,3,0),0)+IFERROR(VLOOKUP($A791,[5]库存使用数据!$A:$C,3,0),0)</f>
        <v>0</v>
      </c>
      <c r="D791" s="1">
        <f ca="1">IFERROR(VLOOKUP($A791,[1]库存使用数据!$A:$D,4,0),0)+IFERROR(VLOOKUP($A791,[2]库存使用数据!$A:$D,4,0),0)+公式!$B$1*IFERROR(VLOOKUP($A791,[3]库存使用数据!$A:$D,4,0),0)+IFERROR(VLOOKUP($A791,[4]库存使用数据!$A:$D,4,0),0)+IFERROR(VLOOKUP($A791,[5]库存使用数据!$A:$D,4,0),0)</f>
        <v>0</v>
      </c>
      <c r="E791" s="1">
        <f ca="1">IFERROR(VLOOKUP($A791,[1]库存使用数据!$A:$E,5,0),0)+IFERROR(VLOOKUP($A791,[2]库存使用数据!$A:$E,5,0),0)+IFERROR(VLOOKUP($A791,[3]库存使用数据!$A:$E,5,0),0)+IFERROR(VLOOKUP($A791,[4]库存使用数据!$A:$E,5,0),0)+IFERROR(VLOOKUP($A791,[5]库存使用数据!$A:$E,5,0),0)</f>
        <v>7</v>
      </c>
      <c r="F791" s="1">
        <f ca="1">IFERROR(VLOOKUP($A791,[1]库存使用数据!$A:$F,6,0),0)+IFERROR(VLOOKUP($A791,[2]库存使用数据!$A:$F,6,0),0)+IFERROR(VLOOKUP($A791,[4]库存使用数据!$A:$F,6,0),0)+IFERROR(VLOOKUP($A791,[3]库存使用数据!$A:$F,6,0),0)+IFERROR(VLOOKUP($A791,[5]库存使用数据!$A:$F,6,0),0)</f>
        <v>0</v>
      </c>
      <c r="G791" s="1">
        <f ca="1">IFERROR(VLOOKUP($A791,[1]库存使用数据!$A:$G,7,0),0)+IFERROR(VLOOKUP($A791,[2]库存使用数据!$A:$G,7,0),0)+公式!$B$14*IFERROR(VLOOKUP($A791,[3]库存使用数据!$A:$G,7,0),0)+IFERROR(VLOOKUP($A791,[4]库存使用数据!$A:$G,7,0),0)+IFERROR(VLOOKUP($A791,[5]库存使用数据!$A:$G,7,0),0)</f>
        <v>0</v>
      </c>
      <c r="H791" s="1">
        <f ca="1">IFERROR(VLOOKUP($A791,[1]库存使用数据!$A:$H,8,0),0)+IFERROR(VLOOKUP($A791,[2]库存使用数据!$A:$H,8,0),0)+IFERROR(VLOOKUP($A791,[3]库存使用数据!$A:$H,8,0),0)+IFERROR(VLOOKUP($A791,[4]库存使用数据!$A:$H,8,0),0)+IFERROR(VLOOKUP($A791,[5]库存使用数据!$A:$H,8,0),0)</f>
        <v>2</v>
      </c>
      <c r="I791" s="1">
        <f ca="1">IFERROR(VLOOKUP($A791,[1]库存使用数据!$A:$I,9,0),0)+IFERROR(VLOOKUP($A791,[2]库存使用数据!$A:$I,9,0),0)+IFERROR(VLOOKUP($A791,[3]库存使用数据!$A:$I,9,0),0)+IFERROR(VLOOKUP($A791,[4]库存使用数据!$A:$I,9,0),0)+IFERROR(VLOOKUP($A791,[5]库存使用数据!$A:$I,9,0),0)</f>
        <v>0</v>
      </c>
      <c r="J791" s="1">
        <f ca="1">IFERROR(VLOOKUP($A791,[1]库存使用数据!$A:$J,10,0),0)+IFERROR(VLOOKUP($A791,[2]库存使用数据!$A:$J,10,0),0)+公式!$B$14*IFERROR(VLOOKUP($A791,[3]库存使用数据!$A:$J,10,0),0)+IFERROR(VLOOKUP($A791,[4]库存使用数据!$A:$J,10,0),0)+IFERROR(VLOOKUP($A791,[5]库存使用数据!$A:$J,10,0),0)</f>
        <v>0</v>
      </c>
      <c r="K791" s="1">
        <f ca="1">IFERROR(VLOOKUP($A791,[1]库存使用数据!$A:$K,11,0),0)+IFERROR(VLOOKUP($A791,[2]库存使用数据!$A:$K,11,0),0)+IFERROR(VLOOKUP($A791,[3]库存使用数据!$A:$K,11,0),0)+IFERROR(VLOOKUP($A791,[4]库存使用数据!$A:$K,11,0),0)+IFERROR(VLOOKUP($A791,[5]库存使用数据!$A:$K,11,0),0)</f>
        <v>5</v>
      </c>
      <c r="L791" s="1">
        <f ca="1">IFERROR(VLOOKUP($A791,[1]库存使用数据!$A:$L,12,0),0)+IFERROR(VLOOKUP($A791,[2]库存使用数据!$A:$L,12,0),0)+IFERROR(VLOOKUP($A791,[3]库存使用数据!$A:$L,12,0),0)+IFERROR(VLOOKUP($A791,[4]库存使用数据!$A:$L,12,0),0)+IFERROR(VLOOKUP($A791,[5]库存使用数据!$A:$L,12,0),0)</f>
        <v>0</v>
      </c>
      <c r="M791" s="1">
        <f ca="1">IFERROR(VLOOKUP($A791,[1]库存使用数据!$A:$M,13,0),0)+IFERROR(VLOOKUP($A791,[2]库存使用数据!$A:$M,13,0),0)+公式!$B$14*IFERROR(VLOOKUP($A791,[3]库存使用数据!$A:$M,13,0),0)+IFERROR(VLOOKUP($A791,[4]库存使用数据!$A:$M,13,0),0)+IFERROR(VLOOKUP($A791,[5]库存使用数据!$A:$M,13,0),0)</f>
        <v>0</v>
      </c>
    </row>
    <row r="792" spans="1:13">
      <c r="A792" s="6" t="s">
        <v>797</v>
      </c>
      <c r="B792" s="2">
        <f ca="1">IFERROR(VLOOKUP(A792,[1]库存使用数据!$A:$B,2,0),0)+IFERROR(VLOOKUP(A792,[2]库存使用数据!$A:$B,2,0),0)+IFERROR(VLOOKUP(,[3]库存使用数据!$A:$B,2,0),0)+IFERROR(VLOOKUP(A792,[4]库存使用数据!$A:$B,2,0),0)+IFERROR(VLOOKUP(A792,[5]库存使用数据!$A:$B,2,0),0)</f>
        <v>0</v>
      </c>
      <c r="C792" s="1">
        <f ca="1">IFERROR(VLOOKUP($A792,[1]库存使用数据!$A:$C,3,0),0)+IFERROR(VLOOKUP($A792,[2]库存使用数据!$A:$C,3,0),0)+IFERROR(VLOOKUP($A792,[3]库存使用数据!$A:$C,3,0),0)+IFERROR(VLOOKUP($A792,[4]库存使用数据!$A:$C,3,0),0)+IFERROR(VLOOKUP($A792,[5]库存使用数据!$A:$C,3,0),0)</f>
        <v>0</v>
      </c>
      <c r="D792" s="1">
        <f ca="1">IFERROR(VLOOKUP($A792,[1]库存使用数据!$A:$D,4,0),0)+IFERROR(VLOOKUP($A792,[2]库存使用数据!$A:$D,4,0),0)+公式!$B$1*IFERROR(VLOOKUP($A792,[3]库存使用数据!$A:$D,4,0),0)+IFERROR(VLOOKUP($A792,[4]库存使用数据!$A:$D,4,0),0)+IFERROR(VLOOKUP($A792,[5]库存使用数据!$A:$D,4,0),0)</f>
        <v>0</v>
      </c>
      <c r="E792" s="1">
        <f ca="1">IFERROR(VLOOKUP($A792,[1]库存使用数据!$A:$E,5,0),0)+IFERROR(VLOOKUP($A792,[2]库存使用数据!$A:$E,5,0),0)+IFERROR(VLOOKUP($A792,[3]库存使用数据!$A:$E,5,0),0)+IFERROR(VLOOKUP($A792,[4]库存使用数据!$A:$E,5,0),0)+IFERROR(VLOOKUP($A792,[5]库存使用数据!$A:$E,5,0),0)</f>
        <v>3</v>
      </c>
      <c r="F792" s="1">
        <f ca="1">IFERROR(VLOOKUP($A792,[1]库存使用数据!$A:$F,6,0),0)+IFERROR(VLOOKUP($A792,[2]库存使用数据!$A:$F,6,0),0)+IFERROR(VLOOKUP($A792,[4]库存使用数据!$A:$F,6,0),0)+IFERROR(VLOOKUP($A792,[3]库存使用数据!$A:$F,6,0),0)+IFERROR(VLOOKUP($A792,[5]库存使用数据!$A:$F,6,0),0)</f>
        <v>0</v>
      </c>
      <c r="G792" s="1">
        <f ca="1">IFERROR(VLOOKUP($A792,[1]库存使用数据!$A:$G,7,0),0)+IFERROR(VLOOKUP($A792,[2]库存使用数据!$A:$G,7,0),0)+公式!$B$14*IFERROR(VLOOKUP($A792,[3]库存使用数据!$A:$G,7,0),0)+IFERROR(VLOOKUP($A792,[4]库存使用数据!$A:$G,7,0),0)+IFERROR(VLOOKUP($A792,[5]库存使用数据!$A:$G,7,0),0)</f>
        <v>0</v>
      </c>
      <c r="H792" s="1">
        <f ca="1">IFERROR(VLOOKUP($A792,[1]库存使用数据!$A:$H,8,0),0)+IFERROR(VLOOKUP($A792,[2]库存使用数据!$A:$H,8,0),0)+IFERROR(VLOOKUP($A792,[3]库存使用数据!$A:$H,8,0),0)+IFERROR(VLOOKUP($A792,[4]库存使用数据!$A:$H,8,0),0)+IFERROR(VLOOKUP($A792,[5]库存使用数据!$A:$H,8,0),0)</f>
        <v>1</v>
      </c>
      <c r="I792" s="1">
        <f ca="1">IFERROR(VLOOKUP($A792,[1]库存使用数据!$A:$I,9,0),0)+IFERROR(VLOOKUP($A792,[2]库存使用数据!$A:$I,9,0),0)+IFERROR(VLOOKUP($A792,[3]库存使用数据!$A:$I,9,0),0)+IFERROR(VLOOKUP($A792,[4]库存使用数据!$A:$I,9,0),0)+IFERROR(VLOOKUP($A792,[5]库存使用数据!$A:$I,9,0),0)</f>
        <v>0</v>
      </c>
      <c r="J792" s="1">
        <f ca="1">IFERROR(VLOOKUP($A792,[1]库存使用数据!$A:$J,10,0),0)+IFERROR(VLOOKUP($A792,[2]库存使用数据!$A:$J,10,0),0)+公式!$B$14*IFERROR(VLOOKUP($A792,[3]库存使用数据!$A:$J,10,0),0)+IFERROR(VLOOKUP($A792,[4]库存使用数据!$A:$J,10,0),0)+IFERROR(VLOOKUP($A792,[5]库存使用数据!$A:$J,10,0),0)</f>
        <v>0</v>
      </c>
      <c r="K792" s="1">
        <f ca="1">IFERROR(VLOOKUP($A792,[1]库存使用数据!$A:$K,11,0),0)+IFERROR(VLOOKUP($A792,[2]库存使用数据!$A:$K,11,0),0)+IFERROR(VLOOKUP($A792,[3]库存使用数据!$A:$K,11,0),0)+IFERROR(VLOOKUP($A792,[4]库存使用数据!$A:$K,11,0),0)+IFERROR(VLOOKUP($A792,[5]库存使用数据!$A:$K,11,0),0)</f>
        <v>1</v>
      </c>
      <c r="L792" s="1">
        <f ca="1">IFERROR(VLOOKUP($A792,[1]库存使用数据!$A:$L,12,0),0)+IFERROR(VLOOKUP($A792,[2]库存使用数据!$A:$L,12,0),0)+IFERROR(VLOOKUP($A792,[3]库存使用数据!$A:$L,12,0),0)+IFERROR(VLOOKUP($A792,[4]库存使用数据!$A:$L,12,0),0)+IFERROR(VLOOKUP($A792,[5]库存使用数据!$A:$L,12,0),0)</f>
        <v>0</v>
      </c>
      <c r="M792" s="1">
        <f ca="1">IFERROR(VLOOKUP($A792,[1]库存使用数据!$A:$M,13,0),0)+IFERROR(VLOOKUP($A792,[2]库存使用数据!$A:$M,13,0),0)+公式!$B$14*IFERROR(VLOOKUP($A792,[3]库存使用数据!$A:$M,13,0),0)+IFERROR(VLOOKUP($A792,[4]库存使用数据!$A:$M,13,0),0)+IFERROR(VLOOKUP($A792,[5]库存使用数据!$A:$M,13,0),0)</f>
        <v>0</v>
      </c>
    </row>
    <row r="793" spans="1:13">
      <c r="A793" s="6" t="s">
        <v>798</v>
      </c>
      <c r="B793" s="2">
        <f ca="1">IFERROR(VLOOKUP(A793,[1]库存使用数据!$A:$B,2,0),0)+IFERROR(VLOOKUP(A793,[2]库存使用数据!$A:$B,2,0),0)+IFERROR(VLOOKUP(,[3]库存使用数据!$A:$B,2,0),0)+IFERROR(VLOOKUP(A793,[4]库存使用数据!$A:$B,2,0),0)+IFERROR(VLOOKUP(A793,[5]库存使用数据!$A:$B,2,0),0)</f>
        <v>7</v>
      </c>
      <c r="C793" s="1">
        <f ca="1">IFERROR(VLOOKUP($A793,[1]库存使用数据!$A:$C,3,0),0)+IFERROR(VLOOKUP($A793,[2]库存使用数据!$A:$C,3,0),0)+IFERROR(VLOOKUP($A793,[3]库存使用数据!$A:$C,3,0),0)+IFERROR(VLOOKUP($A793,[4]库存使用数据!$A:$C,3,0),0)+IFERROR(VLOOKUP($A793,[5]库存使用数据!$A:$C,3,0),0)</f>
        <v>0</v>
      </c>
      <c r="D793" s="1">
        <f ca="1">IFERROR(VLOOKUP($A793,[1]库存使用数据!$A:$D,4,0),0)+IFERROR(VLOOKUP($A793,[2]库存使用数据!$A:$D,4,0),0)+公式!$B$1*IFERROR(VLOOKUP($A793,[3]库存使用数据!$A:$D,4,0),0)+IFERROR(VLOOKUP($A793,[4]库存使用数据!$A:$D,4,0),0)+IFERROR(VLOOKUP($A793,[5]库存使用数据!$A:$D,4,0),0)</f>
        <v>0</v>
      </c>
      <c r="E793" s="1">
        <f ca="1">IFERROR(VLOOKUP($A793,[1]库存使用数据!$A:$E,5,0),0)+IFERROR(VLOOKUP($A793,[2]库存使用数据!$A:$E,5,0),0)+IFERROR(VLOOKUP($A793,[3]库存使用数据!$A:$E,5,0),0)+IFERROR(VLOOKUP($A793,[4]库存使用数据!$A:$E,5,0),0)+IFERROR(VLOOKUP($A793,[5]库存使用数据!$A:$E,5,0),0)</f>
        <v>3</v>
      </c>
      <c r="F793" s="1">
        <f ca="1">IFERROR(VLOOKUP($A793,[1]库存使用数据!$A:$F,6,0),0)+IFERROR(VLOOKUP($A793,[2]库存使用数据!$A:$F,6,0),0)+IFERROR(VLOOKUP($A793,[4]库存使用数据!$A:$F,6,0),0)+IFERROR(VLOOKUP($A793,[3]库存使用数据!$A:$F,6,0),0)+IFERROR(VLOOKUP($A793,[5]库存使用数据!$A:$F,6,0),0)</f>
        <v>0</v>
      </c>
      <c r="G793" s="1">
        <f ca="1">IFERROR(VLOOKUP($A793,[1]库存使用数据!$A:$G,7,0),0)+IFERROR(VLOOKUP($A793,[2]库存使用数据!$A:$G,7,0),0)+公式!$B$14*IFERROR(VLOOKUP($A793,[3]库存使用数据!$A:$G,7,0),0)+IFERROR(VLOOKUP($A793,[4]库存使用数据!$A:$G,7,0),0)+IFERROR(VLOOKUP($A793,[5]库存使用数据!$A:$G,7,0),0)</f>
        <v>0</v>
      </c>
      <c r="H793" s="1">
        <f ca="1">IFERROR(VLOOKUP($A793,[1]库存使用数据!$A:$H,8,0),0)+IFERROR(VLOOKUP($A793,[2]库存使用数据!$A:$H,8,0),0)+IFERROR(VLOOKUP($A793,[3]库存使用数据!$A:$H,8,0),0)+IFERROR(VLOOKUP($A793,[4]库存使用数据!$A:$H,8,0),0)+IFERROR(VLOOKUP($A793,[5]库存使用数据!$A:$H,8,0),0)</f>
        <v>2</v>
      </c>
      <c r="I793" s="1">
        <f ca="1">IFERROR(VLOOKUP($A793,[1]库存使用数据!$A:$I,9,0),0)+IFERROR(VLOOKUP($A793,[2]库存使用数据!$A:$I,9,0),0)+IFERROR(VLOOKUP($A793,[3]库存使用数据!$A:$I,9,0),0)+IFERROR(VLOOKUP($A793,[4]库存使用数据!$A:$I,9,0),0)+IFERROR(VLOOKUP($A793,[5]库存使用数据!$A:$I,9,0),0)</f>
        <v>0</v>
      </c>
      <c r="J793" s="1">
        <f ca="1">IFERROR(VLOOKUP($A793,[1]库存使用数据!$A:$J,10,0),0)+IFERROR(VLOOKUP($A793,[2]库存使用数据!$A:$J,10,0),0)+公式!$B$14*IFERROR(VLOOKUP($A793,[3]库存使用数据!$A:$J,10,0),0)+IFERROR(VLOOKUP($A793,[4]库存使用数据!$A:$J,10,0),0)+IFERROR(VLOOKUP($A793,[5]库存使用数据!$A:$J,10,0),0)</f>
        <v>0</v>
      </c>
      <c r="K793" s="1">
        <f ca="1">IFERROR(VLOOKUP($A793,[1]库存使用数据!$A:$K,11,0),0)+IFERROR(VLOOKUP($A793,[2]库存使用数据!$A:$K,11,0),0)+IFERROR(VLOOKUP($A793,[3]库存使用数据!$A:$K,11,0),0)+IFERROR(VLOOKUP($A793,[4]库存使用数据!$A:$K,11,0),0)+IFERROR(VLOOKUP($A793,[5]库存使用数据!$A:$K,11,0),0)</f>
        <v>10</v>
      </c>
      <c r="L793" s="1">
        <f ca="1">IFERROR(VLOOKUP($A793,[1]库存使用数据!$A:$L,12,0),0)+IFERROR(VLOOKUP($A793,[2]库存使用数据!$A:$L,12,0),0)+IFERROR(VLOOKUP($A793,[3]库存使用数据!$A:$L,12,0),0)+IFERROR(VLOOKUP($A793,[4]库存使用数据!$A:$L,12,0),0)+IFERROR(VLOOKUP($A793,[5]库存使用数据!$A:$L,12,0),0)</f>
        <v>0</v>
      </c>
      <c r="M793" s="1">
        <f ca="1">IFERROR(VLOOKUP($A793,[1]库存使用数据!$A:$M,13,0),0)+IFERROR(VLOOKUP($A793,[2]库存使用数据!$A:$M,13,0),0)+公式!$B$14*IFERROR(VLOOKUP($A793,[3]库存使用数据!$A:$M,13,0),0)+IFERROR(VLOOKUP($A793,[4]库存使用数据!$A:$M,13,0),0)+IFERROR(VLOOKUP($A793,[5]库存使用数据!$A:$M,13,0),0)</f>
        <v>0</v>
      </c>
    </row>
    <row r="794" spans="1:13">
      <c r="A794" s="6" t="s">
        <v>799</v>
      </c>
      <c r="B794" s="2">
        <f ca="1">IFERROR(VLOOKUP(A794,[1]库存使用数据!$A:$B,2,0),0)+IFERROR(VLOOKUP(A794,[2]库存使用数据!$A:$B,2,0),0)+IFERROR(VLOOKUP(,[3]库存使用数据!$A:$B,2,0),0)+IFERROR(VLOOKUP(A794,[4]库存使用数据!$A:$B,2,0),0)+IFERROR(VLOOKUP(A794,[5]库存使用数据!$A:$B,2,0),0)</f>
        <v>0</v>
      </c>
      <c r="C794" s="1">
        <f ca="1">IFERROR(VLOOKUP($A794,[1]库存使用数据!$A:$C,3,0),0)+IFERROR(VLOOKUP($A794,[2]库存使用数据!$A:$C,3,0),0)+IFERROR(VLOOKUP($A794,[3]库存使用数据!$A:$C,3,0),0)+IFERROR(VLOOKUP($A794,[4]库存使用数据!$A:$C,3,0),0)+IFERROR(VLOOKUP($A794,[5]库存使用数据!$A:$C,3,0),0)</f>
        <v>0</v>
      </c>
      <c r="D794" s="1">
        <f ca="1">IFERROR(VLOOKUP($A794,[1]库存使用数据!$A:$D,4,0),0)+IFERROR(VLOOKUP($A794,[2]库存使用数据!$A:$D,4,0),0)+公式!$B$1*IFERROR(VLOOKUP($A794,[3]库存使用数据!$A:$D,4,0),0)+IFERROR(VLOOKUP($A794,[4]库存使用数据!$A:$D,4,0),0)+IFERROR(VLOOKUP($A794,[5]库存使用数据!$A:$D,4,0),0)</f>
        <v>0</v>
      </c>
      <c r="E794" s="1">
        <f ca="1">IFERROR(VLOOKUP($A794,[1]库存使用数据!$A:$E,5,0),0)+IFERROR(VLOOKUP($A794,[2]库存使用数据!$A:$E,5,0),0)+IFERROR(VLOOKUP($A794,[3]库存使用数据!$A:$E,5,0),0)+IFERROR(VLOOKUP($A794,[4]库存使用数据!$A:$E,5,0),0)+IFERROR(VLOOKUP($A794,[5]库存使用数据!$A:$E,5,0),0)</f>
        <v>2</v>
      </c>
      <c r="F794" s="1">
        <f ca="1">IFERROR(VLOOKUP($A794,[1]库存使用数据!$A:$F,6,0),0)+IFERROR(VLOOKUP($A794,[2]库存使用数据!$A:$F,6,0),0)+IFERROR(VLOOKUP($A794,[4]库存使用数据!$A:$F,6,0),0)+IFERROR(VLOOKUP($A794,[3]库存使用数据!$A:$F,6,0),0)+IFERROR(VLOOKUP($A794,[5]库存使用数据!$A:$F,6,0),0)</f>
        <v>0</v>
      </c>
      <c r="G794" s="1">
        <f ca="1">IFERROR(VLOOKUP($A794,[1]库存使用数据!$A:$G,7,0),0)+IFERROR(VLOOKUP($A794,[2]库存使用数据!$A:$G,7,0),0)+公式!$B$14*IFERROR(VLOOKUP($A794,[3]库存使用数据!$A:$G,7,0),0)+IFERROR(VLOOKUP($A794,[4]库存使用数据!$A:$G,7,0),0)+IFERROR(VLOOKUP($A794,[5]库存使用数据!$A:$G,7,0),0)</f>
        <v>0</v>
      </c>
      <c r="H794" s="1">
        <f ca="1">IFERROR(VLOOKUP($A794,[1]库存使用数据!$A:$H,8,0),0)+IFERROR(VLOOKUP($A794,[2]库存使用数据!$A:$H,8,0),0)+IFERROR(VLOOKUP($A794,[3]库存使用数据!$A:$H,8,0),0)+IFERROR(VLOOKUP($A794,[4]库存使用数据!$A:$H,8,0),0)+IFERROR(VLOOKUP($A794,[5]库存使用数据!$A:$H,8,0),0)</f>
        <v>1</v>
      </c>
      <c r="I794" s="1">
        <f ca="1">IFERROR(VLOOKUP($A794,[1]库存使用数据!$A:$I,9,0),0)+IFERROR(VLOOKUP($A794,[2]库存使用数据!$A:$I,9,0),0)+IFERROR(VLOOKUP($A794,[3]库存使用数据!$A:$I,9,0),0)+IFERROR(VLOOKUP($A794,[4]库存使用数据!$A:$I,9,0),0)+IFERROR(VLOOKUP($A794,[5]库存使用数据!$A:$I,9,0),0)</f>
        <v>0</v>
      </c>
      <c r="J794" s="1">
        <f ca="1">IFERROR(VLOOKUP($A794,[1]库存使用数据!$A:$J,10,0),0)+IFERROR(VLOOKUP($A794,[2]库存使用数据!$A:$J,10,0),0)+公式!$B$14*IFERROR(VLOOKUP($A794,[3]库存使用数据!$A:$J,10,0),0)+IFERROR(VLOOKUP($A794,[4]库存使用数据!$A:$J,10,0),0)+IFERROR(VLOOKUP($A794,[5]库存使用数据!$A:$J,10,0),0)</f>
        <v>0</v>
      </c>
      <c r="K794" s="1">
        <f ca="1">IFERROR(VLOOKUP($A794,[1]库存使用数据!$A:$K,11,0),0)+IFERROR(VLOOKUP($A794,[2]库存使用数据!$A:$K,11,0),0)+IFERROR(VLOOKUP($A794,[3]库存使用数据!$A:$K,11,0),0)+IFERROR(VLOOKUP($A794,[4]库存使用数据!$A:$K,11,0),0)+IFERROR(VLOOKUP($A794,[5]库存使用数据!$A:$K,11,0),0)</f>
        <v>1</v>
      </c>
      <c r="L794" s="1">
        <f ca="1">IFERROR(VLOOKUP($A794,[1]库存使用数据!$A:$L,12,0),0)+IFERROR(VLOOKUP($A794,[2]库存使用数据!$A:$L,12,0),0)+IFERROR(VLOOKUP($A794,[3]库存使用数据!$A:$L,12,0),0)+IFERROR(VLOOKUP($A794,[4]库存使用数据!$A:$L,12,0),0)+IFERROR(VLOOKUP($A794,[5]库存使用数据!$A:$L,12,0),0)</f>
        <v>0</v>
      </c>
      <c r="M794" s="1">
        <f ca="1">IFERROR(VLOOKUP($A794,[1]库存使用数据!$A:$M,13,0),0)+IFERROR(VLOOKUP($A794,[2]库存使用数据!$A:$M,13,0),0)+公式!$B$14*IFERROR(VLOOKUP($A794,[3]库存使用数据!$A:$M,13,0),0)+IFERROR(VLOOKUP($A794,[4]库存使用数据!$A:$M,13,0),0)+IFERROR(VLOOKUP($A794,[5]库存使用数据!$A:$M,13,0),0)</f>
        <v>0</v>
      </c>
    </row>
    <row r="795" spans="1:13">
      <c r="A795" s="6" t="s">
        <v>800</v>
      </c>
      <c r="B795" s="2">
        <f ca="1">IFERROR(VLOOKUP(A795,[1]库存使用数据!$A:$B,2,0),0)+IFERROR(VLOOKUP(A795,[2]库存使用数据!$A:$B,2,0),0)+IFERROR(VLOOKUP(,[3]库存使用数据!$A:$B,2,0),0)+IFERROR(VLOOKUP(A795,[4]库存使用数据!$A:$B,2,0),0)+IFERROR(VLOOKUP(A795,[5]库存使用数据!$A:$B,2,0),0)</f>
        <v>3</v>
      </c>
      <c r="C795" s="1">
        <f ca="1">IFERROR(VLOOKUP($A795,[1]库存使用数据!$A:$C,3,0),0)+IFERROR(VLOOKUP($A795,[2]库存使用数据!$A:$C,3,0),0)+IFERROR(VLOOKUP($A795,[3]库存使用数据!$A:$C,3,0),0)+IFERROR(VLOOKUP($A795,[4]库存使用数据!$A:$C,3,0),0)+IFERROR(VLOOKUP($A795,[5]库存使用数据!$A:$C,3,0),0)</f>
        <v>0</v>
      </c>
      <c r="D795" s="1">
        <f ca="1">IFERROR(VLOOKUP($A795,[1]库存使用数据!$A:$D,4,0),0)+IFERROR(VLOOKUP($A795,[2]库存使用数据!$A:$D,4,0),0)+公式!$B$1*IFERROR(VLOOKUP($A795,[3]库存使用数据!$A:$D,4,0),0)+IFERROR(VLOOKUP($A795,[4]库存使用数据!$A:$D,4,0),0)+IFERROR(VLOOKUP($A795,[5]库存使用数据!$A:$D,4,0),0)</f>
        <v>0</v>
      </c>
      <c r="E795" s="1">
        <f ca="1">IFERROR(VLOOKUP($A795,[1]库存使用数据!$A:$E,5,0),0)+IFERROR(VLOOKUP($A795,[2]库存使用数据!$A:$E,5,0),0)+IFERROR(VLOOKUP($A795,[3]库存使用数据!$A:$E,5,0),0)+IFERROR(VLOOKUP($A795,[4]库存使用数据!$A:$E,5,0),0)+IFERROR(VLOOKUP($A795,[5]库存使用数据!$A:$E,5,0),0)</f>
        <v>2</v>
      </c>
      <c r="F795" s="1">
        <f ca="1">IFERROR(VLOOKUP($A795,[1]库存使用数据!$A:$F,6,0),0)+IFERROR(VLOOKUP($A795,[2]库存使用数据!$A:$F,6,0),0)+IFERROR(VLOOKUP($A795,[4]库存使用数据!$A:$F,6,0),0)+IFERROR(VLOOKUP($A795,[3]库存使用数据!$A:$F,6,0),0)+IFERROR(VLOOKUP($A795,[5]库存使用数据!$A:$F,6,0),0)</f>
        <v>0</v>
      </c>
      <c r="G795" s="1">
        <f ca="1">IFERROR(VLOOKUP($A795,[1]库存使用数据!$A:$G,7,0),0)+IFERROR(VLOOKUP($A795,[2]库存使用数据!$A:$G,7,0),0)+公式!$B$14*IFERROR(VLOOKUP($A795,[3]库存使用数据!$A:$G,7,0),0)+IFERROR(VLOOKUP($A795,[4]库存使用数据!$A:$G,7,0),0)+IFERROR(VLOOKUP($A795,[5]库存使用数据!$A:$G,7,0),0)</f>
        <v>0</v>
      </c>
      <c r="H795" s="1">
        <f ca="1">IFERROR(VLOOKUP($A795,[1]库存使用数据!$A:$H,8,0),0)+IFERROR(VLOOKUP($A795,[2]库存使用数据!$A:$H,8,0),0)+IFERROR(VLOOKUP($A795,[3]库存使用数据!$A:$H,8,0),0)+IFERROR(VLOOKUP($A795,[4]库存使用数据!$A:$H,8,0),0)+IFERROR(VLOOKUP($A795,[5]库存使用数据!$A:$H,8,0),0)</f>
        <v>0</v>
      </c>
      <c r="I795" s="1">
        <f ca="1">IFERROR(VLOOKUP($A795,[1]库存使用数据!$A:$I,9,0),0)+IFERROR(VLOOKUP($A795,[2]库存使用数据!$A:$I,9,0),0)+IFERROR(VLOOKUP($A795,[3]库存使用数据!$A:$I,9,0),0)+IFERROR(VLOOKUP($A795,[4]库存使用数据!$A:$I,9,0),0)+IFERROR(VLOOKUP($A795,[5]库存使用数据!$A:$I,9,0),0)</f>
        <v>0</v>
      </c>
      <c r="J795" s="1">
        <f ca="1">IFERROR(VLOOKUP($A795,[1]库存使用数据!$A:$J,10,0),0)+IFERROR(VLOOKUP($A795,[2]库存使用数据!$A:$J,10,0),0)+公式!$B$14*IFERROR(VLOOKUP($A795,[3]库存使用数据!$A:$J,10,0),0)+IFERROR(VLOOKUP($A795,[4]库存使用数据!$A:$J,10,0),0)+IFERROR(VLOOKUP($A795,[5]库存使用数据!$A:$J,10,0),0)</f>
        <v>0</v>
      </c>
      <c r="K795" s="1">
        <f ca="1">IFERROR(VLOOKUP($A795,[1]库存使用数据!$A:$K,11,0),0)+IFERROR(VLOOKUP($A795,[2]库存使用数据!$A:$K,11,0),0)+IFERROR(VLOOKUP($A795,[3]库存使用数据!$A:$K,11,0),0)+IFERROR(VLOOKUP($A795,[4]库存使用数据!$A:$K,11,0),0)+IFERROR(VLOOKUP($A795,[5]库存使用数据!$A:$K,11,0),0)</f>
        <v>1</v>
      </c>
      <c r="L795" s="1">
        <f ca="1">IFERROR(VLOOKUP($A795,[1]库存使用数据!$A:$L,12,0),0)+IFERROR(VLOOKUP($A795,[2]库存使用数据!$A:$L,12,0),0)+IFERROR(VLOOKUP($A795,[3]库存使用数据!$A:$L,12,0),0)+IFERROR(VLOOKUP($A795,[4]库存使用数据!$A:$L,12,0),0)+IFERROR(VLOOKUP($A795,[5]库存使用数据!$A:$L,12,0),0)</f>
        <v>0</v>
      </c>
      <c r="M795" s="1">
        <f ca="1">IFERROR(VLOOKUP($A795,[1]库存使用数据!$A:$M,13,0),0)+IFERROR(VLOOKUP($A795,[2]库存使用数据!$A:$M,13,0),0)+公式!$B$14*IFERROR(VLOOKUP($A795,[3]库存使用数据!$A:$M,13,0),0)+IFERROR(VLOOKUP($A795,[4]库存使用数据!$A:$M,13,0),0)+IFERROR(VLOOKUP($A795,[5]库存使用数据!$A:$M,13,0),0)</f>
        <v>0</v>
      </c>
    </row>
    <row r="796" spans="1:13">
      <c r="A796" s="6" t="s">
        <v>801</v>
      </c>
      <c r="B796" s="2">
        <f ca="1">IFERROR(VLOOKUP(A796,[1]库存使用数据!$A:$B,2,0),0)+IFERROR(VLOOKUP(A796,[2]库存使用数据!$A:$B,2,0),0)+IFERROR(VLOOKUP(,[3]库存使用数据!$A:$B,2,0),0)+IFERROR(VLOOKUP(A796,[4]库存使用数据!$A:$B,2,0),0)+IFERROR(VLOOKUP(A796,[5]库存使用数据!$A:$B,2,0),0)</f>
        <v>1</v>
      </c>
      <c r="C796" s="1">
        <f ca="1">IFERROR(VLOOKUP($A796,[1]库存使用数据!$A:$C,3,0),0)+IFERROR(VLOOKUP($A796,[2]库存使用数据!$A:$C,3,0),0)+IFERROR(VLOOKUP($A796,[3]库存使用数据!$A:$C,3,0),0)+IFERROR(VLOOKUP($A796,[4]库存使用数据!$A:$C,3,0),0)+IFERROR(VLOOKUP($A796,[5]库存使用数据!$A:$C,3,0),0)</f>
        <v>0</v>
      </c>
      <c r="D796" s="1">
        <f ca="1">IFERROR(VLOOKUP($A796,[1]库存使用数据!$A:$D,4,0),0)+IFERROR(VLOOKUP($A796,[2]库存使用数据!$A:$D,4,0),0)+公式!$B$1*IFERROR(VLOOKUP($A796,[3]库存使用数据!$A:$D,4,0),0)+IFERROR(VLOOKUP($A796,[4]库存使用数据!$A:$D,4,0),0)+IFERROR(VLOOKUP($A796,[5]库存使用数据!$A:$D,4,0),0)</f>
        <v>0</v>
      </c>
      <c r="E796" s="1">
        <f ca="1">IFERROR(VLOOKUP($A796,[1]库存使用数据!$A:$E,5,0),0)+IFERROR(VLOOKUP($A796,[2]库存使用数据!$A:$E,5,0),0)+IFERROR(VLOOKUP($A796,[3]库存使用数据!$A:$E,5,0),0)+IFERROR(VLOOKUP($A796,[4]库存使用数据!$A:$E,5,0),0)+IFERROR(VLOOKUP($A796,[5]库存使用数据!$A:$E,5,0),0)</f>
        <v>3</v>
      </c>
      <c r="F796" s="1">
        <f ca="1">IFERROR(VLOOKUP($A796,[1]库存使用数据!$A:$F,6,0),0)+IFERROR(VLOOKUP($A796,[2]库存使用数据!$A:$F,6,0),0)+IFERROR(VLOOKUP($A796,[4]库存使用数据!$A:$F,6,0),0)+IFERROR(VLOOKUP($A796,[3]库存使用数据!$A:$F,6,0),0)+IFERROR(VLOOKUP($A796,[5]库存使用数据!$A:$F,6,0),0)</f>
        <v>0</v>
      </c>
      <c r="G796" s="1">
        <f ca="1">IFERROR(VLOOKUP($A796,[1]库存使用数据!$A:$G,7,0),0)+IFERROR(VLOOKUP($A796,[2]库存使用数据!$A:$G,7,0),0)+公式!$B$14*IFERROR(VLOOKUP($A796,[3]库存使用数据!$A:$G,7,0),0)+IFERROR(VLOOKUP($A796,[4]库存使用数据!$A:$G,7,0),0)+IFERROR(VLOOKUP($A796,[5]库存使用数据!$A:$G,7,0),0)</f>
        <v>0</v>
      </c>
      <c r="H796" s="1">
        <f ca="1">IFERROR(VLOOKUP($A796,[1]库存使用数据!$A:$H,8,0),0)+IFERROR(VLOOKUP($A796,[2]库存使用数据!$A:$H,8,0),0)+IFERROR(VLOOKUP($A796,[3]库存使用数据!$A:$H,8,0),0)+IFERROR(VLOOKUP($A796,[4]库存使用数据!$A:$H,8,0),0)+IFERROR(VLOOKUP($A796,[5]库存使用数据!$A:$H,8,0),0)</f>
        <v>1</v>
      </c>
      <c r="I796" s="1">
        <f ca="1">IFERROR(VLOOKUP($A796,[1]库存使用数据!$A:$I,9,0),0)+IFERROR(VLOOKUP($A796,[2]库存使用数据!$A:$I,9,0),0)+IFERROR(VLOOKUP($A796,[3]库存使用数据!$A:$I,9,0),0)+IFERROR(VLOOKUP($A796,[4]库存使用数据!$A:$I,9,0),0)+IFERROR(VLOOKUP($A796,[5]库存使用数据!$A:$I,9,0),0)</f>
        <v>0</v>
      </c>
      <c r="J796" s="1">
        <f ca="1">IFERROR(VLOOKUP($A796,[1]库存使用数据!$A:$J,10,0),0)+IFERROR(VLOOKUP($A796,[2]库存使用数据!$A:$J,10,0),0)+公式!$B$14*IFERROR(VLOOKUP($A796,[3]库存使用数据!$A:$J,10,0),0)+IFERROR(VLOOKUP($A796,[4]库存使用数据!$A:$J,10,0),0)+IFERROR(VLOOKUP($A796,[5]库存使用数据!$A:$J,10,0),0)</f>
        <v>0</v>
      </c>
      <c r="K796" s="1">
        <f ca="1">IFERROR(VLOOKUP($A796,[1]库存使用数据!$A:$K,11,0),0)+IFERROR(VLOOKUP($A796,[2]库存使用数据!$A:$K,11,0),0)+IFERROR(VLOOKUP($A796,[3]库存使用数据!$A:$K,11,0),0)+IFERROR(VLOOKUP($A796,[4]库存使用数据!$A:$K,11,0),0)+IFERROR(VLOOKUP($A796,[5]库存使用数据!$A:$K,11,0),0)</f>
        <v>4</v>
      </c>
      <c r="L796" s="1">
        <f ca="1">IFERROR(VLOOKUP($A796,[1]库存使用数据!$A:$L,12,0),0)+IFERROR(VLOOKUP($A796,[2]库存使用数据!$A:$L,12,0),0)+IFERROR(VLOOKUP($A796,[3]库存使用数据!$A:$L,12,0),0)+IFERROR(VLOOKUP($A796,[4]库存使用数据!$A:$L,12,0),0)+IFERROR(VLOOKUP($A796,[5]库存使用数据!$A:$L,12,0),0)</f>
        <v>0</v>
      </c>
      <c r="M796" s="1">
        <f ca="1">IFERROR(VLOOKUP($A796,[1]库存使用数据!$A:$M,13,0),0)+IFERROR(VLOOKUP($A796,[2]库存使用数据!$A:$M,13,0),0)+公式!$B$14*IFERROR(VLOOKUP($A796,[3]库存使用数据!$A:$M,13,0),0)+IFERROR(VLOOKUP($A796,[4]库存使用数据!$A:$M,13,0),0)+IFERROR(VLOOKUP($A796,[5]库存使用数据!$A:$M,13,0),0)</f>
        <v>0</v>
      </c>
    </row>
    <row r="797" spans="1:13">
      <c r="A797" s="6" t="s">
        <v>802</v>
      </c>
      <c r="B797" s="2">
        <f ca="1">IFERROR(VLOOKUP(A797,[1]库存使用数据!$A:$B,2,0),0)+IFERROR(VLOOKUP(A797,[2]库存使用数据!$A:$B,2,0),0)+IFERROR(VLOOKUP(,[3]库存使用数据!$A:$B,2,0),0)+IFERROR(VLOOKUP(A797,[4]库存使用数据!$A:$B,2,0),0)+IFERROR(VLOOKUP(A797,[5]库存使用数据!$A:$B,2,0),0)</f>
        <v>4</v>
      </c>
      <c r="C797" s="1">
        <f ca="1">IFERROR(VLOOKUP($A797,[1]库存使用数据!$A:$C,3,0),0)+IFERROR(VLOOKUP($A797,[2]库存使用数据!$A:$C,3,0),0)+IFERROR(VLOOKUP($A797,[3]库存使用数据!$A:$C,3,0),0)+IFERROR(VLOOKUP($A797,[4]库存使用数据!$A:$C,3,0),0)+IFERROR(VLOOKUP($A797,[5]库存使用数据!$A:$C,3,0),0)</f>
        <v>0</v>
      </c>
      <c r="D797" s="1">
        <f ca="1">IFERROR(VLOOKUP($A797,[1]库存使用数据!$A:$D,4,0),0)+IFERROR(VLOOKUP($A797,[2]库存使用数据!$A:$D,4,0),0)+公式!$B$1*IFERROR(VLOOKUP($A797,[3]库存使用数据!$A:$D,4,0),0)+IFERROR(VLOOKUP($A797,[4]库存使用数据!$A:$D,4,0),0)+IFERROR(VLOOKUP($A797,[5]库存使用数据!$A:$D,4,0),0)</f>
        <v>0</v>
      </c>
      <c r="E797" s="1">
        <f ca="1">IFERROR(VLOOKUP($A797,[1]库存使用数据!$A:$E,5,0),0)+IFERROR(VLOOKUP($A797,[2]库存使用数据!$A:$E,5,0),0)+IFERROR(VLOOKUP($A797,[3]库存使用数据!$A:$E,5,0),0)+IFERROR(VLOOKUP($A797,[4]库存使用数据!$A:$E,5,0),0)+IFERROR(VLOOKUP($A797,[5]库存使用数据!$A:$E,5,0),0)</f>
        <v>6</v>
      </c>
      <c r="F797" s="1">
        <f ca="1">IFERROR(VLOOKUP($A797,[1]库存使用数据!$A:$F,6,0),0)+IFERROR(VLOOKUP($A797,[2]库存使用数据!$A:$F,6,0),0)+IFERROR(VLOOKUP($A797,[4]库存使用数据!$A:$F,6,0),0)+IFERROR(VLOOKUP($A797,[3]库存使用数据!$A:$F,6,0),0)+IFERROR(VLOOKUP($A797,[5]库存使用数据!$A:$F,6,0),0)</f>
        <v>0</v>
      </c>
      <c r="G797" s="1">
        <f ca="1">IFERROR(VLOOKUP($A797,[1]库存使用数据!$A:$G,7,0),0)+IFERROR(VLOOKUP($A797,[2]库存使用数据!$A:$G,7,0),0)+公式!$B$14*IFERROR(VLOOKUP($A797,[3]库存使用数据!$A:$G,7,0),0)+IFERROR(VLOOKUP($A797,[4]库存使用数据!$A:$G,7,0),0)+IFERROR(VLOOKUP($A797,[5]库存使用数据!$A:$G,7,0),0)</f>
        <v>0</v>
      </c>
      <c r="H797" s="1">
        <f ca="1">IFERROR(VLOOKUP($A797,[1]库存使用数据!$A:$H,8,0),0)+IFERROR(VLOOKUP($A797,[2]库存使用数据!$A:$H,8,0),0)+IFERROR(VLOOKUP($A797,[3]库存使用数据!$A:$H,8,0),0)+IFERROR(VLOOKUP($A797,[4]库存使用数据!$A:$H,8,0),0)+IFERROR(VLOOKUP($A797,[5]库存使用数据!$A:$H,8,0),0)</f>
        <v>1</v>
      </c>
      <c r="I797" s="1">
        <f ca="1">IFERROR(VLOOKUP($A797,[1]库存使用数据!$A:$I,9,0),0)+IFERROR(VLOOKUP($A797,[2]库存使用数据!$A:$I,9,0),0)+IFERROR(VLOOKUP($A797,[3]库存使用数据!$A:$I,9,0),0)+IFERROR(VLOOKUP($A797,[4]库存使用数据!$A:$I,9,0),0)+IFERROR(VLOOKUP($A797,[5]库存使用数据!$A:$I,9,0),0)</f>
        <v>0</v>
      </c>
      <c r="J797" s="1">
        <f ca="1">IFERROR(VLOOKUP($A797,[1]库存使用数据!$A:$J,10,0),0)+IFERROR(VLOOKUP($A797,[2]库存使用数据!$A:$J,10,0),0)+公式!$B$14*IFERROR(VLOOKUP($A797,[3]库存使用数据!$A:$J,10,0),0)+IFERROR(VLOOKUP($A797,[4]库存使用数据!$A:$J,10,0),0)+IFERROR(VLOOKUP($A797,[5]库存使用数据!$A:$J,10,0),0)</f>
        <v>0</v>
      </c>
      <c r="K797" s="1">
        <f ca="1">IFERROR(VLOOKUP($A797,[1]库存使用数据!$A:$K,11,0),0)+IFERROR(VLOOKUP($A797,[2]库存使用数据!$A:$K,11,0),0)+IFERROR(VLOOKUP($A797,[3]库存使用数据!$A:$K,11,0),0)+IFERROR(VLOOKUP($A797,[4]库存使用数据!$A:$K,11,0),0)+IFERROR(VLOOKUP($A797,[5]库存使用数据!$A:$K,11,0),0)</f>
        <v>3</v>
      </c>
      <c r="L797" s="1">
        <f ca="1">IFERROR(VLOOKUP($A797,[1]库存使用数据!$A:$L,12,0),0)+IFERROR(VLOOKUP($A797,[2]库存使用数据!$A:$L,12,0),0)+IFERROR(VLOOKUP($A797,[3]库存使用数据!$A:$L,12,0),0)+IFERROR(VLOOKUP($A797,[4]库存使用数据!$A:$L,12,0),0)+IFERROR(VLOOKUP($A797,[5]库存使用数据!$A:$L,12,0),0)</f>
        <v>0</v>
      </c>
      <c r="M797" s="1">
        <f ca="1">IFERROR(VLOOKUP($A797,[1]库存使用数据!$A:$M,13,0),0)+IFERROR(VLOOKUP($A797,[2]库存使用数据!$A:$M,13,0),0)+公式!$B$14*IFERROR(VLOOKUP($A797,[3]库存使用数据!$A:$M,13,0),0)+IFERROR(VLOOKUP($A797,[4]库存使用数据!$A:$M,13,0),0)+IFERROR(VLOOKUP($A797,[5]库存使用数据!$A:$M,13,0),0)</f>
        <v>0</v>
      </c>
    </row>
    <row r="798" spans="1:13">
      <c r="A798" s="6" t="s">
        <v>803</v>
      </c>
      <c r="B798" s="2">
        <f ca="1">IFERROR(VLOOKUP(A798,[1]库存使用数据!$A:$B,2,0),0)+IFERROR(VLOOKUP(A798,[2]库存使用数据!$A:$B,2,0),0)+IFERROR(VLOOKUP(,[3]库存使用数据!$A:$B,2,0),0)+IFERROR(VLOOKUP(A798,[4]库存使用数据!$A:$B,2,0),0)+IFERROR(VLOOKUP(A798,[5]库存使用数据!$A:$B,2,0),0)</f>
        <v>13</v>
      </c>
      <c r="C798" s="1">
        <f ca="1">IFERROR(VLOOKUP($A798,[1]库存使用数据!$A:$C,3,0),0)+IFERROR(VLOOKUP($A798,[2]库存使用数据!$A:$C,3,0),0)+IFERROR(VLOOKUP($A798,[3]库存使用数据!$A:$C,3,0),0)+IFERROR(VLOOKUP($A798,[4]库存使用数据!$A:$C,3,0),0)+IFERROR(VLOOKUP($A798,[5]库存使用数据!$A:$C,3,0),0)</f>
        <v>0</v>
      </c>
      <c r="D798" s="1">
        <f ca="1">IFERROR(VLOOKUP($A798,[1]库存使用数据!$A:$D,4,0),0)+IFERROR(VLOOKUP($A798,[2]库存使用数据!$A:$D,4,0),0)+公式!$B$1*IFERROR(VLOOKUP($A798,[3]库存使用数据!$A:$D,4,0),0)+IFERROR(VLOOKUP($A798,[4]库存使用数据!$A:$D,4,0),0)+IFERROR(VLOOKUP($A798,[5]库存使用数据!$A:$D,4,0),0)</f>
        <v>0</v>
      </c>
      <c r="E798" s="1">
        <f ca="1">IFERROR(VLOOKUP($A798,[1]库存使用数据!$A:$E,5,0),0)+IFERROR(VLOOKUP($A798,[2]库存使用数据!$A:$E,5,0),0)+IFERROR(VLOOKUP($A798,[3]库存使用数据!$A:$E,5,0),0)+IFERROR(VLOOKUP($A798,[4]库存使用数据!$A:$E,5,0),0)+IFERROR(VLOOKUP($A798,[5]库存使用数据!$A:$E,5,0),0)</f>
        <v>18</v>
      </c>
      <c r="F798" s="1">
        <f ca="1">IFERROR(VLOOKUP($A798,[1]库存使用数据!$A:$F,6,0),0)+IFERROR(VLOOKUP($A798,[2]库存使用数据!$A:$F,6,0),0)+IFERROR(VLOOKUP($A798,[4]库存使用数据!$A:$F,6,0),0)+IFERROR(VLOOKUP($A798,[3]库存使用数据!$A:$F,6,0),0)+IFERROR(VLOOKUP($A798,[5]库存使用数据!$A:$F,6,0),0)</f>
        <v>0</v>
      </c>
      <c r="G798" s="1">
        <f ca="1">IFERROR(VLOOKUP($A798,[1]库存使用数据!$A:$G,7,0),0)+IFERROR(VLOOKUP($A798,[2]库存使用数据!$A:$G,7,0),0)+公式!$B$14*IFERROR(VLOOKUP($A798,[3]库存使用数据!$A:$G,7,0),0)+IFERROR(VLOOKUP($A798,[4]库存使用数据!$A:$G,7,0),0)+IFERROR(VLOOKUP($A798,[5]库存使用数据!$A:$G,7,0),0)</f>
        <v>0</v>
      </c>
      <c r="H798" s="1">
        <f ca="1">IFERROR(VLOOKUP($A798,[1]库存使用数据!$A:$H,8,0),0)+IFERROR(VLOOKUP($A798,[2]库存使用数据!$A:$H,8,0),0)+IFERROR(VLOOKUP($A798,[3]库存使用数据!$A:$H,8,0),0)+IFERROR(VLOOKUP($A798,[4]库存使用数据!$A:$H,8,0),0)+IFERROR(VLOOKUP($A798,[5]库存使用数据!$A:$H,8,0),0)</f>
        <v>2</v>
      </c>
      <c r="I798" s="1">
        <f ca="1">IFERROR(VLOOKUP($A798,[1]库存使用数据!$A:$I,9,0),0)+IFERROR(VLOOKUP($A798,[2]库存使用数据!$A:$I,9,0),0)+IFERROR(VLOOKUP($A798,[3]库存使用数据!$A:$I,9,0),0)+IFERROR(VLOOKUP($A798,[4]库存使用数据!$A:$I,9,0),0)+IFERROR(VLOOKUP($A798,[5]库存使用数据!$A:$I,9,0),0)</f>
        <v>0</v>
      </c>
      <c r="J798" s="1">
        <f ca="1">IFERROR(VLOOKUP($A798,[1]库存使用数据!$A:$J,10,0),0)+IFERROR(VLOOKUP($A798,[2]库存使用数据!$A:$J,10,0),0)+公式!$B$14*IFERROR(VLOOKUP($A798,[3]库存使用数据!$A:$J,10,0),0)+IFERROR(VLOOKUP($A798,[4]库存使用数据!$A:$J,10,0),0)+IFERROR(VLOOKUP($A798,[5]库存使用数据!$A:$J,10,0),0)</f>
        <v>0</v>
      </c>
      <c r="K798" s="1">
        <f ca="1">IFERROR(VLOOKUP($A798,[1]库存使用数据!$A:$K,11,0),0)+IFERROR(VLOOKUP($A798,[2]库存使用数据!$A:$K,11,0),0)+IFERROR(VLOOKUP($A798,[3]库存使用数据!$A:$K,11,0),0)+IFERROR(VLOOKUP($A798,[4]库存使用数据!$A:$K,11,0),0)+IFERROR(VLOOKUP($A798,[5]库存使用数据!$A:$K,11,0),0)</f>
        <v>7</v>
      </c>
      <c r="L798" s="1">
        <f ca="1">IFERROR(VLOOKUP($A798,[1]库存使用数据!$A:$L,12,0),0)+IFERROR(VLOOKUP($A798,[2]库存使用数据!$A:$L,12,0),0)+IFERROR(VLOOKUP($A798,[3]库存使用数据!$A:$L,12,0),0)+IFERROR(VLOOKUP($A798,[4]库存使用数据!$A:$L,12,0),0)+IFERROR(VLOOKUP($A798,[5]库存使用数据!$A:$L,12,0),0)</f>
        <v>0</v>
      </c>
      <c r="M798" s="1">
        <f ca="1">IFERROR(VLOOKUP($A798,[1]库存使用数据!$A:$M,13,0),0)+IFERROR(VLOOKUP($A798,[2]库存使用数据!$A:$M,13,0),0)+公式!$B$14*IFERROR(VLOOKUP($A798,[3]库存使用数据!$A:$M,13,0),0)+IFERROR(VLOOKUP($A798,[4]库存使用数据!$A:$M,13,0),0)+IFERROR(VLOOKUP($A798,[5]库存使用数据!$A:$M,13,0),0)</f>
        <v>0</v>
      </c>
    </row>
    <row r="799" spans="1:13">
      <c r="A799" s="6" t="s">
        <v>804</v>
      </c>
      <c r="B799" s="2">
        <f ca="1">IFERROR(VLOOKUP(A799,[1]库存使用数据!$A:$B,2,0),0)+IFERROR(VLOOKUP(A799,[2]库存使用数据!$A:$B,2,0),0)+IFERROR(VLOOKUP(,[3]库存使用数据!$A:$B,2,0),0)+IFERROR(VLOOKUP(A799,[4]库存使用数据!$A:$B,2,0),0)+IFERROR(VLOOKUP(A799,[5]库存使用数据!$A:$B,2,0),0)</f>
        <v>40</v>
      </c>
      <c r="C799" s="1">
        <f ca="1">IFERROR(VLOOKUP($A799,[1]库存使用数据!$A:$C,3,0),0)+IFERROR(VLOOKUP($A799,[2]库存使用数据!$A:$C,3,0),0)+IFERROR(VLOOKUP($A799,[3]库存使用数据!$A:$C,3,0),0)+IFERROR(VLOOKUP($A799,[4]库存使用数据!$A:$C,3,0),0)+IFERROR(VLOOKUP($A799,[5]库存使用数据!$A:$C,3,0),0)</f>
        <v>2</v>
      </c>
      <c r="D799" s="1">
        <f ca="1">IFERROR(VLOOKUP($A799,[1]库存使用数据!$A:$D,4,0),0)+IFERROR(VLOOKUP($A799,[2]库存使用数据!$A:$D,4,0),0)+公式!$B$1*IFERROR(VLOOKUP($A799,[3]库存使用数据!$A:$D,4,0),0)+IFERROR(VLOOKUP($A799,[4]库存使用数据!$A:$D,4,0),0)+IFERROR(VLOOKUP($A799,[5]库存使用数据!$A:$D,4,0),0)</f>
        <v>0.08</v>
      </c>
      <c r="E799" s="1">
        <f ca="1">IFERROR(VLOOKUP($A799,[1]库存使用数据!$A:$E,5,0),0)+IFERROR(VLOOKUP($A799,[2]库存使用数据!$A:$E,5,0),0)+IFERROR(VLOOKUP($A799,[3]库存使用数据!$A:$E,5,0),0)+IFERROR(VLOOKUP($A799,[4]库存使用数据!$A:$E,5,0),0)+IFERROR(VLOOKUP($A799,[5]库存使用数据!$A:$E,5,0),0)</f>
        <v>24</v>
      </c>
      <c r="F799" s="1">
        <f ca="1">IFERROR(VLOOKUP($A799,[1]库存使用数据!$A:$F,6,0),0)+IFERROR(VLOOKUP($A799,[2]库存使用数据!$A:$F,6,0),0)+IFERROR(VLOOKUP($A799,[4]库存使用数据!$A:$F,6,0),0)+IFERROR(VLOOKUP($A799,[3]库存使用数据!$A:$F,6,0),0)+IFERROR(VLOOKUP($A799,[5]库存使用数据!$A:$F,6,0),0)</f>
        <v>0</v>
      </c>
      <c r="G799" s="1">
        <f ca="1">IFERROR(VLOOKUP($A799,[1]库存使用数据!$A:$G,7,0),0)+IFERROR(VLOOKUP($A799,[2]库存使用数据!$A:$G,7,0),0)+公式!$B$14*IFERROR(VLOOKUP($A799,[3]库存使用数据!$A:$G,7,0),0)+IFERROR(VLOOKUP($A799,[4]库存使用数据!$A:$G,7,0),0)+IFERROR(VLOOKUP($A799,[5]库存使用数据!$A:$G,7,0),0)</f>
        <v>0</v>
      </c>
      <c r="H799" s="1">
        <f ca="1">IFERROR(VLOOKUP($A799,[1]库存使用数据!$A:$H,8,0),0)+IFERROR(VLOOKUP($A799,[2]库存使用数据!$A:$H,8,0),0)+IFERROR(VLOOKUP($A799,[3]库存使用数据!$A:$H,8,0),0)+IFERROR(VLOOKUP($A799,[4]库存使用数据!$A:$H,8,0),0)+IFERROR(VLOOKUP($A799,[5]库存使用数据!$A:$H,8,0),0)</f>
        <v>2</v>
      </c>
      <c r="I799" s="1">
        <f ca="1">IFERROR(VLOOKUP($A799,[1]库存使用数据!$A:$I,9,0),0)+IFERROR(VLOOKUP($A799,[2]库存使用数据!$A:$I,9,0),0)+IFERROR(VLOOKUP($A799,[3]库存使用数据!$A:$I,9,0),0)+IFERROR(VLOOKUP($A799,[4]库存使用数据!$A:$I,9,0),0)+IFERROR(VLOOKUP($A799,[5]库存使用数据!$A:$I,9,0),0)</f>
        <v>0</v>
      </c>
      <c r="J799" s="1">
        <f ca="1">IFERROR(VLOOKUP($A799,[1]库存使用数据!$A:$J,10,0),0)+IFERROR(VLOOKUP($A799,[2]库存使用数据!$A:$J,10,0),0)+公式!$B$14*IFERROR(VLOOKUP($A799,[3]库存使用数据!$A:$J,10,0),0)+IFERROR(VLOOKUP($A799,[4]库存使用数据!$A:$J,10,0),0)+IFERROR(VLOOKUP($A799,[5]库存使用数据!$A:$J,10,0),0)</f>
        <v>0</v>
      </c>
      <c r="K799" s="1">
        <f ca="1">IFERROR(VLOOKUP($A799,[1]库存使用数据!$A:$K,11,0),0)+IFERROR(VLOOKUP($A799,[2]库存使用数据!$A:$K,11,0),0)+IFERROR(VLOOKUP($A799,[3]库存使用数据!$A:$K,11,0),0)+IFERROR(VLOOKUP($A799,[4]库存使用数据!$A:$K,11,0),0)+IFERROR(VLOOKUP($A799,[5]库存使用数据!$A:$K,11,0),0)</f>
        <v>1</v>
      </c>
      <c r="L799" s="1">
        <f ca="1">IFERROR(VLOOKUP($A799,[1]库存使用数据!$A:$L,12,0),0)+IFERROR(VLOOKUP($A799,[2]库存使用数据!$A:$L,12,0),0)+IFERROR(VLOOKUP($A799,[3]库存使用数据!$A:$L,12,0),0)+IFERROR(VLOOKUP($A799,[4]库存使用数据!$A:$L,12,0),0)+IFERROR(VLOOKUP($A799,[5]库存使用数据!$A:$L,12,0),0)</f>
        <v>0</v>
      </c>
      <c r="M799" s="1">
        <f ca="1">IFERROR(VLOOKUP($A799,[1]库存使用数据!$A:$M,13,0),0)+IFERROR(VLOOKUP($A799,[2]库存使用数据!$A:$M,13,0),0)+公式!$B$14*IFERROR(VLOOKUP($A799,[3]库存使用数据!$A:$M,13,0),0)+IFERROR(VLOOKUP($A799,[4]库存使用数据!$A:$M,13,0),0)+IFERROR(VLOOKUP($A799,[5]库存使用数据!$A:$M,13,0),0)</f>
        <v>0</v>
      </c>
    </row>
    <row r="800" spans="1:13">
      <c r="A800" s="6" t="s">
        <v>805</v>
      </c>
      <c r="B800" s="2">
        <f ca="1">IFERROR(VLOOKUP(A800,[1]库存使用数据!$A:$B,2,0),0)+IFERROR(VLOOKUP(A800,[2]库存使用数据!$A:$B,2,0),0)+IFERROR(VLOOKUP(,[3]库存使用数据!$A:$B,2,0),0)+IFERROR(VLOOKUP(A800,[4]库存使用数据!$A:$B,2,0),0)+IFERROR(VLOOKUP(A800,[5]库存使用数据!$A:$B,2,0),0)</f>
        <v>0</v>
      </c>
      <c r="C800" s="1">
        <f ca="1">IFERROR(VLOOKUP($A800,[1]库存使用数据!$A:$C,3,0),0)+IFERROR(VLOOKUP($A800,[2]库存使用数据!$A:$C,3,0),0)+IFERROR(VLOOKUP($A800,[3]库存使用数据!$A:$C,3,0),0)+IFERROR(VLOOKUP($A800,[4]库存使用数据!$A:$C,3,0),0)+IFERROR(VLOOKUP($A800,[5]库存使用数据!$A:$C,3,0),0)</f>
        <v>0</v>
      </c>
      <c r="D800" s="1">
        <f ca="1">IFERROR(VLOOKUP($A800,[1]库存使用数据!$A:$D,4,0),0)+IFERROR(VLOOKUP($A800,[2]库存使用数据!$A:$D,4,0),0)+公式!$B$1*IFERROR(VLOOKUP($A800,[3]库存使用数据!$A:$D,4,0),0)+IFERROR(VLOOKUP($A800,[4]库存使用数据!$A:$D,4,0),0)+IFERROR(VLOOKUP($A800,[5]库存使用数据!$A:$D,4,0),0)</f>
        <v>0</v>
      </c>
      <c r="E800" s="1">
        <f ca="1">IFERROR(VLOOKUP($A800,[1]库存使用数据!$A:$E,5,0),0)+IFERROR(VLOOKUP($A800,[2]库存使用数据!$A:$E,5,0),0)+IFERROR(VLOOKUP($A800,[3]库存使用数据!$A:$E,5,0),0)+IFERROR(VLOOKUP($A800,[4]库存使用数据!$A:$E,5,0),0)+IFERROR(VLOOKUP($A800,[5]库存使用数据!$A:$E,5,0),0)</f>
        <v>3</v>
      </c>
      <c r="F800" s="1">
        <f ca="1">IFERROR(VLOOKUP($A800,[1]库存使用数据!$A:$F,6,0),0)+IFERROR(VLOOKUP($A800,[2]库存使用数据!$A:$F,6,0),0)+IFERROR(VLOOKUP($A800,[4]库存使用数据!$A:$F,6,0),0)+IFERROR(VLOOKUP($A800,[3]库存使用数据!$A:$F,6,0),0)+IFERROR(VLOOKUP($A800,[5]库存使用数据!$A:$F,6,0),0)</f>
        <v>0</v>
      </c>
      <c r="G800" s="1">
        <f ca="1">IFERROR(VLOOKUP($A800,[1]库存使用数据!$A:$G,7,0),0)+IFERROR(VLOOKUP($A800,[2]库存使用数据!$A:$G,7,0),0)+公式!$B$14*IFERROR(VLOOKUP($A800,[3]库存使用数据!$A:$G,7,0),0)+IFERROR(VLOOKUP($A800,[4]库存使用数据!$A:$G,7,0),0)+IFERROR(VLOOKUP($A800,[5]库存使用数据!$A:$G,7,0),0)</f>
        <v>0</v>
      </c>
      <c r="H800" s="1">
        <f ca="1">IFERROR(VLOOKUP($A800,[1]库存使用数据!$A:$H,8,0),0)+IFERROR(VLOOKUP($A800,[2]库存使用数据!$A:$H,8,0),0)+IFERROR(VLOOKUP($A800,[3]库存使用数据!$A:$H,8,0),0)+IFERROR(VLOOKUP($A800,[4]库存使用数据!$A:$H,8,0),0)+IFERROR(VLOOKUP($A800,[5]库存使用数据!$A:$H,8,0),0)</f>
        <v>3</v>
      </c>
      <c r="I800" s="1">
        <f ca="1">IFERROR(VLOOKUP($A800,[1]库存使用数据!$A:$I,9,0),0)+IFERROR(VLOOKUP($A800,[2]库存使用数据!$A:$I,9,0),0)+IFERROR(VLOOKUP($A800,[3]库存使用数据!$A:$I,9,0),0)+IFERROR(VLOOKUP($A800,[4]库存使用数据!$A:$I,9,0),0)+IFERROR(VLOOKUP($A800,[5]库存使用数据!$A:$I,9,0),0)</f>
        <v>0</v>
      </c>
      <c r="J800" s="1">
        <f ca="1">IFERROR(VLOOKUP($A800,[1]库存使用数据!$A:$J,10,0),0)+IFERROR(VLOOKUP($A800,[2]库存使用数据!$A:$J,10,0),0)+公式!$B$14*IFERROR(VLOOKUP($A800,[3]库存使用数据!$A:$J,10,0),0)+IFERROR(VLOOKUP($A800,[4]库存使用数据!$A:$J,10,0),0)+IFERROR(VLOOKUP($A800,[5]库存使用数据!$A:$J,10,0),0)</f>
        <v>0</v>
      </c>
      <c r="K800" s="1">
        <f ca="1">IFERROR(VLOOKUP($A800,[1]库存使用数据!$A:$K,11,0),0)+IFERROR(VLOOKUP($A800,[2]库存使用数据!$A:$K,11,0),0)+IFERROR(VLOOKUP($A800,[3]库存使用数据!$A:$K,11,0),0)+IFERROR(VLOOKUP($A800,[4]库存使用数据!$A:$K,11,0),0)+IFERROR(VLOOKUP($A800,[5]库存使用数据!$A:$K,11,0),0)</f>
        <v>4</v>
      </c>
      <c r="L800" s="1">
        <f ca="1">IFERROR(VLOOKUP($A800,[1]库存使用数据!$A:$L,12,0),0)+IFERROR(VLOOKUP($A800,[2]库存使用数据!$A:$L,12,0),0)+IFERROR(VLOOKUP($A800,[3]库存使用数据!$A:$L,12,0),0)+IFERROR(VLOOKUP($A800,[4]库存使用数据!$A:$L,12,0),0)+IFERROR(VLOOKUP($A800,[5]库存使用数据!$A:$L,12,0),0)</f>
        <v>0</v>
      </c>
      <c r="M800" s="1">
        <f ca="1">IFERROR(VLOOKUP($A800,[1]库存使用数据!$A:$M,13,0),0)+IFERROR(VLOOKUP($A800,[2]库存使用数据!$A:$M,13,0),0)+公式!$B$14*IFERROR(VLOOKUP($A800,[3]库存使用数据!$A:$M,13,0),0)+IFERROR(VLOOKUP($A800,[4]库存使用数据!$A:$M,13,0),0)+IFERROR(VLOOKUP($A800,[5]库存使用数据!$A:$M,13,0),0)</f>
        <v>0</v>
      </c>
    </row>
    <row r="801" spans="1:13">
      <c r="A801" s="6" t="s">
        <v>806</v>
      </c>
      <c r="B801" s="2">
        <f ca="1">IFERROR(VLOOKUP(A801,[1]库存使用数据!$A:$B,2,0),0)+IFERROR(VLOOKUP(A801,[2]库存使用数据!$A:$B,2,0),0)+IFERROR(VLOOKUP(,[3]库存使用数据!$A:$B,2,0),0)+IFERROR(VLOOKUP(A801,[4]库存使用数据!$A:$B,2,0),0)+IFERROR(VLOOKUP(A801,[5]库存使用数据!$A:$B,2,0),0)</f>
        <v>3</v>
      </c>
      <c r="C801" s="1">
        <f ca="1">IFERROR(VLOOKUP($A801,[1]库存使用数据!$A:$C,3,0),0)+IFERROR(VLOOKUP($A801,[2]库存使用数据!$A:$C,3,0),0)+IFERROR(VLOOKUP($A801,[3]库存使用数据!$A:$C,3,0),0)+IFERROR(VLOOKUP($A801,[4]库存使用数据!$A:$C,3,0),0)+IFERROR(VLOOKUP($A801,[5]库存使用数据!$A:$C,3,0),0)</f>
        <v>0</v>
      </c>
      <c r="D801" s="1">
        <f ca="1">IFERROR(VLOOKUP($A801,[1]库存使用数据!$A:$D,4,0),0)+IFERROR(VLOOKUP($A801,[2]库存使用数据!$A:$D,4,0),0)+公式!$B$1*IFERROR(VLOOKUP($A801,[3]库存使用数据!$A:$D,4,0),0)+IFERROR(VLOOKUP($A801,[4]库存使用数据!$A:$D,4,0),0)+IFERROR(VLOOKUP($A801,[5]库存使用数据!$A:$D,4,0),0)</f>
        <v>0</v>
      </c>
      <c r="E801" s="1">
        <f ca="1">IFERROR(VLOOKUP($A801,[1]库存使用数据!$A:$E,5,0),0)+IFERROR(VLOOKUP($A801,[2]库存使用数据!$A:$E,5,0),0)+IFERROR(VLOOKUP($A801,[3]库存使用数据!$A:$E,5,0),0)+IFERROR(VLOOKUP($A801,[4]库存使用数据!$A:$E,5,0),0)+IFERROR(VLOOKUP($A801,[5]库存使用数据!$A:$E,5,0),0)</f>
        <v>4</v>
      </c>
      <c r="F801" s="1">
        <f ca="1">IFERROR(VLOOKUP($A801,[1]库存使用数据!$A:$F,6,0),0)+IFERROR(VLOOKUP($A801,[2]库存使用数据!$A:$F,6,0),0)+IFERROR(VLOOKUP($A801,[4]库存使用数据!$A:$F,6,0),0)+IFERROR(VLOOKUP($A801,[3]库存使用数据!$A:$F,6,0),0)+IFERROR(VLOOKUP($A801,[5]库存使用数据!$A:$F,6,0),0)</f>
        <v>0</v>
      </c>
      <c r="G801" s="1">
        <f ca="1">IFERROR(VLOOKUP($A801,[1]库存使用数据!$A:$G,7,0),0)+IFERROR(VLOOKUP($A801,[2]库存使用数据!$A:$G,7,0),0)+公式!$B$14*IFERROR(VLOOKUP($A801,[3]库存使用数据!$A:$G,7,0),0)+IFERROR(VLOOKUP($A801,[4]库存使用数据!$A:$G,7,0),0)+IFERROR(VLOOKUP($A801,[5]库存使用数据!$A:$G,7,0),0)</f>
        <v>0</v>
      </c>
      <c r="H801" s="1">
        <f ca="1">IFERROR(VLOOKUP($A801,[1]库存使用数据!$A:$H,8,0),0)+IFERROR(VLOOKUP($A801,[2]库存使用数据!$A:$H,8,0),0)+IFERROR(VLOOKUP($A801,[3]库存使用数据!$A:$H,8,0),0)+IFERROR(VLOOKUP($A801,[4]库存使用数据!$A:$H,8,0),0)+IFERROR(VLOOKUP($A801,[5]库存使用数据!$A:$H,8,0),0)</f>
        <v>3</v>
      </c>
      <c r="I801" s="1">
        <f ca="1">IFERROR(VLOOKUP($A801,[1]库存使用数据!$A:$I,9,0),0)+IFERROR(VLOOKUP($A801,[2]库存使用数据!$A:$I,9,0),0)+IFERROR(VLOOKUP($A801,[3]库存使用数据!$A:$I,9,0),0)+IFERROR(VLOOKUP($A801,[4]库存使用数据!$A:$I,9,0),0)+IFERROR(VLOOKUP($A801,[5]库存使用数据!$A:$I,9,0),0)</f>
        <v>0</v>
      </c>
      <c r="J801" s="1">
        <f ca="1">IFERROR(VLOOKUP($A801,[1]库存使用数据!$A:$J,10,0),0)+IFERROR(VLOOKUP($A801,[2]库存使用数据!$A:$J,10,0),0)+公式!$B$14*IFERROR(VLOOKUP($A801,[3]库存使用数据!$A:$J,10,0),0)+IFERROR(VLOOKUP($A801,[4]库存使用数据!$A:$J,10,0),0)+IFERROR(VLOOKUP($A801,[5]库存使用数据!$A:$J,10,0),0)</f>
        <v>0</v>
      </c>
      <c r="K801" s="1">
        <f ca="1">IFERROR(VLOOKUP($A801,[1]库存使用数据!$A:$K,11,0),0)+IFERROR(VLOOKUP($A801,[2]库存使用数据!$A:$K,11,0),0)+IFERROR(VLOOKUP($A801,[3]库存使用数据!$A:$K,11,0),0)+IFERROR(VLOOKUP($A801,[4]库存使用数据!$A:$K,11,0),0)+IFERROR(VLOOKUP($A801,[5]库存使用数据!$A:$K,11,0),0)</f>
        <v>8</v>
      </c>
      <c r="L801" s="1">
        <f ca="1">IFERROR(VLOOKUP($A801,[1]库存使用数据!$A:$L,12,0),0)+IFERROR(VLOOKUP($A801,[2]库存使用数据!$A:$L,12,0),0)+IFERROR(VLOOKUP($A801,[3]库存使用数据!$A:$L,12,0),0)+IFERROR(VLOOKUP($A801,[4]库存使用数据!$A:$L,12,0),0)+IFERROR(VLOOKUP($A801,[5]库存使用数据!$A:$L,12,0),0)</f>
        <v>0</v>
      </c>
      <c r="M801" s="1">
        <f ca="1">IFERROR(VLOOKUP($A801,[1]库存使用数据!$A:$M,13,0),0)+IFERROR(VLOOKUP($A801,[2]库存使用数据!$A:$M,13,0),0)+公式!$B$14*IFERROR(VLOOKUP($A801,[3]库存使用数据!$A:$M,13,0),0)+IFERROR(VLOOKUP($A801,[4]库存使用数据!$A:$M,13,0),0)+IFERROR(VLOOKUP($A801,[5]库存使用数据!$A:$M,13,0),0)</f>
        <v>0</v>
      </c>
    </row>
    <row r="802" spans="1:13">
      <c r="A802" s="6" t="s">
        <v>807</v>
      </c>
      <c r="B802" s="2">
        <f ca="1">IFERROR(VLOOKUP(A802,[1]库存使用数据!$A:$B,2,0),0)+IFERROR(VLOOKUP(A802,[2]库存使用数据!$A:$B,2,0),0)+IFERROR(VLOOKUP(,[3]库存使用数据!$A:$B,2,0),0)+IFERROR(VLOOKUP(A802,[4]库存使用数据!$A:$B,2,0),0)+IFERROR(VLOOKUP(A802,[5]库存使用数据!$A:$B,2,0),0)</f>
        <v>2</v>
      </c>
      <c r="C802" s="1">
        <f ca="1">IFERROR(VLOOKUP($A802,[1]库存使用数据!$A:$C,3,0),0)+IFERROR(VLOOKUP($A802,[2]库存使用数据!$A:$C,3,0),0)+IFERROR(VLOOKUP($A802,[3]库存使用数据!$A:$C,3,0),0)+IFERROR(VLOOKUP($A802,[4]库存使用数据!$A:$C,3,0),0)+IFERROR(VLOOKUP($A802,[5]库存使用数据!$A:$C,3,0),0)</f>
        <v>0</v>
      </c>
      <c r="D802" s="1">
        <f ca="1">IFERROR(VLOOKUP($A802,[1]库存使用数据!$A:$D,4,0),0)+IFERROR(VLOOKUP($A802,[2]库存使用数据!$A:$D,4,0),0)+公式!$B$1*IFERROR(VLOOKUP($A802,[3]库存使用数据!$A:$D,4,0),0)+IFERROR(VLOOKUP($A802,[4]库存使用数据!$A:$D,4,0),0)+IFERROR(VLOOKUP($A802,[5]库存使用数据!$A:$D,4,0),0)</f>
        <v>0</v>
      </c>
      <c r="E802" s="1">
        <f ca="1">IFERROR(VLOOKUP($A802,[1]库存使用数据!$A:$E,5,0),0)+IFERROR(VLOOKUP($A802,[2]库存使用数据!$A:$E,5,0),0)+IFERROR(VLOOKUP($A802,[3]库存使用数据!$A:$E,5,0),0)+IFERROR(VLOOKUP($A802,[4]库存使用数据!$A:$E,5,0),0)+IFERROR(VLOOKUP($A802,[5]库存使用数据!$A:$E,5,0),0)</f>
        <v>3</v>
      </c>
      <c r="F802" s="1">
        <f ca="1">IFERROR(VLOOKUP($A802,[1]库存使用数据!$A:$F,6,0),0)+IFERROR(VLOOKUP($A802,[2]库存使用数据!$A:$F,6,0),0)+IFERROR(VLOOKUP($A802,[4]库存使用数据!$A:$F,6,0),0)+IFERROR(VLOOKUP($A802,[3]库存使用数据!$A:$F,6,0),0)+IFERROR(VLOOKUP($A802,[5]库存使用数据!$A:$F,6,0),0)</f>
        <v>0</v>
      </c>
      <c r="G802" s="1">
        <f ca="1">IFERROR(VLOOKUP($A802,[1]库存使用数据!$A:$G,7,0),0)+IFERROR(VLOOKUP($A802,[2]库存使用数据!$A:$G,7,0),0)+公式!$B$14*IFERROR(VLOOKUP($A802,[3]库存使用数据!$A:$G,7,0),0)+IFERROR(VLOOKUP($A802,[4]库存使用数据!$A:$G,7,0),0)+IFERROR(VLOOKUP($A802,[5]库存使用数据!$A:$G,7,0),0)</f>
        <v>0</v>
      </c>
      <c r="H802" s="1">
        <f ca="1">IFERROR(VLOOKUP($A802,[1]库存使用数据!$A:$H,8,0),0)+IFERROR(VLOOKUP($A802,[2]库存使用数据!$A:$H,8,0),0)+IFERROR(VLOOKUP($A802,[3]库存使用数据!$A:$H,8,0),0)+IFERROR(VLOOKUP($A802,[4]库存使用数据!$A:$H,8,0),0)+IFERROR(VLOOKUP($A802,[5]库存使用数据!$A:$H,8,0),0)</f>
        <v>2</v>
      </c>
      <c r="I802" s="1">
        <f ca="1">IFERROR(VLOOKUP($A802,[1]库存使用数据!$A:$I,9,0),0)+IFERROR(VLOOKUP($A802,[2]库存使用数据!$A:$I,9,0),0)+IFERROR(VLOOKUP($A802,[3]库存使用数据!$A:$I,9,0),0)+IFERROR(VLOOKUP($A802,[4]库存使用数据!$A:$I,9,0),0)+IFERROR(VLOOKUP($A802,[5]库存使用数据!$A:$I,9,0),0)</f>
        <v>0</v>
      </c>
      <c r="J802" s="1">
        <f ca="1">IFERROR(VLOOKUP($A802,[1]库存使用数据!$A:$J,10,0),0)+IFERROR(VLOOKUP($A802,[2]库存使用数据!$A:$J,10,0),0)+公式!$B$14*IFERROR(VLOOKUP($A802,[3]库存使用数据!$A:$J,10,0),0)+IFERROR(VLOOKUP($A802,[4]库存使用数据!$A:$J,10,0),0)+IFERROR(VLOOKUP($A802,[5]库存使用数据!$A:$J,10,0),0)</f>
        <v>0</v>
      </c>
      <c r="K802" s="1">
        <f ca="1">IFERROR(VLOOKUP($A802,[1]库存使用数据!$A:$K,11,0),0)+IFERROR(VLOOKUP($A802,[2]库存使用数据!$A:$K,11,0),0)+IFERROR(VLOOKUP($A802,[3]库存使用数据!$A:$K,11,0),0)+IFERROR(VLOOKUP($A802,[4]库存使用数据!$A:$K,11,0),0)+IFERROR(VLOOKUP($A802,[5]库存使用数据!$A:$K,11,0),0)</f>
        <v>6</v>
      </c>
      <c r="L802" s="1">
        <f ca="1">IFERROR(VLOOKUP($A802,[1]库存使用数据!$A:$L,12,0),0)+IFERROR(VLOOKUP($A802,[2]库存使用数据!$A:$L,12,0),0)+IFERROR(VLOOKUP($A802,[3]库存使用数据!$A:$L,12,0),0)+IFERROR(VLOOKUP($A802,[4]库存使用数据!$A:$L,12,0),0)+IFERROR(VLOOKUP($A802,[5]库存使用数据!$A:$L,12,0),0)</f>
        <v>0</v>
      </c>
      <c r="M802" s="1">
        <f ca="1">IFERROR(VLOOKUP($A802,[1]库存使用数据!$A:$M,13,0),0)+IFERROR(VLOOKUP($A802,[2]库存使用数据!$A:$M,13,0),0)+公式!$B$14*IFERROR(VLOOKUP($A802,[3]库存使用数据!$A:$M,13,0),0)+IFERROR(VLOOKUP($A802,[4]库存使用数据!$A:$M,13,0),0)+IFERROR(VLOOKUP($A802,[5]库存使用数据!$A:$M,13,0),0)</f>
        <v>0</v>
      </c>
    </row>
    <row r="803" spans="1:13">
      <c r="A803" s="6" t="s">
        <v>808</v>
      </c>
      <c r="B803" s="2">
        <f ca="1">IFERROR(VLOOKUP(A803,[1]库存使用数据!$A:$B,2,0),0)+IFERROR(VLOOKUP(A803,[2]库存使用数据!$A:$B,2,0),0)+IFERROR(VLOOKUP(,[3]库存使用数据!$A:$B,2,0),0)+IFERROR(VLOOKUP(A803,[4]库存使用数据!$A:$B,2,0),0)+IFERROR(VLOOKUP(A803,[5]库存使用数据!$A:$B,2,0),0)</f>
        <v>0</v>
      </c>
      <c r="C803" s="1">
        <f ca="1">IFERROR(VLOOKUP($A803,[1]库存使用数据!$A:$C,3,0),0)+IFERROR(VLOOKUP($A803,[2]库存使用数据!$A:$C,3,0),0)+IFERROR(VLOOKUP($A803,[3]库存使用数据!$A:$C,3,0),0)+IFERROR(VLOOKUP($A803,[4]库存使用数据!$A:$C,3,0),0)+IFERROR(VLOOKUP($A803,[5]库存使用数据!$A:$C,3,0),0)</f>
        <v>0</v>
      </c>
      <c r="D803" s="1">
        <f ca="1">IFERROR(VLOOKUP($A803,[1]库存使用数据!$A:$D,4,0),0)+IFERROR(VLOOKUP($A803,[2]库存使用数据!$A:$D,4,0),0)+公式!$B$1*IFERROR(VLOOKUP($A803,[3]库存使用数据!$A:$D,4,0),0)+IFERROR(VLOOKUP($A803,[4]库存使用数据!$A:$D,4,0),0)+IFERROR(VLOOKUP($A803,[5]库存使用数据!$A:$D,4,0),0)</f>
        <v>0</v>
      </c>
      <c r="E803" s="1">
        <f ca="1">IFERROR(VLOOKUP($A803,[1]库存使用数据!$A:$E,5,0),0)+IFERROR(VLOOKUP($A803,[2]库存使用数据!$A:$E,5,0),0)+IFERROR(VLOOKUP($A803,[3]库存使用数据!$A:$E,5,0),0)+IFERROR(VLOOKUP($A803,[4]库存使用数据!$A:$E,5,0),0)+IFERROR(VLOOKUP($A803,[5]库存使用数据!$A:$E,5,0),0)</f>
        <v>2</v>
      </c>
      <c r="F803" s="1">
        <f ca="1">IFERROR(VLOOKUP($A803,[1]库存使用数据!$A:$F,6,0),0)+IFERROR(VLOOKUP($A803,[2]库存使用数据!$A:$F,6,0),0)+IFERROR(VLOOKUP($A803,[4]库存使用数据!$A:$F,6,0),0)+IFERROR(VLOOKUP($A803,[3]库存使用数据!$A:$F,6,0),0)+IFERROR(VLOOKUP($A803,[5]库存使用数据!$A:$F,6,0),0)</f>
        <v>0</v>
      </c>
      <c r="G803" s="1">
        <f ca="1">IFERROR(VLOOKUP($A803,[1]库存使用数据!$A:$G,7,0),0)+IFERROR(VLOOKUP($A803,[2]库存使用数据!$A:$G,7,0),0)+公式!$B$14*IFERROR(VLOOKUP($A803,[3]库存使用数据!$A:$G,7,0),0)+IFERROR(VLOOKUP($A803,[4]库存使用数据!$A:$G,7,0),0)+IFERROR(VLOOKUP($A803,[5]库存使用数据!$A:$G,7,0),0)</f>
        <v>0</v>
      </c>
      <c r="H803" s="1">
        <f ca="1">IFERROR(VLOOKUP($A803,[1]库存使用数据!$A:$H,8,0),0)+IFERROR(VLOOKUP($A803,[2]库存使用数据!$A:$H,8,0),0)+IFERROR(VLOOKUP($A803,[3]库存使用数据!$A:$H,8,0),0)+IFERROR(VLOOKUP($A803,[4]库存使用数据!$A:$H,8,0),0)+IFERROR(VLOOKUP($A803,[5]库存使用数据!$A:$H,8,0),0)</f>
        <v>0</v>
      </c>
      <c r="I803" s="1">
        <f ca="1">IFERROR(VLOOKUP($A803,[1]库存使用数据!$A:$I,9,0),0)+IFERROR(VLOOKUP($A803,[2]库存使用数据!$A:$I,9,0),0)+IFERROR(VLOOKUP($A803,[3]库存使用数据!$A:$I,9,0),0)+IFERROR(VLOOKUP($A803,[4]库存使用数据!$A:$I,9,0),0)+IFERROR(VLOOKUP($A803,[5]库存使用数据!$A:$I,9,0),0)</f>
        <v>0</v>
      </c>
      <c r="J803" s="1">
        <f ca="1">IFERROR(VLOOKUP($A803,[1]库存使用数据!$A:$J,10,0),0)+IFERROR(VLOOKUP($A803,[2]库存使用数据!$A:$J,10,0),0)+公式!$B$14*IFERROR(VLOOKUP($A803,[3]库存使用数据!$A:$J,10,0),0)+IFERROR(VLOOKUP($A803,[4]库存使用数据!$A:$J,10,0),0)+IFERROR(VLOOKUP($A803,[5]库存使用数据!$A:$J,10,0),0)</f>
        <v>0</v>
      </c>
      <c r="K803" s="1">
        <f ca="1">IFERROR(VLOOKUP($A803,[1]库存使用数据!$A:$K,11,0),0)+IFERROR(VLOOKUP($A803,[2]库存使用数据!$A:$K,11,0),0)+IFERROR(VLOOKUP($A803,[3]库存使用数据!$A:$K,11,0),0)+IFERROR(VLOOKUP($A803,[4]库存使用数据!$A:$K,11,0),0)+IFERROR(VLOOKUP($A803,[5]库存使用数据!$A:$K,11,0),0)</f>
        <v>1</v>
      </c>
      <c r="L803" s="1">
        <f ca="1">IFERROR(VLOOKUP($A803,[1]库存使用数据!$A:$L,12,0),0)+IFERROR(VLOOKUP($A803,[2]库存使用数据!$A:$L,12,0),0)+IFERROR(VLOOKUP($A803,[3]库存使用数据!$A:$L,12,0),0)+IFERROR(VLOOKUP($A803,[4]库存使用数据!$A:$L,12,0),0)+IFERROR(VLOOKUP($A803,[5]库存使用数据!$A:$L,12,0),0)</f>
        <v>0</v>
      </c>
      <c r="M803" s="1">
        <f ca="1">IFERROR(VLOOKUP($A803,[1]库存使用数据!$A:$M,13,0),0)+IFERROR(VLOOKUP($A803,[2]库存使用数据!$A:$M,13,0),0)+公式!$B$14*IFERROR(VLOOKUP($A803,[3]库存使用数据!$A:$M,13,0),0)+IFERROR(VLOOKUP($A803,[4]库存使用数据!$A:$M,13,0),0)+IFERROR(VLOOKUP($A803,[5]库存使用数据!$A:$M,13,0),0)</f>
        <v>0</v>
      </c>
    </row>
    <row r="804" spans="1:13">
      <c r="A804" s="6" t="s">
        <v>809</v>
      </c>
      <c r="B804" s="2">
        <f ca="1">IFERROR(VLOOKUP(A804,[1]库存使用数据!$A:$B,2,0),0)+IFERROR(VLOOKUP(A804,[2]库存使用数据!$A:$B,2,0),0)+IFERROR(VLOOKUP(,[3]库存使用数据!$A:$B,2,0),0)+IFERROR(VLOOKUP(A804,[4]库存使用数据!$A:$B,2,0),0)+IFERROR(VLOOKUP(A804,[5]库存使用数据!$A:$B,2,0),0)</f>
        <v>1</v>
      </c>
      <c r="C804" s="1">
        <f ca="1">IFERROR(VLOOKUP($A804,[1]库存使用数据!$A:$C,3,0),0)+IFERROR(VLOOKUP($A804,[2]库存使用数据!$A:$C,3,0),0)+IFERROR(VLOOKUP($A804,[3]库存使用数据!$A:$C,3,0),0)+IFERROR(VLOOKUP($A804,[4]库存使用数据!$A:$C,3,0),0)+IFERROR(VLOOKUP($A804,[5]库存使用数据!$A:$C,3,0),0)</f>
        <v>0</v>
      </c>
      <c r="D804" s="1">
        <f ca="1">IFERROR(VLOOKUP($A804,[1]库存使用数据!$A:$D,4,0),0)+IFERROR(VLOOKUP($A804,[2]库存使用数据!$A:$D,4,0),0)+公式!$B$1*IFERROR(VLOOKUP($A804,[3]库存使用数据!$A:$D,4,0),0)+IFERROR(VLOOKUP($A804,[4]库存使用数据!$A:$D,4,0),0)+IFERROR(VLOOKUP($A804,[5]库存使用数据!$A:$D,4,0),0)</f>
        <v>0</v>
      </c>
      <c r="E804" s="1">
        <f ca="1">IFERROR(VLOOKUP($A804,[1]库存使用数据!$A:$E,5,0),0)+IFERROR(VLOOKUP($A804,[2]库存使用数据!$A:$E,5,0),0)+IFERROR(VLOOKUP($A804,[3]库存使用数据!$A:$E,5,0),0)+IFERROR(VLOOKUP($A804,[4]库存使用数据!$A:$E,5,0),0)+IFERROR(VLOOKUP($A804,[5]库存使用数据!$A:$E,5,0),0)</f>
        <v>4</v>
      </c>
      <c r="F804" s="1">
        <f ca="1">IFERROR(VLOOKUP($A804,[1]库存使用数据!$A:$F,6,0),0)+IFERROR(VLOOKUP($A804,[2]库存使用数据!$A:$F,6,0),0)+IFERROR(VLOOKUP($A804,[4]库存使用数据!$A:$F,6,0),0)+IFERROR(VLOOKUP($A804,[3]库存使用数据!$A:$F,6,0),0)+IFERROR(VLOOKUP($A804,[5]库存使用数据!$A:$F,6,0),0)</f>
        <v>0</v>
      </c>
      <c r="G804" s="1">
        <f ca="1">IFERROR(VLOOKUP($A804,[1]库存使用数据!$A:$G,7,0),0)+IFERROR(VLOOKUP($A804,[2]库存使用数据!$A:$G,7,0),0)+公式!$B$14*IFERROR(VLOOKUP($A804,[3]库存使用数据!$A:$G,7,0),0)+IFERROR(VLOOKUP($A804,[4]库存使用数据!$A:$G,7,0),0)+IFERROR(VLOOKUP($A804,[5]库存使用数据!$A:$G,7,0),0)</f>
        <v>0</v>
      </c>
      <c r="H804" s="1">
        <f ca="1">IFERROR(VLOOKUP($A804,[1]库存使用数据!$A:$H,8,0),0)+IFERROR(VLOOKUP($A804,[2]库存使用数据!$A:$H,8,0),0)+IFERROR(VLOOKUP($A804,[3]库存使用数据!$A:$H,8,0),0)+IFERROR(VLOOKUP($A804,[4]库存使用数据!$A:$H,8,0),0)+IFERROR(VLOOKUP($A804,[5]库存使用数据!$A:$H,8,0),0)</f>
        <v>0</v>
      </c>
      <c r="I804" s="1">
        <f ca="1">IFERROR(VLOOKUP($A804,[1]库存使用数据!$A:$I,9,0),0)+IFERROR(VLOOKUP($A804,[2]库存使用数据!$A:$I,9,0),0)+IFERROR(VLOOKUP($A804,[3]库存使用数据!$A:$I,9,0),0)+IFERROR(VLOOKUP($A804,[4]库存使用数据!$A:$I,9,0),0)+IFERROR(VLOOKUP($A804,[5]库存使用数据!$A:$I,9,0),0)</f>
        <v>0</v>
      </c>
      <c r="J804" s="1">
        <f ca="1">IFERROR(VLOOKUP($A804,[1]库存使用数据!$A:$J,10,0),0)+IFERROR(VLOOKUP($A804,[2]库存使用数据!$A:$J,10,0),0)+公式!$B$14*IFERROR(VLOOKUP($A804,[3]库存使用数据!$A:$J,10,0),0)+IFERROR(VLOOKUP($A804,[4]库存使用数据!$A:$J,10,0),0)+IFERROR(VLOOKUP($A804,[5]库存使用数据!$A:$J,10,0),0)</f>
        <v>0</v>
      </c>
      <c r="K804" s="1">
        <f ca="1">IFERROR(VLOOKUP($A804,[1]库存使用数据!$A:$K,11,0),0)+IFERROR(VLOOKUP($A804,[2]库存使用数据!$A:$K,11,0),0)+IFERROR(VLOOKUP($A804,[3]库存使用数据!$A:$K,11,0),0)+IFERROR(VLOOKUP($A804,[4]库存使用数据!$A:$K,11,0),0)+IFERROR(VLOOKUP($A804,[5]库存使用数据!$A:$K,11,0),0)</f>
        <v>1</v>
      </c>
      <c r="L804" s="1">
        <f ca="1">IFERROR(VLOOKUP($A804,[1]库存使用数据!$A:$L,12,0),0)+IFERROR(VLOOKUP($A804,[2]库存使用数据!$A:$L,12,0),0)+IFERROR(VLOOKUP($A804,[3]库存使用数据!$A:$L,12,0),0)+IFERROR(VLOOKUP($A804,[4]库存使用数据!$A:$L,12,0),0)+IFERROR(VLOOKUP($A804,[5]库存使用数据!$A:$L,12,0),0)</f>
        <v>0</v>
      </c>
      <c r="M804" s="1">
        <f ca="1">IFERROR(VLOOKUP($A804,[1]库存使用数据!$A:$M,13,0),0)+IFERROR(VLOOKUP($A804,[2]库存使用数据!$A:$M,13,0),0)+公式!$B$14*IFERROR(VLOOKUP($A804,[3]库存使用数据!$A:$M,13,0),0)+IFERROR(VLOOKUP($A804,[4]库存使用数据!$A:$M,13,0),0)+IFERROR(VLOOKUP($A804,[5]库存使用数据!$A:$M,13,0),0)</f>
        <v>0</v>
      </c>
    </row>
    <row r="805" spans="1:13">
      <c r="A805" s="6" t="s">
        <v>810</v>
      </c>
      <c r="B805" s="2">
        <f ca="1">IFERROR(VLOOKUP(A805,[1]库存使用数据!$A:$B,2,0),0)+IFERROR(VLOOKUP(A805,[2]库存使用数据!$A:$B,2,0),0)+IFERROR(VLOOKUP(,[3]库存使用数据!$A:$B,2,0),0)+IFERROR(VLOOKUP(A805,[4]库存使用数据!$A:$B,2,0),0)+IFERROR(VLOOKUP(A805,[5]库存使用数据!$A:$B,2,0),0)</f>
        <v>8</v>
      </c>
      <c r="C805" s="1">
        <f ca="1">IFERROR(VLOOKUP($A805,[1]库存使用数据!$A:$C,3,0),0)+IFERROR(VLOOKUP($A805,[2]库存使用数据!$A:$C,3,0),0)+IFERROR(VLOOKUP($A805,[3]库存使用数据!$A:$C,3,0),0)+IFERROR(VLOOKUP($A805,[4]库存使用数据!$A:$C,3,0),0)+IFERROR(VLOOKUP($A805,[5]库存使用数据!$A:$C,3,0),0)</f>
        <v>0</v>
      </c>
      <c r="D805" s="1">
        <f ca="1">IFERROR(VLOOKUP($A805,[1]库存使用数据!$A:$D,4,0),0)+IFERROR(VLOOKUP($A805,[2]库存使用数据!$A:$D,4,0),0)+公式!$B$1*IFERROR(VLOOKUP($A805,[3]库存使用数据!$A:$D,4,0),0)+IFERROR(VLOOKUP($A805,[4]库存使用数据!$A:$D,4,0),0)+IFERROR(VLOOKUP($A805,[5]库存使用数据!$A:$D,4,0),0)</f>
        <v>0</v>
      </c>
      <c r="E805" s="1">
        <f ca="1">IFERROR(VLOOKUP($A805,[1]库存使用数据!$A:$E,5,0),0)+IFERROR(VLOOKUP($A805,[2]库存使用数据!$A:$E,5,0),0)+IFERROR(VLOOKUP($A805,[3]库存使用数据!$A:$E,5,0),0)+IFERROR(VLOOKUP($A805,[4]库存使用数据!$A:$E,5,0),0)+IFERROR(VLOOKUP($A805,[5]库存使用数据!$A:$E,5,0),0)</f>
        <v>15</v>
      </c>
      <c r="F805" s="1">
        <f ca="1">IFERROR(VLOOKUP($A805,[1]库存使用数据!$A:$F,6,0),0)+IFERROR(VLOOKUP($A805,[2]库存使用数据!$A:$F,6,0),0)+IFERROR(VLOOKUP($A805,[4]库存使用数据!$A:$F,6,0),0)+IFERROR(VLOOKUP($A805,[3]库存使用数据!$A:$F,6,0),0)+IFERROR(VLOOKUP($A805,[5]库存使用数据!$A:$F,6,0),0)</f>
        <v>0</v>
      </c>
      <c r="G805" s="1">
        <f ca="1">IFERROR(VLOOKUP($A805,[1]库存使用数据!$A:$G,7,0),0)+IFERROR(VLOOKUP($A805,[2]库存使用数据!$A:$G,7,0),0)+公式!$B$14*IFERROR(VLOOKUP($A805,[3]库存使用数据!$A:$G,7,0),0)+IFERROR(VLOOKUP($A805,[4]库存使用数据!$A:$G,7,0),0)+IFERROR(VLOOKUP($A805,[5]库存使用数据!$A:$G,7,0),0)</f>
        <v>0</v>
      </c>
      <c r="H805" s="1">
        <f ca="1">IFERROR(VLOOKUP($A805,[1]库存使用数据!$A:$H,8,0),0)+IFERROR(VLOOKUP($A805,[2]库存使用数据!$A:$H,8,0),0)+IFERROR(VLOOKUP($A805,[3]库存使用数据!$A:$H,8,0),0)+IFERROR(VLOOKUP($A805,[4]库存使用数据!$A:$H,8,0),0)+IFERROR(VLOOKUP($A805,[5]库存使用数据!$A:$H,8,0),0)</f>
        <v>12</v>
      </c>
      <c r="I805" s="1">
        <f ca="1">IFERROR(VLOOKUP($A805,[1]库存使用数据!$A:$I,9,0),0)+IFERROR(VLOOKUP($A805,[2]库存使用数据!$A:$I,9,0),0)+IFERROR(VLOOKUP($A805,[3]库存使用数据!$A:$I,9,0),0)+IFERROR(VLOOKUP($A805,[4]库存使用数据!$A:$I,9,0),0)+IFERROR(VLOOKUP($A805,[5]库存使用数据!$A:$I,9,0),0)</f>
        <v>0</v>
      </c>
      <c r="J805" s="1">
        <f ca="1">IFERROR(VLOOKUP($A805,[1]库存使用数据!$A:$J,10,0),0)+IFERROR(VLOOKUP($A805,[2]库存使用数据!$A:$J,10,0),0)+公式!$B$14*IFERROR(VLOOKUP($A805,[3]库存使用数据!$A:$J,10,0),0)+IFERROR(VLOOKUP($A805,[4]库存使用数据!$A:$J,10,0),0)+IFERROR(VLOOKUP($A805,[5]库存使用数据!$A:$J,10,0),0)</f>
        <v>0</v>
      </c>
      <c r="K805" s="1">
        <f ca="1">IFERROR(VLOOKUP($A805,[1]库存使用数据!$A:$K,11,0),0)+IFERROR(VLOOKUP($A805,[2]库存使用数据!$A:$K,11,0),0)+IFERROR(VLOOKUP($A805,[3]库存使用数据!$A:$K,11,0),0)+IFERROR(VLOOKUP($A805,[4]库存使用数据!$A:$K,11,0),0)+IFERROR(VLOOKUP($A805,[5]库存使用数据!$A:$K,11,0),0)</f>
        <v>7</v>
      </c>
      <c r="L805" s="1">
        <f ca="1">IFERROR(VLOOKUP($A805,[1]库存使用数据!$A:$L,12,0),0)+IFERROR(VLOOKUP($A805,[2]库存使用数据!$A:$L,12,0),0)+IFERROR(VLOOKUP($A805,[3]库存使用数据!$A:$L,12,0),0)+IFERROR(VLOOKUP($A805,[4]库存使用数据!$A:$L,12,0),0)+IFERROR(VLOOKUP($A805,[5]库存使用数据!$A:$L,12,0),0)</f>
        <v>0</v>
      </c>
      <c r="M805" s="1">
        <f ca="1">IFERROR(VLOOKUP($A805,[1]库存使用数据!$A:$M,13,0),0)+IFERROR(VLOOKUP($A805,[2]库存使用数据!$A:$M,13,0),0)+公式!$B$14*IFERROR(VLOOKUP($A805,[3]库存使用数据!$A:$M,13,0),0)+IFERROR(VLOOKUP($A805,[4]库存使用数据!$A:$M,13,0),0)+IFERROR(VLOOKUP($A805,[5]库存使用数据!$A:$M,13,0),0)</f>
        <v>0</v>
      </c>
    </row>
    <row r="806" spans="1:13">
      <c r="A806" s="6" t="s">
        <v>811</v>
      </c>
      <c r="B806" s="2">
        <f ca="1">IFERROR(VLOOKUP(A806,[1]库存使用数据!$A:$B,2,0),0)+IFERROR(VLOOKUP(A806,[2]库存使用数据!$A:$B,2,0),0)+IFERROR(VLOOKUP(,[3]库存使用数据!$A:$B,2,0),0)+IFERROR(VLOOKUP(A806,[4]库存使用数据!$A:$B,2,0),0)+IFERROR(VLOOKUP(A806,[5]库存使用数据!$A:$B,2,0),0)</f>
        <v>0</v>
      </c>
      <c r="C806" s="1">
        <f ca="1">IFERROR(VLOOKUP($A806,[1]库存使用数据!$A:$C,3,0),0)+IFERROR(VLOOKUP($A806,[2]库存使用数据!$A:$C,3,0),0)+IFERROR(VLOOKUP($A806,[3]库存使用数据!$A:$C,3,0),0)+IFERROR(VLOOKUP($A806,[4]库存使用数据!$A:$C,3,0),0)+IFERROR(VLOOKUP($A806,[5]库存使用数据!$A:$C,3,0),0)</f>
        <v>0</v>
      </c>
      <c r="D806" s="1">
        <f ca="1">IFERROR(VLOOKUP($A806,[1]库存使用数据!$A:$D,4,0),0)+IFERROR(VLOOKUP($A806,[2]库存使用数据!$A:$D,4,0),0)+公式!$B$1*IFERROR(VLOOKUP($A806,[3]库存使用数据!$A:$D,4,0),0)+IFERROR(VLOOKUP($A806,[4]库存使用数据!$A:$D,4,0),0)+IFERROR(VLOOKUP($A806,[5]库存使用数据!$A:$D,4,0),0)</f>
        <v>0</v>
      </c>
      <c r="E806" s="1">
        <f ca="1">IFERROR(VLOOKUP($A806,[1]库存使用数据!$A:$E,5,0),0)+IFERROR(VLOOKUP($A806,[2]库存使用数据!$A:$E,5,0),0)+IFERROR(VLOOKUP($A806,[3]库存使用数据!$A:$E,5,0),0)+IFERROR(VLOOKUP($A806,[4]库存使用数据!$A:$E,5,0),0)+IFERROR(VLOOKUP($A806,[5]库存使用数据!$A:$E,5,0),0)</f>
        <v>6</v>
      </c>
      <c r="F806" s="1">
        <f ca="1">IFERROR(VLOOKUP($A806,[1]库存使用数据!$A:$F,6,0),0)+IFERROR(VLOOKUP($A806,[2]库存使用数据!$A:$F,6,0),0)+IFERROR(VLOOKUP($A806,[4]库存使用数据!$A:$F,6,0),0)+IFERROR(VLOOKUP($A806,[3]库存使用数据!$A:$F,6,0),0)+IFERROR(VLOOKUP($A806,[5]库存使用数据!$A:$F,6,0),0)</f>
        <v>0</v>
      </c>
      <c r="G806" s="1">
        <f ca="1">IFERROR(VLOOKUP($A806,[1]库存使用数据!$A:$G,7,0),0)+IFERROR(VLOOKUP($A806,[2]库存使用数据!$A:$G,7,0),0)+公式!$B$14*IFERROR(VLOOKUP($A806,[3]库存使用数据!$A:$G,7,0),0)+IFERROR(VLOOKUP($A806,[4]库存使用数据!$A:$G,7,0),0)+IFERROR(VLOOKUP($A806,[5]库存使用数据!$A:$G,7,0),0)</f>
        <v>0</v>
      </c>
      <c r="H806" s="1">
        <f ca="1">IFERROR(VLOOKUP($A806,[1]库存使用数据!$A:$H,8,0),0)+IFERROR(VLOOKUP($A806,[2]库存使用数据!$A:$H,8,0),0)+IFERROR(VLOOKUP($A806,[3]库存使用数据!$A:$H,8,0),0)+IFERROR(VLOOKUP($A806,[4]库存使用数据!$A:$H,8,0),0)+IFERROR(VLOOKUP($A806,[5]库存使用数据!$A:$H,8,0),0)</f>
        <v>6</v>
      </c>
      <c r="I806" s="1">
        <f ca="1">IFERROR(VLOOKUP($A806,[1]库存使用数据!$A:$I,9,0),0)+IFERROR(VLOOKUP($A806,[2]库存使用数据!$A:$I,9,0),0)+IFERROR(VLOOKUP($A806,[3]库存使用数据!$A:$I,9,0),0)+IFERROR(VLOOKUP($A806,[4]库存使用数据!$A:$I,9,0),0)+IFERROR(VLOOKUP($A806,[5]库存使用数据!$A:$I,9,0),0)</f>
        <v>0</v>
      </c>
      <c r="J806" s="1">
        <f ca="1">IFERROR(VLOOKUP($A806,[1]库存使用数据!$A:$J,10,0),0)+IFERROR(VLOOKUP($A806,[2]库存使用数据!$A:$J,10,0),0)+公式!$B$14*IFERROR(VLOOKUP($A806,[3]库存使用数据!$A:$J,10,0),0)+IFERROR(VLOOKUP($A806,[4]库存使用数据!$A:$J,10,0),0)+IFERROR(VLOOKUP($A806,[5]库存使用数据!$A:$J,10,0),0)</f>
        <v>0</v>
      </c>
      <c r="K806" s="1">
        <f ca="1">IFERROR(VLOOKUP($A806,[1]库存使用数据!$A:$K,11,0),0)+IFERROR(VLOOKUP($A806,[2]库存使用数据!$A:$K,11,0),0)+IFERROR(VLOOKUP($A806,[3]库存使用数据!$A:$K,11,0),0)+IFERROR(VLOOKUP($A806,[4]库存使用数据!$A:$K,11,0),0)+IFERROR(VLOOKUP($A806,[5]库存使用数据!$A:$K,11,0),0)</f>
        <v>8</v>
      </c>
      <c r="L806" s="1">
        <f ca="1">IFERROR(VLOOKUP($A806,[1]库存使用数据!$A:$L,12,0),0)+IFERROR(VLOOKUP($A806,[2]库存使用数据!$A:$L,12,0),0)+IFERROR(VLOOKUP($A806,[3]库存使用数据!$A:$L,12,0),0)+IFERROR(VLOOKUP($A806,[4]库存使用数据!$A:$L,12,0),0)+IFERROR(VLOOKUP($A806,[5]库存使用数据!$A:$L,12,0),0)</f>
        <v>1</v>
      </c>
      <c r="M806" s="1">
        <f ca="1">IFERROR(VLOOKUP($A806,[1]库存使用数据!$A:$M,13,0),0)+IFERROR(VLOOKUP($A806,[2]库存使用数据!$A:$M,13,0),0)+公式!$B$14*IFERROR(VLOOKUP($A806,[3]库存使用数据!$A:$M,13,0),0)+IFERROR(VLOOKUP($A806,[4]库存使用数据!$A:$M,13,0),0)+IFERROR(VLOOKUP($A806,[5]库存使用数据!$A:$M,13,0),0)</f>
        <v>0.29</v>
      </c>
    </row>
    <row r="807" spans="1:13">
      <c r="A807" s="6" t="s">
        <v>812</v>
      </c>
      <c r="B807" s="2">
        <f ca="1">IFERROR(VLOOKUP(A807,[1]库存使用数据!$A:$B,2,0),0)+IFERROR(VLOOKUP(A807,[2]库存使用数据!$A:$B,2,0),0)+IFERROR(VLOOKUP(,[3]库存使用数据!$A:$B,2,0),0)+IFERROR(VLOOKUP(A807,[4]库存使用数据!$A:$B,2,0),0)+IFERROR(VLOOKUP(A807,[5]库存使用数据!$A:$B,2,0),0)</f>
        <v>5</v>
      </c>
      <c r="C807" s="1">
        <f ca="1">IFERROR(VLOOKUP($A807,[1]库存使用数据!$A:$C,3,0),0)+IFERROR(VLOOKUP($A807,[2]库存使用数据!$A:$C,3,0),0)+IFERROR(VLOOKUP($A807,[3]库存使用数据!$A:$C,3,0),0)+IFERROR(VLOOKUP($A807,[4]库存使用数据!$A:$C,3,0),0)+IFERROR(VLOOKUP($A807,[5]库存使用数据!$A:$C,3,0),0)</f>
        <v>0</v>
      </c>
      <c r="D807" s="1">
        <f ca="1">IFERROR(VLOOKUP($A807,[1]库存使用数据!$A:$D,4,0),0)+IFERROR(VLOOKUP($A807,[2]库存使用数据!$A:$D,4,0),0)+公式!$B$1*IFERROR(VLOOKUP($A807,[3]库存使用数据!$A:$D,4,0),0)+IFERROR(VLOOKUP($A807,[4]库存使用数据!$A:$D,4,0),0)+IFERROR(VLOOKUP($A807,[5]库存使用数据!$A:$D,4,0),0)</f>
        <v>0</v>
      </c>
      <c r="E807" s="1">
        <f ca="1">IFERROR(VLOOKUP($A807,[1]库存使用数据!$A:$E,5,0),0)+IFERROR(VLOOKUP($A807,[2]库存使用数据!$A:$E,5,0),0)+IFERROR(VLOOKUP($A807,[3]库存使用数据!$A:$E,5,0),0)+IFERROR(VLOOKUP($A807,[4]库存使用数据!$A:$E,5,0),0)+IFERROR(VLOOKUP($A807,[5]库存使用数据!$A:$E,5,0),0)</f>
        <v>8</v>
      </c>
      <c r="F807" s="1">
        <f ca="1">IFERROR(VLOOKUP($A807,[1]库存使用数据!$A:$F,6,0),0)+IFERROR(VLOOKUP($A807,[2]库存使用数据!$A:$F,6,0),0)+IFERROR(VLOOKUP($A807,[4]库存使用数据!$A:$F,6,0),0)+IFERROR(VLOOKUP($A807,[3]库存使用数据!$A:$F,6,0),0)+IFERROR(VLOOKUP($A807,[5]库存使用数据!$A:$F,6,0),0)</f>
        <v>1</v>
      </c>
      <c r="G807" s="1">
        <f ca="1">IFERROR(VLOOKUP($A807,[1]库存使用数据!$A:$G,7,0),0)+IFERROR(VLOOKUP($A807,[2]库存使用数据!$A:$G,7,0),0)+公式!$B$14*IFERROR(VLOOKUP($A807,[3]库存使用数据!$A:$G,7,0),0)+IFERROR(VLOOKUP($A807,[4]库存使用数据!$A:$G,7,0),0)+IFERROR(VLOOKUP($A807,[5]库存使用数据!$A:$G,7,0),0)</f>
        <v>0.23</v>
      </c>
      <c r="H807" s="1">
        <f ca="1">IFERROR(VLOOKUP($A807,[1]库存使用数据!$A:$H,8,0),0)+IFERROR(VLOOKUP($A807,[2]库存使用数据!$A:$H,8,0),0)+IFERROR(VLOOKUP($A807,[3]库存使用数据!$A:$H,8,0),0)+IFERROR(VLOOKUP($A807,[4]库存使用数据!$A:$H,8,0),0)+IFERROR(VLOOKUP($A807,[5]库存使用数据!$A:$H,8,0),0)</f>
        <v>3</v>
      </c>
      <c r="I807" s="1">
        <f ca="1">IFERROR(VLOOKUP($A807,[1]库存使用数据!$A:$I,9,0),0)+IFERROR(VLOOKUP($A807,[2]库存使用数据!$A:$I,9,0),0)+IFERROR(VLOOKUP($A807,[3]库存使用数据!$A:$I,9,0),0)+IFERROR(VLOOKUP($A807,[4]库存使用数据!$A:$I,9,0),0)+IFERROR(VLOOKUP($A807,[5]库存使用数据!$A:$I,9,0),0)</f>
        <v>1</v>
      </c>
      <c r="J807" s="1">
        <f ca="1">IFERROR(VLOOKUP($A807,[1]库存使用数据!$A:$J,10,0),0)+IFERROR(VLOOKUP($A807,[2]库存使用数据!$A:$J,10,0),0)+公式!$B$14*IFERROR(VLOOKUP($A807,[3]库存使用数据!$A:$J,10,0),0)+IFERROR(VLOOKUP($A807,[4]库存使用数据!$A:$J,10,0),0)+IFERROR(VLOOKUP($A807,[5]库存使用数据!$A:$J,10,0),0)</f>
        <v>0.23</v>
      </c>
      <c r="K807" s="1">
        <f ca="1">IFERROR(VLOOKUP($A807,[1]库存使用数据!$A:$K,11,0),0)+IFERROR(VLOOKUP($A807,[2]库存使用数据!$A:$K,11,0),0)+IFERROR(VLOOKUP($A807,[3]库存使用数据!$A:$K,11,0),0)+IFERROR(VLOOKUP($A807,[4]库存使用数据!$A:$K,11,0),0)+IFERROR(VLOOKUP($A807,[5]库存使用数据!$A:$K,11,0),0)</f>
        <v>1</v>
      </c>
      <c r="L807" s="1">
        <f ca="1">IFERROR(VLOOKUP($A807,[1]库存使用数据!$A:$L,12,0),0)+IFERROR(VLOOKUP($A807,[2]库存使用数据!$A:$L,12,0),0)+IFERROR(VLOOKUP($A807,[3]库存使用数据!$A:$L,12,0),0)+IFERROR(VLOOKUP($A807,[4]库存使用数据!$A:$L,12,0),0)+IFERROR(VLOOKUP($A807,[5]库存使用数据!$A:$L,12,0),0)</f>
        <v>0</v>
      </c>
      <c r="M807" s="1">
        <f ca="1">IFERROR(VLOOKUP($A807,[1]库存使用数据!$A:$M,13,0),0)+IFERROR(VLOOKUP($A807,[2]库存使用数据!$A:$M,13,0),0)+公式!$B$14*IFERROR(VLOOKUP($A807,[3]库存使用数据!$A:$M,13,0),0)+IFERROR(VLOOKUP($A807,[4]库存使用数据!$A:$M,13,0),0)+IFERROR(VLOOKUP($A807,[5]库存使用数据!$A:$M,13,0),0)</f>
        <v>0</v>
      </c>
    </row>
    <row r="808" spans="1:13">
      <c r="A808" s="6" t="s">
        <v>813</v>
      </c>
      <c r="B808" s="2">
        <f ca="1">IFERROR(VLOOKUP(A808,[1]库存使用数据!$A:$B,2,0),0)+IFERROR(VLOOKUP(A808,[2]库存使用数据!$A:$B,2,0),0)+IFERROR(VLOOKUP(,[3]库存使用数据!$A:$B,2,0),0)+IFERROR(VLOOKUP(A808,[4]库存使用数据!$A:$B,2,0),0)+IFERROR(VLOOKUP(A808,[5]库存使用数据!$A:$B,2,0),0)</f>
        <v>115</v>
      </c>
      <c r="C808" s="1">
        <f ca="1">IFERROR(VLOOKUP($A808,[1]库存使用数据!$A:$C,3,0),0)+IFERROR(VLOOKUP($A808,[2]库存使用数据!$A:$C,3,0),0)+IFERROR(VLOOKUP($A808,[3]库存使用数据!$A:$C,3,0),0)+IFERROR(VLOOKUP($A808,[4]库存使用数据!$A:$C,3,0),0)+IFERROR(VLOOKUP($A808,[5]库存使用数据!$A:$C,3,0),0)</f>
        <v>0</v>
      </c>
      <c r="D808" s="1">
        <f ca="1">IFERROR(VLOOKUP($A808,[1]库存使用数据!$A:$D,4,0),0)+IFERROR(VLOOKUP($A808,[2]库存使用数据!$A:$D,4,0),0)+公式!$B$1*IFERROR(VLOOKUP($A808,[3]库存使用数据!$A:$D,4,0),0)+IFERROR(VLOOKUP($A808,[4]库存使用数据!$A:$D,4,0),0)+IFERROR(VLOOKUP($A808,[5]库存使用数据!$A:$D,4,0),0)</f>
        <v>0</v>
      </c>
      <c r="E808" s="1">
        <f ca="1">IFERROR(VLOOKUP($A808,[1]库存使用数据!$A:$E,5,0),0)+IFERROR(VLOOKUP($A808,[2]库存使用数据!$A:$E,5,0),0)+IFERROR(VLOOKUP($A808,[3]库存使用数据!$A:$E,5,0),0)+IFERROR(VLOOKUP($A808,[4]库存使用数据!$A:$E,5,0),0)+IFERROR(VLOOKUP($A808,[5]库存使用数据!$A:$E,5,0),0)</f>
        <v>29</v>
      </c>
      <c r="F808" s="1">
        <f ca="1">IFERROR(VLOOKUP($A808,[1]库存使用数据!$A:$F,6,0),0)+IFERROR(VLOOKUP($A808,[2]库存使用数据!$A:$F,6,0),0)+IFERROR(VLOOKUP($A808,[4]库存使用数据!$A:$F,6,0),0)+IFERROR(VLOOKUP($A808,[3]库存使用数据!$A:$F,6,0),0)+IFERROR(VLOOKUP($A808,[5]库存使用数据!$A:$F,6,0),0)</f>
        <v>0</v>
      </c>
      <c r="G808" s="1">
        <f ca="1">IFERROR(VLOOKUP($A808,[1]库存使用数据!$A:$G,7,0),0)+IFERROR(VLOOKUP($A808,[2]库存使用数据!$A:$G,7,0),0)+公式!$B$14*IFERROR(VLOOKUP($A808,[3]库存使用数据!$A:$G,7,0),0)+IFERROR(VLOOKUP($A808,[4]库存使用数据!$A:$G,7,0),0)+IFERROR(VLOOKUP($A808,[5]库存使用数据!$A:$G,7,0),0)</f>
        <v>0</v>
      </c>
      <c r="H808" s="1">
        <f ca="1">IFERROR(VLOOKUP($A808,[1]库存使用数据!$A:$H,8,0),0)+IFERROR(VLOOKUP($A808,[2]库存使用数据!$A:$H,8,0),0)+IFERROR(VLOOKUP($A808,[3]库存使用数据!$A:$H,8,0),0)+IFERROR(VLOOKUP($A808,[4]库存使用数据!$A:$H,8,0),0)+IFERROR(VLOOKUP($A808,[5]库存使用数据!$A:$H,8,0),0)</f>
        <v>5</v>
      </c>
      <c r="I808" s="1">
        <f ca="1">IFERROR(VLOOKUP($A808,[1]库存使用数据!$A:$I,9,0),0)+IFERROR(VLOOKUP($A808,[2]库存使用数据!$A:$I,9,0),0)+IFERROR(VLOOKUP($A808,[3]库存使用数据!$A:$I,9,0),0)+IFERROR(VLOOKUP($A808,[4]库存使用数据!$A:$I,9,0),0)+IFERROR(VLOOKUP($A808,[5]库存使用数据!$A:$I,9,0),0)</f>
        <v>0</v>
      </c>
      <c r="J808" s="1">
        <f ca="1">IFERROR(VLOOKUP($A808,[1]库存使用数据!$A:$J,10,0),0)+IFERROR(VLOOKUP($A808,[2]库存使用数据!$A:$J,10,0),0)+公式!$B$14*IFERROR(VLOOKUP($A808,[3]库存使用数据!$A:$J,10,0),0)+IFERROR(VLOOKUP($A808,[4]库存使用数据!$A:$J,10,0),0)+IFERROR(VLOOKUP($A808,[5]库存使用数据!$A:$J,10,0),0)</f>
        <v>0</v>
      </c>
      <c r="K808" s="1">
        <f ca="1">IFERROR(VLOOKUP($A808,[1]库存使用数据!$A:$K,11,0),0)+IFERROR(VLOOKUP($A808,[2]库存使用数据!$A:$K,11,0),0)+IFERROR(VLOOKUP($A808,[3]库存使用数据!$A:$K,11,0),0)+IFERROR(VLOOKUP($A808,[4]库存使用数据!$A:$K,11,0),0)+IFERROR(VLOOKUP($A808,[5]库存使用数据!$A:$K,11,0),0)</f>
        <v>23</v>
      </c>
      <c r="L808" s="1">
        <f ca="1">IFERROR(VLOOKUP($A808,[1]库存使用数据!$A:$L,12,0),0)+IFERROR(VLOOKUP($A808,[2]库存使用数据!$A:$L,12,0),0)+IFERROR(VLOOKUP($A808,[3]库存使用数据!$A:$L,12,0),0)+IFERROR(VLOOKUP($A808,[4]库存使用数据!$A:$L,12,0),0)+IFERROR(VLOOKUP($A808,[5]库存使用数据!$A:$L,12,0),0)</f>
        <v>0</v>
      </c>
      <c r="M808" s="1">
        <f ca="1">IFERROR(VLOOKUP($A808,[1]库存使用数据!$A:$M,13,0),0)+IFERROR(VLOOKUP($A808,[2]库存使用数据!$A:$M,13,0),0)+公式!$B$14*IFERROR(VLOOKUP($A808,[3]库存使用数据!$A:$M,13,0),0)+IFERROR(VLOOKUP($A808,[4]库存使用数据!$A:$M,13,0),0)+IFERROR(VLOOKUP($A808,[5]库存使用数据!$A:$M,13,0),0)</f>
        <v>0</v>
      </c>
    </row>
    <row r="809" spans="1:13">
      <c r="A809" s="6" t="s">
        <v>814</v>
      </c>
      <c r="B809" s="2">
        <f ca="1">IFERROR(VLOOKUP(A809,[1]库存使用数据!$A:$B,2,0),0)+IFERROR(VLOOKUP(A809,[2]库存使用数据!$A:$B,2,0),0)+IFERROR(VLOOKUP(,[3]库存使用数据!$A:$B,2,0),0)+IFERROR(VLOOKUP(A809,[4]库存使用数据!$A:$B,2,0),0)+IFERROR(VLOOKUP(A809,[5]库存使用数据!$A:$B,2,0),0)</f>
        <v>4</v>
      </c>
      <c r="C809" s="1">
        <f ca="1">IFERROR(VLOOKUP($A809,[1]库存使用数据!$A:$C,3,0),0)+IFERROR(VLOOKUP($A809,[2]库存使用数据!$A:$C,3,0),0)+IFERROR(VLOOKUP($A809,[3]库存使用数据!$A:$C,3,0),0)+IFERROR(VLOOKUP($A809,[4]库存使用数据!$A:$C,3,0),0)+IFERROR(VLOOKUP($A809,[5]库存使用数据!$A:$C,3,0),0)</f>
        <v>0</v>
      </c>
      <c r="D809" s="1">
        <f ca="1">IFERROR(VLOOKUP($A809,[1]库存使用数据!$A:$D,4,0),0)+IFERROR(VLOOKUP($A809,[2]库存使用数据!$A:$D,4,0),0)+公式!$B$1*IFERROR(VLOOKUP($A809,[3]库存使用数据!$A:$D,4,0),0)+IFERROR(VLOOKUP($A809,[4]库存使用数据!$A:$D,4,0),0)+IFERROR(VLOOKUP($A809,[5]库存使用数据!$A:$D,4,0),0)</f>
        <v>0</v>
      </c>
      <c r="E809" s="1">
        <f ca="1">IFERROR(VLOOKUP($A809,[1]库存使用数据!$A:$E,5,0),0)+IFERROR(VLOOKUP($A809,[2]库存使用数据!$A:$E,5,0),0)+IFERROR(VLOOKUP($A809,[3]库存使用数据!$A:$E,5,0),0)+IFERROR(VLOOKUP($A809,[4]库存使用数据!$A:$E,5,0),0)+IFERROR(VLOOKUP($A809,[5]库存使用数据!$A:$E,5,0),0)</f>
        <v>8</v>
      </c>
      <c r="F809" s="1">
        <f ca="1">IFERROR(VLOOKUP($A809,[1]库存使用数据!$A:$F,6,0),0)+IFERROR(VLOOKUP($A809,[2]库存使用数据!$A:$F,6,0),0)+IFERROR(VLOOKUP($A809,[4]库存使用数据!$A:$F,6,0),0)+IFERROR(VLOOKUP($A809,[3]库存使用数据!$A:$F,6,0),0)+IFERROR(VLOOKUP($A809,[5]库存使用数据!$A:$F,6,0),0)</f>
        <v>0</v>
      </c>
      <c r="G809" s="1">
        <f ca="1">IFERROR(VLOOKUP($A809,[1]库存使用数据!$A:$G,7,0),0)+IFERROR(VLOOKUP($A809,[2]库存使用数据!$A:$G,7,0),0)+公式!$B$14*IFERROR(VLOOKUP($A809,[3]库存使用数据!$A:$G,7,0),0)+IFERROR(VLOOKUP($A809,[4]库存使用数据!$A:$G,7,0),0)+IFERROR(VLOOKUP($A809,[5]库存使用数据!$A:$G,7,0),0)</f>
        <v>0</v>
      </c>
      <c r="H809" s="1">
        <f ca="1">IFERROR(VLOOKUP($A809,[1]库存使用数据!$A:$H,8,0),0)+IFERROR(VLOOKUP($A809,[2]库存使用数据!$A:$H,8,0),0)+IFERROR(VLOOKUP($A809,[3]库存使用数据!$A:$H,8,0),0)+IFERROR(VLOOKUP($A809,[4]库存使用数据!$A:$H,8,0),0)+IFERROR(VLOOKUP($A809,[5]库存使用数据!$A:$H,8,0),0)</f>
        <v>3</v>
      </c>
      <c r="I809" s="1">
        <f ca="1">IFERROR(VLOOKUP($A809,[1]库存使用数据!$A:$I,9,0),0)+IFERROR(VLOOKUP($A809,[2]库存使用数据!$A:$I,9,0),0)+IFERROR(VLOOKUP($A809,[3]库存使用数据!$A:$I,9,0),0)+IFERROR(VLOOKUP($A809,[4]库存使用数据!$A:$I,9,0),0)+IFERROR(VLOOKUP($A809,[5]库存使用数据!$A:$I,9,0),0)</f>
        <v>0</v>
      </c>
      <c r="J809" s="1">
        <f ca="1">IFERROR(VLOOKUP($A809,[1]库存使用数据!$A:$J,10,0),0)+IFERROR(VLOOKUP($A809,[2]库存使用数据!$A:$J,10,0),0)+公式!$B$14*IFERROR(VLOOKUP($A809,[3]库存使用数据!$A:$J,10,0),0)+IFERROR(VLOOKUP($A809,[4]库存使用数据!$A:$J,10,0),0)+IFERROR(VLOOKUP($A809,[5]库存使用数据!$A:$J,10,0),0)</f>
        <v>0</v>
      </c>
      <c r="K809" s="1">
        <f ca="1">IFERROR(VLOOKUP($A809,[1]库存使用数据!$A:$K,11,0),0)+IFERROR(VLOOKUP($A809,[2]库存使用数据!$A:$K,11,0),0)+IFERROR(VLOOKUP($A809,[3]库存使用数据!$A:$K,11,0),0)+IFERROR(VLOOKUP($A809,[4]库存使用数据!$A:$K,11,0),0)+IFERROR(VLOOKUP($A809,[5]库存使用数据!$A:$K,11,0),0)</f>
        <v>6</v>
      </c>
      <c r="L809" s="1">
        <f ca="1">IFERROR(VLOOKUP($A809,[1]库存使用数据!$A:$L,12,0),0)+IFERROR(VLOOKUP($A809,[2]库存使用数据!$A:$L,12,0),0)+IFERROR(VLOOKUP($A809,[3]库存使用数据!$A:$L,12,0),0)+IFERROR(VLOOKUP($A809,[4]库存使用数据!$A:$L,12,0),0)+IFERROR(VLOOKUP($A809,[5]库存使用数据!$A:$L,12,0),0)</f>
        <v>0</v>
      </c>
      <c r="M809" s="1">
        <f ca="1">IFERROR(VLOOKUP($A809,[1]库存使用数据!$A:$M,13,0),0)+IFERROR(VLOOKUP($A809,[2]库存使用数据!$A:$M,13,0),0)+公式!$B$14*IFERROR(VLOOKUP($A809,[3]库存使用数据!$A:$M,13,0),0)+IFERROR(VLOOKUP($A809,[4]库存使用数据!$A:$M,13,0),0)+IFERROR(VLOOKUP($A809,[5]库存使用数据!$A:$M,13,0),0)</f>
        <v>0</v>
      </c>
    </row>
    <row r="810" spans="1:13">
      <c r="A810" s="6" t="s">
        <v>815</v>
      </c>
      <c r="B810" s="2">
        <f ca="1">IFERROR(VLOOKUP(A810,[1]库存使用数据!$A:$B,2,0),0)+IFERROR(VLOOKUP(A810,[2]库存使用数据!$A:$B,2,0),0)+IFERROR(VLOOKUP(,[3]库存使用数据!$A:$B,2,0),0)+IFERROR(VLOOKUP(A810,[4]库存使用数据!$A:$B,2,0),0)+IFERROR(VLOOKUP(A810,[5]库存使用数据!$A:$B,2,0),0)</f>
        <v>18</v>
      </c>
      <c r="C810" s="1">
        <f ca="1">IFERROR(VLOOKUP($A810,[1]库存使用数据!$A:$C,3,0),0)+IFERROR(VLOOKUP($A810,[2]库存使用数据!$A:$C,3,0),0)+IFERROR(VLOOKUP($A810,[3]库存使用数据!$A:$C,3,0),0)+IFERROR(VLOOKUP($A810,[4]库存使用数据!$A:$C,3,0),0)+IFERROR(VLOOKUP($A810,[5]库存使用数据!$A:$C,3,0),0)</f>
        <v>0</v>
      </c>
      <c r="D810" s="1">
        <f ca="1">IFERROR(VLOOKUP($A810,[1]库存使用数据!$A:$D,4,0),0)+IFERROR(VLOOKUP($A810,[2]库存使用数据!$A:$D,4,0),0)+公式!$B$1*IFERROR(VLOOKUP($A810,[3]库存使用数据!$A:$D,4,0),0)+IFERROR(VLOOKUP($A810,[4]库存使用数据!$A:$D,4,0),0)+IFERROR(VLOOKUP($A810,[5]库存使用数据!$A:$D,4,0),0)</f>
        <v>0</v>
      </c>
      <c r="E810" s="1">
        <f ca="1">IFERROR(VLOOKUP($A810,[1]库存使用数据!$A:$E,5,0),0)+IFERROR(VLOOKUP($A810,[2]库存使用数据!$A:$E,5,0),0)+IFERROR(VLOOKUP($A810,[3]库存使用数据!$A:$E,5,0),0)+IFERROR(VLOOKUP($A810,[4]库存使用数据!$A:$E,5,0),0)+IFERROR(VLOOKUP($A810,[5]库存使用数据!$A:$E,5,0),0)</f>
        <v>10</v>
      </c>
      <c r="F810" s="1">
        <f ca="1">IFERROR(VLOOKUP($A810,[1]库存使用数据!$A:$F,6,0),0)+IFERROR(VLOOKUP($A810,[2]库存使用数据!$A:$F,6,0),0)+IFERROR(VLOOKUP($A810,[4]库存使用数据!$A:$F,6,0),0)+IFERROR(VLOOKUP($A810,[3]库存使用数据!$A:$F,6,0),0)+IFERROR(VLOOKUP($A810,[5]库存使用数据!$A:$F,6,0),0)</f>
        <v>0</v>
      </c>
      <c r="G810" s="1">
        <f ca="1">IFERROR(VLOOKUP($A810,[1]库存使用数据!$A:$G,7,0),0)+IFERROR(VLOOKUP($A810,[2]库存使用数据!$A:$G,7,0),0)+公式!$B$14*IFERROR(VLOOKUP($A810,[3]库存使用数据!$A:$G,7,0),0)+IFERROR(VLOOKUP($A810,[4]库存使用数据!$A:$G,7,0),0)+IFERROR(VLOOKUP($A810,[5]库存使用数据!$A:$G,7,0),0)</f>
        <v>0</v>
      </c>
      <c r="H810" s="1">
        <f ca="1">IFERROR(VLOOKUP($A810,[1]库存使用数据!$A:$H,8,0),0)+IFERROR(VLOOKUP($A810,[2]库存使用数据!$A:$H,8,0),0)+IFERROR(VLOOKUP($A810,[3]库存使用数据!$A:$H,8,0),0)+IFERROR(VLOOKUP($A810,[4]库存使用数据!$A:$H,8,0),0)+IFERROR(VLOOKUP($A810,[5]库存使用数据!$A:$H,8,0),0)</f>
        <v>1</v>
      </c>
      <c r="I810" s="1">
        <f ca="1">IFERROR(VLOOKUP($A810,[1]库存使用数据!$A:$I,9,0),0)+IFERROR(VLOOKUP($A810,[2]库存使用数据!$A:$I,9,0),0)+IFERROR(VLOOKUP($A810,[3]库存使用数据!$A:$I,9,0),0)+IFERROR(VLOOKUP($A810,[4]库存使用数据!$A:$I,9,0),0)+IFERROR(VLOOKUP($A810,[5]库存使用数据!$A:$I,9,0),0)</f>
        <v>0</v>
      </c>
      <c r="J810" s="1">
        <f ca="1">IFERROR(VLOOKUP($A810,[1]库存使用数据!$A:$J,10,0),0)+IFERROR(VLOOKUP($A810,[2]库存使用数据!$A:$J,10,0),0)+公式!$B$14*IFERROR(VLOOKUP($A810,[3]库存使用数据!$A:$J,10,0),0)+IFERROR(VLOOKUP($A810,[4]库存使用数据!$A:$J,10,0),0)+IFERROR(VLOOKUP($A810,[5]库存使用数据!$A:$J,10,0),0)</f>
        <v>0</v>
      </c>
      <c r="K810" s="1">
        <f ca="1">IFERROR(VLOOKUP($A810,[1]库存使用数据!$A:$K,11,0),0)+IFERROR(VLOOKUP($A810,[2]库存使用数据!$A:$K,11,0),0)+IFERROR(VLOOKUP($A810,[3]库存使用数据!$A:$K,11,0),0)+IFERROR(VLOOKUP($A810,[4]库存使用数据!$A:$K,11,0),0)+IFERROR(VLOOKUP($A810,[5]库存使用数据!$A:$K,11,0),0)</f>
        <v>3</v>
      </c>
      <c r="L810" s="1">
        <f ca="1">IFERROR(VLOOKUP($A810,[1]库存使用数据!$A:$L,12,0),0)+IFERROR(VLOOKUP($A810,[2]库存使用数据!$A:$L,12,0),0)+IFERROR(VLOOKUP($A810,[3]库存使用数据!$A:$L,12,0),0)+IFERROR(VLOOKUP($A810,[4]库存使用数据!$A:$L,12,0),0)+IFERROR(VLOOKUP($A810,[5]库存使用数据!$A:$L,12,0),0)</f>
        <v>0</v>
      </c>
      <c r="M810" s="1">
        <f ca="1">IFERROR(VLOOKUP($A810,[1]库存使用数据!$A:$M,13,0),0)+IFERROR(VLOOKUP($A810,[2]库存使用数据!$A:$M,13,0),0)+公式!$B$14*IFERROR(VLOOKUP($A810,[3]库存使用数据!$A:$M,13,0),0)+IFERROR(VLOOKUP($A810,[4]库存使用数据!$A:$M,13,0),0)+IFERROR(VLOOKUP($A810,[5]库存使用数据!$A:$M,13,0),0)</f>
        <v>0</v>
      </c>
    </row>
    <row r="811" spans="1:13">
      <c r="A811" s="6" t="s">
        <v>816</v>
      </c>
      <c r="B811" s="2">
        <f ca="1">IFERROR(VLOOKUP(A811,[1]库存使用数据!$A:$B,2,0),0)+IFERROR(VLOOKUP(A811,[2]库存使用数据!$A:$B,2,0),0)+IFERROR(VLOOKUP(,[3]库存使用数据!$A:$B,2,0),0)+IFERROR(VLOOKUP(A811,[4]库存使用数据!$A:$B,2,0),0)+IFERROR(VLOOKUP(A811,[5]库存使用数据!$A:$B,2,0),0)</f>
        <v>0</v>
      </c>
      <c r="C811" s="1">
        <f ca="1">IFERROR(VLOOKUP($A811,[1]库存使用数据!$A:$C,3,0),0)+IFERROR(VLOOKUP($A811,[2]库存使用数据!$A:$C,3,0),0)+IFERROR(VLOOKUP($A811,[3]库存使用数据!$A:$C,3,0),0)+IFERROR(VLOOKUP($A811,[4]库存使用数据!$A:$C,3,0),0)+IFERROR(VLOOKUP($A811,[5]库存使用数据!$A:$C,3,0),0)</f>
        <v>0</v>
      </c>
      <c r="D811" s="1">
        <f ca="1">IFERROR(VLOOKUP($A811,[1]库存使用数据!$A:$D,4,0),0)+IFERROR(VLOOKUP($A811,[2]库存使用数据!$A:$D,4,0),0)+公式!$B$1*IFERROR(VLOOKUP($A811,[3]库存使用数据!$A:$D,4,0),0)+IFERROR(VLOOKUP($A811,[4]库存使用数据!$A:$D,4,0),0)+IFERROR(VLOOKUP($A811,[5]库存使用数据!$A:$D,4,0),0)</f>
        <v>0</v>
      </c>
      <c r="E811" s="1">
        <f ca="1">IFERROR(VLOOKUP($A811,[1]库存使用数据!$A:$E,5,0),0)+IFERROR(VLOOKUP($A811,[2]库存使用数据!$A:$E,5,0),0)+IFERROR(VLOOKUP($A811,[3]库存使用数据!$A:$E,5,0),0)+IFERROR(VLOOKUP($A811,[4]库存使用数据!$A:$E,5,0),0)+IFERROR(VLOOKUP($A811,[5]库存使用数据!$A:$E,5,0),0)</f>
        <v>0</v>
      </c>
      <c r="F811" s="1">
        <f ca="1">IFERROR(VLOOKUP($A811,[1]库存使用数据!$A:$F,6,0),0)+IFERROR(VLOOKUP($A811,[2]库存使用数据!$A:$F,6,0),0)+IFERROR(VLOOKUP($A811,[4]库存使用数据!$A:$F,6,0),0)+IFERROR(VLOOKUP($A811,[3]库存使用数据!$A:$F,6,0),0)+IFERROR(VLOOKUP($A811,[5]库存使用数据!$A:$F,6,0),0)</f>
        <v>0</v>
      </c>
      <c r="G811" s="1">
        <f ca="1">IFERROR(VLOOKUP($A811,[1]库存使用数据!$A:$G,7,0),0)+IFERROR(VLOOKUP($A811,[2]库存使用数据!$A:$G,7,0),0)+公式!$B$14*IFERROR(VLOOKUP($A811,[3]库存使用数据!$A:$G,7,0),0)+IFERROR(VLOOKUP($A811,[4]库存使用数据!$A:$G,7,0),0)+IFERROR(VLOOKUP($A811,[5]库存使用数据!$A:$G,7,0),0)</f>
        <v>0</v>
      </c>
      <c r="H811" s="1">
        <f ca="1">IFERROR(VLOOKUP($A811,[1]库存使用数据!$A:$H,8,0),0)+IFERROR(VLOOKUP($A811,[2]库存使用数据!$A:$H,8,0),0)+IFERROR(VLOOKUP($A811,[3]库存使用数据!$A:$H,8,0),0)+IFERROR(VLOOKUP($A811,[4]库存使用数据!$A:$H,8,0),0)+IFERROR(VLOOKUP($A811,[5]库存使用数据!$A:$H,8,0),0)</f>
        <v>0</v>
      </c>
      <c r="I811" s="1">
        <f ca="1">IFERROR(VLOOKUP($A811,[1]库存使用数据!$A:$I,9,0),0)+IFERROR(VLOOKUP($A811,[2]库存使用数据!$A:$I,9,0),0)+IFERROR(VLOOKUP($A811,[3]库存使用数据!$A:$I,9,0),0)+IFERROR(VLOOKUP($A811,[4]库存使用数据!$A:$I,9,0),0)+IFERROR(VLOOKUP($A811,[5]库存使用数据!$A:$I,9,0),0)</f>
        <v>0</v>
      </c>
      <c r="J811" s="1">
        <f ca="1">IFERROR(VLOOKUP($A811,[1]库存使用数据!$A:$J,10,0),0)+IFERROR(VLOOKUP($A811,[2]库存使用数据!$A:$J,10,0),0)+公式!$B$14*IFERROR(VLOOKUP($A811,[3]库存使用数据!$A:$J,10,0),0)+IFERROR(VLOOKUP($A811,[4]库存使用数据!$A:$J,10,0),0)+IFERROR(VLOOKUP($A811,[5]库存使用数据!$A:$J,10,0),0)</f>
        <v>0</v>
      </c>
      <c r="K811" s="1">
        <f ca="1">IFERROR(VLOOKUP($A811,[1]库存使用数据!$A:$K,11,0),0)+IFERROR(VLOOKUP($A811,[2]库存使用数据!$A:$K,11,0),0)+IFERROR(VLOOKUP($A811,[3]库存使用数据!$A:$K,11,0),0)+IFERROR(VLOOKUP($A811,[4]库存使用数据!$A:$K,11,0),0)+IFERROR(VLOOKUP($A811,[5]库存使用数据!$A:$K,11,0),0)</f>
        <v>2</v>
      </c>
      <c r="L811" s="1">
        <f ca="1">IFERROR(VLOOKUP($A811,[1]库存使用数据!$A:$L,12,0),0)+IFERROR(VLOOKUP($A811,[2]库存使用数据!$A:$L,12,0),0)+IFERROR(VLOOKUP($A811,[3]库存使用数据!$A:$L,12,0),0)+IFERROR(VLOOKUP($A811,[4]库存使用数据!$A:$L,12,0),0)+IFERROR(VLOOKUP($A811,[5]库存使用数据!$A:$L,12,0),0)</f>
        <v>0</v>
      </c>
      <c r="M811" s="1">
        <f ca="1">IFERROR(VLOOKUP($A811,[1]库存使用数据!$A:$M,13,0),0)+IFERROR(VLOOKUP($A811,[2]库存使用数据!$A:$M,13,0),0)+公式!$B$14*IFERROR(VLOOKUP($A811,[3]库存使用数据!$A:$M,13,0),0)+IFERROR(VLOOKUP($A811,[4]库存使用数据!$A:$M,13,0),0)+IFERROR(VLOOKUP($A811,[5]库存使用数据!$A:$M,13,0),0)</f>
        <v>0</v>
      </c>
    </row>
    <row r="812" spans="1:13">
      <c r="A812" s="6" t="s">
        <v>817</v>
      </c>
      <c r="B812" s="2">
        <f ca="1">IFERROR(VLOOKUP(A812,[1]库存使用数据!$A:$B,2,0),0)+IFERROR(VLOOKUP(A812,[2]库存使用数据!$A:$B,2,0),0)+IFERROR(VLOOKUP(,[3]库存使用数据!$A:$B,2,0),0)+IFERROR(VLOOKUP(A812,[4]库存使用数据!$A:$B,2,0),0)+IFERROR(VLOOKUP(A812,[5]库存使用数据!$A:$B,2,0),0)</f>
        <v>3</v>
      </c>
      <c r="C812" s="1">
        <f ca="1">IFERROR(VLOOKUP($A812,[1]库存使用数据!$A:$C,3,0),0)+IFERROR(VLOOKUP($A812,[2]库存使用数据!$A:$C,3,0),0)+IFERROR(VLOOKUP($A812,[3]库存使用数据!$A:$C,3,0),0)+IFERROR(VLOOKUP($A812,[4]库存使用数据!$A:$C,3,0),0)+IFERROR(VLOOKUP($A812,[5]库存使用数据!$A:$C,3,0),0)</f>
        <v>0</v>
      </c>
      <c r="D812" s="1">
        <f ca="1">IFERROR(VLOOKUP($A812,[1]库存使用数据!$A:$D,4,0),0)+IFERROR(VLOOKUP($A812,[2]库存使用数据!$A:$D,4,0),0)+公式!$B$1*IFERROR(VLOOKUP($A812,[3]库存使用数据!$A:$D,4,0),0)+IFERROR(VLOOKUP($A812,[4]库存使用数据!$A:$D,4,0),0)+IFERROR(VLOOKUP($A812,[5]库存使用数据!$A:$D,4,0),0)</f>
        <v>0</v>
      </c>
      <c r="E812" s="1">
        <f ca="1">IFERROR(VLOOKUP($A812,[1]库存使用数据!$A:$E,5,0),0)+IFERROR(VLOOKUP($A812,[2]库存使用数据!$A:$E,5,0),0)+IFERROR(VLOOKUP($A812,[3]库存使用数据!$A:$E,5,0),0)+IFERROR(VLOOKUP($A812,[4]库存使用数据!$A:$E,5,0),0)+IFERROR(VLOOKUP($A812,[5]库存使用数据!$A:$E,5,0),0)</f>
        <v>4</v>
      </c>
      <c r="F812" s="1">
        <f ca="1">IFERROR(VLOOKUP($A812,[1]库存使用数据!$A:$F,6,0),0)+IFERROR(VLOOKUP($A812,[2]库存使用数据!$A:$F,6,0),0)+IFERROR(VLOOKUP($A812,[4]库存使用数据!$A:$F,6,0),0)+IFERROR(VLOOKUP($A812,[3]库存使用数据!$A:$F,6,0),0)+IFERROR(VLOOKUP($A812,[5]库存使用数据!$A:$F,6,0),0)</f>
        <v>0</v>
      </c>
      <c r="G812" s="1">
        <f ca="1">IFERROR(VLOOKUP($A812,[1]库存使用数据!$A:$G,7,0),0)+IFERROR(VLOOKUP($A812,[2]库存使用数据!$A:$G,7,0),0)+公式!$B$14*IFERROR(VLOOKUP($A812,[3]库存使用数据!$A:$G,7,0),0)+IFERROR(VLOOKUP($A812,[4]库存使用数据!$A:$G,7,0),0)+IFERROR(VLOOKUP($A812,[5]库存使用数据!$A:$G,7,0),0)</f>
        <v>0</v>
      </c>
      <c r="H812" s="1">
        <f ca="1">IFERROR(VLOOKUP($A812,[1]库存使用数据!$A:$H,8,0),0)+IFERROR(VLOOKUP($A812,[2]库存使用数据!$A:$H,8,0),0)+IFERROR(VLOOKUP($A812,[3]库存使用数据!$A:$H,8,0),0)+IFERROR(VLOOKUP($A812,[4]库存使用数据!$A:$H,8,0),0)+IFERROR(VLOOKUP($A812,[5]库存使用数据!$A:$H,8,0),0)</f>
        <v>3</v>
      </c>
      <c r="I812" s="1">
        <f ca="1">IFERROR(VLOOKUP($A812,[1]库存使用数据!$A:$I,9,0),0)+IFERROR(VLOOKUP($A812,[2]库存使用数据!$A:$I,9,0),0)+IFERROR(VLOOKUP($A812,[3]库存使用数据!$A:$I,9,0),0)+IFERROR(VLOOKUP($A812,[4]库存使用数据!$A:$I,9,0),0)+IFERROR(VLOOKUP($A812,[5]库存使用数据!$A:$I,9,0),0)</f>
        <v>0</v>
      </c>
      <c r="J812" s="1">
        <f ca="1">IFERROR(VLOOKUP($A812,[1]库存使用数据!$A:$J,10,0),0)+IFERROR(VLOOKUP($A812,[2]库存使用数据!$A:$J,10,0),0)+公式!$B$14*IFERROR(VLOOKUP($A812,[3]库存使用数据!$A:$J,10,0),0)+IFERROR(VLOOKUP($A812,[4]库存使用数据!$A:$J,10,0),0)+IFERROR(VLOOKUP($A812,[5]库存使用数据!$A:$J,10,0),0)</f>
        <v>0</v>
      </c>
      <c r="K812" s="1">
        <f ca="1">IFERROR(VLOOKUP($A812,[1]库存使用数据!$A:$K,11,0),0)+IFERROR(VLOOKUP($A812,[2]库存使用数据!$A:$K,11,0),0)+IFERROR(VLOOKUP($A812,[3]库存使用数据!$A:$K,11,0),0)+IFERROR(VLOOKUP($A812,[4]库存使用数据!$A:$K,11,0),0)+IFERROR(VLOOKUP($A812,[5]库存使用数据!$A:$K,11,0),0)</f>
        <v>2</v>
      </c>
      <c r="L812" s="1">
        <f ca="1">IFERROR(VLOOKUP($A812,[1]库存使用数据!$A:$L,12,0),0)+IFERROR(VLOOKUP($A812,[2]库存使用数据!$A:$L,12,0),0)+IFERROR(VLOOKUP($A812,[3]库存使用数据!$A:$L,12,0),0)+IFERROR(VLOOKUP($A812,[4]库存使用数据!$A:$L,12,0),0)+IFERROR(VLOOKUP($A812,[5]库存使用数据!$A:$L,12,0),0)</f>
        <v>0</v>
      </c>
      <c r="M812" s="1">
        <f ca="1">IFERROR(VLOOKUP($A812,[1]库存使用数据!$A:$M,13,0),0)+IFERROR(VLOOKUP($A812,[2]库存使用数据!$A:$M,13,0),0)+公式!$B$14*IFERROR(VLOOKUP($A812,[3]库存使用数据!$A:$M,13,0),0)+IFERROR(VLOOKUP($A812,[4]库存使用数据!$A:$M,13,0),0)+IFERROR(VLOOKUP($A812,[5]库存使用数据!$A:$M,13,0),0)</f>
        <v>0</v>
      </c>
    </row>
    <row r="813" spans="1:13">
      <c r="A813" s="6" t="s">
        <v>818</v>
      </c>
      <c r="B813" s="2">
        <f ca="1">IFERROR(VLOOKUP(A813,[1]库存使用数据!$A:$B,2,0),0)+IFERROR(VLOOKUP(A813,[2]库存使用数据!$A:$B,2,0),0)+IFERROR(VLOOKUP(,[3]库存使用数据!$A:$B,2,0),0)+IFERROR(VLOOKUP(A813,[4]库存使用数据!$A:$B,2,0),0)+IFERROR(VLOOKUP(A813,[5]库存使用数据!$A:$B,2,0),0)</f>
        <v>0</v>
      </c>
      <c r="C813" s="1">
        <f ca="1">IFERROR(VLOOKUP($A813,[1]库存使用数据!$A:$C,3,0),0)+IFERROR(VLOOKUP($A813,[2]库存使用数据!$A:$C,3,0),0)+IFERROR(VLOOKUP($A813,[3]库存使用数据!$A:$C,3,0),0)+IFERROR(VLOOKUP($A813,[4]库存使用数据!$A:$C,3,0),0)+IFERROR(VLOOKUP($A813,[5]库存使用数据!$A:$C,3,0),0)</f>
        <v>0</v>
      </c>
      <c r="D813" s="1">
        <f ca="1">IFERROR(VLOOKUP($A813,[1]库存使用数据!$A:$D,4,0),0)+IFERROR(VLOOKUP($A813,[2]库存使用数据!$A:$D,4,0),0)+公式!$B$1*IFERROR(VLOOKUP($A813,[3]库存使用数据!$A:$D,4,0),0)+IFERROR(VLOOKUP($A813,[4]库存使用数据!$A:$D,4,0),0)+IFERROR(VLOOKUP($A813,[5]库存使用数据!$A:$D,4,0),0)</f>
        <v>0</v>
      </c>
      <c r="E813" s="1">
        <f ca="1">IFERROR(VLOOKUP($A813,[1]库存使用数据!$A:$E,5,0),0)+IFERROR(VLOOKUP($A813,[2]库存使用数据!$A:$E,5,0),0)+IFERROR(VLOOKUP($A813,[3]库存使用数据!$A:$E,5,0),0)+IFERROR(VLOOKUP($A813,[4]库存使用数据!$A:$E,5,0),0)+IFERROR(VLOOKUP($A813,[5]库存使用数据!$A:$E,5,0),0)</f>
        <v>8</v>
      </c>
      <c r="F813" s="1">
        <f ca="1">IFERROR(VLOOKUP($A813,[1]库存使用数据!$A:$F,6,0),0)+IFERROR(VLOOKUP($A813,[2]库存使用数据!$A:$F,6,0),0)+IFERROR(VLOOKUP($A813,[4]库存使用数据!$A:$F,6,0),0)+IFERROR(VLOOKUP($A813,[3]库存使用数据!$A:$F,6,0),0)+IFERROR(VLOOKUP($A813,[5]库存使用数据!$A:$F,6,0),0)</f>
        <v>0</v>
      </c>
      <c r="G813" s="1">
        <f ca="1">IFERROR(VLOOKUP($A813,[1]库存使用数据!$A:$G,7,0),0)+IFERROR(VLOOKUP($A813,[2]库存使用数据!$A:$G,7,0),0)+公式!$B$14*IFERROR(VLOOKUP($A813,[3]库存使用数据!$A:$G,7,0),0)+IFERROR(VLOOKUP($A813,[4]库存使用数据!$A:$G,7,0),0)+IFERROR(VLOOKUP($A813,[5]库存使用数据!$A:$G,7,0),0)</f>
        <v>0</v>
      </c>
      <c r="H813" s="1">
        <f ca="1">IFERROR(VLOOKUP($A813,[1]库存使用数据!$A:$H,8,0),0)+IFERROR(VLOOKUP($A813,[2]库存使用数据!$A:$H,8,0),0)+IFERROR(VLOOKUP($A813,[3]库存使用数据!$A:$H,8,0),0)+IFERROR(VLOOKUP($A813,[4]库存使用数据!$A:$H,8,0),0)+IFERROR(VLOOKUP($A813,[5]库存使用数据!$A:$H,8,0),0)</f>
        <v>1</v>
      </c>
      <c r="I813" s="1">
        <f ca="1">IFERROR(VLOOKUP($A813,[1]库存使用数据!$A:$I,9,0),0)+IFERROR(VLOOKUP($A813,[2]库存使用数据!$A:$I,9,0),0)+IFERROR(VLOOKUP($A813,[3]库存使用数据!$A:$I,9,0),0)+IFERROR(VLOOKUP($A813,[4]库存使用数据!$A:$I,9,0),0)+IFERROR(VLOOKUP($A813,[5]库存使用数据!$A:$I,9,0),0)</f>
        <v>0</v>
      </c>
      <c r="J813" s="1">
        <f ca="1">IFERROR(VLOOKUP($A813,[1]库存使用数据!$A:$J,10,0),0)+IFERROR(VLOOKUP($A813,[2]库存使用数据!$A:$J,10,0),0)+公式!$B$14*IFERROR(VLOOKUP($A813,[3]库存使用数据!$A:$J,10,0),0)+IFERROR(VLOOKUP($A813,[4]库存使用数据!$A:$J,10,0),0)+IFERROR(VLOOKUP($A813,[5]库存使用数据!$A:$J,10,0),0)</f>
        <v>0</v>
      </c>
      <c r="K813" s="1">
        <f ca="1">IFERROR(VLOOKUP($A813,[1]库存使用数据!$A:$K,11,0),0)+IFERROR(VLOOKUP($A813,[2]库存使用数据!$A:$K,11,0),0)+IFERROR(VLOOKUP($A813,[3]库存使用数据!$A:$K,11,0),0)+IFERROR(VLOOKUP($A813,[4]库存使用数据!$A:$K,11,0),0)+IFERROR(VLOOKUP($A813,[5]库存使用数据!$A:$K,11,0),0)</f>
        <v>14</v>
      </c>
      <c r="L813" s="1">
        <f ca="1">IFERROR(VLOOKUP($A813,[1]库存使用数据!$A:$L,12,0),0)+IFERROR(VLOOKUP($A813,[2]库存使用数据!$A:$L,12,0),0)+IFERROR(VLOOKUP($A813,[3]库存使用数据!$A:$L,12,0),0)+IFERROR(VLOOKUP($A813,[4]库存使用数据!$A:$L,12,0),0)+IFERROR(VLOOKUP($A813,[5]库存使用数据!$A:$L,12,0),0)</f>
        <v>0</v>
      </c>
      <c r="M813" s="1">
        <f ca="1">IFERROR(VLOOKUP($A813,[1]库存使用数据!$A:$M,13,0),0)+IFERROR(VLOOKUP($A813,[2]库存使用数据!$A:$M,13,0),0)+公式!$B$14*IFERROR(VLOOKUP($A813,[3]库存使用数据!$A:$M,13,0),0)+IFERROR(VLOOKUP($A813,[4]库存使用数据!$A:$M,13,0),0)+IFERROR(VLOOKUP($A813,[5]库存使用数据!$A:$M,13,0),0)</f>
        <v>0</v>
      </c>
    </row>
    <row r="814" spans="1:13">
      <c r="A814" s="6" t="s">
        <v>819</v>
      </c>
      <c r="B814" s="2">
        <f ca="1">IFERROR(VLOOKUP(A814,[1]库存使用数据!$A:$B,2,0),0)+IFERROR(VLOOKUP(A814,[2]库存使用数据!$A:$B,2,0),0)+IFERROR(VLOOKUP(,[3]库存使用数据!$A:$B,2,0),0)+IFERROR(VLOOKUP(A814,[4]库存使用数据!$A:$B,2,0),0)+IFERROR(VLOOKUP(A814,[5]库存使用数据!$A:$B,2,0),0)</f>
        <v>0</v>
      </c>
      <c r="C814" s="1">
        <f ca="1">IFERROR(VLOOKUP($A814,[1]库存使用数据!$A:$C,3,0),0)+IFERROR(VLOOKUP($A814,[2]库存使用数据!$A:$C,3,0),0)+IFERROR(VLOOKUP($A814,[3]库存使用数据!$A:$C,3,0),0)+IFERROR(VLOOKUP($A814,[4]库存使用数据!$A:$C,3,0),0)+IFERROR(VLOOKUP($A814,[5]库存使用数据!$A:$C,3,0),0)</f>
        <v>0</v>
      </c>
      <c r="D814" s="1">
        <f ca="1">IFERROR(VLOOKUP($A814,[1]库存使用数据!$A:$D,4,0),0)+IFERROR(VLOOKUP($A814,[2]库存使用数据!$A:$D,4,0),0)+公式!$B$1*IFERROR(VLOOKUP($A814,[3]库存使用数据!$A:$D,4,0),0)+IFERROR(VLOOKUP($A814,[4]库存使用数据!$A:$D,4,0),0)+IFERROR(VLOOKUP($A814,[5]库存使用数据!$A:$D,4,0),0)</f>
        <v>0</v>
      </c>
      <c r="E814" s="1">
        <f ca="1">IFERROR(VLOOKUP($A814,[1]库存使用数据!$A:$E,5,0),0)+IFERROR(VLOOKUP($A814,[2]库存使用数据!$A:$E,5,0),0)+IFERROR(VLOOKUP($A814,[3]库存使用数据!$A:$E,5,0),0)+IFERROR(VLOOKUP($A814,[4]库存使用数据!$A:$E,5,0),0)+IFERROR(VLOOKUP($A814,[5]库存使用数据!$A:$E,5,0),0)</f>
        <v>2</v>
      </c>
      <c r="F814" s="1">
        <f ca="1">IFERROR(VLOOKUP($A814,[1]库存使用数据!$A:$F,6,0),0)+IFERROR(VLOOKUP($A814,[2]库存使用数据!$A:$F,6,0),0)+IFERROR(VLOOKUP($A814,[4]库存使用数据!$A:$F,6,0),0)+IFERROR(VLOOKUP($A814,[3]库存使用数据!$A:$F,6,0),0)+IFERROR(VLOOKUP($A814,[5]库存使用数据!$A:$F,6,0),0)</f>
        <v>0</v>
      </c>
      <c r="G814" s="1">
        <f ca="1">IFERROR(VLOOKUP($A814,[1]库存使用数据!$A:$G,7,0),0)+IFERROR(VLOOKUP($A814,[2]库存使用数据!$A:$G,7,0),0)+公式!$B$14*IFERROR(VLOOKUP($A814,[3]库存使用数据!$A:$G,7,0),0)+IFERROR(VLOOKUP($A814,[4]库存使用数据!$A:$G,7,0),0)+IFERROR(VLOOKUP($A814,[5]库存使用数据!$A:$G,7,0),0)</f>
        <v>0</v>
      </c>
      <c r="H814" s="1">
        <f ca="1">IFERROR(VLOOKUP($A814,[1]库存使用数据!$A:$H,8,0),0)+IFERROR(VLOOKUP($A814,[2]库存使用数据!$A:$H,8,0),0)+IFERROR(VLOOKUP($A814,[3]库存使用数据!$A:$H,8,0),0)+IFERROR(VLOOKUP($A814,[4]库存使用数据!$A:$H,8,0),0)+IFERROR(VLOOKUP($A814,[5]库存使用数据!$A:$H,8,0),0)</f>
        <v>1</v>
      </c>
      <c r="I814" s="1">
        <f ca="1">IFERROR(VLOOKUP($A814,[1]库存使用数据!$A:$I,9,0),0)+IFERROR(VLOOKUP($A814,[2]库存使用数据!$A:$I,9,0),0)+IFERROR(VLOOKUP($A814,[3]库存使用数据!$A:$I,9,0),0)+IFERROR(VLOOKUP($A814,[4]库存使用数据!$A:$I,9,0),0)+IFERROR(VLOOKUP($A814,[5]库存使用数据!$A:$I,9,0),0)</f>
        <v>0</v>
      </c>
      <c r="J814" s="1">
        <f ca="1">IFERROR(VLOOKUP($A814,[1]库存使用数据!$A:$J,10,0),0)+IFERROR(VLOOKUP($A814,[2]库存使用数据!$A:$J,10,0),0)+公式!$B$14*IFERROR(VLOOKUP($A814,[3]库存使用数据!$A:$J,10,0),0)+IFERROR(VLOOKUP($A814,[4]库存使用数据!$A:$J,10,0),0)+IFERROR(VLOOKUP($A814,[5]库存使用数据!$A:$J,10,0),0)</f>
        <v>0</v>
      </c>
      <c r="K814" s="1">
        <f ca="1">IFERROR(VLOOKUP($A814,[1]库存使用数据!$A:$K,11,0),0)+IFERROR(VLOOKUP($A814,[2]库存使用数据!$A:$K,11,0),0)+IFERROR(VLOOKUP($A814,[3]库存使用数据!$A:$K,11,0),0)+IFERROR(VLOOKUP($A814,[4]库存使用数据!$A:$K,11,0),0)+IFERROR(VLOOKUP($A814,[5]库存使用数据!$A:$K,11,0),0)</f>
        <v>0</v>
      </c>
      <c r="L814" s="1">
        <f ca="1">IFERROR(VLOOKUP($A814,[1]库存使用数据!$A:$L,12,0),0)+IFERROR(VLOOKUP($A814,[2]库存使用数据!$A:$L,12,0),0)+IFERROR(VLOOKUP($A814,[3]库存使用数据!$A:$L,12,0),0)+IFERROR(VLOOKUP($A814,[4]库存使用数据!$A:$L,12,0),0)+IFERROR(VLOOKUP($A814,[5]库存使用数据!$A:$L,12,0),0)</f>
        <v>0</v>
      </c>
      <c r="M814" s="1">
        <f ca="1">IFERROR(VLOOKUP($A814,[1]库存使用数据!$A:$M,13,0),0)+IFERROR(VLOOKUP($A814,[2]库存使用数据!$A:$M,13,0),0)+公式!$B$14*IFERROR(VLOOKUP($A814,[3]库存使用数据!$A:$M,13,0),0)+IFERROR(VLOOKUP($A814,[4]库存使用数据!$A:$M,13,0),0)+IFERROR(VLOOKUP($A814,[5]库存使用数据!$A:$M,13,0),0)</f>
        <v>0</v>
      </c>
    </row>
    <row r="815" spans="1:13">
      <c r="A815" s="6" t="s">
        <v>820</v>
      </c>
      <c r="B815" s="2">
        <f ca="1">IFERROR(VLOOKUP(A815,[1]库存使用数据!$A:$B,2,0),0)+IFERROR(VLOOKUP(A815,[2]库存使用数据!$A:$B,2,0),0)+IFERROR(VLOOKUP(,[3]库存使用数据!$A:$B,2,0),0)+IFERROR(VLOOKUP(A815,[4]库存使用数据!$A:$B,2,0),0)+IFERROR(VLOOKUP(A815,[5]库存使用数据!$A:$B,2,0),0)</f>
        <v>2</v>
      </c>
      <c r="C815" s="1">
        <f ca="1">IFERROR(VLOOKUP($A815,[1]库存使用数据!$A:$C,3,0),0)+IFERROR(VLOOKUP($A815,[2]库存使用数据!$A:$C,3,0),0)+IFERROR(VLOOKUP($A815,[3]库存使用数据!$A:$C,3,0),0)+IFERROR(VLOOKUP($A815,[4]库存使用数据!$A:$C,3,0),0)+IFERROR(VLOOKUP($A815,[5]库存使用数据!$A:$C,3,0),0)</f>
        <v>0</v>
      </c>
      <c r="D815" s="1">
        <f ca="1">IFERROR(VLOOKUP($A815,[1]库存使用数据!$A:$D,4,0),0)+IFERROR(VLOOKUP($A815,[2]库存使用数据!$A:$D,4,0),0)+公式!$B$1*IFERROR(VLOOKUP($A815,[3]库存使用数据!$A:$D,4,0),0)+IFERROR(VLOOKUP($A815,[4]库存使用数据!$A:$D,4,0),0)+IFERROR(VLOOKUP($A815,[5]库存使用数据!$A:$D,4,0),0)</f>
        <v>0</v>
      </c>
      <c r="E815" s="1">
        <f ca="1">IFERROR(VLOOKUP($A815,[1]库存使用数据!$A:$E,5,0),0)+IFERROR(VLOOKUP($A815,[2]库存使用数据!$A:$E,5,0),0)+IFERROR(VLOOKUP($A815,[3]库存使用数据!$A:$E,5,0),0)+IFERROR(VLOOKUP($A815,[4]库存使用数据!$A:$E,5,0),0)+IFERROR(VLOOKUP($A815,[5]库存使用数据!$A:$E,5,0),0)</f>
        <v>2</v>
      </c>
      <c r="F815" s="1">
        <f ca="1">IFERROR(VLOOKUP($A815,[1]库存使用数据!$A:$F,6,0),0)+IFERROR(VLOOKUP($A815,[2]库存使用数据!$A:$F,6,0),0)+IFERROR(VLOOKUP($A815,[4]库存使用数据!$A:$F,6,0),0)+IFERROR(VLOOKUP($A815,[3]库存使用数据!$A:$F,6,0),0)+IFERROR(VLOOKUP($A815,[5]库存使用数据!$A:$F,6,0),0)</f>
        <v>0</v>
      </c>
      <c r="G815" s="1">
        <f ca="1">IFERROR(VLOOKUP($A815,[1]库存使用数据!$A:$G,7,0),0)+IFERROR(VLOOKUP($A815,[2]库存使用数据!$A:$G,7,0),0)+公式!$B$14*IFERROR(VLOOKUP($A815,[3]库存使用数据!$A:$G,7,0),0)+IFERROR(VLOOKUP($A815,[4]库存使用数据!$A:$G,7,0),0)+IFERROR(VLOOKUP($A815,[5]库存使用数据!$A:$G,7,0),0)</f>
        <v>0</v>
      </c>
      <c r="H815" s="1">
        <f ca="1">IFERROR(VLOOKUP($A815,[1]库存使用数据!$A:$H,8,0),0)+IFERROR(VLOOKUP($A815,[2]库存使用数据!$A:$H,8,0),0)+IFERROR(VLOOKUP($A815,[3]库存使用数据!$A:$H,8,0),0)+IFERROR(VLOOKUP($A815,[4]库存使用数据!$A:$H,8,0),0)+IFERROR(VLOOKUP($A815,[5]库存使用数据!$A:$H,8,0),0)</f>
        <v>0</v>
      </c>
      <c r="I815" s="1">
        <f ca="1">IFERROR(VLOOKUP($A815,[1]库存使用数据!$A:$I,9,0),0)+IFERROR(VLOOKUP($A815,[2]库存使用数据!$A:$I,9,0),0)+IFERROR(VLOOKUP($A815,[3]库存使用数据!$A:$I,9,0),0)+IFERROR(VLOOKUP($A815,[4]库存使用数据!$A:$I,9,0),0)+IFERROR(VLOOKUP($A815,[5]库存使用数据!$A:$I,9,0),0)</f>
        <v>0</v>
      </c>
      <c r="J815" s="1">
        <f ca="1">IFERROR(VLOOKUP($A815,[1]库存使用数据!$A:$J,10,0),0)+IFERROR(VLOOKUP($A815,[2]库存使用数据!$A:$J,10,0),0)+公式!$B$14*IFERROR(VLOOKUP($A815,[3]库存使用数据!$A:$J,10,0),0)+IFERROR(VLOOKUP($A815,[4]库存使用数据!$A:$J,10,0),0)+IFERROR(VLOOKUP($A815,[5]库存使用数据!$A:$J,10,0),0)</f>
        <v>0</v>
      </c>
      <c r="K815" s="1">
        <f ca="1">IFERROR(VLOOKUP($A815,[1]库存使用数据!$A:$K,11,0),0)+IFERROR(VLOOKUP($A815,[2]库存使用数据!$A:$K,11,0),0)+IFERROR(VLOOKUP($A815,[3]库存使用数据!$A:$K,11,0),0)+IFERROR(VLOOKUP($A815,[4]库存使用数据!$A:$K,11,0),0)+IFERROR(VLOOKUP($A815,[5]库存使用数据!$A:$K,11,0),0)</f>
        <v>4</v>
      </c>
      <c r="L815" s="1">
        <f ca="1">IFERROR(VLOOKUP($A815,[1]库存使用数据!$A:$L,12,0),0)+IFERROR(VLOOKUP($A815,[2]库存使用数据!$A:$L,12,0),0)+IFERROR(VLOOKUP($A815,[3]库存使用数据!$A:$L,12,0),0)+IFERROR(VLOOKUP($A815,[4]库存使用数据!$A:$L,12,0),0)+IFERROR(VLOOKUP($A815,[5]库存使用数据!$A:$L,12,0),0)</f>
        <v>1</v>
      </c>
      <c r="M815" s="1">
        <f ca="1">IFERROR(VLOOKUP($A815,[1]库存使用数据!$A:$M,13,0),0)+IFERROR(VLOOKUP($A815,[2]库存使用数据!$A:$M,13,0),0)+公式!$B$14*IFERROR(VLOOKUP($A815,[3]库存使用数据!$A:$M,13,0),0)+IFERROR(VLOOKUP($A815,[4]库存使用数据!$A:$M,13,0),0)+IFERROR(VLOOKUP($A815,[5]库存使用数据!$A:$M,13,0),0)</f>
        <v>0.21</v>
      </c>
    </row>
    <row r="816" spans="1:13">
      <c r="A816" s="6" t="s">
        <v>821</v>
      </c>
      <c r="B816" s="2">
        <f ca="1">IFERROR(VLOOKUP(A816,[1]库存使用数据!$A:$B,2,0),0)+IFERROR(VLOOKUP(A816,[2]库存使用数据!$A:$B,2,0),0)+IFERROR(VLOOKUP(,[3]库存使用数据!$A:$B,2,0),0)+IFERROR(VLOOKUP(A816,[4]库存使用数据!$A:$B,2,0),0)+IFERROR(VLOOKUP(A816,[5]库存使用数据!$A:$B,2,0),0)</f>
        <v>1</v>
      </c>
      <c r="C816" s="1">
        <f ca="1">IFERROR(VLOOKUP($A816,[1]库存使用数据!$A:$C,3,0),0)+IFERROR(VLOOKUP($A816,[2]库存使用数据!$A:$C,3,0),0)+IFERROR(VLOOKUP($A816,[3]库存使用数据!$A:$C,3,0),0)+IFERROR(VLOOKUP($A816,[4]库存使用数据!$A:$C,3,0),0)+IFERROR(VLOOKUP($A816,[5]库存使用数据!$A:$C,3,0),0)</f>
        <v>0</v>
      </c>
      <c r="D816" s="1">
        <f ca="1">IFERROR(VLOOKUP($A816,[1]库存使用数据!$A:$D,4,0),0)+IFERROR(VLOOKUP($A816,[2]库存使用数据!$A:$D,4,0),0)+公式!$B$1*IFERROR(VLOOKUP($A816,[3]库存使用数据!$A:$D,4,0),0)+IFERROR(VLOOKUP($A816,[4]库存使用数据!$A:$D,4,0),0)+IFERROR(VLOOKUP($A816,[5]库存使用数据!$A:$D,4,0),0)</f>
        <v>0</v>
      </c>
      <c r="E816" s="1">
        <f ca="1">IFERROR(VLOOKUP($A816,[1]库存使用数据!$A:$E,5,0),0)+IFERROR(VLOOKUP($A816,[2]库存使用数据!$A:$E,5,0),0)+IFERROR(VLOOKUP($A816,[3]库存使用数据!$A:$E,5,0),0)+IFERROR(VLOOKUP($A816,[4]库存使用数据!$A:$E,5,0),0)+IFERROR(VLOOKUP($A816,[5]库存使用数据!$A:$E,5,0),0)</f>
        <v>7</v>
      </c>
      <c r="F816" s="1">
        <f ca="1">IFERROR(VLOOKUP($A816,[1]库存使用数据!$A:$F,6,0),0)+IFERROR(VLOOKUP($A816,[2]库存使用数据!$A:$F,6,0),0)+IFERROR(VLOOKUP($A816,[4]库存使用数据!$A:$F,6,0),0)+IFERROR(VLOOKUP($A816,[3]库存使用数据!$A:$F,6,0),0)+IFERROR(VLOOKUP($A816,[5]库存使用数据!$A:$F,6,0),0)</f>
        <v>0</v>
      </c>
      <c r="G816" s="1">
        <f ca="1">IFERROR(VLOOKUP($A816,[1]库存使用数据!$A:$G,7,0),0)+IFERROR(VLOOKUP($A816,[2]库存使用数据!$A:$G,7,0),0)+公式!$B$14*IFERROR(VLOOKUP($A816,[3]库存使用数据!$A:$G,7,0),0)+IFERROR(VLOOKUP($A816,[4]库存使用数据!$A:$G,7,0),0)+IFERROR(VLOOKUP($A816,[5]库存使用数据!$A:$G,7,0),0)</f>
        <v>0</v>
      </c>
      <c r="H816" s="1">
        <f ca="1">IFERROR(VLOOKUP($A816,[1]库存使用数据!$A:$H,8,0),0)+IFERROR(VLOOKUP($A816,[2]库存使用数据!$A:$H,8,0),0)+IFERROR(VLOOKUP($A816,[3]库存使用数据!$A:$H,8,0),0)+IFERROR(VLOOKUP($A816,[4]库存使用数据!$A:$H,8,0),0)+IFERROR(VLOOKUP($A816,[5]库存使用数据!$A:$H,8,0),0)</f>
        <v>0</v>
      </c>
      <c r="I816" s="1">
        <f ca="1">IFERROR(VLOOKUP($A816,[1]库存使用数据!$A:$I,9,0),0)+IFERROR(VLOOKUP($A816,[2]库存使用数据!$A:$I,9,0),0)+IFERROR(VLOOKUP($A816,[3]库存使用数据!$A:$I,9,0),0)+IFERROR(VLOOKUP($A816,[4]库存使用数据!$A:$I,9,0),0)+IFERROR(VLOOKUP($A816,[5]库存使用数据!$A:$I,9,0),0)</f>
        <v>0</v>
      </c>
      <c r="J816" s="1">
        <f ca="1">IFERROR(VLOOKUP($A816,[1]库存使用数据!$A:$J,10,0),0)+IFERROR(VLOOKUP($A816,[2]库存使用数据!$A:$J,10,0),0)+公式!$B$14*IFERROR(VLOOKUP($A816,[3]库存使用数据!$A:$J,10,0),0)+IFERROR(VLOOKUP($A816,[4]库存使用数据!$A:$J,10,0),0)+IFERROR(VLOOKUP($A816,[5]库存使用数据!$A:$J,10,0),0)</f>
        <v>0</v>
      </c>
      <c r="K816" s="1">
        <f ca="1">IFERROR(VLOOKUP($A816,[1]库存使用数据!$A:$K,11,0),0)+IFERROR(VLOOKUP($A816,[2]库存使用数据!$A:$K,11,0),0)+IFERROR(VLOOKUP($A816,[3]库存使用数据!$A:$K,11,0),0)+IFERROR(VLOOKUP($A816,[4]库存使用数据!$A:$K,11,0),0)+IFERROR(VLOOKUP($A816,[5]库存使用数据!$A:$K,11,0),0)</f>
        <v>1</v>
      </c>
      <c r="L816" s="1">
        <f ca="1">IFERROR(VLOOKUP($A816,[1]库存使用数据!$A:$L,12,0),0)+IFERROR(VLOOKUP($A816,[2]库存使用数据!$A:$L,12,0),0)+IFERROR(VLOOKUP($A816,[3]库存使用数据!$A:$L,12,0),0)+IFERROR(VLOOKUP($A816,[4]库存使用数据!$A:$L,12,0),0)+IFERROR(VLOOKUP($A816,[5]库存使用数据!$A:$L,12,0),0)</f>
        <v>0</v>
      </c>
      <c r="M816" s="1">
        <f ca="1">IFERROR(VLOOKUP($A816,[1]库存使用数据!$A:$M,13,0),0)+IFERROR(VLOOKUP($A816,[2]库存使用数据!$A:$M,13,0),0)+公式!$B$14*IFERROR(VLOOKUP($A816,[3]库存使用数据!$A:$M,13,0),0)+IFERROR(VLOOKUP($A816,[4]库存使用数据!$A:$M,13,0),0)+IFERROR(VLOOKUP($A816,[5]库存使用数据!$A:$M,13,0),0)</f>
        <v>0</v>
      </c>
    </row>
    <row r="817" spans="1:13">
      <c r="A817" s="6" t="s">
        <v>822</v>
      </c>
      <c r="B817" s="2">
        <f ca="1">IFERROR(VLOOKUP(A817,[1]库存使用数据!$A:$B,2,0),0)+IFERROR(VLOOKUP(A817,[2]库存使用数据!$A:$B,2,0),0)+IFERROR(VLOOKUP(,[3]库存使用数据!$A:$B,2,0),0)+IFERROR(VLOOKUP(A817,[4]库存使用数据!$A:$B,2,0),0)+IFERROR(VLOOKUP(A817,[5]库存使用数据!$A:$B,2,0),0)</f>
        <v>12</v>
      </c>
      <c r="C817" s="1">
        <f ca="1">IFERROR(VLOOKUP($A817,[1]库存使用数据!$A:$C,3,0),0)+IFERROR(VLOOKUP($A817,[2]库存使用数据!$A:$C,3,0),0)+IFERROR(VLOOKUP($A817,[3]库存使用数据!$A:$C,3,0),0)+IFERROR(VLOOKUP($A817,[4]库存使用数据!$A:$C,3,0),0)+IFERROR(VLOOKUP($A817,[5]库存使用数据!$A:$C,3,0),0)</f>
        <v>1</v>
      </c>
      <c r="D817" s="1">
        <f ca="1">IFERROR(VLOOKUP($A817,[1]库存使用数据!$A:$D,4,0),0)+IFERROR(VLOOKUP($A817,[2]库存使用数据!$A:$D,4,0),0)+公式!$B$1*IFERROR(VLOOKUP($A817,[3]库存使用数据!$A:$D,4,0),0)+IFERROR(VLOOKUP($A817,[4]库存使用数据!$A:$D,4,0),0)+IFERROR(VLOOKUP($A817,[5]库存使用数据!$A:$D,4,0),0)</f>
        <v>0.07</v>
      </c>
      <c r="E817" s="1">
        <f ca="1">IFERROR(VLOOKUP($A817,[1]库存使用数据!$A:$E,5,0),0)+IFERROR(VLOOKUP($A817,[2]库存使用数据!$A:$E,5,0),0)+IFERROR(VLOOKUP($A817,[3]库存使用数据!$A:$E,5,0),0)+IFERROR(VLOOKUP($A817,[4]库存使用数据!$A:$E,5,0),0)+IFERROR(VLOOKUP($A817,[5]库存使用数据!$A:$E,5,0),0)</f>
        <v>14</v>
      </c>
      <c r="F817" s="1">
        <f ca="1">IFERROR(VLOOKUP($A817,[1]库存使用数据!$A:$F,6,0),0)+IFERROR(VLOOKUP($A817,[2]库存使用数据!$A:$F,6,0),0)+IFERROR(VLOOKUP($A817,[4]库存使用数据!$A:$F,6,0),0)+IFERROR(VLOOKUP($A817,[3]库存使用数据!$A:$F,6,0),0)+IFERROR(VLOOKUP($A817,[5]库存使用数据!$A:$F,6,0),0)</f>
        <v>0</v>
      </c>
      <c r="G817" s="1">
        <f ca="1">IFERROR(VLOOKUP($A817,[1]库存使用数据!$A:$G,7,0),0)+IFERROR(VLOOKUP($A817,[2]库存使用数据!$A:$G,7,0),0)+公式!$B$14*IFERROR(VLOOKUP($A817,[3]库存使用数据!$A:$G,7,0),0)+IFERROR(VLOOKUP($A817,[4]库存使用数据!$A:$G,7,0),0)+IFERROR(VLOOKUP($A817,[5]库存使用数据!$A:$G,7,0),0)</f>
        <v>0</v>
      </c>
      <c r="H817" s="1">
        <f ca="1">IFERROR(VLOOKUP($A817,[1]库存使用数据!$A:$H,8,0),0)+IFERROR(VLOOKUP($A817,[2]库存使用数据!$A:$H,8,0),0)+IFERROR(VLOOKUP($A817,[3]库存使用数据!$A:$H,8,0),0)+IFERROR(VLOOKUP($A817,[4]库存使用数据!$A:$H,8,0),0)+IFERROR(VLOOKUP($A817,[5]库存使用数据!$A:$H,8,0),0)</f>
        <v>4</v>
      </c>
      <c r="I817" s="1">
        <f ca="1">IFERROR(VLOOKUP($A817,[1]库存使用数据!$A:$I,9,0),0)+IFERROR(VLOOKUP($A817,[2]库存使用数据!$A:$I,9,0),0)+IFERROR(VLOOKUP($A817,[3]库存使用数据!$A:$I,9,0),0)+IFERROR(VLOOKUP($A817,[4]库存使用数据!$A:$I,9,0),0)+IFERROR(VLOOKUP($A817,[5]库存使用数据!$A:$I,9,0),0)</f>
        <v>0</v>
      </c>
      <c r="J817" s="1">
        <f ca="1">IFERROR(VLOOKUP($A817,[1]库存使用数据!$A:$J,10,0),0)+IFERROR(VLOOKUP($A817,[2]库存使用数据!$A:$J,10,0),0)+公式!$B$14*IFERROR(VLOOKUP($A817,[3]库存使用数据!$A:$J,10,0),0)+IFERROR(VLOOKUP($A817,[4]库存使用数据!$A:$J,10,0),0)+IFERROR(VLOOKUP($A817,[5]库存使用数据!$A:$J,10,0),0)</f>
        <v>0</v>
      </c>
      <c r="K817" s="1">
        <f ca="1">IFERROR(VLOOKUP($A817,[1]库存使用数据!$A:$K,11,0),0)+IFERROR(VLOOKUP($A817,[2]库存使用数据!$A:$K,11,0),0)+IFERROR(VLOOKUP($A817,[3]库存使用数据!$A:$K,11,0),0)+IFERROR(VLOOKUP($A817,[4]库存使用数据!$A:$K,11,0),0)+IFERROR(VLOOKUP($A817,[5]库存使用数据!$A:$K,11,0),0)</f>
        <v>4</v>
      </c>
      <c r="L817" s="1">
        <f ca="1">IFERROR(VLOOKUP($A817,[1]库存使用数据!$A:$L,12,0),0)+IFERROR(VLOOKUP($A817,[2]库存使用数据!$A:$L,12,0),0)+IFERROR(VLOOKUP($A817,[3]库存使用数据!$A:$L,12,0),0)+IFERROR(VLOOKUP($A817,[4]库存使用数据!$A:$L,12,0),0)+IFERROR(VLOOKUP($A817,[5]库存使用数据!$A:$L,12,0),0)</f>
        <v>0</v>
      </c>
      <c r="M817" s="1">
        <f ca="1">IFERROR(VLOOKUP($A817,[1]库存使用数据!$A:$M,13,0),0)+IFERROR(VLOOKUP($A817,[2]库存使用数据!$A:$M,13,0),0)+公式!$B$14*IFERROR(VLOOKUP($A817,[3]库存使用数据!$A:$M,13,0),0)+IFERROR(VLOOKUP($A817,[4]库存使用数据!$A:$M,13,0),0)+IFERROR(VLOOKUP($A817,[5]库存使用数据!$A:$M,13,0),0)</f>
        <v>0</v>
      </c>
    </row>
    <row r="818" spans="1:13">
      <c r="A818" s="6" t="s">
        <v>823</v>
      </c>
      <c r="B818" s="2">
        <f ca="1">IFERROR(VLOOKUP(A818,[1]库存使用数据!$A:$B,2,0),0)+IFERROR(VLOOKUP(A818,[2]库存使用数据!$A:$B,2,0),0)+IFERROR(VLOOKUP(,[3]库存使用数据!$A:$B,2,0),0)+IFERROR(VLOOKUP(A818,[4]库存使用数据!$A:$B,2,0),0)+IFERROR(VLOOKUP(A818,[5]库存使用数据!$A:$B,2,0),0)</f>
        <v>738</v>
      </c>
      <c r="C818" s="1">
        <f ca="1">IFERROR(VLOOKUP($A818,[1]库存使用数据!$A:$C,3,0),0)+IFERROR(VLOOKUP($A818,[2]库存使用数据!$A:$C,3,0),0)+IFERROR(VLOOKUP($A818,[3]库存使用数据!$A:$C,3,0),0)+IFERROR(VLOOKUP($A818,[4]库存使用数据!$A:$C,3,0),0)+IFERROR(VLOOKUP($A818,[5]库存使用数据!$A:$C,3,0),0)</f>
        <v>2</v>
      </c>
      <c r="D818" s="1">
        <f ca="1">IFERROR(VLOOKUP($A818,[1]库存使用数据!$A:$D,4,0),0)+IFERROR(VLOOKUP($A818,[2]库存使用数据!$A:$D,4,0),0)+公式!$B$1*IFERROR(VLOOKUP($A818,[3]库存使用数据!$A:$D,4,0),0)+IFERROR(VLOOKUP($A818,[4]库存使用数据!$A:$D,4,0),0)+IFERROR(VLOOKUP($A818,[5]库存使用数据!$A:$D,4,0),0)</f>
        <v>0.32</v>
      </c>
      <c r="E818" s="1">
        <f ca="1">IFERROR(VLOOKUP($A818,[1]库存使用数据!$A:$E,5,0),0)+IFERROR(VLOOKUP($A818,[2]库存使用数据!$A:$E,5,0),0)+IFERROR(VLOOKUP($A818,[3]库存使用数据!$A:$E,5,0),0)+IFERROR(VLOOKUP($A818,[4]库存使用数据!$A:$E,5,0),0)+IFERROR(VLOOKUP($A818,[5]库存使用数据!$A:$E,5,0),0)</f>
        <v>2928</v>
      </c>
      <c r="F818" s="1">
        <f ca="1">IFERROR(VLOOKUP($A818,[1]库存使用数据!$A:$F,6,0),0)+IFERROR(VLOOKUP($A818,[2]库存使用数据!$A:$F,6,0),0)+IFERROR(VLOOKUP($A818,[4]库存使用数据!$A:$F,6,0),0)+IFERROR(VLOOKUP($A818,[3]库存使用数据!$A:$F,6,0),0)+IFERROR(VLOOKUP($A818,[5]库存使用数据!$A:$F,6,0),0)</f>
        <v>13</v>
      </c>
      <c r="G818" s="1">
        <f ca="1">IFERROR(VLOOKUP($A818,[1]库存使用数据!$A:$G,7,0),0)+IFERROR(VLOOKUP($A818,[2]库存使用数据!$A:$G,7,0),0)+公式!$B$14*IFERROR(VLOOKUP($A818,[3]库存使用数据!$A:$G,7,0),0)+IFERROR(VLOOKUP($A818,[4]库存使用数据!$A:$G,7,0),0)+IFERROR(VLOOKUP($A818,[5]库存使用数据!$A:$G,7,0),0)</f>
        <v>2.64</v>
      </c>
      <c r="H818" s="1">
        <f ca="1">IFERROR(VLOOKUP($A818,[1]库存使用数据!$A:$H,8,0),0)+IFERROR(VLOOKUP($A818,[2]库存使用数据!$A:$H,8,0),0)+IFERROR(VLOOKUP($A818,[3]库存使用数据!$A:$H,8,0),0)+IFERROR(VLOOKUP($A818,[4]库存使用数据!$A:$H,8,0),0)+IFERROR(VLOOKUP($A818,[5]库存使用数据!$A:$H,8,0),0)</f>
        <v>1544</v>
      </c>
      <c r="I818" s="1">
        <f ca="1">IFERROR(VLOOKUP($A818,[1]库存使用数据!$A:$I,9,0),0)+IFERROR(VLOOKUP($A818,[2]库存使用数据!$A:$I,9,0),0)+IFERROR(VLOOKUP($A818,[3]库存使用数据!$A:$I,9,0),0)+IFERROR(VLOOKUP($A818,[4]库存使用数据!$A:$I,9,0),0)+IFERROR(VLOOKUP($A818,[5]库存使用数据!$A:$I,9,0),0)</f>
        <v>6</v>
      </c>
      <c r="J818" s="1">
        <f ca="1">IFERROR(VLOOKUP($A818,[1]库存使用数据!$A:$J,10,0),0)+IFERROR(VLOOKUP($A818,[2]库存使用数据!$A:$J,10,0),0)+公式!$B$14*IFERROR(VLOOKUP($A818,[3]库存使用数据!$A:$J,10,0),0)+IFERROR(VLOOKUP($A818,[4]库存使用数据!$A:$J,10,0),0)+IFERROR(VLOOKUP($A818,[5]库存使用数据!$A:$J,10,0),0)</f>
        <v>1.29</v>
      </c>
      <c r="K818" s="1">
        <f ca="1">IFERROR(VLOOKUP($A818,[1]库存使用数据!$A:$K,11,0),0)+IFERROR(VLOOKUP($A818,[2]库存使用数据!$A:$K,11,0),0)+IFERROR(VLOOKUP($A818,[3]库存使用数据!$A:$K,11,0),0)+IFERROR(VLOOKUP($A818,[4]库存使用数据!$A:$K,11,0),0)+IFERROR(VLOOKUP($A818,[5]库存使用数据!$A:$K,11,0),0)</f>
        <v>136</v>
      </c>
      <c r="L818" s="1">
        <f ca="1">IFERROR(VLOOKUP($A818,[1]库存使用数据!$A:$L,12,0),0)+IFERROR(VLOOKUP($A818,[2]库存使用数据!$A:$L,12,0),0)+IFERROR(VLOOKUP($A818,[3]库存使用数据!$A:$L,12,0),0)+IFERROR(VLOOKUP($A818,[4]库存使用数据!$A:$L,12,0),0)+IFERROR(VLOOKUP($A818,[5]库存使用数据!$A:$L,12,0),0)</f>
        <v>4</v>
      </c>
      <c r="M818" s="1">
        <f ca="1">IFERROR(VLOOKUP($A818,[1]库存使用数据!$A:$M,13,0),0)+IFERROR(VLOOKUP($A818,[2]库存使用数据!$A:$M,13,0),0)+公式!$B$14*IFERROR(VLOOKUP($A818,[3]库存使用数据!$A:$M,13,0),0)+IFERROR(VLOOKUP($A818,[4]库存使用数据!$A:$M,13,0),0)+IFERROR(VLOOKUP($A818,[5]库存使用数据!$A:$M,13,0),0)</f>
        <v>0.64</v>
      </c>
    </row>
    <row r="819" spans="1:13">
      <c r="A819" s="6" t="s">
        <v>824</v>
      </c>
      <c r="B819" s="2">
        <f ca="1">IFERROR(VLOOKUP(A819,[1]库存使用数据!$A:$B,2,0),0)+IFERROR(VLOOKUP(A819,[2]库存使用数据!$A:$B,2,0),0)+IFERROR(VLOOKUP(,[3]库存使用数据!$A:$B,2,0),0)+IFERROR(VLOOKUP(A819,[4]库存使用数据!$A:$B,2,0),0)+IFERROR(VLOOKUP(A819,[5]库存使用数据!$A:$B,2,0),0)</f>
        <v>49</v>
      </c>
      <c r="C819" s="1">
        <f ca="1">IFERROR(VLOOKUP($A819,[1]库存使用数据!$A:$C,3,0),0)+IFERROR(VLOOKUP($A819,[2]库存使用数据!$A:$C,3,0),0)+IFERROR(VLOOKUP($A819,[3]库存使用数据!$A:$C,3,0),0)+IFERROR(VLOOKUP($A819,[4]库存使用数据!$A:$C,3,0),0)+IFERROR(VLOOKUP($A819,[5]库存使用数据!$A:$C,3,0),0)</f>
        <v>0</v>
      </c>
      <c r="D819" s="1">
        <f ca="1">IFERROR(VLOOKUP($A819,[1]库存使用数据!$A:$D,4,0),0)+IFERROR(VLOOKUP($A819,[2]库存使用数据!$A:$D,4,0),0)+公式!$B$1*IFERROR(VLOOKUP($A819,[3]库存使用数据!$A:$D,4,0),0)+IFERROR(VLOOKUP($A819,[4]库存使用数据!$A:$D,4,0),0)+IFERROR(VLOOKUP($A819,[5]库存使用数据!$A:$D,4,0),0)</f>
        <v>0</v>
      </c>
      <c r="E819" s="1">
        <f ca="1">IFERROR(VLOOKUP($A819,[1]库存使用数据!$A:$E,5,0),0)+IFERROR(VLOOKUP($A819,[2]库存使用数据!$A:$E,5,0),0)+IFERROR(VLOOKUP($A819,[3]库存使用数据!$A:$E,5,0),0)+IFERROR(VLOOKUP($A819,[4]库存使用数据!$A:$E,5,0),0)+IFERROR(VLOOKUP($A819,[5]库存使用数据!$A:$E,5,0),0)</f>
        <v>108</v>
      </c>
      <c r="F819" s="1">
        <f ca="1">IFERROR(VLOOKUP($A819,[1]库存使用数据!$A:$F,6,0),0)+IFERROR(VLOOKUP($A819,[2]库存使用数据!$A:$F,6,0),0)+IFERROR(VLOOKUP($A819,[4]库存使用数据!$A:$F,6,0),0)+IFERROR(VLOOKUP($A819,[3]库存使用数据!$A:$F,6,0),0)+IFERROR(VLOOKUP($A819,[5]库存使用数据!$A:$F,6,0),0)</f>
        <v>3</v>
      </c>
      <c r="G819" s="1">
        <f ca="1">IFERROR(VLOOKUP($A819,[1]库存使用数据!$A:$G,7,0),0)+IFERROR(VLOOKUP($A819,[2]库存使用数据!$A:$G,7,0),0)+公式!$B$14*IFERROR(VLOOKUP($A819,[3]库存使用数据!$A:$G,7,0),0)+IFERROR(VLOOKUP($A819,[4]库存使用数据!$A:$G,7,0),0)+IFERROR(VLOOKUP($A819,[5]库存使用数据!$A:$G,7,0),0)</f>
        <v>0.5</v>
      </c>
      <c r="H819" s="1">
        <f ca="1">IFERROR(VLOOKUP($A819,[1]库存使用数据!$A:$H,8,0),0)+IFERROR(VLOOKUP($A819,[2]库存使用数据!$A:$H,8,0),0)+IFERROR(VLOOKUP($A819,[3]库存使用数据!$A:$H,8,0),0)+IFERROR(VLOOKUP($A819,[4]库存使用数据!$A:$H,8,0),0)+IFERROR(VLOOKUP($A819,[5]库存使用数据!$A:$H,8,0),0)</f>
        <v>56</v>
      </c>
      <c r="I819" s="1">
        <f ca="1">IFERROR(VLOOKUP($A819,[1]库存使用数据!$A:$I,9,0),0)+IFERROR(VLOOKUP($A819,[2]库存使用数据!$A:$I,9,0),0)+IFERROR(VLOOKUP($A819,[3]库存使用数据!$A:$I,9,0),0)+IFERROR(VLOOKUP($A819,[4]库存使用数据!$A:$I,9,0),0)+IFERROR(VLOOKUP($A819,[5]库存使用数据!$A:$I,9,0),0)</f>
        <v>0</v>
      </c>
      <c r="J819" s="1">
        <f ca="1">IFERROR(VLOOKUP($A819,[1]库存使用数据!$A:$J,10,0),0)+IFERROR(VLOOKUP($A819,[2]库存使用数据!$A:$J,10,0),0)+公式!$B$14*IFERROR(VLOOKUP($A819,[3]库存使用数据!$A:$J,10,0),0)+IFERROR(VLOOKUP($A819,[4]库存使用数据!$A:$J,10,0),0)+IFERROR(VLOOKUP($A819,[5]库存使用数据!$A:$J,10,0),0)</f>
        <v>0</v>
      </c>
      <c r="K819" s="1">
        <f ca="1">IFERROR(VLOOKUP($A819,[1]库存使用数据!$A:$K,11,0),0)+IFERROR(VLOOKUP($A819,[2]库存使用数据!$A:$K,11,0),0)+IFERROR(VLOOKUP($A819,[3]库存使用数据!$A:$K,11,0),0)+IFERROR(VLOOKUP($A819,[4]库存使用数据!$A:$K,11,0),0)+IFERROR(VLOOKUP($A819,[5]库存使用数据!$A:$K,11,0),0)</f>
        <v>104</v>
      </c>
      <c r="L819" s="1">
        <f ca="1">IFERROR(VLOOKUP($A819,[1]库存使用数据!$A:$L,12,0),0)+IFERROR(VLOOKUP($A819,[2]库存使用数据!$A:$L,12,0),0)+IFERROR(VLOOKUP($A819,[3]库存使用数据!$A:$L,12,0),0)+IFERROR(VLOOKUP($A819,[4]库存使用数据!$A:$L,12,0),0)+IFERROR(VLOOKUP($A819,[5]库存使用数据!$A:$L,12,0),0)</f>
        <v>3</v>
      </c>
      <c r="M819" s="1">
        <f ca="1">IFERROR(VLOOKUP($A819,[1]库存使用数据!$A:$M,13,0),0)+IFERROR(VLOOKUP($A819,[2]库存使用数据!$A:$M,13,0),0)+公式!$B$14*IFERROR(VLOOKUP($A819,[3]库存使用数据!$A:$M,13,0),0)+IFERROR(VLOOKUP($A819,[4]库存使用数据!$A:$M,13,0),0)+IFERROR(VLOOKUP($A819,[5]库存使用数据!$A:$M,13,0),0)</f>
        <v>0.49</v>
      </c>
    </row>
    <row r="820" spans="1:13">
      <c r="A820" s="6" t="s">
        <v>825</v>
      </c>
      <c r="B820" s="2">
        <f ca="1">IFERROR(VLOOKUP(A820,[1]库存使用数据!$A:$B,2,0),0)+IFERROR(VLOOKUP(A820,[2]库存使用数据!$A:$B,2,0),0)+IFERROR(VLOOKUP(,[3]库存使用数据!$A:$B,2,0),0)+IFERROR(VLOOKUP(A820,[4]库存使用数据!$A:$B,2,0),0)+IFERROR(VLOOKUP(A820,[5]库存使用数据!$A:$B,2,0),0)</f>
        <v>76</v>
      </c>
      <c r="C820" s="1">
        <f ca="1">IFERROR(VLOOKUP($A820,[1]库存使用数据!$A:$C,3,0),0)+IFERROR(VLOOKUP($A820,[2]库存使用数据!$A:$C,3,0),0)+IFERROR(VLOOKUP($A820,[3]库存使用数据!$A:$C,3,0),0)+IFERROR(VLOOKUP($A820,[4]库存使用数据!$A:$C,3,0),0)+IFERROR(VLOOKUP($A820,[5]库存使用数据!$A:$C,3,0),0)</f>
        <v>2</v>
      </c>
      <c r="D820" s="1">
        <f ca="1">IFERROR(VLOOKUP($A820,[1]库存使用数据!$A:$D,4,0),0)+IFERROR(VLOOKUP($A820,[2]库存使用数据!$A:$D,4,0),0)+公式!$B$1*IFERROR(VLOOKUP($A820,[3]库存使用数据!$A:$D,4,0),0)+IFERROR(VLOOKUP($A820,[4]库存使用数据!$A:$D,4,0),0)+IFERROR(VLOOKUP($A820,[5]库存使用数据!$A:$D,4,0),0)</f>
        <v>0.32</v>
      </c>
      <c r="E820" s="1">
        <f ca="1">IFERROR(VLOOKUP($A820,[1]库存使用数据!$A:$E,5,0),0)+IFERROR(VLOOKUP($A820,[2]库存使用数据!$A:$E,5,0),0)+IFERROR(VLOOKUP($A820,[3]库存使用数据!$A:$E,5,0),0)+IFERROR(VLOOKUP($A820,[4]库存使用数据!$A:$E,5,0),0)+IFERROR(VLOOKUP($A820,[5]库存使用数据!$A:$E,5,0),0)</f>
        <v>8364</v>
      </c>
      <c r="F820" s="1">
        <f ca="1">IFERROR(VLOOKUP($A820,[1]库存使用数据!$A:$F,6,0),0)+IFERROR(VLOOKUP($A820,[2]库存使用数据!$A:$F,6,0),0)+IFERROR(VLOOKUP($A820,[4]库存使用数据!$A:$F,6,0),0)+IFERROR(VLOOKUP($A820,[3]库存使用数据!$A:$F,6,0),0)+IFERROR(VLOOKUP($A820,[5]库存使用数据!$A:$F,6,0),0)</f>
        <v>11</v>
      </c>
      <c r="G820" s="1">
        <f ca="1">IFERROR(VLOOKUP($A820,[1]库存使用数据!$A:$G,7,0),0)+IFERROR(VLOOKUP($A820,[2]库存使用数据!$A:$G,7,0),0)+公式!$B$14*IFERROR(VLOOKUP($A820,[3]库存使用数据!$A:$G,7,0),0)+IFERROR(VLOOKUP($A820,[4]库存使用数据!$A:$G,7,0),0)+IFERROR(VLOOKUP($A820,[5]库存使用数据!$A:$G,7,0),0)</f>
        <v>1.94</v>
      </c>
      <c r="H820" s="1">
        <f ca="1">IFERROR(VLOOKUP($A820,[1]库存使用数据!$A:$H,8,0),0)+IFERROR(VLOOKUP($A820,[2]库存使用数据!$A:$H,8,0),0)+IFERROR(VLOOKUP($A820,[3]库存使用数据!$A:$H,8,0),0)+IFERROR(VLOOKUP($A820,[4]库存使用数据!$A:$H,8,0),0)+IFERROR(VLOOKUP($A820,[5]库存使用数据!$A:$H,8,0),0)</f>
        <v>3933</v>
      </c>
      <c r="I820" s="1">
        <f ca="1">IFERROR(VLOOKUP($A820,[1]库存使用数据!$A:$I,9,0),0)+IFERROR(VLOOKUP($A820,[2]库存使用数据!$A:$I,9,0),0)+IFERROR(VLOOKUP($A820,[3]库存使用数据!$A:$I,9,0),0)+IFERROR(VLOOKUP($A820,[4]库存使用数据!$A:$I,9,0),0)+IFERROR(VLOOKUP($A820,[5]库存使用数据!$A:$I,9,0),0)</f>
        <v>5</v>
      </c>
      <c r="J820" s="1">
        <f ca="1">IFERROR(VLOOKUP($A820,[1]库存使用数据!$A:$J,10,0),0)+IFERROR(VLOOKUP($A820,[2]库存使用数据!$A:$J,10,0),0)+公式!$B$14*IFERROR(VLOOKUP($A820,[3]库存使用数据!$A:$J,10,0),0)+IFERROR(VLOOKUP($A820,[4]库存使用数据!$A:$J,10,0),0)+IFERROR(VLOOKUP($A820,[5]库存使用数据!$A:$J,10,0),0)</f>
        <v>0.88</v>
      </c>
      <c r="K820" s="1">
        <f ca="1">IFERROR(VLOOKUP($A820,[1]库存使用数据!$A:$K,11,0),0)+IFERROR(VLOOKUP($A820,[2]库存使用数据!$A:$K,11,0),0)+IFERROR(VLOOKUP($A820,[3]库存使用数据!$A:$K,11,0),0)+IFERROR(VLOOKUP($A820,[4]库存使用数据!$A:$K,11,0),0)+IFERROR(VLOOKUP($A820,[5]库存使用数据!$A:$K,11,0),0)</f>
        <v>1297</v>
      </c>
      <c r="L820" s="1">
        <f ca="1">IFERROR(VLOOKUP($A820,[1]库存使用数据!$A:$L,12,0),0)+IFERROR(VLOOKUP($A820,[2]库存使用数据!$A:$L,12,0),0)+IFERROR(VLOOKUP($A820,[3]库存使用数据!$A:$L,12,0),0)+IFERROR(VLOOKUP($A820,[4]库存使用数据!$A:$L,12,0),0)+IFERROR(VLOOKUP($A820,[5]库存使用数据!$A:$L,12,0),0)</f>
        <v>2</v>
      </c>
      <c r="M820" s="1">
        <f ca="1">IFERROR(VLOOKUP($A820,[1]库存使用数据!$A:$M,13,0),0)+IFERROR(VLOOKUP($A820,[2]库存使用数据!$A:$M,13,0),0)+公式!$B$14*IFERROR(VLOOKUP($A820,[3]库存使用数据!$A:$M,13,0),0)+IFERROR(VLOOKUP($A820,[4]库存使用数据!$A:$M,13,0),0)+IFERROR(VLOOKUP($A820,[5]库存使用数据!$A:$M,13,0),0)</f>
        <v>0.53</v>
      </c>
    </row>
    <row r="821" spans="1:13">
      <c r="A821" s="6" t="s">
        <v>826</v>
      </c>
      <c r="B821" s="2">
        <f ca="1">IFERROR(VLOOKUP(A821,[1]库存使用数据!$A:$B,2,0),0)+IFERROR(VLOOKUP(A821,[2]库存使用数据!$A:$B,2,0),0)+IFERROR(VLOOKUP(,[3]库存使用数据!$A:$B,2,0),0)+IFERROR(VLOOKUP(A821,[4]库存使用数据!$A:$B,2,0),0)+IFERROR(VLOOKUP(A821,[5]库存使用数据!$A:$B,2,0),0)</f>
        <v>0</v>
      </c>
      <c r="C821" s="1">
        <f ca="1">IFERROR(VLOOKUP($A821,[1]库存使用数据!$A:$C,3,0),0)+IFERROR(VLOOKUP($A821,[2]库存使用数据!$A:$C,3,0),0)+IFERROR(VLOOKUP($A821,[3]库存使用数据!$A:$C,3,0),0)+IFERROR(VLOOKUP($A821,[4]库存使用数据!$A:$C,3,0),0)+IFERROR(VLOOKUP($A821,[5]库存使用数据!$A:$C,3,0),0)</f>
        <v>0</v>
      </c>
      <c r="D821" s="1">
        <f ca="1">IFERROR(VLOOKUP($A821,[1]库存使用数据!$A:$D,4,0),0)+IFERROR(VLOOKUP($A821,[2]库存使用数据!$A:$D,4,0),0)+公式!$B$1*IFERROR(VLOOKUP($A821,[3]库存使用数据!$A:$D,4,0),0)+IFERROR(VLOOKUP($A821,[4]库存使用数据!$A:$D,4,0),0)+IFERROR(VLOOKUP($A821,[5]库存使用数据!$A:$D,4,0),0)</f>
        <v>0</v>
      </c>
      <c r="E821" s="1">
        <f ca="1">IFERROR(VLOOKUP($A821,[1]库存使用数据!$A:$E,5,0),0)+IFERROR(VLOOKUP($A821,[2]库存使用数据!$A:$E,5,0),0)+IFERROR(VLOOKUP($A821,[3]库存使用数据!$A:$E,5,0),0)+IFERROR(VLOOKUP($A821,[4]库存使用数据!$A:$E,5,0),0)+IFERROR(VLOOKUP($A821,[5]库存使用数据!$A:$E,5,0),0)</f>
        <v>0</v>
      </c>
      <c r="F821" s="1">
        <f ca="1">IFERROR(VLOOKUP($A821,[1]库存使用数据!$A:$F,6,0),0)+IFERROR(VLOOKUP($A821,[2]库存使用数据!$A:$F,6,0),0)+IFERROR(VLOOKUP($A821,[4]库存使用数据!$A:$F,6,0),0)+IFERROR(VLOOKUP($A821,[3]库存使用数据!$A:$F,6,0),0)+IFERROR(VLOOKUP($A821,[5]库存使用数据!$A:$F,6,0),0)</f>
        <v>0</v>
      </c>
      <c r="G821" s="1">
        <f ca="1">IFERROR(VLOOKUP($A821,[1]库存使用数据!$A:$G,7,0),0)+IFERROR(VLOOKUP($A821,[2]库存使用数据!$A:$G,7,0),0)+公式!$B$14*IFERROR(VLOOKUP($A821,[3]库存使用数据!$A:$G,7,0),0)+IFERROR(VLOOKUP($A821,[4]库存使用数据!$A:$G,7,0),0)+IFERROR(VLOOKUP($A821,[5]库存使用数据!$A:$G,7,0),0)</f>
        <v>0</v>
      </c>
      <c r="H821" s="1">
        <f ca="1">IFERROR(VLOOKUP($A821,[1]库存使用数据!$A:$H,8,0),0)+IFERROR(VLOOKUP($A821,[2]库存使用数据!$A:$H,8,0),0)+IFERROR(VLOOKUP($A821,[3]库存使用数据!$A:$H,8,0),0)+IFERROR(VLOOKUP($A821,[4]库存使用数据!$A:$H,8,0),0)+IFERROR(VLOOKUP($A821,[5]库存使用数据!$A:$H,8,0),0)</f>
        <v>0</v>
      </c>
      <c r="I821" s="1">
        <f ca="1">IFERROR(VLOOKUP($A821,[1]库存使用数据!$A:$I,9,0),0)+IFERROR(VLOOKUP($A821,[2]库存使用数据!$A:$I,9,0),0)+IFERROR(VLOOKUP($A821,[3]库存使用数据!$A:$I,9,0),0)+IFERROR(VLOOKUP($A821,[4]库存使用数据!$A:$I,9,0),0)+IFERROR(VLOOKUP($A821,[5]库存使用数据!$A:$I,9,0),0)</f>
        <v>0</v>
      </c>
      <c r="J821" s="1">
        <f ca="1">IFERROR(VLOOKUP($A821,[1]库存使用数据!$A:$J,10,0),0)+IFERROR(VLOOKUP($A821,[2]库存使用数据!$A:$J,10,0),0)+公式!$B$14*IFERROR(VLOOKUP($A821,[3]库存使用数据!$A:$J,10,0),0)+IFERROR(VLOOKUP($A821,[4]库存使用数据!$A:$J,10,0),0)+IFERROR(VLOOKUP($A821,[5]库存使用数据!$A:$J,10,0),0)</f>
        <v>0</v>
      </c>
      <c r="K821" s="1">
        <f ca="1">IFERROR(VLOOKUP($A821,[1]库存使用数据!$A:$K,11,0),0)+IFERROR(VLOOKUP($A821,[2]库存使用数据!$A:$K,11,0),0)+IFERROR(VLOOKUP($A821,[3]库存使用数据!$A:$K,11,0),0)+IFERROR(VLOOKUP($A821,[4]库存使用数据!$A:$K,11,0),0)+IFERROR(VLOOKUP($A821,[5]库存使用数据!$A:$K,11,0),0)</f>
        <v>32</v>
      </c>
      <c r="L821" s="1">
        <f ca="1">IFERROR(VLOOKUP($A821,[1]库存使用数据!$A:$L,12,0),0)+IFERROR(VLOOKUP($A821,[2]库存使用数据!$A:$L,12,0),0)+IFERROR(VLOOKUP($A821,[3]库存使用数据!$A:$L,12,0),0)+IFERROR(VLOOKUP($A821,[4]库存使用数据!$A:$L,12,0),0)+IFERROR(VLOOKUP($A821,[5]库存使用数据!$A:$L,12,0),0)</f>
        <v>0</v>
      </c>
      <c r="M821" s="1">
        <f ca="1">IFERROR(VLOOKUP($A821,[1]库存使用数据!$A:$M,13,0),0)+IFERROR(VLOOKUP($A821,[2]库存使用数据!$A:$M,13,0),0)+公式!$B$14*IFERROR(VLOOKUP($A821,[3]库存使用数据!$A:$M,13,0),0)+IFERROR(VLOOKUP($A821,[4]库存使用数据!$A:$M,13,0),0)+IFERROR(VLOOKUP($A821,[5]库存使用数据!$A:$M,13,0),0)</f>
        <v>0</v>
      </c>
    </row>
    <row r="822" spans="1:13">
      <c r="A822" s="6" t="s">
        <v>827</v>
      </c>
      <c r="B822" s="2">
        <f ca="1">IFERROR(VLOOKUP(A822,[1]库存使用数据!$A:$B,2,0),0)+IFERROR(VLOOKUP(A822,[2]库存使用数据!$A:$B,2,0),0)+IFERROR(VLOOKUP(,[3]库存使用数据!$A:$B,2,0),0)+IFERROR(VLOOKUP(A822,[4]库存使用数据!$A:$B,2,0),0)+IFERROR(VLOOKUP(A822,[5]库存使用数据!$A:$B,2,0),0)</f>
        <v>5</v>
      </c>
      <c r="C822" s="1">
        <f ca="1">IFERROR(VLOOKUP($A822,[1]库存使用数据!$A:$C,3,0),0)+IFERROR(VLOOKUP($A822,[2]库存使用数据!$A:$C,3,0),0)+IFERROR(VLOOKUP($A822,[3]库存使用数据!$A:$C,3,0),0)+IFERROR(VLOOKUP($A822,[4]库存使用数据!$A:$C,3,0),0)+IFERROR(VLOOKUP($A822,[5]库存使用数据!$A:$C,3,0),0)</f>
        <v>0</v>
      </c>
      <c r="D822" s="1">
        <f ca="1">IFERROR(VLOOKUP($A822,[1]库存使用数据!$A:$D,4,0),0)+IFERROR(VLOOKUP($A822,[2]库存使用数据!$A:$D,4,0),0)+公式!$B$1*IFERROR(VLOOKUP($A822,[3]库存使用数据!$A:$D,4,0),0)+IFERROR(VLOOKUP($A822,[4]库存使用数据!$A:$D,4,0),0)+IFERROR(VLOOKUP($A822,[5]库存使用数据!$A:$D,4,0),0)</f>
        <v>0</v>
      </c>
      <c r="E822" s="1">
        <f ca="1">IFERROR(VLOOKUP($A822,[1]库存使用数据!$A:$E,5,0),0)+IFERROR(VLOOKUP($A822,[2]库存使用数据!$A:$E,5,0),0)+IFERROR(VLOOKUP($A822,[3]库存使用数据!$A:$E,5,0),0)+IFERROR(VLOOKUP($A822,[4]库存使用数据!$A:$E,5,0),0)+IFERROR(VLOOKUP($A822,[5]库存使用数据!$A:$E,5,0),0)</f>
        <v>47</v>
      </c>
      <c r="F822" s="1">
        <f ca="1">IFERROR(VLOOKUP($A822,[1]库存使用数据!$A:$F,6,0),0)+IFERROR(VLOOKUP($A822,[2]库存使用数据!$A:$F,6,0),0)+IFERROR(VLOOKUP($A822,[4]库存使用数据!$A:$F,6,0),0)+IFERROR(VLOOKUP($A822,[3]库存使用数据!$A:$F,6,0),0)+IFERROR(VLOOKUP($A822,[5]库存使用数据!$A:$F,6,0),0)</f>
        <v>0</v>
      </c>
      <c r="G822" s="1">
        <f ca="1">IFERROR(VLOOKUP($A822,[1]库存使用数据!$A:$G,7,0),0)+IFERROR(VLOOKUP($A822,[2]库存使用数据!$A:$G,7,0),0)+公式!$B$14*IFERROR(VLOOKUP($A822,[3]库存使用数据!$A:$G,7,0),0)+IFERROR(VLOOKUP($A822,[4]库存使用数据!$A:$G,7,0),0)+IFERROR(VLOOKUP($A822,[5]库存使用数据!$A:$G,7,0),0)</f>
        <v>0</v>
      </c>
      <c r="H822" s="1">
        <f ca="1">IFERROR(VLOOKUP($A822,[1]库存使用数据!$A:$H,8,0),0)+IFERROR(VLOOKUP($A822,[2]库存使用数据!$A:$H,8,0),0)+IFERROR(VLOOKUP($A822,[3]库存使用数据!$A:$H,8,0),0)+IFERROR(VLOOKUP($A822,[4]库存使用数据!$A:$H,8,0),0)+IFERROR(VLOOKUP($A822,[5]库存使用数据!$A:$H,8,0),0)</f>
        <v>26</v>
      </c>
      <c r="I822" s="1">
        <f ca="1">IFERROR(VLOOKUP($A822,[1]库存使用数据!$A:$I,9,0),0)+IFERROR(VLOOKUP($A822,[2]库存使用数据!$A:$I,9,0),0)+IFERROR(VLOOKUP($A822,[3]库存使用数据!$A:$I,9,0),0)+IFERROR(VLOOKUP($A822,[4]库存使用数据!$A:$I,9,0),0)+IFERROR(VLOOKUP($A822,[5]库存使用数据!$A:$I,9,0),0)</f>
        <v>0</v>
      </c>
      <c r="J822" s="1">
        <f ca="1">IFERROR(VLOOKUP($A822,[1]库存使用数据!$A:$J,10,0),0)+IFERROR(VLOOKUP($A822,[2]库存使用数据!$A:$J,10,0),0)+公式!$B$14*IFERROR(VLOOKUP($A822,[3]库存使用数据!$A:$J,10,0),0)+IFERROR(VLOOKUP($A822,[4]库存使用数据!$A:$J,10,0),0)+IFERROR(VLOOKUP($A822,[5]库存使用数据!$A:$J,10,0),0)</f>
        <v>0</v>
      </c>
      <c r="K822" s="1">
        <f ca="1">IFERROR(VLOOKUP($A822,[1]库存使用数据!$A:$K,11,0),0)+IFERROR(VLOOKUP($A822,[2]库存使用数据!$A:$K,11,0),0)+IFERROR(VLOOKUP($A822,[3]库存使用数据!$A:$K,11,0),0)+IFERROR(VLOOKUP($A822,[4]库存使用数据!$A:$K,11,0),0)+IFERROR(VLOOKUP($A822,[5]库存使用数据!$A:$K,11,0),0)</f>
        <v>20</v>
      </c>
      <c r="L822" s="1">
        <f ca="1">IFERROR(VLOOKUP($A822,[1]库存使用数据!$A:$L,12,0),0)+IFERROR(VLOOKUP($A822,[2]库存使用数据!$A:$L,12,0),0)+IFERROR(VLOOKUP($A822,[3]库存使用数据!$A:$L,12,0),0)+IFERROR(VLOOKUP($A822,[4]库存使用数据!$A:$L,12,0),0)+IFERROR(VLOOKUP($A822,[5]库存使用数据!$A:$L,12,0),0)</f>
        <v>0</v>
      </c>
      <c r="M822" s="1">
        <f ca="1">IFERROR(VLOOKUP($A822,[1]库存使用数据!$A:$M,13,0),0)+IFERROR(VLOOKUP($A822,[2]库存使用数据!$A:$M,13,0),0)+公式!$B$14*IFERROR(VLOOKUP($A822,[3]库存使用数据!$A:$M,13,0),0)+IFERROR(VLOOKUP($A822,[4]库存使用数据!$A:$M,13,0),0)+IFERROR(VLOOKUP($A822,[5]库存使用数据!$A:$M,13,0),0)</f>
        <v>0</v>
      </c>
    </row>
    <row r="823" spans="1:13">
      <c r="A823" s="6" t="s">
        <v>828</v>
      </c>
      <c r="B823" s="2">
        <f ca="1">IFERROR(VLOOKUP(A823,[1]库存使用数据!$A:$B,2,0),0)+IFERROR(VLOOKUP(A823,[2]库存使用数据!$A:$B,2,0),0)+IFERROR(VLOOKUP(,[3]库存使用数据!$A:$B,2,0),0)+IFERROR(VLOOKUP(A823,[4]库存使用数据!$A:$B,2,0),0)+IFERROR(VLOOKUP(A823,[5]库存使用数据!$A:$B,2,0),0)</f>
        <v>0</v>
      </c>
      <c r="C823" s="1">
        <f ca="1">IFERROR(VLOOKUP($A823,[1]库存使用数据!$A:$C,3,0),0)+IFERROR(VLOOKUP($A823,[2]库存使用数据!$A:$C,3,0),0)+IFERROR(VLOOKUP($A823,[3]库存使用数据!$A:$C,3,0),0)+IFERROR(VLOOKUP($A823,[4]库存使用数据!$A:$C,3,0),0)+IFERROR(VLOOKUP($A823,[5]库存使用数据!$A:$C,3,0),0)</f>
        <v>0</v>
      </c>
      <c r="D823" s="1">
        <f ca="1">IFERROR(VLOOKUP($A823,[1]库存使用数据!$A:$D,4,0),0)+IFERROR(VLOOKUP($A823,[2]库存使用数据!$A:$D,4,0),0)+公式!$B$1*IFERROR(VLOOKUP($A823,[3]库存使用数据!$A:$D,4,0),0)+IFERROR(VLOOKUP($A823,[4]库存使用数据!$A:$D,4,0),0)+IFERROR(VLOOKUP($A823,[5]库存使用数据!$A:$D,4,0),0)</f>
        <v>0</v>
      </c>
      <c r="E823" s="1">
        <f ca="1">IFERROR(VLOOKUP($A823,[1]库存使用数据!$A:$E,5,0),0)+IFERROR(VLOOKUP($A823,[2]库存使用数据!$A:$E,5,0),0)+IFERROR(VLOOKUP($A823,[3]库存使用数据!$A:$E,5,0),0)+IFERROR(VLOOKUP($A823,[4]库存使用数据!$A:$E,5,0),0)+IFERROR(VLOOKUP($A823,[5]库存使用数据!$A:$E,5,0),0)</f>
        <v>0</v>
      </c>
      <c r="F823" s="1">
        <f ca="1">IFERROR(VLOOKUP($A823,[1]库存使用数据!$A:$F,6,0),0)+IFERROR(VLOOKUP($A823,[2]库存使用数据!$A:$F,6,0),0)+IFERROR(VLOOKUP($A823,[4]库存使用数据!$A:$F,6,0),0)+IFERROR(VLOOKUP($A823,[3]库存使用数据!$A:$F,6,0),0)+IFERROR(VLOOKUP($A823,[5]库存使用数据!$A:$F,6,0),0)</f>
        <v>0</v>
      </c>
      <c r="G823" s="1">
        <f ca="1">IFERROR(VLOOKUP($A823,[1]库存使用数据!$A:$G,7,0),0)+IFERROR(VLOOKUP($A823,[2]库存使用数据!$A:$G,7,0),0)+公式!$B$14*IFERROR(VLOOKUP($A823,[3]库存使用数据!$A:$G,7,0),0)+IFERROR(VLOOKUP($A823,[4]库存使用数据!$A:$G,7,0),0)+IFERROR(VLOOKUP($A823,[5]库存使用数据!$A:$G,7,0),0)</f>
        <v>0</v>
      </c>
      <c r="H823" s="1">
        <f ca="1">IFERROR(VLOOKUP($A823,[1]库存使用数据!$A:$H,8,0),0)+IFERROR(VLOOKUP($A823,[2]库存使用数据!$A:$H,8,0),0)+IFERROR(VLOOKUP($A823,[3]库存使用数据!$A:$H,8,0),0)+IFERROR(VLOOKUP($A823,[4]库存使用数据!$A:$H,8,0),0)+IFERROR(VLOOKUP($A823,[5]库存使用数据!$A:$H,8,0),0)</f>
        <v>0</v>
      </c>
      <c r="I823" s="1">
        <f ca="1">IFERROR(VLOOKUP($A823,[1]库存使用数据!$A:$I,9,0),0)+IFERROR(VLOOKUP($A823,[2]库存使用数据!$A:$I,9,0),0)+IFERROR(VLOOKUP($A823,[3]库存使用数据!$A:$I,9,0),0)+IFERROR(VLOOKUP($A823,[4]库存使用数据!$A:$I,9,0),0)+IFERROR(VLOOKUP($A823,[5]库存使用数据!$A:$I,9,0),0)</f>
        <v>0</v>
      </c>
      <c r="J823" s="1">
        <f ca="1">IFERROR(VLOOKUP($A823,[1]库存使用数据!$A:$J,10,0),0)+IFERROR(VLOOKUP($A823,[2]库存使用数据!$A:$J,10,0),0)+公式!$B$14*IFERROR(VLOOKUP($A823,[3]库存使用数据!$A:$J,10,0),0)+IFERROR(VLOOKUP($A823,[4]库存使用数据!$A:$J,10,0),0)+IFERROR(VLOOKUP($A823,[5]库存使用数据!$A:$J,10,0),0)</f>
        <v>0</v>
      </c>
      <c r="K823" s="1">
        <f ca="1">IFERROR(VLOOKUP($A823,[1]库存使用数据!$A:$K,11,0),0)+IFERROR(VLOOKUP($A823,[2]库存使用数据!$A:$K,11,0),0)+IFERROR(VLOOKUP($A823,[3]库存使用数据!$A:$K,11,0),0)+IFERROR(VLOOKUP($A823,[4]库存使用数据!$A:$K,11,0),0)+IFERROR(VLOOKUP($A823,[5]库存使用数据!$A:$K,11,0),0)</f>
        <v>1</v>
      </c>
      <c r="L823" s="1">
        <f ca="1">IFERROR(VLOOKUP($A823,[1]库存使用数据!$A:$L,12,0),0)+IFERROR(VLOOKUP($A823,[2]库存使用数据!$A:$L,12,0),0)+IFERROR(VLOOKUP($A823,[3]库存使用数据!$A:$L,12,0),0)+IFERROR(VLOOKUP($A823,[4]库存使用数据!$A:$L,12,0),0)+IFERROR(VLOOKUP($A823,[5]库存使用数据!$A:$L,12,0),0)</f>
        <v>0</v>
      </c>
      <c r="M823" s="1">
        <f ca="1">IFERROR(VLOOKUP($A823,[1]库存使用数据!$A:$M,13,0),0)+IFERROR(VLOOKUP($A823,[2]库存使用数据!$A:$M,13,0),0)+公式!$B$14*IFERROR(VLOOKUP($A823,[3]库存使用数据!$A:$M,13,0),0)+IFERROR(VLOOKUP($A823,[4]库存使用数据!$A:$M,13,0),0)+IFERROR(VLOOKUP($A823,[5]库存使用数据!$A:$M,13,0),0)</f>
        <v>0</v>
      </c>
    </row>
    <row r="824" spans="1:13">
      <c r="A824" s="6" t="s">
        <v>829</v>
      </c>
      <c r="B824" s="2">
        <f ca="1">IFERROR(VLOOKUP(A824,[1]库存使用数据!$A:$B,2,0),0)+IFERROR(VLOOKUP(A824,[2]库存使用数据!$A:$B,2,0),0)+IFERROR(VLOOKUP(,[3]库存使用数据!$A:$B,2,0),0)+IFERROR(VLOOKUP(A824,[4]库存使用数据!$A:$B,2,0),0)+IFERROR(VLOOKUP(A824,[5]库存使用数据!$A:$B,2,0),0)</f>
        <v>32</v>
      </c>
      <c r="C824" s="1">
        <f ca="1">IFERROR(VLOOKUP($A824,[1]库存使用数据!$A:$C,3,0),0)+IFERROR(VLOOKUP($A824,[2]库存使用数据!$A:$C,3,0),0)+IFERROR(VLOOKUP($A824,[3]库存使用数据!$A:$C,3,0),0)+IFERROR(VLOOKUP($A824,[4]库存使用数据!$A:$C,3,0),0)+IFERROR(VLOOKUP($A824,[5]库存使用数据!$A:$C,3,0),0)</f>
        <v>0</v>
      </c>
      <c r="D824" s="1">
        <f ca="1">IFERROR(VLOOKUP($A824,[1]库存使用数据!$A:$D,4,0),0)+IFERROR(VLOOKUP($A824,[2]库存使用数据!$A:$D,4,0),0)+公式!$B$1*IFERROR(VLOOKUP($A824,[3]库存使用数据!$A:$D,4,0),0)+IFERROR(VLOOKUP($A824,[4]库存使用数据!$A:$D,4,0),0)+IFERROR(VLOOKUP($A824,[5]库存使用数据!$A:$D,4,0),0)</f>
        <v>0</v>
      </c>
      <c r="E824" s="1">
        <f ca="1">IFERROR(VLOOKUP($A824,[1]库存使用数据!$A:$E,5,0),0)+IFERROR(VLOOKUP($A824,[2]库存使用数据!$A:$E,5,0),0)+IFERROR(VLOOKUP($A824,[3]库存使用数据!$A:$E,5,0),0)+IFERROR(VLOOKUP($A824,[4]库存使用数据!$A:$E,5,0),0)+IFERROR(VLOOKUP($A824,[5]库存使用数据!$A:$E,5,0),0)</f>
        <v>169</v>
      </c>
      <c r="F824" s="1">
        <f ca="1">IFERROR(VLOOKUP($A824,[1]库存使用数据!$A:$F,6,0),0)+IFERROR(VLOOKUP($A824,[2]库存使用数据!$A:$F,6,0),0)+IFERROR(VLOOKUP($A824,[4]库存使用数据!$A:$F,6,0),0)+IFERROR(VLOOKUP($A824,[3]库存使用数据!$A:$F,6,0),0)+IFERROR(VLOOKUP($A824,[5]库存使用数据!$A:$F,6,0),0)</f>
        <v>1</v>
      </c>
      <c r="G824" s="1">
        <f ca="1">IFERROR(VLOOKUP($A824,[1]库存使用数据!$A:$G,7,0),0)+IFERROR(VLOOKUP($A824,[2]库存使用数据!$A:$G,7,0),0)+公式!$B$14*IFERROR(VLOOKUP($A824,[3]库存使用数据!$A:$G,7,0),0)+IFERROR(VLOOKUP($A824,[4]库存使用数据!$A:$G,7,0),0)+IFERROR(VLOOKUP($A824,[5]库存使用数据!$A:$G,7,0),0)</f>
        <v>0.09</v>
      </c>
      <c r="H824" s="1">
        <f ca="1">IFERROR(VLOOKUP($A824,[1]库存使用数据!$A:$H,8,0),0)+IFERROR(VLOOKUP($A824,[2]库存使用数据!$A:$H,8,0),0)+IFERROR(VLOOKUP($A824,[3]库存使用数据!$A:$H,8,0),0)+IFERROR(VLOOKUP($A824,[4]库存使用数据!$A:$H,8,0),0)+IFERROR(VLOOKUP($A824,[5]库存使用数据!$A:$H,8,0),0)</f>
        <v>86</v>
      </c>
      <c r="I824" s="1">
        <f ca="1">IFERROR(VLOOKUP($A824,[1]库存使用数据!$A:$I,9,0),0)+IFERROR(VLOOKUP($A824,[2]库存使用数据!$A:$I,9,0),0)+IFERROR(VLOOKUP($A824,[3]库存使用数据!$A:$I,9,0),0)+IFERROR(VLOOKUP($A824,[4]库存使用数据!$A:$I,9,0),0)+IFERROR(VLOOKUP($A824,[5]库存使用数据!$A:$I,9,0),0)</f>
        <v>0</v>
      </c>
      <c r="J824" s="1">
        <f ca="1">IFERROR(VLOOKUP($A824,[1]库存使用数据!$A:$J,10,0),0)+IFERROR(VLOOKUP($A824,[2]库存使用数据!$A:$J,10,0),0)+公式!$B$14*IFERROR(VLOOKUP($A824,[3]库存使用数据!$A:$J,10,0),0)+IFERROR(VLOOKUP($A824,[4]库存使用数据!$A:$J,10,0),0)+IFERROR(VLOOKUP($A824,[5]库存使用数据!$A:$J,10,0),0)</f>
        <v>0</v>
      </c>
      <c r="K824" s="1">
        <f ca="1">IFERROR(VLOOKUP($A824,[1]库存使用数据!$A:$K,11,0),0)+IFERROR(VLOOKUP($A824,[2]库存使用数据!$A:$K,11,0),0)+IFERROR(VLOOKUP($A824,[3]库存使用数据!$A:$K,11,0),0)+IFERROR(VLOOKUP($A824,[4]库存使用数据!$A:$K,11,0),0)+IFERROR(VLOOKUP($A824,[5]库存使用数据!$A:$K,11,0),0)</f>
        <v>103</v>
      </c>
      <c r="L824" s="1">
        <f ca="1">IFERROR(VLOOKUP($A824,[1]库存使用数据!$A:$L,12,0),0)+IFERROR(VLOOKUP($A824,[2]库存使用数据!$A:$L,12,0),0)+IFERROR(VLOOKUP($A824,[3]库存使用数据!$A:$L,12,0),0)+IFERROR(VLOOKUP($A824,[4]库存使用数据!$A:$L,12,0),0)+IFERROR(VLOOKUP($A824,[5]库存使用数据!$A:$L,12,0),0)</f>
        <v>1</v>
      </c>
      <c r="M824" s="1">
        <f ca="1">IFERROR(VLOOKUP($A824,[1]库存使用数据!$A:$M,13,0),0)+IFERROR(VLOOKUP($A824,[2]库存使用数据!$A:$M,13,0),0)+公式!$B$14*IFERROR(VLOOKUP($A824,[3]库存使用数据!$A:$M,13,0),0)+IFERROR(VLOOKUP($A824,[4]库存使用数据!$A:$M,13,0),0)+IFERROR(VLOOKUP($A824,[5]库存使用数据!$A:$M,13,0),0)</f>
        <v>0.2</v>
      </c>
    </row>
    <row r="825" spans="1:13">
      <c r="A825" s="6" t="s">
        <v>830</v>
      </c>
      <c r="B825" s="2">
        <f ca="1">IFERROR(VLOOKUP(A825,[1]库存使用数据!$A:$B,2,0),0)+IFERROR(VLOOKUP(A825,[2]库存使用数据!$A:$B,2,0),0)+IFERROR(VLOOKUP(,[3]库存使用数据!$A:$B,2,0),0)+IFERROR(VLOOKUP(A825,[4]库存使用数据!$A:$B,2,0),0)+IFERROR(VLOOKUP(A825,[5]库存使用数据!$A:$B,2,0),0)</f>
        <v>152</v>
      </c>
      <c r="C825" s="1">
        <f ca="1">IFERROR(VLOOKUP($A825,[1]库存使用数据!$A:$C,3,0),0)+IFERROR(VLOOKUP($A825,[2]库存使用数据!$A:$C,3,0),0)+IFERROR(VLOOKUP($A825,[3]库存使用数据!$A:$C,3,0),0)+IFERROR(VLOOKUP($A825,[4]库存使用数据!$A:$C,3,0),0)+IFERROR(VLOOKUP($A825,[5]库存使用数据!$A:$C,3,0),0)</f>
        <v>4</v>
      </c>
      <c r="D825" s="1">
        <f ca="1">IFERROR(VLOOKUP($A825,[1]库存使用数据!$A:$D,4,0),0)+IFERROR(VLOOKUP($A825,[2]库存使用数据!$A:$D,4,0),0)+公式!$B$1*IFERROR(VLOOKUP($A825,[3]库存使用数据!$A:$D,4,0),0)+IFERROR(VLOOKUP($A825,[4]库存使用数据!$A:$D,4,0),0)+IFERROR(VLOOKUP($A825,[5]库存使用数据!$A:$D,4,0),0)</f>
        <v>0.57</v>
      </c>
      <c r="E825" s="1">
        <f ca="1">IFERROR(VLOOKUP($A825,[1]库存使用数据!$A:$E,5,0),0)+IFERROR(VLOOKUP($A825,[2]库存使用数据!$A:$E,5,0),0)+IFERROR(VLOOKUP($A825,[3]库存使用数据!$A:$E,5,0),0)+IFERROR(VLOOKUP($A825,[4]库存使用数据!$A:$E,5,0),0)+IFERROR(VLOOKUP($A825,[5]库存使用数据!$A:$E,5,0),0)</f>
        <v>140</v>
      </c>
      <c r="F825" s="1">
        <f ca="1">IFERROR(VLOOKUP($A825,[1]库存使用数据!$A:$F,6,0),0)+IFERROR(VLOOKUP($A825,[2]库存使用数据!$A:$F,6,0),0)+IFERROR(VLOOKUP($A825,[4]库存使用数据!$A:$F,6,0),0)+IFERROR(VLOOKUP($A825,[3]库存使用数据!$A:$F,6,0),0)+IFERROR(VLOOKUP($A825,[5]库存使用数据!$A:$F,6,0),0)</f>
        <v>1</v>
      </c>
      <c r="G825" s="1">
        <f ca="1">IFERROR(VLOOKUP($A825,[1]库存使用数据!$A:$G,7,0),0)+IFERROR(VLOOKUP($A825,[2]库存使用数据!$A:$G,7,0),0)+公式!$B$14*IFERROR(VLOOKUP($A825,[3]库存使用数据!$A:$G,7,0),0)+IFERROR(VLOOKUP($A825,[4]库存使用数据!$A:$G,7,0),0)+IFERROR(VLOOKUP($A825,[5]库存使用数据!$A:$G,7,0),0)</f>
        <v>0.15</v>
      </c>
      <c r="H825" s="1">
        <f ca="1">IFERROR(VLOOKUP($A825,[1]库存使用数据!$A:$H,8,0),0)+IFERROR(VLOOKUP($A825,[2]库存使用数据!$A:$H,8,0),0)+IFERROR(VLOOKUP($A825,[3]库存使用数据!$A:$H,8,0),0)+IFERROR(VLOOKUP($A825,[4]库存使用数据!$A:$H,8,0),0)+IFERROR(VLOOKUP($A825,[5]库存使用数据!$A:$H,8,0),0)</f>
        <v>20</v>
      </c>
      <c r="I825" s="1">
        <f ca="1">IFERROR(VLOOKUP($A825,[1]库存使用数据!$A:$I,9,0),0)+IFERROR(VLOOKUP($A825,[2]库存使用数据!$A:$I,9,0),0)+IFERROR(VLOOKUP($A825,[3]库存使用数据!$A:$I,9,0),0)+IFERROR(VLOOKUP($A825,[4]库存使用数据!$A:$I,9,0),0)+IFERROR(VLOOKUP($A825,[5]库存使用数据!$A:$I,9,0),0)</f>
        <v>0</v>
      </c>
      <c r="J825" s="1">
        <f ca="1">IFERROR(VLOOKUP($A825,[1]库存使用数据!$A:$J,10,0),0)+IFERROR(VLOOKUP($A825,[2]库存使用数据!$A:$J,10,0),0)+公式!$B$14*IFERROR(VLOOKUP($A825,[3]库存使用数据!$A:$J,10,0),0)+IFERROR(VLOOKUP($A825,[4]库存使用数据!$A:$J,10,0),0)+IFERROR(VLOOKUP($A825,[5]库存使用数据!$A:$J,10,0),0)</f>
        <v>0</v>
      </c>
      <c r="K825" s="1">
        <f ca="1">IFERROR(VLOOKUP($A825,[1]库存使用数据!$A:$K,11,0),0)+IFERROR(VLOOKUP($A825,[2]库存使用数据!$A:$K,11,0),0)+IFERROR(VLOOKUP($A825,[3]库存使用数据!$A:$K,11,0),0)+IFERROR(VLOOKUP($A825,[4]库存使用数据!$A:$K,11,0),0)+IFERROR(VLOOKUP($A825,[5]库存使用数据!$A:$K,11,0),0)</f>
        <v>19</v>
      </c>
      <c r="L825" s="1">
        <f ca="1">IFERROR(VLOOKUP($A825,[1]库存使用数据!$A:$L,12,0),0)+IFERROR(VLOOKUP($A825,[2]库存使用数据!$A:$L,12,0),0)+IFERROR(VLOOKUP($A825,[3]库存使用数据!$A:$L,12,0),0)+IFERROR(VLOOKUP($A825,[4]库存使用数据!$A:$L,12,0),0)+IFERROR(VLOOKUP($A825,[5]库存使用数据!$A:$L,12,0),0)</f>
        <v>0</v>
      </c>
      <c r="M825" s="1">
        <f ca="1">IFERROR(VLOOKUP($A825,[1]库存使用数据!$A:$M,13,0),0)+IFERROR(VLOOKUP($A825,[2]库存使用数据!$A:$M,13,0),0)+公式!$B$14*IFERROR(VLOOKUP($A825,[3]库存使用数据!$A:$M,13,0),0)+IFERROR(VLOOKUP($A825,[4]库存使用数据!$A:$M,13,0),0)+IFERROR(VLOOKUP($A825,[5]库存使用数据!$A:$M,13,0),0)</f>
        <v>0</v>
      </c>
    </row>
    <row r="826" spans="1:13">
      <c r="A826" s="6" t="s">
        <v>831</v>
      </c>
      <c r="B826" s="2">
        <f ca="1">IFERROR(VLOOKUP(A826,[1]库存使用数据!$A:$B,2,0),0)+IFERROR(VLOOKUP(A826,[2]库存使用数据!$A:$B,2,0),0)+IFERROR(VLOOKUP(,[3]库存使用数据!$A:$B,2,0),0)+IFERROR(VLOOKUP(A826,[4]库存使用数据!$A:$B,2,0),0)+IFERROR(VLOOKUP(A826,[5]库存使用数据!$A:$B,2,0),0)</f>
        <v>15</v>
      </c>
      <c r="C826" s="1">
        <f ca="1">IFERROR(VLOOKUP($A826,[1]库存使用数据!$A:$C,3,0),0)+IFERROR(VLOOKUP($A826,[2]库存使用数据!$A:$C,3,0),0)+IFERROR(VLOOKUP($A826,[3]库存使用数据!$A:$C,3,0),0)+IFERROR(VLOOKUP($A826,[4]库存使用数据!$A:$C,3,0),0)+IFERROR(VLOOKUP($A826,[5]库存使用数据!$A:$C,3,0),0)</f>
        <v>0</v>
      </c>
      <c r="D826" s="1">
        <f ca="1">IFERROR(VLOOKUP($A826,[1]库存使用数据!$A:$D,4,0),0)+IFERROR(VLOOKUP($A826,[2]库存使用数据!$A:$D,4,0),0)+公式!$B$1*IFERROR(VLOOKUP($A826,[3]库存使用数据!$A:$D,4,0),0)+IFERROR(VLOOKUP($A826,[4]库存使用数据!$A:$D,4,0),0)+IFERROR(VLOOKUP($A826,[5]库存使用数据!$A:$D,4,0),0)</f>
        <v>0</v>
      </c>
      <c r="E826" s="1">
        <f ca="1">IFERROR(VLOOKUP($A826,[1]库存使用数据!$A:$E,5,0),0)+IFERROR(VLOOKUP($A826,[2]库存使用数据!$A:$E,5,0),0)+IFERROR(VLOOKUP($A826,[3]库存使用数据!$A:$E,5,0),0)+IFERROR(VLOOKUP($A826,[4]库存使用数据!$A:$E,5,0),0)+IFERROR(VLOOKUP($A826,[5]库存使用数据!$A:$E,5,0),0)</f>
        <v>200</v>
      </c>
      <c r="F826" s="1">
        <f ca="1">IFERROR(VLOOKUP($A826,[1]库存使用数据!$A:$F,6,0),0)+IFERROR(VLOOKUP($A826,[2]库存使用数据!$A:$F,6,0),0)+IFERROR(VLOOKUP($A826,[4]库存使用数据!$A:$F,6,0),0)+IFERROR(VLOOKUP($A826,[3]库存使用数据!$A:$F,6,0),0)+IFERROR(VLOOKUP($A826,[5]库存使用数据!$A:$F,6,0),0)</f>
        <v>1</v>
      </c>
      <c r="G826" s="1">
        <f ca="1">IFERROR(VLOOKUP($A826,[1]库存使用数据!$A:$G,7,0),0)+IFERROR(VLOOKUP($A826,[2]库存使用数据!$A:$G,7,0),0)+公式!$B$14*IFERROR(VLOOKUP($A826,[3]库存使用数据!$A:$G,7,0),0)+IFERROR(VLOOKUP($A826,[4]库存使用数据!$A:$G,7,0),0)+IFERROR(VLOOKUP($A826,[5]库存使用数据!$A:$G,7,0),0)</f>
        <v>0.18</v>
      </c>
      <c r="H826" s="1">
        <f ca="1">IFERROR(VLOOKUP($A826,[1]库存使用数据!$A:$H,8,0),0)+IFERROR(VLOOKUP($A826,[2]库存使用数据!$A:$H,8,0),0)+IFERROR(VLOOKUP($A826,[3]库存使用数据!$A:$H,8,0),0)+IFERROR(VLOOKUP($A826,[4]库存使用数据!$A:$H,8,0),0)+IFERROR(VLOOKUP($A826,[5]库存使用数据!$A:$H,8,0),0)</f>
        <v>52</v>
      </c>
      <c r="I826" s="1">
        <f ca="1">IFERROR(VLOOKUP($A826,[1]库存使用数据!$A:$I,9,0),0)+IFERROR(VLOOKUP($A826,[2]库存使用数据!$A:$I,9,0),0)+IFERROR(VLOOKUP($A826,[3]库存使用数据!$A:$I,9,0),0)+IFERROR(VLOOKUP($A826,[4]库存使用数据!$A:$I,9,0),0)+IFERROR(VLOOKUP($A826,[5]库存使用数据!$A:$I,9,0),0)</f>
        <v>1</v>
      </c>
      <c r="J826" s="1">
        <f ca="1">IFERROR(VLOOKUP($A826,[1]库存使用数据!$A:$J,10,0),0)+IFERROR(VLOOKUP($A826,[2]库存使用数据!$A:$J,10,0),0)+公式!$B$14*IFERROR(VLOOKUP($A826,[3]库存使用数据!$A:$J,10,0),0)+IFERROR(VLOOKUP($A826,[4]库存使用数据!$A:$J,10,0),0)+IFERROR(VLOOKUP($A826,[5]库存使用数据!$A:$J,10,0),0)</f>
        <v>0.18</v>
      </c>
      <c r="K826" s="1">
        <f ca="1">IFERROR(VLOOKUP($A826,[1]库存使用数据!$A:$K,11,0),0)+IFERROR(VLOOKUP($A826,[2]库存使用数据!$A:$K,11,0),0)+IFERROR(VLOOKUP($A826,[3]库存使用数据!$A:$K,11,0),0)+IFERROR(VLOOKUP($A826,[4]库存使用数据!$A:$K,11,0),0)+IFERROR(VLOOKUP($A826,[5]库存使用数据!$A:$K,11,0),0)</f>
        <v>46</v>
      </c>
      <c r="L826" s="1">
        <f ca="1">IFERROR(VLOOKUP($A826,[1]库存使用数据!$A:$L,12,0),0)+IFERROR(VLOOKUP($A826,[2]库存使用数据!$A:$L,12,0),0)+IFERROR(VLOOKUP($A826,[3]库存使用数据!$A:$L,12,0),0)+IFERROR(VLOOKUP($A826,[4]库存使用数据!$A:$L,12,0),0)+IFERROR(VLOOKUP($A826,[5]库存使用数据!$A:$L,12,0),0)</f>
        <v>0</v>
      </c>
      <c r="M826" s="1">
        <f ca="1">IFERROR(VLOOKUP($A826,[1]库存使用数据!$A:$M,13,0),0)+IFERROR(VLOOKUP($A826,[2]库存使用数据!$A:$M,13,0),0)+公式!$B$14*IFERROR(VLOOKUP($A826,[3]库存使用数据!$A:$M,13,0),0)+IFERROR(VLOOKUP($A826,[4]库存使用数据!$A:$M,13,0),0)+IFERROR(VLOOKUP($A826,[5]库存使用数据!$A:$M,13,0),0)</f>
        <v>0</v>
      </c>
    </row>
    <row r="827" spans="1:13">
      <c r="A827" s="6" t="s">
        <v>832</v>
      </c>
      <c r="B827" s="2">
        <f ca="1">IFERROR(VLOOKUP(A827,[1]库存使用数据!$A:$B,2,0),0)+IFERROR(VLOOKUP(A827,[2]库存使用数据!$A:$B,2,0),0)+IFERROR(VLOOKUP(,[3]库存使用数据!$A:$B,2,0),0)+IFERROR(VLOOKUP(A827,[4]库存使用数据!$A:$B,2,0),0)+IFERROR(VLOOKUP(A827,[5]库存使用数据!$A:$B,2,0),0)</f>
        <v>1091</v>
      </c>
      <c r="C827" s="1">
        <f ca="1">IFERROR(VLOOKUP($A827,[1]库存使用数据!$A:$C,3,0),0)+IFERROR(VLOOKUP($A827,[2]库存使用数据!$A:$C,3,0),0)+IFERROR(VLOOKUP($A827,[3]库存使用数据!$A:$C,3,0),0)+IFERROR(VLOOKUP($A827,[4]库存使用数据!$A:$C,3,0),0)+IFERROR(VLOOKUP($A827,[5]库存使用数据!$A:$C,3,0),0)</f>
        <v>2</v>
      </c>
      <c r="D827" s="1">
        <f ca="1">IFERROR(VLOOKUP($A827,[1]库存使用数据!$A:$D,4,0),0)+IFERROR(VLOOKUP($A827,[2]库存使用数据!$A:$D,4,0),0)+公式!$B$1*IFERROR(VLOOKUP($A827,[3]库存使用数据!$A:$D,4,0),0)+IFERROR(VLOOKUP($A827,[4]库存使用数据!$A:$D,4,0),0)+IFERROR(VLOOKUP($A827,[5]库存使用数据!$A:$D,4,0),0)</f>
        <v>0.08</v>
      </c>
      <c r="E827" s="1">
        <f ca="1">IFERROR(VLOOKUP($A827,[1]库存使用数据!$A:$E,5,0),0)+IFERROR(VLOOKUP($A827,[2]库存使用数据!$A:$E,5,0),0)+IFERROR(VLOOKUP($A827,[3]库存使用数据!$A:$E,5,0),0)+IFERROR(VLOOKUP($A827,[4]库存使用数据!$A:$E,5,0),0)+IFERROR(VLOOKUP($A827,[5]库存使用数据!$A:$E,5,0),0)</f>
        <v>23318</v>
      </c>
      <c r="F827" s="1">
        <f ca="1">IFERROR(VLOOKUP($A827,[1]库存使用数据!$A:$F,6,0),0)+IFERROR(VLOOKUP($A827,[2]库存使用数据!$A:$F,6,0),0)+IFERROR(VLOOKUP($A827,[4]库存使用数据!$A:$F,6,0),0)+IFERROR(VLOOKUP($A827,[3]库存使用数据!$A:$F,6,0),0)+IFERROR(VLOOKUP($A827,[5]库存使用数据!$A:$F,6,0),0)</f>
        <v>17</v>
      </c>
      <c r="G827" s="1">
        <f ca="1">IFERROR(VLOOKUP($A827,[1]库存使用数据!$A:$G,7,0),0)+IFERROR(VLOOKUP($A827,[2]库存使用数据!$A:$G,7,0),0)+公式!$B$14*IFERROR(VLOOKUP($A827,[3]库存使用数据!$A:$G,7,0),0)+IFERROR(VLOOKUP($A827,[4]库存使用数据!$A:$G,7,0),0)+IFERROR(VLOOKUP($A827,[5]库存使用数据!$A:$G,7,0),0)</f>
        <v>3.01</v>
      </c>
      <c r="H827" s="1">
        <f ca="1">IFERROR(VLOOKUP($A827,[1]库存使用数据!$A:$H,8,0),0)+IFERROR(VLOOKUP($A827,[2]库存使用数据!$A:$H,8,0),0)+IFERROR(VLOOKUP($A827,[3]库存使用数据!$A:$H,8,0),0)+IFERROR(VLOOKUP($A827,[4]库存使用数据!$A:$H,8,0),0)+IFERROR(VLOOKUP($A827,[5]库存使用数据!$A:$H,8,0),0)</f>
        <v>17740</v>
      </c>
      <c r="I827" s="1">
        <f ca="1">IFERROR(VLOOKUP($A827,[1]库存使用数据!$A:$I,9,0),0)+IFERROR(VLOOKUP($A827,[2]库存使用数据!$A:$I,9,0),0)+IFERROR(VLOOKUP($A827,[3]库存使用数据!$A:$I,9,0),0)+IFERROR(VLOOKUP($A827,[4]库存使用数据!$A:$I,9,0),0)+IFERROR(VLOOKUP($A827,[5]库存使用数据!$A:$I,9,0),0)</f>
        <v>16</v>
      </c>
      <c r="J827" s="1">
        <f ca="1">IFERROR(VLOOKUP($A827,[1]库存使用数据!$A:$J,10,0),0)+IFERROR(VLOOKUP($A827,[2]库存使用数据!$A:$J,10,0),0)+公式!$B$14*IFERROR(VLOOKUP($A827,[3]库存使用数据!$A:$J,10,0),0)+IFERROR(VLOOKUP($A827,[4]库存使用数据!$A:$J,10,0),0)+IFERROR(VLOOKUP($A827,[5]库存使用数据!$A:$J,10,0),0)</f>
        <v>2.78</v>
      </c>
      <c r="K827" s="1">
        <f ca="1">IFERROR(VLOOKUP($A827,[1]库存使用数据!$A:$K,11,0),0)+IFERROR(VLOOKUP($A827,[2]库存使用数据!$A:$K,11,0),0)+IFERROR(VLOOKUP($A827,[3]库存使用数据!$A:$K,11,0),0)+IFERROR(VLOOKUP($A827,[4]库存使用数据!$A:$K,11,0),0)+IFERROR(VLOOKUP($A827,[5]库存使用数据!$A:$K,11,0),0)</f>
        <v>486</v>
      </c>
      <c r="L827" s="1">
        <f ca="1">IFERROR(VLOOKUP($A827,[1]库存使用数据!$A:$L,12,0),0)+IFERROR(VLOOKUP($A827,[2]库存使用数据!$A:$L,12,0),0)+IFERROR(VLOOKUP($A827,[3]库存使用数据!$A:$L,12,0),0)+IFERROR(VLOOKUP($A827,[4]库存使用数据!$A:$L,12,0),0)+IFERROR(VLOOKUP($A827,[5]库存使用数据!$A:$L,12,0),0)</f>
        <v>3</v>
      </c>
      <c r="M827" s="1">
        <f ca="1">IFERROR(VLOOKUP($A827,[1]库存使用数据!$A:$M,13,0),0)+IFERROR(VLOOKUP($A827,[2]库存使用数据!$A:$M,13,0),0)+公式!$B$14*IFERROR(VLOOKUP($A827,[3]库存使用数据!$A:$M,13,0),0)+IFERROR(VLOOKUP($A827,[4]库存使用数据!$A:$M,13,0),0)+IFERROR(VLOOKUP($A827,[5]库存使用数据!$A:$M,13,0),0)</f>
        <v>0.38</v>
      </c>
    </row>
    <row r="828" spans="1:13">
      <c r="A828" s="6" t="s">
        <v>833</v>
      </c>
      <c r="B828" s="2">
        <f ca="1">IFERROR(VLOOKUP(A828,[1]库存使用数据!$A:$B,2,0),0)+IFERROR(VLOOKUP(A828,[2]库存使用数据!$A:$B,2,0),0)+IFERROR(VLOOKUP(,[3]库存使用数据!$A:$B,2,0),0)+IFERROR(VLOOKUP(A828,[4]库存使用数据!$A:$B,2,0),0)+IFERROR(VLOOKUP(A828,[5]库存使用数据!$A:$B,2,0),0)</f>
        <v>1956</v>
      </c>
      <c r="C828" s="1">
        <f ca="1">IFERROR(VLOOKUP($A828,[1]库存使用数据!$A:$C,3,0),0)+IFERROR(VLOOKUP($A828,[2]库存使用数据!$A:$C,3,0),0)+IFERROR(VLOOKUP($A828,[3]库存使用数据!$A:$C,3,0),0)+IFERROR(VLOOKUP($A828,[4]库存使用数据!$A:$C,3,0),0)+IFERROR(VLOOKUP($A828,[5]库存使用数据!$A:$C,3,0),0)</f>
        <v>5</v>
      </c>
      <c r="D828" s="1">
        <f ca="1">IFERROR(VLOOKUP($A828,[1]库存使用数据!$A:$D,4,0),0)+IFERROR(VLOOKUP($A828,[2]库存使用数据!$A:$D,4,0),0)+公式!$B$1*IFERROR(VLOOKUP($A828,[3]库存使用数据!$A:$D,4,0),0)+IFERROR(VLOOKUP($A828,[4]库存使用数据!$A:$D,4,0),0)+IFERROR(VLOOKUP($A828,[5]库存使用数据!$A:$D,4,0),0)</f>
        <v>0.87</v>
      </c>
      <c r="E828" s="1">
        <f ca="1">IFERROR(VLOOKUP($A828,[1]库存使用数据!$A:$E,5,0),0)+IFERROR(VLOOKUP($A828,[2]库存使用数据!$A:$E,5,0),0)+IFERROR(VLOOKUP($A828,[3]库存使用数据!$A:$E,5,0),0)+IFERROR(VLOOKUP($A828,[4]库存使用数据!$A:$E,5,0),0)+IFERROR(VLOOKUP($A828,[5]库存使用数据!$A:$E,5,0),0)</f>
        <v>757</v>
      </c>
      <c r="F828" s="1">
        <f ca="1">IFERROR(VLOOKUP($A828,[1]库存使用数据!$A:$F,6,0),0)+IFERROR(VLOOKUP($A828,[2]库存使用数据!$A:$F,6,0),0)+IFERROR(VLOOKUP($A828,[4]库存使用数据!$A:$F,6,0),0)+IFERROR(VLOOKUP($A828,[3]库存使用数据!$A:$F,6,0),0)+IFERROR(VLOOKUP($A828,[5]库存使用数据!$A:$F,6,0),0)</f>
        <v>1</v>
      </c>
      <c r="G828" s="1">
        <f ca="1">IFERROR(VLOOKUP($A828,[1]库存使用数据!$A:$G,7,0),0)+IFERROR(VLOOKUP($A828,[2]库存使用数据!$A:$G,7,0),0)+公式!$B$14*IFERROR(VLOOKUP($A828,[3]库存使用数据!$A:$G,7,0),0)+IFERROR(VLOOKUP($A828,[4]库存使用数据!$A:$G,7,0),0)+IFERROR(VLOOKUP($A828,[5]库存使用数据!$A:$G,7,0),0)</f>
        <v>0.03</v>
      </c>
      <c r="H828" s="1">
        <f ca="1">IFERROR(VLOOKUP($A828,[1]库存使用数据!$A:$H,8,0),0)+IFERROR(VLOOKUP($A828,[2]库存使用数据!$A:$H,8,0),0)+IFERROR(VLOOKUP($A828,[3]库存使用数据!$A:$H,8,0),0)+IFERROR(VLOOKUP($A828,[4]库存使用数据!$A:$H,8,0),0)+IFERROR(VLOOKUP($A828,[5]库存使用数据!$A:$H,8,0),0)</f>
        <v>69</v>
      </c>
      <c r="I828" s="1">
        <f ca="1">IFERROR(VLOOKUP($A828,[1]库存使用数据!$A:$I,9,0),0)+IFERROR(VLOOKUP($A828,[2]库存使用数据!$A:$I,9,0),0)+IFERROR(VLOOKUP($A828,[3]库存使用数据!$A:$I,9,0),0)+IFERROR(VLOOKUP($A828,[4]库存使用数据!$A:$I,9,0),0)+IFERROR(VLOOKUP($A828,[5]库存使用数据!$A:$I,9,0),0)</f>
        <v>0</v>
      </c>
      <c r="J828" s="1">
        <f ca="1">IFERROR(VLOOKUP($A828,[1]库存使用数据!$A:$J,10,0),0)+IFERROR(VLOOKUP($A828,[2]库存使用数据!$A:$J,10,0),0)+公式!$B$14*IFERROR(VLOOKUP($A828,[3]库存使用数据!$A:$J,10,0),0)+IFERROR(VLOOKUP($A828,[4]库存使用数据!$A:$J,10,0),0)+IFERROR(VLOOKUP($A828,[5]库存使用数据!$A:$J,10,0),0)</f>
        <v>0</v>
      </c>
      <c r="K828" s="1">
        <f ca="1">IFERROR(VLOOKUP($A828,[1]库存使用数据!$A:$K,11,0),0)+IFERROR(VLOOKUP($A828,[2]库存使用数据!$A:$K,11,0),0)+IFERROR(VLOOKUP($A828,[3]库存使用数据!$A:$K,11,0),0)+IFERROR(VLOOKUP($A828,[4]库存使用数据!$A:$K,11,0),0)+IFERROR(VLOOKUP($A828,[5]库存使用数据!$A:$K,11,0),0)</f>
        <v>20</v>
      </c>
      <c r="L828" s="1">
        <f ca="1">IFERROR(VLOOKUP($A828,[1]库存使用数据!$A:$L,12,0),0)+IFERROR(VLOOKUP($A828,[2]库存使用数据!$A:$L,12,0),0)+IFERROR(VLOOKUP($A828,[3]库存使用数据!$A:$L,12,0),0)+IFERROR(VLOOKUP($A828,[4]库存使用数据!$A:$L,12,0),0)+IFERROR(VLOOKUP($A828,[5]库存使用数据!$A:$L,12,0),0)</f>
        <v>0</v>
      </c>
      <c r="M828" s="1">
        <f ca="1">IFERROR(VLOOKUP($A828,[1]库存使用数据!$A:$M,13,0),0)+IFERROR(VLOOKUP($A828,[2]库存使用数据!$A:$M,13,0),0)+公式!$B$14*IFERROR(VLOOKUP($A828,[3]库存使用数据!$A:$M,13,0),0)+IFERROR(VLOOKUP($A828,[4]库存使用数据!$A:$M,13,0),0)+IFERROR(VLOOKUP($A828,[5]库存使用数据!$A:$M,13,0),0)</f>
        <v>0</v>
      </c>
    </row>
    <row r="829" spans="1:13">
      <c r="A829" s="6" t="s">
        <v>834</v>
      </c>
      <c r="B829" s="2">
        <f ca="1">IFERROR(VLOOKUP(A829,[1]库存使用数据!$A:$B,2,0),0)+IFERROR(VLOOKUP(A829,[2]库存使用数据!$A:$B,2,0),0)+IFERROR(VLOOKUP(,[3]库存使用数据!$A:$B,2,0),0)+IFERROR(VLOOKUP(A829,[4]库存使用数据!$A:$B,2,0),0)+IFERROR(VLOOKUP(A829,[5]库存使用数据!$A:$B,2,0),0)</f>
        <v>1343</v>
      </c>
      <c r="C829" s="1">
        <f ca="1">IFERROR(VLOOKUP($A829,[1]库存使用数据!$A:$C,3,0),0)+IFERROR(VLOOKUP($A829,[2]库存使用数据!$A:$C,3,0),0)+IFERROR(VLOOKUP($A829,[3]库存使用数据!$A:$C,3,0),0)+IFERROR(VLOOKUP($A829,[4]库存使用数据!$A:$C,3,0),0)+IFERROR(VLOOKUP($A829,[5]库存使用数据!$A:$C,3,0),0)</f>
        <v>6</v>
      </c>
      <c r="D829" s="1">
        <f ca="1">IFERROR(VLOOKUP($A829,[1]库存使用数据!$A:$D,4,0),0)+IFERROR(VLOOKUP($A829,[2]库存使用数据!$A:$D,4,0),0)+公式!$B$1*IFERROR(VLOOKUP($A829,[3]库存使用数据!$A:$D,4,0),0)+IFERROR(VLOOKUP($A829,[4]库存使用数据!$A:$D,4,0),0)+IFERROR(VLOOKUP($A829,[5]库存使用数据!$A:$D,4,0),0)</f>
        <v>1.13</v>
      </c>
      <c r="E829" s="1">
        <f ca="1">IFERROR(VLOOKUP($A829,[1]库存使用数据!$A:$E,5,0),0)+IFERROR(VLOOKUP($A829,[2]库存使用数据!$A:$E,5,0),0)+IFERROR(VLOOKUP($A829,[3]库存使用数据!$A:$E,5,0),0)+IFERROR(VLOOKUP($A829,[4]库存使用数据!$A:$E,5,0),0)+IFERROR(VLOOKUP($A829,[5]库存使用数据!$A:$E,5,0),0)</f>
        <v>1831</v>
      </c>
      <c r="F829" s="1">
        <f ca="1">IFERROR(VLOOKUP($A829,[1]库存使用数据!$A:$F,6,0),0)+IFERROR(VLOOKUP($A829,[2]库存使用数据!$A:$F,6,0),0)+IFERROR(VLOOKUP($A829,[4]库存使用数据!$A:$F,6,0),0)+IFERROR(VLOOKUP($A829,[3]库存使用数据!$A:$F,6,0),0)+IFERROR(VLOOKUP($A829,[5]库存使用数据!$A:$F,6,0),0)</f>
        <v>5</v>
      </c>
      <c r="G829" s="1">
        <f ca="1">IFERROR(VLOOKUP($A829,[1]库存使用数据!$A:$G,7,0),0)+IFERROR(VLOOKUP($A829,[2]库存使用数据!$A:$G,7,0),0)+公式!$B$14*IFERROR(VLOOKUP($A829,[3]库存使用数据!$A:$G,7,0),0)+IFERROR(VLOOKUP($A829,[4]库存使用数据!$A:$G,7,0),0)+IFERROR(VLOOKUP($A829,[5]库存使用数据!$A:$G,7,0),0)</f>
        <v>1.22</v>
      </c>
      <c r="H829" s="1">
        <f ca="1">IFERROR(VLOOKUP($A829,[1]库存使用数据!$A:$H,8,0),0)+IFERROR(VLOOKUP($A829,[2]库存使用数据!$A:$H,8,0),0)+IFERROR(VLOOKUP($A829,[3]库存使用数据!$A:$H,8,0),0)+IFERROR(VLOOKUP($A829,[4]库存使用数据!$A:$H,8,0),0)+IFERROR(VLOOKUP($A829,[5]库存使用数据!$A:$H,8,0),0)</f>
        <v>301</v>
      </c>
      <c r="I829" s="1">
        <f ca="1">IFERROR(VLOOKUP($A829,[1]库存使用数据!$A:$I,9,0),0)+IFERROR(VLOOKUP($A829,[2]库存使用数据!$A:$I,9,0),0)+IFERROR(VLOOKUP($A829,[3]库存使用数据!$A:$I,9,0),0)+IFERROR(VLOOKUP($A829,[4]库存使用数据!$A:$I,9,0),0)+IFERROR(VLOOKUP($A829,[5]库存使用数据!$A:$I,9,0),0)</f>
        <v>1</v>
      </c>
      <c r="J829" s="1">
        <f ca="1">IFERROR(VLOOKUP($A829,[1]库存使用数据!$A:$J,10,0),0)+IFERROR(VLOOKUP($A829,[2]库存使用数据!$A:$J,10,0),0)+公式!$B$14*IFERROR(VLOOKUP($A829,[3]库存使用数据!$A:$J,10,0),0)+IFERROR(VLOOKUP($A829,[4]库存使用数据!$A:$J,10,0),0)+IFERROR(VLOOKUP($A829,[5]库存使用数据!$A:$J,10,0),0)</f>
        <v>0.24</v>
      </c>
      <c r="K829" s="1">
        <f ca="1">IFERROR(VLOOKUP($A829,[1]库存使用数据!$A:$K,11,0),0)+IFERROR(VLOOKUP($A829,[2]库存使用数据!$A:$K,11,0),0)+IFERROR(VLOOKUP($A829,[3]库存使用数据!$A:$K,11,0),0)+IFERROR(VLOOKUP($A829,[4]库存使用数据!$A:$K,11,0),0)+IFERROR(VLOOKUP($A829,[5]库存使用数据!$A:$K,11,0),0)</f>
        <v>129</v>
      </c>
      <c r="L829" s="1">
        <f ca="1">IFERROR(VLOOKUP($A829,[1]库存使用数据!$A:$L,12,0),0)+IFERROR(VLOOKUP($A829,[2]库存使用数据!$A:$L,12,0),0)+IFERROR(VLOOKUP($A829,[3]库存使用数据!$A:$L,12,0),0)+IFERROR(VLOOKUP($A829,[4]库存使用数据!$A:$L,12,0),0)+IFERROR(VLOOKUP($A829,[5]库存使用数据!$A:$L,12,0),0)</f>
        <v>0</v>
      </c>
      <c r="M829" s="1">
        <f ca="1">IFERROR(VLOOKUP($A829,[1]库存使用数据!$A:$M,13,0),0)+IFERROR(VLOOKUP($A829,[2]库存使用数据!$A:$M,13,0),0)+公式!$B$14*IFERROR(VLOOKUP($A829,[3]库存使用数据!$A:$M,13,0),0)+IFERROR(VLOOKUP($A829,[4]库存使用数据!$A:$M,13,0),0)+IFERROR(VLOOKUP($A829,[5]库存使用数据!$A:$M,13,0),0)</f>
        <v>0</v>
      </c>
    </row>
    <row r="830" spans="1:13">
      <c r="A830" s="6" t="s">
        <v>835</v>
      </c>
      <c r="B830" s="2">
        <f ca="1">IFERROR(VLOOKUP(A830,[1]库存使用数据!$A:$B,2,0),0)+IFERROR(VLOOKUP(A830,[2]库存使用数据!$A:$B,2,0),0)+IFERROR(VLOOKUP(,[3]库存使用数据!$A:$B,2,0),0)+IFERROR(VLOOKUP(A830,[4]库存使用数据!$A:$B,2,0),0)+IFERROR(VLOOKUP(A830,[5]库存使用数据!$A:$B,2,0),0)</f>
        <v>89</v>
      </c>
      <c r="C830" s="1">
        <f ca="1">IFERROR(VLOOKUP($A830,[1]库存使用数据!$A:$C,3,0),0)+IFERROR(VLOOKUP($A830,[2]库存使用数据!$A:$C,3,0),0)+IFERROR(VLOOKUP($A830,[3]库存使用数据!$A:$C,3,0),0)+IFERROR(VLOOKUP($A830,[4]库存使用数据!$A:$C,3,0),0)+IFERROR(VLOOKUP($A830,[5]库存使用数据!$A:$C,3,0),0)</f>
        <v>0</v>
      </c>
      <c r="D830" s="1">
        <f ca="1">IFERROR(VLOOKUP($A830,[1]库存使用数据!$A:$D,4,0),0)+IFERROR(VLOOKUP($A830,[2]库存使用数据!$A:$D,4,0),0)+公式!$B$1*IFERROR(VLOOKUP($A830,[3]库存使用数据!$A:$D,4,0),0)+IFERROR(VLOOKUP($A830,[4]库存使用数据!$A:$D,4,0),0)+IFERROR(VLOOKUP($A830,[5]库存使用数据!$A:$D,4,0),0)</f>
        <v>0</v>
      </c>
      <c r="E830" s="1">
        <f ca="1">IFERROR(VLOOKUP($A830,[1]库存使用数据!$A:$E,5,0),0)+IFERROR(VLOOKUP($A830,[2]库存使用数据!$A:$E,5,0),0)+IFERROR(VLOOKUP($A830,[3]库存使用数据!$A:$E,5,0),0)+IFERROR(VLOOKUP($A830,[4]库存使用数据!$A:$E,5,0),0)+IFERROR(VLOOKUP($A830,[5]库存使用数据!$A:$E,5,0),0)</f>
        <v>1952</v>
      </c>
      <c r="F830" s="1">
        <f ca="1">IFERROR(VLOOKUP($A830,[1]库存使用数据!$A:$F,6,0),0)+IFERROR(VLOOKUP($A830,[2]库存使用数据!$A:$F,6,0),0)+IFERROR(VLOOKUP($A830,[4]库存使用数据!$A:$F,6,0),0)+IFERROR(VLOOKUP($A830,[3]库存使用数据!$A:$F,6,0),0)+IFERROR(VLOOKUP($A830,[5]库存使用数据!$A:$F,6,0),0)</f>
        <v>1</v>
      </c>
      <c r="G830" s="1">
        <f ca="1">IFERROR(VLOOKUP($A830,[1]库存使用数据!$A:$G,7,0),0)+IFERROR(VLOOKUP($A830,[2]库存使用数据!$A:$G,7,0),0)+公式!$B$14*IFERROR(VLOOKUP($A830,[3]库存使用数据!$A:$G,7,0),0)+IFERROR(VLOOKUP($A830,[4]库存使用数据!$A:$G,7,0),0)+IFERROR(VLOOKUP($A830,[5]库存使用数据!$A:$G,7,0),0)</f>
        <v>0.19</v>
      </c>
      <c r="H830" s="1">
        <f ca="1">IFERROR(VLOOKUP($A830,[1]库存使用数据!$A:$H,8,0),0)+IFERROR(VLOOKUP($A830,[2]库存使用数据!$A:$H,8,0),0)+IFERROR(VLOOKUP($A830,[3]库存使用数据!$A:$H,8,0),0)+IFERROR(VLOOKUP($A830,[4]库存使用数据!$A:$H,8,0),0)+IFERROR(VLOOKUP($A830,[5]库存使用数据!$A:$H,8,0),0)</f>
        <v>1044</v>
      </c>
      <c r="I830" s="1">
        <f ca="1">IFERROR(VLOOKUP($A830,[1]库存使用数据!$A:$I,9,0),0)+IFERROR(VLOOKUP($A830,[2]库存使用数据!$A:$I,9,0),0)+IFERROR(VLOOKUP($A830,[3]库存使用数据!$A:$I,9,0),0)+IFERROR(VLOOKUP($A830,[4]库存使用数据!$A:$I,9,0),0)+IFERROR(VLOOKUP($A830,[5]库存使用数据!$A:$I,9,0),0)</f>
        <v>1</v>
      </c>
      <c r="J830" s="1">
        <f ca="1">IFERROR(VLOOKUP($A830,[1]库存使用数据!$A:$J,10,0),0)+IFERROR(VLOOKUP($A830,[2]库存使用数据!$A:$J,10,0),0)+公式!$B$14*IFERROR(VLOOKUP($A830,[3]库存使用数据!$A:$J,10,0),0)+IFERROR(VLOOKUP($A830,[4]库存使用数据!$A:$J,10,0),0)+IFERROR(VLOOKUP($A830,[5]库存使用数据!$A:$J,10,0),0)</f>
        <v>0.19</v>
      </c>
      <c r="K830" s="1">
        <f ca="1">IFERROR(VLOOKUP($A830,[1]库存使用数据!$A:$K,11,0),0)+IFERROR(VLOOKUP($A830,[2]库存使用数据!$A:$K,11,0),0)+IFERROR(VLOOKUP($A830,[3]库存使用数据!$A:$K,11,0),0)+IFERROR(VLOOKUP($A830,[4]库存使用数据!$A:$K,11,0),0)+IFERROR(VLOOKUP($A830,[5]库存使用数据!$A:$K,11,0),0)</f>
        <v>144</v>
      </c>
      <c r="L830" s="1">
        <f ca="1">IFERROR(VLOOKUP($A830,[1]库存使用数据!$A:$L,12,0),0)+IFERROR(VLOOKUP($A830,[2]库存使用数据!$A:$L,12,0),0)+IFERROR(VLOOKUP($A830,[3]库存使用数据!$A:$L,12,0),0)+IFERROR(VLOOKUP($A830,[4]库存使用数据!$A:$L,12,0),0)+IFERROR(VLOOKUP($A830,[5]库存使用数据!$A:$L,12,0),0)</f>
        <v>1</v>
      </c>
      <c r="M830" s="1">
        <f ca="1">IFERROR(VLOOKUP($A830,[1]库存使用数据!$A:$M,13,0),0)+IFERROR(VLOOKUP($A830,[2]库存使用数据!$A:$M,13,0),0)+公式!$B$14*IFERROR(VLOOKUP($A830,[3]库存使用数据!$A:$M,13,0),0)+IFERROR(VLOOKUP($A830,[4]库存使用数据!$A:$M,13,0),0)+IFERROR(VLOOKUP($A830,[5]库存使用数据!$A:$M,13,0),0)</f>
        <v>0.13</v>
      </c>
    </row>
    <row r="831" spans="1:13">
      <c r="A831" s="6" t="s">
        <v>836</v>
      </c>
      <c r="B831" s="2">
        <f ca="1">IFERROR(VLOOKUP(A831,[1]库存使用数据!$A:$B,2,0),0)+IFERROR(VLOOKUP(A831,[2]库存使用数据!$A:$B,2,0),0)+IFERROR(VLOOKUP(,[3]库存使用数据!$A:$B,2,0),0)+IFERROR(VLOOKUP(A831,[4]库存使用数据!$A:$B,2,0),0)+IFERROR(VLOOKUP(A831,[5]库存使用数据!$A:$B,2,0),0)</f>
        <v>7</v>
      </c>
      <c r="C831" s="1">
        <f ca="1">IFERROR(VLOOKUP($A831,[1]库存使用数据!$A:$C,3,0),0)+IFERROR(VLOOKUP($A831,[2]库存使用数据!$A:$C,3,0),0)+IFERROR(VLOOKUP($A831,[3]库存使用数据!$A:$C,3,0),0)+IFERROR(VLOOKUP($A831,[4]库存使用数据!$A:$C,3,0),0)+IFERROR(VLOOKUP($A831,[5]库存使用数据!$A:$C,3,0),0)</f>
        <v>0</v>
      </c>
      <c r="D831" s="1">
        <f ca="1">IFERROR(VLOOKUP($A831,[1]库存使用数据!$A:$D,4,0),0)+IFERROR(VLOOKUP($A831,[2]库存使用数据!$A:$D,4,0),0)+公式!$B$1*IFERROR(VLOOKUP($A831,[3]库存使用数据!$A:$D,4,0),0)+IFERROR(VLOOKUP($A831,[4]库存使用数据!$A:$D,4,0),0)+IFERROR(VLOOKUP($A831,[5]库存使用数据!$A:$D,4,0),0)</f>
        <v>0</v>
      </c>
      <c r="E831" s="1">
        <f ca="1">IFERROR(VLOOKUP($A831,[1]库存使用数据!$A:$E,5,0),0)+IFERROR(VLOOKUP($A831,[2]库存使用数据!$A:$E,5,0),0)+IFERROR(VLOOKUP($A831,[3]库存使用数据!$A:$E,5,0),0)+IFERROR(VLOOKUP($A831,[4]库存使用数据!$A:$E,5,0),0)+IFERROR(VLOOKUP($A831,[5]库存使用数据!$A:$E,5,0),0)</f>
        <v>24888</v>
      </c>
      <c r="F831" s="1">
        <f ca="1">IFERROR(VLOOKUP($A831,[1]库存使用数据!$A:$F,6,0),0)+IFERROR(VLOOKUP($A831,[2]库存使用数据!$A:$F,6,0),0)+IFERROR(VLOOKUP($A831,[4]库存使用数据!$A:$F,6,0),0)+IFERROR(VLOOKUP($A831,[3]库存使用数据!$A:$F,6,0),0)+IFERROR(VLOOKUP($A831,[5]库存使用数据!$A:$F,6,0),0)</f>
        <v>13</v>
      </c>
      <c r="G831" s="1">
        <f ca="1">IFERROR(VLOOKUP($A831,[1]库存使用数据!$A:$G,7,0),0)+IFERROR(VLOOKUP($A831,[2]库存使用数据!$A:$G,7,0),0)+公式!$B$14*IFERROR(VLOOKUP($A831,[3]库存使用数据!$A:$G,7,0),0)+IFERROR(VLOOKUP($A831,[4]库存使用数据!$A:$G,7,0),0)+IFERROR(VLOOKUP($A831,[5]库存使用数据!$A:$G,7,0),0)</f>
        <v>2.45</v>
      </c>
      <c r="H831" s="1">
        <f ca="1">IFERROR(VLOOKUP($A831,[1]库存使用数据!$A:$H,8,0),0)+IFERROR(VLOOKUP($A831,[2]库存使用数据!$A:$H,8,0),0)+IFERROR(VLOOKUP($A831,[3]库存使用数据!$A:$H,8,0),0)+IFERROR(VLOOKUP($A831,[4]库存使用数据!$A:$H,8,0),0)+IFERROR(VLOOKUP($A831,[5]库存使用数据!$A:$H,8,0),0)</f>
        <v>6065</v>
      </c>
      <c r="I831" s="1">
        <f ca="1">IFERROR(VLOOKUP($A831,[1]库存使用数据!$A:$I,9,0),0)+IFERROR(VLOOKUP($A831,[2]库存使用数据!$A:$I,9,0),0)+IFERROR(VLOOKUP($A831,[3]库存使用数据!$A:$I,9,0),0)+IFERROR(VLOOKUP($A831,[4]库存使用数据!$A:$I,9,0),0)+IFERROR(VLOOKUP($A831,[5]库存使用数据!$A:$I,9,0),0)</f>
        <v>5</v>
      </c>
      <c r="J831" s="1">
        <f ca="1">IFERROR(VLOOKUP($A831,[1]库存使用数据!$A:$J,10,0),0)+IFERROR(VLOOKUP($A831,[2]库存使用数据!$A:$J,10,0),0)+公式!$B$14*IFERROR(VLOOKUP($A831,[3]库存使用数据!$A:$J,10,0),0)+IFERROR(VLOOKUP($A831,[4]库存使用数据!$A:$J,10,0),0)+IFERROR(VLOOKUP($A831,[5]库存使用数据!$A:$J,10,0),0)</f>
        <v>1</v>
      </c>
      <c r="K831" s="1">
        <f ca="1">IFERROR(VLOOKUP($A831,[1]库存使用数据!$A:$K,11,0),0)+IFERROR(VLOOKUP($A831,[2]库存使用数据!$A:$K,11,0),0)+IFERROR(VLOOKUP($A831,[3]库存使用数据!$A:$K,11,0),0)+IFERROR(VLOOKUP($A831,[4]库存使用数据!$A:$K,11,0),0)+IFERROR(VLOOKUP($A831,[5]库存使用数据!$A:$K,11,0),0)</f>
        <v>123</v>
      </c>
      <c r="L831" s="1">
        <f ca="1">IFERROR(VLOOKUP($A831,[1]库存使用数据!$A:$L,12,0),0)+IFERROR(VLOOKUP($A831,[2]库存使用数据!$A:$L,12,0),0)+IFERROR(VLOOKUP($A831,[3]库存使用数据!$A:$L,12,0),0)+IFERROR(VLOOKUP($A831,[4]库存使用数据!$A:$L,12,0),0)+IFERROR(VLOOKUP($A831,[5]库存使用数据!$A:$L,12,0),0)</f>
        <v>0</v>
      </c>
      <c r="M831" s="1">
        <f ca="1">IFERROR(VLOOKUP($A831,[1]库存使用数据!$A:$M,13,0),0)+IFERROR(VLOOKUP($A831,[2]库存使用数据!$A:$M,13,0),0)+公式!$B$14*IFERROR(VLOOKUP($A831,[3]库存使用数据!$A:$M,13,0),0)+IFERROR(VLOOKUP($A831,[4]库存使用数据!$A:$M,13,0),0)+IFERROR(VLOOKUP($A831,[5]库存使用数据!$A:$M,13,0),0)</f>
        <v>0</v>
      </c>
    </row>
    <row r="832" spans="1:13">
      <c r="A832" s="6" t="s">
        <v>837</v>
      </c>
      <c r="B832" s="2">
        <f ca="1">IFERROR(VLOOKUP(A832,[1]库存使用数据!$A:$B,2,0),0)+IFERROR(VLOOKUP(A832,[2]库存使用数据!$A:$B,2,0),0)+IFERROR(VLOOKUP(,[3]库存使用数据!$A:$B,2,0),0)+IFERROR(VLOOKUP(A832,[4]库存使用数据!$A:$B,2,0),0)+IFERROR(VLOOKUP(A832,[5]库存使用数据!$A:$B,2,0),0)</f>
        <v>1232</v>
      </c>
      <c r="C832" s="1">
        <f ca="1">IFERROR(VLOOKUP($A832,[1]库存使用数据!$A:$C,3,0),0)+IFERROR(VLOOKUP($A832,[2]库存使用数据!$A:$C,3,0),0)+IFERROR(VLOOKUP($A832,[3]库存使用数据!$A:$C,3,0),0)+IFERROR(VLOOKUP($A832,[4]库存使用数据!$A:$C,3,0),0)+IFERROR(VLOOKUP($A832,[5]库存使用数据!$A:$C,3,0),0)</f>
        <v>4</v>
      </c>
      <c r="D832" s="1">
        <f ca="1">IFERROR(VLOOKUP($A832,[1]库存使用数据!$A:$D,4,0),0)+IFERROR(VLOOKUP($A832,[2]库存使用数据!$A:$D,4,0),0)+公式!$B$1*IFERROR(VLOOKUP($A832,[3]库存使用数据!$A:$D,4,0),0)+IFERROR(VLOOKUP($A832,[4]库存使用数据!$A:$D,4,0),0)+IFERROR(VLOOKUP($A832,[5]库存使用数据!$A:$D,4,0),0)</f>
        <v>0.63</v>
      </c>
      <c r="E832" s="1">
        <f ca="1">IFERROR(VLOOKUP($A832,[1]库存使用数据!$A:$E,5,0),0)+IFERROR(VLOOKUP($A832,[2]库存使用数据!$A:$E,5,0),0)+IFERROR(VLOOKUP($A832,[3]库存使用数据!$A:$E,5,0),0)+IFERROR(VLOOKUP($A832,[4]库存使用数据!$A:$E,5,0),0)+IFERROR(VLOOKUP($A832,[5]库存使用数据!$A:$E,5,0),0)</f>
        <v>3343</v>
      </c>
      <c r="F832" s="1">
        <f ca="1">IFERROR(VLOOKUP($A832,[1]库存使用数据!$A:$F,6,0),0)+IFERROR(VLOOKUP($A832,[2]库存使用数据!$A:$F,6,0),0)+IFERROR(VLOOKUP($A832,[4]库存使用数据!$A:$F,6,0),0)+IFERROR(VLOOKUP($A832,[3]库存使用数据!$A:$F,6,0),0)+IFERROR(VLOOKUP($A832,[5]库存使用数据!$A:$F,6,0),0)</f>
        <v>8</v>
      </c>
      <c r="G832" s="1">
        <f ca="1">IFERROR(VLOOKUP($A832,[1]库存使用数据!$A:$G,7,0),0)+IFERROR(VLOOKUP($A832,[2]库存使用数据!$A:$G,7,0),0)+公式!$B$14*IFERROR(VLOOKUP($A832,[3]库存使用数据!$A:$G,7,0),0)+IFERROR(VLOOKUP($A832,[4]库存使用数据!$A:$G,7,0),0)+IFERROR(VLOOKUP($A832,[5]库存使用数据!$A:$G,7,0),0)</f>
        <v>1.21</v>
      </c>
      <c r="H832" s="1">
        <f ca="1">IFERROR(VLOOKUP($A832,[1]库存使用数据!$A:$H,8,0),0)+IFERROR(VLOOKUP($A832,[2]库存使用数据!$A:$H,8,0),0)+IFERROR(VLOOKUP($A832,[3]库存使用数据!$A:$H,8,0),0)+IFERROR(VLOOKUP($A832,[4]库存使用数据!$A:$H,8,0),0)+IFERROR(VLOOKUP($A832,[5]库存使用数据!$A:$H,8,0),0)</f>
        <v>1297</v>
      </c>
      <c r="I832" s="1">
        <f ca="1">IFERROR(VLOOKUP($A832,[1]库存使用数据!$A:$I,9,0),0)+IFERROR(VLOOKUP($A832,[2]库存使用数据!$A:$I,9,0),0)+IFERROR(VLOOKUP($A832,[3]库存使用数据!$A:$I,9,0),0)+IFERROR(VLOOKUP($A832,[4]库存使用数据!$A:$I,9,0),0)+IFERROR(VLOOKUP($A832,[5]库存使用数据!$A:$I,9,0),0)</f>
        <v>5</v>
      </c>
      <c r="J832" s="1">
        <f ca="1">IFERROR(VLOOKUP($A832,[1]库存使用数据!$A:$J,10,0),0)+IFERROR(VLOOKUP($A832,[2]库存使用数据!$A:$J,10,0),0)+公式!$B$14*IFERROR(VLOOKUP($A832,[3]库存使用数据!$A:$J,10,0),0)+IFERROR(VLOOKUP($A832,[4]库存使用数据!$A:$J,10,0),0)+IFERROR(VLOOKUP($A832,[5]库存使用数据!$A:$J,10,0),0)</f>
        <v>0.8</v>
      </c>
      <c r="K832" s="1">
        <f ca="1">IFERROR(VLOOKUP($A832,[1]库存使用数据!$A:$K,11,0),0)+IFERROR(VLOOKUP($A832,[2]库存使用数据!$A:$K,11,0),0)+IFERROR(VLOOKUP($A832,[3]库存使用数据!$A:$K,11,0),0)+IFERROR(VLOOKUP($A832,[4]库存使用数据!$A:$K,11,0),0)+IFERROR(VLOOKUP($A832,[5]库存使用数据!$A:$K,11,0),0)</f>
        <v>1327</v>
      </c>
      <c r="L832" s="1">
        <f ca="1">IFERROR(VLOOKUP($A832,[1]库存使用数据!$A:$L,12,0),0)+IFERROR(VLOOKUP($A832,[2]库存使用数据!$A:$L,12,0),0)+IFERROR(VLOOKUP($A832,[3]库存使用数据!$A:$L,12,0),0)+IFERROR(VLOOKUP($A832,[4]库存使用数据!$A:$L,12,0),0)+IFERROR(VLOOKUP($A832,[5]库存使用数据!$A:$L,12,0),0)</f>
        <v>4</v>
      </c>
      <c r="M832" s="1">
        <f ca="1">IFERROR(VLOOKUP($A832,[1]库存使用数据!$A:$M,13,0),0)+IFERROR(VLOOKUP($A832,[2]库存使用数据!$A:$M,13,0),0)+公式!$B$14*IFERROR(VLOOKUP($A832,[3]库存使用数据!$A:$M,13,0),0)+IFERROR(VLOOKUP($A832,[4]库存使用数据!$A:$M,13,0),0)+IFERROR(VLOOKUP($A832,[5]库存使用数据!$A:$M,13,0),0)</f>
        <v>0.81</v>
      </c>
    </row>
    <row r="833" spans="1:13">
      <c r="A833" s="6" t="s">
        <v>838</v>
      </c>
      <c r="B833" s="2">
        <f ca="1">IFERROR(VLOOKUP(A833,[1]库存使用数据!$A:$B,2,0),0)+IFERROR(VLOOKUP(A833,[2]库存使用数据!$A:$B,2,0),0)+IFERROR(VLOOKUP(,[3]库存使用数据!$A:$B,2,0),0)+IFERROR(VLOOKUP(A833,[4]库存使用数据!$A:$B,2,0),0)+IFERROR(VLOOKUP(A833,[5]库存使用数据!$A:$B,2,0),0)</f>
        <v>483</v>
      </c>
      <c r="C833" s="1">
        <f ca="1">IFERROR(VLOOKUP($A833,[1]库存使用数据!$A:$C,3,0),0)+IFERROR(VLOOKUP($A833,[2]库存使用数据!$A:$C,3,0),0)+IFERROR(VLOOKUP($A833,[3]库存使用数据!$A:$C,3,0),0)+IFERROR(VLOOKUP($A833,[4]库存使用数据!$A:$C,3,0),0)+IFERROR(VLOOKUP($A833,[5]库存使用数据!$A:$C,3,0),0)</f>
        <v>1</v>
      </c>
      <c r="D833" s="1">
        <f ca="1">IFERROR(VLOOKUP($A833,[1]库存使用数据!$A:$D,4,0),0)+IFERROR(VLOOKUP($A833,[2]库存使用数据!$A:$D,4,0),0)+公式!$B$1*IFERROR(VLOOKUP($A833,[3]库存使用数据!$A:$D,4,0),0)+IFERROR(VLOOKUP($A833,[4]库存使用数据!$A:$D,4,0),0)+IFERROR(VLOOKUP($A833,[5]库存使用数据!$A:$D,4,0),0)</f>
        <v>0.23</v>
      </c>
      <c r="E833" s="1">
        <f ca="1">IFERROR(VLOOKUP($A833,[1]库存使用数据!$A:$E,5,0),0)+IFERROR(VLOOKUP($A833,[2]库存使用数据!$A:$E,5,0),0)+IFERROR(VLOOKUP($A833,[3]库存使用数据!$A:$E,5,0),0)+IFERROR(VLOOKUP($A833,[4]库存使用数据!$A:$E,5,0),0)+IFERROR(VLOOKUP($A833,[5]库存使用数据!$A:$E,5,0),0)</f>
        <v>305</v>
      </c>
      <c r="F833" s="1">
        <f ca="1">IFERROR(VLOOKUP($A833,[1]库存使用数据!$A:$F,6,0),0)+IFERROR(VLOOKUP($A833,[2]库存使用数据!$A:$F,6,0),0)+IFERROR(VLOOKUP($A833,[4]库存使用数据!$A:$F,6,0),0)+IFERROR(VLOOKUP($A833,[3]库存使用数据!$A:$F,6,0),0)+IFERROR(VLOOKUP($A833,[5]库存使用数据!$A:$F,6,0),0)</f>
        <v>1</v>
      </c>
      <c r="G833" s="1">
        <f ca="1">IFERROR(VLOOKUP($A833,[1]库存使用数据!$A:$G,7,0),0)+IFERROR(VLOOKUP($A833,[2]库存使用数据!$A:$G,7,0),0)+公式!$B$14*IFERROR(VLOOKUP($A833,[3]库存使用数据!$A:$G,7,0),0)+IFERROR(VLOOKUP($A833,[4]库存使用数据!$A:$G,7,0),0)+IFERROR(VLOOKUP($A833,[5]库存使用数据!$A:$G,7,0),0)</f>
        <v>0.27</v>
      </c>
      <c r="H833" s="1">
        <f ca="1">IFERROR(VLOOKUP($A833,[1]库存使用数据!$A:$H,8,0),0)+IFERROR(VLOOKUP($A833,[2]库存使用数据!$A:$H,8,0),0)+IFERROR(VLOOKUP($A833,[3]库存使用数据!$A:$H,8,0),0)+IFERROR(VLOOKUP($A833,[4]库存使用数据!$A:$H,8,0),0)+IFERROR(VLOOKUP($A833,[5]库存使用数据!$A:$H,8,0),0)</f>
        <v>72</v>
      </c>
      <c r="I833" s="1">
        <f ca="1">IFERROR(VLOOKUP($A833,[1]库存使用数据!$A:$I,9,0),0)+IFERROR(VLOOKUP($A833,[2]库存使用数据!$A:$I,9,0),0)+IFERROR(VLOOKUP($A833,[3]库存使用数据!$A:$I,9,0),0)+IFERROR(VLOOKUP($A833,[4]库存使用数据!$A:$I,9,0),0)+IFERROR(VLOOKUP($A833,[5]库存使用数据!$A:$I,9,0),0)</f>
        <v>1</v>
      </c>
      <c r="J833" s="1">
        <f ca="1">IFERROR(VLOOKUP($A833,[1]库存使用数据!$A:$J,10,0),0)+IFERROR(VLOOKUP($A833,[2]库存使用数据!$A:$J,10,0),0)+公式!$B$14*IFERROR(VLOOKUP($A833,[3]库存使用数据!$A:$J,10,0),0)+IFERROR(VLOOKUP($A833,[4]库存使用数据!$A:$J,10,0),0)+IFERROR(VLOOKUP($A833,[5]库存使用数据!$A:$J,10,0),0)</f>
        <v>0.27</v>
      </c>
      <c r="K833" s="1">
        <f ca="1">IFERROR(VLOOKUP($A833,[1]库存使用数据!$A:$K,11,0),0)+IFERROR(VLOOKUP($A833,[2]库存使用数据!$A:$K,11,0),0)+IFERROR(VLOOKUP($A833,[3]库存使用数据!$A:$K,11,0),0)+IFERROR(VLOOKUP($A833,[4]库存使用数据!$A:$K,11,0),0)+IFERROR(VLOOKUP($A833,[5]库存使用数据!$A:$K,11,0),0)</f>
        <v>35</v>
      </c>
      <c r="L833" s="1">
        <f ca="1">IFERROR(VLOOKUP($A833,[1]库存使用数据!$A:$L,12,0),0)+IFERROR(VLOOKUP($A833,[2]库存使用数据!$A:$L,12,0),0)+IFERROR(VLOOKUP($A833,[3]库存使用数据!$A:$L,12,0),0)+IFERROR(VLOOKUP($A833,[4]库存使用数据!$A:$L,12,0),0)+IFERROR(VLOOKUP($A833,[5]库存使用数据!$A:$L,12,0),0)</f>
        <v>0</v>
      </c>
      <c r="M833" s="1">
        <f ca="1">IFERROR(VLOOKUP($A833,[1]库存使用数据!$A:$M,13,0),0)+IFERROR(VLOOKUP($A833,[2]库存使用数据!$A:$M,13,0),0)+公式!$B$14*IFERROR(VLOOKUP($A833,[3]库存使用数据!$A:$M,13,0),0)+IFERROR(VLOOKUP($A833,[4]库存使用数据!$A:$M,13,0),0)+IFERROR(VLOOKUP($A833,[5]库存使用数据!$A:$M,13,0),0)</f>
        <v>0</v>
      </c>
    </row>
    <row r="834" spans="1:13">
      <c r="A834" s="6" t="s">
        <v>839</v>
      </c>
      <c r="B834" s="2">
        <f ca="1">IFERROR(VLOOKUP(A834,[1]库存使用数据!$A:$B,2,0),0)+IFERROR(VLOOKUP(A834,[2]库存使用数据!$A:$B,2,0),0)+IFERROR(VLOOKUP(,[3]库存使用数据!$A:$B,2,0),0)+IFERROR(VLOOKUP(A834,[4]库存使用数据!$A:$B,2,0),0)+IFERROR(VLOOKUP(A834,[5]库存使用数据!$A:$B,2,0),0)</f>
        <v>208</v>
      </c>
      <c r="C834" s="1">
        <f ca="1">IFERROR(VLOOKUP($A834,[1]库存使用数据!$A:$C,3,0),0)+IFERROR(VLOOKUP($A834,[2]库存使用数据!$A:$C,3,0),0)+IFERROR(VLOOKUP($A834,[3]库存使用数据!$A:$C,3,0),0)+IFERROR(VLOOKUP($A834,[4]库存使用数据!$A:$C,3,0),0)+IFERROR(VLOOKUP($A834,[5]库存使用数据!$A:$C,3,0),0)</f>
        <v>0</v>
      </c>
      <c r="D834" s="1">
        <f ca="1">IFERROR(VLOOKUP($A834,[1]库存使用数据!$A:$D,4,0),0)+IFERROR(VLOOKUP($A834,[2]库存使用数据!$A:$D,4,0),0)+公式!$B$1*IFERROR(VLOOKUP($A834,[3]库存使用数据!$A:$D,4,0),0)+IFERROR(VLOOKUP($A834,[4]库存使用数据!$A:$D,4,0),0)+IFERROR(VLOOKUP($A834,[5]库存使用数据!$A:$D,4,0),0)</f>
        <v>0</v>
      </c>
      <c r="E834" s="1">
        <f ca="1">IFERROR(VLOOKUP($A834,[1]库存使用数据!$A:$E,5,0),0)+IFERROR(VLOOKUP($A834,[2]库存使用数据!$A:$E,5,0),0)+IFERROR(VLOOKUP($A834,[3]库存使用数据!$A:$E,5,0),0)+IFERROR(VLOOKUP($A834,[4]库存使用数据!$A:$E,5,0),0)+IFERROR(VLOOKUP($A834,[5]库存使用数据!$A:$E,5,0),0)</f>
        <v>1378</v>
      </c>
      <c r="F834" s="1">
        <f ca="1">IFERROR(VLOOKUP($A834,[1]库存使用数据!$A:$F,6,0),0)+IFERROR(VLOOKUP($A834,[2]库存使用数据!$A:$F,6,0),0)+IFERROR(VLOOKUP($A834,[4]库存使用数据!$A:$F,6,0),0)+IFERROR(VLOOKUP($A834,[3]库存使用数据!$A:$F,6,0),0)+IFERROR(VLOOKUP($A834,[5]库存使用数据!$A:$F,6,0),0)</f>
        <v>0</v>
      </c>
      <c r="G834" s="1">
        <f ca="1">IFERROR(VLOOKUP($A834,[1]库存使用数据!$A:$G,7,0),0)+IFERROR(VLOOKUP($A834,[2]库存使用数据!$A:$G,7,0),0)+公式!$B$14*IFERROR(VLOOKUP($A834,[3]库存使用数据!$A:$G,7,0),0)+IFERROR(VLOOKUP($A834,[4]库存使用数据!$A:$G,7,0),0)+IFERROR(VLOOKUP($A834,[5]库存使用数据!$A:$G,7,0),0)</f>
        <v>0</v>
      </c>
      <c r="H834" s="1">
        <f ca="1">IFERROR(VLOOKUP($A834,[1]库存使用数据!$A:$H,8,0),0)+IFERROR(VLOOKUP($A834,[2]库存使用数据!$A:$H,8,0),0)+IFERROR(VLOOKUP($A834,[3]库存使用数据!$A:$H,8,0),0)+IFERROR(VLOOKUP($A834,[4]库存使用数据!$A:$H,8,0),0)+IFERROR(VLOOKUP($A834,[5]库存使用数据!$A:$H,8,0),0)</f>
        <v>416</v>
      </c>
      <c r="I834" s="1">
        <f ca="1">IFERROR(VLOOKUP($A834,[1]库存使用数据!$A:$I,9,0),0)+IFERROR(VLOOKUP($A834,[2]库存使用数据!$A:$I,9,0),0)+IFERROR(VLOOKUP($A834,[3]库存使用数据!$A:$I,9,0),0)+IFERROR(VLOOKUP($A834,[4]库存使用数据!$A:$I,9,0),0)+IFERROR(VLOOKUP($A834,[5]库存使用数据!$A:$I,9,0),0)</f>
        <v>0</v>
      </c>
      <c r="J834" s="1">
        <f ca="1">IFERROR(VLOOKUP($A834,[1]库存使用数据!$A:$J,10,0),0)+IFERROR(VLOOKUP($A834,[2]库存使用数据!$A:$J,10,0),0)+公式!$B$14*IFERROR(VLOOKUP($A834,[3]库存使用数据!$A:$J,10,0),0)+IFERROR(VLOOKUP($A834,[4]库存使用数据!$A:$J,10,0),0)+IFERROR(VLOOKUP($A834,[5]库存使用数据!$A:$J,10,0),0)</f>
        <v>0</v>
      </c>
      <c r="K834" s="1">
        <f ca="1">IFERROR(VLOOKUP($A834,[1]库存使用数据!$A:$K,11,0),0)+IFERROR(VLOOKUP($A834,[2]库存使用数据!$A:$K,11,0),0)+IFERROR(VLOOKUP($A834,[3]库存使用数据!$A:$K,11,0),0)+IFERROR(VLOOKUP($A834,[4]库存使用数据!$A:$K,11,0),0)+IFERROR(VLOOKUP($A834,[5]库存使用数据!$A:$K,11,0),0)</f>
        <v>276</v>
      </c>
      <c r="L834" s="1">
        <f ca="1">IFERROR(VLOOKUP($A834,[1]库存使用数据!$A:$L,12,0),0)+IFERROR(VLOOKUP($A834,[2]库存使用数据!$A:$L,12,0),0)+IFERROR(VLOOKUP($A834,[3]库存使用数据!$A:$L,12,0),0)+IFERROR(VLOOKUP($A834,[4]库存使用数据!$A:$L,12,0),0)+IFERROR(VLOOKUP($A834,[5]库存使用数据!$A:$L,12,0),0)</f>
        <v>0</v>
      </c>
      <c r="M834" s="1">
        <f ca="1">IFERROR(VLOOKUP($A834,[1]库存使用数据!$A:$M,13,0),0)+IFERROR(VLOOKUP($A834,[2]库存使用数据!$A:$M,13,0),0)+公式!$B$14*IFERROR(VLOOKUP($A834,[3]库存使用数据!$A:$M,13,0),0)+IFERROR(VLOOKUP($A834,[4]库存使用数据!$A:$M,13,0),0)+IFERROR(VLOOKUP($A834,[5]库存使用数据!$A:$M,13,0),0)</f>
        <v>0</v>
      </c>
    </row>
    <row r="835" spans="1:13">
      <c r="A835" s="6" t="s">
        <v>840</v>
      </c>
      <c r="B835" s="2">
        <f ca="1">IFERROR(VLOOKUP(A835,[1]库存使用数据!$A:$B,2,0),0)+IFERROR(VLOOKUP(A835,[2]库存使用数据!$A:$B,2,0),0)+IFERROR(VLOOKUP(,[3]库存使用数据!$A:$B,2,0),0)+IFERROR(VLOOKUP(A835,[4]库存使用数据!$A:$B,2,0),0)+IFERROR(VLOOKUP(A835,[5]库存使用数据!$A:$B,2,0),0)</f>
        <v>509</v>
      </c>
      <c r="C835" s="1">
        <f ca="1">IFERROR(VLOOKUP($A835,[1]库存使用数据!$A:$C,3,0),0)+IFERROR(VLOOKUP($A835,[2]库存使用数据!$A:$C,3,0),0)+IFERROR(VLOOKUP($A835,[3]库存使用数据!$A:$C,3,0),0)+IFERROR(VLOOKUP($A835,[4]库存使用数据!$A:$C,3,0),0)+IFERROR(VLOOKUP($A835,[5]库存使用数据!$A:$C,3,0),0)</f>
        <v>0</v>
      </c>
      <c r="D835" s="1">
        <f ca="1">IFERROR(VLOOKUP($A835,[1]库存使用数据!$A:$D,4,0),0)+IFERROR(VLOOKUP($A835,[2]库存使用数据!$A:$D,4,0),0)+公式!$B$1*IFERROR(VLOOKUP($A835,[3]库存使用数据!$A:$D,4,0),0)+IFERROR(VLOOKUP($A835,[4]库存使用数据!$A:$D,4,0),0)+IFERROR(VLOOKUP($A835,[5]库存使用数据!$A:$D,4,0),0)</f>
        <v>0</v>
      </c>
      <c r="E835" s="1">
        <f ca="1">IFERROR(VLOOKUP($A835,[1]库存使用数据!$A:$E,5,0),0)+IFERROR(VLOOKUP($A835,[2]库存使用数据!$A:$E,5,0),0)+IFERROR(VLOOKUP($A835,[3]库存使用数据!$A:$E,5,0),0)+IFERROR(VLOOKUP($A835,[4]库存使用数据!$A:$E,5,0),0)+IFERROR(VLOOKUP($A835,[5]库存使用数据!$A:$E,5,0),0)</f>
        <v>6679</v>
      </c>
      <c r="F835" s="1">
        <f ca="1">IFERROR(VLOOKUP($A835,[1]库存使用数据!$A:$F,6,0),0)+IFERROR(VLOOKUP($A835,[2]库存使用数据!$A:$F,6,0),0)+IFERROR(VLOOKUP($A835,[4]库存使用数据!$A:$F,6,0),0)+IFERROR(VLOOKUP($A835,[3]库存使用数据!$A:$F,6,0),0)+IFERROR(VLOOKUP($A835,[5]库存使用数据!$A:$F,6,0),0)</f>
        <v>14</v>
      </c>
      <c r="G835" s="1">
        <f ca="1">IFERROR(VLOOKUP($A835,[1]库存使用数据!$A:$G,7,0),0)+IFERROR(VLOOKUP($A835,[2]库存使用数据!$A:$G,7,0),0)+公式!$B$14*IFERROR(VLOOKUP($A835,[3]库存使用数据!$A:$G,7,0),0)+IFERROR(VLOOKUP($A835,[4]库存使用数据!$A:$G,7,0),0)+IFERROR(VLOOKUP($A835,[5]库存使用数据!$A:$G,7,0),0)</f>
        <v>2.64</v>
      </c>
      <c r="H835" s="1">
        <f ca="1">IFERROR(VLOOKUP($A835,[1]库存使用数据!$A:$H,8,0),0)+IFERROR(VLOOKUP($A835,[2]库存使用数据!$A:$H,8,0),0)+IFERROR(VLOOKUP($A835,[3]库存使用数据!$A:$H,8,0),0)+IFERROR(VLOOKUP($A835,[4]库存使用数据!$A:$H,8,0),0)+IFERROR(VLOOKUP($A835,[5]库存使用数据!$A:$H,8,0),0)</f>
        <v>4141</v>
      </c>
      <c r="I835" s="1">
        <f ca="1">IFERROR(VLOOKUP($A835,[1]库存使用数据!$A:$I,9,0),0)+IFERROR(VLOOKUP($A835,[2]库存使用数据!$A:$I,9,0),0)+IFERROR(VLOOKUP($A835,[3]库存使用数据!$A:$I,9,0),0)+IFERROR(VLOOKUP($A835,[4]库存使用数据!$A:$I,9,0),0)+IFERROR(VLOOKUP($A835,[5]库存使用数据!$A:$I,9,0),0)</f>
        <v>10</v>
      </c>
      <c r="J835" s="1">
        <f ca="1">IFERROR(VLOOKUP($A835,[1]库存使用数据!$A:$J,10,0),0)+IFERROR(VLOOKUP($A835,[2]库存使用数据!$A:$J,10,0),0)+公式!$B$14*IFERROR(VLOOKUP($A835,[3]库存使用数据!$A:$J,10,0),0)+IFERROR(VLOOKUP($A835,[4]库存使用数据!$A:$J,10,0),0)+IFERROR(VLOOKUP($A835,[5]库存使用数据!$A:$J,10,0),0)</f>
        <v>2.06</v>
      </c>
      <c r="K835" s="1">
        <f ca="1">IFERROR(VLOOKUP($A835,[1]库存使用数据!$A:$K,11,0),0)+IFERROR(VLOOKUP($A835,[2]库存使用数据!$A:$K,11,0),0)+IFERROR(VLOOKUP($A835,[3]库存使用数据!$A:$K,11,0),0)+IFERROR(VLOOKUP($A835,[4]库存使用数据!$A:$K,11,0),0)+IFERROR(VLOOKUP($A835,[5]库存使用数据!$A:$K,11,0),0)</f>
        <v>301</v>
      </c>
      <c r="L835" s="1">
        <f ca="1">IFERROR(VLOOKUP($A835,[1]库存使用数据!$A:$L,12,0),0)+IFERROR(VLOOKUP($A835,[2]库存使用数据!$A:$L,12,0),0)+IFERROR(VLOOKUP($A835,[3]库存使用数据!$A:$L,12,0),0)+IFERROR(VLOOKUP($A835,[4]库存使用数据!$A:$L,12,0),0)+IFERROR(VLOOKUP($A835,[5]库存使用数据!$A:$L,12,0),0)</f>
        <v>1</v>
      </c>
      <c r="M835" s="1">
        <f ca="1">IFERROR(VLOOKUP($A835,[1]库存使用数据!$A:$M,13,0),0)+IFERROR(VLOOKUP($A835,[2]库存使用数据!$A:$M,13,0),0)+公式!$B$14*IFERROR(VLOOKUP($A835,[3]库存使用数据!$A:$M,13,0),0)+IFERROR(VLOOKUP($A835,[4]库存使用数据!$A:$M,13,0),0)+IFERROR(VLOOKUP($A835,[5]库存使用数据!$A:$M,13,0),0)</f>
        <v>0.29</v>
      </c>
    </row>
    <row r="836" spans="1:13">
      <c r="A836" s="6" t="s">
        <v>841</v>
      </c>
      <c r="B836" s="2">
        <f ca="1">IFERROR(VLOOKUP(A836,[1]库存使用数据!$A:$B,2,0),0)+IFERROR(VLOOKUP(A836,[2]库存使用数据!$A:$B,2,0),0)+IFERROR(VLOOKUP(,[3]库存使用数据!$A:$B,2,0),0)+IFERROR(VLOOKUP(A836,[4]库存使用数据!$A:$B,2,0),0)+IFERROR(VLOOKUP(A836,[5]库存使用数据!$A:$B,2,0),0)</f>
        <v>2</v>
      </c>
      <c r="C836" s="1">
        <f ca="1">IFERROR(VLOOKUP($A836,[1]库存使用数据!$A:$C,3,0),0)+IFERROR(VLOOKUP($A836,[2]库存使用数据!$A:$C,3,0),0)+IFERROR(VLOOKUP($A836,[3]库存使用数据!$A:$C,3,0),0)+IFERROR(VLOOKUP($A836,[4]库存使用数据!$A:$C,3,0),0)+IFERROR(VLOOKUP($A836,[5]库存使用数据!$A:$C,3,0),0)</f>
        <v>0</v>
      </c>
      <c r="D836" s="1">
        <f ca="1">IFERROR(VLOOKUP($A836,[1]库存使用数据!$A:$D,4,0),0)+IFERROR(VLOOKUP($A836,[2]库存使用数据!$A:$D,4,0),0)+公式!$B$1*IFERROR(VLOOKUP($A836,[3]库存使用数据!$A:$D,4,0),0)+IFERROR(VLOOKUP($A836,[4]库存使用数据!$A:$D,4,0),0)+IFERROR(VLOOKUP($A836,[5]库存使用数据!$A:$D,4,0),0)</f>
        <v>0</v>
      </c>
      <c r="E836" s="1">
        <f ca="1">IFERROR(VLOOKUP($A836,[1]库存使用数据!$A:$E,5,0),0)+IFERROR(VLOOKUP($A836,[2]库存使用数据!$A:$E,5,0),0)+IFERROR(VLOOKUP($A836,[3]库存使用数据!$A:$E,5,0),0)+IFERROR(VLOOKUP($A836,[4]库存使用数据!$A:$E,5,0),0)+IFERROR(VLOOKUP($A836,[5]库存使用数据!$A:$E,5,0),0)</f>
        <v>738</v>
      </c>
      <c r="F836" s="1">
        <f ca="1">IFERROR(VLOOKUP($A836,[1]库存使用数据!$A:$F,6,0),0)+IFERROR(VLOOKUP($A836,[2]库存使用数据!$A:$F,6,0),0)+IFERROR(VLOOKUP($A836,[4]库存使用数据!$A:$F,6,0),0)+IFERROR(VLOOKUP($A836,[3]库存使用数据!$A:$F,6,0),0)+IFERROR(VLOOKUP($A836,[5]库存使用数据!$A:$F,6,0),0)</f>
        <v>0</v>
      </c>
      <c r="G836" s="1">
        <f ca="1">IFERROR(VLOOKUP($A836,[1]库存使用数据!$A:$G,7,0),0)+IFERROR(VLOOKUP($A836,[2]库存使用数据!$A:$G,7,0),0)+公式!$B$14*IFERROR(VLOOKUP($A836,[3]库存使用数据!$A:$G,7,0),0)+IFERROR(VLOOKUP($A836,[4]库存使用数据!$A:$G,7,0),0)+IFERROR(VLOOKUP($A836,[5]库存使用数据!$A:$G,7,0),0)</f>
        <v>0</v>
      </c>
      <c r="H836" s="1">
        <f ca="1">IFERROR(VLOOKUP($A836,[1]库存使用数据!$A:$H,8,0),0)+IFERROR(VLOOKUP($A836,[2]库存使用数据!$A:$H,8,0),0)+IFERROR(VLOOKUP($A836,[3]库存使用数据!$A:$H,8,0),0)+IFERROR(VLOOKUP($A836,[4]库存使用数据!$A:$H,8,0),0)+IFERROR(VLOOKUP($A836,[5]库存使用数据!$A:$H,8,0),0)</f>
        <v>213</v>
      </c>
      <c r="I836" s="1">
        <f ca="1">IFERROR(VLOOKUP($A836,[1]库存使用数据!$A:$I,9,0),0)+IFERROR(VLOOKUP($A836,[2]库存使用数据!$A:$I,9,0),0)+IFERROR(VLOOKUP($A836,[3]库存使用数据!$A:$I,9,0),0)+IFERROR(VLOOKUP($A836,[4]库存使用数据!$A:$I,9,0),0)+IFERROR(VLOOKUP($A836,[5]库存使用数据!$A:$I,9,0),0)</f>
        <v>0</v>
      </c>
      <c r="J836" s="1">
        <f ca="1">IFERROR(VLOOKUP($A836,[1]库存使用数据!$A:$J,10,0),0)+IFERROR(VLOOKUP($A836,[2]库存使用数据!$A:$J,10,0),0)+公式!$B$14*IFERROR(VLOOKUP($A836,[3]库存使用数据!$A:$J,10,0),0)+IFERROR(VLOOKUP($A836,[4]库存使用数据!$A:$J,10,0),0)+IFERROR(VLOOKUP($A836,[5]库存使用数据!$A:$J,10,0),0)</f>
        <v>0</v>
      </c>
      <c r="K836" s="1">
        <f ca="1">IFERROR(VLOOKUP($A836,[1]库存使用数据!$A:$K,11,0),0)+IFERROR(VLOOKUP($A836,[2]库存使用数据!$A:$K,11,0),0)+IFERROR(VLOOKUP($A836,[3]库存使用数据!$A:$K,11,0),0)+IFERROR(VLOOKUP($A836,[4]库存使用数据!$A:$K,11,0),0)+IFERROR(VLOOKUP($A836,[5]库存使用数据!$A:$K,11,0),0)</f>
        <v>259</v>
      </c>
      <c r="L836" s="1">
        <f ca="1">IFERROR(VLOOKUP($A836,[1]库存使用数据!$A:$L,12,0),0)+IFERROR(VLOOKUP($A836,[2]库存使用数据!$A:$L,12,0),0)+IFERROR(VLOOKUP($A836,[3]库存使用数据!$A:$L,12,0),0)+IFERROR(VLOOKUP($A836,[4]库存使用数据!$A:$L,12,0),0)+IFERROR(VLOOKUP($A836,[5]库存使用数据!$A:$L,12,0),0)</f>
        <v>0</v>
      </c>
      <c r="M836" s="1">
        <f ca="1">IFERROR(VLOOKUP($A836,[1]库存使用数据!$A:$M,13,0),0)+IFERROR(VLOOKUP($A836,[2]库存使用数据!$A:$M,13,0),0)+公式!$B$14*IFERROR(VLOOKUP($A836,[3]库存使用数据!$A:$M,13,0),0)+IFERROR(VLOOKUP($A836,[4]库存使用数据!$A:$M,13,0),0)+IFERROR(VLOOKUP($A836,[5]库存使用数据!$A:$M,13,0),0)</f>
        <v>0</v>
      </c>
    </row>
    <row r="837" spans="1:13">
      <c r="A837" s="6" t="s">
        <v>842</v>
      </c>
      <c r="B837" s="2">
        <f ca="1">IFERROR(VLOOKUP(A837,[1]库存使用数据!$A:$B,2,0),0)+IFERROR(VLOOKUP(A837,[2]库存使用数据!$A:$B,2,0),0)+IFERROR(VLOOKUP(,[3]库存使用数据!$A:$B,2,0),0)+IFERROR(VLOOKUP(A837,[4]库存使用数据!$A:$B,2,0),0)+IFERROR(VLOOKUP(A837,[5]库存使用数据!$A:$B,2,0),0)</f>
        <v>191</v>
      </c>
      <c r="C837" s="1">
        <f ca="1">IFERROR(VLOOKUP($A837,[1]库存使用数据!$A:$C,3,0),0)+IFERROR(VLOOKUP($A837,[2]库存使用数据!$A:$C,3,0),0)+IFERROR(VLOOKUP($A837,[3]库存使用数据!$A:$C,3,0),0)+IFERROR(VLOOKUP($A837,[4]库存使用数据!$A:$C,3,0),0)+IFERROR(VLOOKUP($A837,[5]库存使用数据!$A:$C,3,0),0)</f>
        <v>0</v>
      </c>
      <c r="D837" s="1">
        <f ca="1">IFERROR(VLOOKUP($A837,[1]库存使用数据!$A:$D,4,0),0)+IFERROR(VLOOKUP($A837,[2]库存使用数据!$A:$D,4,0),0)+公式!$B$1*IFERROR(VLOOKUP($A837,[3]库存使用数据!$A:$D,4,0),0)+IFERROR(VLOOKUP($A837,[4]库存使用数据!$A:$D,4,0),0)+IFERROR(VLOOKUP($A837,[5]库存使用数据!$A:$D,4,0),0)</f>
        <v>0</v>
      </c>
      <c r="E837" s="1">
        <f ca="1">IFERROR(VLOOKUP($A837,[1]库存使用数据!$A:$E,5,0),0)+IFERROR(VLOOKUP($A837,[2]库存使用数据!$A:$E,5,0),0)+IFERROR(VLOOKUP($A837,[3]库存使用数据!$A:$E,5,0),0)+IFERROR(VLOOKUP($A837,[4]库存使用数据!$A:$E,5,0),0)+IFERROR(VLOOKUP($A837,[5]库存使用数据!$A:$E,5,0),0)</f>
        <v>1033</v>
      </c>
      <c r="F837" s="1">
        <f ca="1">IFERROR(VLOOKUP($A837,[1]库存使用数据!$A:$F,6,0),0)+IFERROR(VLOOKUP($A837,[2]库存使用数据!$A:$F,6,0),0)+IFERROR(VLOOKUP($A837,[4]库存使用数据!$A:$F,6,0),0)+IFERROR(VLOOKUP($A837,[3]库存使用数据!$A:$F,6,0),0)+IFERROR(VLOOKUP($A837,[5]库存使用数据!$A:$F,6,0),0)</f>
        <v>1</v>
      </c>
      <c r="G837" s="1">
        <f ca="1">IFERROR(VLOOKUP($A837,[1]库存使用数据!$A:$G,7,0),0)+IFERROR(VLOOKUP($A837,[2]库存使用数据!$A:$G,7,0),0)+公式!$B$14*IFERROR(VLOOKUP($A837,[3]库存使用数据!$A:$G,7,0),0)+IFERROR(VLOOKUP($A837,[4]库存使用数据!$A:$G,7,0),0)+IFERROR(VLOOKUP($A837,[5]库存使用数据!$A:$G,7,0),0)</f>
        <v>0.3</v>
      </c>
      <c r="H837" s="1">
        <f ca="1">IFERROR(VLOOKUP($A837,[1]库存使用数据!$A:$H,8,0),0)+IFERROR(VLOOKUP($A837,[2]库存使用数据!$A:$H,8,0),0)+IFERROR(VLOOKUP($A837,[3]库存使用数据!$A:$H,8,0),0)+IFERROR(VLOOKUP($A837,[4]库存使用数据!$A:$H,8,0),0)+IFERROR(VLOOKUP($A837,[5]库存使用数据!$A:$H,8,0),0)</f>
        <v>535</v>
      </c>
      <c r="I837" s="1">
        <f ca="1">IFERROR(VLOOKUP($A837,[1]库存使用数据!$A:$I,9,0),0)+IFERROR(VLOOKUP($A837,[2]库存使用数据!$A:$I,9,0),0)+IFERROR(VLOOKUP($A837,[3]库存使用数据!$A:$I,9,0),0)+IFERROR(VLOOKUP($A837,[4]库存使用数据!$A:$I,9,0),0)+IFERROR(VLOOKUP($A837,[5]库存使用数据!$A:$I,9,0),0)</f>
        <v>1</v>
      </c>
      <c r="J837" s="1">
        <f ca="1">IFERROR(VLOOKUP($A837,[1]库存使用数据!$A:$J,10,0),0)+IFERROR(VLOOKUP($A837,[2]库存使用数据!$A:$J,10,0),0)+公式!$B$14*IFERROR(VLOOKUP($A837,[3]库存使用数据!$A:$J,10,0),0)+IFERROR(VLOOKUP($A837,[4]库存使用数据!$A:$J,10,0),0)+IFERROR(VLOOKUP($A837,[5]库存使用数据!$A:$J,10,0),0)</f>
        <v>0.3</v>
      </c>
      <c r="K837" s="1">
        <f ca="1">IFERROR(VLOOKUP($A837,[1]库存使用数据!$A:$K,11,0),0)+IFERROR(VLOOKUP($A837,[2]库存使用数据!$A:$K,11,0),0)+IFERROR(VLOOKUP($A837,[3]库存使用数据!$A:$K,11,0),0)+IFERROR(VLOOKUP($A837,[4]库存使用数据!$A:$K,11,0),0)+IFERROR(VLOOKUP($A837,[5]库存使用数据!$A:$K,11,0),0)</f>
        <v>80</v>
      </c>
      <c r="L837" s="1">
        <f ca="1">IFERROR(VLOOKUP($A837,[1]库存使用数据!$A:$L,12,0),0)+IFERROR(VLOOKUP($A837,[2]库存使用数据!$A:$L,12,0),0)+IFERROR(VLOOKUP($A837,[3]库存使用数据!$A:$L,12,0),0)+IFERROR(VLOOKUP($A837,[4]库存使用数据!$A:$L,12,0),0)+IFERROR(VLOOKUP($A837,[5]库存使用数据!$A:$L,12,0),0)</f>
        <v>0</v>
      </c>
      <c r="M837" s="1">
        <f ca="1">IFERROR(VLOOKUP($A837,[1]库存使用数据!$A:$M,13,0),0)+IFERROR(VLOOKUP($A837,[2]库存使用数据!$A:$M,13,0),0)+公式!$B$14*IFERROR(VLOOKUP($A837,[3]库存使用数据!$A:$M,13,0),0)+IFERROR(VLOOKUP($A837,[4]库存使用数据!$A:$M,13,0),0)+IFERROR(VLOOKUP($A837,[5]库存使用数据!$A:$M,13,0),0)</f>
        <v>0</v>
      </c>
    </row>
    <row r="838" spans="1:13">
      <c r="A838" s="6" t="s">
        <v>843</v>
      </c>
      <c r="B838" s="2">
        <f ca="1">IFERROR(VLOOKUP(A838,[1]库存使用数据!$A:$B,2,0),0)+IFERROR(VLOOKUP(A838,[2]库存使用数据!$A:$B,2,0),0)+IFERROR(VLOOKUP(,[3]库存使用数据!$A:$B,2,0),0)+IFERROR(VLOOKUP(A838,[4]库存使用数据!$A:$B,2,0),0)+IFERROR(VLOOKUP(A838,[5]库存使用数据!$A:$B,2,0),0)</f>
        <v>199</v>
      </c>
      <c r="C838" s="1">
        <f ca="1">IFERROR(VLOOKUP($A838,[1]库存使用数据!$A:$C,3,0),0)+IFERROR(VLOOKUP($A838,[2]库存使用数据!$A:$C,3,0),0)+IFERROR(VLOOKUP($A838,[3]库存使用数据!$A:$C,3,0),0)+IFERROR(VLOOKUP($A838,[4]库存使用数据!$A:$C,3,0),0)+IFERROR(VLOOKUP($A838,[5]库存使用数据!$A:$C,3,0),0)</f>
        <v>2</v>
      </c>
      <c r="D838" s="1">
        <f ca="1">IFERROR(VLOOKUP($A838,[1]库存使用数据!$A:$D,4,0),0)+IFERROR(VLOOKUP($A838,[2]库存使用数据!$A:$D,4,0),0)+公式!$B$1*IFERROR(VLOOKUP($A838,[3]库存使用数据!$A:$D,4,0),0)+IFERROR(VLOOKUP($A838,[4]库存使用数据!$A:$D,4,0),0)+IFERROR(VLOOKUP($A838,[5]库存使用数据!$A:$D,4,0),0)</f>
        <v>0.42</v>
      </c>
      <c r="E838" s="1">
        <f ca="1">IFERROR(VLOOKUP($A838,[1]库存使用数据!$A:$E,5,0),0)+IFERROR(VLOOKUP($A838,[2]库存使用数据!$A:$E,5,0),0)+IFERROR(VLOOKUP($A838,[3]库存使用数据!$A:$E,5,0),0)+IFERROR(VLOOKUP($A838,[4]库存使用数据!$A:$E,5,0),0)+IFERROR(VLOOKUP($A838,[5]库存使用数据!$A:$E,5,0),0)</f>
        <v>5285</v>
      </c>
      <c r="F838" s="1">
        <f ca="1">IFERROR(VLOOKUP($A838,[1]库存使用数据!$A:$F,6,0),0)+IFERROR(VLOOKUP($A838,[2]库存使用数据!$A:$F,6,0),0)+IFERROR(VLOOKUP($A838,[4]库存使用数据!$A:$F,6,0),0)+IFERROR(VLOOKUP($A838,[3]库存使用数据!$A:$F,6,0),0)+IFERROR(VLOOKUP($A838,[5]库存使用数据!$A:$F,6,0),0)</f>
        <v>7</v>
      </c>
      <c r="G838" s="1">
        <f ca="1">IFERROR(VLOOKUP($A838,[1]库存使用数据!$A:$G,7,0),0)+IFERROR(VLOOKUP($A838,[2]库存使用数据!$A:$G,7,0),0)+公式!$B$14*IFERROR(VLOOKUP($A838,[3]库存使用数据!$A:$G,7,0),0)+IFERROR(VLOOKUP($A838,[4]库存使用数据!$A:$G,7,0),0)+IFERROR(VLOOKUP($A838,[5]库存使用数据!$A:$G,7,0),0)</f>
        <v>1.19</v>
      </c>
      <c r="H838" s="1">
        <f ca="1">IFERROR(VLOOKUP($A838,[1]库存使用数据!$A:$H,8,0),0)+IFERROR(VLOOKUP($A838,[2]库存使用数据!$A:$H,8,0),0)+IFERROR(VLOOKUP($A838,[3]库存使用数据!$A:$H,8,0),0)+IFERROR(VLOOKUP($A838,[4]库存使用数据!$A:$H,8,0),0)+IFERROR(VLOOKUP($A838,[5]库存使用数据!$A:$H,8,0),0)</f>
        <v>3412</v>
      </c>
      <c r="I838" s="1">
        <f ca="1">IFERROR(VLOOKUP($A838,[1]库存使用数据!$A:$I,9,0),0)+IFERROR(VLOOKUP($A838,[2]库存使用数据!$A:$I,9,0),0)+IFERROR(VLOOKUP($A838,[3]库存使用数据!$A:$I,9,0),0)+IFERROR(VLOOKUP($A838,[4]库存使用数据!$A:$I,9,0),0)+IFERROR(VLOOKUP($A838,[5]库存使用数据!$A:$I,9,0),0)</f>
        <v>6</v>
      </c>
      <c r="J838" s="1">
        <f ca="1">IFERROR(VLOOKUP($A838,[1]库存使用数据!$A:$J,10,0),0)+IFERROR(VLOOKUP($A838,[2]库存使用数据!$A:$J,10,0),0)+公式!$B$14*IFERROR(VLOOKUP($A838,[3]库存使用数据!$A:$J,10,0),0)+IFERROR(VLOOKUP($A838,[4]库存使用数据!$A:$J,10,0),0)+IFERROR(VLOOKUP($A838,[5]库存使用数据!$A:$J,10,0),0)</f>
        <v>1.04</v>
      </c>
      <c r="K838" s="1">
        <f ca="1">IFERROR(VLOOKUP($A838,[1]库存使用数据!$A:$K,11,0),0)+IFERROR(VLOOKUP($A838,[2]库存使用数据!$A:$K,11,0),0)+IFERROR(VLOOKUP($A838,[3]库存使用数据!$A:$K,11,0),0)+IFERROR(VLOOKUP($A838,[4]库存使用数据!$A:$K,11,0),0)+IFERROR(VLOOKUP($A838,[5]库存使用数据!$A:$K,11,0),0)</f>
        <v>444</v>
      </c>
      <c r="L838" s="1">
        <f ca="1">IFERROR(VLOOKUP($A838,[1]库存使用数据!$A:$L,12,0),0)+IFERROR(VLOOKUP($A838,[2]库存使用数据!$A:$L,12,0),0)+IFERROR(VLOOKUP($A838,[3]库存使用数据!$A:$L,12,0),0)+IFERROR(VLOOKUP($A838,[4]库存使用数据!$A:$L,12,0),0)+IFERROR(VLOOKUP($A838,[5]库存使用数据!$A:$L,12,0),0)</f>
        <v>1</v>
      </c>
      <c r="M838" s="1">
        <f ca="1">IFERROR(VLOOKUP($A838,[1]库存使用数据!$A:$M,13,0),0)+IFERROR(VLOOKUP($A838,[2]库存使用数据!$A:$M,13,0),0)+公式!$B$14*IFERROR(VLOOKUP($A838,[3]库存使用数据!$A:$M,13,0),0)+IFERROR(VLOOKUP($A838,[4]库存使用数据!$A:$M,13,0),0)+IFERROR(VLOOKUP($A838,[5]库存使用数据!$A:$M,13,0),0)</f>
        <v>0.11</v>
      </c>
    </row>
    <row r="839" spans="1:13">
      <c r="A839" s="6" t="s">
        <v>844</v>
      </c>
      <c r="B839" s="2">
        <f ca="1">IFERROR(VLOOKUP(A839,[1]库存使用数据!$A:$B,2,0),0)+IFERROR(VLOOKUP(A839,[2]库存使用数据!$A:$B,2,0),0)+IFERROR(VLOOKUP(,[3]库存使用数据!$A:$B,2,0),0)+IFERROR(VLOOKUP(A839,[4]库存使用数据!$A:$B,2,0),0)+IFERROR(VLOOKUP(A839,[5]库存使用数据!$A:$B,2,0),0)</f>
        <v>25</v>
      </c>
      <c r="C839" s="1">
        <f ca="1">IFERROR(VLOOKUP($A839,[1]库存使用数据!$A:$C,3,0),0)+IFERROR(VLOOKUP($A839,[2]库存使用数据!$A:$C,3,0),0)+IFERROR(VLOOKUP($A839,[3]库存使用数据!$A:$C,3,0),0)+IFERROR(VLOOKUP($A839,[4]库存使用数据!$A:$C,3,0),0)+IFERROR(VLOOKUP($A839,[5]库存使用数据!$A:$C,3,0),0)</f>
        <v>0</v>
      </c>
      <c r="D839" s="1">
        <f ca="1">IFERROR(VLOOKUP($A839,[1]库存使用数据!$A:$D,4,0),0)+IFERROR(VLOOKUP($A839,[2]库存使用数据!$A:$D,4,0),0)+公式!$B$1*IFERROR(VLOOKUP($A839,[3]库存使用数据!$A:$D,4,0),0)+IFERROR(VLOOKUP($A839,[4]库存使用数据!$A:$D,4,0),0)+IFERROR(VLOOKUP($A839,[5]库存使用数据!$A:$D,4,0),0)</f>
        <v>0</v>
      </c>
      <c r="E839" s="1">
        <f ca="1">IFERROR(VLOOKUP($A839,[1]库存使用数据!$A:$E,5,0),0)+IFERROR(VLOOKUP($A839,[2]库存使用数据!$A:$E,5,0),0)+IFERROR(VLOOKUP($A839,[3]库存使用数据!$A:$E,5,0),0)+IFERROR(VLOOKUP($A839,[4]库存使用数据!$A:$E,5,0),0)+IFERROR(VLOOKUP($A839,[5]库存使用数据!$A:$E,5,0),0)</f>
        <v>127</v>
      </c>
      <c r="F839" s="1">
        <f ca="1">IFERROR(VLOOKUP($A839,[1]库存使用数据!$A:$F,6,0),0)+IFERROR(VLOOKUP($A839,[2]库存使用数据!$A:$F,6,0),0)+IFERROR(VLOOKUP($A839,[4]库存使用数据!$A:$F,6,0),0)+IFERROR(VLOOKUP($A839,[3]库存使用数据!$A:$F,6,0),0)+IFERROR(VLOOKUP($A839,[5]库存使用数据!$A:$F,6,0),0)</f>
        <v>0</v>
      </c>
      <c r="G839" s="1">
        <f ca="1">IFERROR(VLOOKUP($A839,[1]库存使用数据!$A:$G,7,0),0)+IFERROR(VLOOKUP($A839,[2]库存使用数据!$A:$G,7,0),0)+公式!$B$14*IFERROR(VLOOKUP($A839,[3]库存使用数据!$A:$G,7,0),0)+IFERROR(VLOOKUP($A839,[4]库存使用数据!$A:$G,7,0),0)+IFERROR(VLOOKUP($A839,[5]库存使用数据!$A:$G,7,0),0)</f>
        <v>0</v>
      </c>
      <c r="H839" s="1">
        <f ca="1">IFERROR(VLOOKUP($A839,[1]库存使用数据!$A:$H,8,0),0)+IFERROR(VLOOKUP($A839,[2]库存使用数据!$A:$H,8,0),0)+IFERROR(VLOOKUP($A839,[3]库存使用数据!$A:$H,8,0),0)+IFERROR(VLOOKUP($A839,[4]库存使用数据!$A:$H,8,0),0)+IFERROR(VLOOKUP($A839,[5]库存使用数据!$A:$H,8,0),0)</f>
        <v>44</v>
      </c>
      <c r="I839" s="1">
        <f ca="1">IFERROR(VLOOKUP($A839,[1]库存使用数据!$A:$I,9,0),0)+IFERROR(VLOOKUP($A839,[2]库存使用数据!$A:$I,9,0),0)+IFERROR(VLOOKUP($A839,[3]库存使用数据!$A:$I,9,0),0)+IFERROR(VLOOKUP($A839,[4]库存使用数据!$A:$I,9,0),0)+IFERROR(VLOOKUP($A839,[5]库存使用数据!$A:$I,9,0),0)</f>
        <v>0</v>
      </c>
      <c r="J839" s="1">
        <f ca="1">IFERROR(VLOOKUP($A839,[1]库存使用数据!$A:$J,10,0),0)+IFERROR(VLOOKUP($A839,[2]库存使用数据!$A:$J,10,0),0)+公式!$B$14*IFERROR(VLOOKUP($A839,[3]库存使用数据!$A:$J,10,0),0)+IFERROR(VLOOKUP($A839,[4]库存使用数据!$A:$J,10,0),0)+IFERROR(VLOOKUP($A839,[5]库存使用数据!$A:$J,10,0),0)</f>
        <v>0</v>
      </c>
      <c r="K839" s="1">
        <f ca="1">IFERROR(VLOOKUP($A839,[1]库存使用数据!$A:$K,11,0),0)+IFERROR(VLOOKUP($A839,[2]库存使用数据!$A:$K,11,0),0)+IFERROR(VLOOKUP($A839,[3]库存使用数据!$A:$K,11,0),0)+IFERROR(VLOOKUP($A839,[4]库存使用数据!$A:$K,11,0),0)+IFERROR(VLOOKUP($A839,[5]库存使用数据!$A:$K,11,0),0)</f>
        <v>23</v>
      </c>
      <c r="L839" s="1">
        <f ca="1">IFERROR(VLOOKUP($A839,[1]库存使用数据!$A:$L,12,0),0)+IFERROR(VLOOKUP($A839,[2]库存使用数据!$A:$L,12,0),0)+IFERROR(VLOOKUP($A839,[3]库存使用数据!$A:$L,12,0),0)+IFERROR(VLOOKUP($A839,[4]库存使用数据!$A:$L,12,0),0)+IFERROR(VLOOKUP($A839,[5]库存使用数据!$A:$L,12,0),0)</f>
        <v>0</v>
      </c>
      <c r="M839" s="1">
        <f ca="1">IFERROR(VLOOKUP($A839,[1]库存使用数据!$A:$M,13,0),0)+IFERROR(VLOOKUP($A839,[2]库存使用数据!$A:$M,13,0),0)+公式!$B$14*IFERROR(VLOOKUP($A839,[3]库存使用数据!$A:$M,13,0),0)+IFERROR(VLOOKUP($A839,[4]库存使用数据!$A:$M,13,0),0)+IFERROR(VLOOKUP($A839,[5]库存使用数据!$A:$M,13,0),0)</f>
        <v>0</v>
      </c>
    </row>
    <row r="840" spans="1:13">
      <c r="A840" s="6" t="s">
        <v>845</v>
      </c>
      <c r="B840" s="2">
        <f ca="1">IFERROR(VLOOKUP(A840,[1]库存使用数据!$A:$B,2,0),0)+IFERROR(VLOOKUP(A840,[2]库存使用数据!$A:$B,2,0),0)+IFERROR(VLOOKUP(,[3]库存使用数据!$A:$B,2,0),0)+IFERROR(VLOOKUP(A840,[4]库存使用数据!$A:$B,2,0),0)+IFERROR(VLOOKUP(A840,[5]库存使用数据!$A:$B,2,0),0)</f>
        <v>340</v>
      </c>
      <c r="C840" s="1">
        <f ca="1">IFERROR(VLOOKUP($A840,[1]库存使用数据!$A:$C,3,0),0)+IFERROR(VLOOKUP($A840,[2]库存使用数据!$A:$C,3,0),0)+IFERROR(VLOOKUP($A840,[3]库存使用数据!$A:$C,3,0),0)+IFERROR(VLOOKUP($A840,[4]库存使用数据!$A:$C,3,0),0)+IFERROR(VLOOKUP($A840,[5]库存使用数据!$A:$C,3,0),0)</f>
        <v>1</v>
      </c>
      <c r="D840" s="1">
        <f ca="1">IFERROR(VLOOKUP($A840,[1]库存使用数据!$A:$D,4,0),0)+IFERROR(VLOOKUP($A840,[2]库存使用数据!$A:$D,4,0),0)+公式!$B$1*IFERROR(VLOOKUP($A840,[3]库存使用数据!$A:$D,4,0),0)+IFERROR(VLOOKUP($A840,[4]库存使用数据!$A:$D,4,0),0)+IFERROR(VLOOKUP($A840,[5]库存使用数据!$A:$D,4,0),0)</f>
        <v>0.17</v>
      </c>
      <c r="E840" s="1">
        <f ca="1">IFERROR(VLOOKUP($A840,[1]库存使用数据!$A:$E,5,0),0)+IFERROR(VLOOKUP($A840,[2]库存使用数据!$A:$E,5,0),0)+IFERROR(VLOOKUP($A840,[3]库存使用数据!$A:$E,5,0),0)+IFERROR(VLOOKUP($A840,[4]库存使用数据!$A:$E,5,0),0)+IFERROR(VLOOKUP($A840,[5]库存使用数据!$A:$E,5,0),0)</f>
        <v>1292</v>
      </c>
      <c r="F840" s="1">
        <f ca="1">IFERROR(VLOOKUP($A840,[1]库存使用数据!$A:$F,6,0),0)+IFERROR(VLOOKUP($A840,[2]库存使用数据!$A:$F,6,0),0)+IFERROR(VLOOKUP($A840,[4]库存使用数据!$A:$F,6,0),0)+IFERROR(VLOOKUP($A840,[3]库存使用数据!$A:$F,6,0),0)+IFERROR(VLOOKUP($A840,[5]库存使用数据!$A:$F,6,0),0)</f>
        <v>4</v>
      </c>
      <c r="G840" s="1">
        <f ca="1">IFERROR(VLOOKUP($A840,[1]库存使用数据!$A:$G,7,0),0)+IFERROR(VLOOKUP($A840,[2]库存使用数据!$A:$G,7,0),0)+公式!$B$14*IFERROR(VLOOKUP($A840,[3]库存使用数据!$A:$G,7,0),0)+IFERROR(VLOOKUP($A840,[4]库存使用数据!$A:$G,7,0),0)+IFERROR(VLOOKUP($A840,[5]库存使用数据!$A:$G,7,0),0)</f>
        <v>0.57</v>
      </c>
      <c r="H840" s="1">
        <f ca="1">IFERROR(VLOOKUP($A840,[1]库存使用数据!$A:$H,8,0),0)+IFERROR(VLOOKUP($A840,[2]库存使用数据!$A:$H,8,0),0)+IFERROR(VLOOKUP($A840,[3]库存使用数据!$A:$H,8,0),0)+IFERROR(VLOOKUP($A840,[4]库存使用数据!$A:$H,8,0),0)+IFERROR(VLOOKUP($A840,[5]库存使用数据!$A:$H,8,0),0)</f>
        <v>213</v>
      </c>
      <c r="I840" s="1">
        <f ca="1">IFERROR(VLOOKUP($A840,[1]库存使用数据!$A:$I,9,0),0)+IFERROR(VLOOKUP($A840,[2]库存使用数据!$A:$I,9,0),0)+IFERROR(VLOOKUP($A840,[3]库存使用数据!$A:$I,9,0),0)+IFERROR(VLOOKUP($A840,[4]库存使用数据!$A:$I,9,0),0)+IFERROR(VLOOKUP($A840,[5]库存使用数据!$A:$I,9,0),0)</f>
        <v>0</v>
      </c>
      <c r="J840" s="1">
        <f ca="1">IFERROR(VLOOKUP($A840,[1]库存使用数据!$A:$J,10,0),0)+IFERROR(VLOOKUP($A840,[2]库存使用数据!$A:$J,10,0),0)+公式!$B$14*IFERROR(VLOOKUP($A840,[3]库存使用数据!$A:$J,10,0),0)+IFERROR(VLOOKUP($A840,[4]库存使用数据!$A:$J,10,0),0)+IFERROR(VLOOKUP($A840,[5]库存使用数据!$A:$J,10,0),0)</f>
        <v>0</v>
      </c>
      <c r="K840" s="1">
        <f ca="1">IFERROR(VLOOKUP($A840,[1]库存使用数据!$A:$K,11,0),0)+IFERROR(VLOOKUP($A840,[2]库存使用数据!$A:$K,11,0),0)+IFERROR(VLOOKUP($A840,[3]库存使用数据!$A:$K,11,0),0)+IFERROR(VLOOKUP($A840,[4]库存使用数据!$A:$K,11,0),0)+IFERROR(VLOOKUP($A840,[5]库存使用数据!$A:$K,11,0),0)</f>
        <v>135</v>
      </c>
      <c r="L840" s="1">
        <f ca="1">IFERROR(VLOOKUP($A840,[1]库存使用数据!$A:$L,12,0),0)+IFERROR(VLOOKUP($A840,[2]库存使用数据!$A:$L,12,0),0)+IFERROR(VLOOKUP($A840,[3]库存使用数据!$A:$L,12,0),0)+IFERROR(VLOOKUP($A840,[4]库存使用数据!$A:$L,12,0),0)+IFERROR(VLOOKUP($A840,[5]库存使用数据!$A:$L,12,0),0)</f>
        <v>0</v>
      </c>
      <c r="M840" s="1">
        <f ca="1">IFERROR(VLOOKUP($A840,[1]库存使用数据!$A:$M,13,0),0)+IFERROR(VLOOKUP($A840,[2]库存使用数据!$A:$M,13,0),0)+公式!$B$14*IFERROR(VLOOKUP($A840,[3]库存使用数据!$A:$M,13,0),0)+IFERROR(VLOOKUP($A840,[4]库存使用数据!$A:$M,13,0),0)+IFERROR(VLOOKUP($A840,[5]库存使用数据!$A:$M,13,0),0)</f>
        <v>0</v>
      </c>
    </row>
    <row r="841" spans="1:13">
      <c r="A841" s="6" t="s">
        <v>846</v>
      </c>
      <c r="B841" s="2">
        <f ca="1">IFERROR(VLOOKUP(A841,[1]库存使用数据!$A:$B,2,0),0)+IFERROR(VLOOKUP(A841,[2]库存使用数据!$A:$B,2,0),0)+IFERROR(VLOOKUP(,[3]库存使用数据!$A:$B,2,0),0)+IFERROR(VLOOKUP(A841,[4]库存使用数据!$A:$B,2,0),0)+IFERROR(VLOOKUP(A841,[5]库存使用数据!$A:$B,2,0),0)</f>
        <v>586</v>
      </c>
      <c r="C841" s="1">
        <f ca="1">IFERROR(VLOOKUP($A841,[1]库存使用数据!$A:$C,3,0),0)+IFERROR(VLOOKUP($A841,[2]库存使用数据!$A:$C,3,0),0)+IFERROR(VLOOKUP($A841,[3]库存使用数据!$A:$C,3,0),0)+IFERROR(VLOOKUP($A841,[4]库存使用数据!$A:$C,3,0),0)+IFERROR(VLOOKUP($A841,[5]库存使用数据!$A:$C,3,0),0)</f>
        <v>2</v>
      </c>
      <c r="D841" s="1">
        <f ca="1">IFERROR(VLOOKUP($A841,[1]库存使用数据!$A:$D,4,0),0)+IFERROR(VLOOKUP($A841,[2]库存使用数据!$A:$D,4,0),0)+公式!$B$1*IFERROR(VLOOKUP($A841,[3]库存使用数据!$A:$D,4,0),0)+IFERROR(VLOOKUP($A841,[4]库存使用数据!$A:$D,4,0),0)+IFERROR(VLOOKUP($A841,[5]库存使用数据!$A:$D,4,0),0)</f>
        <v>0.35</v>
      </c>
      <c r="E841" s="1">
        <f ca="1">IFERROR(VLOOKUP($A841,[1]库存使用数据!$A:$E,5,0),0)+IFERROR(VLOOKUP($A841,[2]库存使用数据!$A:$E,5,0),0)+IFERROR(VLOOKUP($A841,[3]库存使用数据!$A:$E,5,0),0)+IFERROR(VLOOKUP($A841,[4]库存使用数据!$A:$E,5,0),0)+IFERROR(VLOOKUP($A841,[5]库存使用数据!$A:$E,5,0),0)</f>
        <v>1214</v>
      </c>
      <c r="F841" s="1">
        <f ca="1">IFERROR(VLOOKUP($A841,[1]库存使用数据!$A:$F,6,0),0)+IFERROR(VLOOKUP($A841,[2]库存使用数据!$A:$F,6,0),0)+IFERROR(VLOOKUP($A841,[4]库存使用数据!$A:$F,6,0),0)+IFERROR(VLOOKUP($A841,[3]库存使用数据!$A:$F,6,0),0)+IFERROR(VLOOKUP($A841,[5]库存使用数据!$A:$F,6,0),0)</f>
        <v>2</v>
      </c>
      <c r="G841" s="1">
        <f ca="1">IFERROR(VLOOKUP($A841,[1]库存使用数据!$A:$G,7,0),0)+IFERROR(VLOOKUP($A841,[2]库存使用数据!$A:$G,7,0),0)+公式!$B$14*IFERROR(VLOOKUP($A841,[3]库存使用数据!$A:$G,7,0),0)+IFERROR(VLOOKUP($A841,[4]库存使用数据!$A:$G,7,0),0)+IFERROR(VLOOKUP($A841,[5]库存使用数据!$A:$G,7,0),0)</f>
        <v>0.4</v>
      </c>
      <c r="H841" s="1">
        <f ca="1">IFERROR(VLOOKUP($A841,[1]库存使用数据!$A:$H,8,0),0)+IFERROR(VLOOKUP($A841,[2]库存使用数据!$A:$H,8,0),0)+IFERROR(VLOOKUP($A841,[3]库存使用数据!$A:$H,8,0),0)+IFERROR(VLOOKUP($A841,[4]库存使用数据!$A:$H,8,0),0)+IFERROR(VLOOKUP($A841,[5]库存使用数据!$A:$H,8,0),0)</f>
        <v>244</v>
      </c>
      <c r="I841" s="1">
        <f ca="1">IFERROR(VLOOKUP($A841,[1]库存使用数据!$A:$I,9,0),0)+IFERROR(VLOOKUP($A841,[2]库存使用数据!$A:$I,9,0),0)+IFERROR(VLOOKUP($A841,[3]库存使用数据!$A:$I,9,0),0)+IFERROR(VLOOKUP($A841,[4]库存使用数据!$A:$I,9,0),0)+IFERROR(VLOOKUP($A841,[5]库存使用数据!$A:$I,9,0),0)</f>
        <v>2</v>
      </c>
      <c r="J841" s="1">
        <f ca="1">IFERROR(VLOOKUP($A841,[1]库存使用数据!$A:$J,10,0),0)+IFERROR(VLOOKUP($A841,[2]库存使用数据!$A:$J,10,0),0)+公式!$B$14*IFERROR(VLOOKUP($A841,[3]库存使用数据!$A:$J,10,0),0)+IFERROR(VLOOKUP($A841,[4]库存使用数据!$A:$J,10,0),0)+IFERROR(VLOOKUP($A841,[5]库存使用数据!$A:$J,10,0),0)</f>
        <v>0.4</v>
      </c>
      <c r="K841" s="1">
        <f ca="1">IFERROR(VLOOKUP($A841,[1]库存使用数据!$A:$K,11,0),0)+IFERROR(VLOOKUP($A841,[2]库存使用数据!$A:$K,11,0),0)+IFERROR(VLOOKUP($A841,[3]库存使用数据!$A:$K,11,0),0)+IFERROR(VLOOKUP($A841,[4]库存使用数据!$A:$K,11,0),0)+IFERROR(VLOOKUP($A841,[5]库存使用数据!$A:$K,11,0),0)</f>
        <v>167</v>
      </c>
      <c r="L841" s="1">
        <f ca="1">IFERROR(VLOOKUP($A841,[1]库存使用数据!$A:$L,12,0),0)+IFERROR(VLOOKUP($A841,[2]库存使用数据!$A:$L,12,0),0)+IFERROR(VLOOKUP($A841,[3]库存使用数据!$A:$L,12,0),0)+IFERROR(VLOOKUP($A841,[4]库存使用数据!$A:$L,12,0),0)+IFERROR(VLOOKUP($A841,[5]库存使用数据!$A:$L,12,0),0)</f>
        <v>1</v>
      </c>
      <c r="M841" s="1">
        <f ca="1">IFERROR(VLOOKUP($A841,[1]库存使用数据!$A:$M,13,0),0)+IFERROR(VLOOKUP($A841,[2]库存使用数据!$A:$M,13,0),0)+公式!$B$14*IFERROR(VLOOKUP($A841,[3]库存使用数据!$A:$M,13,0),0)+IFERROR(VLOOKUP($A841,[4]库存使用数据!$A:$M,13,0),0)+IFERROR(VLOOKUP($A841,[5]库存使用数据!$A:$M,13,0),0)</f>
        <v>0.24</v>
      </c>
    </row>
    <row r="842" spans="1:13">
      <c r="A842" s="6" t="s">
        <v>847</v>
      </c>
      <c r="B842" s="2">
        <f ca="1">IFERROR(VLOOKUP(A842,[1]库存使用数据!$A:$B,2,0),0)+IFERROR(VLOOKUP(A842,[2]库存使用数据!$A:$B,2,0),0)+IFERROR(VLOOKUP(,[3]库存使用数据!$A:$B,2,0),0)+IFERROR(VLOOKUP(A842,[4]库存使用数据!$A:$B,2,0),0)+IFERROR(VLOOKUP(A842,[5]库存使用数据!$A:$B,2,0),0)</f>
        <v>1053</v>
      </c>
      <c r="C842" s="1">
        <f ca="1">IFERROR(VLOOKUP($A842,[1]库存使用数据!$A:$C,3,0),0)+IFERROR(VLOOKUP($A842,[2]库存使用数据!$A:$C,3,0),0)+IFERROR(VLOOKUP($A842,[3]库存使用数据!$A:$C,3,0),0)+IFERROR(VLOOKUP($A842,[4]库存使用数据!$A:$C,3,0),0)+IFERROR(VLOOKUP($A842,[5]库存使用数据!$A:$C,3,0),0)</f>
        <v>4</v>
      </c>
      <c r="D842" s="1">
        <f ca="1">IFERROR(VLOOKUP($A842,[1]库存使用数据!$A:$D,4,0),0)+IFERROR(VLOOKUP($A842,[2]库存使用数据!$A:$D,4,0),0)+公式!$B$1*IFERROR(VLOOKUP($A842,[3]库存使用数据!$A:$D,4,0),0)+IFERROR(VLOOKUP($A842,[4]库存使用数据!$A:$D,4,0),0)+IFERROR(VLOOKUP($A842,[5]库存使用数据!$A:$D,4,0),0)</f>
        <v>0.94</v>
      </c>
      <c r="E842" s="1">
        <f ca="1">IFERROR(VLOOKUP($A842,[1]库存使用数据!$A:$E,5,0),0)+IFERROR(VLOOKUP($A842,[2]库存使用数据!$A:$E,5,0),0)+IFERROR(VLOOKUP($A842,[3]库存使用数据!$A:$E,5,0),0)+IFERROR(VLOOKUP($A842,[4]库存使用数据!$A:$E,5,0),0)+IFERROR(VLOOKUP($A842,[5]库存使用数据!$A:$E,5,0),0)</f>
        <v>3460</v>
      </c>
      <c r="F842" s="1">
        <f ca="1">IFERROR(VLOOKUP($A842,[1]库存使用数据!$A:$F,6,0),0)+IFERROR(VLOOKUP($A842,[2]库存使用数据!$A:$F,6,0),0)+IFERROR(VLOOKUP($A842,[4]库存使用数据!$A:$F,6,0),0)+IFERROR(VLOOKUP($A842,[3]库存使用数据!$A:$F,6,0),0)+IFERROR(VLOOKUP($A842,[5]库存使用数据!$A:$F,6,0),0)</f>
        <v>10</v>
      </c>
      <c r="G842" s="1">
        <f ca="1">IFERROR(VLOOKUP($A842,[1]库存使用数据!$A:$G,7,0),0)+IFERROR(VLOOKUP($A842,[2]库存使用数据!$A:$G,7,0),0)+公式!$B$14*IFERROR(VLOOKUP($A842,[3]库存使用数据!$A:$G,7,0),0)+IFERROR(VLOOKUP($A842,[4]库存使用数据!$A:$G,7,0),0)+IFERROR(VLOOKUP($A842,[5]库存使用数据!$A:$G,7,0),0)</f>
        <v>1.81</v>
      </c>
      <c r="H842" s="1">
        <f ca="1">IFERROR(VLOOKUP($A842,[1]库存使用数据!$A:$H,8,0),0)+IFERROR(VLOOKUP($A842,[2]库存使用数据!$A:$H,8,0),0)+IFERROR(VLOOKUP($A842,[3]库存使用数据!$A:$H,8,0),0)+IFERROR(VLOOKUP($A842,[4]库存使用数据!$A:$H,8,0),0)+IFERROR(VLOOKUP($A842,[5]库存使用数据!$A:$H,8,0),0)</f>
        <v>1419</v>
      </c>
      <c r="I842" s="1">
        <f ca="1">IFERROR(VLOOKUP($A842,[1]库存使用数据!$A:$I,9,0),0)+IFERROR(VLOOKUP($A842,[2]库存使用数据!$A:$I,9,0),0)+IFERROR(VLOOKUP($A842,[3]库存使用数据!$A:$I,9,0),0)+IFERROR(VLOOKUP($A842,[4]库存使用数据!$A:$I,9,0),0)+IFERROR(VLOOKUP($A842,[5]库存使用数据!$A:$I,9,0),0)</f>
        <v>4</v>
      </c>
      <c r="J842" s="1">
        <f ca="1">IFERROR(VLOOKUP($A842,[1]库存使用数据!$A:$J,10,0),0)+IFERROR(VLOOKUP($A842,[2]库存使用数据!$A:$J,10,0),0)+公式!$B$14*IFERROR(VLOOKUP($A842,[3]库存使用数据!$A:$J,10,0),0)+IFERROR(VLOOKUP($A842,[4]库存使用数据!$A:$J,10,0),0)+IFERROR(VLOOKUP($A842,[5]库存使用数据!$A:$J,10,0),0)</f>
        <v>0.7</v>
      </c>
      <c r="K842" s="1">
        <f ca="1">IFERROR(VLOOKUP($A842,[1]库存使用数据!$A:$K,11,0),0)+IFERROR(VLOOKUP($A842,[2]库存使用数据!$A:$K,11,0),0)+IFERROR(VLOOKUP($A842,[3]库存使用数据!$A:$K,11,0),0)+IFERROR(VLOOKUP($A842,[4]库存使用数据!$A:$K,11,0),0)+IFERROR(VLOOKUP($A842,[5]库存使用数据!$A:$K,11,0),0)</f>
        <v>216</v>
      </c>
      <c r="L842" s="1">
        <f ca="1">IFERROR(VLOOKUP($A842,[1]库存使用数据!$A:$L,12,0),0)+IFERROR(VLOOKUP($A842,[2]库存使用数据!$A:$L,12,0),0)+IFERROR(VLOOKUP($A842,[3]库存使用数据!$A:$L,12,0),0)+IFERROR(VLOOKUP($A842,[4]库存使用数据!$A:$L,12,0),0)+IFERROR(VLOOKUP($A842,[5]库存使用数据!$A:$L,12,0),0)</f>
        <v>1</v>
      </c>
      <c r="M842" s="1">
        <f ca="1">IFERROR(VLOOKUP($A842,[1]库存使用数据!$A:$M,13,0),0)+IFERROR(VLOOKUP($A842,[2]库存使用数据!$A:$M,13,0),0)+公式!$B$14*IFERROR(VLOOKUP($A842,[3]库存使用数据!$A:$M,13,0),0)+IFERROR(VLOOKUP($A842,[4]库存使用数据!$A:$M,13,0),0)+IFERROR(VLOOKUP($A842,[5]库存使用数据!$A:$M,13,0),0)</f>
        <v>0.3</v>
      </c>
    </row>
    <row r="843" spans="1:13">
      <c r="A843" s="6" t="s">
        <v>848</v>
      </c>
      <c r="B843" s="2">
        <f ca="1">IFERROR(VLOOKUP(A843,[1]库存使用数据!$A:$B,2,0),0)+IFERROR(VLOOKUP(A843,[2]库存使用数据!$A:$B,2,0),0)+IFERROR(VLOOKUP(,[3]库存使用数据!$A:$B,2,0),0)+IFERROR(VLOOKUP(A843,[4]库存使用数据!$A:$B,2,0),0)+IFERROR(VLOOKUP(A843,[5]库存使用数据!$A:$B,2,0),0)</f>
        <v>4001</v>
      </c>
      <c r="C843" s="1">
        <f ca="1">IFERROR(VLOOKUP($A843,[1]库存使用数据!$A:$C,3,0),0)+IFERROR(VLOOKUP($A843,[2]库存使用数据!$A:$C,3,0),0)+IFERROR(VLOOKUP($A843,[3]库存使用数据!$A:$C,3,0),0)+IFERROR(VLOOKUP($A843,[4]库存使用数据!$A:$C,3,0),0)+IFERROR(VLOOKUP($A843,[5]库存使用数据!$A:$C,3,0),0)</f>
        <v>4</v>
      </c>
      <c r="D843" s="1">
        <f ca="1">IFERROR(VLOOKUP($A843,[1]库存使用数据!$A:$D,4,0),0)+IFERROR(VLOOKUP($A843,[2]库存使用数据!$A:$D,4,0),0)+公式!$B$1*IFERROR(VLOOKUP($A843,[3]库存使用数据!$A:$D,4,0),0)+IFERROR(VLOOKUP($A843,[4]库存使用数据!$A:$D,4,0),0)+IFERROR(VLOOKUP($A843,[5]库存使用数据!$A:$D,4,0),0)</f>
        <v>0.74</v>
      </c>
      <c r="E843" s="1">
        <f ca="1">IFERROR(VLOOKUP($A843,[1]库存使用数据!$A:$E,5,0),0)+IFERROR(VLOOKUP($A843,[2]库存使用数据!$A:$E,5,0),0)+IFERROR(VLOOKUP($A843,[3]库存使用数据!$A:$E,5,0),0)+IFERROR(VLOOKUP($A843,[4]库存使用数据!$A:$E,5,0),0)+IFERROR(VLOOKUP($A843,[5]库存使用数据!$A:$E,5,0),0)</f>
        <v>470</v>
      </c>
      <c r="F843" s="1">
        <f ca="1">IFERROR(VLOOKUP($A843,[1]库存使用数据!$A:$F,6,0),0)+IFERROR(VLOOKUP($A843,[2]库存使用数据!$A:$F,6,0),0)+IFERROR(VLOOKUP($A843,[4]库存使用数据!$A:$F,6,0),0)+IFERROR(VLOOKUP($A843,[3]库存使用数据!$A:$F,6,0),0)+IFERROR(VLOOKUP($A843,[5]库存使用数据!$A:$F,6,0),0)</f>
        <v>1</v>
      </c>
      <c r="G843" s="1">
        <f ca="1">IFERROR(VLOOKUP($A843,[1]库存使用数据!$A:$G,7,0),0)+IFERROR(VLOOKUP($A843,[2]库存使用数据!$A:$G,7,0),0)+公式!$B$14*IFERROR(VLOOKUP($A843,[3]库存使用数据!$A:$G,7,0),0)+IFERROR(VLOOKUP($A843,[4]库存使用数据!$A:$G,7,0),0)+IFERROR(VLOOKUP($A843,[5]库存使用数据!$A:$G,7,0),0)</f>
        <v>0.08</v>
      </c>
      <c r="H843" s="1">
        <f ca="1">IFERROR(VLOOKUP($A843,[1]库存使用数据!$A:$H,8,0),0)+IFERROR(VLOOKUP($A843,[2]库存使用数据!$A:$H,8,0),0)+IFERROR(VLOOKUP($A843,[3]库存使用数据!$A:$H,8,0),0)+IFERROR(VLOOKUP($A843,[4]库存使用数据!$A:$H,8,0),0)+IFERROR(VLOOKUP($A843,[5]库存使用数据!$A:$H,8,0),0)</f>
        <v>38</v>
      </c>
      <c r="I843" s="1">
        <f ca="1">IFERROR(VLOOKUP($A843,[1]库存使用数据!$A:$I,9,0),0)+IFERROR(VLOOKUP($A843,[2]库存使用数据!$A:$I,9,0),0)+IFERROR(VLOOKUP($A843,[3]库存使用数据!$A:$I,9,0),0)+IFERROR(VLOOKUP($A843,[4]库存使用数据!$A:$I,9,0),0)+IFERROR(VLOOKUP($A843,[5]库存使用数据!$A:$I,9,0),0)</f>
        <v>0</v>
      </c>
      <c r="J843" s="1">
        <f ca="1">IFERROR(VLOOKUP($A843,[1]库存使用数据!$A:$J,10,0),0)+IFERROR(VLOOKUP($A843,[2]库存使用数据!$A:$J,10,0),0)+公式!$B$14*IFERROR(VLOOKUP($A843,[3]库存使用数据!$A:$J,10,0),0)+IFERROR(VLOOKUP($A843,[4]库存使用数据!$A:$J,10,0),0)+IFERROR(VLOOKUP($A843,[5]库存使用数据!$A:$J,10,0),0)</f>
        <v>0</v>
      </c>
      <c r="K843" s="1">
        <f ca="1">IFERROR(VLOOKUP($A843,[1]库存使用数据!$A:$K,11,0),0)+IFERROR(VLOOKUP($A843,[2]库存使用数据!$A:$K,11,0),0)+IFERROR(VLOOKUP($A843,[3]库存使用数据!$A:$K,11,0),0)+IFERROR(VLOOKUP($A843,[4]库存使用数据!$A:$K,11,0),0)+IFERROR(VLOOKUP($A843,[5]库存使用数据!$A:$K,11,0),0)</f>
        <v>31</v>
      </c>
      <c r="L843" s="1">
        <f ca="1">IFERROR(VLOOKUP($A843,[1]库存使用数据!$A:$L,12,0),0)+IFERROR(VLOOKUP($A843,[2]库存使用数据!$A:$L,12,0),0)+IFERROR(VLOOKUP($A843,[3]库存使用数据!$A:$L,12,0),0)+IFERROR(VLOOKUP($A843,[4]库存使用数据!$A:$L,12,0),0)+IFERROR(VLOOKUP($A843,[5]库存使用数据!$A:$L,12,0),0)</f>
        <v>0</v>
      </c>
      <c r="M843" s="1">
        <f ca="1">IFERROR(VLOOKUP($A843,[1]库存使用数据!$A:$M,13,0),0)+IFERROR(VLOOKUP($A843,[2]库存使用数据!$A:$M,13,0),0)+公式!$B$14*IFERROR(VLOOKUP($A843,[3]库存使用数据!$A:$M,13,0),0)+IFERROR(VLOOKUP($A843,[4]库存使用数据!$A:$M,13,0),0)+IFERROR(VLOOKUP($A843,[5]库存使用数据!$A:$M,13,0),0)</f>
        <v>0</v>
      </c>
    </row>
    <row r="844" spans="1:13">
      <c r="A844" s="6" t="s">
        <v>849</v>
      </c>
      <c r="B844" s="2">
        <f ca="1">IFERROR(VLOOKUP(A844,[1]库存使用数据!$A:$B,2,0),0)+IFERROR(VLOOKUP(A844,[2]库存使用数据!$A:$B,2,0),0)+IFERROR(VLOOKUP(,[3]库存使用数据!$A:$B,2,0),0)+IFERROR(VLOOKUP(A844,[4]库存使用数据!$A:$B,2,0),0)+IFERROR(VLOOKUP(A844,[5]库存使用数据!$A:$B,2,0),0)</f>
        <v>12</v>
      </c>
      <c r="C844" s="1">
        <f ca="1">IFERROR(VLOOKUP($A844,[1]库存使用数据!$A:$C,3,0),0)+IFERROR(VLOOKUP($A844,[2]库存使用数据!$A:$C,3,0),0)+IFERROR(VLOOKUP($A844,[3]库存使用数据!$A:$C,3,0),0)+IFERROR(VLOOKUP($A844,[4]库存使用数据!$A:$C,3,0),0)+IFERROR(VLOOKUP($A844,[5]库存使用数据!$A:$C,3,0),0)</f>
        <v>0</v>
      </c>
      <c r="D844" s="1">
        <f ca="1">IFERROR(VLOOKUP($A844,[1]库存使用数据!$A:$D,4,0),0)+IFERROR(VLOOKUP($A844,[2]库存使用数据!$A:$D,4,0),0)+公式!$B$1*IFERROR(VLOOKUP($A844,[3]库存使用数据!$A:$D,4,0),0)+IFERROR(VLOOKUP($A844,[4]库存使用数据!$A:$D,4,0),0)+IFERROR(VLOOKUP($A844,[5]库存使用数据!$A:$D,4,0),0)</f>
        <v>0</v>
      </c>
      <c r="E844" s="1">
        <f ca="1">IFERROR(VLOOKUP($A844,[1]库存使用数据!$A:$E,5,0),0)+IFERROR(VLOOKUP($A844,[2]库存使用数据!$A:$E,5,0),0)+IFERROR(VLOOKUP($A844,[3]库存使用数据!$A:$E,5,0),0)+IFERROR(VLOOKUP($A844,[4]库存使用数据!$A:$E,5,0),0)+IFERROR(VLOOKUP($A844,[5]库存使用数据!$A:$E,5,0),0)</f>
        <v>600</v>
      </c>
      <c r="F844" s="1">
        <f ca="1">IFERROR(VLOOKUP($A844,[1]库存使用数据!$A:$F,6,0),0)+IFERROR(VLOOKUP($A844,[2]库存使用数据!$A:$F,6,0),0)+IFERROR(VLOOKUP($A844,[4]库存使用数据!$A:$F,6,0),0)+IFERROR(VLOOKUP($A844,[3]库存使用数据!$A:$F,6,0),0)+IFERROR(VLOOKUP($A844,[5]库存使用数据!$A:$F,6,0),0)</f>
        <v>2</v>
      </c>
      <c r="G844" s="1">
        <f ca="1">IFERROR(VLOOKUP($A844,[1]库存使用数据!$A:$G,7,0),0)+IFERROR(VLOOKUP($A844,[2]库存使用数据!$A:$G,7,0),0)+公式!$B$14*IFERROR(VLOOKUP($A844,[3]库存使用数据!$A:$G,7,0),0)+IFERROR(VLOOKUP($A844,[4]库存使用数据!$A:$G,7,0),0)+IFERROR(VLOOKUP($A844,[5]库存使用数据!$A:$G,7,0),0)</f>
        <v>0.5</v>
      </c>
      <c r="H844" s="1">
        <f ca="1">IFERROR(VLOOKUP($A844,[1]库存使用数据!$A:$H,8,0),0)+IFERROR(VLOOKUP($A844,[2]库存使用数据!$A:$H,8,0),0)+IFERROR(VLOOKUP($A844,[3]库存使用数据!$A:$H,8,0),0)+IFERROR(VLOOKUP($A844,[4]库存使用数据!$A:$H,8,0),0)+IFERROR(VLOOKUP($A844,[5]库存使用数据!$A:$H,8,0),0)</f>
        <v>196</v>
      </c>
      <c r="I844" s="1">
        <f ca="1">IFERROR(VLOOKUP($A844,[1]库存使用数据!$A:$I,9,0),0)+IFERROR(VLOOKUP($A844,[2]库存使用数据!$A:$I,9,0),0)+IFERROR(VLOOKUP($A844,[3]库存使用数据!$A:$I,9,0),0)+IFERROR(VLOOKUP($A844,[4]库存使用数据!$A:$I,9,0),0)+IFERROR(VLOOKUP($A844,[5]库存使用数据!$A:$I,9,0),0)</f>
        <v>0</v>
      </c>
      <c r="J844" s="1">
        <f ca="1">IFERROR(VLOOKUP($A844,[1]库存使用数据!$A:$J,10,0),0)+IFERROR(VLOOKUP($A844,[2]库存使用数据!$A:$J,10,0),0)+公式!$B$14*IFERROR(VLOOKUP($A844,[3]库存使用数据!$A:$J,10,0),0)+IFERROR(VLOOKUP($A844,[4]库存使用数据!$A:$J,10,0),0)+IFERROR(VLOOKUP($A844,[5]库存使用数据!$A:$J,10,0),0)</f>
        <v>0</v>
      </c>
      <c r="K844" s="1">
        <f ca="1">IFERROR(VLOOKUP($A844,[1]库存使用数据!$A:$K,11,0),0)+IFERROR(VLOOKUP($A844,[2]库存使用数据!$A:$K,11,0),0)+IFERROR(VLOOKUP($A844,[3]库存使用数据!$A:$K,11,0),0)+IFERROR(VLOOKUP($A844,[4]库存使用数据!$A:$K,11,0),0)+IFERROR(VLOOKUP($A844,[5]库存使用数据!$A:$K,11,0),0)</f>
        <v>82</v>
      </c>
      <c r="L844" s="1">
        <f ca="1">IFERROR(VLOOKUP($A844,[1]库存使用数据!$A:$L,12,0),0)+IFERROR(VLOOKUP($A844,[2]库存使用数据!$A:$L,12,0),0)+IFERROR(VLOOKUP($A844,[3]库存使用数据!$A:$L,12,0),0)+IFERROR(VLOOKUP($A844,[4]库存使用数据!$A:$L,12,0),0)+IFERROR(VLOOKUP($A844,[5]库存使用数据!$A:$L,12,0),0)</f>
        <v>0</v>
      </c>
      <c r="M844" s="1">
        <f ca="1">IFERROR(VLOOKUP($A844,[1]库存使用数据!$A:$M,13,0),0)+IFERROR(VLOOKUP($A844,[2]库存使用数据!$A:$M,13,0),0)+公式!$B$14*IFERROR(VLOOKUP($A844,[3]库存使用数据!$A:$M,13,0),0)+IFERROR(VLOOKUP($A844,[4]库存使用数据!$A:$M,13,0),0)+IFERROR(VLOOKUP($A844,[5]库存使用数据!$A:$M,13,0),0)</f>
        <v>0</v>
      </c>
    </row>
    <row r="845" spans="1:13">
      <c r="A845" s="6" t="s">
        <v>850</v>
      </c>
      <c r="B845" s="2">
        <f ca="1">IFERROR(VLOOKUP(A845,[1]库存使用数据!$A:$B,2,0),0)+IFERROR(VLOOKUP(A845,[2]库存使用数据!$A:$B,2,0),0)+IFERROR(VLOOKUP(,[3]库存使用数据!$A:$B,2,0),0)+IFERROR(VLOOKUP(A845,[4]库存使用数据!$A:$B,2,0),0)+IFERROR(VLOOKUP(A845,[5]库存使用数据!$A:$B,2,0),0)</f>
        <v>126</v>
      </c>
      <c r="C845" s="1">
        <f ca="1">IFERROR(VLOOKUP($A845,[1]库存使用数据!$A:$C,3,0),0)+IFERROR(VLOOKUP($A845,[2]库存使用数据!$A:$C,3,0),0)+IFERROR(VLOOKUP($A845,[3]库存使用数据!$A:$C,3,0),0)+IFERROR(VLOOKUP($A845,[4]库存使用数据!$A:$C,3,0),0)+IFERROR(VLOOKUP($A845,[5]库存使用数据!$A:$C,3,0),0)</f>
        <v>0</v>
      </c>
      <c r="D845" s="1">
        <f ca="1">IFERROR(VLOOKUP($A845,[1]库存使用数据!$A:$D,4,0),0)+IFERROR(VLOOKUP($A845,[2]库存使用数据!$A:$D,4,0),0)+公式!$B$1*IFERROR(VLOOKUP($A845,[3]库存使用数据!$A:$D,4,0),0)+IFERROR(VLOOKUP($A845,[4]库存使用数据!$A:$D,4,0),0)+IFERROR(VLOOKUP($A845,[5]库存使用数据!$A:$D,4,0),0)</f>
        <v>0</v>
      </c>
      <c r="E845" s="1">
        <f ca="1">IFERROR(VLOOKUP($A845,[1]库存使用数据!$A:$E,5,0),0)+IFERROR(VLOOKUP($A845,[2]库存使用数据!$A:$E,5,0),0)+IFERROR(VLOOKUP($A845,[3]库存使用数据!$A:$E,5,0),0)+IFERROR(VLOOKUP($A845,[4]库存使用数据!$A:$E,5,0),0)+IFERROR(VLOOKUP($A845,[5]库存使用数据!$A:$E,5,0),0)</f>
        <v>152</v>
      </c>
      <c r="F845" s="1">
        <f ca="1">IFERROR(VLOOKUP($A845,[1]库存使用数据!$A:$F,6,0),0)+IFERROR(VLOOKUP($A845,[2]库存使用数据!$A:$F,6,0),0)+IFERROR(VLOOKUP($A845,[4]库存使用数据!$A:$F,6,0),0)+IFERROR(VLOOKUP($A845,[3]库存使用数据!$A:$F,6,0),0)+IFERROR(VLOOKUP($A845,[5]库存使用数据!$A:$F,6,0),0)</f>
        <v>1</v>
      </c>
      <c r="G845" s="1">
        <f ca="1">IFERROR(VLOOKUP($A845,[1]库存使用数据!$A:$G,7,0),0)+IFERROR(VLOOKUP($A845,[2]库存使用数据!$A:$G,7,0),0)+公式!$B$14*IFERROR(VLOOKUP($A845,[3]库存使用数据!$A:$G,7,0),0)+IFERROR(VLOOKUP($A845,[4]库存使用数据!$A:$G,7,0),0)+IFERROR(VLOOKUP($A845,[5]库存使用数据!$A:$G,7,0),0)</f>
        <v>0.2</v>
      </c>
      <c r="H845" s="1">
        <f ca="1">IFERROR(VLOOKUP($A845,[1]库存使用数据!$A:$H,8,0),0)+IFERROR(VLOOKUP($A845,[2]库存使用数据!$A:$H,8,0),0)+IFERROR(VLOOKUP($A845,[3]库存使用数据!$A:$H,8,0),0)+IFERROR(VLOOKUP($A845,[4]库存使用数据!$A:$H,8,0),0)+IFERROR(VLOOKUP($A845,[5]库存使用数据!$A:$H,8,0),0)</f>
        <v>65</v>
      </c>
      <c r="I845" s="1">
        <f ca="1">IFERROR(VLOOKUP($A845,[1]库存使用数据!$A:$I,9,0),0)+IFERROR(VLOOKUP($A845,[2]库存使用数据!$A:$I,9,0),0)+IFERROR(VLOOKUP($A845,[3]库存使用数据!$A:$I,9,0),0)+IFERROR(VLOOKUP($A845,[4]库存使用数据!$A:$I,9,0),0)+IFERROR(VLOOKUP($A845,[5]库存使用数据!$A:$I,9,0),0)</f>
        <v>0</v>
      </c>
      <c r="J845" s="1">
        <f ca="1">IFERROR(VLOOKUP($A845,[1]库存使用数据!$A:$J,10,0),0)+IFERROR(VLOOKUP($A845,[2]库存使用数据!$A:$J,10,0),0)+公式!$B$14*IFERROR(VLOOKUP($A845,[3]库存使用数据!$A:$J,10,0),0)+IFERROR(VLOOKUP($A845,[4]库存使用数据!$A:$J,10,0),0)+IFERROR(VLOOKUP($A845,[5]库存使用数据!$A:$J,10,0),0)</f>
        <v>0</v>
      </c>
      <c r="K845" s="1">
        <f ca="1">IFERROR(VLOOKUP($A845,[1]库存使用数据!$A:$K,11,0),0)+IFERROR(VLOOKUP($A845,[2]库存使用数据!$A:$K,11,0),0)+IFERROR(VLOOKUP($A845,[3]库存使用数据!$A:$K,11,0),0)+IFERROR(VLOOKUP($A845,[4]库存使用数据!$A:$K,11,0),0)+IFERROR(VLOOKUP($A845,[5]库存使用数据!$A:$K,11,0),0)</f>
        <v>52</v>
      </c>
      <c r="L845" s="1">
        <f ca="1">IFERROR(VLOOKUP($A845,[1]库存使用数据!$A:$L,12,0),0)+IFERROR(VLOOKUP($A845,[2]库存使用数据!$A:$L,12,0),0)+IFERROR(VLOOKUP($A845,[3]库存使用数据!$A:$L,12,0),0)+IFERROR(VLOOKUP($A845,[4]库存使用数据!$A:$L,12,0),0)+IFERROR(VLOOKUP($A845,[5]库存使用数据!$A:$L,12,0),0)</f>
        <v>0</v>
      </c>
      <c r="M845" s="1">
        <f ca="1">IFERROR(VLOOKUP($A845,[1]库存使用数据!$A:$M,13,0),0)+IFERROR(VLOOKUP($A845,[2]库存使用数据!$A:$M,13,0),0)+公式!$B$14*IFERROR(VLOOKUP($A845,[3]库存使用数据!$A:$M,13,0),0)+IFERROR(VLOOKUP($A845,[4]库存使用数据!$A:$M,13,0),0)+IFERROR(VLOOKUP($A845,[5]库存使用数据!$A:$M,13,0),0)</f>
        <v>0</v>
      </c>
    </row>
    <row r="846" spans="1:13">
      <c r="A846" s="6" t="s">
        <v>851</v>
      </c>
      <c r="B846" s="2">
        <f ca="1">IFERROR(VLOOKUP(A846,[1]库存使用数据!$A:$B,2,0),0)+IFERROR(VLOOKUP(A846,[2]库存使用数据!$A:$B,2,0),0)+IFERROR(VLOOKUP(,[3]库存使用数据!$A:$B,2,0),0)+IFERROR(VLOOKUP(A846,[4]库存使用数据!$A:$B,2,0),0)+IFERROR(VLOOKUP(A846,[5]库存使用数据!$A:$B,2,0),0)</f>
        <v>233</v>
      </c>
      <c r="C846" s="1">
        <f ca="1">IFERROR(VLOOKUP($A846,[1]库存使用数据!$A:$C,3,0),0)+IFERROR(VLOOKUP($A846,[2]库存使用数据!$A:$C,3,0),0)+IFERROR(VLOOKUP($A846,[3]库存使用数据!$A:$C,3,0),0)+IFERROR(VLOOKUP($A846,[4]库存使用数据!$A:$C,3,0),0)+IFERROR(VLOOKUP($A846,[5]库存使用数据!$A:$C,3,0),0)</f>
        <v>0</v>
      </c>
      <c r="D846" s="1">
        <f ca="1">IFERROR(VLOOKUP($A846,[1]库存使用数据!$A:$D,4,0),0)+IFERROR(VLOOKUP($A846,[2]库存使用数据!$A:$D,4,0),0)+公式!$B$1*IFERROR(VLOOKUP($A846,[3]库存使用数据!$A:$D,4,0),0)+IFERROR(VLOOKUP($A846,[4]库存使用数据!$A:$D,4,0),0)+IFERROR(VLOOKUP($A846,[5]库存使用数据!$A:$D,4,0),0)</f>
        <v>0</v>
      </c>
      <c r="E846" s="1">
        <f ca="1">IFERROR(VLOOKUP($A846,[1]库存使用数据!$A:$E,5,0),0)+IFERROR(VLOOKUP($A846,[2]库存使用数据!$A:$E,5,0),0)+IFERROR(VLOOKUP($A846,[3]库存使用数据!$A:$E,5,0),0)+IFERROR(VLOOKUP($A846,[4]库存使用数据!$A:$E,5,0),0)+IFERROR(VLOOKUP($A846,[5]库存使用数据!$A:$E,5,0),0)</f>
        <v>115</v>
      </c>
      <c r="F846" s="1">
        <f ca="1">IFERROR(VLOOKUP($A846,[1]库存使用数据!$A:$F,6,0),0)+IFERROR(VLOOKUP($A846,[2]库存使用数据!$A:$F,6,0),0)+IFERROR(VLOOKUP($A846,[4]库存使用数据!$A:$F,6,0),0)+IFERROR(VLOOKUP($A846,[3]库存使用数据!$A:$F,6,0),0)+IFERROR(VLOOKUP($A846,[5]库存使用数据!$A:$F,6,0),0)</f>
        <v>1</v>
      </c>
      <c r="G846" s="1">
        <f ca="1">IFERROR(VLOOKUP($A846,[1]库存使用数据!$A:$G,7,0),0)+IFERROR(VLOOKUP($A846,[2]库存使用数据!$A:$G,7,0),0)+公式!$B$14*IFERROR(VLOOKUP($A846,[3]库存使用数据!$A:$G,7,0),0)+IFERROR(VLOOKUP($A846,[4]库存使用数据!$A:$G,7,0),0)+IFERROR(VLOOKUP($A846,[5]库存使用数据!$A:$G,7,0),0)</f>
        <v>0.27</v>
      </c>
      <c r="H846" s="1">
        <f ca="1">IFERROR(VLOOKUP($A846,[1]库存使用数据!$A:$H,8,0),0)+IFERROR(VLOOKUP($A846,[2]库存使用数据!$A:$H,8,0),0)+IFERROR(VLOOKUP($A846,[3]库存使用数据!$A:$H,8,0),0)+IFERROR(VLOOKUP($A846,[4]库存使用数据!$A:$H,8,0),0)+IFERROR(VLOOKUP($A846,[5]库存使用数据!$A:$H,8,0),0)</f>
        <v>38</v>
      </c>
      <c r="I846" s="1">
        <f ca="1">IFERROR(VLOOKUP($A846,[1]库存使用数据!$A:$I,9,0),0)+IFERROR(VLOOKUP($A846,[2]库存使用数据!$A:$I,9,0),0)+IFERROR(VLOOKUP($A846,[3]库存使用数据!$A:$I,9,0),0)+IFERROR(VLOOKUP($A846,[4]库存使用数据!$A:$I,9,0),0)+IFERROR(VLOOKUP($A846,[5]库存使用数据!$A:$I,9,0),0)</f>
        <v>1</v>
      </c>
      <c r="J846" s="1">
        <f ca="1">IFERROR(VLOOKUP($A846,[1]库存使用数据!$A:$J,10,0),0)+IFERROR(VLOOKUP($A846,[2]库存使用数据!$A:$J,10,0),0)+公式!$B$14*IFERROR(VLOOKUP($A846,[3]库存使用数据!$A:$J,10,0),0)+IFERROR(VLOOKUP($A846,[4]库存使用数据!$A:$J,10,0),0)+IFERROR(VLOOKUP($A846,[5]库存使用数据!$A:$J,10,0),0)</f>
        <v>0.27</v>
      </c>
      <c r="K846" s="1">
        <f ca="1">IFERROR(VLOOKUP($A846,[1]库存使用数据!$A:$K,11,0),0)+IFERROR(VLOOKUP($A846,[2]库存使用数据!$A:$K,11,0),0)+IFERROR(VLOOKUP($A846,[3]库存使用数据!$A:$K,11,0),0)+IFERROR(VLOOKUP($A846,[4]库存使用数据!$A:$K,11,0),0)+IFERROR(VLOOKUP($A846,[5]库存使用数据!$A:$K,11,0),0)</f>
        <v>44</v>
      </c>
      <c r="L846" s="1">
        <f ca="1">IFERROR(VLOOKUP($A846,[1]库存使用数据!$A:$L,12,0),0)+IFERROR(VLOOKUP($A846,[2]库存使用数据!$A:$L,12,0),0)+IFERROR(VLOOKUP($A846,[3]库存使用数据!$A:$L,12,0),0)+IFERROR(VLOOKUP($A846,[4]库存使用数据!$A:$L,12,0),0)+IFERROR(VLOOKUP($A846,[5]库存使用数据!$A:$L,12,0),0)</f>
        <v>0</v>
      </c>
      <c r="M846" s="1">
        <f ca="1">IFERROR(VLOOKUP($A846,[1]库存使用数据!$A:$M,13,0),0)+IFERROR(VLOOKUP($A846,[2]库存使用数据!$A:$M,13,0),0)+公式!$B$14*IFERROR(VLOOKUP($A846,[3]库存使用数据!$A:$M,13,0),0)+IFERROR(VLOOKUP($A846,[4]库存使用数据!$A:$M,13,0),0)+IFERROR(VLOOKUP($A846,[5]库存使用数据!$A:$M,13,0),0)</f>
        <v>0</v>
      </c>
    </row>
    <row r="847" spans="1:13">
      <c r="A847" s="6" t="s">
        <v>852</v>
      </c>
      <c r="B847" s="2">
        <f ca="1">IFERROR(VLOOKUP(A847,[1]库存使用数据!$A:$B,2,0),0)+IFERROR(VLOOKUP(A847,[2]库存使用数据!$A:$B,2,0),0)+IFERROR(VLOOKUP(,[3]库存使用数据!$A:$B,2,0),0)+IFERROR(VLOOKUP(A847,[4]库存使用数据!$A:$B,2,0),0)+IFERROR(VLOOKUP(A847,[5]库存使用数据!$A:$B,2,0),0)</f>
        <v>10</v>
      </c>
      <c r="C847" s="1">
        <f ca="1">IFERROR(VLOOKUP($A847,[1]库存使用数据!$A:$C,3,0),0)+IFERROR(VLOOKUP($A847,[2]库存使用数据!$A:$C,3,0),0)+IFERROR(VLOOKUP($A847,[3]库存使用数据!$A:$C,3,0),0)+IFERROR(VLOOKUP($A847,[4]库存使用数据!$A:$C,3,0),0)+IFERROR(VLOOKUP($A847,[5]库存使用数据!$A:$C,3,0),0)</f>
        <v>0</v>
      </c>
      <c r="D847" s="1">
        <f ca="1">IFERROR(VLOOKUP($A847,[1]库存使用数据!$A:$D,4,0),0)+IFERROR(VLOOKUP($A847,[2]库存使用数据!$A:$D,4,0),0)+公式!$B$1*IFERROR(VLOOKUP($A847,[3]库存使用数据!$A:$D,4,0),0)+IFERROR(VLOOKUP($A847,[4]库存使用数据!$A:$D,4,0),0)+IFERROR(VLOOKUP($A847,[5]库存使用数据!$A:$D,4,0),0)</f>
        <v>0</v>
      </c>
      <c r="E847" s="1">
        <f ca="1">IFERROR(VLOOKUP($A847,[1]库存使用数据!$A:$E,5,0),0)+IFERROR(VLOOKUP($A847,[2]库存使用数据!$A:$E,5,0),0)+IFERROR(VLOOKUP($A847,[3]库存使用数据!$A:$E,5,0),0)+IFERROR(VLOOKUP($A847,[4]库存使用数据!$A:$E,5,0),0)+IFERROR(VLOOKUP($A847,[5]库存使用数据!$A:$E,5,0),0)</f>
        <v>224</v>
      </c>
      <c r="F847" s="1">
        <f ca="1">IFERROR(VLOOKUP($A847,[1]库存使用数据!$A:$F,6,0),0)+IFERROR(VLOOKUP($A847,[2]库存使用数据!$A:$F,6,0),0)+IFERROR(VLOOKUP($A847,[4]库存使用数据!$A:$F,6,0),0)+IFERROR(VLOOKUP($A847,[3]库存使用数据!$A:$F,6,0),0)+IFERROR(VLOOKUP($A847,[5]库存使用数据!$A:$F,6,0),0)</f>
        <v>1</v>
      </c>
      <c r="G847" s="1">
        <f ca="1">IFERROR(VLOOKUP($A847,[1]库存使用数据!$A:$G,7,0),0)+IFERROR(VLOOKUP($A847,[2]库存使用数据!$A:$G,7,0),0)+公式!$B$14*IFERROR(VLOOKUP($A847,[3]库存使用数据!$A:$G,7,0),0)+IFERROR(VLOOKUP($A847,[4]库存使用数据!$A:$G,7,0),0)+IFERROR(VLOOKUP($A847,[5]库存使用数据!$A:$G,7,0),0)</f>
        <v>0.15</v>
      </c>
      <c r="H847" s="1">
        <f ca="1">IFERROR(VLOOKUP($A847,[1]库存使用数据!$A:$H,8,0),0)+IFERROR(VLOOKUP($A847,[2]库存使用数据!$A:$H,8,0),0)+IFERROR(VLOOKUP($A847,[3]库存使用数据!$A:$H,8,0),0)+IFERROR(VLOOKUP($A847,[4]库存使用数据!$A:$H,8,0),0)+IFERROR(VLOOKUP($A847,[5]库存使用数据!$A:$H,8,0),0)</f>
        <v>185</v>
      </c>
      <c r="I847" s="1">
        <f ca="1">IFERROR(VLOOKUP($A847,[1]库存使用数据!$A:$I,9,0),0)+IFERROR(VLOOKUP($A847,[2]库存使用数据!$A:$I,9,0),0)+IFERROR(VLOOKUP($A847,[3]库存使用数据!$A:$I,9,0),0)+IFERROR(VLOOKUP($A847,[4]库存使用数据!$A:$I,9,0),0)+IFERROR(VLOOKUP($A847,[5]库存使用数据!$A:$I,9,0),0)</f>
        <v>1</v>
      </c>
      <c r="J847" s="1">
        <f ca="1">IFERROR(VLOOKUP($A847,[1]库存使用数据!$A:$J,10,0),0)+IFERROR(VLOOKUP($A847,[2]库存使用数据!$A:$J,10,0),0)+公式!$B$14*IFERROR(VLOOKUP($A847,[3]库存使用数据!$A:$J,10,0),0)+IFERROR(VLOOKUP($A847,[4]库存使用数据!$A:$J,10,0),0)+IFERROR(VLOOKUP($A847,[5]库存使用数据!$A:$J,10,0),0)</f>
        <v>0.15</v>
      </c>
      <c r="K847" s="1">
        <f ca="1">IFERROR(VLOOKUP($A847,[1]库存使用数据!$A:$K,11,0),0)+IFERROR(VLOOKUP($A847,[2]库存使用数据!$A:$K,11,0),0)+IFERROR(VLOOKUP($A847,[3]库存使用数据!$A:$K,11,0),0)+IFERROR(VLOOKUP($A847,[4]库存使用数据!$A:$K,11,0),0)+IFERROR(VLOOKUP($A847,[5]库存使用数据!$A:$K,11,0),0)</f>
        <v>64</v>
      </c>
      <c r="L847" s="1">
        <f ca="1">IFERROR(VLOOKUP($A847,[1]库存使用数据!$A:$L,12,0),0)+IFERROR(VLOOKUP($A847,[2]库存使用数据!$A:$L,12,0),0)+IFERROR(VLOOKUP($A847,[3]库存使用数据!$A:$L,12,0),0)+IFERROR(VLOOKUP($A847,[4]库存使用数据!$A:$L,12,0),0)+IFERROR(VLOOKUP($A847,[5]库存使用数据!$A:$L,12,0),0)</f>
        <v>0</v>
      </c>
      <c r="M847" s="1">
        <f ca="1">IFERROR(VLOOKUP($A847,[1]库存使用数据!$A:$M,13,0),0)+IFERROR(VLOOKUP($A847,[2]库存使用数据!$A:$M,13,0),0)+公式!$B$14*IFERROR(VLOOKUP($A847,[3]库存使用数据!$A:$M,13,0),0)+IFERROR(VLOOKUP($A847,[4]库存使用数据!$A:$M,13,0),0)+IFERROR(VLOOKUP($A847,[5]库存使用数据!$A:$M,13,0),0)</f>
        <v>0</v>
      </c>
    </row>
    <row r="848" spans="1:13">
      <c r="A848" s="6" t="s">
        <v>853</v>
      </c>
      <c r="B848" s="2">
        <f ca="1">IFERROR(VLOOKUP(A848,[1]库存使用数据!$A:$B,2,0),0)+IFERROR(VLOOKUP(A848,[2]库存使用数据!$A:$B,2,0),0)+IFERROR(VLOOKUP(,[3]库存使用数据!$A:$B,2,0),0)+IFERROR(VLOOKUP(A848,[4]库存使用数据!$A:$B,2,0),0)+IFERROR(VLOOKUP(A848,[5]库存使用数据!$A:$B,2,0),0)</f>
        <v>4</v>
      </c>
      <c r="C848" s="1">
        <f ca="1">IFERROR(VLOOKUP($A848,[1]库存使用数据!$A:$C,3,0),0)+IFERROR(VLOOKUP($A848,[2]库存使用数据!$A:$C,3,0),0)+IFERROR(VLOOKUP($A848,[3]库存使用数据!$A:$C,3,0),0)+IFERROR(VLOOKUP($A848,[4]库存使用数据!$A:$C,3,0),0)+IFERROR(VLOOKUP($A848,[5]库存使用数据!$A:$C,3,0),0)</f>
        <v>0</v>
      </c>
      <c r="D848" s="1">
        <f ca="1">IFERROR(VLOOKUP($A848,[1]库存使用数据!$A:$D,4,0),0)+IFERROR(VLOOKUP($A848,[2]库存使用数据!$A:$D,4,0),0)+公式!$B$1*IFERROR(VLOOKUP($A848,[3]库存使用数据!$A:$D,4,0),0)+IFERROR(VLOOKUP($A848,[4]库存使用数据!$A:$D,4,0),0)+IFERROR(VLOOKUP($A848,[5]库存使用数据!$A:$D,4,0),0)</f>
        <v>0</v>
      </c>
      <c r="E848" s="1">
        <f ca="1">IFERROR(VLOOKUP($A848,[1]库存使用数据!$A:$E,5,0),0)+IFERROR(VLOOKUP($A848,[2]库存使用数据!$A:$E,5,0),0)+IFERROR(VLOOKUP($A848,[3]库存使用数据!$A:$E,5,0),0)+IFERROR(VLOOKUP($A848,[4]库存使用数据!$A:$E,5,0),0)+IFERROR(VLOOKUP($A848,[5]库存使用数据!$A:$E,5,0),0)</f>
        <v>40</v>
      </c>
      <c r="F848" s="1">
        <f ca="1">IFERROR(VLOOKUP($A848,[1]库存使用数据!$A:$F,6,0),0)+IFERROR(VLOOKUP($A848,[2]库存使用数据!$A:$F,6,0),0)+IFERROR(VLOOKUP($A848,[4]库存使用数据!$A:$F,6,0),0)+IFERROR(VLOOKUP($A848,[3]库存使用数据!$A:$F,6,0),0)+IFERROR(VLOOKUP($A848,[5]库存使用数据!$A:$F,6,0),0)</f>
        <v>0</v>
      </c>
      <c r="G848" s="1">
        <f ca="1">IFERROR(VLOOKUP($A848,[1]库存使用数据!$A:$G,7,0),0)+IFERROR(VLOOKUP($A848,[2]库存使用数据!$A:$G,7,0),0)+公式!$B$14*IFERROR(VLOOKUP($A848,[3]库存使用数据!$A:$G,7,0),0)+IFERROR(VLOOKUP($A848,[4]库存使用数据!$A:$G,7,0),0)+IFERROR(VLOOKUP($A848,[5]库存使用数据!$A:$G,7,0),0)</f>
        <v>0</v>
      </c>
      <c r="H848" s="1">
        <f ca="1">IFERROR(VLOOKUP($A848,[1]库存使用数据!$A:$H,8,0),0)+IFERROR(VLOOKUP($A848,[2]库存使用数据!$A:$H,8,0),0)+IFERROR(VLOOKUP($A848,[3]库存使用数据!$A:$H,8,0),0)+IFERROR(VLOOKUP($A848,[4]库存使用数据!$A:$H,8,0),0)+IFERROR(VLOOKUP($A848,[5]库存使用数据!$A:$H,8,0),0)</f>
        <v>33</v>
      </c>
      <c r="I848" s="1">
        <f ca="1">IFERROR(VLOOKUP($A848,[1]库存使用数据!$A:$I,9,0),0)+IFERROR(VLOOKUP($A848,[2]库存使用数据!$A:$I,9,0),0)+IFERROR(VLOOKUP($A848,[3]库存使用数据!$A:$I,9,0),0)+IFERROR(VLOOKUP($A848,[4]库存使用数据!$A:$I,9,0),0)+IFERROR(VLOOKUP($A848,[5]库存使用数据!$A:$I,9,0),0)</f>
        <v>0</v>
      </c>
      <c r="J848" s="1">
        <f ca="1">IFERROR(VLOOKUP($A848,[1]库存使用数据!$A:$J,10,0),0)+IFERROR(VLOOKUP($A848,[2]库存使用数据!$A:$J,10,0),0)+公式!$B$14*IFERROR(VLOOKUP($A848,[3]库存使用数据!$A:$J,10,0),0)+IFERROR(VLOOKUP($A848,[4]库存使用数据!$A:$J,10,0),0)+IFERROR(VLOOKUP($A848,[5]库存使用数据!$A:$J,10,0),0)</f>
        <v>0</v>
      </c>
      <c r="K848" s="1">
        <f ca="1">IFERROR(VLOOKUP($A848,[1]库存使用数据!$A:$K,11,0),0)+IFERROR(VLOOKUP($A848,[2]库存使用数据!$A:$K,11,0),0)+IFERROR(VLOOKUP($A848,[3]库存使用数据!$A:$K,11,0),0)+IFERROR(VLOOKUP($A848,[4]库存使用数据!$A:$K,11,0),0)+IFERROR(VLOOKUP($A848,[5]库存使用数据!$A:$K,11,0),0)</f>
        <v>89</v>
      </c>
      <c r="L848" s="1">
        <f ca="1">IFERROR(VLOOKUP($A848,[1]库存使用数据!$A:$L,12,0),0)+IFERROR(VLOOKUP($A848,[2]库存使用数据!$A:$L,12,0),0)+IFERROR(VLOOKUP($A848,[3]库存使用数据!$A:$L,12,0),0)+IFERROR(VLOOKUP($A848,[4]库存使用数据!$A:$L,12,0),0)+IFERROR(VLOOKUP($A848,[5]库存使用数据!$A:$L,12,0),0)</f>
        <v>0</v>
      </c>
      <c r="M848" s="1">
        <f ca="1">IFERROR(VLOOKUP($A848,[1]库存使用数据!$A:$M,13,0),0)+IFERROR(VLOOKUP($A848,[2]库存使用数据!$A:$M,13,0),0)+公式!$B$14*IFERROR(VLOOKUP($A848,[3]库存使用数据!$A:$M,13,0),0)+IFERROR(VLOOKUP($A848,[4]库存使用数据!$A:$M,13,0),0)+IFERROR(VLOOKUP($A848,[5]库存使用数据!$A:$M,13,0),0)</f>
        <v>0</v>
      </c>
    </row>
    <row r="849" spans="1:13">
      <c r="A849" s="6" t="s">
        <v>854</v>
      </c>
      <c r="B849" s="2">
        <f ca="1">IFERROR(VLOOKUP(A849,[1]库存使用数据!$A:$B,2,0),0)+IFERROR(VLOOKUP(A849,[2]库存使用数据!$A:$B,2,0),0)+IFERROR(VLOOKUP(,[3]库存使用数据!$A:$B,2,0),0)+IFERROR(VLOOKUP(A849,[4]库存使用数据!$A:$B,2,0),0)+IFERROR(VLOOKUP(A849,[5]库存使用数据!$A:$B,2,0),0)</f>
        <v>13</v>
      </c>
      <c r="C849" s="1">
        <f ca="1">IFERROR(VLOOKUP($A849,[1]库存使用数据!$A:$C,3,0),0)+IFERROR(VLOOKUP($A849,[2]库存使用数据!$A:$C,3,0),0)+IFERROR(VLOOKUP($A849,[3]库存使用数据!$A:$C,3,0),0)+IFERROR(VLOOKUP($A849,[4]库存使用数据!$A:$C,3,0),0)+IFERROR(VLOOKUP($A849,[5]库存使用数据!$A:$C,3,0),0)</f>
        <v>0</v>
      </c>
      <c r="D849" s="1">
        <f ca="1">IFERROR(VLOOKUP($A849,[1]库存使用数据!$A:$D,4,0),0)+IFERROR(VLOOKUP($A849,[2]库存使用数据!$A:$D,4,0),0)+公式!$B$1*IFERROR(VLOOKUP($A849,[3]库存使用数据!$A:$D,4,0),0)+IFERROR(VLOOKUP($A849,[4]库存使用数据!$A:$D,4,0),0)+IFERROR(VLOOKUP($A849,[5]库存使用数据!$A:$D,4,0),0)</f>
        <v>0</v>
      </c>
      <c r="E849" s="1">
        <f ca="1">IFERROR(VLOOKUP($A849,[1]库存使用数据!$A:$E,5,0),0)+IFERROR(VLOOKUP($A849,[2]库存使用数据!$A:$E,5,0),0)+IFERROR(VLOOKUP($A849,[3]库存使用数据!$A:$E,5,0),0)+IFERROR(VLOOKUP($A849,[4]库存使用数据!$A:$E,5,0),0)+IFERROR(VLOOKUP($A849,[5]库存使用数据!$A:$E,5,0),0)</f>
        <v>63</v>
      </c>
      <c r="F849" s="1">
        <f ca="1">IFERROR(VLOOKUP($A849,[1]库存使用数据!$A:$F,6,0),0)+IFERROR(VLOOKUP($A849,[2]库存使用数据!$A:$F,6,0),0)+IFERROR(VLOOKUP($A849,[4]库存使用数据!$A:$F,6,0),0)+IFERROR(VLOOKUP($A849,[3]库存使用数据!$A:$F,6,0),0)+IFERROR(VLOOKUP($A849,[5]库存使用数据!$A:$F,6,0),0)</f>
        <v>0</v>
      </c>
      <c r="G849" s="1">
        <f ca="1">IFERROR(VLOOKUP($A849,[1]库存使用数据!$A:$G,7,0),0)+IFERROR(VLOOKUP($A849,[2]库存使用数据!$A:$G,7,0),0)+公式!$B$14*IFERROR(VLOOKUP($A849,[3]库存使用数据!$A:$G,7,0),0)+IFERROR(VLOOKUP($A849,[4]库存使用数据!$A:$G,7,0),0)+IFERROR(VLOOKUP($A849,[5]库存使用数据!$A:$G,7,0),0)</f>
        <v>0</v>
      </c>
      <c r="H849" s="1">
        <f ca="1">IFERROR(VLOOKUP($A849,[1]库存使用数据!$A:$H,8,0),0)+IFERROR(VLOOKUP($A849,[2]库存使用数据!$A:$H,8,0),0)+IFERROR(VLOOKUP($A849,[3]库存使用数据!$A:$H,8,0),0)+IFERROR(VLOOKUP($A849,[4]库存使用数据!$A:$H,8,0),0)+IFERROR(VLOOKUP($A849,[5]库存使用数据!$A:$H,8,0),0)</f>
        <v>23</v>
      </c>
      <c r="I849" s="1">
        <f ca="1">IFERROR(VLOOKUP($A849,[1]库存使用数据!$A:$I,9,0),0)+IFERROR(VLOOKUP($A849,[2]库存使用数据!$A:$I,9,0),0)+IFERROR(VLOOKUP($A849,[3]库存使用数据!$A:$I,9,0),0)+IFERROR(VLOOKUP($A849,[4]库存使用数据!$A:$I,9,0),0)+IFERROR(VLOOKUP($A849,[5]库存使用数据!$A:$I,9,0),0)</f>
        <v>0</v>
      </c>
      <c r="J849" s="1">
        <f ca="1">IFERROR(VLOOKUP($A849,[1]库存使用数据!$A:$J,10,0),0)+IFERROR(VLOOKUP($A849,[2]库存使用数据!$A:$J,10,0),0)+公式!$B$14*IFERROR(VLOOKUP($A849,[3]库存使用数据!$A:$J,10,0),0)+IFERROR(VLOOKUP($A849,[4]库存使用数据!$A:$J,10,0),0)+IFERROR(VLOOKUP($A849,[5]库存使用数据!$A:$J,10,0),0)</f>
        <v>0</v>
      </c>
      <c r="K849" s="1">
        <f ca="1">IFERROR(VLOOKUP($A849,[1]库存使用数据!$A:$K,11,0),0)+IFERROR(VLOOKUP($A849,[2]库存使用数据!$A:$K,11,0),0)+IFERROR(VLOOKUP($A849,[3]库存使用数据!$A:$K,11,0),0)+IFERROR(VLOOKUP($A849,[4]库存使用数据!$A:$K,11,0),0)+IFERROR(VLOOKUP($A849,[5]库存使用数据!$A:$K,11,0),0)</f>
        <v>31</v>
      </c>
      <c r="L849" s="1">
        <f ca="1">IFERROR(VLOOKUP($A849,[1]库存使用数据!$A:$L,12,0),0)+IFERROR(VLOOKUP($A849,[2]库存使用数据!$A:$L,12,0),0)+IFERROR(VLOOKUP($A849,[3]库存使用数据!$A:$L,12,0),0)+IFERROR(VLOOKUP($A849,[4]库存使用数据!$A:$L,12,0),0)+IFERROR(VLOOKUP($A849,[5]库存使用数据!$A:$L,12,0),0)</f>
        <v>0</v>
      </c>
      <c r="M849" s="1">
        <f ca="1">IFERROR(VLOOKUP($A849,[1]库存使用数据!$A:$M,13,0),0)+IFERROR(VLOOKUP($A849,[2]库存使用数据!$A:$M,13,0),0)+公式!$B$14*IFERROR(VLOOKUP($A849,[3]库存使用数据!$A:$M,13,0),0)+IFERROR(VLOOKUP($A849,[4]库存使用数据!$A:$M,13,0),0)+IFERROR(VLOOKUP($A849,[5]库存使用数据!$A:$M,13,0),0)</f>
        <v>0</v>
      </c>
    </row>
    <row r="850" spans="1:13">
      <c r="A850" s="6" t="s">
        <v>855</v>
      </c>
      <c r="B850" s="2">
        <f ca="1">IFERROR(VLOOKUP(A850,[1]库存使用数据!$A:$B,2,0),0)+IFERROR(VLOOKUP(A850,[2]库存使用数据!$A:$B,2,0),0)+IFERROR(VLOOKUP(,[3]库存使用数据!$A:$B,2,0),0)+IFERROR(VLOOKUP(A850,[4]库存使用数据!$A:$B,2,0),0)+IFERROR(VLOOKUP(A850,[5]库存使用数据!$A:$B,2,0),0)</f>
        <v>2</v>
      </c>
      <c r="C850" s="1">
        <f ca="1">IFERROR(VLOOKUP($A850,[1]库存使用数据!$A:$C,3,0),0)+IFERROR(VLOOKUP($A850,[2]库存使用数据!$A:$C,3,0),0)+IFERROR(VLOOKUP($A850,[3]库存使用数据!$A:$C,3,0),0)+IFERROR(VLOOKUP($A850,[4]库存使用数据!$A:$C,3,0),0)+IFERROR(VLOOKUP($A850,[5]库存使用数据!$A:$C,3,0),0)</f>
        <v>0</v>
      </c>
      <c r="D850" s="1">
        <f ca="1">IFERROR(VLOOKUP($A850,[1]库存使用数据!$A:$D,4,0),0)+IFERROR(VLOOKUP($A850,[2]库存使用数据!$A:$D,4,0),0)+公式!$B$1*IFERROR(VLOOKUP($A850,[3]库存使用数据!$A:$D,4,0),0)+IFERROR(VLOOKUP($A850,[4]库存使用数据!$A:$D,4,0),0)+IFERROR(VLOOKUP($A850,[5]库存使用数据!$A:$D,4,0),0)</f>
        <v>0</v>
      </c>
      <c r="E850" s="1">
        <f ca="1">IFERROR(VLOOKUP($A850,[1]库存使用数据!$A:$E,5,0),0)+IFERROR(VLOOKUP($A850,[2]库存使用数据!$A:$E,5,0),0)+IFERROR(VLOOKUP($A850,[3]库存使用数据!$A:$E,5,0),0)+IFERROR(VLOOKUP($A850,[4]库存使用数据!$A:$E,5,0),0)+IFERROR(VLOOKUP($A850,[5]库存使用数据!$A:$E,5,0),0)</f>
        <v>34</v>
      </c>
      <c r="F850" s="1">
        <f ca="1">IFERROR(VLOOKUP($A850,[1]库存使用数据!$A:$F,6,0),0)+IFERROR(VLOOKUP($A850,[2]库存使用数据!$A:$F,6,0),0)+IFERROR(VLOOKUP($A850,[4]库存使用数据!$A:$F,6,0),0)+IFERROR(VLOOKUP($A850,[3]库存使用数据!$A:$F,6,0),0)+IFERROR(VLOOKUP($A850,[5]库存使用数据!$A:$F,6,0),0)</f>
        <v>0</v>
      </c>
      <c r="G850" s="1">
        <f ca="1">IFERROR(VLOOKUP($A850,[1]库存使用数据!$A:$G,7,0),0)+IFERROR(VLOOKUP($A850,[2]库存使用数据!$A:$G,7,0),0)+公式!$B$14*IFERROR(VLOOKUP($A850,[3]库存使用数据!$A:$G,7,0),0)+IFERROR(VLOOKUP($A850,[4]库存使用数据!$A:$G,7,0),0)+IFERROR(VLOOKUP($A850,[5]库存使用数据!$A:$G,7,0),0)</f>
        <v>0</v>
      </c>
      <c r="H850" s="1">
        <f ca="1">IFERROR(VLOOKUP($A850,[1]库存使用数据!$A:$H,8,0),0)+IFERROR(VLOOKUP($A850,[2]库存使用数据!$A:$H,8,0),0)+IFERROR(VLOOKUP($A850,[3]库存使用数据!$A:$H,8,0),0)+IFERROR(VLOOKUP($A850,[4]库存使用数据!$A:$H,8,0),0)+IFERROR(VLOOKUP($A850,[5]库存使用数据!$A:$H,8,0),0)</f>
        <v>22</v>
      </c>
      <c r="I850" s="1">
        <f ca="1">IFERROR(VLOOKUP($A850,[1]库存使用数据!$A:$I,9,0),0)+IFERROR(VLOOKUP($A850,[2]库存使用数据!$A:$I,9,0),0)+IFERROR(VLOOKUP($A850,[3]库存使用数据!$A:$I,9,0),0)+IFERROR(VLOOKUP($A850,[4]库存使用数据!$A:$I,9,0),0)+IFERROR(VLOOKUP($A850,[5]库存使用数据!$A:$I,9,0),0)</f>
        <v>0</v>
      </c>
      <c r="J850" s="1">
        <f ca="1">IFERROR(VLOOKUP($A850,[1]库存使用数据!$A:$J,10,0),0)+IFERROR(VLOOKUP($A850,[2]库存使用数据!$A:$J,10,0),0)+公式!$B$14*IFERROR(VLOOKUP($A850,[3]库存使用数据!$A:$J,10,0),0)+IFERROR(VLOOKUP($A850,[4]库存使用数据!$A:$J,10,0),0)+IFERROR(VLOOKUP($A850,[5]库存使用数据!$A:$J,10,0),0)</f>
        <v>0</v>
      </c>
      <c r="K850" s="1">
        <f ca="1">IFERROR(VLOOKUP($A850,[1]库存使用数据!$A:$K,11,0),0)+IFERROR(VLOOKUP($A850,[2]库存使用数据!$A:$K,11,0),0)+IFERROR(VLOOKUP($A850,[3]库存使用数据!$A:$K,11,0),0)+IFERROR(VLOOKUP($A850,[4]库存使用数据!$A:$K,11,0),0)+IFERROR(VLOOKUP($A850,[5]库存使用数据!$A:$K,11,0),0)</f>
        <v>30</v>
      </c>
      <c r="L850" s="1">
        <f ca="1">IFERROR(VLOOKUP($A850,[1]库存使用数据!$A:$L,12,0),0)+IFERROR(VLOOKUP($A850,[2]库存使用数据!$A:$L,12,0),0)+IFERROR(VLOOKUP($A850,[3]库存使用数据!$A:$L,12,0),0)+IFERROR(VLOOKUP($A850,[4]库存使用数据!$A:$L,12,0),0)+IFERROR(VLOOKUP($A850,[5]库存使用数据!$A:$L,12,0),0)</f>
        <v>0</v>
      </c>
      <c r="M850" s="1">
        <f ca="1">IFERROR(VLOOKUP($A850,[1]库存使用数据!$A:$M,13,0),0)+IFERROR(VLOOKUP($A850,[2]库存使用数据!$A:$M,13,0),0)+公式!$B$14*IFERROR(VLOOKUP($A850,[3]库存使用数据!$A:$M,13,0),0)+IFERROR(VLOOKUP($A850,[4]库存使用数据!$A:$M,13,0),0)+IFERROR(VLOOKUP($A850,[5]库存使用数据!$A:$M,13,0),0)</f>
        <v>0</v>
      </c>
    </row>
    <row r="851" spans="1:13">
      <c r="A851" s="6" t="s">
        <v>856</v>
      </c>
      <c r="B851" s="2">
        <f ca="1">IFERROR(VLOOKUP(A851,[1]库存使用数据!$A:$B,2,0),0)+IFERROR(VLOOKUP(A851,[2]库存使用数据!$A:$B,2,0),0)+IFERROR(VLOOKUP(,[3]库存使用数据!$A:$B,2,0),0)+IFERROR(VLOOKUP(A851,[4]库存使用数据!$A:$B,2,0),0)+IFERROR(VLOOKUP(A851,[5]库存使用数据!$A:$B,2,0),0)</f>
        <v>8</v>
      </c>
      <c r="C851" s="1">
        <f ca="1">IFERROR(VLOOKUP($A851,[1]库存使用数据!$A:$C,3,0),0)+IFERROR(VLOOKUP($A851,[2]库存使用数据!$A:$C,3,0),0)+IFERROR(VLOOKUP($A851,[3]库存使用数据!$A:$C,3,0),0)+IFERROR(VLOOKUP($A851,[4]库存使用数据!$A:$C,3,0),0)+IFERROR(VLOOKUP($A851,[5]库存使用数据!$A:$C,3,0),0)</f>
        <v>0</v>
      </c>
      <c r="D851" s="1">
        <f ca="1">IFERROR(VLOOKUP($A851,[1]库存使用数据!$A:$D,4,0),0)+IFERROR(VLOOKUP($A851,[2]库存使用数据!$A:$D,4,0),0)+公式!$B$1*IFERROR(VLOOKUP($A851,[3]库存使用数据!$A:$D,4,0),0)+IFERROR(VLOOKUP($A851,[4]库存使用数据!$A:$D,4,0),0)+IFERROR(VLOOKUP($A851,[5]库存使用数据!$A:$D,4,0),0)</f>
        <v>0</v>
      </c>
      <c r="E851" s="1">
        <f ca="1">IFERROR(VLOOKUP($A851,[1]库存使用数据!$A:$E,5,0),0)+IFERROR(VLOOKUP($A851,[2]库存使用数据!$A:$E,5,0),0)+IFERROR(VLOOKUP($A851,[3]库存使用数据!$A:$E,5,0),0)+IFERROR(VLOOKUP($A851,[4]库存使用数据!$A:$E,5,0),0)+IFERROR(VLOOKUP($A851,[5]库存使用数据!$A:$E,5,0),0)</f>
        <v>45</v>
      </c>
      <c r="F851" s="1">
        <f ca="1">IFERROR(VLOOKUP($A851,[1]库存使用数据!$A:$F,6,0),0)+IFERROR(VLOOKUP($A851,[2]库存使用数据!$A:$F,6,0),0)+IFERROR(VLOOKUP($A851,[4]库存使用数据!$A:$F,6,0),0)+IFERROR(VLOOKUP($A851,[3]库存使用数据!$A:$F,6,0),0)+IFERROR(VLOOKUP($A851,[5]库存使用数据!$A:$F,6,0),0)</f>
        <v>0</v>
      </c>
      <c r="G851" s="1">
        <f ca="1">IFERROR(VLOOKUP($A851,[1]库存使用数据!$A:$G,7,0),0)+IFERROR(VLOOKUP($A851,[2]库存使用数据!$A:$G,7,0),0)+公式!$B$14*IFERROR(VLOOKUP($A851,[3]库存使用数据!$A:$G,7,0),0)+IFERROR(VLOOKUP($A851,[4]库存使用数据!$A:$G,7,0),0)+IFERROR(VLOOKUP($A851,[5]库存使用数据!$A:$G,7,0),0)</f>
        <v>0</v>
      </c>
      <c r="H851" s="1">
        <f ca="1">IFERROR(VLOOKUP($A851,[1]库存使用数据!$A:$H,8,0),0)+IFERROR(VLOOKUP($A851,[2]库存使用数据!$A:$H,8,0),0)+IFERROR(VLOOKUP($A851,[3]库存使用数据!$A:$H,8,0),0)+IFERROR(VLOOKUP($A851,[4]库存使用数据!$A:$H,8,0),0)+IFERROR(VLOOKUP($A851,[5]库存使用数据!$A:$H,8,0),0)</f>
        <v>24</v>
      </c>
      <c r="I851" s="1">
        <f ca="1">IFERROR(VLOOKUP($A851,[1]库存使用数据!$A:$I,9,0),0)+IFERROR(VLOOKUP($A851,[2]库存使用数据!$A:$I,9,0),0)+IFERROR(VLOOKUP($A851,[3]库存使用数据!$A:$I,9,0),0)+IFERROR(VLOOKUP($A851,[4]库存使用数据!$A:$I,9,0),0)+IFERROR(VLOOKUP($A851,[5]库存使用数据!$A:$I,9,0),0)</f>
        <v>0</v>
      </c>
      <c r="J851" s="1">
        <f ca="1">IFERROR(VLOOKUP($A851,[1]库存使用数据!$A:$J,10,0),0)+IFERROR(VLOOKUP($A851,[2]库存使用数据!$A:$J,10,0),0)+公式!$B$14*IFERROR(VLOOKUP($A851,[3]库存使用数据!$A:$J,10,0),0)+IFERROR(VLOOKUP($A851,[4]库存使用数据!$A:$J,10,0),0)+IFERROR(VLOOKUP($A851,[5]库存使用数据!$A:$J,10,0),0)</f>
        <v>0</v>
      </c>
      <c r="K851" s="1">
        <f ca="1">IFERROR(VLOOKUP($A851,[1]库存使用数据!$A:$K,11,0),0)+IFERROR(VLOOKUP($A851,[2]库存使用数据!$A:$K,11,0),0)+IFERROR(VLOOKUP($A851,[3]库存使用数据!$A:$K,11,0),0)+IFERROR(VLOOKUP($A851,[4]库存使用数据!$A:$K,11,0),0)+IFERROR(VLOOKUP($A851,[5]库存使用数据!$A:$K,11,0),0)</f>
        <v>49</v>
      </c>
      <c r="L851" s="1">
        <f ca="1">IFERROR(VLOOKUP($A851,[1]库存使用数据!$A:$L,12,0),0)+IFERROR(VLOOKUP($A851,[2]库存使用数据!$A:$L,12,0),0)+IFERROR(VLOOKUP($A851,[3]库存使用数据!$A:$L,12,0),0)+IFERROR(VLOOKUP($A851,[4]库存使用数据!$A:$L,12,0),0)+IFERROR(VLOOKUP($A851,[5]库存使用数据!$A:$L,12,0),0)</f>
        <v>0</v>
      </c>
      <c r="M851" s="1">
        <f ca="1">IFERROR(VLOOKUP($A851,[1]库存使用数据!$A:$M,13,0),0)+IFERROR(VLOOKUP($A851,[2]库存使用数据!$A:$M,13,0),0)+公式!$B$14*IFERROR(VLOOKUP($A851,[3]库存使用数据!$A:$M,13,0),0)+IFERROR(VLOOKUP($A851,[4]库存使用数据!$A:$M,13,0),0)+IFERROR(VLOOKUP($A851,[5]库存使用数据!$A:$M,13,0),0)</f>
        <v>0</v>
      </c>
    </row>
    <row r="852" spans="1:13">
      <c r="A852" s="6" t="s">
        <v>857</v>
      </c>
      <c r="B852" s="2">
        <f ca="1">IFERROR(VLOOKUP(A852,[1]库存使用数据!$A:$B,2,0),0)+IFERROR(VLOOKUP(A852,[2]库存使用数据!$A:$B,2,0),0)+IFERROR(VLOOKUP(,[3]库存使用数据!$A:$B,2,0),0)+IFERROR(VLOOKUP(A852,[4]库存使用数据!$A:$B,2,0),0)+IFERROR(VLOOKUP(A852,[5]库存使用数据!$A:$B,2,0),0)</f>
        <v>7</v>
      </c>
      <c r="C852" s="1">
        <f ca="1">IFERROR(VLOOKUP($A852,[1]库存使用数据!$A:$C,3,0),0)+IFERROR(VLOOKUP($A852,[2]库存使用数据!$A:$C,3,0),0)+IFERROR(VLOOKUP($A852,[3]库存使用数据!$A:$C,3,0),0)+IFERROR(VLOOKUP($A852,[4]库存使用数据!$A:$C,3,0),0)+IFERROR(VLOOKUP($A852,[5]库存使用数据!$A:$C,3,0),0)</f>
        <v>0</v>
      </c>
      <c r="D852" s="1">
        <f ca="1">IFERROR(VLOOKUP($A852,[1]库存使用数据!$A:$D,4,0),0)+IFERROR(VLOOKUP($A852,[2]库存使用数据!$A:$D,4,0),0)+公式!$B$1*IFERROR(VLOOKUP($A852,[3]库存使用数据!$A:$D,4,0),0)+IFERROR(VLOOKUP($A852,[4]库存使用数据!$A:$D,4,0),0)+IFERROR(VLOOKUP($A852,[5]库存使用数据!$A:$D,4,0),0)</f>
        <v>0</v>
      </c>
      <c r="E852" s="1">
        <f ca="1">IFERROR(VLOOKUP($A852,[1]库存使用数据!$A:$E,5,0),0)+IFERROR(VLOOKUP($A852,[2]库存使用数据!$A:$E,5,0),0)+IFERROR(VLOOKUP($A852,[3]库存使用数据!$A:$E,5,0),0)+IFERROR(VLOOKUP($A852,[4]库存使用数据!$A:$E,5,0),0)+IFERROR(VLOOKUP($A852,[5]库存使用数据!$A:$E,5,0),0)</f>
        <v>44</v>
      </c>
      <c r="F852" s="1">
        <f ca="1">IFERROR(VLOOKUP($A852,[1]库存使用数据!$A:$F,6,0),0)+IFERROR(VLOOKUP($A852,[2]库存使用数据!$A:$F,6,0),0)+IFERROR(VLOOKUP($A852,[4]库存使用数据!$A:$F,6,0),0)+IFERROR(VLOOKUP($A852,[3]库存使用数据!$A:$F,6,0),0)+IFERROR(VLOOKUP($A852,[5]库存使用数据!$A:$F,6,0),0)</f>
        <v>1</v>
      </c>
      <c r="G852" s="1">
        <f ca="1">IFERROR(VLOOKUP($A852,[1]库存使用数据!$A:$G,7,0),0)+IFERROR(VLOOKUP($A852,[2]库存使用数据!$A:$G,7,0),0)+公式!$B$14*IFERROR(VLOOKUP($A852,[3]库存使用数据!$A:$G,7,0),0)+IFERROR(VLOOKUP($A852,[4]库存使用数据!$A:$G,7,0),0)+IFERROR(VLOOKUP($A852,[5]库存使用数据!$A:$G,7,0),0)</f>
        <v>0.06</v>
      </c>
      <c r="H852" s="1">
        <f ca="1">IFERROR(VLOOKUP($A852,[1]库存使用数据!$A:$H,8,0),0)+IFERROR(VLOOKUP($A852,[2]库存使用数据!$A:$H,8,0),0)+IFERROR(VLOOKUP($A852,[3]库存使用数据!$A:$H,8,0),0)+IFERROR(VLOOKUP($A852,[4]库存使用数据!$A:$H,8,0),0)+IFERROR(VLOOKUP($A852,[5]库存使用数据!$A:$H,8,0),0)</f>
        <v>22</v>
      </c>
      <c r="I852" s="1">
        <f ca="1">IFERROR(VLOOKUP($A852,[1]库存使用数据!$A:$I,9,0),0)+IFERROR(VLOOKUP($A852,[2]库存使用数据!$A:$I,9,0),0)+IFERROR(VLOOKUP($A852,[3]库存使用数据!$A:$I,9,0),0)+IFERROR(VLOOKUP($A852,[4]库存使用数据!$A:$I,9,0),0)+IFERROR(VLOOKUP($A852,[5]库存使用数据!$A:$I,9,0),0)</f>
        <v>0</v>
      </c>
      <c r="J852" s="1">
        <f ca="1">IFERROR(VLOOKUP($A852,[1]库存使用数据!$A:$J,10,0),0)+IFERROR(VLOOKUP($A852,[2]库存使用数据!$A:$J,10,0),0)+公式!$B$14*IFERROR(VLOOKUP($A852,[3]库存使用数据!$A:$J,10,0),0)+IFERROR(VLOOKUP($A852,[4]库存使用数据!$A:$J,10,0),0)+IFERROR(VLOOKUP($A852,[5]库存使用数据!$A:$J,10,0),0)</f>
        <v>0</v>
      </c>
      <c r="K852" s="1">
        <f ca="1">IFERROR(VLOOKUP($A852,[1]库存使用数据!$A:$K,11,0),0)+IFERROR(VLOOKUP($A852,[2]库存使用数据!$A:$K,11,0),0)+IFERROR(VLOOKUP($A852,[3]库存使用数据!$A:$K,11,0),0)+IFERROR(VLOOKUP($A852,[4]库存使用数据!$A:$K,11,0),0)+IFERROR(VLOOKUP($A852,[5]库存使用数据!$A:$K,11,0),0)</f>
        <v>43</v>
      </c>
      <c r="L852" s="1">
        <f ca="1">IFERROR(VLOOKUP($A852,[1]库存使用数据!$A:$L,12,0),0)+IFERROR(VLOOKUP($A852,[2]库存使用数据!$A:$L,12,0),0)+IFERROR(VLOOKUP($A852,[3]库存使用数据!$A:$L,12,0),0)+IFERROR(VLOOKUP($A852,[4]库存使用数据!$A:$L,12,0),0)+IFERROR(VLOOKUP($A852,[5]库存使用数据!$A:$L,12,0),0)</f>
        <v>0</v>
      </c>
      <c r="M852" s="1">
        <f ca="1">IFERROR(VLOOKUP($A852,[1]库存使用数据!$A:$M,13,0),0)+IFERROR(VLOOKUP($A852,[2]库存使用数据!$A:$M,13,0),0)+公式!$B$14*IFERROR(VLOOKUP($A852,[3]库存使用数据!$A:$M,13,0),0)+IFERROR(VLOOKUP($A852,[4]库存使用数据!$A:$M,13,0),0)+IFERROR(VLOOKUP($A852,[5]库存使用数据!$A:$M,13,0),0)</f>
        <v>0</v>
      </c>
    </row>
    <row r="853" spans="1:13">
      <c r="A853" s="6" t="s">
        <v>858</v>
      </c>
      <c r="B853" s="2">
        <f ca="1">IFERROR(VLOOKUP(A853,[1]库存使用数据!$A:$B,2,0),0)+IFERROR(VLOOKUP(A853,[2]库存使用数据!$A:$B,2,0),0)+IFERROR(VLOOKUP(,[3]库存使用数据!$A:$B,2,0),0)+IFERROR(VLOOKUP(A853,[4]库存使用数据!$A:$B,2,0),0)+IFERROR(VLOOKUP(A853,[5]库存使用数据!$A:$B,2,0),0)</f>
        <v>3</v>
      </c>
      <c r="C853" s="1">
        <f ca="1">IFERROR(VLOOKUP($A853,[1]库存使用数据!$A:$C,3,0),0)+IFERROR(VLOOKUP($A853,[2]库存使用数据!$A:$C,3,0),0)+IFERROR(VLOOKUP($A853,[3]库存使用数据!$A:$C,3,0),0)+IFERROR(VLOOKUP($A853,[4]库存使用数据!$A:$C,3,0),0)+IFERROR(VLOOKUP($A853,[5]库存使用数据!$A:$C,3,0),0)</f>
        <v>0</v>
      </c>
      <c r="D853" s="1">
        <f ca="1">IFERROR(VLOOKUP($A853,[1]库存使用数据!$A:$D,4,0),0)+IFERROR(VLOOKUP($A853,[2]库存使用数据!$A:$D,4,0),0)+公式!$B$1*IFERROR(VLOOKUP($A853,[3]库存使用数据!$A:$D,4,0),0)+IFERROR(VLOOKUP($A853,[4]库存使用数据!$A:$D,4,0),0)+IFERROR(VLOOKUP($A853,[5]库存使用数据!$A:$D,4,0),0)</f>
        <v>0</v>
      </c>
      <c r="E853" s="1">
        <f ca="1">IFERROR(VLOOKUP($A853,[1]库存使用数据!$A:$E,5,0),0)+IFERROR(VLOOKUP($A853,[2]库存使用数据!$A:$E,5,0),0)+IFERROR(VLOOKUP($A853,[3]库存使用数据!$A:$E,5,0),0)+IFERROR(VLOOKUP($A853,[4]库存使用数据!$A:$E,5,0),0)+IFERROR(VLOOKUP($A853,[5]库存使用数据!$A:$E,5,0),0)</f>
        <v>30</v>
      </c>
      <c r="F853" s="1">
        <f ca="1">IFERROR(VLOOKUP($A853,[1]库存使用数据!$A:$F,6,0),0)+IFERROR(VLOOKUP($A853,[2]库存使用数据!$A:$F,6,0),0)+IFERROR(VLOOKUP($A853,[4]库存使用数据!$A:$F,6,0),0)+IFERROR(VLOOKUP($A853,[3]库存使用数据!$A:$F,6,0),0)+IFERROR(VLOOKUP($A853,[5]库存使用数据!$A:$F,6,0),0)</f>
        <v>0</v>
      </c>
      <c r="G853" s="1">
        <f ca="1">IFERROR(VLOOKUP($A853,[1]库存使用数据!$A:$G,7,0),0)+IFERROR(VLOOKUP($A853,[2]库存使用数据!$A:$G,7,0),0)+公式!$B$14*IFERROR(VLOOKUP($A853,[3]库存使用数据!$A:$G,7,0),0)+IFERROR(VLOOKUP($A853,[4]库存使用数据!$A:$G,7,0),0)+IFERROR(VLOOKUP($A853,[5]库存使用数据!$A:$G,7,0),0)</f>
        <v>0</v>
      </c>
      <c r="H853" s="1">
        <f ca="1">IFERROR(VLOOKUP($A853,[1]库存使用数据!$A:$H,8,0),0)+IFERROR(VLOOKUP($A853,[2]库存使用数据!$A:$H,8,0),0)+IFERROR(VLOOKUP($A853,[3]库存使用数据!$A:$H,8,0),0)+IFERROR(VLOOKUP($A853,[4]库存使用数据!$A:$H,8,0),0)+IFERROR(VLOOKUP($A853,[5]库存使用数据!$A:$H,8,0),0)</f>
        <v>20</v>
      </c>
      <c r="I853" s="1">
        <f ca="1">IFERROR(VLOOKUP($A853,[1]库存使用数据!$A:$I,9,0),0)+IFERROR(VLOOKUP($A853,[2]库存使用数据!$A:$I,9,0),0)+IFERROR(VLOOKUP($A853,[3]库存使用数据!$A:$I,9,0),0)+IFERROR(VLOOKUP($A853,[4]库存使用数据!$A:$I,9,0),0)+IFERROR(VLOOKUP($A853,[5]库存使用数据!$A:$I,9,0),0)</f>
        <v>0</v>
      </c>
      <c r="J853" s="1">
        <f ca="1">IFERROR(VLOOKUP($A853,[1]库存使用数据!$A:$J,10,0),0)+IFERROR(VLOOKUP($A853,[2]库存使用数据!$A:$J,10,0),0)+公式!$B$14*IFERROR(VLOOKUP($A853,[3]库存使用数据!$A:$J,10,0),0)+IFERROR(VLOOKUP($A853,[4]库存使用数据!$A:$J,10,0),0)+IFERROR(VLOOKUP($A853,[5]库存使用数据!$A:$J,10,0),0)</f>
        <v>0</v>
      </c>
      <c r="K853" s="1">
        <f ca="1">IFERROR(VLOOKUP($A853,[1]库存使用数据!$A:$K,11,0),0)+IFERROR(VLOOKUP($A853,[2]库存使用数据!$A:$K,11,0),0)+IFERROR(VLOOKUP($A853,[3]库存使用数据!$A:$K,11,0),0)+IFERROR(VLOOKUP($A853,[4]库存使用数据!$A:$K,11,0),0)+IFERROR(VLOOKUP($A853,[5]库存使用数据!$A:$K,11,0),0)</f>
        <v>48</v>
      </c>
      <c r="L853" s="1">
        <f ca="1">IFERROR(VLOOKUP($A853,[1]库存使用数据!$A:$L,12,0),0)+IFERROR(VLOOKUP($A853,[2]库存使用数据!$A:$L,12,0),0)+IFERROR(VLOOKUP($A853,[3]库存使用数据!$A:$L,12,0),0)+IFERROR(VLOOKUP($A853,[4]库存使用数据!$A:$L,12,0),0)+IFERROR(VLOOKUP($A853,[5]库存使用数据!$A:$L,12,0),0)</f>
        <v>0</v>
      </c>
      <c r="M853" s="1">
        <f ca="1">IFERROR(VLOOKUP($A853,[1]库存使用数据!$A:$M,13,0),0)+IFERROR(VLOOKUP($A853,[2]库存使用数据!$A:$M,13,0),0)+公式!$B$14*IFERROR(VLOOKUP($A853,[3]库存使用数据!$A:$M,13,0),0)+IFERROR(VLOOKUP($A853,[4]库存使用数据!$A:$M,13,0),0)+IFERROR(VLOOKUP($A853,[5]库存使用数据!$A:$M,13,0),0)</f>
        <v>0</v>
      </c>
    </row>
    <row r="854" spans="1:13">
      <c r="A854" s="6" t="s">
        <v>859</v>
      </c>
      <c r="B854" s="2">
        <f ca="1">IFERROR(VLOOKUP(A854,[1]库存使用数据!$A:$B,2,0),0)+IFERROR(VLOOKUP(A854,[2]库存使用数据!$A:$B,2,0),0)+IFERROR(VLOOKUP(,[3]库存使用数据!$A:$B,2,0),0)+IFERROR(VLOOKUP(A854,[4]库存使用数据!$A:$B,2,0),0)+IFERROR(VLOOKUP(A854,[5]库存使用数据!$A:$B,2,0),0)</f>
        <v>2</v>
      </c>
      <c r="C854" s="1">
        <f ca="1">IFERROR(VLOOKUP($A854,[1]库存使用数据!$A:$C,3,0),0)+IFERROR(VLOOKUP($A854,[2]库存使用数据!$A:$C,3,0),0)+IFERROR(VLOOKUP($A854,[3]库存使用数据!$A:$C,3,0),0)+IFERROR(VLOOKUP($A854,[4]库存使用数据!$A:$C,3,0),0)+IFERROR(VLOOKUP($A854,[5]库存使用数据!$A:$C,3,0),0)</f>
        <v>0</v>
      </c>
      <c r="D854" s="1">
        <f ca="1">IFERROR(VLOOKUP($A854,[1]库存使用数据!$A:$D,4,0),0)+IFERROR(VLOOKUP($A854,[2]库存使用数据!$A:$D,4,0),0)+公式!$B$1*IFERROR(VLOOKUP($A854,[3]库存使用数据!$A:$D,4,0),0)+IFERROR(VLOOKUP($A854,[4]库存使用数据!$A:$D,4,0),0)+IFERROR(VLOOKUP($A854,[5]库存使用数据!$A:$D,4,0),0)</f>
        <v>0</v>
      </c>
      <c r="E854" s="1">
        <f ca="1">IFERROR(VLOOKUP($A854,[1]库存使用数据!$A:$E,5,0),0)+IFERROR(VLOOKUP($A854,[2]库存使用数据!$A:$E,5,0),0)+IFERROR(VLOOKUP($A854,[3]库存使用数据!$A:$E,5,0),0)+IFERROR(VLOOKUP($A854,[4]库存使用数据!$A:$E,5,0),0)+IFERROR(VLOOKUP($A854,[5]库存使用数据!$A:$E,5,0),0)</f>
        <v>35</v>
      </c>
      <c r="F854" s="1">
        <f ca="1">IFERROR(VLOOKUP($A854,[1]库存使用数据!$A:$F,6,0),0)+IFERROR(VLOOKUP($A854,[2]库存使用数据!$A:$F,6,0),0)+IFERROR(VLOOKUP($A854,[4]库存使用数据!$A:$F,6,0),0)+IFERROR(VLOOKUP($A854,[3]库存使用数据!$A:$F,6,0),0)+IFERROR(VLOOKUP($A854,[5]库存使用数据!$A:$F,6,0),0)</f>
        <v>0</v>
      </c>
      <c r="G854" s="1">
        <f ca="1">IFERROR(VLOOKUP($A854,[1]库存使用数据!$A:$G,7,0),0)+IFERROR(VLOOKUP($A854,[2]库存使用数据!$A:$G,7,0),0)+公式!$B$14*IFERROR(VLOOKUP($A854,[3]库存使用数据!$A:$G,7,0),0)+IFERROR(VLOOKUP($A854,[4]库存使用数据!$A:$G,7,0),0)+IFERROR(VLOOKUP($A854,[5]库存使用数据!$A:$G,7,0),0)</f>
        <v>0</v>
      </c>
      <c r="H854" s="1">
        <f ca="1">IFERROR(VLOOKUP($A854,[1]库存使用数据!$A:$H,8,0),0)+IFERROR(VLOOKUP($A854,[2]库存使用数据!$A:$H,8,0),0)+IFERROR(VLOOKUP($A854,[3]库存使用数据!$A:$H,8,0),0)+IFERROR(VLOOKUP($A854,[4]库存使用数据!$A:$H,8,0),0)+IFERROR(VLOOKUP($A854,[5]库存使用数据!$A:$H,8,0),0)</f>
        <v>22</v>
      </c>
      <c r="I854" s="1">
        <f ca="1">IFERROR(VLOOKUP($A854,[1]库存使用数据!$A:$I,9,0),0)+IFERROR(VLOOKUP($A854,[2]库存使用数据!$A:$I,9,0),0)+IFERROR(VLOOKUP($A854,[3]库存使用数据!$A:$I,9,0),0)+IFERROR(VLOOKUP($A854,[4]库存使用数据!$A:$I,9,0),0)+IFERROR(VLOOKUP($A854,[5]库存使用数据!$A:$I,9,0),0)</f>
        <v>0</v>
      </c>
      <c r="J854" s="1">
        <f ca="1">IFERROR(VLOOKUP($A854,[1]库存使用数据!$A:$J,10,0),0)+IFERROR(VLOOKUP($A854,[2]库存使用数据!$A:$J,10,0),0)+公式!$B$14*IFERROR(VLOOKUP($A854,[3]库存使用数据!$A:$J,10,0),0)+IFERROR(VLOOKUP($A854,[4]库存使用数据!$A:$J,10,0),0)+IFERROR(VLOOKUP($A854,[5]库存使用数据!$A:$J,10,0),0)</f>
        <v>0</v>
      </c>
      <c r="K854" s="1">
        <f ca="1">IFERROR(VLOOKUP($A854,[1]库存使用数据!$A:$K,11,0),0)+IFERROR(VLOOKUP($A854,[2]库存使用数据!$A:$K,11,0),0)+IFERROR(VLOOKUP($A854,[3]库存使用数据!$A:$K,11,0),0)+IFERROR(VLOOKUP($A854,[4]库存使用数据!$A:$K,11,0),0)+IFERROR(VLOOKUP($A854,[5]库存使用数据!$A:$K,11,0),0)</f>
        <v>43</v>
      </c>
      <c r="L854" s="1">
        <f ca="1">IFERROR(VLOOKUP($A854,[1]库存使用数据!$A:$L,12,0),0)+IFERROR(VLOOKUP($A854,[2]库存使用数据!$A:$L,12,0),0)+IFERROR(VLOOKUP($A854,[3]库存使用数据!$A:$L,12,0),0)+IFERROR(VLOOKUP($A854,[4]库存使用数据!$A:$L,12,0),0)+IFERROR(VLOOKUP($A854,[5]库存使用数据!$A:$L,12,0),0)</f>
        <v>0</v>
      </c>
      <c r="M854" s="1">
        <f ca="1">IFERROR(VLOOKUP($A854,[1]库存使用数据!$A:$M,13,0),0)+IFERROR(VLOOKUP($A854,[2]库存使用数据!$A:$M,13,0),0)+公式!$B$14*IFERROR(VLOOKUP($A854,[3]库存使用数据!$A:$M,13,0),0)+IFERROR(VLOOKUP($A854,[4]库存使用数据!$A:$M,13,0),0)+IFERROR(VLOOKUP($A854,[5]库存使用数据!$A:$M,13,0),0)</f>
        <v>0</v>
      </c>
    </row>
    <row r="855" spans="1:13">
      <c r="A855" s="6" t="s">
        <v>860</v>
      </c>
      <c r="B855" s="2">
        <f ca="1">IFERROR(VLOOKUP(A855,[1]库存使用数据!$A:$B,2,0),0)+IFERROR(VLOOKUP(A855,[2]库存使用数据!$A:$B,2,0),0)+IFERROR(VLOOKUP(,[3]库存使用数据!$A:$B,2,0),0)+IFERROR(VLOOKUP(A855,[4]库存使用数据!$A:$B,2,0),0)+IFERROR(VLOOKUP(A855,[5]库存使用数据!$A:$B,2,0),0)</f>
        <v>1</v>
      </c>
      <c r="C855" s="1">
        <f ca="1">IFERROR(VLOOKUP($A855,[1]库存使用数据!$A:$C,3,0),0)+IFERROR(VLOOKUP($A855,[2]库存使用数据!$A:$C,3,0),0)+IFERROR(VLOOKUP($A855,[3]库存使用数据!$A:$C,3,0),0)+IFERROR(VLOOKUP($A855,[4]库存使用数据!$A:$C,3,0),0)+IFERROR(VLOOKUP($A855,[5]库存使用数据!$A:$C,3,0),0)</f>
        <v>0</v>
      </c>
      <c r="D855" s="1">
        <f ca="1">IFERROR(VLOOKUP($A855,[1]库存使用数据!$A:$D,4,0),0)+IFERROR(VLOOKUP($A855,[2]库存使用数据!$A:$D,4,0),0)+公式!$B$1*IFERROR(VLOOKUP($A855,[3]库存使用数据!$A:$D,4,0),0)+IFERROR(VLOOKUP($A855,[4]库存使用数据!$A:$D,4,0),0)+IFERROR(VLOOKUP($A855,[5]库存使用数据!$A:$D,4,0),0)</f>
        <v>0</v>
      </c>
      <c r="E855" s="1">
        <f ca="1">IFERROR(VLOOKUP($A855,[1]库存使用数据!$A:$E,5,0),0)+IFERROR(VLOOKUP($A855,[2]库存使用数据!$A:$E,5,0),0)+IFERROR(VLOOKUP($A855,[3]库存使用数据!$A:$E,5,0),0)+IFERROR(VLOOKUP($A855,[4]库存使用数据!$A:$E,5,0),0)+IFERROR(VLOOKUP($A855,[5]库存使用数据!$A:$E,5,0),0)</f>
        <v>33</v>
      </c>
      <c r="F855" s="1">
        <f ca="1">IFERROR(VLOOKUP($A855,[1]库存使用数据!$A:$F,6,0),0)+IFERROR(VLOOKUP($A855,[2]库存使用数据!$A:$F,6,0),0)+IFERROR(VLOOKUP($A855,[4]库存使用数据!$A:$F,6,0),0)+IFERROR(VLOOKUP($A855,[3]库存使用数据!$A:$F,6,0),0)+IFERROR(VLOOKUP($A855,[5]库存使用数据!$A:$F,6,0),0)</f>
        <v>0</v>
      </c>
      <c r="G855" s="1">
        <f ca="1">IFERROR(VLOOKUP($A855,[1]库存使用数据!$A:$G,7,0),0)+IFERROR(VLOOKUP($A855,[2]库存使用数据!$A:$G,7,0),0)+公式!$B$14*IFERROR(VLOOKUP($A855,[3]库存使用数据!$A:$G,7,0),0)+IFERROR(VLOOKUP($A855,[4]库存使用数据!$A:$G,7,0),0)+IFERROR(VLOOKUP($A855,[5]库存使用数据!$A:$G,7,0),0)</f>
        <v>0</v>
      </c>
      <c r="H855" s="1">
        <f ca="1">IFERROR(VLOOKUP($A855,[1]库存使用数据!$A:$H,8,0),0)+IFERROR(VLOOKUP($A855,[2]库存使用数据!$A:$H,8,0),0)+IFERROR(VLOOKUP($A855,[3]库存使用数据!$A:$H,8,0),0)+IFERROR(VLOOKUP($A855,[4]库存使用数据!$A:$H,8,0),0)+IFERROR(VLOOKUP($A855,[5]库存使用数据!$A:$H,8,0),0)</f>
        <v>24</v>
      </c>
      <c r="I855" s="1">
        <f ca="1">IFERROR(VLOOKUP($A855,[1]库存使用数据!$A:$I,9,0),0)+IFERROR(VLOOKUP($A855,[2]库存使用数据!$A:$I,9,0),0)+IFERROR(VLOOKUP($A855,[3]库存使用数据!$A:$I,9,0),0)+IFERROR(VLOOKUP($A855,[4]库存使用数据!$A:$I,9,0),0)+IFERROR(VLOOKUP($A855,[5]库存使用数据!$A:$I,9,0),0)</f>
        <v>0</v>
      </c>
      <c r="J855" s="1">
        <f ca="1">IFERROR(VLOOKUP($A855,[1]库存使用数据!$A:$J,10,0),0)+IFERROR(VLOOKUP($A855,[2]库存使用数据!$A:$J,10,0),0)+公式!$B$14*IFERROR(VLOOKUP($A855,[3]库存使用数据!$A:$J,10,0),0)+IFERROR(VLOOKUP($A855,[4]库存使用数据!$A:$J,10,0),0)+IFERROR(VLOOKUP($A855,[5]库存使用数据!$A:$J,10,0),0)</f>
        <v>0</v>
      </c>
      <c r="K855" s="1">
        <f ca="1">IFERROR(VLOOKUP($A855,[1]库存使用数据!$A:$K,11,0),0)+IFERROR(VLOOKUP($A855,[2]库存使用数据!$A:$K,11,0),0)+IFERROR(VLOOKUP($A855,[3]库存使用数据!$A:$K,11,0),0)+IFERROR(VLOOKUP($A855,[4]库存使用数据!$A:$K,11,0),0)+IFERROR(VLOOKUP($A855,[5]库存使用数据!$A:$K,11,0),0)</f>
        <v>39</v>
      </c>
      <c r="L855" s="1">
        <f ca="1">IFERROR(VLOOKUP($A855,[1]库存使用数据!$A:$L,12,0),0)+IFERROR(VLOOKUP($A855,[2]库存使用数据!$A:$L,12,0),0)+IFERROR(VLOOKUP($A855,[3]库存使用数据!$A:$L,12,0),0)+IFERROR(VLOOKUP($A855,[4]库存使用数据!$A:$L,12,0),0)+IFERROR(VLOOKUP($A855,[5]库存使用数据!$A:$L,12,0),0)</f>
        <v>0</v>
      </c>
      <c r="M855" s="1">
        <f ca="1">IFERROR(VLOOKUP($A855,[1]库存使用数据!$A:$M,13,0),0)+IFERROR(VLOOKUP($A855,[2]库存使用数据!$A:$M,13,0),0)+公式!$B$14*IFERROR(VLOOKUP($A855,[3]库存使用数据!$A:$M,13,0),0)+IFERROR(VLOOKUP($A855,[4]库存使用数据!$A:$M,13,0),0)+IFERROR(VLOOKUP($A855,[5]库存使用数据!$A:$M,13,0),0)</f>
        <v>0</v>
      </c>
    </row>
    <row r="856" spans="1:13">
      <c r="A856" s="6" t="s">
        <v>861</v>
      </c>
      <c r="B856" s="2">
        <f ca="1">IFERROR(VLOOKUP(A856,[1]库存使用数据!$A:$B,2,0),0)+IFERROR(VLOOKUP(A856,[2]库存使用数据!$A:$B,2,0),0)+IFERROR(VLOOKUP(,[3]库存使用数据!$A:$B,2,0),0)+IFERROR(VLOOKUP(A856,[4]库存使用数据!$A:$B,2,0),0)+IFERROR(VLOOKUP(A856,[5]库存使用数据!$A:$B,2,0),0)</f>
        <v>3</v>
      </c>
      <c r="C856" s="1">
        <f ca="1">IFERROR(VLOOKUP($A856,[1]库存使用数据!$A:$C,3,0),0)+IFERROR(VLOOKUP($A856,[2]库存使用数据!$A:$C,3,0),0)+IFERROR(VLOOKUP($A856,[3]库存使用数据!$A:$C,3,0),0)+IFERROR(VLOOKUP($A856,[4]库存使用数据!$A:$C,3,0),0)+IFERROR(VLOOKUP($A856,[5]库存使用数据!$A:$C,3,0),0)</f>
        <v>0</v>
      </c>
      <c r="D856" s="1">
        <f ca="1">IFERROR(VLOOKUP($A856,[1]库存使用数据!$A:$D,4,0),0)+IFERROR(VLOOKUP($A856,[2]库存使用数据!$A:$D,4,0),0)+公式!$B$1*IFERROR(VLOOKUP($A856,[3]库存使用数据!$A:$D,4,0),0)+IFERROR(VLOOKUP($A856,[4]库存使用数据!$A:$D,4,0),0)+IFERROR(VLOOKUP($A856,[5]库存使用数据!$A:$D,4,0),0)</f>
        <v>0</v>
      </c>
      <c r="E856" s="1">
        <f ca="1">IFERROR(VLOOKUP($A856,[1]库存使用数据!$A:$E,5,0),0)+IFERROR(VLOOKUP($A856,[2]库存使用数据!$A:$E,5,0),0)+IFERROR(VLOOKUP($A856,[3]库存使用数据!$A:$E,5,0),0)+IFERROR(VLOOKUP($A856,[4]库存使用数据!$A:$E,5,0),0)+IFERROR(VLOOKUP($A856,[5]库存使用数据!$A:$E,5,0),0)</f>
        <v>44</v>
      </c>
      <c r="F856" s="1">
        <f ca="1">IFERROR(VLOOKUP($A856,[1]库存使用数据!$A:$F,6,0),0)+IFERROR(VLOOKUP($A856,[2]库存使用数据!$A:$F,6,0),0)+IFERROR(VLOOKUP($A856,[4]库存使用数据!$A:$F,6,0),0)+IFERROR(VLOOKUP($A856,[3]库存使用数据!$A:$F,6,0),0)+IFERROR(VLOOKUP($A856,[5]库存使用数据!$A:$F,6,0),0)</f>
        <v>0</v>
      </c>
      <c r="G856" s="1">
        <f ca="1">IFERROR(VLOOKUP($A856,[1]库存使用数据!$A:$G,7,0),0)+IFERROR(VLOOKUP($A856,[2]库存使用数据!$A:$G,7,0),0)+公式!$B$14*IFERROR(VLOOKUP($A856,[3]库存使用数据!$A:$G,7,0),0)+IFERROR(VLOOKUP($A856,[4]库存使用数据!$A:$G,7,0),0)+IFERROR(VLOOKUP($A856,[5]库存使用数据!$A:$G,7,0),0)</f>
        <v>0</v>
      </c>
      <c r="H856" s="1">
        <f ca="1">IFERROR(VLOOKUP($A856,[1]库存使用数据!$A:$H,8,0),0)+IFERROR(VLOOKUP($A856,[2]库存使用数据!$A:$H,8,0),0)+IFERROR(VLOOKUP($A856,[3]库存使用数据!$A:$H,8,0),0)+IFERROR(VLOOKUP($A856,[4]库存使用数据!$A:$H,8,0),0)+IFERROR(VLOOKUP($A856,[5]库存使用数据!$A:$H,8,0),0)</f>
        <v>30</v>
      </c>
      <c r="I856" s="1">
        <f ca="1">IFERROR(VLOOKUP($A856,[1]库存使用数据!$A:$I,9,0),0)+IFERROR(VLOOKUP($A856,[2]库存使用数据!$A:$I,9,0),0)+IFERROR(VLOOKUP($A856,[3]库存使用数据!$A:$I,9,0),0)+IFERROR(VLOOKUP($A856,[4]库存使用数据!$A:$I,9,0),0)+IFERROR(VLOOKUP($A856,[5]库存使用数据!$A:$I,9,0),0)</f>
        <v>0</v>
      </c>
      <c r="J856" s="1">
        <f ca="1">IFERROR(VLOOKUP($A856,[1]库存使用数据!$A:$J,10,0),0)+IFERROR(VLOOKUP($A856,[2]库存使用数据!$A:$J,10,0),0)+公式!$B$14*IFERROR(VLOOKUP($A856,[3]库存使用数据!$A:$J,10,0),0)+IFERROR(VLOOKUP($A856,[4]库存使用数据!$A:$J,10,0),0)+IFERROR(VLOOKUP($A856,[5]库存使用数据!$A:$J,10,0),0)</f>
        <v>0</v>
      </c>
      <c r="K856" s="1">
        <f ca="1">IFERROR(VLOOKUP($A856,[1]库存使用数据!$A:$K,11,0),0)+IFERROR(VLOOKUP($A856,[2]库存使用数据!$A:$K,11,0),0)+IFERROR(VLOOKUP($A856,[3]库存使用数据!$A:$K,11,0),0)+IFERROR(VLOOKUP($A856,[4]库存使用数据!$A:$K,11,0),0)+IFERROR(VLOOKUP($A856,[5]库存使用数据!$A:$K,11,0),0)</f>
        <v>46</v>
      </c>
      <c r="L856" s="1">
        <f ca="1">IFERROR(VLOOKUP($A856,[1]库存使用数据!$A:$L,12,0),0)+IFERROR(VLOOKUP($A856,[2]库存使用数据!$A:$L,12,0),0)+IFERROR(VLOOKUP($A856,[3]库存使用数据!$A:$L,12,0),0)+IFERROR(VLOOKUP($A856,[4]库存使用数据!$A:$L,12,0),0)+IFERROR(VLOOKUP($A856,[5]库存使用数据!$A:$L,12,0),0)</f>
        <v>0</v>
      </c>
      <c r="M856" s="1">
        <f ca="1">IFERROR(VLOOKUP($A856,[1]库存使用数据!$A:$M,13,0),0)+IFERROR(VLOOKUP($A856,[2]库存使用数据!$A:$M,13,0),0)+公式!$B$14*IFERROR(VLOOKUP($A856,[3]库存使用数据!$A:$M,13,0),0)+IFERROR(VLOOKUP($A856,[4]库存使用数据!$A:$M,13,0),0)+IFERROR(VLOOKUP($A856,[5]库存使用数据!$A:$M,13,0),0)</f>
        <v>0</v>
      </c>
    </row>
    <row r="857" spans="1:13">
      <c r="A857" s="6" t="s">
        <v>862</v>
      </c>
      <c r="B857" s="2">
        <f ca="1">IFERROR(VLOOKUP(A857,[1]库存使用数据!$A:$B,2,0),0)+IFERROR(VLOOKUP(A857,[2]库存使用数据!$A:$B,2,0),0)+IFERROR(VLOOKUP(,[3]库存使用数据!$A:$B,2,0),0)+IFERROR(VLOOKUP(A857,[4]库存使用数据!$A:$B,2,0),0)+IFERROR(VLOOKUP(A857,[5]库存使用数据!$A:$B,2,0),0)</f>
        <v>4</v>
      </c>
      <c r="C857" s="1">
        <f ca="1">IFERROR(VLOOKUP($A857,[1]库存使用数据!$A:$C,3,0),0)+IFERROR(VLOOKUP($A857,[2]库存使用数据!$A:$C,3,0),0)+IFERROR(VLOOKUP($A857,[3]库存使用数据!$A:$C,3,0),0)+IFERROR(VLOOKUP($A857,[4]库存使用数据!$A:$C,3,0),0)+IFERROR(VLOOKUP($A857,[5]库存使用数据!$A:$C,3,0),0)</f>
        <v>0</v>
      </c>
      <c r="D857" s="1">
        <f ca="1">IFERROR(VLOOKUP($A857,[1]库存使用数据!$A:$D,4,0),0)+IFERROR(VLOOKUP($A857,[2]库存使用数据!$A:$D,4,0),0)+公式!$B$1*IFERROR(VLOOKUP($A857,[3]库存使用数据!$A:$D,4,0),0)+IFERROR(VLOOKUP($A857,[4]库存使用数据!$A:$D,4,0),0)+IFERROR(VLOOKUP($A857,[5]库存使用数据!$A:$D,4,0),0)</f>
        <v>0</v>
      </c>
      <c r="E857" s="1">
        <f ca="1">IFERROR(VLOOKUP($A857,[1]库存使用数据!$A:$E,5,0),0)+IFERROR(VLOOKUP($A857,[2]库存使用数据!$A:$E,5,0),0)+IFERROR(VLOOKUP($A857,[3]库存使用数据!$A:$E,5,0),0)+IFERROR(VLOOKUP($A857,[4]库存使用数据!$A:$E,5,0),0)+IFERROR(VLOOKUP($A857,[5]库存使用数据!$A:$E,5,0),0)</f>
        <v>28</v>
      </c>
      <c r="F857" s="1">
        <f ca="1">IFERROR(VLOOKUP($A857,[1]库存使用数据!$A:$F,6,0),0)+IFERROR(VLOOKUP($A857,[2]库存使用数据!$A:$F,6,0),0)+IFERROR(VLOOKUP($A857,[4]库存使用数据!$A:$F,6,0),0)+IFERROR(VLOOKUP($A857,[3]库存使用数据!$A:$F,6,0),0)+IFERROR(VLOOKUP($A857,[5]库存使用数据!$A:$F,6,0),0)</f>
        <v>0</v>
      </c>
      <c r="G857" s="1">
        <f ca="1">IFERROR(VLOOKUP($A857,[1]库存使用数据!$A:$G,7,0),0)+IFERROR(VLOOKUP($A857,[2]库存使用数据!$A:$G,7,0),0)+公式!$B$14*IFERROR(VLOOKUP($A857,[3]库存使用数据!$A:$G,7,0),0)+IFERROR(VLOOKUP($A857,[4]库存使用数据!$A:$G,7,0),0)+IFERROR(VLOOKUP($A857,[5]库存使用数据!$A:$G,7,0),0)</f>
        <v>0</v>
      </c>
      <c r="H857" s="1">
        <f ca="1">IFERROR(VLOOKUP($A857,[1]库存使用数据!$A:$H,8,0),0)+IFERROR(VLOOKUP($A857,[2]库存使用数据!$A:$H,8,0),0)+IFERROR(VLOOKUP($A857,[3]库存使用数据!$A:$H,8,0),0)+IFERROR(VLOOKUP($A857,[4]库存使用数据!$A:$H,8,0),0)+IFERROR(VLOOKUP($A857,[5]库存使用数据!$A:$H,8,0),0)</f>
        <v>19</v>
      </c>
      <c r="I857" s="1">
        <f ca="1">IFERROR(VLOOKUP($A857,[1]库存使用数据!$A:$I,9,0),0)+IFERROR(VLOOKUP($A857,[2]库存使用数据!$A:$I,9,0),0)+IFERROR(VLOOKUP($A857,[3]库存使用数据!$A:$I,9,0),0)+IFERROR(VLOOKUP($A857,[4]库存使用数据!$A:$I,9,0),0)+IFERROR(VLOOKUP($A857,[5]库存使用数据!$A:$I,9,0),0)</f>
        <v>0</v>
      </c>
      <c r="J857" s="1">
        <f ca="1">IFERROR(VLOOKUP($A857,[1]库存使用数据!$A:$J,10,0),0)+IFERROR(VLOOKUP($A857,[2]库存使用数据!$A:$J,10,0),0)+公式!$B$14*IFERROR(VLOOKUP($A857,[3]库存使用数据!$A:$J,10,0),0)+IFERROR(VLOOKUP($A857,[4]库存使用数据!$A:$J,10,0),0)+IFERROR(VLOOKUP($A857,[5]库存使用数据!$A:$J,10,0),0)</f>
        <v>0</v>
      </c>
      <c r="K857" s="1">
        <f ca="1">IFERROR(VLOOKUP($A857,[1]库存使用数据!$A:$K,11,0),0)+IFERROR(VLOOKUP($A857,[2]库存使用数据!$A:$K,11,0),0)+IFERROR(VLOOKUP($A857,[3]库存使用数据!$A:$K,11,0),0)+IFERROR(VLOOKUP($A857,[4]库存使用数据!$A:$K,11,0),0)+IFERROR(VLOOKUP($A857,[5]库存使用数据!$A:$K,11,0),0)</f>
        <v>30</v>
      </c>
      <c r="L857" s="1">
        <f ca="1">IFERROR(VLOOKUP($A857,[1]库存使用数据!$A:$L,12,0),0)+IFERROR(VLOOKUP($A857,[2]库存使用数据!$A:$L,12,0),0)+IFERROR(VLOOKUP($A857,[3]库存使用数据!$A:$L,12,0),0)+IFERROR(VLOOKUP($A857,[4]库存使用数据!$A:$L,12,0),0)+IFERROR(VLOOKUP($A857,[5]库存使用数据!$A:$L,12,0),0)</f>
        <v>0</v>
      </c>
      <c r="M857" s="1">
        <f ca="1">IFERROR(VLOOKUP($A857,[1]库存使用数据!$A:$M,13,0),0)+IFERROR(VLOOKUP($A857,[2]库存使用数据!$A:$M,13,0),0)+公式!$B$14*IFERROR(VLOOKUP($A857,[3]库存使用数据!$A:$M,13,0),0)+IFERROR(VLOOKUP($A857,[4]库存使用数据!$A:$M,13,0),0)+IFERROR(VLOOKUP($A857,[5]库存使用数据!$A:$M,13,0),0)</f>
        <v>0</v>
      </c>
    </row>
    <row r="858" spans="1:13">
      <c r="A858" s="6" t="s">
        <v>863</v>
      </c>
      <c r="B858" s="2">
        <f ca="1">IFERROR(VLOOKUP(A858,[1]库存使用数据!$A:$B,2,0),0)+IFERROR(VLOOKUP(A858,[2]库存使用数据!$A:$B,2,0),0)+IFERROR(VLOOKUP(,[3]库存使用数据!$A:$B,2,0),0)+IFERROR(VLOOKUP(A858,[4]库存使用数据!$A:$B,2,0),0)+IFERROR(VLOOKUP(A858,[5]库存使用数据!$A:$B,2,0),0)</f>
        <v>6</v>
      </c>
      <c r="C858" s="1">
        <f ca="1">IFERROR(VLOOKUP($A858,[1]库存使用数据!$A:$C,3,0),0)+IFERROR(VLOOKUP($A858,[2]库存使用数据!$A:$C,3,0),0)+IFERROR(VLOOKUP($A858,[3]库存使用数据!$A:$C,3,0),0)+IFERROR(VLOOKUP($A858,[4]库存使用数据!$A:$C,3,0),0)+IFERROR(VLOOKUP($A858,[5]库存使用数据!$A:$C,3,0),0)</f>
        <v>0</v>
      </c>
      <c r="D858" s="1">
        <f ca="1">IFERROR(VLOOKUP($A858,[1]库存使用数据!$A:$D,4,0),0)+IFERROR(VLOOKUP($A858,[2]库存使用数据!$A:$D,4,0),0)+公式!$B$1*IFERROR(VLOOKUP($A858,[3]库存使用数据!$A:$D,4,0),0)+IFERROR(VLOOKUP($A858,[4]库存使用数据!$A:$D,4,0),0)+IFERROR(VLOOKUP($A858,[5]库存使用数据!$A:$D,4,0),0)</f>
        <v>0</v>
      </c>
      <c r="E858" s="1">
        <f ca="1">IFERROR(VLOOKUP($A858,[1]库存使用数据!$A:$E,5,0),0)+IFERROR(VLOOKUP($A858,[2]库存使用数据!$A:$E,5,0),0)+IFERROR(VLOOKUP($A858,[3]库存使用数据!$A:$E,5,0),0)+IFERROR(VLOOKUP($A858,[4]库存使用数据!$A:$E,5,0),0)+IFERROR(VLOOKUP($A858,[5]库存使用数据!$A:$E,5,0),0)</f>
        <v>30</v>
      </c>
      <c r="F858" s="1">
        <f ca="1">IFERROR(VLOOKUP($A858,[1]库存使用数据!$A:$F,6,0),0)+IFERROR(VLOOKUP($A858,[2]库存使用数据!$A:$F,6,0),0)+IFERROR(VLOOKUP($A858,[4]库存使用数据!$A:$F,6,0),0)+IFERROR(VLOOKUP($A858,[3]库存使用数据!$A:$F,6,0),0)+IFERROR(VLOOKUP($A858,[5]库存使用数据!$A:$F,6,0),0)</f>
        <v>2</v>
      </c>
      <c r="G858" s="1">
        <f ca="1">IFERROR(VLOOKUP($A858,[1]库存使用数据!$A:$G,7,0),0)+IFERROR(VLOOKUP($A858,[2]库存使用数据!$A:$G,7,0),0)+公式!$B$14*IFERROR(VLOOKUP($A858,[3]库存使用数据!$A:$G,7,0),0)+IFERROR(VLOOKUP($A858,[4]库存使用数据!$A:$G,7,0),0)+IFERROR(VLOOKUP($A858,[5]库存使用数据!$A:$G,7,0),0)</f>
        <v>0.32</v>
      </c>
      <c r="H858" s="1">
        <f ca="1">IFERROR(VLOOKUP($A858,[1]库存使用数据!$A:$H,8,0),0)+IFERROR(VLOOKUP($A858,[2]库存使用数据!$A:$H,8,0),0)+IFERROR(VLOOKUP($A858,[3]库存使用数据!$A:$H,8,0),0)+IFERROR(VLOOKUP($A858,[4]库存使用数据!$A:$H,8,0),0)+IFERROR(VLOOKUP($A858,[5]库存使用数据!$A:$H,8,0),0)</f>
        <v>21</v>
      </c>
      <c r="I858" s="1">
        <f ca="1">IFERROR(VLOOKUP($A858,[1]库存使用数据!$A:$I,9,0),0)+IFERROR(VLOOKUP($A858,[2]库存使用数据!$A:$I,9,0),0)+IFERROR(VLOOKUP($A858,[3]库存使用数据!$A:$I,9,0),0)+IFERROR(VLOOKUP($A858,[4]库存使用数据!$A:$I,9,0),0)+IFERROR(VLOOKUP($A858,[5]库存使用数据!$A:$I,9,0),0)</f>
        <v>2</v>
      </c>
      <c r="J858" s="1">
        <f ca="1">IFERROR(VLOOKUP($A858,[1]库存使用数据!$A:$J,10,0),0)+IFERROR(VLOOKUP($A858,[2]库存使用数据!$A:$J,10,0),0)+公式!$B$14*IFERROR(VLOOKUP($A858,[3]库存使用数据!$A:$J,10,0),0)+IFERROR(VLOOKUP($A858,[4]库存使用数据!$A:$J,10,0),0)+IFERROR(VLOOKUP($A858,[5]库存使用数据!$A:$J,10,0),0)</f>
        <v>0.32</v>
      </c>
      <c r="K858" s="1">
        <f ca="1">IFERROR(VLOOKUP($A858,[1]库存使用数据!$A:$K,11,0),0)+IFERROR(VLOOKUP($A858,[2]库存使用数据!$A:$K,11,0),0)+IFERROR(VLOOKUP($A858,[3]库存使用数据!$A:$K,11,0),0)+IFERROR(VLOOKUP($A858,[4]库存使用数据!$A:$K,11,0),0)+IFERROR(VLOOKUP($A858,[5]库存使用数据!$A:$K,11,0),0)</f>
        <v>44</v>
      </c>
      <c r="L858" s="1">
        <f ca="1">IFERROR(VLOOKUP($A858,[1]库存使用数据!$A:$L,12,0),0)+IFERROR(VLOOKUP($A858,[2]库存使用数据!$A:$L,12,0),0)+IFERROR(VLOOKUP($A858,[3]库存使用数据!$A:$L,12,0),0)+IFERROR(VLOOKUP($A858,[4]库存使用数据!$A:$L,12,0),0)+IFERROR(VLOOKUP($A858,[5]库存使用数据!$A:$L,12,0),0)</f>
        <v>0</v>
      </c>
      <c r="M858" s="1">
        <f ca="1">IFERROR(VLOOKUP($A858,[1]库存使用数据!$A:$M,13,0),0)+IFERROR(VLOOKUP($A858,[2]库存使用数据!$A:$M,13,0),0)+公式!$B$14*IFERROR(VLOOKUP($A858,[3]库存使用数据!$A:$M,13,0),0)+IFERROR(VLOOKUP($A858,[4]库存使用数据!$A:$M,13,0),0)+IFERROR(VLOOKUP($A858,[5]库存使用数据!$A:$M,13,0),0)</f>
        <v>0</v>
      </c>
    </row>
    <row r="859" spans="1:13">
      <c r="A859" s="6" t="s">
        <v>864</v>
      </c>
      <c r="B859" s="2">
        <f ca="1">IFERROR(VLOOKUP(A859,[1]库存使用数据!$A:$B,2,0),0)+IFERROR(VLOOKUP(A859,[2]库存使用数据!$A:$B,2,0),0)+IFERROR(VLOOKUP(,[3]库存使用数据!$A:$B,2,0),0)+IFERROR(VLOOKUP(A859,[4]库存使用数据!$A:$B,2,0),0)+IFERROR(VLOOKUP(A859,[5]库存使用数据!$A:$B,2,0),0)</f>
        <v>3</v>
      </c>
      <c r="C859" s="1">
        <f ca="1">IFERROR(VLOOKUP($A859,[1]库存使用数据!$A:$C,3,0),0)+IFERROR(VLOOKUP($A859,[2]库存使用数据!$A:$C,3,0),0)+IFERROR(VLOOKUP($A859,[3]库存使用数据!$A:$C,3,0),0)+IFERROR(VLOOKUP($A859,[4]库存使用数据!$A:$C,3,0),0)+IFERROR(VLOOKUP($A859,[5]库存使用数据!$A:$C,3,0),0)</f>
        <v>0</v>
      </c>
      <c r="D859" s="1">
        <f ca="1">IFERROR(VLOOKUP($A859,[1]库存使用数据!$A:$D,4,0),0)+IFERROR(VLOOKUP($A859,[2]库存使用数据!$A:$D,4,0),0)+公式!$B$1*IFERROR(VLOOKUP($A859,[3]库存使用数据!$A:$D,4,0),0)+IFERROR(VLOOKUP($A859,[4]库存使用数据!$A:$D,4,0),0)+IFERROR(VLOOKUP($A859,[5]库存使用数据!$A:$D,4,0),0)</f>
        <v>0</v>
      </c>
      <c r="E859" s="1">
        <f ca="1">IFERROR(VLOOKUP($A859,[1]库存使用数据!$A:$E,5,0),0)+IFERROR(VLOOKUP($A859,[2]库存使用数据!$A:$E,5,0),0)+IFERROR(VLOOKUP($A859,[3]库存使用数据!$A:$E,5,0),0)+IFERROR(VLOOKUP($A859,[4]库存使用数据!$A:$E,5,0),0)+IFERROR(VLOOKUP($A859,[5]库存使用数据!$A:$E,5,0),0)</f>
        <v>69</v>
      </c>
      <c r="F859" s="1">
        <f ca="1">IFERROR(VLOOKUP($A859,[1]库存使用数据!$A:$F,6,0),0)+IFERROR(VLOOKUP($A859,[2]库存使用数据!$A:$F,6,0),0)+IFERROR(VLOOKUP($A859,[4]库存使用数据!$A:$F,6,0),0)+IFERROR(VLOOKUP($A859,[3]库存使用数据!$A:$F,6,0),0)+IFERROR(VLOOKUP($A859,[5]库存使用数据!$A:$F,6,0),0)</f>
        <v>0</v>
      </c>
      <c r="G859" s="1">
        <f ca="1">IFERROR(VLOOKUP($A859,[1]库存使用数据!$A:$G,7,0),0)+IFERROR(VLOOKUP($A859,[2]库存使用数据!$A:$G,7,0),0)+公式!$B$14*IFERROR(VLOOKUP($A859,[3]库存使用数据!$A:$G,7,0),0)+IFERROR(VLOOKUP($A859,[4]库存使用数据!$A:$G,7,0),0)+IFERROR(VLOOKUP($A859,[5]库存使用数据!$A:$G,7,0),0)</f>
        <v>0</v>
      </c>
      <c r="H859" s="1">
        <f ca="1">IFERROR(VLOOKUP($A859,[1]库存使用数据!$A:$H,8,0),0)+IFERROR(VLOOKUP($A859,[2]库存使用数据!$A:$H,8,0),0)+IFERROR(VLOOKUP($A859,[3]库存使用数据!$A:$H,8,0),0)+IFERROR(VLOOKUP($A859,[4]库存使用数据!$A:$H,8,0),0)+IFERROR(VLOOKUP($A859,[5]库存使用数据!$A:$H,8,0),0)</f>
        <v>41</v>
      </c>
      <c r="I859" s="1">
        <f ca="1">IFERROR(VLOOKUP($A859,[1]库存使用数据!$A:$I,9,0),0)+IFERROR(VLOOKUP($A859,[2]库存使用数据!$A:$I,9,0),0)+IFERROR(VLOOKUP($A859,[3]库存使用数据!$A:$I,9,0),0)+IFERROR(VLOOKUP($A859,[4]库存使用数据!$A:$I,9,0),0)+IFERROR(VLOOKUP($A859,[5]库存使用数据!$A:$I,9,0),0)</f>
        <v>0</v>
      </c>
      <c r="J859" s="1">
        <f ca="1">IFERROR(VLOOKUP($A859,[1]库存使用数据!$A:$J,10,0),0)+IFERROR(VLOOKUP($A859,[2]库存使用数据!$A:$J,10,0),0)+公式!$B$14*IFERROR(VLOOKUP($A859,[3]库存使用数据!$A:$J,10,0),0)+IFERROR(VLOOKUP($A859,[4]库存使用数据!$A:$J,10,0),0)+IFERROR(VLOOKUP($A859,[5]库存使用数据!$A:$J,10,0),0)</f>
        <v>0</v>
      </c>
      <c r="K859" s="1">
        <f ca="1">IFERROR(VLOOKUP($A859,[1]库存使用数据!$A:$K,11,0),0)+IFERROR(VLOOKUP($A859,[2]库存使用数据!$A:$K,11,0),0)+IFERROR(VLOOKUP($A859,[3]库存使用数据!$A:$K,11,0),0)+IFERROR(VLOOKUP($A859,[4]库存使用数据!$A:$K,11,0),0)+IFERROR(VLOOKUP($A859,[5]库存使用数据!$A:$K,11,0),0)</f>
        <v>227</v>
      </c>
      <c r="L859" s="1">
        <f ca="1">IFERROR(VLOOKUP($A859,[1]库存使用数据!$A:$L,12,0),0)+IFERROR(VLOOKUP($A859,[2]库存使用数据!$A:$L,12,0),0)+IFERROR(VLOOKUP($A859,[3]库存使用数据!$A:$L,12,0),0)+IFERROR(VLOOKUP($A859,[4]库存使用数据!$A:$L,12,0),0)+IFERROR(VLOOKUP($A859,[5]库存使用数据!$A:$L,12,0),0)</f>
        <v>0</v>
      </c>
      <c r="M859" s="1">
        <f ca="1">IFERROR(VLOOKUP($A859,[1]库存使用数据!$A:$M,13,0),0)+IFERROR(VLOOKUP($A859,[2]库存使用数据!$A:$M,13,0),0)+公式!$B$14*IFERROR(VLOOKUP($A859,[3]库存使用数据!$A:$M,13,0),0)+IFERROR(VLOOKUP($A859,[4]库存使用数据!$A:$M,13,0),0)+IFERROR(VLOOKUP($A859,[5]库存使用数据!$A:$M,13,0),0)</f>
        <v>0</v>
      </c>
    </row>
    <row r="860" spans="1:13">
      <c r="A860" s="6" t="s">
        <v>865</v>
      </c>
      <c r="B860" s="2">
        <f ca="1">IFERROR(VLOOKUP(A860,[1]库存使用数据!$A:$B,2,0),0)+IFERROR(VLOOKUP(A860,[2]库存使用数据!$A:$B,2,0),0)+IFERROR(VLOOKUP(,[3]库存使用数据!$A:$B,2,0),0)+IFERROR(VLOOKUP(A860,[4]库存使用数据!$A:$B,2,0),0)+IFERROR(VLOOKUP(A860,[5]库存使用数据!$A:$B,2,0),0)</f>
        <v>2</v>
      </c>
      <c r="C860" s="1">
        <f ca="1">IFERROR(VLOOKUP($A860,[1]库存使用数据!$A:$C,3,0),0)+IFERROR(VLOOKUP($A860,[2]库存使用数据!$A:$C,3,0),0)+IFERROR(VLOOKUP($A860,[3]库存使用数据!$A:$C,3,0),0)+IFERROR(VLOOKUP($A860,[4]库存使用数据!$A:$C,3,0),0)+IFERROR(VLOOKUP($A860,[5]库存使用数据!$A:$C,3,0),0)</f>
        <v>0</v>
      </c>
      <c r="D860" s="1">
        <f ca="1">IFERROR(VLOOKUP($A860,[1]库存使用数据!$A:$D,4,0),0)+IFERROR(VLOOKUP($A860,[2]库存使用数据!$A:$D,4,0),0)+公式!$B$1*IFERROR(VLOOKUP($A860,[3]库存使用数据!$A:$D,4,0),0)+IFERROR(VLOOKUP($A860,[4]库存使用数据!$A:$D,4,0),0)+IFERROR(VLOOKUP($A860,[5]库存使用数据!$A:$D,4,0),0)</f>
        <v>0</v>
      </c>
      <c r="E860" s="1">
        <f ca="1">IFERROR(VLOOKUP($A860,[1]库存使用数据!$A:$E,5,0),0)+IFERROR(VLOOKUP($A860,[2]库存使用数据!$A:$E,5,0),0)+IFERROR(VLOOKUP($A860,[3]库存使用数据!$A:$E,5,0),0)+IFERROR(VLOOKUP($A860,[4]库存使用数据!$A:$E,5,0),0)+IFERROR(VLOOKUP($A860,[5]库存使用数据!$A:$E,5,0),0)</f>
        <v>28</v>
      </c>
      <c r="F860" s="1">
        <f ca="1">IFERROR(VLOOKUP($A860,[1]库存使用数据!$A:$F,6,0),0)+IFERROR(VLOOKUP($A860,[2]库存使用数据!$A:$F,6,0),0)+IFERROR(VLOOKUP($A860,[4]库存使用数据!$A:$F,6,0),0)+IFERROR(VLOOKUP($A860,[3]库存使用数据!$A:$F,6,0),0)+IFERROR(VLOOKUP($A860,[5]库存使用数据!$A:$F,6,0),0)</f>
        <v>0</v>
      </c>
      <c r="G860" s="1">
        <f ca="1">IFERROR(VLOOKUP($A860,[1]库存使用数据!$A:$G,7,0),0)+IFERROR(VLOOKUP($A860,[2]库存使用数据!$A:$G,7,0),0)+公式!$B$14*IFERROR(VLOOKUP($A860,[3]库存使用数据!$A:$G,7,0),0)+IFERROR(VLOOKUP($A860,[4]库存使用数据!$A:$G,7,0),0)+IFERROR(VLOOKUP($A860,[5]库存使用数据!$A:$G,7,0),0)</f>
        <v>0</v>
      </c>
      <c r="H860" s="1">
        <f ca="1">IFERROR(VLOOKUP($A860,[1]库存使用数据!$A:$H,8,0),0)+IFERROR(VLOOKUP($A860,[2]库存使用数据!$A:$H,8,0),0)+IFERROR(VLOOKUP($A860,[3]库存使用数据!$A:$H,8,0),0)+IFERROR(VLOOKUP($A860,[4]库存使用数据!$A:$H,8,0),0)+IFERROR(VLOOKUP($A860,[5]库存使用数据!$A:$H,8,0),0)</f>
        <v>18</v>
      </c>
      <c r="I860" s="1">
        <f ca="1">IFERROR(VLOOKUP($A860,[1]库存使用数据!$A:$I,9,0),0)+IFERROR(VLOOKUP($A860,[2]库存使用数据!$A:$I,9,0),0)+IFERROR(VLOOKUP($A860,[3]库存使用数据!$A:$I,9,0),0)+IFERROR(VLOOKUP($A860,[4]库存使用数据!$A:$I,9,0),0)+IFERROR(VLOOKUP($A860,[5]库存使用数据!$A:$I,9,0),0)</f>
        <v>0</v>
      </c>
      <c r="J860" s="1">
        <f ca="1">IFERROR(VLOOKUP($A860,[1]库存使用数据!$A:$J,10,0),0)+IFERROR(VLOOKUP($A860,[2]库存使用数据!$A:$J,10,0),0)+公式!$B$14*IFERROR(VLOOKUP($A860,[3]库存使用数据!$A:$J,10,0),0)+IFERROR(VLOOKUP($A860,[4]库存使用数据!$A:$J,10,0),0)+IFERROR(VLOOKUP($A860,[5]库存使用数据!$A:$J,10,0),0)</f>
        <v>0</v>
      </c>
      <c r="K860" s="1">
        <f ca="1">IFERROR(VLOOKUP($A860,[1]库存使用数据!$A:$K,11,0),0)+IFERROR(VLOOKUP($A860,[2]库存使用数据!$A:$K,11,0),0)+IFERROR(VLOOKUP($A860,[3]库存使用数据!$A:$K,11,0),0)+IFERROR(VLOOKUP($A860,[4]库存使用数据!$A:$K,11,0),0)+IFERROR(VLOOKUP($A860,[5]库存使用数据!$A:$K,11,0),0)</f>
        <v>28</v>
      </c>
      <c r="L860" s="1">
        <f ca="1">IFERROR(VLOOKUP($A860,[1]库存使用数据!$A:$L,12,0),0)+IFERROR(VLOOKUP($A860,[2]库存使用数据!$A:$L,12,0),0)+IFERROR(VLOOKUP($A860,[3]库存使用数据!$A:$L,12,0),0)+IFERROR(VLOOKUP($A860,[4]库存使用数据!$A:$L,12,0),0)+IFERROR(VLOOKUP($A860,[5]库存使用数据!$A:$L,12,0),0)</f>
        <v>0</v>
      </c>
      <c r="M860" s="1">
        <f ca="1">IFERROR(VLOOKUP($A860,[1]库存使用数据!$A:$M,13,0),0)+IFERROR(VLOOKUP($A860,[2]库存使用数据!$A:$M,13,0),0)+公式!$B$14*IFERROR(VLOOKUP($A860,[3]库存使用数据!$A:$M,13,0),0)+IFERROR(VLOOKUP($A860,[4]库存使用数据!$A:$M,13,0),0)+IFERROR(VLOOKUP($A860,[5]库存使用数据!$A:$M,13,0),0)</f>
        <v>0</v>
      </c>
    </row>
    <row r="861" spans="1:13">
      <c r="A861" s="6" t="s">
        <v>866</v>
      </c>
      <c r="B861" s="2">
        <f ca="1">IFERROR(VLOOKUP(A861,[1]库存使用数据!$A:$B,2,0),0)+IFERROR(VLOOKUP(A861,[2]库存使用数据!$A:$B,2,0),0)+IFERROR(VLOOKUP(,[3]库存使用数据!$A:$B,2,0),0)+IFERROR(VLOOKUP(A861,[4]库存使用数据!$A:$B,2,0),0)+IFERROR(VLOOKUP(A861,[5]库存使用数据!$A:$B,2,0),0)</f>
        <v>0</v>
      </c>
      <c r="C861" s="1">
        <f ca="1">IFERROR(VLOOKUP($A861,[1]库存使用数据!$A:$C,3,0),0)+IFERROR(VLOOKUP($A861,[2]库存使用数据!$A:$C,3,0),0)+IFERROR(VLOOKUP($A861,[3]库存使用数据!$A:$C,3,0),0)+IFERROR(VLOOKUP($A861,[4]库存使用数据!$A:$C,3,0),0)+IFERROR(VLOOKUP($A861,[5]库存使用数据!$A:$C,3,0),0)</f>
        <v>0</v>
      </c>
      <c r="D861" s="1">
        <f ca="1">IFERROR(VLOOKUP($A861,[1]库存使用数据!$A:$D,4,0),0)+IFERROR(VLOOKUP($A861,[2]库存使用数据!$A:$D,4,0),0)+公式!$B$1*IFERROR(VLOOKUP($A861,[3]库存使用数据!$A:$D,4,0),0)+IFERROR(VLOOKUP($A861,[4]库存使用数据!$A:$D,4,0),0)+IFERROR(VLOOKUP($A861,[5]库存使用数据!$A:$D,4,0),0)</f>
        <v>0</v>
      </c>
      <c r="E861" s="1">
        <f ca="1">IFERROR(VLOOKUP($A861,[1]库存使用数据!$A:$E,5,0),0)+IFERROR(VLOOKUP($A861,[2]库存使用数据!$A:$E,5,0),0)+IFERROR(VLOOKUP($A861,[3]库存使用数据!$A:$E,5,0),0)+IFERROR(VLOOKUP($A861,[4]库存使用数据!$A:$E,5,0),0)+IFERROR(VLOOKUP($A861,[5]库存使用数据!$A:$E,5,0),0)</f>
        <v>539</v>
      </c>
      <c r="F861" s="1">
        <f ca="1">IFERROR(VLOOKUP($A861,[1]库存使用数据!$A:$F,6,0),0)+IFERROR(VLOOKUP($A861,[2]库存使用数据!$A:$F,6,0),0)+IFERROR(VLOOKUP($A861,[4]库存使用数据!$A:$F,6,0),0)+IFERROR(VLOOKUP($A861,[3]库存使用数据!$A:$F,6,0),0)+IFERROR(VLOOKUP($A861,[5]库存使用数据!$A:$F,6,0),0)</f>
        <v>4</v>
      </c>
      <c r="G861" s="1">
        <f ca="1">IFERROR(VLOOKUP($A861,[1]库存使用数据!$A:$G,7,0),0)+IFERROR(VLOOKUP($A861,[2]库存使用数据!$A:$G,7,0),0)+公式!$B$14*IFERROR(VLOOKUP($A861,[3]库存使用数据!$A:$G,7,0),0)+IFERROR(VLOOKUP($A861,[4]库存使用数据!$A:$G,7,0),0)+IFERROR(VLOOKUP($A861,[5]库存使用数据!$A:$G,7,0),0)</f>
        <v>0.45</v>
      </c>
      <c r="H861" s="1">
        <f ca="1">IFERROR(VLOOKUP($A861,[1]库存使用数据!$A:$H,8,0),0)+IFERROR(VLOOKUP($A861,[2]库存使用数据!$A:$H,8,0),0)+IFERROR(VLOOKUP($A861,[3]库存使用数据!$A:$H,8,0),0)+IFERROR(VLOOKUP($A861,[4]库存使用数据!$A:$H,8,0),0)+IFERROR(VLOOKUP($A861,[5]库存使用数据!$A:$H,8,0),0)</f>
        <v>529</v>
      </c>
      <c r="I861" s="1">
        <f ca="1">IFERROR(VLOOKUP($A861,[1]库存使用数据!$A:$I,9,0),0)+IFERROR(VLOOKUP($A861,[2]库存使用数据!$A:$I,9,0),0)+IFERROR(VLOOKUP($A861,[3]库存使用数据!$A:$I,9,0),0)+IFERROR(VLOOKUP($A861,[4]库存使用数据!$A:$I,9,0),0)+IFERROR(VLOOKUP($A861,[5]库存使用数据!$A:$I,9,0),0)</f>
        <v>4</v>
      </c>
      <c r="J861" s="1">
        <f ca="1">IFERROR(VLOOKUP($A861,[1]库存使用数据!$A:$J,10,0),0)+IFERROR(VLOOKUP($A861,[2]库存使用数据!$A:$J,10,0),0)+公式!$B$14*IFERROR(VLOOKUP($A861,[3]库存使用数据!$A:$J,10,0),0)+IFERROR(VLOOKUP($A861,[4]库存使用数据!$A:$J,10,0),0)+IFERROR(VLOOKUP($A861,[5]库存使用数据!$A:$J,10,0),0)</f>
        <v>0.45</v>
      </c>
      <c r="K861" s="1">
        <f ca="1">IFERROR(VLOOKUP($A861,[1]库存使用数据!$A:$K,11,0),0)+IFERROR(VLOOKUP($A861,[2]库存使用数据!$A:$K,11,0),0)+IFERROR(VLOOKUP($A861,[3]库存使用数据!$A:$K,11,0),0)+IFERROR(VLOOKUP($A861,[4]库存使用数据!$A:$K,11,0),0)+IFERROR(VLOOKUP($A861,[5]库存使用数据!$A:$K,11,0),0)</f>
        <v>162</v>
      </c>
      <c r="L861" s="1">
        <f ca="1">IFERROR(VLOOKUP($A861,[1]库存使用数据!$A:$L,12,0),0)+IFERROR(VLOOKUP($A861,[2]库存使用数据!$A:$L,12,0),0)+IFERROR(VLOOKUP($A861,[3]库存使用数据!$A:$L,12,0),0)+IFERROR(VLOOKUP($A861,[4]库存使用数据!$A:$L,12,0),0)+IFERROR(VLOOKUP($A861,[5]库存使用数据!$A:$L,12,0),0)</f>
        <v>0</v>
      </c>
      <c r="M861" s="1">
        <f ca="1">IFERROR(VLOOKUP($A861,[1]库存使用数据!$A:$M,13,0),0)+IFERROR(VLOOKUP($A861,[2]库存使用数据!$A:$M,13,0),0)+公式!$B$14*IFERROR(VLOOKUP($A861,[3]库存使用数据!$A:$M,13,0),0)+IFERROR(VLOOKUP($A861,[4]库存使用数据!$A:$M,13,0),0)+IFERROR(VLOOKUP($A861,[5]库存使用数据!$A:$M,13,0),0)</f>
        <v>0</v>
      </c>
    </row>
    <row r="862" spans="1:13">
      <c r="A862" s="6" t="s">
        <v>867</v>
      </c>
      <c r="B862" s="2">
        <f ca="1">IFERROR(VLOOKUP(A862,[1]库存使用数据!$A:$B,2,0),0)+IFERROR(VLOOKUP(A862,[2]库存使用数据!$A:$B,2,0),0)+IFERROR(VLOOKUP(,[3]库存使用数据!$A:$B,2,0),0)+IFERROR(VLOOKUP(A862,[4]库存使用数据!$A:$B,2,0),0)+IFERROR(VLOOKUP(A862,[5]库存使用数据!$A:$B,2,0),0)</f>
        <v>206</v>
      </c>
      <c r="C862" s="1">
        <f ca="1">IFERROR(VLOOKUP($A862,[1]库存使用数据!$A:$C,3,0),0)+IFERROR(VLOOKUP($A862,[2]库存使用数据!$A:$C,3,0),0)+IFERROR(VLOOKUP($A862,[3]库存使用数据!$A:$C,3,0),0)+IFERROR(VLOOKUP($A862,[4]库存使用数据!$A:$C,3,0),0)+IFERROR(VLOOKUP($A862,[5]库存使用数据!$A:$C,3,0),0)</f>
        <v>0</v>
      </c>
      <c r="D862" s="1">
        <f ca="1">IFERROR(VLOOKUP($A862,[1]库存使用数据!$A:$D,4,0),0)+IFERROR(VLOOKUP($A862,[2]库存使用数据!$A:$D,4,0),0)+公式!$B$1*IFERROR(VLOOKUP($A862,[3]库存使用数据!$A:$D,4,0),0)+IFERROR(VLOOKUP($A862,[4]库存使用数据!$A:$D,4,0),0)+IFERROR(VLOOKUP($A862,[5]库存使用数据!$A:$D,4,0),0)</f>
        <v>0</v>
      </c>
      <c r="E862" s="1">
        <f ca="1">IFERROR(VLOOKUP($A862,[1]库存使用数据!$A:$E,5,0),0)+IFERROR(VLOOKUP($A862,[2]库存使用数据!$A:$E,5,0),0)+IFERROR(VLOOKUP($A862,[3]库存使用数据!$A:$E,5,0),0)+IFERROR(VLOOKUP($A862,[4]库存使用数据!$A:$E,5,0),0)+IFERROR(VLOOKUP($A862,[5]库存使用数据!$A:$E,5,0),0)</f>
        <v>1560</v>
      </c>
      <c r="F862" s="1">
        <f ca="1">IFERROR(VLOOKUP($A862,[1]库存使用数据!$A:$F,6,0),0)+IFERROR(VLOOKUP($A862,[2]库存使用数据!$A:$F,6,0),0)+IFERROR(VLOOKUP($A862,[4]库存使用数据!$A:$F,6,0),0)+IFERROR(VLOOKUP($A862,[3]库存使用数据!$A:$F,6,0),0)+IFERROR(VLOOKUP($A862,[5]库存使用数据!$A:$F,6,0),0)</f>
        <v>6</v>
      </c>
      <c r="G862" s="1">
        <f ca="1">IFERROR(VLOOKUP($A862,[1]库存使用数据!$A:$G,7,0),0)+IFERROR(VLOOKUP($A862,[2]库存使用数据!$A:$G,7,0),0)+公式!$B$14*IFERROR(VLOOKUP($A862,[3]库存使用数据!$A:$G,7,0),0)+IFERROR(VLOOKUP($A862,[4]库存使用数据!$A:$G,7,0),0)+IFERROR(VLOOKUP($A862,[5]库存使用数据!$A:$G,7,0),0)</f>
        <v>1.41</v>
      </c>
      <c r="H862" s="1">
        <f ca="1">IFERROR(VLOOKUP($A862,[1]库存使用数据!$A:$H,8,0),0)+IFERROR(VLOOKUP($A862,[2]库存使用数据!$A:$H,8,0),0)+IFERROR(VLOOKUP($A862,[3]库存使用数据!$A:$H,8,0),0)+IFERROR(VLOOKUP($A862,[4]库存使用数据!$A:$H,8,0),0)+IFERROR(VLOOKUP($A862,[5]库存使用数据!$A:$H,8,0),0)</f>
        <v>131</v>
      </c>
      <c r="I862" s="1">
        <f ca="1">IFERROR(VLOOKUP($A862,[1]库存使用数据!$A:$I,9,0),0)+IFERROR(VLOOKUP($A862,[2]库存使用数据!$A:$I,9,0),0)+IFERROR(VLOOKUP($A862,[3]库存使用数据!$A:$I,9,0),0)+IFERROR(VLOOKUP($A862,[4]库存使用数据!$A:$I,9,0),0)+IFERROR(VLOOKUP($A862,[5]库存使用数据!$A:$I,9,0),0)</f>
        <v>0</v>
      </c>
      <c r="J862" s="1">
        <f ca="1">IFERROR(VLOOKUP($A862,[1]库存使用数据!$A:$J,10,0),0)+IFERROR(VLOOKUP($A862,[2]库存使用数据!$A:$J,10,0),0)+公式!$B$14*IFERROR(VLOOKUP($A862,[3]库存使用数据!$A:$J,10,0),0)+IFERROR(VLOOKUP($A862,[4]库存使用数据!$A:$J,10,0),0)+IFERROR(VLOOKUP($A862,[5]库存使用数据!$A:$J,10,0),0)</f>
        <v>0</v>
      </c>
      <c r="K862" s="1">
        <f ca="1">IFERROR(VLOOKUP($A862,[1]库存使用数据!$A:$K,11,0),0)+IFERROR(VLOOKUP($A862,[2]库存使用数据!$A:$K,11,0),0)+IFERROR(VLOOKUP($A862,[3]库存使用数据!$A:$K,11,0),0)+IFERROR(VLOOKUP($A862,[4]库存使用数据!$A:$K,11,0),0)+IFERROR(VLOOKUP($A862,[5]库存使用数据!$A:$K,11,0),0)</f>
        <v>217</v>
      </c>
      <c r="L862" s="1">
        <f ca="1">IFERROR(VLOOKUP($A862,[1]库存使用数据!$A:$L,12,0),0)+IFERROR(VLOOKUP($A862,[2]库存使用数据!$A:$L,12,0),0)+IFERROR(VLOOKUP($A862,[3]库存使用数据!$A:$L,12,0),0)+IFERROR(VLOOKUP($A862,[4]库存使用数据!$A:$L,12,0),0)+IFERROR(VLOOKUP($A862,[5]库存使用数据!$A:$L,12,0),0)</f>
        <v>1</v>
      </c>
      <c r="M862" s="1">
        <f ca="1">IFERROR(VLOOKUP($A862,[1]库存使用数据!$A:$M,13,0),0)+IFERROR(VLOOKUP($A862,[2]库存使用数据!$A:$M,13,0),0)+公式!$B$14*IFERROR(VLOOKUP($A862,[3]库存使用数据!$A:$M,13,0),0)+IFERROR(VLOOKUP($A862,[4]库存使用数据!$A:$M,13,0),0)+IFERROR(VLOOKUP($A862,[5]库存使用数据!$A:$M,13,0),0)</f>
        <v>0.28</v>
      </c>
    </row>
    <row r="863" spans="1:13">
      <c r="A863" s="6" t="s">
        <v>868</v>
      </c>
      <c r="B863" s="2">
        <f ca="1">IFERROR(VLOOKUP(A863,[1]库存使用数据!$A:$B,2,0),0)+IFERROR(VLOOKUP(A863,[2]库存使用数据!$A:$B,2,0),0)+IFERROR(VLOOKUP(,[3]库存使用数据!$A:$B,2,0),0)+IFERROR(VLOOKUP(A863,[4]库存使用数据!$A:$B,2,0),0)+IFERROR(VLOOKUP(A863,[5]库存使用数据!$A:$B,2,0),0)</f>
        <v>4390</v>
      </c>
      <c r="C863" s="1">
        <f ca="1">IFERROR(VLOOKUP($A863,[1]库存使用数据!$A:$C,3,0),0)+IFERROR(VLOOKUP($A863,[2]库存使用数据!$A:$C,3,0),0)+IFERROR(VLOOKUP($A863,[3]库存使用数据!$A:$C,3,0),0)+IFERROR(VLOOKUP($A863,[4]库存使用数据!$A:$C,3,0),0)+IFERROR(VLOOKUP($A863,[5]库存使用数据!$A:$C,3,0),0)</f>
        <v>13</v>
      </c>
      <c r="D863" s="1">
        <f ca="1">IFERROR(VLOOKUP($A863,[1]库存使用数据!$A:$D,4,0),0)+IFERROR(VLOOKUP($A863,[2]库存使用数据!$A:$D,4,0),0)+公式!$B$1*IFERROR(VLOOKUP($A863,[3]库存使用数据!$A:$D,4,0),0)+IFERROR(VLOOKUP($A863,[4]库存使用数据!$A:$D,4,0),0)+IFERROR(VLOOKUP($A863,[5]库存使用数据!$A:$D,4,0),0)</f>
        <v>2.98</v>
      </c>
      <c r="E863" s="1">
        <f ca="1">IFERROR(VLOOKUP($A863,[1]库存使用数据!$A:$E,5,0),0)+IFERROR(VLOOKUP($A863,[2]库存使用数据!$A:$E,5,0),0)+IFERROR(VLOOKUP($A863,[3]库存使用数据!$A:$E,5,0),0)+IFERROR(VLOOKUP($A863,[4]库存使用数据!$A:$E,5,0),0)+IFERROR(VLOOKUP($A863,[5]库存使用数据!$A:$E,5,0),0)</f>
        <v>1384</v>
      </c>
      <c r="F863" s="1">
        <f ca="1">IFERROR(VLOOKUP($A863,[1]库存使用数据!$A:$F,6,0),0)+IFERROR(VLOOKUP($A863,[2]库存使用数据!$A:$F,6,0),0)+IFERROR(VLOOKUP($A863,[4]库存使用数据!$A:$F,6,0),0)+IFERROR(VLOOKUP($A863,[3]库存使用数据!$A:$F,6,0),0)+IFERROR(VLOOKUP($A863,[5]库存使用数据!$A:$F,6,0),0)</f>
        <v>5</v>
      </c>
      <c r="G863" s="1">
        <f ca="1">IFERROR(VLOOKUP($A863,[1]库存使用数据!$A:$G,7,0),0)+IFERROR(VLOOKUP($A863,[2]库存使用数据!$A:$G,7,0),0)+公式!$B$14*IFERROR(VLOOKUP($A863,[3]库存使用数据!$A:$G,7,0),0)+IFERROR(VLOOKUP($A863,[4]库存使用数据!$A:$G,7,0),0)+IFERROR(VLOOKUP($A863,[5]库存使用数据!$A:$G,7,0),0)</f>
        <v>1.06</v>
      </c>
      <c r="H863" s="1">
        <f ca="1">IFERROR(VLOOKUP($A863,[1]库存使用数据!$A:$H,8,0),0)+IFERROR(VLOOKUP($A863,[2]库存使用数据!$A:$H,8,0),0)+IFERROR(VLOOKUP($A863,[3]库存使用数据!$A:$H,8,0),0)+IFERROR(VLOOKUP($A863,[4]库存使用数据!$A:$H,8,0),0)+IFERROR(VLOOKUP($A863,[5]库存使用数据!$A:$H,8,0),0)</f>
        <v>342</v>
      </c>
      <c r="I863" s="1">
        <f ca="1">IFERROR(VLOOKUP($A863,[1]库存使用数据!$A:$I,9,0),0)+IFERROR(VLOOKUP($A863,[2]库存使用数据!$A:$I,9,0),0)+IFERROR(VLOOKUP($A863,[3]库存使用数据!$A:$I,9,0),0)+IFERROR(VLOOKUP($A863,[4]库存使用数据!$A:$I,9,0),0)+IFERROR(VLOOKUP($A863,[5]库存使用数据!$A:$I,9,0),0)</f>
        <v>1</v>
      </c>
      <c r="J863" s="1">
        <f ca="1">IFERROR(VLOOKUP($A863,[1]库存使用数据!$A:$J,10,0),0)+IFERROR(VLOOKUP($A863,[2]库存使用数据!$A:$J,10,0),0)+公式!$B$14*IFERROR(VLOOKUP($A863,[3]库存使用数据!$A:$J,10,0),0)+IFERROR(VLOOKUP($A863,[4]库存使用数据!$A:$J,10,0),0)+IFERROR(VLOOKUP($A863,[5]库存使用数据!$A:$J,10,0),0)</f>
        <v>0.07</v>
      </c>
      <c r="K863" s="1">
        <f ca="1">IFERROR(VLOOKUP($A863,[1]库存使用数据!$A:$K,11,0),0)+IFERROR(VLOOKUP($A863,[2]库存使用数据!$A:$K,11,0),0)+IFERROR(VLOOKUP($A863,[3]库存使用数据!$A:$K,11,0),0)+IFERROR(VLOOKUP($A863,[4]库存使用数据!$A:$K,11,0),0)+IFERROR(VLOOKUP($A863,[5]库存使用数据!$A:$K,11,0),0)</f>
        <v>278</v>
      </c>
      <c r="L863" s="1">
        <f ca="1">IFERROR(VLOOKUP($A863,[1]库存使用数据!$A:$L,12,0),0)+IFERROR(VLOOKUP($A863,[2]库存使用数据!$A:$L,12,0),0)+IFERROR(VLOOKUP($A863,[3]库存使用数据!$A:$L,12,0),0)+IFERROR(VLOOKUP($A863,[4]库存使用数据!$A:$L,12,0),0)+IFERROR(VLOOKUP($A863,[5]库存使用数据!$A:$L,12,0),0)</f>
        <v>1</v>
      </c>
      <c r="M863" s="1">
        <f ca="1">IFERROR(VLOOKUP($A863,[1]库存使用数据!$A:$M,13,0),0)+IFERROR(VLOOKUP($A863,[2]库存使用数据!$A:$M,13,0),0)+公式!$B$14*IFERROR(VLOOKUP($A863,[3]库存使用数据!$A:$M,13,0),0)+IFERROR(VLOOKUP($A863,[4]库存使用数据!$A:$M,13,0),0)+IFERROR(VLOOKUP($A863,[5]库存使用数据!$A:$M,13,0),0)</f>
        <v>0.23</v>
      </c>
    </row>
    <row r="864" spans="1:13">
      <c r="A864" s="6" t="s">
        <v>869</v>
      </c>
      <c r="B864" s="2">
        <f ca="1">IFERROR(VLOOKUP(A864,[1]库存使用数据!$A:$B,2,0),0)+IFERROR(VLOOKUP(A864,[2]库存使用数据!$A:$B,2,0),0)+IFERROR(VLOOKUP(,[3]库存使用数据!$A:$B,2,0),0)+IFERROR(VLOOKUP(A864,[4]库存使用数据!$A:$B,2,0),0)+IFERROR(VLOOKUP(A864,[5]库存使用数据!$A:$B,2,0),0)</f>
        <v>0</v>
      </c>
      <c r="C864" s="1">
        <f ca="1">IFERROR(VLOOKUP($A864,[1]库存使用数据!$A:$C,3,0),0)+IFERROR(VLOOKUP($A864,[2]库存使用数据!$A:$C,3,0),0)+IFERROR(VLOOKUP($A864,[3]库存使用数据!$A:$C,3,0),0)+IFERROR(VLOOKUP($A864,[4]库存使用数据!$A:$C,3,0),0)+IFERROR(VLOOKUP($A864,[5]库存使用数据!$A:$C,3,0),0)</f>
        <v>0</v>
      </c>
      <c r="D864" s="1">
        <f ca="1">IFERROR(VLOOKUP($A864,[1]库存使用数据!$A:$D,4,0),0)+IFERROR(VLOOKUP($A864,[2]库存使用数据!$A:$D,4,0),0)+公式!$B$1*IFERROR(VLOOKUP($A864,[3]库存使用数据!$A:$D,4,0),0)+IFERROR(VLOOKUP($A864,[4]库存使用数据!$A:$D,4,0),0)+IFERROR(VLOOKUP($A864,[5]库存使用数据!$A:$D,4,0),0)</f>
        <v>0</v>
      </c>
      <c r="E864" s="1">
        <f ca="1">IFERROR(VLOOKUP($A864,[1]库存使用数据!$A:$E,5,0),0)+IFERROR(VLOOKUP($A864,[2]库存使用数据!$A:$E,5,0),0)+IFERROR(VLOOKUP($A864,[3]库存使用数据!$A:$E,5,0),0)+IFERROR(VLOOKUP($A864,[4]库存使用数据!$A:$E,5,0),0)+IFERROR(VLOOKUP($A864,[5]库存使用数据!$A:$E,5,0),0)</f>
        <v>74</v>
      </c>
      <c r="F864" s="1">
        <f ca="1">IFERROR(VLOOKUP($A864,[1]库存使用数据!$A:$F,6,0),0)+IFERROR(VLOOKUP($A864,[2]库存使用数据!$A:$F,6,0),0)+IFERROR(VLOOKUP($A864,[4]库存使用数据!$A:$F,6,0),0)+IFERROR(VLOOKUP($A864,[3]库存使用数据!$A:$F,6,0),0)+IFERROR(VLOOKUP($A864,[5]库存使用数据!$A:$F,6,0),0)</f>
        <v>0</v>
      </c>
      <c r="G864" s="1">
        <f ca="1">IFERROR(VLOOKUP($A864,[1]库存使用数据!$A:$G,7,0),0)+IFERROR(VLOOKUP($A864,[2]库存使用数据!$A:$G,7,0),0)+公式!$B$14*IFERROR(VLOOKUP($A864,[3]库存使用数据!$A:$G,7,0),0)+IFERROR(VLOOKUP($A864,[4]库存使用数据!$A:$G,7,0),0)+IFERROR(VLOOKUP($A864,[5]库存使用数据!$A:$G,7,0),0)</f>
        <v>0</v>
      </c>
      <c r="H864" s="1">
        <f ca="1">IFERROR(VLOOKUP($A864,[1]库存使用数据!$A:$H,8,0),0)+IFERROR(VLOOKUP($A864,[2]库存使用数据!$A:$H,8,0),0)+IFERROR(VLOOKUP($A864,[3]库存使用数据!$A:$H,8,0),0)+IFERROR(VLOOKUP($A864,[4]库存使用数据!$A:$H,8,0),0)+IFERROR(VLOOKUP($A864,[5]库存使用数据!$A:$H,8,0),0)</f>
        <v>74</v>
      </c>
      <c r="I864" s="1">
        <f ca="1">IFERROR(VLOOKUP($A864,[1]库存使用数据!$A:$I,9,0),0)+IFERROR(VLOOKUP($A864,[2]库存使用数据!$A:$I,9,0),0)+IFERROR(VLOOKUP($A864,[3]库存使用数据!$A:$I,9,0),0)+IFERROR(VLOOKUP($A864,[4]库存使用数据!$A:$I,9,0),0)+IFERROR(VLOOKUP($A864,[5]库存使用数据!$A:$I,9,0),0)</f>
        <v>0</v>
      </c>
      <c r="J864" s="1">
        <f ca="1">IFERROR(VLOOKUP($A864,[1]库存使用数据!$A:$J,10,0),0)+IFERROR(VLOOKUP($A864,[2]库存使用数据!$A:$J,10,0),0)+公式!$B$14*IFERROR(VLOOKUP($A864,[3]库存使用数据!$A:$J,10,0),0)+IFERROR(VLOOKUP($A864,[4]库存使用数据!$A:$J,10,0),0)+IFERROR(VLOOKUP($A864,[5]库存使用数据!$A:$J,10,0),0)</f>
        <v>0</v>
      </c>
      <c r="K864" s="1">
        <f ca="1">IFERROR(VLOOKUP($A864,[1]库存使用数据!$A:$K,11,0),0)+IFERROR(VLOOKUP($A864,[2]库存使用数据!$A:$K,11,0),0)+IFERROR(VLOOKUP($A864,[3]库存使用数据!$A:$K,11,0),0)+IFERROR(VLOOKUP($A864,[4]库存使用数据!$A:$K,11,0),0)+IFERROR(VLOOKUP($A864,[5]库存使用数据!$A:$K,11,0),0)</f>
        <v>295</v>
      </c>
      <c r="L864" s="1">
        <f ca="1">IFERROR(VLOOKUP($A864,[1]库存使用数据!$A:$L,12,0),0)+IFERROR(VLOOKUP($A864,[2]库存使用数据!$A:$L,12,0),0)+IFERROR(VLOOKUP($A864,[3]库存使用数据!$A:$L,12,0),0)+IFERROR(VLOOKUP($A864,[4]库存使用数据!$A:$L,12,0),0)+IFERROR(VLOOKUP($A864,[5]库存使用数据!$A:$L,12,0),0)</f>
        <v>4</v>
      </c>
      <c r="M864" s="1">
        <f ca="1">IFERROR(VLOOKUP($A864,[1]库存使用数据!$A:$M,13,0),0)+IFERROR(VLOOKUP($A864,[2]库存使用数据!$A:$M,13,0),0)+公式!$B$14*IFERROR(VLOOKUP($A864,[3]库存使用数据!$A:$M,13,0),0)+IFERROR(VLOOKUP($A864,[4]库存使用数据!$A:$M,13,0),0)+IFERROR(VLOOKUP($A864,[5]库存使用数据!$A:$M,13,0),0)</f>
        <v>1.07</v>
      </c>
    </row>
    <row r="865" spans="1:13">
      <c r="A865" s="6" t="s">
        <v>870</v>
      </c>
      <c r="B865" s="2">
        <f ca="1">IFERROR(VLOOKUP(A865,[1]库存使用数据!$A:$B,2,0),0)+IFERROR(VLOOKUP(A865,[2]库存使用数据!$A:$B,2,0),0)+IFERROR(VLOOKUP(,[3]库存使用数据!$A:$B,2,0),0)+IFERROR(VLOOKUP(A865,[4]库存使用数据!$A:$B,2,0),0)+IFERROR(VLOOKUP(A865,[5]库存使用数据!$A:$B,2,0),0)</f>
        <v>0</v>
      </c>
      <c r="C865" s="1">
        <f ca="1">IFERROR(VLOOKUP($A865,[1]库存使用数据!$A:$C,3,0),0)+IFERROR(VLOOKUP($A865,[2]库存使用数据!$A:$C,3,0),0)+IFERROR(VLOOKUP($A865,[3]库存使用数据!$A:$C,3,0),0)+IFERROR(VLOOKUP($A865,[4]库存使用数据!$A:$C,3,0),0)+IFERROR(VLOOKUP($A865,[5]库存使用数据!$A:$C,3,0),0)</f>
        <v>0</v>
      </c>
      <c r="D865" s="1">
        <f ca="1">IFERROR(VLOOKUP($A865,[1]库存使用数据!$A:$D,4,0),0)+IFERROR(VLOOKUP($A865,[2]库存使用数据!$A:$D,4,0),0)+公式!$B$1*IFERROR(VLOOKUP($A865,[3]库存使用数据!$A:$D,4,0),0)+IFERROR(VLOOKUP($A865,[4]库存使用数据!$A:$D,4,0),0)+IFERROR(VLOOKUP($A865,[5]库存使用数据!$A:$D,4,0),0)</f>
        <v>0</v>
      </c>
      <c r="E865" s="1">
        <f ca="1">IFERROR(VLOOKUP($A865,[1]库存使用数据!$A:$E,5,0),0)+IFERROR(VLOOKUP($A865,[2]库存使用数据!$A:$E,5,0),0)+IFERROR(VLOOKUP($A865,[3]库存使用数据!$A:$E,5,0),0)+IFERROR(VLOOKUP($A865,[4]库存使用数据!$A:$E,5,0),0)+IFERROR(VLOOKUP($A865,[5]库存使用数据!$A:$E,5,0),0)</f>
        <v>250</v>
      </c>
      <c r="F865" s="1">
        <f ca="1">IFERROR(VLOOKUP($A865,[1]库存使用数据!$A:$F,6,0),0)+IFERROR(VLOOKUP($A865,[2]库存使用数据!$A:$F,6,0),0)+IFERROR(VLOOKUP($A865,[4]库存使用数据!$A:$F,6,0),0)+IFERROR(VLOOKUP($A865,[3]库存使用数据!$A:$F,6,0),0)+IFERROR(VLOOKUP($A865,[5]库存使用数据!$A:$F,6,0),0)</f>
        <v>0</v>
      </c>
      <c r="G865" s="1">
        <f ca="1">IFERROR(VLOOKUP($A865,[1]库存使用数据!$A:$G,7,0),0)+IFERROR(VLOOKUP($A865,[2]库存使用数据!$A:$G,7,0),0)+公式!$B$14*IFERROR(VLOOKUP($A865,[3]库存使用数据!$A:$G,7,0),0)+IFERROR(VLOOKUP($A865,[4]库存使用数据!$A:$G,7,0),0)+IFERROR(VLOOKUP($A865,[5]库存使用数据!$A:$G,7,0),0)</f>
        <v>0</v>
      </c>
      <c r="H865" s="1">
        <f ca="1">IFERROR(VLOOKUP($A865,[1]库存使用数据!$A:$H,8,0),0)+IFERROR(VLOOKUP($A865,[2]库存使用数据!$A:$H,8,0),0)+IFERROR(VLOOKUP($A865,[3]库存使用数据!$A:$H,8,0),0)+IFERROR(VLOOKUP($A865,[4]库存使用数据!$A:$H,8,0),0)+IFERROR(VLOOKUP($A865,[5]库存使用数据!$A:$H,8,0),0)</f>
        <v>213</v>
      </c>
      <c r="I865" s="1">
        <f ca="1">IFERROR(VLOOKUP($A865,[1]库存使用数据!$A:$I,9,0),0)+IFERROR(VLOOKUP($A865,[2]库存使用数据!$A:$I,9,0),0)+IFERROR(VLOOKUP($A865,[3]库存使用数据!$A:$I,9,0),0)+IFERROR(VLOOKUP($A865,[4]库存使用数据!$A:$I,9,0),0)+IFERROR(VLOOKUP($A865,[5]库存使用数据!$A:$I,9,0),0)</f>
        <v>0</v>
      </c>
      <c r="J865" s="1">
        <f ca="1">IFERROR(VLOOKUP($A865,[1]库存使用数据!$A:$J,10,0),0)+IFERROR(VLOOKUP($A865,[2]库存使用数据!$A:$J,10,0),0)+公式!$B$14*IFERROR(VLOOKUP($A865,[3]库存使用数据!$A:$J,10,0),0)+IFERROR(VLOOKUP($A865,[4]库存使用数据!$A:$J,10,0),0)+IFERROR(VLOOKUP($A865,[5]库存使用数据!$A:$J,10,0),0)</f>
        <v>0</v>
      </c>
      <c r="K865" s="1">
        <f ca="1">IFERROR(VLOOKUP($A865,[1]库存使用数据!$A:$K,11,0),0)+IFERROR(VLOOKUP($A865,[2]库存使用数据!$A:$K,11,0),0)+IFERROR(VLOOKUP($A865,[3]库存使用数据!$A:$K,11,0),0)+IFERROR(VLOOKUP($A865,[4]库存使用数据!$A:$K,11,0),0)+IFERROR(VLOOKUP($A865,[5]库存使用数据!$A:$K,11,0),0)</f>
        <v>183</v>
      </c>
      <c r="L865" s="1">
        <f ca="1">IFERROR(VLOOKUP($A865,[1]库存使用数据!$A:$L,12,0),0)+IFERROR(VLOOKUP($A865,[2]库存使用数据!$A:$L,12,0),0)+IFERROR(VLOOKUP($A865,[3]库存使用数据!$A:$L,12,0),0)+IFERROR(VLOOKUP($A865,[4]库存使用数据!$A:$L,12,0),0)+IFERROR(VLOOKUP($A865,[5]库存使用数据!$A:$L,12,0),0)</f>
        <v>2</v>
      </c>
      <c r="M865" s="1">
        <f ca="1">IFERROR(VLOOKUP($A865,[1]库存使用数据!$A:$M,13,0),0)+IFERROR(VLOOKUP($A865,[2]库存使用数据!$A:$M,13,0),0)+公式!$B$14*IFERROR(VLOOKUP($A865,[3]库存使用数据!$A:$M,13,0),0)+IFERROR(VLOOKUP($A865,[4]库存使用数据!$A:$M,13,0),0)+IFERROR(VLOOKUP($A865,[5]库存使用数据!$A:$M,13,0),0)</f>
        <v>0.36</v>
      </c>
    </row>
    <row r="866" spans="1:13">
      <c r="A866" s="6" t="s">
        <v>871</v>
      </c>
      <c r="B866" s="2">
        <f ca="1">IFERROR(VLOOKUP(A866,[1]库存使用数据!$A:$B,2,0),0)+IFERROR(VLOOKUP(A866,[2]库存使用数据!$A:$B,2,0),0)+IFERROR(VLOOKUP(,[3]库存使用数据!$A:$B,2,0),0)+IFERROR(VLOOKUP(A866,[4]库存使用数据!$A:$B,2,0),0)+IFERROR(VLOOKUP(A866,[5]库存使用数据!$A:$B,2,0),0)</f>
        <v>4490</v>
      </c>
      <c r="C866" s="1">
        <f ca="1">IFERROR(VLOOKUP($A866,[1]库存使用数据!$A:$C,3,0),0)+IFERROR(VLOOKUP($A866,[2]库存使用数据!$A:$C,3,0),0)+IFERROR(VLOOKUP($A866,[3]库存使用数据!$A:$C,3,0),0)+IFERROR(VLOOKUP($A866,[4]库存使用数据!$A:$C,3,0),0)+IFERROR(VLOOKUP($A866,[5]库存使用数据!$A:$C,3,0),0)</f>
        <v>10</v>
      </c>
      <c r="D866" s="1">
        <f ca="1">IFERROR(VLOOKUP($A866,[1]库存使用数据!$A:$D,4,0),0)+IFERROR(VLOOKUP($A866,[2]库存使用数据!$A:$D,4,0),0)+公式!$B$1*IFERROR(VLOOKUP($A866,[3]库存使用数据!$A:$D,4,0),0)+IFERROR(VLOOKUP($A866,[4]库存使用数据!$A:$D,4,0),0)+IFERROR(VLOOKUP($A866,[5]库存使用数据!$A:$D,4,0),0)</f>
        <v>2.13</v>
      </c>
      <c r="E866" s="1">
        <f ca="1">IFERROR(VLOOKUP($A866,[1]库存使用数据!$A:$E,5,0),0)+IFERROR(VLOOKUP($A866,[2]库存使用数据!$A:$E,5,0),0)+IFERROR(VLOOKUP($A866,[3]库存使用数据!$A:$E,5,0),0)+IFERROR(VLOOKUP($A866,[4]库存使用数据!$A:$E,5,0),0)+IFERROR(VLOOKUP($A866,[5]库存使用数据!$A:$E,5,0),0)</f>
        <v>475</v>
      </c>
      <c r="F866" s="1">
        <f ca="1">IFERROR(VLOOKUP($A866,[1]库存使用数据!$A:$F,6,0),0)+IFERROR(VLOOKUP($A866,[2]库存使用数据!$A:$F,6,0),0)+IFERROR(VLOOKUP($A866,[4]库存使用数据!$A:$F,6,0),0)+IFERROR(VLOOKUP($A866,[3]库存使用数据!$A:$F,6,0),0)+IFERROR(VLOOKUP($A866,[5]库存使用数据!$A:$F,6,0),0)</f>
        <v>5</v>
      </c>
      <c r="G866" s="1">
        <f ca="1">IFERROR(VLOOKUP($A866,[1]库存使用数据!$A:$G,7,0),0)+IFERROR(VLOOKUP($A866,[2]库存使用数据!$A:$G,7,0),0)+公式!$B$14*IFERROR(VLOOKUP($A866,[3]库存使用数据!$A:$G,7,0),0)+IFERROR(VLOOKUP($A866,[4]库存使用数据!$A:$G,7,0),0)+IFERROR(VLOOKUP($A866,[5]库存使用数据!$A:$G,7,0),0)</f>
        <v>0.94</v>
      </c>
      <c r="H866" s="1">
        <f ca="1">IFERROR(VLOOKUP($A866,[1]库存使用数据!$A:$H,8,0),0)+IFERROR(VLOOKUP($A866,[2]库存使用数据!$A:$H,8,0),0)+IFERROR(VLOOKUP($A866,[3]库存使用数据!$A:$H,8,0),0)+IFERROR(VLOOKUP($A866,[4]库存使用数据!$A:$H,8,0),0)+IFERROR(VLOOKUP($A866,[5]库存使用数据!$A:$H,8,0),0)</f>
        <v>53</v>
      </c>
      <c r="I866" s="1">
        <f ca="1">IFERROR(VLOOKUP($A866,[1]库存使用数据!$A:$I,9,0),0)+IFERROR(VLOOKUP($A866,[2]库存使用数据!$A:$I,9,0),0)+IFERROR(VLOOKUP($A866,[3]库存使用数据!$A:$I,9,0),0)+IFERROR(VLOOKUP($A866,[4]库存使用数据!$A:$I,9,0),0)+IFERROR(VLOOKUP($A866,[5]库存使用数据!$A:$I,9,0),0)</f>
        <v>1</v>
      </c>
      <c r="J866" s="1">
        <f ca="1">IFERROR(VLOOKUP($A866,[1]库存使用数据!$A:$J,10,0),0)+IFERROR(VLOOKUP($A866,[2]库存使用数据!$A:$J,10,0),0)+公式!$B$14*IFERROR(VLOOKUP($A866,[3]库存使用数据!$A:$J,10,0),0)+IFERROR(VLOOKUP($A866,[4]库存使用数据!$A:$J,10,0),0)+IFERROR(VLOOKUP($A866,[5]库存使用数据!$A:$J,10,0),0)</f>
        <v>0.11</v>
      </c>
      <c r="K866" s="1">
        <f ca="1">IFERROR(VLOOKUP($A866,[1]库存使用数据!$A:$K,11,0),0)+IFERROR(VLOOKUP($A866,[2]库存使用数据!$A:$K,11,0),0)+IFERROR(VLOOKUP($A866,[3]库存使用数据!$A:$K,11,0),0)+IFERROR(VLOOKUP($A866,[4]库存使用数据!$A:$K,11,0),0)+IFERROR(VLOOKUP($A866,[5]库存使用数据!$A:$K,11,0),0)</f>
        <v>96</v>
      </c>
      <c r="L866" s="1">
        <f ca="1">IFERROR(VLOOKUP($A866,[1]库存使用数据!$A:$L,12,0),0)+IFERROR(VLOOKUP($A866,[2]库存使用数据!$A:$L,12,0),0)+IFERROR(VLOOKUP($A866,[3]库存使用数据!$A:$L,12,0),0)+IFERROR(VLOOKUP($A866,[4]库存使用数据!$A:$L,12,0),0)+IFERROR(VLOOKUP($A866,[5]库存使用数据!$A:$L,12,0),0)</f>
        <v>0</v>
      </c>
      <c r="M866" s="1">
        <f ca="1">IFERROR(VLOOKUP($A866,[1]库存使用数据!$A:$M,13,0),0)+IFERROR(VLOOKUP($A866,[2]库存使用数据!$A:$M,13,0),0)+公式!$B$14*IFERROR(VLOOKUP($A866,[3]库存使用数据!$A:$M,13,0),0)+IFERROR(VLOOKUP($A866,[4]库存使用数据!$A:$M,13,0),0)+IFERROR(VLOOKUP($A866,[5]库存使用数据!$A:$M,13,0),0)</f>
        <v>0</v>
      </c>
    </row>
    <row r="867" spans="1:13">
      <c r="A867" s="6" t="s">
        <v>872</v>
      </c>
      <c r="B867" s="2">
        <f ca="1">IFERROR(VLOOKUP(A867,[1]库存使用数据!$A:$B,2,0),0)+IFERROR(VLOOKUP(A867,[2]库存使用数据!$A:$B,2,0),0)+IFERROR(VLOOKUP(,[3]库存使用数据!$A:$B,2,0),0)+IFERROR(VLOOKUP(A867,[4]库存使用数据!$A:$B,2,0),0)+IFERROR(VLOOKUP(A867,[5]库存使用数据!$A:$B,2,0),0)</f>
        <v>0</v>
      </c>
      <c r="C867" s="1">
        <f ca="1">IFERROR(VLOOKUP($A867,[1]库存使用数据!$A:$C,3,0),0)+IFERROR(VLOOKUP($A867,[2]库存使用数据!$A:$C,3,0),0)+IFERROR(VLOOKUP($A867,[3]库存使用数据!$A:$C,3,0),0)+IFERROR(VLOOKUP($A867,[4]库存使用数据!$A:$C,3,0),0)+IFERROR(VLOOKUP($A867,[5]库存使用数据!$A:$C,3,0),0)</f>
        <v>0</v>
      </c>
      <c r="D867" s="1">
        <f ca="1">IFERROR(VLOOKUP($A867,[1]库存使用数据!$A:$D,4,0),0)+IFERROR(VLOOKUP($A867,[2]库存使用数据!$A:$D,4,0),0)+公式!$B$1*IFERROR(VLOOKUP($A867,[3]库存使用数据!$A:$D,4,0),0)+IFERROR(VLOOKUP($A867,[4]库存使用数据!$A:$D,4,0),0)+IFERROR(VLOOKUP($A867,[5]库存使用数据!$A:$D,4,0),0)</f>
        <v>0</v>
      </c>
      <c r="E867" s="1">
        <f ca="1">IFERROR(VLOOKUP($A867,[1]库存使用数据!$A:$E,5,0),0)+IFERROR(VLOOKUP($A867,[2]库存使用数据!$A:$E,5,0),0)+IFERROR(VLOOKUP($A867,[3]库存使用数据!$A:$E,5,0),0)+IFERROR(VLOOKUP($A867,[4]库存使用数据!$A:$E,5,0),0)+IFERROR(VLOOKUP($A867,[5]库存使用数据!$A:$E,5,0),0)</f>
        <v>4501</v>
      </c>
      <c r="F867" s="1">
        <f ca="1">IFERROR(VLOOKUP($A867,[1]库存使用数据!$A:$F,6,0),0)+IFERROR(VLOOKUP($A867,[2]库存使用数据!$A:$F,6,0),0)+IFERROR(VLOOKUP($A867,[4]库存使用数据!$A:$F,6,0),0)+IFERROR(VLOOKUP($A867,[3]库存使用数据!$A:$F,6,0),0)+IFERROR(VLOOKUP($A867,[5]库存使用数据!$A:$F,6,0),0)</f>
        <v>34</v>
      </c>
      <c r="G867" s="1">
        <f ca="1">IFERROR(VLOOKUP($A867,[1]库存使用数据!$A:$G,7,0),0)+IFERROR(VLOOKUP($A867,[2]库存使用数据!$A:$G,7,0),0)+公式!$B$14*IFERROR(VLOOKUP($A867,[3]库存使用数据!$A:$G,7,0),0)+IFERROR(VLOOKUP($A867,[4]库存使用数据!$A:$G,7,0),0)+IFERROR(VLOOKUP($A867,[5]库存使用数据!$A:$G,7,0),0)</f>
        <v>9.88</v>
      </c>
      <c r="H867" s="1">
        <f ca="1">IFERROR(VLOOKUP($A867,[1]库存使用数据!$A:$H,8,0),0)+IFERROR(VLOOKUP($A867,[2]库存使用数据!$A:$H,8,0),0)+IFERROR(VLOOKUP($A867,[3]库存使用数据!$A:$H,8,0),0)+IFERROR(VLOOKUP($A867,[4]库存使用数据!$A:$H,8,0),0)+IFERROR(VLOOKUP($A867,[5]库存使用数据!$A:$H,8,0),0)</f>
        <v>679</v>
      </c>
      <c r="I867" s="1">
        <f ca="1">IFERROR(VLOOKUP($A867,[1]库存使用数据!$A:$I,9,0),0)+IFERROR(VLOOKUP($A867,[2]库存使用数据!$A:$I,9,0),0)+IFERROR(VLOOKUP($A867,[3]库存使用数据!$A:$I,9,0),0)+IFERROR(VLOOKUP($A867,[4]库存使用数据!$A:$I,9,0),0)+IFERROR(VLOOKUP($A867,[5]库存使用数据!$A:$I,9,0),0)</f>
        <v>7</v>
      </c>
      <c r="J867" s="1">
        <f ca="1">IFERROR(VLOOKUP($A867,[1]库存使用数据!$A:$J,10,0),0)+IFERROR(VLOOKUP($A867,[2]库存使用数据!$A:$J,10,0),0)+公式!$B$14*IFERROR(VLOOKUP($A867,[3]库存使用数据!$A:$J,10,0),0)+IFERROR(VLOOKUP($A867,[4]库存使用数据!$A:$J,10,0),0)+IFERROR(VLOOKUP($A867,[5]库存使用数据!$A:$J,10,0),0)</f>
        <v>2.19</v>
      </c>
      <c r="K867" s="1">
        <f ca="1">IFERROR(VLOOKUP($A867,[1]库存使用数据!$A:$K,11,0),0)+IFERROR(VLOOKUP($A867,[2]库存使用数据!$A:$K,11,0),0)+IFERROR(VLOOKUP($A867,[3]库存使用数据!$A:$K,11,0),0)+IFERROR(VLOOKUP($A867,[4]库存使用数据!$A:$K,11,0),0)+IFERROR(VLOOKUP($A867,[5]库存使用数据!$A:$K,11,0),0)</f>
        <v>160</v>
      </c>
      <c r="L867" s="1">
        <f ca="1">IFERROR(VLOOKUP($A867,[1]库存使用数据!$A:$L,12,0),0)+IFERROR(VLOOKUP($A867,[2]库存使用数据!$A:$L,12,0),0)+IFERROR(VLOOKUP($A867,[3]库存使用数据!$A:$L,12,0),0)+IFERROR(VLOOKUP($A867,[4]库存使用数据!$A:$L,12,0),0)+IFERROR(VLOOKUP($A867,[5]库存使用数据!$A:$L,12,0),0)</f>
        <v>2</v>
      </c>
      <c r="M867" s="1">
        <f ca="1">IFERROR(VLOOKUP($A867,[1]库存使用数据!$A:$M,13,0),0)+IFERROR(VLOOKUP($A867,[2]库存使用数据!$A:$M,13,0),0)+公式!$B$14*IFERROR(VLOOKUP($A867,[3]库存使用数据!$A:$M,13,0),0)+IFERROR(VLOOKUP($A867,[4]库存使用数据!$A:$M,13,0),0)+IFERROR(VLOOKUP($A867,[5]库存使用数据!$A:$M,13,0),0)</f>
        <v>0.7</v>
      </c>
    </row>
    <row r="868" spans="1:13">
      <c r="A868" s="6" t="s">
        <v>873</v>
      </c>
      <c r="B868" s="2">
        <f ca="1">IFERROR(VLOOKUP(A868,[1]库存使用数据!$A:$B,2,0),0)+IFERROR(VLOOKUP(A868,[2]库存使用数据!$A:$B,2,0),0)+IFERROR(VLOOKUP(,[3]库存使用数据!$A:$B,2,0),0)+IFERROR(VLOOKUP(A868,[4]库存使用数据!$A:$B,2,0),0)+IFERROR(VLOOKUP(A868,[5]库存使用数据!$A:$B,2,0),0)</f>
        <v>126</v>
      </c>
      <c r="C868" s="1">
        <f ca="1">IFERROR(VLOOKUP($A868,[1]库存使用数据!$A:$C,3,0),0)+IFERROR(VLOOKUP($A868,[2]库存使用数据!$A:$C,3,0),0)+IFERROR(VLOOKUP($A868,[3]库存使用数据!$A:$C,3,0),0)+IFERROR(VLOOKUP($A868,[4]库存使用数据!$A:$C,3,0),0)+IFERROR(VLOOKUP($A868,[5]库存使用数据!$A:$C,3,0),0)</f>
        <v>1</v>
      </c>
      <c r="D868" s="1">
        <f ca="1">IFERROR(VLOOKUP($A868,[1]库存使用数据!$A:$D,4,0),0)+IFERROR(VLOOKUP($A868,[2]库存使用数据!$A:$D,4,0),0)+公式!$B$1*IFERROR(VLOOKUP($A868,[3]库存使用数据!$A:$D,4,0),0)+IFERROR(VLOOKUP($A868,[4]库存使用数据!$A:$D,4,0),0)+IFERROR(VLOOKUP($A868,[5]库存使用数据!$A:$D,4,0),0)</f>
        <v>0.25</v>
      </c>
      <c r="E868" s="1">
        <f ca="1">IFERROR(VLOOKUP($A868,[1]库存使用数据!$A:$E,5,0),0)+IFERROR(VLOOKUP($A868,[2]库存使用数据!$A:$E,5,0),0)+IFERROR(VLOOKUP($A868,[3]库存使用数据!$A:$E,5,0),0)+IFERROR(VLOOKUP($A868,[4]库存使用数据!$A:$E,5,0),0)+IFERROR(VLOOKUP($A868,[5]库存使用数据!$A:$E,5,0),0)</f>
        <v>223</v>
      </c>
      <c r="F868" s="1">
        <f ca="1">IFERROR(VLOOKUP($A868,[1]库存使用数据!$A:$F,6,0),0)+IFERROR(VLOOKUP($A868,[2]库存使用数据!$A:$F,6,0),0)+IFERROR(VLOOKUP($A868,[4]库存使用数据!$A:$F,6,0),0)+IFERROR(VLOOKUP($A868,[3]库存使用数据!$A:$F,6,0),0)+IFERROR(VLOOKUP($A868,[5]库存使用数据!$A:$F,6,0),0)</f>
        <v>5</v>
      </c>
      <c r="G868" s="1">
        <f ca="1">IFERROR(VLOOKUP($A868,[1]库存使用数据!$A:$G,7,0),0)+IFERROR(VLOOKUP($A868,[2]库存使用数据!$A:$G,7,0),0)+公式!$B$14*IFERROR(VLOOKUP($A868,[3]库存使用数据!$A:$G,7,0),0)+IFERROR(VLOOKUP($A868,[4]库存使用数据!$A:$G,7,0),0)+IFERROR(VLOOKUP($A868,[5]库存使用数据!$A:$G,7,0),0)</f>
        <v>1.22</v>
      </c>
      <c r="H868" s="1">
        <f ca="1">IFERROR(VLOOKUP($A868,[1]库存使用数据!$A:$H,8,0),0)+IFERROR(VLOOKUP($A868,[2]库存使用数据!$A:$H,8,0),0)+IFERROR(VLOOKUP($A868,[3]库存使用数据!$A:$H,8,0),0)+IFERROR(VLOOKUP($A868,[4]库存使用数据!$A:$H,8,0),0)+IFERROR(VLOOKUP($A868,[5]库存使用数据!$A:$H,8,0),0)</f>
        <v>115</v>
      </c>
      <c r="I868" s="1">
        <f ca="1">IFERROR(VLOOKUP($A868,[1]库存使用数据!$A:$I,9,0),0)+IFERROR(VLOOKUP($A868,[2]库存使用数据!$A:$I,9,0),0)+IFERROR(VLOOKUP($A868,[3]库存使用数据!$A:$I,9,0),0)+IFERROR(VLOOKUP($A868,[4]库存使用数据!$A:$I,9,0),0)+IFERROR(VLOOKUP($A868,[5]库存使用数据!$A:$I,9,0),0)</f>
        <v>2</v>
      </c>
      <c r="J868" s="1">
        <f ca="1">IFERROR(VLOOKUP($A868,[1]库存使用数据!$A:$J,10,0),0)+IFERROR(VLOOKUP($A868,[2]库存使用数据!$A:$J,10,0),0)+公式!$B$14*IFERROR(VLOOKUP($A868,[3]库存使用数据!$A:$J,10,0),0)+IFERROR(VLOOKUP($A868,[4]库存使用数据!$A:$J,10,0),0)+IFERROR(VLOOKUP($A868,[5]库存使用数据!$A:$J,10,0),0)</f>
        <v>0.48</v>
      </c>
      <c r="K868" s="1">
        <f ca="1">IFERROR(VLOOKUP($A868,[1]库存使用数据!$A:$K,11,0),0)+IFERROR(VLOOKUP($A868,[2]库存使用数据!$A:$K,11,0),0)+IFERROR(VLOOKUP($A868,[3]库存使用数据!$A:$K,11,0),0)+IFERROR(VLOOKUP($A868,[4]库存使用数据!$A:$K,11,0),0)+IFERROR(VLOOKUP($A868,[5]库存使用数据!$A:$K,11,0),0)</f>
        <v>246</v>
      </c>
      <c r="L868" s="1">
        <f ca="1">IFERROR(VLOOKUP($A868,[1]库存使用数据!$A:$L,12,0),0)+IFERROR(VLOOKUP($A868,[2]库存使用数据!$A:$L,12,0),0)+IFERROR(VLOOKUP($A868,[3]库存使用数据!$A:$L,12,0),0)+IFERROR(VLOOKUP($A868,[4]库存使用数据!$A:$L,12,0),0)+IFERROR(VLOOKUP($A868,[5]库存使用数据!$A:$L,12,0),0)</f>
        <v>0</v>
      </c>
      <c r="M868" s="1">
        <f ca="1">IFERROR(VLOOKUP($A868,[1]库存使用数据!$A:$M,13,0),0)+IFERROR(VLOOKUP($A868,[2]库存使用数据!$A:$M,13,0),0)+公式!$B$14*IFERROR(VLOOKUP($A868,[3]库存使用数据!$A:$M,13,0),0)+IFERROR(VLOOKUP($A868,[4]库存使用数据!$A:$M,13,0),0)+IFERROR(VLOOKUP($A868,[5]库存使用数据!$A:$M,13,0),0)</f>
        <v>0</v>
      </c>
    </row>
    <row r="869" spans="1:13">
      <c r="A869" s="6" t="s">
        <v>874</v>
      </c>
      <c r="B869" s="2">
        <f ca="1">IFERROR(VLOOKUP(A869,[1]库存使用数据!$A:$B,2,0),0)+IFERROR(VLOOKUP(A869,[2]库存使用数据!$A:$B,2,0),0)+IFERROR(VLOOKUP(,[3]库存使用数据!$A:$B,2,0),0)+IFERROR(VLOOKUP(A869,[4]库存使用数据!$A:$B,2,0),0)+IFERROR(VLOOKUP(A869,[5]库存使用数据!$A:$B,2,0),0)</f>
        <v>0</v>
      </c>
      <c r="C869" s="1">
        <f ca="1">IFERROR(VLOOKUP($A869,[1]库存使用数据!$A:$C,3,0),0)+IFERROR(VLOOKUP($A869,[2]库存使用数据!$A:$C,3,0),0)+IFERROR(VLOOKUP($A869,[3]库存使用数据!$A:$C,3,0),0)+IFERROR(VLOOKUP($A869,[4]库存使用数据!$A:$C,3,0),0)+IFERROR(VLOOKUP($A869,[5]库存使用数据!$A:$C,3,0),0)</f>
        <v>0</v>
      </c>
      <c r="D869" s="1">
        <f ca="1">IFERROR(VLOOKUP($A869,[1]库存使用数据!$A:$D,4,0),0)+IFERROR(VLOOKUP($A869,[2]库存使用数据!$A:$D,4,0),0)+公式!$B$1*IFERROR(VLOOKUP($A869,[3]库存使用数据!$A:$D,4,0),0)+IFERROR(VLOOKUP($A869,[4]库存使用数据!$A:$D,4,0),0)+IFERROR(VLOOKUP($A869,[5]库存使用数据!$A:$D,4,0),0)</f>
        <v>0</v>
      </c>
      <c r="E869" s="1">
        <f ca="1">IFERROR(VLOOKUP($A869,[1]库存使用数据!$A:$E,5,0),0)+IFERROR(VLOOKUP($A869,[2]库存使用数据!$A:$E,5,0),0)+IFERROR(VLOOKUP($A869,[3]库存使用数据!$A:$E,5,0),0)+IFERROR(VLOOKUP($A869,[4]库存使用数据!$A:$E,5,0),0)+IFERROR(VLOOKUP($A869,[5]库存使用数据!$A:$E,5,0),0)</f>
        <v>406</v>
      </c>
      <c r="F869" s="1">
        <f ca="1">IFERROR(VLOOKUP($A869,[1]库存使用数据!$A:$F,6,0),0)+IFERROR(VLOOKUP($A869,[2]库存使用数据!$A:$F,6,0),0)+IFERROR(VLOOKUP($A869,[4]库存使用数据!$A:$F,6,0),0)+IFERROR(VLOOKUP($A869,[3]库存使用数据!$A:$F,6,0),0)+IFERROR(VLOOKUP($A869,[5]库存使用数据!$A:$F,6,0),0)</f>
        <v>4</v>
      </c>
      <c r="G869" s="1">
        <f ca="1">IFERROR(VLOOKUP($A869,[1]库存使用数据!$A:$G,7,0),0)+IFERROR(VLOOKUP($A869,[2]库存使用数据!$A:$G,7,0),0)+公式!$B$14*IFERROR(VLOOKUP($A869,[3]库存使用数据!$A:$G,7,0),0)+IFERROR(VLOOKUP($A869,[4]库存使用数据!$A:$G,7,0),0)+IFERROR(VLOOKUP($A869,[5]库存使用数据!$A:$G,7,0),0)</f>
        <v>0.88</v>
      </c>
      <c r="H869" s="1">
        <f ca="1">IFERROR(VLOOKUP($A869,[1]库存使用数据!$A:$H,8,0),0)+IFERROR(VLOOKUP($A869,[2]库存使用数据!$A:$H,8,0),0)+IFERROR(VLOOKUP($A869,[3]库存使用数据!$A:$H,8,0),0)+IFERROR(VLOOKUP($A869,[4]库存使用数据!$A:$H,8,0),0)+IFERROR(VLOOKUP($A869,[5]库存使用数据!$A:$H,8,0),0)</f>
        <v>268</v>
      </c>
      <c r="I869" s="1">
        <f ca="1">IFERROR(VLOOKUP($A869,[1]库存使用数据!$A:$I,9,0),0)+IFERROR(VLOOKUP($A869,[2]库存使用数据!$A:$I,9,0),0)+IFERROR(VLOOKUP($A869,[3]库存使用数据!$A:$I,9,0),0)+IFERROR(VLOOKUP($A869,[4]库存使用数据!$A:$I,9,0),0)+IFERROR(VLOOKUP($A869,[5]库存使用数据!$A:$I,9,0),0)</f>
        <v>3</v>
      </c>
      <c r="J869" s="1">
        <f ca="1">IFERROR(VLOOKUP($A869,[1]库存使用数据!$A:$J,10,0),0)+IFERROR(VLOOKUP($A869,[2]库存使用数据!$A:$J,10,0),0)+公式!$B$14*IFERROR(VLOOKUP($A869,[3]库存使用数据!$A:$J,10,0),0)+IFERROR(VLOOKUP($A869,[4]库存使用数据!$A:$J,10,0),0)+IFERROR(VLOOKUP($A869,[5]库存使用数据!$A:$J,10,0),0)</f>
        <v>0.77</v>
      </c>
      <c r="K869" s="1">
        <f ca="1">IFERROR(VLOOKUP($A869,[1]库存使用数据!$A:$K,11,0),0)+IFERROR(VLOOKUP($A869,[2]库存使用数据!$A:$K,11,0),0)+IFERROR(VLOOKUP($A869,[3]库存使用数据!$A:$K,11,0),0)+IFERROR(VLOOKUP($A869,[4]库存使用数据!$A:$K,11,0),0)+IFERROR(VLOOKUP($A869,[5]库存使用数据!$A:$K,11,0),0)</f>
        <v>912</v>
      </c>
      <c r="L869" s="1">
        <f ca="1">IFERROR(VLOOKUP($A869,[1]库存使用数据!$A:$L,12,0),0)+IFERROR(VLOOKUP($A869,[2]库存使用数据!$A:$L,12,0),0)+IFERROR(VLOOKUP($A869,[3]库存使用数据!$A:$L,12,0),0)+IFERROR(VLOOKUP($A869,[4]库存使用数据!$A:$L,12,0),0)+IFERROR(VLOOKUP($A869,[5]库存使用数据!$A:$L,12,0),0)</f>
        <v>5</v>
      </c>
      <c r="M869" s="1">
        <f ca="1">IFERROR(VLOOKUP($A869,[1]库存使用数据!$A:$M,13,0),0)+IFERROR(VLOOKUP($A869,[2]库存使用数据!$A:$M,13,0),0)+公式!$B$14*IFERROR(VLOOKUP($A869,[3]库存使用数据!$A:$M,13,0),0)+IFERROR(VLOOKUP($A869,[4]库存使用数据!$A:$M,13,0),0)+IFERROR(VLOOKUP($A869,[5]库存使用数据!$A:$M,13,0),0)</f>
        <v>1.28</v>
      </c>
    </row>
    <row r="870" spans="1:13">
      <c r="A870" s="6" t="s">
        <v>875</v>
      </c>
      <c r="B870" s="2">
        <f ca="1">IFERROR(VLOOKUP(A870,[1]库存使用数据!$A:$B,2,0),0)+IFERROR(VLOOKUP(A870,[2]库存使用数据!$A:$B,2,0),0)+IFERROR(VLOOKUP(,[3]库存使用数据!$A:$B,2,0),0)+IFERROR(VLOOKUP(A870,[4]库存使用数据!$A:$B,2,0),0)+IFERROR(VLOOKUP(A870,[5]库存使用数据!$A:$B,2,0),0)</f>
        <v>0</v>
      </c>
      <c r="C870" s="1">
        <f ca="1">IFERROR(VLOOKUP($A870,[1]库存使用数据!$A:$C,3,0),0)+IFERROR(VLOOKUP($A870,[2]库存使用数据!$A:$C,3,0),0)+IFERROR(VLOOKUP($A870,[3]库存使用数据!$A:$C,3,0),0)+IFERROR(VLOOKUP($A870,[4]库存使用数据!$A:$C,3,0),0)+IFERROR(VLOOKUP($A870,[5]库存使用数据!$A:$C,3,0),0)</f>
        <v>0</v>
      </c>
      <c r="D870" s="1">
        <f ca="1">IFERROR(VLOOKUP($A870,[1]库存使用数据!$A:$D,4,0),0)+IFERROR(VLOOKUP($A870,[2]库存使用数据!$A:$D,4,0),0)+公式!$B$1*IFERROR(VLOOKUP($A870,[3]库存使用数据!$A:$D,4,0),0)+IFERROR(VLOOKUP($A870,[4]库存使用数据!$A:$D,4,0),0)+IFERROR(VLOOKUP($A870,[5]库存使用数据!$A:$D,4,0),0)</f>
        <v>0</v>
      </c>
      <c r="E870" s="1">
        <f ca="1">IFERROR(VLOOKUP($A870,[1]库存使用数据!$A:$E,5,0),0)+IFERROR(VLOOKUP($A870,[2]库存使用数据!$A:$E,5,0),0)+IFERROR(VLOOKUP($A870,[3]库存使用数据!$A:$E,5,0),0)+IFERROR(VLOOKUP($A870,[4]库存使用数据!$A:$E,5,0),0)+IFERROR(VLOOKUP($A870,[5]库存使用数据!$A:$E,5,0),0)</f>
        <v>287</v>
      </c>
      <c r="F870" s="1">
        <f ca="1">IFERROR(VLOOKUP($A870,[1]库存使用数据!$A:$F,6,0),0)+IFERROR(VLOOKUP($A870,[2]库存使用数据!$A:$F,6,0),0)+IFERROR(VLOOKUP($A870,[4]库存使用数据!$A:$F,6,0),0)+IFERROR(VLOOKUP($A870,[3]库存使用数据!$A:$F,6,0),0)+IFERROR(VLOOKUP($A870,[5]库存使用数据!$A:$F,6,0),0)</f>
        <v>3</v>
      </c>
      <c r="G870" s="1">
        <f ca="1">IFERROR(VLOOKUP($A870,[1]库存使用数据!$A:$G,7,0),0)+IFERROR(VLOOKUP($A870,[2]库存使用数据!$A:$G,7,0),0)+公式!$B$14*IFERROR(VLOOKUP($A870,[3]库存使用数据!$A:$G,7,0),0)+IFERROR(VLOOKUP($A870,[4]库存使用数据!$A:$G,7,0),0)+IFERROR(VLOOKUP($A870,[5]库存使用数据!$A:$G,7,0),0)</f>
        <v>0.45</v>
      </c>
      <c r="H870" s="1">
        <f ca="1">IFERROR(VLOOKUP($A870,[1]库存使用数据!$A:$H,8,0),0)+IFERROR(VLOOKUP($A870,[2]库存使用数据!$A:$H,8,0),0)+IFERROR(VLOOKUP($A870,[3]库存使用数据!$A:$H,8,0),0)+IFERROR(VLOOKUP($A870,[4]库存使用数据!$A:$H,8,0),0)+IFERROR(VLOOKUP($A870,[5]库存使用数据!$A:$H,8,0),0)</f>
        <v>268</v>
      </c>
      <c r="I870" s="1">
        <f ca="1">IFERROR(VLOOKUP($A870,[1]库存使用数据!$A:$I,9,0),0)+IFERROR(VLOOKUP($A870,[2]库存使用数据!$A:$I,9,0),0)+IFERROR(VLOOKUP($A870,[3]库存使用数据!$A:$I,9,0),0)+IFERROR(VLOOKUP($A870,[4]库存使用数据!$A:$I,9,0),0)+IFERROR(VLOOKUP($A870,[5]库存使用数据!$A:$I,9,0),0)</f>
        <v>3</v>
      </c>
      <c r="J870" s="1">
        <f ca="1">IFERROR(VLOOKUP($A870,[1]库存使用数据!$A:$J,10,0),0)+IFERROR(VLOOKUP($A870,[2]库存使用数据!$A:$J,10,0),0)+公式!$B$14*IFERROR(VLOOKUP($A870,[3]库存使用数据!$A:$J,10,0),0)+IFERROR(VLOOKUP($A870,[4]库存使用数据!$A:$J,10,0),0)+IFERROR(VLOOKUP($A870,[5]库存使用数据!$A:$J,10,0),0)</f>
        <v>0.45</v>
      </c>
      <c r="K870" s="1">
        <f ca="1">IFERROR(VLOOKUP($A870,[1]库存使用数据!$A:$K,11,0),0)+IFERROR(VLOOKUP($A870,[2]库存使用数据!$A:$K,11,0),0)+IFERROR(VLOOKUP($A870,[3]库存使用数据!$A:$K,11,0),0)+IFERROR(VLOOKUP($A870,[4]库存使用数据!$A:$K,11,0),0)+IFERROR(VLOOKUP($A870,[5]库存使用数据!$A:$K,11,0),0)</f>
        <v>79</v>
      </c>
      <c r="L870" s="1">
        <f ca="1">IFERROR(VLOOKUP($A870,[1]库存使用数据!$A:$L,12,0),0)+IFERROR(VLOOKUP($A870,[2]库存使用数据!$A:$L,12,0),0)+IFERROR(VLOOKUP($A870,[3]库存使用数据!$A:$L,12,0),0)+IFERROR(VLOOKUP($A870,[4]库存使用数据!$A:$L,12,0),0)+IFERROR(VLOOKUP($A870,[5]库存使用数据!$A:$L,12,0),0)</f>
        <v>2</v>
      </c>
      <c r="M870" s="1">
        <f ca="1">IFERROR(VLOOKUP($A870,[1]库存使用数据!$A:$M,13,0),0)+IFERROR(VLOOKUP($A870,[2]库存使用数据!$A:$M,13,0),0)+公式!$B$14*IFERROR(VLOOKUP($A870,[3]库存使用数据!$A:$M,13,0),0)+IFERROR(VLOOKUP($A870,[4]库存使用数据!$A:$M,13,0),0)+IFERROR(VLOOKUP($A870,[5]库存使用数据!$A:$M,13,0),0)</f>
        <v>0.18</v>
      </c>
    </row>
    <row r="871" spans="1:13">
      <c r="A871" s="6" t="s">
        <v>876</v>
      </c>
      <c r="B871" s="2">
        <f ca="1">IFERROR(VLOOKUP(A871,[1]库存使用数据!$A:$B,2,0),0)+IFERROR(VLOOKUP(A871,[2]库存使用数据!$A:$B,2,0),0)+IFERROR(VLOOKUP(,[3]库存使用数据!$A:$B,2,0),0)+IFERROR(VLOOKUP(A871,[4]库存使用数据!$A:$B,2,0),0)+IFERROR(VLOOKUP(A871,[5]库存使用数据!$A:$B,2,0),0)</f>
        <v>762</v>
      </c>
      <c r="C871" s="1">
        <f ca="1">IFERROR(VLOOKUP($A871,[1]库存使用数据!$A:$C,3,0),0)+IFERROR(VLOOKUP($A871,[2]库存使用数据!$A:$C,3,0),0)+IFERROR(VLOOKUP($A871,[3]库存使用数据!$A:$C,3,0),0)+IFERROR(VLOOKUP($A871,[4]库存使用数据!$A:$C,3,0),0)+IFERROR(VLOOKUP($A871,[5]库存使用数据!$A:$C,3,0),0)</f>
        <v>9</v>
      </c>
      <c r="D871" s="1">
        <f ca="1">IFERROR(VLOOKUP($A871,[1]库存使用数据!$A:$D,4,0),0)+IFERROR(VLOOKUP($A871,[2]库存使用数据!$A:$D,4,0),0)+公式!$B$1*IFERROR(VLOOKUP($A871,[3]库存使用数据!$A:$D,4,0),0)+IFERROR(VLOOKUP($A871,[4]库存使用数据!$A:$D,4,0),0)+IFERROR(VLOOKUP($A871,[5]库存使用数据!$A:$D,4,0),0)</f>
        <v>1.01</v>
      </c>
      <c r="E871" s="1">
        <f ca="1">IFERROR(VLOOKUP($A871,[1]库存使用数据!$A:$E,5,0),0)+IFERROR(VLOOKUP($A871,[2]库存使用数据!$A:$E,5,0),0)+IFERROR(VLOOKUP($A871,[3]库存使用数据!$A:$E,5,0),0)+IFERROR(VLOOKUP($A871,[4]库存使用数据!$A:$E,5,0),0)+IFERROR(VLOOKUP($A871,[5]库存使用数据!$A:$E,5,0),0)</f>
        <v>1088</v>
      </c>
      <c r="F871" s="1">
        <f ca="1">IFERROR(VLOOKUP($A871,[1]库存使用数据!$A:$F,6,0),0)+IFERROR(VLOOKUP($A871,[2]库存使用数据!$A:$F,6,0),0)+IFERROR(VLOOKUP($A871,[4]库存使用数据!$A:$F,6,0),0)+IFERROR(VLOOKUP($A871,[3]库存使用数据!$A:$F,6,0),0)+IFERROR(VLOOKUP($A871,[5]库存使用数据!$A:$F,6,0),0)</f>
        <v>11</v>
      </c>
      <c r="G871" s="1">
        <f ca="1">IFERROR(VLOOKUP($A871,[1]库存使用数据!$A:$G,7,0),0)+IFERROR(VLOOKUP($A871,[2]库存使用数据!$A:$G,7,0),0)+公式!$B$14*IFERROR(VLOOKUP($A871,[3]库存使用数据!$A:$G,7,0),0)+IFERROR(VLOOKUP($A871,[4]库存使用数据!$A:$G,7,0),0)+IFERROR(VLOOKUP($A871,[5]库存使用数据!$A:$G,7,0),0)</f>
        <v>1.19</v>
      </c>
      <c r="H871" s="1">
        <f ca="1">IFERROR(VLOOKUP($A871,[1]库存使用数据!$A:$H,8,0),0)+IFERROR(VLOOKUP($A871,[2]库存使用数据!$A:$H,8,0),0)+IFERROR(VLOOKUP($A871,[3]库存使用数据!$A:$H,8,0),0)+IFERROR(VLOOKUP($A871,[4]库存使用数据!$A:$H,8,0),0)+IFERROR(VLOOKUP($A871,[5]库存使用数据!$A:$H,8,0),0)</f>
        <v>495</v>
      </c>
      <c r="I871" s="1">
        <f ca="1">IFERROR(VLOOKUP($A871,[1]库存使用数据!$A:$I,9,0),0)+IFERROR(VLOOKUP($A871,[2]库存使用数据!$A:$I,9,0),0)+IFERROR(VLOOKUP($A871,[3]库存使用数据!$A:$I,9,0),0)+IFERROR(VLOOKUP($A871,[4]库存使用数据!$A:$I,9,0),0)+IFERROR(VLOOKUP($A871,[5]库存使用数据!$A:$I,9,0),0)</f>
        <v>6</v>
      </c>
      <c r="J871" s="1">
        <f ca="1">IFERROR(VLOOKUP($A871,[1]库存使用数据!$A:$J,10,0),0)+IFERROR(VLOOKUP($A871,[2]库存使用数据!$A:$J,10,0),0)+公式!$B$14*IFERROR(VLOOKUP($A871,[3]库存使用数据!$A:$J,10,0),0)+IFERROR(VLOOKUP($A871,[4]库存使用数据!$A:$J,10,0),0)+IFERROR(VLOOKUP($A871,[5]库存使用数据!$A:$J,10,0),0)</f>
        <v>0.66</v>
      </c>
      <c r="K871" s="1">
        <f ca="1">IFERROR(VLOOKUP($A871,[1]库存使用数据!$A:$K,11,0),0)+IFERROR(VLOOKUP($A871,[2]库存使用数据!$A:$K,11,0),0)+IFERROR(VLOOKUP($A871,[3]库存使用数据!$A:$K,11,0),0)+IFERROR(VLOOKUP($A871,[4]库存使用数据!$A:$K,11,0),0)+IFERROR(VLOOKUP($A871,[5]库存使用数据!$A:$K,11,0),0)</f>
        <v>65</v>
      </c>
      <c r="L871" s="1">
        <f ca="1">IFERROR(VLOOKUP($A871,[1]库存使用数据!$A:$L,12,0),0)+IFERROR(VLOOKUP($A871,[2]库存使用数据!$A:$L,12,0),0)+IFERROR(VLOOKUP($A871,[3]库存使用数据!$A:$L,12,0),0)+IFERROR(VLOOKUP($A871,[4]库存使用数据!$A:$L,12,0),0)+IFERROR(VLOOKUP($A871,[5]库存使用数据!$A:$L,12,0),0)</f>
        <v>3</v>
      </c>
      <c r="M871" s="1">
        <f ca="1">IFERROR(VLOOKUP($A871,[1]库存使用数据!$A:$M,13,0),0)+IFERROR(VLOOKUP($A871,[2]库存使用数据!$A:$M,13,0),0)+公式!$B$14*IFERROR(VLOOKUP($A871,[3]库存使用数据!$A:$M,13,0),0)+IFERROR(VLOOKUP($A871,[4]库存使用数据!$A:$M,13,0),0)+IFERROR(VLOOKUP($A871,[5]库存使用数据!$A:$M,13,0),0)</f>
        <v>0.31</v>
      </c>
    </row>
    <row r="872" spans="1:13">
      <c r="A872" s="6" t="s">
        <v>877</v>
      </c>
      <c r="B872" s="2">
        <f ca="1">IFERROR(VLOOKUP(A872,[1]库存使用数据!$A:$B,2,0),0)+IFERROR(VLOOKUP(A872,[2]库存使用数据!$A:$B,2,0),0)+IFERROR(VLOOKUP(,[3]库存使用数据!$A:$B,2,0),0)+IFERROR(VLOOKUP(A872,[4]库存使用数据!$A:$B,2,0),0)+IFERROR(VLOOKUP(A872,[5]库存使用数据!$A:$B,2,0),0)</f>
        <v>187</v>
      </c>
      <c r="C872" s="1">
        <f ca="1">IFERROR(VLOOKUP($A872,[1]库存使用数据!$A:$C,3,0),0)+IFERROR(VLOOKUP($A872,[2]库存使用数据!$A:$C,3,0),0)+IFERROR(VLOOKUP($A872,[3]库存使用数据!$A:$C,3,0),0)+IFERROR(VLOOKUP($A872,[4]库存使用数据!$A:$C,3,0),0)+IFERROR(VLOOKUP($A872,[5]库存使用数据!$A:$C,3,0),0)</f>
        <v>1</v>
      </c>
      <c r="D872" s="1">
        <f ca="1">IFERROR(VLOOKUP($A872,[1]库存使用数据!$A:$D,4,0),0)+IFERROR(VLOOKUP($A872,[2]库存使用数据!$A:$D,4,0),0)+公式!$B$1*IFERROR(VLOOKUP($A872,[3]库存使用数据!$A:$D,4,0),0)+IFERROR(VLOOKUP($A872,[4]库存使用数据!$A:$D,4,0),0)+IFERROR(VLOOKUP($A872,[5]库存使用数据!$A:$D,4,0),0)</f>
        <v>0.06</v>
      </c>
      <c r="E872" s="1">
        <f ca="1">IFERROR(VLOOKUP($A872,[1]库存使用数据!$A:$E,5,0),0)+IFERROR(VLOOKUP($A872,[2]库存使用数据!$A:$E,5,0),0)+IFERROR(VLOOKUP($A872,[3]库存使用数据!$A:$E,5,0),0)+IFERROR(VLOOKUP($A872,[4]库存使用数据!$A:$E,5,0),0)+IFERROR(VLOOKUP($A872,[5]库存使用数据!$A:$E,5,0),0)</f>
        <v>8</v>
      </c>
      <c r="F872" s="1">
        <f ca="1">IFERROR(VLOOKUP($A872,[1]库存使用数据!$A:$F,6,0),0)+IFERROR(VLOOKUP($A872,[2]库存使用数据!$A:$F,6,0),0)+IFERROR(VLOOKUP($A872,[4]库存使用数据!$A:$F,6,0),0)+IFERROR(VLOOKUP($A872,[3]库存使用数据!$A:$F,6,0),0)+IFERROR(VLOOKUP($A872,[5]库存使用数据!$A:$F,6,0),0)</f>
        <v>0</v>
      </c>
      <c r="G872" s="1">
        <f ca="1">IFERROR(VLOOKUP($A872,[1]库存使用数据!$A:$G,7,0),0)+IFERROR(VLOOKUP($A872,[2]库存使用数据!$A:$G,7,0),0)+公式!$B$14*IFERROR(VLOOKUP($A872,[3]库存使用数据!$A:$G,7,0),0)+IFERROR(VLOOKUP($A872,[4]库存使用数据!$A:$G,7,0),0)+IFERROR(VLOOKUP($A872,[5]库存使用数据!$A:$G,7,0),0)</f>
        <v>0</v>
      </c>
      <c r="H872" s="1">
        <f ca="1">IFERROR(VLOOKUP($A872,[1]库存使用数据!$A:$H,8,0),0)+IFERROR(VLOOKUP($A872,[2]库存使用数据!$A:$H,8,0),0)+IFERROR(VLOOKUP($A872,[3]库存使用数据!$A:$H,8,0),0)+IFERROR(VLOOKUP($A872,[4]库存使用数据!$A:$H,8,0),0)+IFERROR(VLOOKUP($A872,[5]库存使用数据!$A:$H,8,0),0)</f>
        <v>4</v>
      </c>
      <c r="I872" s="1">
        <f ca="1">IFERROR(VLOOKUP($A872,[1]库存使用数据!$A:$I,9,0),0)+IFERROR(VLOOKUP($A872,[2]库存使用数据!$A:$I,9,0),0)+IFERROR(VLOOKUP($A872,[3]库存使用数据!$A:$I,9,0),0)+IFERROR(VLOOKUP($A872,[4]库存使用数据!$A:$I,9,0),0)+IFERROR(VLOOKUP($A872,[5]库存使用数据!$A:$I,9,0),0)</f>
        <v>0</v>
      </c>
      <c r="J872" s="1">
        <f ca="1">IFERROR(VLOOKUP($A872,[1]库存使用数据!$A:$J,10,0),0)+IFERROR(VLOOKUP($A872,[2]库存使用数据!$A:$J,10,0),0)+公式!$B$14*IFERROR(VLOOKUP($A872,[3]库存使用数据!$A:$J,10,0),0)+IFERROR(VLOOKUP($A872,[4]库存使用数据!$A:$J,10,0),0)+IFERROR(VLOOKUP($A872,[5]库存使用数据!$A:$J,10,0),0)</f>
        <v>0</v>
      </c>
      <c r="K872" s="1">
        <f ca="1">IFERROR(VLOOKUP($A872,[1]库存使用数据!$A:$K,11,0),0)+IFERROR(VLOOKUP($A872,[2]库存使用数据!$A:$K,11,0),0)+IFERROR(VLOOKUP($A872,[3]库存使用数据!$A:$K,11,0),0)+IFERROR(VLOOKUP($A872,[4]库存使用数据!$A:$K,11,0),0)+IFERROR(VLOOKUP($A872,[5]库存使用数据!$A:$K,11,0),0)</f>
        <v>8</v>
      </c>
      <c r="L872" s="1">
        <f ca="1">IFERROR(VLOOKUP($A872,[1]库存使用数据!$A:$L,12,0),0)+IFERROR(VLOOKUP($A872,[2]库存使用数据!$A:$L,12,0),0)+IFERROR(VLOOKUP($A872,[3]库存使用数据!$A:$L,12,0),0)+IFERROR(VLOOKUP($A872,[4]库存使用数据!$A:$L,12,0),0)+IFERROR(VLOOKUP($A872,[5]库存使用数据!$A:$L,12,0),0)</f>
        <v>0</v>
      </c>
      <c r="M872" s="1">
        <f ca="1">IFERROR(VLOOKUP($A872,[1]库存使用数据!$A:$M,13,0),0)+IFERROR(VLOOKUP($A872,[2]库存使用数据!$A:$M,13,0),0)+公式!$B$14*IFERROR(VLOOKUP($A872,[3]库存使用数据!$A:$M,13,0),0)+IFERROR(VLOOKUP($A872,[4]库存使用数据!$A:$M,13,0),0)+IFERROR(VLOOKUP($A872,[5]库存使用数据!$A:$M,13,0),0)</f>
        <v>0</v>
      </c>
    </row>
    <row r="873" spans="1:13">
      <c r="A873" s="6" t="s">
        <v>878</v>
      </c>
      <c r="B873" s="2">
        <f ca="1">IFERROR(VLOOKUP(A873,[1]库存使用数据!$A:$B,2,0),0)+IFERROR(VLOOKUP(A873,[2]库存使用数据!$A:$B,2,0),0)+IFERROR(VLOOKUP(,[3]库存使用数据!$A:$B,2,0),0)+IFERROR(VLOOKUP(A873,[4]库存使用数据!$A:$B,2,0),0)+IFERROR(VLOOKUP(A873,[5]库存使用数据!$A:$B,2,0),0)</f>
        <v>27</v>
      </c>
      <c r="C873" s="1">
        <f ca="1">IFERROR(VLOOKUP($A873,[1]库存使用数据!$A:$C,3,0),0)+IFERROR(VLOOKUP($A873,[2]库存使用数据!$A:$C,3,0),0)+IFERROR(VLOOKUP($A873,[3]库存使用数据!$A:$C,3,0),0)+IFERROR(VLOOKUP($A873,[4]库存使用数据!$A:$C,3,0),0)+IFERROR(VLOOKUP($A873,[5]库存使用数据!$A:$C,3,0),0)</f>
        <v>1</v>
      </c>
      <c r="D873" s="1">
        <f ca="1">IFERROR(VLOOKUP($A873,[1]库存使用数据!$A:$D,4,0),0)+IFERROR(VLOOKUP($A873,[2]库存使用数据!$A:$D,4,0),0)+公式!$B$1*IFERROR(VLOOKUP($A873,[3]库存使用数据!$A:$D,4,0),0)+IFERROR(VLOOKUP($A873,[4]库存使用数据!$A:$D,4,0),0)+IFERROR(VLOOKUP($A873,[5]库存使用数据!$A:$D,4,0),0)</f>
        <v>0.1</v>
      </c>
      <c r="E873" s="1">
        <f ca="1">IFERROR(VLOOKUP($A873,[1]库存使用数据!$A:$E,5,0),0)+IFERROR(VLOOKUP($A873,[2]库存使用数据!$A:$E,5,0),0)+IFERROR(VLOOKUP($A873,[3]库存使用数据!$A:$E,5,0),0)+IFERROR(VLOOKUP($A873,[4]库存使用数据!$A:$E,5,0),0)+IFERROR(VLOOKUP($A873,[5]库存使用数据!$A:$E,5,0),0)</f>
        <v>229</v>
      </c>
      <c r="F873" s="1">
        <f ca="1">IFERROR(VLOOKUP($A873,[1]库存使用数据!$A:$F,6,0),0)+IFERROR(VLOOKUP($A873,[2]库存使用数据!$A:$F,6,0),0)+IFERROR(VLOOKUP($A873,[4]库存使用数据!$A:$F,6,0),0)+IFERROR(VLOOKUP($A873,[3]库存使用数据!$A:$F,6,0),0)+IFERROR(VLOOKUP($A873,[5]库存使用数据!$A:$F,6,0),0)</f>
        <v>0</v>
      </c>
      <c r="G873" s="1">
        <f ca="1">IFERROR(VLOOKUP($A873,[1]库存使用数据!$A:$G,7,0),0)+IFERROR(VLOOKUP($A873,[2]库存使用数据!$A:$G,7,0),0)+公式!$B$14*IFERROR(VLOOKUP($A873,[3]库存使用数据!$A:$G,7,0),0)+IFERROR(VLOOKUP($A873,[4]库存使用数据!$A:$G,7,0),0)+IFERROR(VLOOKUP($A873,[5]库存使用数据!$A:$G,7,0),0)</f>
        <v>0</v>
      </c>
      <c r="H873" s="1">
        <f ca="1">IFERROR(VLOOKUP($A873,[1]库存使用数据!$A:$H,8,0),0)+IFERROR(VLOOKUP($A873,[2]库存使用数据!$A:$H,8,0),0)+IFERROR(VLOOKUP($A873,[3]库存使用数据!$A:$H,8,0),0)+IFERROR(VLOOKUP($A873,[4]库存使用数据!$A:$H,8,0),0)+IFERROR(VLOOKUP($A873,[5]库存使用数据!$A:$H,8,0),0)</f>
        <v>0</v>
      </c>
      <c r="I873" s="1">
        <f ca="1">IFERROR(VLOOKUP($A873,[1]库存使用数据!$A:$I,9,0),0)+IFERROR(VLOOKUP($A873,[2]库存使用数据!$A:$I,9,0),0)+IFERROR(VLOOKUP($A873,[3]库存使用数据!$A:$I,9,0),0)+IFERROR(VLOOKUP($A873,[4]库存使用数据!$A:$I,9,0),0)+IFERROR(VLOOKUP($A873,[5]库存使用数据!$A:$I,9,0),0)</f>
        <v>0</v>
      </c>
      <c r="J873" s="1">
        <f ca="1">IFERROR(VLOOKUP($A873,[1]库存使用数据!$A:$J,10,0),0)+IFERROR(VLOOKUP($A873,[2]库存使用数据!$A:$J,10,0),0)+公式!$B$14*IFERROR(VLOOKUP($A873,[3]库存使用数据!$A:$J,10,0),0)+IFERROR(VLOOKUP($A873,[4]库存使用数据!$A:$J,10,0),0)+IFERROR(VLOOKUP($A873,[5]库存使用数据!$A:$J,10,0),0)</f>
        <v>0</v>
      </c>
      <c r="K873" s="1">
        <f ca="1">IFERROR(VLOOKUP($A873,[1]库存使用数据!$A:$K,11,0),0)+IFERROR(VLOOKUP($A873,[2]库存使用数据!$A:$K,11,0),0)+IFERROR(VLOOKUP($A873,[3]库存使用数据!$A:$K,11,0),0)+IFERROR(VLOOKUP($A873,[4]库存使用数据!$A:$K,11,0),0)+IFERROR(VLOOKUP($A873,[5]库存使用数据!$A:$K,11,0),0)</f>
        <v>6</v>
      </c>
      <c r="L873" s="1">
        <f ca="1">IFERROR(VLOOKUP($A873,[1]库存使用数据!$A:$L,12,0),0)+IFERROR(VLOOKUP($A873,[2]库存使用数据!$A:$L,12,0),0)+IFERROR(VLOOKUP($A873,[3]库存使用数据!$A:$L,12,0),0)+IFERROR(VLOOKUP($A873,[4]库存使用数据!$A:$L,12,0),0)+IFERROR(VLOOKUP($A873,[5]库存使用数据!$A:$L,12,0),0)</f>
        <v>0</v>
      </c>
      <c r="M873" s="1">
        <f ca="1">IFERROR(VLOOKUP($A873,[1]库存使用数据!$A:$M,13,0),0)+IFERROR(VLOOKUP($A873,[2]库存使用数据!$A:$M,13,0),0)+公式!$B$14*IFERROR(VLOOKUP($A873,[3]库存使用数据!$A:$M,13,0),0)+IFERROR(VLOOKUP($A873,[4]库存使用数据!$A:$M,13,0),0)+IFERROR(VLOOKUP($A873,[5]库存使用数据!$A:$M,13,0),0)</f>
        <v>0</v>
      </c>
    </row>
    <row r="874" spans="1:13">
      <c r="A874" s="6" t="s">
        <v>879</v>
      </c>
      <c r="B874" s="2">
        <f ca="1">IFERROR(VLOOKUP(A874,[1]库存使用数据!$A:$B,2,0),0)+IFERROR(VLOOKUP(A874,[2]库存使用数据!$A:$B,2,0),0)+IFERROR(VLOOKUP(,[3]库存使用数据!$A:$B,2,0),0)+IFERROR(VLOOKUP(A874,[4]库存使用数据!$A:$B,2,0),0)+IFERROR(VLOOKUP(A874,[5]库存使用数据!$A:$B,2,0),0)</f>
        <v>111</v>
      </c>
      <c r="C874" s="1">
        <f ca="1">IFERROR(VLOOKUP($A874,[1]库存使用数据!$A:$C,3,0),0)+IFERROR(VLOOKUP($A874,[2]库存使用数据!$A:$C,3,0),0)+IFERROR(VLOOKUP($A874,[3]库存使用数据!$A:$C,3,0),0)+IFERROR(VLOOKUP($A874,[4]库存使用数据!$A:$C,3,0),0)+IFERROR(VLOOKUP($A874,[5]库存使用数据!$A:$C,3,0),0)</f>
        <v>0</v>
      </c>
      <c r="D874" s="1">
        <f ca="1">IFERROR(VLOOKUP($A874,[1]库存使用数据!$A:$D,4,0),0)+IFERROR(VLOOKUP($A874,[2]库存使用数据!$A:$D,4,0),0)+公式!$B$1*IFERROR(VLOOKUP($A874,[3]库存使用数据!$A:$D,4,0),0)+IFERROR(VLOOKUP($A874,[4]库存使用数据!$A:$D,4,0),0)+IFERROR(VLOOKUP($A874,[5]库存使用数据!$A:$D,4,0),0)</f>
        <v>0</v>
      </c>
      <c r="E874" s="1">
        <f ca="1">IFERROR(VLOOKUP($A874,[1]库存使用数据!$A:$E,5,0),0)+IFERROR(VLOOKUP($A874,[2]库存使用数据!$A:$E,5,0),0)+IFERROR(VLOOKUP($A874,[3]库存使用数据!$A:$E,5,0),0)+IFERROR(VLOOKUP($A874,[4]库存使用数据!$A:$E,5,0),0)+IFERROR(VLOOKUP($A874,[5]库存使用数据!$A:$E,5,0),0)</f>
        <v>101</v>
      </c>
      <c r="F874" s="1">
        <f ca="1">IFERROR(VLOOKUP($A874,[1]库存使用数据!$A:$F,6,0),0)+IFERROR(VLOOKUP($A874,[2]库存使用数据!$A:$F,6,0),0)+IFERROR(VLOOKUP($A874,[4]库存使用数据!$A:$F,6,0),0)+IFERROR(VLOOKUP($A874,[3]库存使用数据!$A:$F,6,0),0)+IFERROR(VLOOKUP($A874,[5]库存使用数据!$A:$F,6,0),0)</f>
        <v>3</v>
      </c>
      <c r="G874" s="1">
        <f ca="1">IFERROR(VLOOKUP($A874,[1]库存使用数据!$A:$G,7,0),0)+IFERROR(VLOOKUP($A874,[2]库存使用数据!$A:$G,7,0),0)+公式!$B$14*IFERROR(VLOOKUP($A874,[3]库存使用数据!$A:$G,7,0),0)+IFERROR(VLOOKUP($A874,[4]库存使用数据!$A:$G,7,0),0)+IFERROR(VLOOKUP($A874,[5]库存使用数据!$A:$G,7,0),0)</f>
        <v>0.38</v>
      </c>
      <c r="H874" s="1">
        <f ca="1">IFERROR(VLOOKUP($A874,[1]库存使用数据!$A:$H,8,0),0)+IFERROR(VLOOKUP($A874,[2]库存使用数据!$A:$H,8,0),0)+IFERROR(VLOOKUP($A874,[3]库存使用数据!$A:$H,8,0),0)+IFERROR(VLOOKUP($A874,[4]库存使用数据!$A:$H,8,0),0)+IFERROR(VLOOKUP($A874,[5]库存使用数据!$A:$H,8,0),0)</f>
        <v>27</v>
      </c>
      <c r="I874" s="1">
        <f ca="1">IFERROR(VLOOKUP($A874,[1]库存使用数据!$A:$I,9,0),0)+IFERROR(VLOOKUP($A874,[2]库存使用数据!$A:$I,9,0),0)+IFERROR(VLOOKUP($A874,[3]库存使用数据!$A:$I,9,0),0)+IFERROR(VLOOKUP($A874,[4]库存使用数据!$A:$I,9,0),0)+IFERROR(VLOOKUP($A874,[5]库存使用数据!$A:$I,9,0),0)</f>
        <v>1</v>
      </c>
      <c r="J874" s="1">
        <f ca="1">IFERROR(VLOOKUP($A874,[1]库存使用数据!$A:$J,10,0),0)+IFERROR(VLOOKUP($A874,[2]库存使用数据!$A:$J,10,0),0)+公式!$B$14*IFERROR(VLOOKUP($A874,[3]库存使用数据!$A:$J,10,0),0)+IFERROR(VLOOKUP($A874,[4]库存使用数据!$A:$J,10,0),0)+IFERROR(VLOOKUP($A874,[5]库存使用数据!$A:$J,10,0),0)</f>
        <v>0.15</v>
      </c>
      <c r="K874" s="1">
        <f ca="1">IFERROR(VLOOKUP($A874,[1]库存使用数据!$A:$K,11,0),0)+IFERROR(VLOOKUP($A874,[2]库存使用数据!$A:$K,11,0),0)+IFERROR(VLOOKUP($A874,[3]库存使用数据!$A:$K,11,0),0)+IFERROR(VLOOKUP($A874,[4]库存使用数据!$A:$K,11,0),0)+IFERROR(VLOOKUP($A874,[5]库存使用数据!$A:$K,11,0),0)</f>
        <v>48</v>
      </c>
      <c r="L874" s="1">
        <f ca="1">IFERROR(VLOOKUP($A874,[1]库存使用数据!$A:$L,12,0),0)+IFERROR(VLOOKUP($A874,[2]库存使用数据!$A:$L,12,0),0)+IFERROR(VLOOKUP($A874,[3]库存使用数据!$A:$L,12,0),0)+IFERROR(VLOOKUP($A874,[4]库存使用数据!$A:$L,12,0),0)+IFERROR(VLOOKUP($A874,[5]库存使用数据!$A:$L,12,0),0)</f>
        <v>1</v>
      </c>
      <c r="M874" s="1">
        <f ca="1">IFERROR(VLOOKUP($A874,[1]库存使用数据!$A:$M,13,0),0)+IFERROR(VLOOKUP($A874,[2]库存使用数据!$A:$M,13,0),0)+公式!$B$14*IFERROR(VLOOKUP($A874,[3]库存使用数据!$A:$M,13,0),0)+IFERROR(VLOOKUP($A874,[4]库存使用数据!$A:$M,13,0),0)+IFERROR(VLOOKUP($A874,[5]库存使用数据!$A:$M,13,0),0)</f>
        <v>0.02</v>
      </c>
    </row>
    <row r="875" spans="1:13">
      <c r="A875" s="6" t="s">
        <v>880</v>
      </c>
      <c r="B875" s="2">
        <f ca="1">IFERROR(VLOOKUP(A875,[1]库存使用数据!$A:$B,2,0),0)+IFERROR(VLOOKUP(A875,[2]库存使用数据!$A:$B,2,0),0)+IFERROR(VLOOKUP(,[3]库存使用数据!$A:$B,2,0),0)+IFERROR(VLOOKUP(A875,[4]库存使用数据!$A:$B,2,0),0)+IFERROR(VLOOKUP(A875,[5]库存使用数据!$A:$B,2,0),0)</f>
        <v>493</v>
      </c>
      <c r="C875" s="1">
        <f ca="1">IFERROR(VLOOKUP($A875,[1]库存使用数据!$A:$C,3,0),0)+IFERROR(VLOOKUP($A875,[2]库存使用数据!$A:$C,3,0),0)+IFERROR(VLOOKUP($A875,[3]库存使用数据!$A:$C,3,0),0)+IFERROR(VLOOKUP($A875,[4]库存使用数据!$A:$C,3,0),0)+IFERROR(VLOOKUP($A875,[5]库存使用数据!$A:$C,3,0),0)</f>
        <v>2</v>
      </c>
      <c r="D875" s="1">
        <f ca="1">IFERROR(VLOOKUP($A875,[1]库存使用数据!$A:$D,4,0),0)+IFERROR(VLOOKUP($A875,[2]库存使用数据!$A:$D,4,0),0)+公式!$B$1*IFERROR(VLOOKUP($A875,[3]库存使用数据!$A:$D,4,0),0)+IFERROR(VLOOKUP($A875,[4]库存使用数据!$A:$D,4,0),0)+IFERROR(VLOOKUP($A875,[5]库存使用数据!$A:$D,4,0),0)</f>
        <v>0.25</v>
      </c>
      <c r="E875" s="1">
        <f ca="1">IFERROR(VLOOKUP($A875,[1]库存使用数据!$A:$E,5,0),0)+IFERROR(VLOOKUP($A875,[2]库存使用数据!$A:$E,5,0),0)+IFERROR(VLOOKUP($A875,[3]库存使用数据!$A:$E,5,0),0)+IFERROR(VLOOKUP($A875,[4]库存使用数据!$A:$E,5,0),0)+IFERROR(VLOOKUP($A875,[5]库存使用数据!$A:$E,5,0),0)</f>
        <v>53</v>
      </c>
      <c r="F875" s="1">
        <f ca="1">IFERROR(VLOOKUP($A875,[1]库存使用数据!$A:$F,6,0),0)+IFERROR(VLOOKUP($A875,[2]库存使用数据!$A:$F,6,0),0)+IFERROR(VLOOKUP($A875,[4]库存使用数据!$A:$F,6,0),0)+IFERROR(VLOOKUP($A875,[3]库存使用数据!$A:$F,6,0),0)+IFERROR(VLOOKUP($A875,[5]库存使用数据!$A:$F,6,0),0)</f>
        <v>0</v>
      </c>
      <c r="G875" s="1">
        <f ca="1">IFERROR(VLOOKUP($A875,[1]库存使用数据!$A:$G,7,0),0)+IFERROR(VLOOKUP($A875,[2]库存使用数据!$A:$G,7,0),0)+公式!$B$14*IFERROR(VLOOKUP($A875,[3]库存使用数据!$A:$G,7,0),0)+IFERROR(VLOOKUP($A875,[4]库存使用数据!$A:$G,7,0),0)+IFERROR(VLOOKUP($A875,[5]库存使用数据!$A:$G,7,0),0)</f>
        <v>0</v>
      </c>
      <c r="H875" s="1">
        <f ca="1">IFERROR(VLOOKUP($A875,[1]库存使用数据!$A:$H,8,0),0)+IFERROR(VLOOKUP($A875,[2]库存使用数据!$A:$H,8,0),0)+IFERROR(VLOOKUP($A875,[3]库存使用数据!$A:$H,8,0),0)+IFERROR(VLOOKUP($A875,[4]库存使用数据!$A:$H,8,0),0)+IFERROR(VLOOKUP($A875,[5]库存使用数据!$A:$H,8,0),0)</f>
        <v>3</v>
      </c>
      <c r="I875" s="1">
        <f ca="1">IFERROR(VLOOKUP($A875,[1]库存使用数据!$A:$I,9,0),0)+IFERROR(VLOOKUP($A875,[2]库存使用数据!$A:$I,9,0),0)+IFERROR(VLOOKUP($A875,[3]库存使用数据!$A:$I,9,0),0)+IFERROR(VLOOKUP($A875,[4]库存使用数据!$A:$I,9,0),0)+IFERROR(VLOOKUP($A875,[5]库存使用数据!$A:$I,9,0),0)</f>
        <v>0</v>
      </c>
      <c r="J875" s="1">
        <f ca="1">IFERROR(VLOOKUP($A875,[1]库存使用数据!$A:$J,10,0),0)+IFERROR(VLOOKUP($A875,[2]库存使用数据!$A:$J,10,0),0)+公式!$B$14*IFERROR(VLOOKUP($A875,[3]库存使用数据!$A:$J,10,0),0)+IFERROR(VLOOKUP($A875,[4]库存使用数据!$A:$J,10,0),0)+IFERROR(VLOOKUP($A875,[5]库存使用数据!$A:$J,10,0),0)</f>
        <v>0</v>
      </c>
      <c r="K875" s="1">
        <f ca="1">IFERROR(VLOOKUP($A875,[1]库存使用数据!$A:$K,11,0),0)+IFERROR(VLOOKUP($A875,[2]库存使用数据!$A:$K,11,0),0)+IFERROR(VLOOKUP($A875,[3]库存使用数据!$A:$K,11,0),0)+IFERROR(VLOOKUP($A875,[4]库存使用数据!$A:$K,11,0),0)+IFERROR(VLOOKUP($A875,[5]库存使用数据!$A:$K,11,0),0)</f>
        <v>12</v>
      </c>
      <c r="L875" s="1">
        <f ca="1">IFERROR(VLOOKUP($A875,[1]库存使用数据!$A:$L,12,0),0)+IFERROR(VLOOKUP($A875,[2]库存使用数据!$A:$L,12,0),0)+IFERROR(VLOOKUP($A875,[3]库存使用数据!$A:$L,12,0),0)+IFERROR(VLOOKUP($A875,[4]库存使用数据!$A:$L,12,0),0)+IFERROR(VLOOKUP($A875,[5]库存使用数据!$A:$L,12,0),0)</f>
        <v>0</v>
      </c>
      <c r="M875" s="1">
        <f ca="1">IFERROR(VLOOKUP($A875,[1]库存使用数据!$A:$M,13,0),0)+IFERROR(VLOOKUP($A875,[2]库存使用数据!$A:$M,13,0),0)+公式!$B$14*IFERROR(VLOOKUP($A875,[3]库存使用数据!$A:$M,13,0),0)+IFERROR(VLOOKUP($A875,[4]库存使用数据!$A:$M,13,0),0)+IFERROR(VLOOKUP($A875,[5]库存使用数据!$A:$M,13,0),0)</f>
        <v>0</v>
      </c>
    </row>
    <row r="876" spans="1:13">
      <c r="A876" s="6" t="s">
        <v>881</v>
      </c>
      <c r="B876" s="2">
        <f ca="1">IFERROR(VLOOKUP(A876,[1]库存使用数据!$A:$B,2,0),0)+IFERROR(VLOOKUP(A876,[2]库存使用数据!$A:$B,2,0),0)+IFERROR(VLOOKUP(,[3]库存使用数据!$A:$B,2,0),0)+IFERROR(VLOOKUP(A876,[4]库存使用数据!$A:$B,2,0),0)+IFERROR(VLOOKUP(A876,[5]库存使用数据!$A:$B,2,0),0)</f>
        <v>218</v>
      </c>
      <c r="C876" s="1">
        <f ca="1">IFERROR(VLOOKUP($A876,[1]库存使用数据!$A:$C,3,0),0)+IFERROR(VLOOKUP($A876,[2]库存使用数据!$A:$C,3,0),0)+IFERROR(VLOOKUP($A876,[3]库存使用数据!$A:$C,3,0),0)+IFERROR(VLOOKUP($A876,[4]库存使用数据!$A:$C,3,0),0)+IFERROR(VLOOKUP($A876,[5]库存使用数据!$A:$C,3,0),0)</f>
        <v>3</v>
      </c>
      <c r="D876" s="1">
        <f ca="1">IFERROR(VLOOKUP($A876,[1]库存使用数据!$A:$D,4,0),0)+IFERROR(VLOOKUP($A876,[2]库存使用数据!$A:$D,4,0),0)+公式!$B$1*IFERROR(VLOOKUP($A876,[3]库存使用数据!$A:$D,4,0),0)+IFERROR(VLOOKUP($A876,[4]库存使用数据!$A:$D,4,0),0)+IFERROR(VLOOKUP($A876,[5]库存使用数据!$A:$D,4,0),0)</f>
        <v>0.3</v>
      </c>
      <c r="E876" s="1">
        <f ca="1">IFERROR(VLOOKUP($A876,[1]库存使用数据!$A:$E,5,0),0)+IFERROR(VLOOKUP($A876,[2]库存使用数据!$A:$E,5,0),0)+IFERROR(VLOOKUP($A876,[3]库存使用数据!$A:$E,5,0),0)+IFERROR(VLOOKUP($A876,[4]库存使用数据!$A:$E,5,0),0)+IFERROR(VLOOKUP($A876,[5]库存使用数据!$A:$E,5,0),0)</f>
        <v>40</v>
      </c>
      <c r="F876" s="1">
        <f ca="1">IFERROR(VLOOKUP($A876,[1]库存使用数据!$A:$F,6,0),0)+IFERROR(VLOOKUP($A876,[2]库存使用数据!$A:$F,6,0),0)+IFERROR(VLOOKUP($A876,[4]库存使用数据!$A:$F,6,0),0)+IFERROR(VLOOKUP($A876,[3]库存使用数据!$A:$F,6,0),0)+IFERROR(VLOOKUP($A876,[5]库存使用数据!$A:$F,6,0),0)</f>
        <v>2</v>
      </c>
      <c r="G876" s="1">
        <f ca="1">IFERROR(VLOOKUP($A876,[1]库存使用数据!$A:$G,7,0),0)+IFERROR(VLOOKUP($A876,[2]库存使用数据!$A:$G,7,0),0)+公式!$B$14*IFERROR(VLOOKUP($A876,[3]库存使用数据!$A:$G,7,0),0)+IFERROR(VLOOKUP($A876,[4]库存使用数据!$A:$G,7,0),0)+IFERROR(VLOOKUP($A876,[5]库存使用数据!$A:$G,7,0),0)</f>
        <v>0.19</v>
      </c>
      <c r="H876" s="1">
        <f ca="1">IFERROR(VLOOKUP($A876,[1]库存使用数据!$A:$H,8,0),0)+IFERROR(VLOOKUP($A876,[2]库存使用数据!$A:$H,8,0),0)+IFERROR(VLOOKUP($A876,[3]库存使用数据!$A:$H,8,0),0)+IFERROR(VLOOKUP($A876,[4]库存使用数据!$A:$H,8,0),0)+IFERROR(VLOOKUP($A876,[5]库存使用数据!$A:$H,8,0),0)</f>
        <v>10</v>
      </c>
      <c r="I876" s="1">
        <f ca="1">IFERROR(VLOOKUP($A876,[1]库存使用数据!$A:$I,9,0),0)+IFERROR(VLOOKUP($A876,[2]库存使用数据!$A:$I,9,0),0)+IFERROR(VLOOKUP($A876,[3]库存使用数据!$A:$I,9,0),0)+IFERROR(VLOOKUP($A876,[4]库存使用数据!$A:$I,9,0),0)+IFERROR(VLOOKUP($A876,[5]库存使用数据!$A:$I,9,0),0)</f>
        <v>2</v>
      </c>
      <c r="J876" s="1">
        <f ca="1">IFERROR(VLOOKUP($A876,[1]库存使用数据!$A:$J,10,0),0)+IFERROR(VLOOKUP($A876,[2]库存使用数据!$A:$J,10,0),0)+公式!$B$14*IFERROR(VLOOKUP($A876,[3]库存使用数据!$A:$J,10,0),0)+IFERROR(VLOOKUP($A876,[4]库存使用数据!$A:$J,10,0),0)+IFERROR(VLOOKUP($A876,[5]库存使用数据!$A:$J,10,0),0)</f>
        <v>0.19</v>
      </c>
      <c r="K876" s="1">
        <f ca="1">IFERROR(VLOOKUP($A876,[1]库存使用数据!$A:$K,11,0),0)+IFERROR(VLOOKUP($A876,[2]库存使用数据!$A:$K,11,0),0)+IFERROR(VLOOKUP($A876,[3]库存使用数据!$A:$K,11,0),0)+IFERROR(VLOOKUP($A876,[4]库存使用数据!$A:$K,11,0),0)+IFERROR(VLOOKUP($A876,[5]库存使用数据!$A:$K,11,0),0)</f>
        <v>6</v>
      </c>
      <c r="L876" s="1">
        <f ca="1">IFERROR(VLOOKUP($A876,[1]库存使用数据!$A:$L,12,0),0)+IFERROR(VLOOKUP($A876,[2]库存使用数据!$A:$L,12,0),0)+IFERROR(VLOOKUP($A876,[3]库存使用数据!$A:$L,12,0),0)+IFERROR(VLOOKUP($A876,[4]库存使用数据!$A:$L,12,0),0)+IFERROR(VLOOKUP($A876,[5]库存使用数据!$A:$L,12,0),0)</f>
        <v>0</v>
      </c>
      <c r="M876" s="1">
        <f ca="1">IFERROR(VLOOKUP($A876,[1]库存使用数据!$A:$M,13,0),0)+IFERROR(VLOOKUP($A876,[2]库存使用数据!$A:$M,13,0),0)+公式!$B$14*IFERROR(VLOOKUP($A876,[3]库存使用数据!$A:$M,13,0),0)+IFERROR(VLOOKUP($A876,[4]库存使用数据!$A:$M,13,0),0)+IFERROR(VLOOKUP($A876,[5]库存使用数据!$A:$M,13,0),0)</f>
        <v>0</v>
      </c>
    </row>
    <row r="877" spans="1:13">
      <c r="A877" s="6" t="s">
        <v>882</v>
      </c>
      <c r="B877" s="2">
        <f ca="1">IFERROR(VLOOKUP(A877,[1]库存使用数据!$A:$B,2,0),0)+IFERROR(VLOOKUP(A877,[2]库存使用数据!$A:$B,2,0),0)+IFERROR(VLOOKUP(,[3]库存使用数据!$A:$B,2,0),0)+IFERROR(VLOOKUP(A877,[4]库存使用数据!$A:$B,2,0),0)+IFERROR(VLOOKUP(A877,[5]库存使用数据!$A:$B,2,0),0)</f>
        <v>929</v>
      </c>
      <c r="C877" s="1">
        <f ca="1">IFERROR(VLOOKUP($A877,[1]库存使用数据!$A:$C,3,0),0)+IFERROR(VLOOKUP($A877,[2]库存使用数据!$A:$C,3,0),0)+IFERROR(VLOOKUP($A877,[3]库存使用数据!$A:$C,3,0),0)+IFERROR(VLOOKUP($A877,[4]库存使用数据!$A:$C,3,0),0)+IFERROR(VLOOKUP($A877,[5]库存使用数据!$A:$C,3,0),0)</f>
        <v>0</v>
      </c>
      <c r="D877" s="1">
        <f ca="1">IFERROR(VLOOKUP($A877,[1]库存使用数据!$A:$D,4,0),0)+IFERROR(VLOOKUP($A877,[2]库存使用数据!$A:$D,4,0),0)+公式!$B$1*IFERROR(VLOOKUP($A877,[3]库存使用数据!$A:$D,4,0),0)+IFERROR(VLOOKUP($A877,[4]库存使用数据!$A:$D,4,0),0)+IFERROR(VLOOKUP($A877,[5]库存使用数据!$A:$D,4,0),0)</f>
        <v>0</v>
      </c>
      <c r="E877" s="1">
        <f ca="1">IFERROR(VLOOKUP($A877,[1]库存使用数据!$A:$E,5,0),0)+IFERROR(VLOOKUP($A877,[2]库存使用数据!$A:$E,5,0),0)+IFERROR(VLOOKUP($A877,[3]库存使用数据!$A:$E,5,0),0)+IFERROR(VLOOKUP($A877,[4]库存使用数据!$A:$E,5,0),0)+IFERROR(VLOOKUP($A877,[5]库存使用数据!$A:$E,5,0),0)</f>
        <v>958</v>
      </c>
      <c r="F877" s="1">
        <f ca="1">IFERROR(VLOOKUP($A877,[1]库存使用数据!$A:$F,6,0),0)+IFERROR(VLOOKUP($A877,[2]库存使用数据!$A:$F,6,0),0)+IFERROR(VLOOKUP($A877,[4]库存使用数据!$A:$F,6,0),0)+IFERROR(VLOOKUP($A877,[3]库存使用数据!$A:$F,6,0),0)+IFERROR(VLOOKUP($A877,[5]库存使用数据!$A:$F,6,0),0)</f>
        <v>3</v>
      </c>
      <c r="G877" s="1">
        <f ca="1">IFERROR(VLOOKUP($A877,[1]库存使用数据!$A:$G,7,0),0)+IFERROR(VLOOKUP($A877,[2]库存使用数据!$A:$G,7,0),0)+公式!$B$14*IFERROR(VLOOKUP($A877,[3]库存使用数据!$A:$G,7,0),0)+IFERROR(VLOOKUP($A877,[4]库存使用数据!$A:$G,7,0),0)+IFERROR(VLOOKUP($A877,[5]库存使用数据!$A:$G,7,0),0)</f>
        <v>0.29</v>
      </c>
      <c r="H877" s="1">
        <f ca="1">IFERROR(VLOOKUP($A877,[1]库存使用数据!$A:$H,8,0),0)+IFERROR(VLOOKUP($A877,[2]库存使用数据!$A:$H,8,0),0)+IFERROR(VLOOKUP($A877,[3]库存使用数据!$A:$H,8,0),0)+IFERROR(VLOOKUP($A877,[4]库存使用数据!$A:$H,8,0),0)+IFERROR(VLOOKUP($A877,[5]库存使用数据!$A:$H,8,0),0)</f>
        <v>88</v>
      </c>
      <c r="I877" s="1">
        <f ca="1">IFERROR(VLOOKUP($A877,[1]库存使用数据!$A:$I,9,0),0)+IFERROR(VLOOKUP($A877,[2]库存使用数据!$A:$I,9,0),0)+IFERROR(VLOOKUP($A877,[3]库存使用数据!$A:$I,9,0),0)+IFERROR(VLOOKUP($A877,[4]库存使用数据!$A:$I,9,0),0)+IFERROR(VLOOKUP($A877,[5]库存使用数据!$A:$I,9,0),0)</f>
        <v>0</v>
      </c>
      <c r="J877" s="1">
        <f ca="1">IFERROR(VLOOKUP($A877,[1]库存使用数据!$A:$J,10,0),0)+IFERROR(VLOOKUP($A877,[2]库存使用数据!$A:$J,10,0),0)+公式!$B$14*IFERROR(VLOOKUP($A877,[3]库存使用数据!$A:$J,10,0),0)+IFERROR(VLOOKUP($A877,[4]库存使用数据!$A:$J,10,0),0)+IFERROR(VLOOKUP($A877,[5]库存使用数据!$A:$J,10,0),0)</f>
        <v>0</v>
      </c>
      <c r="K877" s="1">
        <f ca="1">IFERROR(VLOOKUP($A877,[1]库存使用数据!$A:$K,11,0),0)+IFERROR(VLOOKUP($A877,[2]库存使用数据!$A:$K,11,0),0)+IFERROR(VLOOKUP($A877,[3]库存使用数据!$A:$K,11,0),0)+IFERROR(VLOOKUP($A877,[4]库存使用数据!$A:$K,11,0),0)+IFERROR(VLOOKUP($A877,[5]库存使用数据!$A:$K,11,0),0)</f>
        <v>107</v>
      </c>
      <c r="L877" s="1">
        <f ca="1">IFERROR(VLOOKUP($A877,[1]库存使用数据!$A:$L,12,0),0)+IFERROR(VLOOKUP($A877,[2]库存使用数据!$A:$L,12,0),0)+IFERROR(VLOOKUP($A877,[3]库存使用数据!$A:$L,12,0),0)+IFERROR(VLOOKUP($A877,[4]库存使用数据!$A:$L,12,0),0)+IFERROR(VLOOKUP($A877,[5]库存使用数据!$A:$L,12,0),0)</f>
        <v>3</v>
      </c>
      <c r="M877" s="1">
        <f ca="1">IFERROR(VLOOKUP($A877,[1]库存使用数据!$A:$M,13,0),0)+IFERROR(VLOOKUP($A877,[2]库存使用数据!$A:$M,13,0),0)+公式!$B$14*IFERROR(VLOOKUP($A877,[3]库存使用数据!$A:$M,13,0),0)+IFERROR(VLOOKUP($A877,[4]库存使用数据!$A:$M,13,0),0)+IFERROR(VLOOKUP($A877,[5]库存使用数据!$A:$M,13,0),0)</f>
        <v>0.35</v>
      </c>
    </row>
    <row r="878" spans="1:13">
      <c r="A878" s="6" t="s">
        <v>883</v>
      </c>
      <c r="B878" s="2">
        <f ca="1">IFERROR(VLOOKUP(A878,[1]库存使用数据!$A:$B,2,0),0)+IFERROR(VLOOKUP(A878,[2]库存使用数据!$A:$B,2,0),0)+IFERROR(VLOOKUP(,[3]库存使用数据!$A:$B,2,0),0)+IFERROR(VLOOKUP(A878,[4]库存使用数据!$A:$B,2,0),0)+IFERROR(VLOOKUP(A878,[5]库存使用数据!$A:$B,2,0),0)</f>
        <v>535</v>
      </c>
      <c r="C878" s="1">
        <f ca="1">IFERROR(VLOOKUP($A878,[1]库存使用数据!$A:$C,3,0),0)+IFERROR(VLOOKUP($A878,[2]库存使用数据!$A:$C,3,0),0)+IFERROR(VLOOKUP($A878,[3]库存使用数据!$A:$C,3,0),0)+IFERROR(VLOOKUP($A878,[4]库存使用数据!$A:$C,3,0),0)+IFERROR(VLOOKUP($A878,[5]库存使用数据!$A:$C,3,0),0)</f>
        <v>5</v>
      </c>
      <c r="D878" s="1">
        <f ca="1">IFERROR(VLOOKUP($A878,[1]库存使用数据!$A:$D,4,0),0)+IFERROR(VLOOKUP($A878,[2]库存使用数据!$A:$D,4,0),0)+公式!$B$1*IFERROR(VLOOKUP($A878,[3]库存使用数据!$A:$D,4,0),0)+IFERROR(VLOOKUP($A878,[4]库存使用数据!$A:$D,4,0),0)+IFERROR(VLOOKUP($A878,[5]库存使用数据!$A:$D,4,0),0)</f>
        <v>0.5</v>
      </c>
      <c r="E878" s="1">
        <f ca="1">IFERROR(VLOOKUP($A878,[1]库存使用数据!$A:$E,5,0),0)+IFERROR(VLOOKUP($A878,[2]库存使用数据!$A:$E,5,0),0)+IFERROR(VLOOKUP($A878,[3]库存使用数据!$A:$E,5,0),0)+IFERROR(VLOOKUP($A878,[4]库存使用数据!$A:$E,5,0),0)+IFERROR(VLOOKUP($A878,[5]库存使用数据!$A:$E,5,0),0)</f>
        <v>175</v>
      </c>
      <c r="F878" s="1">
        <f ca="1">IFERROR(VLOOKUP($A878,[1]库存使用数据!$A:$F,6,0),0)+IFERROR(VLOOKUP($A878,[2]库存使用数据!$A:$F,6,0),0)+IFERROR(VLOOKUP($A878,[4]库存使用数据!$A:$F,6,0),0)+IFERROR(VLOOKUP($A878,[3]库存使用数据!$A:$F,6,0),0)+IFERROR(VLOOKUP($A878,[5]库存使用数据!$A:$F,6,0),0)</f>
        <v>0</v>
      </c>
      <c r="G878" s="1">
        <f ca="1">IFERROR(VLOOKUP($A878,[1]库存使用数据!$A:$G,7,0),0)+IFERROR(VLOOKUP($A878,[2]库存使用数据!$A:$G,7,0),0)+公式!$B$14*IFERROR(VLOOKUP($A878,[3]库存使用数据!$A:$G,7,0),0)+IFERROR(VLOOKUP($A878,[4]库存使用数据!$A:$G,7,0),0)+IFERROR(VLOOKUP($A878,[5]库存使用数据!$A:$G,7,0),0)</f>
        <v>0</v>
      </c>
      <c r="H878" s="1">
        <f ca="1">IFERROR(VLOOKUP($A878,[1]库存使用数据!$A:$H,8,0),0)+IFERROR(VLOOKUP($A878,[2]库存使用数据!$A:$H,8,0),0)+IFERROR(VLOOKUP($A878,[3]库存使用数据!$A:$H,8,0),0)+IFERROR(VLOOKUP($A878,[4]库存使用数据!$A:$H,8,0),0)+IFERROR(VLOOKUP($A878,[5]库存使用数据!$A:$H,8,0),0)</f>
        <v>30</v>
      </c>
      <c r="I878" s="1">
        <f ca="1">IFERROR(VLOOKUP($A878,[1]库存使用数据!$A:$I,9,0),0)+IFERROR(VLOOKUP($A878,[2]库存使用数据!$A:$I,9,0),0)+IFERROR(VLOOKUP($A878,[3]库存使用数据!$A:$I,9,0),0)+IFERROR(VLOOKUP($A878,[4]库存使用数据!$A:$I,9,0),0)+IFERROR(VLOOKUP($A878,[5]库存使用数据!$A:$I,9,0),0)</f>
        <v>0</v>
      </c>
      <c r="J878" s="1">
        <f ca="1">IFERROR(VLOOKUP($A878,[1]库存使用数据!$A:$J,10,0),0)+IFERROR(VLOOKUP($A878,[2]库存使用数据!$A:$J,10,0),0)+公式!$B$14*IFERROR(VLOOKUP($A878,[3]库存使用数据!$A:$J,10,0),0)+IFERROR(VLOOKUP($A878,[4]库存使用数据!$A:$J,10,0),0)+IFERROR(VLOOKUP($A878,[5]库存使用数据!$A:$J,10,0),0)</f>
        <v>0</v>
      </c>
      <c r="K878" s="1">
        <f ca="1">IFERROR(VLOOKUP($A878,[1]库存使用数据!$A:$K,11,0),0)+IFERROR(VLOOKUP($A878,[2]库存使用数据!$A:$K,11,0),0)+IFERROR(VLOOKUP($A878,[3]库存使用数据!$A:$K,11,0),0)+IFERROR(VLOOKUP($A878,[4]库存使用数据!$A:$K,11,0),0)+IFERROR(VLOOKUP($A878,[5]库存使用数据!$A:$K,11,0),0)</f>
        <v>38</v>
      </c>
      <c r="L878" s="1">
        <f ca="1">IFERROR(VLOOKUP($A878,[1]库存使用数据!$A:$L,12,0),0)+IFERROR(VLOOKUP($A878,[2]库存使用数据!$A:$L,12,0),0)+IFERROR(VLOOKUP($A878,[3]库存使用数据!$A:$L,12,0),0)+IFERROR(VLOOKUP($A878,[4]库存使用数据!$A:$L,12,0),0)+IFERROR(VLOOKUP($A878,[5]库存使用数据!$A:$L,12,0),0)</f>
        <v>0</v>
      </c>
      <c r="M878" s="1">
        <f ca="1">IFERROR(VLOOKUP($A878,[1]库存使用数据!$A:$M,13,0),0)+IFERROR(VLOOKUP($A878,[2]库存使用数据!$A:$M,13,0),0)+公式!$B$14*IFERROR(VLOOKUP($A878,[3]库存使用数据!$A:$M,13,0),0)+IFERROR(VLOOKUP($A878,[4]库存使用数据!$A:$M,13,0),0)+IFERROR(VLOOKUP($A878,[5]库存使用数据!$A:$M,13,0),0)</f>
        <v>0</v>
      </c>
    </row>
    <row r="879" spans="1:13">
      <c r="A879" s="6" t="s">
        <v>884</v>
      </c>
      <c r="B879" s="2">
        <f ca="1">IFERROR(VLOOKUP(A879,[1]库存使用数据!$A:$B,2,0),0)+IFERROR(VLOOKUP(A879,[2]库存使用数据!$A:$B,2,0),0)+IFERROR(VLOOKUP(,[3]库存使用数据!$A:$B,2,0),0)+IFERROR(VLOOKUP(A879,[4]库存使用数据!$A:$B,2,0),0)+IFERROR(VLOOKUP(A879,[5]库存使用数据!$A:$B,2,0),0)</f>
        <v>0</v>
      </c>
      <c r="C879" s="1">
        <f ca="1">IFERROR(VLOOKUP($A879,[1]库存使用数据!$A:$C,3,0),0)+IFERROR(VLOOKUP($A879,[2]库存使用数据!$A:$C,3,0),0)+IFERROR(VLOOKUP($A879,[3]库存使用数据!$A:$C,3,0),0)+IFERROR(VLOOKUP($A879,[4]库存使用数据!$A:$C,3,0),0)+IFERROR(VLOOKUP($A879,[5]库存使用数据!$A:$C,3,0),0)</f>
        <v>0</v>
      </c>
      <c r="D879" s="1">
        <f ca="1">IFERROR(VLOOKUP($A879,[1]库存使用数据!$A:$D,4,0),0)+IFERROR(VLOOKUP($A879,[2]库存使用数据!$A:$D,4,0),0)+公式!$B$1*IFERROR(VLOOKUP($A879,[3]库存使用数据!$A:$D,4,0),0)+IFERROR(VLOOKUP($A879,[4]库存使用数据!$A:$D,4,0),0)+IFERROR(VLOOKUP($A879,[5]库存使用数据!$A:$D,4,0),0)</f>
        <v>0</v>
      </c>
      <c r="E879" s="1">
        <f ca="1">IFERROR(VLOOKUP($A879,[1]库存使用数据!$A:$E,5,0),0)+IFERROR(VLOOKUP($A879,[2]库存使用数据!$A:$E,5,0),0)+IFERROR(VLOOKUP($A879,[3]库存使用数据!$A:$E,5,0),0)+IFERROR(VLOOKUP($A879,[4]库存使用数据!$A:$E,5,0),0)+IFERROR(VLOOKUP($A879,[5]库存使用数据!$A:$E,5,0),0)</f>
        <v>4989</v>
      </c>
      <c r="F879" s="1">
        <f ca="1">IFERROR(VLOOKUP($A879,[1]库存使用数据!$A:$F,6,0),0)+IFERROR(VLOOKUP($A879,[2]库存使用数据!$A:$F,6,0),0)+IFERROR(VLOOKUP($A879,[4]库存使用数据!$A:$F,6,0),0)+IFERROR(VLOOKUP($A879,[3]库存使用数据!$A:$F,6,0),0)+IFERROR(VLOOKUP($A879,[5]库存使用数据!$A:$F,6,0),0)</f>
        <v>82</v>
      </c>
      <c r="G879" s="1">
        <f ca="1">IFERROR(VLOOKUP($A879,[1]库存使用数据!$A:$G,7,0),0)+IFERROR(VLOOKUP($A879,[2]库存使用数据!$A:$G,7,0),0)+公式!$B$14*IFERROR(VLOOKUP($A879,[3]库存使用数据!$A:$G,7,0),0)+IFERROR(VLOOKUP($A879,[4]库存使用数据!$A:$G,7,0),0)+IFERROR(VLOOKUP($A879,[5]库存使用数据!$A:$G,7,0),0)</f>
        <v>21.77</v>
      </c>
      <c r="H879" s="1">
        <f ca="1">IFERROR(VLOOKUP($A879,[1]库存使用数据!$A:$H,8,0),0)+IFERROR(VLOOKUP($A879,[2]库存使用数据!$A:$H,8,0),0)+IFERROR(VLOOKUP($A879,[3]库存使用数据!$A:$H,8,0),0)+IFERROR(VLOOKUP($A879,[4]库存使用数据!$A:$H,8,0),0)+IFERROR(VLOOKUP($A879,[5]库存使用数据!$A:$H,8,0),0)</f>
        <v>4128</v>
      </c>
      <c r="I879" s="1">
        <f ca="1">IFERROR(VLOOKUP($A879,[1]库存使用数据!$A:$I,9,0),0)+IFERROR(VLOOKUP($A879,[2]库存使用数据!$A:$I,9,0),0)+IFERROR(VLOOKUP($A879,[3]库存使用数据!$A:$I,9,0),0)+IFERROR(VLOOKUP($A879,[4]库存使用数据!$A:$I,9,0),0)+IFERROR(VLOOKUP($A879,[5]库存使用数据!$A:$I,9,0),0)</f>
        <v>69</v>
      </c>
      <c r="J879" s="1">
        <f ca="1">IFERROR(VLOOKUP($A879,[1]库存使用数据!$A:$J,10,0),0)+IFERROR(VLOOKUP($A879,[2]库存使用数据!$A:$J,10,0),0)+公式!$B$14*IFERROR(VLOOKUP($A879,[3]库存使用数据!$A:$J,10,0),0)+IFERROR(VLOOKUP($A879,[4]库存使用数据!$A:$J,10,0),0)+IFERROR(VLOOKUP($A879,[5]库存使用数据!$A:$J,10,0),0)</f>
        <v>18.46</v>
      </c>
      <c r="K879" s="1">
        <f ca="1">IFERROR(VLOOKUP($A879,[1]库存使用数据!$A:$K,11,0),0)+IFERROR(VLOOKUP($A879,[2]库存使用数据!$A:$K,11,0),0)+IFERROR(VLOOKUP($A879,[3]库存使用数据!$A:$K,11,0),0)+IFERROR(VLOOKUP($A879,[4]库存使用数据!$A:$K,11,0),0)+IFERROR(VLOOKUP($A879,[5]库存使用数据!$A:$K,11,0),0)</f>
        <v>0</v>
      </c>
      <c r="L879" s="1">
        <f ca="1">IFERROR(VLOOKUP($A879,[1]库存使用数据!$A:$L,12,0),0)+IFERROR(VLOOKUP($A879,[2]库存使用数据!$A:$L,12,0),0)+IFERROR(VLOOKUP($A879,[3]库存使用数据!$A:$L,12,0),0)+IFERROR(VLOOKUP($A879,[4]库存使用数据!$A:$L,12,0),0)+IFERROR(VLOOKUP($A879,[5]库存使用数据!$A:$L,12,0),0)</f>
        <v>0</v>
      </c>
      <c r="M879" s="1">
        <f ca="1">IFERROR(VLOOKUP($A879,[1]库存使用数据!$A:$M,13,0),0)+IFERROR(VLOOKUP($A879,[2]库存使用数据!$A:$M,13,0),0)+公式!$B$14*IFERROR(VLOOKUP($A879,[3]库存使用数据!$A:$M,13,0),0)+IFERROR(VLOOKUP($A879,[4]库存使用数据!$A:$M,13,0),0)+IFERROR(VLOOKUP($A879,[5]库存使用数据!$A:$M,13,0),0)</f>
        <v>0</v>
      </c>
    </row>
    <row r="880" spans="1:13">
      <c r="A880" s="6" t="s">
        <v>885</v>
      </c>
      <c r="B880" s="2">
        <f ca="1">IFERROR(VLOOKUP(A880,[1]库存使用数据!$A:$B,2,0),0)+IFERROR(VLOOKUP(A880,[2]库存使用数据!$A:$B,2,0),0)+IFERROR(VLOOKUP(,[3]库存使用数据!$A:$B,2,0),0)+IFERROR(VLOOKUP(A880,[4]库存使用数据!$A:$B,2,0),0)+IFERROR(VLOOKUP(A880,[5]库存使用数据!$A:$B,2,0),0)</f>
        <v>1</v>
      </c>
      <c r="C880" s="1">
        <f ca="1">IFERROR(VLOOKUP($A880,[1]库存使用数据!$A:$C,3,0),0)+IFERROR(VLOOKUP($A880,[2]库存使用数据!$A:$C,3,0),0)+IFERROR(VLOOKUP($A880,[3]库存使用数据!$A:$C,3,0),0)+IFERROR(VLOOKUP($A880,[4]库存使用数据!$A:$C,3,0),0)+IFERROR(VLOOKUP($A880,[5]库存使用数据!$A:$C,3,0),0)</f>
        <v>0</v>
      </c>
      <c r="D880" s="1">
        <f ca="1">IFERROR(VLOOKUP($A880,[1]库存使用数据!$A:$D,4,0),0)+IFERROR(VLOOKUP($A880,[2]库存使用数据!$A:$D,4,0),0)+公式!$B$1*IFERROR(VLOOKUP($A880,[3]库存使用数据!$A:$D,4,0),0)+IFERROR(VLOOKUP($A880,[4]库存使用数据!$A:$D,4,0),0)+IFERROR(VLOOKUP($A880,[5]库存使用数据!$A:$D,4,0),0)</f>
        <v>0</v>
      </c>
      <c r="E880" s="1">
        <f ca="1">IFERROR(VLOOKUP($A880,[1]库存使用数据!$A:$E,5,0),0)+IFERROR(VLOOKUP($A880,[2]库存使用数据!$A:$E,5,0),0)+IFERROR(VLOOKUP($A880,[3]库存使用数据!$A:$E,5,0),0)+IFERROR(VLOOKUP($A880,[4]库存使用数据!$A:$E,5,0),0)+IFERROR(VLOOKUP($A880,[5]库存使用数据!$A:$E,5,0),0)</f>
        <v>7</v>
      </c>
      <c r="F880" s="1">
        <f ca="1">IFERROR(VLOOKUP($A880,[1]库存使用数据!$A:$F,6,0),0)+IFERROR(VLOOKUP($A880,[2]库存使用数据!$A:$F,6,0),0)+IFERROR(VLOOKUP($A880,[4]库存使用数据!$A:$F,6,0),0)+IFERROR(VLOOKUP($A880,[3]库存使用数据!$A:$F,6,0),0)+IFERROR(VLOOKUP($A880,[5]库存使用数据!$A:$F,6,0),0)</f>
        <v>1</v>
      </c>
      <c r="G880" s="1">
        <f ca="1">IFERROR(VLOOKUP($A880,[1]库存使用数据!$A:$G,7,0),0)+IFERROR(VLOOKUP($A880,[2]库存使用数据!$A:$G,7,0),0)+公式!$B$14*IFERROR(VLOOKUP($A880,[3]库存使用数据!$A:$G,7,0),0)+IFERROR(VLOOKUP($A880,[4]库存使用数据!$A:$G,7,0),0)+IFERROR(VLOOKUP($A880,[5]库存使用数据!$A:$G,7,0),0)</f>
        <v>0.32</v>
      </c>
      <c r="H880" s="1">
        <f ca="1">IFERROR(VLOOKUP($A880,[1]库存使用数据!$A:$H,8,0),0)+IFERROR(VLOOKUP($A880,[2]库存使用数据!$A:$H,8,0),0)+IFERROR(VLOOKUP($A880,[3]库存使用数据!$A:$H,8,0),0)+IFERROR(VLOOKUP($A880,[4]库存使用数据!$A:$H,8,0),0)+IFERROR(VLOOKUP($A880,[5]库存使用数据!$A:$H,8,0),0)</f>
        <v>6</v>
      </c>
      <c r="I880" s="1">
        <f ca="1">IFERROR(VLOOKUP($A880,[1]库存使用数据!$A:$I,9,0),0)+IFERROR(VLOOKUP($A880,[2]库存使用数据!$A:$I,9,0),0)+IFERROR(VLOOKUP($A880,[3]库存使用数据!$A:$I,9,0),0)+IFERROR(VLOOKUP($A880,[4]库存使用数据!$A:$I,9,0),0)+IFERROR(VLOOKUP($A880,[5]库存使用数据!$A:$I,9,0),0)</f>
        <v>0</v>
      </c>
      <c r="J880" s="1">
        <f ca="1">IFERROR(VLOOKUP($A880,[1]库存使用数据!$A:$J,10,0),0)+IFERROR(VLOOKUP($A880,[2]库存使用数据!$A:$J,10,0),0)+公式!$B$14*IFERROR(VLOOKUP($A880,[3]库存使用数据!$A:$J,10,0),0)+IFERROR(VLOOKUP($A880,[4]库存使用数据!$A:$J,10,0),0)+IFERROR(VLOOKUP($A880,[5]库存使用数据!$A:$J,10,0),0)</f>
        <v>0</v>
      </c>
      <c r="K880" s="1">
        <f ca="1">IFERROR(VLOOKUP($A880,[1]库存使用数据!$A:$K,11,0),0)+IFERROR(VLOOKUP($A880,[2]库存使用数据!$A:$K,11,0),0)+IFERROR(VLOOKUP($A880,[3]库存使用数据!$A:$K,11,0),0)+IFERROR(VLOOKUP($A880,[4]库存使用数据!$A:$K,11,0),0)+IFERROR(VLOOKUP($A880,[5]库存使用数据!$A:$K,11,0),0)</f>
        <v>0</v>
      </c>
      <c r="L880" s="1">
        <f ca="1">IFERROR(VLOOKUP($A880,[1]库存使用数据!$A:$L,12,0),0)+IFERROR(VLOOKUP($A880,[2]库存使用数据!$A:$L,12,0),0)+IFERROR(VLOOKUP($A880,[3]库存使用数据!$A:$L,12,0),0)+IFERROR(VLOOKUP($A880,[4]库存使用数据!$A:$L,12,0),0)+IFERROR(VLOOKUP($A880,[5]库存使用数据!$A:$L,12,0),0)</f>
        <v>0</v>
      </c>
      <c r="M880" s="1">
        <f ca="1">IFERROR(VLOOKUP($A880,[1]库存使用数据!$A:$M,13,0),0)+IFERROR(VLOOKUP($A880,[2]库存使用数据!$A:$M,13,0),0)+公式!$B$14*IFERROR(VLOOKUP($A880,[3]库存使用数据!$A:$M,13,0),0)+IFERROR(VLOOKUP($A880,[4]库存使用数据!$A:$M,13,0),0)+IFERROR(VLOOKUP($A880,[5]库存使用数据!$A:$M,13,0),0)</f>
        <v>0</v>
      </c>
    </row>
    <row r="881" spans="1:13">
      <c r="A881" s="6" t="s">
        <v>886</v>
      </c>
      <c r="B881" s="2">
        <f ca="1">IFERROR(VLOOKUP(A881,[1]库存使用数据!$A:$B,2,0),0)+IFERROR(VLOOKUP(A881,[2]库存使用数据!$A:$B,2,0),0)+IFERROR(VLOOKUP(,[3]库存使用数据!$A:$B,2,0),0)+IFERROR(VLOOKUP(A881,[4]库存使用数据!$A:$B,2,0),0)+IFERROR(VLOOKUP(A881,[5]库存使用数据!$A:$B,2,0),0)</f>
        <v>0</v>
      </c>
      <c r="C881" s="1">
        <f ca="1">IFERROR(VLOOKUP($A881,[1]库存使用数据!$A:$C,3,0),0)+IFERROR(VLOOKUP($A881,[2]库存使用数据!$A:$C,3,0),0)+IFERROR(VLOOKUP($A881,[3]库存使用数据!$A:$C,3,0),0)+IFERROR(VLOOKUP($A881,[4]库存使用数据!$A:$C,3,0),0)+IFERROR(VLOOKUP($A881,[5]库存使用数据!$A:$C,3,0),0)</f>
        <v>0</v>
      </c>
      <c r="D881" s="1">
        <f ca="1">IFERROR(VLOOKUP($A881,[1]库存使用数据!$A:$D,4,0),0)+IFERROR(VLOOKUP($A881,[2]库存使用数据!$A:$D,4,0),0)+公式!$B$1*IFERROR(VLOOKUP($A881,[3]库存使用数据!$A:$D,4,0),0)+IFERROR(VLOOKUP($A881,[4]库存使用数据!$A:$D,4,0),0)+IFERROR(VLOOKUP($A881,[5]库存使用数据!$A:$D,4,0),0)</f>
        <v>0</v>
      </c>
      <c r="E881" s="1">
        <f ca="1">IFERROR(VLOOKUP($A881,[1]库存使用数据!$A:$E,5,0),0)+IFERROR(VLOOKUP($A881,[2]库存使用数据!$A:$E,5,0),0)+IFERROR(VLOOKUP($A881,[3]库存使用数据!$A:$E,5,0),0)+IFERROR(VLOOKUP($A881,[4]库存使用数据!$A:$E,5,0),0)+IFERROR(VLOOKUP($A881,[5]库存使用数据!$A:$E,5,0),0)</f>
        <v>2</v>
      </c>
      <c r="F881" s="1">
        <f ca="1">IFERROR(VLOOKUP($A881,[1]库存使用数据!$A:$F,6,0),0)+IFERROR(VLOOKUP($A881,[2]库存使用数据!$A:$F,6,0),0)+IFERROR(VLOOKUP($A881,[4]库存使用数据!$A:$F,6,0),0)+IFERROR(VLOOKUP($A881,[3]库存使用数据!$A:$F,6,0),0)+IFERROR(VLOOKUP($A881,[5]库存使用数据!$A:$F,6,0),0)</f>
        <v>0</v>
      </c>
      <c r="G881" s="1">
        <f ca="1">IFERROR(VLOOKUP($A881,[1]库存使用数据!$A:$G,7,0),0)+IFERROR(VLOOKUP($A881,[2]库存使用数据!$A:$G,7,0),0)+公式!$B$14*IFERROR(VLOOKUP($A881,[3]库存使用数据!$A:$G,7,0),0)+IFERROR(VLOOKUP($A881,[4]库存使用数据!$A:$G,7,0),0)+IFERROR(VLOOKUP($A881,[5]库存使用数据!$A:$G,7,0),0)</f>
        <v>0</v>
      </c>
      <c r="H881" s="1">
        <f ca="1">IFERROR(VLOOKUP($A881,[1]库存使用数据!$A:$H,8,0),0)+IFERROR(VLOOKUP($A881,[2]库存使用数据!$A:$H,8,0),0)+IFERROR(VLOOKUP($A881,[3]库存使用数据!$A:$H,8,0),0)+IFERROR(VLOOKUP($A881,[4]库存使用数据!$A:$H,8,0),0)+IFERROR(VLOOKUP($A881,[5]库存使用数据!$A:$H,8,0),0)</f>
        <v>1</v>
      </c>
      <c r="I881" s="1">
        <f ca="1">IFERROR(VLOOKUP($A881,[1]库存使用数据!$A:$I,9,0),0)+IFERROR(VLOOKUP($A881,[2]库存使用数据!$A:$I,9,0),0)+IFERROR(VLOOKUP($A881,[3]库存使用数据!$A:$I,9,0),0)+IFERROR(VLOOKUP($A881,[4]库存使用数据!$A:$I,9,0),0)+IFERROR(VLOOKUP($A881,[5]库存使用数据!$A:$I,9,0),0)</f>
        <v>0</v>
      </c>
      <c r="J881" s="1">
        <f ca="1">IFERROR(VLOOKUP($A881,[1]库存使用数据!$A:$J,10,0),0)+IFERROR(VLOOKUP($A881,[2]库存使用数据!$A:$J,10,0),0)+公式!$B$14*IFERROR(VLOOKUP($A881,[3]库存使用数据!$A:$J,10,0),0)+IFERROR(VLOOKUP($A881,[4]库存使用数据!$A:$J,10,0),0)+IFERROR(VLOOKUP($A881,[5]库存使用数据!$A:$J,10,0),0)</f>
        <v>0</v>
      </c>
      <c r="K881" s="1">
        <f ca="1">IFERROR(VLOOKUP($A881,[1]库存使用数据!$A:$K,11,0),0)+IFERROR(VLOOKUP($A881,[2]库存使用数据!$A:$K,11,0),0)+IFERROR(VLOOKUP($A881,[3]库存使用数据!$A:$K,11,0),0)+IFERROR(VLOOKUP($A881,[4]库存使用数据!$A:$K,11,0),0)+IFERROR(VLOOKUP($A881,[5]库存使用数据!$A:$K,11,0),0)</f>
        <v>0</v>
      </c>
      <c r="L881" s="1">
        <f ca="1">IFERROR(VLOOKUP($A881,[1]库存使用数据!$A:$L,12,0),0)+IFERROR(VLOOKUP($A881,[2]库存使用数据!$A:$L,12,0),0)+IFERROR(VLOOKUP($A881,[3]库存使用数据!$A:$L,12,0),0)+IFERROR(VLOOKUP($A881,[4]库存使用数据!$A:$L,12,0),0)+IFERROR(VLOOKUP($A881,[5]库存使用数据!$A:$L,12,0),0)</f>
        <v>0</v>
      </c>
      <c r="M881" s="1">
        <f ca="1">IFERROR(VLOOKUP($A881,[1]库存使用数据!$A:$M,13,0),0)+IFERROR(VLOOKUP($A881,[2]库存使用数据!$A:$M,13,0),0)+公式!$B$14*IFERROR(VLOOKUP($A881,[3]库存使用数据!$A:$M,13,0),0)+IFERROR(VLOOKUP($A881,[4]库存使用数据!$A:$M,13,0),0)+IFERROR(VLOOKUP($A881,[5]库存使用数据!$A:$M,13,0),0)</f>
        <v>0</v>
      </c>
    </row>
    <row r="882" spans="1:13">
      <c r="A882" s="6" t="s">
        <v>887</v>
      </c>
      <c r="B882" s="2">
        <f ca="1">IFERROR(VLOOKUP(A882,[1]库存使用数据!$A:$B,2,0),0)+IFERROR(VLOOKUP(A882,[2]库存使用数据!$A:$B,2,0),0)+IFERROR(VLOOKUP(,[3]库存使用数据!$A:$B,2,0),0)+IFERROR(VLOOKUP(A882,[4]库存使用数据!$A:$B,2,0),0)+IFERROR(VLOOKUP(A882,[5]库存使用数据!$A:$B,2,0),0)</f>
        <v>0</v>
      </c>
      <c r="C882" s="1">
        <f ca="1">IFERROR(VLOOKUP($A882,[1]库存使用数据!$A:$C,3,0),0)+IFERROR(VLOOKUP($A882,[2]库存使用数据!$A:$C,3,0),0)+IFERROR(VLOOKUP($A882,[3]库存使用数据!$A:$C,3,0),0)+IFERROR(VLOOKUP($A882,[4]库存使用数据!$A:$C,3,0),0)+IFERROR(VLOOKUP($A882,[5]库存使用数据!$A:$C,3,0),0)</f>
        <v>0</v>
      </c>
      <c r="D882" s="1">
        <f ca="1">IFERROR(VLOOKUP($A882,[1]库存使用数据!$A:$D,4,0),0)+IFERROR(VLOOKUP($A882,[2]库存使用数据!$A:$D,4,0),0)+公式!$B$1*IFERROR(VLOOKUP($A882,[3]库存使用数据!$A:$D,4,0),0)+IFERROR(VLOOKUP($A882,[4]库存使用数据!$A:$D,4,0),0)+IFERROR(VLOOKUP($A882,[5]库存使用数据!$A:$D,4,0),0)</f>
        <v>0</v>
      </c>
      <c r="E882" s="1">
        <f ca="1">IFERROR(VLOOKUP($A882,[1]库存使用数据!$A:$E,5,0),0)+IFERROR(VLOOKUP($A882,[2]库存使用数据!$A:$E,5,0),0)+IFERROR(VLOOKUP($A882,[3]库存使用数据!$A:$E,5,0),0)+IFERROR(VLOOKUP($A882,[4]库存使用数据!$A:$E,5,0),0)+IFERROR(VLOOKUP($A882,[5]库存使用数据!$A:$E,5,0),0)</f>
        <v>2</v>
      </c>
      <c r="F882" s="1">
        <f ca="1">IFERROR(VLOOKUP($A882,[1]库存使用数据!$A:$F,6,0),0)+IFERROR(VLOOKUP($A882,[2]库存使用数据!$A:$F,6,0),0)+IFERROR(VLOOKUP($A882,[4]库存使用数据!$A:$F,6,0),0)+IFERROR(VLOOKUP($A882,[3]库存使用数据!$A:$F,6,0),0)+IFERROR(VLOOKUP($A882,[5]库存使用数据!$A:$F,6,0),0)</f>
        <v>0</v>
      </c>
      <c r="G882" s="1">
        <f ca="1">IFERROR(VLOOKUP($A882,[1]库存使用数据!$A:$G,7,0),0)+IFERROR(VLOOKUP($A882,[2]库存使用数据!$A:$G,7,0),0)+公式!$B$14*IFERROR(VLOOKUP($A882,[3]库存使用数据!$A:$G,7,0),0)+IFERROR(VLOOKUP($A882,[4]库存使用数据!$A:$G,7,0),0)+IFERROR(VLOOKUP($A882,[5]库存使用数据!$A:$G,7,0),0)</f>
        <v>0</v>
      </c>
      <c r="H882" s="1">
        <f ca="1">IFERROR(VLOOKUP($A882,[1]库存使用数据!$A:$H,8,0),0)+IFERROR(VLOOKUP($A882,[2]库存使用数据!$A:$H,8,0),0)+IFERROR(VLOOKUP($A882,[3]库存使用数据!$A:$H,8,0),0)+IFERROR(VLOOKUP($A882,[4]库存使用数据!$A:$H,8,0),0)+IFERROR(VLOOKUP($A882,[5]库存使用数据!$A:$H,8,0),0)</f>
        <v>2</v>
      </c>
      <c r="I882" s="1">
        <f ca="1">IFERROR(VLOOKUP($A882,[1]库存使用数据!$A:$I,9,0),0)+IFERROR(VLOOKUP($A882,[2]库存使用数据!$A:$I,9,0),0)+IFERROR(VLOOKUP($A882,[3]库存使用数据!$A:$I,9,0),0)+IFERROR(VLOOKUP($A882,[4]库存使用数据!$A:$I,9,0),0)+IFERROR(VLOOKUP($A882,[5]库存使用数据!$A:$I,9,0),0)</f>
        <v>0</v>
      </c>
      <c r="J882" s="1">
        <f ca="1">IFERROR(VLOOKUP($A882,[1]库存使用数据!$A:$J,10,0),0)+IFERROR(VLOOKUP($A882,[2]库存使用数据!$A:$J,10,0),0)+公式!$B$14*IFERROR(VLOOKUP($A882,[3]库存使用数据!$A:$J,10,0),0)+IFERROR(VLOOKUP($A882,[4]库存使用数据!$A:$J,10,0),0)+IFERROR(VLOOKUP($A882,[5]库存使用数据!$A:$J,10,0),0)</f>
        <v>0</v>
      </c>
      <c r="K882" s="1">
        <f ca="1">IFERROR(VLOOKUP($A882,[1]库存使用数据!$A:$K,11,0),0)+IFERROR(VLOOKUP($A882,[2]库存使用数据!$A:$K,11,0),0)+IFERROR(VLOOKUP($A882,[3]库存使用数据!$A:$K,11,0),0)+IFERROR(VLOOKUP($A882,[4]库存使用数据!$A:$K,11,0),0)+IFERROR(VLOOKUP($A882,[5]库存使用数据!$A:$K,11,0),0)</f>
        <v>0</v>
      </c>
      <c r="L882" s="1">
        <f ca="1">IFERROR(VLOOKUP($A882,[1]库存使用数据!$A:$L,12,0),0)+IFERROR(VLOOKUP($A882,[2]库存使用数据!$A:$L,12,0),0)+IFERROR(VLOOKUP($A882,[3]库存使用数据!$A:$L,12,0),0)+IFERROR(VLOOKUP($A882,[4]库存使用数据!$A:$L,12,0),0)+IFERROR(VLOOKUP($A882,[5]库存使用数据!$A:$L,12,0),0)</f>
        <v>0</v>
      </c>
      <c r="M882" s="1">
        <f ca="1">IFERROR(VLOOKUP($A882,[1]库存使用数据!$A:$M,13,0),0)+IFERROR(VLOOKUP($A882,[2]库存使用数据!$A:$M,13,0),0)+公式!$B$14*IFERROR(VLOOKUP($A882,[3]库存使用数据!$A:$M,13,0),0)+IFERROR(VLOOKUP($A882,[4]库存使用数据!$A:$M,13,0),0)+IFERROR(VLOOKUP($A882,[5]库存使用数据!$A:$M,13,0),0)</f>
        <v>0</v>
      </c>
    </row>
    <row r="883" spans="1:13">
      <c r="A883" s="6" t="s">
        <v>888</v>
      </c>
      <c r="B883" s="2">
        <f ca="1">IFERROR(VLOOKUP(A883,[1]库存使用数据!$A:$B,2,0),0)+IFERROR(VLOOKUP(A883,[2]库存使用数据!$A:$B,2,0),0)+IFERROR(VLOOKUP(,[3]库存使用数据!$A:$B,2,0),0)+IFERROR(VLOOKUP(A883,[4]库存使用数据!$A:$B,2,0),0)+IFERROR(VLOOKUP(A883,[5]库存使用数据!$A:$B,2,0),0)</f>
        <v>1</v>
      </c>
      <c r="C883" s="1">
        <f ca="1">IFERROR(VLOOKUP($A883,[1]库存使用数据!$A:$C,3,0),0)+IFERROR(VLOOKUP($A883,[2]库存使用数据!$A:$C,3,0),0)+IFERROR(VLOOKUP($A883,[3]库存使用数据!$A:$C,3,0),0)+IFERROR(VLOOKUP($A883,[4]库存使用数据!$A:$C,3,0),0)+IFERROR(VLOOKUP($A883,[5]库存使用数据!$A:$C,3,0),0)</f>
        <v>0</v>
      </c>
      <c r="D883" s="1">
        <f ca="1">IFERROR(VLOOKUP($A883,[1]库存使用数据!$A:$D,4,0),0)+IFERROR(VLOOKUP($A883,[2]库存使用数据!$A:$D,4,0),0)+公式!$B$1*IFERROR(VLOOKUP($A883,[3]库存使用数据!$A:$D,4,0),0)+IFERROR(VLOOKUP($A883,[4]库存使用数据!$A:$D,4,0),0)+IFERROR(VLOOKUP($A883,[5]库存使用数据!$A:$D,4,0),0)</f>
        <v>0</v>
      </c>
      <c r="E883" s="1">
        <f ca="1">IFERROR(VLOOKUP($A883,[1]库存使用数据!$A:$E,5,0),0)+IFERROR(VLOOKUP($A883,[2]库存使用数据!$A:$E,5,0),0)+IFERROR(VLOOKUP($A883,[3]库存使用数据!$A:$E,5,0),0)+IFERROR(VLOOKUP($A883,[4]库存使用数据!$A:$E,5,0),0)+IFERROR(VLOOKUP($A883,[5]库存使用数据!$A:$E,5,0),0)</f>
        <v>1</v>
      </c>
      <c r="F883" s="1">
        <f ca="1">IFERROR(VLOOKUP($A883,[1]库存使用数据!$A:$F,6,0),0)+IFERROR(VLOOKUP($A883,[2]库存使用数据!$A:$F,6,0),0)+IFERROR(VLOOKUP($A883,[4]库存使用数据!$A:$F,6,0),0)+IFERROR(VLOOKUP($A883,[3]库存使用数据!$A:$F,6,0),0)+IFERROR(VLOOKUP($A883,[5]库存使用数据!$A:$F,6,0),0)</f>
        <v>0</v>
      </c>
      <c r="G883" s="1">
        <f ca="1">IFERROR(VLOOKUP($A883,[1]库存使用数据!$A:$G,7,0),0)+IFERROR(VLOOKUP($A883,[2]库存使用数据!$A:$G,7,0),0)+公式!$B$14*IFERROR(VLOOKUP($A883,[3]库存使用数据!$A:$G,7,0),0)+IFERROR(VLOOKUP($A883,[4]库存使用数据!$A:$G,7,0),0)+IFERROR(VLOOKUP($A883,[5]库存使用数据!$A:$G,7,0),0)</f>
        <v>0</v>
      </c>
      <c r="H883" s="1">
        <f ca="1">IFERROR(VLOOKUP($A883,[1]库存使用数据!$A:$H,8,0),0)+IFERROR(VLOOKUP($A883,[2]库存使用数据!$A:$H,8,0),0)+IFERROR(VLOOKUP($A883,[3]库存使用数据!$A:$H,8,0),0)+IFERROR(VLOOKUP($A883,[4]库存使用数据!$A:$H,8,0),0)+IFERROR(VLOOKUP($A883,[5]库存使用数据!$A:$H,8,0),0)</f>
        <v>0</v>
      </c>
      <c r="I883" s="1">
        <f ca="1">IFERROR(VLOOKUP($A883,[1]库存使用数据!$A:$I,9,0),0)+IFERROR(VLOOKUP($A883,[2]库存使用数据!$A:$I,9,0),0)+IFERROR(VLOOKUP($A883,[3]库存使用数据!$A:$I,9,0),0)+IFERROR(VLOOKUP($A883,[4]库存使用数据!$A:$I,9,0),0)+IFERROR(VLOOKUP($A883,[5]库存使用数据!$A:$I,9,0),0)</f>
        <v>0</v>
      </c>
      <c r="J883" s="1">
        <f ca="1">IFERROR(VLOOKUP($A883,[1]库存使用数据!$A:$J,10,0),0)+IFERROR(VLOOKUP($A883,[2]库存使用数据!$A:$J,10,0),0)+公式!$B$14*IFERROR(VLOOKUP($A883,[3]库存使用数据!$A:$J,10,0),0)+IFERROR(VLOOKUP($A883,[4]库存使用数据!$A:$J,10,0),0)+IFERROR(VLOOKUP($A883,[5]库存使用数据!$A:$J,10,0),0)</f>
        <v>0</v>
      </c>
      <c r="K883" s="1">
        <f ca="1">IFERROR(VLOOKUP($A883,[1]库存使用数据!$A:$K,11,0),0)+IFERROR(VLOOKUP($A883,[2]库存使用数据!$A:$K,11,0),0)+IFERROR(VLOOKUP($A883,[3]库存使用数据!$A:$K,11,0),0)+IFERROR(VLOOKUP($A883,[4]库存使用数据!$A:$K,11,0),0)+IFERROR(VLOOKUP($A883,[5]库存使用数据!$A:$K,11,0),0)</f>
        <v>0</v>
      </c>
      <c r="L883" s="1">
        <f ca="1">IFERROR(VLOOKUP($A883,[1]库存使用数据!$A:$L,12,0),0)+IFERROR(VLOOKUP($A883,[2]库存使用数据!$A:$L,12,0),0)+IFERROR(VLOOKUP($A883,[3]库存使用数据!$A:$L,12,0),0)+IFERROR(VLOOKUP($A883,[4]库存使用数据!$A:$L,12,0),0)+IFERROR(VLOOKUP($A883,[5]库存使用数据!$A:$L,12,0),0)</f>
        <v>0</v>
      </c>
      <c r="M883" s="1">
        <f ca="1">IFERROR(VLOOKUP($A883,[1]库存使用数据!$A:$M,13,0),0)+IFERROR(VLOOKUP($A883,[2]库存使用数据!$A:$M,13,0),0)+公式!$B$14*IFERROR(VLOOKUP($A883,[3]库存使用数据!$A:$M,13,0),0)+IFERROR(VLOOKUP($A883,[4]库存使用数据!$A:$M,13,0),0)+IFERROR(VLOOKUP($A883,[5]库存使用数据!$A:$M,13,0),0)</f>
        <v>0</v>
      </c>
    </row>
    <row r="884" spans="1:13">
      <c r="A884" s="6" t="s">
        <v>889</v>
      </c>
      <c r="B884" s="2">
        <f ca="1">IFERROR(VLOOKUP(A884,[1]库存使用数据!$A:$B,2,0),0)+IFERROR(VLOOKUP(A884,[2]库存使用数据!$A:$B,2,0),0)+IFERROR(VLOOKUP(,[3]库存使用数据!$A:$B,2,0),0)+IFERROR(VLOOKUP(A884,[4]库存使用数据!$A:$B,2,0),0)+IFERROR(VLOOKUP(A884,[5]库存使用数据!$A:$B,2,0),0)</f>
        <v>0</v>
      </c>
      <c r="C884" s="1">
        <f ca="1">IFERROR(VLOOKUP($A884,[1]库存使用数据!$A:$C,3,0),0)+IFERROR(VLOOKUP($A884,[2]库存使用数据!$A:$C,3,0),0)+IFERROR(VLOOKUP($A884,[3]库存使用数据!$A:$C,3,0),0)+IFERROR(VLOOKUP($A884,[4]库存使用数据!$A:$C,3,0),0)+IFERROR(VLOOKUP($A884,[5]库存使用数据!$A:$C,3,0),0)</f>
        <v>0</v>
      </c>
      <c r="D884" s="1">
        <f ca="1">IFERROR(VLOOKUP($A884,[1]库存使用数据!$A:$D,4,0),0)+IFERROR(VLOOKUP($A884,[2]库存使用数据!$A:$D,4,0),0)+公式!$B$1*IFERROR(VLOOKUP($A884,[3]库存使用数据!$A:$D,4,0),0)+IFERROR(VLOOKUP($A884,[4]库存使用数据!$A:$D,4,0),0)+IFERROR(VLOOKUP($A884,[5]库存使用数据!$A:$D,4,0),0)</f>
        <v>0</v>
      </c>
      <c r="E884" s="1">
        <f ca="1">IFERROR(VLOOKUP($A884,[1]库存使用数据!$A:$E,5,0),0)+IFERROR(VLOOKUP($A884,[2]库存使用数据!$A:$E,5,0),0)+IFERROR(VLOOKUP($A884,[3]库存使用数据!$A:$E,5,0),0)+IFERROR(VLOOKUP($A884,[4]库存使用数据!$A:$E,5,0),0)+IFERROR(VLOOKUP($A884,[5]库存使用数据!$A:$E,5,0),0)</f>
        <v>2</v>
      </c>
      <c r="F884" s="1">
        <f ca="1">IFERROR(VLOOKUP($A884,[1]库存使用数据!$A:$F,6,0),0)+IFERROR(VLOOKUP($A884,[2]库存使用数据!$A:$F,6,0),0)+IFERROR(VLOOKUP($A884,[4]库存使用数据!$A:$F,6,0),0)+IFERROR(VLOOKUP($A884,[3]库存使用数据!$A:$F,6,0),0)+IFERROR(VLOOKUP($A884,[5]库存使用数据!$A:$F,6,0),0)</f>
        <v>0</v>
      </c>
      <c r="G884" s="1">
        <f ca="1">IFERROR(VLOOKUP($A884,[1]库存使用数据!$A:$G,7,0),0)+IFERROR(VLOOKUP($A884,[2]库存使用数据!$A:$G,7,0),0)+公式!$B$14*IFERROR(VLOOKUP($A884,[3]库存使用数据!$A:$G,7,0),0)+IFERROR(VLOOKUP($A884,[4]库存使用数据!$A:$G,7,0),0)+IFERROR(VLOOKUP($A884,[5]库存使用数据!$A:$G,7,0),0)</f>
        <v>0</v>
      </c>
      <c r="H884" s="1">
        <f ca="1">IFERROR(VLOOKUP($A884,[1]库存使用数据!$A:$H,8,0),0)+IFERROR(VLOOKUP($A884,[2]库存使用数据!$A:$H,8,0),0)+IFERROR(VLOOKUP($A884,[3]库存使用数据!$A:$H,8,0),0)+IFERROR(VLOOKUP($A884,[4]库存使用数据!$A:$H,8,0),0)+IFERROR(VLOOKUP($A884,[5]库存使用数据!$A:$H,8,0),0)</f>
        <v>1</v>
      </c>
      <c r="I884" s="1">
        <f ca="1">IFERROR(VLOOKUP($A884,[1]库存使用数据!$A:$I,9,0),0)+IFERROR(VLOOKUP($A884,[2]库存使用数据!$A:$I,9,0),0)+IFERROR(VLOOKUP($A884,[3]库存使用数据!$A:$I,9,0),0)+IFERROR(VLOOKUP($A884,[4]库存使用数据!$A:$I,9,0),0)+IFERROR(VLOOKUP($A884,[5]库存使用数据!$A:$I,9,0),0)</f>
        <v>0</v>
      </c>
      <c r="J884" s="1">
        <f ca="1">IFERROR(VLOOKUP($A884,[1]库存使用数据!$A:$J,10,0),0)+IFERROR(VLOOKUP($A884,[2]库存使用数据!$A:$J,10,0),0)+公式!$B$14*IFERROR(VLOOKUP($A884,[3]库存使用数据!$A:$J,10,0),0)+IFERROR(VLOOKUP($A884,[4]库存使用数据!$A:$J,10,0),0)+IFERROR(VLOOKUP($A884,[5]库存使用数据!$A:$J,10,0),0)</f>
        <v>0</v>
      </c>
      <c r="K884" s="1">
        <f ca="1">IFERROR(VLOOKUP($A884,[1]库存使用数据!$A:$K,11,0),0)+IFERROR(VLOOKUP($A884,[2]库存使用数据!$A:$K,11,0),0)+IFERROR(VLOOKUP($A884,[3]库存使用数据!$A:$K,11,0),0)+IFERROR(VLOOKUP($A884,[4]库存使用数据!$A:$K,11,0),0)+IFERROR(VLOOKUP($A884,[5]库存使用数据!$A:$K,11,0),0)</f>
        <v>0</v>
      </c>
      <c r="L884" s="1">
        <f ca="1">IFERROR(VLOOKUP($A884,[1]库存使用数据!$A:$L,12,0),0)+IFERROR(VLOOKUP($A884,[2]库存使用数据!$A:$L,12,0),0)+IFERROR(VLOOKUP($A884,[3]库存使用数据!$A:$L,12,0),0)+IFERROR(VLOOKUP($A884,[4]库存使用数据!$A:$L,12,0),0)+IFERROR(VLOOKUP($A884,[5]库存使用数据!$A:$L,12,0),0)</f>
        <v>0</v>
      </c>
      <c r="M884" s="1">
        <f ca="1">IFERROR(VLOOKUP($A884,[1]库存使用数据!$A:$M,13,0),0)+IFERROR(VLOOKUP($A884,[2]库存使用数据!$A:$M,13,0),0)+公式!$B$14*IFERROR(VLOOKUP($A884,[3]库存使用数据!$A:$M,13,0),0)+IFERROR(VLOOKUP($A884,[4]库存使用数据!$A:$M,13,0),0)+IFERROR(VLOOKUP($A884,[5]库存使用数据!$A:$M,13,0),0)</f>
        <v>0</v>
      </c>
    </row>
    <row r="885" spans="1:13">
      <c r="A885" s="6" t="s">
        <v>890</v>
      </c>
      <c r="B885" s="2">
        <f ca="1">IFERROR(VLOOKUP(A885,[1]库存使用数据!$A:$B,2,0),0)+IFERROR(VLOOKUP(A885,[2]库存使用数据!$A:$B,2,0),0)+IFERROR(VLOOKUP(,[3]库存使用数据!$A:$B,2,0),0)+IFERROR(VLOOKUP(A885,[4]库存使用数据!$A:$B,2,0),0)+IFERROR(VLOOKUP(A885,[5]库存使用数据!$A:$B,2,0),0)</f>
        <v>0</v>
      </c>
      <c r="C885" s="1">
        <f ca="1">IFERROR(VLOOKUP($A885,[1]库存使用数据!$A:$C,3,0),0)+IFERROR(VLOOKUP($A885,[2]库存使用数据!$A:$C,3,0),0)+IFERROR(VLOOKUP($A885,[3]库存使用数据!$A:$C,3,0),0)+IFERROR(VLOOKUP($A885,[4]库存使用数据!$A:$C,3,0),0)+IFERROR(VLOOKUP($A885,[5]库存使用数据!$A:$C,3,0),0)</f>
        <v>0</v>
      </c>
      <c r="D885" s="1">
        <f ca="1">IFERROR(VLOOKUP($A885,[1]库存使用数据!$A:$D,4,0),0)+IFERROR(VLOOKUP($A885,[2]库存使用数据!$A:$D,4,0),0)+公式!$B$1*IFERROR(VLOOKUP($A885,[3]库存使用数据!$A:$D,4,0),0)+IFERROR(VLOOKUP($A885,[4]库存使用数据!$A:$D,4,0),0)+IFERROR(VLOOKUP($A885,[5]库存使用数据!$A:$D,4,0),0)</f>
        <v>0</v>
      </c>
      <c r="E885" s="1">
        <f ca="1">IFERROR(VLOOKUP($A885,[1]库存使用数据!$A:$E,5,0),0)+IFERROR(VLOOKUP($A885,[2]库存使用数据!$A:$E,5,0),0)+IFERROR(VLOOKUP($A885,[3]库存使用数据!$A:$E,5,0),0)+IFERROR(VLOOKUP($A885,[4]库存使用数据!$A:$E,5,0),0)+IFERROR(VLOOKUP($A885,[5]库存使用数据!$A:$E,5,0),0)</f>
        <v>198</v>
      </c>
      <c r="F885" s="1">
        <f ca="1">IFERROR(VLOOKUP($A885,[1]库存使用数据!$A:$F,6,0),0)+IFERROR(VLOOKUP($A885,[2]库存使用数据!$A:$F,6,0),0)+IFERROR(VLOOKUP($A885,[4]库存使用数据!$A:$F,6,0),0)+IFERROR(VLOOKUP($A885,[3]库存使用数据!$A:$F,6,0),0)+IFERROR(VLOOKUP($A885,[5]库存使用数据!$A:$F,6,0),0)</f>
        <v>0</v>
      </c>
      <c r="G885" s="1">
        <f ca="1">IFERROR(VLOOKUP($A885,[1]库存使用数据!$A:$G,7,0),0)+IFERROR(VLOOKUP($A885,[2]库存使用数据!$A:$G,7,0),0)+公式!$B$14*IFERROR(VLOOKUP($A885,[3]库存使用数据!$A:$G,7,0),0)+IFERROR(VLOOKUP($A885,[4]库存使用数据!$A:$G,7,0),0)+IFERROR(VLOOKUP($A885,[5]库存使用数据!$A:$G,7,0),0)</f>
        <v>0</v>
      </c>
      <c r="H885" s="1">
        <f ca="1">IFERROR(VLOOKUP($A885,[1]库存使用数据!$A:$H,8,0),0)+IFERROR(VLOOKUP($A885,[2]库存使用数据!$A:$H,8,0),0)+IFERROR(VLOOKUP($A885,[3]库存使用数据!$A:$H,8,0),0)+IFERROR(VLOOKUP($A885,[4]库存使用数据!$A:$H,8,0),0)+IFERROR(VLOOKUP($A885,[5]库存使用数据!$A:$H,8,0),0)</f>
        <v>6</v>
      </c>
      <c r="I885" s="1">
        <f ca="1">IFERROR(VLOOKUP($A885,[1]库存使用数据!$A:$I,9,0),0)+IFERROR(VLOOKUP($A885,[2]库存使用数据!$A:$I,9,0),0)+IFERROR(VLOOKUP($A885,[3]库存使用数据!$A:$I,9,0),0)+IFERROR(VLOOKUP($A885,[4]库存使用数据!$A:$I,9,0),0)+IFERROR(VLOOKUP($A885,[5]库存使用数据!$A:$I,9,0),0)</f>
        <v>0</v>
      </c>
      <c r="J885" s="1">
        <f ca="1">IFERROR(VLOOKUP($A885,[1]库存使用数据!$A:$J,10,0),0)+IFERROR(VLOOKUP($A885,[2]库存使用数据!$A:$J,10,0),0)+公式!$B$14*IFERROR(VLOOKUP($A885,[3]库存使用数据!$A:$J,10,0),0)+IFERROR(VLOOKUP($A885,[4]库存使用数据!$A:$J,10,0),0)+IFERROR(VLOOKUP($A885,[5]库存使用数据!$A:$J,10,0),0)</f>
        <v>0</v>
      </c>
      <c r="K885" s="1">
        <f ca="1">IFERROR(VLOOKUP($A885,[1]库存使用数据!$A:$K,11,0),0)+IFERROR(VLOOKUP($A885,[2]库存使用数据!$A:$K,11,0),0)+IFERROR(VLOOKUP($A885,[3]库存使用数据!$A:$K,11,0),0)+IFERROR(VLOOKUP($A885,[4]库存使用数据!$A:$K,11,0),0)+IFERROR(VLOOKUP($A885,[5]库存使用数据!$A:$K,11,0),0)</f>
        <v>0</v>
      </c>
      <c r="L885" s="1">
        <f ca="1">IFERROR(VLOOKUP($A885,[1]库存使用数据!$A:$L,12,0),0)+IFERROR(VLOOKUP($A885,[2]库存使用数据!$A:$L,12,0),0)+IFERROR(VLOOKUP($A885,[3]库存使用数据!$A:$L,12,0),0)+IFERROR(VLOOKUP($A885,[4]库存使用数据!$A:$L,12,0),0)+IFERROR(VLOOKUP($A885,[5]库存使用数据!$A:$L,12,0),0)</f>
        <v>0</v>
      </c>
      <c r="M885" s="1">
        <f ca="1">IFERROR(VLOOKUP($A885,[1]库存使用数据!$A:$M,13,0),0)+IFERROR(VLOOKUP($A885,[2]库存使用数据!$A:$M,13,0),0)+公式!$B$14*IFERROR(VLOOKUP($A885,[3]库存使用数据!$A:$M,13,0),0)+IFERROR(VLOOKUP($A885,[4]库存使用数据!$A:$M,13,0),0)+IFERROR(VLOOKUP($A885,[5]库存使用数据!$A:$M,13,0),0)</f>
        <v>0</v>
      </c>
    </row>
    <row r="886" spans="1:13">
      <c r="A886" s="6" t="s">
        <v>891</v>
      </c>
      <c r="B886" s="2">
        <f ca="1">IFERROR(VLOOKUP(A886,[1]库存使用数据!$A:$B,2,0),0)+IFERROR(VLOOKUP(A886,[2]库存使用数据!$A:$B,2,0),0)+IFERROR(VLOOKUP(,[3]库存使用数据!$A:$B,2,0),0)+IFERROR(VLOOKUP(A886,[4]库存使用数据!$A:$B,2,0),0)+IFERROR(VLOOKUP(A886,[5]库存使用数据!$A:$B,2,0),0)</f>
        <v>244</v>
      </c>
      <c r="C886" s="1">
        <f ca="1">IFERROR(VLOOKUP($A886,[1]库存使用数据!$A:$C,3,0),0)+IFERROR(VLOOKUP($A886,[2]库存使用数据!$A:$C,3,0),0)+IFERROR(VLOOKUP($A886,[3]库存使用数据!$A:$C,3,0),0)+IFERROR(VLOOKUP($A886,[4]库存使用数据!$A:$C,3,0),0)+IFERROR(VLOOKUP($A886,[5]库存使用数据!$A:$C,3,0),0)</f>
        <v>3</v>
      </c>
      <c r="D886" s="1">
        <f ca="1">IFERROR(VLOOKUP($A886,[1]库存使用数据!$A:$D,4,0),0)+IFERROR(VLOOKUP($A886,[2]库存使用数据!$A:$D,4,0),0)+公式!$B$1*IFERROR(VLOOKUP($A886,[3]库存使用数据!$A:$D,4,0),0)+IFERROR(VLOOKUP($A886,[4]库存使用数据!$A:$D,4,0),0)+IFERROR(VLOOKUP($A886,[5]库存使用数据!$A:$D,4,0),0)</f>
        <v>0.28</v>
      </c>
      <c r="E886" s="1">
        <f ca="1">IFERROR(VLOOKUP($A886,[1]库存使用数据!$A:$E,5,0),0)+IFERROR(VLOOKUP($A886,[2]库存使用数据!$A:$E,5,0),0)+IFERROR(VLOOKUP($A886,[3]库存使用数据!$A:$E,5,0),0)+IFERROR(VLOOKUP($A886,[4]库存使用数据!$A:$E,5,0),0)+IFERROR(VLOOKUP($A886,[5]库存使用数据!$A:$E,5,0),0)</f>
        <v>603</v>
      </c>
      <c r="F886" s="1">
        <f ca="1">IFERROR(VLOOKUP($A886,[1]库存使用数据!$A:$F,6,0),0)+IFERROR(VLOOKUP($A886,[2]库存使用数据!$A:$F,6,0),0)+IFERROR(VLOOKUP($A886,[4]库存使用数据!$A:$F,6,0),0)+IFERROR(VLOOKUP($A886,[3]库存使用数据!$A:$F,6,0),0)+IFERROR(VLOOKUP($A886,[5]库存使用数据!$A:$F,6,0),0)</f>
        <v>5</v>
      </c>
      <c r="G886" s="1">
        <f ca="1">IFERROR(VLOOKUP($A886,[1]库存使用数据!$A:$G,7,0),0)+IFERROR(VLOOKUP($A886,[2]库存使用数据!$A:$G,7,0),0)+公式!$B$14*IFERROR(VLOOKUP($A886,[3]库存使用数据!$A:$G,7,0),0)+IFERROR(VLOOKUP($A886,[4]库存使用数据!$A:$G,7,0),0)+IFERROR(VLOOKUP($A886,[5]库存使用数据!$A:$G,7,0),0)</f>
        <v>0.43</v>
      </c>
      <c r="H886" s="1">
        <f ca="1">IFERROR(VLOOKUP($A886,[1]库存使用数据!$A:$H,8,0),0)+IFERROR(VLOOKUP($A886,[2]库存使用数据!$A:$H,8,0),0)+IFERROR(VLOOKUP($A886,[3]库存使用数据!$A:$H,8,0),0)+IFERROR(VLOOKUP($A886,[4]库存使用数据!$A:$H,8,0),0)+IFERROR(VLOOKUP($A886,[5]库存使用数据!$A:$H,8,0),0)</f>
        <v>103</v>
      </c>
      <c r="I886" s="1">
        <f ca="1">IFERROR(VLOOKUP($A886,[1]库存使用数据!$A:$I,9,0),0)+IFERROR(VLOOKUP($A886,[2]库存使用数据!$A:$I,9,0),0)+IFERROR(VLOOKUP($A886,[3]库存使用数据!$A:$I,9,0),0)+IFERROR(VLOOKUP($A886,[4]库存使用数据!$A:$I,9,0),0)+IFERROR(VLOOKUP($A886,[5]库存使用数据!$A:$I,9,0),0)</f>
        <v>3</v>
      </c>
      <c r="J886" s="1">
        <f ca="1">IFERROR(VLOOKUP($A886,[1]库存使用数据!$A:$J,10,0),0)+IFERROR(VLOOKUP($A886,[2]库存使用数据!$A:$J,10,0),0)+公式!$B$14*IFERROR(VLOOKUP($A886,[3]库存使用数据!$A:$J,10,0),0)+IFERROR(VLOOKUP($A886,[4]库存使用数据!$A:$J,10,0),0)+IFERROR(VLOOKUP($A886,[5]库存使用数据!$A:$J,10,0),0)</f>
        <v>0.31</v>
      </c>
      <c r="K886" s="1">
        <f ca="1">IFERROR(VLOOKUP($A886,[1]库存使用数据!$A:$K,11,0),0)+IFERROR(VLOOKUP($A886,[2]库存使用数据!$A:$K,11,0),0)+IFERROR(VLOOKUP($A886,[3]库存使用数据!$A:$K,11,0),0)+IFERROR(VLOOKUP($A886,[4]库存使用数据!$A:$K,11,0),0)+IFERROR(VLOOKUP($A886,[5]库存使用数据!$A:$K,11,0),0)</f>
        <v>0</v>
      </c>
      <c r="L886" s="1">
        <f ca="1">IFERROR(VLOOKUP($A886,[1]库存使用数据!$A:$L,12,0),0)+IFERROR(VLOOKUP($A886,[2]库存使用数据!$A:$L,12,0),0)+IFERROR(VLOOKUP($A886,[3]库存使用数据!$A:$L,12,0),0)+IFERROR(VLOOKUP($A886,[4]库存使用数据!$A:$L,12,0),0)+IFERROR(VLOOKUP($A886,[5]库存使用数据!$A:$L,12,0),0)</f>
        <v>0</v>
      </c>
      <c r="M886" s="1">
        <f ca="1">IFERROR(VLOOKUP($A886,[1]库存使用数据!$A:$M,13,0),0)+IFERROR(VLOOKUP($A886,[2]库存使用数据!$A:$M,13,0),0)+公式!$B$14*IFERROR(VLOOKUP($A886,[3]库存使用数据!$A:$M,13,0),0)+IFERROR(VLOOKUP($A886,[4]库存使用数据!$A:$M,13,0),0)+IFERROR(VLOOKUP($A886,[5]库存使用数据!$A:$M,13,0),0)</f>
        <v>0</v>
      </c>
    </row>
    <row r="887" spans="1:13">
      <c r="A887" s="6" t="s">
        <v>892</v>
      </c>
      <c r="B887" s="2">
        <f ca="1">IFERROR(VLOOKUP(A887,[1]库存使用数据!$A:$B,2,0),0)+IFERROR(VLOOKUP(A887,[2]库存使用数据!$A:$B,2,0),0)+IFERROR(VLOOKUP(,[3]库存使用数据!$A:$B,2,0),0)+IFERROR(VLOOKUP(A887,[4]库存使用数据!$A:$B,2,0),0)+IFERROR(VLOOKUP(A887,[5]库存使用数据!$A:$B,2,0),0)</f>
        <v>360</v>
      </c>
      <c r="C887" s="1">
        <f ca="1">IFERROR(VLOOKUP($A887,[1]库存使用数据!$A:$C,3,0),0)+IFERROR(VLOOKUP($A887,[2]库存使用数据!$A:$C,3,0),0)+IFERROR(VLOOKUP($A887,[3]库存使用数据!$A:$C,3,0),0)+IFERROR(VLOOKUP($A887,[4]库存使用数据!$A:$C,3,0),0)+IFERROR(VLOOKUP($A887,[5]库存使用数据!$A:$C,3,0),0)</f>
        <v>3</v>
      </c>
      <c r="D887" s="1">
        <f ca="1">IFERROR(VLOOKUP($A887,[1]库存使用数据!$A:$D,4,0),0)+IFERROR(VLOOKUP($A887,[2]库存使用数据!$A:$D,4,0),0)+公式!$B$1*IFERROR(VLOOKUP($A887,[3]库存使用数据!$A:$D,4,0),0)+IFERROR(VLOOKUP($A887,[4]库存使用数据!$A:$D,4,0),0)+IFERROR(VLOOKUP($A887,[5]库存使用数据!$A:$D,4,0),0)</f>
        <v>0.32</v>
      </c>
      <c r="E887" s="1">
        <f ca="1">IFERROR(VLOOKUP($A887,[1]库存使用数据!$A:$E,5,0),0)+IFERROR(VLOOKUP($A887,[2]库存使用数据!$A:$E,5,0),0)+IFERROR(VLOOKUP($A887,[3]库存使用数据!$A:$E,5,0),0)+IFERROR(VLOOKUP($A887,[4]库存使用数据!$A:$E,5,0),0)+IFERROR(VLOOKUP($A887,[5]库存使用数据!$A:$E,5,0),0)</f>
        <v>154</v>
      </c>
      <c r="F887" s="1">
        <f ca="1">IFERROR(VLOOKUP($A887,[1]库存使用数据!$A:$F,6,0),0)+IFERROR(VLOOKUP($A887,[2]库存使用数据!$A:$F,6,0),0)+IFERROR(VLOOKUP($A887,[4]库存使用数据!$A:$F,6,0),0)+IFERROR(VLOOKUP($A887,[3]库存使用数据!$A:$F,6,0),0)+IFERROR(VLOOKUP($A887,[5]库存使用数据!$A:$F,6,0),0)</f>
        <v>1</v>
      </c>
      <c r="G887" s="1">
        <f ca="1">IFERROR(VLOOKUP($A887,[1]库存使用数据!$A:$G,7,0),0)+IFERROR(VLOOKUP($A887,[2]库存使用数据!$A:$G,7,0),0)+公式!$B$14*IFERROR(VLOOKUP($A887,[3]库存使用数据!$A:$G,7,0),0)+IFERROR(VLOOKUP($A887,[4]库存使用数据!$A:$G,7,0),0)+IFERROR(VLOOKUP($A887,[5]库存使用数据!$A:$G,7,0),0)</f>
        <v>0.13</v>
      </c>
      <c r="H887" s="1">
        <f ca="1">IFERROR(VLOOKUP($A887,[1]库存使用数据!$A:$H,8,0),0)+IFERROR(VLOOKUP($A887,[2]库存使用数据!$A:$H,8,0),0)+IFERROR(VLOOKUP($A887,[3]库存使用数据!$A:$H,8,0),0)+IFERROR(VLOOKUP($A887,[4]库存使用数据!$A:$H,8,0),0)+IFERROR(VLOOKUP($A887,[5]库存使用数据!$A:$H,8,0),0)</f>
        <v>2</v>
      </c>
      <c r="I887" s="1">
        <f ca="1">IFERROR(VLOOKUP($A887,[1]库存使用数据!$A:$I,9,0),0)+IFERROR(VLOOKUP($A887,[2]库存使用数据!$A:$I,9,0),0)+IFERROR(VLOOKUP($A887,[3]库存使用数据!$A:$I,9,0),0)+IFERROR(VLOOKUP($A887,[4]库存使用数据!$A:$I,9,0),0)+IFERROR(VLOOKUP($A887,[5]库存使用数据!$A:$I,9,0),0)</f>
        <v>0</v>
      </c>
      <c r="J887" s="1">
        <f ca="1">IFERROR(VLOOKUP($A887,[1]库存使用数据!$A:$J,10,0),0)+IFERROR(VLOOKUP($A887,[2]库存使用数据!$A:$J,10,0),0)+公式!$B$14*IFERROR(VLOOKUP($A887,[3]库存使用数据!$A:$J,10,0),0)+IFERROR(VLOOKUP($A887,[4]库存使用数据!$A:$J,10,0),0)+IFERROR(VLOOKUP($A887,[5]库存使用数据!$A:$J,10,0),0)</f>
        <v>0</v>
      </c>
      <c r="K887" s="1">
        <f ca="1">IFERROR(VLOOKUP($A887,[1]库存使用数据!$A:$K,11,0),0)+IFERROR(VLOOKUP($A887,[2]库存使用数据!$A:$K,11,0),0)+IFERROR(VLOOKUP($A887,[3]库存使用数据!$A:$K,11,0),0)+IFERROR(VLOOKUP($A887,[4]库存使用数据!$A:$K,11,0),0)+IFERROR(VLOOKUP($A887,[5]库存使用数据!$A:$K,11,0),0)</f>
        <v>0</v>
      </c>
      <c r="L887" s="1">
        <f ca="1">IFERROR(VLOOKUP($A887,[1]库存使用数据!$A:$L,12,0),0)+IFERROR(VLOOKUP($A887,[2]库存使用数据!$A:$L,12,0),0)+IFERROR(VLOOKUP($A887,[3]库存使用数据!$A:$L,12,0),0)+IFERROR(VLOOKUP($A887,[4]库存使用数据!$A:$L,12,0),0)+IFERROR(VLOOKUP($A887,[5]库存使用数据!$A:$L,12,0),0)</f>
        <v>0</v>
      </c>
      <c r="M887" s="1">
        <f ca="1">IFERROR(VLOOKUP($A887,[1]库存使用数据!$A:$M,13,0),0)+IFERROR(VLOOKUP($A887,[2]库存使用数据!$A:$M,13,0),0)+公式!$B$14*IFERROR(VLOOKUP($A887,[3]库存使用数据!$A:$M,13,0),0)+IFERROR(VLOOKUP($A887,[4]库存使用数据!$A:$M,13,0),0)+IFERROR(VLOOKUP($A887,[5]库存使用数据!$A:$M,13,0),0)</f>
        <v>0</v>
      </c>
    </row>
    <row r="888" spans="1:13">
      <c r="A888" s="7" t="s">
        <v>893</v>
      </c>
      <c r="B888" s="2">
        <f ca="1">IFERROR(VLOOKUP(A888,[1]库存使用数据!$A:$B,2,0),0)+IFERROR(VLOOKUP(A888,[2]库存使用数据!$A:$B,2,0),0)+IFERROR(VLOOKUP(,[3]库存使用数据!$A:$B,2,0),0)+IFERROR(VLOOKUP(A888,[4]库存使用数据!$A:$B,2,0),0)+IFERROR(VLOOKUP(A888,[5]库存使用数据!$A:$B,2,0),0)</f>
        <v>56</v>
      </c>
      <c r="C888" s="1">
        <f ca="1">IFERROR(VLOOKUP($A888,[1]库存使用数据!$A:$C,3,0),0)+IFERROR(VLOOKUP($A888,[2]库存使用数据!$A:$C,3,0),0)+IFERROR(VLOOKUP($A888,[3]库存使用数据!$A:$C,3,0),0)+IFERROR(VLOOKUP($A888,[4]库存使用数据!$A:$C,3,0),0)+IFERROR(VLOOKUP($A888,[5]库存使用数据!$A:$C,3,0),0)</f>
        <v>0</v>
      </c>
      <c r="D888" s="1">
        <f ca="1">IFERROR(VLOOKUP($A888,[1]库存使用数据!$A:$D,4,0),0)+IFERROR(VLOOKUP($A888,[2]库存使用数据!$A:$D,4,0),0)+公式!$B$1*IFERROR(VLOOKUP($A888,[3]库存使用数据!$A:$D,4,0),0)+IFERROR(VLOOKUP($A888,[4]库存使用数据!$A:$D,4,0),0)+IFERROR(VLOOKUP($A888,[5]库存使用数据!$A:$D,4,0),0)</f>
        <v>0</v>
      </c>
      <c r="E888" s="1">
        <f ca="1">IFERROR(VLOOKUP($A888,[1]库存使用数据!$A:$E,5,0),0)+IFERROR(VLOOKUP($A888,[2]库存使用数据!$A:$E,5,0),0)+IFERROR(VLOOKUP($A888,[3]库存使用数据!$A:$E,5,0),0)+IFERROR(VLOOKUP($A888,[4]库存使用数据!$A:$E,5,0),0)+IFERROR(VLOOKUP($A888,[5]库存使用数据!$A:$E,5,0),0)</f>
        <v>0</v>
      </c>
      <c r="F888" s="1">
        <f ca="1">IFERROR(VLOOKUP($A888,[1]库存使用数据!$A:$F,6,0),0)+IFERROR(VLOOKUP($A888,[2]库存使用数据!$A:$F,6,0),0)+IFERROR(VLOOKUP($A888,[4]库存使用数据!$A:$F,6,0),0)+IFERROR(VLOOKUP($A888,[3]库存使用数据!$A:$F,6,0),0)+IFERROR(VLOOKUP($A888,[5]库存使用数据!$A:$F,6,0),0)</f>
        <v>0</v>
      </c>
      <c r="G888" s="1">
        <f ca="1">IFERROR(VLOOKUP($A888,[1]库存使用数据!$A:$G,7,0),0)+IFERROR(VLOOKUP($A888,[2]库存使用数据!$A:$G,7,0),0)+公式!$B$14*IFERROR(VLOOKUP($A888,[3]库存使用数据!$A:$G,7,0),0)+IFERROR(VLOOKUP($A888,[4]库存使用数据!$A:$G,7,0),0)+IFERROR(VLOOKUP($A888,[5]库存使用数据!$A:$G,7,0),0)</f>
        <v>0</v>
      </c>
      <c r="H888" s="1">
        <f ca="1">IFERROR(VLOOKUP($A888,[1]库存使用数据!$A:$H,8,0),0)+IFERROR(VLOOKUP($A888,[2]库存使用数据!$A:$H,8,0),0)+IFERROR(VLOOKUP($A888,[3]库存使用数据!$A:$H,8,0),0)+IFERROR(VLOOKUP($A888,[4]库存使用数据!$A:$H,8,0),0)+IFERROR(VLOOKUP($A888,[5]库存使用数据!$A:$H,8,0),0)</f>
        <v>0</v>
      </c>
      <c r="I888" s="1">
        <f ca="1">IFERROR(VLOOKUP($A888,[1]库存使用数据!$A:$I,9,0),0)+IFERROR(VLOOKUP($A888,[2]库存使用数据!$A:$I,9,0),0)+IFERROR(VLOOKUP($A888,[3]库存使用数据!$A:$I,9,0),0)+IFERROR(VLOOKUP($A888,[4]库存使用数据!$A:$I,9,0),0)+IFERROR(VLOOKUP($A888,[5]库存使用数据!$A:$I,9,0),0)</f>
        <v>0</v>
      </c>
      <c r="J888" s="1">
        <f ca="1">IFERROR(VLOOKUP($A888,[1]库存使用数据!$A:$J,10,0),0)+IFERROR(VLOOKUP($A888,[2]库存使用数据!$A:$J,10,0),0)+公式!$B$14*IFERROR(VLOOKUP($A888,[3]库存使用数据!$A:$J,10,0),0)+IFERROR(VLOOKUP($A888,[4]库存使用数据!$A:$J,10,0),0)+IFERROR(VLOOKUP($A888,[5]库存使用数据!$A:$J,10,0),0)</f>
        <v>0</v>
      </c>
      <c r="K888" s="1">
        <f ca="1">IFERROR(VLOOKUP($A888,[1]库存使用数据!$A:$K,11,0),0)+IFERROR(VLOOKUP($A888,[2]库存使用数据!$A:$K,11,0),0)+IFERROR(VLOOKUP($A888,[3]库存使用数据!$A:$K,11,0),0)+IFERROR(VLOOKUP($A888,[4]库存使用数据!$A:$K,11,0),0)+IFERROR(VLOOKUP($A888,[5]库存使用数据!$A:$K,11,0),0)</f>
        <v>0</v>
      </c>
      <c r="L888" s="1">
        <f ca="1">IFERROR(VLOOKUP($A888,[1]库存使用数据!$A:$L,12,0),0)+IFERROR(VLOOKUP($A888,[2]库存使用数据!$A:$L,12,0),0)+IFERROR(VLOOKUP($A888,[3]库存使用数据!$A:$L,12,0),0)+IFERROR(VLOOKUP($A888,[4]库存使用数据!$A:$L,12,0),0)+IFERROR(VLOOKUP($A888,[5]库存使用数据!$A:$L,12,0),0)</f>
        <v>0</v>
      </c>
      <c r="M888" s="1">
        <f ca="1">IFERROR(VLOOKUP($A888,[1]库存使用数据!$A:$M,13,0),0)+IFERROR(VLOOKUP($A888,[2]库存使用数据!$A:$M,13,0),0)+公式!$B$14*IFERROR(VLOOKUP($A888,[3]库存使用数据!$A:$M,13,0),0)+IFERROR(VLOOKUP($A888,[4]库存使用数据!$A:$M,13,0),0)+IFERROR(VLOOKUP($A888,[5]库存使用数据!$A:$M,13,0),0)</f>
        <v>0</v>
      </c>
    </row>
    <row r="889" spans="2:13">
      <c r="B889" s="2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</row>
    <row r="890" spans="2:13">
      <c r="B890" s="2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</row>
    <row r="891" spans="2:13">
      <c r="B891" s="2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</row>
    <row r="892" spans="2:13">
      <c r="B892" s="2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</row>
    <row r="893" spans="2:13">
      <c r="B893" s="2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</row>
    <row r="894" spans="2:13">
      <c r="B894" s="2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</row>
    <row r="895" spans="2:13">
      <c r="B895" s="2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</row>
    <row r="896" spans="2:13">
      <c r="B896" s="2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</row>
    <row r="897" spans="2:13">
      <c r="B897" s="2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</row>
    <row r="898" spans="2:13">
      <c r="B898" s="2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</row>
    <row r="899" spans="2:13">
      <c r="B899" s="2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</row>
    <row r="900" spans="2:13">
      <c r="B900" s="2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</row>
    <row r="901" spans="2:13">
      <c r="B901" s="2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</row>
    <row r="902" spans="2:13">
      <c r="B902" s="2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</row>
    <row r="903" spans="2:13">
      <c r="B903" s="2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</row>
    <row r="904" spans="2:13">
      <c r="B904" s="2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</row>
    <row r="905" spans="2:13">
      <c r="B905" s="2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</row>
    <row r="906" spans="2:13">
      <c r="B906" s="2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</row>
    <row r="907" spans="2:13">
      <c r="B907" s="2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</row>
    <row r="908" spans="2:13">
      <c r="B908" s="2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</row>
    <row r="909" spans="2:13">
      <c r="B909" s="2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</row>
    <row r="910" spans="2:13">
      <c r="B910" s="2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</row>
    <row r="911" spans="2:13">
      <c r="B911" s="2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</row>
    <row r="912" spans="2:13">
      <c r="B912" s="2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</row>
    <row r="913" spans="2:13">
      <c r="B913" s="2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</row>
    <row r="914" spans="2:13">
      <c r="B914" s="2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</row>
    <row r="915" spans="2:13">
      <c r="B915" s="2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</row>
    <row r="916" spans="2:13">
      <c r="B916" s="2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</row>
    <row r="917" spans="2:13">
      <c r="B917" s="2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</row>
    <row r="918" spans="2:13">
      <c r="B918" s="2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</row>
    <row r="919" spans="2:13">
      <c r="B919" s="2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</row>
  </sheetData>
  <mergeCells count="4">
    <mergeCell ref="B1:D1"/>
    <mergeCell ref="E1:G1"/>
    <mergeCell ref="H1:J1"/>
    <mergeCell ref="K1:M1"/>
  </mergeCells>
  <pageMargins left="0.699305555555556" right="0.699305555555556" top="0.75" bottom="0.75" header="0.3" footer="0.3"/>
  <pageSetup paperSize="9" orientation="portrait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13</xdr:col>
                <xdr:colOff>9525</xdr:colOff>
                <xdr:row>0</xdr:row>
                <xdr:rowOff>635</xdr:rowOff>
              </from>
              <to>
                <xdr:col>15</xdr:col>
                <xdr:colOff>19050</xdr:colOff>
                <xdr:row>2</xdr:row>
                <xdr:rowOff>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B1"/>
  <sheetViews>
    <sheetView workbookViewId="0">
      <selection activeCell="A1" sqref="A1:B1"/>
    </sheetView>
  </sheetViews>
  <sheetFormatPr defaultColWidth="9" defaultRowHeight="13.5" outlineLevelCol="1"/>
  <sheetData>
    <row r="1" spans="1:2">
      <c r="A1" s="1" t="s">
        <v>894</v>
      </c>
      <c r="B1" s="1">
        <v>1.125</v>
      </c>
    </row>
  </sheetData>
  <pageMargins left="0.75" right="0.75" top="1" bottom="1" header="0.511805555555556" footer="0.511805555555556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库存报告使用数据</vt:lpstr>
      <vt:lpstr>公式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LMY</dc:creator>
  <cp:lastModifiedBy>LMY</cp:lastModifiedBy>
  <dcterms:created xsi:type="dcterms:W3CDTF">2018-07-03T07:32:00Z</dcterms:created>
  <dcterms:modified xsi:type="dcterms:W3CDTF">2018-07-10T08:18:08Z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</Properties>
</file>