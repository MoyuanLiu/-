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'库存（父sku）'!$A$4:$AT$246</definedName>
    <definedName name="_xlnm._FilterDatabase" localSheetId="0" hidden="1">'库存（子SKU）'!$A$6:$AV$281</definedName>
  </definedNames>
  <calcPr calcId="144525" concurrentCalc="0"/>
</workbook>
</file>

<file path=xl/sharedStrings.xml><?xml version="1.0" encoding="utf-8"?>
<sst xmlns="http://schemas.openxmlformats.org/spreadsheetml/2006/main" count="679">
  <si>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</si>
  <si>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</si>
  <si>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</si>
  <si>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</si>
  <si>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</si>
  <si>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</si>
  <si>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</si>
  <si>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</si>
  <si>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</si>
  <si>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</si>
  <si>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</si>
  <si>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</si>
  <si>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</si>
  <si>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</si>
  <si>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</si>
  <si>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</si>
  <si>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</si>
  <si>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</si>
  <si>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</si>
  <si>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</si>
  <si>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</si>
  <si>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</si>
  <si>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</si>
  <si>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</si>
  <si>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</si>
  <si>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</si>
  <si>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</si>
  <si>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</si>
  <si>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</si>
  <si>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</si>
  <si>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</si>
  <si>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</si>
  <si>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</si>
  <si>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</si>
  <si>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</si>
  <si>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</si>
  <si>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</si>
  <si>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</si>
  <si>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</si>
  <si>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</si>
  <si>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</si>
  <si>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</si>
  <si>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</si>
  <si>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</si>
  <si>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</si>
  <si>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</si>
  <si>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</si>
  <si>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</si>
  <si>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</si>
  <si>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</si>
  <si>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</si>
  <si>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</si>
  <si>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</si>
  <si>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</si>
  <si>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</si>
  <si>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</si>
  <si>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</si>
  <si>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</si>
  <si>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</si>
  <si>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</si>
  <si>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</si>
  <si>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</si>
  <si>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</si>
  <si>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</si>
  <si>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</si>
  <si>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</si>
  <si>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</si>
  <si>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</si>
  <si>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</si>
  <si>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BDB-LUHM001-B0</t>
  </si>
  <si>
    <t>B07DQS5YP2</t>
  </si>
  <si>
    <t>BDB-LUHM001</t>
  </si>
  <si>
    <t>无销量广告费为0.98</t>
  </si>
  <si>
    <t>无销量广告费为3.09</t>
  </si>
  <si>
    <t>BDB-LUHM001-G0</t>
  </si>
  <si>
    <t>B07DQLVNSH</t>
  </si>
  <si>
    <t>BDB-LUHM001-K0</t>
  </si>
  <si>
    <t>B07DQL77MR</t>
  </si>
  <si>
    <t>无销量广告费为0.8</t>
  </si>
  <si>
    <t>无销量广告费为6.76</t>
  </si>
  <si>
    <t>BDB-LUHM001-R0</t>
  </si>
  <si>
    <t>B07DQMJRJG</t>
  </si>
  <si>
    <t>BDB-LUHM001-Y0</t>
  </si>
  <si>
    <t>B07DQPGWNM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</si>
  <si>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</si>
  <si>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</si>
  <si>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</si>
  <si>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</si>
  <si>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</si>
  <si>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</si>
  <si>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</si>
  <si>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</si>
  <si>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</si>
  <si>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</si>
  <si>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</si>
  <si>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</si>
  <si>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</si>
  <si>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</si>
  <si>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</si>
  <si>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</si>
  <si>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</si>
  <si>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</si>
  <si>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</si>
  <si>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</si>
  <si>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</si>
  <si>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</si>
  <si>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</si>
  <si>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</si>
  <si>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</si>
  <si>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</si>
  <si>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</si>
  <si>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</si>
  <si>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</si>
  <si>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</si>
  <si>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</si>
  <si>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</si>
  <si>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</si>
  <si>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</si>
  <si>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</si>
  <si>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</si>
  <si>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</si>
  <si>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</si>
  <si>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</si>
  <si>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</si>
  <si>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</si>
  <si>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</si>
  <si>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</si>
  <si>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</si>
  <si>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</si>
  <si>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</si>
  <si>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</si>
  <si>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</si>
  <si>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</si>
  <si>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</si>
  <si>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</si>
  <si>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</si>
  <si>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</si>
  <si>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</si>
  <si>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</si>
  <si>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</si>
  <si>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</si>
  <si>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</si>
  <si>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</si>
  <si>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</si>
  <si>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</si>
  <si>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</si>
  <si>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</si>
  <si>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</si>
  <si>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</si>
  <si>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</si>
  <si>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</si>
  <si>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</si>
  <si>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</si>
  <si>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</si>
  <si>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</si>
  <si>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</si>
  <si>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</si>
  <si>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</si>
  <si>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</si>
  <si>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</si>
  <si>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</si>
  <si>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</si>
  <si>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</si>
  <si>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</si>
  <si>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</si>
  <si>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</si>
  <si>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</si>
  <si>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</si>
  <si>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</si>
  <si>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</si>
  <si>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</si>
  <si>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</si>
  <si>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</si>
  <si>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</si>
  <si>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</si>
  <si>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</si>
  <si>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</si>
  <si>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</si>
  <si>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</si>
  <si>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</si>
  <si>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</si>
  <si>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</si>
  <si>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</si>
  <si>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</si>
  <si>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</si>
  <si>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</si>
  <si>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</si>
  <si>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</si>
  <si>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</si>
  <si>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</si>
  <si>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</si>
  <si>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</si>
  <si>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</si>
  <si>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</si>
  <si>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</si>
  <si>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</si>
  <si>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</si>
  <si>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</si>
  <si>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</si>
  <si>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</si>
  <si>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</si>
  <si>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</si>
  <si>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</si>
  <si>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</si>
  <si>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</si>
  <si>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</si>
  <si>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</si>
  <si>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</si>
  <si>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</si>
  <si>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</si>
  <si>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</si>
  <si>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</si>
  <si>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</si>
  <si>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无销量广告费为1.78</t>
  </si>
  <si>
    <t>GB-LUHM035-BE</t>
  </si>
  <si>
    <t>B07F64BTCD</t>
  </si>
  <si>
    <t>无销量广告费为4.07</t>
  </si>
  <si>
    <t>GB-LUHM035-P0</t>
  </si>
  <si>
    <t>B07F68CBMK</t>
  </si>
  <si>
    <t>GSQPQ-WF2012-GO</t>
  </si>
  <si>
    <t>B077264LR6</t>
  </si>
  <si>
    <t>GSQPQ-WF2012</t>
  </si>
  <si>
    <t>GT-WFTFGT200-209</t>
  </si>
  <si>
    <t>B076J6K8RL</t>
  </si>
  <si>
    <t>GT-WFTFGT200</t>
  </si>
  <si>
    <t>GT-WFTFGT200-213</t>
  </si>
  <si>
    <t>B0787XKBRG</t>
  </si>
  <si>
    <t>GT-WFTFGT200-214</t>
  </si>
  <si>
    <t>B076JBP5ZS</t>
  </si>
  <si>
    <t>GT-WFTFGT200-216</t>
  </si>
  <si>
    <t>B076J67W43</t>
  </si>
  <si>
    <t>GT-WFTFGT200-220</t>
  </si>
  <si>
    <t>B076J6VFSP</t>
  </si>
  <si>
    <t>GT-WFTFGT200-221</t>
  </si>
  <si>
    <t>B076J2DG1R</t>
  </si>
  <si>
    <t>GT-WFTFGT200-223</t>
  </si>
  <si>
    <t>B076J61QFW</t>
  </si>
  <si>
    <t>GT-WFTFGT200-224</t>
  </si>
  <si>
    <t>B076J5DWFM</t>
  </si>
  <si>
    <t>GT-WFY1-E1</t>
  </si>
  <si>
    <t>B077NVWPQW</t>
  </si>
  <si>
    <t>GT-WFY1</t>
  </si>
  <si>
    <t>GT-WFY1-E2</t>
  </si>
  <si>
    <t>B07842F5P9</t>
  </si>
  <si>
    <t>GT-WFY1-E3</t>
  </si>
  <si>
    <t>B077NZLTQX</t>
  </si>
  <si>
    <t>GT-WFY1-E4</t>
  </si>
  <si>
    <t>B077NVQNC9</t>
  </si>
  <si>
    <t>HYD-WF7995-BO-XL</t>
  </si>
  <si>
    <t>B077STZV9Y</t>
  </si>
  <si>
    <t>HYD-WF7995</t>
  </si>
  <si>
    <t>HYD-WF7995-RO-XL</t>
  </si>
  <si>
    <t>B077SZ4KTN</t>
  </si>
  <si>
    <t>JS-LUHM100-AX</t>
  </si>
  <si>
    <t>B07FCJN97Z</t>
  </si>
  <si>
    <t>JS-LUHM100</t>
  </si>
  <si>
    <t>无销量广告费为11.61</t>
  </si>
  <si>
    <t>无销量广告费为23.37</t>
  </si>
  <si>
    <t>JS-LUHM100-JSZFX</t>
  </si>
  <si>
    <t>B07FCH27G9</t>
  </si>
  <si>
    <t>无销量广告费为2.76</t>
  </si>
  <si>
    <t>JS-LUHM100-KLT</t>
  </si>
  <si>
    <t>B07FCHZRK5</t>
  </si>
  <si>
    <t>JS-LUHM100-LBX</t>
  </si>
  <si>
    <t>B07FCFK3BH</t>
  </si>
  <si>
    <t>无销量广告费为0.07</t>
  </si>
  <si>
    <t>无销量广告费为9.02</t>
  </si>
  <si>
    <t>无销量广告费为8.02</t>
  </si>
  <si>
    <t>无销量广告费为0.52</t>
  </si>
  <si>
    <t>JS-LUHM100-LX</t>
  </si>
  <si>
    <t>B07FCHT1T1</t>
  </si>
  <si>
    <t>JS-LUHM100-XJQ</t>
  </si>
  <si>
    <t>B07FZZH8SL</t>
  </si>
  <si>
    <t>JS-LUHM100-ZFX</t>
  </si>
  <si>
    <t>B07FCJN913</t>
  </si>
  <si>
    <t>KZ-LUHM000-E0-L</t>
  </si>
  <si>
    <t>B073XLK4G5</t>
  </si>
  <si>
    <t>KZ-LUHM000</t>
  </si>
  <si>
    <t>KZ-LUHM000-E0-M</t>
  </si>
  <si>
    <t>B071VFYY2V</t>
  </si>
  <si>
    <t>KZ-LUHM000-K0-L</t>
  </si>
  <si>
    <t>B073XM44QG</t>
  </si>
  <si>
    <t>KZ-LUHM000-K0-M</t>
  </si>
  <si>
    <t>B0725CDCCN</t>
  </si>
  <si>
    <t>KZ-LUHM000-R0-M</t>
  </si>
  <si>
    <t>B071NP2X5N</t>
  </si>
  <si>
    <t>KZ-LUHM000-W0-M</t>
  </si>
  <si>
    <t>B0716LH9B7</t>
  </si>
  <si>
    <t>KZ-LUHM000-Y0-M</t>
  </si>
  <si>
    <t>B071HHSJ1R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</si>
  <si>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</si>
  <si>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</si>
  <si>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</si>
  <si>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</si>
  <si>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</si>
  <si>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</si>
  <si>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</si>
  <si>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</si>
  <si>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</si>
  <si>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</si>
  <si>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</si>
  <si>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</si>
  <si>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</si>
  <si>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</si>
  <si>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</si>
  <si>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</si>
  <si>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</si>
  <si>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</si>
  <si>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</si>
  <si>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</si>
  <si>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无销量广告费为47.09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</si>
  <si>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</si>
  <si>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</si>
  <si>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</si>
  <si>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</si>
  <si>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</si>
  <si>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</si>
  <si>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</si>
  <si>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</si>
  <si>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</si>
  <si>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</si>
  <si>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</si>
  <si>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</si>
  <si>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</si>
  <si>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</si>
  <si>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</si>
  <si>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</si>
  <si>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</si>
  <si>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</si>
  <si>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</si>
  <si>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</si>
  <si>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</si>
  <si>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</si>
  <si>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</si>
  <si>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</si>
  <si>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</si>
  <si>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</si>
  <si>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</si>
  <si>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</si>
  <si>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</si>
  <si>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</si>
  <si>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无销量广告费为90.76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</si>
  <si>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</si>
  <si>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</si>
  <si>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</si>
  <si>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</si>
  <si>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</si>
  <si>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</si>
  <si>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</si>
  <si>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</si>
  <si>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</si>
  <si>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</si>
  <si>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</si>
  <si>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</si>
  <si>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</si>
  <si>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</si>
  <si>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</si>
  <si>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</si>
  <si>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</si>
  <si>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无销量广告费为6.03</t>
  </si>
  <si>
    <t>RYMT-WF712-PI-L</t>
  </si>
  <si>
    <t>B077X8RLVJ</t>
  </si>
  <si>
    <t>无销量广告费为10.67</t>
  </si>
  <si>
    <t>RYMT-WF712-PO-L</t>
  </si>
  <si>
    <t>B077XB44XX</t>
  </si>
  <si>
    <t>SB-LUHM100-B0</t>
  </si>
  <si>
    <t>B07DVH33X4</t>
  </si>
  <si>
    <t>SB-LUHM100</t>
  </si>
  <si>
    <t>SB-LUHM100-G0</t>
  </si>
  <si>
    <t>B07DVLM761</t>
  </si>
  <si>
    <t>SB-LUHM100-K0</t>
  </si>
  <si>
    <t>B07DVBN2KT</t>
  </si>
  <si>
    <t>SB-LUHM100-R0</t>
  </si>
  <si>
    <t>B07DVK4HKX</t>
  </si>
  <si>
    <t>SB-LUHM101-B0</t>
  </si>
  <si>
    <t>B07FJQJ4XP</t>
  </si>
  <si>
    <t>SB-LUHM101</t>
  </si>
  <si>
    <t>SD-LUHM202-B0</t>
  </si>
  <si>
    <t>B07CVDZCBW</t>
  </si>
  <si>
    <t>SD-LUHM202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</si>
  <si>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</si>
  <si>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</si>
  <si>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</si>
  <si>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</si>
  <si>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</si>
  <si>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</si>
  <si>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</si>
  <si>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</si>
  <si>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SDSZH-BS</t>
  </si>
  <si>
    <t>B076P8MNVV</t>
  </si>
  <si>
    <t>SDSZH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</si>
  <si>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</si>
  <si>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</si>
  <si>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</si>
  <si>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</si>
  <si>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</si>
  <si>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</si>
  <si>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</si>
  <si>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无销量广告费为1.22</t>
  </si>
  <si>
    <t>无销量广告费为0.5</t>
  </si>
  <si>
    <t>SG-LUHM100-K0</t>
  </si>
  <si>
    <t>B07F634TZ1</t>
  </si>
  <si>
    <t>SG-LUHM100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</si>
  <si>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</si>
  <si>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</si>
  <si>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</si>
  <si>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</si>
  <si>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</si>
  <si>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</si>
  <si>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</si>
  <si>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无销量广告费为5.2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</si>
  <si>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</si>
  <si>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</si>
  <si>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</si>
  <si>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</si>
  <si>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</si>
  <si>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</si>
  <si>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</si>
  <si>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</si>
  <si>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</si>
  <si>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</si>
  <si>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</si>
  <si>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</si>
  <si>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</si>
  <si>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</si>
  <si>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</si>
  <si>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</si>
  <si>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</si>
  <si>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</si>
  <si>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</si>
  <si>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SNH-LUHM001-G0</t>
  </si>
  <si>
    <t>B07DQMT2TL</t>
  </si>
  <si>
    <t>SNH-LUHM001-K0</t>
  </si>
  <si>
    <t>B07DQLZ5KK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</si>
  <si>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</si>
  <si>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</si>
  <si>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</si>
  <si>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</si>
  <si>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</si>
  <si>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</si>
  <si>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</si>
  <si>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</si>
  <si>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</si>
  <si>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</si>
  <si>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</si>
  <si>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</si>
  <si>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SNT-LUHM001-HY</t>
  </si>
  <si>
    <t>B07DQMV7N9</t>
  </si>
  <si>
    <t>SNT-LUHM001-KT</t>
  </si>
  <si>
    <t>B07DQN92XD</t>
  </si>
  <si>
    <t>SNT-LUHM001-WX</t>
  </si>
  <si>
    <t>B07DQLKY6T</t>
  </si>
  <si>
    <t>SNT-LUHM001-ZX</t>
  </si>
  <si>
    <t>B07DQVJFGS</t>
  </si>
  <si>
    <t>SQ-LUHM204</t>
  </si>
  <si>
    <t>B07DKXSV9P</t>
  </si>
  <si>
    <t>SQ-LUHM</t>
  </si>
  <si>
    <t>无销量广告费为16.24</t>
  </si>
  <si>
    <t>无销量广告费为3.19</t>
  </si>
  <si>
    <t>SQ-LUHM304</t>
  </si>
  <si>
    <t>B07DKWSJ1Z</t>
  </si>
  <si>
    <t>SQ-LUHM354</t>
  </si>
  <si>
    <t>B07DKV16HS</t>
  </si>
  <si>
    <t>无销量广告费为7.44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</si>
  <si>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</si>
  <si>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</si>
  <si>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</si>
  <si>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</si>
  <si>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</si>
  <si>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</si>
  <si>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</si>
  <si>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</si>
  <si>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</si>
  <si>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</si>
  <si>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</si>
  <si>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</si>
  <si>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</si>
  <si>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</si>
  <si>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</si>
  <si>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</si>
  <si>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</si>
  <si>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</si>
  <si>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</si>
  <si>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</si>
  <si>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无销量广告费为2.73</t>
  </si>
  <si>
    <t>无销量广告费为2.97</t>
  </si>
  <si>
    <t>无销量广告费为2.51</t>
  </si>
  <si>
    <t>无销量广告费为11.68</t>
  </si>
  <si>
    <t>TEST-BR-6IN</t>
  </si>
  <si>
    <t>B07D6GDQ2G</t>
  </si>
  <si>
    <t>TEST-Y0-7IN</t>
  </si>
  <si>
    <t>B07D6GHKF6</t>
  </si>
  <si>
    <t>TEST-Y0</t>
  </si>
  <si>
    <t>TESTY0-6IN</t>
  </si>
  <si>
    <t>B07D6FCMJS</t>
  </si>
  <si>
    <t>WB-LUHM002-B0</t>
  </si>
  <si>
    <t>B07DVLSHLK</t>
  </si>
  <si>
    <t>WB-LUHM002</t>
  </si>
  <si>
    <t>WB-LUHM002-E0</t>
  </si>
  <si>
    <t>B07DVHDT1N</t>
  </si>
  <si>
    <t>无销量广告费为6.6</t>
  </si>
  <si>
    <t>WB-LUHM002-G0</t>
  </si>
  <si>
    <t>B07DVGSHDP</t>
  </si>
  <si>
    <t>无销量广告费为8.1</t>
  </si>
  <si>
    <t>无销量广告费为11.91</t>
  </si>
  <si>
    <t>WB-LUHM002-R0</t>
  </si>
  <si>
    <t>B07DVK765T</t>
  </si>
  <si>
    <t>无销量广告费为1.39</t>
  </si>
  <si>
    <t>无销量广告费为0.51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</si>
  <si>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</si>
  <si>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</si>
  <si>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</si>
  <si>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</si>
  <si>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</si>
  <si>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</si>
  <si>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</si>
  <si>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</si>
  <si>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</si>
  <si>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</si>
  <si>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</si>
  <si>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</si>
  <si>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</si>
  <si>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</si>
  <si>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</si>
  <si>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</si>
  <si>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</si>
  <si>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</si>
  <si>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</si>
  <si>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</si>
  <si>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</si>
  <si>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</si>
  <si>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</si>
  <si>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</si>
  <si>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</si>
  <si>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</si>
  <si>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</si>
  <si>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</si>
  <si>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</si>
  <si>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</si>
  <si>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</si>
  <si>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</si>
  <si>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</si>
  <si>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</si>
  <si>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</si>
  <si>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</si>
  <si>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</si>
  <si>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</si>
  <si>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</si>
  <si>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</si>
  <si>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</si>
  <si>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</si>
  <si>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</si>
  <si>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</si>
  <si>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</si>
  <si>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</si>
  <si>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</si>
  <si>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</si>
  <si>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</si>
  <si>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</si>
  <si>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</si>
  <si>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</si>
  <si>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</si>
  <si>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</si>
  <si>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</si>
  <si>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XK-YIWUJS-PJ</t>
  </si>
  <si>
    <t>B001B52VSW</t>
  </si>
  <si>
    <t>XK-YIWUJS-Y0-6IN</t>
  </si>
  <si>
    <t>B07D4GBBQB</t>
  </si>
  <si>
    <t>XK-YIWUJS-Y0-7IN</t>
  </si>
  <si>
    <t>B07D4FQCYC</t>
  </si>
  <si>
    <t>XK-YIWUJS2-BR-6IN</t>
  </si>
  <si>
    <t>B07D4FWK6H</t>
  </si>
  <si>
    <t>XK-YIWUJS2</t>
  </si>
  <si>
    <t>无销量广告费为0.75</t>
  </si>
  <si>
    <t>XK-YIWUJS2-BR-7IN</t>
  </si>
  <si>
    <t>B07D4GDZTQ</t>
  </si>
  <si>
    <t>无销量广告费为0.63</t>
  </si>
  <si>
    <t>XK-YIWUJS2-PJ</t>
  </si>
  <si>
    <t>B00VGTGHS8</t>
  </si>
  <si>
    <t>XK-YIWUJS2-Y0-6IN</t>
  </si>
  <si>
    <t>B07D4GSD2Q</t>
  </si>
  <si>
    <t>XK-YIWUJS2-Y0-7IN</t>
  </si>
  <si>
    <t>B07D4GT945</t>
  </si>
  <si>
    <t>无销量广告费为0.74</t>
  </si>
  <si>
    <t>XM-LUHM111-X0</t>
  </si>
  <si>
    <t>B07C76QF92</t>
  </si>
  <si>
    <t>XM-LUHM111</t>
  </si>
  <si>
    <t>XQ-LUHM034-X0</t>
  </si>
  <si>
    <t>B07C76QGLV</t>
  </si>
  <si>
    <t>XQ-LUHM034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</si>
  <si>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</si>
  <si>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</si>
  <si>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</si>
  <si>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</si>
  <si>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</si>
  <si>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</si>
  <si>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</si>
  <si>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</si>
  <si>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</si>
  <si>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无销量广告费为4.33</t>
  </si>
  <si>
    <t>YQ-LUHM-F112</t>
  </si>
  <si>
    <t>B07DLX7V45</t>
  </si>
  <si>
    <t>YQ-LUHM-F114</t>
  </si>
  <si>
    <t>B07DLTWN39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</si>
  <si>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</si>
  <si>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</si>
  <si>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</si>
  <si>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</si>
  <si>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</si>
  <si>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</si>
  <si>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</si>
  <si>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</si>
  <si>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</si>
  <si>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</si>
  <si>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</si>
  <si>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</si>
  <si>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</si>
  <si>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</si>
  <si>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</si>
  <si>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</si>
  <si>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</si>
  <si>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</si>
  <si>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</si>
  <si>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</si>
  <si>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</si>
  <si>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</si>
  <si>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</si>
  <si>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</si>
  <si>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</si>
  <si>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</si>
  <si>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</si>
  <si>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</si>
  <si>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</si>
  <si>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ZYL-FLQ06-BG-40</t>
  </si>
  <si>
    <t>B075RCQD9P</t>
  </si>
  <si>
    <t>ZYL-FLQ06-HG-40</t>
  </si>
  <si>
    <t>B075R4XJZV</t>
  </si>
  <si>
    <t>ZYL-FLQ06-TZ-40</t>
  </si>
  <si>
    <t>B075R4RWDL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</si>
  <si>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</si>
  <si>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</si>
  <si>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</si>
  <si>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</si>
  <si>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</si>
  <si>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</si>
  <si>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</si>
  <si>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</si>
  <si>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</si>
  <si>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</si>
  <si>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</si>
  <si>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</si>
  <si>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</si>
  <si>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</si>
  <si>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</si>
  <si>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</si>
  <si>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</si>
  <si>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</si>
  <si>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无销量广告费为3.52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</si>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</sst>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4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5" fillId="9" borderId="4" applyNumberFormat="0" applyAlignment="0" applyProtection="0">
      <alignment vertical="center"/>
    </xf>
    <xf numFmtId="0" fontId="11" fillId="9" borderId="2" applyNumberFormat="0" applyAlignment="0" applyProtection="0">
      <alignment vertical="center"/>
    </xf>
    <xf numFmtId="0" fontId="25" fillId="25" borderId="8" applyNumberForma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BA-FLQ02-BO-6</v>
          </cell>
          <cell r="B19" t="str">
            <v>BA-FLQ02</v>
          </cell>
        </row>
        <row r="20">
          <cell r="A20" t="str">
            <v>BA-FLQ02-GD-4</v>
          </cell>
          <cell r="B20" t="str">
            <v>BA-FLQ02</v>
          </cell>
        </row>
        <row r="21">
          <cell r="A21" t="str">
            <v>BA-FLQ02-GD-6</v>
          </cell>
          <cell r="B21" t="str">
            <v>BA-FLQ02</v>
          </cell>
        </row>
        <row r="22">
          <cell r="A22" t="str">
            <v>BA-FLQ02-LB-4</v>
          </cell>
          <cell r="B22" t="str">
            <v>BA-FLQ02</v>
          </cell>
        </row>
        <row r="23">
          <cell r="A23" t="str">
            <v>BA-FLQ02-LB-6</v>
          </cell>
          <cell r="B23" t="str">
            <v>BA-FLQ02</v>
          </cell>
        </row>
        <row r="24">
          <cell r="A24" t="str">
            <v>BA-FLQ02-R2-4</v>
          </cell>
          <cell r="B24" t="str">
            <v>BA-FLQ02</v>
          </cell>
        </row>
        <row r="25">
          <cell r="A25" t="str">
            <v>BA-FLQ02-R2-6</v>
          </cell>
          <cell r="B25" t="str">
            <v>BA-FLQ02</v>
          </cell>
        </row>
        <row r="26">
          <cell r="A26" t="str">
            <v>BA-FLQ02-RO-4</v>
          </cell>
          <cell r="B26" t="str">
            <v>BA-FLQ02</v>
          </cell>
        </row>
        <row r="27">
          <cell r="A27" t="str">
            <v>BA-FLQ02-RO-6</v>
          </cell>
          <cell r="B27" t="str">
            <v>BA-FLQ02</v>
          </cell>
        </row>
        <row r="28">
          <cell r="A28" t="str">
            <v>BA-FLQ02-SI-4</v>
          </cell>
          <cell r="B28" t="str">
            <v>BA-FLQ02</v>
          </cell>
        </row>
        <row r="29">
          <cell r="A29" t="str">
            <v>BA-FLQ02-SI-6</v>
          </cell>
          <cell r="B29" t="str">
            <v>BA-FLQ02</v>
          </cell>
        </row>
        <row r="30">
          <cell r="A30" t="str">
            <v>BA-FLQ03-CS-6</v>
          </cell>
          <cell r="B30" t="str">
            <v>BA-FLQ03</v>
          </cell>
        </row>
        <row r="31">
          <cell r="A31" t="str">
            <v>BA-FLQ03-RD-6</v>
          </cell>
          <cell r="B31" t="str">
            <v>BA-FLQ03</v>
          </cell>
        </row>
        <row r="32">
          <cell r="A32" t="str">
            <v>BA-FLQ32-BO-6</v>
          </cell>
          <cell r="B32" t="str">
            <v>BA-FLQ32</v>
          </cell>
        </row>
        <row r="33">
          <cell r="A33" t="str">
            <v>BBBD-1605A-BL</v>
          </cell>
          <cell r="B33" t="str">
            <v>BBBD-1605A</v>
          </cell>
        </row>
        <row r="34">
          <cell r="A34" t="str">
            <v>BBBD-1605A-RD</v>
          </cell>
          <cell r="B34" t="str">
            <v>BBBD-1605A</v>
          </cell>
        </row>
        <row r="35">
          <cell r="A35" t="str">
            <v>BBBD-BUSB1605A-BL</v>
          </cell>
          <cell r="B35" t="str">
            <v>BBBD-BUSB1605A</v>
          </cell>
        </row>
        <row r="36">
          <cell r="A36" t="str">
            <v>BBBD-BUSB1605A-CF</v>
          </cell>
          <cell r="B36" t="str">
            <v>BBBD-BUSB1605A</v>
          </cell>
        </row>
        <row r="37">
          <cell r="A37" t="str">
            <v>BBBD-BUSB1605A-PK</v>
          </cell>
          <cell r="B37" t="str">
            <v>BBBD-BUSB1605A</v>
          </cell>
        </row>
        <row r="38">
          <cell r="A38" t="str">
            <v>BBBD-BUSB1605A-RD</v>
          </cell>
          <cell r="B38" t="str">
            <v>BBBD-BUSB1605A</v>
          </cell>
        </row>
        <row r="39">
          <cell r="A39" t="str">
            <v>BBBD-BUSB1605B-BL</v>
          </cell>
          <cell r="B39" t="str">
            <v>BBBD-BUSB1605B</v>
          </cell>
        </row>
        <row r="40">
          <cell r="A40" t="str">
            <v>BBBD-BUSB1605B-PK</v>
          </cell>
          <cell r="B40" t="str">
            <v>BBBD-BUSB1605B</v>
          </cell>
        </row>
        <row r="41">
          <cell r="A41" t="str">
            <v>BBBD-BUSB1605B-RD</v>
          </cell>
          <cell r="B41" t="str">
            <v>BBBD-BUSB1605B</v>
          </cell>
        </row>
        <row r="42">
          <cell r="A42" t="str">
            <v>BDB-LUHM001-B0</v>
          </cell>
          <cell r="B42" t="str">
            <v>BDB-LUHM001</v>
          </cell>
        </row>
        <row r="43">
          <cell r="A43" t="str">
            <v>BDB-LUHM001-G0</v>
          </cell>
          <cell r="B43" t="str">
            <v>BDB-LUHM001</v>
          </cell>
        </row>
        <row r="44">
          <cell r="A44" t="str">
            <v>BDB-LUHM001-K0</v>
          </cell>
          <cell r="B44" t="str">
            <v>BDB-LUHM001</v>
          </cell>
        </row>
        <row r="45">
          <cell r="A45" t="str">
            <v>BDB-LUHM001-R0</v>
          </cell>
          <cell r="B45" t="str">
            <v>BDB-LUHM001</v>
          </cell>
        </row>
        <row r="46">
          <cell r="A46" t="str">
            <v>BDB-LUHM001-Y0</v>
          </cell>
          <cell r="B46" t="str">
            <v>BDB-LUHM001</v>
          </cell>
        </row>
        <row r="47">
          <cell r="A47" t="str">
            <v>BDB-LUHM001-ZL</v>
          </cell>
          <cell r="B47" t="str">
            <v>BDB-LUHM001</v>
          </cell>
        </row>
        <row r="48">
          <cell r="A48" t="str">
            <v>BDB-WF212-BJX-M</v>
          </cell>
          <cell r="B48" t="str">
            <v>BDB-WF212</v>
          </cell>
        </row>
        <row r="49">
          <cell r="A49" t="str">
            <v>BDB-WF212-CW-M</v>
          </cell>
          <cell r="B49" t="str">
            <v>BDB-WF212</v>
          </cell>
        </row>
        <row r="50">
          <cell r="A50" t="str">
            <v>BDB-WF212-JY-M</v>
          </cell>
          <cell r="B50" t="str">
            <v>BDB-WF212</v>
          </cell>
        </row>
        <row r="51">
          <cell r="A51" t="str">
            <v>BDB-WF212-SH-M</v>
          </cell>
          <cell r="B51" t="str">
            <v>BDB-WF212</v>
          </cell>
        </row>
        <row r="52">
          <cell r="A52" t="str">
            <v>BDB-WF212-SJS-M</v>
          </cell>
          <cell r="B52" t="str">
            <v>BDB-WF212</v>
          </cell>
        </row>
        <row r="53">
          <cell r="A53" t="str">
            <v>BD-LUHM001-X0</v>
          </cell>
          <cell r="B53" t="str">
            <v>BD-LUHM001</v>
          </cell>
        </row>
        <row r="54">
          <cell r="A54" t="str">
            <v>BD-LUHM010</v>
          </cell>
          <cell r="B54" t="str">
            <v>BD-LUHM010</v>
          </cell>
        </row>
        <row r="55">
          <cell r="A55" t="str">
            <v>BD-PUHM101-B0-L</v>
          </cell>
          <cell r="B55" t="str">
            <v>BD-LUHM010</v>
          </cell>
        </row>
        <row r="56">
          <cell r="A56" t="str">
            <v>BD-PUHM101-B0-M</v>
          </cell>
          <cell r="B56" t="str">
            <v>BD-LUHM010</v>
          </cell>
        </row>
        <row r="57">
          <cell r="A57" t="str">
            <v>BD-PUHM101-B0-S</v>
          </cell>
          <cell r="B57" t="str">
            <v>BD-LUHM010</v>
          </cell>
        </row>
        <row r="58">
          <cell r="A58" t="str">
            <v>BD-PUHM101-B0-XL</v>
          </cell>
          <cell r="B58" t="str">
            <v>BD-LUHM010</v>
          </cell>
        </row>
        <row r="59">
          <cell r="A59" t="str">
            <v>BD-PUHM101-G0-L</v>
          </cell>
          <cell r="B59" t="str">
            <v>BD-LUHM010</v>
          </cell>
        </row>
        <row r="60">
          <cell r="A60" t="str">
            <v>BD-PUHM101-G0-M</v>
          </cell>
          <cell r="B60" t="str">
            <v>BD-LUHM010</v>
          </cell>
        </row>
        <row r="61">
          <cell r="A61" t="str">
            <v>BD-PUHM101-G0-S</v>
          </cell>
          <cell r="B61" t="str">
            <v>BD-LUHM010</v>
          </cell>
        </row>
        <row r="62">
          <cell r="A62" t="str">
            <v>BD-PUHM101-G0-XL</v>
          </cell>
          <cell r="B62" t="str">
            <v>BD-LUHM010</v>
          </cell>
        </row>
        <row r="63">
          <cell r="A63" t="str">
            <v>BD-PUHM101-K0-L</v>
          </cell>
          <cell r="B63" t="str">
            <v>BD-LUHM010</v>
          </cell>
        </row>
        <row r="64">
          <cell r="A64" t="str">
            <v>BD-PUHM101-K0-M</v>
          </cell>
          <cell r="B64" t="str">
            <v>BD-LUHM010</v>
          </cell>
        </row>
        <row r="65">
          <cell r="A65" t="str">
            <v>BD-PUHM101-K0-S</v>
          </cell>
          <cell r="B65" t="str">
            <v>BD-LUHM010</v>
          </cell>
        </row>
        <row r="66">
          <cell r="A66" t="str">
            <v>BD-PUHM101-K0-XL</v>
          </cell>
          <cell r="B66" t="str">
            <v>BD-LUHM010</v>
          </cell>
        </row>
        <row r="67">
          <cell r="A67" t="str">
            <v>BD-PUHM101-R0-L</v>
          </cell>
          <cell r="B67" t="str">
            <v>BD-LUHM010</v>
          </cell>
        </row>
        <row r="68">
          <cell r="A68" t="str">
            <v>BD-PUHM101-R0-M</v>
          </cell>
          <cell r="B68" t="str">
            <v>BD-LUHM010</v>
          </cell>
        </row>
        <row r="69">
          <cell r="A69" t="str">
            <v>BD-PUHM101-R0-S</v>
          </cell>
          <cell r="B69" t="str">
            <v>BD-LUHM010</v>
          </cell>
        </row>
        <row r="70">
          <cell r="A70" t="str">
            <v>BD-PUHM101-R0-XL</v>
          </cell>
          <cell r="B70" t="str">
            <v>BD-LUHM010</v>
          </cell>
        </row>
        <row r="71">
          <cell r="A71" t="str">
            <v>BLT-LUHM000-CL</v>
          </cell>
          <cell r="B71" t="str">
            <v>BLT-LUHM000</v>
          </cell>
        </row>
        <row r="72">
          <cell r="A72" t="str">
            <v>BLT-LUHM000-CR</v>
          </cell>
          <cell r="B72" t="str">
            <v>BLT-LUHM000</v>
          </cell>
        </row>
        <row r="73">
          <cell r="A73" t="str">
            <v>BLT-LUHM000-GL</v>
          </cell>
          <cell r="B73" t="str">
            <v>BLT-LUHM000</v>
          </cell>
        </row>
        <row r="74">
          <cell r="A74" t="str">
            <v>BLT-LUHM000-GR</v>
          </cell>
          <cell r="B74" t="str">
            <v>BLT-LUHM000</v>
          </cell>
        </row>
        <row r="75">
          <cell r="A75" t="str">
            <v>BLT-LUHM000-LB</v>
          </cell>
          <cell r="B75" t="str">
            <v>BLT-LUHM000</v>
          </cell>
        </row>
        <row r="76">
          <cell r="A76" t="str">
            <v>BLT-LUHM000-RB</v>
          </cell>
          <cell r="B76" t="str">
            <v>BLT-LUHM000</v>
          </cell>
        </row>
        <row r="77">
          <cell r="A77" t="str">
            <v>BLT-LUHM819-W0</v>
          </cell>
          <cell r="B77" t="str">
            <v>BLT-LUHM819</v>
          </cell>
        </row>
        <row r="78">
          <cell r="A78" t="str">
            <v>BLT-NWF125-Cat</v>
          </cell>
          <cell r="B78" t="str">
            <v>BLT-NWF125</v>
          </cell>
        </row>
        <row r="79">
          <cell r="A79" t="str">
            <v>BLT-NWF125-Panda</v>
          </cell>
          <cell r="B79" t="str">
            <v>BLT-NWF125</v>
          </cell>
        </row>
        <row r="80">
          <cell r="A80" t="str">
            <v>BLT-WF125-CAT</v>
          </cell>
          <cell r="B80" t="str">
            <v>BLT-WF125</v>
          </cell>
        </row>
        <row r="81">
          <cell r="A81" t="str">
            <v>BLT-WF125-COW</v>
          </cell>
          <cell r="B81" t="str">
            <v>BLT-WF125</v>
          </cell>
        </row>
        <row r="82">
          <cell r="A82" t="str">
            <v>BLT-WF125-LION</v>
          </cell>
          <cell r="B82" t="str">
            <v>BLT-WF125</v>
          </cell>
        </row>
        <row r="83">
          <cell r="A83" t="str">
            <v>BLT-WF125-PANDA</v>
          </cell>
          <cell r="B83" t="str">
            <v>BLT-WF125</v>
          </cell>
        </row>
        <row r="84">
          <cell r="A84" t="str">
            <v>BX-PUHM000-G0-2XL</v>
          </cell>
          <cell r="B84" t="str">
            <v>BX-PUHM000</v>
          </cell>
        </row>
        <row r="85">
          <cell r="A85" t="str">
            <v>BX-PUHM000-G0-3XL</v>
          </cell>
          <cell r="B85" t="str">
            <v>BX-PUHM000</v>
          </cell>
        </row>
        <row r="86">
          <cell r="A86" t="str">
            <v>BX-PUHM000-G0-4XL</v>
          </cell>
          <cell r="B86" t="str">
            <v>BX-PUHM000</v>
          </cell>
        </row>
        <row r="87">
          <cell r="A87" t="str">
            <v>BX-PUHM000-G0-5XL</v>
          </cell>
          <cell r="B87" t="str">
            <v>BX-PUHM000</v>
          </cell>
        </row>
        <row r="88">
          <cell r="A88" t="str">
            <v>BX-PUHM000-G0-L</v>
          </cell>
          <cell r="B88" t="str">
            <v>BX-PUHM000</v>
          </cell>
        </row>
        <row r="89">
          <cell r="A89" t="str">
            <v>BX-PUHM000-G0-M</v>
          </cell>
          <cell r="B89" t="str">
            <v>BX-PUHM000</v>
          </cell>
        </row>
        <row r="90">
          <cell r="A90" t="str">
            <v>BX-PUHM000-G0-S</v>
          </cell>
          <cell r="B90" t="str">
            <v>BX-PUHM000</v>
          </cell>
        </row>
        <row r="91">
          <cell r="A91" t="str">
            <v>BX-PUHM000-G0-XL</v>
          </cell>
          <cell r="B91" t="str">
            <v>BX-PUHM000</v>
          </cell>
        </row>
        <row r="92">
          <cell r="A92" t="str">
            <v>BX-PUHM000-OR-2XL</v>
          </cell>
          <cell r="B92" t="str">
            <v>BX-PUHM000</v>
          </cell>
        </row>
        <row r="93">
          <cell r="A93" t="str">
            <v>BX-PUHM000-OR-3XL</v>
          </cell>
          <cell r="B93" t="str">
            <v>BX-PUHM000</v>
          </cell>
        </row>
        <row r="94">
          <cell r="A94" t="str">
            <v>BX-PUHM000-OR-4XL</v>
          </cell>
          <cell r="B94" t="str">
            <v>BX-PUHM000</v>
          </cell>
        </row>
        <row r="95">
          <cell r="A95" t="str">
            <v>BX-PUHM000-OR-5XL</v>
          </cell>
          <cell r="B95" t="str">
            <v>BX-PUHM000</v>
          </cell>
        </row>
        <row r="96">
          <cell r="A96" t="str">
            <v>BX-PUHM000-OR-L</v>
          </cell>
          <cell r="B96" t="str">
            <v>BX-PUHM000</v>
          </cell>
        </row>
        <row r="97">
          <cell r="A97" t="str">
            <v>BX-PUHM000-OR-M</v>
          </cell>
          <cell r="B97" t="str">
            <v>BX-PUHM000</v>
          </cell>
        </row>
        <row r="98">
          <cell r="A98" t="str">
            <v>BX-PUHM000-OR-S</v>
          </cell>
          <cell r="B98" t="str">
            <v>BX-PUHM000</v>
          </cell>
        </row>
        <row r="99">
          <cell r="A99" t="str">
            <v>BX-PUHM000-OR-XL</v>
          </cell>
          <cell r="B99" t="str">
            <v>BX-PUHM000</v>
          </cell>
        </row>
        <row r="100">
          <cell r="A100" t="str">
            <v>BX-PUHM000-P0-2XL</v>
          </cell>
          <cell r="B100" t="str">
            <v>BX-PUHM000</v>
          </cell>
        </row>
        <row r="101">
          <cell r="A101" t="str">
            <v>BX-PUHM000-P0-3XL</v>
          </cell>
          <cell r="B101" t="str">
            <v>BX-PUHM000</v>
          </cell>
        </row>
        <row r="102">
          <cell r="A102" t="str">
            <v>BX-PUHM000-P0-4XL</v>
          </cell>
          <cell r="B102" t="str">
            <v>BX-PUHM000</v>
          </cell>
        </row>
        <row r="103">
          <cell r="A103" t="str">
            <v>BX-PUHM000-P0-5XL</v>
          </cell>
          <cell r="B103" t="str">
            <v>BX-PUHM000</v>
          </cell>
        </row>
        <row r="104">
          <cell r="A104" t="str">
            <v>BX-PUHM000-P0-L</v>
          </cell>
          <cell r="B104" t="str">
            <v>BX-PUHM000</v>
          </cell>
        </row>
        <row r="105">
          <cell r="A105" t="str">
            <v>BX-PUHM000-P0-M</v>
          </cell>
          <cell r="B105" t="str">
            <v>BX-PUHM000</v>
          </cell>
        </row>
        <row r="106">
          <cell r="A106" t="str">
            <v>BX-PUHM000-P0-S</v>
          </cell>
          <cell r="B106" t="str">
            <v>BX-PUHM000</v>
          </cell>
        </row>
        <row r="107">
          <cell r="A107" t="str">
            <v>BX-PUHM000-P0-XL</v>
          </cell>
          <cell r="B107" t="str">
            <v>BX-PUHM000</v>
          </cell>
        </row>
        <row r="108">
          <cell r="A108" t="str">
            <v>BX-PUHM000-PI-2XL</v>
          </cell>
          <cell r="B108" t="str">
            <v>BX-PUHM000</v>
          </cell>
        </row>
        <row r="109">
          <cell r="A109" t="str">
            <v>BX-PUHM000-PI-3XL</v>
          </cell>
          <cell r="B109" t="str">
            <v>BX-PUHM000</v>
          </cell>
        </row>
        <row r="110">
          <cell r="A110" t="str">
            <v>BX-PUHM000-PI-4XL</v>
          </cell>
          <cell r="B110" t="str">
            <v>BX-PUHM000</v>
          </cell>
        </row>
        <row r="111">
          <cell r="A111" t="str">
            <v>BX-PUHM000-PI-5XL</v>
          </cell>
          <cell r="B111" t="str">
            <v>BX-PUHM000</v>
          </cell>
        </row>
        <row r="112">
          <cell r="A112" t="str">
            <v>BX-PUHM000-PI-L</v>
          </cell>
          <cell r="B112" t="str">
            <v>BX-PUHM000</v>
          </cell>
        </row>
        <row r="113">
          <cell r="A113" t="str">
            <v>BX-PUHM000-PI-M</v>
          </cell>
          <cell r="B113" t="str">
            <v>BX-PUHM000</v>
          </cell>
        </row>
        <row r="114">
          <cell r="A114" t="str">
            <v>BX-PUHM000-PI-S</v>
          </cell>
          <cell r="B114" t="str">
            <v>BX-PUHM000</v>
          </cell>
        </row>
        <row r="115">
          <cell r="A115" t="str">
            <v>BX-PUHM000-PI-XL</v>
          </cell>
          <cell r="B115" t="str">
            <v>BX-PUHM000</v>
          </cell>
        </row>
        <row r="116">
          <cell r="A116" t="str">
            <v>BX-PUHM000-R0-2XL</v>
          </cell>
          <cell r="B116" t="str">
            <v>BX-PUHM000</v>
          </cell>
        </row>
        <row r="117">
          <cell r="A117" t="str">
            <v>BX-PUHM000-R0-3XL</v>
          </cell>
          <cell r="B117" t="str">
            <v>BX-PUHM000</v>
          </cell>
        </row>
        <row r="118">
          <cell r="A118" t="str">
            <v>BX-PUHM000-R0-4XL</v>
          </cell>
          <cell r="B118" t="str">
            <v>BX-PUHM000</v>
          </cell>
        </row>
        <row r="119">
          <cell r="A119" t="str">
            <v>BX-PUHM000-R0-5XL</v>
          </cell>
          <cell r="B119" t="str">
            <v>BX-PUHM000</v>
          </cell>
        </row>
        <row r="120">
          <cell r="A120" t="str">
            <v>BX-PUHM000-R0-L</v>
          </cell>
          <cell r="B120" t="str">
            <v>BX-PUHM000</v>
          </cell>
        </row>
        <row r="121">
          <cell r="A121" t="str">
            <v>BX-PUHM000-R0-M</v>
          </cell>
          <cell r="B121" t="str">
            <v>BX-PUHM000</v>
          </cell>
        </row>
        <row r="122">
          <cell r="A122" t="str">
            <v>BX-PUHM000-R0-S</v>
          </cell>
          <cell r="B122" t="str">
            <v>BX-PUHM000</v>
          </cell>
        </row>
        <row r="123">
          <cell r="A123" t="str">
            <v>BX-PUHM000-R0-XL</v>
          </cell>
          <cell r="B123" t="str">
            <v>BX-PUHM000</v>
          </cell>
        </row>
        <row r="124">
          <cell r="A124" t="str">
            <v>BX-PUHM001-B0-L</v>
          </cell>
          <cell r="B124" t="str">
            <v>BX-PUHM001</v>
          </cell>
        </row>
        <row r="125">
          <cell r="A125" t="str">
            <v>BX-PUHM001-B0-M</v>
          </cell>
          <cell r="B125" t="str">
            <v>BX-PUHM001</v>
          </cell>
        </row>
        <row r="126">
          <cell r="A126" t="str">
            <v>BX-PUHM001-B0-S</v>
          </cell>
          <cell r="B126" t="str">
            <v>BX-PUHM001</v>
          </cell>
        </row>
        <row r="127">
          <cell r="A127" t="str">
            <v>BX-PUHM001-B0-XL</v>
          </cell>
          <cell r="B127" t="str">
            <v>BX-PUHM001</v>
          </cell>
        </row>
        <row r="128">
          <cell r="A128" t="str">
            <v>BX-PUHM001-B0-XS</v>
          </cell>
          <cell r="B128" t="str">
            <v>BX-PUHM001</v>
          </cell>
        </row>
        <row r="129">
          <cell r="A129" t="str">
            <v>BX-PUHM001-OR-L</v>
          </cell>
          <cell r="B129" t="str">
            <v>BX-PUHM001</v>
          </cell>
        </row>
        <row r="130">
          <cell r="A130" t="str">
            <v>BX-PUHM001-OR-M</v>
          </cell>
          <cell r="B130" t="str">
            <v>BX-PUHM001</v>
          </cell>
        </row>
        <row r="131">
          <cell r="A131" t="str">
            <v>BX-PUHM001-OR-S</v>
          </cell>
          <cell r="B131" t="str">
            <v>BX-PUHM001</v>
          </cell>
        </row>
        <row r="132">
          <cell r="A132" t="str">
            <v>BX-PUHM001-OR-XL</v>
          </cell>
          <cell r="B132" t="str">
            <v>BX-PUHM001</v>
          </cell>
        </row>
        <row r="133">
          <cell r="A133" t="str">
            <v>BX-PUHM001-OR-XS</v>
          </cell>
          <cell r="B133" t="str">
            <v>BX-PUHM001</v>
          </cell>
        </row>
        <row r="134">
          <cell r="A134" t="str">
            <v>BX-PUHM001-R0-L</v>
          </cell>
          <cell r="B134" t="str">
            <v>BX-PUHM001</v>
          </cell>
        </row>
        <row r="135">
          <cell r="A135" t="str">
            <v>BX-PUHM001-R0-M</v>
          </cell>
          <cell r="B135" t="str">
            <v>BX-PUHM001</v>
          </cell>
        </row>
        <row r="136">
          <cell r="A136" t="str">
            <v>BX-PUHM001-R0-S</v>
          </cell>
          <cell r="B136" t="str">
            <v>BX-PUHM001</v>
          </cell>
        </row>
        <row r="137">
          <cell r="A137" t="str">
            <v>BX-PUHM001-R0-XL</v>
          </cell>
          <cell r="B137" t="str">
            <v>BX-PUHM001</v>
          </cell>
        </row>
        <row r="138">
          <cell r="A138" t="str">
            <v>BX-PUHM001-R0-XS</v>
          </cell>
          <cell r="B138" t="str">
            <v>BX-PUHM001</v>
          </cell>
        </row>
        <row r="139">
          <cell r="A139" t="str">
            <v>BZ-WF211-BO</v>
          </cell>
          <cell r="B139" t="str">
            <v>BZ-WF211</v>
          </cell>
        </row>
        <row r="140">
          <cell r="A140" t="str">
            <v>BZ-WF211-BO-3M</v>
          </cell>
          <cell r="B140" t="str">
            <v>BZ-WF211</v>
          </cell>
        </row>
        <row r="141">
          <cell r="A141" t="str">
            <v>BZ-WF211-GR</v>
          </cell>
          <cell r="B141" t="str">
            <v>BZ-WF211</v>
          </cell>
        </row>
        <row r="142">
          <cell r="A142" t="str">
            <v>BZ-WF211-GR-3M</v>
          </cell>
          <cell r="B142" t="str">
            <v>BZ-WF211</v>
          </cell>
        </row>
        <row r="143">
          <cell r="A143" t="str">
            <v>BZ-WF211-PI</v>
          </cell>
          <cell r="B143" t="str">
            <v>BZ-WF211</v>
          </cell>
        </row>
        <row r="144">
          <cell r="A144" t="str">
            <v>BZ-WF211-PI-3M</v>
          </cell>
          <cell r="B144" t="str">
            <v>BZ-WF211</v>
          </cell>
        </row>
        <row r="145">
          <cell r="A145" t="str">
            <v>BZ-WF211-WO</v>
          </cell>
          <cell r="B145" t="str">
            <v>BZ-WF211</v>
          </cell>
        </row>
        <row r="146">
          <cell r="A146" t="str">
            <v>BZ-WF211-WO-3M</v>
          </cell>
          <cell r="B146" t="str">
            <v>BZ-WF211</v>
          </cell>
        </row>
        <row r="147">
          <cell r="A147" t="str">
            <v>CD-WF001-CF-1</v>
          </cell>
          <cell r="B147" t="str">
            <v>CD-WF001</v>
          </cell>
        </row>
        <row r="148">
          <cell r="A148" t="str">
            <v>CD-WF001-GO-1</v>
          </cell>
          <cell r="B148" t="str">
            <v>CD-WF001</v>
          </cell>
        </row>
        <row r="149">
          <cell r="A149" t="str">
            <v>CD-WF001-GR-1</v>
          </cell>
          <cell r="B149" t="str">
            <v>CD-WF001</v>
          </cell>
        </row>
        <row r="150">
          <cell r="A150" t="str">
            <v>CD-WF001-KK-1</v>
          </cell>
          <cell r="B150" t="str">
            <v>CD-WF001</v>
          </cell>
        </row>
        <row r="151">
          <cell r="A151" t="str">
            <v>CD-WF001-RO-1</v>
          </cell>
          <cell r="B151" t="str">
            <v>CD-WF001</v>
          </cell>
        </row>
        <row r="152">
          <cell r="A152" t="str">
            <v>CD-WF0728-4C</v>
          </cell>
          <cell r="B152" t="str">
            <v>CD-WF0728</v>
          </cell>
        </row>
        <row r="153">
          <cell r="A153" t="str">
            <v>CD-WF0728-4C-GM</v>
          </cell>
          <cell r="B153" t="str">
            <v>CD-WF0728</v>
          </cell>
        </row>
        <row r="154">
          <cell r="A154" t="str">
            <v>CD-WF117-GR-1</v>
          </cell>
          <cell r="B154" t="str">
            <v>CD-WF117</v>
          </cell>
        </row>
        <row r="155">
          <cell r="A155" t="str">
            <v>CD-WF117-WM-1</v>
          </cell>
          <cell r="B155" t="str">
            <v>CD-WF117</v>
          </cell>
        </row>
        <row r="156">
          <cell r="A156" t="str">
            <v>CD-WF482-BO</v>
          </cell>
          <cell r="B156" t="str">
            <v>CD-WF482</v>
          </cell>
        </row>
        <row r="157">
          <cell r="A157" t="str">
            <v>CD-WF482-BO-1</v>
          </cell>
          <cell r="B157" t="str">
            <v>CD-WF482</v>
          </cell>
        </row>
        <row r="158">
          <cell r="A158" t="str">
            <v>CD-WF482-CB</v>
          </cell>
          <cell r="B158" t="str">
            <v>CD-WF482</v>
          </cell>
        </row>
        <row r="159">
          <cell r="A159" t="str">
            <v>CD-WF482-CB-1</v>
          </cell>
          <cell r="B159" t="str">
            <v>CD-WF482</v>
          </cell>
        </row>
        <row r="160">
          <cell r="A160" t="str">
            <v>CD-WF482-RO</v>
          </cell>
          <cell r="B160" t="str">
            <v>CD-WF482</v>
          </cell>
        </row>
        <row r="161">
          <cell r="A161" t="str">
            <v>CD-WF482-RO-1</v>
          </cell>
          <cell r="B161" t="str">
            <v>CD-WF482</v>
          </cell>
        </row>
        <row r="162">
          <cell r="A162" t="str">
            <v>CD-WF-CF</v>
          </cell>
          <cell r="B162" t="str">
            <v>CD-WF</v>
          </cell>
        </row>
        <row r="163">
          <cell r="A163" t="str">
            <v>CD-WF-GD</v>
          </cell>
          <cell r="B163" t="str">
            <v>CD-WF</v>
          </cell>
        </row>
        <row r="164">
          <cell r="A164" t="str">
            <v>CD-WF-KK</v>
          </cell>
          <cell r="B164" t="str">
            <v>CD-WF</v>
          </cell>
        </row>
        <row r="165">
          <cell r="A165" t="str">
            <v>CD-WF-SG</v>
          </cell>
          <cell r="B165" t="str">
            <v>CD-WF</v>
          </cell>
        </row>
        <row r="166">
          <cell r="A166" t="str">
            <v>CD-WF-WO</v>
          </cell>
          <cell r="B166" t="str">
            <v>CD-WF</v>
          </cell>
        </row>
        <row r="167">
          <cell r="A167" t="str">
            <v>CLP-FLQ43-CS100-100</v>
          </cell>
          <cell r="B167" t="str">
            <v>CLP-FLQ43</v>
          </cell>
        </row>
        <row r="168">
          <cell r="A168" t="str">
            <v>CLP-FLQ43-CS60-60</v>
          </cell>
          <cell r="B168" t="str">
            <v>CLP-FLQ43</v>
          </cell>
        </row>
        <row r="169">
          <cell r="A169" t="str">
            <v>CQC-WF6346-BO</v>
          </cell>
          <cell r="B169" t="str">
            <v>CQC-WF6346</v>
          </cell>
        </row>
        <row r="170">
          <cell r="A170" t="str">
            <v>CQC-WF6346-GO</v>
          </cell>
          <cell r="B170" t="str">
            <v>CQC-WF6346</v>
          </cell>
        </row>
        <row r="171">
          <cell r="A171" t="str">
            <v>CQC-WF6346-PO</v>
          </cell>
          <cell r="B171" t="str">
            <v>CQC-WF6346</v>
          </cell>
        </row>
        <row r="172">
          <cell r="A172" t="str">
            <v>CWB-FLQ1703-GR-47</v>
          </cell>
          <cell r="B172" t="str">
            <v>CWB-FLQ1703</v>
          </cell>
        </row>
        <row r="173">
          <cell r="A173" t="str">
            <v>CWB-FLQ1703-LP-47</v>
          </cell>
          <cell r="B173" t="str">
            <v>CWB-FLQ1703</v>
          </cell>
        </row>
        <row r="174">
          <cell r="A174" t="str">
            <v>CWB-FLQ1703-NO-47</v>
          </cell>
          <cell r="B174" t="str">
            <v>CWB-FLQ1703</v>
          </cell>
        </row>
        <row r="175">
          <cell r="A175" t="str">
            <v>CWB-FLQ1703-PI-47</v>
          </cell>
          <cell r="B175" t="str">
            <v>CWB-FLQ1703</v>
          </cell>
        </row>
        <row r="176">
          <cell r="A176" t="str">
            <v>CWB-WF021-CF-L</v>
          </cell>
          <cell r="B176" t="str">
            <v>CWB-WF021</v>
          </cell>
        </row>
        <row r="177">
          <cell r="A177" t="str">
            <v>CWB-WF021-CF-M</v>
          </cell>
          <cell r="B177" t="str">
            <v>CWB-WF021</v>
          </cell>
        </row>
        <row r="178">
          <cell r="A178" t="str">
            <v>CWB-WF021-CF-S</v>
          </cell>
          <cell r="B178" t="str">
            <v>CWB-WF021</v>
          </cell>
        </row>
        <row r="179">
          <cell r="A179" t="str">
            <v>CWB-WF021-CF-XL</v>
          </cell>
          <cell r="B179" t="str">
            <v>CWB-WF021</v>
          </cell>
        </row>
        <row r="180">
          <cell r="A180" t="str">
            <v>CWB-WF021-QB-L</v>
          </cell>
          <cell r="B180" t="str">
            <v>CWB-WF021</v>
          </cell>
        </row>
        <row r="181">
          <cell r="A181" t="str">
            <v>CWB-WF021-QB-M</v>
          </cell>
          <cell r="B181" t="str">
            <v>CWB-WF021</v>
          </cell>
        </row>
        <row r="182">
          <cell r="A182" t="str">
            <v>CWB-WF021-QB-S</v>
          </cell>
          <cell r="B182" t="str">
            <v>CWB-WF021</v>
          </cell>
        </row>
        <row r="183">
          <cell r="A183" t="str">
            <v>CWB-WF021-QB-XL</v>
          </cell>
          <cell r="B183" t="str">
            <v>CWB-WF021</v>
          </cell>
        </row>
        <row r="184">
          <cell r="A184" t="str">
            <v>CWB-WF021-RB-L</v>
          </cell>
          <cell r="B184" t="str">
            <v>CWB-WF021</v>
          </cell>
        </row>
        <row r="185">
          <cell r="A185" t="str">
            <v>CWB-WF021-RB-M</v>
          </cell>
          <cell r="B185" t="str">
            <v>CWB-WF021</v>
          </cell>
        </row>
        <row r="186">
          <cell r="A186" t="str">
            <v>CWB-WF021-RB-S</v>
          </cell>
          <cell r="B186" t="str">
            <v>CWB-WF021</v>
          </cell>
        </row>
        <row r="187">
          <cell r="A187" t="str">
            <v>CWB-WF021-RB-XL</v>
          </cell>
          <cell r="B187" t="str">
            <v>CWB-WF021</v>
          </cell>
        </row>
        <row r="188">
          <cell r="A188" t="str">
            <v>DZ-IUYL200-BK</v>
          </cell>
          <cell r="B188" t="str">
            <v>DZ-IUYL200</v>
          </cell>
        </row>
        <row r="189">
          <cell r="A189" t="str">
            <v>DZ-IUYL200-GR</v>
          </cell>
          <cell r="B189" t="str">
            <v>DZ-IUYL200</v>
          </cell>
        </row>
        <row r="190">
          <cell r="A190" t="str">
            <v>DZ-IUYL210-BK</v>
          </cell>
          <cell r="B190" t="str">
            <v>DZ-IUYL210</v>
          </cell>
        </row>
        <row r="191">
          <cell r="A191" t="str">
            <v>DZ-IUYL210-GR</v>
          </cell>
          <cell r="B191" t="str">
            <v>DZ-IUYL210</v>
          </cell>
        </row>
        <row r="192">
          <cell r="A192" t="str">
            <v>DZ-IUYL220-BK</v>
          </cell>
          <cell r="B192" t="str">
            <v>DZ-IUYL220</v>
          </cell>
        </row>
        <row r="193">
          <cell r="A193" t="str">
            <v>DZ-IUYL220-GR</v>
          </cell>
          <cell r="B193" t="str">
            <v>DZ-IUYL220</v>
          </cell>
        </row>
        <row r="194">
          <cell r="A194" t="str">
            <v>GB-LUHM035-B0</v>
          </cell>
          <cell r="B194" t="str">
            <v>GB-LUHM035</v>
          </cell>
        </row>
        <row r="195">
          <cell r="A195" t="str">
            <v>GB-LUHM035-BE</v>
          </cell>
          <cell r="B195" t="str">
            <v>GB-LUHM035</v>
          </cell>
        </row>
        <row r="196">
          <cell r="A196" t="str">
            <v>GB-LUHM035-P0</v>
          </cell>
          <cell r="B196" t="str">
            <v>GB-LUHM035</v>
          </cell>
        </row>
        <row r="197">
          <cell r="A197" t="str">
            <v>GS-IUYL270</v>
          </cell>
          <cell r="B197" t="str">
            <v>GS-IUYL270</v>
          </cell>
        </row>
        <row r="198">
          <cell r="A198" t="str">
            <v>GS-IUYL280-1</v>
          </cell>
          <cell r="B198" t="str">
            <v>GS-IUYL280</v>
          </cell>
        </row>
        <row r="199">
          <cell r="A199" t="str">
            <v>GS-IUYL280-2</v>
          </cell>
          <cell r="B199" t="str">
            <v>GS-IUYL280</v>
          </cell>
        </row>
        <row r="200">
          <cell r="A200" t="str">
            <v>GS-IUYL280-3</v>
          </cell>
          <cell r="B200" t="str">
            <v>GS-IUYL280</v>
          </cell>
        </row>
        <row r="201">
          <cell r="A201" t="str">
            <v>GS-PUHM019-B0-L</v>
          </cell>
          <cell r="B201" t="str">
            <v>GS-PUHM019</v>
          </cell>
        </row>
        <row r="202">
          <cell r="A202" t="str">
            <v>GS-PUHM019-B0-M</v>
          </cell>
          <cell r="B202" t="str">
            <v>GS-PUHM019</v>
          </cell>
        </row>
        <row r="203">
          <cell r="A203" t="str">
            <v>GS-PUHM019-B0-S</v>
          </cell>
          <cell r="B203" t="str">
            <v>GS-PUHM019</v>
          </cell>
        </row>
        <row r="204">
          <cell r="A204" t="str">
            <v>GS-PUHM019-B0-XL</v>
          </cell>
          <cell r="B204" t="str">
            <v>GS-PUHM019</v>
          </cell>
        </row>
        <row r="205">
          <cell r="A205" t="str">
            <v>GS-PUHM019-K0-L</v>
          </cell>
          <cell r="B205" t="str">
            <v>GS-PUHM019</v>
          </cell>
        </row>
        <row r="206">
          <cell r="A206" t="str">
            <v>GS-PUHM019-K0-M</v>
          </cell>
          <cell r="B206" t="str">
            <v>GS-PUHM019</v>
          </cell>
        </row>
        <row r="207">
          <cell r="A207" t="str">
            <v>GS-PUHM019-K0-S</v>
          </cell>
          <cell r="B207" t="str">
            <v>GS-PUHM019</v>
          </cell>
        </row>
        <row r="208">
          <cell r="A208" t="str">
            <v>GS-PUHM019-K0-XL</v>
          </cell>
          <cell r="B208" t="str">
            <v>GS-PUHM019</v>
          </cell>
        </row>
        <row r="209">
          <cell r="A209" t="str">
            <v>GS-PUHM019-R0-L</v>
          </cell>
          <cell r="B209" t="str">
            <v>GS-PUHM019</v>
          </cell>
        </row>
        <row r="210">
          <cell r="A210" t="str">
            <v>GS-PUHM019-R0-M</v>
          </cell>
          <cell r="B210" t="str">
            <v>GS-PUHM019</v>
          </cell>
        </row>
        <row r="211">
          <cell r="A211" t="str">
            <v>GS-PUHM019-R0-S</v>
          </cell>
          <cell r="B211" t="str">
            <v>GS-PUHM019</v>
          </cell>
        </row>
        <row r="212">
          <cell r="A212" t="str">
            <v>GS-PUHM019-R0-XL</v>
          </cell>
          <cell r="B212" t="str">
            <v>GS-PUHM019</v>
          </cell>
        </row>
        <row r="213">
          <cell r="A213" t="str">
            <v>GSQPQ-WF2012-GO</v>
          </cell>
          <cell r="B213" t="str">
            <v>GSQPQ-WF2012</v>
          </cell>
        </row>
        <row r="214">
          <cell r="A214" t="str">
            <v>GT-WFTFGT200-209</v>
          </cell>
          <cell r="B214" t="str">
            <v>GT-WFTFGT200</v>
          </cell>
        </row>
        <row r="215">
          <cell r="A215" t="str">
            <v>GT-WFTFGT200-211</v>
          </cell>
          <cell r="B215" t="str">
            <v>GT-WFTFGT200</v>
          </cell>
        </row>
        <row r="216">
          <cell r="A216" t="str">
            <v>GT-WFTFGT200-213</v>
          </cell>
          <cell r="B216" t="str">
            <v>GT-WFTFGT200</v>
          </cell>
        </row>
        <row r="217">
          <cell r="A217" t="str">
            <v>GT-WFTFGT200-214</v>
          </cell>
          <cell r="B217" t="str">
            <v>GT-WFTFGT200</v>
          </cell>
        </row>
        <row r="218">
          <cell r="A218" t="str">
            <v>GT-WFTFGT200-216</v>
          </cell>
          <cell r="B218" t="str">
            <v>GT-WFTFGT200</v>
          </cell>
        </row>
        <row r="219">
          <cell r="A219" t="str">
            <v>GT-WFTFGT200-220</v>
          </cell>
          <cell r="B219" t="str">
            <v>GT-WFTFGT200</v>
          </cell>
        </row>
        <row r="220">
          <cell r="A220" t="str">
            <v>GT-WFTFGT200-221</v>
          </cell>
          <cell r="B220" t="str">
            <v>GT-WFTFGT200</v>
          </cell>
        </row>
        <row r="221">
          <cell r="A221" t="str">
            <v>GT-WFTFGT200-223</v>
          </cell>
          <cell r="B221" t="str">
            <v>GT-WFTFGT200</v>
          </cell>
        </row>
        <row r="222">
          <cell r="A222" t="str">
            <v>GT-WFTFGT200-224</v>
          </cell>
          <cell r="B222" t="str">
            <v>GT-WFTFGT200</v>
          </cell>
        </row>
        <row r="223">
          <cell r="A223" t="str">
            <v>GT-WFY1-E1</v>
          </cell>
          <cell r="B223" t="str">
            <v>GT-WFY1</v>
          </cell>
        </row>
        <row r="224">
          <cell r="A224" t="str">
            <v>GT-WFY1-E2</v>
          </cell>
          <cell r="B224" t="str">
            <v>GT-WFY1</v>
          </cell>
        </row>
        <row r="225">
          <cell r="A225" t="str">
            <v>GT-WFY1-E3</v>
          </cell>
          <cell r="B225" t="str">
            <v>GT-WFY1</v>
          </cell>
        </row>
        <row r="226">
          <cell r="A226" t="str">
            <v>GT-WFY1-E4</v>
          </cell>
          <cell r="B226" t="str">
            <v>GT-WFY1</v>
          </cell>
        </row>
        <row r="227">
          <cell r="A227" t="str">
            <v>GW-LULHY-10</v>
          </cell>
          <cell r="B227" t="str">
            <v>GW-LULHY</v>
          </cell>
        </row>
        <row r="228">
          <cell r="A228" t="str">
            <v>GW-LULHY-4.5</v>
          </cell>
          <cell r="B228" t="str">
            <v>GW-LULHY</v>
          </cell>
        </row>
        <row r="229">
          <cell r="A229" t="str">
            <v>GW-LULHY-5.1</v>
          </cell>
          <cell r="B229" t="str">
            <v>GW-LULHY</v>
          </cell>
        </row>
        <row r="230">
          <cell r="A230" t="str">
            <v>GW-LULHY-6.2</v>
          </cell>
          <cell r="B230" t="str">
            <v>GW-LULHY</v>
          </cell>
        </row>
        <row r="231">
          <cell r="A231" t="str">
            <v>GW-LULHY-7.6</v>
          </cell>
          <cell r="B231" t="str">
            <v>GW-LULHY</v>
          </cell>
        </row>
        <row r="232">
          <cell r="A232" t="str">
            <v>GW-LULHY-8.8</v>
          </cell>
          <cell r="B232" t="str">
            <v>GW-LULHY</v>
          </cell>
        </row>
        <row r="233">
          <cell r="A233" t="str">
            <v>HYD-WF7995-BO-XL</v>
          </cell>
          <cell r="B233" t="str">
            <v>HYD-WF7995</v>
          </cell>
        </row>
        <row r="234">
          <cell r="A234" t="str">
            <v>HYD-WF7995-RO-XL</v>
          </cell>
          <cell r="B234" t="str">
            <v>HYD-WF7995</v>
          </cell>
        </row>
        <row r="235">
          <cell r="A235" t="str">
            <v>HZB-QJTZ-IUYL300310</v>
          </cell>
          <cell r="B235" t="str">
            <v>HZB-QJTZ</v>
          </cell>
        </row>
        <row r="236">
          <cell r="A236" t="str">
            <v>JPTZH-FLQ10-XR-32</v>
          </cell>
          <cell r="B236" t="str">
            <v>JPTZH-FLQ10</v>
          </cell>
        </row>
        <row r="237">
          <cell r="A237" t="str">
            <v>JPTZH-FLQ11-GO-30</v>
          </cell>
          <cell r="B237" t="str">
            <v>JPTZH-FLQ11</v>
          </cell>
        </row>
        <row r="238">
          <cell r="A238" t="str">
            <v>JPTZH-FLQ13XZ</v>
          </cell>
          <cell r="B238" t="str">
            <v>JPTZH-FLQ13</v>
          </cell>
        </row>
        <row r="239">
          <cell r="A239" t="str">
            <v>JPTZH-FLQ14ML-RO-18</v>
          </cell>
          <cell r="B239" t="str">
            <v>JPTZH-FLQ14ML</v>
          </cell>
        </row>
        <row r="240">
          <cell r="A240" t="str">
            <v>JS-LUHM100-AX</v>
          </cell>
          <cell r="B240" t="str">
            <v>JS-LUHM100</v>
          </cell>
        </row>
        <row r="241">
          <cell r="A241" t="str">
            <v>JS-LUHM100-JSZFX</v>
          </cell>
          <cell r="B241" t="str">
            <v>JS-LUHM100</v>
          </cell>
        </row>
        <row r="242">
          <cell r="A242" t="str">
            <v>JS-LUHM100-KLT</v>
          </cell>
          <cell r="B242" t="str">
            <v>JS-LUHM100</v>
          </cell>
        </row>
        <row r="243">
          <cell r="A243" t="str">
            <v>JS-LUHM100-LBX</v>
          </cell>
          <cell r="B243" t="str">
            <v>JS-LUHM100</v>
          </cell>
        </row>
        <row r="244">
          <cell r="A244" t="str">
            <v>JS-LUHM100-LX</v>
          </cell>
          <cell r="B244" t="str">
            <v>JS-LUHM100</v>
          </cell>
        </row>
        <row r="245">
          <cell r="A245" t="str">
            <v>JS-LUHM100-XJQ</v>
          </cell>
          <cell r="B245" t="str">
            <v>JS-LUHM100</v>
          </cell>
        </row>
        <row r="246">
          <cell r="A246" t="str">
            <v>JS-LUHM100-ZFX</v>
          </cell>
          <cell r="B246" t="str">
            <v>JS-LUHM100</v>
          </cell>
        </row>
        <row r="247">
          <cell r="A247" t="str">
            <v>KZ-LUHM000-E0-L</v>
          </cell>
          <cell r="B247" t="str">
            <v>KZ-LUHM000</v>
          </cell>
        </row>
        <row r="248">
          <cell r="A248" t="str">
            <v>KZ-LUHM000-E0-M</v>
          </cell>
          <cell r="B248" t="str">
            <v>KZ-LUHM000</v>
          </cell>
        </row>
        <row r="249">
          <cell r="A249" t="str">
            <v>KZ-LUHM000-E0-XL</v>
          </cell>
          <cell r="B249" t="str">
            <v>KZ-LUHM000</v>
          </cell>
        </row>
        <row r="250">
          <cell r="A250" t="str">
            <v>KZ-LUHM000-K0-L</v>
          </cell>
          <cell r="B250" t="str">
            <v>KZ-LUHM000</v>
          </cell>
        </row>
        <row r="251">
          <cell r="A251" t="str">
            <v>KZ-LUHM000-K0-M</v>
          </cell>
          <cell r="B251" t="str">
            <v>KZ-LUHM000</v>
          </cell>
        </row>
        <row r="252">
          <cell r="A252" t="str">
            <v>KZ-LUHM000-K0-XL</v>
          </cell>
          <cell r="B252" t="str">
            <v>KZ-LUHM000</v>
          </cell>
        </row>
        <row r="253">
          <cell r="A253" t="str">
            <v>KZ-LUHM000-R0-L</v>
          </cell>
          <cell r="B253" t="str">
            <v>KZ-LUHM000</v>
          </cell>
        </row>
        <row r="254">
          <cell r="A254" t="str">
            <v>KZ-LUHM000-R0-M</v>
          </cell>
          <cell r="B254" t="str">
            <v>KZ-LUHM000</v>
          </cell>
        </row>
        <row r="255">
          <cell r="A255" t="str">
            <v>KZ-LUHM000-R0-XL</v>
          </cell>
          <cell r="B255" t="str">
            <v>KZ-LUHM000</v>
          </cell>
        </row>
        <row r="256">
          <cell r="A256" t="str">
            <v>KZ-LUHM000-W0-L</v>
          </cell>
          <cell r="B256" t="str">
            <v>KZ-LUHM000</v>
          </cell>
        </row>
        <row r="257">
          <cell r="A257" t="str">
            <v>KZ-LUHM000-W0-M</v>
          </cell>
          <cell r="B257" t="str">
            <v>KZ-LUHM000</v>
          </cell>
        </row>
        <row r="258">
          <cell r="A258" t="str">
            <v>KZ-LUHM000-W0-XL</v>
          </cell>
          <cell r="B258" t="str">
            <v>KZ-LUHM000</v>
          </cell>
        </row>
        <row r="259">
          <cell r="A259" t="str">
            <v>KZ-LUHM000-Y0-L</v>
          </cell>
          <cell r="B259" t="str">
            <v>KZ-LUHM000</v>
          </cell>
        </row>
        <row r="260">
          <cell r="A260" t="str">
            <v>KZ-LUHM000-Y0-M</v>
          </cell>
          <cell r="B260" t="str">
            <v>KZ-LUHM000</v>
          </cell>
        </row>
        <row r="261">
          <cell r="A261" t="str">
            <v>KZ-LUHM000-Y0-XL</v>
          </cell>
          <cell r="B261" t="str">
            <v>KZ-LUHM000</v>
          </cell>
        </row>
        <row r="262">
          <cell r="A262" t="str">
            <v>KZ-LY021-BK-32</v>
          </cell>
          <cell r="B262" t="str">
            <v>KZ-LY021</v>
          </cell>
        </row>
        <row r="263">
          <cell r="A263" t="str">
            <v>KZ-LY021-BK-34</v>
          </cell>
          <cell r="B263" t="str">
            <v>KZ-LY021</v>
          </cell>
        </row>
        <row r="264">
          <cell r="A264" t="str">
            <v>KZ-LY021-BK-36</v>
          </cell>
          <cell r="B264" t="str">
            <v>KZ-LY021</v>
          </cell>
        </row>
        <row r="265">
          <cell r="A265" t="str">
            <v>KZ-LY021-BK-38</v>
          </cell>
          <cell r="B265" t="str">
            <v>KZ-LY021</v>
          </cell>
        </row>
        <row r="266">
          <cell r="A266" t="str">
            <v>KZ-LY021-BK-40</v>
          </cell>
          <cell r="B266" t="str">
            <v>KZ-LY021</v>
          </cell>
        </row>
        <row r="267">
          <cell r="A267" t="str">
            <v>KZ-LY021-BL-32</v>
          </cell>
          <cell r="B267" t="str">
            <v>KZ-LY021</v>
          </cell>
        </row>
        <row r="268">
          <cell r="A268" t="str">
            <v>KZ-LY021-BL-34</v>
          </cell>
          <cell r="B268" t="str">
            <v>KZ-LY021</v>
          </cell>
        </row>
        <row r="269">
          <cell r="A269" t="str">
            <v>KZ-LY021-BL-36</v>
          </cell>
          <cell r="B269" t="str">
            <v>KZ-LY021</v>
          </cell>
        </row>
        <row r="270">
          <cell r="A270" t="str">
            <v>KZ-LY021-BL-38</v>
          </cell>
          <cell r="B270" t="str">
            <v>KZ-LY021</v>
          </cell>
        </row>
        <row r="271">
          <cell r="A271" t="str">
            <v>KZ-LY021-BL-40</v>
          </cell>
          <cell r="B271" t="str">
            <v>KZ-LY021</v>
          </cell>
        </row>
        <row r="272">
          <cell r="A272" t="str">
            <v>KZ-LY021-GY-32</v>
          </cell>
          <cell r="B272" t="str">
            <v>KZ-LY021</v>
          </cell>
        </row>
        <row r="273">
          <cell r="A273" t="str">
            <v>KZ-LY021-GY-34</v>
          </cell>
          <cell r="B273" t="str">
            <v>KZ-LY021</v>
          </cell>
        </row>
        <row r="274">
          <cell r="A274" t="str">
            <v>KZ-LY021-GY-36</v>
          </cell>
          <cell r="B274" t="str">
            <v>KZ-LY021</v>
          </cell>
        </row>
        <row r="275">
          <cell r="A275" t="str">
            <v>KZ-LY021-GY-38</v>
          </cell>
          <cell r="B275" t="str">
            <v>KZ-LY021</v>
          </cell>
        </row>
        <row r="276">
          <cell r="A276" t="str">
            <v>KZ-LY021-GY-40</v>
          </cell>
          <cell r="B276" t="str">
            <v>KZ-LY021</v>
          </cell>
        </row>
        <row r="277">
          <cell r="A277" t="str">
            <v>KZ-LY021-KK-32</v>
          </cell>
          <cell r="B277" t="str">
            <v>KZ-LY021</v>
          </cell>
        </row>
        <row r="278">
          <cell r="A278" t="str">
            <v>KZ-LY021-KK-34</v>
          </cell>
          <cell r="B278" t="str">
            <v>KZ-LY021</v>
          </cell>
        </row>
        <row r="279">
          <cell r="A279" t="str">
            <v>KZ-LY021-KK-38</v>
          </cell>
          <cell r="B279" t="str">
            <v>KZ-LY021</v>
          </cell>
        </row>
        <row r="280">
          <cell r="A280" t="str">
            <v>KZ-LY021-KK-40</v>
          </cell>
          <cell r="B280" t="str">
            <v>KZ-LY021</v>
          </cell>
        </row>
        <row r="281">
          <cell r="A281" t="str">
            <v>KZ-LY021-NY-32</v>
          </cell>
          <cell r="B281" t="str">
            <v>KZ-LY021</v>
          </cell>
        </row>
        <row r="282">
          <cell r="A282" t="str">
            <v>KZ-LY021-NY-34</v>
          </cell>
          <cell r="B282" t="str">
            <v>KZ-LY021</v>
          </cell>
        </row>
        <row r="283">
          <cell r="A283" t="str">
            <v>KZ-LY021-NY-36</v>
          </cell>
          <cell r="B283" t="str">
            <v>KZ-LY021</v>
          </cell>
        </row>
        <row r="284">
          <cell r="A284" t="str">
            <v>KZ-LY021-NY-38</v>
          </cell>
          <cell r="B284" t="str">
            <v>KZ-LY021</v>
          </cell>
        </row>
        <row r="285">
          <cell r="A285" t="str">
            <v>KZ-LY021-NY-40</v>
          </cell>
          <cell r="B285" t="str">
            <v>KZ-LY021</v>
          </cell>
        </row>
        <row r="286">
          <cell r="A286" t="str">
            <v>KZ-LY021-WR-32</v>
          </cell>
          <cell r="B286" t="str">
            <v>KZ-LY021</v>
          </cell>
        </row>
        <row r="287">
          <cell r="A287" t="str">
            <v>KZ-LY021-WR-34</v>
          </cell>
          <cell r="B287" t="str">
            <v>KZ-LY021</v>
          </cell>
        </row>
        <row r="288">
          <cell r="A288" t="str">
            <v>KZ-LY021-WR-36</v>
          </cell>
          <cell r="B288" t="str">
            <v>KZ-LY021</v>
          </cell>
        </row>
        <row r="289">
          <cell r="A289" t="str">
            <v>KZ-LY021-WR-38</v>
          </cell>
          <cell r="B289" t="str">
            <v>KZ-LY021</v>
          </cell>
        </row>
        <row r="290">
          <cell r="A290" t="str">
            <v>KZ-LY021-WR-40</v>
          </cell>
          <cell r="B290" t="str">
            <v>KZ-LY021</v>
          </cell>
        </row>
        <row r="291">
          <cell r="A291" t="str">
            <v>LGQ-IUYL100-BL</v>
          </cell>
          <cell r="B291" t="str">
            <v>LGQ-IUYL100</v>
          </cell>
        </row>
        <row r="292">
          <cell r="A292" t="str">
            <v>LGQ-IUYL100-GN</v>
          </cell>
          <cell r="B292" t="str">
            <v>LGQ-IUYL100</v>
          </cell>
        </row>
        <row r="293">
          <cell r="A293" t="str">
            <v>LGQ-IUYL100-PK</v>
          </cell>
          <cell r="B293" t="str">
            <v>LGQ-IUYL100</v>
          </cell>
        </row>
        <row r="294">
          <cell r="A294" t="str">
            <v>LGQ-IUYL100-RD</v>
          </cell>
          <cell r="B294" t="str">
            <v>LGQ-IUYL100</v>
          </cell>
        </row>
        <row r="295">
          <cell r="A295" t="str">
            <v>LGQ-IUYL100-WT</v>
          </cell>
          <cell r="B295" t="str">
            <v>LGQ-IUYL100</v>
          </cell>
        </row>
        <row r="296">
          <cell r="A296" t="str">
            <v>LGQ-IUYL100-YL</v>
          </cell>
          <cell r="B296" t="str">
            <v>LGQ-IUYL100</v>
          </cell>
        </row>
        <row r="297">
          <cell r="A297" t="str">
            <v>LYQ-NWF10-KO-S</v>
          </cell>
          <cell r="B297" t="str">
            <v>LYQ-NWF10</v>
          </cell>
        </row>
        <row r="298">
          <cell r="A298" t="str">
            <v>LYQ-WF1010-BO-2X</v>
          </cell>
          <cell r="B298" t="str">
            <v>LYQ-WF1010</v>
          </cell>
        </row>
        <row r="299">
          <cell r="A299" t="str">
            <v>LYQ-WF1010-BO-L</v>
          </cell>
          <cell r="B299" t="str">
            <v>LYQ-WF1010</v>
          </cell>
        </row>
        <row r="300">
          <cell r="A300" t="str">
            <v>LYQ-WF1010-BO-M</v>
          </cell>
          <cell r="B300" t="str">
            <v>LYQ-WF1010</v>
          </cell>
        </row>
        <row r="301">
          <cell r="A301" t="str">
            <v>LYQ-WF1010-BO-S</v>
          </cell>
          <cell r="B301" t="str">
            <v>LYQ-WF1010</v>
          </cell>
        </row>
        <row r="302">
          <cell r="A302" t="str">
            <v>LYQ-WF1010-BO-XL</v>
          </cell>
          <cell r="B302" t="str">
            <v>LYQ-WF1010</v>
          </cell>
        </row>
        <row r="303">
          <cell r="A303" t="str">
            <v>LYQ-WF1010-K0-2L</v>
          </cell>
          <cell r="B303" t="str">
            <v>LYQ-WF1010</v>
          </cell>
        </row>
        <row r="304">
          <cell r="A304" t="str">
            <v>LYQ-WF1010-KO-L</v>
          </cell>
          <cell r="B304" t="str">
            <v>LYQ-WF1010</v>
          </cell>
        </row>
        <row r="305">
          <cell r="A305" t="str">
            <v>LYQ-WF1010-KO-M</v>
          </cell>
          <cell r="B305" t="str">
            <v>LYQ-WF1010</v>
          </cell>
        </row>
        <row r="306">
          <cell r="A306" t="str">
            <v>LYQ-WF1010-KO-S</v>
          </cell>
          <cell r="B306" t="str">
            <v>LYQ-WF1010</v>
          </cell>
        </row>
        <row r="307">
          <cell r="A307" t="str">
            <v>LYQ-WF1010-KO-XL</v>
          </cell>
          <cell r="B307" t="str">
            <v>LYQ-WF1010</v>
          </cell>
        </row>
        <row r="308">
          <cell r="A308" t="str">
            <v>LYQ-WF1010-NO-2L</v>
          </cell>
          <cell r="B308" t="str">
            <v>LYQ-WF1010</v>
          </cell>
        </row>
        <row r="309">
          <cell r="A309" t="str">
            <v>LYQ-WF1010-NO-L</v>
          </cell>
          <cell r="B309" t="str">
            <v>LYQ-WF1010</v>
          </cell>
        </row>
        <row r="310">
          <cell r="A310" t="str">
            <v>LYQ-WF1010-NO-S</v>
          </cell>
          <cell r="B310" t="str">
            <v>LYQ-WF1010</v>
          </cell>
        </row>
        <row r="311">
          <cell r="A311" t="str">
            <v>LYQ-WF1010-NO-XL</v>
          </cell>
          <cell r="B311" t="str">
            <v>LYQ-WF1010</v>
          </cell>
        </row>
        <row r="312">
          <cell r="A312" t="str">
            <v>LYQ-WF1010-NO-XS</v>
          </cell>
          <cell r="B312" t="str">
            <v>LYQ-WF1010</v>
          </cell>
        </row>
        <row r="313">
          <cell r="A313" t="str">
            <v>LYQ-WF1010-PO-2L</v>
          </cell>
          <cell r="B313" t="str">
            <v>LYQ-WF1010</v>
          </cell>
        </row>
        <row r="314">
          <cell r="A314" t="str">
            <v>LYQ-WF1010-PO-L</v>
          </cell>
          <cell r="B314" t="str">
            <v>LYQ-WF1010</v>
          </cell>
        </row>
        <row r="315">
          <cell r="A315" t="str">
            <v>LYQ-WF1010-PO-M</v>
          </cell>
          <cell r="B315" t="str">
            <v>LYQ-WF1010</v>
          </cell>
        </row>
        <row r="316">
          <cell r="A316" t="str">
            <v>LYQ-WF1010-PO-S</v>
          </cell>
          <cell r="B316" t="str">
            <v>LYQ-WF1010</v>
          </cell>
        </row>
        <row r="317">
          <cell r="A317" t="str">
            <v>LYQ-WF1010-PO-XL</v>
          </cell>
          <cell r="B317" t="str">
            <v>LYQ-WF1010</v>
          </cell>
        </row>
        <row r="318">
          <cell r="A318" t="str">
            <v>LYQ-WF1010-PO-XS</v>
          </cell>
          <cell r="B318" t="str">
            <v>LYQ-WF1010</v>
          </cell>
        </row>
        <row r="319">
          <cell r="A319" t="str">
            <v>LYQ-WF1010-WO-2L</v>
          </cell>
          <cell r="B319" t="str">
            <v>LYQ-WF1010</v>
          </cell>
        </row>
        <row r="320">
          <cell r="A320" t="str">
            <v>LYQ-WF1010-WO-M</v>
          </cell>
          <cell r="B320" t="str">
            <v>LYQ-WF1010</v>
          </cell>
        </row>
        <row r="321">
          <cell r="A321" t="str">
            <v>LYQ-WF1010-WO-XL</v>
          </cell>
          <cell r="B321" t="str">
            <v>LYQ-WF1010</v>
          </cell>
        </row>
        <row r="322">
          <cell r="A322" t="str">
            <v>LYQ-WF1010-WO-XS</v>
          </cell>
          <cell r="B322" t="str">
            <v>LYQ-WF1010</v>
          </cell>
        </row>
        <row r="323">
          <cell r="A323" t="str">
            <v>LYQ-WF7125-BO-2X</v>
          </cell>
          <cell r="B323" t="str">
            <v>LYQ-WF7125</v>
          </cell>
        </row>
        <row r="324">
          <cell r="A324" t="str">
            <v>LYQ-WF7125-BO-L</v>
          </cell>
          <cell r="B324" t="str">
            <v>LYQ-WF7125</v>
          </cell>
        </row>
        <row r="325">
          <cell r="A325" t="str">
            <v>LYQ-WF7125-BO-M</v>
          </cell>
          <cell r="B325" t="str">
            <v>LYQ-WF7125</v>
          </cell>
        </row>
        <row r="326">
          <cell r="A326" t="str">
            <v>LYQ-WF7125-BO-S</v>
          </cell>
          <cell r="B326" t="str">
            <v>LYQ-WF7125</v>
          </cell>
        </row>
        <row r="327">
          <cell r="A327" t="str">
            <v>LYQ-WF7125-BO-XL</v>
          </cell>
          <cell r="B327" t="str">
            <v>LYQ-WF7125</v>
          </cell>
        </row>
        <row r="328">
          <cell r="A328" t="str">
            <v>LYQ-WF7125-K0-2L</v>
          </cell>
          <cell r="B328" t="str">
            <v>LYQ-WF7125</v>
          </cell>
        </row>
        <row r="329">
          <cell r="A329" t="str">
            <v>LYQ-WF7125-KO-L</v>
          </cell>
          <cell r="B329" t="str">
            <v>LYQ-WF7125</v>
          </cell>
        </row>
        <row r="330">
          <cell r="A330" t="str">
            <v>LYQ-WF7125-KO-M</v>
          </cell>
          <cell r="B330" t="str">
            <v>LYQ-WF7125</v>
          </cell>
        </row>
        <row r="331">
          <cell r="A331" t="str">
            <v>LYQ-WF7125-KO-S</v>
          </cell>
          <cell r="B331" t="str">
            <v>LYQ-WF7125</v>
          </cell>
        </row>
        <row r="332">
          <cell r="A332" t="str">
            <v>LYQ-WF7125-KO-XL</v>
          </cell>
          <cell r="B332" t="str">
            <v>LYQ-WF7125</v>
          </cell>
        </row>
        <row r="333">
          <cell r="A333" t="str">
            <v>LYQ-WF7125-NO-2L</v>
          </cell>
          <cell r="B333" t="str">
            <v>LYQ-WF7125</v>
          </cell>
        </row>
        <row r="334">
          <cell r="A334" t="str">
            <v>LYQ-WF7125-NO-L</v>
          </cell>
          <cell r="B334" t="str">
            <v>LYQ-WF7125</v>
          </cell>
        </row>
        <row r="335">
          <cell r="A335" t="str">
            <v>LYQ-WF7125-NO-S</v>
          </cell>
          <cell r="B335" t="str">
            <v>LYQ-WF7125</v>
          </cell>
        </row>
        <row r="336">
          <cell r="A336" t="str">
            <v>LYQ-WF7125-NO-XL</v>
          </cell>
          <cell r="B336" t="str">
            <v>LYQ-WF7125</v>
          </cell>
        </row>
        <row r="337">
          <cell r="A337" t="str">
            <v>LYQ-WF7125-NO-XS</v>
          </cell>
          <cell r="B337" t="str">
            <v>LYQ-WF7125</v>
          </cell>
        </row>
        <row r="338">
          <cell r="A338" t="str">
            <v>LYQ-WF7125-PO-2L</v>
          </cell>
          <cell r="B338" t="str">
            <v>LYQ-WF7125</v>
          </cell>
        </row>
        <row r="339">
          <cell r="A339" t="str">
            <v>LYQ-WF7125-PO-L</v>
          </cell>
          <cell r="B339" t="str">
            <v>LYQ-WF7125</v>
          </cell>
        </row>
        <row r="340">
          <cell r="A340" t="str">
            <v>LYQ-WF7125-PO-M</v>
          </cell>
          <cell r="B340" t="str">
            <v>LYQ-WF7125</v>
          </cell>
        </row>
        <row r="341">
          <cell r="A341" t="str">
            <v>LYQ-WF7125-PO-S</v>
          </cell>
          <cell r="B341" t="str">
            <v>LYQ-WF7125</v>
          </cell>
        </row>
        <row r="342">
          <cell r="A342" t="str">
            <v>LYQ-WF7125-PO-XL</v>
          </cell>
          <cell r="B342" t="str">
            <v>LYQ-WF7125</v>
          </cell>
        </row>
        <row r="343">
          <cell r="A343" t="str">
            <v>LYQ-WF7125-PO-XS</v>
          </cell>
          <cell r="B343" t="str">
            <v>LYQ-WF7125</v>
          </cell>
        </row>
        <row r="344">
          <cell r="A344" t="str">
            <v>LYQ-WF7125-WO-2L</v>
          </cell>
          <cell r="B344" t="str">
            <v>LYQ-WF7125</v>
          </cell>
        </row>
        <row r="345">
          <cell r="A345" t="str">
            <v>LYQ-WF7125-WO-M</v>
          </cell>
          <cell r="B345" t="str">
            <v>LYQ-WF7125</v>
          </cell>
        </row>
        <row r="346">
          <cell r="A346" t="str">
            <v>LYQ-WF7125-WO-XL</v>
          </cell>
          <cell r="B346" t="str">
            <v>LYQ-WF7125</v>
          </cell>
        </row>
        <row r="347">
          <cell r="A347" t="str">
            <v>LYQ-WF7125-WO-XS</v>
          </cell>
          <cell r="B347" t="str">
            <v>LYQ-WF7125</v>
          </cell>
        </row>
        <row r="348">
          <cell r="A348" t="str">
            <v>MJ-IUYL230-BL-L</v>
          </cell>
          <cell r="B348" t="str">
            <v>MJ-IUYL230</v>
          </cell>
        </row>
        <row r="349">
          <cell r="A349" t="str">
            <v>MJ-IUYL230-BL-S</v>
          </cell>
          <cell r="B349" t="str">
            <v>MJ-IUYL230</v>
          </cell>
        </row>
        <row r="350">
          <cell r="A350" t="str">
            <v>MJ-IUYL230-CF-L</v>
          </cell>
          <cell r="B350" t="str">
            <v>MJ-IUYL230</v>
          </cell>
        </row>
        <row r="351">
          <cell r="A351" t="str">
            <v>MJ-IUYL230-CF-S</v>
          </cell>
          <cell r="B351" t="str">
            <v>MJ-IUYL230</v>
          </cell>
        </row>
        <row r="352">
          <cell r="A352" t="str">
            <v>MJ-IUYL230-PK-L</v>
          </cell>
          <cell r="B352" t="str">
            <v>MJ-IUYL230</v>
          </cell>
        </row>
        <row r="353">
          <cell r="A353" t="str">
            <v>MJ-IUYL230-PK-S</v>
          </cell>
          <cell r="B353" t="str">
            <v>MJ-IUYL230</v>
          </cell>
        </row>
        <row r="354">
          <cell r="A354" t="str">
            <v>MTT-WF04-JL-M</v>
          </cell>
          <cell r="B354" t="str">
            <v>MTT-WF04</v>
          </cell>
        </row>
        <row r="355">
          <cell r="A355" t="str">
            <v>MTT-WF04-LR-M</v>
          </cell>
          <cell r="B355" t="str">
            <v>MTT-WF04</v>
          </cell>
        </row>
        <row r="356">
          <cell r="A356" t="str">
            <v>MTT-WF04-ML-M</v>
          </cell>
          <cell r="B356" t="str">
            <v>MTT-WF04</v>
          </cell>
        </row>
        <row r="357">
          <cell r="A357" t="str">
            <v>MTT-WF04-XR-M</v>
          </cell>
          <cell r="B357" t="str">
            <v>MTT-WF04</v>
          </cell>
        </row>
        <row r="358">
          <cell r="A358" t="str">
            <v>MY-PUHM001-OR-10</v>
          </cell>
          <cell r="B358" t="str">
            <v>MY-PUHM001</v>
          </cell>
        </row>
        <row r="359">
          <cell r="A359" t="str">
            <v>MY-PUHM001-OR-12</v>
          </cell>
          <cell r="B359" t="str">
            <v>MY-PUHM001</v>
          </cell>
        </row>
        <row r="360">
          <cell r="A360" t="str">
            <v>MY-PUHM001-OR-14</v>
          </cell>
          <cell r="B360" t="str">
            <v>MY-PUHM001</v>
          </cell>
        </row>
        <row r="361">
          <cell r="A361" t="str">
            <v>MY-PUHM001-OR-16</v>
          </cell>
          <cell r="B361" t="str">
            <v>MY-PUHM001</v>
          </cell>
        </row>
        <row r="362">
          <cell r="A362" t="str">
            <v>MY-PUHM001-OR-20</v>
          </cell>
          <cell r="B362" t="str">
            <v>MY-PUHM001</v>
          </cell>
        </row>
        <row r="363">
          <cell r="A363" t="str">
            <v>MY-PUHM001-OR-24</v>
          </cell>
          <cell r="B363" t="str">
            <v>MY-PUHM001</v>
          </cell>
        </row>
        <row r="364">
          <cell r="A364" t="str">
            <v>MY-PUHM001-OR-28</v>
          </cell>
          <cell r="B364" t="str">
            <v>MY-PUHM001</v>
          </cell>
        </row>
        <row r="365">
          <cell r="A365" t="str">
            <v>MY-PUHM001-OR-8</v>
          </cell>
          <cell r="B365" t="str">
            <v>MY-PUHM001</v>
          </cell>
        </row>
        <row r="366">
          <cell r="A366" t="str">
            <v>MY-PUHM001-R0-10</v>
          </cell>
          <cell r="B366" t="str">
            <v>MY-PUHM001</v>
          </cell>
        </row>
        <row r="367">
          <cell r="A367" t="str">
            <v>MY-PUHM001-R0-12</v>
          </cell>
          <cell r="B367" t="str">
            <v>MY-PUHM001</v>
          </cell>
        </row>
        <row r="368">
          <cell r="A368" t="str">
            <v>MY-PUHM001-R0-14</v>
          </cell>
          <cell r="B368" t="str">
            <v>MY-PUHM001</v>
          </cell>
        </row>
        <row r="369">
          <cell r="A369" t="str">
            <v>MY-PUHM001-R0-16</v>
          </cell>
          <cell r="B369" t="str">
            <v>MY-PUHM001</v>
          </cell>
        </row>
        <row r="370">
          <cell r="A370" t="str">
            <v>MY-PUHM001-R0-20</v>
          </cell>
          <cell r="B370" t="str">
            <v>MY-PUHM001</v>
          </cell>
        </row>
        <row r="371">
          <cell r="A371" t="str">
            <v>MY-PUHM001-R0-24</v>
          </cell>
          <cell r="B371" t="str">
            <v>MY-PUHM001</v>
          </cell>
        </row>
        <row r="372">
          <cell r="A372" t="str">
            <v>MY-PUHM001-R0-28</v>
          </cell>
          <cell r="B372" t="str">
            <v>MY-PUHM001</v>
          </cell>
        </row>
        <row r="373">
          <cell r="A373" t="str">
            <v>MY-PUHM001-R0-8</v>
          </cell>
          <cell r="B373" t="str">
            <v>MY-PUHM001</v>
          </cell>
        </row>
        <row r="374">
          <cell r="A374" t="str">
            <v>MY-PUHM001-ZL-10</v>
          </cell>
          <cell r="B374" t="str">
            <v>MY-PUHM001</v>
          </cell>
        </row>
        <row r="375">
          <cell r="A375" t="str">
            <v>MY-PUHM001-ZL-12</v>
          </cell>
          <cell r="B375" t="str">
            <v>MY-PUHM001</v>
          </cell>
        </row>
        <row r="376">
          <cell r="A376" t="str">
            <v>MY-PUHM001-ZL-14</v>
          </cell>
          <cell r="B376" t="str">
            <v>MY-PUHM001</v>
          </cell>
        </row>
        <row r="377">
          <cell r="A377" t="str">
            <v>MY-PUHM001-ZL-16</v>
          </cell>
          <cell r="B377" t="str">
            <v>MY-PUHM001</v>
          </cell>
        </row>
        <row r="378">
          <cell r="A378" t="str">
            <v>MY-PUHM001-ZL-20</v>
          </cell>
          <cell r="B378" t="str">
            <v>MY-PUHM001</v>
          </cell>
        </row>
        <row r="379">
          <cell r="A379" t="str">
            <v>MY-PUHM001-ZL-24</v>
          </cell>
          <cell r="B379" t="str">
            <v>MY-PUHM001</v>
          </cell>
        </row>
        <row r="380">
          <cell r="A380" t="str">
            <v>MY-PUHM001-ZL-28</v>
          </cell>
          <cell r="B380" t="str">
            <v>MY-PUHM001</v>
          </cell>
        </row>
        <row r="381">
          <cell r="A381" t="str">
            <v>MY-PUHM001-ZL-8</v>
          </cell>
          <cell r="B381" t="str">
            <v>MY-PUHM001</v>
          </cell>
        </row>
        <row r="382">
          <cell r="A382" t="str">
            <v>MY-PUHM035-R0-L</v>
          </cell>
          <cell r="B382" t="str">
            <v>MY-PUHM035</v>
          </cell>
        </row>
        <row r="383">
          <cell r="A383" t="str">
            <v>MY-PUHM035-R0-M</v>
          </cell>
          <cell r="B383" t="str">
            <v>MY-PUHM035</v>
          </cell>
        </row>
        <row r="384">
          <cell r="A384" t="str">
            <v>MY-PUHM035-R0-S</v>
          </cell>
          <cell r="B384" t="str">
            <v>MY-PUHM035</v>
          </cell>
        </row>
        <row r="385">
          <cell r="A385" t="str">
            <v>MY-PUHM035-R0-XL</v>
          </cell>
          <cell r="B385" t="str">
            <v>MY-PUHM035</v>
          </cell>
        </row>
        <row r="386">
          <cell r="A386" t="str">
            <v>MY-PUHM035-R0-XXL</v>
          </cell>
          <cell r="B386" t="str">
            <v>MY-PUHM035</v>
          </cell>
        </row>
        <row r="387">
          <cell r="A387" t="str">
            <v>MY-PUHM036-B0-L</v>
          </cell>
          <cell r="B387" t="str">
            <v>MY-PUHM036</v>
          </cell>
        </row>
        <row r="388">
          <cell r="A388" t="str">
            <v>MY-PUHM036-B0-M</v>
          </cell>
          <cell r="B388" t="str">
            <v>MY-PUHM036</v>
          </cell>
        </row>
        <row r="389">
          <cell r="A389" t="str">
            <v>MY-PUHM036-B0-S</v>
          </cell>
          <cell r="B389" t="str">
            <v>MY-PUHM036</v>
          </cell>
        </row>
        <row r="390">
          <cell r="A390" t="str">
            <v>MY-PUHM036-B0-XL</v>
          </cell>
          <cell r="B390" t="str">
            <v>MY-PUHM036</v>
          </cell>
        </row>
        <row r="391">
          <cell r="A391" t="str">
            <v>MY-PUHM036-B0-XXL</v>
          </cell>
          <cell r="B391" t="str">
            <v>MY-PUHM036</v>
          </cell>
        </row>
        <row r="392">
          <cell r="A392" t="str">
            <v>MY-PUHM582-B0-L</v>
          </cell>
          <cell r="B392" t="str">
            <v>MY-PUHM582</v>
          </cell>
        </row>
        <row r="393">
          <cell r="A393" t="str">
            <v>MY-PUHM582-B0-M</v>
          </cell>
          <cell r="B393" t="str">
            <v>MY-PUHM582</v>
          </cell>
        </row>
        <row r="394">
          <cell r="A394" t="str">
            <v>MY-PUHM582-B0-S</v>
          </cell>
          <cell r="B394" t="str">
            <v>MY-PUHM582</v>
          </cell>
        </row>
        <row r="395">
          <cell r="A395" t="str">
            <v>MY-PUHM582-B0-XL</v>
          </cell>
          <cell r="B395" t="str">
            <v>MY-PUHM582</v>
          </cell>
        </row>
        <row r="396">
          <cell r="A396" t="str">
            <v>MY-PUHM582-B0-XS</v>
          </cell>
          <cell r="B396" t="str">
            <v>MY-PUHM582</v>
          </cell>
        </row>
        <row r="397">
          <cell r="A397" t="str">
            <v>MY-PUHM582-R0-L</v>
          </cell>
          <cell r="B397" t="str">
            <v>MY-PUHM582</v>
          </cell>
        </row>
        <row r="398">
          <cell r="A398" t="str">
            <v>MY-PUHM582-R0-M</v>
          </cell>
          <cell r="B398" t="str">
            <v>MY-PUHM582</v>
          </cell>
        </row>
        <row r="399">
          <cell r="A399" t="str">
            <v>MY-PUHM582-R0-S</v>
          </cell>
          <cell r="B399" t="str">
            <v>MY-PUHM582</v>
          </cell>
        </row>
        <row r="400">
          <cell r="A400" t="str">
            <v>MY-PUHM582-R0-XL</v>
          </cell>
          <cell r="B400" t="str">
            <v>MY-PUHM582</v>
          </cell>
        </row>
        <row r="401">
          <cell r="A401" t="str">
            <v>MY-PUHM582-R0-XS</v>
          </cell>
          <cell r="B401" t="str">
            <v>MY-PUHM582</v>
          </cell>
        </row>
        <row r="402">
          <cell r="A402" t="str">
            <v>ND-LUHM027-PI</v>
          </cell>
          <cell r="B402" t="str">
            <v>ND-LUHM027</v>
          </cell>
        </row>
        <row r="403">
          <cell r="A403" t="str">
            <v>Pajamas-sb001-GR-L</v>
          </cell>
          <cell r="B403" t="str">
            <v>Pajamas-sb001</v>
          </cell>
        </row>
        <row r="404">
          <cell r="A404" t="str">
            <v>Pajamas-sb001-GR-M</v>
          </cell>
          <cell r="B404" t="str">
            <v>Pajamas-sb001</v>
          </cell>
        </row>
        <row r="405">
          <cell r="A405" t="str">
            <v>Pajamas-sb001-GR-XL</v>
          </cell>
          <cell r="B405" t="str">
            <v>Pajamas-sb001</v>
          </cell>
        </row>
        <row r="406">
          <cell r="A406" t="str">
            <v>Pajamas-sb001-KK-L</v>
          </cell>
          <cell r="B406" t="str">
            <v>Pajamas-sb001</v>
          </cell>
        </row>
        <row r="407">
          <cell r="A407" t="str">
            <v>Pajamas-sb001-KK-M</v>
          </cell>
          <cell r="B407" t="str">
            <v>Pajamas-sb001</v>
          </cell>
        </row>
        <row r="408">
          <cell r="A408" t="str">
            <v>Pajamas-sb001-KK-XL</v>
          </cell>
          <cell r="B408" t="str">
            <v>Pajamas-sb001</v>
          </cell>
        </row>
        <row r="409">
          <cell r="A409" t="str">
            <v>Pajamas-sb001-NY-L</v>
          </cell>
          <cell r="B409" t="str">
            <v>Pajamas-sb001</v>
          </cell>
        </row>
        <row r="410">
          <cell r="A410" t="str">
            <v>Pajamas-sb001-NY-M</v>
          </cell>
          <cell r="B410" t="str">
            <v>Pajamas-sb001</v>
          </cell>
        </row>
        <row r="411">
          <cell r="A411" t="str">
            <v>Pajamas-sb001-NY-XL</v>
          </cell>
          <cell r="B411" t="str">
            <v>Pajamas-sb001</v>
          </cell>
        </row>
        <row r="412">
          <cell r="A412" t="str">
            <v>Pajamas-sb001-WT-M</v>
          </cell>
          <cell r="B412" t="str">
            <v>Pajamas-sb001</v>
          </cell>
        </row>
        <row r="413">
          <cell r="A413" t="str">
            <v>Pajamas-sb001-WT-XL</v>
          </cell>
          <cell r="B413" t="str">
            <v>Pajamas-sb001</v>
          </cell>
        </row>
        <row r="414">
          <cell r="A414" t="str">
            <v>QLQ-LUHM121-G0</v>
          </cell>
          <cell r="B414" t="str">
            <v>QLQ-LUHM121</v>
          </cell>
        </row>
        <row r="415">
          <cell r="A415" t="str">
            <v>QLQ-LUHM121-GM</v>
          </cell>
          <cell r="B415" t="str">
            <v>QLQ-LUHM121</v>
          </cell>
        </row>
        <row r="416">
          <cell r="A416" t="str">
            <v>QLQ-LUHM121-WO</v>
          </cell>
          <cell r="B416" t="str">
            <v>QLQ-LUHM121</v>
          </cell>
        </row>
        <row r="417">
          <cell r="A417" t="str">
            <v>QLQ-LUHM121-WT</v>
          </cell>
          <cell r="B417" t="str">
            <v>QLQ-LUHM121</v>
          </cell>
        </row>
        <row r="418">
          <cell r="A418" t="str">
            <v>QLQ-WF121-WO</v>
          </cell>
          <cell r="B418" t="str">
            <v>QLQ-WF121</v>
          </cell>
        </row>
        <row r="419">
          <cell r="A419" t="str">
            <v>QQ-LUHM-801-B0</v>
          </cell>
          <cell r="B419" t="str">
            <v>QQ-LUHM-801-B0</v>
          </cell>
        </row>
        <row r="420">
          <cell r="A420" t="str">
            <v>RYMT-WF712-GO-L</v>
          </cell>
          <cell r="B420" t="str">
            <v>RYMT-WF712</v>
          </cell>
        </row>
        <row r="421">
          <cell r="A421" t="str">
            <v>RYMT-WF712-PI-L</v>
          </cell>
          <cell r="B421" t="str">
            <v>RYMT-WF712</v>
          </cell>
        </row>
        <row r="422">
          <cell r="A422" t="str">
            <v>RYMT-WF712-PO-L</v>
          </cell>
          <cell r="B422" t="str">
            <v>RYMT-WF712</v>
          </cell>
        </row>
        <row r="423">
          <cell r="A423" t="str">
            <v>RY-PUHM716-B0-L</v>
          </cell>
          <cell r="B423" t="str">
            <v>RY-PUHM716</v>
          </cell>
        </row>
        <row r="424">
          <cell r="A424" t="str">
            <v>RY-PUHM716-B0-M</v>
          </cell>
          <cell r="B424" t="str">
            <v>RY-PUHM716</v>
          </cell>
        </row>
        <row r="425">
          <cell r="A425" t="str">
            <v>RY-PUHM716-B0-S</v>
          </cell>
          <cell r="B425" t="str">
            <v>RY-PUHM716</v>
          </cell>
        </row>
        <row r="426">
          <cell r="A426" t="str">
            <v>RY-PUHM716-B0-XL</v>
          </cell>
          <cell r="B426" t="str">
            <v>RY-PUHM716</v>
          </cell>
        </row>
        <row r="427">
          <cell r="A427" t="str">
            <v>RY-PUHM716-B0-XXL</v>
          </cell>
          <cell r="B427" t="str">
            <v>RY-PUHM716</v>
          </cell>
        </row>
        <row r="428">
          <cell r="A428" t="str">
            <v>RY-PUHM716-KQ-L</v>
          </cell>
          <cell r="B428" t="str">
            <v>RY-PUHM716</v>
          </cell>
        </row>
        <row r="429">
          <cell r="A429" t="str">
            <v>RY-PUHM716-KQ-M</v>
          </cell>
          <cell r="B429" t="str">
            <v>RY-PUHM716</v>
          </cell>
        </row>
        <row r="430">
          <cell r="A430" t="str">
            <v>RY-PUHM716-KQ-S</v>
          </cell>
          <cell r="B430" t="str">
            <v>RY-PUHM716</v>
          </cell>
        </row>
        <row r="431">
          <cell r="A431" t="str">
            <v>RY-PUHM716-KQ-XL</v>
          </cell>
          <cell r="B431" t="str">
            <v>RY-PUHM716</v>
          </cell>
        </row>
        <row r="432">
          <cell r="A432" t="str">
            <v>RY-PUHM716-KQ-XXL</v>
          </cell>
          <cell r="B432" t="str">
            <v>RY-PUHM716</v>
          </cell>
        </row>
        <row r="433">
          <cell r="A433" t="str">
            <v>RY-PUHM716-PI-L</v>
          </cell>
          <cell r="B433" t="str">
            <v>RY-PUHM716</v>
          </cell>
        </row>
        <row r="434">
          <cell r="A434" t="str">
            <v>RY-PUHM716-PI-M</v>
          </cell>
          <cell r="B434" t="str">
            <v>RY-PUHM716</v>
          </cell>
        </row>
        <row r="435">
          <cell r="A435" t="str">
            <v>RY-PUHM716-PI-S</v>
          </cell>
          <cell r="B435" t="str">
            <v>RY-PUHM716</v>
          </cell>
        </row>
        <row r="436">
          <cell r="A436" t="str">
            <v>RY-PUHM716-PI-XL</v>
          </cell>
          <cell r="B436" t="str">
            <v>RY-PUHM716</v>
          </cell>
        </row>
        <row r="437">
          <cell r="A437" t="str">
            <v>RY-PUHM716-PI-XXL</v>
          </cell>
          <cell r="B437" t="str">
            <v>RY-PUHM716</v>
          </cell>
        </row>
        <row r="438">
          <cell r="A438" t="str">
            <v>SB-LUHM100-B0</v>
          </cell>
          <cell r="B438" t="str">
            <v>SB-LUHM100</v>
          </cell>
        </row>
        <row r="439">
          <cell r="A439" t="str">
            <v>SB-LUHM100-G0</v>
          </cell>
          <cell r="B439" t="str">
            <v>SB-LUHM100</v>
          </cell>
        </row>
        <row r="440">
          <cell r="A440" t="str">
            <v>SB-LUHM100-K0</v>
          </cell>
          <cell r="B440" t="str">
            <v>SB-LUHM100</v>
          </cell>
        </row>
        <row r="441">
          <cell r="A441" t="str">
            <v>SB-LUHM100-R0</v>
          </cell>
          <cell r="B441" t="str">
            <v>SB-LUHM100</v>
          </cell>
        </row>
        <row r="442">
          <cell r="A442" t="str">
            <v>SB-LUHM101-B0</v>
          </cell>
          <cell r="B442" t="str">
            <v>SB-LUHM101</v>
          </cell>
        </row>
        <row r="443">
          <cell r="A443" t="str">
            <v>scarf-0001-Blue</v>
          </cell>
          <cell r="B443" t="str">
            <v>scarf-0001</v>
          </cell>
        </row>
        <row r="444">
          <cell r="A444" t="str">
            <v>scarf-0001-Peony</v>
          </cell>
          <cell r="B444" t="str">
            <v>scarf-0001</v>
          </cell>
        </row>
        <row r="445">
          <cell r="A445" t="str">
            <v>scarf-0001-Plum</v>
          </cell>
          <cell r="B445" t="str">
            <v>scarf-0001</v>
          </cell>
        </row>
        <row r="446">
          <cell r="A446" t="str">
            <v>scarf-001-blueheart</v>
          </cell>
          <cell r="B446" t="str">
            <v>scarf-00</v>
          </cell>
        </row>
        <row r="447">
          <cell r="A447" t="str">
            <v>SCF010-A01</v>
          </cell>
          <cell r="B447" t="str">
            <v>SCF010</v>
          </cell>
        </row>
        <row r="448">
          <cell r="A448" t="str">
            <v>SCF010-A02</v>
          </cell>
          <cell r="B448" t="str">
            <v>SCF010</v>
          </cell>
        </row>
        <row r="449">
          <cell r="A449" t="str">
            <v>SCF010-A04</v>
          </cell>
          <cell r="B449" t="str">
            <v>SCF010</v>
          </cell>
        </row>
        <row r="450">
          <cell r="A450" t="str">
            <v>SCF010-A05</v>
          </cell>
          <cell r="B450" t="str">
            <v>SCF010</v>
          </cell>
        </row>
        <row r="451">
          <cell r="A451" t="str">
            <v>SCF010-A06</v>
          </cell>
          <cell r="B451" t="str">
            <v>SCF010</v>
          </cell>
        </row>
        <row r="452">
          <cell r="A452" t="str">
            <v>SCF010-A08</v>
          </cell>
          <cell r="B452" t="str">
            <v>SCF010</v>
          </cell>
        </row>
        <row r="453">
          <cell r="A453" t="str">
            <v>SCF010-A09</v>
          </cell>
          <cell r="B453" t="str">
            <v>SCF010</v>
          </cell>
        </row>
        <row r="454">
          <cell r="A454" t="str">
            <v>SCF-A01-007</v>
          </cell>
          <cell r="B454" t="str">
            <v>SCF-A01</v>
          </cell>
        </row>
        <row r="455">
          <cell r="A455" t="str">
            <v>SCF-A01-008</v>
          </cell>
          <cell r="B455" t="str">
            <v>SCF-A01</v>
          </cell>
        </row>
        <row r="456">
          <cell r="A456" t="str">
            <v>SCF-A01-009</v>
          </cell>
          <cell r="B456" t="str">
            <v>SCF-A01</v>
          </cell>
        </row>
        <row r="457">
          <cell r="A457" t="str">
            <v>SCF-A01-010</v>
          </cell>
          <cell r="B457" t="str">
            <v>SCF-A01</v>
          </cell>
        </row>
        <row r="458">
          <cell r="A458" t="str">
            <v>SCF-A01-011</v>
          </cell>
          <cell r="B458" t="str">
            <v>SCF-A01</v>
          </cell>
        </row>
        <row r="459">
          <cell r="A459" t="str">
            <v>SCF-A01-012</v>
          </cell>
          <cell r="B459" t="str">
            <v>SCF-A01</v>
          </cell>
        </row>
        <row r="460">
          <cell r="A460" t="str">
            <v>SCF-A01-013</v>
          </cell>
          <cell r="B460" t="str">
            <v>SCF-A01</v>
          </cell>
        </row>
        <row r="461">
          <cell r="A461" t="str">
            <v>SCF-B01-001</v>
          </cell>
          <cell r="B461" t="str">
            <v>SCF-B01</v>
          </cell>
        </row>
        <row r="462">
          <cell r="A462" t="str">
            <v>SCF-B01-002</v>
          </cell>
          <cell r="B462" t="str">
            <v>SCF-B01</v>
          </cell>
        </row>
        <row r="463">
          <cell r="A463" t="str">
            <v>SCF-B01-003</v>
          </cell>
          <cell r="B463" t="str">
            <v>SCF-B01</v>
          </cell>
        </row>
        <row r="464">
          <cell r="A464" t="str">
            <v>SCF-B01-004</v>
          </cell>
          <cell r="B464" t="str">
            <v>SCF-B01</v>
          </cell>
        </row>
        <row r="465">
          <cell r="A465" t="str">
            <v>SCF-B01-005</v>
          </cell>
          <cell r="B465" t="str">
            <v>SCF-B01</v>
          </cell>
        </row>
        <row r="466">
          <cell r="A466" t="str">
            <v>SCF-B01-006</v>
          </cell>
          <cell r="B466" t="str">
            <v>SCF-B01</v>
          </cell>
        </row>
        <row r="467">
          <cell r="A467" t="str">
            <v>SCF-B01-007</v>
          </cell>
          <cell r="B467" t="str">
            <v>SCF-B01</v>
          </cell>
        </row>
        <row r="468">
          <cell r="A468" t="str">
            <v>SCF-B01-008</v>
          </cell>
          <cell r="B468" t="str">
            <v>SCF-B01</v>
          </cell>
        </row>
        <row r="469">
          <cell r="A469" t="str">
            <v>SCF-B01-009</v>
          </cell>
          <cell r="B469" t="str">
            <v>SCF-B01</v>
          </cell>
        </row>
        <row r="470">
          <cell r="A470" t="str">
            <v>SCF-B01-011</v>
          </cell>
          <cell r="B470" t="str">
            <v>SCF-B01</v>
          </cell>
        </row>
        <row r="471">
          <cell r="A471" t="str">
            <v>SCF-B01-012</v>
          </cell>
          <cell r="B471" t="str">
            <v>SCF-B01</v>
          </cell>
        </row>
        <row r="472">
          <cell r="A472" t="str">
            <v>SCF-B01-013</v>
          </cell>
          <cell r="B472" t="str">
            <v>SCF-B01</v>
          </cell>
        </row>
        <row r="473">
          <cell r="A473" t="str">
            <v>SCF-B01-014</v>
          </cell>
          <cell r="B473" t="str">
            <v>SCF-B01</v>
          </cell>
        </row>
        <row r="474">
          <cell r="A474" t="str">
            <v>SCF-B01-015</v>
          </cell>
          <cell r="B474" t="str">
            <v>SCF-B01</v>
          </cell>
        </row>
        <row r="475">
          <cell r="A475" t="str">
            <v>SCF-B01-016</v>
          </cell>
          <cell r="B475" t="str">
            <v>SCF-B01</v>
          </cell>
        </row>
        <row r="476">
          <cell r="A476" t="str">
            <v>SCF-B01-017</v>
          </cell>
          <cell r="B476" t="str">
            <v>SCF-B01</v>
          </cell>
        </row>
        <row r="477">
          <cell r="A477" t="str">
            <v>SCF-B01-018</v>
          </cell>
          <cell r="B477" t="str">
            <v>SCF-B01</v>
          </cell>
        </row>
        <row r="478">
          <cell r="A478" t="str">
            <v>SCF-B01-019</v>
          </cell>
          <cell r="B478" t="str">
            <v>SCF-B01</v>
          </cell>
        </row>
        <row r="479">
          <cell r="A479" t="str">
            <v>SCF-B01-020</v>
          </cell>
          <cell r="B479" t="str">
            <v>SCF-B01</v>
          </cell>
        </row>
        <row r="480">
          <cell r="A480" t="str">
            <v>SCF-B01-021</v>
          </cell>
          <cell r="B480" t="str">
            <v>SCF-B01</v>
          </cell>
        </row>
        <row r="481">
          <cell r="A481" t="str">
            <v>SCF-B01-022</v>
          </cell>
          <cell r="B481" t="str">
            <v>SCF-B01</v>
          </cell>
        </row>
        <row r="482">
          <cell r="A482" t="str">
            <v>SCF-C01-002</v>
          </cell>
          <cell r="B482" t="str">
            <v>SCF-C01</v>
          </cell>
        </row>
        <row r="483">
          <cell r="A483" t="str">
            <v>SCF-C01-003</v>
          </cell>
          <cell r="B483" t="str">
            <v>SCF-C01</v>
          </cell>
        </row>
        <row r="484">
          <cell r="A484" t="str">
            <v>SCF-C01-005</v>
          </cell>
          <cell r="B484" t="str">
            <v>SCF-C01</v>
          </cell>
        </row>
        <row r="485">
          <cell r="A485" t="str">
            <v>SCF-C01-006</v>
          </cell>
          <cell r="B485" t="str">
            <v>SCF-C01</v>
          </cell>
        </row>
        <row r="486">
          <cell r="A486" t="str">
            <v>SCF-C01-007</v>
          </cell>
          <cell r="B486" t="str">
            <v>SCF-C01</v>
          </cell>
        </row>
        <row r="487">
          <cell r="A487" t="str">
            <v>SCF-C01-008</v>
          </cell>
          <cell r="B487" t="str">
            <v>SCF-C01</v>
          </cell>
        </row>
        <row r="488">
          <cell r="A488" t="str">
            <v>SCF-C01-009</v>
          </cell>
          <cell r="B488" t="str">
            <v>SCF-C01</v>
          </cell>
        </row>
        <row r="489">
          <cell r="A489" t="str">
            <v>SCF-C01-010</v>
          </cell>
          <cell r="B489" t="str">
            <v>SCF-C01</v>
          </cell>
        </row>
        <row r="490">
          <cell r="A490" t="str">
            <v>SCF-C01-011</v>
          </cell>
          <cell r="B490" t="str">
            <v>SCF-C01</v>
          </cell>
        </row>
        <row r="491">
          <cell r="A491" t="str">
            <v>SCF-C01-012</v>
          </cell>
          <cell r="B491" t="str">
            <v>SCF-C01</v>
          </cell>
        </row>
        <row r="492">
          <cell r="A492" t="str">
            <v>SCF-C01-013</v>
          </cell>
          <cell r="B492" t="str">
            <v>SCF-C01</v>
          </cell>
        </row>
        <row r="493">
          <cell r="A493" t="str">
            <v>SCF-C01-014</v>
          </cell>
          <cell r="B493" t="str">
            <v>SCF-C01</v>
          </cell>
        </row>
        <row r="494">
          <cell r="A494" t="str">
            <v>SCF-C01-016</v>
          </cell>
          <cell r="B494" t="str">
            <v>SCF-C01</v>
          </cell>
        </row>
        <row r="495">
          <cell r="A495" t="str">
            <v>SCF-C01-017</v>
          </cell>
          <cell r="B495" t="str">
            <v>SCF-C01</v>
          </cell>
        </row>
        <row r="496">
          <cell r="A496" t="str">
            <v>SCF-C01-018</v>
          </cell>
          <cell r="B496" t="str">
            <v>SCF-C01</v>
          </cell>
        </row>
        <row r="497">
          <cell r="A497" t="str">
            <v>SCF-C01-019</v>
          </cell>
          <cell r="B497" t="str">
            <v>SCF-C01</v>
          </cell>
        </row>
        <row r="498">
          <cell r="A498" t="str">
            <v>SCF-C01-020</v>
          </cell>
          <cell r="B498" t="str">
            <v>SCF-C01</v>
          </cell>
        </row>
        <row r="499">
          <cell r="A499" t="str">
            <v>SCF-D01-004</v>
          </cell>
          <cell r="B499" t="str">
            <v>SCF-D01</v>
          </cell>
        </row>
        <row r="500">
          <cell r="A500" t="str">
            <v>SCF-D01-006</v>
          </cell>
          <cell r="B500" t="str">
            <v>SCF-D01</v>
          </cell>
        </row>
        <row r="501">
          <cell r="A501" t="str">
            <v>SCF-D01-007</v>
          </cell>
          <cell r="B501" t="str">
            <v>SCF-D01</v>
          </cell>
        </row>
        <row r="502">
          <cell r="A502" t="str">
            <v>SCF-D01-009</v>
          </cell>
          <cell r="B502" t="str">
            <v>SCF-D01</v>
          </cell>
        </row>
        <row r="503">
          <cell r="A503" t="str">
            <v>SCF-D01-011</v>
          </cell>
          <cell r="B503" t="str">
            <v>SCF-D01</v>
          </cell>
        </row>
        <row r="504">
          <cell r="A504" t="str">
            <v>SCF-D01-012</v>
          </cell>
          <cell r="B504" t="str">
            <v>SCF-D01</v>
          </cell>
        </row>
        <row r="505">
          <cell r="A505" t="str">
            <v>SCF-D01-015</v>
          </cell>
          <cell r="B505" t="str">
            <v>SCF-D01</v>
          </cell>
        </row>
        <row r="506">
          <cell r="A506" t="str">
            <v>SCF-D01-017</v>
          </cell>
          <cell r="B506" t="str">
            <v>SCF-D01</v>
          </cell>
        </row>
        <row r="507">
          <cell r="A507" t="str">
            <v>SCF-SJ006-Navystar-OS</v>
          </cell>
          <cell r="B507" t="str">
            <v>SCF-SJ006</v>
          </cell>
        </row>
        <row r="508">
          <cell r="A508" t="str">
            <v>SCF-SJ008-KH-OS</v>
          </cell>
          <cell r="B508" t="str">
            <v>SCF-SJ006</v>
          </cell>
        </row>
        <row r="509">
          <cell r="A509" t="str">
            <v>SDCQZH-FLQ12</v>
          </cell>
          <cell r="B509" t="str">
            <v>SDCQZH-FLQ12</v>
          </cell>
        </row>
        <row r="510">
          <cell r="A510" t="str">
            <v>SD-LUHM202-B0</v>
          </cell>
          <cell r="B510" t="str">
            <v>SD-LUHM202</v>
          </cell>
        </row>
        <row r="511">
          <cell r="A511" t="str">
            <v>SD-LUHM202-G0</v>
          </cell>
          <cell r="B511" t="str">
            <v>SD-LUHM202</v>
          </cell>
        </row>
        <row r="512">
          <cell r="A512" t="str">
            <v>SD-LUHM202-G0-X</v>
          </cell>
          <cell r="B512" t="str">
            <v>SD-LUHM202</v>
          </cell>
        </row>
        <row r="513">
          <cell r="A513" t="str">
            <v>SD-LUHM202-PI</v>
          </cell>
          <cell r="B513" t="str">
            <v>SD-LUHM202</v>
          </cell>
        </row>
        <row r="514">
          <cell r="A514" t="str">
            <v>SD-LUHM202-X0</v>
          </cell>
          <cell r="B514" t="str">
            <v>SD-LUHM202</v>
          </cell>
        </row>
        <row r="515">
          <cell r="A515" t="str">
            <v>SD-LUHM202-Y0</v>
          </cell>
          <cell r="B515" t="str">
            <v>SD-LUHM202</v>
          </cell>
        </row>
        <row r="516">
          <cell r="A516" t="str">
            <v>SDMZH-FLQ09WFB-RO-30</v>
          </cell>
          <cell r="B516" t="str">
            <v>SDMZH-FLQ09WFB</v>
          </cell>
        </row>
        <row r="517">
          <cell r="A517" t="str">
            <v>SDMZH-FLQ09WFB-RO-37</v>
          </cell>
          <cell r="B517" t="str">
            <v>SDMZH-FLQ09WFB</v>
          </cell>
        </row>
        <row r="518">
          <cell r="A518" t="str">
            <v>SDMZH-FLQ10RM-RO-30</v>
          </cell>
          <cell r="B518" t="str">
            <v>SDMZH-FLQ10RM</v>
          </cell>
        </row>
        <row r="519">
          <cell r="A519" t="str">
            <v>SDMZH-FLQ10RM-RO-37</v>
          </cell>
          <cell r="B519" t="str">
            <v>SDMZH-FLQ10RM</v>
          </cell>
        </row>
        <row r="520">
          <cell r="A520" t="str">
            <v>SDSZH-BS</v>
          </cell>
          <cell r="B520" t="str">
            <v>SDSZH</v>
          </cell>
        </row>
        <row r="521">
          <cell r="A521" t="str">
            <v>SDSZH-RG</v>
          </cell>
          <cell r="B521" t="str">
            <v>SDSZH</v>
          </cell>
        </row>
        <row r="522">
          <cell r="A522" t="str">
            <v>SDSZH-TS-1</v>
          </cell>
          <cell r="B522" t="str">
            <v>SDSZH</v>
          </cell>
        </row>
        <row r="523">
          <cell r="A523" t="str">
            <v>SDSZH-TS-2</v>
          </cell>
          <cell r="B523" t="str">
            <v>SDSZH</v>
          </cell>
        </row>
        <row r="524">
          <cell r="A524" t="str">
            <v>SDSZH-TS-3</v>
          </cell>
          <cell r="B524" t="str">
            <v>SDSZH</v>
          </cell>
        </row>
        <row r="525">
          <cell r="A525" t="str">
            <v>SDSZH-TS-4</v>
          </cell>
          <cell r="B525" t="str">
            <v>SDSZH</v>
          </cell>
        </row>
        <row r="526">
          <cell r="A526" t="str">
            <v>SDSZH-TS-5</v>
          </cell>
          <cell r="B526" t="str">
            <v>SDSZH</v>
          </cell>
        </row>
        <row r="527">
          <cell r="A527" t="str">
            <v>SDSZH-TS-6</v>
          </cell>
          <cell r="B527" t="str">
            <v>SDSZH</v>
          </cell>
        </row>
        <row r="528">
          <cell r="A528" t="str">
            <v>SDWZH-FLQ15FG-ML-50</v>
          </cell>
          <cell r="B528" t="str">
            <v>SDWZH-FLQ15</v>
          </cell>
        </row>
        <row r="529">
          <cell r="A529" t="str">
            <v>SDWZH-FLQ16-XR-60</v>
          </cell>
          <cell r="B529" t="str">
            <v>SDWZH-FLQ16</v>
          </cell>
        </row>
        <row r="530">
          <cell r="A530" t="str">
            <v>SG-LUHM050-K0</v>
          </cell>
          <cell r="B530" t="str">
            <v>SG-LUHM050</v>
          </cell>
        </row>
        <row r="531">
          <cell r="A531" t="str">
            <v>SG-LUHM100-K0</v>
          </cell>
          <cell r="B531" t="str">
            <v>SG-LUHM100</v>
          </cell>
        </row>
        <row r="532">
          <cell r="A532" t="str">
            <v>SJZP-FLQ19-CYH30-100</v>
          </cell>
          <cell r="B532" t="str">
            <v>SJZP-FLQ19</v>
          </cell>
        </row>
        <row r="533">
          <cell r="A533" t="str">
            <v>SJZP-FLQ19-CYV30-100</v>
          </cell>
          <cell r="B533" t="str">
            <v>SJZP-FLQ19</v>
          </cell>
        </row>
        <row r="534">
          <cell r="A534" t="str">
            <v>SJZP-FLQ19-CYXL-50*30</v>
          </cell>
          <cell r="B534" t="str">
            <v>SJZP-FLQ19</v>
          </cell>
        </row>
        <row r="535">
          <cell r="A535" t="str">
            <v>SJZP-FLQ19-SJ-100</v>
          </cell>
          <cell r="B535" t="str">
            <v>SJZP-FLQ19</v>
          </cell>
        </row>
        <row r="536">
          <cell r="A536" t="str">
            <v>SJZP-FLQ19-SJH30-100</v>
          </cell>
          <cell r="B536" t="str">
            <v>SJZP-FLQ19</v>
          </cell>
        </row>
        <row r="537">
          <cell r="A537" t="str">
            <v>SJZP-FLQ19-SJV30-100</v>
          </cell>
          <cell r="B537" t="str">
            <v>SJZP-FLQ19</v>
          </cell>
        </row>
        <row r="538">
          <cell r="A538" t="str">
            <v>SJZP-FLQ19-SJV40-100</v>
          </cell>
          <cell r="B538" t="str">
            <v>SJZP-FLQ19</v>
          </cell>
        </row>
        <row r="539">
          <cell r="A539" t="str">
            <v>SJZP-FLQ19-SJXL-50*30</v>
          </cell>
          <cell r="B539" t="str">
            <v>SJZP-FLQ19</v>
          </cell>
        </row>
        <row r="540">
          <cell r="A540" t="str">
            <v>SJZP-FLQ19-SJYX-140</v>
          </cell>
          <cell r="B540" t="str">
            <v>SJZP-FLQ19</v>
          </cell>
        </row>
        <row r="541">
          <cell r="A541" t="str">
            <v>SJZP-FLQ19-YXCY-140</v>
          </cell>
          <cell r="B541" t="str">
            <v>SJZP-FLQ19</v>
          </cell>
        </row>
        <row r="542">
          <cell r="A542" t="str">
            <v>SKS-B334</v>
          </cell>
          <cell r="B542" t="str">
            <v>SKS-B334</v>
          </cell>
        </row>
        <row r="543">
          <cell r="A543" t="str">
            <v>SL-LULW812-BO-L</v>
          </cell>
          <cell r="B543" t="str">
            <v>SL-LULW812</v>
          </cell>
        </row>
        <row r="544">
          <cell r="A544" t="str">
            <v>SL-LULW812-BO-M</v>
          </cell>
          <cell r="B544" t="str">
            <v>SL-LULW812</v>
          </cell>
        </row>
        <row r="545">
          <cell r="A545" t="str">
            <v>SL-LULW812-PI-L</v>
          </cell>
          <cell r="B545" t="str">
            <v>SL-LULW812</v>
          </cell>
        </row>
        <row r="546">
          <cell r="A546" t="str">
            <v>SL-LULW812-PI-M</v>
          </cell>
          <cell r="B546" t="str">
            <v>SL-LULW812</v>
          </cell>
        </row>
        <row r="547">
          <cell r="A547" t="str">
            <v>SL-LULW812-RO-L</v>
          </cell>
          <cell r="B547" t="str">
            <v>SL-LULW812</v>
          </cell>
        </row>
        <row r="548">
          <cell r="A548" t="str">
            <v>SL-LULW812-RO-M</v>
          </cell>
          <cell r="B548" t="str">
            <v>SL-LULW812</v>
          </cell>
        </row>
        <row r="549">
          <cell r="A549" t="str">
            <v>SL-LULW818-BO-L</v>
          </cell>
          <cell r="B549" t="str">
            <v>SL-LULW812</v>
          </cell>
        </row>
        <row r="550">
          <cell r="A550" t="str">
            <v>SL-LULW818-BO-M</v>
          </cell>
          <cell r="B550" t="str">
            <v>SL-LULW812</v>
          </cell>
        </row>
        <row r="551">
          <cell r="A551" t="str">
            <v>SL-LULW818-PI-L</v>
          </cell>
          <cell r="B551" t="str">
            <v>SL-LULW812</v>
          </cell>
        </row>
        <row r="552">
          <cell r="A552" t="str">
            <v>SL-LULW818-PI-M</v>
          </cell>
          <cell r="B552" t="str">
            <v>SL-LULW812</v>
          </cell>
        </row>
        <row r="553">
          <cell r="A553" t="str">
            <v>SL-LULW818-RO-L</v>
          </cell>
          <cell r="B553" t="str">
            <v>SL-LULW812</v>
          </cell>
        </row>
        <row r="554">
          <cell r="A554" t="str">
            <v>SL-LULW818-RO-M</v>
          </cell>
          <cell r="B554" t="str">
            <v>SL-LULW812</v>
          </cell>
        </row>
        <row r="555">
          <cell r="A555" t="str">
            <v>SND-FLQ17-GR-108</v>
          </cell>
          <cell r="B555" t="str">
            <v>SND-FLQ17</v>
          </cell>
        </row>
        <row r="556">
          <cell r="A556" t="str">
            <v>SND-FLQ17-NO-108</v>
          </cell>
          <cell r="B556" t="str">
            <v>SND-FLQ17</v>
          </cell>
        </row>
        <row r="557">
          <cell r="A557" t="str">
            <v>SND-FLQ18-SJ-74</v>
          </cell>
          <cell r="B557" t="str">
            <v>SND-FLQ18</v>
          </cell>
        </row>
        <row r="558">
          <cell r="A558" t="str">
            <v>SND-FLQ18-SJ-80</v>
          </cell>
          <cell r="B558" t="str">
            <v>SND-FLQ18</v>
          </cell>
        </row>
        <row r="559">
          <cell r="A559" t="str">
            <v>SND-WF5150-WO</v>
          </cell>
          <cell r="B559" t="str">
            <v>SND-WF5150</v>
          </cell>
        </row>
        <row r="560">
          <cell r="A560" t="str">
            <v>SND-WF5150-WO2</v>
          </cell>
          <cell r="B560" t="str">
            <v>SND-WF5150</v>
          </cell>
        </row>
        <row r="561">
          <cell r="A561" t="str">
            <v>SNH-LUHM001-E0</v>
          </cell>
          <cell r="B561" t="str">
            <v>SNH-LUHM001</v>
          </cell>
        </row>
        <row r="562">
          <cell r="A562" t="str">
            <v>SNH-LUHM001-G0</v>
          </cell>
          <cell r="B562" t="str">
            <v>SNH-LUHM001</v>
          </cell>
        </row>
        <row r="563">
          <cell r="A563" t="str">
            <v>SNH-LUHM001-K0</v>
          </cell>
          <cell r="B563" t="str">
            <v>SNH-LUHM001</v>
          </cell>
        </row>
        <row r="564">
          <cell r="A564" t="str">
            <v>SNH-LUHM001-W0</v>
          </cell>
          <cell r="B564" t="str">
            <v>SNH-LUHM001</v>
          </cell>
        </row>
        <row r="565">
          <cell r="A565" t="str">
            <v>SNH-LUHM001-Y0</v>
          </cell>
          <cell r="B565" t="str">
            <v>SNH-LUHM001</v>
          </cell>
        </row>
        <row r="566">
          <cell r="A566" t="str">
            <v>SNT-LUHM001-BS</v>
          </cell>
          <cell r="B566" t="str">
            <v>SNH-LUHM001</v>
          </cell>
        </row>
        <row r="567">
          <cell r="A567" t="str">
            <v>SNT-LUHM001-DX</v>
          </cell>
          <cell r="B567" t="str">
            <v>SNH-LUHM001</v>
          </cell>
        </row>
        <row r="568">
          <cell r="A568" t="str">
            <v>SNT-LUHM001-GQ</v>
          </cell>
          <cell r="B568" t="str">
            <v>SNH-LUHM001</v>
          </cell>
        </row>
        <row r="569">
          <cell r="A569" t="str">
            <v>SNT-LUHM001-HW</v>
          </cell>
          <cell r="B569" t="str">
            <v>SNH-LUHM001</v>
          </cell>
        </row>
        <row r="570">
          <cell r="A570" t="str">
            <v>SNT-LUHM001-HY</v>
          </cell>
          <cell r="B570" t="str">
            <v>SNH-LUHM001</v>
          </cell>
        </row>
        <row r="571">
          <cell r="A571" t="str">
            <v>SNT-LUHM001-KT</v>
          </cell>
          <cell r="B571" t="str">
            <v>SNH-LUHM001</v>
          </cell>
        </row>
        <row r="572">
          <cell r="A572" t="str">
            <v>SNT-LUHM001-WX</v>
          </cell>
          <cell r="B572" t="str">
            <v>SNH-LUHM001</v>
          </cell>
        </row>
        <row r="573">
          <cell r="A573" t="str">
            <v>SNT-LUHM001-ZX</v>
          </cell>
          <cell r="B573" t="str">
            <v>SNH-LUHM001</v>
          </cell>
        </row>
        <row r="574">
          <cell r="A574" t="str">
            <v>SQ-LUHM204</v>
          </cell>
          <cell r="B574" t="str">
            <v>SQ-LUHM</v>
          </cell>
        </row>
        <row r="575">
          <cell r="A575" t="str">
            <v>SQ-LUHM304</v>
          </cell>
          <cell r="B575" t="str">
            <v>SQ-LUHM</v>
          </cell>
        </row>
        <row r="576">
          <cell r="A576" t="str">
            <v>SQ-LUHM354</v>
          </cell>
          <cell r="B576" t="str">
            <v>SQ-LUHM</v>
          </cell>
        </row>
        <row r="577">
          <cell r="A577" t="str">
            <v>SQ-LUHM404</v>
          </cell>
          <cell r="B577" t="str">
            <v>SQ-LUHM</v>
          </cell>
        </row>
        <row r="578">
          <cell r="A578" t="str">
            <v>SQ-LUHM90A</v>
          </cell>
          <cell r="B578" t="str">
            <v>SQ-LUHM</v>
          </cell>
        </row>
        <row r="579">
          <cell r="A579" t="str">
            <v>ST005-BK-S</v>
          </cell>
          <cell r="B579" t="str">
            <v>ST005-BK</v>
          </cell>
        </row>
        <row r="580">
          <cell r="A580" t="str">
            <v>ST005-BL1-L</v>
          </cell>
          <cell r="B580" t="str">
            <v>ST005-BL1</v>
          </cell>
        </row>
        <row r="581">
          <cell r="A581" t="str">
            <v>ST005-BL2-S</v>
          </cell>
          <cell r="B581" t="str">
            <v>ST005-BL2</v>
          </cell>
        </row>
        <row r="582">
          <cell r="A582" t="str">
            <v>ST005-GN-S</v>
          </cell>
          <cell r="B582" t="str">
            <v>ST005-GN</v>
          </cell>
        </row>
        <row r="583">
          <cell r="A583" t="str">
            <v>ST005-RD1-M</v>
          </cell>
          <cell r="B583" t="str">
            <v>ST005-RD1</v>
          </cell>
        </row>
        <row r="584">
          <cell r="A584" t="str">
            <v>ST005-RD1-S</v>
          </cell>
          <cell r="B584" t="str">
            <v>ST005-RD1</v>
          </cell>
        </row>
        <row r="585">
          <cell r="A585" t="str">
            <v>ST005-RD-S</v>
          </cell>
          <cell r="B585" t="str">
            <v>ST005-RD</v>
          </cell>
        </row>
        <row r="586">
          <cell r="A586" t="str">
            <v>ST006-BK-XL</v>
          </cell>
          <cell r="B586" t="str">
            <v>ST006-BK</v>
          </cell>
        </row>
        <row r="587">
          <cell r="A587" t="str">
            <v>ST006-BL2-S</v>
          </cell>
          <cell r="B587" t="str">
            <v>ST006-BL2</v>
          </cell>
        </row>
        <row r="588">
          <cell r="A588" t="str">
            <v>ST006-BL-S</v>
          </cell>
          <cell r="B588" t="str">
            <v>ST006-BL</v>
          </cell>
        </row>
        <row r="589">
          <cell r="A589" t="str">
            <v>ST006-CF-M</v>
          </cell>
          <cell r="B589" t="str">
            <v>ST006-CF</v>
          </cell>
        </row>
        <row r="590">
          <cell r="A590" t="str">
            <v>ST006-CF-S</v>
          </cell>
          <cell r="B590" t="str">
            <v>ST006-CF</v>
          </cell>
        </row>
        <row r="591">
          <cell r="A591" t="str">
            <v>ST006-GN-M</v>
          </cell>
          <cell r="B591" t="str">
            <v>ST006-GN</v>
          </cell>
        </row>
        <row r="592">
          <cell r="A592" t="str">
            <v>ST006-GN-S</v>
          </cell>
          <cell r="B592" t="str">
            <v>ST006-GN</v>
          </cell>
        </row>
        <row r="593">
          <cell r="A593" t="str">
            <v>ST006-RD1-S</v>
          </cell>
          <cell r="B593" t="str">
            <v>ST006-RD1</v>
          </cell>
        </row>
        <row r="594">
          <cell r="A594" t="str">
            <v>ST006-RD2-XL</v>
          </cell>
          <cell r="B594" t="str">
            <v>ST006-RD2</v>
          </cell>
        </row>
        <row r="595">
          <cell r="A595" t="str">
            <v>ST084-H15-S</v>
          </cell>
          <cell r="B595" t="str">
            <v>ST084-H15</v>
          </cell>
        </row>
        <row r="596">
          <cell r="A596" t="str">
            <v>ST084-H15-XXL</v>
          </cell>
          <cell r="B596" t="str">
            <v>ST084-H15</v>
          </cell>
        </row>
        <row r="597">
          <cell r="A597" t="str">
            <v>ST085-LB916-M</v>
          </cell>
          <cell r="B597" t="str">
            <v>ST085-LB916</v>
          </cell>
        </row>
        <row r="598">
          <cell r="A598" t="str">
            <v>ST085-LB916-S</v>
          </cell>
          <cell r="B598" t="str">
            <v>ST085-LB916</v>
          </cell>
        </row>
        <row r="599">
          <cell r="A599" t="str">
            <v>ST122-N0-2XL</v>
          </cell>
          <cell r="B599" t="str">
            <v>ST122-N0</v>
          </cell>
        </row>
        <row r="600">
          <cell r="A600" t="str">
            <v>ST122-WR-S</v>
          </cell>
          <cell r="B600" t="str">
            <v>ST122-WR</v>
          </cell>
        </row>
        <row r="601">
          <cell r="A601" t="str">
            <v>ST155-AG-30</v>
          </cell>
          <cell r="B601" t="str">
            <v>ST155-AG</v>
          </cell>
        </row>
        <row r="602">
          <cell r="A602" t="str">
            <v>ST155-AG-32</v>
          </cell>
          <cell r="B602" t="str">
            <v>ST155-AG</v>
          </cell>
        </row>
        <row r="603">
          <cell r="A603" t="str">
            <v>ST155-AG-38</v>
          </cell>
          <cell r="B603" t="str">
            <v>ST155-AG</v>
          </cell>
        </row>
        <row r="604">
          <cell r="A604" t="str">
            <v>ST166-B28-4-L</v>
          </cell>
          <cell r="B604" t="str">
            <v>ST166-B28</v>
          </cell>
        </row>
        <row r="605">
          <cell r="A605" t="str">
            <v>ST166-B28-4-S</v>
          </cell>
          <cell r="B605" t="str">
            <v>ST166-B28</v>
          </cell>
        </row>
        <row r="606">
          <cell r="A606" t="str">
            <v>ST166-B28-4-XXL</v>
          </cell>
          <cell r="B606" t="str">
            <v>ST166-B28</v>
          </cell>
        </row>
        <row r="607">
          <cell r="A607" t="str">
            <v>ST166-K33-1-L</v>
          </cell>
          <cell r="B607" t="str">
            <v>ST166-K33</v>
          </cell>
        </row>
        <row r="608">
          <cell r="A608" t="str">
            <v>ST166-K33-1-S</v>
          </cell>
          <cell r="B608" t="str">
            <v>ST166-K33</v>
          </cell>
        </row>
        <row r="609">
          <cell r="A609" t="str">
            <v>ST166-K33-1-XL</v>
          </cell>
          <cell r="B609" t="str">
            <v>ST166-K33</v>
          </cell>
        </row>
        <row r="610">
          <cell r="A610" t="str">
            <v>ST166-K33-1-XXL</v>
          </cell>
          <cell r="B610" t="str">
            <v>ST166-K33</v>
          </cell>
        </row>
        <row r="611">
          <cell r="A611" t="str">
            <v>ST166-K33-4-L</v>
          </cell>
          <cell r="B611" t="str">
            <v>ST166-K33</v>
          </cell>
        </row>
        <row r="612">
          <cell r="A612" t="str">
            <v>ST166-K33-4-M</v>
          </cell>
          <cell r="B612" t="str">
            <v>ST166-K33</v>
          </cell>
        </row>
        <row r="613">
          <cell r="A613" t="str">
            <v>ST166-K33-4-S</v>
          </cell>
          <cell r="B613" t="str">
            <v>ST166-K33</v>
          </cell>
        </row>
        <row r="614">
          <cell r="A614" t="str">
            <v>ST167-BK-XXL</v>
          </cell>
          <cell r="B614" t="str">
            <v>ST167-BK</v>
          </cell>
        </row>
        <row r="615">
          <cell r="A615" t="str">
            <v>ST167-K0-XXL</v>
          </cell>
          <cell r="B615" t="str">
            <v>ST167-K0</v>
          </cell>
        </row>
        <row r="616">
          <cell r="A616" t="str">
            <v>ST168-K77-4-XL</v>
          </cell>
          <cell r="B616" t="str">
            <v>ST168-K77</v>
          </cell>
        </row>
        <row r="617">
          <cell r="A617" t="str">
            <v>ST170-LB-L</v>
          </cell>
          <cell r="B617" t="str">
            <v>ST170-LB</v>
          </cell>
        </row>
        <row r="618">
          <cell r="A618" t="str">
            <v>ST170-LB-M</v>
          </cell>
          <cell r="B618" t="str">
            <v>ST170-LB</v>
          </cell>
        </row>
        <row r="619">
          <cell r="A619" t="str">
            <v>ST170-LB-S</v>
          </cell>
          <cell r="B619" t="str">
            <v>ST170-LB</v>
          </cell>
        </row>
        <row r="620">
          <cell r="A620" t="str">
            <v>ST170-LB-XL</v>
          </cell>
          <cell r="B620" t="str">
            <v>ST170-LB</v>
          </cell>
        </row>
        <row r="621">
          <cell r="A621" t="str">
            <v>ST170-LB-XXL</v>
          </cell>
          <cell r="B621" t="str">
            <v>ST170-LB</v>
          </cell>
        </row>
        <row r="622">
          <cell r="A622" t="str">
            <v>ST170-LG-L</v>
          </cell>
          <cell r="B622" t="str">
            <v>ST170-LG</v>
          </cell>
        </row>
        <row r="623">
          <cell r="A623" t="str">
            <v>ST170-LG-M</v>
          </cell>
          <cell r="B623" t="str">
            <v>ST170-LG</v>
          </cell>
        </row>
        <row r="624">
          <cell r="A624" t="str">
            <v>ST170-LG-S</v>
          </cell>
          <cell r="B624" t="str">
            <v>ST170-LG</v>
          </cell>
        </row>
        <row r="625">
          <cell r="A625" t="str">
            <v>ST170-LG-XXL</v>
          </cell>
          <cell r="B625" t="str">
            <v>ST170-LG</v>
          </cell>
        </row>
        <row r="626">
          <cell r="A626" t="str">
            <v>ST170-PK-M</v>
          </cell>
          <cell r="B626" t="str">
            <v>ST170-PK</v>
          </cell>
        </row>
        <row r="627">
          <cell r="A627" t="str">
            <v>ST170-PK-XL</v>
          </cell>
          <cell r="B627" t="str">
            <v>ST170-PK</v>
          </cell>
        </row>
        <row r="628">
          <cell r="A628" t="str">
            <v>ST170-PK-XXL</v>
          </cell>
          <cell r="B628" t="str">
            <v>ST170-PK</v>
          </cell>
        </row>
        <row r="629">
          <cell r="A629" t="str">
            <v>ST170-SA-M</v>
          </cell>
          <cell r="B629" t="str">
            <v>ST170-SA</v>
          </cell>
        </row>
        <row r="630">
          <cell r="A630" t="str">
            <v>ST170-SA-S</v>
          </cell>
          <cell r="B630" t="str">
            <v>ST170-SA</v>
          </cell>
        </row>
        <row r="631">
          <cell r="A631" t="str">
            <v>ST170-SA-XL</v>
          </cell>
          <cell r="B631" t="str">
            <v>ST170-SA</v>
          </cell>
        </row>
        <row r="632">
          <cell r="A632" t="str">
            <v>ST170-SA-XXL</v>
          </cell>
          <cell r="B632" t="str">
            <v>ST170-SA</v>
          </cell>
        </row>
        <row r="633">
          <cell r="A633" t="str">
            <v>ST170-WR-L</v>
          </cell>
          <cell r="B633" t="str">
            <v>ST170-WR</v>
          </cell>
        </row>
        <row r="634">
          <cell r="A634" t="str">
            <v>ST170-WR-S</v>
          </cell>
          <cell r="B634" t="str">
            <v>ST170-WR</v>
          </cell>
        </row>
        <row r="635">
          <cell r="A635" t="str">
            <v>ST170-WR-XL</v>
          </cell>
          <cell r="B635" t="str">
            <v>ST170-WR</v>
          </cell>
        </row>
        <row r="636">
          <cell r="A636" t="str">
            <v>ST170-WT-M</v>
          </cell>
          <cell r="B636" t="str">
            <v>ST170-WT</v>
          </cell>
        </row>
        <row r="637">
          <cell r="A637" t="str">
            <v>ST170-WT-S</v>
          </cell>
          <cell r="B637" t="str">
            <v>ST170-WT</v>
          </cell>
        </row>
        <row r="638">
          <cell r="A638" t="str">
            <v>ST170-ZL-L</v>
          </cell>
          <cell r="B638" t="str">
            <v>ST170-ZL</v>
          </cell>
        </row>
        <row r="639">
          <cell r="A639" t="str">
            <v>ST170-ZL-M</v>
          </cell>
          <cell r="B639" t="str">
            <v>ST170-ZL</v>
          </cell>
        </row>
        <row r="640">
          <cell r="A640" t="str">
            <v>ST170-ZL-S</v>
          </cell>
          <cell r="B640" t="str">
            <v>ST170-ZL</v>
          </cell>
        </row>
        <row r="641">
          <cell r="A641" t="str">
            <v>ST170-ZL-XL</v>
          </cell>
          <cell r="B641" t="str">
            <v>ST170-ZL</v>
          </cell>
        </row>
        <row r="642">
          <cell r="A642" t="str">
            <v>ST171-LB916-M</v>
          </cell>
          <cell r="B642" t="str">
            <v>ST171-LB916</v>
          </cell>
        </row>
        <row r="643">
          <cell r="A643" t="str">
            <v>ST171-LB916-S</v>
          </cell>
          <cell r="B643" t="str">
            <v>ST171-LB916</v>
          </cell>
        </row>
        <row r="644">
          <cell r="A644" t="str">
            <v>ST171-LB916-XXL</v>
          </cell>
          <cell r="B644" t="str">
            <v>ST171-LB916</v>
          </cell>
        </row>
        <row r="645">
          <cell r="A645" t="str">
            <v>ST171-Sa911-L</v>
          </cell>
          <cell r="B645" t="str">
            <v>ST171-Sa911</v>
          </cell>
        </row>
        <row r="646">
          <cell r="A646" t="str">
            <v>ST171-Sa911-M</v>
          </cell>
          <cell r="B646" t="str">
            <v>ST171-Sa911</v>
          </cell>
        </row>
        <row r="647">
          <cell r="A647" t="str">
            <v>ST171-Sa911-S</v>
          </cell>
          <cell r="B647" t="str">
            <v>ST171-Sa911</v>
          </cell>
        </row>
        <row r="648">
          <cell r="A648" t="str">
            <v>ST171-Sa911-XL</v>
          </cell>
          <cell r="B648" t="str">
            <v>ST171-Sa911</v>
          </cell>
        </row>
        <row r="649">
          <cell r="A649" t="str">
            <v>ST171-W902-M</v>
          </cell>
          <cell r="B649" t="str">
            <v>ST171-W902</v>
          </cell>
        </row>
        <row r="650">
          <cell r="A650" t="str">
            <v>ST171-W902-XL</v>
          </cell>
          <cell r="B650" t="str">
            <v>ST171-W902</v>
          </cell>
        </row>
        <row r="651">
          <cell r="A651" t="str">
            <v>ST172-BK-L</v>
          </cell>
          <cell r="B651" t="str">
            <v>ST172-BK</v>
          </cell>
        </row>
        <row r="652">
          <cell r="A652" t="str">
            <v>ST172-BK-M</v>
          </cell>
          <cell r="B652" t="str">
            <v>ST172-BK</v>
          </cell>
        </row>
        <row r="653">
          <cell r="A653" t="str">
            <v>ST172-BK-S</v>
          </cell>
          <cell r="B653" t="str">
            <v>ST172-BK</v>
          </cell>
        </row>
        <row r="654">
          <cell r="A654" t="str">
            <v>ST172-BK-XL</v>
          </cell>
          <cell r="B654" t="str">
            <v>ST172-BK</v>
          </cell>
        </row>
        <row r="655">
          <cell r="A655" t="str">
            <v>ST172-BL-L</v>
          </cell>
          <cell r="B655" t="str">
            <v>ST172-BL</v>
          </cell>
        </row>
        <row r="656">
          <cell r="A656" t="str">
            <v>ST172-BL-M</v>
          </cell>
          <cell r="B656" t="str">
            <v>ST172-BL</v>
          </cell>
        </row>
        <row r="657">
          <cell r="A657" t="str">
            <v>ST172-BL-S</v>
          </cell>
          <cell r="B657" t="str">
            <v>ST172-BL</v>
          </cell>
        </row>
        <row r="658">
          <cell r="A658" t="str">
            <v>ST172-BL-XL</v>
          </cell>
          <cell r="B658" t="str">
            <v>ST172-BL</v>
          </cell>
        </row>
        <row r="659">
          <cell r="A659" t="str">
            <v>ST172-BL-XXL</v>
          </cell>
          <cell r="B659" t="str">
            <v>ST172-BL</v>
          </cell>
        </row>
        <row r="660">
          <cell r="A660" t="str">
            <v>ST172-GR-L</v>
          </cell>
          <cell r="B660" t="str">
            <v>ST172-GR</v>
          </cell>
        </row>
        <row r="661">
          <cell r="A661" t="str">
            <v>ST172-GR-M</v>
          </cell>
          <cell r="B661" t="str">
            <v>ST172-GR</v>
          </cell>
        </row>
        <row r="662">
          <cell r="A662" t="str">
            <v>ST172-GR-S</v>
          </cell>
          <cell r="B662" t="str">
            <v>ST172-GR</v>
          </cell>
        </row>
        <row r="663">
          <cell r="A663" t="str">
            <v>ST172-GR-XL</v>
          </cell>
          <cell r="B663" t="str">
            <v>ST172-GR</v>
          </cell>
        </row>
        <row r="664">
          <cell r="A664" t="str">
            <v>ST172-GR-XXL</v>
          </cell>
          <cell r="B664" t="str">
            <v>ST172-GR</v>
          </cell>
        </row>
        <row r="665">
          <cell r="A665" t="str">
            <v>ST172-NY-L</v>
          </cell>
          <cell r="B665" t="str">
            <v>ST172-NY</v>
          </cell>
        </row>
        <row r="666">
          <cell r="A666" t="str">
            <v>ST172-NY-M</v>
          </cell>
          <cell r="B666" t="str">
            <v>ST172-NY</v>
          </cell>
        </row>
        <row r="667">
          <cell r="A667" t="str">
            <v>ST172-NY-S</v>
          </cell>
          <cell r="B667" t="str">
            <v>ST172-NY</v>
          </cell>
        </row>
        <row r="668">
          <cell r="A668" t="str">
            <v>ST172-NY-XL</v>
          </cell>
          <cell r="B668" t="str">
            <v>ST172-NY</v>
          </cell>
        </row>
        <row r="669">
          <cell r="A669" t="str">
            <v>ST172-NY-XXL</v>
          </cell>
          <cell r="B669" t="str">
            <v>ST172-NY</v>
          </cell>
        </row>
        <row r="670">
          <cell r="A670" t="str">
            <v>ST172-PK-L</v>
          </cell>
          <cell r="B670" t="str">
            <v>ST172-PK</v>
          </cell>
        </row>
        <row r="671">
          <cell r="A671" t="str">
            <v>ST172-PK-M</v>
          </cell>
          <cell r="B671" t="str">
            <v>ST172-PK</v>
          </cell>
        </row>
        <row r="672">
          <cell r="A672" t="str">
            <v>ST172-PK-S</v>
          </cell>
          <cell r="B672" t="str">
            <v>ST172-PK</v>
          </cell>
        </row>
        <row r="673">
          <cell r="A673" t="str">
            <v>ST172-PK-XL</v>
          </cell>
          <cell r="B673" t="str">
            <v>ST172-PK</v>
          </cell>
        </row>
        <row r="674">
          <cell r="A674" t="str">
            <v>ST172-PK-XXL</v>
          </cell>
          <cell r="B674" t="str">
            <v>ST172-PK</v>
          </cell>
        </row>
        <row r="675">
          <cell r="A675" t="str">
            <v>ST172-PP-L</v>
          </cell>
          <cell r="B675" t="str">
            <v>ST172-PP</v>
          </cell>
        </row>
        <row r="676">
          <cell r="A676" t="str">
            <v>ST172-PP-M</v>
          </cell>
          <cell r="B676" t="str">
            <v>ST172-PP</v>
          </cell>
        </row>
        <row r="677">
          <cell r="A677" t="str">
            <v>ST172-PP-S</v>
          </cell>
          <cell r="B677" t="str">
            <v>ST172-PP</v>
          </cell>
        </row>
        <row r="678">
          <cell r="A678" t="str">
            <v>ST172-PP-XL</v>
          </cell>
          <cell r="B678" t="str">
            <v>ST172-PP</v>
          </cell>
        </row>
        <row r="679">
          <cell r="A679" t="str">
            <v>ST172-WR-L</v>
          </cell>
          <cell r="B679" t="str">
            <v>ST172-WR</v>
          </cell>
        </row>
        <row r="680">
          <cell r="A680" t="str">
            <v>ST172-WR-M</v>
          </cell>
          <cell r="B680" t="str">
            <v>ST172-WR</v>
          </cell>
        </row>
        <row r="681">
          <cell r="A681" t="str">
            <v>ST172-WR-S</v>
          </cell>
          <cell r="B681" t="str">
            <v>ST172-WR</v>
          </cell>
        </row>
        <row r="682">
          <cell r="A682" t="str">
            <v>ST172-WR-XL</v>
          </cell>
          <cell r="B682" t="str">
            <v>ST172-WR</v>
          </cell>
        </row>
        <row r="683">
          <cell r="A683" t="str">
            <v>ST172-WR-XXL</v>
          </cell>
          <cell r="B683" t="str">
            <v>ST172-WR</v>
          </cell>
        </row>
        <row r="684">
          <cell r="A684" t="str">
            <v>ST172-WT1-L</v>
          </cell>
          <cell r="B684" t="str">
            <v>ST172-WT1</v>
          </cell>
        </row>
        <row r="685">
          <cell r="A685" t="str">
            <v>ST172-WT1-M</v>
          </cell>
          <cell r="B685" t="str">
            <v>ST172-WT1</v>
          </cell>
        </row>
        <row r="686">
          <cell r="A686" t="str">
            <v>ST172-WT1-S</v>
          </cell>
          <cell r="B686" t="str">
            <v>ST172-WT1</v>
          </cell>
        </row>
        <row r="687">
          <cell r="A687" t="str">
            <v>ST172-WT1-XL</v>
          </cell>
          <cell r="B687" t="str">
            <v>ST172-WT1</v>
          </cell>
        </row>
        <row r="688">
          <cell r="A688" t="str">
            <v>ST172-WT1-XXL</v>
          </cell>
          <cell r="B688" t="str">
            <v>ST172-WT1</v>
          </cell>
        </row>
        <row r="689">
          <cell r="A689" t="str">
            <v>ST172-WT2-L</v>
          </cell>
          <cell r="B689" t="str">
            <v>ST172-WT2</v>
          </cell>
        </row>
        <row r="690">
          <cell r="A690" t="str">
            <v>ST172-WT2-M</v>
          </cell>
          <cell r="B690" t="str">
            <v>ST172-WT2</v>
          </cell>
        </row>
        <row r="691">
          <cell r="A691" t="str">
            <v>ST172-WT2-S</v>
          </cell>
          <cell r="B691" t="str">
            <v>ST172-WT2</v>
          </cell>
        </row>
        <row r="692">
          <cell r="A692" t="str">
            <v>ST172-WT2-XL</v>
          </cell>
          <cell r="B692" t="str">
            <v>ST172-WT2</v>
          </cell>
        </row>
        <row r="693">
          <cell r="A693" t="str">
            <v>ST172-WT2-XXL</v>
          </cell>
          <cell r="B693" t="str">
            <v>ST172-WT2</v>
          </cell>
        </row>
        <row r="694">
          <cell r="A694" t="str">
            <v>ST173-BK-L</v>
          </cell>
          <cell r="B694" t="str">
            <v>ST173-BK</v>
          </cell>
        </row>
        <row r="695">
          <cell r="A695" t="str">
            <v>ST173-BK-S</v>
          </cell>
          <cell r="B695" t="str">
            <v>ST173-BK</v>
          </cell>
        </row>
        <row r="696">
          <cell r="A696" t="str">
            <v>ST173-BK-XL</v>
          </cell>
          <cell r="B696" t="str">
            <v>ST173-BK</v>
          </cell>
        </row>
        <row r="697">
          <cell r="A697" t="str">
            <v>ST173-BK-XXL</v>
          </cell>
          <cell r="B697" t="str">
            <v>ST173-BK</v>
          </cell>
        </row>
        <row r="698">
          <cell r="A698" t="str">
            <v>ST173-BL-L</v>
          </cell>
          <cell r="B698" t="str">
            <v>ST173-BL</v>
          </cell>
        </row>
        <row r="699">
          <cell r="A699" t="str">
            <v>ST173-BL-M</v>
          </cell>
          <cell r="B699" t="str">
            <v>ST173-BL</v>
          </cell>
        </row>
        <row r="700">
          <cell r="A700" t="str">
            <v>ST173-BL-S</v>
          </cell>
          <cell r="B700" t="str">
            <v>ST173-BL</v>
          </cell>
        </row>
        <row r="701">
          <cell r="A701" t="str">
            <v>ST173-BL-XL</v>
          </cell>
          <cell r="B701" t="str">
            <v>ST173-BL</v>
          </cell>
        </row>
        <row r="702">
          <cell r="A702" t="str">
            <v>ST173-BL-XXL</v>
          </cell>
          <cell r="B702" t="str">
            <v>ST173-BL</v>
          </cell>
        </row>
        <row r="703">
          <cell r="A703" t="str">
            <v>ST173-GR-L</v>
          </cell>
          <cell r="B703" t="str">
            <v>ST173-GR</v>
          </cell>
        </row>
        <row r="704">
          <cell r="A704" t="str">
            <v>ST173-GR-M</v>
          </cell>
          <cell r="B704" t="str">
            <v>ST173-GR</v>
          </cell>
        </row>
        <row r="705">
          <cell r="A705" t="str">
            <v>ST173-GR-S</v>
          </cell>
          <cell r="B705" t="str">
            <v>ST173-GR</v>
          </cell>
        </row>
        <row r="706">
          <cell r="A706" t="str">
            <v>ST173-GR-XL</v>
          </cell>
          <cell r="B706" t="str">
            <v>ST173-GR</v>
          </cell>
        </row>
        <row r="707">
          <cell r="A707" t="str">
            <v>ST173-GR-XXL</v>
          </cell>
          <cell r="B707" t="str">
            <v>ST173-GR</v>
          </cell>
        </row>
        <row r="708">
          <cell r="A708" t="str">
            <v>ST173-NY-L</v>
          </cell>
          <cell r="B708" t="str">
            <v>ST173-NY</v>
          </cell>
        </row>
        <row r="709">
          <cell r="A709" t="str">
            <v>ST173-NY-M</v>
          </cell>
          <cell r="B709" t="str">
            <v>ST173-NY</v>
          </cell>
        </row>
        <row r="710">
          <cell r="A710" t="str">
            <v>ST173-NY-S</v>
          </cell>
          <cell r="B710" t="str">
            <v>ST173-NY</v>
          </cell>
        </row>
        <row r="711">
          <cell r="A711" t="str">
            <v>ST173-NY-XL</v>
          </cell>
          <cell r="B711" t="str">
            <v>ST173-NY</v>
          </cell>
        </row>
        <row r="712">
          <cell r="A712" t="str">
            <v>ST173-NY-XXL</v>
          </cell>
          <cell r="B712" t="str">
            <v>ST173-NY</v>
          </cell>
        </row>
        <row r="713">
          <cell r="A713" t="str">
            <v>ST173-PK-L</v>
          </cell>
          <cell r="B713" t="str">
            <v>ST173-PK</v>
          </cell>
        </row>
        <row r="714">
          <cell r="A714" t="str">
            <v>ST173-PK-M</v>
          </cell>
          <cell r="B714" t="str">
            <v>ST173-PK</v>
          </cell>
        </row>
        <row r="715">
          <cell r="A715" t="str">
            <v>ST173-PK-S</v>
          </cell>
          <cell r="B715" t="str">
            <v>ST173-PK</v>
          </cell>
        </row>
        <row r="716">
          <cell r="A716" t="str">
            <v>ST173-PK-XL</v>
          </cell>
          <cell r="B716" t="str">
            <v>ST173-PK</v>
          </cell>
        </row>
        <row r="717">
          <cell r="A717" t="str">
            <v>ST173-PK-XXL</v>
          </cell>
          <cell r="B717" t="str">
            <v>ST173-PK</v>
          </cell>
        </row>
        <row r="718">
          <cell r="A718" t="str">
            <v>ST173-PP-L</v>
          </cell>
          <cell r="B718" t="str">
            <v>ST173-PP</v>
          </cell>
        </row>
        <row r="719">
          <cell r="A719" t="str">
            <v>ST173-PP-S</v>
          </cell>
          <cell r="B719" t="str">
            <v>ST173-PP</v>
          </cell>
        </row>
        <row r="720">
          <cell r="A720" t="str">
            <v>ST173-WR-L</v>
          </cell>
          <cell r="B720" t="str">
            <v>ST173-WR</v>
          </cell>
        </row>
        <row r="721">
          <cell r="A721" t="str">
            <v>ST173-WR-M</v>
          </cell>
          <cell r="B721" t="str">
            <v>ST173-WR</v>
          </cell>
        </row>
        <row r="722">
          <cell r="A722" t="str">
            <v>ST173-WR-S</v>
          </cell>
          <cell r="B722" t="str">
            <v>ST173-WR</v>
          </cell>
        </row>
        <row r="723">
          <cell r="A723" t="str">
            <v>ST173-WR-XL</v>
          </cell>
          <cell r="B723" t="str">
            <v>ST173-WR</v>
          </cell>
        </row>
        <row r="724">
          <cell r="A724" t="str">
            <v>ST173-WR-XXL</v>
          </cell>
          <cell r="B724" t="str">
            <v>ST173-WR</v>
          </cell>
        </row>
        <row r="725">
          <cell r="A725" t="str">
            <v>ST173-WT1-L</v>
          </cell>
          <cell r="B725" t="str">
            <v>ST173-WT1</v>
          </cell>
        </row>
        <row r="726">
          <cell r="A726" t="str">
            <v>ST173-WT1-M</v>
          </cell>
          <cell r="B726" t="str">
            <v>ST173-WT1</v>
          </cell>
        </row>
        <row r="727">
          <cell r="A727" t="str">
            <v>ST173-WT1-S</v>
          </cell>
          <cell r="B727" t="str">
            <v>ST173-WT1</v>
          </cell>
        </row>
        <row r="728">
          <cell r="A728" t="str">
            <v>ST173-WT1-XXL</v>
          </cell>
          <cell r="B728" t="str">
            <v>ST173-WT1</v>
          </cell>
        </row>
        <row r="729">
          <cell r="A729" t="str">
            <v>ST173-WT2-L</v>
          </cell>
          <cell r="B729" t="str">
            <v>ST173-WT2</v>
          </cell>
        </row>
        <row r="730">
          <cell r="A730" t="str">
            <v>ST173-WT2-S</v>
          </cell>
          <cell r="B730" t="str">
            <v>ST173-WT2</v>
          </cell>
        </row>
        <row r="731">
          <cell r="A731" t="str">
            <v>ST173-WT2-XL</v>
          </cell>
          <cell r="B731" t="str">
            <v>ST173-WT2</v>
          </cell>
        </row>
        <row r="732">
          <cell r="A732" t="str">
            <v>ST-FLQ110-KO-L</v>
          </cell>
          <cell r="B732" t="str">
            <v>ST-FLQ110</v>
          </cell>
        </row>
        <row r="733">
          <cell r="A733" t="str">
            <v>ST-FLQ110-KO-M</v>
          </cell>
          <cell r="B733" t="str">
            <v>ST-FLQ110</v>
          </cell>
        </row>
        <row r="734">
          <cell r="A734" t="str">
            <v>ST-FLQ110-KO-XL</v>
          </cell>
          <cell r="B734" t="str">
            <v>ST-FLQ110</v>
          </cell>
        </row>
        <row r="735">
          <cell r="A735" t="str">
            <v>ST-FLQ110-PI-L</v>
          </cell>
          <cell r="B735" t="str">
            <v>ST-FLQ110</v>
          </cell>
        </row>
        <row r="736">
          <cell r="A736" t="str">
            <v>ST-FLQ110-PI-M</v>
          </cell>
          <cell r="B736" t="str">
            <v>ST-FLQ110</v>
          </cell>
        </row>
        <row r="737">
          <cell r="A737" t="str">
            <v>ST-FLQ110-PI-S</v>
          </cell>
          <cell r="B737" t="str">
            <v>ST-FLQ110</v>
          </cell>
        </row>
        <row r="738">
          <cell r="A738" t="str">
            <v>ST-K157-B0-32</v>
          </cell>
          <cell r="B738" t="str">
            <v>ST-K157</v>
          </cell>
        </row>
        <row r="739">
          <cell r="A739" t="str">
            <v>ST-K157-KQ-32</v>
          </cell>
          <cell r="B739" t="str">
            <v>ST-K157</v>
          </cell>
        </row>
        <row r="740">
          <cell r="A740" t="str">
            <v>ST-K157-KQ-34</v>
          </cell>
          <cell r="B740" t="str">
            <v>ST-K157</v>
          </cell>
        </row>
        <row r="741">
          <cell r="A741" t="str">
            <v>ST-K559-K0-44</v>
          </cell>
          <cell r="B741" t="str">
            <v>ST-K559</v>
          </cell>
        </row>
        <row r="742">
          <cell r="A742" t="str">
            <v>ST-K559-KQ-32</v>
          </cell>
          <cell r="B742" t="str">
            <v>ST-K559</v>
          </cell>
        </row>
        <row r="743">
          <cell r="A743" t="str">
            <v>ST-K559-KQ-34</v>
          </cell>
          <cell r="B743" t="str">
            <v>ST-K559</v>
          </cell>
        </row>
        <row r="744">
          <cell r="A744" t="str">
            <v>ST-K559-KQ-44</v>
          </cell>
          <cell r="B744" t="str">
            <v>ST-K559</v>
          </cell>
        </row>
        <row r="745">
          <cell r="A745" t="str">
            <v>ST-K559-OR-32</v>
          </cell>
          <cell r="B745" t="str">
            <v>ST-K559</v>
          </cell>
        </row>
        <row r="746">
          <cell r="A746" t="str">
            <v>ST-LAHM-LG-001</v>
          </cell>
          <cell r="B746" t="str">
            <v>ST-LAHM</v>
          </cell>
        </row>
        <row r="747">
          <cell r="A747" t="str">
            <v>SZ-IUYL002</v>
          </cell>
          <cell r="B747" t="str">
            <v>SZ-IUYL002</v>
          </cell>
        </row>
        <row r="748">
          <cell r="A748" t="str">
            <v>TEST-BR-6IN</v>
          </cell>
          <cell r="B748" t="str">
            <v>TEST-BR-6IN</v>
          </cell>
        </row>
        <row r="749">
          <cell r="A749" t="str">
            <v>TESTY0-6IN</v>
          </cell>
          <cell r="B749" t="str">
            <v>TEST-Y0</v>
          </cell>
        </row>
        <row r="750">
          <cell r="A750" t="str">
            <v>TEST-Y0-7IN</v>
          </cell>
          <cell r="B750" t="str">
            <v>TEST-Y0</v>
          </cell>
        </row>
        <row r="751">
          <cell r="A751" t="str">
            <v>TZ-IUYL240-BEAR-L</v>
          </cell>
          <cell r="B751" t="str">
            <v>TZ-IUYL240</v>
          </cell>
        </row>
        <row r="752">
          <cell r="A752" t="str">
            <v>TZ-IUYL240-BEAR-M</v>
          </cell>
          <cell r="B752" t="str">
            <v>TZ-IUYL240</v>
          </cell>
        </row>
        <row r="753">
          <cell r="A753" t="str">
            <v>TZ-IUYL240-BEAR-S</v>
          </cell>
          <cell r="B753" t="str">
            <v>TZ-IUYL240</v>
          </cell>
        </row>
        <row r="754">
          <cell r="A754" t="str">
            <v>TZ-IUYL240-BONE-L</v>
          </cell>
          <cell r="B754" t="str">
            <v>TZ-IUYL240</v>
          </cell>
        </row>
        <row r="755">
          <cell r="A755" t="str">
            <v>TZ-IUYL240-BONE-M</v>
          </cell>
          <cell r="B755" t="str">
            <v>TZ-IUYL240</v>
          </cell>
        </row>
        <row r="756">
          <cell r="A756" t="str">
            <v>TZ-IUYL240-BONE-S</v>
          </cell>
          <cell r="B756" t="str">
            <v>TZ-IUYL240</v>
          </cell>
        </row>
        <row r="757">
          <cell r="A757" t="str">
            <v>TZ-IUYL240-DOT2-L</v>
          </cell>
          <cell r="B757" t="str">
            <v>TZ-IUYL240</v>
          </cell>
        </row>
        <row r="758">
          <cell r="A758" t="str">
            <v>TZ-IUYL240-DOT2-M</v>
          </cell>
          <cell r="B758" t="str">
            <v>TZ-IUYL240</v>
          </cell>
        </row>
        <row r="759">
          <cell r="A759" t="str">
            <v>TZ-IUYL240-DOT2-S</v>
          </cell>
          <cell r="B759" t="str">
            <v>TZ-IUYL240</v>
          </cell>
        </row>
        <row r="760">
          <cell r="A760" t="str">
            <v>TZ-IUYL240-DOT-L</v>
          </cell>
          <cell r="B760" t="str">
            <v>TZ-IUYL240</v>
          </cell>
        </row>
        <row r="761">
          <cell r="A761" t="str">
            <v>TZ-IUYL240-DOT-M</v>
          </cell>
          <cell r="B761" t="str">
            <v>TZ-IUYL240</v>
          </cell>
        </row>
        <row r="762">
          <cell r="A762" t="str">
            <v>TZ-IUYL240-DOT-S</v>
          </cell>
          <cell r="B762" t="str">
            <v>TZ-IUYL240</v>
          </cell>
        </row>
        <row r="763">
          <cell r="A763" t="str">
            <v>TZ-IUYL240-ELPH-L</v>
          </cell>
          <cell r="B763" t="str">
            <v>TZ-IUYL240</v>
          </cell>
        </row>
        <row r="764">
          <cell r="A764" t="str">
            <v>TZ-IUYL240-ELPH-M</v>
          </cell>
          <cell r="B764" t="str">
            <v>TZ-IUYL240</v>
          </cell>
        </row>
        <row r="765">
          <cell r="A765" t="str">
            <v>TZ-IUYL240-ELPH-S</v>
          </cell>
          <cell r="B765" t="str">
            <v>TZ-IUYL240</v>
          </cell>
        </row>
        <row r="766">
          <cell r="A766" t="str">
            <v>TZ-IUYL240LHY-BONE-L</v>
          </cell>
          <cell r="B766" t="str">
            <v>TZ-IUYL240LHY</v>
          </cell>
        </row>
        <row r="767">
          <cell r="A767" t="str">
            <v>TZ-IUYL240LHY-BONE-M</v>
          </cell>
          <cell r="B767" t="str">
            <v>TZ-IUYL240LHY</v>
          </cell>
        </row>
        <row r="768">
          <cell r="A768" t="str">
            <v>TZ-IUYL240LHY-BONE-S</v>
          </cell>
          <cell r="B768" t="str">
            <v>TZ-IUYL240LHY</v>
          </cell>
        </row>
        <row r="769">
          <cell r="A769" t="str">
            <v>TZ-IUYL240LHY-DOT-L</v>
          </cell>
          <cell r="B769" t="str">
            <v>TZ-IUYL240LHY</v>
          </cell>
        </row>
        <row r="770">
          <cell r="A770" t="str">
            <v>TZ-IUYL240LHY-DOT-M</v>
          </cell>
          <cell r="B770" t="str">
            <v>TZ-IUYL240LHY</v>
          </cell>
        </row>
        <row r="771">
          <cell r="A771" t="str">
            <v>TZ-IUYL240LHY-DOT-S</v>
          </cell>
          <cell r="B771" t="str">
            <v>TZ-IUYL240LHY</v>
          </cell>
        </row>
        <row r="772">
          <cell r="A772" t="str">
            <v>TZ-IUYL240LHY-ELPH-L</v>
          </cell>
          <cell r="B772" t="str">
            <v>TZ-IUYL240LHY</v>
          </cell>
        </row>
        <row r="773">
          <cell r="A773" t="str">
            <v>TZ-IUYL240LHY-ELPH-M</v>
          </cell>
          <cell r="B773" t="str">
            <v>TZ-IUYL240LHY</v>
          </cell>
        </row>
        <row r="774">
          <cell r="A774" t="str">
            <v>TZ-IUYL240LHY-ELPH-S</v>
          </cell>
          <cell r="B774" t="str">
            <v>TZ-IUYL240LHY</v>
          </cell>
        </row>
        <row r="775">
          <cell r="A775" t="str">
            <v>TZ-IUYL240LHY-PAW-L</v>
          </cell>
          <cell r="B775" t="str">
            <v>TZ-IUYL240LHY</v>
          </cell>
        </row>
        <row r="776">
          <cell r="A776" t="str">
            <v>TZ-IUYL240LHY-PAW-M</v>
          </cell>
          <cell r="B776" t="str">
            <v>TZ-IUYL240LHY</v>
          </cell>
        </row>
        <row r="777">
          <cell r="A777" t="str">
            <v>TZ-IUYL240LHY-PAW-S</v>
          </cell>
          <cell r="B777" t="str">
            <v>TZ-IUYL240LHY</v>
          </cell>
        </row>
        <row r="778">
          <cell r="A778" t="str">
            <v>TZ-IUYL240LHY-STAR-L</v>
          </cell>
          <cell r="B778" t="str">
            <v>TZ-IUYL240LHY</v>
          </cell>
        </row>
        <row r="779">
          <cell r="A779" t="str">
            <v>TZ-IUYL240LHY-STAR-M</v>
          </cell>
          <cell r="B779" t="str">
            <v>TZ-IUYL240LHY</v>
          </cell>
        </row>
        <row r="780">
          <cell r="A780" t="str">
            <v>TZ-IUYL240LHY-STAR-S</v>
          </cell>
          <cell r="B780" t="str">
            <v>TZ-IUYL240LHY</v>
          </cell>
        </row>
        <row r="781">
          <cell r="A781" t="str">
            <v>TZ-IUYL240LHY-STRAWBERRY-L</v>
          </cell>
          <cell r="B781" t="str">
            <v>TZ-IUYL240LHY</v>
          </cell>
        </row>
        <row r="782">
          <cell r="A782" t="str">
            <v>TZ-IUYL240LHY-STRAWBERRY-M</v>
          </cell>
          <cell r="B782" t="str">
            <v>TZ-IUYL240LHY</v>
          </cell>
        </row>
        <row r="783">
          <cell r="A783" t="str">
            <v>TZ-IUYL240LHY-STRAWBERRY-S</v>
          </cell>
          <cell r="B783" t="str">
            <v>TZ-IUYL240LHY</v>
          </cell>
        </row>
        <row r="784">
          <cell r="A784" t="str">
            <v>TZ-IUYL240-LOVE-L</v>
          </cell>
          <cell r="B784" t="str">
            <v>TZ-IUYL240</v>
          </cell>
        </row>
        <row r="785">
          <cell r="A785" t="str">
            <v>TZ-IUYL240-LOVE-M</v>
          </cell>
          <cell r="B785" t="str">
            <v>TZ-IUYL240</v>
          </cell>
        </row>
        <row r="786">
          <cell r="A786" t="str">
            <v>TZ-IUYL240-LOVE-S</v>
          </cell>
          <cell r="B786" t="str">
            <v>TZ-IUYL240</v>
          </cell>
        </row>
        <row r="787">
          <cell r="A787" t="str">
            <v>TZ-IUYL240-PAW-L</v>
          </cell>
          <cell r="B787" t="str">
            <v>TZ-IUYL240</v>
          </cell>
        </row>
        <row r="788">
          <cell r="A788" t="str">
            <v>TZ-IUYL240-PAW-M</v>
          </cell>
          <cell r="B788" t="str">
            <v>TZ-IUYL240</v>
          </cell>
        </row>
        <row r="789">
          <cell r="A789" t="str">
            <v>TZ-IUYL240-PAW-S</v>
          </cell>
          <cell r="B789" t="str">
            <v>TZ-IUYL240</v>
          </cell>
        </row>
        <row r="790">
          <cell r="A790" t="str">
            <v>TZ-IUYL240-RABBIT-L</v>
          </cell>
          <cell r="B790" t="str">
            <v>TZ-IUYL240</v>
          </cell>
        </row>
        <row r="791">
          <cell r="A791" t="str">
            <v>TZ-IUYL240-RABBIT-M</v>
          </cell>
          <cell r="B791" t="str">
            <v>TZ-IUYL240</v>
          </cell>
        </row>
        <row r="792">
          <cell r="A792" t="str">
            <v>TZ-IUYL240-RABBIT-S</v>
          </cell>
          <cell r="B792" t="str">
            <v>TZ-IUYL240</v>
          </cell>
        </row>
        <row r="793">
          <cell r="A793" t="str">
            <v>TZ-IUYL240-STAR-L</v>
          </cell>
          <cell r="B793" t="str">
            <v>TZ-IUYL240</v>
          </cell>
        </row>
        <row r="794">
          <cell r="A794" t="str">
            <v>TZ-IUYL240-STAR-M</v>
          </cell>
          <cell r="B794" t="str">
            <v>TZ-IUYL240</v>
          </cell>
        </row>
        <row r="795">
          <cell r="A795" t="str">
            <v>TZ-IUYL240-STAR-S</v>
          </cell>
          <cell r="B795" t="str">
            <v>TZ-IUYL240</v>
          </cell>
        </row>
        <row r="796">
          <cell r="A796" t="str">
            <v>TZ-IUYL240-STRAWBERRY-L</v>
          </cell>
          <cell r="B796" t="str">
            <v>TZ-IUYL240</v>
          </cell>
        </row>
        <row r="797">
          <cell r="A797" t="str">
            <v>TZ-IUYL240-STRAWBERRY-M</v>
          </cell>
          <cell r="B797" t="str">
            <v>TZ-IUYL240</v>
          </cell>
        </row>
        <row r="798">
          <cell r="A798" t="str">
            <v>TZ-IUYL240-STRAWBERRY-S</v>
          </cell>
          <cell r="B798" t="str">
            <v>TZ-IUYL240</v>
          </cell>
        </row>
        <row r="799">
          <cell r="A799" t="str">
            <v>TZ-SY240-BONE-S</v>
          </cell>
          <cell r="B799" t="str">
            <v>TZ-SY240</v>
          </cell>
        </row>
        <row r="800">
          <cell r="A800" t="str">
            <v>TZ-SY240-ELPH-S</v>
          </cell>
          <cell r="B800" t="str">
            <v>TZ-SY240</v>
          </cell>
        </row>
        <row r="801">
          <cell r="A801" t="str">
            <v>TZ-SY240-STRAWBERRY-S</v>
          </cell>
          <cell r="B801" t="str">
            <v>TZ-SY240</v>
          </cell>
        </row>
        <row r="802">
          <cell r="A802" t="str">
            <v>WB-LUHM002-B0</v>
          </cell>
          <cell r="B802" t="str">
            <v>WB-LUHM002</v>
          </cell>
        </row>
        <row r="803">
          <cell r="A803" t="str">
            <v>WB-LUHM002-E0</v>
          </cell>
          <cell r="B803" t="str">
            <v>WB-LUHM002</v>
          </cell>
        </row>
        <row r="804">
          <cell r="A804" t="str">
            <v>WB-LUHM002-G0</v>
          </cell>
          <cell r="B804" t="str">
            <v>WB-LUHM002</v>
          </cell>
        </row>
        <row r="805">
          <cell r="A805" t="str">
            <v>WB-LUHM002-R0</v>
          </cell>
          <cell r="B805" t="str">
            <v>WB-LUHM002</v>
          </cell>
        </row>
        <row r="806">
          <cell r="A806" t="str">
            <v>WR-FLQ01-HJ-60</v>
          </cell>
          <cell r="B806" t="str">
            <v>WR-FLQ01</v>
          </cell>
        </row>
        <row r="807">
          <cell r="A807" t="str">
            <v>WR-FLQ01-HZ-60</v>
          </cell>
          <cell r="B807" t="str">
            <v>WR-FLQ01</v>
          </cell>
        </row>
        <row r="808">
          <cell r="A808" t="str">
            <v>WR-FLQ01-LD-60</v>
          </cell>
          <cell r="B808" t="str">
            <v>WR-FLQ01</v>
          </cell>
        </row>
        <row r="809">
          <cell r="A809" t="str">
            <v>WR-FLQ01-RO-60</v>
          </cell>
          <cell r="B809" t="str">
            <v>WR-FLQ01</v>
          </cell>
        </row>
        <row r="810">
          <cell r="A810" t="str">
            <v>WR-FLQ01-YO-60</v>
          </cell>
          <cell r="B810" t="str">
            <v>WR-FLQ01</v>
          </cell>
        </row>
        <row r="811">
          <cell r="A811" t="str">
            <v>WY-WF1217-GR-L</v>
          </cell>
          <cell r="B811" t="str">
            <v>WY-WF1217</v>
          </cell>
        </row>
        <row r="812">
          <cell r="A812" t="str">
            <v>WY-WF1217-GR-M</v>
          </cell>
          <cell r="B812" t="str">
            <v>WY-WF1217</v>
          </cell>
        </row>
        <row r="813">
          <cell r="A813" t="str">
            <v>WY-WF1217-GR-S</v>
          </cell>
          <cell r="B813" t="str">
            <v>WY-WF1217</v>
          </cell>
        </row>
        <row r="814">
          <cell r="A814" t="str">
            <v>WY-WF1217-GR-XL</v>
          </cell>
          <cell r="B814" t="str">
            <v>WY-WF1217</v>
          </cell>
        </row>
        <row r="815">
          <cell r="A815" t="str">
            <v>WY-WF1217-KO-L</v>
          </cell>
          <cell r="B815" t="str">
            <v>WY-WF1217</v>
          </cell>
        </row>
        <row r="816">
          <cell r="A816" t="str">
            <v>WY-WF1217-KO-M</v>
          </cell>
          <cell r="B816" t="str">
            <v>WY-WF1217</v>
          </cell>
        </row>
        <row r="817">
          <cell r="A817" t="str">
            <v>WY-WF1217-KO-S</v>
          </cell>
          <cell r="B817" t="str">
            <v>WY-WF1217</v>
          </cell>
        </row>
        <row r="818">
          <cell r="A818" t="str">
            <v>WY-WF1217-KO-XL</v>
          </cell>
          <cell r="B818" t="str">
            <v>WY-WF1217</v>
          </cell>
        </row>
        <row r="819">
          <cell r="A819" t="str">
            <v>WY-WF1217-RO-L</v>
          </cell>
          <cell r="B819" t="str">
            <v>WY-WF1217</v>
          </cell>
        </row>
        <row r="820">
          <cell r="A820" t="str">
            <v>WY-WF1217-RO-M</v>
          </cell>
          <cell r="B820" t="str">
            <v>WY-WF1217</v>
          </cell>
        </row>
        <row r="821">
          <cell r="A821" t="str">
            <v>WY-WF1217-RO-S</v>
          </cell>
          <cell r="B821" t="str">
            <v>WY-WF1217</v>
          </cell>
        </row>
        <row r="822">
          <cell r="A822" t="str">
            <v>WY-WF1217-RO-XL</v>
          </cell>
          <cell r="B822" t="str">
            <v>WY-WF1217</v>
          </cell>
        </row>
        <row r="823">
          <cell r="A823" t="str">
            <v>WY-WF1217-YO-L</v>
          </cell>
          <cell r="B823" t="str">
            <v>WY-WF1217</v>
          </cell>
        </row>
        <row r="824">
          <cell r="A824" t="str">
            <v>WY-WF1217-YO-M</v>
          </cell>
          <cell r="B824" t="str">
            <v>WY-WF1217</v>
          </cell>
        </row>
        <row r="825">
          <cell r="A825" t="str">
            <v>WY-WF1217-YO-S</v>
          </cell>
          <cell r="B825" t="str">
            <v>WY-WF1217</v>
          </cell>
        </row>
        <row r="826">
          <cell r="A826" t="str">
            <v>WY-WF1217-YO-XL</v>
          </cell>
          <cell r="B826" t="str">
            <v>WY-WF1217</v>
          </cell>
        </row>
        <row r="827">
          <cell r="A827" t="str">
            <v>WY-WF1225-BO-L</v>
          </cell>
          <cell r="B827" t="str">
            <v>WY-WF1225</v>
          </cell>
        </row>
        <row r="828">
          <cell r="A828" t="str">
            <v>WY-WF1225-BO-M</v>
          </cell>
          <cell r="B828" t="str">
            <v>WY-WF1225</v>
          </cell>
        </row>
        <row r="829">
          <cell r="A829" t="str">
            <v>WY-WF1225-BO-S</v>
          </cell>
          <cell r="B829" t="str">
            <v>WY-WF1225</v>
          </cell>
        </row>
        <row r="830">
          <cell r="A830" t="str">
            <v>WY-WF1225-BO-XL</v>
          </cell>
          <cell r="B830" t="str">
            <v>WY-WF1225</v>
          </cell>
        </row>
        <row r="831">
          <cell r="A831" t="str">
            <v>WY-WF1225-GR-L</v>
          </cell>
          <cell r="B831" t="str">
            <v>WY-WF1225</v>
          </cell>
        </row>
        <row r="832">
          <cell r="A832" t="str">
            <v>WY-WF1225-GR-M</v>
          </cell>
          <cell r="B832" t="str">
            <v>WY-WF1225</v>
          </cell>
        </row>
        <row r="833">
          <cell r="A833" t="str">
            <v>WY-WF1225-GR-S</v>
          </cell>
          <cell r="B833" t="str">
            <v>WY-WF1225</v>
          </cell>
        </row>
        <row r="834">
          <cell r="A834" t="str">
            <v>WY-WF1225-GR-XL</v>
          </cell>
          <cell r="B834" t="str">
            <v>WY-WF1225</v>
          </cell>
        </row>
        <row r="835">
          <cell r="A835" t="str">
            <v>XK-YIWUJS2-BR-6IN</v>
          </cell>
          <cell r="B835" t="str">
            <v>XK-YIWUJS2</v>
          </cell>
        </row>
        <row r="836">
          <cell r="A836" t="str">
            <v>XK-YIWUJS2-BR-7IN</v>
          </cell>
          <cell r="B836" t="str">
            <v>XK-YIWUJS2</v>
          </cell>
        </row>
        <row r="837">
          <cell r="A837" t="str">
            <v>XK-YIWUJS2-PJ</v>
          </cell>
          <cell r="B837" t="str">
            <v>XK-YIWUJS2</v>
          </cell>
        </row>
        <row r="838">
          <cell r="A838" t="str">
            <v>XK-YIWUJS2-Y0-6IN</v>
          </cell>
          <cell r="B838" t="str">
            <v>XK-YIWUJS2</v>
          </cell>
        </row>
        <row r="839">
          <cell r="A839" t="str">
            <v>XK-YIWUJS2-Y0-7IN</v>
          </cell>
          <cell r="B839" t="str">
            <v>XK-YIWUJS2</v>
          </cell>
        </row>
        <row r="840">
          <cell r="A840" t="str">
            <v>XK-YIWUJS-GY-6IN</v>
          </cell>
          <cell r="B840" t="str">
            <v>XK-YIWUJS</v>
          </cell>
        </row>
        <row r="841">
          <cell r="A841" t="str">
            <v>XK-YIWUJS-GY-7IN</v>
          </cell>
          <cell r="B841" t="str">
            <v>XK-YIWUJS</v>
          </cell>
        </row>
        <row r="842">
          <cell r="A842" t="str">
            <v>XK-YIWUJS-PJ</v>
          </cell>
          <cell r="B842" t="str">
            <v>XK-YIWUJS</v>
          </cell>
        </row>
        <row r="843">
          <cell r="A843" t="str">
            <v>XK-YIWUJS-Y0-6IN</v>
          </cell>
          <cell r="B843" t="str">
            <v>XK-YIWUJS</v>
          </cell>
        </row>
        <row r="844">
          <cell r="A844" t="str">
            <v>XK-YIWUJS-Y0-7IN</v>
          </cell>
          <cell r="B844" t="str">
            <v>XK-YIWUJS</v>
          </cell>
        </row>
        <row r="845">
          <cell r="A845" t="str">
            <v>XM-LUHM111-X0</v>
          </cell>
          <cell r="B845" t="str">
            <v>XM-LUHM111</v>
          </cell>
        </row>
        <row r="846">
          <cell r="A846" t="str">
            <v>XQ-IUYL260-BK-M</v>
          </cell>
          <cell r="B846" t="str">
            <v>XQ-IUYL260</v>
          </cell>
        </row>
        <row r="847">
          <cell r="A847" t="str">
            <v>XQ-IUYL260-BK-S</v>
          </cell>
          <cell r="B847" t="str">
            <v>XQ-IUYL260</v>
          </cell>
        </row>
        <row r="848">
          <cell r="A848" t="str">
            <v>XQ-IUYL260-BL1-M</v>
          </cell>
          <cell r="B848" t="str">
            <v>XQ-IUYL260</v>
          </cell>
        </row>
        <row r="849">
          <cell r="A849" t="str">
            <v>XQ-IUYL260-BL1-S</v>
          </cell>
          <cell r="B849" t="str">
            <v>XQ-IUYL260</v>
          </cell>
        </row>
        <row r="850">
          <cell r="A850" t="str">
            <v>XQ-IUYL260-BL2-M</v>
          </cell>
          <cell r="B850" t="str">
            <v>XQ-IUYL260</v>
          </cell>
        </row>
        <row r="851">
          <cell r="A851" t="str">
            <v>XQ-IUYL260-BL2-S</v>
          </cell>
          <cell r="B851" t="str">
            <v>XQ-IUYL260</v>
          </cell>
        </row>
        <row r="852">
          <cell r="A852" t="str">
            <v>XQ-IUYL260-GN-M</v>
          </cell>
          <cell r="B852" t="str">
            <v>XQ-IUYL260</v>
          </cell>
        </row>
        <row r="853">
          <cell r="A853" t="str">
            <v>XQ-IUYL260-GN-S</v>
          </cell>
          <cell r="B853" t="str">
            <v>XQ-IUYL260</v>
          </cell>
        </row>
        <row r="854">
          <cell r="A854" t="str">
            <v>XQ-IUYL260-PK-M</v>
          </cell>
          <cell r="B854" t="str">
            <v>XQ-IUYL260</v>
          </cell>
        </row>
        <row r="855">
          <cell r="A855" t="str">
            <v>XQ-IUYL260-PK-S</v>
          </cell>
          <cell r="B855" t="str">
            <v>XQ-IUYL260</v>
          </cell>
        </row>
        <row r="856">
          <cell r="A856" t="str">
            <v>XQ-IUYL260-PP-M</v>
          </cell>
          <cell r="B856" t="str">
            <v>XQ-IUYL260</v>
          </cell>
        </row>
        <row r="857">
          <cell r="A857" t="str">
            <v>XQ-IUYL260-PP-S</v>
          </cell>
          <cell r="B857" t="str">
            <v>XQ-IUYL260</v>
          </cell>
        </row>
        <row r="858">
          <cell r="A858" t="str">
            <v>XQ-IUYL260-RD-M</v>
          </cell>
          <cell r="B858" t="str">
            <v>XQ-IUYL260</v>
          </cell>
        </row>
        <row r="859">
          <cell r="A859" t="str">
            <v>XQ-IUYL260-RD-S</v>
          </cell>
          <cell r="B859" t="str">
            <v>XQ-IUYL260</v>
          </cell>
        </row>
        <row r="860">
          <cell r="A860" t="str">
            <v>XQ-IUYL260-YL-M</v>
          </cell>
          <cell r="B860" t="str">
            <v>XQ-IUYL260</v>
          </cell>
        </row>
        <row r="861">
          <cell r="A861" t="str">
            <v>XQ-IUYL260-YL-S</v>
          </cell>
          <cell r="B861" t="str">
            <v>XQ-IUYL260</v>
          </cell>
        </row>
        <row r="862">
          <cell r="A862" t="str">
            <v>XQ-IUYL320-BK-L</v>
          </cell>
          <cell r="B862" t="str">
            <v>XQ-IUYL320</v>
          </cell>
        </row>
        <row r="863">
          <cell r="A863" t="str">
            <v>XQ-IUYL320-BK-M</v>
          </cell>
          <cell r="B863" t="str">
            <v>XQ-IUYL320</v>
          </cell>
        </row>
        <row r="864">
          <cell r="A864" t="str">
            <v>XQ-IUYL320-BK-S</v>
          </cell>
          <cell r="B864" t="str">
            <v>XQ-IUYL320</v>
          </cell>
        </row>
        <row r="865">
          <cell r="A865" t="str">
            <v>XQ-IUYL320-BK-XL</v>
          </cell>
          <cell r="B865" t="str">
            <v>XQ-IUYL320</v>
          </cell>
        </row>
        <row r="866">
          <cell r="A866" t="str">
            <v>XQ-IUYL320-BL-L</v>
          </cell>
          <cell r="B866" t="str">
            <v>XQ-IUYL320</v>
          </cell>
        </row>
        <row r="867">
          <cell r="A867" t="str">
            <v>XQ-IUYL320-BL-M</v>
          </cell>
          <cell r="B867" t="str">
            <v>XQ-IUYL320</v>
          </cell>
        </row>
        <row r="868">
          <cell r="A868" t="str">
            <v>XQ-IUYL320-BL-S</v>
          </cell>
          <cell r="B868" t="str">
            <v>XQ-IUYL320</v>
          </cell>
        </row>
        <row r="869">
          <cell r="A869" t="str">
            <v>XQ-IUYL320-BL-XL</v>
          </cell>
          <cell r="B869" t="str">
            <v>XQ-IUYL320</v>
          </cell>
        </row>
        <row r="870">
          <cell r="A870" t="str">
            <v>XQ-IUYL320-CF-L</v>
          </cell>
          <cell r="B870" t="str">
            <v>XQ-IUYL320</v>
          </cell>
        </row>
        <row r="871">
          <cell r="A871" t="str">
            <v>XQ-IUYL320-CF-M</v>
          </cell>
          <cell r="B871" t="str">
            <v>XQ-IUYL320</v>
          </cell>
        </row>
        <row r="872">
          <cell r="A872" t="str">
            <v>XQ-IUYL320-CF-S</v>
          </cell>
          <cell r="B872" t="str">
            <v>XQ-IUYL320</v>
          </cell>
        </row>
        <row r="873">
          <cell r="A873" t="str">
            <v>XQ-IUYL320-CF-XL</v>
          </cell>
          <cell r="B873" t="str">
            <v>XQ-IUYL320</v>
          </cell>
        </row>
        <row r="874">
          <cell r="A874" t="str">
            <v>XQ-IUYL320-DB-L</v>
          </cell>
          <cell r="B874" t="str">
            <v>XQ-IUYL320</v>
          </cell>
        </row>
        <row r="875">
          <cell r="A875" t="str">
            <v>XQ-IUYL320-DB-M</v>
          </cell>
          <cell r="B875" t="str">
            <v>XQ-IUYL320</v>
          </cell>
        </row>
        <row r="876">
          <cell r="A876" t="str">
            <v>XQ-IUYL320-DB-S</v>
          </cell>
          <cell r="B876" t="str">
            <v>XQ-IUYL320</v>
          </cell>
        </row>
        <row r="877">
          <cell r="A877" t="str">
            <v>XQ-IUYL320-DB-XL</v>
          </cell>
          <cell r="B877" t="str">
            <v>XQ-IUYL320</v>
          </cell>
        </row>
        <row r="878">
          <cell r="A878" t="str">
            <v>XQ-IUYL320-GN-L</v>
          </cell>
          <cell r="B878" t="str">
            <v>XQ-IUYL320</v>
          </cell>
        </row>
        <row r="879">
          <cell r="A879" t="str">
            <v>XQ-IUYL320-GN-M</v>
          </cell>
          <cell r="B879" t="str">
            <v>XQ-IUYL320</v>
          </cell>
        </row>
        <row r="880">
          <cell r="A880" t="str">
            <v>XQ-IUYL320-GN-S</v>
          </cell>
          <cell r="B880" t="str">
            <v>XQ-IUYL320</v>
          </cell>
        </row>
        <row r="881">
          <cell r="A881" t="str">
            <v>XQ-IUYL320-GN-XL</v>
          </cell>
          <cell r="B881" t="str">
            <v>XQ-IUYL320</v>
          </cell>
        </row>
        <row r="882">
          <cell r="A882" t="str">
            <v>XQ-IUYL320-PK-L</v>
          </cell>
          <cell r="B882" t="str">
            <v>XQ-IUYL320</v>
          </cell>
        </row>
        <row r="883">
          <cell r="A883" t="str">
            <v>XQ-IUYL320-PK-M</v>
          </cell>
          <cell r="B883" t="str">
            <v>XQ-IUYL320</v>
          </cell>
        </row>
        <row r="884">
          <cell r="A884" t="str">
            <v>XQ-IUYL320-PK-S</v>
          </cell>
          <cell r="B884" t="str">
            <v>XQ-IUYL320</v>
          </cell>
        </row>
        <row r="885">
          <cell r="A885" t="str">
            <v>XQ-IUYL320-PK-XL</v>
          </cell>
          <cell r="B885" t="str">
            <v>XQ-IUYL320</v>
          </cell>
        </row>
        <row r="886">
          <cell r="A886" t="str">
            <v>XQ-IUYL320-PP-L</v>
          </cell>
          <cell r="B886" t="str">
            <v>XQ-IUYL320</v>
          </cell>
        </row>
        <row r="887">
          <cell r="A887" t="str">
            <v>XQ-IUYL320-PP-M</v>
          </cell>
          <cell r="B887" t="str">
            <v>XQ-IUYL320</v>
          </cell>
        </row>
        <row r="888">
          <cell r="A888" t="str">
            <v>XQ-IUYL320-PP-S</v>
          </cell>
          <cell r="B888" t="str">
            <v>XQ-IUYL320</v>
          </cell>
        </row>
        <row r="889">
          <cell r="A889" t="str">
            <v>XQ-IUYL320-PP-XL</v>
          </cell>
          <cell r="B889" t="str">
            <v>XQ-IUYL320</v>
          </cell>
        </row>
        <row r="890">
          <cell r="A890" t="str">
            <v>XQ-IUYL320-RD-L</v>
          </cell>
          <cell r="B890" t="str">
            <v>XQ-IUYL320</v>
          </cell>
        </row>
        <row r="891">
          <cell r="A891" t="str">
            <v>XQ-IUYL320-RD-M</v>
          </cell>
          <cell r="B891" t="str">
            <v>XQ-IUYL320</v>
          </cell>
        </row>
        <row r="892">
          <cell r="A892" t="str">
            <v>XQ-IUYL320-RD-S</v>
          </cell>
          <cell r="B892" t="str">
            <v>XQ-IUYL320</v>
          </cell>
        </row>
        <row r="893">
          <cell r="A893" t="str">
            <v>XQ-IUYL320-RD-XL</v>
          </cell>
          <cell r="B893" t="str">
            <v>XQ-IUYL320</v>
          </cell>
        </row>
        <row r="894">
          <cell r="A894" t="str">
            <v>XQ-IUYL320-YL-L</v>
          </cell>
          <cell r="B894" t="str">
            <v>XQ-IUYL320</v>
          </cell>
        </row>
        <row r="895">
          <cell r="A895" t="str">
            <v>XQ-IUYL320-YL-M</v>
          </cell>
          <cell r="B895" t="str">
            <v>XQ-IUYL320</v>
          </cell>
        </row>
        <row r="896">
          <cell r="A896" t="str">
            <v>XQ-IUYL320-YL-S</v>
          </cell>
          <cell r="B896" t="str">
            <v>XQ-IUYL320</v>
          </cell>
        </row>
        <row r="897">
          <cell r="A897" t="str">
            <v>XQ-IUYL320-YL-XL</v>
          </cell>
          <cell r="B897" t="str">
            <v>XQ-IUYL320</v>
          </cell>
        </row>
        <row r="898">
          <cell r="A898" t="str">
            <v>XQ-LUHM034-X0</v>
          </cell>
          <cell r="B898" t="str">
            <v>XQ-LUHM034</v>
          </cell>
        </row>
        <row r="899">
          <cell r="A899" t="str">
            <v>XQ-LUHM089-PI</v>
          </cell>
          <cell r="B899" t="str">
            <v>XQ-LUHM089</v>
          </cell>
        </row>
        <row r="900">
          <cell r="A900" t="str">
            <v>XYD-F02-3C-3S</v>
          </cell>
          <cell r="B900" t="str">
            <v>XYD-F02</v>
          </cell>
        </row>
        <row r="901">
          <cell r="A901" t="str">
            <v>YQ-LUHM-F111</v>
          </cell>
          <cell r="B901" t="str">
            <v>YQ-LUHM</v>
          </cell>
        </row>
        <row r="902">
          <cell r="A902" t="str">
            <v>YQ-LUHM-F112</v>
          </cell>
          <cell r="B902" t="str">
            <v>YQ-LUHM</v>
          </cell>
        </row>
        <row r="903">
          <cell r="A903" t="str">
            <v>YQ-LUHM-F114</v>
          </cell>
          <cell r="B903" t="str">
            <v>YQ-LUHM</v>
          </cell>
        </row>
        <row r="904">
          <cell r="A904" t="str">
            <v>ZB-WF029-CF-L</v>
          </cell>
          <cell r="B904" t="str">
            <v>ZB-WF029</v>
          </cell>
        </row>
        <row r="905">
          <cell r="A905" t="str">
            <v>ZB-WF029-CF-M</v>
          </cell>
          <cell r="B905" t="str">
            <v>ZB-WF029</v>
          </cell>
        </row>
        <row r="906">
          <cell r="A906" t="str">
            <v>ZB-WF029-WO-L</v>
          </cell>
          <cell r="B906" t="str">
            <v>ZB-WF029</v>
          </cell>
        </row>
        <row r="907">
          <cell r="A907" t="str">
            <v>ZB-WF029-WO-M</v>
          </cell>
          <cell r="B907" t="str">
            <v>ZB-WF029</v>
          </cell>
        </row>
        <row r="908">
          <cell r="A908" t="str">
            <v>ZDD-FLQ07-MC-28</v>
          </cell>
          <cell r="B908" t="str">
            <v>ZDD-FLQ07</v>
          </cell>
        </row>
        <row r="909">
          <cell r="A909" t="str">
            <v>ZDD-FLQ08-BO-28</v>
          </cell>
          <cell r="B909" t="str">
            <v>ZDD-FLQ08</v>
          </cell>
        </row>
        <row r="910">
          <cell r="A910" t="str">
            <v>ZDD-FLQ08-GR-28</v>
          </cell>
          <cell r="B910" t="str">
            <v>ZDD-FLQ08</v>
          </cell>
        </row>
        <row r="911">
          <cell r="A911" t="str">
            <v>ZDD-FLQ08-PO-28</v>
          </cell>
          <cell r="B911" t="str">
            <v>ZDD-FLQ08</v>
          </cell>
        </row>
        <row r="912">
          <cell r="A912" t="str">
            <v>ZDD-FLQ08-R2-28</v>
          </cell>
          <cell r="B912" t="str">
            <v>ZDD-FLQ08</v>
          </cell>
        </row>
        <row r="913">
          <cell r="A913" t="str">
            <v>ZDD-FLQ08-RO-28</v>
          </cell>
          <cell r="B913" t="str">
            <v>ZDD-FLQ08</v>
          </cell>
        </row>
        <row r="914">
          <cell r="A914" t="str">
            <v>ZQ-WF002-BO-M</v>
          </cell>
          <cell r="B914" t="str">
            <v>ZQ-WF002</v>
          </cell>
        </row>
        <row r="915">
          <cell r="A915" t="str">
            <v>ZQ-WF002-PI-M</v>
          </cell>
          <cell r="B915" t="str">
            <v>ZQ-WF002</v>
          </cell>
        </row>
        <row r="916">
          <cell r="A916" t="str">
            <v>ZYL-FLQ06-BF-40</v>
          </cell>
          <cell r="B916" t="str">
            <v>ZYL-FLQ06</v>
          </cell>
        </row>
        <row r="917">
          <cell r="A917" t="str">
            <v>ZYL-FLQ06-BG-40</v>
          </cell>
          <cell r="B917" t="str">
            <v>ZYL-FLQ06</v>
          </cell>
        </row>
        <row r="918">
          <cell r="A918" t="str">
            <v>ZYL-FLQ06-BY-40</v>
          </cell>
          <cell r="B918" t="str">
            <v>ZYL-FLQ06</v>
          </cell>
        </row>
        <row r="919">
          <cell r="A919" t="str">
            <v>ZYL-FLQ06-HG-40</v>
          </cell>
          <cell r="B919" t="str">
            <v>ZYL-FLQ06</v>
          </cell>
        </row>
        <row r="920">
          <cell r="A920" t="str">
            <v>ZYL-FLQ06-TZ-40</v>
          </cell>
          <cell r="B920" t="str">
            <v>ZYL-FLQ06</v>
          </cell>
        </row>
        <row r="921">
          <cell r="A921" t="str">
            <v>ZYL-FLQ06-WZ-40</v>
          </cell>
          <cell r="B921" t="str">
            <v>ZYL-FLQ06</v>
          </cell>
        </row>
        <row r="922">
          <cell r="A922" t="str">
            <v>ZYL-FLQ06-ZM-40</v>
          </cell>
          <cell r="B922" t="str">
            <v>ZYL-FLQ06</v>
          </cell>
        </row>
        <row r="923">
          <cell r="A923" t="str">
            <v>ZYL-FLQ2013-DX-36</v>
          </cell>
          <cell r="B923" t="str">
            <v>ZYL-FLQ2013</v>
          </cell>
        </row>
        <row r="924">
          <cell r="A924" t="str">
            <v>ZYL-FLQ2013-RO-36</v>
          </cell>
          <cell r="B924" t="str">
            <v>ZYL-FLQ2013</v>
          </cell>
        </row>
        <row r="925">
          <cell r="A925" t="str">
            <v>ZYL-FLQ2013-YO-36</v>
          </cell>
          <cell r="B925" t="str">
            <v>ZYL-FLQ2013</v>
          </cell>
        </row>
        <row r="926">
          <cell r="A926" t="str">
            <v>ZYL-FLQ59-BF-32</v>
          </cell>
          <cell r="B926" t="str">
            <v>ZYL-FLQ59</v>
          </cell>
        </row>
        <row r="927">
          <cell r="A927" t="str">
            <v>ZYL-FLQ59-BY-32</v>
          </cell>
          <cell r="B927" t="str">
            <v>ZYL-FLQ59</v>
          </cell>
        </row>
        <row r="928">
          <cell r="A928" t="str">
            <v>ZYL-FLQ59-TW-32</v>
          </cell>
          <cell r="B928" t="str">
            <v>ZYL-FLQ59</v>
          </cell>
        </row>
        <row r="929">
          <cell r="A929" t="str">
            <v>ZYL-FLQ59-TZ-32</v>
          </cell>
          <cell r="B929" t="str">
            <v>ZYL-FLQ59</v>
          </cell>
        </row>
        <row r="930">
          <cell r="A930" t="str">
            <v>ZYL-FLQ59-YD-32</v>
          </cell>
          <cell r="B930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CWB-WF021-CF-L</v>
          </cell>
          <cell r="B60" t="str">
            <v>B0779QX5JV</v>
          </cell>
        </row>
        <row r="61">
          <cell r="A61" t="str">
            <v>CWB-WF021-CF-M</v>
          </cell>
          <cell r="B61" t="str">
            <v>B0779W8MFG</v>
          </cell>
        </row>
        <row r="62">
          <cell r="A62" t="str">
            <v>CWB-WF021-CF-S</v>
          </cell>
          <cell r="B62" t="str">
            <v>B0779W68GS</v>
          </cell>
        </row>
        <row r="63">
          <cell r="A63" t="str">
            <v>CWB-WF021-CF-XL</v>
          </cell>
          <cell r="B63" t="str">
            <v>B0779YRGR1</v>
          </cell>
        </row>
        <row r="64">
          <cell r="A64" t="str">
            <v>CWB-WF021-QB-L</v>
          </cell>
          <cell r="B64" t="str">
            <v>B0779RFXY2</v>
          </cell>
        </row>
        <row r="65">
          <cell r="A65" t="str">
            <v>CWB-WF021-QB-M</v>
          </cell>
          <cell r="B65" t="str">
            <v>B0779RT3RQ</v>
          </cell>
        </row>
        <row r="66">
          <cell r="A66" t="str">
            <v>CWB-WF021-QB-S</v>
          </cell>
          <cell r="B66" t="str">
            <v>B0779V1KQL</v>
          </cell>
        </row>
        <row r="67">
          <cell r="A67" t="str">
            <v>CWB-WF021-QB-XL</v>
          </cell>
          <cell r="B67" t="str">
            <v>B0779RQ56M</v>
          </cell>
        </row>
        <row r="68">
          <cell r="A68" t="str">
            <v>CWB-WF021-RB-L</v>
          </cell>
          <cell r="B68" t="str">
            <v>B077B51CYY</v>
          </cell>
        </row>
        <row r="69">
          <cell r="A69" t="str">
            <v>CWB-WF021-RB-M</v>
          </cell>
          <cell r="B69" t="str">
            <v>B0779ZRTZ3</v>
          </cell>
        </row>
        <row r="70">
          <cell r="A70" t="str">
            <v>CWB-WF021-RB-S</v>
          </cell>
          <cell r="B70" t="str">
            <v>B0779RQHWK</v>
          </cell>
        </row>
        <row r="71">
          <cell r="A71" t="str">
            <v>CWB-WF021-RB-XL</v>
          </cell>
          <cell r="B71" t="str">
            <v>B0779Z2TS6</v>
          </cell>
        </row>
        <row r="72">
          <cell r="A72" t="str">
            <v>GB-LUHM035-B0</v>
          </cell>
          <cell r="B72" t="str">
            <v>B07F6546YQ</v>
          </cell>
        </row>
        <row r="73">
          <cell r="A73" t="str">
            <v>GB-LUHM035-BE</v>
          </cell>
          <cell r="B73" t="str">
            <v>B07F64BTCD</v>
          </cell>
        </row>
        <row r="74">
          <cell r="A74" t="str">
            <v>GB-LUHM035-P0</v>
          </cell>
          <cell r="B74" t="str">
            <v>B07F68CBMK</v>
          </cell>
        </row>
        <row r="75">
          <cell r="A75" t="str">
            <v>GSQPQ-WF2012-GO</v>
          </cell>
          <cell r="B75" t="str">
            <v>B077264LR6</v>
          </cell>
        </row>
        <row r="76">
          <cell r="A76" t="str">
            <v>GT-WFTFGT200-209</v>
          </cell>
          <cell r="B76" t="str">
            <v>B076J6K8RL</v>
          </cell>
        </row>
        <row r="77">
          <cell r="A77" t="str">
            <v>GT-WFTFGT200-213</v>
          </cell>
          <cell r="B77" t="str">
            <v>B0787XKBRG</v>
          </cell>
        </row>
        <row r="78">
          <cell r="A78" t="str">
            <v>GT-WFTFGT200-214</v>
          </cell>
          <cell r="B78" t="str">
            <v>B076JBP5ZS</v>
          </cell>
        </row>
        <row r="79">
          <cell r="A79" t="str">
            <v>GT-WFTFGT200-216</v>
          </cell>
          <cell r="B79" t="str">
            <v>B076J67W43</v>
          </cell>
        </row>
        <row r="80">
          <cell r="A80" t="str">
            <v>GT-WFTFGT200-220</v>
          </cell>
          <cell r="B80" t="str">
            <v>B076J6VFSP</v>
          </cell>
        </row>
        <row r="81">
          <cell r="A81" t="str">
            <v>GT-WFTFGT200-221</v>
          </cell>
          <cell r="B81" t="str">
            <v>B076J2DG1R</v>
          </cell>
        </row>
        <row r="82">
          <cell r="A82" t="str">
            <v>GT-WFTFGT200-223</v>
          </cell>
          <cell r="B82" t="str">
            <v>B076J61QFW</v>
          </cell>
        </row>
        <row r="83">
          <cell r="A83" t="str">
            <v>GT-WFTFGT200-224</v>
          </cell>
          <cell r="B83" t="str">
            <v>B076J5DWFM</v>
          </cell>
        </row>
        <row r="84">
          <cell r="A84" t="str">
            <v>GT-WFY1-E1</v>
          </cell>
          <cell r="B84" t="str">
            <v>B077NVWPQW</v>
          </cell>
        </row>
        <row r="85">
          <cell r="A85" t="str">
            <v>GT-WFY1-E2</v>
          </cell>
          <cell r="B85" t="str">
            <v>B07842F5P9</v>
          </cell>
        </row>
        <row r="86">
          <cell r="A86" t="str">
            <v>GT-WFY1-E3</v>
          </cell>
          <cell r="B86" t="str">
            <v>B077NZLTQX</v>
          </cell>
        </row>
        <row r="87">
          <cell r="A87" t="str">
            <v>GT-WFY1-E4</v>
          </cell>
          <cell r="B87" t="str">
            <v>B077NVQNC9</v>
          </cell>
        </row>
        <row r="88">
          <cell r="A88" t="str">
            <v>HYD-WF7995-BO-XL</v>
          </cell>
          <cell r="B88" t="str">
            <v>B077STZV9Y</v>
          </cell>
        </row>
        <row r="89">
          <cell r="A89" t="str">
            <v>HYD-WF7995-RO-XL</v>
          </cell>
          <cell r="B89" t="str">
            <v>B077SZ4KTN</v>
          </cell>
        </row>
        <row r="90">
          <cell r="A90" t="str">
            <v>JS-LUHM100-AX</v>
          </cell>
          <cell r="B90" t="str">
            <v>B07FCJN97Z</v>
          </cell>
        </row>
        <row r="91">
          <cell r="A91" t="str">
            <v>JS-LUHM100-JSZFX</v>
          </cell>
          <cell r="B91" t="str">
            <v>B07FCH27G9</v>
          </cell>
        </row>
        <row r="92">
          <cell r="A92" t="str">
            <v>JS-LUHM100-KLT</v>
          </cell>
          <cell r="B92" t="str">
            <v>B07FCHZRK5</v>
          </cell>
        </row>
        <row r="93">
          <cell r="A93" t="str">
            <v>JS-LUHM100-LBX</v>
          </cell>
          <cell r="B93" t="str">
            <v>B07FCFK3BH</v>
          </cell>
        </row>
        <row r="94">
          <cell r="A94" t="str">
            <v>JS-LUHM100-LX</v>
          </cell>
          <cell r="B94" t="str">
            <v>B07FCHT1T1</v>
          </cell>
        </row>
        <row r="95">
          <cell r="A95" t="str">
            <v>JS-LUHM100-XJQ</v>
          </cell>
          <cell r="B95" t="str">
            <v>B07FZZH8SL</v>
          </cell>
        </row>
        <row r="96">
          <cell r="A96" t="str">
            <v>JS-LUHM100-ZFX</v>
          </cell>
          <cell r="B96" t="str">
            <v>B07FCJN913</v>
          </cell>
        </row>
        <row r="97">
          <cell r="A97" t="str">
            <v>KZ-LUHM000-E0-L</v>
          </cell>
          <cell r="B97" t="str">
            <v>B073XLK4G5</v>
          </cell>
        </row>
        <row r="98">
          <cell r="A98" t="str">
            <v>KZ-LUHM000-E0-M</v>
          </cell>
          <cell r="B98" t="str">
            <v>B071VFYY2V</v>
          </cell>
        </row>
        <row r="99">
          <cell r="A99" t="str">
            <v>KZ-LUHM000-K0-L</v>
          </cell>
          <cell r="B99" t="str">
            <v>B073XM44QG</v>
          </cell>
        </row>
        <row r="100">
          <cell r="A100" t="str">
            <v>KZ-LUHM000-K0-M</v>
          </cell>
          <cell r="B100" t="str">
            <v>B0725CDCCN</v>
          </cell>
        </row>
        <row r="101">
          <cell r="A101" t="str">
            <v>KZ-LUHM000-R0-M</v>
          </cell>
          <cell r="B101" t="str">
            <v>B071NP2X5N</v>
          </cell>
        </row>
        <row r="102">
          <cell r="A102" t="str">
            <v>KZ-LUHM000-W0-M</v>
          </cell>
          <cell r="B102" t="str">
            <v>B0716LH9B7</v>
          </cell>
        </row>
        <row r="103">
          <cell r="A103" t="str">
            <v>KZ-LUHM000-Y0-M</v>
          </cell>
          <cell r="B103" t="str">
            <v>B071HHSJ1R</v>
          </cell>
        </row>
        <row r="104">
          <cell r="A104" t="str">
            <v>LYQ-NWF10-KO-S</v>
          </cell>
          <cell r="B104" t="str">
            <v>B07DXFH8CW</v>
          </cell>
        </row>
        <row r="105">
          <cell r="A105" t="str">
            <v>LYQ-WF1010-BO-2X</v>
          </cell>
          <cell r="B105" t="str">
            <v>B077XNMC3N</v>
          </cell>
        </row>
        <row r="106">
          <cell r="A106" t="str">
            <v>LYQ-WF1010-BO-L</v>
          </cell>
          <cell r="B106" t="str">
            <v>B077XNM9W2</v>
          </cell>
        </row>
        <row r="107">
          <cell r="A107" t="str">
            <v>LYQ-WF1010-BO-M</v>
          </cell>
          <cell r="B107" t="str">
            <v>B077XSWR8G</v>
          </cell>
        </row>
        <row r="108">
          <cell r="A108" t="str">
            <v>LYQ-WF1010-BO-S</v>
          </cell>
          <cell r="B108" t="str">
            <v>B077XRSRNP</v>
          </cell>
        </row>
        <row r="109">
          <cell r="A109" t="str">
            <v>LYQ-WF1010-BO-XL</v>
          </cell>
          <cell r="B109" t="str">
            <v>B077XQ8ZN5</v>
          </cell>
        </row>
        <row r="110">
          <cell r="A110" t="str">
            <v>LYQ-WF1010-K0-2L</v>
          </cell>
          <cell r="B110" t="str">
            <v>B077XQ78NB</v>
          </cell>
        </row>
        <row r="111">
          <cell r="A111" t="str">
            <v>LYQ-WF1010-KO-L</v>
          </cell>
          <cell r="B111" t="str">
            <v>B077XNFWVP</v>
          </cell>
        </row>
        <row r="112">
          <cell r="A112" t="str">
            <v>LYQ-WF1010-KO-M</v>
          </cell>
          <cell r="B112" t="str">
            <v>B077XQ5D11</v>
          </cell>
        </row>
        <row r="113">
          <cell r="A113" t="str">
            <v>LYQ-WF1010-KO-S</v>
          </cell>
          <cell r="B113" t="str">
            <v>B077XV7J5K</v>
          </cell>
        </row>
        <row r="114">
          <cell r="A114" t="str">
            <v>LYQ-WF1010-KO-XL</v>
          </cell>
          <cell r="B114" t="str">
            <v>B0785H4FV1</v>
          </cell>
        </row>
        <row r="115">
          <cell r="A115" t="str">
            <v>LYQ-WF1010-NO-2L</v>
          </cell>
          <cell r="B115" t="str">
            <v>B077XQ2P1L</v>
          </cell>
        </row>
        <row r="116">
          <cell r="A116" t="str">
            <v>LYQ-WF1010-NO-L</v>
          </cell>
          <cell r="B116" t="str">
            <v>B077XV7BG7</v>
          </cell>
        </row>
        <row r="117">
          <cell r="A117" t="str">
            <v>LYQ-WF1010-NO-S</v>
          </cell>
          <cell r="B117" t="str">
            <v>B077XRVLTN</v>
          </cell>
        </row>
        <row r="118">
          <cell r="A118" t="str">
            <v>LYQ-WF1010-NO-XL</v>
          </cell>
          <cell r="B118" t="str">
            <v>B077XSTXHJ</v>
          </cell>
        </row>
        <row r="119">
          <cell r="A119" t="str">
            <v>LYQ-WF1010-NO-XS</v>
          </cell>
          <cell r="B119" t="str">
            <v>B077XRZGV1</v>
          </cell>
        </row>
        <row r="120">
          <cell r="A120" t="str">
            <v>LYQ-WF1010-PO-2L</v>
          </cell>
          <cell r="B120" t="str">
            <v>B077XNK3T5</v>
          </cell>
        </row>
        <row r="121">
          <cell r="A121" t="str">
            <v>LYQ-WF1010-PO-L</v>
          </cell>
          <cell r="B121" t="str">
            <v>B077XSLVZ5</v>
          </cell>
        </row>
        <row r="122">
          <cell r="A122" t="str">
            <v>LYQ-WF1010-PO-M</v>
          </cell>
          <cell r="B122" t="str">
            <v>B077XV49XF</v>
          </cell>
        </row>
        <row r="123">
          <cell r="A123" t="str">
            <v>LYQ-WF1010-PO-S</v>
          </cell>
          <cell r="B123" t="str">
            <v>B077XVBFB9</v>
          </cell>
        </row>
        <row r="124">
          <cell r="A124" t="str">
            <v>LYQ-WF1010-PO-XL</v>
          </cell>
          <cell r="B124" t="str">
            <v>B077XSTXHF</v>
          </cell>
        </row>
        <row r="125">
          <cell r="A125" t="str">
            <v>LYQ-WF1010-WO-2L</v>
          </cell>
          <cell r="B125" t="str">
            <v>B0785HJVGH</v>
          </cell>
        </row>
        <row r="126">
          <cell r="A126" t="str">
            <v>LYQ-WF1010-WO-M</v>
          </cell>
          <cell r="B126" t="str">
            <v>B0785HJVGG</v>
          </cell>
        </row>
        <row r="127">
          <cell r="A127" t="str">
            <v>LYQ-WF1010-WO-XL</v>
          </cell>
          <cell r="B127" t="str">
            <v>B077XSZ4FT</v>
          </cell>
        </row>
        <row r="128">
          <cell r="A128" t="str">
            <v>ND-LUHM027-PI</v>
          </cell>
          <cell r="B128" t="str">
            <v>B07C73R2XN</v>
          </cell>
        </row>
        <row r="129">
          <cell r="A129" t="str">
            <v>QLQ-LUHM121-G0</v>
          </cell>
          <cell r="B129" t="str">
            <v>B07CXM3QD3</v>
          </cell>
        </row>
        <row r="130">
          <cell r="A130" t="str">
            <v>QLQ-LUHM121-GM</v>
          </cell>
          <cell r="B130" t="str">
            <v>B07CXM3QD3</v>
          </cell>
        </row>
        <row r="131">
          <cell r="A131" t="str">
            <v>QLQ-LUHM121-WO</v>
          </cell>
          <cell r="B131" t="str">
            <v>B07CXM3QD3</v>
          </cell>
        </row>
        <row r="132">
          <cell r="A132" t="str">
            <v>QLQ-LUHM121-WT</v>
          </cell>
          <cell r="B132" t="str">
            <v>B07CXM3QD3</v>
          </cell>
        </row>
        <row r="133">
          <cell r="A133" t="str">
            <v>QLQ-WF121-WO</v>
          </cell>
          <cell r="B133" t="str">
            <v>B077YTH6KB</v>
          </cell>
        </row>
        <row r="134">
          <cell r="A134" t="str">
            <v>QQ-LUHM-801-B0</v>
          </cell>
          <cell r="B134" t="str">
            <v>B07CPW1TRS</v>
          </cell>
        </row>
        <row r="135">
          <cell r="A135" t="str">
            <v>RYMT-WF712-GO-L</v>
          </cell>
          <cell r="B135" t="str">
            <v>B0785GYYL8</v>
          </cell>
        </row>
        <row r="136">
          <cell r="A136" t="str">
            <v>RYMT-WF712-PI-L</v>
          </cell>
          <cell r="B136" t="str">
            <v>B077X8RLVJ</v>
          </cell>
        </row>
        <row r="137">
          <cell r="A137" t="str">
            <v>RYMT-WF712-PO-L</v>
          </cell>
          <cell r="B137" t="str">
            <v>B077XB44XX</v>
          </cell>
        </row>
        <row r="138">
          <cell r="A138" t="str">
            <v>SB-LUHM100-B0</v>
          </cell>
          <cell r="B138" t="str">
            <v>B07DVH33X4</v>
          </cell>
        </row>
        <row r="139">
          <cell r="A139" t="str">
            <v>SB-LUHM100-G0</v>
          </cell>
          <cell r="B139" t="str">
            <v>B07DVLM761</v>
          </cell>
        </row>
        <row r="140">
          <cell r="A140" t="str">
            <v>SB-LUHM100-K0</v>
          </cell>
          <cell r="B140" t="str">
            <v>B07DVBN2KT</v>
          </cell>
        </row>
        <row r="141">
          <cell r="A141" t="str">
            <v>SB-LUHM100-R0</v>
          </cell>
          <cell r="B141" t="str">
            <v>B07DVK4HKX</v>
          </cell>
        </row>
        <row r="142">
          <cell r="A142" t="str">
            <v>SB-LUHM101-B0</v>
          </cell>
          <cell r="B142" t="str">
            <v>B07FJQJ4XP</v>
          </cell>
        </row>
        <row r="143">
          <cell r="A143" t="str">
            <v>SD-LUHM202-B0</v>
          </cell>
          <cell r="B143" t="str">
            <v>B07CVDZCBW</v>
          </cell>
        </row>
        <row r="144">
          <cell r="A144" t="str">
            <v>SD-LUHM202-G0-X</v>
          </cell>
          <cell r="B144" t="str">
            <v>B07BRL2Y1L</v>
          </cell>
        </row>
        <row r="145">
          <cell r="A145" t="str">
            <v>SD-LUHM202-PI</v>
          </cell>
          <cell r="B145" t="str">
            <v>B07CVDVW47</v>
          </cell>
        </row>
        <row r="146">
          <cell r="A146" t="str">
            <v>SD-LUHM202-X0</v>
          </cell>
          <cell r="B146" t="str">
            <v>B07CVDJ9S8</v>
          </cell>
        </row>
        <row r="147">
          <cell r="A147" t="str">
            <v>SD-LUHM202-Y0</v>
          </cell>
          <cell r="B147" t="str">
            <v>B07CVGZCHZ</v>
          </cell>
        </row>
        <row r="148">
          <cell r="A148" t="str">
            <v>SDSZH-BS</v>
          </cell>
          <cell r="B148" t="str">
            <v>B076P8MNVV</v>
          </cell>
        </row>
        <row r="149">
          <cell r="A149" t="str">
            <v>SDSZH-RG</v>
          </cell>
          <cell r="B149" t="str">
            <v>B076PCPP68</v>
          </cell>
        </row>
        <row r="150">
          <cell r="A150" t="str">
            <v>SDSZH-TS-2</v>
          </cell>
          <cell r="B150" t="str">
            <v>B076P7DYB9</v>
          </cell>
        </row>
        <row r="151">
          <cell r="A151" t="str">
            <v>SG-LUHM050-K0</v>
          </cell>
          <cell r="B151" t="str">
            <v>B07F63TBYG</v>
          </cell>
        </row>
        <row r="152">
          <cell r="A152" t="str">
            <v>SG-LUHM100-K0</v>
          </cell>
          <cell r="B152" t="str">
            <v>B07F634TZ1</v>
          </cell>
        </row>
        <row r="153">
          <cell r="A153" t="str">
            <v>SL-LULW812-PI-M</v>
          </cell>
          <cell r="B153" t="str">
            <v>B078RNFX6F</v>
          </cell>
        </row>
        <row r="154">
          <cell r="A154" t="str">
            <v>SL-LULW818-BO-L</v>
          </cell>
          <cell r="B154" t="str">
            <v>B078RNM8V8</v>
          </cell>
        </row>
        <row r="155">
          <cell r="A155" t="str">
            <v>SL-LULW818-PI-L</v>
          </cell>
          <cell r="B155" t="str">
            <v>B078RN1CC8</v>
          </cell>
        </row>
        <row r="156">
          <cell r="A156" t="str">
            <v>SL-LULW818-PI-M</v>
          </cell>
          <cell r="B156" t="str">
            <v>B078RNFX6F</v>
          </cell>
        </row>
        <row r="157">
          <cell r="A157" t="str">
            <v>SL-LULW818-RO-L</v>
          </cell>
          <cell r="B157" t="str">
            <v>B078RMPL65</v>
          </cell>
        </row>
        <row r="158">
          <cell r="A158" t="str">
            <v>SND-FLQ17-NO-108</v>
          </cell>
          <cell r="B158" t="str">
            <v>B075ZV778Y</v>
          </cell>
        </row>
        <row r="159">
          <cell r="A159" t="str">
            <v>SND-FLQ18-SJ-74</v>
          </cell>
          <cell r="B159" t="str">
            <v>B0761KKJCB</v>
          </cell>
        </row>
        <row r="160">
          <cell r="A160" t="str">
            <v>SND-FLQ18-SJ-80</v>
          </cell>
          <cell r="B160" t="str">
            <v>B0761KLYSS</v>
          </cell>
        </row>
        <row r="161">
          <cell r="A161" t="str">
            <v>SND-WF5150-WO</v>
          </cell>
          <cell r="B161" t="str">
            <v>B076ZJHNKM</v>
          </cell>
        </row>
        <row r="162">
          <cell r="A162" t="str">
            <v>SND-WF5150-WO2</v>
          </cell>
          <cell r="B162" t="str">
            <v>B076ZKPLVZ</v>
          </cell>
        </row>
        <row r="163">
          <cell r="A163" t="str">
            <v>SNH-LUHM001-E0</v>
          </cell>
          <cell r="B163" t="str">
            <v>B07DQM6N3W</v>
          </cell>
        </row>
        <row r="164">
          <cell r="A164" t="str">
            <v>SNH-LUHM001-G0</v>
          </cell>
          <cell r="B164" t="str">
            <v>B07DQMT2TL</v>
          </cell>
        </row>
        <row r="165">
          <cell r="A165" t="str">
            <v>SNH-LUHM001-K0</v>
          </cell>
          <cell r="B165" t="str">
            <v>B07DQLZ5KK</v>
          </cell>
        </row>
        <row r="166">
          <cell r="A166" t="str">
            <v>SNH-LUHM001-W0</v>
          </cell>
          <cell r="B166" t="str">
            <v>B07DQLKY6N</v>
          </cell>
        </row>
        <row r="167">
          <cell r="A167" t="str">
            <v>SNH-LUHM001-Y0</v>
          </cell>
          <cell r="B167" t="str">
            <v>B07DQL4VVL</v>
          </cell>
        </row>
        <row r="168">
          <cell r="A168" t="str">
            <v>SNT-LUHM001-BS</v>
          </cell>
          <cell r="B168" t="str">
            <v>B07DQN9ZJT</v>
          </cell>
        </row>
        <row r="169">
          <cell r="A169" t="str">
            <v>SNT-LUHM001-DX</v>
          </cell>
          <cell r="B169" t="str">
            <v>B07DQPRJPR</v>
          </cell>
        </row>
        <row r="170">
          <cell r="A170" t="str">
            <v>SNT-LUHM001-GQ</v>
          </cell>
          <cell r="B170" t="str">
            <v>B07DQL4VVH</v>
          </cell>
        </row>
        <row r="171">
          <cell r="A171" t="str">
            <v>SNT-LUHM001-HW</v>
          </cell>
          <cell r="B171" t="str">
            <v>B07DQP8MPM</v>
          </cell>
        </row>
        <row r="172">
          <cell r="A172" t="str">
            <v>SNT-LUHM001-HY</v>
          </cell>
          <cell r="B172" t="str">
            <v>B07DQMV7N9</v>
          </cell>
        </row>
        <row r="173">
          <cell r="A173" t="str">
            <v>SNT-LUHM001-KT</v>
          </cell>
          <cell r="B173" t="str">
            <v>B07DQN92XD</v>
          </cell>
        </row>
        <row r="174">
          <cell r="A174" t="str">
            <v>SNT-LUHM001-WX</v>
          </cell>
          <cell r="B174" t="str">
            <v>B07DQLKY6T</v>
          </cell>
        </row>
        <row r="175">
          <cell r="A175" t="str">
            <v>SNT-LUHM001-ZX</v>
          </cell>
          <cell r="B175" t="str">
            <v>B07DQVJFGS</v>
          </cell>
        </row>
        <row r="176">
          <cell r="A176" t="str">
            <v>SQ-LUHM204</v>
          </cell>
          <cell r="B176" t="str">
            <v>B07DKXSV9P</v>
          </cell>
        </row>
        <row r="177">
          <cell r="A177" t="str">
            <v>SQ-LUHM304</v>
          </cell>
          <cell r="B177" t="str">
            <v>B07DKWSJ1Z</v>
          </cell>
        </row>
        <row r="178">
          <cell r="A178" t="str">
            <v>SQ-LUHM354</v>
          </cell>
          <cell r="B178" t="str">
            <v>B07DKV16HS</v>
          </cell>
        </row>
        <row r="179">
          <cell r="A179" t="str">
            <v>SQ-LUHM404</v>
          </cell>
          <cell r="B179" t="str">
            <v>B07DKT41YL</v>
          </cell>
        </row>
        <row r="180">
          <cell r="A180" t="str">
            <v>SQ-LUHM90A</v>
          </cell>
          <cell r="B180" t="str">
            <v>B07DKXGT8H</v>
          </cell>
        </row>
        <row r="181">
          <cell r="A181" t="str">
            <v>ST-FLQ110-KO-L</v>
          </cell>
          <cell r="B181" t="str">
            <v>B077N6WYM2</v>
          </cell>
        </row>
        <row r="182">
          <cell r="A182" t="str">
            <v>ST-FLQ110-KO-M</v>
          </cell>
          <cell r="B182" t="str">
            <v>B077N289VS</v>
          </cell>
        </row>
        <row r="183">
          <cell r="A183" t="str">
            <v>ST-FLQ110-KO-XL</v>
          </cell>
          <cell r="B183" t="str">
            <v>B077N9TG25</v>
          </cell>
        </row>
        <row r="184">
          <cell r="A184" t="str">
            <v>ST-FLQ110-PI-L</v>
          </cell>
          <cell r="B184" t="str">
            <v>B077NCHFV2</v>
          </cell>
        </row>
        <row r="185">
          <cell r="A185" t="str">
            <v>ST-FLQ110-PI-M</v>
          </cell>
          <cell r="B185" t="str">
            <v>B077NCS1K2</v>
          </cell>
        </row>
        <row r="186">
          <cell r="A186" t="str">
            <v>ST-FLQ110-PI-S</v>
          </cell>
          <cell r="B186" t="str">
            <v>B077NDNLBD</v>
          </cell>
        </row>
        <row r="187">
          <cell r="A187" t="str">
            <v>ST-LAHM-LG-001</v>
          </cell>
          <cell r="B187" t="str">
            <v>B07DVJW5HD</v>
          </cell>
        </row>
        <row r="188">
          <cell r="A188" t="str">
            <v>TEST-BR-6IN</v>
          </cell>
          <cell r="B188" t="str">
            <v>B07D6GDQ2G</v>
          </cell>
        </row>
        <row r="189">
          <cell r="A189" t="str">
            <v>TEST-Y0-7IN</v>
          </cell>
          <cell r="B189" t="str">
            <v>B07D6GHKF6</v>
          </cell>
        </row>
        <row r="190">
          <cell r="A190" t="str">
            <v>TESTY0-6IN</v>
          </cell>
          <cell r="B190" t="str">
            <v>B07D6FCMJS</v>
          </cell>
        </row>
        <row r="191">
          <cell r="A191" t="str">
            <v>WB-LUHM002-B0</v>
          </cell>
          <cell r="B191" t="str">
            <v>B07DVLSHLK</v>
          </cell>
        </row>
        <row r="192">
          <cell r="A192" t="str">
            <v>WB-LUHM002-E0</v>
          </cell>
          <cell r="B192" t="str">
            <v>B07DVHDT1N</v>
          </cell>
        </row>
        <row r="193">
          <cell r="A193" t="str">
            <v>WB-LUHM002-G0</v>
          </cell>
          <cell r="B193" t="str">
            <v>B07DVGSHDP</v>
          </cell>
        </row>
        <row r="194">
          <cell r="A194" t="str">
            <v>WB-LUHM002-R0</v>
          </cell>
          <cell r="B194" t="str">
            <v>B07DVK765T</v>
          </cell>
        </row>
        <row r="195">
          <cell r="A195" t="str">
            <v>WY-WF1217-GR-L</v>
          </cell>
          <cell r="B195" t="str">
            <v>B078MRF99V</v>
          </cell>
        </row>
        <row r="196">
          <cell r="A196" t="str">
            <v>WY-WF1217-GR-M</v>
          </cell>
          <cell r="B196" t="str">
            <v>B078MG4VLQ</v>
          </cell>
        </row>
        <row r="197">
          <cell r="A197" t="str">
            <v>WY-WF1217-GR-S</v>
          </cell>
          <cell r="B197" t="str">
            <v>B078MMFTHW</v>
          </cell>
        </row>
        <row r="198">
          <cell r="A198" t="str">
            <v>WY-WF1217-GR-XL</v>
          </cell>
          <cell r="B198" t="str">
            <v>B078MLVDZV</v>
          </cell>
        </row>
        <row r="199">
          <cell r="A199" t="str">
            <v>WY-WF1217-KO-L</v>
          </cell>
          <cell r="B199" t="str">
            <v>B078MJZZZN</v>
          </cell>
        </row>
        <row r="200">
          <cell r="A200" t="str">
            <v>WY-WF1217-KO-M</v>
          </cell>
          <cell r="B200" t="str">
            <v>B078MP2N3B</v>
          </cell>
        </row>
        <row r="201">
          <cell r="A201" t="str">
            <v>WY-WF1217-KO-S</v>
          </cell>
          <cell r="B201" t="str">
            <v>B078MKNJN1</v>
          </cell>
        </row>
        <row r="202">
          <cell r="A202" t="str">
            <v>WY-WF1217-KO-XL</v>
          </cell>
          <cell r="B202" t="str">
            <v>B078MNWK8Y</v>
          </cell>
        </row>
        <row r="203">
          <cell r="A203" t="str">
            <v>WY-WF1217-RO-L</v>
          </cell>
          <cell r="B203" t="str">
            <v>B078MK4N19</v>
          </cell>
        </row>
        <row r="204">
          <cell r="A204" t="str">
            <v>WY-WF1217-RO-M</v>
          </cell>
          <cell r="B204" t="str">
            <v>B078MLCPHX</v>
          </cell>
        </row>
        <row r="205">
          <cell r="A205" t="str">
            <v>WY-WF1217-RO-S</v>
          </cell>
          <cell r="B205" t="str">
            <v>B078MPPY1Z</v>
          </cell>
        </row>
        <row r="206">
          <cell r="A206" t="str">
            <v>WY-WF1217-RO-XL</v>
          </cell>
          <cell r="B206" t="str">
            <v>B078MLS36P</v>
          </cell>
        </row>
        <row r="207">
          <cell r="A207" t="str">
            <v>WY-WF1217-YO-L</v>
          </cell>
          <cell r="B207" t="str">
            <v>B078MLPP7Z</v>
          </cell>
        </row>
        <row r="208">
          <cell r="A208" t="str">
            <v>WY-WF1217-YO-M</v>
          </cell>
          <cell r="B208" t="str">
            <v>B078MQZ7XF</v>
          </cell>
        </row>
        <row r="209">
          <cell r="A209" t="str">
            <v>WY-WF1217-YO-S</v>
          </cell>
          <cell r="B209" t="str">
            <v>B078MLVF8D</v>
          </cell>
        </row>
        <row r="210">
          <cell r="A210" t="str">
            <v>WY-WF1217-YO-XL</v>
          </cell>
          <cell r="B210" t="str">
            <v>B078MLVFZH</v>
          </cell>
        </row>
        <row r="211">
          <cell r="A211" t="str">
            <v>WY-WF1225-BO-L</v>
          </cell>
          <cell r="B211" t="str">
            <v>B078MFHH1V</v>
          </cell>
        </row>
        <row r="212">
          <cell r="A212" t="str">
            <v>WY-WF1225-BO-M</v>
          </cell>
          <cell r="B212" t="str">
            <v>B078MFWG5N</v>
          </cell>
        </row>
        <row r="213">
          <cell r="A213" t="str">
            <v>WY-WF1225-BO-S</v>
          </cell>
          <cell r="B213" t="str">
            <v>B078MNG1TG</v>
          </cell>
        </row>
        <row r="214">
          <cell r="A214" t="str">
            <v>WY-WF1225-BO-XL</v>
          </cell>
          <cell r="B214" t="str">
            <v>B078MPBBKH</v>
          </cell>
        </row>
        <row r="215">
          <cell r="A215" t="str">
            <v>WY-WF1225-GR-L</v>
          </cell>
          <cell r="B215" t="str">
            <v>B078MMXYGL</v>
          </cell>
        </row>
        <row r="216">
          <cell r="A216" t="str">
            <v>WY-WF1225-GR-M</v>
          </cell>
          <cell r="B216" t="str">
            <v>B078MFPDLS</v>
          </cell>
        </row>
        <row r="217">
          <cell r="A217" t="str">
            <v>WY-WF1225-GR-S</v>
          </cell>
          <cell r="B217" t="str">
            <v>B078MNGZXT</v>
          </cell>
        </row>
        <row r="218">
          <cell r="A218" t="str">
            <v>WY-WF1225-GR-XL</v>
          </cell>
          <cell r="B218" t="str">
            <v>B078ML71RF</v>
          </cell>
        </row>
        <row r="219">
          <cell r="A219" t="str">
            <v>XK-YIWUJS-GY-6IN</v>
          </cell>
          <cell r="B219" t="str">
            <v>B07D4GQKTL</v>
          </cell>
        </row>
        <row r="220">
          <cell r="A220" t="str">
            <v>XK-YIWUJS-GY-7IN</v>
          </cell>
          <cell r="B220" t="str">
            <v>B07D4FV711</v>
          </cell>
        </row>
        <row r="221">
          <cell r="A221" t="str">
            <v>XK-YIWUJS-PJ</v>
          </cell>
          <cell r="B221" t="str">
            <v>B001B52VSW</v>
          </cell>
        </row>
        <row r="222">
          <cell r="A222" t="str">
            <v>XK-YIWUJS-Y0-6IN</v>
          </cell>
          <cell r="B222" t="str">
            <v>B07D4GBBQB</v>
          </cell>
        </row>
        <row r="223">
          <cell r="A223" t="str">
            <v>XK-YIWUJS-Y0-7IN</v>
          </cell>
          <cell r="B223" t="str">
            <v>B07D4FQCYC</v>
          </cell>
        </row>
        <row r="224">
          <cell r="A224" t="str">
            <v>XK-YIWUJS2-BR-6IN</v>
          </cell>
          <cell r="B224" t="str">
            <v>B07D4FWK6H</v>
          </cell>
        </row>
        <row r="225">
          <cell r="A225" t="str">
            <v>XK-YIWUJS2-BR-7IN</v>
          </cell>
          <cell r="B225" t="str">
            <v>B07D4GDZTQ</v>
          </cell>
        </row>
        <row r="226">
          <cell r="A226" t="str">
            <v>XK-YIWUJS2-PJ</v>
          </cell>
          <cell r="B226" t="str">
            <v>B00VGTGHS8</v>
          </cell>
        </row>
        <row r="227">
          <cell r="A227" t="str">
            <v>XK-YIWUJS2-Y0-6IN</v>
          </cell>
          <cell r="B227" t="str">
            <v>B07D4GSD2Q</v>
          </cell>
        </row>
        <row r="228">
          <cell r="A228" t="str">
            <v>XK-YIWUJS2-Y0-7IN</v>
          </cell>
          <cell r="B228" t="str">
            <v>B07D4GT945</v>
          </cell>
        </row>
        <row r="229">
          <cell r="A229" t="str">
            <v>XM-LUHM111-X0</v>
          </cell>
          <cell r="B229" t="str">
            <v>B07C76QF92</v>
          </cell>
        </row>
        <row r="230">
          <cell r="A230" t="str">
            <v>XQ-LUHM034-X0</v>
          </cell>
          <cell r="B230" t="str">
            <v>B07C76QGLV</v>
          </cell>
        </row>
        <row r="231">
          <cell r="A231" t="str">
            <v>XQ-LUHM089-PI</v>
          </cell>
          <cell r="B231" t="str">
            <v>B07CG51FRQ</v>
          </cell>
        </row>
        <row r="232">
          <cell r="A232" t="str">
            <v>XYD-F02-3C-3S</v>
          </cell>
          <cell r="B232" t="str">
            <v>B077277SF1</v>
          </cell>
        </row>
        <row r="233">
          <cell r="A233" t="str">
            <v>YQ-LUHM-F111</v>
          </cell>
          <cell r="B233" t="str">
            <v>B07CQJ8G3M</v>
          </cell>
        </row>
        <row r="234">
          <cell r="A234" t="str">
            <v>YQ-LUHM-F112</v>
          </cell>
          <cell r="B234" t="str">
            <v>B07DLX7V45</v>
          </cell>
        </row>
        <row r="235">
          <cell r="A235" t="str">
            <v>YQ-LUHM-F114</v>
          </cell>
          <cell r="B235" t="str">
            <v>B07DLTWN39</v>
          </cell>
        </row>
        <row r="236">
          <cell r="A236" t="str">
            <v>ZB-WF029-CF-L</v>
          </cell>
          <cell r="B236" t="str">
            <v>B077SSC1TH</v>
          </cell>
        </row>
        <row r="237">
          <cell r="A237" t="str">
            <v>ZB-WF029-CF-M</v>
          </cell>
          <cell r="B237" t="str">
            <v>B078C7BGZR</v>
          </cell>
        </row>
        <row r="238">
          <cell r="A238" t="str">
            <v>ZB-WF029-WO-L</v>
          </cell>
          <cell r="B238" t="str">
            <v>B0784WBNX9</v>
          </cell>
        </row>
        <row r="239">
          <cell r="A239" t="str">
            <v>ZB-WF029-WO-M</v>
          </cell>
          <cell r="B239" t="str">
            <v>B0784WC6TX</v>
          </cell>
        </row>
        <row r="240">
          <cell r="A240" t="str">
            <v>ZDD-FLQ07-MC-28</v>
          </cell>
          <cell r="B240" t="str">
            <v>B075QF56L3</v>
          </cell>
        </row>
        <row r="241">
          <cell r="A241" t="str">
            <v>ZDD-FLQ08-BO-28</v>
          </cell>
          <cell r="B241" t="str">
            <v>B075QFP51N</v>
          </cell>
        </row>
        <row r="242">
          <cell r="A242" t="str">
            <v>ZDD-FLQ08-GR-28</v>
          </cell>
          <cell r="B242" t="str">
            <v>B075QG33T1</v>
          </cell>
        </row>
        <row r="243">
          <cell r="A243" t="str">
            <v>ZDD-FLQ08-PO-28</v>
          </cell>
          <cell r="B243" t="str">
            <v>B075R92YGF</v>
          </cell>
        </row>
        <row r="244">
          <cell r="A244" t="str">
            <v>ZDD-FLQ08-RO-28</v>
          </cell>
          <cell r="B244" t="str">
            <v>B075QFMG4P</v>
          </cell>
        </row>
        <row r="245">
          <cell r="A245" t="str">
            <v>ZQ-WF002-BO-M</v>
          </cell>
          <cell r="B245" t="str">
            <v>B078HGJSND</v>
          </cell>
        </row>
        <row r="246">
          <cell r="A246" t="str">
            <v>ZQ-WF002-PI-M</v>
          </cell>
          <cell r="B246" t="str">
            <v>B078H85Y7H</v>
          </cell>
        </row>
        <row r="247">
          <cell r="A247" t="str">
            <v>ZYL-FLQ06-BF-40</v>
          </cell>
          <cell r="B247" t="str">
            <v>B076P8S1LC</v>
          </cell>
        </row>
        <row r="248">
          <cell r="A248" t="str">
            <v>ZYL-FLQ06-BG-40</v>
          </cell>
          <cell r="B248" t="str">
            <v>B075RCQD9P</v>
          </cell>
        </row>
        <row r="249">
          <cell r="A249" t="str">
            <v>ZYL-FLQ06-HG-40</v>
          </cell>
          <cell r="B249" t="str">
            <v>B075R4XJZV</v>
          </cell>
        </row>
        <row r="250">
          <cell r="A250" t="str">
            <v>ZYL-FLQ06-TZ-40</v>
          </cell>
          <cell r="B250" t="str">
            <v>B075R4RWDL</v>
          </cell>
        </row>
        <row r="251">
          <cell r="A251" t="str">
            <v>ZYL-FLQ2013-DX-36</v>
          </cell>
          <cell r="B251" t="str">
            <v>B078JK429P</v>
          </cell>
        </row>
        <row r="252">
          <cell r="A252" t="str">
            <v>ZYL-FLQ2013-RO-36</v>
          </cell>
          <cell r="B252" t="str">
            <v>B078JQ7B7M</v>
          </cell>
        </row>
        <row r="253">
          <cell r="A253" t="str">
            <v>ZYL-FLQ2013-YO-36</v>
          </cell>
          <cell r="B253" t="str">
            <v>B078JQVN4Q</v>
          </cell>
        </row>
        <row r="254">
          <cell r="A254" t="str">
            <v>ZYL-FLQ59-BF-32</v>
          </cell>
          <cell r="B254" t="str">
            <v>B078JQ3KLW</v>
          </cell>
        </row>
        <row r="255">
          <cell r="A255" t="str">
            <v>ZYL-FLQ59-BY-32</v>
          </cell>
          <cell r="B255" t="str">
            <v>B078JNY8M1</v>
          </cell>
        </row>
        <row r="256">
          <cell r="A256" t="str">
            <v>ZYL-FLQ59-TW-32</v>
          </cell>
          <cell r="B256" t="str">
            <v>B078JJ7KDP</v>
          </cell>
        </row>
        <row r="257">
          <cell r="A257" t="str">
            <v>ZYL-FLQ59-TZ-32</v>
          </cell>
          <cell r="B257" t="str">
            <v>B078JQXPDD</v>
          </cell>
        </row>
        <row r="258">
          <cell r="A258" t="str">
            <v>ZYL-FLQ59-YD-32</v>
          </cell>
          <cell r="B258" t="str">
            <v>B078JHC2WQ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89</v>
          </cell>
          <cell r="D2">
            <v>115</v>
          </cell>
          <cell r="E2">
            <v>99</v>
          </cell>
          <cell r="F2">
            <v>148</v>
          </cell>
        </row>
        <row r="3">
          <cell r="A3" t="str">
            <v>SND-WF5150-WO</v>
          </cell>
          <cell r="B3" t="str">
            <v>SND-WF5150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e">
            <v>#DIV/0!</v>
          </cell>
        </row>
        <row r="4">
          <cell r="A4" t="str">
            <v>YQ-LUHM-F111</v>
          </cell>
          <cell r="B4" t="str">
            <v>YQ-LUHM</v>
          </cell>
          <cell r="C4">
            <v>0</v>
          </cell>
          <cell r="D4">
            <v>2</v>
          </cell>
          <cell r="E4">
            <v>1</v>
          </cell>
          <cell r="F4">
            <v>3</v>
          </cell>
          <cell r="G4">
            <v>7.99</v>
          </cell>
        </row>
        <row r="5">
          <cell r="A5" t="str">
            <v>GT-WFTFGT200-209</v>
          </cell>
          <cell r="B5" t="str">
            <v>GT-WFTFGT200</v>
          </cell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10.27</v>
          </cell>
        </row>
        <row r="6">
          <cell r="A6" t="str">
            <v>SNH-LUHM001-K0</v>
          </cell>
          <cell r="B6" t="str">
            <v>SNH-LUHM001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7.99</v>
          </cell>
        </row>
        <row r="7">
          <cell r="A7" t="str">
            <v>ZYL-FLQ06-TZ-40</v>
          </cell>
          <cell r="B7" t="str">
            <v>ZYL-FLQ06</v>
          </cell>
          <cell r="C7">
            <v>5</v>
          </cell>
          <cell r="D7">
            <v>11</v>
          </cell>
          <cell r="E7">
            <v>5</v>
          </cell>
          <cell r="F7">
            <v>3</v>
          </cell>
          <cell r="G7">
            <v>11.8233333333333</v>
          </cell>
        </row>
        <row r="8">
          <cell r="A8" t="str">
            <v>BDB-WF212-BJX-M</v>
          </cell>
          <cell r="B8" t="str">
            <v>BDB-WF212</v>
          </cell>
          <cell r="C8">
            <v>0</v>
          </cell>
          <cell r="D8">
            <v>2</v>
          </cell>
          <cell r="E8">
            <v>2</v>
          </cell>
          <cell r="F8">
            <v>4</v>
          </cell>
          <cell r="G8">
            <v>10.99</v>
          </cell>
        </row>
        <row r="9">
          <cell r="A9" t="str">
            <v>SNH-LUHM001-Y0</v>
          </cell>
          <cell r="B9" t="str">
            <v>SNH-LUHM001</v>
          </cell>
          <cell r="C9">
            <v>0</v>
          </cell>
          <cell r="D9">
            <v>0</v>
          </cell>
          <cell r="E9">
            <v>3</v>
          </cell>
          <cell r="F9">
            <v>7</v>
          </cell>
          <cell r="G9">
            <v>7.99</v>
          </cell>
        </row>
        <row r="10">
          <cell r="A10" t="str">
            <v>SNT-LUHM001-BS</v>
          </cell>
          <cell r="B10" t="str">
            <v>SNH-LUHM001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14.99</v>
          </cell>
        </row>
        <row r="11">
          <cell r="A11" t="str">
            <v>ZYL-FLQ06-BF-40</v>
          </cell>
          <cell r="B11" t="str">
            <v>ZYL-FLQ06</v>
          </cell>
          <cell r="C11">
            <v>0</v>
          </cell>
          <cell r="D11">
            <v>0</v>
          </cell>
          <cell r="E11">
            <v>9</v>
          </cell>
          <cell r="F11">
            <v>16</v>
          </cell>
          <cell r="G11">
            <v>15.99</v>
          </cell>
        </row>
        <row r="12">
          <cell r="A12" t="str">
            <v>BLT-LUHM000-CR</v>
          </cell>
          <cell r="B12" t="str">
            <v>BLT-LUHM000</v>
          </cell>
          <cell r="C12">
            <v>1</v>
          </cell>
          <cell r="D12">
            <v>1</v>
          </cell>
          <cell r="E12">
            <v>1</v>
          </cell>
          <cell r="F12">
            <v>2</v>
          </cell>
          <cell r="G12">
            <v>9.99</v>
          </cell>
        </row>
        <row r="13">
          <cell r="A13" t="str">
            <v>SQ-LUHM354</v>
          </cell>
          <cell r="B13" t="str">
            <v>SQ-LUHM</v>
          </cell>
          <cell r="C13">
            <v>0</v>
          </cell>
          <cell r="D13">
            <v>9</v>
          </cell>
          <cell r="E13">
            <v>11</v>
          </cell>
          <cell r="F13">
            <v>24</v>
          </cell>
          <cell r="G13">
            <v>19.99</v>
          </cell>
        </row>
        <row r="14">
          <cell r="A14" t="str">
            <v>ZYL-FLQ59-TW-32</v>
          </cell>
          <cell r="B14" t="str">
            <v>ZYL-FLQ59</v>
          </cell>
          <cell r="C14">
            <v>2</v>
          </cell>
          <cell r="D14">
            <v>0</v>
          </cell>
          <cell r="E14">
            <v>5</v>
          </cell>
          <cell r="F14">
            <v>1</v>
          </cell>
          <cell r="G14">
            <v>13.23</v>
          </cell>
        </row>
        <row r="15">
          <cell r="A15" t="str">
            <v>SNT-LUHM001-GQ</v>
          </cell>
          <cell r="B15" t="str">
            <v>SNH-LUHM001</v>
          </cell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14.99</v>
          </cell>
        </row>
        <row r="16">
          <cell r="A16" t="str">
            <v>XK-YIWUJS2-BR-7IN</v>
          </cell>
          <cell r="B16" t="str">
            <v>XK-YIWUJS2</v>
          </cell>
          <cell r="C16">
            <v>0</v>
          </cell>
          <cell r="D16">
            <v>4</v>
          </cell>
          <cell r="E16">
            <v>1</v>
          </cell>
          <cell r="F16">
            <v>2</v>
          </cell>
          <cell r="G16">
            <v>13.99</v>
          </cell>
        </row>
        <row r="17">
          <cell r="A17" t="str">
            <v>ZYL-FLQ59-BF-32</v>
          </cell>
          <cell r="B17" t="str">
            <v>ZYL-FLQ59</v>
          </cell>
          <cell r="C17">
            <v>8</v>
          </cell>
          <cell r="D17">
            <v>1</v>
          </cell>
          <cell r="E17">
            <v>6</v>
          </cell>
          <cell r="F17">
            <v>7</v>
          </cell>
          <cell r="G17">
            <v>13.99</v>
          </cell>
        </row>
        <row r="18">
          <cell r="A18" t="str">
            <v>SQ-LUHM404</v>
          </cell>
          <cell r="B18" t="str">
            <v>SQ-LUHM</v>
          </cell>
          <cell r="C18">
            <v>7</v>
          </cell>
          <cell r="D18">
            <v>4</v>
          </cell>
          <cell r="E18">
            <v>5</v>
          </cell>
          <cell r="F18">
            <v>18</v>
          </cell>
          <cell r="G18">
            <v>21.99</v>
          </cell>
        </row>
        <row r="19">
          <cell r="A19" t="str">
            <v>SQ-LUHM304</v>
          </cell>
          <cell r="B19" t="str">
            <v>SQ-LUHM</v>
          </cell>
          <cell r="C19">
            <v>3</v>
          </cell>
          <cell r="D19">
            <v>3</v>
          </cell>
          <cell r="E19">
            <v>0</v>
          </cell>
          <cell r="F19">
            <v>2</v>
          </cell>
          <cell r="G19">
            <v>18.99</v>
          </cell>
        </row>
        <row r="20">
          <cell r="A20" t="str">
            <v>QQ-LUHM-801-B0</v>
          </cell>
          <cell r="B20" t="str">
            <v>QQ-LUHM-801-B0</v>
          </cell>
          <cell r="C20">
            <v>0</v>
          </cell>
          <cell r="D20">
            <v>1</v>
          </cell>
          <cell r="E20">
            <v>1</v>
          </cell>
          <cell r="F20">
            <v>2</v>
          </cell>
          <cell r="G20">
            <v>8.99</v>
          </cell>
        </row>
        <row r="21">
          <cell r="A21" t="str">
            <v>SNH-LUHM001-E0</v>
          </cell>
          <cell r="B21" t="str">
            <v>SNH-LUHM001</v>
          </cell>
          <cell r="C21">
            <v>0</v>
          </cell>
          <cell r="D21">
            <v>0</v>
          </cell>
          <cell r="E21">
            <v>2</v>
          </cell>
          <cell r="F21">
            <v>2</v>
          </cell>
          <cell r="G21">
            <v>7.99</v>
          </cell>
        </row>
        <row r="22">
          <cell r="A22" t="str">
            <v>SNH-LUHM001-G0</v>
          </cell>
          <cell r="B22" t="str">
            <v>SNH-LUHM001</v>
          </cell>
          <cell r="C22">
            <v>0</v>
          </cell>
          <cell r="D22">
            <v>0</v>
          </cell>
          <cell r="E22">
            <v>0</v>
          </cell>
          <cell r="F22">
            <v>3</v>
          </cell>
          <cell r="G22">
            <v>7.99</v>
          </cell>
        </row>
        <row r="23">
          <cell r="A23" t="str">
            <v>SQ-LUHM204</v>
          </cell>
          <cell r="B23" t="str">
            <v>SQ-LUHM</v>
          </cell>
          <cell r="C23">
            <v>0</v>
          </cell>
          <cell r="D23">
            <v>0</v>
          </cell>
          <cell r="E23">
            <v>0</v>
          </cell>
          <cell r="F23">
            <v>6</v>
          </cell>
          <cell r="G23">
            <v>15.99</v>
          </cell>
        </row>
        <row r="24">
          <cell r="A24" t="str">
            <v>BLT-LUHM819-W0</v>
          </cell>
          <cell r="B24" t="str">
            <v>BLT-LUHM819</v>
          </cell>
          <cell r="C24">
            <v>0</v>
          </cell>
          <cell r="D24">
            <v>0</v>
          </cell>
          <cell r="E24">
            <v>0</v>
          </cell>
          <cell r="F24">
            <v>2</v>
          </cell>
          <cell r="G24">
            <v>8.99</v>
          </cell>
        </row>
        <row r="25">
          <cell r="A25" t="str">
            <v>SB-LUHM101-B0</v>
          </cell>
          <cell r="B25" t="str">
            <v>SB-LUHM101</v>
          </cell>
          <cell r="C25">
            <v>4</v>
          </cell>
          <cell r="D25">
            <v>5</v>
          </cell>
          <cell r="E25">
            <v>0</v>
          </cell>
          <cell r="F25">
            <v>1</v>
          </cell>
          <cell r="G25">
            <v>13.79</v>
          </cell>
        </row>
        <row r="26">
          <cell r="A26" t="str">
            <v>SL-LULW818-BO-L</v>
          </cell>
          <cell r="B26" t="str">
            <v>SL-LULW812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18.99</v>
          </cell>
        </row>
        <row r="27">
          <cell r="A27" t="str">
            <v>ZYL-FLQ06-HG-40</v>
          </cell>
          <cell r="B27" t="str">
            <v>ZYL-FLQ06</v>
          </cell>
          <cell r="C27">
            <v>1</v>
          </cell>
          <cell r="D27">
            <v>2</v>
          </cell>
          <cell r="E27">
            <v>0</v>
          </cell>
          <cell r="F27">
            <v>1</v>
          </cell>
          <cell r="G27">
            <v>18.99</v>
          </cell>
        </row>
        <row r="28">
          <cell r="A28" t="str">
            <v>BLT-WF125-PANDA</v>
          </cell>
          <cell r="B28" t="str">
            <v>BLT-WF125</v>
          </cell>
          <cell r="C28">
            <v>0</v>
          </cell>
          <cell r="D28">
            <v>0</v>
          </cell>
          <cell r="E28">
            <v>1</v>
          </cell>
          <cell r="F28">
            <v>1</v>
          </cell>
          <cell r="G28">
            <v>9.99</v>
          </cell>
        </row>
        <row r="29">
          <cell r="A29" t="str">
            <v>SB-LUHM100-R0</v>
          </cell>
          <cell r="B29" t="str">
            <v>SB-LUHM100</v>
          </cell>
          <cell r="C29">
            <v>0</v>
          </cell>
          <cell r="D29">
            <v>6</v>
          </cell>
          <cell r="E29">
            <v>4</v>
          </cell>
          <cell r="F29">
            <v>1</v>
          </cell>
          <cell r="G29">
            <v>13.8081818181818</v>
          </cell>
        </row>
        <row r="30">
          <cell r="A30" t="str">
            <v>SQ-LUHM90A</v>
          </cell>
          <cell r="B30" t="str">
            <v>SQ-LUHM</v>
          </cell>
          <cell r="C30">
            <v>0</v>
          </cell>
          <cell r="D30">
            <v>0</v>
          </cell>
          <cell r="E30">
            <v>2</v>
          </cell>
          <cell r="F30">
            <v>3</v>
          </cell>
          <cell r="G30">
            <v>17.99</v>
          </cell>
        </row>
        <row r="31">
          <cell r="A31" t="str">
            <v>XK-YIWUJS2-BR-6IN</v>
          </cell>
          <cell r="B31" t="str">
            <v>XK-YIWUJS2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12.99</v>
          </cell>
        </row>
        <row r="32">
          <cell r="A32" t="str">
            <v>XK-YIWUJS-GY-7IN</v>
          </cell>
          <cell r="B32" t="str">
            <v>XK-YIWUJS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 t="e">
            <v>#DIV/0!</v>
          </cell>
        </row>
        <row r="33">
          <cell r="A33" t="str">
            <v>CWB-WF021-QB-M</v>
          </cell>
          <cell r="B33" t="str">
            <v>CWB-WF021</v>
          </cell>
          <cell r="C33">
            <v>1</v>
          </cell>
          <cell r="D33">
            <v>1</v>
          </cell>
          <cell r="E33">
            <v>0</v>
          </cell>
          <cell r="F33">
            <v>2</v>
          </cell>
          <cell r="G33">
            <v>13.39</v>
          </cell>
        </row>
        <row r="34">
          <cell r="A34" t="str">
            <v>HYD-WF7995-BO-XL</v>
          </cell>
          <cell r="B34" t="str">
            <v>HYD-WF7995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 t="e">
            <v>#DIV/0!</v>
          </cell>
        </row>
        <row r="35">
          <cell r="A35" t="str">
            <v>GT-WFY1-E1</v>
          </cell>
          <cell r="B35" t="str">
            <v>GT-WFY1</v>
          </cell>
          <cell r="C35">
            <v>1</v>
          </cell>
          <cell r="D35">
            <v>0</v>
          </cell>
          <cell r="E35">
            <v>1</v>
          </cell>
          <cell r="F35">
            <v>1</v>
          </cell>
          <cell r="G35">
            <v>13.99</v>
          </cell>
        </row>
        <row r="36">
          <cell r="A36" t="str">
            <v>SL-LULW818-RO-L</v>
          </cell>
          <cell r="B36" t="str">
            <v>SL-LULW812</v>
          </cell>
          <cell r="C36">
            <v>1</v>
          </cell>
          <cell r="D36">
            <v>0</v>
          </cell>
          <cell r="E36">
            <v>0</v>
          </cell>
          <cell r="F36">
            <v>1</v>
          </cell>
          <cell r="G36">
            <v>15.99</v>
          </cell>
        </row>
        <row r="37">
          <cell r="A37" t="str">
            <v>GSQPQ-WF2012-GO</v>
          </cell>
          <cell r="B37" t="str">
            <v>GSQPQ-WF2012</v>
          </cell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8.99</v>
          </cell>
        </row>
        <row r="38">
          <cell r="A38" t="str">
            <v>ZDD-FLQ08-GR-28</v>
          </cell>
          <cell r="B38" t="str">
            <v>ZDD-FLQ08</v>
          </cell>
          <cell r="C38">
            <v>1</v>
          </cell>
          <cell r="D38">
            <v>0</v>
          </cell>
          <cell r="E38">
            <v>0</v>
          </cell>
          <cell r="F38">
            <v>1</v>
          </cell>
          <cell r="G38">
            <v>12.995</v>
          </cell>
        </row>
        <row r="39">
          <cell r="A39" t="str">
            <v>CWB-WF021-QB-L</v>
          </cell>
          <cell r="B39" t="str">
            <v>CWB-WF021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13.59</v>
          </cell>
        </row>
        <row r="40">
          <cell r="A40" t="str">
            <v>SB-LUHM100-K0</v>
          </cell>
          <cell r="B40" t="str">
            <v>SB-LUHM100</v>
          </cell>
          <cell r="C40">
            <v>10</v>
          </cell>
          <cell r="D40">
            <v>3</v>
          </cell>
          <cell r="E40">
            <v>6</v>
          </cell>
          <cell r="F40">
            <v>2</v>
          </cell>
          <cell r="G40">
            <v>13</v>
          </cell>
        </row>
        <row r="41">
          <cell r="A41" t="str">
            <v>JS-LUHM100-KLT</v>
          </cell>
          <cell r="B41" t="str">
            <v>JS-LUHM100</v>
          </cell>
          <cell r="C41">
            <v>2</v>
          </cell>
          <cell r="D41">
            <v>2</v>
          </cell>
          <cell r="E41">
            <v>0</v>
          </cell>
          <cell r="F41">
            <v>4</v>
          </cell>
          <cell r="G41">
            <v>20</v>
          </cell>
        </row>
        <row r="42">
          <cell r="A42" t="str">
            <v>JS-LUHM100-JSZFX</v>
          </cell>
          <cell r="B42" t="str">
            <v>JS-LUHM100</v>
          </cell>
          <cell r="C42">
            <v>0</v>
          </cell>
          <cell r="D42">
            <v>1</v>
          </cell>
          <cell r="E42">
            <v>1</v>
          </cell>
          <cell r="F42">
            <v>1</v>
          </cell>
          <cell r="G42">
            <v>18</v>
          </cell>
        </row>
        <row r="43">
          <cell r="A43" t="str">
            <v>GT-WFTFGT200-220</v>
          </cell>
          <cell r="B43" t="str">
            <v>GT-WFTFGT200</v>
          </cell>
          <cell r="C43">
            <v>2</v>
          </cell>
          <cell r="D43">
            <v>2</v>
          </cell>
          <cell r="E43">
            <v>1</v>
          </cell>
          <cell r="F43">
            <v>1</v>
          </cell>
          <cell r="G43">
            <v>13.99</v>
          </cell>
        </row>
        <row r="44">
          <cell r="A44" t="str">
            <v>ZDD-FLQ08-BO-28</v>
          </cell>
          <cell r="B44" t="str">
            <v>ZDD-FLQ08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15.99</v>
          </cell>
        </row>
        <row r="45">
          <cell r="A45" t="str">
            <v>BLT-WF125-COW</v>
          </cell>
          <cell r="B45" t="str">
            <v>BLT-WF125</v>
          </cell>
          <cell r="C45">
            <v>0</v>
          </cell>
          <cell r="D45">
            <v>1</v>
          </cell>
          <cell r="E45">
            <v>1</v>
          </cell>
          <cell r="F45">
            <v>1</v>
          </cell>
          <cell r="G45">
            <v>8.99</v>
          </cell>
        </row>
        <row r="46">
          <cell r="A46" t="str">
            <v>GB-LUHM035-P0</v>
          </cell>
          <cell r="B46" t="str">
            <v>GB-LUHM035</v>
          </cell>
          <cell r="C46">
            <v>0</v>
          </cell>
          <cell r="D46">
            <v>0</v>
          </cell>
          <cell r="E46">
            <v>1</v>
          </cell>
          <cell r="F46">
            <v>1</v>
          </cell>
          <cell r="G46">
            <v>16.99</v>
          </cell>
        </row>
        <row r="47">
          <cell r="A47" t="str">
            <v>SL-LULW818-PI-L</v>
          </cell>
          <cell r="B47" t="str">
            <v>SL-LULW812</v>
          </cell>
          <cell r="C47">
            <v>1</v>
          </cell>
          <cell r="D47">
            <v>0</v>
          </cell>
          <cell r="E47">
            <v>0</v>
          </cell>
          <cell r="F47">
            <v>1</v>
          </cell>
          <cell r="G47">
            <v>15.99</v>
          </cell>
        </row>
        <row r="48">
          <cell r="A48" t="str">
            <v>BDB-WF212-JY-M</v>
          </cell>
          <cell r="B48" t="str">
            <v>BDB-WF212</v>
          </cell>
          <cell r="C48">
            <v>2</v>
          </cell>
          <cell r="D48">
            <v>4</v>
          </cell>
          <cell r="E48">
            <v>2</v>
          </cell>
          <cell r="F48">
            <v>1</v>
          </cell>
          <cell r="G48">
            <v>9.99</v>
          </cell>
        </row>
        <row r="49">
          <cell r="A49" t="str">
            <v>BDB-WF212-CW-M</v>
          </cell>
          <cell r="B49" t="str">
            <v>BDB-WF212</v>
          </cell>
          <cell r="C49">
            <v>3</v>
          </cell>
          <cell r="D49">
            <v>5</v>
          </cell>
          <cell r="E49">
            <v>3</v>
          </cell>
          <cell r="F49">
            <v>1</v>
          </cell>
          <cell r="G49">
            <v>8.99</v>
          </cell>
        </row>
        <row r="50">
          <cell r="A50" t="str">
            <v>ZYL-FLQ59-TZ-32</v>
          </cell>
          <cell r="B50" t="str">
            <v>ZYL-FLQ59</v>
          </cell>
          <cell r="C50">
            <v>0</v>
          </cell>
          <cell r="D50">
            <v>0</v>
          </cell>
          <cell r="E50">
            <v>0</v>
          </cell>
          <cell r="F50">
            <v>2</v>
          </cell>
          <cell r="G50">
            <v>13.99</v>
          </cell>
        </row>
        <row r="51">
          <cell r="A51" t="str">
            <v>HYD-WF7995-RO-XL</v>
          </cell>
          <cell r="B51" t="str">
            <v>HYD-WF7995</v>
          </cell>
          <cell r="C51">
            <v>0</v>
          </cell>
          <cell r="D51">
            <v>1</v>
          </cell>
          <cell r="E51">
            <v>0</v>
          </cell>
          <cell r="F51">
            <v>1</v>
          </cell>
          <cell r="G51">
            <v>10</v>
          </cell>
        </row>
        <row r="52">
          <cell r="A52" t="str">
            <v>ZYL-FLQ06-BG-40</v>
          </cell>
          <cell r="B52" t="str">
            <v>ZYL-FLQ06</v>
          </cell>
          <cell r="C52">
            <v>2</v>
          </cell>
          <cell r="D52">
            <v>3</v>
          </cell>
          <cell r="E52">
            <v>1</v>
          </cell>
          <cell r="F52">
            <v>4</v>
          </cell>
          <cell r="G52">
            <v>18.99</v>
          </cell>
        </row>
        <row r="53">
          <cell r="A53" t="str">
            <v>YQ-LUHM-F112</v>
          </cell>
          <cell r="B53" t="str">
            <v>YQ-LUHM</v>
          </cell>
          <cell r="C53">
            <v>0</v>
          </cell>
          <cell r="D53">
            <v>0</v>
          </cell>
          <cell r="E53">
            <v>1</v>
          </cell>
          <cell r="F53">
            <v>1</v>
          </cell>
          <cell r="G53">
            <v>10.99</v>
          </cell>
        </row>
        <row r="54">
          <cell r="A54" t="str">
            <v>BLT-LUHM000-GL</v>
          </cell>
          <cell r="B54" t="str">
            <v>BLT-LUHM000</v>
          </cell>
          <cell r="C54">
            <v>0</v>
          </cell>
          <cell r="D54">
            <v>0</v>
          </cell>
          <cell r="E54">
            <v>3</v>
          </cell>
          <cell r="F54">
            <v>1</v>
          </cell>
          <cell r="G54">
            <v>9.99</v>
          </cell>
        </row>
        <row r="55">
          <cell r="A55" t="str">
            <v>ZYL-FLQ2013-DX-36</v>
          </cell>
          <cell r="B55" t="str">
            <v>ZYL-FLQ2013</v>
          </cell>
          <cell r="C55">
            <v>2</v>
          </cell>
          <cell r="D55">
            <v>3</v>
          </cell>
          <cell r="E55">
            <v>0</v>
          </cell>
          <cell r="F55">
            <v>1</v>
          </cell>
          <cell r="G55">
            <v>14.99</v>
          </cell>
        </row>
        <row r="56">
          <cell r="A56" t="str">
            <v>GB-LUHM035-BE</v>
          </cell>
          <cell r="B56" t="str">
            <v>GB-LUHM035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16.99</v>
          </cell>
        </row>
        <row r="57">
          <cell r="A57" t="str">
            <v>JS-LUHM100-AX</v>
          </cell>
          <cell r="B57" t="str">
            <v>JS-LUHM100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22</v>
          </cell>
        </row>
        <row r="58">
          <cell r="A58" t="str">
            <v>CWB-WF021-CF-XL</v>
          </cell>
          <cell r="B58" t="str">
            <v>CWB-WF021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15.46</v>
          </cell>
        </row>
        <row r="59">
          <cell r="A59" t="str">
            <v>BLT-WF125-LION</v>
          </cell>
          <cell r="B59" t="str">
            <v>BLT-WF125</v>
          </cell>
          <cell r="C59">
            <v>0</v>
          </cell>
          <cell r="D59">
            <v>1</v>
          </cell>
          <cell r="E59">
            <v>1</v>
          </cell>
          <cell r="F59">
            <v>0</v>
          </cell>
          <cell r="G59">
            <v>8.99</v>
          </cell>
        </row>
        <row r="60">
          <cell r="A60" t="str">
            <v>WB-LUHM002-E0</v>
          </cell>
          <cell r="B60" t="str">
            <v>WB-LUHM002</v>
          </cell>
          <cell r="C60">
            <v>1</v>
          </cell>
          <cell r="D60">
            <v>2</v>
          </cell>
          <cell r="E60">
            <v>1</v>
          </cell>
          <cell r="F60">
            <v>0</v>
          </cell>
          <cell r="G60">
            <v>11</v>
          </cell>
        </row>
        <row r="61">
          <cell r="A61" t="str">
            <v>SNT-LUHM001-WX</v>
          </cell>
          <cell r="B61" t="str">
            <v>SNH-LUHM001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14.99</v>
          </cell>
        </row>
        <row r="62">
          <cell r="A62" t="str">
            <v>SNH-LUHM001-W0</v>
          </cell>
          <cell r="B62" t="str">
            <v>SNH-LUHM001</v>
          </cell>
          <cell r="C62">
            <v>3</v>
          </cell>
          <cell r="D62">
            <v>1</v>
          </cell>
          <cell r="E62">
            <v>3</v>
          </cell>
          <cell r="F62">
            <v>0</v>
          </cell>
          <cell r="G62">
            <v>7.99</v>
          </cell>
        </row>
        <row r="63">
          <cell r="A63" t="str">
            <v>ZDD-FLQ08-RO-28</v>
          </cell>
          <cell r="B63" t="str">
            <v>ZDD-FLQ08</v>
          </cell>
          <cell r="C63">
            <v>0</v>
          </cell>
          <cell r="D63">
            <v>0</v>
          </cell>
          <cell r="E63">
            <v>1</v>
          </cell>
          <cell r="F63">
            <v>0</v>
          </cell>
          <cell r="G63">
            <v>15.99</v>
          </cell>
        </row>
        <row r="64">
          <cell r="A64" t="str">
            <v>BLT-LUHM000-GR</v>
          </cell>
          <cell r="B64" t="str">
            <v>BLT-LUHM000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9.99</v>
          </cell>
        </row>
        <row r="65">
          <cell r="A65" t="str">
            <v>YQ-LUHM-F114</v>
          </cell>
          <cell r="B65" t="str">
            <v>YQ-LUHM</v>
          </cell>
          <cell r="C65">
            <v>0</v>
          </cell>
          <cell r="D65">
            <v>0</v>
          </cell>
          <cell r="E65">
            <v>2</v>
          </cell>
          <cell r="F65">
            <v>0</v>
          </cell>
          <cell r="G65">
            <v>15.99</v>
          </cell>
        </row>
        <row r="66">
          <cell r="A66" t="str">
            <v>BDB-LUHM001-K0</v>
          </cell>
          <cell r="B66" t="str">
            <v>BDB-LUHM001</v>
          </cell>
          <cell r="C66">
            <v>0</v>
          </cell>
          <cell r="D66">
            <v>0</v>
          </cell>
          <cell r="E66">
            <v>1</v>
          </cell>
          <cell r="F66">
            <v>0</v>
          </cell>
          <cell r="G66">
            <v>9.9</v>
          </cell>
        </row>
        <row r="67">
          <cell r="A67" t="str">
            <v>CWB-WF021-QB-S</v>
          </cell>
          <cell r="B67" t="str">
            <v>CWB-WF021</v>
          </cell>
          <cell r="C67">
            <v>0</v>
          </cell>
          <cell r="D67">
            <v>0</v>
          </cell>
          <cell r="E67">
            <v>2</v>
          </cell>
          <cell r="F67">
            <v>0</v>
          </cell>
          <cell r="G67">
            <v>12.99</v>
          </cell>
        </row>
        <row r="68">
          <cell r="A68" t="str">
            <v>SND-FLQ18-SJ-74</v>
          </cell>
          <cell r="B68" t="str">
            <v>SND-FLQ18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 t="e">
            <v>#DIV/0!</v>
          </cell>
        </row>
        <row r="69">
          <cell r="A69" t="str">
            <v>WY-WF1225-BO-S</v>
          </cell>
          <cell r="B69" t="str">
            <v>WY-WF1225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21.98</v>
          </cell>
        </row>
        <row r="70">
          <cell r="A70" t="str">
            <v>BA-FLQ02-BO-6</v>
          </cell>
          <cell r="B70" t="str">
            <v>BA-FLQ02</v>
          </cell>
          <cell r="C70">
            <v>0</v>
          </cell>
          <cell r="D70">
            <v>2</v>
          </cell>
          <cell r="E70">
            <v>1</v>
          </cell>
          <cell r="F70">
            <v>0</v>
          </cell>
          <cell r="G70">
            <v>16.99</v>
          </cell>
        </row>
        <row r="71">
          <cell r="A71" t="str">
            <v>JS-LUHM100-ZFX</v>
          </cell>
          <cell r="B71" t="str">
            <v>JS-LUHM100</v>
          </cell>
          <cell r="C71">
            <v>0</v>
          </cell>
          <cell r="D71">
            <v>1</v>
          </cell>
          <cell r="E71">
            <v>0</v>
          </cell>
          <cell r="F71">
            <v>0</v>
          </cell>
          <cell r="G71">
            <v>13.99</v>
          </cell>
        </row>
        <row r="72">
          <cell r="A72" t="str">
            <v>BA-FLQ02-SI-6</v>
          </cell>
          <cell r="B72" t="str">
            <v>BA-FLQ02</v>
          </cell>
          <cell r="C72">
            <v>0</v>
          </cell>
          <cell r="D72">
            <v>2</v>
          </cell>
          <cell r="E72">
            <v>0</v>
          </cell>
          <cell r="F72">
            <v>0</v>
          </cell>
          <cell r="G72">
            <v>15.99</v>
          </cell>
        </row>
        <row r="73">
          <cell r="A73" t="str">
            <v>CWB-WF021-RB-L</v>
          </cell>
          <cell r="B73" t="str">
            <v>CWB-WF021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14.99</v>
          </cell>
        </row>
        <row r="74">
          <cell r="A74" t="str">
            <v>ZYL-FLQ59-YD-32</v>
          </cell>
          <cell r="B74" t="str">
            <v>ZYL-FLQ59</v>
          </cell>
          <cell r="C74">
            <v>1</v>
          </cell>
          <cell r="D74">
            <v>2</v>
          </cell>
          <cell r="E74">
            <v>0</v>
          </cell>
          <cell r="F74">
            <v>0</v>
          </cell>
          <cell r="G74">
            <v>9.04666666666667</v>
          </cell>
        </row>
        <row r="75">
          <cell r="A75" t="str">
            <v>WB-LUHM002-R0</v>
          </cell>
          <cell r="B75" t="str">
            <v>WB-LUHM002</v>
          </cell>
          <cell r="C75">
            <v>2</v>
          </cell>
          <cell r="D75">
            <v>2</v>
          </cell>
          <cell r="E75">
            <v>0</v>
          </cell>
          <cell r="F75">
            <v>0</v>
          </cell>
          <cell r="G75">
            <v>11</v>
          </cell>
        </row>
        <row r="76">
          <cell r="A76" t="str">
            <v>BLT-LUHM000-CL</v>
          </cell>
          <cell r="B76" t="str">
            <v>BLT-LUHM000</v>
          </cell>
          <cell r="C76">
            <v>0</v>
          </cell>
          <cell r="D76">
            <v>2</v>
          </cell>
          <cell r="E76">
            <v>0</v>
          </cell>
          <cell r="F76">
            <v>0</v>
          </cell>
          <cell r="G76">
            <v>9.99</v>
          </cell>
        </row>
        <row r="77">
          <cell r="A77" t="str">
            <v>WB-LUHM002-G0</v>
          </cell>
          <cell r="B77" t="str">
            <v>WB-LUHM002</v>
          </cell>
          <cell r="C77">
            <v>2</v>
          </cell>
          <cell r="D77">
            <v>2</v>
          </cell>
          <cell r="E77">
            <v>0</v>
          </cell>
          <cell r="F77">
            <v>0</v>
          </cell>
          <cell r="G77">
            <v>11</v>
          </cell>
        </row>
        <row r="78">
          <cell r="A78" t="str">
            <v>RYMT-WF712-GO-L</v>
          </cell>
          <cell r="B78" t="str">
            <v>RYMT-WF712</v>
          </cell>
          <cell r="C78">
            <v>0</v>
          </cell>
          <cell r="D78">
            <v>2</v>
          </cell>
          <cell r="E78">
            <v>0</v>
          </cell>
          <cell r="F78">
            <v>0</v>
          </cell>
          <cell r="G78">
            <v>16.66</v>
          </cell>
        </row>
        <row r="79">
          <cell r="A79" t="str">
            <v>LYQ-WF1010-BO-L</v>
          </cell>
          <cell r="B79" t="str">
            <v>LYQ-WF1010</v>
          </cell>
          <cell r="C79">
            <v>0</v>
          </cell>
          <cell r="D79">
            <v>1</v>
          </cell>
          <cell r="E79">
            <v>0</v>
          </cell>
          <cell r="F79">
            <v>0</v>
          </cell>
          <cell r="G79">
            <v>9.99</v>
          </cell>
        </row>
        <row r="80">
          <cell r="A80" t="str">
            <v>LYQ-WF1010-WO-M</v>
          </cell>
          <cell r="B80" t="str">
            <v>LYQ-WF1010</v>
          </cell>
          <cell r="C80">
            <v>0</v>
          </cell>
          <cell r="D80">
            <v>1</v>
          </cell>
          <cell r="E80">
            <v>0</v>
          </cell>
          <cell r="F80">
            <v>0</v>
          </cell>
          <cell r="G80">
            <v>9.99</v>
          </cell>
        </row>
        <row r="81">
          <cell r="A81" t="str">
            <v>BDB-LUHM001-B0</v>
          </cell>
          <cell r="B81" t="str">
            <v>BDB-LUHM001</v>
          </cell>
          <cell r="C81">
            <v>0</v>
          </cell>
          <cell r="D81">
            <v>1</v>
          </cell>
          <cell r="E81">
            <v>0</v>
          </cell>
          <cell r="F81">
            <v>0</v>
          </cell>
          <cell r="G81">
            <v>9.9</v>
          </cell>
        </row>
        <row r="82">
          <cell r="A82" t="str">
            <v>ZYL-FLQ2013-YO-36</v>
          </cell>
          <cell r="B82" t="str">
            <v>ZYL-FLQ2013</v>
          </cell>
          <cell r="C82">
            <v>0</v>
          </cell>
          <cell r="D82">
            <v>1</v>
          </cell>
          <cell r="E82">
            <v>0</v>
          </cell>
          <cell r="F82">
            <v>0</v>
          </cell>
          <cell r="G82">
            <v>14.99</v>
          </cell>
        </row>
        <row r="83">
          <cell r="A83" t="str">
            <v>ZYL-FLQ2013-RO-36</v>
          </cell>
          <cell r="B83" t="str">
            <v>ZYL-FLQ2013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14.99</v>
          </cell>
        </row>
        <row r="84">
          <cell r="A84" t="str">
            <v>LYQ-WF1010-PO-S</v>
          </cell>
          <cell r="B84" t="str">
            <v>LYQ-WF1010</v>
          </cell>
          <cell r="C84">
            <v>0</v>
          </cell>
          <cell r="D84">
            <v>2</v>
          </cell>
          <cell r="E84">
            <v>0</v>
          </cell>
          <cell r="F84">
            <v>0</v>
          </cell>
          <cell r="G84">
            <v>9.99</v>
          </cell>
        </row>
        <row r="85">
          <cell r="A85" t="str">
            <v>LYQ-WF1010-WO-2L</v>
          </cell>
          <cell r="B85" t="str">
            <v>LYQ-WF1010</v>
          </cell>
          <cell r="C85">
            <v>1</v>
          </cell>
          <cell r="D85">
            <v>2</v>
          </cell>
          <cell r="E85">
            <v>0</v>
          </cell>
          <cell r="F85">
            <v>0</v>
          </cell>
          <cell r="G85">
            <v>9.99</v>
          </cell>
        </row>
        <row r="86">
          <cell r="A86" t="str">
            <v>LYQ-WF1010-BO-M</v>
          </cell>
          <cell r="B86" t="str">
            <v>LYQ-WF1010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e">
            <v>#DIV/0!</v>
          </cell>
        </row>
        <row r="87">
          <cell r="A87" t="str">
            <v>LYQ-WF1010-KO-XL</v>
          </cell>
          <cell r="B87" t="str">
            <v>LYQ-WF1010</v>
          </cell>
          <cell r="C87">
            <v>0</v>
          </cell>
          <cell r="D87">
            <v>1</v>
          </cell>
          <cell r="E87">
            <v>0</v>
          </cell>
          <cell r="F87">
            <v>0</v>
          </cell>
          <cell r="G87">
            <v>9.99</v>
          </cell>
        </row>
        <row r="88">
          <cell r="A88" t="str">
            <v>WB-LUHM002-B0</v>
          </cell>
          <cell r="B88" t="str">
            <v>WB-LUHM002</v>
          </cell>
          <cell r="C88">
            <v>2</v>
          </cell>
          <cell r="D88">
            <v>1</v>
          </cell>
          <cell r="E88">
            <v>0</v>
          </cell>
          <cell r="F88">
            <v>0</v>
          </cell>
          <cell r="G88">
            <v>11</v>
          </cell>
        </row>
        <row r="89">
          <cell r="A89" t="str">
            <v>LYQ-WF1010-BO-2X</v>
          </cell>
          <cell r="B89" t="str">
            <v>LYQ-WF1010</v>
          </cell>
          <cell r="C89">
            <v>0</v>
          </cell>
          <cell r="D89">
            <v>1</v>
          </cell>
          <cell r="E89">
            <v>0</v>
          </cell>
          <cell r="F89">
            <v>0</v>
          </cell>
          <cell r="G89">
            <v>9.99</v>
          </cell>
        </row>
        <row r="90">
          <cell r="A90" t="str">
            <v>BDB-LUHM001-Y0</v>
          </cell>
          <cell r="B90" t="str">
            <v>BDB-LUHM001</v>
          </cell>
          <cell r="C90">
            <v>2</v>
          </cell>
          <cell r="D90">
            <v>1</v>
          </cell>
          <cell r="E90">
            <v>0</v>
          </cell>
          <cell r="F90">
            <v>0</v>
          </cell>
          <cell r="G90">
            <v>9.9</v>
          </cell>
        </row>
        <row r="91">
          <cell r="A91" t="str">
            <v>LYQ-WF1010-NO-XS</v>
          </cell>
          <cell r="B91" t="str">
            <v>LYQ-WF1010</v>
          </cell>
          <cell r="C91">
            <v>0</v>
          </cell>
          <cell r="D91">
            <v>1</v>
          </cell>
          <cell r="E91">
            <v>0</v>
          </cell>
          <cell r="F91">
            <v>0</v>
          </cell>
          <cell r="G91">
            <v>9.99</v>
          </cell>
        </row>
        <row r="92">
          <cell r="A92" t="str">
            <v>RYMT-WF712-PO-L</v>
          </cell>
          <cell r="B92" t="str">
            <v>RYMT-WF712</v>
          </cell>
          <cell r="C92">
            <v>0</v>
          </cell>
          <cell r="D92">
            <v>1</v>
          </cell>
          <cell r="E92">
            <v>0</v>
          </cell>
          <cell r="F92">
            <v>0</v>
          </cell>
          <cell r="G92">
            <v>13</v>
          </cell>
        </row>
        <row r="93">
          <cell r="A93" t="str">
            <v>SG-LUHM050-K0</v>
          </cell>
          <cell r="B93" t="str">
            <v>SG-LUHM050</v>
          </cell>
          <cell r="C93">
            <v>1</v>
          </cell>
          <cell r="D93">
            <v>1</v>
          </cell>
          <cell r="E93">
            <v>0</v>
          </cell>
          <cell r="F93">
            <v>0</v>
          </cell>
          <cell r="G93">
            <v>28</v>
          </cell>
        </row>
        <row r="94">
          <cell r="A94" t="str">
            <v>BDB-WF212-SH-M</v>
          </cell>
          <cell r="B94" t="str">
            <v>BDB-WF212</v>
          </cell>
          <cell r="C94">
            <v>3</v>
          </cell>
          <cell r="D94">
            <v>0</v>
          </cell>
          <cell r="E94">
            <v>0</v>
          </cell>
          <cell r="F94">
            <v>0</v>
          </cell>
          <cell r="G94">
            <v>8.99</v>
          </cell>
        </row>
        <row r="95">
          <cell r="A95" t="str">
            <v>ZYL-FLQ59-BY-32</v>
          </cell>
          <cell r="B95" t="str">
            <v>ZYL-FLQ59</v>
          </cell>
          <cell r="C95">
            <v>2</v>
          </cell>
          <cell r="D95">
            <v>0</v>
          </cell>
          <cell r="E95">
            <v>0</v>
          </cell>
          <cell r="F95">
            <v>0</v>
          </cell>
          <cell r="G95">
            <v>11.99</v>
          </cell>
        </row>
        <row r="96">
          <cell r="A96" t="str">
            <v>ZDD-FLQ07-MC-28</v>
          </cell>
          <cell r="B96" t="str">
            <v>ZDD-FLQ07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15.99</v>
          </cell>
        </row>
        <row r="97">
          <cell r="A97" t="str">
            <v>CWB-WF021-CF-S</v>
          </cell>
          <cell r="B97" t="str">
            <v>CWB-WF021</v>
          </cell>
          <cell r="C97">
            <v>2</v>
          </cell>
          <cell r="D97">
            <v>0</v>
          </cell>
          <cell r="E97">
            <v>0</v>
          </cell>
          <cell r="F97">
            <v>0</v>
          </cell>
          <cell r="G97">
            <v>11.99</v>
          </cell>
        </row>
        <row r="98">
          <cell r="A98" t="str">
            <v>ZDD-FLQ08-PO-28</v>
          </cell>
          <cell r="B98" t="str">
            <v>ZDD-FLQ08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15.99</v>
          </cell>
        </row>
        <row r="99">
          <cell r="A99" t="str">
            <v>CWB-WF021-RB-M</v>
          </cell>
          <cell r="B99" t="str">
            <v>CWB-WF021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13.99</v>
          </cell>
        </row>
        <row r="100">
          <cell r="A100" t="str">
            <v>SND-FLQ18-SJ-80</v>
          </cell>
          <cell r="B100" t="str">
            <v>SND-FLQ18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 t="e">
            <v>#DIV/0!</v>
          </cell>
        </row>
        <row r="101">
          <cell r="A101" t="str">
            <v>RYMT-WF712-PI-L</v>
          </cell>
          <cell r="B101" t="str">
            <v>RYMT-WF712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10</v>
          </cell>
        </row>
        <row r="102">
          <cell r="A102" t="str">
            <v>LYQ-WF1010-PO-M</v>
          </cell>
          <cell r="B102" t="str">
            <v>LYQ-WF1010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9.99</v>
          </cell>
        </row>
        <row r="103">
          <cell r="A103" t="str">
            <v>JS-LUHM100-XJQ</v>
          </cell>
          <cell r="B103" t="str">
            <v>JS-LUHM100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15</v>
          </cell>
        </row>
        <row r="104">
          <cell r="A104" t="str">
            <v>LYQ-WF1010-BO-S</v>
          </cell>
          <cell r="B104" t="str">
            <v>LYQ-WF1010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9.99</v>
          </cell>
        </row>
        <row r="105">
          <cell r="A105" t="str">
            <v>BDB-WF212-SJS-M</v>
          </cell>
          <cell r="B105" t="str">
            <v>BDB-WF212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9.77</v>
          </cell>
        </row>
        <row r="407">
          <cell r="A407" t="str">
            <v>ZYL-FLQ06-TZ-40</v>
          </cell>
        </row>
        <row r="450">
          <cell r="A450" t="str">
            <v>ZYL-FLQ06-TZ-40</v>
          </cell>
        </row>
        <row r="502">
          <cell r="A502" t="str">
            <v>GT-WFTFGT200-220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SND-WF5150</v>
          </cell>
          <cell r="B2" t="e">
            <v>#DIV/0!</v>
          </cell>
        </row>
        <row r="3">
          <cell r="A3" t="str">
            <v>YQ-LUHM</v>
          </cell>
          <cell r="B3">
            <v>10.19</v>
          </cell>
        </row>
        <row r="4">
          <cell r="A4" t="str">
            <v>GT-WFTFGT200</v>
          </cell>
          <cell r="B4">
            <v>13.4585714285714</v>
          </cell>
        </row>
        <row r="5">
          <cell r="A5" t="str">
            <v>SNH-LUHM001</v>
          </cell>
          <cell r="B5">
            <v>8.95551724137931</v>
          </cell>
        </row>
        <row r="6">
          <cell r="A6" t="str">
            <v>ZYL-FLQ06</v>
          </cell>
          <cell r="B6">
            <v>15.0693650793651</v>
          </cell>
        </row>
        <row r="7">
          <cell r="A7" t="str">
            <v>BDB-WF212</v>
          </cell>
          <cell r="B7">
            <v>9.77121212121212</v>
          </cell>
        </row>
        <row r="8">
          <cell r="A8" t="str">
            <v>BLT-LUHM000</v>
          </cell>
          <cell r="B8">
            <v>9.99</v>
          </cell>
        </row>
        <row r="9">
          <cell r="A9" t="str">
            <v>SQ-LUHM</v>
          </cell>
          <cell r="B9">
            <v>20.2580412371134</v>
          </cell>
        </row>
        <row r="10">
          <cell r="A10" t="str">
            <v>ZYL-FLQ59</v>
          </cell>
          <cell r="B10">
            <v>13.3167567567568</v>
          </cell>
        </row>
        <row r="11">
          <cell r="A11" t="str">
            <v>XK-YIWUJS2</v>
          </cell>
          <cell r="B11">
            <v>13.7677777777778</v>
          </cell>
        </row>
        <row r="12">
          <cell r="A12" t="str">
            <v>QQ-LUHM-801-B0</v>
          </cell>
          <cell r="B12">
            <v>8.99</v>
          </cell>
        </row>
        <row r="13">
          <cell r="A13" t="str">
            <v>BLT-LUHM819</v>
          </cell>
          <cell r="B13">
            <v>8.99</v>
          </cell>
        </row>
        <row r="14">
          <cell r="A14" t="str">
            <v>SB-LUHM101</v>
          </cell>
          <cell r="B14">
            <v>13.79</v>
          </cell>
        </row>
        <row r="15">
          <cell r="A15" t="str">
            <v>SL-LULW812</v>
          </cell>
          <cell r="B15">
            <v>16.59</v>
          </cell>
        </row>
        <row r="16">
          <cell r="A16" t="str">
            <v>BLT-WF125</v>
          </cell>
          <cell r="B16">
            <v>9.27571428571429</v>
          </cell>
        </row>
        <row r="17">
          <cell r="A17" t="str">
            <v>SB-LUHM100</v>
          </cell>
          <cell r="B17">
            <v>13.2778125</v>
          </cell>
        </row>
        <row r="18">
          <cell r="A18" t="str">
            <v>XK-YIWUJS</v>
          </cell>
          <cell r="B18" t="e">
            <v>#DIV/0!</v>
          </cell>
        </row>
        <row r="19">
          <cell r="A19" t="str">
            <v>CWB-WF021</v>
          </cell>
          <cell r="B19">
            <v>13.4625</v>
          </cell>
        </row>
        <row r="20">
          <cell r="A20" t="str">
            <v>HYD-WF7995</v>
          </cell>
          <cell r="B20">
            <v>10</v>
          </cell>
        </row>
        <row r="21">
          <cell r="A21" t="str">
            <v>GT-WFY1</v>
          </cell>
          <cell r="B21">
            <v>13.99</v>
          </cell>
        </row>
        <row r="22">
          <cell r="A22" t="str">
            <v>GSQPQ-WF2012</v>
          </cell>
          <cell r="B22">
            <v>8.99</v>
          </cell>
        </row>
        <row r="23">
          <cell r="A23" t="str">
            <v>ZDD-FLQ08</v>
          </cell>
          <cell r="B23">
            <v>14.792</v>
          </cell>
        </row>
        <row r="24">
          <cell r="A24" t="str">
            <v>JS-LUHM100</v>
          </cell>
          <cell r="B24">
            <v>18.9278571428571</v>
          </cell>
        </row>
        <row r="25">
          <cell r="A25" t="str">
            <v>GB-LUHM035</v>
          </cell>
          <cell r="B25">
            <v>16.99</v>
          </cell>
        </row>
        <row r="26">
          <cell r="A26" t="str">
            <v>ZYL-FLQ2013</v>
          </cell>
          <cell r="B26">
            <v>14.99</v>
          </cell>
        </row>
        <row r="27">
          <cell r="A27" t="str">
            <v>WB-LUHM002</v>
          </cell>
          <cell r="B27">
            <v>11</v>
          </cell>
        </row>
        <row r="28">
          <cell r="A28" t="str">
            <v>BDB-LUHM001</v>
          </cell>
          <cell r="B28">
            <v>9.9</v>
          </cell>
        </row>
        <row r="29">
          <cell r="A29" t="str">
            <v>SND-FLQ18</v>
          </cell>
          <cell r="B29" t="e">
            <v>#DIV/0!</v>
          </cell>
        </row>
        <row r="30">
          <cell r="A30" t="str">
            <v>WY-WF1225</v>
          </cell>
          <cell r="B30">
            <v>21.98</v>
          </cell>
        </row>
        <row r="31">
          <cell r="A31" t="str">
            <v>BA-FLQ02</v>
          </cell>
          <cell r="B31">
            <v>16.59</v>
          </cell>
        </row>
        <row r="32">
          <cell r="A32" t="str">
            <v>RYMT-WF712</v>
          </cell>
          <cell r="B32">
            <v>14.08</v>
          </cell>
        </row>
        <row r="33">
          <cell r="A33" t="str">
            <v>LYQ-WF1010</v>
          </cell>
          <cell r="B33">
            <v>9.99</v>
          </cell>
        </row>
        <row r="34">
          <cell r="A34" t="str">
            <v>SG-LUHM050</v>
          </cell>
          <cell r="B34">
            <v>28</v>
          </cell>
        </row>
        <row r="35">
          <cell r="A35" t="str">
            <v>ZDD-FLQ07</v>
          </cell>
          <cell r="B35">
            <v>15.99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B076P8S1LC</v>
          </cell>
          <cell r="B2">
            <v>0</v>
          </cell>
          <cell r="C2">
            <v>0</v>
          </cell>
          <cell r="D2">
            <v>61</v>
          </cell>
          <cell r="E2">
            <v>78</v>
          </cell>
        </row>
        <row r="3">
          <cell r="A3" t="str">
            <v>B07DKV16HS</v>
          </cell>
          <cell r="B3">
            <v>10</v>
          </cell>
          <cell r="C3">
            <v>45</v>
          </cell>
          <cell r="D3">
            <v>68</v>
          </cell>
          <cell r="E3">
            <v>60</v>
          </cell>
        </row>
        <row r="4">
          <cell r="A4" t="str">
            <v>B07DKT41YL</v>
          </cell>
          <cell r="B4">
            <v>18</v>
          </cell>
          <cell r="C4">
            <v>11</v>
          </cell>
          <cell r="D4">
            <v>27</v>
          </cell>
          <cell r="E4">
            <v>29</v>
          </cell>
        </row>
        <row r="5">
          <cell r="A5" t="str">
            <v>B07DQL4VVL</v>
          </cell>
          <cell r="B5">
            <v>0</v>
          </cell>
          <cell r="C5">
            <v>0</v>
          </cell>
          <cell r="D5">
            <v>41</v>
          </cell>
          <cell r="E5">
            <v>18</v>
          </cell>
        </row>
        <row r="6">
          <cell r="A6" t="str">
            <v>B078JQ3KLW</v>
          </cell>
          <cell r="B6">
            <v>64</v>
          </cell>
          <cell r="C6">
            <v>65</v>
          </cell>
          <cell r="D6">
            <v>44</v>
          </cell>
          <cell r="E6">
            <v>27</v>
          </cell>
        </row>
        <row r="7">
          <cell r="A7" t="str">
            <v>B07DKXSV9P</v>
          </cell>
          <cell r="B7">
            <v>18</v>
          </cell>
          <cell r="C7">
            <v>13</v>
          </cell>
          <cell r="D7">
            <v>10</v>
          </cell>
          <cell r="E7">
            <v>12</v>
          </cell>
        </row>
        <row r="8">
          <cell r="A8" t="str">
            <v>B07CQJ8G3M</v>
          </cell>
          <cell r="B8">
            <v>11</v>
          </cell>
          <cell r="C8">
            <v>11</v>
          </cell>
          <cell r="D8">
            <v>19</v>
          </cell>
          <cell r="E8">
            <v>24</v>
          </cell>
        </row>
        <row r="9">
          <cell r="A9" t="str">
            <v>B07FCHZRK5</v>
          </cell>
          <cell r="B9">
            <v>28</v>
          </cell>
          <cell r="C9">
            <v>4</v>
          </cell>
          <cell r="D9">
            <v>0</v>
          </cell>
          <cell r="E9">
            <v>21</v>
          </cell>
        </row>
        <row r="10">
          <cell r="A10" t="str">
            <v>B075R4RWDL</v>
          </cell>
          <cell r="B10">
            <v>63</v>
          </cell>
          <cell r="C10">
            <v>58</v>
          </cell>
          <cell r="D10">
            <v>25</v>
          </cell>
          <cell r="E10">
            <v>25</v>
          </cell>
        </row>
        <row r="11">
          <cell r="A11" t="str">
            <v>B07DQMT2TL</v>
          </cell>
          <cell r="B11">
            <v>0</v>
          </cell>
          <cell r="C11">
            <v>0</v>
          </cell>
          <cell r="D11">
            <v>0</v>
          </cell>
          <cell r="E11">
            <v>27</v>
          </cell>
        </row>
        <row r="12">
          <cell r="A12" t="str">
            <v>B075RCQD9P</v>
          </cell>
          <cell r="B12">
            <v>29</v>
          </cell>
          <cell r="C12">
            <v>39</v>
          </cell>
          <cell r="D12">
            <v>20</v>
          </cell>
          <cell r="E12">
            <v>14</v>
          </cell>
        </row>
        <row r="13">
          <cell r="A13" t="str">
            <v>B0772QKV4C</v>
          </cell>
          <cell r="B13">
            <v>16</v>
          </cell>
          <cell r="C13">
            <v>42</v>
          </cell>
          <cell r="D13">
            <v>27</v>
          </cell>
          <cell r="E13">
            <v>14</v>
          </cell>
        </row>
        <row r="14">
          <cell r="A14" t="str">
            <v>B0772TKSHM</v>
          </cell>
          <cell r="B14">
            <v>0</v>
          </cell>
          <cell r="C14">
            <v>0</v>
          </cell>
          <cell r="D14">
            <v>14</v>
          </cell>
          <cell r="E14">
            <v>18</v>
          </cell>
        </row>
        <row r="15">
          <cell r="A15" t="str">
            <v>B0779RT3RQ</v>
          </cell>
          <cell r="B15">
            <v>5</v>
          </cell>
          <cell r="C15">
            <v>6</v>
          </cell>
          <cell r="D15">
            <v>7</v>
          </cell>
          <cell r="E15">
            <v>4</v>
          </cell>
        </row>
        <row r="16">
          <cell r="A16" t="str">
            <v>B078JQXPDD</v>
          </cell>
          <cell r="B16">
            <v>20</v>
          </cell>
          <cell r="C16">
            <v>14</v>
          </cell>
          <cell r="D16">
            <v>11</v>
          </cell>
          <cell r="E16">
            <v>16</v>
          </cell>
        </row>
        <row r="17">
          <cell r="A17" t="str">
            <v>B07BV73Z4Q</v>
          </cell>
          <cell r="B17">
            <v>6</v>
          </cell>
          <cell r="C17">
            <v>10</v>
          </cell>
          <cell r="D17">
            <v>12</v>
          </cell>
          <cell r="E17">
            <v>10</v>
          </cell>
        </row>
        <row r="18">
          <cell r="A18" t="str">
            <v>B07CDD7CHN</v>
          </cell>
          <cell r="B18">
            <v>16</v>
          </cell>
          <cell r="C18">
            <v>8</v>
          </cell>
          <cell r="D18">
            <v>3</v>
          </cell>
          <cell r="E18">
            <v>5</v>
          </cell>
        </row>
        <row r="19">
          <cell r="A19" t="str">
            <v>B07CPW1TRS</v>
          </cell>
          <cell r="B19">
            <v>11</v>
          </cell>
          <cell r="C19">
            <v>7</v>
          </cell>
          <cell r="D19">
            <v>10</v>
          </cell>
          <cell r="E19">
            <v>29</v>
          </cell>
        </row>
        <row r="20">
          <cell r="A20" t="str">
            <v>B07D4GDZTQ</v>
          </cell>
          <cell r="B20">
            <v>12</v>
          </cell>
          <cell r="C20">
            <v>9</v>
          </cell>
          <cell r="D20">
            <v>16</v>
          </cell>
          <cell r="E20">
            <v>12</v>
          </cell>
        </row>
        <row r="21">
          <cell r="A21" t="str">
            <v>B07DKWSJ1Z</v>
          </cell>
          <cell r="B21">
            <v>12</v>
          </cell>
          <cell r="C21">
            <v>11</v>
          </cell>
          <cell r="D21">
            <v>8</v>
          </cell>
          <cell r="E21">
            <v>29</v>
          </cell>
        </row>
        <row r="22">
          <cell r="A22" t="str">
            <v>B07DKXGT8H</v>
          </cell>
          <cell r="B22">
            <v>7</v>
          </cell>
          <cell r="C22">
            <v>3</v>
          </cell>
          <cell r="D22">
            <v>18</v>
          </cell>
          <cell r="E22">
            <v>10</v>
          </cell>
        </row>
        <row r="23">
          <cell r="A23" t="str">
            <v>B07DQM6N3W</v>
          </cell>
          <cell r="B23">
            <v>0</v>
          </cell>
          <cell r="C23">
            <v>0</v>
          </cell>
          <cell r="D23">
            <v>13</v>
          </cell>
          <cell r="E23">
            <v>14</v>
          </cell>
        </row>
        <row r="24">
          <cell r="A24" t="str">
            <v>B07DVBN2KT</v>
          </cell>
          <cell r="B24">
            <v>53</v>
          </cell>
          <cell r="C24">
            <v>26</v>
          </cell>
          <cell r="D24">
            <v>34</v>
          </cell>
          <cell r="E24">
            <v>20</v>
          </cell>
        </row>
        <row r="25">
          <cell r="A25" t="str">
            <v>B075QFP51N</v>
          </cell>
          <cell r="B25">
            <v>8</v>
          </cell>
          <cell r="C25">
            <v>2</v>
          </cell>
          <cell r="D25">
            <v>1</v>
          </cell>
          <cell r="E25">
            <v>15</v>
          </cell>
        </row>
        <row r="26">
          <cell r="A26" t="str">
            <v>B075QG33T1</v>
          </cell>
          <cell r="B26">
            <v>14</v>
          </cell>
          <cell r="C26">
            <v>4</v>
          </cell>
          <cell r="D26">
            <v>6</v>
          </cell>
          <cell r="E26">
            <v>6</v>
          </cell>
        </row>
        <row r="27">
          <cell r="A27" t="str">
            <v>B075R4XJZV</v>
          </cell>
          <cell r="B27">
            <v>42</v>
          </cell>
          <cell r="C27">
            <v>19</v>
          </cell>
          <cell r="D27">
            <v>18</v>
          </cell>
          <cell r="E27">
            <v>7</v>
          </cell>
        </row>
        <row r="28">
          <cell r="A28" t="str">
            <v>B076J6K8RL</v>
          </cell>
          <cell r="B28">
            <v>4</v>
          </cell>
          <cell r="C28">
            <v>6</v>
          </cell>
          <cell r="D28">
            <v>9</v>
          </cell>
          <cell r="E28">
            <v>3</v>
          </cell>
        </row>
        <row r="29">
          <cell r="A29" t="str">
            <v>B076J6VFSP</v>
          </cell>
          <cell r="B29">
            <v>32</v>
          </cell>
          <cell r="C29">
            <v>26</v>
          </cell>
          <cell r="D29">
            <v>21</v>
          </cell>
          <cell r="E29">
            <v>29</v>
          </cell>
        </row>
        <row r="30">
          <cell r="A30" t="str">
            <v>B077264LR6</v>
          </cell>
          <cell r="B30">
            <v>22</v>
          </cell>
          <cell r="C30">
            <v>4</v>
          </cell>
          <cell r="D30">
            <v>6</v>
          </cell>
          <cell r="E30">
            <v>17</v>
          </cell>
        </row>
        <row r="31">
          <cell r="A31" t="str">
            <v>B0772JDLB6</v>
          </cell>
          <cell r="B31">
            <v>31</v>
          </cell>
          <cell r="C31">
            <v>31</v>
          </cell>
          <cell r="D31">
            <v>22</v>
          </cell>
          <cell r="E31">
            <v>9</v>
          </cell>
        </row>
        <row r="32">
          <cell r="A32" t="str">
            <v>B0779RFXY2</v>
          </cell>
          <cell r="B32">
            <v>3</v>
          </cell>
          <cell r="C32">
            <v>7</v>
          </cell>
          <cell r="D32">
            <v>7</v>
          </cell>
          <cell r="E32">
            <v>6</v>
          </cell>
        </row>
        <row r="33">
          <cell r="A33" t="str">
            <v>B077NVWPQW</v>
          </cell>
          <cell r="B33">
            <v>6</v>
          </cell>
          <cell r="C33">
            <v>7</v>
          </cell>
          <cell r="D33">
            <v>9</v>
          </cell>
          <cell r="E33">
            <v>9</v>
          </cell>
        </row>
        <row r="34">
          <cell r="A34" t="str">
            <v>B077SZ4KTN</v>
          </cell>
          <cell r="B34">
            <v>11</v>
          </cell>
          <cell r="C34">
            <v>8</v>
          </cell>
          <cell r="D34">
            <v>4</v>
          </cell>
          <cell r="E34">
            <v>23</v>
          </cell>
        </row>
        <row r="35">
          <cell r="A35" t="str">
            <v>B0788KQVVG</v>
          </cell>
          <cell r="B35">
            <v>21</v>
          </cell>
          <cell r="C35">
            <v>10</v>
          </cell>
          <cell r="D35">
            <v>12</v>
          </cell>
          <cell r="E35">
            <v>14</v>
          </cell>
        </row>
        <row r="36">
          <cell r="A36" t="str">
            <v>B0788PS6BD</v>
          </cell>
          <cell r="B36">
            <v>31</v>
          </cell>
          <cell r="C36">
            <v>20</v>
          </cell>
          <cell r="D36">
            <v>11</v>
          </cell>
          <cell r="E36">
            <v>23</v>
          </cell>
        </row>
        <row r="37">
          <cell r="A37" t="str">
            <v>B078JJ7KDP</v>
          </cell>
          <cell r="B37">
            <v>26</v>
          </cell>
          <cell r="C37">
            <v>14</v>
          </cell>
          <cell r="D37">
            <v>25</v>
          </cell>
          <cell r="E37">
            <v>12</v>
          </cell>
        </row>
        <row r="38">
          <cell r="A38" t="str">
            <v>B078JK429P</v>
          </cell>
          <cell r="B38">
            <v>16</v>
          </cell>
          <cell r="C38">
            <v>23</v>
          </cell>
          <cell r="D38">
            <v>11</v>
          </cell>
          <cell r="E38">
            <v>12</v>
          </cell>
        </row>
        <row r="39">
          <cell r="A39" t="str">
            <v>B078RMPL65</v>
          </cell>
          <cell r="B39">
            <v>12</v>
          </cell>
          <cell r="C39">
            <v>8</v>
          </cell>
          <cell r="D39">
            <v>1</v>
          </cell>
          <cell r="E39">
            <v>3</v>
          </cell>
        </row>
        <row r="40">
          <cell r="A40" t="str">
            <v>B078RN1CC8</v>
          </cell>
          <cell r="B40">
            <v>22</v>
          </cell>
          <cell r="C40">
            <v>11</v>
          </cell>
          <cell r="D40">
            <v>7</v>
          </cell>
          <cell r="E40">
            <v>12</v>
          </cell>
        </row>
        <row r="41">
          <cell r="A41" t="str">
            <v>B078RNM8V8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</row>
        <row r="42">
          <cell r="A42" t="str">
            <v>B07BVMP1DH</v>
          </cell>
          <cell r="B42">
            <v>13</v>
          </cell>
          <cell r="C42">
            <v>15</v>
          </cell>
          <cell r="D42">
            <v>9</v>
          </cell>
          <cell r="E42">
            <v>2</v>
          </cell>
        </row>
        <row r="43">
          <cell r="A43" t="str">
            <v>B07D4FWK6H</v>
          </cell>
          <cell r="B43">
            <v>5</v>
          </cell>
          <cell r="C43">
            <v>7</v>
          </cell>
          <cell r="D43">
            <v>10</v>
          </cell>
          <cell r="E43">
            <v>8</v>
          </cell>
        </row>
        <row r="44">
          <cell r="A44" t="str">
            <v>B07DLX7V45</v>
          </cell>
          <cell r="B44">
            <v>6</v>
          </cell>
          <cell r="C44">
            <v>3</v>
          </cell>
          <cell r="D44">
            <v>9</v>
          </cell>
          <cell r="E44">
            <v>1</v>
          </cell>
        </row>
        <row r="45">
          <cell r="A45" t="str">
            <v>B07DQL4VVH</v>
          </cell>
          <cell r="B45">
            <v>14</v>
          </cell>
          <cell r="C45">
            <v>12</v>
          </cell>
          <cell r="D45">
            <v>20</v>
          </cell>
          <cell r="E45">
            <v>7</v>
          </cell>
        </row>
        <row r="46">
          <cell r="A46" t="str">
            <v>B07DQLZ5KK</v>
          </cell>
          <cell r="B46">
            <v>0</v>
          </cell>
          <cell r="C46">
            <v>0</v>
          </cell>
          <cell r="D46">
            <v>0</v>
          </cell>
          <cell r="E46">
            <v>1</v>
          </cell>
        </row>
        <row r="47">
          <cell r="A47" t="str">
            <v>B07DQN9ZJT</v>
          </cell>
          <cell r="B47">
            <v>0</v>
          </cell>
          <cell r="C47">
            <v>0</v>
          </cell>
          <cell r="D47">
            <v>0</v>
          </cell>
          <cell r="E47">
            <v>7</v>
          </cell>
        </row>
        <row r="48">
          <cell r="A48" t="str">
            <v>B07DVK4HKX</v>
          </cell>
          <cell r="B48">
            <v>0</v>
          </cell>
          <cell r="C48">
            <v>42</v>
          </cell>
          <cell r="D48">
            <v>78</v>
          </cell>
          <cell r="E48">
            <v>12</v>
          </cell>
        </row>
        <row r="49">
          <cell r="A49" t="str">
            <v>B07F68CBMK</v>
          </cell>
          <cell r="B49">
            <v>19</v>
          </cell>
          <cell r="C49">
            <v>8</v>
          </cell>
          <cell r="D49">
            <v>18</v>
          </cell>
          <cell r="E49">
            <v>22</v>
          </cell>
        </row>
        <row r="50">
          <cell r="A50" t="str">
            <v>B07FCH27G9</v>
          </cell>
          <cell r="B50">
            <v>21</v>
          </cell>
          <cell r="C50">
            <v>20</v>
          </cell>
          <cell r="D50">
            <v>30</v>
          </cell>
          <cell r="E50">
            <v>22</v>
          </cell>
        </row>
        <row r="51">
          <cell r="A51" t="str">
            <v>B07FCJN97Z</v>
          </cell>
          <cell r="B51">
            <v>25</v>
          </cell>
          <cell r="C51">
            <v>17</v>
          </cell>
          <cell r="D51">
            <v>13</v>
          </cell>
          <cell r="E51">
            <v>7</v>
          </cell>
        </row>
        <row r="52">
          <cell r="A52" t="str">
            <v>B07FJQJ4XP</v>
          </cell>
          <cell r="B52">
            <v>18</v>
          </cell>
          <cell r="C52">
            <v>21</v>
          </cell>
          <cell r="D52">
            <v>27</v>
          </cell>
          <cell r="E52">
            <v>15</v>
          </cell>
        </row>
        <row r="53">
          <cell r="A53" t="str">
            <v>B075N1KNHS</v>
          </cell>
          <cell r="B53">
            <v>11</v>
          </cell>
          <cell r="C53">
            <v>5</v>
          </cell>
          <cell r="D53">
            <v>4</v>
          </cell>
          <cell r="E53">
            <v>1</v>
          </cell>
        </row>
        <row r="54">
          <cell r="A54" t="str">
            <v>B075N3N55V</v>
          </cell>
          <cell r="B54">
            <v>38</v>
          </cell>
          <cell r="C54">
            <v>50</v>
          </cell>
          <cell r="D54">
            <v>28</v>
          </cell>
          <cell r="E54">
            <v>23</v>
          </cell>
        </row>
        <row r="55">
          <cell r="A55" t="str">
            <v>B075QF56L3</v>
          </cell>
          <cell r="B55">
            <v>13</v>
          </cell>
          <cell r="C55">
            <v>5</v>
          </cell>
          <cell r="D55">
            <v>1</v>
          </cell>
          <cell r="E55">
            <v>12</v>
          </cell>
        </row>
        <row r="56">
          <cell r="A56" t="str">
            <v>B075QFMG4P</v>
          </cell>
          <cell r="B56">
            <v>12</v>
          </cell>
          <cell r="C56">
            <v>1</v>
          </cell>
          <cell r="D56">
            <v>5</v>
          </cell>
          <cell r="E56">
            <v>11</v>
          </cell>
        </row>
        <row r="57">
          <cell r="A57" t="str">
            <v>B075R92YGF</v>
          </cell>
          <cell r="B57">
            <v>5</v>
          </cell>
          <cell r="C57">
            <v>4</v>
          </cell>
          <cell r="D57">
            <v>5</v>
          </cell>
          <cell r="E57">
            <v>15</v>
          </cell>
        </row>
        <row r="58">
          <cell r="A58" t="str">
            <v>B076J2DG1R</v>
          </cell>
          <cell r="B58">
            <v>3</v>
          </cell>
          <cell r="C58">
            <v>4</v>
          </cell>
          <cell r="D58">
            <v>4</v>
          </cell>
          <cell r="E58">
            <v>3</v>
          </cell>
        </row>
        <row r="59">
          <cell r="A59" t="str">
            <v>B076J61QFW</v>
          </cell>
          <cell r="B59">
            <v>3</v>
          </cell>
          <cell r="C59">
            <v>3</v>
          </cell>
          <cell r="D59">
            <v>4</v>
          </cell>
          <cell r="E59">
            <v>3</v>
          </cell>
        </row>
        <row r="60">
          <cell r="A60" t="str">
            <v>B076J67W43</v>
          </cell>
          <cell r="B60">
            <v>1</v>
          </cell>
          <cell r="C60">
            <v>5</v>
          </cell>
          <cell r="D60">
            <v>7</v>
          </cell>
          <cell r="E60">
            <v>6</v>
          </cell>
        </row>
        <row r="61">
          <cell r="A61" t="str">
            <v>B076J8X97G</v>
          </cell>
          <cell r="B61">
            <v>10</v>
          </cell>
          <cell r="C61">
            <v>1</v>
          </cell>
          <cell r="D61">
            <v>9</v>
          </cell>
          <cell r="E61">
            <v>2</v>
          </cell>
        </row>
        <row r="62">
          <cell r="A62" t="str">
            <v>B076JBP5ZS</v>
          </cell>
          <cell r="B62">
            <v>7</v>
          </cell>
          <cell r="C62">
            <v>5</v>
          </cell>
          <cell r="D62">
            <v>7</v>
          </cell>
          <cell r="E62">
            <v>2</v>
          </cell>
        </row>
        <row r="63">
          <cell r="A63" t="str">
            <v>B076P7DYB9</v>
          </cell>
          <cell r="B63">
            <v>4</v>
          </cell>
          <cell r="C63">
            <v>1</v>
          </cell>
          <cell r="D63">
            <v>1</v>
          </cell>
          <cell r="E63">
            <v>2</v>
          </cell>
        </row>
        <row r="64">
          <cell r="A64" t="str">
            <v>B076P8MNVV</v>
          </cell>
          <cell r="B64">
            <v>8</v>
          </cell>
          <cell r="C64">
            <v>2</v>
          </cell>
          <cell r="D64">
            <v>3</v>
          </cell>
          <cell r="E64">
            <v>1</v>
          </cell>
        </row>
        <row r="65">
          <cell r="A65" t="str">
            <v>B076PCPP68</v>
          </cell>
          <cell r="B65">
            <v>7</v>
          </cell>
          <cell r="C65">
            <v>3</v>
          </cell>
          <cell r="D65">
            <v>5</v>
          </cell>
          <cell r="E65">
            <v>1</v>
          </cell>
        </row>
        <row r="66">
          <cell r="A66" t="str">
            <v>B0772934HW</v>
          </cell>
          <cell r="B66">
            <v>9</v>
          </cell>
          <cell r="C66">
            <v>7</v>
          </cell>
          <cell r="D66">
            <v>10</v>
          </cell>
          <cell r="E66">
            <v>1</v>
          </cell>
        </row>
        <row r="67">
          <cell r="A67" t="str">
            <v>B0772JJ5YH</v>
          </cell>
          <cell r="B67">
            <v>17</v>
          </cell>
          <cell r="C67">
            <v>13</v>
          </cell>
          <cell r="D67">
            <v>12</v>
          </cell>
          <cell r="E67">
            <v>1</v>
          </cell>
        </row>
        <row r="68">
          <cell r="A68" t="str">
            <v>B0776NWKMG</v>
          </cell>
          <cell r="B68">
            <v>11</v>
          </cell>
          <cell r="C68">
            <v>0</v>
          </cell>
          <cell r="D68">
            <v>5</v>
          </cell>
          <cell r="E68">
            <v>3</v>
          </cell>
        </row>
        <row r="69">
          <cell r="A69" t="str">
            <v>B0776Q1PQP</v>
          </cell>
          <cell r="B69">
            <v>8</v>
          </cell>
          <cell r="C69">
            <v>1</v>
          </cell>
          <cell r="D69">
            <v>6</v>
          </cell>
          <cell r="E69">
            <v>2</v>
          </cell>
        </row>
        <row r="70">
          <cell r="A70" t="str">
            <v>B0779QX5JV</v>
          </cell>
          <cell r="B70">
            <v>5</v>
          </cell>
          <cell r="C70">
            <v>4</v>
          </cell>
          <cell r="D70">
            <v>12</v>
          </cell>
          <cell r="E70">
            <v>4</v>
          </cell>
        </row>
        <row r="71">
          <cell r="A71" t="str">
            <v>B0779RQ56M</v>
          </cell>
          <cell r="B71">
            <v>8</v>
          </cell>
          <cell r="C71">
            <v>6</v>
          </cell>
          <cell r="D71">
            <v>8</v>
          </cell>
          <cell r="E71">
            <v>12</v>
          </cell>
        </row>
        <row r="72">
          <cell r="A72" t="str">
            <v>B0779RQHWK</v>
          </cell>
          <cell r="B72">
            <v>4</v>
          </cell>
          <cell r="C72">
            <v>4</v>
          </cell>
          <cell r="D72">
            <v>8</v>
          </cell>
          <cell r="E72">
            <v>3</v>
          </cell>
        </row>
        <row r="73">
          <cell r="A73" t="str">
            <v>B0779V1KQL</v>
          </cell>
          <cell r="B73">
            <v>16</v>
          </cell>
          <cell r="C73">
            <v>13</v>
          </cell>
          <cell r="D73">
            <v>11</v>
          </cell>
          <cell r="E73">
            <v>12</v>
          </cell>
        </row>
        <row r="74">
          <cell r="A74" t="str">
            <v>B0779W68GS</v>
          </cell>
          <cell r="B74">
            <v>9</v>
          </cell>
          <cell r="C74">
            <v>10</v>
          </cell>
          <cell r="D74">
            <v>10</v>
          </cell>
          <cell r="E74">
            <v>7</v>
          </cell>
        </row>
        <row r="75">
          <cell r="A75" t="str">
            <v>B0779W8MFG</v>
          </cell>
          <cell r="B75">
            <v>8</v>
          </cell>
          <cell r="C75">
            <v>5</v>
          </cell>
          <cell r="D75">
            <v>7</v>
          </cell>
          <cell r="E75">
            <v>4</v>
          </cell>
        </row>
        <row r="76">
          <cell r="A76" t="str">
            <v>B0779YRGR1</v>
          </cell>
          <cell r="B76">
            <v>7</v>
          </cell>
          <cell r="C76">
            <v>10</v>
          </cell>
          <cell r="D76">
            <v>6</v>
          </cell>
          <cell r="E76">
            <v>5</v>
          </cell>
        </row>
        <row r="77">
          <cell r="A77" t="str">
            <v>B0779Z2TS6</v>
          </cell>
          <cell r="B77">
            <v>8</v>
          </cell>
          <cell r="C77">
            <v>6</v>
          </cell>
          <cell r="D77">
            <v>9</v>
          </cell>
          <cell r="E77">
            <v>7</v>
          </cell>
        </row>
        <row r="78">
          <cell r="A78" t="str">
            <v>B077B51CYY</v>
          </cell>
          <cell r="B78">
            <v>11</v>
          </cell>
          <cell r="C78">
            <v>5</v>
          </cell>
          <cell r="D78">
            <v>6</v>
          </cell>
          <cell r="E78">
            <v>2</v>
          </cell>
        </row>
        <row r="79">
          <cell r="A79" t="str">
            <v>B077N289VS</v>
          </cell>
          <cell r="B79">
            <v>4</v>
          </cell>
          <cell r="C79">
            <v>4</v>
          </cell>
          <cell r="D79">
            <v>3</v>
          </cell>
          <cell r="E79">
            <v>1</v>
          </cell>
        </row>
        <row r="80">
          <cell r="A80" t="str">
            <v>B077N6WYM2</v>
          </cell>
          <cell r="B80">
            <v>4</v>
          </cell>
          <cell r="C80">
            <v>3</v>
          </cell>
          <cell r="D80">
            <v>4</v>
          </cell>
          <cell r="E80">
            <v>2</v>
          </cell>
        </row>
        <row r="81">
          <cell r="A81" t="str">
            <v>B077N9TG25</v>
          </cell>
          <cell r="B81">
            <v>5</v>
          </cell>
          <cell r="C81">
            <v>3</v>
          </cell>
          <cell r="D81">
            <v>2</v>
          </cell>
          <cell r="E81">
            <v>3</v>
          </cell>
        </row>
        <row r="82">
          <cell r="A82" t="str">
            <v>B077NC4276</v>
          </cell>
          <cell r="B82">
            <v>2</v>
          </cell>
          <cell r="C82">
            <v>0</v>
          </cell>
          <cell r="D82">
            <v>2</v>
          </cell>
          <cell r="E82">
            <v>1</v>
          </cell>
        </row>
        <row r="83">
          <cell r="A83" t="str">
            <v>B077NCHFV2</v>
          </cell>
          <cell r="B83">
            <v>5</v>
          </cell>
          <cell r="C83">
            <v>3</v>
          </cell>
          <cell r="D83">
            <v>3</v>
          </cell>
          <cell r="E83">
            <v>2</v>
          </cell>
        </row>
        <row r="84">
          <cell r="A84" t="str">
            <v>B077NCS1K2</v>
          </cell>
          <cell r="B84">
            <v>1</v>
          </cell>
          <cell r="C84">
            <v>1</v>
          </cell>
          <cell r="D84">
            <v>1</v>
          </cell>
          <cell r="E84">
            <v>2</v>
          </cell>
        </row>
        <row r="85">
          <cell r="A85" t="str">
            <v>B077NDNLBD</v>
          </cell>
          <cell r="B85">
            <v>5</v>
          </cell>
          <cell r="C85">
            <v>3</v>
          </cell>
          <cell r="D85">
            <v>4</v>
          </cell>
          <cell r="E85">
            <v>3</v>
          </cell>
        </row>
        <row r="86">
          <cell r="A86" t="str">
            <v>B077NVQNC9</v>
          </cell>
          <cell r="B86">
            <v>13</v>
          </cell>
          <cell r="C86">
            <v>11</v>
          </cell>
          <cell r="D86">
            <v>7</v>
          </cell>
          <cell r="E86">
            <v>8</v>
          </cell>
        </row>
        <row r="87">
          <cell r="A87" t="str">
            <v>B077NZLTQX</v>
          </cell>
          <cell r="B87">
            <v>8</v>
          </cell>
          <cell r="C87">
            <v>9</v>
          </cell>
          <cell r="D87">
            <v>8</v>
          </cell>
          <cell r="E87">
            <v>7</v>
          </cell>
        </row>
        <row r="88">
          <cell r="A88" t="str">
            <v>B077SSC1TH</v>
          </cell>
          <cell r="B88">
            <v>5</v>
          </cell>
          <cell r="C88">
            <v>4</v>
          </cell>
          <cell r="D88">
            <v>3</v>
          </cell>
          <cell r="E88">
            <v>2</v>
          </cell>
        </row>
        <row r="89">
          <cell r="A89" t="str">
            <v>B077STZV9Y</v>
          </cell>
          <cell r="B89">
            <v>4</v>
          </cell>
          <cell r="C89">
            <v>4</v>
          </cell>
          <cell r="D89">
            <v>3</v>
          </cell>
          <cell r="E89">
            <v>7</v>
          </cell>
        </row>
        <row r="90">
          <cell r="A90" t="str">
            <v>B077X8RLVJ</v>
          </cell>
          <cell r="B90">
            <v>11</v>
          </cell>
          <cell r="C90">
            <v>17</v>
          </cell>
          <cell r="D90">
            <v>3</v>
          </cell>
          <cell r="E90">
            <v>2</v>
          </cell>
        </row>
        <row r="91">
          <cell r="A91" t="str">
            <v>B077XB44XX</v>
          </cell>
          <cell r="B91">
            <v>13</v>
          </cell>
          <cell r="C91">
            <v>17</v>
          </cell>
          <cell r="D91">
            <v>2</v>
          </cell>
          <cell r="E91">
            <v>3</v>
          </cell>
        </row>
        <row r="92">
          <cell r="A92" t="str">
            <v>B077XNFWVP</v>
          </cell>
          <cell r="B92">
            <v>3</v>
          </cell>
          <cell r="C92">
            <v>7</v>
          </cell>
          <cell r="D92">
            <v>3</v>
          </cell>
          <cell r="E92">
            <v>1</v>
          </cell>
        </row>
        <row r="93">
          <cell r="A93" t="str">
            <v>B077XNK3T5</v>
          </cell>
          <cell r="B93">
            <v>3</v>
          </cell>
          <cell r="C93">
            <v>8</v>
          </cell>
          <cell r="D93">
            <v>3</v>
          </cell>
          <cell r="E93">
            <v>1</v>
          </cell>
        </row>
        <row r="94">
          <cell r="A94" t="str">
            <v>B077XNM9W2</v>
          </cell>
          <cell r="B94">
            <v>12</v>
          </cell>
          <cell r="C94">
            <v>9</v>
          </cell>
          <cell r="D94">
            <v>2</v>
          </cell>
          <cell r="E94">
            <v>2</v>
          </cell>
        </row>
        <row r="95">
          <cell r="A95" t="str">
            <v>B077XNMC3N</v>
          </cell>
          <cell r="B95">
            <v>8</v>
          </cell>
          <cell r="C95">
            <v>55</v>
          </cell>
          <cell r="D95">
            <v>3</v>
          </cell>
          <cell r="E95">
            <v>1</v>
          </cell>
        </row>
        <row r="96">
          <cell r="A96" t="str">
            <v>B077XQ2P1L</v>
          </cell>
          <cell r="B96">
            <v>4</v>
          </cell>
          <cell r="C96">
            <v>9</v>
          </cell>
          <cell r="D96">
            <v>4</v>
          </cell>
          <cell r="E96">
            <v>1</v>
          </cell>
        </row>
        <row r="97">
          <cell r="A97" t="str">
            <v>B077XQ5D11</v>
          </cell>
          <cell r="B97">
            <v>7</v>
          </cell>
          <cell r="C97">
            <v>48</v>
          </cell>
          <cell r="D97">
            <v>4</v>
          </cell>
          <cell r="E97">
            <v>2</v>
          </cell>
        </row>
        <row r="98">
          <cell r="A98" t="str">
            <v>B077XQ78NB</v>
          </cell>
          <cell r="B98">
            <v>6</v>
          </cell>
          <cell r="C98">
            <v>11</v>
          </cell>
          <cell r="D98">
            <v>5</v>
          </cell>
          <cell r="E98">
            <v>2</v>
          </cell>
        </row>
        <row r="99">
          <cell r="A99" t="str">
            <v>B077XQ8ZN5</v>
          </cell>
          <cell r="B99">
            <v>19</v>
          </cell>
          <cell r="C99">
            <v>7</v>
          </cell>
          <cell r="D99">
            <v>5</v>
          </cell>
          <cell r="E99">
            <v>2</v>
          </cell>
        </row>
        <row r="100">
          <cell r="A100" t="str">
            <v>B077XRSRNP</v>
          </cell>
          <cell r="B100">
            <v>5</v>
          </cell>
          <cell r="C100">
            <v>10</v>
          </cell>
          <cell r="D100">
            <v>5</v>
          </cell>
          <cell r="E100">
            <v>3</v>
          </cell>
        </row>
        <row r="101">
          <cell r="A101" t="str">
            <v>B077XRVLTN</v>
          </cell>
          <cell r="B101">
            <v>1</v>
          </cell>
          <cell r="C101">
            <v>3</v>
          </cell>
          <cell r="D101">
            <v>5</v>
          </cell>
          <cell r="E101">
            <v>3</v>
          </cell>
        </row>
        <row r="102">
          <cell r="A102" t="str">
            <v>B077XRZGV1</v>
          </cell>
          <cell r="B102">
            <v>7</v>
          </cell>
          <cell r="C102">
            <v>8</v>
          </cell>
          <cell r="D102">
            <v>5</v>
          </cell>
          <cell r="E102">
            <v>3</v>
          </cell>
        </row>
        <row r="103">
          <cell r="A103" t="str">
            <v>B077XSLDHX</v>
          </cell>
          <cell r="B103">
            <v>21</v>
          </cell>
          <cell r="C103">
            <v>3</v>
          </cell>
          <cell r="D103">
            <v>4</v>
          </cell>
          <cell r="E103">
            <v>1</v>
          </cell>
        </row>
        <row r="104">
          <cell r="A104" t="str">
            <v>B077XSLVZ5</v>
          </cell>
          <cell r="B104">
            <v>5</v>
          </cell>
          <cell r="C104">
            <v>7</v>
          </cell>
          <cell r="D104">
            <v>7</v>
          </cell>
          <cell r="E104">
            <v>5</v>
          </cell>
        </row>
        <row r="105">
          <cell r="A105" t="str">
            <v>B077XSTXHF</v>
          </cell>
          <cell r="B105">
            <v>19</v>
          </cell>
          <cell r="C105">
            <v>5</v>
          </cell>
          <cell r="D105">
            <v>5</v>
          </cell>
          <cell r="E105">
            <v>4</v>
          </cell>
        </row>
        <row r="106">
          <cell r="A106" t="str">
            <v>B077XSTXHJ</v>
          </cell>
          <cell r="B106">
            <v>14</v>
          </cell>
          <cell r="C106">
            <v>5</v>
          </cell>
          <cell r="D106">
            <v>5</v>
          </cell>
          <cell r="E106">
            <v>2</v>
          </cell>
        </row>
        <row r="107">
          <cell r="A107" t="str">
            <v>B077XSWR8G</v>
          </cell>
          <cell r="B107">
            <v>6</v>
          </cell>
          <cell r="C107">
            <v>9</v>
          </cell>
          <cell r="D107">
            <v>5</v>
          </cell>
          <cell r="E107">
            <v>2</v>
          </cell>
        </row>
        <row r="108">
          <cell r="A108" t="str">
            <v>B077XSZ4FT</v>
          </cell>
          <cell r="B108">
            <v>102</v>
          </cell>
          <cell r="C108">
            <v>6</v>
          </cell>
          <cell r="D108">
            <v>4</v>
          </cell>
          <cell r="E108">
            <v>3</v>
          </cell>
        </row>
        <row r="109">
          <cell r="A109" t="str">
            <v>B077XV49XF</v>
          </cell>
          <cell r="B109">
            <v>4</v>
          </cell>
          <cell r="C109">
            <v>13</v>
          </cell>
          <cell r="D109">
            <v>4</v>
          </cell>
          <cell r="E109">
            <v>4</v>
          </cell>
        </row>
        <row r="110">
          <cell r="A110" t="str">
            <v>B077XV7BG7</v>
          </cell>
          <cell r="B110">
            <v>5</v>
          </cell>
          <cell r="C110">
            <v>4</v>
          </cell>
          <cell r="D110">
            <v>4</v>
          </cell>
          <cell r="E110">
            <v>4</v>
          </cell>
        </row>
        <row r="111">
          <cell r="A111" t="str">
            <v>B077XVBFB9</v>
          </cell>
          <cell r="B111">
            <v>5</v>
          </cell>
          <cell r="C111">
            <v>6</v>
          </cell>
          <cell r="D111">
            <v>1</v>
          </cell>
          <cell r="E111">
            <v>5</v>
          </cell>
        </row>
        <row r="112">
          <cell r="A112" t="str">
            <v>B07842F5P9</v>
          </cell>
          <cell r="B112">
            <v>6</v>
          </cell>
          <cell r="C112">
            <v>10</v>
          </cell>
          <cell r="D112">
            <v>3</v>
          </cell>
          <cell r="E112">
            <v>5</v>
          </cell>
        </row>
        <row r="113">
          <cell r="A113" t="str">
            <v>B0784WBNX9</v>
          </cell>
          <cell r="B113">
            <v>5</v>
          </cell>
          <cell r="C113">
            <v>4</v>
          </cell>
          <cell r="D113">
            <v>4</v>
          </cell>
          <cell r="E113">
            <v>4</v>
          </cell>
        </row>
        <row r="114">
          <cell r="A114" t="str">
            <v>B0784WC6TX</v>
          </cell>
          <cell r="B114">
            <v>5</v>
          </cell>
          <cell r="C114">
            <v>3</v>
          </cell>
          <cell r="D114">
            <v>5</v>
          </cell>
          <cell r="E114">
            <v>5</v>
          </cell>
        </row>
        <row r="115">
          <cell r="A115" t="str">
            <v>B0785GYYL8</v>
          </cell>
          <cell r="B115">
            <v>13</v>
          </cell>
          <cell r="C115">
            <v>21</v>
          </cell>
          <cell r="D115">
            <v>3</v>
          </cell>
          <cell r="E115">
            <v>5</v>
          </cell>
        </row>
        <row r="116">
          <cell r="A116" t="str">
            <v>B0785H4FV1</v>
          </cell>
          <cell r="B116">
            <v>13</v>
          </cell>
          <cell r="C116">
            <v>5</v>
          </cell>
          <cell r="D116">
            <v>2</v>
          </cell>
          <cell r="E116">
            <v>3</v>
          </cell>
        </row>
        <row r="117">
          <cell r="A117" t="str">
            <v>B0785HJVGG</v>
          </cell>
          <cell r="B117">
            <v>0</v>
          </cell>
          <cell r="C117">
            <v>6</v>
          </cell>
          <cell r="D117">
            <v>4</v>
          </cell>
          <cell r="E117">
            <v>5</v>
          </cell>
        </row>
        <row r="118">
          <cell r="A118" t="str">
            <v>B0785HJVGH</v>
          </cell>
          <cell r="B118">
            <v>8</v>
          </cell>
          <cell r="C118">
            <v>14</v>
          </cell>
          <cell r="D118">
            <v>3</v>
          </cell>
          <cell r="E118">
            <v>7</v>
          </cell>
        </row>
        <row r="119">
          <cell r="A119" t="str">
            <v>B0787XKBRG</v>
          </cell>
          <cell r="B119">
            <v>7</v>
          </cell>
          <cell r="C119">
            <v>13</v>
          </cell>
          <cell r="D119">
            <v>5</v>
          </cell>
          <cell r="E119">
            <v>13</v>
          </cell>
        </row>
        <row r="120">
          <cell r="A120" t="str">
            <v>B0788M5K8H</v>
          </cell>
          <cell r="B120">
            <v>10</v>
          </cell>
          <cell r="C120">
            <v>7</v>
          </cell>
          <cell r="D120">
            <v>17</v>
          </cell>
          <cell r="E120">
            <v>13</v>
          </cell>
        </row>
        <row r="121">
          <cell r="A121" t="str">
            <v>B078955T7Y</v>
          </cell>
          <cell r="B121">
            <v>15</v>
          </cell>
          <cell r="C121">
            <v>7</v>
          </cell>
          <cell r="D121">
            <v>6</v>
          </cell>
          <cell r="E121">
            <v>3</v>
          </cell>
        </row>
        <row r="122">
          <cell r="A122" t="str">
            <v>B078C7BGZR</v>
          </cell>
          <cell r="B122">
            <v>3</v>
          </cell>
          <cell r="C122">
            <v>1</v>
          </cell>
          <cell r="D122">
            <v>2</v>
          </cell>
          <cell r="E122">
            <v>5</v>
          </cell>
        </row>
        <row r="123">
          <cell r="A123" t="str">
            <v>B078H85Y7H</v>
          </cell>
          <cell r="B123">
            <v>0</v>
          </cell>
          <cell r="C123">
            <v>4</v>
          </cell>
          <cell r="D123">
            <v>6</v>
          </cell>
          <cell r="E123">
            <v>4</v>
          </cell>
        </row>
        <row r="124">
          <cell r="A124" t="str">
            <v>B078HGJSND</v>
          </cell>
          <cell r="B124">
            <v>2</v>
          </cell>
          <cell r="C124">
            <v>1</v>
          </cell>
          <cell r="D124">
            <v>3</v>
          </cell>
          <cell r="E124">
            <v>2</v>
          </cell>
        </row>
        <row r="125">
          <cell r="A125" t="str">
            <v>B078JHC2WQ</v>
          </cell>
          <cell r="B125">
            <v>18</v>
          </cell>
          <cell r="C125">
            <v>15</v>
          </cell>
          <cell r="D125">
            <v>14</v>
          </cell>
          <cell r="E125">
            <v>14</v>
          </cell>
        </row>
        <row r="126">
          <cell r="A126" t="str">
            <v>B078JNY8M1</v>
          </cell>
          <cell r="B126">
            <v>19</v>
          </cell>
          <cell r="C126">
            <v>14</v>
          </cell>
          <cell r="D126">
            <v>14</v>
          </cell>
          <cell r="E126">
            <v>11</v>
          </cell>
        </row>
        <row r="127">
          <cell r="A127" t="str">
            <v>B078JQ7B7M</v>
          </cell>
          <cell r="B127">
            <v>15</v>
          </cell>
          <cell r="C127">
            <v>16</v>
          </cell>
          <cell r="D127">
            <v>9</v>
          </cell>
          <cell r="E127">
            <v>5</v>
          </cell>
        </row>
        <row r="128">
          <cell r="A128" t="str">
            <v>B078JQVN4Q</v>
          </cell>
          <cell r="B128">
            <v>16</v>
          </cell>
          <cell r="C128">
            <v>11</v>
          </cell>
          <cell r="D128">
            <v>8</v>
          </cell>
          <cell r="E128">
            <v>6</v>
          </cell>
        </row>
        <row r="129">
          <cell r="A129" t="str">
            <v>B078MFHH1V</v>
          </cell>
          <cell r="B129">
            <v>5</v>
          </cell>
          <cell r="C129">
            <v>1</v>
          </cell>
          <cell r="D129">
            <v>2</v>
          </cell>
          <cell r="E129">
            <v>3</v>
          </cell>
        </row>
        <row r="130">
          <cell r="A130" t="str">
            <v>B078MFPDLS</v>
          </cell>
          <cell r="B130">
            <v>5</v>
          </cell>
          <cell r="C130">
            <v>1</v>
          </cell>
          <cell r="D130">
            <v>2</v>
          </cell>
          <cell r="E130">
            <v>2</v>
          </cell>
        </row>
        <row r="131">
          <cell r="A131" t="str">
            <v>B078MFWG5N</v>
          </cell>
          <cell r="B131">
            <v>5</v>
          </cell>
          <cell r="C131">
            <v>1</v>
          </cell>
          <cell r="D131">
            <v>2</v>
          </cell>
          <cell r="E131">
            <v>1</v>
          </cell>
        </row>
        <row r="132">
          <cell r="A132" t="str">
            <v>B078MG4VLQ</v>
          </cell>
          <cell r="B132">
            <v>5</v>
          </cell>
          <cell r="C132">
            <v>1</v>
          </cell>
          <cell r="D132">
            <v>3</v>
          </cell>
          <cell r="E132">
            <v>1</v>
          </cell>
        </row>
        <row r="133">
          <cell r="A133" t="str">
            <v>B078MKNJN1</v>
          </cell>
          <cell r="B133">
            <v>8</v>
          </cell>
          <cell r="C133">
            <v>2</v>
          </cell>
          <cell r="D133">
            <v>3</v>
          </cell>
          <cell r="E133">
            <v>1</v>
          </cell>
        </row>
        <row r="134">
          <cell r="A134" t="str">
            <v>B078ML71RF</v>
          </cell>
          <cell r="B134">
            <v>8</v>
          </cell>
          <cell r="C134">
            <v>2</v>
          </cell>
          <cell r="D134">
            <v>3</v>
          </cell>
          <cell r="E134">
            <v>2</v>
          </cell>
        </row>
        <row r="135">
          <cell r="A135" t="str">
            <v>B078MLCPHX</v>
          </cell>
          <cell r="B135">
            <v>7</v>
          </cell>
          <cell r="C135">
            <v>3</v>
          </cell>
          <cell r="D135">
            <v>3</v>
          </cell>
          <cell r="E135">
            <v>1</v>
          </cell>
        </row>
        <row r="136">
          <cell r="A136" t="str">
            <v>B078MLPP7Z</v>
          </cell>
          <cell r="B136">
            <v>6</v>
          </cell>
          <cell r="C136">
            <v>2</v>
          </cell>
          <cell r="D136">
            <v>3</v>
          </cell>
          <cell r="E136">
            <v>1</v>
          </cell>
        </row>
        <row r="137">
          <cell r="A137" t="str">
            <v>B078MLS36P</v>
          </cell>
          <cell r="B137">
            <v>4</v>
          </cell>
          <cell r="C137">
            <v>3</v>
          </cell>
          <cell r="D137">
            <v>3</v>
          </cell>
          <cell r="E137">
            <v>3</v>
          </cell>
        </row>
        <row r="138">
          <cell r="A138" t="str">
            <v>B078MLVDZV</v>
          </cell>
          <cell r="B138">
            <v>3</v>
          </cell>
          <cell r="C138">
            <v>3</v>
          </cell>
          <cell r="D138">
            <v>0</v>
          </cell>
          <cell r="E138">
            <v>3</v>
          </cell>
        </row>
        <row r="139">
          <cell r="A139" t="str">
            <v>B078MLVF8D</v>
          </cell>
          <cell r="B139">
            <v>3</v>
          </cell>
          <cell r="C139">
            <v>3</v>
          </cell>
          <cell r="D139">
            <v>1</v>
          </cell>
          <cell r="E139">
            <v>3</v>
          </cell>
        </row>
        <row r="140">
          <cell r="A140" t="str">
            <v>B078MLVFZH</v>
          </cell>
          <cell r="B140">
            <v>3</v>
          </cell>
          <cell r="C140">
            <v>1</v>
          </cell>
          <cell r="D140">
            <v>4</v>
          </cell>
          <cell r="E140">
            <v>2</v>
          </cell>
        </row>
        <row r="141">
          <cell r="A141" t="str">
            <v>B078MMFTHW</v>
          </cell>
          <cell r="B141">
            <v>2</v>
          </cell>
          <cell r="C141">
            <v>1</v>
          </cell>
          <cell r="D141">
            <v>4</v>
          </cell>
          <cell r="E141">
            <v>3</v>
          </cell>
        </row>
        <row r="142">
          <cell r="A142" t="str">
            <v>B078MMXYGL</v>
          </cell>
          <cell r="B142">
            <v>4</v>
          </cell>
          <cell r="C142">
            <v>1</v>
          </cell>
          <cell r="D142">
            <v>3</v>
          </cell>
          <cell r="E142">
            <v>8</v>
          </cell>
        </row>
        <row r="143">
          <cell r="A143" t="str">
            <v>B078MNG1TG</v>
          </cell>
          <cell r="B143">
            <v>2</v>
          </cell>
          <cell r="C143">
            <v>1</v>
          </cell>
          <cell r="D143">
            <v>2</v>
          </cell>
          <cell r="E143">
            <v>3</v>
          </cell>
        </row>
        <row r="144">
          <cell r="A144" t="str">
            <v>B078MNGZXT</v>
          </cell>
          <cell r="B144">
            <v>5</v>
          </cell>
          <cell r="C144">
            <v>2</v>
          </cell>
          <cell r="D144">
            <v>2</v>
          </cell>
          <cell r="E144">
            <v>3</v>
          </cell>
        </row>
        <row r="145">
          <cell r="A145" t="str">
            <v>B078MNWK8Y</v>
          </cell>
          <cell r="B145">
            <v>4</v>
          </cell>
          <cell r="C145">
            <v>1</v>
          </cell>
          <cell r="D145">
            <v>2</v>
          </cell>
          <cell r="E145">
            <v>3</v>
          </cell>
        </row>
        <row r="146">
          <cell r="A146" t="str">
            <v>B078MP2N3B</v>
          </cell>
          <cell r="B146">
            <v>3</v>
          </cell>
          <cell r="C146">
            <v>2</v>
          </cell>
          <cell r="D146">
            <v>5</v>
          </cell>
          <cell r="E146">
            <v>3</v>
          </cell>
        </row>
        <row r="147">
          <cell r="A147" t="str">
            <v>B078MPBBKH</v>
          </cell>
          <cell r="B147">
            <v>1</v>
          </cell>
          <cell r="C147">
            <v>1</v>
          </cell>
          <cell r="D147">
            <v>1</v>
          </cell>
          <cell r="E147">
            <v>3</v>
          </cell>
        </row>
        <row r="148">
          <cell r="A148" t="str">
            <v>B078MPPY1Z</v>
          </cell>
          <cell r="B148">
            <v>1</v>
          </cell>
          <cell r="C148">
            <v>1</v>
          </cell>
          <cell r="D148">
            <v>1</v>
          </cell>
          <cell r="E148">
            <v>3</v>
          </cell>
        </row>
        <row r="149">
          <cell r="A149" t="str">
            <v>B078MQZ7XF</v>
          </cell>
          <cell r="B149">
            <v>2</v>
          </cell>
          <cell r="C149">
            <v>2</v>
          </cell>
          <cell r="D149">
            <v>8</v>
          </cell>
          <cell r="E149">
            <v>4</v>
          </cell>
        </row>
        <row r="150">
          <cell r="A150" t="str">
            <v>B078MRF99V</v>
          </cell>
          <cell r="B150">
            <v>1</v>
          </cell>
          <cell r="C150">
            <v>0</v>
          </cell>
          <cell r="D150">
            <v>4</v>
          </cell>
          <cell r="E150">
            <v>4</v>
          </cell>
        </row>
        <row r="151">
          <cell r="A151" t="str">
            <v>B07BRL2Y1L</v>
          </cell>
          <cell r="B151">
            <v>2</v>
          </cell>
          <cell r="C151">
            <v>2</v>
          </cell>
          <cell r="D151">
            <v>4</v>
          </cell>
          <cell r="E151">
            <v>2</v>
          </cell>
        </row>
        <row r="152">
          <cell r="A152" t="str">
            <v>B07BV8R441</v>
          </cell>
          <cell r="B152">
            <v>17</v>
          </cell>
          <cell r="C152">
            <v>13</v>
          </cell>
          <cell r="D152">
            <v>13</v>
          </cell>
          <cell r="E152">
            <v>7</v>
          </cell>
        </row>
        <row r="153">
          <cell r="A153" t="str">
            <v>B07BVL6R55</v>
          </cell>
          <cell r="B153">
            <v>8</v>
          </cell>
          <cell r="C153">
            <v>6</v>
          </cell>
          <cell r="D153">
            <v>9</v>
          </cell>
          <cell r="E153">
            <v>5</v>
          </cell>
        </row>
        <row r="154">
          <cell r="A154" t="str">
            <v>B07BVLBRWM</v>
          </cell>
          <cell r="B154">
            <v>8</v>
          </cell>
          <cell r="C154">
            <v>6</v>
          </cell>
          <cell r="D154">
            <v>5</v>
          </cell>
          <cell r="E154">
            <v>6</v>
          </cell>
        </row>
        <row r="155">
          <cell r="A155" t="str">
            <v>B07BVMRJRX</v>
          </cell>
          <cell r="B155">
            <v>7</v>
          </cell>
          <cell r="C155">
            <v>4</v>
          </cell>
          <cell r="D155">
            <v>4</v>
          </cell>
          <cell r="E155">
            <v>4</v>
          </cell>
        </row>
        <row r="156">
          <cell r="A156" t="str">
            <v>B07CVDJ9S8</v>
          </cell>
          <cell r="B156">
            <v>4</v>
          </cell>
          <cell r="C156">
            <v>4</v>
          </cell>
          <cell r="D156">
            <v>4</v>
          </cell>
          <cell r="E156">
            <v>2</v>
          </cell>
        </row>
        <row r="157">
          <cell r="A157" t="str">
            <v>B07CVDVW47</v>
          </cell>
          <cell r="B157">
            <v>3</v>
          </cell>
          <cell r="C157">
            <v>4</v>
          </cell>
          <cell r="D157">
            <v>3</v>
          </cell>
          <cell r="E157">
            <v>4</v>
          </cell>
        </row>
        <row r="158">
          <cell r="A158" t="str">
            <v>B07CVDZCBW</v>
          </cell>
          <cell r="B158">
            <v>2</v>
          </cell>
          <cell r="C158">
            <v>3</v>
          </cell>
          <cell r="D158">
            <v>2</v>
          </cell>
          <cell r="E158">
            <v>3</v>
          </cell>
        </row>
        <row r="159">
          <cell r="A159" t="str">
            <v>B07CVGZCHZ</v>
          </cell>
          <cell r="B159">
            <v>3</v>
          </cell>
          <cell r="C159">
            <v>3</v>
          </cell>
          <cell r="D159">
            <v>2</v>
          </cell>
          <cell r="E159">
            <v>3</v>
          </cell>
        </row>
        <row r="160">
          <cell r="A160" t="str">
            <v>B07CXR59ZM</v>
          </cell>
          <cell r="B160">
            <v>2</v>
          </cell>
          <cell r="C160">
            <v>0</v>
          </cell>
          <cell r="D160">
            <v>2</v>
          </cell>
          <cell r="E160">
            <v>1</v>
          </cell>
        </row>
        <row r="161">
          <cell r="A161" t="str">
            <v>B07D4FQCYC</v>
          </cell>
          <cell r="B161">
            <v>1</v>
          </cell>
          <cell r="C161">
            <v>3</v>
          </cell>
          <cell r="D161">
            <v>4</v>
          </cell>
          <cell r="E161">
            <v>4</v>
          </cell>
        </row>
        <row r="162">
          <cell r="A162" t="str">
            <v>B07D4FV711</v>
          </cell>
          <cell r="B162">
            <v>1</v>
          </cell>
          <cell r="C162">
            <v>2</v>
          </cell>
          <cell r="D162">
            <v>3</v>
          </cell>
          <cell r="E162">
            <v>4</v>
          </cell>
        </row>
        <row r="163">
          <cell r="A163" t="str">
            <v>B07D4GBBQB</v>
          </cell>
          <cell r="B163">
            <v>3</v>
          </cell>
          <cell r="C163">
            <v>1</v>
          </cell>
          <cell r="D163">
            <v>3</v>
          </cell>
          <cell r="E163">
            <v>5</v>
          </cell>
        </row>
        <row r="164">
          <cell r="A164" t="str">
            <v>B07D4GSD2Q</v>
          </cell>
          <cell r="B164">
            <v>2</v>
          </cell>
          <cell r="C164">
            <v>3</v>
          </cell>
          <cell r="D164">
            <v>7</v>
          </cell>
          <cell r="E164">
            <v>3</v>
          </cell>
        </row>
        <row r="165">
          <cell r="A165" t="str">
            <v>B07D4GT945</v>
          </cell>
          <cell r="B165">
            <v>3</v>
          </cell>
          <cell r="C165">
            <v>4</v>
          </cell>
          <cell r="D165">
            <v>11</v>
          </cell>
          <cell r="E165">
            <v>6</v>
          </cell>
        </row>
        <row r="166">
          <cell r="A166" t="str">
            <v>B07DK58WLF</v>
          </cell>
          <cell r="B166">
            <v>12</v>
          </cell>
          <cell r="C166">
            <v>1</v>
          </cell>
          <cell r="D166">
            <v>1</v>
          </cell>
          <cell r="E166">
            <v>2</v>
          </cell>
        </row>
        <row r="167">
          <cell r="A167" t="str">
            <v>B07DLTWN39</v>
          </cell>
          <cell r="B167">
            <v>6</v>
          </cell>
          <cell r="C167">
            <v>11</v>
          </cell>
          <cell r="D167">
            <v>8</v>
          </cell>
          <cell r="E167">
            <v>1</v>
          </cell>
        </row>
        <row r="168">
          <cell r="A168" t="str">
            <v>B07DQL77MR</v>
          </cell>
          <cell r="B168">
            <v>23</v>
          </cell>
          <cell r="C168">
            <v>16</v>
          </cell>
          <cell r="D168">
            <v>17</v>
          </cell>
          <cell r="E168">
            <v>55</v>
          </cell>
        </row>
        <row r="169">
          <cell r="A169" t="str">
            <v>B07DQLKY6N</v>
          </cell>
          <cell r="B169">
            <v>41</v>
          </cell>
          <cell r="C169">
            <v>20</v>
          </cell>
          <cell r="D169">
            <v>12</v>
          </cell>
          <cell r="E169">
            <v>10</v>
          </cell>
        </row>
        <row r="170">
          <cell r="A170" t="str">
            <v>B07DQLKY6T</v>
          </cell>
          <cell r="B170">
            <v>8</v>
          </cell>
          <cell r="C170">
            <v>15</v>
          </cell>
          <cell r="D170">
            <v>18</v>
          </cell>
          <cell r="E170">
            <v>8</v>
          </cell>
        </row>
        <row r="171">
          <cell r="A171" t="str">
            <v>B07DQLVNSH</v>
          </cell>
          <cell r="B171">
            <v>6</v>
          </cell>
          <cell r="C171">
            <v>5</v>
          </cell>
          <cell r="D171">
            <v>11</v>
          </cell>
          <cell r="E171">
            <v>2</v>
          </cell>
        </row>
        <row r="172">
          <cell r="A172" t="str">
            <v>B07DQMJRJG</v>
          </cell>
          <cell r="B172">
            <v>9</v>
          </cell>
          <cell r="C172">
            <v>6</v>
          </cell>
          <cell r="D172">
            <v>6</v>
          </cell>
          <cell r="E172">
            <v>1</v>
          </cell>
        </row>
        <row r="173">
          <cell r="A173" t="str">
            <v>B07DQMW1YX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</row>
        <row r="174">
          <cell r="A174" t="str">
            <v>B07DQN92XD</v>
          </cell>
          <cell r="B174">
            <v>31</v>
          </cell>
          <cell r="C174">
            <v>23</v>
          </cell>
          <cell r="D174">
            <v>31</v>
          </cell>
          <cell r="E174">
            <v>13</v>
          </cell>
        </row>
        <row r="175">
          <cell r="A175" t="str">
            <v>B07DQP8MPM</v>
          </cell>
          <cell r="B175">
            <v>14</v>
          </cell>
          <cell r="C175">
            <v>10</v>
          </cell>
          <cell r="D175">
            <v>18</v>
          </cell>
          <cell r="E175">
            <v>6</v>
          </cell>
        </row>
        <row r="176">
          <cell r="A176" t="str">
            <v>B07DQPGWNM</v>
          </cell>
          <cell r="B176">
            <v>7</v>
          </cell>
          <cell r="C176">
            <v>11</v>
          </cell>
          <cell r="D176">
            <v>6</v>
          </cell>
          <cell r="E176">
            <v>7</v>
          </cell>
        </row>
        <row r="177">
          <cell r="A177" t="str">
            <v>B07DQS5YP2</v>
          </cell>
          <cell r="B177">
            <v>8</v>
          </cell>
          <cell r="C177">
            <v>12</v>
          </cell>
          <cell r="D177">
            <v>6</v>
          </cell>
          <cell r="E177">
            <v>9</v>
          </cell>
        </row>
        <row r="178">
          <cell r="A178" t="str">
            <v>B07DVGSHDP</v>
          </cell>
          <cell r="B178">
            <v>86</v>
          </cell>
          <cell r="C178">
            <v>82</v>
          </cell>
          <cell r="D178">
            <v>25</v>
          </cell>
          <cell r="E178">
            <v>16</v>
          </cell>
        </row>
        <row r="179">
          <cell r="A179" t="str">
            <v>B07DVHDT1N</v>
          </cell>
          <cell r="B179">
            <v>14</v>
          </cell>
          <cell r="C179">
            <v>19</v>
          </cell>
          <cell r="D179">
            <v>13</v>
          </cell>
          <cell r="E179">
            <v>9</v>
          </cell>
        </row>
        <row r="180">
          <cell r="A180" t="str">
            <v>B07DVJW5HD</v>
          </cell>
          <cell r="B180">
            <v>18</v>
          </cell>
          <cell r="C180">
            <v>7</v>
          </cell>
          <cell r="D180">
            <v>11</v>
          </cell>
          <cell r="E180">
            <v>14</v>
          </cell>
        </row>
        <row r="181">
          <cell r="A181" t="str">
            <v>B07DVK765T</v>
          </cell>
          <cell r="B181">
            <v>15</v>
          </cell>
          <cell r="C181">
            <v>16</v>
          </cell>
          <cell r="D181">
            <v>8</v>
          </cell>
          <cell r="E181">
            <v>5</v>
          </cell>
        </row>
        <row r="182">
          <cell r="A182" t="str">
            <v>B07DVLSHLK</v>
          </cell>
          <cell r="B182">
            <v>19</v>
          </cell>
          <cell r="C182">
            <v>17</v>
          </cell>
          <cell r="D182">
            <v>10</v>
          </cell>
          <cell r="E182">
            <v>9</v>
          </cell>
        </row>
        <row r="183">
          <cell r="A183" t="str">
            <v>B07DXFH8CW</v>
          </cell>
          <cell r="B183">
            <v>4</v>
          </cell>
          <cell r="C183">
            <v>4</v>
          </cell>
          <cell r="D183">
            <v>4</v>
          </cell>
          <cell r="E183">
            <v>2</v>
          </cell>
        </row>
        <row r="184">
          <cell r="A184" t="str">
            <v>B07F634TZ1</v>
          </cell>
          <cell r="B184">
            <v>5</v>
          </cell>
          <cell r="C184">
            <v>5</v>
          </cell>
          <cell r="D184">
            <v>6</v>
          </cell>
          <cell r="E184">
            <v>2</v>
          </cell>
        </row>
        <row r="185">
          <cell r="A185" t="str">
            <v>B07F63TBYG</v>
          </cell>
          <cell r="B185">
            <v>15</v>
          </cell>
          <cell r="C185">
            <v>2</v>
          </cell>
          <cell r="D185">
            <v>8</v>
          </cell>
          <cell r="E185">
            <v>2</v>
          </cell>
        </row>
        <row r="186">
          <cell r="A186" t="str">
            <v>B07F64BTCD</v>
          </cell>
          <cell r="B186">
            <v>2</v>
          </cell>
          <cell r="C186">
            <v>5</v>
          </cell>
          <cell r="D186">
            <v>9</v>
          </cell>
          <cell r="E186">
            <v>10</v>
          </cell>
        </row>
        <row r="187">
          <cell r="A187" t="str">
            <v>B07F6546YQ</v>
          </cell>
          <cell r="B187">
            <v>3</v>
          </cell>
          <cell r="C187">
            <v>2</v>
          </cell>
          <cell r="D187">
            <v>10</v>
          </cell>
          <cell r="E187">
            <v>9</v>
          </cell>
        </row>
        <row r="188">
          <cell r="A188" t="str">
            <v>B07FCFK3BH</v>
          </cell>
          <cell r="B188">
            <v>4</v>
          </cell>
          <cell r="C188">
            <v>9</v>
          </cell>
          <cell r="D188">
            <v>4</v>
          </cell>
          <cell r="E188">
            <v>3</v>
          </cell>
        </row>
        <row r="189">
          <cell r="A189" t="str">
            <v>B07FCHT1T1</v>
          </cell>
          <cell r="B189">
            <v>4</v>
          </cell>
          <cell r="C189">
            <v>4</v>
          </cell>
          <cell r="D189">
            <v>7</v>
          </cell>
          <cell r="E189">
            <v>6</v>
          </cell>
        </row>
        <row r="190">
          <cell r="A190" t="str">
            <v>B07FCJN913</v>
          </cell>
          <cell r="B190">
            <v>4</v>
          </cell>
          <cell r="C190">
            <v>8</v>
          </cell>
          <cell r="D190">
            <v>9</v>
          </cell>
          <cell r="E190">
            <v>5</v>
          </cell>
        </row>
        <row r="191">
          <cell r="A191" t="str">
            <v>B0779ZRTZ3</v>
          </cell>
          <cell r="B191">
            <v>8</v>
          </cell>
          <cell r="C191">
            <v>7</v>
          </cell>
          <cell r="D191">
            <v>8</v>
          </cell>
          <cell r="E191">
            <v>0</v>
          </cell>
        </row>
        <row r="192">
          <cell r="A192" t="str">
            <v>B078MJZZZN</v>
          </cell>
          <cell r="B192">
            <v>5</v>
          </cell>
          <cell r="C192">
            <v>1</v>
          </cell>
          <cell r="D192">
            <v>4</v>
          </cell>
          <cell r="E192">
            <v>0</v>
          </cell>
        </row>
        <row r="193">
          <cell r="A193" t="str">
            <v>B078MK4N19</v>
          </cell>
          <cell r="B193">
            <v>8</v>
          </cell>
          <cell r="C193">
            <v>2</v>
          </cell>
          <cell r="D193">
            <v>3</v>
          </cell>
          <cell r="E193">
            <v>0</v>
          </cell>
        </row>
        <row r="194">
          <cell r="A194" t="str">
            <v>B07DK8XH42</v>
          </cell>
          <cell r="B194">
            <v>4</v>
          </cell>
          <cell r="C194">
            <v>0</v>
          </cell>
          <cell r="D194">
            <v>2</v>
          </cell>
          <cell r="E194">
            <v>0</v>
          </cell>
        </row>
        <row r="195">
          <cell r="A195" t="str">
            <v>B07FZZH8SL</v>
          </cell>
          <cell r="B195">
            <v>14</v>
          </cell>
          <cell r="C195">
            <v>0</v>
          </cell>
          <cell r="D195">
            <v>0</v>
          </cell>
          <cell r="E195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1991</v>
          </cell>
          <cell r="C2">
            <v>15</v>
          </cell>
          <cell r="D2">
            <v>50</v>
          </cell>
          <cell r="E2">
            <v>1</v>
          </cell>
          <cell r="F2">
            <v>51</v>
          </cell>
          <cell r="G2">
            <v>9</v>
          </cell>
          <cell r="H2">
            <v>9</v>
          </cell>
          <cell r="I2">
            <v>10</v>
          </cell>
          <cell r="J2">
            <v>387</v>
          </cell>
          <cell r="K2">
            <v>683</v>
          </cell>
          <cell r="L2">
            <v>1</v>
          </cell>
          <cell r="M2">
            <v>0</v>
          </cell>
        </row>
        <row r="3">
          <cell r="A3" t="str">
            <v>CWB-WF021-CF-S</v>
          </cell>
          <cell r="B3">
            <v>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GT-WFTFGT200-220</v>
          </cell>
          <cell r="B4">
            <v>5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</v>
          </cell>
          <cell r="J4">
            <v>7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BDB-WF212-CW-M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0</v>
          </cell>
          <cell r="J5">
            <v>4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JS-LUHM100-XJQ</v>
          </cell>
          <cell r="B6">
            <v>12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6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SB-LUHM100-K0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YQ-LUHM-F114</v>
          </cell>
          <cell r="B8">
            <v>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3</v>
          </cell>
          <cell r="H8">
            <v>0</v>
          </cell>
          <cell r="I8">
            <v>2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SNH-LUHM001-W0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WB-LUHM002-E0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ZDD-FLQ08-RO-28</v>
          </cell>
          <cell r="B11">
            <v>20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21</v>
          </cell>
          <cell r="L11">
            <v>0</v>
          </cell>
          <cell r="M11">
            <v>0</v>
          </cell>
        </row>
        <row r="12">
          <cell r="A12" t="str">
            <v>ZYL-FLQ06-BG-40</v>
          </cell>
          <cell r="B12">
            <v>7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8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ZYL-FLQ06-HG-40</v>
          </cell>
          <cell r="B13">
            <v>19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17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ZYL-FLQ59-BF-32</v>
          </cell>
          <cell r="B14">
            <v>17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GT-WFTFGT200-221</v>
          </cell>
          <cell r="B15">
            <v>4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3</v>
          </cell>
          <cell r="L15">
            <v>1</v>
          </cell>
          <cell r="M15">
            <v>0</v>
          </cell>
        </row>
        <row r="16">
          <cell r="A16" t="str">
            <v>SNT-LUHM001-HW</v>
          </cell>
          <cell r="B16">
            <v>3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LYQ-WF1010-KO-XL</v>
          </cell>
          <cell r="B17">
            <v>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3</v>
          </cell>
          <cell r="L17">
            <v>0</v>
          </cell>
          <cell r="M17">
            <v>0</v>
          </cell>
        </row>
        <row r="18">
          <cell r="A18" t="str">
            <v>ZB-WF029-WO-M</v>
          </cell>
          <cell r="B18">
            <v>3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</v>
          </cell>
          <cell r="L18">
            <v>0</v>
          </cell>
          <cell r="M18">
            <v>0</v>
          </cell>
        </row>
        <row r="19">
          <cell r="A19" t="str">
            <v>LYQ-WF1010-KO-M</v>
          </cell>
          <cell r="B19">
            <v>5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5</v>
          </cell>
          <cell r="L19">
            <v>0</v>
          </cell>
          <cell r="M19">
            <v>0</v>
          </cell>
        </row>
        <row r="20">
          <cell r="A20" t="str">
            <v>CWB-WF021-CF-XL</v>
          </cell>
          <cell r="B20">
            <v>9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9</v>
          </cell>
          <cell r="L20">
            <v>0</v>
          </cell>
          <cell r="M20">
            <v>0</v>
          </cell>
        </row>
        <row r="21">
          <cell r="A21" t="str">
            <v>LYQ-WF1010-BO-S</v>
          </cell>
          <cell r="B21">
            <v>4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5</v>
          </cell>
          <cell r="L21">
            <v>0</v>
          </cell>
          <cell r="M21">
            <v>0</v>
          </cell>
        </row>
        <row r="22">
          <cell r="A22" t="str">
            <v>CWB-WF021-CF-L</v>
          </cell>
          <cell r="B22">
            <v>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A23" t="str">
            <v>SG-LUHM100-K0</v>
          </cell>
          <cell r="B23">
            <v>19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LYQ-WF1010-NO-2L</v>
          </cell>
          <cell r="B24">
            <v>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5</v>
          </cell>
          <cell r="L24">
            <v>0</v>
          </cell>
          <cell r="M24">
            <v>0</v>
          </cell>
        </row>
        <row r="25">
          <cell r="A25" t="str">
            <v>GT-WFY1-E2</v>
          </cell>
          <cell r="B25">
            <v>7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</v>
          </cell>
          <cell r="L25">
            <v>0</v>
          </cell>
          <cell r="M25">
            <v>0</v>
          </cell>
        </row>
        <row r="26">
          <cell r="A26" t="str">
            <v>ZYL-FLQ2013-YO-36</v>
          </cell>
          <cell r="B26">
            <v>23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10</v>
          </cell>
          <cell r="K26">
            <v>3</v>
          </cell>
          <cell r="L26">
            <v>0</v>
          </cell>
          <cell r="M26">
            <v>0</v>
          </cell>
        </row>
        <row r="27">
          <cell r="A27" t="str">
            <v>SDSZH-TS-2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ZYL-FLQ59-TW-32</v>
          </cell>
          <cell r="B28">
            <v>14</v>
          </cell>
          <cell r="C28">
            <v>2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11</v>
          </cell>
          <cell r="K28">
            <v>3</v>
          </cell>
          <cell r="L28">
            <v>0</v>
          </cell>
          <cell r="M28">
            <v>0</v>
          </cell>
        </row>
        <row r="29">
          <cell r="A29" t="str">
            <v>CWB-WF021-CF-M</v>
          </cell>
          <cell r="B29">
            <v>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</v>
          </cell>
          <cell r="L29">
            <v>0</v>
          </cell>
          <cell r="M29">
            <v>0</v>
          </cell>
        </row>
        <row r="30">
          <cell r="A30" t="str">
            <v>SDSZH-RG</v>
          </cell>
          <cell r="B30">
            <v>233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13</v>
          </cell>
          <cell r="K30">
            <v>219</v>
          </cell>
          <cell r="L30">
            <v>0</v>
          </cell>
          <cell r="M30">
            <v>0</v>
          </cell>
        </row>
        <row r="31">
          <cell r="A31" t="str">
            <v>QLQ-LUHM121-G0</v>
          </cell>
          <cell r="B31">
            <v>246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GT-WFY1-E3</v>
          </cell>
          <cell r="B32">
            <v>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3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RYMT-WF712-PO-L</v>
          </cell>
          <cell r="B33">
            <v>5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5</v>
          </cell>
          <cell r="L33">
            <v>0</v>
          </cell>
          <cell r="M33">
            <v>0</v>
          </cell>
        </row>
        <row r="34">
          <cell r="A34" t="str">
            <v>LYQ-WF1010-WO-2L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0</v>
          </cell>
        </row>
        <row r="35">
          <cell r="A35" t="str">
            <v>LYQ-WF1010-K0-2L</v>
          </cell>
          <cell r="B35">
            <v>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4</v>
          </cell>
          <cell r="L35">
            <v>0</v>
          </cell>
          <cell r="M35">
            <v>0</v>
          </cell>
        </row>
        <row r="36">
          <cell r="A36" t="str">
            <v>ZYL-FLQ06-TZ-40</v>
          </cell>
          <cell r="B36">
            <v>26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28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BLT-LUHM000-CR</v>
          </cell>
          <cell r="B37">
            <v>1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SL-LULW818-PI-L</v>
          </cell>
          <cell r="B38">
            <v>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3</v>
          </cell>
          <cell r="L38">
            <v>0</v>
          </cell>
          <cell r="M38">
            <v>0</v>
          </cell>
        </row>
        <row r="39">
          <cell r="A39" t="str">
            <v>LYQ-NWF10-KO-S</v>
          </cell>
          <cell r="B39">
            <v>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CWB-WF021-QB-XL</v>
          </cell>
          <cell r="B40">
            <v>5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WY-WF1217-GR-XL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</v>
          </cell>
          <cell r="L41">
            <v>0</v>
          </cell>
          <cell r="M41">
            <v>0</v>
          </cell>
        </row>
        <row r="42">
          <cell r="A42" t="str">
            <v>SD-LUHM202-X0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BDB-WF212-SJS-M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2</v>
          </cell>
          <cell r="K43">
            <v>2</v>
          </cell>
          <cell r="L43">
            <v>0</v>
          </cell>
          <cell r="M43">
            <v>0</v>
          </cell>
        </row>
        <row r="44">
          <cell r="A44" t="str">
            <v>JS-LUHM100-LX</v>
          </cell>
          <cell r="B44">
            <v>7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ZQ-WF002-BO-M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3</v>
          </cell>
          <cell r="L45">
            <v>0</v>
          </cell>
          <cell r="M45">
            <v>0</v>
          </cell>
        </row>
        <row r="46">
          <cell r="A46" t="str">
            <v>ZQ-WF002-PI-M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3</v>
          </cell>
          <cell r="L46">
            <v>0</v>
          </cell>
          <cell r="M46">
            <v>0</v>
          </cell>
        </row>
        <row r="47">
          <cell r="A47" t="str">
            <v>WY-WF1225-GR-L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4</v>
          </cell>
          <cell r="L47">
            <v>0</v>
          </cell>
          <cell r="M47">
            <v>0</v>
          </cell>
        </row>
        <row r="48">
          <cell r="A48" t="str">
            <v>SNT-LUHM001-GQ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LYQ-WF1010-NO-XS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1</v>
          </cell>
          <cell r="L49">
            <v>0</v>
          </cell>
          <cell r="M49">
            <v>0</v>
          </cell>
        </row>
        <row r="50">
          <cell r="A50" t="str">
            <v>BLT-LUHM000-RB</v>
          </cell>
          <cell r="B50">
            <v>17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ZYL-FLQ2013-RO-36</v>
          </cell>
          <cell r="B51">
            <v>23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10</v>
          </cell>
          <cell r="K51">
            <v>3</v>
          </cell>
          <cell r="L51">
            <v>0</v>
          </cell>
          <cell r="M51">
            <v>0</v>
          </cell>
        </row>
        <row r="52">
          <cell r="A52" t="str">
            <v>ZB-WF029-CF-M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0</v>
          </cell>
          <cell r="M52">
            <v>0</v>
          </cell>
        </row>
        <row r="53">
          <cell r="A53" t="str">
            <v>BLT-LUHM819-W0</v>
          </cell>
          <cell r="B53">
            <v>8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6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LYQ-WF1010-BO-M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5</v>
          </cell>
          <cell r="L54">
            <v>0</v>
          </cell>
          <cell r="M54">
            <v>0</v>
          </cell>
        </row>
        <row r="55">
          <cell r="A55" t="str">
            <v>GT-WFTFGT200-216</v>
          </cell>
          <cell r="B55">
            <v>6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5</v>
          </cell>
          <cell r="L55">
            <v>0</v>
          </cell>
          <cell r="M55">
            <v>0</v>
          </cell>
        </row>
        <row r="56">
          <cell r="A56" t="str">
            <v>CWB-WF021-QB-S</v>
          </cell>
          <cell r="B56">
            <v>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ST-FLQ110-KO-L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5</v>
          </cell>
          <cell r="L57">
            <v>0</v>
          </cell>
          <cell r="M57">
            <v>0</v>
          </cell>
        </row>
        <row r="58">
          <cell r="A58" t="str">
            <v>BA-FLQ02-BO-6</v>
          </cell>
          <cell r="B58">
            <v>40</v>
          </cell>
          <cell r="C58">
            <v>3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24</v>
          </cell>
          <cell r="K58">
            <v>17</v>
          </cell>
          <cell r="L58">
            <v>0</v>
          </cell>
          <cell r="M58">
            <v>0</v>
          </cell>
        </row>
        <row r="59">
          <cell r="A59" t="str">
            <v>WY-WF1217-YO-S</v>
          </cell>
          <cell r="B59">
            <v>4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  <row r="60">
          <cell r="A60" t="str">
            <v>QLQ-LUHM121-WO</v>
          </cell>
          <cell r="B60">
            <v>1</v>
          </cell>
          <cell r="C60">
            <v>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WY-WF1217-GR-L</v>
          </cell>
          <cell r="B61">
            <v>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4</v>
          </cell>
          <cell r="L61">
            <v>0</v>
          </cell>
          <cell r="M61">
            <v>0</v>
          </cell>
        </row>
        <row r="62">
          <cell r="A62" t="str">
            <v>GT-WFTFGT200-213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4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WY-WF1225-BO-XL</v>
          </cell>
          <cell r="B63">
            <v>3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2</v>
          </cell>
          <cell r="L63">
            <v>0</v>
          </cell>
          <cell r="M63">
            <v>0</v>
          </cell>
        </row>
        <row r="64">
          <cell r="A64" t="str">
            <v>ZB-WF029-WO-L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4</v>
          </cell>
          <cell r="L64">
            <v>0</v>
          </cell>
          <cell r="M64">
            <v>0</v>
          </cell>
        </row>
        <row r="65">
          <cell r="A65" t="str">
            <v>HYD-WF7995-BO-XL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3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WY-WF1217-GR-M</v>
          </cell>
          <cell r="B66">
            <v>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4</v>
          </cell>
          <cell r="L66">
            <v>0</v>
          </cell>
          <cell r="M66">
            <v>0</v>
          </cell>
        </row>
        <row r="67">
          <cell r="A67" t="str">
            <v>GT-WFTFGT200-209</v>
          </cell>
          <cell r="B67">
            <v>5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5</v>
          </cell>
          <cell r="L67">
            <v>0</v>
          </cell>
          <cell r="M67">
            <v>0</v>
          </cell>
        </row>
        <row r="68">
          <cell r="A68" t="str">
            <v>XK-YIWUJS-Y0-7IN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BDB-LUHM001-R0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ZDD-FLQ08-BO-28</v>
          </cell>
          <cell r="B70">
            <v>12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</v>
          </cell>
          <cell r="K70">
            <v>10</v>
          </cell>
          <cell r="L70">
            <v>0</v>
          </cell>
          <cell r="M70">
            <v>0</v>
          </cell>
        </row>
        <row r="71">
          <cell r="A71" t="str">
            <v>QQ-LUHM-801-B0</v>
          </cell>
          <cell r="B71">
            <v>16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ZDD-FLQ08-PO-28</v>
          </cell>
          <cell r="B72">
            <v>4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BLT-WF125-PANDA</v>
          </cell>
          <cell r="B73">
            <v>16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16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BDB-LUHM001-B0</v>
          </cell>
          <cell r="B74">
            <v>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YQ-LUHM-F111</v>
          </cell>
          <cell r="B75">
            <v>14</v>
          </cell>
          <cell r="C75">
            <v>0</v>
          </cell>
          <cell r="D75">
            <v>50</v>
          </cell>
          <cell r="E75">
            <v>1</v>
          </cell>
          <cell r="F75">
            <v>51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ZYL-FLQ59-YD-32</v>
          </cell>
          <cell r="B76">
            <v>39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30</v>
          </cell>
          <cell r="K76">
            <v>9</v>
          </cell>
          <cell r="L76">
            <v>0</v>
          </cell>
          <cell r="M76">
            <v>0</v>
          </cell>
        </row>
        <row r="77">
          <cell r="A77" t="str">
            <v>SB-LUHM101-B0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BLT-LUHM000-CL</v>
          </cell>
          <cell r="B78">
            <v>13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LYQ-WF1010-PO-2L</v>
          </cell>
          <cell r="B79">
            <v>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</v>
          </cell>
          <cell r="K79">
            <v>4</v>
          </cell>
          <cell r="L79">
            <v>0</v>
          </cell>
          <cell r="M79">
            <v>0</v>
          </cell>
        </row>
        <row r="80">
          <cell r="A80" t="str">
            <v>CWB-WF021-RB-L</v>
          </cell>
          <cell r="B80">
            <v>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ST-LAHM-LG-001</v>
          </cell>
          <cell r="B81">
            <v>24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WY-WF1217-KO-XL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4</v>
          </cell>
          <cell r="L82">
            <v>0</v>
          </cell>
          <cell r="M82">
            <v>0</v>
          </cell>
        </row>
        <row r="83">
          <cell r="A83" t="str">
            <v>SDSZH-BS</v>
          </cell>
          <cell r="B83">
            <v>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CWB-WF021-RB-S</v>
          </cell>
          <cell r="B84">
            <v>7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2</v>
          </cell>
          <cell r="L84">
            <v>0</v>
          </cell>
          <cell r="M84">
            <v>0</v>
          </cell>
        </row>
        <row r="85">
          <cell r="A85" t="str">
            <v>JS-LUHM100-KLT</v>
          </cell>
          <cell r="B85">
            <v>16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BLT-WF125-CAT</v>
          </cell>
          <cell r="B86">
            <v>21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21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BLT-LUHM000-GR</v>
          </cell>
          <cell r="B87">
            <v>12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GT-WFY1-E4</v>
          </cell>
          <cell r="B88">
            <v>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ZDD-FLQ07-MC-28</v>
          </cell>
          <cell r="B89">
            <v>7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WY-WF1217-KO-S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</v>
          </cell>
          <cell r="L90">
            <v>0</v>
          </cell>
          <cell r="M90">
            <v>0</v>
          </cell>
        </row>
        <row r="91">
          <cell r="A91" t="str">
            <v>ZYL-FLQ59-BY-32</v>
          </cell>
          <cell r="B91">
            <v>31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31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GT-WFTFGT200-214</v>
          </cell>
          <cell r="B92">
            <v>4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ST-FLQ110-KO-M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4</v>
          </cell>
          <cell r="L93">
            <v>0</v>
          </cell>
          <cell r="M93">
            <v>0</v>
          </cell>
        </row>
        <row r="94">
          <cell r="A94" t="str">
            <v>YQ-LUHM-F112</v>
          </cell>
          <cell r="B94">
            <v>12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ZYL-FLQ2013-DX-36</v>
          </cell>
          <cell r="B95">
            <v>16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15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XK-YIWUJS2-Y0-6IN</v>
          </cell>
          <cell r="B96">
            <v>11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WY-WF1217-RO-XL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4</v>
          </cell>
          <cell r="L97">
            <v>0</v>
          </cell>
          <cell r="M97">
            <v>0</v>
          </cell>
        </row>
        <row r="98">
          <cell r="A98" t="str">
            <v>LYQ-WF1010-PO-S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2</v>
          </cell>
          <cell r="L98">
            <v>0</v>
          </cell>
          <cell r="M98">
            <v>0</v>
          </cell>
        </row>
        <row r="99">
          <cell r="A99" t="str">
            <v>BA-FLQ02-SI-6</v>
          </cell>
          <cell r="B99">
            <v>96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96</v>
          </cell>
          <cell r="L99">
            <v>0</v>
          </cell>
          <cell r="M99">
            <v>0</v>
          </cell>
        </row>
        <row r="100">
          <cell r="A100" t="str">
            <v>WY-WF1217-RO-L</v>
          </cell>
          <cell r="B100">
            <v>5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5</v>
          </cell>
          <cell r="L100">
            <v>0</v>
          </cell>
          <cell r="M100">
            <v>0</v>
          </cell>
        </row>
        <row r="101">
          <cell r="A101" t="str">
            <v>LYQ-WF1010-NO-S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3</v>
          </cell>
          <cell r="L101">
            <v>0</v>
          </cell>
          <cell r="M101">
            <v>0</v>
          </cell>
        </row>
        <row r="102">
          <cell r="A102" t="str">
            <v>JS-LUHM100-ZFX</v>
          </cell>
          <cell r="B102">
            <v>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GT-WFTFGT200-223</v>
          </cell>
          <cell r="B103">
            <v>10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10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ST-FLQ110-PI-S</v>
          </cell>
          <cell r="B104">
            <v>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1</v>
          </cell>
          <cell r="K104">
            <v>3</v>
          </cell>
          <cell r="L104">
            <v>0</v>
          </cell>
          <cell r="M104">
            <v>0</v>
          </cell>
        </row>
        <row r="105">
          <cell r="A105" t="str">
            <v>BLT-WF125-LION</v>
          </cell>
          <cell r="B105">
            <v>24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22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BLT-LUHM000-GL</v>
          </cell>
          <cell r="B106">
            <v>10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WY-WF1225-GR-S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4</v>
          </cell>
          <cell r="L107">
            <v>0</v>
          </cell>
          <cell r="M107">
            <v>0</v>
          </cell>
        </row>
        <row r="108">
          <cell r="A108" t="str">
            <v>LYQ-WF1010-WO-XL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</v>
          </cell>
          <cell r="L108">
            <v>0</v>
          </cell>
          <cell r="M108">
            <v>0</v>
          </cell>
        </row>
        <row r="109">
          <cell r="A109" t="str">
            <v>SG-LUHM050-K0</v>
          </cell>
          <cell r="B109">
            <v>18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SQ-LUHM90A</v>
          </cell>
          <cell r="B110">
            <v>15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CLP-FLQ43-CS100-100</v>
          </cell>
          <cell r="B111">
            <v>9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9</v>
          </cell>
          <cell r="L111">
            <v>0</v>
          </cell>
          <cell r="M111">
            <v>0</v>
          </cell>
        </row>
        <row r="112">
          <cell r="A112" t="str">
            <v>XK-YIWUJS-Y0-6IN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XK-YIWUJS-GY-7IN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SQ-LUHM204</v>
          </cell>
          <cell r="B114">
            <v>32</v>
          </cell>
          <cell r="C114">
            <v>1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QLQ-LUHM121-GM</v>
          </cell>
          <cell r="B115">
            <v>90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WY-WF1217-RO-M</v>
          </cell>
          <cell r="B116">
            <v>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4</v>
          </cell>
          <cell r="L116">
            <v>0</v>
          </cell>
          <cell r="M116">
            <v>0</v>
          </cell>
        </row>
        <row r="117">
          <cell r="A117" t="str">
            <v>XK-YIWUJS2-BR-7IN</v>
          </cell>
          <cell r="B117">
            <v>10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LYQ-WF1010-NO-XL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3</v>
          </cell>
          <cell r="L118">
            <v>0</v>
          </cell>
          <cell r="M118">
            <v>0</v>
          </cell>
        </row>
        <row r="119">
          <cell r="A119" t="str">
            <v>XK-YIWUJS2-Y0-7IN</v>
          </cell>
          <cell r="B119">
            <v>20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WY-WF1217-YO-M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</v>
          </cell>
          <cell r="L120">
            <v>0</v>
          </cell>
          <cell r="M120">
            <v>0</v>
          </cell>
        </row>
        <row r="121">
          <cell r="A121" t="str">
            <v>WY-WF1225-BO-M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1</v>
          </cell>
          <cell r="L121">
            <v>0</v>
          </cell>
          <cell r="M121">
            <v>0</v>
          </cell>
        </row>
        <row r="122">
          <cell r="A122" t="str">
            <v>GSQPQ-WF2012-GO</v>
          </cell>
          <cell r="B122">
            <v>8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8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BLT-NWF125-Panda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CWB-WF021-RB-M</v>
          </cell>
          <cell r="B124">
            <v>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HYD-WF7995-RO-XL</v>
          </cell>
          <cell r="B125">
            <v>1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1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WY-WF1217-RO-S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2</v>
          </cell>
          <cell r="L126">
            <v>0</v>
          </cell>
          <cell r="M126">
            <v>0</v>
          </cell>
        </row>
        <row r="127">
          <cell r="A127" t="str">
            <v>ZDD-FLQ08-GR-28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13</v>
          </cell>
          <cell r="L127">
            <v>0</v>
          </cell>
          <cell r="M127">
            <v>0</v>
          </cell>
        </row>
        <row r="128">
          <cell r="A128" t="str">
            <v>BDB-LUHM001-G0</v>
          </cell>
          <cell r="B128">
            <v>3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WY-WF1225-GR-M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</v>
          </cell>
          <cell r="L129">
            <v>0</v>
          </cell>
          <cell r="M129">
            <v>0</v>
          </cell>
        </row>
        <row r="130">
          <cell r="A130" t="str">
            <v>WY-WF1217-YO-XL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4</v>
          </cell>
          <cell r="L130">
            <v>0</v>
          </cell>
          <cell r="M130">
            <v>0</v>
          </cell>
        </row>
        <row r="131">
          <cell r="A131" t="str">
            <v>CWB-WF021-RB-XL</v>
          </cell>
          <cell r="B131">
            <v>13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8</v>
          </cell>
          <cell r="L131">
            <v>0</v>
          </cell>
          <cell r="M131">
            <v>0</v>
          </cell>
        </row>
        <row r="132">
          <cell r="A132" t="str">
            <v>RYMT-WF712-PI-L</v>
          </cell>
          <cell r="B132">
            <v>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8</v>
          </cell>
          <cell r="L132">
            <v>0</v>
          </cell>
          <cell r="M132">
            <v>0</v>
          </cell>
        </row>
        <row r="133">
          <cell r="A133" t="str">
            <v>XK-YIWUJS2-BR-6IN</v>
          </cell>
          <cell r="B133">
            <v>14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SD-LUHM202-B0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ZB-WF029-CF-L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4</v>
          </cell>
          <cell r="L135">
            <v>0</v>
          </cell>
          <cell r="M135">
            <v>0</v>
          </cell>
        </row>
        <row r="136">
          <cell r="A136" t="str">
            <v>SL-LULW818-RO-L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2</v>
          </cell>
          <cell r="L136">
            <v>0</v>
          </cell>
          <cell r="M136">
            <v>0</v>
          </cell>
        </row>
        <row r="137">
          <cell r="A137" t="str">
            <v>LYQ-WF1010-BO-XL</v>
          </cell>
          <cell r="B137">
            <v>5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5</v>
          </cell>
          <cell r="L137">
            <v>0</v>
          </cell>
          <cell r="M137">
            <v>0</v>
          </cell>
        </row>
        <row r="138">
          <cell r="A138" t="str">
            <v>WY-WF1217-KO-L</v>
          </cell>
          <cell r="B138">
            <v>2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2</v>
          </cell>
          <cell r="L138">
            <v>0</v>
          </cell>
          <cell r="M138">
            <v>0</v>
          </cell>
        </row>
        <row r="139">
          <cell r="A139" t="str">
            <v>WY-WF1217-YO-L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4</v>
          </cell>
          <cell r="L139">
            <v>0</v>
          </cell>
          <cell r="M139">
            <v>0</v>
          </cell>
        </row>
        <row r="140">
          <cell r="A140" t="str">
            <v>WB-LUHM002-R0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GT-WFY1-E1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LYQ-WF1010-BO-L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A143" t="str">
            <v>GB-LUHM035-BE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JS-LUHM100-LBX</v>
          </cell>
          <cell r="B144">
            <v>7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WY-WF1225-BO-L</v>
          </cell>
          <cell r="B145">
            <v>3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</v>
          </cell>
          <cell r="L145">
            <v>0</v>
          </cell>
          <cell r="M145">
            <v>0</v>
          </cell>
        </row>
        <row r="146">
          <cell r="A146" t="str">
            <v>GB-LUHM035-P0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WY-WF1225-GR-XL</v>
          </cell>
          <cell r="B147">
            <v>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4</v>
          </cell>
          <cell r="L147">
            <v>0</v>
          </cell>
          <cell r="M147">
            <v>0</v>
          </cell>
        </row>
        <row r="148">
          <cell r="A148" t="str">
            <v>LYQ-WF1010-PO-M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CD-WF-GD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SNT-LUHM001-KT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LYQ-WF1010-PO-XL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5</v>
          </cell>
          <cell r="L151">
            <v>0</v>
          </cell>
          <cell r="M151">
            <v>0</v>
          </cell>
        </row>
        <row r="152">
          <cell r="A152" t="str">
            <v>RYMT-WF712-GO-L</v>
          </cell>
          <cell r="B152">
            <v>11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</v>
          </cell>
          <cell r="K152">
            <v>10</v>
          </cell>
          <cell r="L152">
            <v>0</v>
          </cell>
          <cell r="M152">
            <v>0</v>
          </cell>
        </row>
        <row r="153">
          <cell r="A153" t="str">
            <v>CLP-FLQ43-CS60-60</v>
          </cell>
          <cell r="B153">
            <v>13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13</v>
          </cell>
          <cell r="L153">
            <v>0</v>
          </cell>
          <cell r="M153">
            <v>0</v>
          </cell>
        </row>
        <row r="154">
          <cell r="A154" t="str">
            <v>LYQ-WF1010-NO-L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</v>
          </cell>
          <cell r="L154">
            <v>0</v>
          </cell>
          <cell r="M154">
            <v>0</v>
          </cell>
        </row>
        <row r="155">
          <cell r="A155" t="str">
            <v>WY-WF1217-KO-M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ST-FLQ110-PI-L</v>
          </cell>
          <cell r="B156">
            <v>5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5</v>
          </cell>
          <cell r="L156">
            <v>0</v>
          </cell>
          <cell r="M156">
            <v>0</v>
          </cell>
        </row>
        <row r="157">
          <cell r="A157" t="str">
            <v>LYQ-WF1010-KO-L</v>
          </cell>
          <cell r="B157">
            <v>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</v>
          </cell>
          <cell r="L157">
            <v>0</v>
          </cell>
          <cell r="M157">
            <v>0</v>
          </cell>
        </row>
        <row r="158">
          <cell r="A158" t="str">
            <v>ST-FLQ110-KO-XL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5</v>
          </cell>
          <cell r="L158">
            <v>0</v>
          </cell>
          <cell r="M158">
            <v>0</v>
          </cell>
        </row>
        <row r="159">
          <cell r="A159" t="str">
            <v>SQ-LUHM404</v>
          </cell>
          <cell r="B159">
            <v>39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BDB-LUHM001-K0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LYQ-WF1010-BO-2X</v>
          </cell>
          <cell r="B161">
            <v>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</v>
          </cell>
          <cell r="L161">
            <v>0</v>
          </cell>
          <cell r="M161">
            <v>0</v>
          </cell>
        </row>
        <row r="162">
          <cell r="A162" t="str">
            <v>WY-WF1225-BO-S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2</v>
          </cell>
          <cell r="L162">
            <v>0</v>
          </cell>
          <cell r="M162">
            <v>0</v>
          </cell>
        </row>
        <row r="163">
          <cell r="A163" t="str">
            <v>SQ-LUHM304</v>
          </cell>
          <cell r="B163">
            <v>48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LYQ-WF1010-PO-L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3</v>
          </cell>
          <cell r="L164">
            <v>0</v>
          </cell>
          <cell r="M164">
            <v>0</v>
          </cell>
        </row>
        <row r="165">
          <cell r="A165" t="str">
            <v>SD-LUHM202-PI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CWB-WF021-QB-L</v>
          </cell>
          <cell r="B166">
            <v>6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SD-LUHM202-Y0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SNT-LUHM001-WX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WB-LUHM002-B0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BDB-WF212-SH-M</v>
          </cell>
          <cell r="B170">
            <v>7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7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WB-LUHM002-G0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ST-FLQ110-PI-M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A173" t="str">
            <v>JS-LUHM100-AX</v>
          </cell>
          <cell r="B173">
            <v>6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GB-LUHM035-B0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CWB-WF021-QB-M</v>
          </cell>
          <cell r="B175">
            <v>1</v>
          </cell>
          <cell r="C175">
            <v>2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SD-LUHM202-G0-X</v>
          </cell>
          <cell r="B176">
            <v>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BLT-WF125-COW</v>
          </cell>
          <cell r="B177">
            <v>20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JS-LUHM100-JSZFX</v>
          </cell>
          <cell r="B178">
            <v>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WY-WF1217-GR-S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</v>
          </cell>
          <cell r="L179">
            <v>0</v>
          </cell>
          <cell r="M179">
            <v>0</v>
          </cell>
        </row>
        <row r="180">
          <cell r="A180" t="str">
            <v>ZYL-FLQ59-TZ-32</v>
          </cell>
          <cell r="B180">
            <v>43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43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BLT-LUHM000-LB</v>
          </cell>
          <cell r="B181">
            <v>18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2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BA-FLQ02-GD-4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BA-FLQ02-GD-6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BA-FLQ02-R2-4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BA-FLQ02-R2-6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BA-FLQ02-SI-4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BD-LUHM001-X0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BDB-LUHM001-Y0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BDB-LUHM001-ZL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BDB-WF212-BJX-M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BDB-WF212-JY-M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BLT-NWF125-Cat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BZ-WF211-BO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BZ-WF211-GR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CD-WF-CF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CD-WF-KK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CD-WF-SG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CD-WF001-CF-1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CD-WF001-GO-1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CD-WF001-GR-1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CD-WF001-KK-1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CD-WF001-RO-1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CD-WF0728-4C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CD-WF117-GR-1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CD-WF117-WM-1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CD-WF482-BO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CD-WF482-BO-1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CD-WF482-CB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CD-WF482-CB-1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CD-WF482-RO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CD-WF482-RO-1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CQC-WF6346-BO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CQC-WF6346-GO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CQC-WF6346-PO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CWB-FLQ1703-GR-47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GT-WFTFGT200-224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KZ-LUHM000-E0-L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KZ-LUHM000-E0-M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KZ-LUHM000-K0-L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KZ-LUHM000-K0-M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KZ-LUHM000-R0-M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KZ-LUHM000-W0-M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KZ-LUHM000-Y0-M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LYQ-WF1010-KO-S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LYQ-WF1010-WO-M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ND-LUHM027-PI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QLQ-LUHM121-WT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QLQ-WF121-WO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SB-LUHM100-B0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SB-LUHM100-G0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SB-LUHM100-R0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SL-LULW812-PI-M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SL-LULW818-BO-L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SL-LULW818-PI-M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SND-FLQ17-NO-108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SND-FLQ18-SJ-74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SND-FLQ18-SJ-80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SND-WF5150-WO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SND-WF5150-WO2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SNH-LUHM001-E0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SNH-LUHM001-G0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SNH-LUHM001-K0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SNH-LUHM001-Y0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SNT-LUHM001-BS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SNT-LUHM001-DX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SNT-LUHM001-HY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SNT-LUHM001-ZX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SQ-LUHM354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TEST-BR-6IN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TEST-Y0-7IN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TESTY0-6IN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XK-YIWUJS-GY-6IN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XK-YIWUJS-PJ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XK-YIWUJS2-PJ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XM-LUHM111-X0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XQ-LUHM034-X0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XQ-LUHM089-PI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XYD-F02-3C-3S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ZYL-FLQ06-BF-40</v>
          </cell>
          <cell r="B259">
            <v>0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260.11</v>
          </cell>
        </row>
        <row r="3">
          <cell r="G3">
            <v>443.18</v>
          </cell>
        </row>
        <row r="3">
          <cell r="J3">
            <v>225.47</v>
          </cell>
        </row>
        <row r="3">
          <cell r="M3">
            <v>229.82</v>
          </cell>
        </row>
        <row r="4">
          <cell r="A4" t="str">
            <v>QQ-LUHM-801-B0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9538</v>
          </cell>
          <cell r="L4">
            <v>18</v>
          </cell>
          <cell r="M4">
            <v>18.54</v>
          </cell>
        </row>
        <row r="5">
          <cell r="A5" t="str">
            <v>SQ-LUHM204</v>
          </cell>
          <cell r="B5">
            <v>996</v>
          </cell>
          <cell r="C5">
            <v>18</v>
          </cell>
          <cell r="D5">
            <v>16.24</v>
          </cell>
          <cell r="E5">
            <v>270</v>
          </cell>
          <cell r="F5">
            <v>3</v>
          </cell>
          <cell r="G5">
            <v>3.19</v>
          </cell>
          <cell r="H5">
            <v>0</v>
          </cell>
          <cell r="I5">
            <v>0</v>
          </cell>
          <cell r="J5">
            <v>0</v>
          </cell>
          <cell r="K5">
            <v>1</v>
          </cell>
          <cell r="L5">
            <v>0</v>
          </cell>
          <cell r="M5">
            <v>0</v>
          </cell>
        </row>
        <row r="6">
          <cell r="A6" t="str">
            <v>SQ-LUHM354</v>
          </cell>
          <cell r="B6">
            <v>7804</v>
          </cell>
          <cell r="C6">
            <v>13</v>
          </cell>
          <cell r="D6">
            <v>7.44</v>
          </cell>
          <cell r="E6">
            <v>40839</v>
          </cell>
          <cell r="F6">
            <v>78</v>
          </cell>
          <cell r="G6">
            <v>52.11</v>
          </cell>
          <cell r="H6">
            <v>49045</v>
          </cell>
          <cell r="I6">
            <v>118</v>
          </cell>
          <cell r="J6">
            <v>79.11</v>
          </cell>
          <cell r="K6">
            <v>12717</v>
          </cell>
          <cell r="L6">
            <v>73</v>
          </cell>
          <cell r="M6">
            <v>48.43</v>
          </cell>
        </row>
        <row r="7">
          <cell r="A7" t="str">
            <v>ST-LAHM-LG-001</v>
          </cell>
          <cell r="B7">
            <v>1585</v>
          </cell>
          <cell r="C7">
            <v>5</v>
          </cell>
          <cell r="D7">
            <v>2.73</v>
          </cell>
          <cell r="E7">
            <v>1815</v>
          </cell>
          <cell r="F7">
            <v>7</v>
          </cell>
          <cell r="G7">
            <v>2.97</v>
          </cell>
          <cell r="H7">
            <v>1699</v>
          </cell>
          <cell r="I7">
            <v>7</v>
          </cell>
          <cell r="J7">
            <v>2.51</v>
          </cell>
          <cell r="K7">
            <v>1192</v>
          </cell>
          <cell r="L7">
            <v>11</v>
          </cell>
          <cell r="M7">
            <v>11.68</v>
          </cell>
        </row>
        <row r="8">
          <cell r="A8" t="str">
            <v>SB-LUHM100-R0</v>
          </cell>
          <cell r="B8">
            <v>0</v>
          </cell>
          <cell r="C8">
            <v>0</v>
          </cell>
          <cell r="D8">
            <v>0</v>
          </cell>
          <cell r="E8">
            <v>20124</v>
          </cell>
          <cell r="F8">
            <v>77</v>
          </cell>
          <cell r="G8">
            <v>31.31</v>
          </cell>
          <cell r="H8">
            <v>28310</v>
          </cell>
          <cell r="I8">
            <v>152</v>
          </cell>
          <cell r="J8">
            <v>56.73</v>
          </cell>
          <cell r="K8">
            <v>3285</v>
          </cell>
          <cell r="L8">
            <v>29</v>
          </cell>
          <cell r="M8">
            <v>8.59</v>
          </cell>
        </row>
        <row r="9">
          <cell r="A9" t="str">
            <v>SNT-LUHM001-GQ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WB-LUHM002-G0</v>
          </cell>
          <cell r="B10">
            <v>5031</v>
          </cell>
          <cell r="C10">
            <v>97</v>
          </cell>
          <cell r="D10">
            <v>30.05</v>
          </cell>
          <cell r="E10">
            <v>16768</v>
          </cell>
          <cell r="F10">
            <v>174</v>
          </cell>
          <cell r="G10">
            <v>48.76</v>
          </cell>
          <cell r="H10">
            <v>10298</v>
          </cell>
          <cell r="I10">
            <v>34</v>
          </cell>
          <cell r="J10">
            <v>8.1</v>
          </cell>
          <cell r="K10">
            <v>2576</v>
          </cell>
          <cell r="L10">
            <v>23</v>
          </cell>
          <cell r="M10">
            <v>11.91</v>
          </cell>
        </row>
        <row r="11">
          <cell r="A11" t="str">
            <v>WB-LUHM002-R0</v>
          </cell>
          <cell r="B11">
            <v>899</v>
          </cell>
          <cell r="C11">
            <v>2</v>
          </cell>
          <cell r="D11">
            <v>0.73</v>
          </cell>
          <cell r="E11">
            <v>5459</v>
          </cell>
          <cell r="F11">
            <v>24</v>
          </cell>
          <cell r="G11">
            <v>5.57</v>
          </cell>
          <cell r="H11">
            <v>1476</v>
          </cell>
          <cell r="I11">
            <v>7</v>
          </cell>
          <cell r="J11">
            <v>1.39</v>
          </cell>
          <cell r="K11">
            <v>1584</v>
          </cell>
          <cell r="L11">
            <v>3</v>
          </cell>
          <cell r="M11">
            <v>0.51</v>
          </cell>
        </row>
        <row r="12">
          <cell r="A12" t="str">
            <v>YQ-LUHM-F111</v>
          </cell>
          <cell r="B12">
            <v>2123</v>
          </cell>
          <cell r="C12">
            <v>5</v>
          </cell>
          <cell r="D12">
            <v>4.33</v>
          </cell>
          <cell r="E12">
            <v>4110</v>
          </cell>
          <cell r="F12">
            <v>11</v>
          </cell>
          <cell r="G12">
            <v>10.64</v>
          </cell>
          <cell r="H12">
            <v>3222</v>
          </cell>
          <cell r="I12">
            <v>7</v>
          </cell>
          <cell r="J12">
            <v>6.68</v>
          </cell>
          <cell r="K12">
            <v>19397</v>
          </cell>
          <cell r="L12">
            <v>45</v>
          </cell>
          <cell r="M12">
            <v>41.71</v>
          </cell>
        </row>
        <row r="13">
          <cell r="A13" t="str">
            <v>ZYL-FLQ06-BF-40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1360</v>
          </cell>
          <cell r="I13">
            <v>9</v>
          </cell>
          <cell r="J13">
            <v>2.43</v>
          </cell>
          <cell r="K13">
            <v>1439</v>
          </cell>
          <cell r="L13">
            <v>8</v>
          </cell>
          <cell r="M13">
            <v>2.02</v>
          </cell>
        </row>
        <row r="14">
          <cell r="A14" t="str">
            <v>SNH-LUHM001-E0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550</v>
          </cell>
          <cell r="L14">
            <v>4</v>
          </cell>
          <cell r="M14">
            <v>1.99</v>
          </cell>
        </row>
        <row r="15">
          <cell r="A15" t="str">
            <v>ZYL-FLQ59-BF-32</v>
          </cell>
          <cell r="B15">
            <v>25109</v>
          </cell>
          <cell r="C15">
            <v>105</v>
          </cell>
          <cell r="D15">
            <v>63.68</v>
          </cell>
          <cell r="E15">
            <v>71415</v>
          </cell>
          <cell r="F15">
            <v>106</v>
          </cell>
          <cell r="G15">
            <v>58.56</v>
          </cell>
          <cell r="H15">
            <v>7443</v>
          </cell>
          <cell r="I15">
            <v>43</v>
          </cell>
          <cell r="J15">
            <v>23.72</v>
          </cell>
          <cell r="K15">
            <v>6325</v>
          </cell>
          <cell r="L15">
            <v>27</v>
          </cell>
          <cell r="M15">
            <v>15.89</v>
          </cell>
        </row>
        <row r="16">
          <cell r="A16" t="str">
            <v>ZYL-FLQ06-TZ-40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XK-YIWUJS-GY-7IN</v>
          </cell>
          <cell r="B17">
            <v>3</v>
          </cell>
          <cell r="C17">
            <v>0</v>
          </cell>
          <cell r="D17">
            <v>0</v>
          </cell>
          <cell r="E17">
            <v>7</v>
          </cell>
          <cell r="F17">
            <v>0</v>
          </cell>
          <cell r="G17">
            <v>0</v>
          </cell>
          <cell r="H17">
            <v>4</v>
          </cell>
          <cell r="I17">
            <v>0</v>
          </cell>
          <cell r="J17">
            <v>0</v>
          </cell>
          <cell r="K17">
            <v>5</v>
          </cell>
          <cell r="L17">
            <v>0</v>
          </cell>
          <cell r="M17">
            <v>0</v>
          </cell>
        </row>
        <row r="18">
          <cell r="A18" t="str">
            <v>XK-YIWUJS-Y0-7IN</v>
          </cell>
          <cell r="B18">
            <v>3</v>
          </cell>
          <cell r="C18">
            <v>0</v>
          </cell>
          <cell r="D18">
            <v>0</v>
          </cell>
          <cell r="E18">
            <v>7</v>
          </cell>
          <cell r="F18">
            <v>0</v>
          </cell>
          <cell r="G18">
            <v>0</v>
          </cell>
          <cell r="H18">
            <v>4</v>
          </cell>
          <cell r="I18">
            <v>0</v>
          </cell>
          <cell r="J18">
            <v>0</v>
          </cell>
          <cell r="K18">
            <v>5</v>
          </cell>
          <cell r="L18">
            <v>0</v>
          </cell>
          <cell r="M18">
            <v>0</v>
          </cell>
        </row>
        <row r="19">
          <cell r="A19" t="str">
            <v>XK-YIWUJS2-BR-6IN</v>
          </cell>
          <cell r="B19">
            <v>21</v>
          </cell>
          <cell r="C19">
            <v>1</v>
          </cell>
          <cell r="D19">
            <v>0.75</v>
          </cell>
          <cell r="E19">
            <v>117</v>
          </cell>
          <cell r="F19">
            <v>0</v>
          </cell>
          <cell r="G19">
            <v>0</v>
          </cell>
          <cell r="H19">
            <v>188</v>
          </cell>
          <cell r="I19">
            <v>1</v>
          </cell>
          <cell r="J19">
            <v>0.75</v>
          </cell>
          <cell r="K19">
            <v>130</v>
          </cell>
          <cell r="L19">
            <v>0</v>
          </cell>
          <cell r="M19">
            <v>0</v>
          </cell>
        </row>
        <row r="20">
          <cell r="A20" t="str">
            <v>XK-YIWUJS2-BR-7IN</v>
          </cell>
          <cell r="B20">
            <v>63</v>
          </cell>
          <cell r="C20">
            <v>1</v>
          </cell>
          <cell r="D20">
            <v>0.63</v>
          </cell>
          <cell r="E20">
            <v>135</v>
          </cell>
          <cell r="F20">
            <v>0</v>
          </cell>
          <cell r="G20">
            <v>0</v>
          </cell>
          <cell r="H20">
            <v>74</v>
          </cell>
          <cell r="I20">
            <v>1</v>
          </cell>
          <cell r="J20">
            <v>0.58</v>
          </cell>
          <cell r="K20">
            <v>32</v>
          </cell>
          <cell r="L20">
            <v>0</v>
          </cell>
          <cell r="M20">
            <v>0</v>
          </cell>
        </row>
        <row r="21">
          <cell r="A21" t="str">
            <v>XK-YIWUJS2-Y0-6IN</v>
          </cell>
          <cell r="B21">
            <v>33</v>
          </cell>
          <cell r="C21">
            <v>0</v>
          </cell>
          <cell r="D21">
            <v>0</v>
          </cell>
          <cell r="E21">
            <v>48</v>
          </cell>
          <cell r="F21">
            <v>0</v>
          </cell>
          <cell r="G21">
            <v>0</v>
          </cell>
          <cell r="H21">
            <v>50</v>
          </cell>
          <cell r="I21">
            <v>0</v>
          </cell>
          <cell r="J21">
            <v>0</v>
          </cell>
          <cell r="K21">
            <v>91</v>
          </cell>
          <cell r="L21">
            <v>0</v>
          </cell>
          <cell r="M21">
            <v>0</v>
          </cell>
        </row>
        <row r="22">
          <cell r="A22" t="str">
            <v>XK-YIWUJS2-Y0-7IN</v>
          </cell>
          <cell r="B22">
            <v>31</v>
          </cell>
          <cell r="C22">
            <v>2</v>
          </cell>
          <cell r="D22">
            <v>0.74</v>
          </cell>
          <cell r="E22">
            <v>68</v>
          </cell>
          <cell r="F22">
            <v>1</v>
          </cell>
          <cell r="G22">
            <v>0.75</v>
          </cell>
          <cell r="H22">
            <v>40</v>
          </cell>
          <cell r="I22">
            <v>0</v>
          </cell>
          <cell r="J22">
            <v>0</v>
          </cell>
          <cell r="K22">
            <v>42</v>
          </cell>
          <cell r="L22">
            <v>0</v>
          </cell>
          <cell r="M22">
            <v>0</v>
          </cell>
        </row>
        <row r="23">
          <cell r="A23" t="str">
            <v>GB-LUHM035-B0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727</v>
          </cell>
          <cell r="L23">
            <v>4</v>
          </cell>
          <cell r="M23">
            <v>1.78</v>
          </cell>
        </row>
        <row r="24">
          <cell r="A24" t="str">
            <v>GB-LUHM035-BE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4688</v>
          </cell>
          <cell r="L24">
            <v>13</v>
          </cell>
          <cell r="M24">
            <v>4.07</v>
          </cell>
        </row>
        <row r="25">
          <cell r="A25" t="str">
            <v>GB-LUHM035-P0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11742</v>
          </cell>
          <cell r="I25">
            <v>39</v>
          </cell>
          <cell r="J25">
            <v>11.84</v>
          </cell>
          <cell r="K25">
            <v>13818</v>
          </cell>
          <cell r="L25">
            <v>75</v>
          </cell>
          <cell r="M25">
            <v>24.28</v>
          </cell>
        </row>
        <row r="26">
          <cell r="A26" t="str">
            <v>BDB-LUHM001-B0</v>
          </cell>
          <cell r="B26">
            <v>126</v>
          </cell>
          <cell r="C26">
            <v>0</v>
          </cell>
          <cell r="D26">
            <v>0</v>
          </cell>
          <cell r="E26">
            <v>772</v>
          </cell>
          <cell r="F26">
            <v>1</v>
          </cell>
          <cell r="G26">
            <v>0.34</v>
          </cell>
          <cell r="H26">
            <v>335</v>
          </cell>
          <cell r="I26">
            <v>4</v>
          </cell>
          <cell r="J26">
            <v>0.98</v>
          </cell>
          <cell r="K26">
            <v>4286</v>
          </cell>
          <cell r="L26">
            <v>12</v>
          </cell>
          <cell r="M26">
            <v>3.09</v>
          </cell>
        </row>
        <row r="27">
          <cell r="A27" t="str">
            <v>SG-LUHM050-K0</v>
          </cell>
          <cell r="B27">
            <v>2075</v>
          </cell>
          <cell r="C27">
            <v>1</v>
          </cell>
          <cell r="D27">
            <v>0.84</v>
          </cell>
          <cell r="E27">
            <v>2053</v>
          </cell>
          <cell r="F27">
            <v>3</v>
          </cell>
          <cell r="G27">
            <v>3.11</v>
          </cell>
          <cell r="H27">
            <v>1710</v>
          </cell>
          <cell r="I27">
            <v>1</v>
          </cell>
          <cell r="J27">
            <v>1.22</v>
          </cell>
          <cell r="K27">
            <v>9680</v>
          </cell>
          <cell r="L27">
            <v>1</v>
          </cell>
          <cell r="M27">
            <v>0.5</v>
          </cell>
        </row>
        <row r="28">
          <cell r="A28" t="str">
            <v>BDB-LUHM001-K0</v>
          </cell>
          <cell r="B28">
            <v>76</v>
          </cell>
          <cell r="C28">
            <v>0</v>
          </cell>
          <cell r="D28">
            <v>0</v>
          </cell>
          <cell r="E28">
            <v>101</v>
          </cell>
          <cell r="F28">
            <v>3</v>
          </cell>
          <cell r="G28">
            <v>0.8</v>
          </cell>
          <cell r="H28">
            <v>202</v>
          </cell>
          <cell r="I28">
            <v>3</v>
          </cell>
          <cell r="J28">
            <v>0.67</v>
          </cell>
          <cell r="K28">
            <v>2119</v>
          </cell>
          <cell r="L28">
            <v>17</v>
          </cell>
          <cell r="M28">
            <v>6.76</v>
          </cell>
        </row>
        <row r="29">
          <cell r="A29" t="str">
            <v>ZYL-FLQ59-YD-32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2439</v>
          </cell>
          <cell r="L29">
            <v>5</v>
          </cell>
          <cell r="M29">
            <v>3.52</v>
          </cell>
        </row>
        <row r="30">
          <cell r="A30" t="str">
            <v>WB-LUHM002-E0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1330</v>
          </cell>
          <cell r="L30">
            <v>6</v>
          </cell>
          <cell r="M30">
            <v>6.6</v>
          </cell>
        </row>
        <row r="31">
          <cell r="A31" t="str">
            <v>JS-LUHM100-LBX</v>
          </cell>
          <cell r="B31">
            <v>126</v>
          </cell>
          <cell r="C31">
            <v>1</v>
          </cell>
          <cell r="D31">
            <v>0.07</v>
          </cell>
          <cell r="E31">
            <v>1650</v>
          </cell>
          <cell r="F31">
            <v>9</v>
          </cell>
          <cell r="G31">
            <v>9.02</v>
          </cell>
          <cell r="H31">
            <v>3527</v>
          </cell>
          <cell r="I31">
            <v>5</v>
          </cell>
          <cell r="J31">
            <v>8.02</v>
          </cell>
          <cell r="K31">
            <v>285</v>
          </cell>
          <cell r="L31">
            <v>1</v>
          </cell>
          <cell r="M31">
            <v>0.52</v>
          </cell>
        </row>
        <row r="32">
          <cell r="A32" t="str">
            <v>JS-LUHM100-LX</v>
          </cell>
          <cell r="B32">
            <v>39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170</v>
          </cell>
          <cell r="L32">
            <v>0</v>
          </cell>
          <cell r="M32">
            <v>0</v>
          </cell>
        </row>
        <row r="33">
          <cell r="A33" t="str">
            <v>JS-LUHM100-JSZFX</v>
          </cell>
          <cell r="B33">
            <v>3698</v>
          </cell>
          <cell r="C33">
            <v>3</v>
          </cell>
          <cell r="D33">
            <v>2.76</v>
          </cell>
          <cell r="E33">
            <v>3790</v>
          </cell>
          <cell r="F33">
            <v>14</v>
          </cell>
          <cell r="G33">
            <v>14.88</v>
          </cell>
          <cell r="H33">
            <v>5566</v>
          </cell>
          <cell r="I33">
            <v>8</v>
          </cell>
          <cell r="J33">
            <v>9.14</v>
          </cell>
          <cell r="K33">
            <v>2054</v>
          </cell>
          <cell r="L33">
            <v>7</v>
          </cell>
          <cell r="M33">
            <v>6.23</v>
          </cell>
        </row>
        <row r="34">
          <cell r="A34" t="str">
            <v>JS-LUHM100-KLT</v>
          </cell>
          <cell r="B34">
            <v>150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1054</v>
          </cell>
          <cell r="L34">
            <v>9</v>
          </cell>
          <cell r="M34">
            <v>11.2</v>
          </cell>
        </row>
        <row r="35">
          <cell r="A35" t="str">
            <v>SB-LUHM100-K0</v>
          </cell>
          <cell r="B35">
            <v>570</v>
          </cell>
          <cell r="C35">
            <v>7</v>
          </cell>
          <cell r="D35">
            <v>3.91</v>
          </cell>
          <cell r="E35">
            <v>189</v>
          </cell>
          <cell r="F35">
            <v>0</v>
          </cell>
          <cell r="G35">
            <v>0</v>
          </cell>
          <cell r="H35">
            <v>88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JS-LUHM100-AX</v>
          </cell>
          <cell r="B36">
            <v>3116</v>
          </cell>
          <cell r="C36">
            <v>10</v>
          </cell>
          <cell r="D36">
            <v>11.61</v>
          </cell>
          <cell r="E36">
            <v>8153</v>
          </cell>
          <cell r="F36">
            <v>21</v>
          </cell>
          <cell r="G36">
            <v>23.37</v>
          </cell>
          <cell r="H36">
            <v>2043</v>
          </cell>
          <cell r="I36">
            <v>9</v>
          </cell>
          <cell r="J36">
            <v>11.6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XK-YIWUJS-Y0-6IN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LYQ-WF1010-KO-M</v>
          </cell>
          <cell r="B38">
            <v>4</v>
          </cell>
          <cell r="C38">
            <v>0</v>
          </cell>
          <cell r="D38">
            <v>0</v>
          </cell>
          <cell r="E38">
            <v>17380</v>
          </cell>
          <cell r="F38">
            <v>85</v>
          </cell>
          <cell r="G38">
            <v>47.09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LYQ-WF1010-WO-M</v>
          </cell>
          <cell r="B39">
            <v>0</v>
          </cell>
          <cell r="C39">
            <v>0</v>
          </cell>
          <cell r="D39">
            <v>0</v>
          </cell>
          <cell r="E39">
            <v>528</v>
          </cell>
          <cell r="F39">
            <v>6</v>
          </cell>
          <cell r="G39">
            <v>2.62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LYQ-WF1010-BO-2X</v>
          </cell>
          <cell r="B40">
            <v>24</v>
          </cell>
          <cell r="C40">
            <v>0</v>
          </cell>
          <cell r="D40">
            <v>0</v>
          </cell>
          <cell r="E40">
            <v>45521</v>
          </cell>
          <cell r="F40">
            <v>126</v>
          </cell>
          <cell r="G40">
            <v>74.98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SL-LULW818-PI-L</v>
          </cell>
          <cell r="B41">
            <v>2035</v>
          </cell>
          <cell r="C41">
            <v>24</v>
          </cell>
          <cell r="D41">
            <v>7.91</v>
          </cell>
          <cell r="E41">
            <v>1278</v>
          </cell>
          <cell r="F41">
            <v>12</v>
          </cell>
          <cell r="G41">
            <v>5.2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SL-LULW818-RO-L</v>
          </cell>
          <cell r="B42">
            <v>5884</v>
          </cell>
          <cell r="C42">
            <v>17</v>
          </cell>
          <cell r="D42">
            <v>7.06</v>
          </cell>
          <cell r="E42">
            <v>3406</v>
          </cell>
          <cell r="F42">
            <v>10</v>
          </cell>
          <cell r="G42">
            <v>3.09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RYMT-WF712-PI-L</v>
          </cell>
          <cell r="B43">
            <v>57</v>
          </cell>
          <cell r="C43">
            <v>0</v>
          </cell>
          <cell r="D43">
            <v>0</v>
          </cell>
          <cell r="E43">
            <v>4980</v>
          </cell>
          <cell r="F43">
            <v>20</v>
          </cell>
          <cell r="G43">
            <v>10.67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RYMT-WF712-PO-L</v>
          </cell>
          <cell r="B44">
            <v>7</v>
          </cell>
          <cell r="C44">
            <v>0</v>
          </cell>
          <cell r="D44">
            <v>0</v>
          </cell>
          <cell r="E44">
            <v>1557</v>
          </cell>
          <cell r="F44">
            <v>14</v>
          </cell>
          <cell r="G44">
            <v>9.73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RYMT-WF712-GO-L</v>
          </cell>
          <cell r="B45">
            <v>15565</v>
          </cell>
          <cell r="C45">
            <v>9</v>
          </cell>
          <cell r="D45">
            <v>6.03</v>
          </cell>
          <cell r="E45">
            <v>18655</v>
          </cell>
          <cell r="F45">
            <v>32</v>
          </cell>
          <cell r="G45">
            <v>22.8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SQ-LUHM404</v>
          </cell>
          <cell r="B46">
            <v>93</v>
          </cell>
          <cell r="C46">
            <v>1</v>
          </cell>
          <cell r="D46">
            <v>0.83</v>
          </cell>
          <cell r="E46">
            <v>89</v>
          </cell>
          <cell r="F46">
            <v>3</v>
          </cell>
          <cell r="G46">
            <v>1.62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LYQ-WF1010-WO-XL</v>
          </cell>
          <cell r="B47">
            <v>15247</v>
          </cell>
          <cell r="C47">
            <v>139</v>
          </cell>
          <cell r="D47">
            <v>90.76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JS-LUHM100-XJQ</v>
          </cell>
          <cell r="B48">
            <v>123</v>
          </cell>
          <cell r="C48">
            <v>2</v>
          </cell>
          <cell r="D48">
            <v>1.01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62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43297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2018/8/6-2018/8/12</v>
      </c>
      <c r="E3" s="13" t="str">
        <f>TEXT(时间!$B$8,"yyyy/M/d")&amp;"-"&amp;TEXT(时间!$B$7,"yyyy/Md")</f>
        <v>2018/7/30-2018/85</v>
      </c>
      <c r="F3" s="13" t="str">
        <f>TEXT(时间!$B$10,"yyyy/M/d")&amp;"-"&amp;TEXT(时间!$B$9,"yyyy/M/d")</f>
        <v>2018/7/23-2018/7/29</v>
      </c>
      <c r="G3" s="13" t="str">
        <f>TEXT(时间!$B$12,"yyyy/M/d")&amp;"-"&amp;TEXT(时间!$B$11,"yyyy/M/d")</f>
        <v>2018/7/16-2018/7/22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43318</v>
      </c>
      <c r="AG4" s="20">
        <f>时间!$B$7</f>
        <v>43317</v>
      </c>
      <c r="AH4" s="20">
        <f>时间!$B$8</f>
        <v>43311</v>
      </c>
      <c r="AI4" s="20">
        <f>时间!$B$9</f>
        <v>43310</v>
      </c>
      <c r="AJ4" s="20">
        <f>时间!$B$6</f>
        <v>43318</v>
      </c>
      <c r="AK4" s="20">
        <f>时间!$B$7</f>
        <v>43317</v>
      </c>
      <c r="AL4" s="20">
        <f>时间!$B$8</f>
        <v>43311</v>
      </c>
      <c r="AM4" s="20">
        <f>时间!$B$9</f>
        <v>43310</v>
      </c>
      <c r="AN4" s="20">
        <f>时间!$B$6</f>
        <v>43318</v>
      </c>
      <c r="AO4" s="20">
        <f>时间!$B$7</f>
        <v>43317</v>
      </c>
      <c r="AP4" s="20">
        <f>时间!$B$8</f>
        <v>43311</v>
      </c>
      <c r="AQ4" s="20">
        <f>时间!$B$9</f>
        <v>43310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89</v>
      </c>
      <c r="E5" s="4">
        <f>SUM(E6:E19921)</f>
        <v>115</v>
      </c>
      <c r="F5" s="4">
        <f>SUM(F6:F19921)</f>
        <v>99</v>
      </c>
      <c r="G5" s="4">
        <f>SUM(G6:G19921)</f>
        <v>148</v>
      </c>
      <c r="I5" s="4">
        <f t="shared" ref="I5:O5" si="4">SUM(I6:I2921)</f>
        <v>1991</v>
      </c>
      <c r="J5" s="4">
        <f t="shared" si="4"/>
        <v>50</v>
      </c>
      <c r="K5" s="4">
        <f t="shared" si="4"/>
        <v>1</v>
      </c>
      <c r="L5" s="4">
        <f t="shared" si="4"/>
        <v>9</v>
      </c>
      <c r="M5" s="4">
        <f t="shared" si="4"/>
        <v>2051</v>
      </c>
      <c r="N5" s="4">
        <f t="shared" si="4"/>
        <v>15</v>
      </c>
      <c r="O5" s="4">
        <f t="shared" si="4"/>
        <v>1071</v>
      </c>
      <c r="AB5" s="4">
        <f>SUM(AB6:AB2021)</f>
        <v>260.11</v>
      </c>
      <c r="AC5" s="4">
        <f>SUM(AC6:AC2021)</f>
        <v>443.18</v>
      </c>
      <c r="AD5" s="4">
        <f>SUM(AD6:AD2021)</f>
        <v>225.47</v>
      </c>
      <c r="AE5" s="4">
        <f>SUM(AE6:AE2021)</f>
        <v>229.82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0</v>
      </c>
      <c r="E6" s="31">
        <v>2</v>
      </c>
      <c r="F6" s="31">
        <v>1</v>
      </c>
      <c r="G6" s="31">
        <v>0</v>
      </c>
      <c r="H6" s="32">
        <v>16.99</v>
      </c>
      <c r="I6">
        <v>40</v>
      </c>
      <c r="J6" s="33">
        <v>0</v>
      </c>
      <c r="K6" s="33">
        <v>0</v>
      </c>
      <c r="L6" s="33">
        <v>0</v>
      </c>
      <c r="M6">
        <v>40</v>
      </c>
      <c r="N6">
        <v>3</v>
      </c>
      <c r="O6">
        <v>41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38</v>
      </c>
      <c r="AK6">
        <v>50</v>
      </c>
      <c r="AL6">
        <v>28</v>
      </c>
      <c r="AM6">
        <v>23</v>
      </c>
      <c r="AN6" s="22">
        <v>0</v>
      </c>
      <c r="AO6" s="22">
        <v>0.04</v>
      </c>
      <c r="AP6" s="22">
        <v>0.0357142857142857</v>
      </c>
      <c r="AQ6" s="22">
        <v>0</v>
      </c>
      <c r="AR6" s="35">
        <v>0</v>
      </c>
      <c r="AS6" s="35">
        <v>0</v>
      </c>
      <c r="AT6" s="35">
        <v>40</v>
      </c>
      <c r="AU6" s="31" t="str">
        <f t="shared" si="3"/>
        <v>库存为40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0</v>
      </c>
      <c r="E12" s="31">
        <v>2</v>
      </c>
      <c r="F12" s="31">
        <v>0</v>
      </c>
      <c r="G12" s="31">
        <v>0</v>
      </c>
      <c r="H12" s="32">
        <v>15.99</v>
      </c>
      <c r="I12">
        <v>96</v>
      </c>
      <c r="J12" s="33">
        <v>0</v>
      </c>
      <c r="K12" s="33">
        <v>0</v>
      </c>
      <c r="L12" s="33">
        <v>0</v>
      </c>
      <c r="M12">
        <v>96</v>
      </c>
      <c r="N12">
        <v>0</v>
      </c>
      <c r="O12">
        <v>96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11</v>
      </c>
      <c r="AK12">
        <v>5</v>
      </c>
      <c r="AL12">
        <v>4</v>
      </c>
      <c r="AM12">
        <v>1</v>
      </c>
      <c r="AN12" s="22">
        <v>0</v>
      </c>
      <c r="AO12" s="22">
        <v>0.4</v>
      </c>
      <c r="AP12" s="22">
        <v>0</v>
      </c>
      <c r="AQ12" s="22">
        <v>0</v>
      </c>
      <c r="AR12" s="35">
        <v>0</v>
      </c>
      <c r="AS12" s="35">
        <v>0</v>
      </c>
      <c r="AT12" s="35">
        <v>96</v>
      </c>
      <c r="AU12" s="31" t="str">
        <f t="shared" si="3"/>
        <v>库存为96</v>
      </c>
      <c r="AV12" s="36" t="str">
        <f>IFERROR(时间!$B$4+AU12,"上周无销量")</f>
        <v>上周无销量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0</v>
      </c>
      <c r="AK13">
        <v>0</v>
      </c>
      <c r="AL13">
        <v>0</v>
      </c>
      <c r="AM13">
        <v>0</v>
      </c>
      <c r="AN13" s="22" t="s">
        <v>53</v>
      </c>
      <c r="AO13" s="22" t="s">
        <v>53</v>
      </c>
      <c r="AP13" s="22" t="s">
        <v>53</v>
      </c>
      <c r="AQ13" s="22" t="s">
        <v>53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69</v>
      </c>
      <c r="B14" t="s">
        <v>70</v>
      </c>
      <c r="C14" t="s">
        <v>71</v>
      </c>
      <c r="D14" s="31">
        <v>0</v>
      </c>
      <c r="E14" s="31">
        <v>1</v>
      </c>
      <c r="F14" s="31">
        <v>0</v>
      </c>
      <c r="G14" s="31">
        <v>0</v>
      </c>
      <c r="H14" s="32">
        <v>9.9</v>
      </c>
      <c r="I14">
        <v>2</v>
      </c>
      <c r="J14" s="33">
        <v>0</v>
      </c>
      <c r="K14" s="33">
        <v>0</v>
      </c>
      <c r="L14" s="33">
        <v>0</v>
      </c>
      <c r="M14">
        <v>2</v>
      </c>
      <c r="N14">
        <v>0</v>
      </c>
      <c r="O14">
        <v>0</v>
      </c>
      <c r="P14">
        <v>126</v>
      </c>
      <c r="Q14">
        <v>772</v>
      </c>
      <c r="R14">
        <v>335</v>
      </c>
      <c r="S14">
        <v>4286</v>
      </c>
      <c r="T14">
        <v>0</v>
      </c>
      <c r="U14">
        <v>1</v>
      </c>
      <c r="V14">
        <v>4</v>
      </c>
      <c r="W14">
        <v>12</v>
      </c>
      <c r="X14" s="22">
        <v>0</v>
      </c>
      <c r="Y14" s="22">
        <v>0.00129533678756477</v>
      </c>
      <c r="Z14" s="22">
        <v>0.0119402985074627</v>
      </c>
      <c r="AA14" s="22">
        <v>0.00279981334577695</v>
      </c>
      <c r="AB14">
        <v>0</v>
      </c>
      <c r="AC14">
        <v>0.34</v>
      </c>
      <c r="AD14">
        <v>0.98</v>
      </c>
      <c r="AE14">
        <v>3.09</v>
      </c>
      <c r="AF14" s="22" t="s">
        <v>53</v>
      </c>
      <c r="AG14" s="22">
        <v>0.0343434343434343</v>
      </c>
      <c r="AH14" s="22" t="s">
        <v>72</v>
      </c>
      <c r="AI14" s="22" t="s">
        <v>73</v>
      </c>
      <c r="AJ14">
        <v>8</v>
      </c>
      <c r="AK14">
        <v>12</v>
      </c>
      <c r="AL14">
        <v>6</v>
      </c>
      <c r="AM14">
        <v>9</v>
      </c>
      <c r="AN14" s="22">
        <v>0</v>
      </c>
      <c r="AO14" s="22">
        <v>0.0833333333333333</v>
      </c>
      <c r="AP14" s="22">
        <v>0</v>
      </c>
      <c r="AQ14" s="22">
        <v>0</v>
      </c>
      <c r="AR14" s="35">
        <v>0</v>
      </c>
      <c r="AS14" s="35">
        <v>0</v>
      </c>
      <c r="AT14" s="35">
        <v>2</v>
      </c>
      <c r="AU14" s="31" t="str">
        <f t="shared" si="3"/>
        <v>库存为2</v>
      </c>
      <c r="AV14" s="36" t="str">
        <f>IFERROR(时间!$B$4+AU14,"上周无销量")</f>
        <v>上周无销量</v>
      </c>
    </row>
    <row r="15" spans="1:48">
      <c r="A15" s="20" t="s">
        <v>74</v>
      </c>
      <c r="B15" t="s">
        <v>75</v>
      </c>
      <c r="C15" t="s">
        <v>71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6</v>
      </c>
      <c r="AK15">
        <v>5</v>
      </c>
      <c r="AL15">
        <v>11</v>
      </c>
      <c r="AM15">
        <v>2</v>
      </c>
      <c r="AN15" s="22">
        <v>0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76</v>
      </c>
      <c r="B16" t="s">
        <v>77</v>
      </c>
      <c r="C16" t="s">
        <v>71</v>
      </c>
      <c r="D16" s="31">
        <v>0</v>
      </c>
      <c r="E16" s="31">
        <v>0</v>
      </c>
      <c r="F16" s="31">
        <v>1</v>
      </c>
      <c r="G16" s="31">
        <v>0</v>
      </c>
      <c r="H16" s="32">
        <v>9.9</v>
      </c>
      <c r="I16">
        <v>1</v>
      </c>
      <c r="J16" s="33">
        <v>0</v>
      </c>
      <c r="K16" s="33">
        <v>0</v>
      </c>
      <c r="L16" s="33">
        <v>0</v>
      </c>
      <c r="M16">
        <v>1</v>
      </c>
      <c r="N16">
        <v>0</v>
      </c>
      <c r="O16">
        <v>0</v>
      </c>
      <c r="P16">
        <v>76</v>
      </c>
      <c r="Q16">
        <v>101</v>
      </c>
      <c r="R16">
        <v>202</v>
      </c>
      <c r="S16">
        <v>2119</v>
      </c>
      <c r="T16">
        <v>0</v>
      </c>
      <c r="U16">
        <v>3</v>
      </c>
      <c r="V16">
        <v>3</v>
      </c>
      <c r="W16">
        <v>17</v>
      </c>
      <c r="X16" s="22">
        <v>0</v>
      </c>
      <c r="Y16" s="22">
        <v>0.0297029702970297</v>
      </c>
      <c r="Z16" s="22">
        <v>0.0148514851485149</v>
      </c>
      <c r="AA16" s="22">
        <v>0.00802265219443134</v>
      </c>
      <c r="AB16">
        <v>0</v>
      </c>
      <c r="AC16">
        <v>0.8</v>
      </c>
      <c r="AD16">
        <v>0.67</v>
      </c>
      <c r="AE16">
        <v>6.76</v>
      </c>
      <c r="AF16" s="22" t="s">
        <v>53</v>
      </c>
      <c r="AG16" s="22" t="s">
        <v>78</v>
      </c>
      <c r="AH16" s="22">
        <v>0.0676767676767677</v>
      </c>
      <c r="AI16" s="22" t="s">
        <v>79</v>
      </c>
      <c r="AJ16">
        <v>23</v>
      </c>
      <c r="AK16">
        <v>16</v>
      </c>
      <c r="AL16">
        <v>17</v>
      </c>
      <c r="AM16">
        <v>55</v>
      </c>
      <c r="AN16" s="22">
        <v>0</v>
      </c>
      <c r="AO16" s="22">
        <v>0</v>
      </c>
      <c r="AP16" s="22">
        <v>0.0588235294117647</v>
      </c>
      <c r="AQ16" s="22">
        <v>0</v>
      </c>
      <c r="AR16" s="35">
        <v>0</v>
      </c>
      <c r="AS16" s="35">
        <v>0</v>
      </c>
      <c r="AT16" s="35">
        <v>1</v>
      </c>
      <c r="AU16" s="31" t="str">
        <f t="shared" si="3"/>
        <v>库存为1</v>
      </c>
      <c r="AV16" s="36" t="str">
        <f>IFERROR(时间!$B$4+AU16,"上周无销量")</f>
        <v>上周无销量</v>
      </c>
    </row>
    <row r="17" spans="1:48">
      <c r="A17" s="20" t="s">
        <v>80</v>
      </c>
      <c r="B17" t="s">
        <v>81</v>
      </c>
      <c r="C17" t="s">
        <v>71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9</v>
      </c>
      <c r="AK17">
        <v>6</v>
      </c>
      <c r="AL17">
        <v>6</v>
      </c>
      <c r="AM17">
        <v>1</v>
      </c>
      <c r="AN17" s="22">
        <v>0</v>
      </c>
      <c r="AO17" s="22">
        <v>0</v>
      </c>
      <c r="AP17" s="22">
        <v>0</v>
      </c>
      <c r="AQ17" s="22">
        <v>0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82</v>
      </c>
      <c r="B18" t="s">
        <v>83</v>
      </c>
      <c r="C18" t="s">
        <v>71</v>
      </c>
      <c r="D18" s="31">
        <v>2</v>
      </c>
      <c r="E18" s="31">
        <v>1</v>
      </c>
      <c r="F18" s="31">
        <v>0</v>
      </c>
      <c r="G18" s="31">
        <v>0</v>
      </c>
      <c r="H18" s="32">
        <v>9.9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7</v>
      </c>
      <c r="AK18">
        <v>11</v>
      </c>
      <c r="AL18">
        <v>6</v>
      </c>
      <c r="AM18">
        <v>7</v>
      </c>
      <c r="AN18" s="22">
        <v>0.285714285714286</v>
      </c>
      <c r="AO18" s="22">
        <v>0.0909090909090909</v>
      </c>
      <c r="AP18" s="22">
        <v>0</v>
      </c>
      <c r="AQ18" s="22">
        <v>0</v>
      </c>
      <c r="AR18" s="35">
        <v>0.285714285714286</v>
      </c>
      <c r="AS18" s="35">
        <v>17.1428571428571</v>
      </c>
      <c r="AT18" s="35">
        <v>-17.1428571428571</v>
      </c>
      <c r="AU18" s="31">
        <f t="shared" si="3"/>
        <v>0</v>
      </c>
      <c r="AV18" s="36">
        <f>IFERROR(时间!$B$4+AU18,"上周无销量")</f>
        <v>43325</v>
      </c>
    </row>
    <row r="19" spans="1:48">
      <c r="A19" s="20" t="s">
        <v>84</v>
      </c>
      <c r="B19" t="s">
        <v>85</v>
      </c>
      <c r="C19" t="s">
        <v>71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86</v>
      </c>
      <c r="B20" t="s">
        <v>87</v>
      </c>
      <c r="C20" t="s">
        <v>88</v>
      </c>
      <c r="D20" s="31">
        <v>0</v>
      </c>
      <c r="E20" s="31">
        <v>2</v>
      </c>
      <c r="F20" s="31">
        <v>2</v>
      </c>
      <c r="G20" s="31">
        <v>4</v>
      </c>
      <c r="H20" s="32">
        <v>10.99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0</v>
      </c>
      <c r="AK20">
        <v>0</v>
      </c>
      <c r="AL20">
        <v>14</v>
      </c>
      <c r="AM20">
        <v>18</v>
      </c>
      <c r="AN20" s="22" t="s">
        <v>53</v>
      </c>
      <c r="AO20" s="22" t="s">
        <v>53</v>
      </c>
      <c r="AP20" s="22">
        <v>0.142857142857143</v>
      </c>
      <c r="AQ20" s="22">
        <v>0.222222222222222</v>
      </c>
      <c r="AR20" s="35">
        <v>0</v>
      </c>
      <c r="AS20" s="35">
        <v>0</v>
      </c>
      <c r="AT20" s="35">
        <v>0</v>
      </c>
      <c r="AU20" s="31" t="str">
        <f t="shared" si="3"/>
        <v>库存为0</v>
      </c>
      <c r="AV20" s="36" t="str">
        <f>IFERROR(时间!$B$4+AU20,"上周无销量")</f>
        <v>上周无销量</v>
      </c>
    </row>
    <row r="21" spans="1:48">
      <c r="A21" s="20" t="s">
        <v>89</v>
      </c>
      <c r="B21" t="s">
        <v>90</v>
      </c>
      <c r="C21" t="s">
        <v>88</v>
      </c>
      <c r="D21" s="31">
        <v>3</v>
      </c>
      <c r="E21" s="31">
        <v>5</v>
      </c>
      <c r="F21" s="31">
        <v>3</v>
      </c>
      <c r="G21" s="31">
        <v>1</v>
      </c>
      <c r="H21" s="32">
        <v>8.99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4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31</v>
      </c>
      <c r="AK21">
        <v>31</v>
      </c>
      <c r="AL21">
        <v>22</v>
      </c>
      <c r="AM21">
        <v>9</v>
      </c>
      <c r="AN21" s="22">
        <v>0.0967741935483871</v>
      </c>
      <c r="AO21" s="22">
        <v>0.161290322580645</v>
      </c>
      <c r="AP21" s="22">
        <v>0.136363636363636</v>
      </c>
      <c r="AQ21" s="22">
        <v>0.111111111111111</v>
      </c>
      <c r="AR21" s="35">
        <v>0.428571428571429</v>
      </c>
      <c r="AS21" s="35">
        <v>25.7142857142857</v>
      </c>
      <c r="AT21" s="35">
        <v>-25.7142857142857</v>
      </c>
      <c r="AU21" s="31">
        <f t="shared" si="3"/>
        <v>0</v>
      </c>
      <c r="AV21" s="36">
        <f>IFERROR(时间!$B$4+AU21,"上周无销量")</f>
        <v>43325</v>
      </c>
    </row>
    <row r="22" spans="1:48">
      <c r="A22" s="20" t="s">
        <v>91</v>
      </c>
      <c r="B22" t="s">
        <v>92</v>
      </c>
      <c r="C22" t="s">
        <v>88</v>
      </c>
      <c r="D22" s="31">
        <v>2</v>
      </c>
      <c r="E22" s="31">
        <v>4</v>
      </c>
      <c r="F22" s="31">
        <v>2</v>
      </c>
      <c r="G22" s="31">
        <v>1</v>
      </c>
      <c r="H22" s="32">
        <v>9.99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16</v>
      </c>
      <c r="AK22">
        <v>42</v>
      </c>
      <c r="AL22">
        <v>27</v>
      </c>
      <c r="AM22">
        <v>14</v>
      </c>
      <c r="AN22" s="22">
        <v>0.125</v>
      </c>
      <c r="AO22" s="22">
        <v>0.0952380952380952</v>
      </c>
      <c r="AP22" s="22">
        <v>0.0740740740740741</v>
      </c>
      <c r="AQ22" s="22">
        <v>0.0714285714285714</v>
      </c>
      <c r="AR22" s="35">
        <v>0.285714285714286</v>
      </c>
      <c r="AS22" s="35">
        <v>17.1428571428571</v>
      </c>
      <c r="AT22" s="35">
        <v>-17.1428571428571</v>
      </c>
      <c r="AU22" s="31">
        <f t="shared" si="3"/>
        <v>0</v>
      </c>
      <c r="AV22" s="36">
        <f>IFERROR(时间!$B$4+AU22,"上周无销量")</f>
        <v>43325</v>
      </c>
    </row>
    <row r="23" spans="1:48">
      <c r="A23" s="20" t="s">
        <v>93</v>
      </c>
      <c r="B23" t="s">
        <v>94</v>
      </c>
      <c r="C23" t="s">
        <v>88</v>
      </c>
      <c r="D23" s="31">
        <v>3</v>
      </c>
      <c r="E23" s="31">
        <v>0</v>
      </c>
      <c r="F23" s="31">
        <v>0</v>
      </c>
      <c r="G23" s="31">
        <v>0</v>
      </c>
      <c r="H23" s="32">
        <v>8.99</v>
      </c>
      <c r="I23">
        <v>7</v>
      </c>
      <c r="J23" s="33">
        <v>0</v>
      </c>
      <c r="K23" s="33">
        <v>0</v>
      </c>
      <c r="L23" s="33">
        <v>0</v>
      </c>
      <c r="M23">
        <v>7</v>
      </c>
      <c r="N23">
        <v>0</v>
      </c>
      <c r="O23">
        <v>7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9</v>
      </c>
      <c r="AK23">
        <v>7</v>
      </c>
      <c r="AL23">
        <v>10</v>
      </c>
      <c r="AM23">
        <v>1</v>
      </c>
      <c r="AN23" s="22">
        <v>0.333333333333333</v>
      </c>
      <c r="AO23" s="22">
        <v>0</v>
      </c>
      <c r="AP23" s="22">
        <v>0</v>
      </c>
      <c r="AQ23" s="22">
        <v>0</v>
      </c>
      <c r="AR23" s="35">
        <v>0.428571428571429</v>
      </c>
      <c r="AS23" s="35">
        <v>25.7142857142857</v>
      </c>
      <c r="AT23" s="35">
        <v>-18.7142857142857</v>
      </c>
      <c r="AU23" s="31">
        <f t="shared" si="3"/>
        <v>16</v>
      </c>
      <c r="AV23" s="36">
        <f>IFERROR(时间!$B$4+AU23,"上周无销量")</f>
        <v>43341</v>
      </c>
    </row>
    <row r="24" spans="1:48">
      <c r="A24" s="20" t="s">
        <v>95</v>
      </c>
      <c r="B24" t="s">
        <v>96</v>
      </c>
      <c r="C24" t="s">
        <v>88</v>
      </c>
      <c r="D24" s="31">
        <v>1</v>
      </c>
      <c r="E24" s="31">
        <v>0</v>
      </c>
      <c r="F24" s="31">
        <v>0</v>
      </c>
      <c r="G24" s="31">
        <v>0</v>
      </c>
      <c r="H24" s="32">
        <v>9.77</v>
      </c>
      <c r="I24">
        <v>3</v>
      </c>
      <c r="J24" s="33">
        <v>0</v>
      </c>
      <c r="K24" s="33">
        <v>0</v>
      </c>
      <c r="L24" s="33">
        <v>0</v>
      </c>
      <c r="M24">
        <v>3</v>
      </c>
      <c r="N24">
        <v>0</v>
      </c>
      <c r="O24">
        <v>4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17</v>
      </c>
      <c r="AK24">
        <v>13</v>
      </c>
      <c r="AL24">
        <v>12</v>
      </c>
      <c r="AM24">
        <v>1</v>
      </c>
      <c r="AN24" s="22">
        <v>0.0588235294117647</v>
      </c>
      <c r="AO24" s="22">
        <v>0</v>
      </c>
      <c r="AP24" s="22">
        <v>0</v>
      </c>
      <c r="AQ24" s="22">
        <v>0</v>
      </c>
      <c r="AR24" s="35">
        <v>0.142857142857143</v>
      </c>
      <c r="AS24" s="35">
        <v>8.57142857142857</v>
      </c>
      <c r="AT24" s="35">
        <v>-5.57142857142857</v>
      </c>
      <c r="AU24" s="31">
        <f t="shared" si="3"/>
        <v>21</v>
      </c>
      <c r="AV24" s="36">
        <f>IFERROR(时间!$B$4+AU24,"上周无销量")</f>
        <v>43346</v>
      </c>
    </row>
    <row r="25" spans="1:48">
      <c r="A25" s="20" t="s">
        <v>97</v>
      </c>
      <c r="B25" t="s">
        <v>98</v>
      </c>
      <c r="C25" t="s">
        <v>99</v>
      </c>
      <c r="D25" s="31">
        <v>0</v>
      </c>
      <c r="E25" s="31">
        <v>2</v>
      </c>
      <c r="F25" s="31">
        <v>0</v>
      </c>
      <c r="G25" s="31">
        <v>0</v>
      </c>
      <c r="H25" s="32">
        <v>9.99</v>
      </c>
      <c r="I25">
        <v>13</v>
      </c>
      <c r="J25" s="33">
        <v>0</v>
      </c>
      <c r="K25" s="33">
        <v>0</v>
      </c>
      <c r="L25" s="33">
        <v>0</v>
      </c>
      <c r="M25">
        <v>13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17</v>
      </c>
      <c r="AK25">
        <v>13</v>
      </c>
      <c r="AL25">
        <v>13</v>
      </c>
      <c r="AM25">
        <v>7</v>
      </c>
      <c r="AN25" s="22">
        <v>0</v>
      </c>
      <c r="AO25" s="22">
        <v>0.153846153846154</v>
      </c>
      <c r="AP25" s="22">
        <v>0</v>
      </c>
      <c r="AQ25" s="22">
        <v>0</v>
      </c>
      <c r="AR25" s="35">
        <v>0</v>
      </c>
      <c r="AS25" s="35">
        <v>0</v>
      </c>
      <c r="AT25" s="35">
        <v>13</v>
      </c>
      <c r="AU25" s="31" t="str">
        <f t="shared" si="3"/>
        <v>库存为13</v>
      </c>
      <c r="AV25" s="36" t="str">
        <f>IFERROR(时间!$B$4+AU25,"上周无销量")</f>
        <v>上周无销量</v>
      </c>
    </row>
    <row r="26" spans="1:48">
      <c r="A26" s="20" t="s">
        <v>100</v>
      </c>
      <c r="B26" t="s">
        <v>101</v>
      </c>
      <c r="C26" t="s">
        <v>99</v>
      </c>
      <c r="D26" s="31">
        <v>1</v>
      </c>
      <c r="E26" s="31">
        <v>1</v>
      </c>
      <c r="F26" s="31">
        <v>1</v>
      </c>
      <c r="G26" s="31">
        <v>2</v>
      </c>
      <c r="H26" s="32">
        <v>9.99</v>
      </c>
      <c r="I26">
        <v>1</v>
      </c>
      <c r="J26" s="33">
        <v>0</v>
      </c>
      <c r="K26" s="33">
        <v>0</v>
      </c>
      <c r="L26" s="33">
        <v>0</v>
      </c>
      <c r="M26">
        <v>1</v>
      </c>
      <c r="N26">
        <v>1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16</v>
      </c>
      <c r="AK26">
        <v>8</v>
      </c>
      <c r="AL26">
        <v>3</v>
      </c>
      <c r="AM26">
        <v>5</v>
      </c>
      <c r="AN26" s="22">
        <v>0.0625</v>
      </c>
      <c r="AO26" s="22">
        <v>0.125</v>
      </c>
      <c r="AP26" s="22">
        <v>0.333333333333333</v>
      </c>
      <c r="AQ26" s="22">
        <v>0.4</v>
      </c>
      <c r="AR26" s="35">
        <v>0.142857142857143</v>
      </c>
      <c r="AS26" s="35">
        <v>8.57142857142857</v>
      </c>
      <c r="AT26" s="35">
        <v>-7.57142857142857</v>
      </c>
      <c r="AU26" s="31">
        <f t="shared" si="3"/>
        <v>7</v>
      </c>
      <c r="AV26" s="36">
        <f>IFERROR(时间!$B$4+AU26,"上周无销量")</f>
        <v>43332</v>
      </c>
    </row>
    <row r="27" spans="1:48">
      <c r="A27" s="20" t="s">
        <v>102</v>
      </c>
      <c r="B27" t="s">
        <v>103</v>
      </c>
      <c r="C27" t="s">
        <v>99</v>
      </c>
      <c r="D27" s="31">
        <v>0</v>
      </c>
      <c r="E27" s="31">
        <v>0</v>
      </c>
      <c r="F27" s="31">
        <v>3</v>
      </c>
      <c r="G27" s="31">
        <v>1</v>
      </c>
      <c r="H27" s="32">
        <v>9.99</v>
      </c>
      <c r="I27">
        <v>10</v>
      </c>
      <c r="J27" s="33">
        <v>0</v>
      </c>
      <c r="K27" s="33">
        <v>0</v>
      </c>
      <c r="L27" s="33">
        <v>0</v>
      </c>
      <c r="M27">
        <v>10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13</v>
      </c>
      <c r="AK27">
        <v>15</v>
      </c>
      <c r="AL27">
        <v>9</v>
      </c>
      <c r="AM27">
        <v>2</v>
      </c>
      <c r="AN27" s="22">
        <v>0</v>
      </c>
      <c r="AO27" s="22">
        <v>0</v>
      </c>
      <c r="AP27" s="22">
        <v>0.333333333333333</v>
      </c>
      <c r="AQ27" s="22">
        <v>0.5</v>
      </c>
      <c r="AR27" s="35">
        <v>0</v>
      </c>
      <c r="AS27" s="35">
        <v>0</v>
      </c>
      <c r="AT27" s="35">
        <v>10</v>
      </c>
      <c r="AU27" s="31" t="str">
        <f t="shared" si="3"/>
        <v>库存为10</v>
      </c>
      <c r="AV27" s="36" t="str">
        <f>IFERROR(时间!$B$4+AU27,"上周无销量")</f>
        <v>上周无销量</v>
      </c>
    </row>
    <row r="28" spans="1:48">
      <c r="A28" s="20" t="s">
        <v>104</v>
      </c>
      <c r="B28" t="s">
        <v>105</v>
      </c>
      <c r="C28" t="s">
        <v>99</v>
      </c>
      <c r="D28" s="31">
        <v>0</v>
      </c>
      <c r="E28" s="31">
        <v>0</v>
      </c>
      <c r="F28" s="31">
        <v>1</v>
      </c>
      <c r="G28" s="31">
        <v>0</v>
      </c>
      <c r="H28" s="32">
        <v>9.99</v>
      </c>
      <c r="I28">
        <v>12</v>
      </c>
      <c r="J28" s="33">
        <v>0</v>
      </c>
      <c r="K28" s="33">
        <v>0</v>
      </c>
      <c r="L28" s="33">
        <v>0</v>
      </c>
      <c r="M28">
        <v>12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8</v>
      </c>
      <c r="AK28">
        <v>6</v>
      </c>
      <c r="AL28">
        <v>9</v>
      </c>
      <c r="AM28">
        <v>5</v>
      </c>
      <c r="AN28" s="22">
        <v>0</v>
      </c>
      <c r="AO28" s="22">
        <v>0</v>
      </c>
      <c r="AP28" s="22">
        <v>0.111111111111111</v>
      </c>
      <c r="AQ28" s="22">
        <v>0</v>
      </c>
      <c r="AR28" s="35">
        <v>0</v>
      </c>
      <c r="AS28" s="35">
        <v>0</v>
      </c>
      <c r="AT28" s="35">
        <v>12</v>
      </c>
      <c r="AU28" s="31" t="str">
        <f t="shared" si="3"/>
        <v>库存为12</v>
      </c>
      <c r="AV28" s="36" t="str">
        <f>IFERROR(时间!$B$4+AU28,"上周无销量")</f>
        <v>上周无销量</v>
      </c>
    </row>
    <row r="29" spans="1:48">
      <c r="A29" s="20" t="s">
        <v>106</v>
      </c>
      <c r="B29" t="s">
        <v>107</v>
      </c>
      <c r="C29" t="s">
        <v>99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2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8</v>
      </c>
      <c r="AK29">
        <v>6</v>
      </c>
      <c r="AL29">
        <v>5</v>
      </c>
      <c r="AM29">
        <v>6</v>
      </c>
      <c r="AN29" s="22">
        <v>0</v>
      </c>
      <c r="AO29" s="22">
        <v>0</v>
      </c>
      <c r="AP29" s="22">
        <v>0</v>
      </c>
      <c r="AQ29" s="22">
        <v>0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108</v>
      </c>
      <c r="B30" t="s">
        <v>109</v>
      </c>
      <c r="C30" t="s">
        <v>99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17</v>
      </c>
      <c r="J30" s="33">
        <v>0</v>
      </c>
      <c r="K30" s="33">
        <v>0</v>
      </c>
      <c r="L30" s="33">
        <v>0</v>
      </c>
      <c r="M30">
        <v>17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7</v>
      </c>
      <c r="AK30">
        <v>4</v>
      </c>
      <c r="AL30">
        <v>4</v>
      </c>
      <c r="AM30">
        <v>4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17</v>
      </c>
      <c r="AU30" s="31" t="str">
        <f t="shared" si="3"/>
        <v>库存为17</v>
      </c>
      <c r="AV30" s="36" t="str">
        <f>IFERROR(时间!$B$4+AU30,"上周无销量")</f>
        <v>上周无销量</v>
      </c>
    </row>
    <row r="31" spans="1:48">
      <c r="A31" s="20" t="s">
        <v>110</v>
      </c>
      <c r="B31" t="s">
        <v>111</v>
      </c>
      <c r="C31" t="s">
        <v>112</v>
      </c>
      <c r="D31" s="31">
        <v>0</v>
      </c>
      <c r="E31" s="31">
        <v>0</v>
      </c>
      <c r="F31" s="31">
        <v>0</v>
      </c>
      <c r="G31" s="31">
        <v>2</v>
      </c>
      <c r="H31" s="32">
        <v>8.99</v>
      </c>
      <c r="I31">
        <v>8</v>
      </c>
      <c r="J31" s="33">
        <v>0</v>
      </c>
      <c r="K31" s="33">
        <v>0</v>
      </c>
      <c r="L31" s="33">
        <v>0</v>
      </c>
      <c r="M31">
        <v>8</v>
      </c>
      <c r="N31">
        <v>0</v>
      </c>
      <c r="O31">
        <v>6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6</v>
      </c>
      <c r="AK31">
        <v>10</v>
      </c>
      <c r="AL31">
        <v>12</v>
      </c>
      <c r="AM31">
        <v>10</v>
      </c>
      <c r="AN31" s="22">
        <v>0</v>
      </c>
      <c r="AO31" s="22">
        <v>0</v>
      </c>
      <c r="AP31" s="22">
        <v>0</v>
      </c>
      <c r="AQ31" s="22">
        <v>0.2</v>
      </c>
      <c r="AR31" s="35">
        <v>0</v>
      </c>
      <c r="AS31" s="35">
        <v>0</v>
      </c>
      <c r="AT31" s="35">
        <v>8</v>
      </c>
      <c r="AU31" s="31" t="str">
        <f t="shared" si="3"/>
        <v>库存为8</v>
      </c>
      <c r="AV31" s="36" t="str">
        <f>IFERROR(时间!$B$4+AU31,"上周无销量")</f>
        <v>上周无销量</v>
      </c>
    </row>
    <row r="32" spans="1:48">
      <c r="A32" s="20" t="s">
        <v>113</v>
      </c>
      <c r="B32" t="s">
        <v>114</v>
      </c>
      <c r="C32" t="s">
        <v>115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116</v>
      </c>
      <c r="B33" t="s">
        <v>117</v>
      </c>
      <c r="C33" t="s">
        <v>115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118</v>
      </c>
      <c r="B34" t="s">
        <v>119</v>
      </c>
      <c r="C34" t="s">
        <v>120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21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15</v>
      </c>
      <c r="AK34">
        <v>7</v>
      </c>
      <c r="AL34">
        <v>6</v>
      </c>
      <c r="AM34">
        <v>3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121</v>
      </c>
      <c r="B35" t="s">
        <v>122</v>
      </c>
      <c r="C35" t="s">
        <v>120</v>
      </c>
      <c r="D35" s="31">
        <v>0</v>
      </c>
      <c r="E35" s="31">
        <v>1</v>
      </c>
      <c r="F35" s="31">
        <v>1</v>
      </c>
      <c r="G35" s="31">
        <v>1</v>
      </c>
      <c r="H35" s="32">
        <v>8.99</v>
      </c>
      <c r="I35">
        <v>20</v>
      </c>
      <c r="J35" s="33">
        <v>0</v>
      </c>
      <c r="K35" s="33">
        <v>0</v>
      </c>
      <c r="L35" s="33">
        <v>0</v>
      </c>
      <c r="M35">
        <v>20</v>
      </c>
      <c r="N35">
        <v>0</v>
      </c>
      <c r="O35">
        <v>20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21</v>
      </c>
      <c r="AK35">
        <v>10</v>
      </c>
      <c r="AL35">
        <v>12</v>
      </c>
      <c r="AM35">
        <v>14</v>
      </c>
      <c r="AN35" s="22">
        <v>0</v>
      </c>
      <c r="AO35" s="22">
        <v>0.1</v>
      </c>
      <c r="AP35" s="22">
        <v>0.0833333333333333</v>
      </c>
      <c r="AQ35" s="22">
        <v>0.0714285714285714</v>
      </c>
      <c r="AR35" s="35">
        <v>0</v>
      </c>
      <c r="AS35" s="35">
        <v>0</v>
      </c>
      <c r="AT35" s="35">
        <v>20</v>
      </c>
      <c r="AU35" s="31" t="str">
        <f t="shared" si="3"/>
        <v>库存为20</v>
      </c>
      <c r="AV35" s="36" t="str">
        <f>IFERROR(时间!$B$4+AU35,"上周无销量")</f>
        <v>上周无销量</v>
      </c>
    </row>
    <row r="36" spans="1:48">
      <c r="A36" s="20" t="s">
        <v>123</v>
      </c>
      <c r="B36" t="s">
        <v>124</v>
      </c>
      <c r="C36" t="s">
        <v>120</v>
      </c>
      <c r="D36" s="31">
        <v>0</v>
      </c>
      <c r="E36" s="31">
        <v>1</v>
      </c>
      <c r="F36" s="31">
        <v>1</v>
      </c>
      <c r="G36" s="31">
        <v>0</v>
      </c>
      <c r="H36" s="32">
        <v>8.99</v>
      </c>
      <c r="I36">
        <v>24</v>
      </c>
      <c r="J36" s="33">
        <v>0</v>
      </c>
      <c r="K36" s="33">
        <v>0</v>
      </c>
      <c r="L36" s="33">
        <v>0</v>
      </c>
      <c r="M36">
        <v>24</v>
      </c>
      <c r="N36">
        <v>0</v>
      </c>
      <c r="O36">
        <v>22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10</v>
      </c>
      <c r="AK36">
        <v>7</v>
      </c>
      <c r="AL36">
        <v>17</v>
      </c>
      <c r="AM36">
        <v>13</v>
      </c>
      <c r="AN36" s="22">
        <v>0</v>
      </c>
      <c r="AO36" s="22">
        <v>0.142857142857143</v>
      </c>
      <c r="AP36" s="22">
        <v>0.0588235294117647</v>
      </c>
      <c r="AQ36" s="22">
        <v>0</v>
      </c>
      <c r="AR36" s="35">
        <v>0</v>
      </c>
      <c r="AS36" s="35">
        <v>0</v>
      </c>
      <c r="AT36" s="35">
        <v>24</v>
      </c>
      <c r="AU36" s="31" t="str">
        <f t="shared" si="3"/>
        <v>库存为24</v>
      </c>
      <c r="AV36" s="36" t="str">
        <f>IFERROR(时间!$B$4+AU36,"上周无销量")</f>
        <v>上周无销量</v>
      </c>
    </row>
    <row r="37" spans="1:48">
      <c r="A37" s="20" t="s">
        <v>125</v>
      </c>
      <c r="B37" t="s">
        <v>126</v>
      </c>
      <c r="C37" t="s">
        <v>120</v>
      </c>
      <c r="D37" s="31">
        <v>0</v>
      </c>
      <c r="E37" s="31">
        <v>0</v>
      </c>
      <c r="F37" s="31">
        <v>1</v>
      </c>
      <c r="G37" s="31">
        <v>1</v>
      </c>
      <c r="H37" s="32">
        <v>9.99</v>
      </c>
      <c r="I37">
        <v>16</v>
      </c>
      <c r="J37" s="33">
        <v>0</v>
      </c>
      <c r="K37" s="33">
        <v>0</v>
      </c>
      <c r="L37" s="33">
        <v>0</v>
      </c>
      <c r="M37">
        <v>16</v>
      </c>
      <c r="N37">
        <v>0</v>
      </c>
      <c r="O37">
        <v>16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31</v>
      </c>
      <c r="AK37">
        <v>20</v>
      </c>
      <c r="AL37">
        <v>11</v>
      </c>
      <c r="AM37">
        <v>23</v>
      </c>
      <c r="AN37" s="22">
        <v>0</v>
      </c>
      <c r="AO37" s="22">
        <v>0</v>
      </c>
      <c r="AP37" s="22">
        <v>0.0909090909090909</v>
      </c>
      <c r="AQ37" s="22">
        <v>0.0434782608695652</v>
      </c>
      <c r="AR37" s="35">
        <v>0</v>
      </c>
      <c r="AS37" s="35">
        <v>0</v>
      </c>
      <c r="AT37" s="35">
        <v>16</v>
      </c>
      <c r="AU37" s="31" t="str">
        <f t="shared" si="3"/>
        <v>库存为16</v>
      </c>
      <c r="AV37" s="36" t="str">
        <f>IFERROR(时间!$B$4+AU37,"上周无销量")</f>
        <v>上周无销量</v>
      </c>
    </row>
    <row r="38" spans="1:48">
      <c r="A38" s="20" t="s">
        <v>127</v>
      </c>
      <c r="B38" t="s">
        <v>128</v>
      </c>
      <c r="C38" t="s">
        <v>129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130</v>
      </c>
      <c r="B39" t="s">
        <v>131</v>
      </c>
      <c r="C39" t="s">
        <v>129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132</v>
      </c>
      <c r="B40" t="s">
        <v>133</v>
      </c>
      <c r="C40" t="s">
        <v>134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135</v>
      </c>
      <c r="B41" t="s">
        <v>136</v>
      </c>
      <c r="C41" t="s">
        <v>134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2</v>
      </c>
      <c r="J41" s="33">
        <v>0</v>
      </c>
      <c r="K41" s="33">
        <v>0</v>
      </c>
      <c r="L41" s="33">
        <v>0</v>
      </c>
      <c r="M41">
        <v>2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10</v>
      </c>
      <c r="AK41">
        <v>1</v>
      </c>
      <c r="AL41">
        <v>9</v>
      </c>
      <c r="AM41">
        <v>2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2</v>
      </c>
      <c r="AU41" s="31" t="str">
        <f t="shared" si="3"/>
        <v>库存为2</v>
      </c>
      <c r="AV41" s="36" t="str">
        <f>IFERROR(时间!$B$4+AU41,"上周无销量")</f>
        <v>上周无销量</v>
      </c>
    </row>
    <row r="42" spans="1:48">
      <c r="A42" s="20" t="s">
        <v>137</v>
      </c>
      <c r="B42" t="s">
        <v>138</v>
      </c>
      <c r="C42" t="s">
        <v>134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139</v>
      </c>
      <c r="B43" t="s">
        <v>140</v>
      </c>
      <c r="C43" t="s">
        <v>134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141</v>
      </c>
      <c r="B44" t="s">
        <v>142</v>
      </c>
      <c r="C44" t="s">
        <v>143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144</v>
      </c>
      <c r="B45" t="s">
        <v>145</v>
      </c>
      <c r="C45" t="s">
        <v>143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146</v>
      </c>
      <c r="B46" t="s">
        <v>147</v>
      </c>
      <c r="C46" t="s">
        <v>143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148</v>
      </c>
      <c r="B47" t="s">
        <v>149</v>
      </c>
      <c r="C47" t="s">
        <v>143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150</v>
      </c>
      <c r="B48" t="s">
        <v>151</v>
      </c>
      <c r="C48" t="s">
        <v>143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152</v>
      </c>
      <c r="B49" t="s">
        <v>153</v>
      </c>
      <c r="C49" t="s">
        <v>154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155</v>
      </c>
      <c r="B50" t="s">
        <v>156</v>
      </c>
      <c r="C50" t="s">
        <v>157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0</v>
      </c>
      <c r="AM50">
        <v>0</v>
      </c>
      <c r="AN50" s="22" t="s">
        <v>53</v>
      </c>
      <c r="AO50" s="22" t="s">
        <v>53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158</v>
      </c>
      <c r="B51" t="s">
        <v>159</v>
      </c>
      <c r="C51" t="s">
        <v>157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0</v>
      </c>
      <c r="AM51">
        <v>0</v>
      </c>
      <c r="AN51" s="22" t="s">
        <v>53</v>
      </c>
      <c r="AO51" s="22" t="s">
        <v>53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160</v>
      </c>
      <c r="B52" t="s">
        <v>161</v>
      </c>
      <c r="C52" t="s">
        <v>162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0</v>
      </c>
      <c r="AN52" s="22" t="s">
        <v>53</v>
      </c>
      <c r="AO52" s="22" t="s">
        <v>53</v>
      </c>
      <c r="AP52" s="22" t="s">
        <v>53</v>
      </c>
      <c r="AQ52" s="22" t="s">
        <v>53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163</v>
      </c>
      <c r="B53" t="s">
        <v>161</v>
      </c>
      <c r="C53" t="s">
        <v>162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0</v>
      </c>
      <c r="AM53">
        <v>0</v>
      </c>
      <c r="AN53" s="22" t="s">
        <v>53</v>
      </c>
      <c r="AO53" s="22" t="s">
        <v>53</v>
      </c>
      <c r="AP53" s="22" t="s">
        <v>53</v>
      </c>
      <c r="AQ53" s="22" t="s">
        <v>53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164</v>
      </c>
      <c r="B54" t="s">
        <v>165</v>
      </c>
      <c r="C54" t="s">
        <v>162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0</v>
      </c>
      <c r="AM54">
        <v>0</v>
      </c>
      <c r="AN54" s="22" t="s">
        <v>53</v>
      </c>
      <c r="AO54" s="22" t="s">
        <v>53</v>
      </c>
      <c r="AP54" s="22" t="s">
        <v>53</v>
      </c>
      <c r="AQ54" s="22" t="s">
        <v>53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166</v>
      </c>
      <c r="B55" t="s">
        <v>165</v>
      </c>
      <c r="C55" t="s">
        <v>162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0</v>
      </c>
      <c r="AM55">
        <v>0</v>
      </c>
      <c r="AN55" s="22" t="s">
        <v>53</v>
      </c>
      <c r="AO55" s="22" t="s">
        <v>53</v>
      </c>
      <c r="AP55" s="22" t="s">
        <v>53</v>
      </c>
      <c r="AQ55" s="22" t="s">
        <v>53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167</v>
      </c>
      <c r="B56" t="s">
        <v>168</v>
      </c>
      <c r="C56" t="s">
        <v>162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0</v>
      </c>
      <c r="AM56">
        <v>0</v>
      </c>
      <c r="AN56" s="22" t="s">
        <v>53</v>
      </c>
      <c r="AO56" s="22" t="s">
        <v>53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169</v>
      </c>
      <c r="B57" t="s">
        <v>168</v>
      </c>
      <c r="C57" t="s">
        <v>162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170</v>
      </c>
      <c r="B58" t="s">
        <v>171</v>
      </c>
      <c r="C58" t="s">
        <v>172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9</v>
      </c>
      <c r="J58" s="33">
        <v>0</v>
      </c>
      <c r="K58" s="33">
        <v>0</v>
      </c>
      <c r="L58" s="33">
        <v>0</v>
      </c>
      <c r="M58">
        <v>9</v>
      </c>
      <c r="N58">
        <v>0</v>
      </c>
      <c r="O58">
        <v>9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11</v>
      </c>
      <c r="AK58">
        <v>0</v>
      </c>
      <c r="AL58">
        <v>5</v>
      </c>
      <c r="AM58">
        <v>3</v>
      </c>
      <c r="AN58" s="22">
        <v>0</v>
      </c>
      <c r="AO58" s="22" t="s">
        <v>53</v>
      </c>
      <c r="AP58" s="22">
        <v>0</v>
      </c>
      <c r="AQ58" s="22">
        <v>0</v>
      </c>
      <c r="AR58" s="35">
        <v>0</v>
      </c>
      <c r="AS58" s="35">
        <v>0</v>
      </c>
      <c r="AT58" s="35">
        <v>9</v>
      </c>
      <c r="AU58" s="31" t="str">
        <f t="shared" si="3"/>
        <v>库存为9</v>
      </c>
      <c r="AV58" s="36" t="str">
        <f>IFERROR(时间!$B$4+AU58,"上周无销量")</f>
        <v>上周无销量</v>
      </c>
    </row>
    <row r="59" spans="1:48">
      <c r="A59" s="20" t="s">
        <v>173</v>
      </c>
      <c r="B59" t="s">
        <v>174</v>
      </c>
      <c r="C59" t="s">
        <v>172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13</v>
      </c>
      <c r="J59" s="33">
        <v>0</v>
      </c>
      <c r="K59" s="33">
        <v>0</v>
      </c>
      <c r="L59" s="33">
        <v>0</v>
      </c>
      <c r="M59">
        <v>13</v>
      </c>
      <c r="N59">
        <v>0</v>
      </c>
      <c r="O59">
        <v>13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8</v>
      </c>
      <c r="AK59">
        <v>1</v>
      </c>
      <c r="AL59">
        <v>6</v>
      </c>
      <c r="AM59">
        <v>2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13</v>
      </c>
      <c r="AU59" s="31" t="str">
        <f t="shared" si="3"/>
        <v>库存为13</v>
      </c>
      <c r="AV59" s="36" t="str">
        <f>IFERROR(时间!$B$4+AU59,"上周无销量")</f>
        <v>上周无销量</v>
      </c>
    </row>
    <row r="60" spans="1:48">
      <c r="A60" s="20" t="s">
        <v>175</v>
      </c>
      <c r="B60" t="s">
        <v>176</v>
      </c>
      <c r="C60" t="s">
        <v>177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0</v>
      </c>
      <c r="AK60">
        <v>0</v>
      </c>
      <c r="AL60">
        <v>0</v>
      </c>
      <c r="AM60">
        <v>0</v>
      </c>
      <c r="AN60" s="22" t="s">
        <v>53</v>
      </c>
      <c r="AO60" s="22" t="s">
        <v>53</v>
      </c>
      <c r="AP60" s="22" t="s">
        <v>53</v>
      </c>
      <c r="AQ60" s="22" t="s">
        <v>53</v>
      </c>
      <c r="AR60" s="35">
        <v>0</v>
      </c>
      <c r="AS60" s="35">
        <v>0</v>
      </c>
      <c r="AT60" s="35">
        <v>0</v>
      </c>
      <c r="AU60" s="31" t="str">
        <f t="shared" si="3"/>
        <v>库存为0</v>
      </c>
      <c r="AV60" s="36" t="str">
        <f>IFERROR(时间!$B$4+AU60,"上周无销量")</f>
        <v>上周无销量</v>
      </c>
    </row>
    <row r="61" spans="1:48">
      <c r="A61" s="20" t="s">
        <v>178</v>
      </c>
      <c r="B61" t="s">
        <v>179</v>
      </c>
      <c r="C61" t="s">
        <v>177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180</v>
      </c>
      <c r="B62" t="s">
        <v>181</v>
      </c>
      <c r="C62" t="s">
        <v>177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182</v>
      </c>
      <c r="B63" t="s">
        <v>183</v>
      </c>
      <c r="C63" t="s">
        <v>184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185</v>
      </c>
      <c r="B64" t="s">
        <v>186</v>
      </c>
      <c r="C64" t="s">
        <v>187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7</v>
      </c>
      <c r="J64" s="33">
        <v>0</v>
      </c>
      <c r="K64" s="33">
        <v>0</v>
      </c>
      <c r="L64" s="33">
        <v>0</v>
      </c>
      <c r="M64">
        <v>7</v>
      </c>
      <c r="N64">
        <v>0</v>
      </c>
      <c r="O64">
        <v>2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5</v>
      </c>
      <c r="AK64">
        <v>4</v>
      </c>
      <c r="AL64">
        <v>12</v>
      </c>
      <c r="AM64">
        <v>4</v>
      </c>
      <c r="AN64" s="22">
        <v>0</v>
      </c>
      <c r="AO64" s="22">
        <v>0</v>
      </c>
      <c r="AP64" s="22">
        <v>0</v>
      </c>
      <c r="AQ64" s="22">
        <v>0</v>
      </c>
      <c r="AR64" s="35">
        <v>0</v>
      </c>
      <c r="AS64" s="35">
        <v>0</v>
      </c>
      <c r="AT64" s="35">
        <v>7</v>
      </c>
      <c r="AU64" s="31" t="str">
        <f t="shared" si="3"/>
        <v>库存为7</v>
      </c>
      <c r="AV64" s="36" t="str">
        <f>IFERROR(时间!$B$4+AU64,"上周无销量")</f>
        <v>上周无销量</v>
      </c>
    </row>
    <row r="65" spans="1:48">
      <c r="A65" s="20" t="s">
        <v>188</v>
      </c>
      <c r="B65" t="s">
        <v>189</v>
      </c>
      <c r="C65" t="s">
        <v>187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</v>
      </c>
      <c r="J65" s="33">
        <v>0</v>
      </c>
      <c r="K65" s="33">
        <v>0</v>
      </c>
      <c r="L65" s="33">
        <v>0</v>
      </c>
      <c r="M65">
        <v>1</v>
      </c>
      <c r="N65">
        <v>0</v>
      </c>
      <c r="O65">
        <v>1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8</v>
      </c>
      <c r="AK65">
        <v>5</v>
      </c>
      <c r="AL65">
        <v>7</v>
      </c>
      <c r="AM65">
        <v>4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</v>
      </c>
      <c r="AU65" s="31" t="str">
        <f t="shared" si="3"/>
        <v>库存为1</v>
      </c>
      <c r="AV65" s="36" t="str">
        <f>IFERROR(时间!$B$4+AU65,"上周无销量")</f>
        <v>上周无销量</v>
      </c>
    </row>
    <row r="66" spans="1:48">
      <c r="A66" s="20" t="s">
        <v>190</v>
      </c>
      <c r="B66" t="s">
        <v>191</v>
      </c>
      <c r="C66" t="s">
        <v>187</v>
      </c>
      <c r="D66" s="31">
        <v>2</v>
      </c>
      <c r="E66" s="31">
        <v>0</v>
      </c>
      <c r="F66" s="31">
        <v>0</v>
      </c>
      <c r="G66" s="31">
        <v>0</v>
      </c>
      <c r="H66" s="32">
        <v>11.99</v>
      </c>
      <c r="I66">
        <v>3</v>
      </c>
      <c r="J66" s="33">
        <v>0</v>
      </c>
      <c r="K66" s="33">
        <v>0</v>
      </c>
      <c r="L66" s="33">
        <v>0</v>
      </c>
      <c r="M66">
        <v>3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9</v>
      </c>
      <c r="AK66">
        <v>10</v>
      </c>
      <c r="AL66">
        <v>10</v>
      </c>
      <c r="AM66">
        <v>7</v>
      </c>
      <c r="AN66" s="22">
        <v>0.222222222222222</v>
      </c>
      <c r="AO66" s="22">
        <v>0</v>
      </c>
      <c r="AP66" s="22">
        <v>0</v>
      </c>
      <c r="AQ66" s="22">
        <v>0</v>
      </c>
      <c r="AR66" s="35">
        <v>0.285714285714286</v>
      </c>
      <c r="AS66" s="35">
        <v>17.1428571428571</v>
      </c>
      <c r="AT66" s="35">
        <v>-14.1428571428571</v>
      </c>
      <c r="AU66" s="31">
        <f t="shared" si="3"/>
        <v>10</v>
      </c>
      <c r="AV66" s="36">
        <f>IFERROR(时间!$B$4+AU66,"上周无销量")</f>
        <v>43335</v>
      </c>
    </row>
    <row r="67" spans="1:48">
      <c r="A67" s="20" t="s">
        <v>192</v>
      </c>
      <c r="B67" t="s">
        <v>193</v>
      </c>
      <c r="C67" t="s">
        <v>187</v>
      </c>
      <c r="D67" s="31">
        <v>0</v>
      </c>
      <c r="E67" s="31">
        <v>0</v>
      </c>
      <c r="F67" s="31">
        <v>1</v>
      </c>
      <c r="G67" s="31">
        <v>0</v>
      </c>
      <c r="H67" s="32">
        <v>15.46</v>
      </c>
      <c r="I67">
        <v>9</v>
      </c>
      <c r="J67" s="33">
        <v>0</v>
      </c>
      <c r="K67" s="33">
        <v>0</v>
      </c>
      <c r="L67" s="33">
        <v>0</v>
      </c>
      <c r="M67">
        <v>9</v>
      </c>
      <c r="N67">
        <v>0</v>
      </c>
      <c r="O67">
        <v>9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7</v>
      </c>
      <c r="AK67">
        <v>10</v>
      </c>
      <c r="AL67">
        <v>6</v>
      </c>
      <c r="AM67">
        <v>5</v>
      </c>
      <c r="AN67" s="22">
        <v>0</v>
      </c>
      <c r="AO67" s="22">
        <v>0</v>
      </c>
      <c r="AP67" s="22">
        <v>0.166666666666667</v>
      </c>
      <c r="AQ67" s="22">
        <v>0</v>
      </c>
      <c r="AR67" s="35">
        <v>0</v>
      </c>
      <c r="AS67" s="35">
        <v>0</v>
      </c>
      <c r="AT67" s="35">
        <v>9</v>
      </c>
      <c r="AU67" s="31" t="str">
        <f t="shared" si="3"/>
        <v>库存为9</v>
      </c>
      <c r="AV67" s="36" t="str">
        <f>IFERROR(时间!$B$4+AU67,"上周无销量")</f>
        <v>上周无销量</v>
      </c>
    </row>
    <row r="68" spans="1:48">
      <c r="A68" s="20" t="s">
        <v>194</v>
      </c>
      <c r="B68" t="s">
        <v>195</v>
      </c>
      <c r="C68" t="s">
        <v>187</v>
      </c>
      <c r="D68" s="31">
        <v>0</v>
      </c>
      <c r="E68" s="31">
        <v>0</v>
      </c>
      <c r="F68" s="31">
        <v>0</v>
      </c>
      <c r="G68" s="31">
        <v>1</v>
      </c>
      <c r="H68" s="32">
        <v>13.59</v>
      </c>
      <c r="I68">
        <v>6</v>
      </c>
      <c r="J68" s="33">
        <v>0</v>
      </c>
      <c r="K68" s="33">
        <v>0</v>
      </c>
      <c r="L68" s="33">
        <v>0</v>
      </c>
      <c r="M68">
        <v>6</v>
      </c>
      <c r="N68">
        <v>0</v>
      </c>
      <c r="O68">
        <v>0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3</v>
      </c>
      <c r="AK68">
        <v>7</v>
      </c>
      <c r="AL68">
        <v>7</v>
      </c>
      <c r="AM68">
        <v>6</v>
      </c>
      <c r="AN68" s="22">
        <v>0</v>
      </c>
      <c r="AO68" s="22">
        <v>0</v>
      </c>
      <c r="AP68" s="22">
        <v>0</v>
      </c>
      <c r="AQ68" s="22">
        <v>0.166666666666667</v>
      </c>
      <c r="AR68" s="35">
        <v>0</v>
      </c>
      <c r="AS68" s="35">
        <v>0</v>
      </c>
      <c r="AT68" s="35">
        <v>6</v>
      </c>
      <c r="AU68" s="31" t="str">
        <f t="shared" si="3"/>
        <v>库存为6</v>
      </c>
      <c r="AV68" s="36" t="str">
        <f>IFERROR(时间!$B$4+AU68,"上周无销量")</f>
        <v>上周无销量</v>
      </c>
    </row>
    <row r="69" spans="1:48">
      <c r="A69" s="20" t="s">
        <v>196</v>
      </c>
      <c r="B69" t="s">
        <v>197</v>
      </c>
      <c r="C69" t="s">
        <v>187</v>
      </c>
      <c r="D69" s="31">
        <v>1</v>
      </c>
      <c r="E69" s="31">
        <v>1</v>
      </c>
      <c r="F69" s="31">
        <v>0</v>
      </c>
      <c r="G69" s="31">
        <v>2</v>
      </c>
      <c r="H69" s="32">
        <v>13.39</v>
      </c>
      <c r="I69">
        <v>1</v>
      </c>
      <c r="J69" s="33">
        <v>0</v>
      </c>
      <c r="K69" s="33">
        <v>0</v>
      </c>
      <c r="L69" s="33">
        <v>0</v>
      </c>
      <c r="M69">
        <v>1</v>
      </c>
      <c r="N69">
        <v>2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5</v>
      </c>
      <c r="AK69">
        <v>6</v>
      </c>
      <c r="AL69">
        <v>7</v>
      </c>
      <c r="AM69">
        <v>4</v>
      </c>
      <c r="AN69" s="22">
        <v>0.2</v>
      </c>
      <c r="AO69" s="22">
        <v>0.166666666666667</v>
      </c>
      <c r="AP69" s="22">
        <v>0</v>
      </c>
      <c r="AQ69" s="22">
        <v>0.5</v>
      </c>
      <c r="AR69" s="35">
        <v>0.142857142857143</v>
      </c>
      <c r="AS69" s="35">
        <v>8.57142857142857</v>
      </c>
      <c r="AT69" s="35">
        <v>-7.57142857142857</v>
      </c>
      <c r="AU69" s="31">
        <f t="shared" ref="AU69:AU132" si="5">IF(AR69="","库存为"&amp;M69,IF(AS69=0,"库存为"&amp;M69,INT(M69/AR69)))</f>
        <v>7</v>
      </c>
      <c r="AV69" s="36">
        <f>IFERROR(时间!$B$4+AU69,"上周无销量")</f>
        <v>43332</v>
      </c>
    </row>
    <row r="70" spans="1:48">
      <c r="A70" s="20" t="s">
        <v>198</v>
      </c>
      <c r="B70" t="s">
        <v>199</v>
      </c>
      <c r="C70" t="s">
        <v>187</v>
      </c>
      <c r="D70" s="31">
        <v>0</v>
      </c>
      <c r="E70" s="31">
        <v>0</v>
      </c>
      <c r="F70" s="31">
        <v>2</v>
      </c>
      <c r="G70" s="31">
        <v>0</v>
      </c>
      <c r="H70" s="32">
        <v>12.99</v>
      </c>
      <c r="I70">
        <v>3</v>
      </c>
      <c r="J70" s="33">
        <v>0</v>
      </c>
      <c r="K70" s="33">
        <v>0</v>
      </c>
      <c r="L70" s="33">
        <v>0</v>
      </c>
      <c r="M70">
        <v>3</v>
      </c>
      <c r="N70">
        <v>0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16</v>
      </c>
      <c r="AK70">
        <v>13</v>
      </c>
      <c r="AL70">
        <v>11</v>
      </c>
      <c r="AM70">
        <v>12</v>
      </c>
      <c r="AN70" s="22">
        <v>0</v>
      </c>
      <c r="AO70" s="22">
        <v>0</v>
      </c>
      <c r="AP70" s="22">
        <v>0.181818181818182</v>
      </c>
      <c r="AQ70" s="22">
        <v>0</v>
      </c>
      <c r="AR70" s="35">
        <v>0</v>
      </c>
      <c r="AS70" s="35">
        <v>0</v>
      </c>
      <c r="AT70" s="35">
        <v>3</v>
      </c>
      <c r="AU70" s="31" t="str">
        <f t="shared" si="5"/>
        <v>库存为3</v>
      </c>
      <c r="AV70" s="36" t="str">
        <f>IFERROR(时间!$B$4+AU70,"上周无销量")</f>
        <v>上周无销量</v>
      </c>
    </row>
    <row r="71" spans="1:48">
      <c r="A71" s="20" t="s">
        <v>200</v>
      </c>
      <c r="B71" t="s">
        <v>201</v>
      </c>
      <c r="C71" t="s">
        <v>187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8</v>
      </c>
      <c r="AK71">
        <v>6</v>
      </c>
      <c r="AL71">
        <v>8</v>
      </c>
      <c r="AM71">
        <v>12</v>
      </c>
      <c r="AN71" s="22">
        <v>0</v>
      </c>
      <c r="AO71" s="22">
        <v>0</v>
      </c>
      <c r="AP71" s="22">
        <v>0</v>
      </c>
      <c r="AQ71" s="22">
        <v>0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0" t="s">
        <v>202</v>
      </c>
      <c r="B72" t="s">
        <v>203</v>
      </c>
      <c r="C72" t="s">
        <v>187</v>
      </c>
      <c r="D72" s="31">
        <v>0</v>
      </c>
      <c r="E72" s="31">
        <v>1</v>
      </c>
      <c r="F72" s="31">
        <v>0</v>
      </c>
      <c r="G72" s="31">
        <v>0</v>
      </c>
      <c r="H72" s="32">
        <v>14.99</v>
      </c>
      <c r="I72">
        <v>4</v>
      </c>
      <c r="J72" s="33">
        <v>0</v>
      </c>
      <c r="K72" s="33">
        <v>0</v>
      </c>
      <c r="L72" s="33">
        <v>0</v>
      </c>
      <c r="M72">
        <v>4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11</v>
      </c>
      <c r="AK72">
        <v>5</v>
      </c>
      <c r="AL72">
        <v>6</v>
      </c>
      <c r="AM72">
        <v>2</v>
      </c>
      <c r="AN72" s="22">
        <v>0</v>
      </c>
      <c r="AO72" s="22">
        <v>0.2</v>
      </c>
      <c r="AP72" s="22">
        <v>0</v>
      </c>
      <c r="AQ72" s="22">
        <v>0</v>
      </c>
      <c r="AR72" s="35">
        <v>0</v>
      </c>
      <c r="AS72" s="35">
        <v>0</v>
      </c>
      <c r="AT72" s="35">
        <v>4</v>
      </c>
      <c r="AU72" s="31" t="str">
        <f t="shared" si="5"/>
        <v>库存为4</v>
      </c>
      <c r="AV72" s="36" t="str">
        <f>IFERROR(时间!$B$4+AU72,"上周无销量")</f>
        <v>上周无销量</v>
      </c>
    </row>
    <row r="73" spans="1:48">
      <c r="A73" s="20" t="s">
        <v>204</v>
      </c>
      <c r="B73" t="s">
        <v>205</v>
      </c>
      <c r="C73" t="s">
        <v>187</v>
      </c>
      <c r="D73" s="31">
        <v>1</v>
      </c>
      <c r="E73" s="31">
        <v>0</v>
      </c>
      <c r="F73" s="31">
        <v>0</v>
      </c>
      <c r="G73" s="31">
        <v>0</v>
      </c>
      <c r="H73" s="32">
        <v>13.99</v>
      </c>
      <c r="I73">
        <v>4</v>
      </c>
      <c r="J73" s="33">
        <v>0</v>
      </c>
      <c r="K73" s="33">
        <v>0</v>
      </c>
      <c r="L73" s="33">
        <v>0</v>
      </c>
      <c r="M73">
        <v>4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8</v>
      </c>
      <c r="AK73">
        <v>7</v>
      </c>
      <c r="AL73">
        <v>8</v>
      </c>
      <c r="AM73">
        <v>0</v>
      </c>
      <c r="AN73" s="22">
        <v>0.125</v>
      </c>
      <c r="AO73" s="22">
        <v>0</v>
      </c>
      <c r="AP73" s="22">
        <v>0</v>
      </c>
      <c r="AQ73" s="22" t="s">
        <v>53</v>
      </c>
      <c r="AR73" s="35">
        <v>0.142857142857143</v>
      </c>
      <c r="AS73" s="35">
        <v>8.57142857142857</v>
      </c>
      <c r="AT73" s="35">
        <v>-4.57142857142857</v>
      </c>
      <c r="AU73" s="31">
        <f t="shared" si="5"/>
        <v>28</v>
      </c>
      <c r="AV73" s="36">
        <f>IFERROR(时间!$B$4+AU73,"上周无销量")</f>
        <v>43353</v>
      </c>
    </row>
    <row r="74" spans="1:48">
      <c r="A74" s="20" t="s">
        <v>206</v>
      </c>
      <c r="B74" t="s">
        <v>207</v>
      </c>
      <c r="C74" t="s">
        <v>187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7</v>
      </c>
      <c r="J74" s="33">
        <v>0</v>
      </c>
      <c r="K74" s="33">
        <v>0</v>
      </c>
      <c r="L74" s="33">
        <v>0</v>
      </c>
      <c r="M74">
        <v>7</v>
      </c>
      <c r="N74">
        <v>0</v>
      </c>
      <c r="O74">
        <v>2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4</v>
      </c>
      <c r="AK74">
        <v>4</v>
      </c>
      <c r="AL74">
        <v>8</v>
      </c>
      <c r="AM74">
        <v>3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7</v>
      </c>
      <c r="AU74" s="31" t="str">
        <f t="shared" si="5"/>
        <v>库存为7</v>
      </c>
      <c r="AV74" s="36" t="str">
        <f>IFERROR(时间!$B$4+AU74,"上周无销量")</f>
        <v>上周无销量</v>
      </c>
    </row>
    <row r="75" spans="1:48">
      <c r="A75" s="20" t="s">
        <v>208</v>
      </c>
      <c r="B75" t="s">
        <v>209</v>
      </c>
      <c r="C75" t="s">
        <v>187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13</v>
      </c>
      <c r="J75" s="33">
        <v>0</v>
      </c>
      <c r="K75" s="33">
        <v>0</v>
      </c>
      <c r="L75" s="33">
        <v>0</v>
      </c>
      <c r="M75">
        <v>13</v>
      </c>
      <c r="N75">
        <v>0</v>
      </c>
      <c r="O75">
        <v>8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8</v>
      </c>
      <c r="AK75">
        <v>6</v>
      </c>
      <c r="AL75">
        <v>9</v>
      </c>
      <c r="AM75">
        <v>7</v>
      </c>
      <c r="AN75" s="22">
        <v>0</v>
      </c>
      <c r="AO75" s="22">
        <v>0</v>
      </c>
      <c r="AP75" s="22">
        <v>0</v>
      </c>
      <c r="AQ75" s="22">
        <v>0</v>
      </c>
      <c r="AR75" s="35">
        <v>0</v>
      </c>
      <c r="AS75" s="35">
        <v>0</v>
      </c>
      <c r="AT75" s="35">
        <v>13</v>
      </c>
      <c r="AU75" s="31" t="str">
        <f t="shared" si="5"/>
        <v>库存为13</v>
      </c>
      <c r="AV75" s="36" t="str">
        <f>IFERROR(时间!$B$4+AU75,"上周无销量")</f>
        <v>上周无销量</v>
      </c>
    </row>
    <row r="76" spans="1:48">
      <c r="A76" s="20" t="s">
        <v>210</v>
      </c>
      <c r="B76" t="s">
        <v>211</v>
      </c>
      <c r="C76" t="s">
        <v>212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0</v>
      </c>
      <c r="P76">
        <v>0</v>
      </c>
      <c r="Q76">
        <v>0</v>
      </c>
      <c r="R76">
        <v>0</v>
      </c>
      <c r="S76">
        <v>727</v>
      </c>
      <c r="T76">
        <v>0</v>
      </c>
      <c r="U76">
        <v>0</v>
      </c>
      <c r="V76">
        <v>0</v>
      </c>
      <c r="W76">
        <v>4</v>
      </c>
      <c r="X76" s="22" t="s">
        <v>53</v>
      </c>
      <c r="Y76" s="22" t="s">
        <v>53</v>
      </c>
      <c r="Z76" s="22" t="s">
        <v>53</v>
      </c>
      <c r="AA76" s="22">
        <v>0.00550206327372765</v>
      </c>
      <c r="AB76">
        <v>0</v>
      </c>
      <c r="AC76">
        <v>0</v>
      </c>
      <c r="AD76">
        <v>0</v>
      </c>
      <c r="AE76">
        <v>1.78</v>
      </c>
      <c r="AF76" s="22" t="s">
        <v>53</v>
      </c>
      <c r="AG76" s="22" t="s">
        <v>53</v>
      </c>
      <c r="AH76" s="22" t="s">
        <v>53</v>
      </c>
      <c r="AI76" s="22" t="s">
        <v>213</v>
      </c>
      <c r="AJ76">
        <v>3</v>
      </c>
      <c r="AK76">
        <v>2</v>
      </c>
      <c r="AL76">
        <v>10</v>
      </c>
      <c r="AM76">
        <v>9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214</v>
      </c>
      <c r="B77" t="s">
        <v>215</v>
      </c>
      <c r="C77" t="s">
        <v>212</v>
      </c>
      <c r="D77" s="31">
        <v>0</v>
      </c>
      <c r="E77" s="31">
        <v>0</v>
      </c>
      <c r="F77" s="31">
        <v>1</v>
      </c>
      <c r="G77" s="31">
        <v>0</v>
      </c>
      <c r="H77" s="32">
        <v>16.99</v>
      </c>
      <c r="I77">
        <v>2</v>
      </c>
      <c r="J77" s="33">
        <v>0</v>
      </c>
      <c r="K77" s="33">
        <v>0</v>
      </c>
      <c r="L77" s="33">
        <v>0</v>
      </c>
      <c r="M77">
        <v>2</v>
      </c>
      <c r="N77">
        <v>0</v>
      </c>
      <c r="O77">
        <v>0</v>
      </c>
      <c r="P77">
        <v>0</v>
      </c>
      <c r="Q77">
        <v>0</v>
      </c>
      <c r="R77">
        <v>0</v>
      </c>
      <c r="S77">
        <v>4688</v>
      </c>
      <c r="T77">
        <v>0</v>
      </c>
      <c r="U77">
        <v>0</v>
      </c>
      <c r="V77">
        <v>0</v>
      </c>
      <c r="W77">
        <v>13</v>
      </c>
      <c r="X77" s="22" t="s">
        <v>53</v>
      </c>
      <c r="Y77" s="22" t="s">
        <v>53</v>
      </c>
      <c r="Z77" s="22" t="s">
        <v>53</v>
      </c>
      <c r="AA77" s="22">
        <v>0.00277303754266212</v>
      </c>
      <c r="AB77">
        <v>0</v>
      </c>
      <c r="AC77">
        <v>0</v>
      </c>
      <c r="AD77">
        <v>0</v>
      </c>
      <c r="AE77">
        <v>4.07</v>
      </c>
      <c r="AF77" s="22" t="s">
        <v>53</v>
      </c>
      <c r="AG77" s="22" t="s">
        <v>53</v>
      </c>
      <c r="AH77" s="22" t="s">
        <v>53</v>
      </c>
      <c r="AI77" s="22" t="s">
        <v>216</v>
      </c>
      <c r="AJ77">
        <v>2</v>
      </c>
      <c r="AK77">
        <v>5</v>
      </c>
      <c r="AL77">
        <v>9</v>
      </c>
      <c r="AM77">
        <v>10</v>
      </c>
      <c r="AN77" s="22">
        <v>0</v>
      </c>
      <c r="AO77" s="22">
        <v>0</v>
      </c>
      <c r="AP77" s="22">
        <v>0.111111111111111</v>
      </c>
      <c r="AQ77" s="22">
        <v>0</v>
      </c>
      <c r="AR77" s="35">
        <v>0</v>
      </c>
      <c r="AS77" s="35">
        <v>0</v>
      </c>
      <c r="AT77" s="35">
        <v>2</v>
      </c>
      <c r="AU77" s="31" t="str">
        <f t="shared" si="5"/>
        <v>库存为2</v>
      </c>
      <c r="AV77" s="36" t="str">
        <f>IFERROR(时间!$B$4+AU77,"上周无销量")</f>
        <v>上周无销量</v>
      </c>
    </row>
    <row r="78" spans="1:48">
      <c r="A78" s="20" t="s">
        <v>217</v>
      </c>
      <c r="B78" t="s">
        <v>218</v>
      </c>
      <c r="C78" t="s">
        <v>212</v>
      </c>
      <c r="D78" s="31">
        <v>0</v>
      </c>
      <c r="E78" s="31">
        <v>0</v>
      </c>
      <c r="F78" s="31">
        <v>1</v>
      </c>
      <c r="G78" s="31">
        <v>1</v>
      </c>
      <c r="H78" s="32">
        <v>16.99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0</v>
      </c>
      <c r="P78">
        <v>0</v>
      </c>
      <c r="Q78">
        <v>0</v>
      </c>
      <c r="R78">
        <v>11742</v>
      </c>
      <c r="S78">
        <v>13818</v>
      </c>
      <c r="T78">
        <v>0</v>
      </c>
      <c r="U78">
        <v>0</v>
      </c>
      <c r="V78">
        <v>39</v>
      </c>
      <c r="W78">
        <v>75</v>
      </c>
      <c r="X78" s="22" t="s">
        <v>53</v>
      </c>
      <c r="Y78" s="22" t="s">
        <v>53</v>
      </c>
      <c r="Z78" s="22">
        <v>0.00332141032192131</v>
      </c>
      <c r="AA78" s="22">
        <v>0.00542770299609205</v>
      </c>
      <c r="AB78">
        <v>0</v>
      </c>
      <c r="AC78">
        <v>0</v>
      </c>
      <c r="AD78">
        <v>11.84</v>
      </c>
      <c r="AE78">
        <v>24.28</v>
      </c>
      <c r="AF78" s="22" t="s">
        <v>53</v>
      </c>
      <c r="AG78" s="22" t="s">
        <v>53</v>
      </c>
      <c r="AH78" s="22">
        <v>0.696880517951736</v>
      </c>
      <c r="AI78" s="22">
        <v>1.42907592701589</v>
      </c>
      <c r="AJ78">
        <v>19</v>
      </c>
      <c r="AK78">
        <v>8</v>
      </c>
      <c r="AL78">
        <v>18</v>
      </c>
      <c r="AM78">
        <v>22</v>
      </c>
      <c r="AN78" s="22">
        <v>0</v>
      </c>
      <c r="AO78" s="22">
        <v>0</v>
      </c>
      <c r="AP78" s="22">
        <v>0.0555555555555556</v>
      </c>
      <c r="AQ78" s="22">
        <v>0.0454545454545455</v>
      </c>
      <c r="AR78" s="35">
        <v>0</v>
      </c>
      <c r="AS78" s="35">
        <v>0</v>
      </c>
      <c r="AT78" s="35">
        <v>1</v>
      </c>
      <c r="AU78" s="31" t="str">
        <f t="shared" si="5"/>
        <v>库存为1</v>
      </c>
      <c r="AV78" s="36" t="str">
        <f>IFERROR(时间!$B$4+AU78,"上周无销量")</f>
        <v>上周无销量</v>
      </c>
    </row>
    <row r="79" spans="1:48">
      <c r="A79" s="20" t="s">
        <v>219</v>
      </c>
      <c r="B79" t="s">
        <v>220</v>
      </c>
      <c r="C79" t="s">
        <v>221</v>
      </c>
      <c r="D79" s="31">
        <v>0</v>
      </c>
      <c r="E79" s="31">
        <v>1</v>
      </c>
      <c r="F79" s="31">
        <v>0</v>
      </c>
      <c r="G79" s="31">
        <v>1</v>
      </c>
      <c r="H79" s="32">
        <v>8.99</v>
      </c>
      <c r="I79">
        <v>8</v>
      </c>
      <c r="J79" s="33">
        <v>0</v>
      </c>
      <c r="K79" s="33">
        <v>0</v>
      </c>
      <c r="L79" s="33">
        <v>0</v>
      </c>
      <c r="M79">
        <v>8</v>
      </c>
      <c r="N79">
        <v>0</v>
      </c>
      <c r="O79">
        <v>8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22</v>
      </c>
      <c r="AK79">
        <v>4</v>
      </c>
      <c r="AL79">
        <v>6</v>
      </c>
      <c r="AM79">
        <v>17</v>
      </c>
      <c r="AN79" s="22">
        <v>0</v>
      </c>
      <c r="AO79" s="22">
        <v>0.25</v>
      </c>
      <c r="AP79" s="22">
        <v>0</v>
      </c>
      <c r="AQ79" s="22">
        <v>0.0588235294117647</v>
      </c>
      <c r="AR79" s="35">
        <v>0</v>
      </c>
      <c r="AS79" s="35">
        <v>0</v>
      </c>
      <c r="AT79" s="35">
        <v>8</v>
      </c>
      <c r="AU79" s="31" t="str">
        <f t="shared" si="5"/>
        <v>库存为8</v>
      </c>
      <c r="AV79" s="36" t="str">
        <f>IFERROR(时间!$B$4+AU79,"上周无销量")</f>
        <v>上周无销量</v>
      </c>
    </row>
    <row r="80" spans="1:48">
      <c r="A80" s="20" t="s">
        <v>222</v>
      </c>
      <c r="B80" t="s">
        <v>223</v>
      </c>
      <c r="C80" t="s">
        <v>224</v>
      </c>
      <c r="D80" s="31">
        <v>0</v>
      </c>
      <c r="E80" s="31">
        <v>0</v>
      </c>
      <c r="F80" s="31">
        <v>0</v>
      </c>
      <c r="G80" s="31">
        <v>1</v>
      </c>
      <c r="H80" s="32">
        <v>10.27</v>
      </c>
      <c r="I80">
        <v>5</v>
      </c>
      <c r="J80" s="33">
        <v>0</v>
      </c>
      <c r="K80" s="33">
        <v>0</v>
      </c>
      <c r="L80" s="33">
        <v>0</v>
      </c>
      <c r="M80">
        <v>5</v>
      </c>
      <c r="N80">
        <v>0</v>
      </c>
      <c r="O80">
        <v>5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4</v>
      </c>
      <c r="AK80">
        <v>6</v>
      </c>
      <c r="AL80">
        <v>9</v>
      </c>
      <c r="AM80">
        <v>3</v>
      </c>
      <c r="AN80" s="22">
        <v>0</v>
      </c>
      <c r="AO80" s="22">
        <v>0</v>
      </c>
      <c r="AP80" s="22">
        <v>0</v>
      </c>
      <c r="AQ80" s="22">
        <v>0.333333333333333</v>
      </c>
      <c r="AR80" s="35">
        <v>0</v>
      </c>
      <c r="AS80" s="35">
        <v>0</v>
      </c>
      <c r="AT80" s="35">
        <v>5</v>
      </c>
      <c r="AU80" s="31" t="str">
        <f t="shared" si="5"/>
        <v>库存为5</v>
      </c>
      <c r="AV80" s="36" t="str">
        <f>IFERROR(时间!$B$4+AU80,"上周无销量")</f>
        <v>上周无销量</v>
      </c>
    </row>
    <row r="81" spans="1:48">
      <c r="A81" s="20" t="s">
        <v>225</v>
      </c>
      <c r="B81" t="s">
        <v>226</v>
      </c>
      <c r="C81" t="s">
        <v>224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4</v>
      </c>
      <c r="J81" s="33">
        <v>0</v>
      </c>
      <c r="K81" s="33">
        <v>0</v>
      </c>
      <c r="L81" s="33">
        <v>0</v>
      </c>
      <c r="M81">
        <v>4</v>
      </c>
      <c r="N81">
        <v>0</v>
      </c>
      <c r="O81">
        <v>4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7</v>
      </c>
      <c r="AK81">
        <v>13</v>
      </c>
      <c r="AL81">
        <v>5</v>
      </c>
      <c r="AM81">
        <v>13</v>
      </c>
      <c r="AN81" s="22">
        <v>0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4</v>
      </c>
      <c r="AU81" s="31" t="str">
        <f t="shared" si="5"/>
        <v>库存为4</v>
      </c>
      <c r="AV81" s="36" t="str">
        <f>IFERROR(时间!$B$4+AU81,"上周无销量")</f>
        <v>上周无销量</v>
      </c>
    </row>
    <row r="82" spans="1:48">
      <c r="A82" s="20" t="s">
        <v>227</v>
      </c>
      <c r="B82" t="s">
        <v>228</v>
      </c>
      <c r="C82" t="s">
        <v>224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4</v>
      </c>
      <c r="J82" s="33">
        <v>0</v>
      </c>
      <c r="K82" s="33">
        <v>0</v>
      </c>
      <c r="L82" s="33">
        <v>0</v>
      </c>
      <c r="M82">
        <v>4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7</v>
      </c>
      <c r="AK82">
        <v>5</v>
      </c>
      <c r="AL82">
        <v>7</v>
      </c>
      <c r="AM82">
        <v>2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4</v>
      </c>
      <c r="AU82" s="31" t="str">
        <f t="shared" si="5"/>
        <v>库存为4</v>
      </c>
      <c r="AV82" s="36" t="str">
        <f>IFERROR(时间!$B$4+AU82,"上周无销量")</f>
        <v>上周无销量</v>
      </c>
    </row>
    <row r="83" spans="1:48">
      <c r="A83" s="20" t="s">
        <v>229</v>
      </c>
      <c r="B83" t="s">
        <v>230</v>
      </c>
      <c r="C83" t="s">
        <v>224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6</v>
      </c>
      <c r="J83" s="33">
        <v>0</v>
      </c>
      <c r="K83" s="33">
        <v>0</v>
      </c>
      <c r="L83" s="33">
        <v>0</v>
      </c>
      <c r="M83">
        <v>6</v>
      </c>
      <c r="N83">
        <v>0</v>
      </c>
      <c r="O83">
        <v>6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1</v>
      </c>
      <c r="AK83">
        <v>5</v>
      </c>
      <c r="AL83">
        <v>7</v>
      </c>
      <c r="AM83">
        <v>6</v>
      </c>
      <c r="AN83" s="22">
        <v>0</v>
      </c>
      <c r="AO83" s="22">
        <v>0</v>
      </c>
      <c r="AP83" s="22">
        <v>0</v>
      </c>
      <c r="AQ83" s="22">
        <v>0</v>
      </c>
      <c r="AR83" s="35">
        <v>0</v>
      </c>
      <c r="AS83" s="35">
        <v>0</v>
      </c>
      <c r="AT83" s="35">
        <v>6</v>
      </c>
      <c r="AU83" s="31" t="str">
        <f t="shared" si="5"/>
        <v>库存为6</v>
      </c>
      <c r="AV83" s="36" t="str">
        <f>IFERROR(时间!$B$4+AU83,"上周无销量")</f>
        <v>上周无销量</v>
      </c>
    </row>
    <row r="84" spans="1:48">
      <c r="A84" s="20" t="s">
        <v>231</v>
      </c>
      <c r="B84" t="s">
        <v>232</v>
      </c>
      <c r="C84" t="s">
        <v>224</v>
      </c>
      <c r="D84" s="31">
        <v>2</v>
      </c>
      <c r="E84" s="31">
        <v>2</v>
      </c>
      <c r="F84" s="31">
        <v>1</v>
      </c>
      <c r="G84" s="31">
        <v>1</v>
      </c>
      <c r="H84" s="32">
        <v>13.99</v>
      </c>
      <c r="I84">
        <v>5</v>
      </c>
      <c r="J84" s="33">
        <v>0</v>
      </c>
      <c r="K84" s="33">
        <v>0</v>
      </c>
      <c r="L84" s="33">
        <v>0</v>
      </c>
      <c r="M84">
        <v>5</v>
      </c>
      <c r="N84">
        <v>1</v>
      </c>
      <c r="O84">
        <v>7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32</v>
      </c>
      <c r="AK84">
        <v>26</v>
      </c>
      <c r="AL84">
        <v>21</v>
      </c>
      <c r="AM84">
        <v>29</v>
      </c>
      <c r="AN84" s="22">
        <v>0.0625</v>
      </c>
      <c r="AO84" s="22">
        <v>0.0769230769230769</v>
      </c>
      <c r="AP84" s="22">
        <v>0.0476190476190476</v>
      </c>
      <c r="AQ84" s="22">
        <v>0.0344827586206897</v>
      </c>
      <c r="AR84" s="35">
        <v>0.285714285714286</v>
      </c>
      <c r="AS84" s="35">
        <v>17.1428571428571</v>
      </c>
      <c r="AT84" s="35">
        <v>-12.1428571428571</v>
      </c>
      <c r="AU84" s="31">
        <f t="shared" si="5"/>
        <v>17</v>
      </c>
      <c r="AV84" s="36">
        <f>IFERROR(时间!$B$4+AU84,"上周无销量")</f>
        <v>43342</v>
      </c>
    </row>
    <row r="85" spans="1:48">
      <c r="A85" s="20" t="s">
        <v>233</v>
      </c>
      <c r="B85" t="s">
        <v>234</v>
      </c>
      <c r="C85" t="s">
        <v>224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4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3</v>
      </c>
      <c r="AK85">
        <v>4</v>
      </c>
      <c r="AL85">
        <v>4</v>
      </c>
      <c r="AM85">
        <v>3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0" t="s">
        <v>235</v>
      </c>
      <c r="B86" t="s">
        <v>236</v>
      </c>
      <c r="C86" t="s">
        <v>224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10</v>
      </c>
      <c r="J86" s="33">
        <v>0</v>
      </c>
      <c r="K86" s="33">
        <v>0</v>
      </c>
      <c r="L86" s="33">
        <v>0</v>
      </c>
      <c r="M86">
        <v>10</v>
      </c>
      <c r="N86">
        <v>0</v>
      </c>
      <c r="O86">
        <v>10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3</v>
      </c>
      <c r="AK86">
        <v>3</v>
      </c>
      <c r="AL86">
        <v>4</v>
      </c>
      <c r="AM86">
        <v>3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10</v>
      </c>
      <c r="AU86" s="31" t="str">
        <f t="shared" si="5"/>
        <v>库存为10</v>
      </c>
      <c r="AV86" s="36" t="str">
        <f>IFERROR(时间!$B$4+AU86,"上周无销量")</f>
        <v>上周无销量</v>
      </c>
    </row>
    <row r="87" spans="1:48">
      <c r="A87" s="20" t="s">
        <v>237</v>
      </c>
      <c r="B87" t="s">
        <v>238</v>
      </c>
      <c r="C87" t="s">
        <v>224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0</v>
      </c>
      <c r="AM87">
        <v>0</v>
      </c>
      <c r="AN87" s="22" t="s">
        <v>53</v>
      </c>
      <c r="AO87" s="22" t="s">
        <v>53</v>
      </c>
      <c r="AP87" s="22" t="s">
        <v>53</v>
      </c>
      <c r="AQ87" s="22" t="s">
        <v>53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239</v>
      </c>
      <c r="B88" t="s">
        <v>240</v>
      </c>
      <c r="C88" t="s">
        <v>241</v>
      </c>
      <c r="D88" s="31">
        <v>1</v>
      </c>
      <c r="E88" s="31">
        <v>0</v>
      </c>
      <c r="F88" s="31">
        <v>1</v>
      </c>
      <c r="G88" s="31">
        <v>1</v>
      </c>
      <c r="H88" s="32">
        <v>13.99</v>
      </c>
      <c r="I88">
        <v>2</v>
      </c>
      <c r="J88" s="33">
        <v>0</v>
      </c>
      <c r="K88" s="33">
        <v>0</v>
      </c>
      <c r="L88" s="33">
        <v>0</v>
      </c>
      <c r="M88">
        <v>2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6</v>
      </c>
      <c r="AK88">
        <v>7</v>
      </c>
      <c r="AL88">
        <v>9</v>
      </c>
      <c r="AM88">
        <v>9</v>
      </c>
      <c r="AN88" s="22">
        <v>0.166666666666667</v>
      </c>
      <c r="AO88" s="22">
        <v>0</v>
      </c>
      <c r="AP88" s="22">
        <v>0.111111111111111</v>
      </c>
      <c r="AQ88" s="22">
        <v>0.111111111111111</v>
      </c>
      <c r="AR88" s="35">
        <v>0.142857142857143</v>
      </c>
      <c r="AS88" s="35">
        <v>8.57142857142857</v>
      </c>
      <c r="AT88" s="35">
        <v>-6.57142857142857</v>
      </c>
      <c r="AU88" s="31">
        <f t="shared" si="5"/>
        <v>14</v>
      </c>
      <c r="AV88" s="36">
        <f>IFERROR(时间!$B$4+AU88,"上周无销量")</f>
        <v>43339</v>
      </c>
    </row>
    <row r="89" spans="1:48">
      <c r="A89" s="20" t="s">
        <v>242</v>
      </c>
      <c r="B89" t="s">
        <v>243</v>
      </c>
      <c r="C89" t="s">
        <v>241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7</v>
      </c>
      <c r="J89" s="33">
        <v>0</v>
      </c>
      <c r="K89" s="33">
        <v>0</v>
      </c>
      <c r="L89" s="33">
        <v>0</v>
      </c>
      <c r="M89">
        <v>7</v>
      </c>
      <c r="N89">
        <v>0</v>
      </c>
      <c r="O89">
        <v>2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6</v>
      </c>
      <c r="AK89">
        <v>10</v>
      </c>
      <c r="AL89">
        <v>3</v>
      </c>
      <c r="AM89">
        <v>5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7</v>
      </c>
      <c r="AU89" s="31" t="str">
        <f t="shared" si="5"/>
        <v>库存为7</v>
      </c>
      <c r="AV89" s="36" t="str">
        <f>IFERROR(时间!$B$4+AU89,"上周无销量")</f>
        <v>上周无销量</v>
      </c>
    </row>
    <row r="90" spans="1:48">
      <c r="A90" s="20" t="s">
        <v>244</v>
      </c>
      <c r="B90" t="s">
        <v>245</v>
      </c>
      <c r="C90" t="s">
        <v>241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8</v>
      </c>
      <c r="AK90">
        <v>9</v>
      </c>
      <c r="AL90">
        <v>8</v>
      </c>
      <c r="AM90">
        <v>7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246</v>
      </c>
      <c r="B91" t="s">
        <v>247</v>
      </c>
      <c r="C91" t="s">
        <v>241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4</v>
      </c>
      <c r="J91" s="33">
        <v>0</v>
      </c>
      <c r="K91" s="33">
        <v>0</v>
      </c>
      <c r="L91" s="33">
        <v>0</v>
      </c>
      <c r="M91">
        <v>4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13</v>
      </c>
      <c r="AK91">
        <v>11</v>
      </c>
      <c r="AL91">
        <v>7</v>
      </c>
      <c r="AM91">
        <v>8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4</v>
      </c>
      <c r="AU91" s="31" t="str">
        <f t="shared" si="5"/>
        <v>库存为4</v>
      </c>
      <c r="AV91" s="36" t="str">
        <f>IFERROR(时间!$B$4+AU91,"上周无销量")</f>
        <v>上周无销量</v>
      </c>
    </row>
    <row r="92" spans="1:48">
      <c r="A92" s="20" t="s">
        <v>248</v>
      </c>
      <c r="B92" t="s">
        <v>249</v>
      </c>
      <c r="C92" t="s">
        <v>250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4</v>
      </c>
      <c r="AK92">
        <v>4</v>
      </c>
      <c r="AL92">
        <v>3</v>
      </c>
      <c r="AM92">
        <v>7</v>
      </c>
      <c r="AN92" s="22">
        <v>0</v>
      </c>
      <c r="AO92" s="22">
        <v>0</v>
      </c>
      <c r="AP92" s="22">
        <v>0</v>
      </c>
      <c r="AQ92" s="22">
        <v>0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251</v>
      </c>
      <c r="B93" t="s">
        <v>252</v>
      </c>
      <c r="C93" t="s">
        <v>250</v>
      </c>
      <c r="D93" s="31">
        <v>0</v>
      </c>
      <c r="E93" s="31">
        <v>1</v>
      </c>
      <c r="F93" s="31">
        <v>0</v>
      </c>
      <c r="G93" s="31">
        <v>1</v>
      </c>
      <c r="H93" s="32">
        <v>10</v>
      </c>
      <c r="I93">
        <v>1</v>
      </c>
      <c r="J93" s="33">
        <v>0</v>
      </c>
      <c r="K93" s="33">
        <v>0</v>
      </c>
      <c r="L93" s="33">
        <v>0</v>
      </c>
      <c r="M93">
        <v>1</v>
      </c>
      <c r="N93">
        <v>0</v>
      </c>
      <c r="O93">
        <v>1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11</v>
      </c>
      <c r="AK93">
        <v>8</v>
      </c>
      <c r="AL93">
        <v>4</v>
      </c>
      <c r="AM93">
        <v>23</v>
      </c>
      <c r="AN93" s="22">
        <v>0</v>
      </c>
      <c r="AO93" s="22">
        <v>0.125</v>
      </c>
      <c r="AP93" s="22">
        <v>0</v>
      </c>
      <c r="AQ93" s="22">
        <v>0.0434782608695652</v>
      </c>
      <c r="AR93" s="35">
        <v>0</v>
      </c>
      <c r="AS93" s="35">
        <v>0</v>
      </c>
      <c r="AT93" s="35">
        <v>1</v>
      </c>
      <c r="AU93" s="31" t="str">
        <f t="shared" si="5"/>
        <v>库存为1</v>
      </c>
      <c r="AV93" s="36" t="str">
        <f>IFERROR(时间!$B$4+AU93,"上周无销量")</f>
        <v>上周无销量</v>
      </c>
    </row>
    <row r="94" spans="1:48">
      <c r="A94" s="20" t="s">
        <v>253</v>
      </c>
      <c r="B94" t="s">
        <v>254</v>
      </c>
      <c r="C94" t="s">
        <v>255</v>
      </c>
      <c r="D94" s="31">
        <v>0</v>
      </c>
      <c r="E94" s="31">
        <v>0</v>
      </c>
      <c r="F94" s="31">
        <v>1</v>
      </c>
      <c r="G94" s="31">
        <v>0</v>
      </c>
      <c r="H94" s="32">
        <v>22</v>
      </c>
      <c r="I94">
        <v>6</v>
      </c>
      <c r="J94" s="33">
        <v>0</v>
      </c>
      <c r="K94" s="33">
        <v>0</v>
      </c>
      <c r="L94" s="33">
        <v>0</v>
      </c>
      <c r="M94">
        <v>6</v>
      </c>
      <c r="N94">
        <v>0</v>
      </c>
      <c r="O94">
        <v>0</v>
      </c>
      <c r="P94">
        <v>3116</v>
      </c>
      <c r="Q94">
        <v>8153</v>
      </c>
      <c r="R94">
        <v>2043</v>
      </c>
      <c r="S94">
        <v>0</v>
      </c>
      <c r="T94">
        <v>10</v>
      </c>
      <c r="U94">
        <v>21</v>
      </c>
      <c r="V94">
        <v>9</v>
      </c>
      <c r="W94">
        <v>0</v>
      </c>
      <c r="X94" s="22">
        <v>0.00320924261874198</v>
      </c>
      <c r="Y94" s="22">
        <v>0.00257573899178217</v>
      </c>
      <c r="Z94" s="22">
        <v>0.00440528634361234</v>
      </c>
      <c r="AA94" s="22" t="s">
        <v>53</v>
      </c>
      <c r="AB94">
        <v>11.61</v>
      </c>
      <c r="AC94">
        <v>23.37</v>
      </c>
      <c r="AD94">
        <v>11.6</v>
      </c>
      <c r="AE94">
        <v>0</v>
      </c>
      <c r="AF94" s="22" t="s">
        <v>256</v>
      </c>
      <c r="AG94" s="22" t="s">
        <v>257</v>
      </c>
      <c r="AH94" s="22">
        <v>0.527272727272727</v>
      </c>
      <c r="AI94" s="22" t="s">
        <v>53</v>
      </c>
      <c r="AJ94">
        <v>25</v>
      </c>
      <c r="AK94">
        <v>17</v>
      </c>
      <c r="AL94">
        <v>13</v>
      </c>
      <c r="AM94">
        <v>7</v>
      </c>
      <c r="AN94" s="22">
        <v>0</v>
      </c>
      <c r="AO94" s="22">
        <v>0</v>
      </c>
      <c r="AP94" s="22">
        <v>0.0769230769230769</v>
      </c>
      <c r="AQ94" s="22">
        <v>0</v>
      </c>
      <c r="AR94" s="35">
        <v>0</v>
      </c>
      <c r="AS94" s="35">
        <v>0</v>
      </c>
      <c r="AT94" s="35">
        <v>6</v>
      </c>
      <c r="AU94" s="31" t="str">
        <f t="shared" si="5"/>
        <v>库存为6</v>
      </c>
      <c r="AV94" s="36" t="str">
        <f>IFERROR(时间!$B$4+AU94,"上周无销量")</f>
        <v>上周无销量</v>
      </c>
    </row>
    <row r="95" spans="1:48">
      <c r="A95" s="20" t="s">
        <v>258</v>
      </c>
      <c r="B95" t="s">
        <v>259</v>
      </c>
      <c r="C95" t="s">
        <v>255</v>
      </c>
      <c r="D95" s="31">
        <v>0</v>
      </c>
      <c r="E95" s="31">
        <v>1</v>
      </c>
      <c r="F95" s="31">
        <v>1</v>
      </c>
      <c r="G95" s="31">
        <v>1</v>
      </c>
      <c r="H95" s="32">
        <v>18</v>
      </c>
      <c r="I95">
        <v>4</v>
      </c>
      <c r="J95" s="33">
        <v>0</v>
      </c>
      <c r="K95" s="33">
        <v>0</v>
      </c>
      <c r="L95" s="33">
        <v>0</v>
      </c>
      <c r="M95">
        <v>4</v>
      </c>
      <c r="N95">
        <v>0</v>
      </c>
      <c r="O95">
        <v>0</v>
      </c>
      <c r="P95">
        <v>3698</v>
      </c>
      <c r="Q95">
        <v>3790</v>
      </c>
      <c r="R95">
        <v>5566</v>
      </c>
      <c r="S95">
        <v>2054</v>
      </c>
      <c r="T95">
        <v>3</v>
      </c>
      <c r="U95">
        <v>14</v>
      </c>
      <c r="V95">
        <v>8</v>
      </c>
      <c r="W95">
        <v>7</v>
      </c>
      <c r="X95" s="22">
        <v>0.000811249323958897</v>
      </c>
      <c r="Y95" s="22">
        <v>0.00369393139841689</v>
      </c>
      <c r="Z95" s="22">
        <v>0.00143729787998563</v>
      </c>
      <c r="AA95" s="22">
        <v>0.00340798442064265</v>
      </c>
      <c r="AB95">
        <v>2.76</v>
      </c>
      <c r="AC95">
        <v>14.88</v>
      </c>
      <c r="AD95">
        <v>9.14</v>
      </c>
      <c r="AE95">
        <v>6.23</v>
      </c>
      <c r="AF95" s="22" t="s">
        <v>260</v>
      </c>
      <c r="AG95" s="22">
        <v>0.826666666666667</v>
      </c>
      <c r="AH95" s="22">
        <v>0.507777777777778</v>
      </c>
      <c r="AI95" s="22">
        <v>0.346111111111111</v>
      </c>
      <c r="AJ95">
        <v>21</v>
      </c>
      <c r="AK95">
        <v>20</v>
      </c>
      <c r="AL95">
        <v>30</v>
      </c>
      <c r="AM95">
        <v>22</v>
      </c>
      <c r="AN95" s="22">
        <v>0</v>
      </c>
      <c r="AO95" s="22">
        <v>0.05</v>
      </c>
      <c r="AP95" s="22">
        <v>0.0333333333333333</v>
      </c>
      <c r="AQ95" s="22">
        <v>0.0454545454545455</v>
      </c>
      <c r="AR95" s="35">
        <v>0</v>
      </c>
      <c r="AS95" s="35">
        <v>0</v>
      </c>
      <c r="AT95" s="35">
        <v>4</v>
      </c>
      <c r="AU95" s="31" t="str">
        <f t="shared" si="5"/>
        <v>库存为4</v>
      </c>
      <c r="AV95" s="36" t="str">
        <f>IFERROR(时间!$B$4+AU95,"上周无销量")</f>
        <v>上周无销量</v>
      </c>
    </row>
    <row r="96" spans="1:48">
      <c r="A96" s="20" t="s">
        <v>261</v>
      </c>
      <c r="B96" t="s">
        <v>262</v>
      </c>
      <c r="C96" t="s">
        <v>255</v>
      </c>
      <c r="D96" s="31">
        <v>2</v>
      </c>
      <c r="E96" s="31">
        <v>2</v>
      </c>
      <c r="F96" s="31">
        <v>0</v>
      </c>
      <c r="G96" s="31">
        <v>4</v>
      </c>
      <c r="H96" s="32">
        <v>20</v>
      </c>
      <c r="I96">
        <v>16</v>
      </c>
      <c r="J96" s="33">
        <v>0</v>
      </c>
      <c r="K96" s="33">
        <v>0</v>
      </c>
      <c r="L96" s="33">
        <v>0</v>
      </c>
      <c r="M96">
        <v>16</v>
      </c>
      <c r="N96">
        <v>0</v>
      </c>
      <c r="O96">
        <v>0</v>
      </c>
      <c r="P96">
        <v>150</v>
      </c>
      <c r="Q96">
        <v>0</v>
      </c>
      <c r="R96">
        <v>0</v>
      </c>
      <c r="S96">
        <v>1054</v>
      </c>
      <c r="T96">
        <v>0</v>
      </c>
      <c r="U96">
        <v>0</v>
      </c>
      <c r="V96">
        <v>0</v>
      </c>
      <c r="W96">
        <v>9</v>
      </c>
      <c r="X96" s="22">
        <v>0</v>
      </c>
      <c r="Y96" s="22" t="s">
        <v>53</v>
      </c>
      <c r="Z96" s="22" t="s">
        <v>53</v>
      </c>
      <c r="AA96" s="22">
        <v>0.00853889943074004</v>
      </c>
      <c r="AB96">
        <v>0</v>
      </c>
      <c r="AC96">
        <v>0</v>
      </c>
      <c r="AD96">
        <v>0</v>
      </c>
      <c r="AE96">
        <v>11.2</v>
      </c>
      <c r="AF96" s="22" t="s">
        <v>53</v>
      </c>
      <c r="AG96" s="22" t="s">
        <v>53</v>
      </c>
      <c r="AH96" s="22" t="s">
        <v>53</v>
      </c>
      <c r="AI96" s="22">
        <v>0.14</v>
      </c>
      <c r="AJ96">
        <v>28</v>
      </c>
      <c r="AK96">
        <v>4</v>
      </c>
      <c r="AL96">
        <v>0</v>
      </c>
      <c r="AM96">
        <v>21</v>
      </c>
      <c r="AN96" s="22">
        <v>0.0714285714285714</v>
      </c>
      <c r="AO96" s="22">
        <v>0.5</v>
      </c>
      <c r="AP96" s="22" t="s">
        <v>53</v>
      </c>
      <c r="AQ96" s="22">
        <v>0.19047619047619</v>
      </c>
      <c r="AR96" s="35">
        <v>0.285714285714286</v>
      </c>
      <c r="AS96" s="35">
        <v>17.1428571428571</v>
      </c>
      <c r="AT96" s="35">
        <v>-1.14285714285714</v>
      </c>
      <c r="AU96" s="31">
        <f t="shared" si="5"/>
        <v>56</v>
      </c>
      <c r="AV96" s="36">
        <f>IFERROR(时间!$B$4+AU96,"上周无销量")</f>
        <v>43381</v>
      </c>
    </row>
    <row r="97" spans="1:48">
      <c r="A97" s="20" t="s">
        <v>263</v>
      </c>
      <c r="B97" t="s">
        <v>264</v>
      </c>
      <c r="C97" t="s">
        <v>255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7</v>
      </c>
      <c r="J97" s="33">
        <v>0</v>
      </c>
      <c r="K97" s="33">
        <v>0</v>
      </c>
      <c r="L97" s="33">
        <v>0</v>
      </c>
      <c r="M97">
        <v>7</v>
      </c>
      <c r="N97">
        <v>0</v>
      </c>
      <c r="O97">
        <v>0</v>
      </c>
      <c r="P97">
        <v>126</v>
      </c>
      <c r="Q97">
        <v>1650</v>
      </c>
      <c r="R97">
        <v>3527</v>
      </c>
      <c r="S97">
        <v>285</v>
      </c>
      <c r="T97">
        <v>1</v>
      </c>
      <c r="U97">
        <v>9</v>
      </c>
      <c r="V97">
        <v>5</v>
      </c>
      <c r="W97">
        <v>1</v>
      </c>
      <c r="X97" s="22">
        <v>0.00793650793650794</v>
      </c>
      <c r="Y97" s="22">
        <v>0.00545454545454545</v>
      </c>
      <c r="Z97" s="22">
        <v>0.00141763538417919</v>
      </c>
      <c r="AA97" s="22">
        <v>0.00350877192982456</v>
      </c>
      <c r="AB97">
        <v>0.07</v>
      </c>
      <c r="AC97">
        <v>9.02</v>
      </c>
      <c r="AD97">
        <v>8.02</v>
      </c>
      <c r="AE97">
        <v>0.52</v>
      </c>
      <c r="AF97" s="22" t="s">
        <v>265</v>
      </c>
      <c r="AG97" s="22" t="s">
        <v>266</v>
      </c>
      <c r="AH97" s="22" t="s">
        <v>267</v>
      </c>
      <c r="AI97" s="22" t="s">
        <v>268</v>
      </c>
      <c r="AJ97">
        <v>4</v>
      </c>
      <c r="AK97">
        <v>9</v>
      </c>
      <c r="AL97">
        <v>4</v>
      </c>
      <c r="AM97">
        <v>3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7</v>
      </c>
      <c r="AU97" s="31" t="str">
        <f t="shared" si="5"/>
        <v>库存为7</v>
      </c>
      <c r="AV97" s="36" t="str">
        <f>IFERROR(时间!$B$4+AU97,"上周无销量")</f>
        <v>上周无销量</v>
      </c>
    </row>
    <row r="98" spans="1:48">
      <c r="A98" s="20" t="s">
        <v>269</v>
      </c>
      <c r="B98" t="s">
        <v>270</v>
      </c>
      <c r="C98" t="s">
        <v>255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>
        <v>39</v>
      </c>
      <c r="Q98">
        <v>0</v>
      </c>
      <c r="R98">
        <v>0</v>
      </c>
      <c r="S98">
        <v>170</v>
      </c>
      <c r="T98">
        <v>0</v>
      </c>
      <c r="U98">
        <v>0</v>
      </c>
      <c r="V98">
        <v>0</v>
      </c>
      <c r="W98">
        <v>0</v>
      </c>
      <c r="X98" s="22">
        <v>0</v>
      </c>
      <c r="Y98" s="22" t="s">
        <v>53</v>
      </c>
      <c r="Z98" s="22" t="s">
        <v>53</v>
      </c>
      <c r="AA98" s="22">
        <v>0</v>
      </c>
      <c r="AB98">
        <v>0</v>
      </c>
      <c r="AC98">
        <v>0</v>
      </c>
      <c r="AD98">
        <v>0</v>
      </c>
      <c r="AE98">
        <v>0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4</v>
      </c>
      <c r="AK98">
        <v>4</v>
      </c>
      <c r="AL98">
        <v>7</v>
      </c>
      <c r="AM98">
        <v>6</v>
      </c>
      <c r="AN98" s="22">
        <v>0</v>
      </c>
      <c r="AO98" s="22">
        <v>0</v>
      </c>
      <c r="AP98" s="22">
        <v>0</v>
      </c>
      <c r="AQ98" s="22">
        <v>0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271</v>
      </c>
      <c r="B99" t="s">
        <v>272</v>
      </c>
      <c r="C99" t="s">
        <v>255</v>
      </c>
      <c r="D99" s="31">
        <v>1</v>
      </c>
      <c r="E99" s="31">
        <v>0</v>
      </c>
      <c r="F99" s="31">
        <v>0</v>
      </c>
      <c r="G99" s="31">
        <v>0</v>
      </c>
      <c r="H99" s="32">
        <v>15</v>
      </c>
      <c r="I99">
        <v>12</v>
      </c>
      <c r="J99" s="33">
        <v>0</v>
      </c>
      <c r="K99" s="33">
        <v>0</v>
      </c>
      <c r="L99" s="33">
        <v>6</v>
      </c>
      <c r="M99">
        <v>18</v>
      </c>
      <c r="N99">
        <v>0</v>
      </c>
      <c r="O99">
        <v>0</v>
      </c>
      <c r="P99">
        <v>123</v>
      </c>
      <c r="Q99">
        <v>0</v>
      </c>
      <c r="R99">
        <v>0</v>
      </c>
      <c r="S99">
        <v>0</v>
      </c>
      <c r="T99">
        <v>2</v>
      </c>
      <c r="U99">
        <v>0</v>
      </c>
      <c r="V99">
        <v>0</v>
      </c>
      <c r="W99">
        <v>0</v>
      </c>
      <c r="X99" s="22">
        <v>0.016260162601626</v>
      </c>
      <c r="Y99" s="22" t="s">
        <v>53</v>
      </c>
      <c r="Z99" s="22" t="s">
        <v>53</v>
      </c>
      <c r="AA99" s="22" t="s">
        <v>53</v>
      </c>
      <c r="AB99">
        <v>1.01</v>
      </c>
      <c r="AC99">
        <v>0</v>
      </c>
      <c r="AD99">
        <v>0</v>
      </c>
      <c r="AE99">
        <v>0</v>
      </c>
      <c r="AF99" s="22">
        <v>0.0673333333333333</v>
      </c>
      <c r="AG99" s="22" t="s">
        <v>53</v>
      </c>
      <c r="AH99" s="22" t="s">
        <v>53</v>
      </c>
      <c r="AI99" s="22" t="s">
        <v>53</v>
      </c>
      <c r="AJ99">
        <v>14</v>
      </c>
      <c r="AK99">
        <v>0</v>
      </c>
      <c r="AL99">
        <v>0</v>
      </c>
      <c r="AM99">
        <v>0</v>
      </c>
      <c r="AN99" s="22">
        <v>0.0714285714285714</v>
      </c>
      <c r="AO99" s="22" t="s">
        <v>53</v>
      </c>
      <c r="AP99" s="22" t="s">
        <v>53</v>
      </c>
      <c r="AQ99" s="22" t="s">
        <v>53</v>
      </c>
      <c r="AR99" s="35">
        <v>0.142857142857143</v>
      </c>
      <c r="AS99" s="35">
        <v>8.57142857142857</v>
      </c>
      <c r="AT99" s="35">
        <v>9.42857142857143</v>
      </c>
      <c r="AU99" s="31">
        <f t="shared" si="5"/>
        <v>126</v>
      </c>
      <c r="AV99" s="36">
        <f>IFERROR(时间!$B$4+AU99,"上周无销量")</f>
        <v>43451</v>
      </c>
    </row>
    <row r="100" spans="1:48">
      <c r="A100" s="20" t="s">
        <v>273</v>
      </c>
      <c r="B100" t="s">
        <v>274</v>
      </c>
      <c r="C100" t="s">
        <v>255</v>
      </c>
      <c r="D100" s="31">
        <v>0</v>
      </c>
      <c r="E100" s="31">
        <v>1</v>
      </c>
      <c r="F100" s="31">
        <v>0</v>
      </c>
      <c r="G100" s="31">
        <v>0</v>
      </c>
      <c r="H100" s="32">
        <v>13.99</v>
      </c>
      <c r="I100">
        <v>6</v>
      </c>
      <c r="J100" s="33">
        <v>0</v>
      </c>
      <c r="K100" s="33">
        <v>0</v>
      </c>
      <c r="L100" s="33">
        <v>0</v>
      </c>
      <c r="M100">
        <v>6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4</v>
      </c>
      <c r="AK100">
        <v>8</v>
      </c>
      <c r="AL100">
        <v>9</v>
      </c>
      <c r="AM100">
        <v>5</v>
      </c>
      <c r="AN100" s="22">
        <v>0</v>
      </c>
      <c r="AO100" s="22">
        <v>0.125</v>
      </c>
      <c r="AP100" s="22">
        <v>0</v>
      </c>
      <c r="AQ100" s="22">
        <v>0</v>
      </c>
      <c r="AR100" s="35">
        <v>0</v>
      </c>
      <c r="AS100" s="35">
        <v>0</v>
      </c>
      <c r="AT100" s="35">
        <v>6</v>
      </c>
      <c r="AU100" s="31" t="str">
        <f t="shared" si="5"/>
        <v>库存为6</v>
      </c>
      <c r="AV100" s="36" t="str">
        <f>IFERROR(时间!$B$4+AU100,"上周无销量")</f>
        <v>上周无销量</v>
      </c>
    </row>
    <row r="101" spans="1:48">
      <c r="A101" s="20" t="s">
        <v>275</v>
      </c>
      <c r="B101" t="s">
        <v>276</v>
      </c>
      <c r="C101" t="s">
        <v>277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278</v>
      </c>
      <c r="B102" t="s">
        <v>279</v>
      </c>
      <c r="C102" t="s">
        <v>277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280</v>
      </c>
      <c r="B103" t="s">
        <v>281</v>
      </c>
      <c r="C103" t="s">
        <v>277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282</v>
      </c>
      <c r="B104" t="s">
        <v>283</v>
      </c>
      <c r="C104" t="s">
        <v>277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284</v>
      </c>
      <c r="B105" t="s">
        <v>285</v>
      </c>
      <c r="C105" t="s">
        <v>277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286</v>
      </c>
      <c r="B106" t="s">
        <v>287</v>
      </c>
      <c r="C106" t="s">
        <v>277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288</v>
      </c>
      <c r="B107" t="s">
        <v>289</v>
      </c>
      <c r="C107" t="s">
        <v>277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290</v>
      </c>
      <c r="B108" t="s">
        <v>291</v>
      </c>
      <c r="C108" t="s">
        <v>292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3</v>
      </c>
      <c r="J108" s="33">
        <v>0</v>
      </c>
      <c r="K108" s="33">
        <v>0</v>
      </c>
      <c r="L108" s="33">
        <v>0</v>
      </c>
      <c r="M108">
        <v>3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4</v>
      </c>
      <c r="AK108">
        <v>4</v>
      </c>
      <c r="AL108">
        <v>4</v>
      </c>
      <c r="AM108">
        <v>2</v>
      </c>
      <c r="AN108" s="22">
        <v>0</v>
      </c>
      <c r="AO108" s="22">
        <v>0</v>
      </c>
      <c r="AP108" s="22">
        <v>0</v>
      </c>
      <c r="AQ108" s="22">
        <v>0</v>
      </c>
      <c r="AR108" s="35">
        <v>0</v>
      </c>
      <c r="AS108" s="35">
        <v>0</v>
      </c>
      <c r="AT108" s="35">
        <v>3</v>
      </c>
      <c r="AU108" s="31" t="str">
        <f t="shared" si="5"/>
        <v>库存为3</v>
      </c>
      <c r="AV108" s="36" t="str">
        <f>IFERROR(时间!$B$4+AU108,"上周无销量")</f>
        <v>上周无销量</v>
      </c>
    </row>
    <row r="109" spans="1:48">
      <c r="A109" s="20" t="s">
        <v>293</v>
      </c>
      <c r="B109" t="s">
        <v>294</v>
      </c>
      <c r="C109" t="s">
        <v>295</v>
      </c>
      <c r="D109" s="31">
        <v>0</v>
      </c>
      <c r="E109" s="31">
        <v>1</v>
      </c>
      <c r="F109" s="31">
        <v>0</v>
      </c>
      <c r="G109" s="31">
        <v>0</v>
      </c>
      <c r="H109" s="32">
        <v>9.99</v>
      </c>
      <c r="I109">
        <v>4</v>
      </c>
      <c r="J109" s="33">
        <v>0</v>
      </c>
      <c r="K109" s="33">
        <v>0</v>
      </c>
      <c r="L109" s="33">
        <v>0</v>
      </c>
      <c r="M109">
        <v>4</v>
      </c>
      <c r="N109">
        <v>0</v>
      </c>
      <c r="O109">
        <v>4</v>
      </c>
      <c r="P109">
        <v>24</v>
      </c>
      <c r="Q109">
        <v>45521</v>
      </c>
      <c r="R109">
        <v>0</v>
      </c>
      <c r="S109">
        <v>0</v>
      </c>
      <c r="T109">
        <v>0</v>
      </c>
      <c r="U109">
        <v>126</v>
      </c>
      <c r="V109">
        <v>0</v>
      </c>
      <c r="W109">
        <v>0</v>
      </c>
      <c r="X109" s="22">
        <v>0</v>
      </c>
      <c r="Y109" s="22">
        <v>0.00276795325234507</v>
      </c>
      <c r="Z109" s="22" t="s">
        <v>53</v>
      </c>
      <c r="AA109" s="22" t="s">
        <v>53</v>
      </c>
      <c r="AB109">
        <v>0</v>
      </c>
      <c r="AC109">
        <v>74.98</v>
      </c>
      <c r="AD109">
        <v>0</v>
      </c>
      <c r="AE109">
        <v>0</v>
      </c>
      <c r="AF109" s="22" t="s">
        <v>53</v>
      </c>
      <c r="AG109" s="22">
        <v>7.50550550550551</v>
      </c>
      <c r="AH109" s="22" t="s">
        <v>53</v>
      </c>
      <c r="AI109" s="22" t="s">
        <v>53</v>
      </c>
      <c r="AJ109">
        <v>8</v>
      </c>
      <c r="AK109">
        <v>55</v>
      </c>
      <c r="AL109">
        <v>3</v>
      </c>
      <c r="AM109">
        <v>1</v>
      </c>
      <c r="AN109" s="22">
        <v>0</v>
      </c>
      <c r="AO109" s="22">
        <v>0.0181818181818182</v>
      </c>
      <c r="AP109" s="22">
        <v>0</v>
      </c>
      <c r="AQ109" s="22">
        <v>0</v>
      </c>
      <c r="AR109" s="35">
        <v>0</v>
      </c>
      <c r="AS109" s="35">
        <v>0</v>
      </c>
      <c r="AT109" s="35">
        <v>4</v>
      </c>
      <c r="AU109" s="31" t="str">
        <f t="shared" si="5"/>
        <v>库存为4</v>
      </c>
      <c r="AV109" s="36" t="str">
        <f>IFERROR(时间!$B$4+AU109,"上周无销量")</f>
        <v>上周无销量</v>
      </c>
    </row>
    <row r="110" spans="1:48">
      <c r="A110" s="20" t="s">
        <v>296</v>
      </c>
      <c r="B110" t="s">
        <v>297</v>
      </c>
      <c r="C110" t="s">
        <v>295</v>
      </c>
      <c r="D110" s="31">
        <v>0</v>
      </c>
      <c r="E110" s="31">
        <v>1</v>
      </c>
      <c r="F110" s="31">
        <v>0</v>
      </c>
      <c r="G110" s="31">
        <v>0</v>
      </c>
      <c r="H110" s="32">
        <v>9.99</v>
      </c>
      <c r="I110">
        <v>3</v>
      </c>
      <c r="J110" s="33">
        <v>0</v>
      </c>
      <c r="K110" s="33">
        <v>0</v>
      </c>
      <c r="L110" s="33">
        <v>0</v>
      </c>
      <c r="M110">
        <v>3</v>
      </c>
      <c r="N110">
        <v>0</v>
      </c>
      <c r="O110">
        <v>3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12</v>
      </c>
      <c r="AK110">
        <v>9</v>
      </c>
      <c r="AL110">
        <v>2</v>
      </c>
      <c r="AM110">
        <v>2</v>
      </c>
      <c r="AN110" s="22">
        <v>0</v>
      </c>
      <c r="AO110" s="22">
        <v>0.111111111111111</v>
      </c>
      <c r="AP110" s="22">
        <v>0</v>
      </c>
      <c r="AQ110" s="22">
        <v>0</v>
      </c>
      <c r="AR110" s="35">
        <v>0</v>
      </c>
      <c r="AS110" s="35">
        <v>0</v>
      </c>
      <c r="AT110" s="35">
        <v>3</v>
      </c>
      <c r="AU110" s="31" t="str">
        <f t="shared" si="5"/>
        <v>库存为3</v>
      </c>
      <c r="AV110" s="36" t="str">
        <f>IFERROR(时间!$B$4+AU110,"上周无销量")</f>
        <v>上周无销量</v>
      </c>
    </row>
    <row r="111" spans="1:48">
      <c r="A111" s="20" t="s">
        <v>298</v>
      </c>
      <c r="B111" t="s">
        <v>299</v>
      </c>
      <c r="C111" t="s">
        <v>295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5</v>
      </c>
      <c r="J111" s="33">
        <v>0</v>
      </c>
      <c r="K111" s="33">
        <v>0</v>
      </c>
      <c r="L111" s="33">
        <v>0</v>
      </c>
      <c r="M111">
        <v>5</v>
      </c>
      <c r="N111">
        <v>0</v>
      </c>
      <c r="O111">
        <v>5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6</v>
      </c>
      <c r="AK111">
        <v>9</v>
      </c>
      <c r="AL111">
        <v>5</v>
      </c>
      <c r="AM111">
        <v>2</v>
      </c>
      <c r="AN111" s="22">
        <v>0</v>
      </c>
      <c r="AO111" s="22">
        <v>0</v>
      </c>
      <c r="AP111" s="22">
        <v>0</v>
      </c>
      <c r="AQ111" s="22">
        <v>0</v>
      </c>
      <c r="AR111" s="35">
        <v>0</v>
      </c>
      <c r="AS111" s="35">
        <v>0</v>
      </c>
      <c r="AT111" s="35">
        <v>5</v>
      </c>
      <c r="AU111" s="31" t="str">
        <f t="shared" si="5"/>
        <v>库存为5</v>
      </c>
      <c r="AV111" s="36" t="str">
        <f>IFERROR(时间!$B$4+AU111,"上周无销量")</f>
        <v>上周无销量</v>
      </c>
    </row>
    <row r="112" spans="1:48">
      <c r="A112" s="20" t="s">
        <v>300</v>
      </c>
      <c r="B112" t="s">
        <v>301</v>
      </c>
      <c r="C112" t="s">
        <v>295</v>
      </c>
      <c r="D112" s="31">
        <v>1</v>
      </c>
      <c r="E112" s="31">
        <v>0</v>
      </c>
      <c r="F112" s="31">
        <v>0</v>
      </c>
      <c r="G112" s="31">
        <v>0</v>
      </c>
      <c r="H112" s="32">
        <v>9.99</v>
      </c>
      <c r="I112">
        <v>4</v>
      </c>
      <c r="J112" s="33">
        <v>0</v>
      </c>
      <c r="K112" s="33">
        <v>0</v>
      </c>
      <c r="L112" s="33">
        <v>0</v>
      </c>
      <c r="M112">
        <v>4</v>
      </c>
      <c r="N112">
        <v>0</v>
      </c>
      <c r="O112">
        <v>5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5</v>
      </c>
      <c r="AK112">
        <v>10</v>
      </c>
      <c r="AL112">
        <v>5</v>
      </c>
      <c r="AM112">
        <v>3</v>
      </c>
      <c r="AN112" s="22">
        <v>0.2</v>
      </c>
      <c r="AO112" s="22">
        <v>0</v>
      </c>
      <c r="AP112" s="22">
        <v>0</v>
      </c>
      <c r="AQ112" s="22">
        <v>0</v>
      </c>
      <c r="AR112" s="35">
        <v>0.142857142857143</v>
      </c>
      <c r="AS112" s="35">
        <v>8.57142857142857</v>
      </c>
      <c r="AT112" s="35">
        <v>-4.57142857142857</v>
      </c>
      <c r="AU112" s="31">
        <f t="shared" si="5"/>
        <v>28</v>
      </c>
      <c r="AV112" s="36">
        <f>IFERROR(时间!$B$4+AU112,"上周无销量")</f>
        <v>43353</v>
      </c>
    </row>
    <row r="113" spans="1:48">
      <c r="A113" s="20" t="s">
        <v>302</v>
      </c>
      <c r="B113" t="s">
        <v>303</v>
      </c>
      <c r="C113" t="s">
        <v>295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5</v>
      </c>
      <c r="J113" s="33">
        <v>0</v>
      </c>
      <c r="K113" s="33">
        <v>0</v>
      </c>
      <c r="L113" s="33">
        <v>0</v>
      </c>
      <c r="M113">
        <v>5</v>
      </c>
      <c r="N113">
        <v>0</v>
      </c>
      <c r="O113">
        <v>5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19</v>
      </c>
      <c r="AK113">
        <v>7</v>
      </c>
      <c r="AL113">
        <v>5</v>
      </c>
      <c r="AM113">
        <v>2</v>
      </c>
      <c r="AN113" s="22">
        <v>0</v>
      </c>
      <c r="AO113" s="22">
        <v>0</v>
      </c>
      <c r="AP113" s="22">
        <v>0</v>
      </c>
      <c r="AQ113" s="22">
        <v>0</v>
      </c>
      <c r="AR113" s="35">
        <v>0</v>
      </c>
      <c r="AS113" s="35">
        <v>0</v>
      </c>
      <c r="AT113" s="35">
        <v>5</v>
      </c>
      <c r="AU113" s="31" t="str">
        <f t="shared" si="5"/>
        <v>库存为5</v>
      </c>
      <c r="AV113" s="36" t="str">
        <f>IFERROR(时间!$B$4+AU113,"上周无销量")</f>
        <v>上周无销量</v>
      </c>
    </row>
    <row r="114" spans="1:48">
      <c r="A114" s="20" t="s">
        <v>304</v>
      </c>
      <c r="B114" t="s">
        <v>305</v>
      </c>
      <c r="C114" t="s">
        <v>295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4</v>
      </c>
      <c r="J114" s="33">
        <v>0</v>
      </c>
      <c r="K114" s="33">
        <v>0</v>
      </c>
      <c r="L114" s="33">
        <v>0</v>
      </c>
      <c r="M114">
        <v>4</v>
      </c>
      <c r="N114">
        <v>0</v>
      </c>
      <c r="O114">
        <v>4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6</v>
      </c>
      <c r="AK114">
        <v>11</v>
      </c>
      <c r="AL114">
        <v>5</v>
      </c>
      <c r="AM114">
        <v>2</v>
      </c>
      <c r="AN114" s="22">
        <v>0</v>
      </c>
      <c r="AO114" s="22">
        <v>0</v>
      </c>
      <c r="AP114" s="22">
        <v>0</v>
      </c>
      <c r="AQ114" s="22">
        <v>0</v>
      </c>
      <c r="AR114" s="35">
        <v>0</v>
      </c>
      <c r="AS114" s="35">
        <v>0</v>
      </c>
      <c r="AT114" s="35">
        <v>4</v>
      </c>
      <c r="AU114" s="31" t="str">
        <f t="shared" si="5"/>
        <v>库存为4</v>
      </c>
      <c r="AV114" s="36" t="str">
        <f>IFERROR(时间!$B$4+AU114,"上周无销量")</f>
        <v>上周无销量</v>
      </c>
    </row>
    <row r="115" spans="1:48">
      <c r="A115" s="20" t="s">
        <v>306</v>
      </c>
      <c r="B115" t="s">
        <v>307</v>
      </c>
      <c r="C115" t="s">
        <v>295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4</v>
      </c>
      <c r="J115" s="33">
        <v>0</v>
      </c>
      <c r="K115" s="33">
        <v>0</v>
      </c>
      <c r="L115" s="33">
        <v>0</v>
      </c>
      <c r="M115">
        <v>4</v>
      </c>
      <c r="N115">
        <v>0</v>
      </c>
      <c r="O115">
        <v>4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3</v>
      </c>
      <c r="AK115">
        <v>7</v>
      </c>
      <c r="AL115">
        <v>3</v>
      </c>
      <c r="AM115">
        <v>1</v>
      </c>
      <c r="AN115" s="22">
        <v>0</v>
      </c>
      <c r="AO115" s="22">
        <v>0</v>
      </c>
      <c r="AP115" s="22">
        <v>0</v>
      </c>
      <c r="AQ115" s="22">
        <v>0</v>
      </c>
      <c r="AR115" s="35">
        <v>0</v>
      </c>
      <c r="AS115" s="35">
        <v>0</v>
      </c>
      <c r="AT115" s="35">
        <v>4</v>
      </c>
      <c r="AU115" s="31" t="str">
        <f t="shared" si="5"/>
        <v>库存为4</v>
      </c>
      <c r="AV115" s="36" t="str">
        <f>IFERROR(时间!$B$4+AU115,"上周无销量")</f>
        <v>上周无销量</v>
      </c>
    </row>
    <row r="116" spans="1:48">
      <c r="A116" s="20" t="s">
        <v>308</v>
      </c>
      <c r="B116" t="s">
        <v>309</v>
      </c>
      <c r="C116" t="s">
        <v>295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5</v>
      </c>
      <c r="J116" s="33">
        <v>0</v>
      </c>
      <c r="K116" s="33">
        <v>0</v>
      </c>
      <c r="L116" s="33">
        <v>0</v>
      </c>
      <c r="M116">
        <v>5</v>
      </c>
      <c r="N116">
        <v>0</v>
      </c>
      <c r="O116">
        <v>5</v>
      </c>
      <c r="P116">
        <v>4</v>
      </c>
      <c r="Q116">
        <v>17380</v>
      </c>
      <c r="R116">
        <v>0</v>
      </c>
      <c r="S116">
        <v>0</v>
      </c>
      <c r="T116">
        <v>0</v>
      </c>
      <c r="U116">
        <v>85</v>
      </c>
      <c r="V116">
        <v>0</v>
      </c>
      <c r="W116">
        <v>0</v>
      </c>
      <c r="X116" s="22">
        <v>0</v>
      </c>
      <c r="Y116" s="22">
        <v>0.00489067894131185</v>
      </c>
      <c r="Z116" s="22" t="s">
        <v>53</v>
      </c>
      <c r="AA116" s="22" t="s">
        <v>53</v>
      </c>
      <c r="AB116">
        <v>0</v>
      </c>
      <c r="AC116">
        <v>47.09</v>
      </c>
      <c r="AD116">
        <v>0</v>
      </c>
      <c r="AE116">
        <v>0</v>
      </c>
      <c r="AF116" s="22" t="s">
        <v>53</v>
      </c>
      <c r="AG116" s="22" t="s">
        <v>310</v>
      </c>
      <c r="AH116" s="22" t="s">
        <v>53</v>
      </c>
      <c r="AI116" s="22" t="s">
        <v>53</v>
      </c>
      <c r="AJ116">
        <v>7</v>
      </c>
      <c r="AK116">
        <v>48</v>
      </c>
      <c r="AL116">
        <v>4</v>
      </c>
      <c r="AM116">
        <v>2</v>
      </c>
      <c r="AN116" s="22">
        <v>0</v>
      </c>
      <c r="AO116" s="22">
        <v>0</v>
      </c>
      <c r="AP116" s="22">
        <v>0</v>
      </c>
      <c r="AQ116" s="22">
        <v>0</v>
      </c>
      <c r="AR116" s="35">
        <v>0</v>
      </c>
      <c r="AS116" s="35">
        <v>0</v>
      </c>
      <c r="AT116" s="35">
        <v>5</v>
      </c>
      <c r="AU116" s="31" t="str">
        <f t="shared" si="5"/>
        <v>库存为5</v>
      </c>
      <c r="AV116" s="36" t="str">
        <f>IFERROR(时间!$B$4+AU116,"上周无销量")</f>
        <v>上周无销量</v>
      </c>
    </row>
    <row r="117" spans="1:48">
      <c r="A117" s="20" t="s">
        <v>311</v>
      </c>
      <c r="B117" t="s">
        <v>312</v>
      </c>
      <c r="C117" t="s">
        <v>295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0</v>
      </c>
      <c r="AM117">
        <v>0</v>
      </c>
      <c r="AN117" s="22" t="s">
        <v>53</v>
      </c>
      <c r="AO117" s="22" t="s">
        <v>53</v>
      </c>
      <c r="AP117" s="22" t="s">
        <v>53</v>
      </c>
      <c r="AQ117" s="22" t="s">
        <v>53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313</v>
      </c>
      <c r="B118" t="s">
        <v>314</v>
      </c>
      <c r="C118" t="s">
        <v>295</v>
      </c>
      <c r="D118" s="31">
        <v>0</v>
      </c>
      <c r="E118" s="31">
        <v>1</v>
      </c>
      <c r="F118" s="31">
        <v>0</v>
      </c>
      <c r="G118" s="31">
        <v>0</v>
      </c>
      <c r="H118" s="32">
        <v>9.99</v>
      </c>
      <c r="I118">
        <v>3</v>
      </c>
      <c r="J118" s="33">
        <v>0</v>
      </c>
      <c r="K118" s="33">
        <v>0</v>
      </c>
      <c r="L118" s="33">
        <v>0</v>
      </c>
      <c r="M118">
        <v>3</v>
      </c>
      <c r="N118">
        <v>0</v>
      </c>
      <c r="O118">
        <v>3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13</v>
      </c>
      <c r="AK118">
        <v>5</v>
      </c>
      <c r="AL118">
        <v>2</v>
      </c>
      <c r="AM118">
        <v>3</v>
      </c>
      <c r="AN118" s="22">
        <v>0</v>
      </c>
      <c r="AO118" s="22">
        <v>0.2</v>
      </c>
      <c r="AP118" s="22">
        <v>0</v>
      </c>
      <c r="AQ118" s="22">
        <v>0</v>
      </c>
      <c r="AR118" s="35">
        <v>0</v>
      </c>
      <c r="AS118" s="35">
        <v>0</v>
      </c>
      <c r="AT118" s="35">
        <v>3</v>
      </c>
      <c r="AU118" s="31" t="str">
        <f t="shared" si="5"/>
        <v>库存为3</v>
      </c>
      <c r="AV118" s="36" t="str">
        <f>IFERROR(时间!$B$4+AU118,"上周无销量")</f>
        <v>上周无销量</v>
      </c>
    </row>
    <row r="119" spans="1:48">
      <c r="A119" s="20" t="s">
        <v>315</v>
      </c>
      <c r="B119" t="s">
        <v>316</v>
      </c>
      <c r="C119" t="s">
        <v>295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5</v>
      </c>
      <c r="J119" s="33">
        <v>0</v>
      </c>
      <c r="K119" s="33">
        <v>0</v>
      </c>
      <c r="L119" s="33">
        <v>0</v>
      </c>
      <c r="M119">
        <v>5</v>
      </c>
      <c r="N119">
        <v>0</v>
      </c>
      <c r="O119">
        <v>5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4</v>
      </c>
      <c r="AK119">
        <v>9</v>
      </c>
      <c r="AL119">
        <v>4</v>
      </c>
      <c r="AM119">
        <v>1</v>
      </c>
      <c r="AN119" s="22">
        <v>0</v>
      </c>
      <c r="AO119" s="22">
        <v>0</v>
      </c>
      <c r="AP119" s="22">
        <v>0</v>
      </c>
      <c r="AQ119" s="22">
        <v>0</v>
      </c>
      <c r="AR119" s="35">
        <v>0</v>
      </c>
      <c r="AS119" s="35">
        <v>0</v>
      </c>
      <c r="AT119" s="35">
        <v>5</v>
      </c>
      <c r="AU119" s="31" t="str">
        <f t="shared" si="5"/>
        <v>库存为5</v>
      </c>
      <c r="AV119" s="36" t="str">
        <f>IFERROR(时间!$B$4+AU119,"上周无销量")</f>
        <v>上周无销量</v>
      </c>
    </row>
    <row r="120" spans="1:48">
      <c r="A120" s="20" t="s">
        <v>317</v>
      </c>
      <c r="B120" t="s">
        <v>318</v>
      </c>
      <c r="C120" t="s">
        <v>295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3</v>
      </c>
      <c r="J120" s="33">
        <v>0</v>
      </c>
      <c r="K120" s="33">
        <v>0</v>
      </c>
      <c r="L120" s="33">
        <v>0</v>
      </c>
      <c r="M120">
        <v>3</v>
      </c>
      <c r="N120">
        <v>0</v>
      </c>
      <c r="O120">
        <v>3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5</v>
      </c>
      <c r="AK120">
        <v>4</v>
      </c>
      <c r="AL120">
        <v>4</v>
      </c>
      <c r="AM120">
        <v>4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3</v>
      </c>
      <c r="AU120" s="31" t="str">
        <f t="shared" si="5"/>
        <v>库存为3</v>
      </c>
      <c r="AV120" s="36" t="str">
        <f>IFERROR(时间!$B$4+AU120,"上周无销量")</f>
        <v>上周无销量</v>
      </c>
    </row>
    <row r="121" spans="1:48">
      <c r="A121" s="20" t="s">
        <v>319</v>
      </c>
      <c r="B121" t="s">
        <v>320</v>
      </c>
      <c r="C121" t="s">
        <v>295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3</v>
      </c>
      <c r="J121" s="33">
        <v>0</v>
      </c>
      <c r="K121" s="33">
        <v>0</v>
      </c>
      <c r="L121" s="33">
        <v>0</v>
      </c>
      <c r="M121">
        <v>3</v>
      </c>
      <c r="N121">
        <v>0</v>
      </c>
      <c r="O121">
        <v>3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1</v>
      </c>
      <c r="AK121">
        <v>3</v>
      </c>
      <c r="AL121">
        <v>5</v>
      </c>
      <c r="AM121">
        <v>3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3</v>
      </c>
      <c r="AU121" s="31" t="str">
        <f t="shared" si="5"/>
        <v>库存为3</v>
      </c>
      <c r="AV121" s="36" t="str">
        <f>IFERROR(时间!$B$4+AU121,"上周无销量")</f>
        <v>上周无销量</v>
      </c>
    </row>
    <row r="122" spans="1:48">
      <c r="A122" s="20" t="s">
        <v>321</v>
      </c>
      <c r="B122" t="s">
        <v>322</v>
      </c>
      <c r="C122" t="s">
        <v>295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3</v>
      </c>
      <c r="J122" s="33">
        <v>0</v>
      </c>
      <c r="K122" s="33">
        <v>0</v>
      </c>
      <c r="L122" s="33">
        <v>0</v>
      </c>
      <c r="M122">
        <v>3</v>
      </c>
      <c r="N122">
        <v>0</v>
      </c>
      <c r="O122">
        <v>3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14</v>
      </c>
      <c r="AK122">
        <v>5</v>
      </c>
      <c r="AL122">
        <v>5</v>
      </c>
      <c r="AM122">
        <v>2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3</v>
      </c>
      <c r="AU122" s="31" t="str">
        <f t="shared" si="5"/>
        <v>库存为3</v>
      </c>
      <c r="AV122" s="36" t="str">
        <f>IFERROR(时间!$B$4+AU122,"上周无销量")</f>
        <v>上周无销量</v>
      </c>
    </row>
    <row r="123" spans="1:48">
      <c r="A123" s="20" t="s">
        <v>323</v>
      </c>
      <c r="B123" t="s">
        <v>324</v>
      </c>
      <c r="C123" t="s">
        <v>295</v>
      </c>
      <c r="D123" s="31">
        <v>0</v>
      </c>
      <c r="E123" s="31">
        <v>1</v>
      </c>
      <c r="F123" s="31">
        <v>0</v>
      </c>
      <c r="G123" s="31">
        <v>0</v>
      </c>
      <c r="H123" s="32">
        <v>9.99</v>
      </c>
      <c r="I123">
        <v>2</v>
      </c>
      <c r="J123" s="33">
        <v>0</v>
      </c>
      <c r="K123" s="33">
        <v>0</v>
      </c>
      <c r="L123" s="33">
        <v>0</v>
      </c>
      <c r="M123">
        <v>2</v>
      </c>
      <c r="N123">
        <v>0</v>
      </c>
      <c r="O123">
        <v>2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7</v>
      </c>
      <c r="AK123">
        <v>8</v>
      </c>
      <c r="AL123">
        <v>5</v>
      </c>
      <c r="AM123">
        <v>3</v>
      </c>
      <c r="AN123" s="22">
        <v>0</v>
      </c>
      <c r="AO123" s="22">
        <v>0.125</v>
      </c>
      <c r="AP123" s="22">
        <v>0</v>
      </c>
      <c r="AQ123" s="22">
        <v>0</v>
      </c>
      <c r="AR123" s="35">
        <v>0</v>
      </c>
      <c r="AS123" s="35">
        <v>0</v>
      </c>
      <c r="AT123" s="35">
        <v>2</v>
      </c>
      <c r="AU123" s="31" t="str">
        <f t="shared" si="5"/>
        <v>库存为2</v>
      </c>
      <c r="AV123" s="36" t="str">
        <f>IFERROR(时间!$B$4+AU123,"上周无销量")</f>
        <v>上周无销量</v>
      </c>
    </row>
    <row r="124" spans="1:48">
      <c r="A124" s="20" t="s">
        <v>325</v>
      </c>
      <c r="B124" t="s">
        <v>326</v>
      </c>
      <c r="C124" t="s">
        <v>295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5</v>
      </c>
      <c r="J124" s="33">
        <v>0</v>
      </c>
      <c r="K124" s="33">
        <v>0</v>
      </c>
      <c r="L124" s="33">
        <v>0</v>
      </c>
      <c r="M124">
        <v>5</v>
      </c>
      <c r="N124">
        <v>0</v>
      </c>
      <c r="O124">
        <v>5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3</v>
      </c>
      <c r="AK124">
        <v>8</v>
      </c>
      <c r="AL124">
        <v>3</v>
      </c>
      <c r="AM124">
        <v>1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5</v>
      </c>
      <c r="AU124" s="31" t="str">
        <f t="shared" si="5"/>
        <v>库存为5</v>
      </c>
      <c r="AV124" s="36" t="str">
        <f>IFERROR(时间!$B$4+AU124,"上周无销量")</f>
        <v>上周无销量</v>
      </c>
    </row>
    <row r="125" spans="1:48">
      <c r="A125" s="20" t="s">
        <v>327</v>
      </c>
      <c r="B125" t="s">
        <v>328</v>
      </c>
      <c r="C125" t="s">
        <v>295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3</v>
      </c>
      <c r="J125" s="33">
        <v>0</v>
      </c>
      <c r="K125" s="33">
        <v>0</v>
      </c>
      <c r="L125" s="33">
        <v>0</v>
      </c>
      <c r="M125">
        <v>3</v>
      </c>
      <c r="N125">
        <v>0</v>
      </c>
      <c r="O125">
        <v>3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5</v>
      </c>
      <c r="AK125">
        <v>7</v>
      </c>
      <c r="AL125">
        <v>7</v>
      </c>
      <c r="AM125">
        <v>5</v>
      </c>
      <c r="AN125" s="22">
        <v>0</v>
      </c>
      <c r="AO125" s="22">
        <v>0</v>
      </c>
      <c r="AP125" s="22">
        <v>0</v>
      </c>
      <c r="AQ125" s="22">
        <v>0</v>
      </c>
      <c r="AR125" s="35">
        <v>0</v>
      </c>
      <c r="AS125" s="35">
        <v>0</v>
      </c>
      <c r="AT125" s="35">
        <v>3</v>
      </c>
      <c r="AU125" s="31" t="str">
        <f t="shared" si="5"/>
        <v>库存为3</v>
      </c>
      <c r="AV125" s="36" t="str">
        <f>IFERROR(时间!$B$4+AU125,"上周无销量")</f>
        <v>上周无销量</v>
      </c>
    </row>
    <row r="126" spans="1:48">
      <c r="A126" s="20" t="s">
        <v>329</v>
      </c>
      <c r="B126" t="s">
        <v>330</v>
      </c>
      <c r="C126" t="s">
        <v>295</v>
      </c>
      <c r="D126" s="31">
        <v>1</v>
      </c>
      <c r="E126" s="31">
        <v>0</v>
      </c>
      <c r="F126" s="31">
        <v>0</v>
      </c>
      <c r="G126" s="31">
        <v>0</v>
      </c>
      <c r="H126" s="32">
        <v>9.99</v>
      </c>
      <c r="I126">
        <v>2</v>
      </c>
      <c r="J126" s="33">
        <v>0</v>
      </c>
      <c r="K126" s="33">
        <v>0</v>
      </c>
      <c r="L126" s="33">
        <v>0</v>
      </c>
      <c r="M126">
        <v>2</v>
      </c>
      <c r="N126">
        <v>0</v>
      </c>
      <c r="O126">
        <v>3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4</v>
      </c>
      <c r="AK126">
        <v>13</v>
      </c>
      <c r="AL126">
        <v>4</v>
      </c>
      <c r="AM126">
        <v>4</v>
      </c>
      <c r="AN126" s="22">
        <v>0.25</v>
      </c>
      <c r="AO126" s="22">
        <v>0</v>
      </c>
      <c r="AP126" s="22">
        <v>0</v>
      </c>
      <c r="AQ126" s="22">
        <v>0</v>
      </c>
      <c r="AR126" s="35">
        <v>0.142857142857143</v>
      </c>
      <c r="AS126" s="35">
        <v>8.57142857142857</v>
      </c>
      <c r="AT126" s="35">
        <v>-6.57142857142857</v>
      </c>
      <c r="AU126" s="31">
        <f t="shared" si="5"/>
        <v>14</v>
      </c>
      <c r="AV126" s="36">
        <f>IFERROR(时间!$B$4+AU126,"上周无销量")</f>
        <v>43339</v>
      </c>
    </row>
    <row r="127" spans="1:48">
      <c r="A127" s="20" t="s">
        <v>331</v>
      </c>
      <c r="B127" t="s">
        <v>332</v>
      </c>
      <c r="C127" t="s">
        <v>295</v>
      </c>
      <c r="D127" s="31">
        <v>0</v>
      </c>
      <c r="E127" s="31">
        <v>2</v>
      </c>
      <c r="F127" s="31">
        <v>0</v>
      </c>
      <c r="G127" s="31">
        <v>0</v>
      </c>
      <c r="H127" s="32">
        <v>9.99</v>
      </c>
      <c r="I127">
        <v>2</v>
      </c>
      <c r="J127" s="33">
        <v>0</v>
      </c>
      <c r="K127" s="33">
        <v>0</v>
      </c>
      <c r="L127" s="33">
        <v>0</v>
      </c>
      <c r="M127">
        <v>2</v>
      </c>
      <c r="N127">
        <v>0</v>
      </c>
      <c r="O127">
        <v>2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5</v>
      </c>
      <c r="AK127">
        <v>6</v>
      </c>
      <c r="AL127">
        <v>1</v>
      </c>
      <c r="AM127">
        <v>5</v>
      </c>
      <c r="AN127" s="22">
        <v>0</v>
      </c>
      <c r="AO127" s="22">
        <v>0.333333333333333</v>
      </c>
      <c r="AP127" s="22">
        <v>0</v>
      </c>
      <c r="AQ127" s="22">
        <v>0</v>
      </c>
      <c r="AR127" s="35">
        <v>0</v>
      </c>
      <c r="AS127" s="35">
        <v>0</v>
      </c>
      <c r="AT127" s="35">
        <v>2</v>
      </c>
      <c r="AU127" s="31" t="str">
        <f t="shared" si="5"/>
        <v>库存为2</v>
      </c>
      <c r="AV127" s="36" t="str">
        <f>IFERROR(时间!$B$4+AU127,"上周无销量")</f>
        <v>上周无销量</v>
      </c>
    </row>
    <row r="128" spans="1:48">
      <c r="A128" s="20" t="s">
        <v>333</v>
      </c>
      <c r="B128" t="s">
        <v>334</v>
      </c>
      <c r="C128" t="s">
        <v>295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5</v>
      </c>
      <c r="J128" s="33">
        <v>0</v>
      </c>
      <c r="K128" s="33">
        <v>0</v>
      </c>
      <c r="L128" s="33">
        <v>0</v>
      </c>
      <c r="M128">
        <v>5</v>
      </c>
      <c r="N128">
        <v>0</v>
      </c>
      <c r="O128">
        <v>5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19</v>
      </c>
      <c r="AK128">
        <v>5</v>
      </c>
      <c r="AL128">
        <v>5</v>
      </c>
      <c r="AM128">
        <v>4</v>
      </c>
      <c r="AN128" s="22">
        <v>0</v>
      </c>
      <c r="AO128" s="22">
        <v>0</v>
      </c>
      <c r="AP128" s="22">
        <v>0</v>
      </c>
      <c r="AQ128" s="22">
        <v>0</v>
      </c>
      <c r="AR128" s="35">
        <v>0</v>
      </c>
      <c r="AS128" s="35">
        <v>0</v>
      </c>
      <c r="AT128" s="35">
        <v>5</v>
      </c>
      <c r="AU128" s="31" t="str">
        <f t="shared" si="5"/>
        <v>库存为5</v>
      </c>
      <c r="AV128" s="36" t="str">
        <f>IFERROR(时间!$B$4+AU128,"上周无销量")</f>
        <v>上周无销量</v>
      </c>
    </row>
    <row r="129" spans="1:48">
      <c r="A129" s="20" t="s">
        <v>335</v>
      </c>
      <c r="B129" t="s">
        <v>336</v>
      </c>
      <c r="C129" t="s">
        <v>295</v>
      </c>
      <c r="D129" s="31">
        <v>1</v>
      </c>
      <c r="E129" s="31">
        <v>2</v>
      </c>
      <c r="F129" s="31">
        <v>0</v>
      </c>
      <c r="G129" s="31">
        <v>0</v>
      </c>
      <c r="H129" s="32">
        <v>9.99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1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8</v>
      </c>
      <c r="AK129">
        <v>14</v>
      </c>
      <c r="AL129">
        <v>3</v>
      </c>
      <c r="AM129">
        <v>7</v>
      </c>
      <c r="AN129" s="22">
        <v>0.125</v>
      </c>
      <c r="AO129" s="22">
        <v>0.142857142857143</v>
      </c>
      <c r="AP129" s="22">
        <v>0</v>
      </c>
      <c r="AQ129" s="22">
        <v>0</v>
      </c>
      <c r="AR129" s="35">
        <v>0.142857142857143</v>
      </c>
      <c r="AS129" s="35">
        <v>8.57142857142857</v>
      </c>
      <c r="AT129" s="35">
        <v>-8.57142857142857</v>
      </c>
      <c r="AU129" s="31">
        <f t="shared" si="5"/>
        <v>0</v>
      </c>
      <c r="AV129" s="36">
        <f>IFERROR(时间!$B$4+AU129,"上周无销量")</f>
        <v>43325</v>
      </c>
    </row>
    <row r="130" spans="1:48">
      <c r="A130" s="20" t="s">
        <v>337</v>
      </c>
      <c r="B130" t="s">
        <v>338</v>
      </c>
      <c r="C130" t="s">
        <v>295</v>
      </c>
      <c r="D130" s="31">
        <v>0</v>
      </c>
      <c r="E130" s="31">
        <v>1</v>
      </c>
      <c r="F130" s="31">
        <v>0</v>
      </c>
      <c r="G130" s="31">
        <v>0</v>
      </c>
      <c r="H130" s="32">
        <v>9.99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>
        <v>0</v>
      </c>
      <c r="Q130">
        <v>528</v>
      </c>
      <c r="R130">
        <v>0</v>
      </c>
      <c r="S130">
        <v>0</v>
      </c>
      <c r="T130">
        <v>0</v>
      </c>
      <c r="U130">
        <v>6</v>
      </c>
      <c r="V130">
        <v>0</v>
      </c>
      <c r="W130">
        <v>0</v>
      </c>
      <c r="X130" s="22" t="s">
        <v>53</v>
      </c>
      <c r="Y130" s="22">
        <v>0.0113636363636364</v>
      </c>
      <c r="Z130" s="22" t="s">
        <v>53</v>
      </c>
      <c r="AA130" s="22" t="s">
        <v>53</v>
      </c>
      <c r="AB130">
        <v>0</v>
      </c>
      <c r="AC130">
        <v>2.62</v>
      </c>
      <c r="AD130">
        <v>0</v>
      </c>
      <c r="AE130">
        <v>0</v>
      </c>
      <c r="AF130" s="22" t="s">
        <v>53</v>
      </c>
      <c r="AG130" s="22">
        <v>0.262262262262262</v>
      </c>
      <c r="AH130" s="22" t="s">
        <v>53</v>
      </c>
      <c r="AI130" s="22" t="s">
        <v>53</v>
      </c>
      <c r="AJ130">
        <v>0</v>
      </c>
      <c r="AK130">
        <v>6</v>
      </c>
      <c r="AL130">
        <v>4</v>
      </c>
      <c r="AM130">
        <v>5</v>
      </c>
      <c r="AN130" s="22" t="s">
        <v>53</v>
      </c>
      <c r="AO130" s="22">
        <v>0.166666666666667</v>
      </c>
      <c r="AP130" s="22">
        <v>0</v>
      </c>
      <c r="AQ130" s="22">
        <v>0</v>
      </c>
      <c r="AR130" s="35">
        <v>0</v>
      </c>
      <c r="AS130" s="35">
        <v>0</v>
      </c>
      <c r="AT130" s="35">
        <v>0</v>
      </c>
      <c r="AU130" s="31" t="str">
        <f t="shared" si="5"/>
        <v>库存为0</v>
      </c>
      <c r="AV130" s="36" t="str">
        <f>IFERROR(时间!$B$4+AU130,"上周无销量")</f>
        <v>上周无销量</v>
      </c>
    </row>
    <row r="131" spans="1:48">
      <c r="A131" s="20" t="s">
        <v>339</v>
      </c>
      <c r="B131" t="s">
        <v>340</v>
      </c>
      <c r="C131" t="s">
        <v>295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1</v>
      </c>
      <c r="J131" s="33">
        <v>0</v>
      </c>
      <c r="K131" s="33">
        <v>0</v>
      </c>
      <c r="L131" s="33">
        <v>0</v>
      </c>
      <c r="M131">
        <v>1</v>
      </c>
      <c r="N131">
        <v>0</v>
      </c>
      <c r="O131">
        <v>1</v>
      </c>
      <c r="P131">
        <v>15247</v>
      </c>
      <c r="Q131">
        <v>0</v>
      </c>
      <c r="R131">
        <v>0</v>
      </c>
      <c r="S131">
        <v>0</v>
      </c>
      <c r="T131">
        <v>139</v>
      </c>
      <c r="U131">
        <v>0</v>
      </c>
      <c r="V131">
        <v>0</v>
      </c>
      <c r="W131">
        <v>0</v>
      </c>
      <c r="X131" s="22">
        <v>0.00911654751754444</v>
      </c>
      <c r="Y131" s="22" t="s">
        <v>53</v>
      </c>
      <c r="Z131" s="22" t="s">
        <v>53</v>
      </c>
      <c r="AA131" s="22" t="s">
        <v>53</v>
      </c>
      <c r="AB131">
        <v>90.76</v>
      </c>
      <c r="AC131">
        <v>0</v>
      </c>
      <c r="AD131">
        <v>0</v>
      </c>
      <c r="AE131">
        <v>0</v>
      </c>
      <c r="AF131" s="22" t="s">
        <v>341</v>
      </c>
      <c r="AG131" s="22" t="s">
        <v>53</v>
      </c>
      <c r="AH131" s="22" t="s">
        <v>53</v>
      </c>
      <c r="AI131" s="22" t="s">
        <v>53</v>
      </c>
      <c r="AJ131">
        <v>102</v>
      </c>
      <c r="AK131">
        <v>6</v>
      </c>
      <c r="AL131">
        <v>4</v>
      </c>
      <c r="AM131">
        <v>3</v>
      </c>
      <c r="AN131" s="22">
        <v>0</v>
      </c>
      <c r="AO131" s="22">
        <v>0</v>
      </c>
      <c r="AP131" s="22">
        <v>0</v>
      </c>
      <c r="AQ131" s="22">
        <v>0</v>
      </c>
      <c r="AR131" s="35">
        <v>0</v>
      </c>
      <c r="AS131" s="35">
        <v>0</v>
      </c>
      <c r="AT131" s="35">
        <v>1</v>
      </c>
      <c r="AU131" s="31" t="str">
        <f t="shared" si="5"/>
        <v>库存为1</v>
      </c>
      <c r="AV131" s="36" t="str">
        <f>IFERROR(时间!$B$4+AU131,"上周无销量")</f>
        <v>上周无销量</v>
      </c>
    </row>
    <row r="132" spans="1:48">
      <c r="A132" s="20" t="s">
        <v>342</v>
      </c>
      <c r="B132" t="s">
        <v>343</v>
      </c>
      <c r="C132" t="s">
        <v>344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0</v>
      </c>
      <c r="AK132">
        <v>0</v>
      </c>
      <c r="AL132">
        <v>0</v>
      </c>
      <c r="AM132">
        <v>0</v>
      </c>
      <c r="AN132" s="22" t="s">
        <v>53</v>
      </c>
      <c r="AO132" s="22" t="s">
        <v>53</v>
      </c>
      <c r="AP132" s="22" t="s">
        <v>53</v>
      </c>
      <c r="AQ132" s="22" t="s">
        <v>53</v>
      </c>
      <c r="AR132" s="35">
        <v>0</v>
      </c>
      <c r="AS132" s="35">
        <v>0</v>
      </c>
      <c r="AT132" s="35">
        <v>0</v>
      </c>
      <c r="AU132" s="31" t="str">
        <f t="shared" si="5"/>
        <v>库存为0</v>
      </c>
      <c r="AV132" s="36" t="str">
        <f>IFERROR(时间!$B$4+AU132,"上周无销量")</f>
        <v>上周无销量</v>
      </c>
    </row>
    <row r="133" spans="1:48">
      <c r="A133" s="20" t="s">
        <v>345</v>
      </c>
      <c r="B133" t="s">
        <v>346</v>
      </c>
      <c r="C133" t="s">
        <v>347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246</v>
      </c>
      <c r="J133" s="33">
        <v>0</v>
      </c>
      <c r="K133" s="33">
        <v>0</v>
      </c>
      <c r="L133" s="33">
        <v>0</v>
      </c>
      <c r="M133">
        <v>246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246</v>
      </c>
      <c r="AU133" s="31" t="str">
        <f t="shared" ref="AU133:AU196" si="6">IF(AR133="","库存为"&amp;M133,IF(AS133=0,"库存为"&amp;M133,INT(M133/AR133)))</f>
        <v>库存为246</v>
      </c>
      <c r="AV133" s="36" t="str">
        <f>IFERROR(时间!$B$4+AU133,"上周无销量")</f>
        <v>上周无销量</v>
      </c>
    </row>
    <row r="134" spans="1:48">
      <c r="A134" s="20" t="s">
        <v>348</v>
      </c>
      <c r="B134" t="s">
        <v>346</v>
      </c>
      <c r="C134" t="s">
        <v>347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90</v>
      </c>
      <c r="J134" s="33">
        <v>0</v>
      </c>
      <c r="K134" s="33">
        <v>0</v>
      </c>
      <c r="L134" s="33">
        <v>0</v>
      </c>
      <c r="M134">
        <v>90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0</v>
      </c>
      <c r="AK134">
        <v>0</v>
      </c>
      <c r="AL134">
        <v>0</v>
      </c>
      <c r="AM134">
        <v>0</v>
      </c>
      <c r="AN134" s="22" t="s">
        <v>53</v>
      </c>
      <c r="AO134" s="22" t="s">
        <v>53</v>
      </c>
      <c r="AP134" s="22" t="s">
        <v>53</v>
      </c>
      <c r="AQ134" s="22" t="s">
        <v>53</v>
      </c>
      <c r="AR134" s="35">
        <v>0</v>
      </c>
      <c r="AS134" s="35">
        <v>0</v>
      </c>
      <c r="AT134" s="35">
        <v>90</v>
      </c>
      <c r="AU134" s="31" t="str">
        <f t="shared" si="6"/>
        <v>库存为90</v>
      </c>
      <c r="AV134" s="36" t="str">
        <f>IFERROR(时间!$B$4+AU134,"上周无销量")</f>
        <v>上周无销量</v>
      </c>
    </row>
    <row r="135" spans="1:48">
      <c r="A135" s="20" t="s">
        <v>349</v>
      </c>
      <c r="B135" t="s">
        <v>346</v>
      </c>
      <c r="C135" t="s">
        <v>347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1</v>
      </c>
      <c r="J135" s="33">
        <v>0</v>
      </c>
      <c r="K135" s="33">
        <v>0</v>
      </c>
      <c r="L135" s="33">
        <v>0</v>
      </c>
      <c r="M135">
        <v>1</v>
      </c>
      <c r="N135">
        <v>1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0</v>
      </c>
      <c r="AK135">
        <v>0</v>
      </c>
      <c r="AL135">
        <v>0</v>
      </c>
      <c r="AM135">
        <v>0</v>
      </c>
      <c r="AN135" s="22" t="s">
        <v>53</v>
      </c>
      <c r="AO135" s="22" t="s">
        <v>53</v>
      </c>
      <c r="AP135" s="22" t="s">
        <v>53</v>
      </c>
      <c r="AQ135" s="22" t="s">
        <v>53</v>
      </c>
      <c r="AR135" s="35">
        <v>0</v>
      </c>
      <c r="AS135" s="35">
        <v>0</v>
      </c>
      <c r="AT135" s="35">
        <v>1</v>
      </c>
      <c r="AU135" s="31" t="str">
        <f t="shared" si="6"/>
        <v>库存为1</v>
      </c>
      <c r="AV135" s="36" t="str">
        <f>IFERROR(时间!$B$4+AU135,"上周无销量")</f>
        <v>上周无销量</v>
      </c>
    </row>
    <row r="136" spans="1:48">
      <c r="A136" s="20" t="s">
        <v>350</v>
      </c>
      <c r="B136" t="s">
        <v>346</v>
      </c>
      <c r="C136" t="s">
        <v>347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0</v>
      </c>
      <c r="AK136">
        <v>0</v>
      </c>
      <c r="AL136">
        <v>0</v>
      </c>
      <c r="AM136">
        <v>0</v>
      </c>
      <c r="AN136" s="22" t="s">
        <v>53</v>
      </c>
      <c r="AO136" s="22" t="s">
        <v>53</v>
      </c>
      <c r="AP136" s="22" t="s">
        <v>53</v>
      </c>
      <c r="AQ136" s="22" t="s">
        <v>53</v>
      </c>
      <c r="AR136" s="35">
        <v>0</v>
      </c>
      <c r="AS136" s="35">
        <v>0</v>
      </c>
      <c r="AT136" s="35">
        <v>0</v>
      </c>
      <c r="AU136" s="31" t="str">
        <f t="shared" si="6"/>
        <v>库存为0</v>
      </c>
      <c r="AV136" s="36" t="str">
        <f>IFERROR(时间!$B$4+AU136,"上周无销量")</f>
        <v>上周无销量</v>
      </c>
    </row>
    <row r="137" spans="1:48">
      <c r="A137" s="20" t="s">
        <v>351</v>
      </c>
      <c r="B137" t="s">
        <v>352</v>
      </c>
      <c r="C137" t="s">
        <v>353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0</v>
      </c>
      <c r="AU137" s="31" t="str">
        <f t="shared" si="6"/>
        <v>库存为0</v>
      </c>
      <c r="AV137" s="36" t="str">
        <f>IFERROR(时间!$B$4+AU137,"上周无销量")</f>
        <v>上周无销量</v>
      </c>
    </row>
    <row r="138" spans="1:48">
      <c r="A138" s="20" t="s">
        <v>354</v>
      </c>
      <c r="B138" t="s">
        <v>355</v>
      </c>
      <c r="C138" t="s">
        <v>354</v>
      </c>
      <c r="D138" s="31">
        <v>0</v>
      </c>
      <c r="E138" s="31">
        <v>1</v>
      </c>
      <c r="F138" s="31">
        <v>1</v>
      </c>
      <c r="G138" s="31">
        <v>2</v>
      </c>
      <c r="H138" s="32">
        <v>8.99</v>
      </c>
      <c r="I138">
        <v>16</v>
      </c>
      <c r="J138" s="33">
        <v>0</v>
      </c>
      <c r="K138" s="33">
        <v>0</v>
      </c>
      <c r="L138" s="33">
        <v>0</v>
      </c>
      <c r="M138">
        <v>16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9538</v>
      </c>
      <c r="T138">
        <v>0</v>
      </c>
      <c r="U138">
        <v>0</v>
      </c>
      <c r="V138">
        <v>0</v>
      </c>
      <c r="W138">
        <v>18</v>
      </c>
      <c r="X138" s="22" t="s">
        <v>53</v>
      </c>
      <c r="Y138" s="22" t="s">
        <v>53</v>
      </c>
      <c r="Z138" s="22" t="s">
        <v>53</v>
      </c>
      <c r="AA138" s="22">
        <v>0.00188718808974628</v>
      </c>
      <c r="AB138">
        <v>0</v>
      </c>
      <c r="AC138">
        <v>0</v>
      </c>
      <c r="AD138">
        <v>0</v>
      </c>
      <c r="AE138">
        <v>18.54</v>
      </c>
      <c r="AF138" s="22" t="s">
        <v>53</v>
      </c>
      <c r="AG138" s="22" t="s">
        <v>53</v>
      </c>
      <c r="AH138" s="22" t="s">
        <v>53</v>
      </c>
      <c r="AI138" s="22">
        <v>1.03114571746385</v>
      </c>
      <c r="AJ138">
        <v>11</v>
      </c>
      <c r="AK138">
        <v>7</v>
      </c>
      <c r="AL138">
        <v>10</v>
      </c>
      <c r="AM138">
        <v>29</v>
      </c>
      <c r="AN138" s="22">
        <v>0</v>
      </c>
      <c r="AO138" s="22">
        <v>0.142857142857143</v>
      </c>
      <c r="AP138" s="22">
        <v>0.1</v>
      </c>
      <c r="AQ138" s="22">
        <v>0.0689655172413793</v>
      </c>
      <c r="AR138" s="35">
        <v>0</v>
      </c>
      <c r="AS138" s="35">
        <v>0</v>
      </c>
      <c r="AT138" s="35">
        <v>16</v>
      </c>
      <c r="AU138" s="31" t="str">
        <f t="shared" si="6"/>
        <v>库存为16</v>
      </c>
      <c r="AV138" s="36" t="str">
        <f>IFERROR(时间!$B$4+AU138,"上周无销量")</f>
        <v>上周无销量</v>
      </c>
    </row>
    <row r="139" spans="1:48">
      <c r="A139" s="20" t="s">
        <v>356</v>
      </c>
      <c r="B139" t="s">
        <v>357</v>
      </c>
      <c r="C139" t="s">
        <v>358</v>
      </c>
      <c r="D139" s="31">
        <v>0</v>
      </c>
      <c r="E139" s="31">
        <v>2</v>
      </c>
      <c r="F139" s="31">
        <v>0</v>
      </c>
      <c r="G139" s="31">
        <v>0</v>
      </c>
      <c r="H139" s="32">
        <v>16.66</v>
      </c>
      <c r="I139">
        <v>11</v>
      </c>
      <c r="J139" s="33">
        <v>0</v>
      </c>
      <c r="K139" s="33">
        <v>0</v>
      </c>
      <c r="L139" s="33">
        <v>0</v>
      </c>
      <c r="M139">
        <v>11</v>
      </c>
      <c r="N139">
        <v>0</v>
      </c>
      <c r="O139">
        <v>11</v>
      </c>
      <c r="P139">
        <v>15565</v>
      </c>
      <c r="Q139">
        <v>18655</v>
      </c>
      <c r="R139">
        <v>0</v>
      </c>
      <c r="S139">
        <v>0</v>
      </c>
      <c r="T139">
        <v>9</v>
      </c>
      <c r="U139">
        <v>32</v>
      </c>
      <c r="V139">
        <v>0</v>
      </c>
      <c r="W139">
        <v>0</v>
      </c>
      <c r="X139" s="22">
        <v>0.000578220366206232</v>
      </c>
      <c r="Y139" s="22">
        <v>0.00171535781291879</v>
      </c>
      <c r="Z139" s="22" t="s">
        <v>53</v>
      </c>
      <c r="AA139" s="22" t="s">
        <v>53</v>
      </c>
      <c r="AB139">
        <v>6.03</v>
      </c>
      <c r="AC139">
        <v>22.8</v>
      </c>
      <c r="AD139">
        <v>0</v>
      </c>
      <c r="AE139">
        <v>0</v>
      </c>
      <c r="AF139" s="22" t="s">
        <v>359</v>
      </c>
      <c r="AG139" s="22">
        <v>0.684273709483794</v>
      </c>
      <c r="AH139" s="22" t="s">
        <v>53</v>
      </c>
      <c r="AI139" s="22" t="s">
        <v>53</v>
      </c>
      <c r="AJ139">
        <v>13</v>
      </c>
      <c r="AK139">
        <v>21</v>
      </c>
      <c r="AL139">
        <v>3</v>
      </c>
      <c r="AM139">
        <v>5</v>
      </c>
      <c r="AN139" s="22">
        <v>0</v>
      </c>
      <c r="AO139" s="22">
        <v>0.0952380952380952</v>
      </c>
      <c r="AP139" s="22">
        <v>0</v>
      </c>
      <c r="AQ139" s="22">
        <v>0</v>
      </c>
      <c r="AR139" s="35">
        <v>0</v>
      </c>
      <c r="AS139" s="35">
        <v>0</v>
      </c>
      <c r="AT139" s="35">
        <v>11</v>
      </c>
      <c r="AU139" s="31" t="str">
        <f t="shared" si="6"/>
        <v>库存为11</v>
      </c>
      <c r="AV139" s="36" t="str">
        <f>IFERROR(时间!$B$4+AU139,"上周无销量")</f>
        <v>上周无销量</v>
      </c>
    </row>
    <row r="140" spans="1:48">
      <c r="A140" s="20" t="s">
        <v>360</v>
      </c>
      <c r="B140" t="s">
        <v>361</v>
      </c>
      <c r="C140" t="s">
        <v>358</v>
      </c>
      <c r="D140" s="31">
        <v>1</v>
      </c>
      <c r="E140" s="31">
        <v>0</v>
      </c>
      <c r="F140" s="31">
        <v>0</v>
      </c>
      <c r="G140" s="31">
        <v>0</v>
      </c>
      <c r="H140" s="32">
        <v>10</v>
      </c>
      <c r="I140">
        <v>7</v>
      </c>
      <c r="J140" s="33">
        <v>0</v>
      </c>
      <c r="K140" s="33">
        <v>0</v>
      </c>
      <c r="L140" s="33">
        <v>0</v>
      </c>
      <c r="M140">
        <v>7</v>
      </c>
      <c r="N140">
        <v>0</v>
      </c>
      <c r="O140">
        <v>8</v>
      </c>
      <c r="P140">
        <v>57</v>
      </c>
      <c r="Q140">
        <v>4980</v>
      </c>
      <c r="R140">
        <v>0</v>
      </c>
      <c r="S140">
        <v>0</v>
      </c>
      <c r="T140">
        <v>0</v>
      </c>
      <c r="U140">
        <v>20</v>
      </c>
      <c r="V140">
        <v>0</v>
      </c>
      <c r="W140">
        <v>0</v>
      </c>
      <c r="X140" s="22">
        <v>0</v>
      </c>
      <c r="Y140" s="22">
        <v>0.00401606425702811</v>
      </c>
      <c r="Z140" s="22" t="s">
        <v>53</v>
      </c>
      <c r="AA140" s="22" t="s">
        <v>53</v>
      </c>
      <c r="AB140">
        <v>0</v>
      </c>
      <c r="AC140">
        <v>10.67</v>
      </c>
      <c r="AD140">
        <v>0</v>
      </c>
      <c r="AE140">
        <v>0</v>
      </c>
      <c r="AF140" s="22" t="s">
        <v>53</v>
      </c>
      <c r="AG140" s="22" t="s">
        <v>362</v>
      </c>
      <c r="AH140" s="22" t="s">
        <v>53</v>
      </c>
      <c r="AI140" s="22" t="s">
        <v>53</v>
      </c>
      <c r="AJ140">
        <v>11</v>
      </c>
      <c r="AK140">
        <v>17</v>
      </c>
      <c r="AL140">
        <v>3</v>
      </c>
      <c r="AM140">
        <v>2</v>
      </c>
      <c r="AN140" s="22">
        <v>0.0909090909090909</v>
      </c>
      <c r="AO140" s="22">
        <v>0</v>
      </c>
      <c r="AP140" s="22">
        <v>0</v>
      </c>
      <c r="AQ140" s="22">
        <v>0</v>
      </c>
      <c r="AR140" s="35">
        <v>0.142857142857143</v>
      </c>
      <c r="AS140" s="35">
        <v>8.57142857142857</v>
      </c>
      <c r="AT140" s="35">
        <v>-1.57142857142857</v>
      </c>
      <c r="AU140" s="31">
        <f t="shared" si="6"/>
        <v>49</v>
      </c>
      <c r="AV140" s="36">
        <f>IFERROR(时间!$B$4+AU140,"上周无销量")</f>
        <v>43374</v>
      </c>
    </row>
    <row r="141" spans="1:48">
      <c r="A141" s="20" t="s">
        <v>363</v>
      </c>
      <c r="B141" t="s">
        <v>364</v>
      </c>
      <c r="C141" t="s">
        <v>358</v>
      </c>
      <c r="D141" s="31">
        <v>0</v>
      </c>
      <c r="E141" s="31">
        <v>1</v>
      </c>
      <c r="F141" s="31">
        <v>0</v>
      </c>
      <c r="G141" s="31">
        <v>0</v>
      </c>
      <c r="H141" s="32">
        <v>13</v>
      </c>
      <c r="I141">
        <v>5</v>
      </c>
      <c r="J141" s="33">
        <v>0</v>
      </c>
      <c r="K141" s="33">
        <v>0</v>
      </c>
      <c r="L141" s="33">
        <v>0</v>
      </c>
      <c r="M141">
        <v>5</v>
      </c>
      <c r="N141">
        <v>0</v>
      </c>
      <c r="O141">
        <v>5</v>
      </c>
      <c r="P141">
        <v>7</v>
      </c>
      <c r="Q141">
        <v>1557</v>
      </c>
      <c r="R141">
        <v>0</v>
      </c>
      <c r="S141">
        <v>0</v>
      </c>
      <c r="T141">
        <v>0</v>
      </c>
      <c r="U141">
        <v>14</v>
      </c>
      <c r="V141">
        <v>0</v>
      </c>
      <c r="W141">
        <v>0</v>
      </c>
      <c r="X141" s="22">
        <v>0</v>
      </c>
      <c r="Y141" s="22">
        <v>0.00899165061014772</v>
      </c>
      <c r="Z141" s="22" t="s">
        <v>53</v>
      </c>
      <c r="AA141" s="22" t="s">
        <v>53</v>
      </c>
      <c r="AB141">
        <v>0</v>
      </c>
      <c r="AC141">
        <v>9.73</v>
      </c>
      <c r="AD141">
        <v>0</v>
      </c>
      <c r="AE141">
        <v>0</v>
      </c>
      <c r="AF141" s="22" t="s">
        <v>53</v>
      </c>
      <c r="AG141" s="22">
        <v>0.748461538461539</v>
      </c>
      <c r="AH141" s="22" t="s">
        <v>53</v>
      </c>
      <c r="AI141" s="22" t="s">
        <v>53</v>
      </c>
      <c r="AJ141">
        <v>13</v>
      </c>
      <c r="AK141">
        <v>17</v>
      </c>
      <c r="AL141">
        <v>2</v>
      </c>
      <c r="AM141">
        <v>3</v>
      </c>
      <c r="AN141" s="22">
        <v>0</v>
      </c>
      <c r="AO141" s="22">
        <v>0.0588235294117647</v>
      </c>
      <c r="AP141" s="22">
        <v>0</v>
      </c>
      <c r="AQ141" s="22">
        <v>0</v>
      </c>
      <c r="AR141" s="35">
        <v>0</v>
      </c>
      <c r="AS141" s="35">
        <v>0</v>
      </c>
      <c r="AT141" s="35">
        <v>5</v>
      </c>
      <c r="AU141" s="31" t="str">
        <f t="shared" si="6"/>
        <v>库存为5</v>
      </c>
      <c r="AV141" s="36" t="str">
        <f>IFERROR(时间!$B$4+AU141,"上周无销量")</f>
        <v>上周无销量</v>
      </c>
    </row>
    <row r="142" spans="1:48">
      <c r="A142" s="20" t="s">
        <v>365</v>
      </c>
      <c r="B142" t="s">
        <v>366</v>
      </c>
      <c r="C142" t="s">
        <v>367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0</v>
      </c>
      <c r="AU142" s="31" t="str">
        <f t="shared" si="6"/>
        <v>库存为0</v>
      </c>
      <c r="AV142" s="36" t="str">
        <f>IFERROR(时间!$B$4+AU142,"上周无销量")</f>
        <v>上周无销量</v>
      </c>
    </row>
    <row r="143" spans="1:48">
      <c r="A143" s="20" t="s">
        <v>368</v>
      </c>
      <c r="B143" t="s">
        <v>369</v>
      </c>
      <c r="C143" t="s">
        <v>367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0</v>
      </c>
      <c r="AU143" s="31" t="str">
        <f t="shared" si="6"/>
        <v>库存为0</v>
      </c>
      <c r="AV143" s="36" t="str">
        <f>IFERROR(时间!$B$4+AU143,"上周无销量")</f>
        <v>上周无销量</v>
      </c>
    </row>
    <row r="144" spans="1:48">
      <c r="A144" s="20" t="s">
        <v>370</v>
      </c>
      <c r="B144" t="s">
        <v>371</v>
      </c>
      <c r="C144" t="s">
        <v>367</v>
      </c>
      <c r="D144" s="31">
        <v>10</v>
      </c>
      <c r="E144" s="31">
        <v>3</v>
      </c>
      <c r="F144" s="31">
        <v>6</v>
      </c>
      <c r="G144" s="31">
        <v>2</v>
      </c>
      <c r="H144" s="32">
        <v>13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>
        <v>570</v>
      </c>
      <c r="Q144">
        <v>189</v>
      </c>
      <c r="R144">
        <v>88</v>
      </c>
      <c r="S144">
        <v>0</v>
      </c>
      <c r="T144">
        <v>7</v>
      </c>
      <c r="U144">
        <v>0</v>
      </c>
      <c r="V144">
        <v>0</v>
      </c>
      <c r="W144">
        <v>0</v>
      </c>
      <c r="X144" s="22">
        <v>0.012280701754386</v>
      </c>
      <c r="Y144" s="22">
        <v>0</v>
      </c>
      <c r="Z144" s="22">
        <v>0</v>
      </c>
      <c r="AA144" s="22" t="s">
        <v>53</v>
      </c>
      <c r="AB144">
        <v>3.91</v>
      </c>
      <c r="AC144">
        <v>0</v>
      </c>
      <c r="AD144">
        <v>0</v>
      </c>
      <c r="AE144">
        <v>0</v>
      </c>
      <c r="AF144" s="22">
        <v>0.0300769230769231</v>
      </c>
      <c r="AG144" s="22" t="s">
        <v>53</v>
      </c>
      <c r="AH144" s="22" t="s">
        <v>53</v>
      </c>
      <c r="AI144" s="22" t="s">
        <v>53</v>
      </c>
      <c r="AJ144">
        <v>53</v>
      </c>
      <c r="AK144">
        <v>26</v>
      </c>
      <c r="AL144">
        <v>34</v>
      </c>
      <c r="AM144">
        <v>20</v>
      </c>
      <c r="AN144" s="22">
        <v>0.188679245283019</v>
      </c>
      <c r="AO144" s="22">
        <v>0.115384615384615</v>
      </c>
      <c r="AP144" s="22">
        <v>0.176470588235294</v>
      </c>
      <c r="AQ144" s="22">
        <v>0.1</v>
      </c>
      <c r="AR144" s="35">
        <v>1.42857142857143</v>
      </c>
      <c r="AS144" s="35">
        <v>85.7142857142857</v>
      </c>
      <c r="AT144" s="35">
        <v>-85.7142857142857</v>
      </c>
      <c r="AU144" s="31">
        <f t="shared" si="6"/>
        <v>0</v>
      </c>
      <c r="AV144" s="36">
        <f>IFERROR(时间!$B$4+AU144,"上周无销量")</f>
        <v>43325</v>
      </c>
    </row>
    <row r="145" spans="1:48">
      <c r="A145" s="20" t="s">
        <v>372</v>
      </c>
      <c r="B145" t="s">
        <v>373</v>
      </c>
      <c r="C145" t="s">
        <v>367</v>
      </c>
      <c r="D145" s="31">
        <v>0</v>
      </c>
      <c r="E145" s="31">
        <v>6</v>
      </c>
      <c r="F145" s="31">
        <v>4</v>
      </c>
      <c r="G145" s="31">
        <v>1</v>
      </c>
      <c r="H145" s="32">
        <v>13.8081818181818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>
        <v>0</v>
      </c>
      <c r="Q145">
        <v>20124</v>
      </c>
      <c r="R145">
        <v>28310</v>
      </c>
      <c r="S145">
        <v>3285</v>
      </c>
      <c r="T145">
        <v>0</v>
      </c>
      <c r="U145">
        <v>77</v>
      </c>
      <c r="V145">
        <v>152</v>
      </c>
      <c r="W145">
        <v>29</v>
      </c>
      <c r="X145" s="22" t="s">
        <v>53</v>
      </c>
      <c r="Y145" s="22">
        <v>0.00382627708209104</v>
      </c>
      <c r="Z145" s="22">
        <v>0.00536912751677852</v>
      </c>
      <c r="AA145" s="22">
        <v>0.00882800608828006</v>
      </c>
      <c r="AB145">
        <v>0</v>
      </c>
      <c r="AC145">
        <v>31.31</v>
      </c>
      <c r="AD145">
        <v>56.73</v>
      </c>
      <c r="AE145">
        <v>8.59</v>
      </c>
      <c r="AF145" s="22" t="s">
        <v>53</v>
      </c>
      <c r="AG145" s="22">
        <v>0.37791603572761</v>
      </c>
      <c r="AH145" s="22">
        <v>1.02710843373494</v>
      </c>
      <c r="AI145" s="22">
        <v>0.622094937125552</v>
      </c>
      <c r="AJ145">
        <v>0</v>
      </c>
      <c r="AK145">
        <v>42</v>
      </c>
      <c r="AL145">
        <v>78</v>
      </c>
      <c r="AM145">
        <v>12</v>
      </c>
      <c r="AN145" s="22" t="s">
        <v>53</v>
      </c>
      <c r="AO145" s="22">
        <v>0.142857142857143</v>
      </c>
      <c r="AP145" s="22">
        <v>0.0512820512820513</v>
      </c>
      <c r="AQ145" s="22">
        <v>0.0833333333333333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374</v>
      </c>
      <c r="B146" t="s">
        <v>375</v>
      </c>
      <c r="C146" t="s">
        <v>376</v>
      </c>
      <c r="D146" s="31">
        <v>4</v>
      </c>
      <c r="E146" s="31">
        <v>5</v>
      </c>
      <c r="F146" s="31">
        <v>0</v>
      </c>
      <c r="G146" s="31">
        <v>1</v>
      </c>
      <c r="H146" s="32">
        <v>13.79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18</v>
      </c>
      <c r="AK146">
        <v>21</v>
      </c>
      <c r="AL146">
        <v>27</v>
      </c>
      <c r="AM146">
        <v>15</v>
      </c>
      <c r="AN146" s="22">
        <v>0.222222222222222</v>
      </c>
      <c r="AO146" s="22">
        <v>0.238095238095238</v>
      </c>
      <c r="AP146" s="22">
        <v>0</v>
      </c>
      <c r="AQ146" s="22">
        <v>0.0666666666666667</v>
      </c>
      <c r="AR146" s="35">
        <v>0.571428571428571</v>
      </c>
      <c r="AS146" s="35">
        <v>34.2857142857143</v>
      </c>
      <c r="AT146" s="35">
        <v>-34.2857142857143</v>
      </c>
      <c r="AU146" s="31">
        <f t="shared" si="6"/>
        <v>0</v>
      </c>
      <c r="AV146" s="36">
        <f>IFERROR(时间!$B$4+AU146,"上周无销量")</f>
        <v>43325</v>
      </c>
    </row>
    <row r="147" spans="1:48">
      <c r="A147" s="20" t="s">
        <v>377</v>
      </c>
      <c r="B147" t="s">
        <v>378</v>
      </c>
      <c r="C147" t="s">
        <v>379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5</v>
      </c>
      <c r="J147" s="33">
        <v>0</v>
      </c>
      <c r="K147" s="33">
        <v>0</v>
      </c>
      <c r="L147" s="33">
        <v>0</v>
      </c>
      <c r="M147">
        <v>5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2</v>
      </c>
      <c r="AK147">
        <v>3</v>
      </c>
      <c r="AL147">
        <v>2</v>
      </c>
      <c r="AM147">
        <v>3</v>
      </c>
      <c r="AN147" s="22">
        <v>0</v>
      </c>
      <c r="AO147" s="22">
        <v>0</v>
      </c>
      <c r="AP147" s="22">
        <v>0</v>
      </c>
      <c r="AQ147" s="22">
        <v>0</v>
      </c>
      <c r="AR147" s="35">
        <v>0</v>
      </c>
      <c r="AS147" s="35">
        <v>0</v>
      </c>
      <c r="AT147" s="35">
        <v>5</v>
      </c>
      <c r="AU147" s="31" t="str">
        <f t="shared" si="6"/>
        <v>库存为5</v>
      </c>
      <c r="AV147" s="36" t="str">
        <f>IFERROR(时间!$B$4+AU147,"上周无销量")</f>
        <v>上周无销量</v>
      </c>
    </row>
    <row r="148" spans="1:48">
      <c r="A148" s="20" t="s">
        <v>380</v>
      </c>
      <c r="B148" t="s">
        <v>381</v>
      </c>
      <c r="C148" t="s">
        <v>379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4</v>
      </c>
      <c r="J148" s="33">
        <v>0</v>
      </c>
      <c r="K148" s="33">
        <v>0</v>
      </c>
      <c r="L148" s="33">
        <v>0</v>
      </c>
      <c r="M148">
        <v>4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2</v>
      </c>
      <c r="AK148">
        <v>2</v>
      </c>
      <c r="AL148">
        <v>4</v>
      </c>
      <c r="AM148">
        <v>2</v>
      </c>
      <c r="AN148" s="22">
        <v>0</v>
      </c>
      <c r="AO148" s="22">
        <v>0</v>
      </c>
      <c r="AP148" s="22">
        <v>0</v>
      </c>
      <c r="AQ148" s="22">
        <v>0</v>
      </c>
      <c r="AR148" s="35">
        <v>0</v>
      </c>
      <c r="AS148" s="35">
        <v>0</v>
      </c>
      <c r="AT148" s="35">
        <v>4</v>
      </c>
      <c r="AU148" s="31" t="str">
        <f t="shared" si="6"/>
        <v>库存为4</v>
      </c>
      <c r="AV148" s="36" t="str">
        <f>IFERROR(时间!$B$4+AU148,"上周无销量")</f>
        <v>上周无销量</v>
      </c>
    </row>
    <row r="149" spans="1:48">
      <c r="A149" s="20" t="s">
        <v>382</v>
      </c>
      <c r="B149" t="s">
        <v>383</v>
      </c>
      <c r="C149" t="s">
        <v>379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3</v>
      </c>
      <c r="J149" s="33">
        <v>0</v>
      </c>
      <c r="K149" s="33">
        <v>0</v>
      </c>
      <c r="L149" s="33">
        <v>0</v>
      </c>
      <c r="M149">
        <v>3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3</v>
      </c>
      <c r="AK149">
        <v>4</v>
      </c>
      <c r="AL149">
        <v>3</v>
      </c>
      <c r="AM149">
        <v>4</v>
      </c>
      <c r="AN149" s="22">
        <v>0</v>
      </c>
      <c r="AO149" s="22">
        <v>0</v>
      </c>
      <c r="AP149" s="22">
        <v>0</v>
      </c>
      <c r="AQ149" s="22">
        <v>0</v>
      </c>
      <c r="AR149" s="35">
        <v>0</v>
      </c>
      <c r="AS149" s="35">
        <v>0</v>
      </c>
      <c r="AT149" s="35">
        <v>3</v>
      </c>
      <c r="AU149" s="31" t="str">
        <f t="shared" si="6"/>
        <v>库存为3</v>
      </c>
      <c r="AV149" s="36" t="str">
        <f>IFERROR(时间!$B$4+AU149,"上周无销量")</f>
        <v>上周无销量</v>
      </c>
    </row>
    <row r="150" spans="1:48">
      <c r="A150" s="20" t="s">
        <v>384</v>
      </c>
      <c r="B150" t="s">
        <v>385</v>
      </c>
      <c r="C150" t="s">
        <v>379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2</v>
      </c>
      <c r="J150" s="33">
        <v>0</v>
      </c>
      <c r="K150" s="33">
        <v>0</v>
      </c>
      <c r="L150" s="33">
        <v>0</v>
      </c>
      <c r="M150">
        <v>2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4</v>
      </c>
      <c r="AK150">
        <v>4</v>
      </c>
      <c r="AL150">
        <v>4</v>
      </c>
      <c r="AM150">
        <v>2</v>
      </c>
      <c r="AN150" s="22">
        <v>0</v>
      </c>
      <c r="AO150" s="22">
        <v>0</v>
      </c>
      <c r="AP150" s="22">
        <v>0</v>
      </c>
      <c r="AQ150" s="22">
        <v>0</v>
      </c>
      <c r="AR150" s="35">
        <v>0</v>
      </c>
      <c r="AS150" s="35">
        <v>0</v>
      </c>
      <c r="AT150" s="35">
        <v>2</v>
      </c>
      <c r="AU150" s="31" t="str">
        <f t="shared" si="6"/>
        <v>库存为2</v>
      </c>
      <c r="AV150" s="36" t="str">
        <f>IFERROR(时间!$B$4+AU150,"上周无销量")</f>
        <v>上周无销量</v>
      </c>
    </row>
    <row r="151" spans="1:48">
      <c r="A151" s="20" t="s">
        <v>386</v>
      </c>
      <c r="B151" t="s">
        <v>387</v>
      </c>
      <c r="C151" t="s">
        <v>379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4</v>
      </c>
      <c r="J151" s="33">
        <v>0</v>
      </c>
      <c r="K151" s="33">
        <v>0</v>
      </c>
      <c r="L151" s="33">
        <v>0</v>
      </c>
      <c r="M151">
        <v>4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3</v>
      </c>
      <c r="AK151">
        <v>3</v>
      </c>
      <c r="AL151">
        <v>2</v>
      </c>
      <c r="AM151">
        <v>3</v>
      </c>
      <c r="AN151" s="22">
        <v>0</v>
      </c>
      <c r="AO151" s="22">
        <v>0</v>
      </c>
      <c r="AP151" s="22">
        <v>0</v>
      </c>
      <c r="AQ151" s="22">
        <v>0</v>
      </c>
      <c r="AR151" s="35">
        <v>0</v>
      </c>
      <c r="AS151" s="35">
        <v>0</v>
      </c>
      <c r="AT151" s="35">
        <v>4</v>
      </c>
      <c r="AU151" s="31" t="str">
        <f t="shared" si="6"/>
        <v>库存为4</v>
      </c>
      <c r="AV151" s="36" t="str">
        <f>IFERROR(时间!$B$4+AU151,"上周无销量")</f>
        <v>上周无销量</v>
      </c>
    </row>
    <row r="152" spans="1:48">
      <c r="A152" s="20" t="s">
        <v>388</v>
      </c>
      <c r="B152" t="s">
        <v>389</v>
      </c>
      <c r="C152" t="s">
        <v>390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2</v>
      </c>
      <c r="J152" s="33">
        <v>0</v>
      </c>
      <c r="K152" s="33">
        <v>0</v>
      </c>
      <c r="L152" s="33">
        <v>0</v>
      </c>
      <c r="M152">
        <v>2</v>
      </c>
      <c r="N152">
        <v>0</v>
      </c>
      <c r="O152">
        <v>2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8</v>
      </c>
      <c r="AK152">
        <v>2</v>
      </c>
      <c r="AL152">
        <v>3</v>
      </c>
      <c r="AM152">
        <v>1</v>
      </c>
      <c r="AN152" s="22">
        <v>0</v>
      </c>
      <c r="AO152" s="22">
        <v>0</v>
      </c>
      <c r="AP152" s="22">
        <v>0</v>
      </c>
      <c r="AQ152" s="22">
        <v>0</v>
      </c>
      <c r="AR152" s="35">
        <v>0</v>
      </c>
      <c r="AS152" s="35">
        <v>0</v>
      </c>
      <c r="AT152" s="35">
        <v>2</v>
      </c>
      <c r="AU152" s="31" t="str">
        <f t="shared" si="6"/>
        <v>库存为2</v>
      </c>
      <c r="AV152" s="36" t="str">
        <f>IFERROR(时间!$B$4+AU152,"上周无销量")</f>
        <v>上周无销量</v>
      </c>
    </row>
    <row r="153" spans="1:48">
      <c r="A153" s="20" t="s">
        <v>391</v>
      </c>
      <c r="B153" t="s">
        <v>392</v>
      </c>
      <c r="C153" t="s">
        <v>390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233</v>
      </c>
      <c r="J153" s="33">
        <v>0</v>
      </c>
      <c r="K153" s="33">
        <v>0</v>
      </c>
      <c r="L153" s="33">
        <v>0</v>
      </c>
      <c r="M153">
        <v>233</v>
      </c>
      <c r="N153">
        <v>0</v>
      </c>
      <c r="O153">
        <v>232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7</v>
      </c>
      <c r="AK153">
        <v>3</v>
      </c>
      <c r="AL153">
        <v>5</v>
      </c>
      <c r="AM153">
        <v>1</v>
      </c>
      <c r="AN153" s="22">
        <v>0</v>
      </c>
      <c r="AO153" s="22">
        <v>0</v>
      </c>
      <c r="AP153" s="22">
        <v>0</v>
      </c>
      <c r="AQ153" s="22">
        <v>0</v>
      </c>
      <c r="AR153" s="35">
        <v>0</v>
      </c>
      <c r="AS153" s="35">
        <v>0</v>
      </c>
      <c r="AT153" s="35">
        <v>233</v>
      </c>
      <c r="AU153" s="31" t="str">
        <f t="shared" si="6"/>
        <v>库存为233</v>
      </c>
      <c r="AV153" s="36" t="str">
        <f>IFERROR(时间!$B$4+AU153,"上周无销量")</f>
        <v>上周无销量</v>
      </c>
    </row>
    <row r="154" spans="1:48">
      <c r="A154" s="20" t="s">
        <v>393</v>
      </c>
      <c r="B154" t="s">
        <v>394</v>
      </c>
      <c r="C154" t="s">
        <v>390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1</v>
      </c>
      <c r="J154" s="33">
        <v>0</v>
      </c>
      <c r="K154" s="33">
        <v>0</v>
      </c>
      <c r="L154" s="33">
        <v>0</v>
      </c>
      <c r="M154">
        <v>1</v>
      </c>
      <c r="N154">
        <v>0</v>
      </c>
      <c r="O154">
        <v>1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4</v>
      </c>
      <c r="AK154">
        <v>1</v>
      </c>
      <c r="AL154">
        <v>1</v>
      </c>
      <c r="AM154">
        <v>2</v>
      </c>
      <c r="AN154" s="22">
        <v>0</v>
      </c>
      <c r="AO154" s="22">
        <v>0</v>
      </c>
      <c r="AP154" s="22">
        <v>0</v>
      </c>
      <c r="AQ154" s="22">
        <v>0</v>
      </c>
      <c r="AR154" s="35">
        <v>0</v>
      </c>
      <c r="AS154" s="35">
        <v>0</v>
      </c>
      <c r="AT154" s="35">
        <v>1</v>
      </c>
      <c r="AU154" s="31" t="str">
        <f t="shared" si="6"/>
        <v>库存为1</v>
      </c>
      <c r="AV154" s="36" t="str">
        <f>IFERROR(时间!$B$4+AU154,"上周无销量")</f>
        <v>上周无销量</v>
      </c>
    </row>
    <row r="155" spans="1:48">
      <c r="A155" s="20" t="s">
        <v>395</v>
      </c>
      <c r="B155" t="s">
        <v>396</v>
      </c>
      <c r="C155" t="s">
        <v>397</v>
      </c>
      <c r="D155" s="31">
        <v>1</v>
      </c>
      <c r="E155" s="31">
        <v>1</v>
      </c>
      <c r="F155" s="31">
        <v>0</v>
      </c>
      <c r="G155" s="31">
        <v>0</v>
      </c>
      <c r="H155" s="32">
        <v>28</v>
      </c>
      <c r="I155">
        <v>18</v>
      </c>
      <c r="J155" s="33">
        <v>0</v>
      </c>
      <c r="K155" s="33">
        <v>0</v>
      </c>
      <c r="L155" s="33">
        <v>0</v>
      </c>
      <c r="M155">
        <v>18</v>
      </c>
      <c r="N155">
        <v>0</v>
      </c>
      <c r="O155">
        <v>0</v>
      </c>
      <c r="P155">
        <v>2075</v>
      </c>
      <c r="Q155">
        <v>2053</v>
      </c>
      <c r="R155">
        <v>1710</v>
      </c>
      <c r="S155">
        <v>9680</v>
      </c>
      <c r="T155">
        <v>1</v>
      </c>
      <c r="U155">
        <v>3</v>
      </c>
      <c r="V155">
        <v>1</v>
      </c>
      <c r="W155">
        <v>1</v>
      </c>
      <c r="X155" s="22">
        <v>0.000481927710843373</v>
      </c>
      <c r="Y155" s="22">
        <v>0.00146127618119825</v>
      </c>
      <c r="Z155" s="22">
        <v>0.000584795321637427</v>
      </c>
      <c r="AA155" s="22">
        <v>0.000103305785123967</v>
      </c>
      <c r="AB155">
        <v>0.84</v>
      </c>
      <c r="AC155">
        <v>3.11</v>
      </c>
      <c r="AD155">
        <v>1.22</v>
      </c>
      <c r="AE155">
        <v>0.5</v>
      </c>
      <c r="AF155" s="22">
        <v>0.03</v>
      </c>
      <c r="AG155" s="22">
        <v>0.111071428571429</v>
      </c>
      <c r="AH155" s="22" t="s">
        <v>398</v>
      </c>
      <c r="AI155" s="22" t="s">
        <v>399</v>
      </c>
      <c r="AJ155">
        <v>15</v>
      </c>
      <c r="AK155">
        <v>2</v>
      </c>
      <c r="AL155">
        <v>8</v>
      </c>
      <c r="AM155">
        <v>2</v>
      </c>
      <c r="AN155" s="22">
        <v>0.0666666666666667</v>
      </c>
      <c r="AO155" s="22">
        <v>0.5</v>
      </c>
      <c r="AP155" s="22">
        <v>0</v>
      </c>
      <c r="AQ155" s="22">
        <v>0</v>
      </c>
      <c r="AR155" s="35">
        <v>0.142857142857143</v>
      </c>
      <c r="AS155" s="35">
        <v>8.57142857142857</v>
      </c>
      <c r="AT155" s="35">
        <v>9.42857142857143</v>
      </c>
      <c r="AU155" s="31">
        <f t="shared" si="6"/>
        <v>126</v>
      </c>
      <c r="AV155" s="36">
        <f>IFERROR(时间!$B$4+AU155,"上周无销量")</f>
        <v>43451</v>
      </c>
    </row>
    <row r="156" spans="1:48">
      <c r="A156" s="20" t="s">
        <v>400</v>
      </c>
      <c r="B156" t="s">
        <v>401</v>
      </c>
      <c r="C156" t="s">
        <v>402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19</v>
      </c>
      <c r="J156" s="33">
        <v>0</v>
      </c>
      <c r="K156" s="33">
        <v>0</v>
      </c>
      <c r="L156" s="33">
        <v>0</v>
      </c>
      <c r="M156">
        <v>19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5</v>
      </c>
      <c r="AK156">
        <v>5</v>
      </c>
      <c r="AL156">
        <v>6</v>
      </c>
      <c r="AM156">
        <v>2</v>
      </c>
      <c r="AN156" s="22">
        <v>0</v>
      </c>
      <c r="AO156" s="22">
        <v>0</v>
      </c>
      <c r="AP156" s="22">
        <v>0</v>
      </c>
      <c r="AQ156" s="22">
        <v>0</v>
      </c>
      <c r="AR156" s="35">
        <v>0</v>
      </c>
      <c r="AS156" s="35">
        <v>0</v>
      </c>
      <c r="AT156" s="35">
        <v>19</v>
      </c>
      <c r="AU156" s="31" t="str">
        <f t="shared" si="6"/>
        <v>库存为19</v>
      </c>
      <c r="AV156" s="36" t="str">
        <f>IFERROR(时间!$B$4+AU156,"上周无销量")</f>
        <v>上周无销量</v>
      </c>
    </row>
    <row r="157" spans="1:48">
      <c r="A157" s="20" t="s">
        <v>403</v>
      </c>
      <c r="B157" t="s">
        <v>404</v>
      </c>
      <c r="C157" t="s">
        <v>405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406</v>
      </c>
      <c r="B158" t="s">
        <v>407</v>
      </c>
      <c r="C158" t="s">
        <v>405</v>
      </c>
      <c r="D158" s="31">
        <v>0</v>
      </c>
      <c r="E158" s="31">
        <v>0</v>
      </c>
      <c r="F158" s="31">
        <v>0</v>
      </c>
      <c r="G158" s="31">
        <v>1</v>
      </c>
      <c r="H158" s="32">
        <v>18.99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408</v>
      </c>
      <c r="B159" t="s">
        <v>409</v>
      </c>
      <c r="C159" t="s">
        <v>405</v>
      </c>
      <c r="D159" s="31">
        <v>1</v>
      </c>
      <c r="E159" s="31">
        <v>0</v>
      </c>
      <c r="F159" s="31">
        <v>0</v>
      </c>
      <c r="G159" s="31">
        <v>1</v>
      </c>
      <c r="H159" s="32">
        <v>15.99</v>
      </c>
      <c r="I159">
        <v>3</v>
      </c>
      <c r="J159" s="33">
        <v>0</v>
      </c>
      <c r="K159" s="33">
        <v>0</v>
      </c>
      <c r="L159" s="33">
        <v>0</v>
      </c>
      <c r="M159">
        <v>3</v>
      </c>
      <c r="N159">
        <v>0</v>
      </c>
      <c r="O159">
        <v>3</v>
      </c>
      <c r="P159">
        <v>2035</v>
      </c>
      <c r="Q159">
        <v>1278</v>
      </c>
      <c r="R159">
        <v>0</v>
      </c>
      <c r="S159">
        <v>0</v>
      </c>
      <c r="T159">
        <v>24</v>
      </c>
      <c r="U159">
        <v>12</v>
      </c>
      <c r="V159">
        <v>0</v>
      </c>
      <c r="W159">
        <v>0</v>
      </c>
      <c r="X159" s="22">
        <v>0.0117936117936118</v>
      </c>
      <c r="Y159" s="22">
        <v>0.00938967136150235</v>
      </c>
      <c r="Z159" s="22" t="s">
        <v>53</v>
      </c>
      <c r="AA159" s="22" t="s">
        <v>53</v>
      </c>
      <c r="AB159">
        <v>7.91</v>
      </c>
      <c r="AC159">
        <v>5.2</v>
      </c>
      <c r="AD159">
        <v>0</v>
      </c>
      <c r="AE159">
        <v>0</v>
      </c>
      <c r="AF159" s="22">
        <v>0.494684177611007</v>
      </c>
      <c r="AG159" s="22" t="s">
        <v>410</v>
      </c>
      <c r="AH159" s="22" t="s">
        <v>53</v>
      </c>
      <c r="AI159" s="22" t="s">
        <v>53</v>
      </c>
      <c r="AJ159">
        <v>22</v>
      </c>
      <c r="AK159">
        <v>11</v>
      </c>
      <c r="AL159">
        <v>7</v>
      </c>
      <c r="AM159">
        <v>12</v>
      </c>
      <c r="AN159" s="22">
        <v>0.0454545454545455</v>
      </c>
      <c r="AO159" s="22">
        <v>0</v>
      </c>
      <c r="AP159" s="22">
        <v>0</v>
      </c>
      <c r="AQ159" s="22">
        <v>0.0833333333333333</v>
      </c>
      <c r="AR159" s="35">
        <v>0.142857142857143</v>
      </c>
      <c r="AS159" s="35">
        <v>8.57142857142857</v>
      </c>
      <c r="AT159" s="35">
        <v>-5.57142857142857</v>
      </c>
      <c r="AU159" s="31">
        <f t="shared" si="6"/>
        <v>21</v>
      </c>
      <c r="AV159" s="36">
        <f>IFERROR(时间!$B$4+AU159,"上周无销量")</f>
        <v>43346</v>
      </c>
    </row>
    <row r="160" spans="1:48">
      <c r="A160" s="20" t="s">
        <v>411</v>
      </c>
      <c r="B160" t="s">
        <v>404</v>
      </c>
      <c r="C160" t="s">
        <v>405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0</v>
      </c>
      <c r="AN160" s="22" t="s">
        <v>53</v>
      </c>
      <c r="AO160" s="22" t="s">
        <v>53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0</v>
      </c>
      <c r="AU160" s="31" t="str">
        <f t="shared" si="6"/>
        <v>库存为0</v>
      </c>
      <c r="AV160" s="36" t="str">
        <f>IFERROR(时间!$B$4+AU160,"上周无销量")</f>
        <v>上周无销量</v>
      </c>
    </row>
    <row r="161" spans="1:48">
      <c r="A161" s="20" t="s">
        <v>412</v>
      </c>
      <c r="B161" t="s">
        <v>413</v>
      </c>
      <c r="C161" t="s">
        <v>405</v>
      </c>
      <c r="D161" s="31">
        <v>1</v>
      </c>
      <c r="E161" s="31">
        <v>0</v>
      </c>
      <c r="F161" s="31">
        <v>0</v>
      </c>
      <c r="G161" s="31">
        <v>1</v>
      </c>
      <c r="H161" s="32">
        <v>15.99</v>
      </c>
      <c r="I161">
        <v>2</v>
      </c>
      <c r="J161" s="33">
        <v>0</v>
      </c>
      <c r="K161" s="33">
        <v>0</v>
      </c>
      <c r="L161" s="33">
        <v>0</v>
      </c>
      <c r="M161">
        <v>2</v>
      </c>
      <c r="N161">
        <v>0</v>
      </c>
      <c r="O161">
        <v>3</v>
      </c>
      <c r="P161">
        <v>5884</v>
      </c>
      <c r="Q161">
        <v>3406</v>
      </c>
      <c r="R161">
        <v>0</v>
      </c>
      <c r="S161">
        <v>0</v>
      </c>
      <c r="T161">
        <v>17</v>
      </c>
      <c r="U161">
        <v>10</v>
      </c>
      <c r="V161">
        <v>0</v>
      </c>
      <c r="W161">
        <v>0</v>
      </c>
      <c r="X161" s="22">
        <v>0.00288919102651258</v>
      </c>
      <c r="Y161" s="22">
        <v>0.00293599530240752</v>
      </c>
      <c r="Z161" s="22" t="s">
        <v>53</v>
      </c>
      <c r="AA161" s="22" t="s">
        <v>53</v>
      </c>
      <c r="AB161">
        <v>7.06</v>
      </c>
      <c r="AC161">
        <v>3.09</v>
      </c>
      <c r="AD161">
        <v>0</v>
      </c>
      <c r="AE161">
        <v>0</v>
      </c>
      <c r="AF161" s="22">
        <v>0.441525953721076</v>
      </c>
      <c r="AG161" s="22" t="s">
        <v>73</v>
      </c>
      <c r="AH161" s="22" t="s">
        <v>53</v>
      </c>
      <c r="AI161" s="22" t="s">
        <v>53</v>
      </c>
      <c r="AJ161">
        <v>12</v>
      </c>
      <c r="AK161">
        <v>8</v>
      </c>
      <c r="AL161">
        <v>1</v>
      </c>
      <c r="AM161">
        <v>3</v>
      </c>
      <c r="AN161" s="22">
        <v>0.0833333333333333</v>
      </c>
      <c r="AO161" s="22">
        <v>0</v>
      </c>
      <c r="AP161" s="22">
        <v>0</v>
      </c>
      <c r="AQ161" s="22">
        <v>0.333333333333333</v>
      </c>
      <c r="AR161" s="35">
        <v>0.142857142857143</v>
      </c>
      <c r="AS161" s="35">
        <v>8.57142857142857</v>
      </c>
      <c r="AT161" s="35">
        <v>-6.57142857142857</v>
      </c>
      <c r="AU161" s="31">
        <f t="shared" si="6"/>
        <v>14</v>
      </c>
      <c r="AV161" s="36">
        <f>IFERROR(时间!$B$4+AU161,"上周无销量")</f>
        <v>43339</v>
      </c>
    </row>
    <row r="162" spans="1:48">
      <c r="A162" s="20" t="s">
        <v>414</v>
      </c>
      <c r="B162" t="s">
        <v>415</v>
      </c>
      <c r="C162" t="s">
        <v>416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0</v>
      </c>
      <c r="AU162" s="31" t="str">
        <f t="shared" si="6"/>
        <v>库存为0</v>
      </c>
      <c r="AV162" s="36" t="str">
        <f>IFERROR(时间!$B$4+AU162,"上周无销量")</f>
        <v>上周无销量</v>
      </c>
    </row>
    <row r="163" spans="1:48">
      <c r="A163" s="20" t="s">
        <v>417</v>
      </c>
      <c r="B163" t="s">
        <v>418</v>
      </c>
      <c r="C163" t="s">
        <v>419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0</v>
      </c>
      <c r="AM163">
        <v>0</v>
      </c>
      <c r="AN163" s="22" t="s">
        <v>53</v>
      </c>
      <c r="AO163" s="22" t="s">
        <v>53</v>
      </c>
      <c r="AP163" s="22" t="s">
        <v>53</v>
      </c>
      <c r="AQ163" s="22" t="s">
        <v>53</v>
      </c>
      <c r="AR163" s="35">
        <v>0</v>
      </c>
      <c r="AS163" s="35">
        <v>0</v>
      </c>
      <c r="AT163" s="35">
        <v>0</v>
      </c>
      <c r="AU163" s="31" t="str">
        <f t="shared" si="6"/>
        <v>库存为0</v>
      </c>
      <c r="AV163" s="36" t="str">
        <f>IFERROR(时间!$B$4+AU163,"上周无销量")</f>
        <v>上周无销量</v>
      </c>
    </row>
    <row r="164" spans="1:48">
      <c r="A164" s="20" t="s">
        <v>420</v>
      </c>
      <c r="B164" t="s">
        <v>421</v>
      </c>
      <c r="C164" t="s">
        <v>419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422</v>
      </c>
      <c r="B165" t="s">
        <v>423</v>
      </c>
      <c r="C165" t="s">
        <v>424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425</v>
      </c>
      <c r="B166" t="s">
        <v>426</v>
      </c>
      <c r="C166" t="s">
        <v>424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427</v>
      </c>
      <c r="B167" t="s">
        <v>428</v>
      </c>
      <c r="C167" t="s">
        <v>429</v>
      </c>
      <c r="D167" s="31">
        <v>0</v>
      </c>
      <c r="E167" s="31">
        <v>0</v>
      </c>
      <c r="F167" s="31">
        <v>2</v>
      </c>
      <c r="G167" s="31">
        <v>2</v>
      </c>
      <c r="H167" s="32">
        <v>7.99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550</v>
      </c>
      <c r="T167">
        <v>0</v>
      </c>
      <c r="U167">
        <v>0</v>
      </c>
      <c r="V167">
        <v>0</v>
      </c>
      <c r="W167">
        <v>4</v>
      </c>
      <c r="X167" s="22" t="s">
        <v>53</v>
      </c>
      <c r="Y167" s="22" t="s">
        <v>53</v>
      </c>
      <c r="Z167" s="22" t="s">
        <v>53</v>
      </c>
      <c r="AA167" s="22">
        <v>0.00727272727272727</v>
      </c>
      <c r="AB167">
        <v>0</v>
      </c>
      <c r="AC167">
        <v>0</v>
      </c>
      <c r="AD167">
        <v>0</v>
      </c>
      <c r="AE167">
        <v>1.99</v>
      </c>
      <c r="AF167" s="22" t="s">
        <v>53</v>
      </c>
      <c r="AG167" s="22" t="s">
        <v>53</v>
      </c>
      <c r="AH167" s="22" t="s">
        <v>53</v>
      </c>
      <c r="AI167" s="22">
        <v>0.124530663329161</v>
      </c>
      <c r="AJ167">
        <v>0</v>
      </c>
      <c r="AK167">
        <v>0</v>
      </c>
      <c r="AL167">
        <v>13</v>
      </c>
      <c r="AM167">
        <v>14</v>
      </c>
      <c r="AN167" s="22" t="s">
        <v>53</v>
      </c>
      <c r="AO167" s="22" t="s">
        <v>53</v>
      </c>
      <c r="AP167" s="22">
        <v>0.153846153846154</v>
      </c>
      <c r="AQ167" s="22">
        <v>0.142857142857143</v>
      </c>
      <c r="AR167" s="35">
        <v>0</v>
      </c>
      <c r="AS167" s="35">
        <v>0</v>
      </c>
      <c r="AT167" s="35">
        <v>0</v>
      </c>
      <c r="AU167" s="31" t="str">
        <f t="shared" si="6"/>
        <v>库存为0</v>
      </c>
      <c r="AV167" s="36" t="str">
        <f>IFERROR(时间!$B$4+AU167,"上周无销量")</f>
        <v>上周无销量</v>
      </c>
    </row>
    <row r="168" spans="1:48">
      <c r="A168" s="20" t="s">
        <v>430</v>
      </c>
      <c r="B168" t="s">
        <v>431</v>
      </c>
      <c r="C168" t="s">
        <v>429</v>
      </c>
      <c r="D168" s="31">
        <v>0</v>
      </c>
      <c r="E168" s="31">
        <v>0</v>
      </c>
      <c r="F168" s="31">
        <v>0</v>
      </c>
      <c r="G168" s="31">
        <v>3</v>
      </c>
      <c r="H168" s="32">
        <v>7.99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27</v>
      </c>
      <c r="AN168" s="22" t="s">
        <v>53</v>
      </c>
      <c r="AO168" s="22" t="s">
        <v>53</v>
      </c>
      <c r="AP168" s="22" t="s">
        <v>53</v>
      </c>
      <c r="AQ168" s="22">
        <v>0.111111111111111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432</v>
      </c>
      <c r="B169" t="s">
        <v>433</v>
      </c>
      <c r="C169" t="s">
        <v>429</v>
      </c>
      <c r="D169" s="31">
        <v>0</v>
      </c>
      <c r="E169" s="31">
        <v>0</v>
      </c>
      <c r="F169" s="31">
        <v>0</v>
      </c>
      <c r="G169" s="31">
        <v>1</v>
      </c>
      <c r="H169" s="32">
        <v>7.99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1</v>
      </c>
      <c r="AN169" s="22" t="s">
        <v>53</v>
      </c>
      <c r="AO169" s="22" t="s">
        <v>53</v>
      </c>
      <c r="AP169" s="22" t="s">
        <v>53</v>
      </c>
      <c r="AQ169" s="22">
        <v>1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434</v>
      </c>
      <c r="B170" t="s">
        <v>435</v>
      </c>
      <c r="C170" t="s">
        <v>429</v>
      </c>
      <c r="D170" s="31">
        <v>3</v>
      </c>
      <c r="E170" s="31">
        <v>1</v>
      </c>
      <c r="F170" s="31">
        <v>3</v>
      </c>
      <c r="G170" s="31">
        <v>0</v>
      </c>
      <c r="H170" s="32">
        <v>7.99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41</v>
      </c>
      <c r="AK170">
        <v>20</v>
      </c>
      <c r="AL170">
        <v>12</v>
      </c>
      <c r="AM170">
        <v>10</v>
      </c>
      <c r="AN170" s="22">
        <v>0.0731707317073171</v>
      </c>
      <c r="AO170" s="22">
        <v>0.05</v>
      </c>
      <c r="AP170" s="22">
        <v>0.25</v>
      </c>
      <c r="AQ170" s="22">
        <v>0</v>
      </c>
      <c r="AR170" s="35">
        <v>0.428571428571429</v>
      </c>
      <c r="AS170" s="35">
        <v>25.7142857142857</v>
      </c>
      <c r="AT170" s="35">
        <v>-25.7142857142857</v>
      </c>
      <c r="AU170" s="31">
        <f t="shared" si="6"/>
        <v>0</v>
      </c>
      <c r="AV170" s="36">
        <f>IFERROR(时间!$B$4+AU170,"上周无销量")</f>
        <v>43325</v>
      </c>
    </row>
    <row r="171" spans="1:48">
      <c r="A171" s="20" t="s">
        <v>436</v>
      </c>
      <c r="B171" t="s">
        <v>437</v>
      </c>
      <c r="C171" t="s">
        <v>429</v>
      </c>
      <c r="D171" s="31">
        <v>0</v>
      </c>
      <c r="E171" s="31">
        <v>0</v>
      </c>
      <c r="F171" s="31">
        <v>3</v>
      </c>
      <c r="G171" s="31">
        <v>7</v>
      </c>
      <c r="H171" s="32">
        <v>7.99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41</v>
      </c>
      <c r="AM171">
        <v>18</v>
      </c>
      <c r="AN171" s="22" t="s">
        <v>53</v>
      </c>
      <c r="AO171" s="22" t="s">
        <v>53</v>
      </c>
      <c r="AP171" s="22">
        <v>0.0731707317073171</v>
      </c>
      <c r="AQ171" s="22">
        <v>0.388888888888889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438</v>
      </c>
      <c r="B172" t="s">
        <v>439</v>
      </c>
      <c r="C172" t="s">
        <v>429</v>
      </c>
      <c r="D172" s="31">
        <v>0</v>
      </c>
      <c r="E172" s="31">
        <v>0</v>
      </c>
      <c r="F172" s="31">
        <v>0</v>
      </c>
      <c r="G172" s="31">
        <v>1</v>
      </c>
      <c r="H172" s="32">
        <v>14.99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7</v>
      </c>
      <c r="AN172" s="22" t="s">
        <v>53</v>
      </c>
      <c r="AO172" s="22" t="s">
        <v>53</v>
      </c>
      <c r="AP172" s="22" t="s">
        <v>53</v>
      </c>
      <c r="AQ172" s="22">
        <v>0.142857142857143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440</v>
      </c>
      <c r="B173" t="s">
        <v>441</v>
      </c>
      <c r="C173" t="s">
        <v>429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442</v>
      </c>
      <c r="B174" t="s">
        <v>443</v>
      </c>
      <c r="C174" t="s">
        <v>429</v>
      </c>
      <c r="D174" s="31">
        <v>0</v>
      </c>
      <c r="E174" s="31">
        <v>1</v>
      </c>
      <c r="F174" s="31">
        <v>0</v>
      </c>
      <c r="G174" s="31">
        <v>1</v>
      </c>
      <c r="H174" s="32">
        <v>14.99</v>
      </c>
      <c r="I174">
        <v>1</v>
      </c>
      <c r="J174" s="33">
        <v>0</v>
      </c>
      <c r="K174" s="33">
        <v>0</v>
      </c>
      <c r="L174" s="33">
        <v>0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s="22" t="s">
        <v>53</v>
      </c>
      <c r="Y174" s="22" t="s">
        <v>53</v>
      </c>
      <c r="Z174" s="22" t="s">
        <v>53</v>
      </c>
      <c r="AA174" s="22" t="s">
        <v>53</v>
      </c>
      <c r="AB174">
        <v>0</v>
      </c>
      <c r="AC174">
        <v>0</v>
      </c>
      <c r="AD174">
        <v>0</v>
      </c>
      <c r="AE174">
        <v>0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14</v>
      </c>
      <c r="AK174">
        <v>12</v>
      </c>
      <c r="AL174">
        <v>20</v>
      </c>
      <c r="AM174">
        <v>7</v>
      </c>
      <c r="AN174" s="22">
        <v>0</v>
      </c>
      <c r="AO174" s="22">
        <v>0.0833333333333333</v>
      </c>
      <c r="AP174" s="22">
        <v>0</v>
      </c>
      <c r="AQ174" s="22">
        <v>0.142857142857143</v>
      </c>
      <c r="AR174" s="35">
        <v>0</v>
      </c>
      <c r="AS174" s="35">
        <v>0</v>
      </c>
      <c r="AT174" s="35">
        <v>1</v>
      </c>
      <c r="AU174" s="31" t="str">
        <f t="shared" si="6"/>
        <v>库存为1</v>
      </c>
      <c r="AV174" s="36" t="str">
        <f>IFERROR(时间!$B$4+AU174,"上周无销量")</f>
        <v>上周无销量</v>
      </c>
    </row>
    <row r="175" spans="1:48">
      <c r="A175" s="20" t="s">
        <v>444</v>
      </c>
      <c r="B175" t="s">
        <v>445</v>
      </c>
      <c r="C175" t="s">
        <v>429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14</v>
      </c>
      <c r="AK175">
        <v>10</v>
      </c>
      <c r="AL175">
        <v>18</v>
      </c>
      <c r="AM175">
        <v>6</v>
      </c>
      <c r="AN175" s="22">
        <v>0</v>
      </c>
      <c r="AO175" s="22">
        <v>0</v>
      </c>
      <c r="AP175" s="22">
        <v>0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446</v>
      </c>
      <c r="B176" t="s">
        <v>447</v>
      </c>
      <c r="C176" t="s">
        <v>429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0</v>
      </c>
      <c r="AK176">
        <v>0</v>
      </c>
      <c r="AL176">
        <v>0</v>
      </c>
      <c r="AM176">
        <v>0</v>
      </c>
      <c r="AN176" s="22" t="s">
        <v>53</v>
      </c>
      <c r="AO176" s="22" t="s">
        <v>53</v>
      </c>
      <c r="AP176" s="22" t="s">
        <v>53</v>
      </c>
      <c r="AQ176" s="22" t="s">
        <v>53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0" t="s">
        <v>448</v>
      </c>
      <c r="B177" t="s">
        <v>449</v>
      </c>
      <c r="C177" t="s">
        <v>429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4</v>
      </c>
      <c r="J177" s="33">
        <v>0</v>
      </c>
      <c r="K177" s="33">
        <v>0</v>
      </c>
      <c r="L177" s="33">
        <v>0</v>
      </c>
      <c r="M177">
        <v>4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31</v>
      </c>
      <c r="AK177">
        <v>23</v>
      </c>
      <c r="AL177">
        <v>31</v>
      </c>
      <c r="AM177">
        <v>13</v>
      </c>
      <c r="AN177" s="22">
        <v>0</v>
      </c>
      <c r="AO177" s="22">
        <v>0</v>
      </c>
      <c r="AP177" s="22">
        <v>0</v>
      </c>
      <c r="AQ177" s="22">
        <v>0</v>
      </c>
      <c r="AR177" s="35">
        <v>0</v>
      </c>
      <c r="AS177" s="35">
        <v>0</v>
      </c>
      <c r="AT177" s="35">
        <v>4</v>
      </c>
      <c r="AU177" s="31" t="str">
        <f t="shared" si="6"/>
        <v>库存为4</v>
      </c>
      <c r="AV177" s="36" t="str">
        <f>IFERROR(时间!$B$4+AU177,"上周无销量")</f>
        <v>上周无销量</v>
      </c>
    </row>
    <row r="178" spans="1:48">
      <c r="A178" s="20" t="s">
        <v>450</v>
      </c>
      <c r="B178" t="s">
        <v>451</v>
      </c>
      <c r="C178" t="s">
        <v>429</v>
      </c>
      <c r="D178" s="31">
        <v>0</v>
      </c>
      <c r="E178" s="31">
        <v>0</v>
      </c>
      <c r="F178" s="31">
        <v>1</v>
      </c>
      <c r="G178" s="31">
        <v>0</v>
      </c>
      <c r="H178" s="32">
        <v>14.99</v>
      </c>
      <c r="I178">
        <v>4</v>
      </c>
      <c r="J178" s="33">
        <v>0</v>
      </c>
      <c r="K178" s="33">
        <v>0</v>
      </c>
      <c r="L178" s="33">
        <v>0</v>
      </c>
      <c r="M178">
        <v>4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8</v>
      </c>
      <c r="AK178">
        <v>15</v>
      </c>
      <c r="AL178">
        <v>18</v>
      </c>
      <c r="AM178">
        <v>8</v>
      </c>
      <c r="AN178" s="22">
        <v>0</v>
      </c>
      <c r="AO178" s="22">
        <v>0</v>
      </c>
      <c r="AP178" s="22">
        <v>0.0555555555555556</v>
      </c>
      <c r="AQ178" s="22">
        <v>0</v>
      </c>
      <c r="AR178" s="35">
        <v>0</v>
      </c>
      <c r="AS178" s="35">
        <v>0</v>
      </c>
      <c r="AT178" s="35">
        <v>4</v>
      </c>
      <c r="AU178" s="31" t="str">
        <f t="shared" si="6"/>
        <v>库存为4</v>
      </c>
      <c r="AV178" s="36" t="str">
        <f>IFERROR(时间!$B$4+AU178,"上周无销量")</f>
        <v>上周无销量</v>
      </c>
    </row>
    <row r="179" spans="1:48">
      <c r="A179" s="20" t="s">
        <v>452</v>
      </c>
      <c r="B179" t="s">
        <v>453</v>
      </c>
      <c r="C179" t="s">
        <v>429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0</v>
      </c>
      <c r="AK179">
        <v>0</v>
      </c>
      <c r="AL179">
        <v>0</v>
      </c>
      <c r="AM179">
        <v>0</v>
      </c>
      <c r="AN179" s="22" t="s">
        <v>53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454</v>
      </c>
      <c r="B180" t="s">
        <v>455</v>
      </c>
      <c r="C180" t="s">
        <v>456</v>
      </c>
      <c r="D180" s="31">
        <v>0</v>
      </c>
      <c r="E180" s="31">
        <v>0</v>
      </c>
      <c r="F180" s="31">
        <v>0</v>
      </c>
      <c r="G180" s="31">
        <v>6</v>
      </c>
      <c r="H180" s="32">
        <v>15.99</v>
      </c>
      <c r="I180">
        <v>32</v>
      </c>
      <c r="J180" s="33">
        <v>0</v>
      </c>
      <c r="K180" s="33">
        <v>0</v>
      </c>
      <c r="L180" s="33">
        <v>0</v>
      </c>
      <c r="M180">
        <v>32</v>
      </c>
      <c r="N180">
        <v>1</v>
      </c>
      <c r="O180">
        <v>0</v>
      </c>
      <c r="P180">
        <v>996</v>
      </c>
      <c r="Q180">
        <v>270</v>
      </c>
      <c r="R180">
        <v>0</v>
      </c>
      <c r="S180">
        <v>1</v>
      </c>
      <c r="T180">
        <v>18</v>
      </c>
      <c r="U180">
        <v>3</v>
      </c>
      <c r="V180">
        <v>0</v>
      </c>
      <c r="W180">
        <v>0</v>
      </c>
      <c r="X180" s="22">
        <v>0.0180722891566265</v>
      </c>
      <c r="Y180" s="22">
        <v>0.0111111111111111</v>
      </c>
      <c r="Z180" s="22" t="s">
        <v>53</v>
      </c>
      <c r="AA180" s="22">
        <v>0</v>
      </c>
      <c r="AB180">
        <v>16.24</v>
      </c>
      <c r="AC180">
        <v>3.19</v>
      </c>
      <c r="AD180">
        <v>0</v>
      </c>
      <c r="AE180">
        <v>0</v>
      </c>
      <c r="AF180" s="22" t="s">
        <v>457</v>
      </c>
      <c r="AG180" s="22" t="s">
        <v>458</v>
      </c>
      <c r="AH180" s="22" t="s">
        <v>53</v>
      </c>
      <c r="AI180" s="22" t="s">
        <v>53</v>
      </c>
      <c r="AJ180">
        <v>18</v>
      </c>
      <c r="AK180">
        <v>13</v>
      </c>
      <c r="AL180">
        <v>10</v>
      </c>
      <c r="AM180">
        <v>12</v>
      </c>
      <c r="AN180" s="22">
        <v>0</v>
      </c>
      <c r="AO180" s="22">
        <v>0</v>
      </c>
      <c r="AP180" s="22">
        <v>0</v>
      </c>
      <c r="AQ180" s="22">
        <v>0.5</v>
      </c>
      <c r="AR180" s="35">
        <v>0</v>
      </c>
      <c r="AS180" s="35">
        <v>0</v>
      </c>
      <c r="AT180" s="35">
        <v>32</v>
      </c>
      <c r="AU180" s="31" t="str">
        <f t="shared" si="6"/>
        <v>库存为32</v>
      </c>
      <c r="AV180" s="36" t="str">
        <f>IFERROR(时间!$B$4+AU180,"上周无销量")</f>
        <v>上周无销量</v>
      </c>
    </row>
    <row r="181" spans="1:48">
      <c r="A181" s="20" t="s">
        <v>459</v>
      </c>
      <c r="B181" t="s">
        <v>460</v>
      </c>
      <c r="C181" t="s">
        <v>456</v>
      </c>
      <c r="D181" s="31">
        <v>3</v>
      </c>
      <c r="E181" s="31">
        <v>3</v>
      </c>
      <c r="F181" s="31">
        <v>0</v>
      </c>
      <c r="G181" s="31">
        <v>2</v>
      </c>
      <c r="H181" s="32">
        <v>18.99</v>
      </c>
      <c r="I181">
        <v>48</v>
      </c>
      <c r="J181" s="33">
        <v>0</v>
      </c>
      <c r="K181" s="33">
        <v>0</v>
      </c>
      <c r="L181" s="33">
        <v>0</v>
      </c>
      <c r="M181">
        <v>48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12</v>
      </c>
      <c r="AK181">
        <v>11</v>
      </c>
      <c r="AL181">
        <v>8</v>
      </c>
      <c r="AM181">
        <v>29</v>
      </c>
      <c r="AN181" s="22">
        <v>0.25</v>
      </c>
      <c r="AO181" s="22">
        <v>0.272727272727273</v>
      </c>
      <c r="AP181" s="22">
        <v>0</v>
      </c>
      <c r="AQ181" s="22">
        <v>0.0689655172413793</v>
      </c>
      <c r="AR181" s="35">
        <v>0.428571428571429</v>
      </c>
      <c r="AS181" s="35">
        <v>25.7142857142857</v>
      </c>
      <c r="AT181" s="35">
        <v>22.2857142857143</v>
      </c>
      <c r="AU181" s="31">
        <f t="shared" si="6"/>
        <v>112</v>
      </c>
      <c r="AV181" s="36">
        <f>IFERROR(时间!$B$4+AU181,"上周无销量")</f>
        <v>43437</v>
      </c>
    </row>
    <row r="182" spans="1:48">
      <c r="A182" s="20" t="s">
        <v>461</v>
      </c>
      <c r="B182" t="s">
        <v>462</v>
      </c>
      <c r="C182" t="s">
        <v>456</v>
      </c>
      <c r="D182" s="31">
        <v>0</v>
      </c>
      <c r="E182" s="31">
        <v>9</v>
      </c>
      <c r="F182" s="31">
        <v>11</v>
      </c>
      <c r="G182" s="31">
        <v>24</v>
      </c>
      <c r="H182" s="32">
        <v>19.99</v>
      </c>
      <c r="I182">
        <v>1</v>
      </c>
      <c r="J182" s="33">
        <v>0</v>
      </c>
      <c r="K182" s="33">
        <v>0</v>
      </c>
      <c r="L182" s="33">
        <v>0</v>
      </c>
      <c r="M182">
        <v>1</v>
      </c>
      <c r="N182">
        <v>0</v>
      </c>
      <c r="O182">
        <v>0</v>
      </c>
      <c r="P182">
        <v>7804</v>
      </c>
      <c r="Q182">
        <v>40839</v>
      </c>
      <c r="R182">
        <v>49045</v>
      </c>
      <c r="S182">
        <v>12717</v>
      </c>
      <c r="T182">
        <v>13</v>
      </c>
      <c r="U182">
        <v>78</v>
      </c>
      <c r="V182">
        <v>118</v>
      </c>
      <c r="W182">
        <v>73</v>
      </c>
      <c r="X182" s="22">
        <v>0.00166581240389544</v>
      </c>
      <c r="Y182" s="22">
        <v>0.00190993902886946</v>
      </c>
      <c r="Z182" s="22">
        <v>0.00240595371597512</v>
      </c>
      <c r="AA182" s="22">
        <v>0.0057403475662499</v>
      </c>
      <c r="AB182">
        <v>7.44</v>
      </c>
      <c r="AC182">
        <v>52.11</v>
      </c>
      <c r="AD182">
        <v>79.11</v>
      </c>
      <c r="AE182">
        <v>48.43</v>
      </c>
      <c r="AF182" s="22" t="s">
        <v>463</v>
      </c>
      <c r="AG182" s="22">
        <v>0.289644822411206</v>
      </c>
      <c r="AH182" s="22">
        <v>0.359770794488153</v>
      </c>
      <c r="AI182" s="22">
        <v>0.100946306486577</v>
      </c>
      <c r="AJ182">
        <v>10</v>
      </c>
      <c r="AK182">
        <v>45</v>
      </c>
      <c r="AL182">
        <v>68</v>
      </c>
      <c r="AM182">
        <v>60</v>
      </c>
      <c r="AN182" s="22">
        <v>0</v>
      </c>
      <c r="AO182" s="22">
        <v>0.2</v>
      </c>
      <c r="AP182" s="22">
        <v>0.161764705882353</v>
      </c>
      <c r="AQ182" s="22">
        <v>0.4</v>
      </c>
      <c r="AR182" s="35">
        <v>0</v>
      </c>
      <c r="AS182" s="35">
        <v>0</v>
      </c>
      <c r="AT182" s="35">
        <v>1</v>
      </c>
      <c r="AU182" s="31" t="str">
        <f t="shared" si="6"/>
        <v>库存为1</v>
      </c>
      <c r="AV182" s="36" t="str">
        <f>IFERROR(时间!$B$4+AU182,"上周无销量")</f>
        <v>上周无销量</v>
      </c>
    </row>
    <row r="183" spans="1:48">
      <c r="A183" s="20" t="s">
        <v>464</v>
      </c>
      <c r="B183" t="s">
        <v>465</v>
      </c>
      <c r="C183" t="s">
        <v>456</v>
      </c>
      <c r="D183" s="31">
        <v>7</v>
      </c>
      <c r="E183" s="31">
        <v>4</v>
      </c>
      <c r="F183" s="31">
        <v>5</v>
      </c>
      <c r="G183" s="31">
        <v>18</v>
      </c>
      <c r="H183" s="32">
        <v>21.99</v>
      </c>
      <c r="I183">
        <v>39</v>
      </c>
      <c r="J183" s="33">
        <v>0</v>
      </c>
      <c r="K183" s="33">
        <v>0</v>
      </c>
      <c r="L183" s="33">
        <v>0</v>
      </c>
      <c r="M183">
        <v>39</v>
      </c>
      <c r="N183">
        <v>0</v>
      </c>
      <c r="O183">
        <v>0</v>
      </c>
      <c r="P183">
        <v>93</v>
      </c>
      <c r="Q183">
        <v>89</v>
      </c>
      <c r="R183">
        <v>0</v>
      </c>
      <c r="S183">
        <v>0</v>
      </c>
      <c r="T183">
        <v>1</v>
      </c>
      <c r="U183">
        <v>3</v>
      </c>
      <c r="V183">
        <v>0</v>
      </c>
      <c r="W183">
        <v>0</v>
      </c>
      <c r="X183" s="22">
        <v>0.010752688172043</v>
      </c>
      <c r="Y183" s="22">
        <v>0.0337078651685393</v>
      </c>
      <c r="Z183" s="22" t="s">
        <v>53</v>
      </c>
      <c r="AA183" s="22" t="s">
        <v>53</v>
      </c>
      <c r="AB183">
        <v>0.83</v>
      </c>
      <c r="AC183">
        <v>1.62</v>
      </c>
      <c r="AD183">
        <v>0</v>
      </c>
      <c r="AE183">
        <v>0</v>
      </c>
      <c r="AF183" s="22">
        <v>0.00539206132657702</v>
      </c>
      <c r="AG183" s="22">
        <v>0.0184174624829468</v>
      </c>
      <c r="AH183" s="22" t="s">
        <v>53</v>
      </c>
      <c r="AI183" s="22" t="s">
        <v>53</v>
      </c>
      <c r="AJ183">
        <v>18</v>
      </c>
      <c r="AK183">
        <v>11</v>
      </c>
      <c r="AL183">
        <v>27</v>
      </c>
      <c r="AM183">
        <v>29</v>
      </c>
      <c r="AN183" s="22">
        <v>0.388888888888889</v>
      </c>
      <c r="AO183" s="22">
        <v>0.363636363636364</v>
      </c>
      <c r="AP183" s="22">
        <v>0.185185185185185</v>
      </c>
      <c r="AQ183" s="22">
        <v>0.620689655172414</v>
      </c>
      <c r="AR183" s="35">
        <v>1</v>
      </c>
      <c r="AS183" s="35">
        <v>60</v>
      </c>
      <c r="AT183" s="35">
        <v>-21</v>
      </c>
      <c r="AU183" s="31">
        <f t="shared" si="6"/>
        <v>39</v>
      </c>
      <c r="AV183" s="36">
        <f>IFERROR(时间!$B$4+AU183,"上周无销量")</f>
        <v>43364</v>
      </c>
    </row>
    <row r="184" spans="1:48">
      <c r="A184" s="20" t="s">
        <v>466</v>
      </c>
      <c r="B184" t="s">
        <v>467</v>
      </c>
      <c r="C184" t="s">
        <v>456</v>
      </c>
      <c r="D184" s="31">
        <v>0</v>
      </c>
      <c r="E184" s="31">
        <v>0</v>
      </c>
      <c r="F184" s="31">
        <v>2</v>
      </c>
      <c r="G184" s="31">
        <v>3</v>
      </c>
      <c r="H184" s="32">
        <v>17.99</v>
      </c>
      <c r="I184">
        <v>15</v>
      </c>
      <c r="J184" s="33">
        <v>0</v>
      </c>
      <c r="K184" s="33">
        <v>0</v>
      </c>
      <c r="L184" s="33">
        <v>0</v>
      </c>
      <c r="M184">
        <v>15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7</v>
      </c>
      <c r="AK184">
        <v>3</v>
      </c>
      <c r="AL184">
        <v>18</v>
      </c>
      <c r="AM184">
        <v>10</v>
      </c>
      <c r="AN184" s="22">
        <v>0</v>
      </c>
      <c r="AO184" s="22">
        <v>0</v>
      </c>
      <c r="AP184" s="22">
        <v>0.111111111111111</v>
      </c>
      <c r="AQ184" s="22">
        <v>0.3</v>
      </c>
      <c r="AR184" s="35">
        <v>0</v>
      </c>
      <c r="AS184" s="35">
        <v>0</v>
      </c>
      <c r="AT184" s="35">
        <v>15</v>
      </c>
      <c r="AU184" s="31" t="str">
        <f t="shared" si="6"/>
        <v>库存为15</v>
      </c>
      <c r="AV184" s="36" t="str">
        <f>IFERROR(时间!$B$4+AU184,"上周无销量")</f>
        <v>上周无销量</v>
      </c>
    </row>
    <row r="185" spans="1:48">
      <c r="A185" s="20" t="s">
        <v>468</v>
      </c>
      <c r="B185" t="s">
        <v>469</v>
      </c>
      <c r="C185" t="s">
        <v>470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5</v>
      </c>
      <c r="J185" s="33">
        <v>0</v>
      </c>
      <c r="K185" s="33">
        <v>0</v>
      </c>
      <c r="L185" s="33">
        <v>0</v>
      </c>
      <c r="M185">
        <v>5</v>
      </c>
      <c r="N185">
        <v>0</v>
      </c>
      <c r="O185">
        <v>5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4</v>
      </c>
      <c r="AK185">
        <v>3</v>
      </c>
      <c r="AL185">
        <v>4</v>
      </c>
      <c r="AM185">
        <v>2</v>
      </c>
      <c r="AN185" s="22">
        <v>0</v>
      </c>
      <c r="AO185" s="22">
        <v>0</v>
      </c>
      <c r="AP185" s="22">
        <v>0</v>
      </c>
      <c r="AQ185" s="22">
        <v>0</v>
      </c>
      <c r="AR185" s="35">
        <v>0</v>
      </c>
      <c r="AS185" s="35">
        <v>0</v>
      </c>
      <c r="AT185" s="35">
        <v>5</v>
      </c>
      <c r="AU185" s="31" t="str">
        <f t="shared" si="6"/>
        <v>库存为5</v>
      </c>
      <c r="AV185" s="36" t="str">
        <f>IFERROR(时间!$B$4+AU185,"上周无销量")</f>
        <v>上周无销量</v>
      </c>
    </row>
    <row r="186" spans="1:48">
      <c r="A186" s="20" t="s">
        <v>471</v>
      </c>
      <c r="B186" t="s">
        <v>472</v>
      </c>
      <c r="C186" t="s">
        <v>470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4</v>
      </c>
      <c r="J186" s="33">
        <v>0</v>
      </c>
      <c r="K186" s="33">
        <v>0</v>
      </c>
      <c r="L186" s="33">
        <v>0</v>
      </c>
      <c r="M186">
        <v>4</v>
      </c>
      <c r="N186">
        <v>0</v>
      </c>
      <c r="O186">
        <v>4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4</v>
      </c>
      <c r="AK186">
        <v>4</v>
      </c>
      <c r="AL186">
        <v>3</v>
      </c>
      <c r="AM186">
        <v>1</v>
      </c>
      <c r="AN186" s="22">
        <v>0</v>
      </c>
      <c r="AO186" s="22">
        <v>0</v>
      </c>
      <c r="AP186" s="22">
        <v>0</v>
      </c>
      <c r="AQ186" s="22">
        <v>0</v>
      </c>
      <c r="AR186" s="35">
        <v>0</v>
      </c>
      <c r="AS186" s="35">
        <v>0</v>
      </c>
      <c r="AT186" s="35">
        <v>4</v>
      </c>
      <c r="AU186" s="31" t="str">
        <f t="shared" si="6"/>
        <v>库存为4</v>
      </c>
      <c r="AV186" s="36" t="str">
        <f>IFERROR(时间!$B$4+AU186,"上周无销量")</f>
        <v>上周无销量</v>
      </c>
    </row>
    <row r="187" spans="1:48">
      <c r="A187" s="20" t="s">
        <v>473</v>
      </c>
      <c r="B187" t="s">
        <v>474</v>
      </c>
      <c r="C187" t="s">
        <v>470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5</v>
      </c>
      <c r="J187" s="33">
        <v>0</v>
      </c>
      <c r="K187" s="33">
        <v>0</v>
      </c>
      <c r="L187" s="33">
        <v>0</v>
      </c>
      <c r="M187">
        <v>5</v>
      </c>
      <c r="N187">
        <v>0</v>
      </c>
      <c r="O187">
        <v>5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5</v>
      </c>
      <c r="AK187">
        <v>3</v>
      </c>
      <c r="AL187">
        <v>2</v>
      </c>
      <c r="AM187">
        <v>3</v>
      </c>
      <c r="AN187" s="22">
        <v>0</v>
      </c>
      <c r="AO187" s="22">
        <v>0</v>
      </c>
      <c r="AP187" s="22">
        <v>0</v>
      </c>
      <c r="AQ187" s="22">
        <v>0</v>
      </c>
      <c r="AR187" s="35">
        <v>0</v>
      </c>
      <c r="AS187" s="35">
        <v>0</v>
      </c>
      <c r="AT187" s="35">
        <v>5</v>
      </c>
      <c r="AU187" s="31" t="str">
        <f t="shared" si="6"/>
        <v>库存为5</v>
      </c>
      <c r="AV187" s="36" t="str">
        <f>IFERROR(时间!$B$4+AU187,"上周无销量")</f>
        <v>上周无销量</v>
      </c>
    </row>
    <row r="188" spans="1:48">
      <c r="A188" s="20" t="s">
        <v>475</v>
      </c>
      <c r="B188" t="s">
        <v>476</v>
      </c>
      <c r="C188" t="s">
        <v>470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5</v>
      </c>
      <c r="J188" s="33">
        <v>0</v>
      </c>
      <c r="K188" s="33">
        <v>0</v>
      </c>
      <c r="L188" s="33">
        <v>0</v>
      </c>
      <c r="M188">
        <v>5</v>
      </c>
      <c r="N188">
        <v>0</v>
      </c>
      <c r="O188">
        <v>5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5</v>
      </c>
      <c r="AK188">
        <v>3</v>
      </c>
      <c r="AL188">
        <v>3</v>
      </c>
      <c r="AM188">
        <v>2</v>
      </c>
      <c r="AN188" s="22">
        <v>0</v>
      </c>
      <c r="AO188" s="22">
        <v>0</v>
      </c>
      <c r="AP188" s="22">
        <v>0</v>
      </c>
      <c r="AQ188" s="22">
        <v>0</v>
      </c>
      <c r="AR188" s="35">
        <v>0</v>
      </c>
      <c r="AS188" s="35">
        <v>0</v>
      </c>
      <c r="AT188" s="35">
        <v>5</v>
      </c>
      <c r="AU188" s="31" t="str">
        <f t="shared" si="6"/>
        <v>库存为5</v>
      </c>
      <c r="AV188" s="36" t="str">
        <f>IFERROR(时间!$B$4+AU188,"上周无销量")</f>
        <v>上周无销量</v>
      </c>
    </row>
    <row r="189" spans="1:48">
      <c r="A189" s="20" t="s">
        <v>477</v>
      </c>
      <c r="B189" t="s">
        <v>478</v>
      </c>
      <c r="C189" t="s">
        <v>470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2</v>
      </c>
      <c r="J189" s="33">
        <v>0</v>
      </c>
      <c r="K189" s="33">
        <v>0</v>
      </c>
      <c r="L189" s="33">
        <v>0</v>
      </c>
      <c r="M189">
        <v>2</v>
      </c>
      <c r="N189">
        <v>0</v>
      </c>
      <c r="O189">
        <v>2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1</v>
      </c>
      <c r="AK189">
        <v>1</v>
      </c>
      <c r="AL189">
        <v>1</v>
      </c>
      <c r="AM189">
        <v>2</v>
      </c>
      <c r="AN189" s="22">
        <v>0</v>
      </c>
      <c r="AO189" s="22">
        <v>0</v>
      </c>
      <c r="AP189" s="22">
        <v>0</v>
      </c>
      <c r="AQ189" s="22">
        <v>0</v>
      </c>
      <c r="AR189" s="35">
        <v>0</v>
      </c>
      <c r="AS189" s="35">
        <v>0</v>
      </c>
      <c r="AT189" s="35">
        <v>2</v>
      </c>
      <c r="AU189" s="31" t="str">
        <f t="shared" si="6"/>
        <v>库存为2</v>
      </c>
      <c r="AV189" s="36" t="str">
        <f>IFERROR(时间!$B$4+AU189,"上周无销量")</f>
        <v>上周无销量</v>
      </c>
    </row>
    <row r="190" spans="1:48">
      <c r="A190" s="20" t="s">
        <v>479</v>
      </c>
      <c r="B190" t="s">
        <v>480</v>
      </c>
      <c r="C190" t="s">
        <v>470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4</v>
      </c>
      <c r="J190" s="33">
        <v>0</v>
      </c>
      <c r="K190" s="33">
        <v>0</v>
      </c>
      <c r="L190" s="33">
        <v>0</v>
      </c>
      <c r="M190">
        <v>4</v>
      </c>
      <c r="N190">
        <v>0</v>
      </c>
      <c r="O190">
        <v>4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5</v>
      </c>
      <c r="AK190">
        <v>3</v>
      </c>
      <c r="AL190">
        <v>4</v>
      </c>
      <c r="AM190">
        <v>3</v>
      </c>
      <c r="AN190" s="22">
        <v>0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4</v>
      </c>
      <c r="AU190" s="31" t="str">
        <f t="shared" si="6"/>
        <v>库存为4</v>
      </c>
      <c r="AV190" s="36" t="str">
        <f>IFERROR(时间!$B$4+AU190,"上周无销量")</f>
        <v>上周无销量</v>
      </c>
    </row>
    <row r="191" spans="1:48">
      <c r="A191" s="20" t="s">
        <v>481</v>
      </c>
      <c r="B191" t="s">
        <v>482</v>
      </c>
      <c r="C191" t="s">
        <v>483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24</v>
      </c>
      <c r="J191" s="33">
        <v>0</v>
      </c>
      <c r="K191" s="33">
        <v>0</v>
      </c>
      <c r="L191" s="33">
        <v>0</v>
      </c>
      <c r="M191">
        <v>24</v>
      </c>
      <c r="N191">
        <v>0</v>
      </c>
      <c r="O191">
        <v>0</v>
      </c>
      <c r="P191">
        <v>1585</v>
      </c>
      <c r="Q191">
        <v>1815</v>
      </c>
      <c r="R191">
        <v>1699</v>
      </c>
      <c r="S191">
        <v>1192</v>
      </c>
      <c r="T191">
        <v>5</v>
      </c>
      <c r="U191">
        <v>7</v>
      </c>
      <c r="V191">
        <v>7</v>
      </c>
      <c r="W191">
        <v>11</v>
      </c>
      <c r="X191" s="22">
        <v>0.00315457413249211</v>
      </c>
      <c r="Y191" s="22">
        <v>0.00385674931129477</v>
      </c>
      <c r="Z191" s="22">
        <v>0.00412007062978222</v>
      </c>
      <c r="AA191" s="22">
        <v>0.00922818791946309</v>
      </c>
      <c r="AB191">
        <v>2.73</v>
      </c>
      <c r="AC191">
        <v>2.97</v>
      </c>
      <c r="AD191">
        <v>2.51</v>
      </c>
      <c r="AE191">
        <v>11.68</v>
      </c>
      <c r="AF191" s="22" t="s">
        <v>484</v>
      </c>
      <c r="AG191" s="22" t="s">
        <v>485</v>
      </c>
      <c r="AH191" s="22" t="s">
        <v>486</v>
      </c>
      <c r="AI191" s="22" t="s">
        <v>487</v>
      </c>
      <c r="AJ191">
        <v>18</v>
      </c>
      <c r="AK191">
        <v>7</v>
      </c>
      <c r="AL191">
        <v>11</v>
      </c>
      <c r="AM191">
        <v>14</v>
      </c>
      <c r="AN191" s="22">
        <v>0</v>
      </c>
      <c r="AO191" s="22">
        <v>0</v>
      </c>
      <c r="AP191" s="22">
        <v>0</v>
      </c>
      <c r="AQ191" s="22">
        <v>0</v>
      </c>
      <c r="AR191" s="35">
        <v>0</v>
      </c>
      <c r="AS191" s="35">
        <v>0</v>
      </c>
      <c r="AT191" s="35">
        <v>24</v>
      </c>
      <c r="AU191" s="31" t="str">
        <f t="shared" si="6"/>
        <v>库存为24</v>
      </c>
      <c r="AV191" s="36" t="str">
        <f>IFERROR(时间!$B$4+AU191,"上周无销量")</f>
        <v>上周无销量</v>
      </c>
    </row>
    <row r="192" spans="1:48">
      <c r="A192" s="20" t="s">
        <v>488</v>
      </c>
      <c r="B192" t="s">
        <v>489</v>
      </c>
      <c r="C192" t="s">
        <v>488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0</v>
      </c>
      <c r="AL192">
        <v>0</v>
      </c>
      <c r="AM192">
        <v>0</v>
      </c>
      <c r="AN192" s="22" t="s">
        <v>53</v>
      </c>
      <c r="AO192" s="22" t="s">
        <v>53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490</v>
      </c>
      <c r="B193" t="s">
        <v>491</v>
      </c>
      <c r="C193" t="s">
        <v>492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0</v>
      </c>
      <c r="AK193">
        <v>0</v>
      </c>
      <c r="AL193">
        <v>0</v>
      </c>
      <c r="AM193">
        <v>0</v>
      </c>
      <c r="AN193" s="22" t="s">
        <v>53</v>
      </c>
      <c r="AO193" s="22" t="s">
        <v>53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0</v>
      </c>
      <c r="AU193" s="31" t="str">
        <f t="shared" si="6"/>
        <v>库存为0</v>
      </c>
      <c r="AV193" s="36" t="str">
        <f>IFERROR(时间!$B$4+AU193,"上周无销量")</f>
        <v>上周无销量</v>
      </c>
    </row>
    <row r="194" spans="1:48">
      <c r="A194" s="20" t="s">
        <v>493</v>
      </c>
      <c r="B194" t="s">
        <v>494</v>
      </c>
      <c r="C194" t="s">
        <v>492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0</v>
      </c>
      <c r="AK194">
        <v>0</v>
      </c>
      <c r="AL194">
        <v>0</v>
      </c>
      <c r="AM194">
        <v>0</v>
      </c>
      <c r="AN194" s="22" t="s">
        <v>53</v>
      </c>
      <c r="AO194" s="22" t="s">
        <v>53</v>
      </c>
      <c r="AP194" s="22" t="s">
        <v>53</v>
      </c>
      <c r="AQ194" s="22" t="s">
        <v>53</v>
      </c>
      <c r="AR194" s="35">
        <v>0</v>
      </c>
      <c r="AS194" s="35">
        <v>0</v>
      </c>
      <c r="AT194" s="35">
        <v>0</v>
      </c>
      <c r="AU194" s="31" t="str">
        <f t="shared" si="6"/>
        <v>库存为0</v>
      </c>
      <c r="AV194" s="36" t="str">
        <f>IFERROR(时间!$B$4+AU194,"上周无销量")</f>
        <v>上周无销量</v>
      </c>
    </row>
    <row r="195" spans="1:48">
      <c r="A195" s="20" t="s">
        <v>495</v>
      </c>
      <c r="B195" t="s">
        <v>496</v>
      </c>
      <c r="C195" t="s">
        <v>497</v>
      </c>
      <c r="D195" s="31">
        <v>2</v>
      </c>
      <c r="E195" s="31">
        <v>1</v>
      </c>
      <c r="F195" s="31">
        <v>0</v>
      </c>
      <c r="G195" s="31">
        <v>0</v>
      </c>
      <c r="H195" s="32">
        <v>11</v>
      </c>
      <c r="I195">
        <v>1</v>
      </c>
      <c r="J195" s="33">
        <v>0</v>
      </c>
      <c r="K195" s="33">
        <v>0</v>
      </c>
      <c r="L195" s="33">
        <v>0</v>
      </c>
      <c r="M195">
        <v>1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19</v>
      </c>
      <c r="AK195">
        <v>17</v>
      </c>
      <c r="AL195">
        <v>10</v>
      </c>
      <c r="AM195">
        <v>9</v>
      </c>
      <c r="AN195" s="22">
        <v>0.105263157894737</v>
      </c>
      <c r="AO195" s="22">
        <v>0.0588235294117647</v>
      </c>
      <c r="AP195" s="22">
        <v>0</v>
      </c>
      <c r="AQ195" s="22">
        <v>0</v>
      </c>
      <c r="AR195" s="35">
        <v>0.285714285714286</v>
      </c>
      <c r="AS195" s="35">
        <v>17.1428571428571</v>
      </c>
      <c r="AT195" s="35">
        <v>-16.1428571428571</v>
      </c>
      <c r="AU195" s="31">
        <f t="shared" si="6"/>
        <v>3</v>
      </c>
      <c r="AV195" s="36">
        <f>IFERROR(时间!$B$4+AU195,"上周无销量")</f>
        <v>43328</v>
      </c>
    </row>
    <row r="196" spans="1:48">
      <c r="A196" s="20" t="s">
        <v>498</v>
      </c>
      <c r="B196" t="s">
        <v>499</v>
      </c>
      <c r="C196" t="s">
        <v>497</v>
      </c>
      <c r="D196" s="31">
        <v>1</v>
      </c>
      <c r="E196" s="31">
        <v>2</v>
      </c>
      <c r="F196" s="31">
        <v>1</v>
      </c>
      <c r="G196" s="31">
        <v>0</v>
      </c>
      <c r="H196" s="32">
        <v>11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1330</v>
      </c>
      <c r="T196">
        <v>0</v>
      </c>
      <c r="U196">
        <v>0</v>
      </c>
      <c r="V196">
        <v>0</v>
      </c>
      <c r="W196">
        <v>6</v>
      </c>
      <c r="X196" s="22" t="s">
        <v>53</v>
      </c>
      <c r="Y196" s="22" t="s">
        <v>53</v>
      </c>
      <c r="Z196" s="22" t="s">
        <v>53</v>
      </c>
      <c r="AA196" s="22">
        <v>0.00451127819548872</v>
      </c>
      <c r="AB196">
        <v>0</v>
      </c>
      <c r="AC196">
        <v>0</v>
      </c>
      <c r="AD196">
        <v>0</v>
      </c>
      <c r="AE196">
        <v>6.6</v>
      </c>
      <c r="AF196" s="22" t="s">
        <v>53</v>
      </c>
      <c r="AG196" s="22" t="s">
        <v>53</v>
      </c>
      <c r="AH196" s="22" t="s">
        <v>53</v>
      </c>
      <c r="AI196" s="22" t="s">
        <v>500</v>
      </c>
      <c r="AJ196">
        <v>14</v>
      </c>
      <c r="AK196">
        <v>19</v>
      </c>
      <c r="AL196">
        <v>13</v>
      </c>
      <c r="AM196">
        <v>9</v>
      </c>
      <c r="AN196" s="22">
        <v>0.0714285714285714</v>
      </c>
      <c r="AO196" s="22">
        <v>0.105263157894737</v>
      </c>
      <c r="AP196" s="22">
        <v>0.0769230769230769</v>
      </c>
      <c r="AQ196" s="22">
        <v>0</v>
      </c>
      <c r="AR196" s="35">
        <v>0.142857142857143</v>
      </c>
      <c r="AS196" s="35">
        <v>8.57142857142857</v>
      </c>
      <c r="AT196" s="35">
        <v>-8.57142857142857</v>
      </c>
      <c r="AU196" s="31">
        <f t="shared" si="6"/>
        <v>0</v>
      </c>
      <c r="AV196" s="36">
        <f>IFERROR(时间!$B$4+AU196,"上周无销量")</f>
        <v>43325</v>
      </c>
    </row>
    <row r="197" spans="1:48">
      <c r="A197" s="20" t="s">
        <v>501</v>
      </c>
      <c r="B197" t="s">
        <v>502</v>
      </c>
      <c r="C197" t="s">
        <v>497</v>
      </c>
      <c r="D197" s="31">
        <v>2</v>
      </c>
      <c r="E197" s="31">
        <v>2</v>
      </c>
      <c r="F197" s="31">
        <v>0</v>
      </c>
      <c r="G197" s="31">
        <v>0</v>
      </c>
      <c r="H197" s="32">
        <v>11</v>
      </c>
      <c r="I197">
        <v>1</v>
      </c>
      <c r="J197" s="33">
        <v>0</v>
      </c>
      <c r="K197" s="33">
        <v>0</v>
      </c>
      <c r="L197" s="33">
        <v>0</v>
      </c>
      <c r="M197">
        <v>1</v>
      </c>
      <c r="N197">
        <v>0</v>
      </c>
      <c r="O197">
        <v>0</v>
      </c>
      <c r="P197">
        <v>5031</v>
      </c>
      <c r="Q197">
        <v>16768</v>
      </c>
      <c r="R197">
        <v>10298</v>
      </c>
      <c r="S197">
        <v>2576</v>
      </c>
      <c r="T197">
        <v>97</v>
      </c>
      <c r="U197">
        <v>174</v>
      </c>
      <c r="V197">
        <v>34</v>
      </c>
      <c r="W197">
        <v>23</v>
      </c>
      <c r="X197" s="22">
        <v>0.0192804611409263</v>
      </c>
      <c r="Y197" s="22">
        <v>0.0103769083969466</v>
      </c>
      <c r="Z197" s="22">
        <v>0.00330161196348806</v>
      </c>
      <c r="AA197" s="22">
        <v>0.00892857142857143</v>
      </c>
      <c r="AB197">
        <v>30.05</v>
      </c>
      <c r="AC197">
        <v>48.76</v>
      </c>
      <c r="AD197">
        <v>8.1</v>
      </c>
      <c r="AE197">
        <v>11.91</v>
      </c>
      <c r="AF197" s="22">
        <v>1.36590909090909</v>
      </c>
      <c r="AG197" s="22">
        <v>2.21636363636364</v>
      </c>
      <c r="AH197" s="22" t="s">
        <v>503</v>
      </c>
      <c r="AI197" s="22" t="s">
        <v>504</v>
      </c>
      <c r="AJ197">
        <v>86</v>
      </c>
      <c r="AK197">
        <v>82</v>
      </c>
      <c r="AL197">
        <v>25</v>
      </c>
      <c r="AM197">
        <v>16</v>
      </c>
      <c r="AN197" s="22">
        <v>0.0232558139534884</v>
      </c>
      <c r="AO197" s="22">
        <v>0.024390243902439</v>
      </c>
      <c r="AP197" s="22">
        <v>0</v>
      </c>
      <c r="AQ197" s="22">
        <v>0</v>
      </c>
      <c r="AR197" s="35">
        <v>0.285714285714286</v>
      </c>
      <c r="AS197" s="35">
        <v>17.1428571428571</v>
      </c>
      <c r="AT197" s="35">
        <v>-16.1428571428571</v>
      </c>
      <c r="AU197" s="31">
        <f t="shared" ref="AU197:AU260" si="7">IF(AR197="","库存为"&amp;M197,IF(AS197=0,"库存为"&amp;M197,INT(M197/AR197)))</f>
        <v>3</v>
      </c>
      <c r="AV197" s="36">
        <f>IFERROR(时间!$B$4+AU197,"上周无销量")</f>
        <v>43328</v>
      </c>
    </row>
    <row r="198" spans="1:48">
      <c r="A198" s="20" t="s">
        <v>505</v>
      </c>
      <c r="B198" t="s">
        <v>506</v>
      </c>
      <c r="C198" t="s">
        <v>497</v>
      </c>
      <c r="D198" s="31">
        <v>2</v>
      </c>
      <c r="E198" s="31">
        <v>2</v>
      </c>
      <c r="F198" s="31">
        <v>0</v>
      </c>
      <c r="G198" s="31">
        <v>0</v>
      </c>
      <c r="H198" s="32">
        <v>11</v>
      </c>
      <c r="I198">
        <v>1</v>
      </c>
      <c r="J198" s="33">
        <v>0</v>
      </c>
      <c r="K198" s="33">
        <v>0</v>
      </c>
      <c r="L198" s="33">
        <v>0</v>
      </c>
      <c r="M198">
        <v>1</v>
      </c>
      <c r="N198">
        <v>0</v>
      </c>
      <c r="O198">
        <v>0</v>
      </c>
      <c r="P198">
        <v>899</v>
      </c>
      <c r="Q198">
        <v>5459</v>
      </c>
      <c r="R198">
        <v>1476</v>
      </c>
      <c r="S198">
        <v>1584</v>
      </c>
      <c r="T198">
        <v>2</v>
      </c>
      <c r="U198">
        <v>24</v>
      </c>
      <c r="V198">
        <v>7</v>
      </c>
      <c r="W198">
        <v>3</v>
      </c>
      <c r="X198" s="22">
        <v>0.00222469410456062</v>
      </c>
      <c r="Y198" s="22">
        <v>0.00439640959882762</v>
      </c>
      <c r="Z198" s="22">
        <v>0.00474254742547425</v>
      </c>
      <c r="AA198" s="22">
        <v>0.00189393939393939</v>
      </c>
      <c r="AB198">
        <v>0.73</v>
      </c>
      <c r="AC198">
        <v>5.57</v>
      </c>
      <c r="AD198">
        <v>1.39</v>
      </c>
      <c r="AE198">
        <v>0.51</v>
      </c>
      <c r="AF198" s="22">
        <v>0.0331818181818182</v>
      </c>
      <c r="AG198" s="22">
        <v>0.253181818181818</v>
      </c>
      <c r="AH198" s="22" t="s">
        <v>507</v>
      </c>
      <c r="AI198" s="22" t="s">
        <v>508</v>
      </c>
      <c r="AJ198">
        <v>15</v>
      </c>
      <c r="AK198">
        <v>16</v>
      </c>
      <c r="AL198">
        <v>8</v>
      </c>
      <c r="AM198">
        <v>5</v>
      </c>
      <c r="AN198" s="22">
        <v>0.133333333333333</v>
      </c>
      <c r="AO198" s="22">
        <v>0.125</v>
      </c>
      <c r="AP198" s="22">
        <v>0</v>
      </c>
      <c r="AQ198" s="22">
        <v>0</v>
      </c>
      <c r="AR198" s="35">
        <v>0.285714285714286</v>
      </c>
      <c r="AS198" s="35">
        <v>17.1428571428571</v>
      </c>
      <c r="AT198" s="35">
        <v>-16.1428571428571</v>
      </c>
      <c r="AU198" s="31">
        <f t="shared" si="7"/>
        <v>3</v>
      </c>
      <c r="AV198" s="36">
        <f>IFERROR(时间!$B$4+AU198,"上周无销量")</f>
        <v>43328</v>
      </c>
    </row>
    <row r="199" spans="1:48">
      <c r="A199" s="20" t="s">
        <v>509</v>
      </c>
      <c r="B199" t="s">
        <v>510</v>
      </c>
      <c r="C199" t="s">
        <v>511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4</v>
      </c>
      <c r="J199" s="33">
        <v>0</v>
      </c>
      <c r="K199" s="33">
        <v>0</v>
      </c>
      <c r="L199" s="33">
        <v>0</v>
      </c>
      <c r="M199">
        <v>4</v>
      </c>
      <c r="N199">
        <v>0</v>
      </c>
      <c r="O199">
        <v>4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1</v>
      </c>
      <c r="AK199">
        <v>0</v>
      </c>
      <c r="AL199">
        <v>4</v>
      </c>
      <c r="AM199">
        <v>4</v>
      </c>
      <c r="AN199" s="22">
        <v>0</v>
      </c>
      <c r="AO199" s="22" t="s">
        <v>53</v>
      </c>
      <c r="AP199" s="22">
        <v>0</v>
      </c>
      <c r="AQ199" s="22">
        <v>0</v>
      </c>
      <c r="AR199" s="35">
        <v>0</v>
      </c>
      <c r="AS199" s="35">
        <v>0</v>
      </c>
      <c r="AT199" s="35">
        <v>4</v>
      </c>
      <c r="AU199" s="31" t="str">
        <f t="shared" si="7"/>
        <v>库存为4</v>
      </c>
      <c r="AV199" s="36" t="str">
        <f>IFERROR(时间!$B$4+AU199,"上周无销量")</f>
        <v>上周无销量</v>
      </c>
    </row>
    <row r="200" spans="1:48">
      <c r="A200" s="20" t="s">
        <v>512</v>
      </c>
      <c r="B200" t="s">
        <v>513</v>
      </c>
      <c r="C200" t="s">
        <v>511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4</v>
      </c>
      <c r="J200" s="33">
        <v>0</v>
      </c>
      <c r="K200" s="33">
        <v>0</v>
      </c>
      <c r="L200" s="33">
        <v>0</v>
      </c>
      <c r="M200">
        <v>4</v>
      </c>
      <c r="N200">
        <v>0</v>
      </c>
      <c r="O200">
        <v>4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5</v>
      </c>
      <c r="AK200">
        <v>1</v>
      </c>
      <c r="AL200">
        <v>3</v>
      </c>
      <c r="AM200">
        <v>1</v>
      </c>
      <c r="AN200" s="22">
        <v>0</v>
      </c>
      <c r="AO200" s="22">
        <v>0</v>
      </c>
      <c r="AP200" s="22">
        <v>0</v>
      </c>
      <c r="AQ200" s="22">
        <v>0</v>
      </c>
      <c r="AR200" s="35">
        <v>0</v>
      </c>
      <c r="AS200" s="35">
        <v>0</v>
      </c>
      <c r="AT200" s="35">
        <v>4</v>
      </c>
      <c r="AU200" s="31" t="str">
        <f t="shared" si="7"/>
        <v>库存为4</v>
      </c>
      <c r="AV200" s="36" t="str">
        <f>IFERROR(时间!$B$4+AU200,"上周无销量")</f>
        <v>上周无销量</v>
      </c>
    </row>
    <row r="201" spans="1:48">
      <c r="A201" s="20" t="s">
        <v>514</v>
      </c>
      <c r="B201" t="s">
        <v>515</v>
      </c>
      <c r="C201" t="s">
        <v>511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4</v>
      </c>
      <c r="J201" s="33">
        <v>0</v>
      </c>
      <c r="K201" s="33">
        <v>0</v>
      </c>
      <c r="L201" s="33">
        <v>0</v>
      </c>
      <c r="M201">
        <v>4</v>
      </c>
      <c r="N201">
        <v>0</v>
      </c>
      <c r="O201">
        <v>4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2</v>
      </c>
      <c r="AK201">
        <v>1</v>
      </c>
      <c r="AL201">
        <v>4</v>
      </c>
      <c r="AM201">
        <v>3</v>
      </c>
      <c r="AN201" s="22">
        <v>0</v>
      </c>
      <c r="AO201" s="22">
        <v>0</v>
      </c>
      <c r="AP201" s="22">
        <v>0</v>
      </c>
      <c r="AQ201" s="22">
        <v>0</v>
      </c>
      <c r="AR201" s="35">
        <v>0</v>
      </c>
      <c r="AS201" s="35">
        <v>0</v>
      </c>
      <c r="AT201" s="35">
        <v>4</v>
      </c>
      <c r="AU201" s="31" t="str">
        <f t="shared" si="7"/>
        <v>库存为4</v>
      </c>
      <c r="AV201" s="36" t="str">
        <f>IFERROR(时间!$B$4+AU201,"上周无销量")</f>
        <v>上周无销量</v>
      </c>
    </row>
    <row r="202" spans="1:48">
      <c r="A202" s="20" t="s">
        <v>516</v>
      </c>
      <c r="B202" t="s">
        <v>517</v>
      </c>
      <c r="C202" t="s">
        <v>511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4</v>
      </c>
      <c r="J202" s="33">
        <v>0</v>
      </c>
      <c r="K202" s="33">
        <v>0</v>
      </c>
      <c r="L202" s="33">
        <v>0</v>
      </c>
      <c r="M202">
        <v>4</v>
      </c>
      <c r="N202">
        <v>0</v>
      </c>
      <c r="O202">
        <v>4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3</v>
      </c>
      <c r="AK202">
        <v>3</v>
      </c>
      <c r="AL202">
        <v>0</v>
      </c>
      <c r="AM202">
        <v>3</v>
      </c>
      <c r="AN202" s="22">
        <v>0</v>
      </c>
      <c r="AO202" s="22">
        <v>0</v>
      </c>
      <c r="AP202" s="22" t="s">
        <v>53</v>
      </c>
      <c r="AQ202" s="22">
        <v>0</v>
      </c>
      <c r="AR202" s="35">
        <v>0</v>
      </c>
      <c r="AS202" s="35">
        <v>0</v>
      </c>
      <c r="AT202" s="35">
        <v>4</v>
      </c>
      <c r="AU202" s="31" t="str">
        <f t="shared" si="7"/>
        <v>库存为4</v>
      </c>
      <c r="AV202" s="36" t="str">
        <f>IFERROR(时间!$B$4+AU202,"上周无销量")</f>
        <v>上周无销量</v>
      </c>
    </row>
    <row r="203" spans="1:48">
      <c r="A203" s="20" t="s">
        <v>518</v>
      </c>
      <c r="B203" t="s">
        <v>519</v>
      </c>
      <c r="C203" t="s">
        <v>511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2</v>
      </c>
      <c r="J203" s="33">
        <v>0</v>
      </c>
      <c r="K203" s="33">
        <v>0</v>
      </c>
      <c r="L203" s="33">
        <v>0</v>
      </c>
      <c r="M203">
        <v>2</v>
      </c>
      <c r="N203">
        <v>1</v>
      </c>
      <c r="O203">
        <v>2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5</v>
      </c>
      <c r="AK203">
        <v>1</v>
      </c>
      <c r="AL203">
        <v>4</v>
      </c>
      <c r="AM203">
        <v>0</v>
      </c>
      <c r="AN203" s="22">
        <v>0</v>
      </c>
      <c r="AO203" s="22">
        <v>0</v>
      </c>
      <c r="AP203" s="22">
        <v>0</v>
      </c>
      <c r="AQ203" s="22" t="s">
        <v>53</v>
      </c>
      <c r="AR203" s="35">
        <v>0</v>
      </c>
      <c r="AS203" s="35">
        <v>0</v>
      </c>
      <c r="AT203" s="35">
        <v>2</v>
      </c>
      <c r="AU203" s="31" t="str">
        <f t="shared" si="7"/>
        <v>库存为2</v>
      </c>
      <c r="AV203" s="36" t="str">
        <f>IFERROR(时间!$B$4+AU203,"上周无销量")</f>
        <v>上周无销量</v>
      </c>
    </row>
    <row r="204" spans="1:48">
      <c r="A204" s="20" t="s">
        <v>520</v>
      </c>
      <c r="B204" t="s">
        <v>521</v>
      </c>
      <c r="C204" t="s">
        <v>511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4</v>
      </c>
      <c r="J204" s="33">
        <v>0</v>
      </c>
      <c r="K204" s="33">
        <v>0</v>
      </c>
      <c r="L204" s="33">
        <v>0</v>
      </c>
      <c r="M204">
        <v>4</v>
      </c>
      <c r="N204">
        <v>0</v>
      </c>
      <c r="O204">
        <v>4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3</v>
      </c>
      <c r="AK204">
        <v>2</v>
      </c>
      <c r="AL204">
        <v>5</v>
      </c>
      <c r="AM204">
        <v>3</v>
      </c>
      <c r="AN204" s="22">
        <v>0</v>
      </c>
      <c r="AO204" s="22">
        <v>0</v>
      </c>
      <c r="AP204" s="22">
        <v>0</v>
      </c>
      <c r="AQ204" s="22">
        <v>0</v>
      </c>
      <c r="AR204" s="35">
        <v>0</v>
      </c>
      <c r="AS204" s="35">
        <v>0</v>
      </c>
      <c r="AT204" s="35">
        <v>4</v>
      </c>
      <c r="AU204" s="31" t="str">
        <f t="shared" si="7"/>
        <v>库存为4</v>
      </c>
      <c r="AV204" s="36" t="str">
        <f>IFERROR(时间!$B$4+AU204,"上周无销量")</f>
        <v>上周无销量</v>
      </c>
    </row>
    <row r="205" spans="1:48">
      <c r="A205" s="20" t="s">
        <v>522</v>
      </c>
      <c r="B205" t="s">
        <v>523</v>
      </c>
      <c r="C205" t="s">
        <v>511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4</v>
      </c>
      <c r="J205" s="33">
        <v>0</v>
      </c>
      <c r="K205" s="33">
        <v>0</v>
      </c>
      <c r="L205" s="33">
        <v>0</v>
      </c>
      <c r="M205">
        <v>4</v>
      </c>
      <c r="N205">
        <v>0</v>
      </c>
      <c r="O205">
        <v>4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8</v>
      </c>
      <c r="AK205">
        <v>2</v>
      </c>
      <c r="AL205">
        <v>3</v>
      </c>
      <c r="AM205">
        <v>1</v>
      </c>
      <c r="AN205" s="22">
        <v>0</v>
      </c>
      <c r="AO205" s="22">
        <v>0</v>
      </c>
      <c r="AP205" s="22">
        <v>0</v>
      </c>
      <c r="AQ205" s="22">
        <v>0</v>
      </c>
      <c r="AR205" s="35">
        <v>0</v>
      </c>
      <c r="AS205" s="35">
        <v>0</v>
      </c>
      <c r="AT205" s="35">
        <v>4</v>
      </c>
      <c r="AU205" s="31" t="str">
        <f t="shared" si="7"/>
        <v>库存为4</v>
      </c>
      <c r="AV205" s="36" t="str">
        <f>IFERROR(时间!$B$4+AU205,"上周无销量")</f>
        <v>上周无销量</v>
      </c>
    </row>
    <row r="206" spans="1:48">
      <c r="A206" s="20" t="s">
        <v>524</v>
      </c>
      <c r="B206" t="s">
        <v>525</v>
      </c>
      <c r="C206" t="s">
        <v>511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4</v>
      </c>
      <c r="J206" s="33">
        <v>0</v>
      </c>
      <c r="K206" s="33">
        <v>0</v>
      </c>
      <c r="L206" s="33">
        <v>0</v>
      </c>
      <c r="M206">
        <v>4</v>
      </c>
      <c r="N206">
        <v>0</v>
      </c>
      <c r="O206">
        <v>4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4</v>
      </c>
      <c r="AK206">
        <v>1</v>
      </c>
      <c r="AL206">
        <v>2</v>
      </c>
      <c r="AM206">
        <v>3</v>
      </c>
      <c r="AN206" s="22">
        <v>0</v>
      </c>
      <c r="AO206" s="22">
        <v>0</v>
      </c>
      <c r="AP206" s="22">
        <v>0</v>
      </c>
      <c r="AQ206" s="22">
        <v>0</v>
      </c>
      <c r="AR206" s="35">
        <v>0</v>
      </c>
      <c r="AS206" s="35">
        <v>0</v>
      </c>
      <c r="AT206" s="35">
        <v>4</v>
      </c>
      <c r="AU206" s="31" t="str">
        <f t="shared" si="7"/>
        <v>库存为4</v>
      </c>
      <c r="AV206" s="36" t="str">
        <f>IFERROR(时间!$B$4+AU206,"上周无销量")</f>
        <v>上周无销量</v>
      </c>
    </row>
    <row r="207" spans="1:48">
      <c r="A207" s="20" t="s">
        <v>526</v>
      </c>
      <c r="B207" t="s">
        <v>527</v>
      </c>
      <c r="C207" t="s">
        <v>511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5</v>
      </c>
      <c r="J207" s="33">
        <v>0</v>
      </c>
      <c r="K207" s="33">
        <v>0</v>
      </c>
      <c r="L207" s="33">
        <v>0</v>
      </c>
      <c r="M207">
        <v>5</v>
      </c>
      <c r="N207">
        <v>0</v>
      </c>
      <c r="O207">
        <v>5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8</v>
      </c>
      <c r="AK207">
        <v>2</v>
      </c>
      <c r="AL207">
        <v>3</v>
      </c>
      <c r="AM207">
        <v>0</v>
      </c>
      <c r="AN207" s="22">
        <v>0</v>
      </c>
      <c r="AO207" s="22">
        <v>0</v>
      </c>
      <c r="AP207" s="22">
        <v>0</v>
      </c>
      <c r="AQ207" s="22" t="s">
        <v>53</v>
      </c>
      <c r="AR207" s="35">
        <v>0</v>
      </c>
      <c r="AS207" s="35">
        <v>0</v>
      </c>
      <c r="AT207" s="35">
        <v>5</v>
      </c>
      <c r="AU207" s="31" t="str">
        <f t="shared" si="7"/>
        <v>库存为5</v>
      </c>
      <c r="AV207" s="36" t="str">
        <f>IFERROR(时间!$B$4+AU207,"上周无销量")</f>
        <v>上周无销量</v>
      </c>
    </row>
    <row r="208" spans="1:48">
      <c r="A208" s="20" t="s">
        <v>528</v>
      </c>
      <c r="B208" t="s">
        <v>529</v>
      </c>
      <c r="C208" t="s">
        <v>511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4</v>
      </c>
      <c r="J208" s="33">
        <v>0</v>
      </c>
      <c r="K208" s="33">
        <v>0</v>
      </c>
      <c r="L208" s="33">
        <v>0</v>
      </c>
      <c r="M208">
        <v>4</v>
      </c>
      <c r="N208">
        <v>0</v>
      </c>
      <c r="O208">
        <v>4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7</v>
      </c>
      <c r="AK208">
        <v>3</v>
      </c>
      <c r="AL208">
        <v>3</v>
      </c>
      <c r="AM208">
        <v>1</v>
      </c>
      <c r="AN208" s="22">
        <v>0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4</v>
      </c>
      <c r="AU208" s="31" t="str">
        <f t="shared" si="7"/>
        <v>库存为4</v>
      </c>
      <c r="AV208" s="36" t="str">
        <f>IFERROR(时间!$B$4+AU208,"上周无销量")</f>
        <v>上周无销量</v>
      </c>
    </row>
    <row r="209" spans="1:48">
      <c r="A209" s="20" t="s">
        <v>530</v>
      </c>
      <c r="B209" t="s">
        <v>531</v>
      </c>
      <c r="C209" t="s">
        <v>511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2</v>
      </c>
      <c r="J209" s="33">
        <v>0</v>
      </c>
      <c r="K209" s="33">
        <v>0</v>
      </c>
      <c r="L209" s="33">
        <v>0</v>
      </c>
      <c r="M209">
        <v>2</v>
      </c>
      <c r="N209">
        <v>0</v>
      </c>
      <c r="O209">
        <v>2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1</v>
      </c>
      <c r="AK209">
        <v>1</v>
      </c>
      <c r="AL209">
        <v>1</v>
      </c>
      <c r="AM209">
        <v>3</v>
      </c>
      <c r="AN209" s="22">
        <v>0</v>
      </c>
      <c r="AO209" s="22">
        <v>0</v>
      </c>
      <c r="AP209" s="22">
        <v>0</v>
      </c>
      <c r="AQ209" s="22">
        <v>0</v>
      </c>
      <c r="AR209" s="35">
        <v>0</v>
      </c>
      <c r="AS209" s="35">
        <v>0</v>
      </c>
      <c r="AT209" s="35">
        <v>2</v>
      </c>
      <c r="AU209" s="31" t="str">
        <f t="shared" si="7"/>
        <v>库存为2</v>
      </c>
      <c r="AV209" s="36" t="str">
        <f>IFERROR(时间!$B$4+AU209,"上周无销量")</f>
        <v>上周无销量</v>
      </c>
    </row>
    <row r="210" spans="1:48">
      <c r="A210" s="20" t="s">
        <v>532</v>
      </c>
      <c r="B210" t="s">
        <v>533</v>
      </c>
      <c r="C210" t="s">
        <v>511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4</v>
      </c>
      <c r="J210" s="33">
        <v>0</v>
      </c>
      <c r="K210" s="33">
        <v>0</v>
      </c>
      <c r="L210" s="33">
        <v>0</v>
      </c>
      <c r="M210">
        <v>4</v>
      </c>
      <c r="N210">
        <v>0</v>
      </c>
      <c r="O210">
        <v>4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4</v>
      </c>
      <c r="AK210">
        <v>3</v>
      </c>
      <c r="AL210">
        <v>3</v>
      </c>
      <c r="AM210">
        <v>3</v>
      </c>
      <c r="AN210" s="22">
        <v>0</v>
      </c>
      <c r="AO210" s="22">
        <v>0</v>
      </c>
      <c r="AP210" s="22">
        <v>0</v>
      </c>
      <c r="AQ210" s="22">
        <v>0</v>
      </c>
      <c r="AR210" s="35">
        <v>0</v>
      </c>
      <c r="AS210" s="35">
        <v>0</v>
      </c>
      <c r="AT210" s="35">
        <v>4</v>
      </c>
      <c r="AU210" s="31" t="str">
        <f t="shared" si="7"/>
        <v>库存为4</v>
      </c>
      <c r="AV210" s="36" t="str">
        <f>IFERROR(时间!$B$4+AU210,"上周无销量")</f>
        <v>上周无销量</v>
      </c>
    </row>
    <row r="211" spans="1:48">
      <c r="A211" s="20" t="s">
        <v>534</v>
      </c>
      <c r="B211" t="s">
        <v>535</v>
      </c>
      <c r="C211" t="s">
        <v>511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4</v>
      </c>
      <c r="J211" s="33">
        <v>0</v>
      </c>
      <c r="K211" s="33">
        <v>0</v>
      </c>
      <c r="L211" s="33">
        <v>0</v>
      </c>
      <c r="M211">
        <v>4</v>
      </c>
      <c r="N211">
        <v>0</v>
      </c>
      <c r="O211">
        <v>4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6</v>
      </c>
      <c r="AK211">
        <v>2</v>
      </c>
      <c r="AL211">
        <v>3</v>
      </c>
      <c r="AM211">
        <v>1</v>
      </c>
      <c r="AN211" s="22">
        <v>0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4</v>
      </c>
      <c r="AU211" s="31" t="str">
        <f t="shared" si="7"/>
        <v>库存为4</v>
      </c>
      <c r="AV211" s="36" t="str">
        <f>IFERROR(时间!$B$4+AU211,"上周无销量")</f>
        <v>上周无销量</v>
      </c>
    </row>
    <row r="212" spans="1:48">
      <c r="A212" s="20" t="s">
        <v>536</v>
      </c>
      <c r="B212" t="s">
        <v>537</v>
      </c>
      <c r="C212" t="s">
        <v>511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4</v>
      </c>
      <c r="J212" s="33">
        <v>0</v>
      </c>
      <c r="K212" s="33">
        <v>0</v>
      </c>
      <c r="L212" s="33">
        <v>0</v>
      </c>
      <c r="M212">
        <v>4</v>
      </c>
      <c r="N212">
        <v>0</v>
      </c>
      <c r="O212">
        <v>3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2</v>
      </c>
      <c r="AK212">
        <v>2</v>
      </c>
      <c r="AL212">
        <v>8</v>
      </c>
      <c r="AM212">
        <v>4</v>
      </c>
      <c r="AN212" s="22">
        <v>0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4</v>
      </c>
      <c r="AU212" s="31" t="str">
        <f t="shared" si="7"/>
        <v>库存为4</v>
      </c>
      <c r="AV212" s="36" t="str">
        <f>IFERROR(时间!$B$4+AU212,"上周无销量")</f>
        <v>上周无销量</v>
      </c>
    </row>
    <row r="213" spans="1:48">
      <c r="A213" s="20" t="s">
        <v>538</v>
      </c>
      <c r="B213" t="s">
        <v>539</v>
      </c>
      <c r="C213" t="s">
        <v>511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3</v>
      </c>
      <c r="AK213">
        <v>3</v>
      </c>
      <c r="AL213">
        <v>1</v>
      </c>
      <c r="AM213">
        <v>3</v>
      </c>
      <c r="AN213" s="22">
        <v>0</v>
      </c>
      <c r="AO213" s="22">
        <v>0</v>
      </c>
      <c r="AP213" s="22">
        <v>0</v>
      </c>
      <c r="AQ213" s="22">
        <v>0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540</v>
      </c>
      <c r="B214" t="s">
        <v>541</v>
      </c>
      <c r="C214" t="s">
        <v>511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4</v>
      </c>
      <c r="J214" s="33">
        <v>0</v>
      </c>
      <c r="K214" s="33">
        <v>0</v>
      </c>
      <c r="L214" s="33">
        <v>0</v>
      </c>
      <c r="M214">
        <v>4</v>
      </c>
      <c r="N214">
        <v>0</v>
      </c>
      <c r="O214">
        <v>4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3</v>
      </c>
      <c r="AK214">
        <v>1</v>
      </c>
      <c r="AL214">
        <v>4</v>
      </c>
      <c r="AM214">
        <v>2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4</v>
      </c>
      <c r="AU214" s="31" t="str">
        <f t="shared" si="7"/>
        <v>库存为4</v>
      </c>
      <c r="AV214" s="36" t="str">
        <f>IFERROR(时间!$B$4+AU214,"上周无销量")</f>
        <v>上周无销量</v>
      </c>
    </row>
    <row r="215" spans="1:48">
      <c r="A215" s="20" t="s">
        <v>542</v>
      </c>
      <c r="B215" t="s">
        <v>543</v>
      </c>
      <c r="C215" t="s">
        <v>544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3</v>
      </c>
      <c r="J215" s="33">
        <v>0</v>
      </c>
      <c r="K215" s="33">
        <v>0</v>
      </c>
      <c r="L215" s="33">
        <v>0</v>
      </c>
      <c r="M215">
        <v>3</v>
      </c>
      <c r="N215">
        <v>0</v>
      </c>
      <c r="O215">
        <v>3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5</v>
      </c>
      <c r="AK215">
        <v>1</v>
      </c>
      <c r="AL215">
        <v>2</v>
      </c>
      <c r="AM215">
        <v>3</v>
      </c>
      <c r="AN215" s="22">
        <v>0</v>
      </c>
      <c r="AO215" s="22">
        <v>0</v>
      </c>
      <c r="AP215" s="22">
        <v>0</v>
      </c>
      <c r="AQ215" s="22">
        <v>0</v>
      </c>
      <c r="AR215" s="35">
        <v>0</v>
      </c>
      <c r="AS215" s="35">
        <v>0</v>
      </c>
      <c r="AT215" s="35">
        <v>3</v>
      </c>
      <c r="AU215" s="31" t="str">
        <f t="shared" si="7"/>
        <v>库存为3</v>
      </c>
      <c r="AV215" s="36" t="str">
        <f>IFERROR(时间!$B$4+AU215,"上周无销量")</f>
        <v>上周无销量</v>
      </c>
    </row>
    <row r="216" spans="1:48">
      <c r="A216" s="20" t="s">
        <v>545</v>
      </c>
      <c r="B216" t="s">
        <v>546</v>
      </c>
      <c r="C216" t="s">
        <v>544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1</v>
      </c>
      <c r="J216" s="33">
        <v>0</v>
      </c>
      <c r="K216" s="33">
        <v>0</v>
      </c>
      <c r="L216" s="33">
        <v>0</v>
      </c>
      <c r="M216">
        <v>1</v>
      </c>
      <c r="N216">
        <v>0</v>
      </c>
      <c r="O216">
        <v>1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5</v>
      </c>
      <c r="AK216">
        <v>1</v>
      </c>
      <c r="AL216">
        <v>2</v>
      </c>
      <c r="AM216">
        <v>1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1</v>
      </c>
      <c r="AU216" s="31" t="str">
        <f t="shared" si="7"/>
        <v>库存为1</v>
      </c>
      <c r="AV216" s="36" t="str">
        <f>IFERROR(时间!$B$4+AU216,"上周无销量")</f>
        <v>上周无销量</v>
      </c>
    </row>
    <row r="217" spans="1:48">
      <c r="A217" s="20" t="s">
        <v>547</v>
      </c>
      <c r="B217" t="s">
        <v>548</v>
      </c>
      <c r="C217" t="s">
        <v>544</v>
      </c>
      <c r="D217" s="31">
        <v>0</v>
      </c>
      <c r="E217" s="31">
        <v>0</v>
      </c>
      <c r="F217" s="31">
        <v>1</v>
      </c>
      <c r="G217" s="31">
        <v>0</v>
      </c>
      <c r="H217" s="32">
        <v>21.98</v>
      </c>
      <c r="I217">
        <v>2</v>
      </c>
      <c r="J217" s="33">
        <v>0</v>
      </c>
      <c r="K217" s="33">
        <v>0</v>
      </c>
      <c r="L217" s="33">
        <v>0</v>
      </c>
      <c r="M217">
        <v>2</v>
      </c>
      <c r="N217">
        <v>0</v>
      </c>
      <c r="O217">
        <v>2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2</v>
      </c>
      <c r="AK217">
        <v>1</v>
      </c>
      <c r="AL217">
        <v>2</v>
      </c>
      <c r="AM217">
        <v>3</v>
      </c>
      <c r="AN217" s="22">
        <v>0</v>
      </c>
      <c r="AO217" s="22">
        <v>0</v>
      </c>
      <c r="AP217" s="22">
        <v>0.5</v>
      </c>
      <c r="AQ217" s="22">
        <v>0</v>
      </c>
      <c r="AR217" s="35">
        <v>0</v>
      </c>
      <c r="AS217" s="35">
        <v>0</v>
      </c>
      <c r="AT217" s="35">
        <v>2</v>
      </c>
      <c r="AU217" s="31" t="str">
        <f t="shared" si="7"/>
        <v>库存为2</v>
      </c>
      <c r="AV217" s="36" t="str">
        <f>IFERROR(时间!$B$4+AU217,"上周无销量")</f>
        <v>上周无销量</v>
      </c>
    </row>
    <row r="218" spans="1:48">
      <c r="A218" s="20" t="s">
        <v>549</v>
      </c>
      <c r="B218" t="s">
        <v>550</v>
      </c>
      <c r="C218" t="s">
        <v>544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3</v>
      </c>
      <c r="J218" s="33">
        <v>0</v>
      </c>
      <c r="K218" s="33">
        <v>0</v>
      </c>
      <c r="L218" s="33">
        <v>0</v>
      </c>
      <c r="M218">
        <v>3</v>
      </c>
      <c r="N218">
        <v>0</v>
      </c>
      <c r="O218">
        <v>2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1</v>
      </c>
      <c r="AK218">
        <v>1</v>
      </c>
      <c r="AL218">
        <v>1</v>
      </c>
      <c r="AM218">
        <v>3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3</v>
      </c>
      <c r="AU218" s="31" t="str">
        <f t="shared" si="7"/>
        <v>库存为3</v>
      </c>
      <c r="AV218" s="36" t="str">
        <f>IFERROR(时间!$B$4+AU218,"上周无销量")</f>
        <v>上周无销量</v>
      </c>
    </row>
    <row r="219" spans="1:48">
      <c r="A219" s="20" t="s">
        <v>551</v>
      </c>
      <c r="B219" t="s">
        <v>552</v>
      </c>
      <c r="C219" t="s">
        <v>544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4</v>
      </c>
      <c r="AK219">
        <v>1</v>
      </c>
      <c r="AL219">
        <v>3</v>
      </c>
      <c r="AM219">
        <v>8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553</v>
      </c>
      <c r="B220" t="s">
        <v>554</v>
      </c>
      <c r="C220" t="s">
        <v>544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3</v>
      </c>
      <c r="J220" s="33">
        <v>0</v>
      </c>
      <c r="K220" s="33">
        <v>0</v>
      </c>
      <c r="L220" s="33">
        <v>0</v>
      </c>
      <c r="M220">
        <v>3</v>
      </c>
      <c r="N220">
        <v>0</v>
      </c>
      <c r="O220">
        <v>3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5</v>
      </c>
      <c r="AK220">
        <v>1</v>
      </c>
      <c r="AL220">
        <v>2</v>
      </c>
      <c r="AM220">
        <v>2</v>
      </c>
      <c r="AN220" s="22">
        <v>0</v>
      </c>
      <c r="AO220" s="22">
        <v>0</v>
      </c>
      <c r="AP220" s="22">
        <v>0</v>
      </c>
      <c r="AQ220" s="22">
        <v>0</v>
      </c>
      <c r="AR220" s="35">
        <v>0</v>
      </c>
      <c r="AS220" s="35">
        <v>0</v>
      </c>
      <c r="AT220" s="35">
        <v>3</v>
      </c>
      <c r="AU220" s="31" t="str">
        <f t="shared" si="7"/>
        <v>库存为3</v>
      </c>
      <c r="AV220" s="36" t="str">
        <f>IFERROR(时间!$B$4+AU220,"上周无销量")</f>
        <v>上周无销量</v>
      </c>
    </row>
    <row r="221" spans="1:48">
      <c r="A221" s="20" t="s">
        <v>555</v>
      </c>
      <c r="B221" t="s">
        <v>556</v>
      </c>
      <c r="C221" t="s">
        <v>544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4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5</v>
      </c>
      <c r="AK221">
        <v>2</v>
      </c>
      <c r="AL221">
        <v>2</v>
      </c>
      <c r="AM221">
        <v>3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557</v>
      </c>
      <c r="B222" t="s">
        <v>558</v>
      </c>
      <c r="C222" t="s">
        <v>544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8</v>
      </c>
      <c r="AK222">
        <v>2</v>
      </c>
      <c r="AL222">
        <v>3</v>
      </c>
      <c r="AM222">
        <v>2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4</v>
      </c>
      <c r="AU222" s="31" t="str">
        <f t="shared" si="7"/>
        <v>库存为4</v>
      </c>
      <c r="AV222" s="36" t="str">
        <f>IFERROR(时间!$B$4+AU222,"上周无销量")</f>
        <v>上周无销量</v>
      </c>
    </row>
    <row r="223" spans="1:48">
      <c r="A223" s="20" t="s">
        <v>559</v>
      </c>
      <c r="B223" t="s">
        <v>560</v>
      </c>
      <c r="C223" t="s">
        <v>561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0</v>
      </c>
      <c r="AK223">
        <v>0</v>
      </c>
      <c r="AL223">
        <v>0</v>
      </c>
      <c r="AM223">
        <v>0</v>
      </c>
      <c r="AN223" s="22" t="s">
        <v>53</v>
      </c>
      <c r="AO223" s="22" t="s">
        <v>53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0</v>
      </c>
      <c r="AU223" s="31" t="str">
        <f t="shared" si="7"/>
        <v>库存为0</v>
      </c>
      <c r="AV223" s="36" t="str">
        <f>IFERROR(时间!$B$4+AU223,"上周无销量")</f>
        <v>上周无销量</v>
      </c>
    </row>
    <row r="224" spans="1:48">
      <c r="A224" s="20" t="s">
        <v>562</v>
      </c>
      <c r="B224" t="s">
        <v>563</v>
      </c>
      <c r="C224" t="s">
        <v>561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3</v>
      </c>
      <c r="J224" s="33">
        <v>0</v>
      </c>
      <c r="K224" s="33">
        <v>0</v>
      </c>
      <c r="L224" s="33">
        <v>0</v>
      </c>
      <c r="M224">
        <v>3</v>
      </c>
      <c r="N224">
        <v>0</v>
      </c>
      <c r="O224">
        <v>0</v>
      </c>
      <c r="P224">
        <v>3</v>
      </c>
      <c r="Q224">
        <v>7</v>
      </c>
      <c r="R224">
        <v>4</v>
      </c>
      <c r="S224">
        <v>5</v>
      </c>
      <c r="T224">
        <v>0</v>
      </c>
      <c r="U224">
        <v>0</v>
      </c>
      <c r="V224">
        <v>0</v>
      </c>
      <c r="W224">
        <v>0</v>
      </c>
      <c r="X224" s="22">
        <v>0</v>
      </c>
      <c r="Y224" s="22">
        <v>0</v>
      </c>
      <c r="Z224" s="22">
        <v>0</v>
      </c>
      <c r="AA224" s="22">
        <v>0</v>
      </c>
      <c r="AB224">
        <v>0</v>
      </c>
      <c r="AC224">
        <v>0</v>
      </c>
      <c r="AD224">
        <v>0</v>
      </c>
      <c r="AE224">
        <v>0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1</v>
      </c>
      <c r="AK224">
        <v>2</v>
      </c>
      <c r="AL224">
        <v>3</v>
      </c>
      <c r="AM224">
        <v>4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3</v>
      </c>
      <c r="AU224" s="31" t="str">
        <f t="shared" si="7"/>
        <v>库存为3</v>
      </c>
      <c r="AV224" s="36" t="str">
        <f>IFERROR(时间!$B$4+AU224,"上周无销量")</f>
        <v>上周无销量</v>
      </c>
    </row>
    <row r="225" spans="1:48">
      <c r="A225" s="20" t="s">
        <v>564</v>
      </c>
      <c r="B225" t="s">
        <v>565</v>
      </c>
      <c r="C225" t="s">
        <v>561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566</v>
      </c>
      <c r="B226" t="s">
        <v>567</v>
      </c>
      <c r="C226" t="s">
        <v>561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3</v>
      </c>
      <c r="J226" s="33">
        <v>0</v>
      </c>
      <c r="K226" s="33">
        <v>0</v>
      </c>
      <c r="L226" s="33">
        <v>0</v>
      </c>
      <c r="M226">
        <v>3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 s="22" t="s">
        <v>53</v>
      </c>
      <c r="Y226" s="22" t="s">
        <v>53</v>
      </c>
      <c r="Z226" s="22" t="s">
        <v>53</v>
      </c>
      <c r="AA226" s="22" t="s">
        <v>53</v>
      </c>
      <c r="AB226">
        <v>0</v>
      </c>
      <c r="AC226">
        <v>0</v>
      </c>
      <c r="AD226">
        <v>0</v>
      </c>
      <c r="AE226">
        <v>0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3</v>
      </c>
      <c r="AK226">
        <v>1</v>
      </c>
      <c r="AL226">
        <v>3</v>
      </c>
      <c r="AM226">
        <v>5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3</v>
      </c>
      <c r="AU226" s="31" t="str">
        <f t="shared" si="7"/>
        <v>库存为3</v>
      </c>
      <c r="AV226" s="36" t="str">
        <f>IFERROR(时间!$B$4+AU226,"上周无销量")</f>
        <v>上周无销量</v>
      </c>
    </row>
    <row r="227" spans="1:48">
      <c r="A227" s="20" t="s">
        <v>568</v>
      </c>
      <c r="B227" t="s">
        <v>569</v>
      </c>
      <c r="C227" t="s">
        <v>561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3</v>
      </c>
      <c r="J227" s="33">
        <v>0</v>
      </c>
      <c r="K227" s="33">
        <v>0</v>
      </c>
      <c r="L227" s="33">
        <v>0</v>
      </c>
      <c r="M227">
        <v>3</v>
      </c>
      <c r="N227">
        <v>0</v>
      </c>
      <c r="O227">
        <v>0</v>
      </c>
      <c r="P227">
        <v>3</v>
      </c>
      <c r="Q227">
        <v>7</v>
      </c>
      <c r="R227">
        <v>4</v>
      </c>
      <c r="S227">
        <v>5</v>
      </c>
      <c r="T227">
        <v>0</v>
      </c>
      <c r="U227">
        <v>0</v>
      </c>
      <c r="V227">
        <v>0</v>
      </c>
      <c r="W227">
        <v>0</v>
      </c>
      <c r="X227" s="22">
        <v>0</v>
      </c>
      <c r="Y227" s="22">
        <v>0</v>
      </c>
      <c r="Z227" s="22">
        <v>0</v>
      </c>
      <c r="AA227" s="22">
        <v>0</v>
      </c>
      <c r="AB227">
        <v>0</v>
      </c>
      <c r="AC227">
        <v>0</v>
      </c>
      <c r="AD227">
        <v>0</v>
      </c>
      <c r="AE227">
        <v>0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1</v>
      </c>
      <c r="AK227">
        <v>3</v>
      </c>
      <c r="AL227">
        <v>4</v>
      </c>
      <c r="AM227">
        <v>4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3</v>
      </c>
      <c r="AU227" s="31" t="str">
        <f t="shared" si="7"/>
        <v>库存为3</v>
      </c>
      <c r="AV227" s="36" t="str">
        <f>IFERROR(时间!$B$4+AU227,"上周无销量")</f>
        <v>上周无销量</v>
      </c>
    </row>
    <row r="228" spans="1:48">
      <c r="A228" s="20" t="s">
        <v>570</v>
      </c>
      <c r="B228" t="s">
        <v>571</v>
      </c>
      <c r="C228" t="s">
        <v>572</v>
      </c>
      <c r="D228" s="31">
        <v>0</v>
      </c>
      <c r="E228" s="31">
        <v>0</v>
      </c>
      <c r="F228" s="31">
        <v>1</v>
      </c>
      <c r="G228" s="31">
        <v>1</v>
      </c>
      <c r="H228" s="32">
        <v>12.99</v>
      </c>
      <c r="I228">
        <v>14</v>
      </c>
      <c r="J228" s="33">
        <v>0</v>
      </c>
      <c r="K228" s="33">
        <v>0</v>
      </c>
      <c r="L228" s="33">
        <v>0</v>
      </c>
      <c r="M228">
        <v>14</v>
      </c>
      <c r="N228">
        <v>0</v>
      </c>
      <c r="O228">
        <v>0</v>
      </c>
      <c r="P228">
        <v>21</v>
      </c>
      <c r="Q228">
        <v>117</v>
      </c>
      <c r="R228">
        <v>188</v>
      </c>
      <c r="S228">
        <v>130</v>
      </c>
      <c r="T228">
        <v>1</v>
      </c>
      <c r="U228">
        <v>0</v>
      </c>
      <c r="V228">
        <v>1</v>
      </c>
      <c r="W228">
        <v>0</v>
      </c>
      <c r="X228" s="22">
        <v>0.0476190476190476</v>
      </c>
      <c r="Y228" s="22">
        <v>0</v>
      </c>
      <c r="Z228" s="22">
        <v>0.00531914893617021</v>
      </c>
      <c r="AA228" s="22">
        <v>0</v>
      </c>
      <c r="AB228">
        <v>0.75</v>
      </c>
      <c r="AC228">
        <v>0</v>
      </c>
      <c r="AD228">
        <v>0.75</v>
      </c>
      <c r="AE228">
        <v>0</v>
      </c>
      <c r="AF228" s="22" t="s">
        <v>573</v>
      </c>
      <c r="AG228" s="22" t="s">
        <v>53</v>
      </c>
      <c r="AH228" s="22">
        <v>0.0577367205542725</v>
      </c>
      <c r="AI228" s="22" t="s">
        <v>53</v>
      </c>
      <c r="AJ228">
        <v>5</v>
      </c>
      <c r="AK228">
        <v>7</v>
      </c>
      <c r="AL228">
        <v>10</v>
      </c>
      <c r="AM228">
        <v>8</v>
      </c>
      <c r="AN228" s="22">
        <v>0</v>
      </c>
      <c r="AO228" s="22">
        <v>0</v>
      </c>
      <c r="AP228" s="22">
        <v>0.1</v>
      </c>
      <c r="AQ228" s="22">
        <v>0.125</v>
      </c>
      <c r="AR228" s="35">
        <v>0</v>
      </c>
      <c r="AS228" s="35">
        <v>0</v>
      </c>
      <c r="AT228" s="35">
        <v>14</v>
      </c>
      <c r="AU228" s="31" t="str">
        <f t="shared" si="7"/>
        <v>库存为14</v>
      </c>
      <c r="AV228" s="36" t="str">
        <f>IFERROR(时间!$B$4+AU228,"上周无销量")</f>
        <v>上周无销量</v>
      </c>
    </row>
    <row r="229" spans="1:48">
      <c r="A229" s="20" t="s">
        <v>574</v>
      </c>
      <c r="B229" t="s">
        <v>575</v>
      </c>
      <c r="C229" t="s">
        <v>572</v>
      </c>
      <c r="D229" s="31">
        <v>0</v>
      </c>
      <c r="E229" s="31">
        <v>4</v>
      </c>
      <c r="F229" s="31">
        <v>1</v>
      </c>
      <c r="G229" s="31">
        <v>2</v>
      </c>
      <c r="H229" s="32">
        <v>13.99</v>
      </c>
      <c r="I229">
        <v>10</v>
      </c>
      <c r="J229" s="33">
        <v>0</v>
      </c>
      <c r="K229" s="33">
        <v>0</v>
      </c>
      <c r="L229" s="33">
        <v>0</v>
      </c>
      <c r="M229">
        <v>10</v>
      </c>
      <c r="N229">
        <v>1</v>
      </c>
      <c r="O229">
        <v>0</v>
      </c>
      <c r="P229">
        <v>63</v>
      </c>
      <c r="Q229">
        <v>135</v>
      </c>
      <c r="R229">
        <v>74</v>
      </c>
      <c r="S229">
        <v>32</v>
      </c>
      <c r="T229">
        <v>1</v>
      </c>
      <c r="U229">
        <v>0</v>
      </c>
      <c r="V229">
        <v>1</v>
      </c>
      <c r="W229">
        <v>0</v>
      </c>
      <c r="X229" s="22">
        <v>0.0158730158730159</v>
      </c>
      <c r="Y229" s="22">
        <v>0</v>
      </c>
      <c r="Z229" s="22">
        <v>0.0135135135135135</v>
      </c>
      <c r="AA229" s="22">
        <v>0</v>
      </c>
      <c r="AB229">
        <v>0.63</v>
      </c>
      <c r="AC229">
        <v>0</v>
      </c>
      <c r="AD229">
        <v>0.58</v>
      </c>
      <c r="AE229">
        <v>0</v>
      </c>
      <c r="AF229" s="22" t="s">
        <v>576</v>
      </c>
      <c r="AG229" s="22" t="s">
        <v>53</v>
      </c>
      <c r="AH229" s="22">
        <v>0.041458184417441</v>
      </c>
      <c r="AI229" s="22" t="s">
        <v>53</v>
      </c>
      <c r="AJ229">
        <v>12</v>
      </c>
      <c r="AK229">
        <v>9</v>
      </c>
      <c r="AL229">
        <v>16</v>
      </c>
      <c r="AM229">
        <v>12</v>
      </c>
      <c r="AN229" s="22">
        <v>0</v>
      </c>
      <c r="AO229" s="22">
        <v>0.444444444444444</v>
      </c>
      <c r="AP229" s="22">
        <v>0.0625</v>
      </c>
      <c r="AQ229" s="22">
        <v>0.166666666666667</v>
      </c>
      <c r="AR229" s="35">
        <v>0</v>
      </c>
      <c r="AS229" s="35">
        <v>0</v>
      </c>
      <c r="AT229" s="35">
        <v>10</v>
      </c>
      <c r="AU229" s="31" t="str">
        <f t="shared" si="7"/>
        <v>库存为10</v>
      </c>
      <c r="AV229" s="36" t="str">
        <f>IFERROR(时间!$B$4+AU229,"上周无销量")</f>
        <v>上周无销量</v>
      </c>
    </row>
    <row r="230" spans="1:48">
      <c r="A230" s="20" t="s">
        <v>577</v>
      </c>
      <c r="B230" t="s">
        <v>578</v>
      </c>
      <c r="C230" t="s">
        <v>572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0</v>
      </c>
      <c r="AK230">
        <v>0</v>
      </c>
      <c r="AL230">
        <v>0</v>
      </c>
      <c r="AM230">
        <v>0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35">
        <v>0</v>
      </c>
      <c r="AS230" s="35">
        <v>0</v>
      </c>
      <c r="AT230" s="35">
        <v>0</v>
      </c>
      <c r="AU230" s="31" t="str">
        <f t="shared" si="7"/>
        <v>库存为0</v>
      </c>
      <c r="AV230" s="36" t="str">
        <f>IFERROR(时间!$B$4+AU230,"上周无销量")</f>
        <v>上周无销量</v>
      </c>
    </row>
    <row r="231" spans="1:48">
      <c r="A231" s="20" t="s">
        <v>579</v>
      </c>
      <c r="B231" t="s">
        <v>580</v>
      </c>
      <c r="C231" t="s">
        <v>572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11</v>
      </c>
      <c r="J231" s="33">
        <v>0</v>
      </c>
      <c r="K231" s="33">
        <v>0</v>
      </c>
      <c r="L231" s="33">
        <v>0</v>
      </c>
      <c r="M231">
        <v>11</v>
      </c>
      <c r="N231">
        <v>0</v>
      </c>
      <c r="O231">
        <v>0</v>
      </c>
      <c r="P231">
        <v>33</v>
      </c>
      <c r="Q231">
        <v>48</v>
      </c>
      <c r="R231">
        <v>50</v>
      </c>
      <c r="S231">
        <v>91</v>
      </c>
      <c r="T231">
        <v>0</v>
      </c>
      <c r="U231">
        <v>0</v>
      </c>
      <c r="V231">
        <v>0</v>
      </c>
      <c r="W231">
        <v>0</v>
      </c>
      <c r="X231" s="22">
        <v>0</v>
      </c>
      <c r="Y231" s="22">
        <v>0</v>
      </c>
      <c r="Z231" s="22">
        <v>0</v>
      </c>
      <c r="AA231" s="22">
        <v>0</v>
      </c>
      <c r="AB231">
        <v>0</v>
      </c>
      <c r="AC231">
        <v>0</v>
      </c>
      <c r="AD231">
        <v>0</v>
      </c>
      <c r="AE231">
        <v>0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2</v>
      </c>
      <c r="AK231">
        <v>3</v>
      </c>
      <c r="AL231">
        <v>7</v>
      </c>
      <c r="AM231">
        <v>3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11</v>
      </c>
      <c r="AU231" s="31" t="str">
        <f t="shared" si="7"/>
        <v>库存为11</v>
      </c>
      <c r="AV231" s="36" t="str">
        <f>IFERROR(时间!$B$4+AU231,"上周无销量")</f>
        <v>上周无销量</v>
      </c>
    </row>
    <row r="232" spans="1:48">
      <c r="A232" s="20" t="s">
        <v>581</v>
      </c>
      <c r="B232" t="s">
        <v>582</v>
      </c>
      <c r="C232" t="s">
        <v>572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20</v>
      </c>
      <c r="J232" s="33">
        <v>0</v>
      </c>
      <c r="K232" s="33">
        <v>0</v>
      </c>
      <c r="L232" s="33">
        <v>0</v>
      </c>
      <c r="M232">
        <v>20</v>
      </c>
      <c r="N232">
        <v>0</v>
      </c>
      <c r="O232">
        <v>0</v>
      </c>
      <c r="P232">
        <v>31</v>
      </c>
      <c r="Q232">
        <v>68</v>
      </c>
      <c r="R232">
        <v>40</v>
      </c>
      <c r="S232">
        <v>42</v>
      </c>
      <c r="T232">
        <v>2</v>
      </c>
      <c r="U232">
        <v>1</v>
      </c>
      <c r="V232">
        <v>0</v>
      </c>
      <c r="W232">
        <v>0</v>
      </c>
      <c r="X232" s="22">
        <v>0.0645161290322581</v>
      </c>
      <c r="Y232" s="22">
        <v>0.0147058823529412</v>
      </c>
      <c r="Z232" s="22">
        <v>0</v>
      </c>
      <c r="AA232" s="22">
        <v>0</v>
      </c>
      <c r="AB232">
        <v>0.74</v>
      </c>
      <c r="AC232">
        <v>0.75</v>
      </c>
      <c r="AD232">
        <v>0</v>
      </c>
      <c r="AE232">
        <v>0</v>
      </c>
      <c r="AF232" s="22" t="s">
        <v>583</v>
      </c>
      <c r="AG232" s="22" t="s">
        <v>573</v>
      </c>
      <c r="AH232" s="22" t="s">
        <v>53</v>
      </c>
      <c r="AI232" s="22" t="s">
        <v>53</v>
      </c>
      <c r="AJ232">
        <v>3</v>
      </c>
      <c r="AK232">
        <v>4</v>
      </c>
      <c r="AL232">
        <v>11</v>
      </c>
      <c r="AM232">
        <v>6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20</v>
      </c>
      <c r="AU232" s="31" t="str">
        <f t="shared" si="7"/>
        <v>库存为20</v>
      </c>
      <c r="AV232" s="36" t="str">
        <f>IFERROR(时间!$B$4+AU232,"上周无销量")</f>
        <v>上周无销量</v>
      </c>
    </row>
    <row r="233" spans="1:48">
      <c r="A233" s="20" t="s">
        <v>584</v>
      </c>
      <c r="B233" t="s">
        <v>585</v>
      </c>
      <c r="C233" t="s">
        <v>586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0</v>
      </c>
      <c r="AK233">
        <v>0</v>
      </c>
      <c r="AL233">
        <v>0</v>
      </c>
      <c r="AM233">
        <v>0</v>
      </c>
      <c r="AN233" s="22" t="s">
        <v>53</v>
      </c>
      <c r="AO233" s="22" t="s">
        <v>53</v>
      </c>
      <c r="AP233" s="22" t="s">
        <v>53</v>
      </c>
      <c r="AQ233" s="22" t="s">
        <v>53</v>
      </c>
      <c r="AR233" s="35">
        <v>0</v>
      </c>
      <c r="AS233" s="35">
        <v>0</v>
      </c>
      <c r="AT233" s="35">
        <v>0</v>
      </c>
      <c r="AU233" s="31" t="str">
        <f t="shared" si="7"/>
        <v>库存为0</v>
      </c>
      <c r="AV233" s="36" t="str">
        <f>IFERROR(时间!$B$4+AU233,"上周无销量")</f>
        <v>上周无销量</v>
      </c>
    </row>
    <row r="234" spans="1:48">
      <c r="A234" s="20" t="s">
        <v>587</v>
      </c>
      <c r="B234" t="s">
        <v>588</v>
      </c>
      <c r="C234" t="s">
        <v>589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0</v>
      </c>
      <c r="AL234">
        <v>0</v>
      </c>
      <c r="AM234">
        <v>0</v>
      </c>
      <c r="AN234" s="22" t="s">
        <v>53</v>
      </c>
      <c r="AO234" s="22" t="s">
        <v>53</v>
      </c>
      <c r="AP234" s="22" t="s">
        <v>53</v>
      </c>
      <c r="AQ234" s="22" t="s">
        <v>53</v>
      </c>
      <c r="AR234" s="35">
        <v>0</v>
      </c>
      <c r="AS234" s="35">
        <v>0</v>
      </c>
      <c r="AT234" s="35">
        <v>0</v>
      </c>
      <c r="AU234" s="31" t="str">
        <f t="shared" si="7"/>
        <v>库存为0</v>
      </c>
      <c r="AV234" s="36" t="str">
        <f>IFERROR(时间!$B$4+AU234,"上周无销量")</f>
        <v>上周无销量</v>
      </c>
    </row>
    <row r="235" spans="1:48">
      <c r="A235" s="20" t="s">
        <v>590</v>
      </c>
      <c r="B235" t="s">
        <v>591</v>
      </c>
      <c r="C235" t="s">
        <v>592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0</v>
      </c>
      <c r="AK235">
        <v>0</v>
      </c>
      <c r="AL235">
        <v>0</v>
      </c>
      <c r="AM235">
        <v>0</v>
      </c>
      <c r="AN235" s="22" t="s">
        <v>53</v>
      </c>
      <c r="AO235" s="22" t="s">
        <v>53</v>
      </c>
      <c r="AP235" s="22" t="s">
        <v>53</v>
      </c>
      <c r="AQ235" s="22" t="s">
        <v>53</v>
      </c>
      <c r="AR235" s="35">
        <v>0</v>
      </c>
      <c r="AS235" s="35">
        <v>0</v>
      </c>
      <c r="AT235" s="35">
        <v>0</v>
      </c>
      <c r="AU235" s="31" t="str">
        <f t="shared" si="7"/>
        <v>库存为0</v>
      </c>
      <c r="AV235" s="36" t="str">
        <f>IFERROR(时间!$B$4+AU235,"上周无销量")</f>
        <v>上周无销量</v>
      </c>
    </row>
    <row r="236" spans="1:48">
      <c r="A236" s="20" t="s">
        <v>593</v>
      </c>
      <c r="B236" t="s">
        <v>594</v>
      </c>
      <c r="C236" t="s">
        <v>595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0</v>
      </c>
      <c r="AK236">
        <v>0</v>
      </c>
      <c r="AL236">
        <v>0</v>
      </c>
      <c r="AM236">
        <v>0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596</v>
      </c>
      <c r="B237" t="s">
        <v>597</v>
      </c>
      <c r="C237" t="s">
        <v>598</v>
      </c>
      <c r="D237" s="31">
        <v>0</v>
      </c>
      <c r="E237" s="31">
        <v>2</v>
      </c>
      <c r="F237" s="31">
        <v>1</v>
      </c>
      <c r="G237" s="31">
        <v>3</v>
      </c>
      <c r="H237" s="32">
        <v>7.99</v>
      </c>
      <c r="I237">
        <v>14</v>
      </c>
      <c r="J237" s="33">
        <v>50</v>
      </c>
      <c r="K237" s="33">
        <v>1</v>
      </c>
      <c r="L237" s="33">
        <v>0</v>
      </c>
      <c r="M237">
        <v>65</v>
      </c>
      <c r="N237">
        <v>0</v>
      </c>
      <c r="O237">
        <v>0</v>
      </c>
      <c r="P237">
        <v>2123</v>
      </c>
      <c r="Q237">
        <v>4110</v>
      </c>
      <c r="R237">
        <v>3222</v>
      </c>
      <c r="S237">
        <v>19397</v>
      </c>
      <c r="T237">
        <v>5</v>
      </c>
      <c r="U237">
        <v>11</v>
      </c>
      <c r="V237">
        <v>7</v>
      </c>
      <c r="W237">
        <v>45</v>
      </c>
      <c r="X237" s="22">
        <v>0.0023551577955723</v>
      </c>
      <c r="Y237" s="22">
        <v>0.00267639902676399</v>
      </c>
      <c r="Z237" s="22">
        <v>0.00217256362507759</v>
      </c>
      <c r="AA237" s="22">
        <v>0.00231994638346136</v>
      </c>
      <c r="AB237">
        <v>4.33</v>
      </c>
      <c r="AC237">
        <v>10.64</v>
      </c>
      <c r="AD237">
        <v>6.68</v>
      </c>
      <c r="AE237">
        <v>41.71</v>
      </c>
      <c r="AF237" s="22" t="s">
        <v>599</v>
      </c>
      <c r="AG237" s="22">
        <v>0.665832290362954</v>
      </c>
      <c r="AH237" s="22">
        <v>0.8360450563204</v>
      </c>
      <c r="AI237" s="22">
        <v>1.74009178139341</v>
      </c>
      <c r="AJ237">
        <v>11</v>
      </c>
      <c r="AK237">
        <v>11</v>
      </c>
      <c r="AL237">
        <v>19</v>
      </c>
      <c r="AM237">
        <v>24</v>
      </c>
      <c r="AN237" s="22">
        <v>0</v>
      </c>
      <c r="AO237" s="22">
        <v>0.181818181818182</v>
      </c>
      <c r="AP237" s="22">
        <v>0.0526315789473684</v>
      </c>
      <c r="AQ237" s="22">
        <v>0.125</v>
      </c>
      <c r="AR237" s="35">
        <v>0</v>
      </c>
      <c r="AS237" s="35">
        <v>0</v>
      </c>
      <c r="AT237" s="35">
        <v>65</v>
      </c>
      <c r="AU237" s="31" t="str">
        <f t="shared" si="7"/>
        <v>库存为65</v>
      </c>
      <c r="AV237" s="36" t="str">
        <f>IFERROR(时间!$B$4+AU237,"上周无销量")</f>
        <v>上周无销量</v>
      </c>
    </row>
    <row r="238" spans="1:48">
      <c r="A238" s="20" t="s">
        <v>600</v>
      </c>
      <c r="B238" t="s">
        <v>601</v>
      </c>
      <c r="C238" t="s">
        <v>598</v>
      </c>
      <c r="D238" s="31">
        <v>0</v>
      </c>
      <c r="E238" s="31">
        <v>0</v>
      </c>
      <c r="F238" s="31">
        <v>1</v>
      </c>
      <c r="G238" s="31">
        <v>1</v>
      </c>
      <c r="H238" s="32">
        <v>10.99</v>
      </c>
      <c r="I238">
        <v>12</v>
      </c>
      <c r="J238" s="33">
        <v>0</v>
      </c>
      <c r="K238" s="33">
        <v>0</v>
      </c>
      <c r="L238" s="33">
        <v>0</v>
      </c>
      <c r="M238">
        <v>12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6</v>
      </c>
      <c r="AK238">
        <v>3</v>
      </c>
      <c r="AL238">
        <v>9</v>
      </c>
      <c r="AM238">
        <v>1</v>
      </c>
      <c r="AN238" s="22">
        <v>0</v>
      </c>
      <c r="AO238" s="22">
        <v>0</v>
      </c>
      <c r="AP238" s="22">
        <v>0.111111111111111</v>
      </c>
      <c r="AQ238" s="22">
        <v>1</v>
      </c>
      <c r="AR238" s="35">
        <v>0</v>
      </c>
      <c r="AS238" s="35">
        <v>0</v>
      </c>
      <c r="AT238" s="35">
        <v>12</v>
      </c>
      <c r="AU238" s="31" t="str">
        <f t="shared" si="7"/>
        <v>库存为12</v>
      </c>
      <c r="AV238" s="36" t="str">
        <f>IFERROR(时间!$B$4+AU238,"上周无销量")</f>
        <v>上周无销量</v>
      </c>
    </row>
    <row r="239" spans="1:48">
      <c r="A239" s="20" t="s">
        <v>602</v>
      </c>
      <c r="B239" t="s">
        <v>603</v>
      </c>
      <c r="C239" t="s">
        <v>598</v>
      </c>
      <c r="D239" s="31">
        <v>0</v>
      </c>
      <c r="E239" s="31">
        <v>0</v>
      </c>
      <c r="F239" s="31">
        <v>2</v>
      </c>
      <c r="G239" s="31">
        <v>0</v>
      </c>
      <c r="H239" s="32">
        <v>15.99</v>
      </c>
      <c r="I239">
        <v>3</v>
      </c>
      <c r="J239" s="33">
        <v>0</v>
      </c>
      <c r="K239" s="33">
        <v>0</v>
      </c>
      <c r="L239" s="33">
        <v>3</v>
      </c>
      <c r="M239">
        <v>6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6</v>
      </c>
      <c r="AK239">
        <v>11</v>
      </c>
      <c r="AL239">
        <v>8</v>
      </c>
      <c r="AM239">
        <v>1</v>
      </c>
      <c r="AN239" s="22">
        <v>0</v>
      </c>
      <c r="AO239" s="22">
        <v>0</v>
      </c>
      <c r="AP239" s="22">
        <v>0.25</v>
      </c>
      <c r="AQ239" s="22">
        <v>0</v>
      </c>
      <c r="AR239" s="35">
        <v>0</v>
      </c>
      <c r="AS239" s="35">
        <v>0</v>
      </c>
      <c r="AT239" s="35">
        <v>6</v>
      </c>
      <c r="AU239" s="31" t="str">
        <f t="shared" si="7"/>
        <v>库存为6</v>
      </c>
      <c r="AV239" s="36" t="str">
        <f>IFERROR(时间!$B$4+AU239,"上周无销量")</f>
        <v>上周无销量</v>
      </c>
    </row>
    <row r="240" spans="1:48">
      <c r="A240" s="20" t="s">
        <v>604</v>
      </c>
      <c r="B240" t="s">
        <v>605</v>
      </c>
      <c r="C240" t="s">
        <v>606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4</v>
      </c>
      <c r="J240" s="33">
        <v>0</v>
      </c>
      <c r="K240" s="33">
        <v>0</v>
      </c>
      <c r="L240" s="33">
        <v>0</v>
      </c>
      <c r="M240">
        <v>4</v>
      </c>
      <c r="N240">
        <v>0</v>
      </c>
      <c r="O240">
        <v>4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5</v>
      </c>
      <c r="AK240">
        <v>4</v>
      </c>
      <c r="AL240">
        <v>3</v>
      </c>
      <c r="AM240">
        <v>2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4</v>
      </c>
      <c r="AU240" s="31" t="str">
        <f t="shared" si="7"/>
        <v>库存为4</v>
      </c>
      <c r="AV240" s="36" t="str">
        <f>IFERROR(时间!$B$4+AU240,"上周无销量")</f>
        <v>上周无销量</v>
      </c>
    </row>
    <row r="241" spans="1:48">
      <c r="A241" s="20" t="s">
        <v>607</v>
      </c>
      <c r="B241" t="s">
        <v>608</v>
      </c>
      <c r="C241" t="s">
        <v>606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4</v>
      </c>
      <c r="J241" s="33">
        <v>0</v>
      </c>
      <c r="K241" s="33">
        <v>0</v>
      </c>
      <c r="L241" s="33">
        <v>0</v>
      </c>
      <c r="M241">
        <v>4</v>
      </c>
      <c r="N241">
        <v>0</v>
      </c>
      <c r="O241">
        <v>4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3</v>
      </c>
      <c r="AK241">
        <v>1</v>
      </c>
      <c r="AL241">
        <v>2</v>
      </c>
      <c r="AM241">
        <v>5</v>
      </c>
      <c r="AN241" s="22">
        <v>0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4</v>
      </c>
      <c r="AU241" s="31" t="str">
        <f t="shared" si="7"/>
        <v>库存为4</v>
      </c>
      <c r="AV241" s="36" t="str">
        <f>IFERROR(时间!$B$4+AU241,"上周无销量")</f>
        <v>上周无销量</v>
      </c>
    </row>
    <row r="242" spans="1:48">
      <c r="A242" s="20" t="s">
        <v>609</v>
      </c>
      <c r="B242" t="s">
        <v>610</v>
      </c>
      <c r="C242" t="s">
        <v>606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4</v>
      </c>
      <c r="J242" s="33">
        <v>0</v>
      </c>
      <c r="K242" s="33">
        <v>0</v>
      </c>
      <c r="L242" s="33">
        <v>0</v>
      </c>
      <c r="M242">
        <v>4</v>
      </c>
      <c r="N242">
        <v>0</v>
      </c>
      <c r="O242">
        <v>4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5</v>
      </c>
      <c r="AK242">
        <v>4</v>
      </c>
      <c r="AL242">
        <v>4</v>
      </c>
      <c r="AM242">
        <v>4</v>
      </c>
      <c r="AN242" s="22">
        <v>0</v>
      </c>
      <c r="AO242" s="22">
        <v>0</v>
      </c>
      <c r="AP242" s="22">
        <v>0</v>
      </c>
      <c r="AQ242" s="22">
        <v>0</v>
      </c>
      <c r="AR242" s="35">
        <v>0</v>
      </c>
      <c r="AS242" s="35">
        <v>0</v>
      </c>
      <c r="AT242" s="35">
        <v>4</v>
      </c>
      <c r="AU242" s="31" t="str">
        <f t="shared" si="7"/>
        <v>库存为4</v>
      </c>
      <c r="AV242" s="36" t="str">
        <f>IFERROR(时间!$B$4+AU242,"上周无销量")</f>
        <v>上周无销量</v>
      </c>
    </row>
    <row r="243" spans="1:48">
      <c r="A243" s="20" t="s">
        <v>611</v>
      </c>
      <c r="B243" t="s">
        <v>612</v>
      </c>
      <c r="C243" t="s">
        <v>606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3</v>
      </c>
      <c r="J243" s="33">
        <v>0</v>
      </c>
      <c r="K243" s="33">
        <v>0</v>
      </c>
      <c r="L243" s="33">
        <v>0</v>
      </c>
      <c r="M243">
        <v>3</v>
      </c>
      <c r="N243">
        <v>0</v>
      </c>
      <c r="O243">
        <v>3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5</v>
      </c>
      <c r="AK243">
        <v>3</v>
      </c>
      <c r="AL243">
        <v>5</v>
      </c>
      <c r="AM243">
        <v>5</v>
      </c>
      <c r="AN243" s="22">
        <v>0</v>
      </c>
      <c r="AO243" s="22">
        <v>0</v>
      </c>
      <c r="AP243" s="22">
        <v>0</v>
      </c>
      <c r="AQ243" s="22">
        <v>0</v>
      </c>
      <c r="AR243" s="35">
        <v>0</v>
      </c>
      <c r="AS243" s="35">
        <v>0</v>
      </c>
      <c r="AT243" s="35">
        <v>3</v>
      </c>
      <c r="AU243" s="31" t="str">
        <f t="shared" si="7"/>
        <v>库存为3</v>
      </c>
      <c r="AV243" s="36" t="str">
        <f>IFERROR(时间!$B$4+AU243,"上周无销量")</f>
        <v>上周无销量</v>
      </c>
    </row>
    <row r="244" spans="1:48">
      <c r="A244" s="20" t="s">
        <v>613</v>
      </c>
      <c r="B244" t="s">
        <v>614</v>
      </c>
      <c r="C244" t="s">
        <v>615</v>
      </c>
      <c r="D244" s="31">
        <v>1</v>
      </c>
      <c r="E244" s="31">
        <v>0</v>
      </c>
      <c r="F244" s="31">
        <v>0</v>
      </c>
      <c r="G244" s="31">
        <v>0</v>
      </c>
      <c r="H244" s="32">
        <v>15.99</v>
      </c>
      <c r="I244">
        <v>7</v>
      </c>
      <c r="J244" s="33">
        <v>0</v>
      </c>
      <c r="K244" s="33">
        <v>0</v>
      </c>
      <c r="L244" s="33">
        <v>0</v>
      </c>
      <c r="M244">
        <v>7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13</v>
      </c>
      <c r="AK244">
        <v>5</v>
      </c>
      <c r="AL244">
        <v>1</v>
      </c>
      <c r="AM244">
        <v>12</v>
      </c>
      <c r="AN244" s="22">
        <v>0.0769230769230769</v>
      </c>
      <c r="AO244" s="22">
        <v>0</v>
      </c>
      <c r="AP244" s="22">
        <v>0</v>
      </c>
      <c r="AQ244" s="22">
        <v>0</v>
      </c>
      <c r="AR244" s="35">
        <v>0.142857142857143</v>
      </c>
      <c r="AS244" s="35">
        <v>8.57142857142857</v>
      </c>
      <c r="AT244" s="35">
        <v>-1.57142857142857</v>
      </c>
      <c r="AU244" s="31">
        <f t="shared" si="7"/>
        <v>49</v>
      </c>
      <c r="AV244" s="36">
        <f>IFERROR(时间!$B$4+AU244,"上周无销量")</f>
        <v>43374</v>
      </c>
    </row>
    <row r="245" spans="1:48">
      <c r="A245" s="20" t="s">
        <v>616</v>
      </c>
      <c r="B245" t="s">
        <v>617</v>
      </c>
      <c r="C245" t="s">
        <v>618</v>
      </c>
      <c r="D245" s="31">
        <v>0</v>
      </c>
      <c r="E245" s="31">
        <v>0</v>
      </c>
      <c r="F245" s="31">
        <v>0</v>
      </c>
      <c r="G245" s="31">
        <v>1</v>
      </c>
      <c r="H245" s="32">
        <v>15.99</v>
      </c>
      <c r="I245">
        <v>12</v>
      </c>
      <c r="J245" s="33">
        <v>0</v>
      </c>
      <c r="K245" s="33">
        <v>0</v>
      </c>
      <c r="L245" s="33">
        <v>0</v>
      </c>
      <c r="M245">
        <v>12</v>
      </c>
      <c r="N245">
        <v>1</v>
      </c>
      <c r="O245">
        <v>12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8</v>
      </c>
      <c r="AK245">
        <v>2</v>
      </c>
      <c r="AL245">
        <v>1</v>
      </c>
      <c r="AM245">
        <v>15</v>
      </c>
      <c r="AN245" s="22">
        <v>0</v>
      </c>
      <c r="AO245" s="22">
        <v>0</v>
      </c>
      <c r="AP245" s="22">
        <v>0</v>
      </c>
      <c r="AQ245" s="22">
        <v>0.0666666666666667</v>
      </c>
      <c r="AR245" s="35">
        <v>0</v>
      </c>
      <c r="AS245" s="35">
        <v>0</v>
      </c>
      <c r="AT245" s="35">
        <v>12</v>
      </c>
      <c r="AU245" s="31" t="str">
        <f t="shared" si="7"/>
        <v>库存为12</v>
      </c>
      <c r="AV245" s="36" t="str">
        <f>IFERROR(时间!$B$4+AU245,"上周无销量")</f>
        <v>上周无销量</v>
      </c>
    </row>
    <row r="246" spans="1:48">
      <c r="A246" s="20" t="s">
        <v>619</v>
      </c>
      <c r="B246" t="s">
        <v>620</v>
      </c>
      <c r="C246" t="s">
        <v>618</v>
      </c>
      <c r="D246" s="31">
        <v>1</v>
      </c>
      <c r="E246" s="31">
        <v>0</v>
      </c>
      <c r="F246" s="31">
        <v>0</v>
      </c>
      <c r="G246" s="31">
        <v>1</v>
      </c>
      <c r="H246" s="32">
        <v>12.995</v>
      </c>
      <c r="I246">
        <v>12</v>
      </c>
      <c r="J246" s="33">
        <v>0</v>
      </c>
      <c r="K246" s="33">
        <v>0</v>
      </c>
      <c r="L246" s="33">
        <v>0</v>
      </c>
      <c r="M246">
        <v>12</v>
      </c>
      <c r="N246">
        <v>0</v>
      </c>
      <c r="O246">
        <v>13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14</v>
      </c>
      <c r="AK246">
        <v>4</v>
      </c>
      <c r="AL246">
        <v>6</v>
      </c>
      <c r="AM246">
        <v>6</v>
      </c>
      <c r="AN246" s="22">
        <v>0.0714285714285714</v>
      </c>
      <c r="AO246" s="22">
        <v>0</v>
      </c>
      <c r="AP246" s="22">
        <v>0</v>
      </c>
      <c r="AQ246" s="22">
        <v>0.166666666666667</v>
      </c>
      <c r="AR246" s="35">
        <v>0.142857142857143</v>
      </c>
      <c r="AS246" s="35">
        <v>8.57142857142857</v>
      </c>
      <c r="AT246" s="35">
        <v>3.42857142857143</v>
      </c>
      <c r="AU246" s="31">
        <f t="shared" si="7"/>
        <v>84</v>
      </c>
      <c r="AV246" s="36">
        <f>IFERROR(时间!$B$4+AU246,"上周无销量")</f>
        <v>43409</v>
      </c>
    </row>
    <row r="247" spans="1:48">
      <c r="A247" s="20" t="s">
        <v>621</v>
      </c>
      <c r="B247" t="s">
        <v>622</v>
      </c>
      <c r="C247" t="s">
        <v>618</v>
      </c>
      <c r="D247" s="31">
        <v>1</v>
      </c>
      <c r="E247" s="31">
        <v>0</v>
      </c>
      <c r="F247" s="31">
        <v>0</v>
      </c>
      <c r="G247" s="31">
        <v>0</v>
      </c>
      <c r="H247" s="32">
        <v>15.99</v>
      </c>
      <c r="I247">
        <v>4</v>
      </c>
      <c r="J247" s="33">
        <v>0</v>
      </c>
      <c r="K247" s="33">
        <v>0</v>
      </c>
      <c r="L247" s="33">
        <v>0</v>
      </c>
      <c r="M247">
        <v>4</v>
      </c>
      <c r="N247">
        <v>0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5</v>
      </c>
      <c r="AK247">
        <v>4</v>
      </c>
      <c r="AL247">
        <v>5</v>
      </c>
      <c r="AM247">
        <v>15</v>
      </c>
      <c r="AN247" s="22">
        <v>0.2</v>
      </c>
      <c r="AO247" s="22">
        <v>0</v>
      </c>
      <c r="AP247" s="22">
        <v>0</v>
      </c>
      <c r="AQ247" s="22">
        <v>0</v>
      </c>
      <c r="AR247" s="35">
        <v>0.142857142857143</v>
      </c>
      <c r="AS247" s="35">
        <v>8.57142857142857</v>
      </c>
      <c r="AT247" s="35">
        <v>-4.57142857142857</v>
      </c>
      <c r="AU247" s="31">
        <f t="shared" si="7"/>
        <v>28</v>
      </c>
      <c r="AV247" s="36">
        <f>IFERROR(时间!$B$4+AU247,"上周无销量")</f>
        <v>43353</v>
      </c>
    </row>
    <row r="248" spans="1:48">
      <c r="A248" s="20" t="s">
        <v>623</v>
      </c>
      <c r="B248" t="s">
        <v>624</v>
      </c>
      <c r="C248" t="s">
        <v>618</v>
      </c>
      <c r="D248" s="31">
        <v>0</v>
      </c>
      <c r="E248" s="31">
        <v>0</v>
      </c>
      <c r="F248" s="31">
        <v>1</v>
      </c>
      <c r="G248" s="31">
        <v>0</v>
      </c>
      <c r="H248" s="32">
        <v>15.99</v>
      </c>
      <c r="I248">
        <v>20</v>
      </c>
      <c r="J248" s="33">
        <v>0</v>
      </c>
      <c r="K248" s="33">
        <v>0</v>
      </c>
      <c r="L248" s="33">
        <v>0</v>
      </c>
      <c r="M248">
        <v>20</v>
      </c>
      <c r="N248">
        <v>0</v>
      </c>
      <c r="O248">
        <v>21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12</v>
      </c>
      <c r="AK248">
        <v>1</v>
      </c>
      <c r="AL248">
        <v>5</v>
      </c>
      <c r="AM248">
        <v>11</v>
      </c>
      <c r="AN248" s="22">
        <v>0</v>
      </c>
      <c r="AO248" s="22">
        <v>0</v>
      </c>
      <c r="AP248" s="22">
        <v>0.2</v>
      </c>
      <c r="AQ248" s="22">
        <v>0</v>
      </c>
      <c r="AR248" s="35">
        <v>0</v>
      </c>
      <c r="AS248" s="35">
        <v>0</v>
      </c>
      <c r="AT248" s="35">
        <v>20</v>
      </c>
      <c r="AU248" s="31" t="str">
        <f t="shared" si="7"/>
        <v>库存为20</v>
      </c>
      <c r="AV248" s="36" t="str">
        <f>IFERROR(时间!$B$4+AU248,"上周无销量")</f>
        <v>上周无销量</v>
      </c>
    </row>
    <row r="249" spans="1:48">
      <c r="A249" s="20" t="s">
        <v>625</v>
      </c>
      <c r="B249" t="s">
        <v>626</v>
      </c>
      <c r="C249" t="s">
        <v>627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3</v>
      </c>
      <c r="J249" s="33">
        <v>0</v>
      </c>
      <c r="K249" s="33">
        <v>0</v>
      </c>
      <c r="L249" s="33">
        <v>0</v>
      </c>
      <c r="M249">
        <v>3</v>
      </c>
      <c r="N249">
        <v>0</v>
      </c>
      <c r="O249">
        <v>3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2</v>
      </c>
      <c r="AK249">
        <v>1</v>
      </c>
      <c r="AL249">
        <v>3</v>
      </c>
      <c r="AM249">
        <v>2</v>
      </c>
      <c r="AN249" s="22">
        <v>0</v>
      </c>
      <c r="AO249" s="22">
        <v>0</v>
      </c>
      <c r="AP249" s="22">
        <v>0</v>
      </c>
      <c r="AQ249" s="22">
        <v>0</v>
      </c>
      <c r="AR249" s="35">
        <v>0</v>
      </c>
      <c r="AS249" s="35">
        <v>0</v>
      </c>
      <c r="AT249" s="35">
        <v>3</v>
      </c>
      <c r="AU249" s="31" t="str">
        <f t="shared" si="7"/>
        <v>库存为3</v>
      </c>
      <c r="AV249" s="36" t="str">
        <f>IFERROR(时间!$B$4+AU249,"上周无销量")</f>
        <v>上周无销量</v>
      </c>
    </row>
    <row r="250" spans="1:48">
      <c r="A250" s="20" t="s">
        <v>628</v>
      </c>
      <c r="B250" t="s">
        <v>629</v>
      </c>
      <c r="C250" t="s">
        <v>627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</v>
      </c>
      <c r="J250" s="33">
        <v>0</v>
      </c>
      <c r="K250" s="33">
        <v>0</v>
      </c>
      <c r="L250" s="33">
        <v>0</v>
      </c>
      <c r="M250">
        <v>3</v>
      </c>
      <c r="N250">
        <v>0</v>
      </c>
      <c r="O250">
        <v>3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0</v>
      </c>
      <c r="AK250">
        <v>4</v>
      </c>
      <c r="AL250">
        <v>6</v>
      </c>
      <c r="AM250">
        <v>4</v>
      </c>
      <c r="AN250" s="22" t="s">
        <v>53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3</v>
      </c>
      <c r="AU250" s="31" t="str">
        <f t="shared" si="7"/>
        <v>库存为3</v>
      </c>
      <c r="AV250" s="36" t="str">
        <f>IFERROR(时间!$B$4+AU250,"上周无销量")</f>
        <v>上周无销量</v>
      </c>
    </row>
    <row r="251" spans="1:48">
      <c r="A251" s="20" t="s">
        <v>630</v>
      </c>
      <c r="B251" t="s">
        <v>631</v>
      </c>
      <c r="C251" t="s">
        <v>632</v>
      </c>
      <c r="D251" s="31">
        <v>0</v>
      </c>
      <c r="E251" s="31">
        <v>0</v>
      </c>
      <c r="F251" s="31">
        <v>9</v>
      </c>
      <c r="G251" s="31">
        <v>16</v>
      </c>
      <c r="H251" s="32">
        <v>15.99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1360</v>
      </c>
      <c r="S251">
        <v>1439</v>
      </c>
      <c r="T251">
        <v>0</v>
      </c>
      <c r="U251">
        <v>0</v>
      </c>
      <c r="V251">
        <v>9</v>
      </c>
      <c r="W251">
        <v>8</v>
      </c>
      <c r="X251" s="22" t="s">
        <v>53</v>
      </c>
      <c r="Y251" s="22" t="s">
        <v>53</v>
      </c>
      <c r="Z251" s="22">
        <v>0.00661764705882353</v>
      </c>
      <c r="AA251" s="22">
        <v>0.00555941626129256</v>
      </c>
      <c r="AB251">
        <v>0</v>
      </c>
      <c r="AC251">
        <v>0</v>
      </c>
      <c r="AD251">
        <v>2.43</v>
      </c>
      <c r="AE251">
        <v>2.02</v>
      </c>
      <c r="AF251" s="22" t="s">
        <v>53</v>
      </c>
      <c r="AG251" s="22" t="s">
        <v>53</v>
      </c>
      <c r="AH251" s="22">
        <v>0.0168855534709193</v>
      </c>
      <c r="AI251" s="22">
        <v>0.00789555972482802</v>
      </c>
      <c r="AJ251">
        <v>0</v>
      </c>
      <c r="AK251">
        <v>0</v>
      </c>
      <c r="AL251">
        <v>61</v>
      </c>
      <c r="AM251">
        <v>78</v>
      </c>
      <c r="AN251" s="22" t="s">
        <v>53</v>
      </c>
      <c r="AO251" s="22" t="s">
        <v>53</v>
      </c>
      <c r="AP251" s="22">
        <v>0.147540983606557</v>
      </c>
      <c r="AQ251" s="22">
        <v>0.205128205128205</v>
      </c>
      <c r="AR251" s="35">
        <v>0</v>
      </c>
      <c r="AS251" s="35">
        <v>0</v>
      </c>
      <c r="AT251" s="35">
        <v>0</v>
      </c>
      <c r="AU251" s="31" t="str">
        <f t="shared" si="7"/>
        <v>库存为0</v>
      </c>
      <c r="AV251" s="36" t="str">
        <f>IFERROR(时间!$B$4+AU251,"上周无销量")</f>
        <v>上周无销量</v>
      </c>
    </row>
    <row r="252" spans="1:48">
      <c r="A252" s="20" t="s">
        <v>633</v>
      </c>
      <c r="B252" t="s">
        <v>634</v>
      </c>
      <c r="C252" t="s">
        <v>632</v>
      </c>
      <c r="D252" s="31">
        <v>2</v>
      </c>
      <c r="E252" s="31">
        <v>3</v>
      </c>
      <c r="F252" s="31">
        <v>1</v>
      </c>
      <c r="G252" s="31">
        <v>4</v>
      </c>
      <c r="H252" s="32">
        <v>18.99</v>
      </c>
      <c r="I252">
        <v>7</v>
      </c>
      <c r="J252" s="33">
        <v>0</v>
      </c>
      <c r="K252" s="33">
        <v>0</v>
      </c>
      <c r="L252" s="33">
        <v>0</v>
      </c>
      <c r="M252">
        <v>7</v>
      </c>
      <c r="N252">
        <v>0</v>
      </c>
      <c r="O252">
        <v>8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29</v>
      </c>
      <c r="AK252">
        <v>39</v>
      </c>
      <c r="AL252">
        <v>20</v>
      </c>
      <c r="AM252">
        <v>14</v>
      </c>
      <c r="AN252" s="22">
        <v>0.0689655172413793</v>
      </c>
      <c r="AO252" s="22">
        <v>0.0769230769230769</v>
      </c>
      <c r="AP252" s="22">
        <v>0.05</v>
      </c>
      <c r="AQ252" s="22">
        <v>0.285714285714286</v>
      </c>
      <c r="AR252" s="35">
        <v>0.285714285714286</v>
      </c>
      <c r="AS252" s="35">
        <v>17.1428571428571</v>
      </c>
      <c r="AT252" s="35">
        <v>-10.1428571428571</v>
      </c>
      <c r="AU252" s="31">
        <f t="shared" si="7"/>
        <v>24</v>
      </c>
      <c r="AV252" s="36">
        <f>IFERROR(时间!$B$4+AU252,"上周无销量")</f>
        <v>43349</v>
      </c>
    </row>
    <row r="253" spans="1:48">
      <c r="A253" s="20" t="s">
        <v>635</v>
      </c>
      <c r="B253" t="s">
        <v>636</v>
      </c>
      <c r="C253" t="s">
        <v>632</v>
      </c>
      <c r="D253" s="31">
        <v>1</v>
      </c>
      <c r="E253" s="31">
        <v>2</v>
      </c>
      <c r="F253" s="31">
        <v>0</v>
      </c>
      <c r="G253" s="31">
        <v>1</v>
      </c>
      <c r="H253" s="32">
        <v>18.99</v>
      </c>
      <c r="I253">
        <v>19</v>
      </c>
      <c r="J253" s="33">
        <v>0</v>
      </c>
      <c r="K253" s="33">
        <v>0</v>
      </c>
      <c r="L253" s="33">
        <v>0</v>
      </c>
      <c r="M253">
        <v>19</v>
      </c>
      <c r="N253">
        <v>0</v>
      </c>
      <c r="O253">
        <v>17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42</v>
      </c>
      <c r="AK253">
        <v>19</v>
      </c>
      <c r="AL253">
        <v>18</v>
      </c>
      <c r="AM253">
        <v>7</v>
      </c>
      <c r="AN253" s="22">
        <v>0.0238095238095238</v>
      </c>
      <c r="AO253" s="22">
        <v>0.105263157894737</v>
      </c>
      <c r="AP253" s="22">
        <v>0</v>
      </c>
      <c r="AQ253" s="22">
        <v>0.142857142857143</v>
      </c>
      <c r="AR253" s="35">
        <v>0.142857142857143</v>
      </c>
      <c r="AS253" s="35">
        <v>8.57142857142857</v>
      </c>
      <c r="AT253" s="35">
        <v>10.4285714285714</v>
      </c>
      <c r="AU253" s="31">
        <f t="shared" si="7"/>
        <v>133</v>
      </c>
      <c r="AV253" s="36">
        <f>IFERROR(时间!$B$4+AU253,"上周无销量")</f>
        <v>43458</v>
      </c>
    </row>
    <row r="254" spans="1:48">
      <c r="A254" s="20" t="s">
        <v>637</v>
      </c>
      <c r="B254" t="s">
        <v>638</v>
      </c>
      <c r="C254" t="s">
        <v>632</v>
      </c>
      <c r="D254" s="31">
        <v>5</v>
      </c>
      <c r="E254" s="31">
        <v>11</v>
      </c>
      <c r="F254" s="31">
        <v>5</v>
      </c>
      <c r="G254" s="31">
        <v>3</v>
      </c>
      <c r="H254" s="32">
        <v>11.8233333333333</v>
      </c>
      <c r="I254">
        <v>26</v>
      </c>
      <c r="J254" s="33">
        <v>0</v>
      </c>
      <c r="K254" s="33">
        <v>0</v>
      </c>
      <c r="L254" s="33">
        <v>0</v>
      </c>
      <c r="M254">
        <v>26</v>
      </c>
      <c r="N254">
        <v>0</v>
      </c>
      <c r="O254">
        <v>28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 s="22" t="s">
        <v>53</v>
      </c>
      <c r="Y254" s="22" t="s">
        <v>53</v>
      </c>
      <c r="Z254" s="22" t="s">
        <v>53</v>
      </c>
      <c r="AA254" s="22" t="s">
        <v>53</v>
      </c>
      <c r="AB254">
        <v>0</v>
      </c>
      <c r="AC254">
        <v>0</v>
      </c>
      <c r="AD254">
        <v>0</v>
      </c>
      <c r="AE254">
        <v>0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63</v>
      </c>
      <c r="AK254">
        <v>58</v>
      </c>
      <c r="AL254">
        <v>25</v>
      </c>
      <c r="AM254">
        <v>25</v>
      </c>
      <c r="AN254" s="22">
        <v>0.0793650793650794</v>
      </c>
      <c r="AO254" s="22">
        <v>0.189655172413793</v>
      </c>
      <c r="AP254" s="22">
        <v>0.2</v>
      </c>
      <c r="AQ254" s="22">
        <v>0.12</v>
      </c>
      <c r="AR254" s="35">
        <v>0.714285714285714</v>
      </c>
      <c r="AS254" s="35">
        <v>42.8571428571429</v>
      </c>
      <c r="AT254" s="35">
        <v>-16.8571428571429</v>
      </c>
      <c r="AU254" s="31">
        <f t="shared" si="7"/>
        <v>36</v>
      </c>
      <c r="AV254" s="36">
        <f>IFERROR(时间!$B$4+AU254,"上周无销量")</f>
        <v>43361</v>
      </c>
    </row>
    <row r="255" spans="1:48">
      <c r="A255" s="20" t="s">
        <v>639</v>
      </c>
      <c r="B255" t="s">
        <v>640</v>
      </c>
      <c r="C255" t="s">
        <v>641</v>
      </c>
      <c r="D255" s="31">
        <v>2</v>
      </c>
      <c r="E255" s="31">
        <v>3</v>
      </c>
      <c r="F255" s="31">
        <v>0</v>
      </c>
      <c r="G255" s="31">
        <v>1</v>
      </c>
      <c r="H255" s="32">
        <v>14.99</v>
      </c>
      <c r="I255">
        <v>16</v>
      </c>
      <c r="J255" s="33">
        <v>0</v>
      </c>
      <c r="K255" s="33">
        <v>0</v>
      </c>
      <c r="L255" s="33">
        <v>0</v>
      </c>
      <c r="M255">
        <v>16</v>
      </c>
      <c r="N255">
        <v>0</v>
      </c>
      <c r="O255">
        <v>15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16</v>
      </c>
      <c r="AK255">
        <v>23</v>
      </c>
      <c r="AL255">
        <v>11</v>
      </c>
      <c r="AM255">
        <v>12</v>
      </c>
      <c r="AN255" s="22">
        <v>0.125</v>
      </c>
      <c r="AO255" s="22">
        <v>0.130434782608696</v>
      </c>
      <c r="AP255" s="22">
        <v>0</v>
      </c>
      <c r="AQ255" s="22">
        <v>0.0833333333333333</v>
      </c>
      <c r="AR255" s="35">
        <v>0.285714285714286</v>
      </c>
      <c r="AS255" s="35">
        <v>17.1428571428571</v>
      </c>
      <c r="AT255" s="35">
        <v>-1.14285714285714</v>
      </c>
      <c r="AU255" s="31">
        <f t="shared" si="7"/>
        <v>56</v>
      </c>
      <c r="AV255" s="36">
        <f>IFERROR(时间!$B$4+AU255,"上周无销量")</f>
        <v>43381</v>
      </c>
    </row>
    <row r="256" spans="1:48">
      <c r="A256" s="20" t="s">
        <v>642</v>
      </c>
      <c r="B256" t="s">
        <v>643</v>
      </c>
      <c r="C256" t="s">
        <v>641</v>
      </c>
      <c r="D256" s="31">
        <v>0</v>
      </c>
      <c r="E256" s="31">
        <v>1</v>
      </c>
      <c r="F256" s="31">
        <v>0</v>
      </c>
      <c r="G256" s="31">
        <v>0</v>
      </c>
      <c r="H256" s="32">
        <v>14.99</v>
      </c>
      <c r="I256">
        <v>23</v>
      </c>
      <c r="J256" s="33">
        <v>0</v>
      </c>
      <c r="K256" s="33">
        <v>0</v>
      </c>
      <c r="L256" s="33">
        <v>0</v>
      </c>
      <c r="M256">
        <v>23</v>
      </c>
      <c r="N256">
        <v>0</v>
      </c>
      <c r="O256">
        <v>13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15</v>
      </c>
      <c r="AK256">
        <v>16</v>
      </c>
      <c r="AL256">
        <v>9</v>
      </c>
      <c r="AM256">
        <v>5</v>
      </c>
      <c r="AN256" s="22">
        <v>0</v>
      </c>
      <c r="AO256" s="22">
        <v>0.0625</v>
      </c>
      <c r="AP256" s="22">
        <v>0</v>
      </c>
      <c r="AQ256" s="22">
        <v>0</v>
      </c>
      <c r="AR256" s="35">
        <v>0</v>
      </c>
      <c r="AS256" s="35">
        <v>0</v>
      </c>
      <c r="AT256" s="35">
        <v>23</v>
      </c>
      <c r="AU256" s="31" t="str">
        <f t="shared" si="7"/>
        <v>库存为23</v>
      </c>
      <c r="AV256" s="36" t="str">
        <f>IFERROR(时间!$B$4+AU256,"上周无销量")</f>
        <v>上周无销量</v>
      </c>
    </row>
    <row r="257" spans="1:48">
      <c r="A257" s="20" t="s">
        <v>644</v>
      </c>
      <c r="B257" t="s">
        <v>645</v>
      </c>
      <c r="C257" t="s">
        <v>641</v>
      </c>
      <c r="D257" s="31">
        <v>0</v>
      </c>
      <c r="E257" s="31">
        <v>1</v>
      </c>
      <c r="F257" s="31">
        <v>0</v>
      </c>
      <c r="G257" s="31">
        <v>0</v>
      </c>
      <c r="H257" s="32">
        <v>14.99</v>
      </c>
      <c r="I257">
        <v>23</v>
      </c>
      <c r="J257" s="33">
        <v>0</v>
      </c>
      <c r="K257" s="33">
        <v>0</v>
      </c>
      <c r="L257" s="33">
        <v>0</v>
      </c>
      <c r="M257">
        <v>23</v>
      </c>
      <c r="N257">
        <v>0</v>
      </c>
      <c r="O257">
        <v>13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16</v>
      </c>
      <c r="AK257">
        <v>11</v>
      </c>
      <c r="AL257">
        <v>8</v>
      </c>
      <c r="AM257">
        <v>6</v>
      </c>
      <c r="AN257" s="22">
        <v>0</v>
      </c>
      <c r="AO257" s="22">
        <v>0.0909090909090909</v>
      </c>
      <c r="AP257" s="22">
        <v>0</v>
      </c>
      <c r="AQ257" s="22">
        <v>0</v>
      </c>
      <c r="AR257" s="35">
        <v>0</v>
      </c>
      <c r="AS257" s="35">
        <v>0</v>
      </c>
      <c r="AT257" s="35">
        <v>23</v>
      </c>
      <c r="AU257" s="31" t="str">
        <f t="shared" si="7"/>
        <v>库存为23</v>
      </c>
      <c r="AV257" s="36" t="str">
        <f>IFERROR(时间!$B$4+AU257,"上周无销量")</f>
        <v>上周无销量</v>
      </c>
    </row>
    <row r="258" spans="1:48">
      <c r="A258" s="20" t="s">
        <v>646</v>
      </c>
      <c r="B258" t="s">
        <v>647</v>
      </c>
      <c r="C258" t="s">
        <v>648</v>
      </c>
      <c r="D258" s="31">
        <v>8</v>
      </c>
      <c r="E258" s="31">
        <v>1</v>
      </c>
      <c r="F258" s="31">
        <v>6</v>
      </c>
      <c r="G258" s="31">
        <v>7</v>
      </c>
      <c r="H258" s="32">
        <v>13.99</v>
      </c>
      <c r="I258">
        <v>17</v>
      </c>
      <c r="J258" s="33">
        <v>0</v>
      </c>
      <c r="K258" s="33">
        <v>0</v>
      </c>
      <c r="L258" s="33">
        <v>0</v>
      </c>
      <c r="M258">
        <v>17</v>
      </c>
      <c r="N258">
        <v>0</v>
      </c>
      <c r="O258">
        <v>0</v>
      </c>
      <c r="P258">
        <v>25109</v>
      </c>
      <c r="Q258">
        <v>71415</v>
      </c>
      <c r="R258">
        <v>7443</v>
      </c>
      <c r="S258">
        <v>6325</v>
      </c>
      <c r="T258">
        <v>105</v>
      </c>
      <c r="U258">
        <v>106</v>
      </c>
      <c r="V258">
        <v>43</v>
      </c>
      <c r="W258">
        <v>27</v>
      </c>
      <c r="X258" s="22">
        <v>0.00418176749372735</v>
      </c>
      <c r="Y258" s="22">
        <v>0.00148428201358258</v>
      </c>
      <c r="Z258" s="22">
        <v>0.00577724036006986</v>
      </c>
      <c r="AA258" s="22">
        <v>0.00426877470355731</v>
      </c>
      <c r="AB258">
        <v>63.68</v>
      </c>
      <c r="AC258">
        <v>58.56</v>
      </c>
      <c r="AD258">
        <v>23.72</v>
      </c>
      <c r="AE258">
        <v>15.89</v>
      </c>
      <c r="AF258" s="22">
        <v>0.568977841315225</v>
      </c>
      <c r="AG258" s="22">
        <v>4.18584703359542</v>
      </c>
      <c r="AH258" s="22">
        <v>0.282582797236121</v>
      </c>
      <c r="AI258" s="22">
        <v>0.162258756254467</v>
      </c>
      <c r="AJ258">
        <v>64</v>
      </c>
      <c r="AK258">
        <v>65</v>
      </c>
      <c r="AL258">
        <v>44</v>
      </c>
      <c r="AM258">
        <v>27</v>
      </c>
      <c r="AN258" s="22">
        <v>0.125</v>
      </c>
      <c r="AO258" s="22">
        <v>0.0153846153846154</v>
      </c>
      <c r="AP258" s="22">
        <v>0.136363636363636</v>
      </c>
      <c r="AQ258" s="22">
        <v>0.259259259259259</v>
      </c>
      <c r="AR258" s="35">
        <v>1.14285714285714</v>
      </c>
      <c r="AS258" s="35">
        <v>68.5714285714286</v>
      </c>
      <c r="AT258" s="35">
        <v>-51.5714285714286</v>
      </c>
      <c r="AU258" s="31">
        <f t="shared" si="7"/>
        <v>14</v>
      </c>
      <c r="AV258" s="36">
        <f>IFERROR(时间!$B$4+AU258,"上周无销量")</f>
        <v>43339</v>
      </c>
    </row>
    <row r="259" spans="1:48">
      <c r="A259" s="20" t="s">
        <v>649</v>
      </c>
      <c r="B259" t="s">
        <v>650</v>
      </c>
      <c r="C259" t="s">
        <v>648</v>
      </c>
      <c r="D259" s="31">
        <v>2</v>
      </c>
      <c r="E259" s="31">
        <v>0</v>
      </c>
      <c r="F259" s="31">
        <v>0</v>
      </c>
      <c r="G259" s="31">
        <v>0</v>
      </c>
      <c r="H259" s="32">
        <v>11.99</v>
      </c>
      <c r="I259">
        <v>31</v>
      </c>
      <c r="J259" s="33">
        <v>0</v>
      </c>
      <c r="K259" s="33">
        <v>0</v>
      </c>
      <c r="L259" s="33">
        <v>0</v>
      </c>
      <c r="M259">
        <v>31</v>
      </c>
      <c r="N259">
        <v>0</v>
      </c>
      <c r="O259">
        <v>31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19</v>
      </c>
      <c r="AK259">
        <v>14</v>
      </c>
      <c r="AL259">
        <v>14</v>
      </c>
      <c r="AM259">
        <v>11</v>
      </c>
      <c r="AN259" s="22">
        <v>0.105263157894737</v>
      </c>
      <c r="AO259" s="22">
        <v>0</v>
      </c>
      <c r="AP259" s="22">
        <v>0</v>
      </c>
      <c r="AQ259" s="22">
        <v>0</v>
      </c>
      <c r="AR259" s="35">
        <v>0.285714285714286</v>
      </c>
      <c r="AS259" s="35">
        <v>17.1428571428571</v>
      </c>
      <c r="AT259" s="35">
        <v>13.8571428571429</v>
      </c>
      <c r="AU259" s="31">
        <f t="shared" si="7"/>
        <v>108</v>
      </c>
      <c r="AV259" s="36">
        <f>IFERROR(时间!$B$4+AU259,"上周无销量")</f>
        <v>43433</v>
      </c>
    </row>
    <row r="260" spans="1:48">
      <c r="A260" s="20" t="s">
        <v>651</v>
      </c>
      <c r="B260" t="s">
        <v>652</v>
      </c>
      <c r="C260" t="s">
        <v>648</v>
      </c>
      <c r="D260" s="31">
        <v>2</v>
      </c>
      <c r="E260" s="31">
        <v>0</v>
      </c>
      <c r="F260" s="31">
        <v>5</v>
      </c>
      <c r="G260" s="31">
        <v>1</v>
      </c>
      <c r="H260" s="32">
        <v>13.23</v>
      </c>
      <c r="I260">
        <v>14</v>
      </c>
      <c r="J260" s="33">
        <v>0</v>
      </c>
      <c r="K260" s="33">
        <v>0</v>
      </c>
      <c r="L260" s="33">
        <v>0</v>
      </c>
      <c r="M260">
        <v>14</v>
      </c>
      <c r="N260">
        <v>2</v>
      </c>
      <c r="O260">
        <v>14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26</v>
      </c>
      <c r="AK260">
        <v>14</v>
      </c>
      <c r="AL260">
        <v>25</v>
      </c>
      <c r="AM260">
        <v>12</v>
      </c>
      <c r="AN260" s="22">
        <v>0.0769230769230769</v>
      </c>
      <c r="AO260" s="22">
        <v>0</v>
      </c>
      <c r="AP260" s="22">
        <v>0.2</v>
      </c>
      <c r="AQ260" s="22">
        <v>0.0833333333333333</v>
      </c>
      <c r="AR260" s="35">
        <v>0.285714285714286</v>
      </c>
      <c r="AS260" s="35">
        <v>17.1428571428571</v>
      </c>
      <c r="AT260" s="35">
        <v>-3.14285714285714</v>
      </c>
      <c r="AU260" s="31">
        <f t="shared" si="7"/>
        <v>49</v>
      </c>
      <c r="AV260" s="36">
        <f>IFERROR(时间!$B$4+AU260,"上周无销量")</f>
        <v>43374</v>
      </c>
    </row>
    <row r="261" spans="1:48">
      <c r="A261" s="20" t="s">
        <v>653</v>
      </c>
      <c r="B261" t="s">
        <v>654</v>
      </c>
      <c r="C261" t="s">
        <v>648</v>
      </c>
      <c r="D261" s="31">
        <v>0</v>
      </c>
      <c r="E261" s="31">
        <v>0</v>
      </c>
      <c r="F261" s="31">
        <v>0</v>
      </c>
      <c r="G261" s="31">
        <v>2</v>
      </c>
      <c r="H261" s="32">
        <v>13.99</v>
      </c>
      <c r="I261">
        <v>43</v>
      </c>
      <c r="J261" s="33">
        <v>0</v>
      </c>
      <c r="K261" s="33">
        <v>0</v>
      </c>
      <c r="L261" s="33">
        <v>0</v>
      </c>
      <c r="M261">
        <v>43</v>
      </c>
      <c r="N261">
        <v>0</v>
      </c>
      <c r="O261">
        <v>43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20</v>
      </c>
      <c r="AK261">
        <v>14</v>
      </c>
      <c r="AL261">
        <v>11</v>
      </c>
      <c r="AM261">
        <v>16</v>
      </c>
      <c r="AN261" s="22">
        <v>0</v>
      </c>
      <c r="AO261" s="22">
        <v>0</v>
      </c>
      <c r="AP261" s="22">
        <v>0</v>
      </c>
      <c r="AQ261" s="22">
        <v>0.125</v>
      </c>
      <c r="AR261" s="35">
        <v>0</v>
      </c>
      <c r="AS261" s="35">
        <v>0</v>
      </c>
      <c r="AT261" s="35">
        <v>43</v>
      </c>
      <c r="AU261" s="31" t="str">
        <f>IF(AR261="","库存为"&amp;M261,IF(AS261=0,"库存为"&amp;M261,INT(M261/AR261)))</f>
        <v>库存为43</v>
      </c>
      <c r="AV261" s="36" t="str">
        <f>IFERROR(时间!$B$4+AU261,"上周无销量")</f>
        <v>上周无销量</v>
      </c>
    </row>
    <row r="262" spans="1:48">
      <c r="A262" s="20" t="s">
        <v>655</v>
      </c>
      <c r="B262" t="s">
        <v>656</v>
      </c>
      <c r="C262" t="s">
        <v>648</v>
      </c>
      <c r="D262" s="31">
        <v>1</v>
      </c>
      <c r="E262" s="31">
        <v>2</v>
      </c>
      <c r="F262" s="31">
        <v>0</v>
      </c>
      <c r="G262" s="31">
        <v>0</v>
      </c>
      <c r="H262" s="32">
        <v>9.04666666666667</v>
      </c>
      <c r="I262">
        <v>39</v>
      </c>
      <c r="J262" s="33">
        <v>0</v>
      </c>
      <c r="K262" s="33">
        <v>0</v>
      </c>
      <c r="L262" s="33">
        <v>0</v>
      </c>
      <c r="M262">
        <v>39</v>
      </c>
      <c r="N262">
        <v>0</v>
      </c>
      <c r="O262">
        <v>39</v>
      </c>
      <c r="P262">
        <v>0</v>
      </c>
      <c r="Q262">
        <v>0</v>
      </c>
      <c r="R262">
        <v>0</v>
      </c>
      <c r="S262">
        <v>2439</v>
      </c>
      <c r="T262">
        <v>0</v>
      </c>
      <c r="U262">
        <v>0</v>
      </c>
      <c r="V262">
        <v>0</v>
      </c>
      <c r="W262">
        <v>5</v>
      </c>
      <c r="X262" s="22" t="s">
        <v>53</v>
      </c>
      <c r="Y262" s="22" t="s">
        <v>53</v>
      </c>
      <c r="Z262" s="22" t="s">
        <v>53</v>
      </c>
      <c r="AA262" s="22">
        <v>0.002050020500205</v>
      </c>
      <c r="AB262">
        <v>0</v>
      </c>
      <c r="AC262">
        <v>0</v>
      </c>
      <c r="AD262">
        <v>0</v>
      </c>
      <c r="AE262">
        <v>3.52</v>
      </c>
      <c r="AF262" s="22" t="s">
        <v>53</v>
      </c>
      <c r="AG262" s="22" t="s">
        <v>53</v>
      </c>
      <c r="AH262" s="22" t="s">
        <v>53</v>
      </c>
      <c r="AI262" s="22" t="s">
        <v>657</v>
      </c>
      <c r="AJ262">
        <v>18</v>
      </c>
      <c r="AK262">
        <v>15</v>
      </c>
      <c r="AL262">
        <v>14</v>
      </c>
      <c r="AM262">
        <v>14</v>
      </c>
      <c r="AN262" s="22">
        <v>0.0555555555555556</v>
      </c>
      <c r="AO262" s="22">
        <v>0.133333333333333</v>
      </c>
      <c r="AP262" s="22">
        <v>0</v>
      </c>
      <c r="AQ262" s="22">
        <v>0</v>
      </c>
      <c r="AR262" s="35">
        <v>0.142857142857143</v>
      </c>
      <c r="AS262" s="35">
        <v>8.57142857142857</v>
      </c>
      <c r="AT262" s="35">
        <v>30.4285714285714</v>
      </c>
      <c r="AU262" s="31">
        <f>IF(AR262="","库存为"&amp;M262,IF(AS262=0,"库存为"&amp;M262,INT(M262/AR262)))</f>
        <v>273</v>
      </c>
      <c r="AV262" s="36">
        <f>IFERROR(时间!$B$4+AU262,"上周无销量")</f>
        <v>43598</v>
      </c>
    </row>
    <row r="263" spans="1:48">
      <c r="A263" s="20"/>
      <c r="D263" s="31"/>
      <c r="E263" s="31"/>
      <c r="F263" s="31"/>
      <c r="G263" s="31"/>
      <c r="H263" s="32"/>
      <c r="J263" s="33"/>
      <c r="K263" s="33"/>
      <c r="L263" s="33"/>
      <c r="X263" s="22"/>
      <c r="Y263" s="22"/>
      <c r="Z263" s="22"/>
      <c r="AA263" s="22"/>
      <c r="AF263" s="22"/>
      <c r="AG263" s="22"/>
      <c r="AH263" s="22"/>
      <c r="AI263" s="22"/>
      <c r="AN263" s="22"/>
      <c r="AO263" s="22"/>
      <c r="AP263" s="22"/>
      <c r="AQ263" s="22"/>
      <c r="AR263" s="35"/>
      <c r="AS263" s="35"/>
      <c r="AT263" s="35"/>
      <c r="AU263" s="31"/>
      <c r="AV263" s="36"/>
    </row>
    <row r="264" spans="1:48">
      <c r="A264" s="20"/>
      <c r="D264" s="31"/>
      <c r="E264" s="31"/>
      <c r="F264" s="31"/>
      <c r="G264" s="31"/>
      <c r="H264" s="32"/>
      <c r="J264" s="33"/>
      <c r="K264" s="33"/>
      <c r="L264" s="33"/>
      <c r="X264" s="22"/>
      <c r="Y264" s="22"/>
      <c r="Z264" s="22"/>
      <c r="AA264" s="22"/>
      <c r="AF264" s="22"/>
      <c r="AG264" s="22"/>
      <c r="AH264" s="22"/>
      <c r="AI264" s="22"/>
      <c r="AN264" s="22"/>
      <c r="AO264" s="22"/>
      <c r="AP264" s="22"/>
      <c r="AQ264" s="22"/>
      <c r="AR264" s="35"/>
      <c r="AS264" s="35"/>
      <c r="AT264" s="35"/>
      <c r="AU264" s="31"/>
      <c r="AV264" s="36"/>
    </row>
    <row r="265" spans="1:48">
      <c r="A265" s="20"/>
      <c r="D265" s="31"/>
      <c r="E265" s="31"/>
      <c r="F265" s="31"/>
      <c r="G265" s="31"/>
      <c r="H265" s="32"/>
      <c r="J265" s="33"/>
      <c r="K265" s="33"/>
      <c r="L265" s="33"/>
      <c r="X265" s="22"/>
      <c r="Y265" s="22"/>
      <c r="Z265" s="22"/>
      <c r="AA265" s="22"/>
      <c r="AF265" s="22"/>
      <c r="AG265" s="22"/>
      <c r="AH265" s="22"/>
      <c r="AI265" s="22"/>
      <c r="AN265" s="22"/>
      <c r="AO265" s="22"/>
      <c r="AP265" s="22"/>
      <c r="AQ265" s="22"/>
      <c r="AR265" s="35"/>
      <c r="AS265" s="35"/>
      <c r="AT265" s="35"/>
      <c r="AU265" s="31"/>
      <c r="AV265" s="36"/>
    </row>
    <row r="266" spans="1:48">
      <c r="A266" s="20"/>
      <c r="D266" s="31"/>
      <c r="E266" s="31"/>
      <c r="F266" s="31"/>
      <c r="G266" s="31"/>
      <c r="H266" s="32"/>
      <c r="J266" s="33"/>
      <c r="K266" s="33"/>
      <c r="L266" s="33"/>
      <c r="X266" s="22"/>
      <c r="Y266" s="22"/>
      <c r="Z266" s="22"/>
      <c r="AA266" s="22"/>
      <c r="AF266" s="22"/>
      <c r="AG266" s="22"/>
      <c r="AH266" s="22"/>
      <c r="AI266" s="22"/>
      <c r="AN266" s="22"/>
      <c r="AO266" s="22"/>
      <c r="AP266" s="22"/>
      <c r="AQ266" s="22"/>
      <c r="AR266" s="35"/>
      <c r="AS266" s="35"/>
      <c r="AT266" s="35"/>
      <c r="AU266" s="31"/>
      <c r="AV266" s="36"/>
    </row>
    <row r="267" spans="1:48">
      <c r="A267" s="20"/>
      <c r="D267" s="31"/>
      <c r="E267" s="31"/>
      <c r="F267" s="31"/>
      <c r="G267" s="31"/>
      <c r="H267" s="32"/>
      <c r="J267" s="33"/>
      <c r="K267" s="33"/>
      <c r="L267" s="33"/>
      <c r="X267" s="22"/>
      <c r="Y267" s="22"/>
      <c r="Z267" s="22"/>
      <c r="AA267" s="22"/>
      <c r="AF267" s="22"/>
      <c r="AG267" s="22"/>
      <c r="AH267" s="22"/>
      <c r="AI267" s="22"/>
      <c r="AN267" s="22"/>
      <c r="AO267" s="22"/>
      <c r="AP267" s="22"/>
      <c r="AQ267" s="22"/>
      <c r="AR267" s="35"/>
      <c r="AS267" s="35"/>
      <c r="AT267" s="35"/>
      <c r="AU267" s="31"/>
      <c r="AV267" s="36"/>
    </row>
    <row r="268" spans="1:48">
      <c r="A268" s="20"/>
      <c r="D268" s="31"/>
      <c r="E268" s="31"/>
      <c r="F268" s="31"/>
      <c r="G268" s="31"/>
      <c r="H268" s="32"/>
      <c r="J268" s="33"/>
      <c r="K268" s="33"/>
      <c r="L268" s="33"/>
      <c r="X268" s="22"/>
      <c r="Y268" s="22"/>
      <c r="Z268" s="22"/>
      <c r="AA268" s="22"/>
      <c r="AF268" s="22"/>
      <c r="AG268" s="22"/>
      <c r="AH268" s="22"/>
      <c r="AI268" s="22"/>
      <c r="AN268" s="22"/>
      <c r="AO268" s="22"/>
      <c r="AP268" s="22"/>
      <c r="AQ268" s="22"/>
      <c r="AR268" s="35"/>
      <c r="AS268" s="35"/>
      <c r="AT268" s="35"/>
      <c r="AU268" s="31"/>
      <c r="AV268" s="36"/>
    </row>
    <row r="269" spans="1:48">
      <c r="A269" s="20"/>
      <c r="D269" s="31"/>
      <c r="E269" s="31"/>
      <c r="F269" s="31"/>
      <c r="G269" s="31"/>
      <c r="H269" s="32"/>
      <c r="J269" s="33"/>
      <c r="K269" s="33"/>
      <c r="L269" s="33"/>
      <c r="X269" s="22"/>
      <c r="Y269" s="22"/>
      <c r="Z269" s="22"/>
      <c r="AA269" s="22"/>
      <c r="AF269" s="22"/>
      <c r="AG269" s="22"/>
      <c r="AH269" s="22"/>
      <c r="AI269" s="22"/>
      <c r="AN269" s="22"/>
      <c r="AO269" s="22"/>
      <c r="AP269" s="22"/>
      <c r="AQ269" s="22"/>
      <c r="AR269" s="35"/>
      <c r="AS269" s="35"/>
      <c r="AT269" s="35"/>
      <c r="AU269" s="31"/>
      <c r="AV269" s="36"/>
    </row>
    <row r="270" spans="1:48">
      <c r="A270" s="20"/>
      <c r="D270" s="31"/>
      <c r="E270" s="31"/>
      <c r="F270" s="31"/>
      <c r="G270" s="31"/>
      <c r="H270" s="32"/>
      <c r="J270" s="33"/>
      <c r="K270" s="33"/>
      <c r="L270" s="33"/>
      <c r="X270" s="22"/>
      <c r="Y270" s="22"/>
      <c r="Z270" s="22"/>
      <c r="AA270" s="22"/>
      <c r="AF270" s="22"/>
      <c r="AG270" s="22"/>
      <c r="AH270" s="22"/>
      <c r="AI270" s="22"/>
      <c r="AN270" s="22"/>
      <c r="AO270" s="22"/>
      <c r="AP270" s="22"/>
      <c r="AQ270" s="22"/>
      <c r="AR270" s="35"/>
      <c r="AS270" s="35"/>
      <c r="AT270" s="35"/>
      <c r="AU270" s="31"/>
      <c r="AV270" s="36"/>
    </row>
    <row r="271" spans="1:48">
      <c r="A271" s="20"/>
      <c r="D271" s="31"/>
      <c r="E271" s="31"/>
      <c r="F271" s="31"/>
      <c r="G271" s="31"/>
      <c r="H271" s="32"/>
      <c r="J271" s="33"/>
      <c r="K271" s="33"/>
      <c r="L271" s="33"/>
      <c r="X271" s="22"/>
      <c r="Y271" s="22"/>
      <c r="Z271" s="22"/>
      <c r="AA271" s="22"/>
      <c r="AF271" s="22"/>
      <c r="AG271" s="22"/>
      <c r="AH271" s="22"/>
      <c r="AI271" s="22"/>
      <c r="AN271" s="22"/>
      <c r="AO271" s="22"/>
      <c r="AP271" s="22"/>
      <c r="AQ271" s="22"/>
      <c r="AR271" s="35"/>
      <c r="AS271" s="35"/>
      <c r="AT271" s="35"/>
      <c r="AU271" s="31"/>
      <c r="AV271" s="36"/>
    </row>
    <row r="272" spans="1:48">
      <c r="A272" s="38"/>
      <c r="D272" s="31"/>
      <c r="E272" s="31"/>
      <c r="F272" s="31"/>
      <c r="G272" s="31"/>
      <c r="H272" s="32"/>
      <c r="J272" s="33"/>
      <c r="K272" s="33"/>
      <c r="L272" s="33"/>
      <c r="X272" s="22"/>
      <c r="Y272" s="22"/>
      <c r="Z272" s="22"/>
      <c r="AA272" s="22"/>
      <c r="AF272" s="22"/>
      <c r="AG272" s="22"/>
      <c r="AH272" s="22"/>
      <c r="AI272" s="22"/>
      <c r="AN272" s="22"/>
      <c r="AO272" s="22"/>
      <c r="AP272" s="22"/>
      <c r="AQ272" s="22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2"/>
      <c r="Y273" s="22"/>
      <c r="Z273" s="22"/>
      <c r="AA273" s="22"/>
      <c r="AF273" s="22"/>
      <c r="AG273" s="22"/>
      <c r="AH273" s="22"/>
      <c r="AI273" s="22"/>
      <c r="AN273" s="22"/>
      <c r="AO273" s="22"/>
      <c r="AP273" s="22"/>
      <c r="AQ273" s="22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2"/>
      <c r="Y274" s="22"/>
      <c r="Z274" s="22"/>
      <c r="AA274" s="22"/>
      <c r="AF274" s="22"/>
      <c r="AG274" s="22"/>
      <c r="AH274" s="22"/>
      <c r="AI274" s="22"/>
      <c r="AN274" s="22"/>
      <c r="AO274" s="22"/>
      <c r="AP274" s="22"/>
      <c r="AQ274" s="22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2"/>
      <c r="Y275" s="22"/>
      <c r="Z275" s="22"/>
      <c r="AA275" s="22"/>
      <c r="AF275" s="22"/>
      <c r="AG275" s="22"/>
      <c r="AH275" s="22"/>
      <c r="AI275" s="22"/>
      <c r="AN275" s="22"/>
      <c r="AO275" s="22"/>
      <c r="AP275" s="22"/>
      <c r="AQ275" s="22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2"/>
      <c r="Y276" s="22"/>
      <c r="Z276" s="22"/>
      <c r="AA276" s="22"/>
      <c r="AF276" s="22"/>
      <c r="AG276" s="22"/>
      <c r="AH276" s="22"/>
      <c r="AI276" s="22"/>
      <c r="AN276" s="22"/>
      <c r="AO276" s="22"/>
      <c r="AP276" s="22"/>
      <c r="AQ276" s="22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2"/>
      <c r="Y277" s="22"/>
      <c r="Z277" s="22"/>
      <c r="AA277" s="22"/>
      <c r="AF277" s="22"/>
      <c r="AG277" s="22"/>
      <c r="AH277" s="22"/>
      <c r="AI277" s="22"/>
      <c r="AN277" s="22"/>
      <c r="AO277" s="22"/>
      <c r="AP277" s="22"/>
      <c r="AQ277" s="22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2"/>
      <c r="Y278" s="22"/>
      <c r="Z278" s="22"/>
      <c r="AA278" s="22"/>
      <c r="AF278" s="22"/>
      <c r="AG278" s="22"/>
      <c r="AH278" s="22"/>
      <c r="AI278" s="22"/>
      <c r="AN278" s="22"/>
      <c r="AO278" s="22"/>
      <c r="AP278" s="22"/>
      <c r="AQ278" s="22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2"/>
      <c r="Y279" s="22"/>
      <c r="Z279" s="22"/>
      <c r="AA279" s="22"/>
      <c r="AF279" s="22"/>
      <c r="AG279" s="22"/>
      <c r="AH279" s="22"/>
      <c r="AI279" s="22"/>
      <c r="AN279" s="22"/>
      <c r="AO279" s="22"/>
      <c r="AP279" s="22"/>
      <c r="AQ279" s="22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2"/>
      <c r="Y280" s="22"/>
      <c r="Z280" s="22"/>
      <c r="AA280" s="22"/>
      <c r="AF280" s="22"/>
      <c r="AG280" s="22"/>
      <c r="AH280" s="22"/>
      <c r="AI280" s="22"/>
      <c r="AN280" s="22"/>
      <c r="AO280" s="22"/>
      <c r="AP280" s="22"/>
      <c r="AQ280" s="22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2"/>
      <c r="Y281" s="22"/>
      <c r="Z281" s="22"/>
      <c r="AA281" s="22"/>
      <c r="AF281" s="22"/>
      <c r="AG281" s="22"/>
      <c r="AH281" s="22"/>
      <c r="AI281" s="22"/>
      <c r="AN281" s="22"/>
      <c r="AO281" s="22"/>
      <c r="AP281" s="22"/>
      <c r="AQ281" s="22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6687" operator="lessThan">
      <formula>20</formula>
    </cfRule>
    <cfRule type="cellIs" dxfId="1" priority="66686" operator="greaterThan">
      <formula>120</formula>
    </cfRule>
    <cfRule type="containsText" dxfId="2" priority="66685" operator="between" text="库存为">
      <formula>NOT(ISERROR(SEARCH("库存为",AU2)))</formula>
    </cfRule>
  </conditionalFormatting>
  <conditionalFormatting sqref="AU6">
    <cfRule type="cellIs" dxfId="0" priority="771" operator="lessThan">
      <formula>20</formula>
    </cfRule>
    <cfRule type="cellIs" dxfId="1" priority="514" operator="greaterThan">
      <formula>120</formula>
    </cfRule>
    <cfRule type="containsText" dxfId="2" priority="257" operator="between" text="库存为">
      <formula>NOT(ISERROR(SEARCH("库存为",AU6)))</formula>
    </cfRule>
  </conditionalFormatting>
  <conditionalFormatting sqref="AU7">
    <cfRule type="cellIs" dxfId="0" priority="770" operator="lessThan">
      <formula>20</formula>
    </cfRule>
    <cfRule type="cellIs" dxfId="1" priority="513" operator="greaterThan">
      <formula>120</formula>
    </cfRule>
    <cfRule type="containsText" dxfId="2" priority="256" operator="between" text="库存为">
      <formula>NOT(ISERROR(SEARCH("库存为",AU7)))</formula>
    </cfRule>
  </conditionalFormatting>
  <conditionalFormatting sqref="AU8">
    <cfRule type="cellIs" dxfId="0" priority="769" operator="lessThan">
      <formula>20</formula>
    </cfRule>
    <cfRule type="cellIs" dxfId="1" priority="512" operator="greaterThan">
      <formula>120</formula>
    </cfRule>
    <cfRule type="containsText" dxfId="2" priority="255" operator="between" text="库存为">
      <formula>NOT(ISERROR(SEARCH("库存为",AU8)))</formula>
    </cfRule>
  </conditionalFormatting>
  <conditionalFormatting sqref="AU9">
    <cfRule type="cellIs" dxfId="0" priority="768" operator="lessThan">
      <formula>20</formula>
    </cfRule>
    <cfRule type="cellIs" dxfId="1" priority="511" operator="greaterThan">
      <formula>120</formula>
    </cfRule>
    <cfRule type="containsText" dxfId="2" priority="254" operator="between" text="库存为">
      <formula>NOT(ISERROR(SEARCH("库存为",AU9)))</formula>
    </cfRule>
  </conditionalFormatting>
  <conditionalFormatting sqref="AU10">
    <cfRule type="cellIs" dxfId="0" priority="767" operator="lessThan">
      <formula>20</formula>
    </cfRule>
    <cfRule type="cellIs" dxfId="1" priority="510" operator="greaterThan">
      <formula>120</formula>
    </cfRule>
    <cfRule type="containsText" dxfId="2" priority="253" operator="between" text="库存为">
      <formula>NOT(ISERROR(SEARCH("库存为",AU10)))</formula>
    </cfRule>
  </conditionalFormatting>
  <conditionalFormatting sqref="AU11">
    <cfRule type="cellIs" dxfId="0" priority="766" operator="lessThan">
      <formula>20</formula>
    </cfRule>
    <cfRule type="cellIs" dxfId="1" priority="509" operator="greaterThan">
      <formula>120</formula>
    </cfRule>
    <cfRule type="containsText" dxfId="2" priority="252" operator="between" text="库存为">
      <formula>NOT(ISERROR(SEARCH("库存为",AU11)))</formula>
    </cfRule>
  </conditionalFormatting>
  <conditionalFormatting sqref="AU12">
    <cfRule type="cellIs" dxfId="0" priority="765" operator="lessThan">
      <formula>20</formula>
    </cfRule>
    <cfRule type="cellIs" dxfId="1" priority="508" operator="greaterThan">
      <formula>120</formula>
    </cfRule>
    <cfRule type="containsText" dxfId="2" priority="251" operator="between" text="库存为">
      <formula>NOT(ISERROR(SEARCH("库存为",AU12)))</formula>
    </cfRule>
  </conditionalFormatting>
  <conditionalFormatting sqref="AU13">
    <cfRule type="cellIs" dxfId="0" priority="764" operator="lessThan">
      <formula>20</formula>
    </cfRule>
    <cfRule type="cellIs" dxfId="1" priority="507" operator="greaterThan">
      <formula>120</formula>
    </cfRule>
    <cfRule type="containsText" dxfId="2" priority="250" operator="between" text="库存为">
      <formula>NOT(ISERROR(SEARCH("库存为",AU13)))</formula>
    </cfRule>
  </conditionalFormatting>
  <conditionalFormatting sqref="AU14">
    <cfRule type="cellIs" dxfId="0" priority="763" operator="lessThan">
      <formula>20</formula>
    </cfRule>
    <cfRule type="cellIs" dxfId="1" priority="506" operator="greaterThan">
      <formula>120</formula>
    </cfRule>
    <cfRule type="containsText" dxfId="2" priority="249" operator="between" text="库存为">
      <formula>NOT(ISERROR(SEARCH("库存为",AU14)))</formula>
    </cfRule>
  </conditionalFormatting>
  <conditionalFormatting sqref="AU15">
    <cfRule type="cellIs" dxfId="0" priority="762" operator="lessThan">
      <formula>20</formula>
    </cfRule>
    <cfRule type="cellIs" dxfId="1" priority="505" operator="greaterThan">
      <formula>120</formula>
    </cfRule>
    <cfRule type="containsText" dxfId="2" priority="248" operator="between" text="库存为">
      <formula>NOT(ISERROR(SEARCH("库存为",AU15)))</formula>
    </cfRule>
  </conditionalFormatting>
  <conditionalFormatting sqref="AU16">
    <cfRule type="cellIs" dxfId="0" priority="761" operator="lessThan">
      <formula>20</formula>
    </cfRule>
    <cfRule type="cellIs" dxfId="1" priority="504" operator="greaterThan">
      <formula>120</formula>
    </cfRule>
    <cfRule type="containsText" dxfId="2" priority="247" operator="between" text="库存为">
      <formula>NOT(ISERROR(SEARCH("库存为",AU16)))</formula>
    </cfRule>
  </conditionalFormatting>
  <conditionalFormatting sqref="AU17">
    <cfRule type="cellIs" dxfId="0" priority="760" operator="lessThan">
      <formula>20</formula>
    </cfRule>
    <cfRule type="cellIs" dxfId="1" priority="503" operator="greaterThan">
      <formula>120</formula>
    </cfRule>
    <cfRule type="containsText" dxfId="2" priority="246" operator="between" text="库存为">
      <formula>NOT(ISERROR(SEARCH("库存为",AU17)))</formula>
    </cfRule>
  </conditionalFormatting>
  <conditionalFormatting sqref="AU18">
    <cfRule type="cellIs" dxfId="0" priority="759" operator="lessThan">
      <formula>20</formula>
    </cfRule>
    <cfRule type="cellIs" dxfId="1" priority="502" operator="greaterThan">
      <formula>120</formula>
    </cfRule>
    <cfRule type="containsText" dxfId="2" priority="245" operator="between" text="库存为">
      <formula>NOT(ISERROR(SEARCH("库存为",AU18)))</formula>
    </cfRule>
  </conditionalFormatting>
  <conditionalFormatting sqref="AU19">
    <cfRule type="cellIs" dxfId="0" priority="758" operator="lessThan">
      <formula>20</formula>
    </cfRule>
    <cfRule type="cellIs" dxfId="1" priority="501" operator="greaterThan">
      <formula>120</formula>
    </cfRule>
    <cfRule type="containsText" dxfId="2" priority="244" operator="between" text="库存为">
      <formula>NOT(ISERROR(SEARCH("库存为",AU19)))</formula>
    </cfRule>
  </conditionalFormatting>
  <conditionalFormatting sqref="AU20">
    <cfRule type="cellIs" dxfId="0" priority="757" operator="lessThan">
      <formula>20</formula>
    </cfRule>
    <cfRule type="cellIs" dxfId="1" priority="500" operator="greaterThan">
      <formula>120</formula>
    </cfRule>
    <cfRule type="containsText" dxfId="2" priority="243" operator="between" text="库存为">
      <formula>NOT(ISERROR(SEARCH("库存为",AU20)))</formula>
    </cfRule>
  </conditionalFormatting>
  <conditionalFormatting sqref="AU21">
    <cfRule type="cellIs" dxfId="0" priority="756" operator="lessThan">
      <formula>20</formula>
    </cfRule>
    <cfRule type="cellIs" dxfId="1" priority="499" operator="greaterThan">
      <formula>120</formula>
    </cfRule>
    <cfRule type="containsText" dxfId="2" priority="242" operator="between" text="库存为">
      <formula>NOT(ISERROR(SEARCH("库存为",AU21)))</formula>
    </cfRule>
  </conditionalFormatting>
  <conditionalFormatting sqref="AU22">
    <cfRule type="cellIs" dxfId="0" priority="755" operator="lessThan">
      <formula>20</formula>
    </cfRule>
    <cfRule type="cellIs" dxfId="1" priority="498" operator="greaterThan">
      <formula>120</formula>
    </cfRule>
    <cfRule type="containsText" dxfId="2" priority="241" operator="between" text="库存为">
      <formula>NOT(ISERROR(SEARCH("库存为",AU22)))</formula>
    </cfRule>
  </conditionalFormatting>
  <conditionalFormatting sqref="AU23">
    <cfRule type="cellIs" dxfId="0" priority="754" operator="lessThan">
      <formula>20</formula>
    </cfRule>
    <cfRule type="cellIs" dxfId="1" priority="497" operator="greaterThan">
      <formula>120</formula>
    </cfRule>
    <cfRule type="containsText" dxfId="2" priority="240" operator="between" text="库存为">
      <formula>NOT(ISERROR(SEARCH("库存为",AU23)))</formula>
    </cfRule>
  </conditionalFormatting>
  <conditionalFormatting sqref="AU24">
    <cfRule type="cellIs" dxfId="0" priority="753" operator="lessThan">
      <formula>20</formula>
    </cfRule>
    <cfRule type="cellIs" dxfId="1" priority="496" operator="greaterThan">
      <formula>120</formula>
    </cfRule>
    <cfRule type="containsText" dxfId="2" priority="239" operator="between" text="库存为">
      <formula>NOT(ISERROR(SEARCH("库存为",AU24)))</formula>
    </cfRule>
  </conditionalFormatting>
  <conditionalFormatting sqref="AU25">
    <cfRule type="cellIs" dxfId="0" priority="752" operator="lessThan">
      <formula>20</formula>
    </cfRule>
    <cfRule type="cellIs" dxfId="1" priority="495" operator="greaterThan">
      <formula>120</formula>
    </cfRule>
    <cfRule type="containsText" dxfId="2" priority="238" operator="between" text="库存为">
      <formula>NOT(ISERROR(SEARCH("库存为",AU25)))</formula>
    </cfRule>
  </conditionalFormatting>
  <conditionalFormatting sqref="AU26">
    <cfRule type="cellIs" dxfId="0" priority="751" operator="lessThan">
      <formula>20</formula>
    </cfRule>
    <cfRule type="cellIs" dxfId="1" priority="494" operator="greaterThan">
      <formula>120</formula>
    </cfRule>
    <cfRule type="containsText" dxfId="2" priority="237" operator="between" text="库存为">
      <formula>NOT(ISERROR(SEARCH("库存为",AU26)))</formula>
    </cfRule>
  </conditionalFormatting>
  <conditionalFormatting sqref="AU27">
    <cfRule type="cellIs" dxfId="0" priority="750" operator="lessThan">
      <formula>20</formula>
    </cfRule>
    <cfRule type="cellIs" dxfId="1" priority="493" operator="greaterThan">
      <formula>120</formula>
    </cfRule>
    <cfRule type="containsText" dxfId="2" priority="236" operator="between" text="库存为">
      <formula>NOT(ISERROR(SEARCH("库存为",AU27)))</formula>
    </cfRule>
  </conditionalFormatting>
  <conditionalFormatting sqref="AU28">
    <cfRule type="cellIs" dxfId="0" priority="749" operator="lessThan">
      <formula>20</formula>
    </cfRule>
    <cfRule type="cellIs" dxfId="1" priority="492" operator="greaterThan">
      <formula>120</formula>
    </cfRule>
    <cfRule type="containsText" dxfId="2" priority="235" operator="between" text="库存为">
      <formula>NOT(ISERROR(SEARCH("库存为",AU28)))</formula>
    </cfRule>
  </conditionalFormatting>
  <conditionalFormatting sqref="AU29">
    <cfRule type="cellIs" dxfId="0" priority="748" operator="lessThan">
      <formula>20</formula>
    </cfRule>
    <cfRule type="cellIs" dxfId="1" priority="491" operator="greaterThan">
      <formula>120</formula>
    </cfRule>
    <cfRule type="containsText" dxfId="2" priority="234" operator="between" text="库存为">
      <formula>NOT(ISERROR(SEARCH("库存为",AU29)))</formula>
    </cfRule>
  </conditionalFormatting>
  <conditionalFormatting sqref="AU30">
    <cfRule type="cellIs" dxfId="0" priority="747" operator="lessThan">
      <formula>20</formula>
    </cfRule>
    <cfRule type="cellIs" dxfId="1" priority="490" operator="greaterThan">
      <formula>120</formula>
    </cfRule>
    <cfRule type="containsText" dxfId="2" priority="233" operator="between" text="库存为">
      <formula>NOT(ISERROR(SEARCH("库存为",AU30)))</formula>
    </cfRule>
  </conditionalFormatting>
  <conditionalFormatting sqref="AU31">
    <cfRule type="cellIs" dxfId="0" priority="746" operator="lessThan">
      <formula>20</formula>
    </cfRule>
    <cfRule type="cellIs" dxfId="1" priority="489" operator="greaterThan">
      <formula>120</formula>
    </cfRule>
    <cfRule type="containsText" dxfId="2" priority="232" operator="between" text="库存为">
      <formula>NOT(ISERROR(SEARCH("库存为",AU31)))</formula>
    </cfRule>
  </conditionalFormatting>
  <conditionalFormatting sqref="AU32">
    <cfRule type="cellIs" dxfId="0" priority="745" operator="lessThan">
      <formula>20</formula>
    </cfRule>
    <cfRule type="cellIs" dxfId="1" priority="488" operator="greaterThan">
      <formula>120</formula>
    </cfRule>
    <cfRule type="containsText" dxfId="2" priority="231" operator="between" text="库存为">
      <formula>NOT(ISERROR(SEARCH("库存为",AU32)))</formula>
    </cfRule>
  </conditionalFormatting>
  <conditionalFormatting sqref="AU33">
    <cfRule type="cellIs" dxfId="0" priority="744" operator="lessThan">
      <formula>20</formula>
    </cfRule>
    <cfRule type="cellIs" dxfId="1" priority="487" operator="greaterThan">
      <formula>120</formula>
    </cfRule>
    <cfRule type="containsText" dxfId="2" priority="230" operator="between" text="库存为">
      <formula>NOT(ISERROR(SEARCH("库存为",AU33)))</formula>
    </cfRule>
  </conditionalFormatting>
  <conditionalFormatting sqref="AU34">
    <cfRule type="cellIs" dxfId="0" priority="743" operator="lessThan">
      <formula>20</formula>
    </cfRule>
    <cfRule type="cellIs" dxfId="1" priority="486" operator="greaterThan">
      <formula>120</formula>
    </cfRule>
    <cfRule type="containsText" dxfId="2" priority="229" operator="between" text="库存为">
      <formula>NOT(ISERROR(SEARCH("库存为",AU34)))</formula>
    </cfRule>
  </conditionalFormatting>
  <conditionalFormatting sqref="AU35">
    <cfRule type="cellIs" dxfId="0" priority="742" operator="lessThan">
      <formula>20</formula>
    </cfRule>
    <cfRule type="cellIs" dxfId="1" priority="485" operator="greaterThan">
      <formula>120</formula>
    </cfRule>
    <cfRule type="containsText" dxfId="2" priority="228" operator="between" text="库存为">
      <formula>NOT(ISERROR(SEARCH("库存为",AU35)))</formula>
    </cfRule>
  </conditionalFormatting>
  <conditionalFormatting sqref="AU36">
    <cfRule type="cellIs" dxfId="0" priority="741" operator="lessThan">
      <formula>20</formula>
    </cfRule>
    <cfRule type="cellIs" dxfId="1" priority="484" operator="greaterThan">
      <formula>120</formula>
    </cfRule>
    <cfRule type="containsText" dxfId="2" priority="227" operator="between" text="库存为">
      <formula>NOT(ISERROR(SEARCH("库存为",AU36)))</formula>
    </cfRule>
  </conditionalFormatting>
  <conditionalFormatting sqref="AU37">
    <cfRule type="cellIs" dxfId="0" priority="740" operator="lessThan">
      <formula>20</formula>
    </cfRule>
    <cfRule type="cellIs" dxfId="1" priority="483" operator="greaterThan">
      <formula>120</formula>
    </cfRule>
    <cfRule type="containsText" dxfId="2" priority="226" operator="between" text="库存为">
      <formula>NOT(ISERROR(SEARCH("库存为",AU37)))</formula>
    </cfRule>
  </conditionalFormatting>
  <conditionalFormatting sqref="AU38">
    <cfRule type="cellIs" dxfId="0" priority="739" operator="lessThan">
      <formula>20</formula>
    </cfRule>
    <cfRule type="cellIs" dxfId="1" priority="482" operator="greaterThan">
      <formula>120</formula>
    </cfRule>
    <cfRule type="containsText" dxfId="2" priority="225" operator="between" text="库存为">
      <formula>NOT(ISERROR(SEARCH("库存为",AU38)))</formula>
    </cfRule>
  </conditionalFormatting>
  <conditionalFormatting sqref="AU39">
    <cfRule type="cellIs" dxfId="0" priority="738" operator="lessThan">
      <formula>20</formula>
    </cfRule>
    <cfRule type="cellIs" dxfId="1" priority="481" operator="greaterThan">
      <formula>120</formula>
    </cfRule>
    <cfRule type="containsText" dxfId="2" priority="224" operator="between" text="库存为">
      <formula>NOT(ISERROR(SEARCH("库存为",AU39)))</formula>
    </cfRule>
  </conditionalFormatting>
  <conditionalFormatting sqref="AU40">
    <cfRule type="cellIs" dxfId="0" priority="737" operator="lessThan">
      <formula>20</formula>
    </cfRule>
    <cfRule type="cellIs" dxfId="1" priority="480" operator="greaterThan">
      <formula>120</formula>
    </cfRule>
    <cfRule type="containsText" dxfId="2" priority="223" operator="between" text="库存为">
      <formula>NOT(ISERROR(SEARCH("库存为",AU40)))</formula>
    </cfRule>
  </conditionalFormatting>
  <conditionalFormatting sqref="AU41">
    <cfRule type="cellIs" dxfId="0" priority="736" operator="lessThan">
      <formula>20</formula>
    </cfRule>
    <cfRule type="cellIs" dxfId="1" priority="479" operator="greaterThan">
      <formula>120</formula>
    </cfRule>
    <cfRule type="containsText" dxfId="2" priority="222" operator="between" text="库存为">
      <formula>NOT(ISERROR(SEARCH("库存为",AU41)))</formula>
    </cfRule>
  </conditionalFormatting>
  <conditionalFormatting sqref="AU42">
    <cfRule type="cellIs" dxfId="0" priority="735" operator="lessThan">
      <formula>20</formula>
    </cfRule>
    <cfRule type="cellIs" dxfId="1" priority="478" operator="greaterThan">
      <formula>120</formula>
    </cfRule>
    <cfRule type="containsText" dxfId="2" priority="221" operator="between" text="库存为">
      <formula>NOT(ISERROR(SEARCH("库存为",AU42)))</formula>
    </cfRule>
  </conditionalFormatting>
  <conditionalFormatting sqref="AU43">
    <cfRule type="cellIs" dxfId="0" priority="734" operator="lessThan">
      <formula>20</formula>
    </cfRule>
    <cfRule type="cellIs" dxfId="1" priority="477" operator="greaterThan">
      <formula>120</formula>
    </cfRule>
    <cfRule type="containsText" dxfId="2" priority="220" operator="between" text="库存为">
      <formula>NOT(ISERROR(SEARCH("库存为",AU43)))</formula>
    </cfRule>
  </conditionalFormatting>
  <conditionalFormatting sqref="AU44">
    <cfRule type="cellIs" dxfId="0" priority="733" operator="lessThan">
      <formula>20</formula>
    </cfRule>
    <cfRule type="cellIs" dxfId="1" priority="476" operator="greaterThan">
      <formula>120</formula>
    </cfRule>
    <cfRule type="containsText" dxfId="2" priority="219" operator="between" text="库存为">
      <formula>NOT(ISERROR(SEARCH("库存为",AU44)))</formula>
    </cfRule>
  </conditionalFormatting>
  <conditionalFormatting sqref="AU45">
    <cfRule type="cellIs" dxfId="0" priority="732" operator="lessThan">
      <formula>20</formula>
    </cfRule>
    <cfRule type="cellIs" dxfId="1" priority="475" operator="greaterThan">
      <formula>120</formula>
    </cfRule>
    <cfRule type="containsText" dxfId="2" priority="218" operator="between" text="库存为">
      <formula>NOT(ISERROR(SEARCH("库存为",AU45)))</formula>
    </cfRule>
  </conditionalFormatting>
  <conditionalFormatting sqref="AU46">
    <cfRule type="cellIs" dxfId="0" priority="731" operator="lessThan">
      <formula>20</formula>
    </cfRule>
    <cfRule type="cellIs" dxfId="1" priority="474" operator="greaterThan">
      <formula>120</formula>
    </cfRule>
    <cfRule type="containsText" dxfId="2" priority="217" operator="between" text="库存为">
      <formula>NOT(ISERROR(SEARCH("库存为",AU46)))</formula>
    </cfRule>
  </conditionalFormatting>
  <conditionalFormatting sqref="AU47">
    <cfRule type="cellIs" dxfId="0" priority="730" operator="lessThan">
      <formula>20</formula>
    </cfRule>
    <cfRule type="cellIs" dxfId="1" priority="473" operator="greaterThan">
      <formula>120</formula>
    </cfRule>
    <cfRule type="containsText" dxfId="2" priority="216" operator="between" text="库存为">
      <formula>NOT(ISERROR(SEARCH("库存为",AU47)))</formula>
    </cfRule>
  </conditionalFormatting>
  <conditionalFormatting sqref="AU48">
    <cfRule type="cellIs" dxfId="0" priority="729" operator="lessThan">
      <formula>20</formula>
    </cfRule>
    <cfRule type="cellIs" dxfId="1" priority="472" operator="greaterThan">
      <formula>120</formula>
    </cfRule>
    <cfRule type="containsText" dxfId="2" priority="215" operator="between" text="库存为">
      <formula>NOT(ISERROR(SEARCH("库存为",AU48)))</formula>
    </cfRule>
  </conditionalFormatting>
  <conditionalFormatting sqref="AU49">
    <cfRule type="cellIs" dxfId="0" priority="728" operator="lessThan">
      <formula>20</formula>
    </cfRule>
    <cfRule type="cellIs" dxfId="1" priority="471" operator="greaterThan">
      <formula>120</formula>
    </cfRule>
    <cfRule type="containsText" dxfId="2" priority="214" operator="between" text="库存为">
      <formula>NOT(ISERROR(SEARCH("库存为",AU49)))</formula>
    </cfRule>
  </conditionalFormatting>
  <conditionalFormatting sqref="AU50">
    <cfRule type="cellIs" dxfId="0" priority="727" operator="lessThan">
      <formula>20</formula>
    </cfRule>
    <cfRule type="cellIs" dxfId="1" priority="470" operator="greaterThan">
      <formula>120</formula>
    </cfRule>
    <cfRule type="containsText" dxfId="2" priority="213" operator="between" text="库存为">
      <formula>NOT(ISERROR(SEARCH("库存为",AU50)))</formula>
    </cfRule>
  </conditionalFormatting>
  <conditionalFormatting sqref="AU51">
    <cfRule type="cellIs" dxfId="0" priority="726" operator="lessThan">
      <formula>20</formula>
    </cfRule>
    <cfRule type="cellIs" dxfId="1" priority="469" operator="greaterThan">
      <formula>120</formula>
    </cfRule>
    <cfRule type="containsText" dxfId="2" priority="212" operator="between" text="库存为">
      <formula>NOT(ISERROR(SEARCH("库存为",AU51)))</formula>
    </cfRule>
  </conditionalFormatting>
  <conditionalFormatting sqref="AU52">
    <cfRule type="cellIs" dxfId="0" priority="725" operator="lessThan">
      <formula>20</formula>
    </cfRule>
    <cfRule type="cellIs" dxfId="1" priority="468" operator="greaterThan">
      <formula>120</formula>
    </cfRule>
    <cfRule type="containsText" dxfId="2" priority="211" operator="between" text="库存为">
      <formula>NOT(ISERROR(SEARCH("库存为",AU52)))</formula>
    </cfRule>
  </conditionalFormatting>
  <conditionalFormatting sqref="AU53">
    <cfRule type="cellIs" dxfId="0" priority="724" operator="lessThan">
      <formula>20</formula>
    </cfRule>
    <cfRule type="cellIs" dxfId="1" priority="467" operator="greaterThan">
      <formula>120</formula>
    </cfRule>
    <cfRule type="containsText" dxfId="2" priority="210" operator="between" text="库存为">
      <formula>NOT(ISERROR(SEARCH("库存为",AU53)))</formula>
    </cfRule>
  </conditionalFormatting>
  <conditionalFormatting sqref="AU54">
    <cfRule type="cellIs" dxfId="0" priority="723" operator="lessThan">
      <formula>20</formula>
    </cfRule>
    <cfRule type="cellIs" dxfId="1" priority="466" operator="greaterThan">
      <formula>120</formula>
    </cfRule>
    <cfRule type="containsText" dxfId="2" priority="209" operator="between" text="库存为">
      <formula>NOT(ISERROR(SEARCH("库存为",AU54)))</formula>
    </cfRule>
  </conditionalFormatting>
  <conditionalFormatting sqref="AU55">
    <cfRule type="cellIs" dxfId="0" priority="722" operator="lessThan">
      <formula>20</formula>
    </cfRule>
    <cfRule type="cellIs" dxfId="1" priority="465" operator="greaterThan">
      <formula>120</formula>
    </cfRule>
    <cfRule type="containsText" dxfId="2" priority="208" operator="between" text="库存为">
      <formula>NOT(ISERROR(SEARCH("库存为",AU55)))</formula>
    </cfRule>
  </conditionalFormatting>
  <conditionalFormatting sqref="AU56">
    <cfRule type="cellIs" dxfId="0" priority="721" operator="lessThan">
      <formula>20</formula>
    </cfRule>
    <cfRule type="cellIs" dxfId="1" priority="464" operator="greaterThan">
      <formula>120</formula>
    </cfRule>
    <cfRule type="containsText" dxfId="2" priority="207" operator="between" text="库存为">
      <formula>NOT(ISERROR(SEARCH("库存为",AU56)))</formula>
    </cfRule>
  </conditionalFormatting>
  <conditionalFormatting sqref="AU57">
    <cfRule type="cellIs" dxfId="0" priority="720" operator="lessThan">
      <formula>20</formula>
    </cfRule>
    <cfRule type="cellIs" dxfId="1" priority="463" operator="greaterThan">
      <formula>120</formula>
    </cfRule>
    <cfRule type="containsText" dxfId="2" priority="206" operator="between" text="库存为">
      <formula>NOT(ISERROR(SEARCH("库存为",AU57)))</formula>
    </cfRule>
  </conditionalFormatting>
  <conditionalFormatting sqref="AU58">
    <cfRule type="cellIs" dxfId="0" priority="719" operator="lessThan">
      <formula>20</formula>
    </cfRule>
    <cfRule type="cellIs" dxfId="1" priority="462" operator="greaterThan">
      <formula>120</formula>
    </cfRule>
    <cfRule type="containsText" dxfId="2" priority="205" operator="between" text="库存为">
      <formula>NOT(ISERROR(SEARCH("库存为",AU58)))</formula>
    </cfRule>
  </conditionalFormatting>
  <conditionalFormatting sqref="AU59">
    <cfRule type="cellIs" dxfId="0" priority="718" operator="lessThan">
      <formula>20</formula>
    </cfRule>
    <cfRule type="cellIs" dxfId="1" priority="461" operator="greaterThan">
      <formula>120</formula>
    </cfRule>
    <cfRule type="containsText" dxfId="2" priority="204" operator="between" text="库存为">
      <formula>NOT(ISERROR(SEARCH("库存为",AU59)))</formula>
    </cfRule>
  </conditionalFormatting>
  <conditionalFormatting sqref="AU60">
    <cfRule type="cellIs" dxfId="0" priority="717" operator="lessThan">
      <formula>20</formula>
    </cfRule>
    <cfRule type="cellIs" dxfId="1" priority="460" operator="greaterThan">
      <formula>120</formula>
    </cfRule>
    <cfRule type="containsText" dxfId="2" priority="203" operator="between" text="库存为">
      <formula>NOT(ISERROR(SEARCH("库存为",AU60)))</formula>
    </cfRule>
  </conditionalFormatting>
  <conditionalFormatting sqref="AU61">
    <cfRule type="cellIs" dxfId="0" priority="716" operator="lessThan">
      <formula>20</formula>
    </cfRule>
    <cfRule type="cellIs" dxfId="1" priority="459" operator="greaterThan">
      <formula>120</formula>
    </cfRule>
    <cfRule type="containsText" dxfId="2" priority="202" operator="between" text="库存为">
      <formula>NOT(ISERROR(SEARCH("库存为",AU61)))</formula>
    </cfRule>
  </conditionalFormatting>
  <conditionalFormatting sqref="AU62">
    <cfRule type="cellIs" dxfId="0" priority="715" operator="lessThan">
      <formula>20</formula>
    </cfRule>
    <cfRule type="cellIs" dxfId="1" priority="458" operator="greaterThan">
      <formula>120</formula>
    </cfRule>
    <cfRule type="containsText" dxfId="2" priority="201" operator="between" text="库存为">
      <formula>NOT(ISERROR(SEARCH("库存为",AU62)))</formula>
    </cfRule>
  </conditionalFormatting>
  <conditionalFormatting sqref="AU63">
    <cfRule type="cellIs" dxfId="0" priority="714" operator="lessThan">
      <formula>20</formula>
    </cfRule>
    <cfRule type="cellIs" dxfId="1" priority="457" operator="greaterThan">
      <formula>120</formula>
    </cfRule>
    <cfRule type="containsText" dxfId="2" priority="200" operator="between" text="库存为">
      <formula>NOT(ISERROR(SEARCH("库存为",AU63)))</formula>
    </cfRule>
  </conditionalFormatting>
  <conditionalFormatting sqref="AU64">
    <cfRule type="cellIs" dxfId="0" priority="713" operator="lessThan">
      <formula>20</formula>
    </cfRule>
    <cfRule type="cellIs" dxfId="1" priority="456" operator="greaterThan">
      <formula>120</formula>
    </cfRule>
    <cfRule type="containsText" dxfId="2" priority="199" operator="between" text="库存为">
      <formula>NOT(ISERROR(SEARCH("库存为",AU64)))</formula>
    </cfRule>
  </conditionalFormatting>
  <conditionalFormatting sqref="AU65">
    <cfRule type="cellIs" dxfId="0" priority="712" operator="lessThan">
      <formula>20</formula>
    </cfRule>
    <cfRule type="cellIs" dxfId="1" priority="455" operator="greaterThan">
      <formula>120</formula>
    </cfRule>
    <cfRule type="containsText" dxfId="2" priority="198" operator="between" text="库存为">
      <formula>NOT(ISERROR(SEARCH("库存为",AU65)))</formula>
    </cfRule>
  </conditionalFormatting>
  <conditionalFormatting sqref="AU66">
    <cfRule type="cellIs" dxfId="0" priority="711" operator="lessThan">
      <formula>20</formula>
    </cfRule>
    <cfRule type="cellIs" dxfId="1" priority="454" operator="greaterThan">
      <formula>120</formula>
    </cfRule>
    <cfRule type="containsText" dxfId="2" priority="197" operator="between" text="库存为">
      <formula>NOT(ISERROR(SEARCH("库存为",AU66)))</formula>
    </cfRule>
  </conditionalFormatting>
  <conditionalFormatting sqref="AU67">
    <cfRule type="cellIs" dxfId="0" priority="710" operator="lessThan">
      <formula>20</formula>
    </cfRule>
    <cfRule type="cellIs" dxfId="1" priority="453" operator="greaterThan">
      <formula>120</formula>
    </cfRule>
    <cfRule type="containsText" dxfId="2" priority="196" operator="between" text="库存为">
      <formula>NOT(ISERROR(SEARCH("库存为",AU67)))</formula>
    </cfRule>
  </conditionalFormatting>
  <conditionalFormatting sqref="AU68">
    <cfRule type="cellIs" dxfId="0" priority="709" operator="lessThan">
      <formula>20</formula>
    </cfRule>
    <cfRule type="cellIs" dxfId="1" priority="452" operator="greaterThan">
      <formula>120</formula>
    </cfRule>
    <cfRule type="containsText" dxfId="2" priority="195" operator="between" text="库存为">
      <formula>NOT(ISERROR(SEARCH("库存为",AU68)))</formula>
    </cfRule>
  </conditionalFormatting>
  <conditionalFormatting sqref="AU69">
    <cfRule type="cellIs" dxfId="0" priority="708" operator="lessThan">
      <formula>20</formula>
    </cfRule>
    <cfRule type="cellIs" dxfId="1" priority="451" operator="greaterThan">
      <formula>120</formula>
    </cfRule>
    <cfRule type="containsText" dxfId="2" priority="194" operator="between" text="库存为">
      <formula>NOT(ISERROR(SEARCH("库存为",AU69)))</formula>
    </cfRule>
  </conditionalFormatting>
  <conditionalFormatting sqref="AU70">
    <cfRule type="cellIs" dxfId="0" priority="707" operator="lessThan">
      <formula>20</formula>
    </cfRule>
    <cfRule type="cellIs" dxfId="1" priority="450" operator="greaterThan">
      <formula>120</formula>
    </cfRule>
    <cfRule type="containsText" dxfId="2" priority="193" operator="between" text="库存为">
      <formula>NOT(ISERROR(SEARCH("库存为",AU70)))</formula>
    </cfRule>
  </conditionalFormatting>
  <conditionalFormatting sqref="AU71">
    <cfRule type="cellIs" dxfId="0" priority="706" operator="lessThan">
      <formula>20</formula>
    </cfRule>
    <cfRule type="cellIs" dxfId="1" priority="449" operator="greaterThan">
      <formula>120</formula>
    </cfRule>
    <cfRule type="containsText" dxfId="2" priority="192" operator="between" text="库存为">
      <formula>NOT(ISERROR(SEARCH("库存为",AU71)))</formula>
    </cfRule>
  </conditionalFormatting>
  <conditionalFormatting sqref="AU72">
    <cfRule type="cellIs" dxfId="0" priority="705" operator="lessThan">
      <formula>20</formula>
    </cfRule>
    <cfRule type="cellIs" dxfId="1" priority="448" operator="greaterThan">
      <formula>120</formula>
    </cfRule>
    <cfRule type="containsText" dxfId="2" priority="191" operator="between" text="库存为">
      <formula>NOT(ISERROR(SEARCH("库存为",AU72)))</formula>
    </cfRule>
  </conditionalFormatting>
  <conditionalFormatting sqref="AU73">
    <cfRule type="cellIs" dxfId="0" priority="704" operator="lessThan">
      <formula>20</formula>
    </cfRule>
    <cfRule type="cellIs" dxfId="1" priority="447" operator="greaterThan">
      <formula>120</formula>
    </cfRule>
    <cfRule type="containsText" dxfId="2" priority="190" operator="between" text="库存为">
      <formula>NOT(ISERROR(SEARCH("库存为",AU73)))</formula>
    </cfRule>
  </conditionalFormatting>
  <conditionalFormatting sqref="AU74">
    <cfRule type="cellIs" dxfId="0" priority="703" operator="lessThan">
      <formula>20</formula>
    </cfRule>
    <cfRule type="cellIs" dxfId="1" priority="446" operator="greaterThan">
      <formula>120</formula>
    </cfRule>
    <cfRule type="containsText" dxfId="2" priority="189" operator="between" text="库存为">
      <formula>NOT(ISERROR(SEARCH("库存为",AU74)))</formula>
    </cfRule>
  </conditionalFormatting>
  <conditionalFormatting sqref="AU75">
    <cfRule type="cellIs" dxfId="0" priority="702" operator="lessThan">
      <formula>20</formula>
    </cfRule>
    <cfRule type="cellIs" dxfId="1" priority="445" operator="greaterThan">
      <formula>120</formula>
    </cfRule>
    <cfRule type="containsText" dxfId="2" priority="188" operator="between" text="库存为">
      <formula>NOT(ISERROR(SEARCH("库存为",AU75)))</formula>
    </cfRule>
  </conditionalFormatting>
  <conditionalFormatting sqref="AU76">
    <cfRule type="cellIs" dxfId="0" priority="701" operator="lessThan">
      <formula>20</formula>
    </cfRule>
    <cfRule type="cellIs" dxfId="1" priority="444" operator="greaterThan">
      <formula>120</formula>
    </cfRule>
    <cfRule type="containsText" dxfId="2" priority="187" operator="between" text="库存为">
      <formula>NOT(ISERROR(SEARCH("库存为",AU76)))</formula>
    </cfRule>
  </conditionalFormatting>
  <conditionalFormatting sqref="AU77">
    <cfRule type="cellIs" dxfId="0" priority="700" operator="lessThan">
      <formula>20</formula>
    </cfRule>
    <cfRule type="cellIs" dxfId="1" priority="443" operator="greaterThan">
      <formula>120</formula>
    </cfRule>
    <cfRule type="containsText" dxfId="2" priority="186" operator="between" text="库存为">
      <formula>NOT(ISERROR(SEARCH("库存为",AU77)))</formula>
    </cfRule>
  </conditionalFormatting>
  <conditionalFormatting sqref="AU78">
    <cfRule type="cellIs" dxfId="0" priority="699" operator="lessThan">
      <formula>20</formula>
    </cfRule>
    <cfRule type="cellIs" dxfId="1" priority="442" operator="greaterThan">
      <formula>120</formula>
    </cfRule>
    <cfRule type="containsText" dxfId="2" priority="185" operator="between" text="库存为">
      <formula>NOT(ISERROR(SEARCH("库存为",AU78)))</formula>
    </cfRule>
  </conditionalFormatting>
  <conditionalFormatting sqref="AU79">
    <cfRule type="cellIs" dxfId="0" priority="698" operator="lessThan">
      <formula>20</formula>
    </cfRule>
    <cfRule type="cellIs" dxfId="1" priority="441" operator="greaterThan">
      <formula>120</formula>
    </cfRule>
    <cfRule type="containsText" dxfId="2" priority="184" operator="between" text="库存为">
      <formula>NOT(ISERROR(SEARCH("库存为",AU79)))</formula>
    </cfRule>
  </conditionalFormatting>
  <conditionalFormatting sqref="AU80">
    <cfRule type="cellIs" dxfId="0" priority="697" operator="lessThan">
      <formula>20</formula>
    </cfRule>
    <cfRule type="cellIs" dxfId="1" priority="440" operator="greaterThan">
      <formula>120</formula>
    </cfRule>
    <cfRule type="containsText" dxfId="2" priority="183" operator="between" text="库存为">
      <formula>NOT(ISERROR(SEARCH("库存为",AU80)))</formula>
    </cfRule>
  </conditionalFormatting>
  <conditionalFormatting sqref="AU81">
    <cfRule type="cellIs" dxfId="0" priority="696" operator="lessThan">
      <formula>20</formula>
    </cfRule>
    <cfRule type="cellIs" dxfId="1" priority="439" operator="greaterThan">
      <formula>120</formula>
    </cfRule>
    <cfRule type="containsText" dxfId="2" priority="182" operator="between" text="库存为">
      <formula>NOT(ISERROR(SEARCH("库存为",AU81)))</formula>
    </cfRule>
  </conditionalFormatting>
  <conditionalFormatting sqref="AU82">
    <cfRule type="cellIs" dxfId="0" priority="695" operator="lessThan">
      <formula>20</formula>
    </cfRule>
    <cfRule type="cellIs" dxfId="1" priority="438" operator="greaterThan">
      <formula>120</formula>
    </cfRule>
    <cfRule type="containsText" dxfId="2" priority="181" operator="between" text="库存为">
      <formula>NOT(ISERROR(SEARCH("库存为",AU82)))</formula>
    </cfRule>
  </conditionalFormatting>
  <conditionalFormatting sqref="AU83">
    <cfRule type="cellIs" dxfId="0" priority="694" operator="lessThan">
      <formula>20</formula>
    </cfRule>
    <cfRule type="cellIs" dxfId="1" priority="437" operator="greaterThan">
      <formula>120</formula>
    </cfRule>
    <cfRule type="containsText" dxfId="2" priority="180" operator="between" text="库存为">
      <formula>NOT(ISERROR(SEARCH("库存为",AU83)))</formula>
    </cfRule>
  </conditionalFormatting>
  <conditionalFormatting sqref="AU84">
    <cfRule type="cellIs" dxfId="0" priority="693" operator="lessThan">
      <formula>20</formula>
    </cfRule>
    <cfRule type="cellIs" dxfId="1" priority="436" operator="greaterThan">
      <formula>120</formula>
    </cfRule>
    <cfRule type="containsText" dxfId="2" priority="179" operator="between" text="库存为">
      <formula>NOT(ISERROR(SEARCH("库存为",AU84)))</formula>
    </cfRule>
  </conditionalFormatting>
  <conditionalFormatting sqref="AU85">
    <cfRule type="cellIs" dxfId="0" priority="692" operator="lessThan">
      <formula>20</formula>
    </cfRule>
    <cfRule type="cellIs" dxfId="1" priority="435" operator="greaterThan">
      <formula>120</formula>
    </cfRule>
    <cfRule type="containsText" dxfId="2" priority="178" operator="between" text="库存为">
      <formula>NOT(ISERROR(SEARCH("库存为",AU85)))</formula>
    </cfRule>
  </conditionalFormatting>
  <conditionalFormatting sqref="AU86">
    <cfRule type="cellIs" dxfId="0" priority="691" operator="lessThan">
      <formula>20</formula>
    </cfRule>
    <cfRule type="cellIs" dxfId="1" priority="434" operator="greaterThan">
      <formula>120</formula>
    </cfRule>
    <cfRule type="containsText" dxfId="2" priority="177" operator="between" text="库存为">
      <formula>NOT(ISERROR(SEARCH("库存为",AU86)))</formula>
    </cfRule>
  </conditionalFormatting>
  <conditionalFormatting sqref="AU87">
    <cfRule type="cellIs" dxfId="0" priority="690" operator="lessThan">
      <formula>20</formula>
    </cfRule>
    <cfRule type="cellIs" dxfId="1" priority="433" operator="greaterThan">
      <formula>120</formula>
    </cfRule>
    <cfRule type="containsText" dxfId="2" priority="176" operator="between" text="库存为">
      <formula>NOT(ISERROR(SEARCH("库存为",AU87)))</formula>
    </cfRule>
  </conditionalFormatting>
  <conditionalFormatting sqref="AU88">
    <cfRule type="cellIs" dxfId="0" priority="689" operator="lessThan">
      <formula>20</formula>
    </cfRule>
    <cfRule type="cellIs" dxfId="1" priority="432" operator="greaterThan">
      <formula>120</formula>
    </cfRule>
    <cfRule type="containsText" dxfId="2" priority="175" operator="between" text="库存为">
      <formula>NOT(ISERROR(SEARCH("库存为",AU88)))</formula>
    </cfRule>
  </conditionalFormatting>
  <conditionalFormatting sqref="AU89">
    <cfRule type="cellIs" dxfId="0" priority="688" operator="lessThan">
      <formula>20</formula>
    </cfRule>
    <cfRule type="cellIs" dxfId="1" priority="431" operator="greaterThan">
      <formula>120</formula>
    </cfRule>
    <cfRule type="containsText" dxfId="2" priority="174" operator="between" text="库存为">
      <formula>NOT(ISERROR(SEARCH("库存为",AU89)))</formula>
    </cfRule>
  </conditionalFormatting>
  <conditionalFormatting sqref="AU90">
    <cfRule type="cellIs" dxfId="0" priority="687" operator="lessThan">
      <formula>20</formula>
    </cfRule>
    <cfRule type="cellIs" dxfId="1" priority="430" operator="greaterThan">
      <formula>120</formula>
    </cfRule>
    <cfRule type="containsText" dxfId="2" priority="173" operator="between" text="库存为">
      <formula>NOT(ISERROR(SEARCH("库存为",AU90)))</formula>
    </cfRule>
  </conditionalFormatting>
  <conditionalFormatting sqref="AU91">
    <cfRule type="cellIs" dxfId="0" priority="686" operator="lessThan">
      <formula>20</formula>
    </cfRule>
    <cfRule type="cellIs" dxfId="1" priority="429" operator="greaterThan">
      <formula>120</formula>
    </cfRule>
    <cfRule type="containsText" dxfId="2" priority="172" operator="between" text="库存为">
      <formula>NOT(ISERROR(SEARCH("库存为",AU91)))</formula>
    </cfRule>
  </conditionalFormatting>
  <conditionalFormatting sqref="AU92">
    <cfRule type="cellIs" dxfId="0" priority="685" operator="lessThan">
      <formula>20</formula>
    </cfRule>
    <cfRule type="cellIs" dxfId="1" priority="428" operator="greaterThan">
      <formula>120</formula>
    </cfRule>
    <cfRule type="containsText" dxfId="2" priority="171" operator="between" text="库存为">
      <formula>NOT(ISERROR(SEARCH("库存为",AU92)))</formula>
    </cfRule>
  </conditionalFormatting>
  <conditionalFormatting sqref="AU93">
    <cfRule type="cellIs" dxfId="0" priority="684" operator="lessThan">
      <formula>20</formula>
    </cfRule>
    <cfRule type="cellIs" dxfId="1" priority="427" operator="greaterThan">
      <formula>120</formula>
    </cfRule>
    <cfRule type="containsText" dxfId="2" priority="170" operator="between" text="库存为">
      <formula>NOT(ISERROR(SEARCH("库存为",AU93)))</formula>
    </cfRule>
  </conditionalFormatting>
  <conditionalFormatting sqref="AU94">
    <cfRule type="cellIs" dxfId="0" priority="683" operator="lessThan">
      <formula>20</formula>
    </cfRule>
    <cfRule type="cellIs" dxfId="1" priority="426" operator="greaterThan">
      <formula>120</formula>
    </cfRule>
    <cfRule type="containsText" dxfId="2" priority="169" operator="between" text="库存为">
      <formula>NOT(ISERROR(SEARCH("库存为",AU94)))</formula>
    </cfRule>
  </conditionalFormatting>
  <conditionalFormatting sqref="AU95">
    <cfRule type="cellIs" dxfId="0" priority="682" operator="lessThan">
      <formula>20</formula>
    </cfRule>
    <cfRule type="cellIs" dxfId="1" priority="425" operator="greaterThan">
      <formula>120</formula>
    </cfRule>
    <cfRule type="containsText" dxfId="2" priority="168" operator="between" text="库存为">
      <formula>NOT(ISERROR(SEARCH("库存为",AU95)))</formula>
    </cfRule>
  </conditionalFormatting>
  <conditionalFormatting sqref="AU96">
    <cfRule type="cellIs" dxfId="0" priority="681" operator="lessThan">
      <formula>20</formula>
    </cfRule>
    <cfRule type="cellIs" dxfId="1" priority="424" operator="greaterThan">
      <formula>120</formula>
    </cfRule>
    <cfRule type="containsText" dxfId="2" priority="167" operator="between" text="库存为">
      <formula>NOT(ISERROR(SEARCH("库存为",AU96)))</formula>
    </cfRule>
  </conditionalFormatting>
  <conditionalFormatting sqref="AU97">
    <cfRule type="cellIs" dxfId="0" priority="680" operator="lessThan">
      <formula>20</formula>
    </cfRule>
    <cfRule type="cellIs" dxfId="1" priority="423" operator="greaterThan">
      <formula>120</formula>
    </cfRule>
    <cfRule type="containsText" dxfId="2" priority="166" operator="between" text="库存为">
      <formula>NOT(ISERROR(SEARCH("库存为",AU97)))</formula>
    </cfRule>
  </conditionalFormatting>
  <conditionalFormatting sqref="AU98">
    <cfRule type="cellIs" dxfId="0" priority="679" operator="lessThan">
      <formula>20</formula>
    </cfRule>
    <cfRule type="cellIs" dxfId="1" priority="422" operator="greaterThan">
      <formula>120</formula>
    </cfRule>
    <cfRule type="containsText" dxfId="2" priority="165" operator="between" text="库存为">
      <formula>NOT(ISERROR(SEARCH("库存为",AU98)))</formula>
    </cfRule>
  </conditionalFormatting>
  <conditionalFormatting sqref="AU99">
    <cfRule type="cellIs" dxfId="0" priority="678" operator="lessThan">
      <formula>20</formula>
    </cfRule>
    <cfRule type="cellIs" dxfId="1" priority="421" operator="greaterThan">
      <formula>120</formula>
    </cfRule>
    <cfRule type="containsText" dxfId="2" priority="164" operator="between" text="库存为">
      <formula>NOT(ISERROR(SEARCH("库存为",AU99)))</formula>
    </cfRule>
  </conditionalFormatting>
  <conditionalFormatting sqref="AU100">
    <cfRule type="cellIs" dxfId="0" priority="677" operator="lessThan">
      <formula>20</formula>
    </cfRule>
    <cfRule type="cellIs" dxfId="1" priority="420" operator="greaterThan">
      <formula>120</formula>
    </cfRule>
    <cfRule type="containsText" dxfId="2" priority="163" operator="between" text="库存为">
      <formula>NOT(ISERROR(SEARCH("库存为",AU100)))</formula>
    </cfRule>
  </conditionalFormatting>
  <conditionalFormatting sqref="AU101">
    <cfRule type="cellIs" dxfId="0" priority="676" operator="lessThan">
      <formula>20</formula>
    </cfRule>
    <cfRule type="cellIs" dxfId="1" priority="419" operator="greaterThan">
      <formula>120</formula>
    </cfRule>
    <cfRule type="containsText" dxfId="2" priority="162" operator="between" text="库存为">
      <formula>NOT(ISERROR(SEARCH("库存为",AU101)))</formula>
    </cfRule>
  </conditionalFormatting>
  <conditionalFormatting sqref="AU102">
    <cfRule type="cellIs" dxfId="0" priority="675" operator="lessThan">
      <formula>20</formula>
    </cfRule>
    <cfRule type="cellIs" dxfId="1" priority="418" operator="greaterThan">
      <formula>120</formula>
    </cfRule>
    <cfRule type="containsText" dxfId="2" priority="161" operator="between" text="库存为">
      <formula>NOT(ISERROR(SEARCH("库存为",AU102)))</formula>
    </cfRule>
  </conditionalFormatting>
  <conditionalFormatting sqref="AU103">
    <cfRule type="cellIs" dxfId="0" priority="674" operator="lessThan">
      <formula>20</formula>
    </cfRule>
    <cfRule type="cellIs" dxfId="1" priority="417" operator="greaterThan">
      <formula>120</formula>
    </cfRule>
    <cfRule type="containsText" dxfId="2" priority="160" operator="between" text="库存为">
      <formula>NOT(ISERROR(SEARCH("库存为",AU103)))</formula>
    </cfRule>
  </conditionalFormatting>
  <conditionalFormatting sqref="AU104">
    <cfRule type="cellIs" dxfId="0" priority="673" operator="lessThan">
      <formula>20</formula>
    </cfRule>
    <cfRule type="cellIs" dxfId="1" priority="416" operator="greaterThan">
      <formula>120</formula>
    </cfRule>
    <cfRule type="containsText" dxfId="2" priority="159" operator="between" text="库存为">
      <formula>NOT(ISERROR(SEARCH("库存为",AU104)))</formula>
    </cfRule>
  </conditionalFormatting>
  <conditionalFormatting sqref="AU105">
    <cfRule type="cellIs" dxfId="0" priority="672" operator="lessThan">
      <formula>20</formula>
    </cfRule>
    <cfRule type="cellIs" dxfId="1" priority="415" operator="greaterThan">
      <formula>120</formula>
    </cfRule>
    <cfRule type="containsText" dxfId="2" priority="158" operator="between" text="库存为">
      <formula>NOT(ISERROR(SEARCH("库存为",AU105)))</formula>
    </cfRule>
  </conditionalFormatting>
  <conditionalFormatting sqref="AU106">
    <cfRule type="cellIs" dxfId="0" priority="671" operator="lessThan">
      <formula>20</formula>
    </cfRule>
    <cfRule type="cellIs" dxfId="1" priority="414" operator="greaterThan">
      <formula>120</formula>
    </cfRule>
    <cfRule type="containsText" dxfId="2" priority="157" operator="between" text="库存为">
      <formula>NOT(ISERROR(SEARCH("库存为",AU106)))</formula>
    </cfRule>
  </conditionalFormatting>
  <conditionalFormatting sqref="AU107">
    <cfRule type="cellIs" dxfId="0" priority="670" operator="lessThan">
      <formula>20</formula>
    </cfRule>
    <cfRule type="cellIs" dxfId="1" priority="413" operator="greaterThan">
      <formula>120</formula>
    </cfRule>
    <cfRule type="containsText" dxfId="2" priority="156" operator="between" text="库存为">
      <formula>NOT(ISERROR(SEARCH("库存为",AU107)))</formula>
    </cfRule>
  </conditionalFormatting>
  <conditionalFormatting sqref="AU108">
    <cfRule type="cellIs" dxfId="0" priority="669" operator="lessThan">
      <formula>20</formula>
    </cfRule>
    <cfRule type="cellIs" dxfId="1" priority="412" operator="greaterThan">
      <formula>120</formula>
    </cfRule>
    <cfRule type="containsText" dxfId="2" priority="155" operator="between" text="库存为">
      <formula>NOT(ISERROR(SEARCH("库存为",AU108)))</formula>
    </cfRule>
  </conditionalFormatting>
  <conditionalFormatting sqref="AU109">
    <cfRule type="cellIs" dxfId="0" priority="668" operator="lessThan">
      <formula>20</formula>
    </cfRule>
    <cfRule type="cellIs" dxfId="1" priority="411" operator="greaterThan">
      <formula>120</formula>
    </cfRule>
    <cfRule type="containsText" dxfId="2" priority="154" operator="between" text="库存为">
      <formula>NOT(ISERROR(SEARCH("库存为",AU109)))</formula>
    </cfRule>
  </conditionalFormatting>
  <conditionalFormatting sqref="AU110">
    <cfRule type="cellIs" dxfId="0" priority="667" operator="lessThan">
      <formula>20</formula>
    </cfRule>
    <cfRule type="cellIs" dxfId="1" priority="410" operator="greaterThan">
      <formula>120</formula>
    </cfRule>
    <cfRule type="containsText" dxfId="2" priority="153" operator="between" text="库存为">
      <formula>NOT(ISERROR(SEARCH("库存为",AU110)))</formula>
    </cfRule>
  </conditionalFormatting>
  <conditionalFormatting sqref="AU111">
    <cfRule type="cellIs" dxfId="0" priority="666" operator="lessThan">
      <formula>20</formula>
    </cfRule>
    <cfRule type="cellIs" dxfId="1" priority="409" operator="greaterThan">
      <formula>120</formula>
    </cfRule>
    <cfRule type="containsText" dxfId="2" priority="152" operator="between" text="库存为">
      <formula>NOT(ISERROR(SEARCH("库存为",AU111)))</formula>
    </cfRule>
  </conditionalFormatting>
  <conditionalFormatting sqref="AU112">
    <cfRule type="cellIs" dxfId="0" priority="665" operator="lessThan">
      <formula>20</formula>
    </cfRule>
    <cfRule type="cellIs" dxfId="1" priority="408" operator="greaterThan">
      <formula>120</formula>
    </cfRule>
    <cfRule type="containsText" dxfId="2" priority="151" operator="between" text="库存为">
      <formula>NOT(ISERROR(SEARCH("库存为",AU112)))</formula>
    </cfRule>
  </conditionalFormatting>
  <conditionalFormatting sqref="AU113">
    <cfRule type="cellIs" dxfId="0" priority="664" operator="lessThan">
      <formula>20</formula>
    </cfRule>
    <cfRule type="cellIs" dxfId="1" priority="407" operator="greaterThan">
      <formula>120</formula>
    </cfRule>
    <cfRule type="containsText" dxfId="2" priority="150" operator="between" text="库存为">
      <formula>NOT(ISERROR(SEARCH("库存为",AU113)))</formula>
    </cfRule>
  </conditionalFormatting>
  <conditionalFormatting sqref="AU114">
    <cfRule type="cellIs" dxfId="0" priority="663" operator="lessThan">
      <formula>20</formula>
    </cfRule>
    <cfRule type="cellIs" dxfId="1" priority="406" operator="greaterThan">
      <formula>120</formula>
    </cfRule>
    <cfRule type="containsText" dxfId="2" priority="149" operator="between" text="库存为">
      <formula>NOT(ISERROR(SEARCH("库存为",AU114)))</formula>
    </cfRule>
  </conditionalFormatting>
  <conditionalFormatting sqref="AU115">
    <cfRule type="cellIs" dxfId="0" priority="662" operator="lessThan">
      <formula>20</formula>
    </cfRule>
    <cfRule type="cellIs" dxfId="1" priority="405" operator="greaterThan">
      <formula>120</formula>
    </cfRule>
    <cfRule type="containsText" dxfId="2" priority="148" operator="between" text="库存为">
      <formula>NOT(ISERROR(SEARCH("库存为",AU115)))</formula>
    </cfRule>
  </conditionalFormatting>
  <conditionalFormatting sqref="AU116">
    <cfRule type="cellIs" dxfId="0" priority="661" operator="lessThan">
      <formula>20</formula>
    </cfRule>
    <cfRule type="cellIs" dxfId="1" priority="404" operator="greaterThan">
      <formula>120</formula>
    </cfRule>
    <cfRule type="containsText" dxfId="2" priority="147" operator="between" text="库存为">
      <formula>NOT(ISERROR(SEARCH("库存为",AU116)))</formula>
    </cfRule>
  </conditionalFormatting>
  <conditionalFormatting sqref="AU117">
    <cfRule type="cellIs" dxfId="0" priority="660" operator="lessThan">
      <formula>20</formula>
    </cfRule>
    <cfRule type="cellIs" dxfId="1" priority="403" operator="greaterThan">
      <formula>120</formula>
    </cfRule>
    <cfRule type="containsText" dxfId="2" priority="146" operator="between" text="库存为">
      <formula>NOT(ISERROR(SEARCH("库存为",AU117)))</formula>
    </cfRule>
  </conditionalFormatting>
  <conditionalFormatting sqref="AU118">
    <cfRule type="cellIs" dxfId="0" priority="659" operator="lessThan">
      <formula>20</formula>
    </cfRule>
    <cfRule type="cellIs" dxfId="1" priority="402" operator="greaterThan">
      <formula>120</formula>
    </cfRule>
    <cfRule type="containsText" dxfId="2" priority="145" operator="between" text="库存为">
      <formula>NOT(ISERROR(SEARCH("库存为",AU118)))</formula>
    </cfRule>
  </conditionalFormatting>
  <conditionalFormatting sqref="AU119">
    <cfRule type="cellIs" dxfId="0" priority="658" operator="lessThan">
      <formula>20</formula>
    </cfRule>
    <cfRule type="cellIs" dxfId="1" priority="401" operator="greaterThan">
      <formula>120</formula>
    </cfRule>
    <cfRule type="containsText" dxfId="2" priority="144" operator="between" text="库存为">
      <formula>NOT(ISERROR(SEARCH("库存为",AU119)))</formula>
    </cfRule>
  </conditionalFormatting>
  <conditionalFormatting sqref="AU120">
    <cfRule type="cellIs" dxfId="0" priority="657" operator="lessThan">
      <formula>20</formula>
    </cfRule>
    <cfRule type="cellIs" dxfId="1" priority="400" operator="greaterThan">
      <formula>120</formula>
    </cfRule>
    <cfRule type="containsText" dxfId="2" priority="143" operator="between" text="库存为">
      <formula>NOT(ISERROR(SEARCH("库存为",AU120)))</formula>
    </cfRule>
  </conditionalFormatting>
  <conditionalFormatting sqref="AU121">
    <cfRule type="cellIs" dxfId="0" priority="656" operator="lessThan">
      <formula>20</formula>
    </cfRule>
    <cfRule type="cellIs" dxfId="1" priority="399" operator="greaterThan">
      <formula>120</formula>
    </cfRule>
    <cfRule type="containsText" dxfId="2" priority="142" operator="between" text="库存为">
      <formula>NOT(ISERROR(SEARCH("库存为",AU121)))</formula>
    </cfRule>
  </conditionalFormatting>
  <conditionalFormatting sqref="AU122">
    <cfRule type="cellIs" dxfId="0" priority="655" operator="lessThan">
      <formula>20</formula>
    </cfRule>
    <cfRule type="cellIs" dxfId="1" priority="398" operator="greaterThan">
      <formula>120</formula>
    </cfRule>
    <cfRule type="containsText" dxfId="2" priority="141" operator="between" text="库存为">
      <formula>NOT(ISERROR(SEARCH("库存为",AU122)))</formula>
    </cfRule>
  </conditionalFormatting>
  <conditionalFormatting sqref="AU123">
    <cfRule type="cellIs" dxfId="0" priority="654" operator="lessThan">
      <formula>20</formula>
    </cfRule>
    <cfRule type="cellIs" dxfId="1" priority="397" operator="greaterThan">
      <formula>120</formula>
    </cfRule>
    <cfRule type="containsText" dxfId="2" priority="140" operator="between" text="库存为">
      <formula>NOT(ISERROR(SEARCH("库存为",AU123)))</formula>
    </cfRule>
  </conditionalFormatting>
  <conditionalFormatting sqref="AU124">
    <cfRule type="cellIs" dxfId="0" priority="653" operator="lessThan">
      <formula>20</formula>
    </cfRule>
    <cfRule type="cellIs" dxfId="1" priority="396" operator="greaterThan">
      <formula>120</formula>
    </cfRule>
    <cfRule type="containsText" dxfId="2" priority="139" operator="between" text="库存为">
      <formula>NOT(ISERROR(SEARCH("库存为",AU124)))</formula>
    </cfRule>
  </conditionalFormatting>
  <conditionalFormatting sqref="AU125">
    <cfRule type="cellIs" dxfId="0" priority="652" operator="lessThan">
      <formula>20</formula>
    </cfRule>
    <cfRule type="cellIs" dxfId="1" priority="395" operator="greaterThan">
      <formula>120</formula>
    </cfRule>
    <cfRule type="containsText" dxfId="2" priority="138" operator="between" text="库存为">
      <formula>NOT(ISERROR(SEARCH("库存为",AU125)))</formula>
    </cfRule>
  </conditionalFormatting>
  <conditionalFormatting sqref="AU126">
    <cfRule type="cellIs" dxfId="0" priority="651" operator="lessThan">
      <formula>20</formula>
    </cfRule>
    <cfRule type="cellIs" dxfId="1" priority="394" operator="greaterThan">
      <formula>120</formula>
    </cfRule>
    <cfRule type="containsText" dxfId="2" priority="137" operator="between" text="库存为">
      <formula>NOT(ISERROR(SEARCH("库存为",AU126)))</formula>
    </cfRule>
  </conditionalFormatting>
  <conditionalFormatting sqref="AU127">
    <cfRule type="cellIs" dxfId="0" priority="650" operator="lessThan">
      <formula>20</formula>
    </cfRule>
    <cfRule type="cellIs" dxfId="1" priority="393" operator="greaterThan">
      <formula>120</formula>
    </cfRule>
    <cfRule type="containsText" dxfId="2" priority="136" operator="between" text="库存为">
      <formula>NOT(ISERROR(SEARCH("库存为",AU127)))</formula>
    </cfRule>
  </conditionalFormatting>
  <conditionalFormatting sqref="AU128">
    <cfRule type="cellIs" dxfId="0" priority="649" operator="lessThan">
      <formula>20</formula>
    </cfRule>
    <cfRule type="cellIs" dxfId="1" priority="392" operator="greaterThan">
      <formula>120</formula>
    </cfRule>
    <cfRule type="containsText" dxfId="2" priority="135" operator="between" text="库存为">
      <formula>NOT(ISERROR(SEARCH("库存为",AU128)))</formula>
    </cfRule>
  </conditionalFormatting>
  <conditionalFormatting sqref="AU129">
    <cfRule type="cellIs" dxfId="0" priority="648" operator="lessThan">
      <formula>20</formula>
    </cfRule>
    <cfRule type="cellIs" dxfId="1" priority="391" operator="greaterThan">
      <formula>120</formula>
    </cfRule>
    <cfRule type="containsText" dxfId="2" priority="134" operator="between" text="库存为">
      <formula>NOT(ISERROR(SEARCH("库存为",AU129)))</formula>
    </cfRule>
  </conditionalFormatting>
  <conditionalFormatting sqref="AU130">
    <cfRule type="cellIs" dxfId="0" priority="647" operator="lessThan">
      <formula>20</formula>
    </cfRule>
    <cfRule type="cellIs" dxfId="1" priority="390" operator="greaterThan">
      <formula>120</formula>
    </cfRule>
    <cfRule type="containsText" dxfId="2" priority="133" operator="between" text="库存为">
      <formula>NOT(ISERROR(SEARCH("库存为",AU130)))</formula>
    </cfRule>
  </conditionalFormatting>
  <conditionalFormatting sqref="AU131">
    <cfRule type="cellIs" dxfId="0" priority="646" operator="lessThan">
      <formula>20</formula>
    </cfRule>
    <cfRule type="cellIs" dxfId="1" priority="389" operator="greaterThan">
      <formula>120</formula>
    </cfRule>
    <cfRule type="containsText" dxfId="2" priority="132" operator="between" text="库存为">
      <formula>NOT(ISERROR(SEARCH("库存为",AU131)))</formula>
    </cfRule>
  </conditionalFormatting>
  <conditionalFormatting sqref="AU132">
    <cfRule type="cellIs" dxfId="0" priority="645" operator="lessThan">
      <formula>20</formula>
    </cfRule>
    <cfRule type="cellIs" dxfId="1" priority="388" operator="greaterThan">
      <formula>120</formula>
    </cfRule>
    <cfRule type="containsText" dxfId="2" priority="131" operator="between" text="库存为">
      <formula>NOT(ISERROR(SEARCH("库存为",AU132)))</formula>
    </cfRule>
  </conditionalFormatting>
  <conditionalFormatting sqref="AU133">
    <cfRule type="cellIs" dxfId="0" priority="644" operator="lessThan">
      <formula>20</formula>
    </cfRule>
    <cfRule type="cellIs" dxfId="1" priority="387" operator="greaterThan">
      <formula>120</formula>
    </cfRule>
    <cfRule type="containsText" dxfId="2" priority="130" operator="between" text="库存为">
      <formula>NOT(ISERROR(SEARCH("库存为",AU133)))</formula>
    </cfRule>
  </conditionalFormatting>
  <conditionalFormatting sqref="AU134">
    <cfRule type="cellIs" dxfId="0" priority="643" operator="lessThan">
      <formula>20</formula>
    </cfRule>
    <cfRule type="cellIs" dxfId="1" priority="386" operator="greaterThan">
      <formula>120</formula>
    </cfRule>
    <cfRule type="containsText" dxfId="2" priority="129" operator="between" text="库存为">
      <formula>NOT(ISERROR(SEARCH("库存为",AU134)))</formula>
    </cfRule>
  </conditionalFormatting>
  <conditionalFormatting sqref="AU135">
    <cfRule type="cellIs" dxfId="0" priority="642" operator="lessThan">
      <formula>20</formula>
    </cfRule>
    <cfRule type="cellIs" dxfId="1" priority="385" operator="greaterThan">
      <formula>120</formula>
    </cfRule>
    <cfRule type="containsText" dxfId="2" priority="128" operator="between" text="库存为">
      <formula>NOT(ISERROR(SEARCH("库存为",AU135)))</formula>
    </cfRule>
  </conditionalFormatting>
  <conditionalFormatting sqref="AU136">
    <cfRule type="cellIs" dxfId="0" priority="641" operator="lessThan">
      <formula>20</formula>
    </cfRule>
    <cfRule type="cellIs" dxfId="1" priority="384" operator="greaterThan">
      <formula>120</formula>
    </cfRule>
    <cfRule type="containsText" dxfId="2" priority="127" operator="between" text="库存为">
      <formula>NOT(ISERROR(SEARCH("库存为",AU136)))</formula>
    </cfRule>
  </conditionalFormatting>
  <conditionalFormatting sqref="AU137">
    <cfRule type="cellIs" dxfId="0" priority="640" operator="lessThan">
      <formula>20</formula>
    </cfRule>
    <cfRule type="cellIs" dxfId="1" priority="383" operator="greaterThan">
      <formula>120</formula>
    </cfRule>
    <cfRule type="containsText" dxfId="2" priority="126" operator="between" text="库存为">
      <formula>NOT(ISERROR(SEARCH("库存为",AU137)))</formula>
    </cfRule>
  </conditionalFormatting>
  <conditionalFormatting sqref="AU138">
    <cfRule type="cellIs" dxfId="0" priority="639" operator="lessThan">
      <formula>20</formula>
    </cfRule>
    <cfRule type="cellIs" dxfId="1" priority="382" operator="greaterThan">
      <formula>120</formula>
    </cfRule>
    <cfRule type="containsText" dxfId="2" priority="125" operator="between" text="库存为">
      <formula>NOT(ISERROR(SEARCH("库存为",AU138)))</formula>
    </cfRule>
  </conditionalFormatting>
  <conditionalFormatting sqref="AU139">
    <cfRule type="cellIs" dxfId="0" priority="638" operator="lessThan">
      <formula>20</formula>
    </cfRule>
    <cfRule type="cellIs" dxfId="1" priority="381" operator="greaterThan">
      <formula>120</formula>
    </cfRule>
    <cfRule type="containsText" dxfId="2" priority="124" operator="between" text="库存为">
      <formula>NOT(ISERROR(SEARCH("库存为",AU139)))</formula>
    </cfRule>
  </conditionalFormatting>
  <conditionalFormatting sqref="AU140">
    <cfRule type="cellIs" dxfId="0" priority="637" operator="lessThan">
      <formula>20</formula>
    </cfRule>
    <cfRule type="cellIs" dxfId="1" priority="380" operator="greaterThan">
      <formula>120</formula>
    </cfRule>
    <cfRule type="containsText" dxfId="2" priority="123" operator="between" text="库存为">
      <formula>NOT(ISERROR(SEARCH("库存为",AU140)))</formula>
    </cfRule>
  </conditionalFormatting>
  <conditionalFormatting sqref="AU141">
    <cfRule type="cellIs" dxfId="0" priority="636" operator="lessThan">
      <formula>20</formula>
    </cfRule>
    <cfRule type="cellIs" dxfId="1" priority="379" operator="greaterThan">
      <formula>120</formula>
    </cfRule>
    <cfRule type="containsText" dxfId="2" priority="122" operator="between" text="库存为">
      <formula>NOT(ISERROR(SEARCH("库存为",AU141)))</formula>
    </cfRule>
  </conditionalFormatting>
  <conditionalFormatting sqref="AU142">
    <cfRule type="cellIs" dxfId="0" priority="635" operator="lessThan">
      <formula>20</formula>
    </cfRule>
    <cfRule type="cellIs" dxfId="1" priority="378" operator="greaterThan">
      <formula>120</formula>
    </cfRule>
    <cfRule type="containsText" dxfId="2" priority="121" operator="between" text="库存为">
      <formula>NOT(ISERROR(SEARCH("库存为",AU142)))</formula>
    </cfRule>
  </conditionalFormatting>
  <conditionalFormatting sqref="AU143">
    <cfRule type="cellIs" dxfId="0" priority="634" operator="lessThan">
      <formula>20</formula>
    </cfRule>
    <cfRule type="cellIs" dxfId="1" priority="377" operator="greaterThan">
      <formula>120</formula>
    </cfRule>
    <cfRule type="containsText" dxfId="2" priority="120" operator="between" text="库存为">
      <formula>NOT(ISERROR(SEARCH("库存为",AU143)))</formula>
    </cfRule>
  </conditionalFormatting>
  <conditionalFormatting sqref="AU144">
    <cfRule type="cellIs" dxfId="0" priority="633" operator="lessThan">
      <formula>20</formula>
    </cfRule>
    <cfRule type="cellIs" dxfId="1" priority="376" operator="greaterThan">
      <formula>120</formula>
    </cfRule>
    <cfRule type="containsText" dxfId="2" priority="119" operator="between" text="库存为">
      <formula>NOT(ISERROR(SEARCH("库存为",AU144)))</formula>
    </cfRule>
  </conditionalFormatting>
  <conditionalFormatting sqref="AU145">
    <cfRule type="cellIs" dxfId="0" priority="632" operator="lessThan">
      <formula>20</formula>
    </cfRule>
    <cfRule type="cellIs" dxfId="1" priority="375" operator="greaterThan">
      <formula>120</formula>
    </cfRule>
    <cfRule type="containsText" dxfId="2" priority="118" operator="between" text="库存为">
      <formula>NOT(ISERROR(SEARCH("库存为",AU145)))</formula>
    </cfRule>
  </conditionalFormatting>
  <conditionalFormatting sqref="AU146">
    <cfRule type="cellIs" dxfId="0" priority="631" operator="lessThan">
      <formula>20</formula>
    </cfRule>
    <cfRule type="cellIs" dxfId="1" priority="374" operator="greaterThan">
      <formula>120</formula>
    </cfRule>
    <cfRule type="containsText" dxfId="2" priority="117" operator="between" text="库存为">
      <formula>NOT(ISERROR(SEARCH("库存为",AU146)))</formula>
    </cfRule>
  </conditionalFormatting>
  <conditionalFormatting sqref="AU147">
    <cfRule type="cellIs" dxfId="0" priority="630" operator="lessThan">
      <formula>20</formula>
    </cfRule>
    <cfRule type="cellIs" dxfId="1" priority="373" operator="greaterThan">
      <formula>120</formula>
    </cfRule>
    <cfRule type="containsText" dxfId="2" priority="116" operator="between" text="库存为">
      <formula>NOT(ISERROR(SEARCH("库存为",AU147)))</formula>
    </cfRule>
  </conditionalFormatting>
  <conditionalFormatting sqref="AU148">
    <cfRule type="cellIs" dxfId="0" priority="629" operator="lessThan">
      <formula>20</formula>
    </cfRule>
    <cfRule type="cellIs" dxfId="1" priority="372" operator="greaterThan">
      <formula>120</formula>
    </cfRule>
    <cfRule type="containsText" dxfId="2" priority="115" operator="between" text="库存为">
      <formula>NOT(ISERROR(SEARCH("库存为",AU148)))</formula>
    </cfRule>
  </conditionalFormatting>
  <conditionalFormatting sqref="AU149">
    <cfRule type="cellIs" dxfId="0" priority="628" operator="lessThan">
      <formula>20</formula>
    </cfRule>
    <cfRule type="cellIs" dxfId="1" priority="371" operator="greaterThan">
      <formula>120</formula>
    </cfRule>
    <cfRule type="containsText" dxfId="2" priority="114" operator="between" text="库存为">
      <formula>NOT(ISERROR(SEARCH("库存为",AU149)))</formula>
    </cfRule>
  </conditionalFormatting>
  <conditionalFormatting sqref="AU150">
    <cfRule type="cellIs" dxfId="0" priority="627" operator="lessThan">
      <formula>20</formula>
    </cfRule>
    <cfRule type="cellIs" dxfId="1" priority="370" operator="greaterThan">
      <formula>120</formula>
    </cfRule>
    <cfRule type="containsText" dxfId="2" priority="113" operator="between" text="库存为">
      <formula>NOT(ISERROR(SEARCH("库存为",AU150)))</formula>
    </cfRule>
  </conditionalFormatting>
  <conditionalFormatting sqref="AU151">
    <cfRule type="cellIs" dxfId="0" priority="626" operator="lessThan">
      <formula>20</formula>
    </cfRule>
    <cfRule type="cellIs" dxfId="1" priority="369" operator="greaterThan">
      <formula>120</formula>
    </cfRule>
    <cfRule type="containsText" dxfId="2" priority="112" operator="between" text="库存为">
      <formula>NOT(ISERROR(SEARCH("库存为",AU151)))</formula>
    </cfRule>
  </conditionalFormatting>
  <conditionalFormatting sqref="AU152">
    <cfRule type="cellIs" dxfId="0" priority="625" operator="lessThan">
      <formula>20</formula>
    </cfRule>
    <cfRule type="cellIs" dxfId="1" priority="368" operator="greaterThan">
      <formula>120</formula>
    </cfRule>
    <cfRule type="containsText" dxfId="2" priority="111" operator="between" text="库存为">
      <formula>NOT(ISERROR(SEARCH("库存为",AU152)))</formula>
    </cfRule>
  </conditionalFormatting>
  <conditionalFormatting sqref="AU153">
    <cfRule type="cellIs" dxfId="0" priority="624" operator="lessThan">
      <formula>20</formula>
    </cfRule>
    <cfRule type="cellIs" dxfId="1" priority="367" operator="greaterThan">
      <formula>120</formula>
    </cfRule>
    <cfRule type="containsText" dxfId="2" priority="110" operator="between" text="库存为">
      <formula>NOT(ISERROR(SEARCH("库存为",AU153)))</formula>
    </cfRule>
  </conditionalFormatting>
  <conditionalFormatting sqref="AU154">
    <cfRule type="cellIs" dxfId="0" priority="623" operator="lessThan">
      <formula>20</formula>
    </cfRule>
    <cfRule type="cellIs" dxfId="1" priority="366" operator="greaterThan">
      <formula>120</formula>
    </cfRule>
    <cfRule type="containsText" dxfId="2" priority="109" operator="between" text="库存为">
      <formula>NOT(ISERROR(SEARCH("库存为",AU154)))</formula>
    </cfRule>
  </conditionalFormatting>
  <conditionalFormatting sqref="AU155">
    <cfRule type="cellIs" dxfId="0" priority="622" operator="lessThan">
      <formula>20</formula>
    </cfRule>
    <cfRule type="cellIs" dxfId="1" priority="365" operator="greaterThan">
      <formula>120</formula>
    </cfRule>
    <cfRule type="containsText" dxfId="2" priority="108" operator="between" text="库存为">
      <formula>NOT(ISERROR(SEARCH("库存为",AU155)))</formula>
    </cfRule>
  </conditionalFormatting>
  <conditionalFormatting sqref="AU156">
    <cfRule type="cellIs" dxfId="0" priority="621" operator="lessThan">
      <formula>20</formula>
    </cfRule>
    <cfRule type="cellIs" dxfId="1" priority="364" operator="greaterThan">
      <formula>120</formula>
    </cfRule>
    <cfRule type="containsText" dxfId="2" priority="107" operator="between" text="库存为">
      <formula>NOT(ISERROR(SEARCH("库存为",AU156)))</formula>
    </cfRule>
  </conditionalFormatting>
  <conditionalFormatting sqref="AU157">
    <cfRule type="cellIs" dxfId="0" priority="620" operator="lessThan">
      <formula>20</formula>
    </cfRule>
    <cfRule type="cellIs" dxfId="1" priority="363" operator="greaterThan">
      <formula>120</formula>
    </cfRule>
    <cfRule type="containsText" dxfId="2" priority="106" operator="between" text="库存为">
      <formula>NOT(ISERROR(SEARCH("库存为",AU157)))</formula>
    </cfRule>
  </conditionalFormatting>
  <conditionalFormatting sqref="AU158">
    <cfRule type="cellIs" dxfId="0" priority="619" operator="lessThan">
      <formula>20</formula>
    </cfRule>
    <cfRule type="cellIs" dxfId="1" priority="362" operator="greaterThan">
      <formula>120</formula>
    </cfRule>
    <cfRule type="containsText" dxfId="2" priority="105" operator="between" text="库存为">
      <formula>NOT(ISERROR(SEARCH("库存为",AU158)))</formula>
    </cfRule>
  </conditionalFormatting>
  <conditionalFormatting sqref="AU159">
    <cfRule type="cellIs" dxfId="0" priority="618" operator="lessThan">
      <formula>20</formula>
    </cfRule>
    <cfRule type="cellIs" dxfId="1" priority="361" operator="greaterThan">
      <formula>120</formula>
    </cfRule>
    <cfRule type="containsText" dxfId="2" priority="104" operator="between" text="库存为">
      <formula>NOT(ISERROR(SEARCH("库存为",AU159)))</formula>
    </cfRule>
  </conditionalFormatting>
  <conditionalFormatting sqref="AU160">
    <cfRule type="cellIs" dxfId="0" priority="617" operator="lessThan">
      <formula>20</formula>
    </cfRule>
    <cfRule type="cellIs" dxfId="1" priority="360" operator="greaterThan">
      <formula>120</formula>
    </cfRule>
    <cfRule type="containsText" dxfId="2" priority="103" operator="between" text="库存为">
      <formula>NOT(ISERROR(SEARCH("库存为",AU160)))</formula>
    </cfRule>
  </conditionalFormatting>
  <conditionalFormatting sqref="AU161">
    <cfRule type="cellIs" dxfId="0" priority="616" operator="lessThan">
      <formula>20</formula>
    </cfRule>
    <cfRule type="cellIs" dxfId="1" priority="359" operator="greaterThan">
      <formula>120</formula>
    </cfRule>
    <cfRule type="containsText" dxfId="2" priority="102" operator="between" text="库存为">
      <formula>NOT(ISERROR(SEARCH("库存为",AU161)))</formula>
    </cfRule>
  </conditionalFormatting>
  <conditionalFormatting sqref="AU162">
    <cfRule type="cellIs" dxfId="0" priority="615" operator="lessThan">
      <formula>20</formula>
    </cfRule>
    <cfRule type="cellIs" dxfId="1" priority="358" operator="greaterThan">
      <formula>120</formula>
    </cfRule>
    <cfRule type="containsText" dxfId="2" priority="101" operator="between" text="库存为">
      <formula>NOT(ISERROR(SEARCH("库存为",AU162)))</formula>
    </cfRule>
  </conditionalFormatting>
  <conditionalFormatting sqref="AU163">
    <cfRule type="cellIs" dxfId="0" priority="614" operator="lessThan">
      <formula>20</formula>
    </cfRule>
    <cfRule type="cellIs" dxfId="1" priority="357" operator="greaterThan">
      <formula>120</formula>
    </cfRule>
    <cfRule type="containsText" dxfId="2" priority="100" operator="between" text="库存为">
      <formula>NOT(ISERROR(SEARCH("库存为",AU163)))</formula>
    </cfRule>
  </conditionalFormatting>
  <conditionalFormatting sqref="AU164">
    <cfRule type="cellIs" dxfId="0" priority="613" operator="lessThan">
      <formula>20</formula>
    </cfRule>
    <cfRule type="cellIs" dxfId="1" priority="356" operator="greaterThan">
      <formula>120</formula>
    </cfRule>
    <cfRule type="containsText" dxfId="2" priority="99" operator="between" text="库存为">
      <formula>NOT(ISERROR(SEARCH("库存为",AU164)))</formula>
    </cfRule>
  </conditionalFormatting>
  <conditionalFormatting sqref="AU165">
    <cfRule type="cellIs" dxfId="0" priority="612" operator="lessThan">
      <formula>20</formula>
    </cfRule>
    <cfRule type="cellIs" dxfId="1" priority="355" operator="greaterThan">
      <formula>120</formula>
    </cfRule>
    <cfRule type="containsText" dxfId="2" priority="98" operator="between" text="库存为">
      <formula>NOT(ISERROR(SEARCH("库存为",AU165)))</formula>
    </cfRule>
  </conditionalFormatting>
  <conditionalFormatting sqref="AU166">
    <cfRule type="cellIs" dxfId="0" priority="611" operator="lessThan">
      <formula>20</formula>
    </cfRule>
    <cfRule type="cellIs" dxfId="1" priority="354" operator="greaterThan">
      <formula>120</formula>
    </cfRule>
    <cfRule type="containsText" dxfId="2" priority="97" operator="between" text="库存为">
      <formula>NOT(ISERROR(SEARCH("库存为",AU166)))</formula>
    </cfRule>
  </conditionalFormatting>
  <conditionalFormatting sqref="AU167">
    <cfRule type="cellIs" dxfId="0" priority="610" operator="lessThan">
      <formula>20</formula>
    </cfRule>
    <cfRule type="cellIs" dxfId="1" priority="353" operator="greaterThan">
      <formula>120</formula>
    </cfRule>
    <cfRule type="containsText" dxfId="2" priority="96" operator="between" text="库存为">
      <formula>NOT(ISERROR(SEARCH("库存为",AU167)))</formula>
    </cfRule>
  </conditionalFormatting>
  <conditionalFormatting sqref="AU168">
    <cfRule type="cellIs" dxfId="0" priority="609" operator="lessThan">
      <formula>20</formula>
    </cfRule>
    <cfRule type="cellIs" dxfId="1" priority="352" operator="greaterThan">
      <formula>120</formula>
    </cfRule>
    <cfRule type="containsText" dxfId="2" priority="95" operator="between" text="库存为">
      <formula>NOT(ISERROR(SEARCH("库存为",AU168)))</formula>
    </cfRule>
  </conditionalFormatting>
  <conditionalFormatting sqref="AU169">
    <cfRule type="cellIs" dxfId="0" priority="608" operator="lessThan">
      <formula>20</formula>
    </cfRule>
    <cfRule type="cellIs" dxfId="1" priority="351" operator="greaterThan">
      <formula>120</formula>
    </cfRule>
    <cfRule type="containsText" dxfId="2" priority="94" operator="between" text="库存为">
      <formula>NOT(ISERROR(SEARCH("库存为",AU169)))</formula>
    </cfRule>
  </conditionalFormatting>
  <conditionalFormatting sqref="AU170">
    <cfRule type="cellIs" dxfId="0" priority="607" operator="lessThan">
      <formula>20</formula>
    </cfRule>
    <cfRule type="cellIs" dxfId="1" priority="350" operator="greaterThan">
      <formula>120</formula>
    </cfRule>
    <cfRule type="containsText" dxfId="2" priority="93" operator="between" text="库存为">
      <formula>NOT(ISERROR(SEARCH("库存为",AU170)))</formula>
    </cfRule>
  </conditionalFormatting>
  <conditionalFormatting sqref="AU171">
    <cfRule type="cellIs" dxfId="0" priority="606" operator="lessThan">
      <formula>20</formula>
    </cfRule>
    <cfRule type="cellIs" dxfId="1" priority="349" operator="greaterThan">
      <formula>120</formula>
    </cfRule>
    <cfRule type="containsText" dxfId="2" priority="92" operator="between" text="库存为">
      <formula>NOT(ISERROR(SEARCH("库存为",AU171)))</formula>
    </cfRule>
  </conditionalFormatting>
  <conditionalFormatting sqref="AU172">
    <cfRule type="cellIs" dxfId="0" priority="605" operator="lessThan">
      <formula>20</formula>
    </cfRule>
    <cfRule type="cellIs" dxfId="1" priority="348" operator="greaterThan">
      <formula>120</formula>
    </cfRule>
    <cfRule type="containsText" dxfId="2" priority="91" operator="between" text="库存为">
      <formula>NOT(ISERROR(SEARCH("库存为",AU172)))</formula>
    </cfRule>
  </conditionalFormatting>
  <conditionalFormatting sqref="AU173">
    <cfRule type="cellIs" dxfId="0" priority="604" operator="lessThan">
      <formula>20</formula>
    </cfRule>
    <cfRule type="cellIs" dxfId="1" priority="347" operator="greaterThan">
      <formula>120</formula>
    </cfRule>
    <cfRule type="containsText" dxfId="2" priority="90" operator="between" text="库存为">
      <formula>NOT(ISERROR(SEARCH("库存为",AU173)))</formula>
    </cfRule>
  </conditionalFormatting>
  <conditionalFormatting sqref="AU174">
    <cfRule type="cellIs" dxfId="0" priority="603" operator="lessThan">
      <formula>20</formula>
    </cfRule>
    <cfRule type="cellIs" dxfId="1" priority="346" operator="greaterThan">
      <formula>120</formula>
    </cfRule>
    <cfRule type="containsText" dxfId="2" priority="89" operator="between" text="库存为">
      <formula>NOT(ISERROR(SEARCH("库存为",AU174)))</formula>
    </cfRule>
  </conditionalFormatting>
  <conditionalFormatting sqref="AU175">
    <cfRule type="cellIs" dxfId="0" priority="602" operator="lessThan">
      <formula>20</formula>
    </cfRule>
    <cfRule type="cellIs" dxfId="1" priority="345" operator="greaterThan">
      <formula>120</formula>
    </cfRule>
    <cfRule type="containsText" dxfId="2" priority="88" operator="between" text="库存为">
      <formula>NOT(ISERROR(SEARCH("库存为",AU175)))</formula>
    </cfRule>
  </conditionalFormatting>
  <conditionalFormatting sqref="AU176">
    <cfRule type="cellIs" dxfId="0" priority="601" operator="lessThan">
      <formula>20</formula>
    </cfRule>
    <cfRule type="cellIs" dxfId="1" priority="344" operator="greaterThan">
      <formula>120</formula>
    </cfRule>
    <cfRule type="containsText" dxfId="2" priority="87" operator="between" text="库存为">
      <formula>NOT(ISERROR(SEARCH("库存为",AU176)))</formula>
    </cfRule>
  </conditionalFormatting>
  <conditionalFormatting sqref="AU177">
    <cfRule type="cellIs" dxfId="0" priority="600" operator="lessThan">
      <formula>20</formula>
    </cfRule>
    <cfRule type="cellIs" dxfId="1" priority="343" operator="greaterThan">
      <formula>120</formula>
    </cfRule>
    <cfRule type="containsText" dxfId="2" priority="86" operator="between" text="库存为">
      <formula>NOT(ISERROR(SEARCH("库存为",AU177)))</formula>
    </cfRule>
  </conditionalFormatting>
  <conditionalFormatting sqref="AU178">
    <cfRule type="cellIs" dxfId="0" priority="599" operator="lessThan">
      <formula>20</formula>
    </cfRule>
    <cfRule type="cellIs" dxfId="1" priority="342" operator="greaterThan">
      <formula>120</formula>
    </cfRule>
    <cfRule type="containsText" dxfId="2" priority="85" operator="between" text="库存为">
      <formula>NOT(ISERROR(SEARCH("库存为",AU178)))</formula>
    </cfRule>
  </conditionalFormatting>
  <conditionalFormatting sqref="AU179">
    <cfRule type="cellIs" dxfId="0" priority="598" operator="lessThan">
      <formula>20</formula>
    </cfRule>
    <cfRule type="cellIs" dxfId="1" priority="341" operator="greaterThan">
      <formula>120</formula>
    </cfRule>
    <cfRule type="containsText" dxfId="2" priority="84" operator="between" text="库存为">
      <formula>NOT(ISERROR(SEARCH("库存为",AU179)))</formula>
    </cfRule>
  </conditionalFormatting>
  <conditionalFormatting sqref="AU180">
    <cfRule type="cellIs" dxfId="0" priority="597" operator="lessThan">
      <formula>20</formula>
    </cfRule>
    <cfRule type="cellIs" dxfId="1" priority="340" operator="greaterThan">
      <formula>120</formula>
    </cfRule>
    <cfRule type="containsText" dxfId="2" priority="83" operator="between" text="库存为">
      <formula>NOT(ISERROR(SEARCH("库存为",AU180)))</formula>
    </cfRule>
  </conditionalFormatting>
  <conditionalFormatting sqref="AU181">
    <cfRule type="cellIs" dxfId="0" priority="596" operator="lessThan">
      <formula>20</formula>
    </cfRule>
    <cfRule type="cellIs" dxfId="1" priority="339" operator="greaterThan">
      <formula>120</formula>
    </cfRule>
    <cfRule type="containsText" dxfId="2" priority="82" operator="between" text="库存为">
      <formula>NOT(ISERROR(SEARCH("库存为",AU181)))</formula>
    </cfRule>
  </conditionalFormatting>
  <conditionalFormatting sqref="AU182">
    <cfRule type="cellIs" dxfId="0" priority="595" operator="lessThan">
      <formula>20</formula>
    </cfRule>
    <cfRule type="cellIs" dxfId="1" priority="338" operator="greaterThan">
      <formula>120</formula>
    </cfRule>
    <cfRule type="containsText" dxfId="2" priority="81" operator="between" text="库存为">
      <formula>NOT(ISERROR(SEARCH("库存为",AU182)))</formula>
    </cfRule>
  </conditionalFormatting>
  <conditionalFormatting sqref="AU183">
    <cfRule type="cellIs" dxfId="0" priority="594" operator="lessThan">
      <formula>20</formula>
    </cfRule>
    <cfRule type="cellIs" dxfId="1" priority="337" operator="greaterThan">
      <formula>120</formula>
    </cfRule>
    <cfRule type="containsText" dxfId="2" priority="80" operator="between" text="库存为">
      <formula>NOT(ISERROR(SEARCH("库存为",AU183)))</formula>
    </cfRule>
  </conditionalFormatting>
  <conditionalFormatting sqref="AU184">
    <cfRule type="cellIs" dxfId="0" priority="593" operator="lessThan">
      <formula>20</formula>
    </cfRule>
    <cfRule type="cellIs" dxfId="1" priority="336" operator="greaterThan">
      <formula>120</formula>
    </cfRule>
    <cfRule type="containsText" dxfId="2" priority="79" operator="between" text="库存为">
      <formula>NOT(ISERROR(SEARCH("库存为",AU184)))</formula>
    </cfRule>
  </conditionalFormatting>
  <conditionalFormatting sqref="AU185">
    <cfRule type="cellIs" dxfId="0" priority="592" operator="lessThan">
      <formula>20</formula>
    </cfRule>
    <cfRule type="cellIs" dxfId="1" priority="335" operator="greaterThan">
      <formula>120</formula>
    </cfRule>
    <cfRule type="containsText" dxfId="2" priority="78" operator="between" text="库存为">
      <formula>NOT(ISERROR(SEARCH("库存为",AU185)))</formula>
    </cfRule>
  </conditionalFormatting>
  <conditionalFormatting sqref="AU186">
    <cfRule type="cellIs" dxfId="0" priority="591" operator="lessThan">
      <formula>20</formula>
    </cfRule>
    <cfRule type="cellIs" dxfId="1" priority="334" operator="greaterThan">
      <formula>120</formula>
    </cfRule>
    <cfRule type="containsText" dxfId="2" priority="77" operator="between" text="库存为">
      <formula>NOT(ISERROR(SEARCH("库存为",AU186)))</formula>
    </cfRule>
  </conditionalFormatting>
  <conditionalFormatting sqref="AU187">
    <cfRule type="cellIs" dxfId="0" priority="590" operator="lessThan">
      <formula>20</formula>
    </cfRule>
    <cfRule type="cellIs" dxfId="1" priority="333" operator="greaterThan">
      <formula>120</formula>
    </cfRule>
    <cfRule type="containsText" dxfId="2" priority="76" operator="between" text="库存为">
      <formula>NOT(ISERROR(SEARCH("库存为",AU187)))</formula>
    </cfRule>
  </conditionalFormatting>
  <conditionalFormatting sqref="AU188">
    <cfRule type="cellIs" dxfId="0" priority="589" operator="lessThan">
      <formula>20</formula>
    </cfRule>
    <cfRule type="cellIs" dxfId="1" priority="332" operator="greaterThan">
      <formula>120</formula>
    </cfRule>
    <cfRule type="containsText" dxfId="2" priority="75" operator="between" text="库存为">
      <formula>NOT(ISERROR(SEARCH("库存为",AU188)))</formula>
    </cfRule>
  </conditionalFormatting>
  <conditionalFormatting sqref="AU189">
    <cfRule type="cellIs" dxfId="0" priority="588" operator="lessThan">
      <formula>20</formula>
    </cfRule>
    <cfRule type="cellIs" dxfId="1" priority="331" operator="greaterThan">
      <formula>120</formula>
    </cfRule>
    <cfRule type="containsText" dxfId="2" priority="74" operator="between" text="库存为">
      <formula>NOT(ISERROR(SEARCH("库存为",AU189)))</formula>
    </cfRule>
  </conditionalFormatting>
  <conditionalFormatting sqref="AU190">
    <cfRule type="cellIs" dxfId="0" priority="587" operator="lessThan">
      <formula>20</formula>
    </cfRule>
    <cfRule type="cellIs" dxfId="1" priority="330" operator="greaterThan">
      <formula>120</formula>
    </cfRule>
    <cfRule type="containsText" dxfId="2" priority="73" operator="between" text="库存为">
      <formula>NOT(ISERROR(SEARCH("库存为",AU190)))</formula>
    </cfRule>
  </conditionalFormatting>
  <conditionalFormatting sqref="AU191">
    <cfRule type="cellIs" dxfId="0" priority="586" operator="lessThan">
      <formula>20</formula>
    </cfRule>
    <cfRule type="cellIs" dxfId="1" priority="329" operator="greaterThan">
      <formula>120</formula>
    </cfRule>
    <cfRule type="containsText" dxfId="2" priority="72" operator="between" text="库存为">
      <formula>NOT(ISERROR(SEARCH("库存为",AU191)))</formula>
    </cfRule>
  </conditionalFormatting>
  <conditionalFormatting sqref="AU192">
    <cfRule type="cellIs" dxfId="0" priority="585" operator="lessThan">
      <formula>20</formula>
    </cfRule>
    <cfRule type="cellIs" dxfId="1" priority="328" operator="greaterThan">
      <formula>120</formula>
    </cfRule>
    <cfRule type="containsText" dxfId="2" priority="71" operator="between" text="库存为">
      <formula>NOT(ISERROR(SEARCH("库存为",AU192)))</formula>
    </cfRule>
  </conditionalFormatting>
  <conditionalFormatting sqref="AU193">
    <cfRule type="cellIs" dxfId="0" priority="584" operator="lessThan">
      <formula>20</formula>
    </cfRule>
    <cfRule type="cellIs" dxfId="1" priority="327" operator="greaterThan">
      <formula>120</formula>
    </cfRule>
    <cfRule type="containsText" dxfId="2" priority="70" operator="between" text="库存为">
      <formula>NOT(ISERROR(SEARCH("库存为",AU193)))</formula>
    </cfRule>
  </conditionalFormatting>
  <conditionalFormatting sqref="AU194">
    <cfRule type="cellIs" dxfId="0" priority="583" operator="lessThan">
      <formula>20</formula>
    </cfRule>
    <cfRule type="cellIs" dxfId="1" priority="326" operator="greaterThan">
      <formula>120</formula>
    </cfRule>
    <cfRule type="containsText" dxfId="2" priority="69" operator="between" text="库存为">
      <formula>NOT(ISERROR(SEARCH("库存为",AU194)))</formula>
    </cfRule>
  </conditionalFormatting>
  <conditionalFormatting sqref="AU195">
    <cfRule type="cellIs" dxfId="0" priority="582" operator="lessThan">
      <formula>20</formula>
    </cfRule>
    <cfRule type="cellIs" dxfId="1" priority="325" operator="greaterThan">
      <formula>120</formula>
    </cfRule>
    <cfRule type="containsText" dxfId="2" priority="68" operator="between" text="库存为">
      <formula>NOT(ISERROR(SEARCH("库存为",AU195)))</formula>
    </cfRule>
  </conditionalFormatting>
  <conditionalFormatting sqref="AU196">
    <cfRule type="cellIs" dxfId="0" priority="581" operator="lessThan">
      <formula>20</formula>
    </cfRule>
    <cfRule type="cellIs" dxfId="1" priority="324" operator="greaterThan">
      <formula>120</formula>
    </cfRule>
    <cfRule type="containsText" dxfId="2" priority="67" operator="between" text="库存为">
      <formula>NOT(ISERROR(SEARCH("库存为",AU196)))</formula>
    </cfRule>
  </conditionalFormatting>
  <conditionalFormatting sqref="AU197">
    <cfRule type="cellIs" dxfId="0" priority="580" operator="lessThan">
      <formula>20</formula>
    </cfRule>
    <cfRule type="cellIs" dxfId="1" priority="323" operator="greaterThan">
      <formula>120</formula>
    </cfRule>
    <cfRule type="containsText" dxfId="2" priority="66" operator="between" text="库存为">
      <formula>NOT(ISERROR(SEARCH("库存为",AU197)))</formula>
    </cfRule>
  </conditionalFormatting>
  <conditionalFormatting sqref="AU198">
    <cfRule type="cellIs" dxfId="0" priority="579" operator="lessThan">
      <formula>20</formula>
    </cfRule>
    <cfRule type="cellIs" dxfId="1" priority="322" operator="greaterThan">
      <formula>120</formula>
    </cfRule>
    <cfRule type="containsText" dxfId="2" priority="65" operator="between" text="库存为">
      <formula>NOT(ISERROR(SEARCH("库存为",AU198)))</formula>
    </cfRule>
  </conditionalFormatting>
  <conditionalFormatting sqref="AU199">
    <cfRule type="cellIs" dxfId="0" priority="578" operator="lessThan">
      <formula>20</formula>
    </cfRule>
    <cfRule type="cellIs" dxfId="1" priority="321" operator="greaterThan">
      <formula>120</formula>
    </cfRule>
    <cfRule type="containsText" dxfId="2" priority="64" operator="between" text="库存为">
      <formula>NOT(ISERROR(SEARCH("库存为",AU199)))</formula>
    </cfRule>
  </conditionalFormatting>
  <conditionalFormatting sqref="AU200">
    <cfRule type="cellIs" dxfId="0" priority="577" operator="lessThan">
      <formula>20</formula>
    </cfRule>
    <cfRule type="cellIs" dxfId="1" priority="320" operator="greaterThan">
      <formula>120</formula>
    </cfRule>
    <cfRule type="containsText" dxfId="2" priority="63" operator="between" text="库存为">
      <formula>NOT(ISERROR(SEARCH("库存为",AU200)))</formula>
    </cfRule>
  </conditionalFormatting>
  <conditionalFormatting sqref="AU201">
    <cfRule type="cellIs" dxfId="0" priority="576" operator="lessThan">
      <formula>20</formula>
    </cfRule>
    <cfRule type="cellIs" dxfId="1" priority="319" operator="greaterThan">
      <formula>120</formula>
    </cfRule>
    <cfRule type="containsText" dxfId="2" priority="62" operator="between" text="库存为">
      <formula>NOT(ISERROR(SEARCH("库存为",AU201)))</formula>
    </cfRule>
  </conditionalFormatting>
  <conditionalFormatting sqref="AU202">
    <cfRule type="cellIs" dxfId="0" priority="575" operator="lessThan">
      <formula>20</formula>
    </cfRule>
    <cfRule type="cellIs" dxfId="1" priority="318" operator="greaterThan">
      <formula>120</formula>
    </cfRule>
    <cfRule type="containsText" dxfId="2" priority="61" operator="between" text="库存为">
      <formula>NOT(ISERROR(SEARCH("库存为",AU202)))</formula>
    </cfRule>
  </conditionalFormatting>
  <conditionalFormatting sqref="AU203">
    <cfRule type="cellIs" dxfId="0" priority="574" operator="lessThan">
      <formula>20</formula>
    </cfRule>
    <cfRule type="cellIs" dxfId="1" priority="317" operator="greaterThan">
      <formula>120</formula>
    </cfRule>
    <cfRule type="containsText" dxfId="2" priority="60" operator="between" text="库存为">
      <formula>NOT(ISERROR(SEARCH("库存为",AU203)))</formula>
    </cfRule>
  </conditionalFormatting>
  <conditionalFormatting sqref="AU204">
    <cfRule type="cellIs" dxfId="0" priority="573" operator="lessThan">
      <formula>20</formula>
    </cfRule>
    <cfRule type="cellIs" dxfId="1" priority="316" operator="greaterThan">
      <formula>120</formula>
    </cfRule>
    <cfRule type="containsText" dxfId="2" priority="59" operator="between" text="库存为">
      <formula>NOT(ISERROR(SEARCH("库存为",AU204)))</formula>
    </cfRule>
  </conditionalFormatting>
  <conditionalFormatting sqref="AU205">
    <cfRule type="cellIs" dxfId="0" priority="572" operator="lessThan">
      <formula>20</formula>
    </cfRule>
    <cfRule type="cellIs" dxfId="1" priority="315" operator="greaterThan">
      <formula>120</formula>
    </cfRule>
    <cfRule type="containsText" dxfId="2" priority="58" operator="between" text="库存为">
      <formula>NOT(ISERROR(SEARCH("库存为",AU205)))</formula>
    </cfRule>
  </conditionalFormatting>
  <conditionalFormatting sqref="AU206">
    <cfRule type="cellIs" dxfId="0" priority="571" operator="lessThan">
      <formula>20</formula>
    </cfRule>
    <cfRule type="cellIs" dxfId="1" priority="314" operator="greaterThan">
      <formula>120</formula>
    </cfRule>
    <cfRule type="containsText" dxfId="2" priority="57" operator="between" text="库存为">
      <formula>NOT(ISERROR(SEARCH("库存为",AU206)))</formula>
    </cfRule>
  </conditionalFormatting>
  <conditionalFormatting sqref="AU207">
    <cfRule type="cellIs" dxfId="0" priority="570" operator="lessThan">
      <formula>20</formula>
    </cfRule>
    <cfRule type="cellIs" dxfId="1" priority="313" operator="greaterThan">
      <formula>120</formula>
    </cfRule>
    <cfRule type="containsText" dxfId="2" priority="56" operator="between" text="库存为">
      <formula>NOT(ISERROR(SEARCH("库存为",AU207)))</formula>
    </cfRule>
  </conditionalFormatting>
  <conditionalFormatting sqref="AU208">
    <cfRule type="cellIs" dxfId="0" priority="569" operator="lessThan">
      <formula>20</formula>
    </cfRule>
    <cfRule type="cellIs" dxfId="1" priority="312" operator="greaterThan">
      <formula>120</formula>
    </cfRule>
    <cfRule type="containsText" dxfId="2" priority="55" operator="between" text="库存为">
      <formula>NOT(ISERROR(SEARCH("库存为",AU208)))</formula>
    </cfRule>
  </conditionalFormatting>
  <conditionalFormatting sqref="AU209">
    <cfRule type="cellIs" dxfId="0" priority="568" operator="lessThan">
      <formula>20</formula>
    </cfRule>
    <cfRule type="cellIs" dxfId="1" priority="311" operator="greaterThan">
      <formula>120</formula>
    </cfRule>
    <cfRule type="containsText" dxfId="2" priority="54" operator="between" text="库存为">
      <formula>NOT(ISERROR(SEARCH("库存为",AU209)))</formula>
    </cfRule>
  </conditionalFormatting>
  <conditionalFormatting sqref="AU210">
    <cfRule type="cellIs" dxfId="0" priority="567" operator="lessThan">
      <formula>20</formula>
    </cfRule>
    <cfRule type="cellIs" dxfId="1" priority="310" operator="greaterThan">
      <formula>120</formula>
    </cfRule>
    <cfRule type="containsText" dxfId="2" priority="53" operator="between" text="库存为">
      <formula>NOT(ISERROR(SEARCH("库存为",AU210)))</formula>
    </cfRule>
  </conditionalFormatting>
  <conditionalFormatting sqref="AU211">
    <cfRule type="cellIs" dxfId="0" priority="566" operator="lessThan">
      <formula>20</formula>
    </cfRule>
    <cfRule type="cellIs" dxfId="1" priority="309" operator="greaterThan">
      <formula>120</formula>
    </cfRule>
    <cfRule type="containsText" dxfId="2" priority="52" operator="between" text="库存为">
      <formula>NOT(ISERROR(SEARCH("库存为",AU211)))</formula>
    </cfRule>
  </conditionalFormatting>
  <conditionalFormatting sqref="AU212">
    <cfRule type="cellIs" dxfId="0" priority="565" operator="lessThan">
      <formula>20</formula>
    </cfRule>
    <cfRule type="cellIs" dxfId="1" priority="308" operator="greaterThan">
      <formula>120</formula>
    </cfRule>
    <cfRule type="containsText" dxfId="2" priority="51" operator="between" text="库存为">
      <formula>NOT(ISERROR(SEARCH("库存为",AU212)))</formula>
    </cfRule>
  </conditionalFormatting>
  <conditionalFormatting sqref="AU213">
    <cfRule type="cellIs" dxfId="0" priority="564" operator="lessThan">
      <formula>20</formula>
    </cfRule>
    <cfRule type="cellIs" dxfId="1" priority="307" operator="greaterThan">
      <formula>120</formula>
    </cfRule>
    <cfRule type="containsText" dxfId="2" priority="50" operator="between" text="库存为">
      <formula>NOT(ISERROR(SEARCH("库存为",AU213)))</formula>
    </cfRule>
  </conditionalFormatting>
  <conditionalFormatting sqref="AU214">
    <cfRule type="cellIs" dxfId="0" priority="563" operator="lessThan">
      <formula>20</formula>
    </cfRule>
    <cfRule type="cellIs" dxfId="1" priority="306" operator="greaterThan">
      <formula>120</formula>
    </cfRule>
    <cfRule type="containsText" dxfId="2" priority="49" operator="between" text="库存为">
      <formula>NOT(ISERROR(SEARCH("库存为",AU214)))</formula>
    </cfRule>
  </conditionalFormatting>
  <conditionalFormatting sqref="AU215">
    <cfRule type="cellIs" dxfId="0" priority="562" operator="lessThan">
      <formula>20</formula>
    </cfRule>
    <cfRule type="cellIs" dxfId="1" priority="305" operator="greaterThan">
      <formula>120</formula>
    </cfRule>
    <cfRule type="containsText" dxfId="2" priority="48" operator="between" text="库存为">
      <formula>NOT(ISERROR(SEARCH("库存为",AU215)))</formula>
    </cfRule>
  </conditionalFormatting>
  <conditionalFormatting sqref="AU216">
    <cfRule type="cellIs" dxfId="0" priority="561" operator="lessThan">
      <formula>20</formula>
    </cfRule>
    <cfRule type="cellIs" dxfId="1" priority="304" operator="greaterThan">
      <formula>120</formula>
    </cfRule>
    <cfRule type="containsText" dxfId="2" priority="47" operator="between" text="库存为">
      <formula>NOT(ISERROR(SEARCH("库存为",AU216)))</formula>
    </cfRule>
  </conditionalFormatting>
  <conditionalFormatting sqref="AU217">
    <cfRule type="cellIs" dxfId="0" priority="560" operator="lessThan">
      <formula>20</formula>
    </cfRule>
    <cfRule type="cellIs" dxfId="1" priority="303" operator="greaterThan">
      <formula>120</formula>
    </cfRule>
    <cfRule type="containsText" dxfId="2" priority="46" operator="between" text="库存为">
      <formula>NOT(ISERROR(SEARCH("库存为",AU217)))</formula>
    </cfRule>
  </conditionalFormatting>
  <conditionalFormatting sqref="AU218">
    <cfRule type="cellIs" dxfId="0" priority="559" operator="lessThan">
      <formula>20</formula>
    </cfRule>
    <cfRule type="cellIs" dxfId="1" priority="302" operator="greaterThan">
      <formula>120</formula>
    </cfRule>
    <cfRule type="containsText" dxfId="2" priority="45" operator="between" text="库存为">
      <formula>NOT(ISERROR(SEARCH("库存为",AU218)))</formula>
    </cfRule>
  </conditionalFormatting>
  <conditionalFormatting sqref="AU219">
    <cfRule type="cellIs" dxfId="0" priority="558" operator="lessThan">
      <formula>20</formula>
    </cfRule>
    <cfRule type="cellIs" dxfId="1" priority="301" operator="greaterThan">
      <formula>120</formula>
    </cfRule>
    <cfRule type="containsText" dxfId="2" priority="44" operator="between" text="库存为">
      <formula>NOT(ISERROR(SEARCH("库存为",AU219)))</formula>
    </cfRule>
  </conditionalFormatting>
  <conditionalFormatting sqref="AU220">
    <cfRule type="cellIs" dxfId="0" priority="557" operator="lessThan">
      <formula>20</formula>
    </cfRule>
    <cfRule type="cellIs" dxfId="1" priority="300" operator="greaterThan">
      <formula>120</formula>
    </cfRule>
    <cfRule type="containsText" dxfId="2" priority="43" operator="between" text="库存为">
      <formula>NOT(ISERROR(SEARCH("库存为",AU220)))</formula>
    </cfRule>
  </conditionalFormatting>
  <conditionalFormatting sqref="AU221">
    <cfRule type="cellIs" dxfId="0" priority="556" operator="lessThan">
      <formula>20</formula>
    </cfRule>
    <cfRule type="cellIs" dxfId="1" priority="299" operator="greaterThan">
      <formula>120</formula>
    </cfRule>
    <cfRule type="containsText" dxfId="2" priority="42" operator="between" text="库存为">
      <formula>NOT(ISERROR(SEARCH("库存为",AU221)))</formula>
    </cfRule>
  </conditionalFormatting>
  <conditionalFormatting sqref="AU222">
    <cfRule type="cellIs" dxfId="0" priority="555" operator="lessThan">
      <formula>20</formula>
    </cfRule>
    <cfRule type="cellIs" dxfId="1" priority="298" operator="greaterThan">
      <formula>120</formula>
    </cfRule>
    <cfRule type="containsText" dxfId="2" priority="41" operator="between" text="库存为">
      <formula>NOT(ISERROR(SEARCH("库存为",AU222)))</formula>
    </cfRule>
  </conditionalFormatting>
  <conditionalFormatting sqref="AU223">
    <cfRule type="cellIs" dxfId="0" priority="554" operator="lessThan">
      <formula>20</formula>
    </cfRule>
    <cfRule type="cellIs" dxfId="1" priority="297" operator="greaterThan">
      <formula>120</formula>
    </cfRule>
    <cfRule type="containsText" dxfId="2" priority="40" operator="between" text="库存为">
      <formula>NOT(ISERROR(SEARCH("库存为",AU223)))</formula>
    </cfRule>
  </conditionalFormatting>
  <conditionalFormatting sqref="AU224">
    <cfRule type="cellIs" dxfId="0" priority="553" operator="lessThan">
      <formula>20</formula>
    </cfRule>
    <cfRule type="cellIs" dxfId="1" priority="296" operator="greaterThan">
      <formula>120</formula>
    </cfRule>
    <cfRule type="containsText" dxfId="2" priority="39" operator="between" text="库存为">
      <formula>NOT(ISERROR(SEARCH("库存为",AU224)))</formula>
    </cfRule>
  </conditionalFormatting>
  <conditionalFormatting sqref="AU225">
    <cfRule type="cellIs" dxfId="0" priority="552" operator="lessThan">
      <formula>20</formula>
    </cfRule>
    <cfRule type="cellIs" dxfId="1" priority="295" operator="greaterThan">
      <formula>120</formula>
    </cfRule>
    <cfRule type="containsText" dxfId="2" priority="38" operator="between" text="库存为">
      <formula>NOT(ISERROR(SEARCH("库存为",AU225)))</formula>
    </cfRule>
  </conditionalFormatting>
  <conditionalFormatting sqref="AU226">
    <cfRule type="cellIs" dxfId="0" priority="551" operator="lessThan">
      <formula>20</formula>
    </cfRule>
    <cfRule type="cellIs" dxfId="1" priority="294" operator="greaterThan">
      <formula>120</formula>
    </cfRule>
    <cfRule type="containsText" dxfId="2" priority="37" operator="between" text="库存为">
      <formula>NOT(ISERROR(SEARCH("库存为",AU226)))</formula>
    </cfRule>
  </conditionalFormatting>
  <conditionalFormatting sqref="AU227">
    <cfRule type="cellIs" dxfId="0" priority="550" operator="lessThan">
      <formula>20</formula>
    </cfRule>
    <cfRule type="cellIs" dxfId="1" priority="293" operator="greaterThan">
      <formula>120</formula>
    </cfRule>
    <cfRule type="containsText" dxfId="2" priority="36" operator="between" text="库存为">
      <formula>NOT(ISERROR(SEARCH("库存为",AU227)))</formula>
    </cfRule>
  </conditionalFormatting>
  <conditionalFormatting sqref="AU228">
    <cfRule type="cellIs" dxfId="0" priority="549" operator="lessThan">
      <formula>20</formula>
    </cfRule>
    <cfRule type="cellIs" dxfId="1" priority="292" operator="greaterThan">
      <formula>120</formula>
    </cfRule>
    <cfRule type="containsText" dxfId="2" priority="35" operator="between" text="库存为">
      <formula>NOT(ISERROR(SEARCH("库存为",AU228)))</formula>
    </cfRule>
  </conditionalFormatting>
  <conditionalFormatting sqref="AU229">
    <cfRule type="cellIs" dxfId="0" priority="548" operator="lessThan">
      <formula>20</formula>
    </cfRule>
    <cfRule type="cellIs" dxfId="1" priority="291" operator="greaterThan">
      <formula>120</formula>
    </cfRule>
    <cfRule type="containsText" dxfId="2" priority="34" operator="between" text="库存为">
      <formula>NOT(ISERROR(SEARCH("库存为",AU229)))</formula>
    </cfRule>
  </conditionalFormatting>
  <conditionalFormatting sqref="AU230">
    <cfRule type="cellIs" dxfId="0" priority="547" operator="lessThan">
      <formula>20</formula>
    </cfRule>
    <cfRule type="cellIs" dxfId="1" priority="290" operator="greaterThan">
      <formula>120</formula>
    </cfRule>
    <cfRule type="containsText" dxfId="2" priority="33" operator="between" text="库存为">
      <formula>NOT(ISERROR(SEARCH("库存为",AU230)))</formula>
    </cfRule>
  </conditionalFormatting>
  <conditionalFormatting sqref="AU231">
    <cfRule type="cellIs" dxfId="0" priority="546" operator="lessThan">
      <formula>20</formula>
    </cfRule>
    <cfRule type="cellIs" dxfId="1" priority="289" operator="greaterThan">
      <formula>120</formula>
    </cfRule>
    <cfRule type="containsText" dxfId="2" priority="32" operator="between" text="库存为">
      <formula>NOT(ISERROR(SEARCH("库存为",AU231)))</formula>
    </cfRule>
  </conditionalFormatting>
  <conditionalFormatting sqref="AU232">
    <cfRule type="cellIs" dxfId="0" priority="545" operator="lessThan">
      <formula>20</formula>
    </cfRule>
    <cfRule type="cellIs" dxfId="1" priority="288" operator="greaterThan">
      <formula>120</formula>
    </cfRule>
    <cfRule type="containsText" dxfId="2" priority="31" operator="between" text="库存为">
      <formula>NOT(ISERROR(SEARCH("库存为",AU232)))</formula>
    </cfRule>
  </conditionalFormatting>
  <conditionalFormatting sqref="AU233">
    <cfRule type="cellIs" dxfId="0" priority="544" operator="lessThan">
      <formula>20</formula>
    </cfRule>
    <cfRule type="cellIs" dxfId="1" priority="287" operator="greaterThan">
      <formula>120</formula>
    </cfRule>
    <cfRule type="containsText" dxfId="2" priority="30" operator="between" text="库存为">
      <formula>NOT(ISERROR(SEARCH("库存为",AU233)))</formula>
    </cfRule>
  </conditionalFormatting>
  <conditionalFormatting sqref="AU234">
    <cfRule type="cellIs" dxfId="0" priority="543" operator="lessThan">
      <formula>20</formula>
    </cfRule>
    <cfRule type="cellIs" dxfId="1" priority="286" operator="greaterThan">
      <formula>120</formula>
    </cfRule>
    <cfRule type="containsText" dxfId="2" priority="29" operator="between" text="库存为">
      <formula>NOT(ISERROR(SEARCH("库存为",AU234)))</formula>
    </cfRule>
  </conditionalFormatting>
  <conditionalFormatting sqref="AU235">
    <cfRule type="cellIs" dxfId="0" priority="542" operator="lessThan">
      <formula>20</formula>
    </cfRule>
    <cfRule type="cellIs" dxfId="1" priority="285" operator="greaterThan">
      <formula>120</formula>
    </cfRule>
    <cfRule type="containsText" dxfId="2" priority="28" operator="between" text="库存为">
      <formula>NOT(ISERROR(SEARCH("库存为",AU235)))</formula>
    </cfRule>
  </conditionalFormatting>
  <conditionalFormatting sqref="AU236">
    <cfRule type="cellIs" dxfId="0" priority="541" operator="lessThan">
      <formula>20</formula>
    </cfRule>
    <cfRule type="cellIs" dxfId="1" priority="284" operator="greaterThan">
      <formula>120</formula>
    </cfRule>
    <cfRule type="containsText" dxfId="2" priority="27" operator="between" text="库存为">
      <formula>NOT(ISERROR(SEARCH("库存为",AU236)))</formula>
    </cfRule>
  </conditionalFormatting>
  <conditionalFormatting sqref="AU237">
    <cfRule type="cellIs" dxfId="0" priority="540" operator="lessThan">
      <formula>20</formula>
    </cfRule>
    <cfRule type="cellIs" dxfId="1" priority="283" operator="greaterThan">
      <formula>120</formula>
    </cfRule>
    <cfRule type="containsText" dxfId="2" priority="26" operator="between" text="库存为">
      <formula>NOT(ISERROR(SEARCH("库存为",AU237)))</formula>
    </cfRule>
  </conditionalFormatting>
  <conditionalFormatting sqref="AU238">
    <cfRule type="cellIs" dxfId="0" priority="539" operator="lessThan">
      <formula>20</formula>
    </cfRule>
    <cfRule type="cellIs" dxfId="1" priority="282" operator="greaterThan">
      <formula>120</formula>
    </cfRule>
    <cfRule type="containsText" dxfId="2" priority="25" operator="between" text="库存为">
      <formula>NOT(ISERROR(SEARCH("库存为",AU238)))</formula>
    </cfRule>
  </conditionalFormatting>
  <conditionalFormatting sqref="AU239">
    <cfRule type="cellIs" dxfId="0" priority="538" operator="lessThan">
      <formula>20</formula>
    </cfRule>
    <cfRule type="cellIs" dxfId="1" priority="281" operator="greaterThan">
      <formula>120</formula>
    </cfRule>
    <cfRule type="containsText" dxfId="2" priority="24" operator="between" text="库存为">
      <formula>NOT(ISERROR(SEARCH("库存为",AU239)))</formula>
    </cfRule>
  </conditionalFormatting>
  <conditionalFormatting sqref="AU240">
    <cfRule type="cellIs" dxfId="0" priority="537" operator="lessThan">
      <formula>20</formula>
    </cfRule>
    <cfRule type="cellIs" dxfId="1" priority="280" operator="greaterThan">
      <formula>120</formula>
    </cfRule>
    <cfRule type="containsText" dxfId="2" priority="23" operator="between" text="库存为">
      <formula>NOT(ISERROR(SEARCH("库存为",AU240)))</formula>
    </cfRule>
  </conditionalFormatting>
  <conditionalFormatting sqref="AU241">
    <cfRule type="cellIs" dxfId="0" priority="536" operator="lessThan">
      <formula>20</formula>
    </cfRule>
    <cfRule type="cellIs" dxfId="1" priority="279" operator="greaterThan">
      <formula>120</formula>
    </cfRule>
    <cfRule type="containsText" dxfId="2" priority="22" operator="between" text="库存为">
      <formula>NOT(ISERROR(SEARCH("库存为",AU241)))</formula>
    </cfRule>
  </conditionalFormatting>
  <conditionalFormatting sqref="AU242">
    <cfRule type="cellIs" dxfId="0" priority="535" operator="lessThan">
      <formula>20</formula>
    </cfRule>
    <cfRule type="cellIs" dxfId="1" priority="278" operator="greaterThan">
      <formula>120</formula>
    </cfRule>
    <cfRule type="containsText" dxfId="2" priority="21" operator="between" text="库存为">
      <formula>NOT(ISERROR(SEARCH("库存为",AU242)))</formula>
    </cfRule>
  </conditionalFormatting>
  <conditionalFormatting sqref="AU243">
    <cfRule type="cellIs" dxfId="0" priority="534" operator="lessThan">
      <formula>20</formula>
    </cfRule>
    <cfRule type="cellIs" dxfId="1" priority="277" operator="greaterThan">
      <formula>120</formula>
    </cfRule>
    <cfRule type="containsText" dxfId="2" priority="20" operator="between" text="库存为">
      <formula>NOT(ISERROR(SEARCH("库存为",AU243)))</formula>
    </cfRule>
  </conditionalFormatting>
  <conditionalFormatting sqref="AU244">
    <cfRule type="cellIs" dxfId="0" priority="533" operator="lessThan">
      <formula>20</formula>
    </cfRule>
    <cfRule type="cellIs" dxfId="1" priority="276" operator="greaterThan">
      <formula>120</formula>
    </cfRule>
    <cfRule type="containsText" dxfId="2" priority="19" operator="between" text="库存为">
      <formula>NOT(ISERROR(SEARCH("库存为",AU244)))</formula>
    </cfRule>
  </conditionalFormatting>
  <conditionalFormatting sqref="AU245">
    <cfRule type="cellIs" dxfId="0" priority="532" operator="lessThan">
      <formula>20</formula>
    </cfRule>
    <cfRule type="cellIs" dxfId="1" priority="275" operator="greaterThan">
      <formula>120</formula>
    </cfRule>
    <cfRule type="containsText" dxfId="2" priority="18" operator="between" text="库存为">
      <formula>NOT(ISERROR(SEARCH("库存为",AU245)))</formula>
    </cfRule>
  </conditionalFormatting>
  <conditionalFormatting sqref="AU246">
    <cfRule type="cellIs" dxfId="0" priority="531" operator="lessThan">
      <formula>20</formula>
    </cfRule>
    <cfRule type="cellIs" dxfId="1" priority="274" operator="greaterThan">
      <formula>120</formula>
    </cfRule>
    <cfRule type="containsText" dxfId="2" priority="17" operator="between" text="库存为">
      <formula>NOT(ISERROR(SEARCH("库存为",AU246)))</formula>
    </cfRule>
  </conditionalFormatting>
  <conditionalFormatting sqref="AU247">
    <cfRule type="cellIs" dxfId="0" priority="530" operator="lessThan">
      <formula>20</formula>
    </cfRule>
    <cfRule type="cellIs" dxfId="1" priority="273" operator="greaterThan">
      <formula>120</formula>
    </cfRule>
    <cfRule type="containsText" dxfId="2" priority="16" operator="between" text="库存为">
      <formula>NOT(ISERROR(SEARCH("库存为",AU247)))</formula>
    </cfRule>
  </conditionalFormatting>
  <conditionalFormatting sqref="AU248">
    <cfRule type="cellIs" dxfId="0" priority="529" operator="lessThan">
      <formula>20</formula>
    </cfRule>
    <cfRule type="cellIs" dxfId="1" priority="272" operator="greaterThan">
      <formula>120</formula>
    </cfRule>
    <cfRule type="containsText" dxfId="2" priority="15" operator="between" text="库存为">
      <formula>NOT(ISERROR(SEARCH("库存为",AU248)))</formula>
    </cfRule>
  </conditionalFormatting>
  <conditionalFormatting sqref="AU249">
    <cfRule type="cellIs" dxfId="0" priority="528" operator="lessThan">
      <formula>20</formula>
    </cfRule>
    <cfRule type="cellIs" dxfId="1" priority="271" operator="greaterThan">
      <formula>120</formula>
    </cfRule>
    <cfRule type="containsText" dxfId="2" priority="14" operator="between" text="库存为">
      <formula>NOT(ISERROR(SEARCH("库存为",AU249)))</formula>
    </cfRule>
  </conditionalFormatting>
  <conditionalFormatting sqref="AU250">
    <cfRule type="cellIs" dxfId="0" priority="527" operator="lessThan">
      <formula>20</formula>
    </cfRule>
    <cfRule type="cellIs" dxfId="1" priority="270" operator="greaterThan">
      <formula>120</formula>
    </cfRule>
    <cfRule type="containsText" dxfId="2" priority="13" operator="between" text="库存为">
      <formula>NOT(ISERROR(SEARCH("库存为",AU250)))</formula>
    </cfRule>
  </conditionalFormatting>
  <conditionalFormatting sqref="AU251">
    <cfRule type="cellIs" dxfId="0" priority="526" operator="lessThan">
      <formula>20</formula>
    </cfRule>
    <cfRule type="cellIs" dxfId="1" priority="269" operator="greaterThan">
      <formula>120</formula>
    </cfRule>
    <cfRule type="containsText" dxfId="2" priority="12" operator="between" text="库存为">
      <formula>NOT(ISERROR(SEARCH("库存为",AU251)))</formula>
    </cfRule>
  </conditionalFormatting>
  <conditionalFormatting sqref="AU252">
    <cfRule type="cellIs" dxfId="0" priority="525" operator="lessThan">
      <formula>20</formula>
    </cfRule>
    <cfRule type="cellIs" dxfId="1" priority="268" operator="greaterThan">
      <formula>120</formula>
    </cfRule>
    <cfRule type="containsText" dxfId="2" priority="11" operator="between" text="库存为">
      <formula>NOT(ISERROR(SEARCH("库存为",AU252)))</formula>
    </cfRule>
  </conditionalFormatting>
  <conditionalFormatting sqref="AU253">
    <cfRule type="cellIs" dxfId="0" priority="524" operator="lessThan">
      <formula>20</formula>
    </cfRule>
    <cfRule type="cellIs" dxfId="1" priority="267" operator="greaterThan">
      <formula>120</formula>
    </cfRule>
    <cfRule type="containsText" dxfId="2" priority="10" operator="between" text="库存为">
      <formula>NOT(ISERROR(SEARCH("库存为",AU253)))</formula>
    </cfRule>
  </conditionalFormatting>
  <conditionalFormatting sqref="AU254">
    <cfRule type="cellIs" dxfId="0" priority="523" operator="lessThan">
      <formula>20</formula>
    </cfRule>
    <cfRule type="cellIs" dxfId="1" priority="266" operator="greaterThan">
      <formula>120</formula>
    </cfRule>
    <cfRule type="containsText" dxfId="2" priority="9" operator="between" text="库存为">
      <formula>NOT(ISERROR(SEARCH("库存为",AU254)))</formula>
    </cfRule>
  </conditionalFormatting>
  <conditionalFormatting sqref="AU255">
    <cfRule type="cellIs" dxfId="0" priority="522" operator="lessThan">
      <formula>20</formula>
    </cfRule>
    <cfRule type="cellIs" dxfId="1" priority="265" operator="greaterThan">
      <formula>120</formula>
    </cfRule>
    <cfRule type="containsText" dxfId="2" priority="8" operator="between" text="库存为">
      <formula>NOT(ISERROR(SEARCH("库存为",AU255)))</formula>
    </cfRule>
  </conditionalFormatting>
  <conditionalFormatting sqref="AU256">
    <cfRule type="cellIs" dxfId="0" priority="521" operator="lessThan">
      <formula>20</formula>
    </cfRule>
    <cfRule type="cellIs" dxfId="1" priority="264" operator="greaterThan">
      <formula>120</formula>
    </cfRule>
    <cfRule type="containsText" dxfId="2" priority="7" operator="between" text="库存为">
      <formula>NOT(ISERROR(SEARCH("库存为",AU256)))</formula>
    </cfRule>
  </conditionalFormatting>
  <conditionalFormatting sqref="AU257">
    <cfRule type="cellIs" dxfId="0" priority="520" operator="lessThan">
      <formula>20</formula>
    </cfRule>
    <cfRule type="cellIs" dxfId="1" priority="263" operator="greaterThan">
      <formula>120</formula>
    </cfRule>
    <cfRule type="containsText" dxfId="2" priority="6" operator="between" text="库存为">
      <formula>NOT(ISERROR(SEARCH("库存为",AU257)))</formula>
    </cfRule>
  </conditionalFormatting>
  <conditionalFormatting sqref="AU258">
    <cfRule type="cellIs" dxfId="0" priority="519" operator="lessThan">
      <formula>20</formula>
    </cfRule>
    <cfRule type="cellIs" dxfId="1" priority="262" operator="greaterThan">
      <formula>120</formula>
    </cfRule>
    <cfRule type="containsText" dxfId="2" priority="5" operator="between" text="库存为">
      <formula>NOT(ISERROR(SEARCH("库存为",AU258)))</formula>
    </cfRule>
  </conditionalFormatting>
  <conditionalFormatting sqref="AU259">
    <cfRule type="cellIs" dxfId="0" priority="518" operator="lessThan">
      <formula>20</formula>
    </cfRule>
    <cfRule type="cellIs" dxfId="1" priority="261" operator="greaterThan">
      <formula>120</formula>
    </cfRule>
    <cfRule type="containsText" dxfId="2" priority="4" operator="between" text="库存为">
      <formula>NOT(ISERROR(SEARCH("库存为",AU259)))</formula>
    </cfRule>
  </conditionalFormatting>
  <conditionalFormatting sqref="AU260">
    <cfRule type="cellIs" dxfId="0" priority="517" operator="lessThan">
      <formula>20</formula>
    </cfRule>
    <cfRule type="cellIs" dxfId="1" priority="260" operator="greaterThan">
      <formula>120</formula>
    </cfRule>
    <cfRule type="containsText" dxfId="2" priority="3" operator="between" text="库存为">
      <formula>NOT(ISERROR(SEARCH("库存为",AU260)))</formula>
    </cfRule>
  </conditionalFormatting>
  <conditionalFormatting sqref="AU261">
    <cfRule type="cellIs" dxfId="0" priority="516" operator="lessThan">
      <formula>20</formula>
    </cfRule>
    <cfRule type="cellIs" dxfId="1" priority="259" operator="greaterThan">
      <formula>120</formula>
    </cfRule>
    <cfRule type="containsText" dxfId="2" priority="2" operator="between" text="库存为">
      <formula>NOT(ISERROR(SEARCH("库存为",AU261)))</formula>
    </cfRule>
  </conditionalFormatting>
  <conditionalFormatting sqref="AU262">
    <cfRule type="cellIs" dxfId="0" priority="515" operator="lessThan">
      <formula>20</formula>
    </cfRule>
    <cfRule type="cellIs" dxfId="1" priority="258" operator="greaterThan">
      <formula>120</formula>
    </cfRule>
    <cfRule type="containsText" dxfId="2" priority="1" operator="between" text="库存为">
      <formula>NOT(ISERROR(SEARCH("库存为",AU262)))</formula>
    </cfRule>
  </conditionalFormatting>
  <conditionalFormatting sqref="AU263">
    <cfRule type="cellIs" dxfId="0" priority="1309" operator="lessThan">
      <formula>20</formula>
    </cfRule>
    <cfRule type="cellIs" dxfId="1" priority="1044" operator="greaterThan">
      <formula>120</formula>
    </cfRule>
    <cfRule type="containsText" dxfId="2" priority="779" operator="between" text="库存为">
      <formula>NOT(ISERROR(SEARCH("库存为",AU263)))</formula>
    </cfRule>
  </conditionalFormatting>
  <conditionalFormatting sqref="AU264">
    <cfRule type="cellIs" dxfId="0" priority="1308" operator="lessThan">
      <formula>20</formula>
    </cfRule>
    <cfRule type="cellIs" dxfId="1" priority="1043" operator="greaterThan">
      <formula>120</formula>
    </cfRule>
    <cfRule type="containsText" dxfId="2" priority="778" operator="between" text="库存为">
      <formula>NOT(ISERROR(SEARCH("库存为",AU264)))</formula>
    </cfRule>
  </conditionalFormatting>
  <conditionalFormatting sqref="AU265">
    <cfRule type="cellIs" dxfId="0" priority="1307" operator="lessThan">
      <formula>20</formula>
    </cfRule>
    <cfRule type="cellIs" dxfId="1" priority="1042" operator="greaterThan">
      <formula>120</formula>
    </cfRule>
    <cfRule type="containsText" dxfId="2" priority="777" operator="between" text="库存为">
      <formula>NOT(ISERROR(SEARCH("库存为",AU265)))</formula>
    </cfRule>
  </conditionalFormatting>
  <conditionalFormatting sqref="AU266">
    <cfRule type="cellIs" dxfId="0" priority="1306" operator="lessThan">
      <formula>20</formula>
    </cfRule>
    <cfRule type="cellIs" dxfId="1" priority="1041" operator="greaterThan">
      <formula>120</formula>
    </cfRule>
    <cfRule type="containsText" dxfId="2" priority="776" operator="between" text="库存为">
      <formula>NOT(ISERROR(SEARCH("库存为",AU266)))</formula>
    </cfRule>
  </conditionalFormatting>
  <conditionalFormatting sqref="AU267">
    <cfRule type="cellIs" dxfId="0" priority="1305" operator="lessThan">
      <formula>20</formula>
    </cfRule>
    <cfRule type="cellIs" dxfId="1" priority="1040" operator="greaterThan">
      <formula>120</formula>
    </cfRule>
    <cfRule type="containsText" dxfId="2" priority="775" operator="between" text="库存为">
      <formula>NOT(ISERROR(SEARCH("库存为",AU267)))</formula>
    </cfRule>
  </conditionalFormatting>
  <conditionalFormatting sqref="AU268">
    <cfRule type="cellIs" dxfId="0" priority="1304" operator="lessThan">
      <formula>20</formula>
    </cfRule>
    <cfRule type="cellIs" dxfId="1" priority="1039" operator="greaterThan">
      <formula>120</formula>
    </cfRule>
    <cfRule type="containsText" dxfId="2" priority="774" operator="between" text="库存为">
      <formula>NOT(ISERROR(SEARCH("库存为",AU268)))</formula>
    </cfRule>
  </conditionalFormatting>
  <conditionalFormatting sqref="AU269">
    <cfRule type="cellIs" dxfId="0" priority="1303" operator="lessThan">
      <formula>20</formula>
    </cfRule>
    <cfRule type="cellIs" dxfId="1" priority="1038" operator="greaterThan">
      <formula>120</formula>
    </cfRule>
    <cfRule type="containsText" dxfId="2" priority="773" operator="between" text="库存为">
      <formula>NOT(ISERROR(SEARCH("库存为",AU269)))</formula>
    </cfRule>
  </conditionalFormatting>
  <conditionalFormatting sqref="AU270">
    <cfRule type="cellIs" dxfId="0" priority="1302" operator="lessThan">
      <formula>20</formula>
    </cfRule>
    <cfRule type="cellIs" dxfId="1" priority="1037" operator="greaterThan">
      <formula>120</formula>
    </cfRule>
    <cfRule type="containsText" dxfId="2" priority="772" operator="between" text="库存为">
      <formula>NOT(ISERROR(SEARCH("库存为",AU270)))</formula>
    </cfRule>
  </conditionalFormatting>
  <conditionalFormatting sqref="AU271">
    <cfRule type="cellIs" dxfId="0" priority="2129" operator="lessThan">
      <formula>20</formula>
    </cfRule>
    <cfRule type="cellIs" dxfId="1" priority="1853" operator="greaterThan">
      <formula>120</formula>
    </cfRule>
    <cfRule type="containsText" dxfId="2" priority="1577" operator="between" text="库存为">
      <formula>NOT(ISERROR(SEARCH("库存为",AU271)))</formula>
    </cfRule>
  </conditionalFormatting>
  <conditionalFormatting sqref="AU272">
    <cfRule type="cellIs" dxfId="0" priority="2128" operator="lessThan">
      <formula>20</formula>
    </cfRule>
    <cfRule type="cellIs" dxfId="1" priority="1852" operator="greaterThan">
      <formula>120</formula>
    </cfRule>
    <cfRule type="containsText" dxfId="2" priority="1576" operator="between" text="库存为">
      <formula>NOT(ISERROR(SEARCH("库存为",AU272)))</formula>
    </cfRule>
  </conditionalFormatting>
  <conditionalFormatting sqref="AU273">
    <cfRule type="cellIs" dxfId="0" priority="2127" operator="lessThan">
      <formula>20</formula>
    </cfRule>
    <cfRule type="cellIs" dxfId="1" priority="1851" operator="greaterThan">
      <formula>120</formula>
    </cfRule>
    <cfRule type="containsText" dxfId="2" priority="1575" operator="between" text="库存为">
      <formula>NOT(ISERROR(SEARCH("库存为",AU273)))</formula>
    </cfRule>
  </conditionalFormatting>
  <conditionalFormatting sqref="AU274">
    <cfRule type="cellIs" dxfId="0" priority="2126" operator="lessThan">
      <formula>20</formula>
    </cfRule>
    <cfRule type="cellIs" dxfId="1" priority="1850" operator="greaterThan">
      <formula>120</formula>
    </cfRule>
    <cfRule type="containsText" dxfId="2" priority="1574" operator="between" text="库存为">
      <formula>NOT(ISERROR(SEARCH("库存为",AU274)))</formula>
    </cfRule>
  </conditionalFormatting>
  <conditionalFormatting sqref="AU275">
    <cfRule type="cellIs" dxfId="0" priority="2125" operator="lessThan">
      <formula>20</formula>
    </cfRule>
    <cfRule type="cellIs" dxfId="1" priority="1849" operator="greaterThan">
      <formula>120</formula>
    </cfRule>
    <cfRule type="containsText" dxfId="2" priority="1573" operator="between" text="库存为">
      <formula>NOT(ISERROR(SEARCH("库存为",AU275)))</formula>
    </cfRule>
  </conditionalFormatting>
  <conditionalFormatting sqref="AU276">
    <cfRule type="cellIs" dxfId="0" priority="2124" operator="lessThan">
      <formula>20</formula>
    </cfRule>
    <cfRule type="cellIs" dxfId="1" priority="1848" operator="greaterThan">
      <formula>120</formula>
    </cfRule>
    <cfRule type="containsText" dxfId="2" priority="1572" operator="between" text="库存为">
      <formula>NOT(ISERROR(SEARCH("库存为",AU276)))</formula>
    </cfRule>
  </conditionalFormatting>
  <conditionalFormatting sqref="AU277">
    <cfRule type="cellIs" dxfId="0" priority="2123" operator="lessThan">
      <formula>20</formula>
    </cfRule>
    <cfRule type="cellIs" dxfId="1" priority="1847" operator="greaterThan">
      <formula>120</formula>
    </cfRule>
    <cfRule type="containsText" dxfId="2" priority="1571" operator="between" text="库存为">
      <formula>NOT(ISERROR(SEARCH("库存为",AU277)))</formula>
    </cfRule>
  </conditionalFormatting>
  <conditionalFormatting sqref="AU278">
    <cfRule type="cellIs" dxfId="0" priority="2122" operator="lessThan">
      <formula>20</formula>
    </cfRule>
    <cfRule type="cellIs" dxfId="1" priority="1846" operator="greaterThan">
      <formula>120</formula>
    </cfRule>
    <cfRule type="containsText" dxfId="2" priority="1570" operator="between" text="库存为">
      <formula>NOT(ISERROR(SEARCH("库存为",AU278)))</formula>
    </cfRule>
  </conditionalFormatting>
  <conditionalFormatting sqref="AU279">
    <cfRule type="cellIs" dxfId="0" priority="2121" operator="lessThan">
      <formula>20</formula>
    </cfRule>
    <cfRule type="cellIs" dxfId="1" priority="1845" operator="greaterThan">
      <formula>120</formula>
    </cfRule>
    <cfRule type="containsText" dxfId="2" priority="1569" operator="between" text="库存为">
      <formula>NOT(ISERROR(SEARCH("库存为",AU279)))</formula>
    </cfRule>
  </conditionalFormatting>
  <conditionalFormatting sqref="AU280">
    <cfRule type="cellIs" dxfId="0" priority="2120" operator="lessThan">
      <formula>20</formula>
    </cfRule>
    <cfRule type="cellIs" dxfId="1" priority="1844" operator="greaterThan">
      <formula>120</formula>
    </cfRule>
    <cfRule type="containsText" dxfId="2" priority="1568" operator="between" text="库存为">
      <formula>NOT(ISERROR(SEARCH("库存为",AU280)))</formula>
    </cfRule>
  </conditionalFormatting>
  <conditionalFormatting sqref="AU281">
    <cfRule type="cellIs" dxfId="0" priority="2119" operator="lessThan">
      <formula>20</formula>
    </cfRule>
    <cfRule type="cellIs" dxfId="1" priority="1843" operator="greaterThan">
      <formula>120</formula>
    </cfRule>
    <cfRule type="containsText" dxfId="2" priority="1567" operator="between" text="库存为">
      <formula>NOT(ISERROR(SEARCH("库存为",AU281)))</formula>
    </cfRule>
  </conditionalFormatting>
  <conditionalFormatting sqref="AU282">
    <cfRule type="cellIs" dxfId="0" priority="2952" operator="lessThan">
      <formula>20</formula>
    </cfRule>
    <cfRule type="cellIs" dxfId="1" priority="2674" operator="greaterThan">
      <formula>120</formula>
    </cfRule>
    <cfRule type="containsText" dxfId="2" priority="2396" operator="between" text="库存为">
      <formula>NOT(ISERROR(SEARCH("库存为",AU282)))</formula>
    </cfRule>
  </conditionalFormatting>
  <conditionalFormatting sqref="AU283">
    <cfRule type="cellIs" dxfId="0" priority="2951" operator="lessThan">
      <formula>20</formula>
    </cfRule>
    <cfRule type="cellIs" dxfId="1" priority="2673" operator="greaterThan">
      <formula>120</formula>
    </cfRule>
    <cfRule type="containsText" dxfId="2" priority="2395" operator="between" text="库存为">
      <formula>NOT(ISERROR(SEARCH("库存为",AU283)))</formula>
    </cfRule>
  </conditionalFormatting>
  <conditionalFormatting sqref="AU284">
    <cfRule type="cellIs" dxfId="0" priority="3793" operator="lessThan">
      <formula>20</formula>
    </cfRule>
    <cfRule type="cellIs" dxfId="1" priority="3512" operator="greaterThan">
      <formula>120</formula>
    </cfRule>
    <cfRule type="containsText" dxfId="2" priority="3231" operator="between" text="库存为">
      <formula>NOT(ISERROR(SEARCH("库存为",AU284)))</formula>
    </cfRule>
  </conditionalFormatting>
  <conditionalFormatting sqref="AU285">
    <cfRule type="cellIs" dxfId="0" priority="3792" operator="lessThan">
      <formula>20</formula>
    </cfRule>
    <cfRule type="cellIs" dxfId="1" priority="3511" operator="greaterThan">
      <formula>120</formula>
    </cfRule>
    <cfRule type="containsText" dxfId="2" priority="3230" operator="between" text="库存为">
      <formula>NOT(ISERROR(SEARCH("库存为",AU285)))</formula>
    </cfRule>
  </conditionalFormatting>
  <conditionalFormatting sqref="AU286">
    <cfRule type="cellIs" dxfId="0" priority="3791" operator="lessThan">
      <formula>20</formula>
    </cfRule>
    <cfRule type="cellIs" dxfId="1" priority="3510" operator="greaterThan">
      <formula>120</formula>
    </cfRule>
    <cfRule type="containsText" dxfId="2" priority="3229" operator="between" text="库存为">
      <formula>NOT(ISERROR(SEARCH("库存为",AU286)))</formula>
    </cfRule>
  </conditionalFormatting>
  <conditionalFormatting sqref="AU287">
    <cfRule type="cellIs" dxfId="0" priority="5470" operator="lessThan">
      <formula>20</formula>
    </cfRule>
    <cfRule type="cellIs" dxfId="1" priority="5188" operator="greaterThan">
      <formula>120</formula>
    </cfRule>
    <cfRule type="containsText" dxfId="2" priority="4906" operator="between" text="库存为">
      <formula>NOT(ISERROR(SEARCH("库存为",AU287)))</formula>
    </cfRule>
  </conditionalFormatting>
  <conditionalFormatting sqref="AU288">
    <cfRule type="cellIs" dxfId="0" priority="7776" operator="lessThan">
      <formula>20</formula>
    </cfRule>
    <cfRule type="cellIs" dxfId="1" priority="7007" operator="greaterThan">
      <formula>120</formula>
    </cfRule>
    <cfRule type="containsText" dxfId="2" priority="6238" operator="between" text="库存为">
      <formula>NOT(ISERROR(SEARCH("库存为",AU288)))</formula>
    </cfRule>
  </conditionalFormatting>
  <conditionalFormatting sqref="AU289">
    <cfRule type="cellIs" dxfId="0" priority="7775" operator="lessThan">
      <formula>20</formula>
    </cfRule>
    <cfRule type="cellIs" dxfId="1" priority="7006" operator="greaterThan">
      <formula>120</formula>
    </cfRule>
    <cfRule type="containsText" dxfId="2" priority="6237" operator="between" text="库存为">
      <formula>NOT(ISERROR(SEARCH("库存为",AU289)))</formula>
    </cfRule>
  </conditionalFormatting>
  <conditionalFormatting sqref="AU290">
    <cfRule type="cellIs" dxfId="0" priority="7774" operator="lessThan">
      <formula>20</formula>
    </cfRule>
    <cfRule type="cellIs" dxfId="1" priority="7005" operator="greaterThan">
      <formula>120</formula>
    </cfRule>
    <cfRule type="containsText" dxfId="2" priority="6236" operator="between" text="库存为">
      <formula>NOT(ISERROR(SEARCH("库存为",AU290)))</formula>
    </cfRule>
  </conditionalFormatting>
  <conditionalFormatting sqref="AU291">
    <cfRule type="cellIs" dxfId="0" priority="7773" operator="lessThan">
      <formula>20</formula>
    </cfRule>
    <cfRule type="cellIs" dxfId="1" priority="7004" operator="greaterThan">
      <formula>120</formula>
    </cfRule>
    <cfRule type="containsText" dxfId="2" priority="6235" operator="between" text="库存为">
      <formula>NOT(ISERROR(SEARCH("库存为",AU291)))</formula>
    </cfRule>
  </conditionalFormatting>
  <conditionalFormatting sqref="AU292">
    <cfRule type="cellIs" dxfId="0" priority="7772" operator="lessThan">
      <formula>20</formula>
    </cfRule>
    <cfRule type="cellIs" dxfId="1" priority="7003" operator="greaterThan">
      <formula>120</formula>
    </cfRule>
    <cfRule type="containsText" dxfId="2" priority="6234" operator="between" text="库存为">
      <formula>NOT(ISERROR(SEARCH("库存为",AU292)))</formula>
    </cfRule>
  </conditionalFormatting>
  <conditionalFormatting sqref="AU293">
    <cfRule type="cellIs" dxfId="0" priority="7771" operator="lessThan">
      <formula>20</formula>
    </cfRule>
    <cfRule type="cellIs" dxfId="1" priority="7002" operator="greaterThan">
      <formula>120</formula>
    </cfRule>
    <cfRule type="containsText" dxfId="2" priority="6233" operator="between" text="库存为">
      <formula>NOT(ISERROR(SEARCH("库存为",AU293)))</formula>
    </cfRule>
  </conditionalFormatting>
  <conditionalFormatting sqref="AU294">
    <cfRule type="cellIs" dxfId="0" priority="7770" operator="lessThan">
      <formula>20</formula>
    </cfRule>
    <cfRule type="cellIs" dxfId="1" priority="7001" operator="greaterThan">
      <formula>120</formula>
    </cfRule>
    <cfRule type="containsText" dxfId="2" priority="6232" operator="between" text="库存为">
      <formula>NOT(ISERROR(SEARCH("库存为",AU294)))</formula>
    </cfRule>
  </conditionalFormatting>
  <conditionalFormatting sqref="AU295">
    <cfRule type="cellIs" dxfId="0" priority="7769" operator="lessThan">
      <formula>20</formula>
    </cfRule>
    <cfRule type="cellIs" dxfId="1" priority="7000" operator="greaterThan">
      <formula>120</formula>
    </cfRule>
    <cfRule type="containsText" dxfId="2" priority="6231" operator="between" text="库存为">
      <formula>NOT(ISERROR(SEARCH("库存为",AU295)))</formula>
    </cfRule>
  </conditionalFormatting>
  <conditionalFormatting sqref="AU296">
    <cfRule type="cellIs" dxfId="0" priority="7768" operator="lessThan">
      <formula>20</formula>
    </cfRule>
    <cfRule type="cellIs" dxfId="1" priority="6999" operator="greaterThan">
      <formula>120</formula>
    </cfRule>
    <cfRule type="containsText" dxfId="2" priority="6230" operator="between" text="库存为">
      <formula>NOT(ISERROR(SEARCH("库存为",AU296)))</formula>
    </cfRule>
  </conditionalFormatting>
  <conditionalFormatting sqref="AU297">
    <cfRule type="cellIs" dxfId="0" priority="7767" operator="lessThan">
      <formula>20</formula>
    </cfRule>
    <cfRule type="cellIs" dxfId="1" priority="6998" operator="greaterThan">
      <formula>120</formula>
    </cfRule>
    <cfRule type="containsText" dxfId="2" priority="6229" operator="between" text="库存为">
      <formula>NOT(ISERROR(SEARCH("库存为",AU297)))</formula>
    </cfRule>
  </conditionalFormatting>
  <conditionalFormatting sqref="AU298">
    <cfRule type="cellIs" dxfId="0" priority="7766" operator="lessThan">
      <formula>20</formula>
    </cfRule>
    <cfRule type="cellIs" dxfId="1" priority="6997" operator="greaterThan">
      <formula>120</formula>
    </cfRule>
    <cfRule type="containsText" dxfId="2" priority="6228" operator="between" text="库存为">
      <formula>NOT(ISERROR(SEARCH("库存为",AU298)))</formula>
    </cfRule>
  </conditionalFormatting>
  <conditionalFormatting sqref="AU299">
    <cfRule type="cellIs" dxfId="0" priority="7765" operator="lessThan">
      <formula>20</formula>
    </cfRule>
    <cfRule type="cellIs" dxfId="1" priority="6996" operator="greaterThan">
      <formula>120</formula>
    </cfRule>
    <cfRule type="containsText" dxfId="2" priority="6227" operator="between" text="库存为">
      <formula>NOT(ISERROR(SEARCH("库存为",AU299)))</formula>
    </cfRule>
  </conditionalFormatting>
  <conditionalFormatting sqref="AU300">
    <cfRule type="cellIs" dxfId="0" priority="7764" operator="lessThan">
      <formula>20</formula>
    </cfRule>
    <cfRule type="cellIs" dxfId="1" priority="6995" operator="greaterThan">
      <formula>120</formula>
    </cfRule>
    <cfRule type="containsText" dxfId="2" priority="6226" operator="between" text="库存为">
      <formula>NOT(ISERROR(SEARCH("库存为",AU300)))</formula>
    </cfRule>
  </conditionalFormatting>
  <conditionalFormatting sqref="AU301">
    <cfRule type="cellIs" dxfId="0" priority="7763" operator="lessThan">
      <formula>20</formula>
    </cfRule>
    <cfRule type="cellIs" dxfId="1" priority="6994" operator="greaterThan">
      <formula>120</formula>
    </cfRule>
    <cfRule type="containsText" dxfId="2" priority="6225" operator="between" text="库存为">
      <formula>NOT(ISERROR(SEARCH("库存为",AU301)))</formula>
    </cfRule>
  </conditionalFormatting>
  <conditionalFormatting sqref="AU302">
    <cfRule type="cellIs" dxfId="0" priority="7762" operator="lessThan">
      <formula>20</formula>
    </cfRule>
    <cfRule type="cellIs" dxfId="1" priority="6993" operator="greaterThan">
      <formula>120</formula>
    </cfRule>
    <cfRule type="containsText" dxfId="2" priority="6224" operator="between" text="库存为">
      <formula>NOT(ISERROR(SEARCH("库存为",AU302)))</formula>
    </cfRule>
  </conditionalFormatting>
  <conditionalFormatting sqref="AU303">
    <cfRule type="cellIs" dxfId="0" priority="7761" operator="lessThan">
      <formula>20</formula>
    </cfRule>
    <cfRule type="cellIs" dxfId="1" priority="6992" operator="greaterThan">
      <formula>120</formula>
    </cfRule>
    <cfRule type="containsText" dxfId="2" priority="6223" operator="between" text="库存为">
      <formula>NOT(ISERROR(SEARCH("库存为",AU303)))</formula>
    </cfRule>
  </conditionalFormatting>
  <conditionalFormatting sqref="AU304">
    <cfRule type="cellIs" dxfId="0" priority="7760" operator="lessThan">
      <formula>20</formula>
    </cfRule>
    <cfRule type="cellIs" dxfId="1" priority="6991" operator="greaterThan">
      <formula>120</formula>
    </cfRule>
    <cfRule type="containsText" dxfId="2" priority="6222" operator="between" text="库存为">
      <formula>NOT(ISERROR(SEARCH("库存为",AU304)))</formula>
    </cfRule>
  </conditionalFormatting>
  <conditionalFormatting sqref="AU305">
    <cfRule type="cellIs" dxfId="0" priority="7759" operator="lessThan">
      <formula>20</formula>
    </cfRule>
    <cfRule type="cellIs" dxfId="1" priority="6990" operator="greaterThan">
      <formula>120</formula>
    </cfRule>
    <cfRule type="containsText" dxfId="2" priority="6221" operator="between" text="库存为">
      <formula>NOT(ISERROR(SEARCH("库存为",AU305)))</formula>
    </cfRule>
  </conditionalFormatting>
  <conditionalFormatting sqref="AU306">
    <cfRule type="cellIs" dxfId="0" priority="7758" operator="lessThan">
      <formula>20</formula>
    </cfRule>
    <cfRule type="cellIs" dxfId="1" priority="6989" operator="greaterThan">
      <formula>120</formula>
    </cfRule>
    <cfRule type="containsText" dxfId="2" priority="6220" operator="between" text="库存为">
      <formula>NOT(ISERROR(SEARCH("库存为",AU306)))</formula>
    </cfRule>
  </conditionalFormatting>
  <conditionalFormatting sqref="AU307">
    <cfRule type="cellIs" dxfId="0" priority="7757" operator="lessThan">
      <formula>20</formula>
    </cfRule>
    <cfRule type="cellIs" dxfId="1" priority="6988" operator="greaterThan">
      <formula>120</formula>
    </cfRule>
    <cfRule type="containsText" dxfId="2" priority="6219" operator="between" text="库存为">
      <formula>NOT(ISERROR(SEARCH("库存为",AU307)))</formula>
    </cfRule>
  </conditionalFormatting>
  <conditionalFormatting sqref="AU308">
    <cfRule type="cellIs" dxfId="0" priority="7756" operator="lessThan">
      <formula>20</formula>
    </cfRule>
    <cfRule type="cellIs" dxfId="1" priority="6987" operator="greaterThan">
      <formula>120</formula>
    </cfRule>
    <cfRule type="containsText" dxfId="2" priority="6218" operator="between" text="库存为">
      <formula>NOT(ISERROR(SEARCH("库存为",AU308)))</formula>
    </cfRule>
  </conditionalFormatting>
  <conditionalFormatting sqref="AU309">
    <cfRule type="cellIs" dxfId="0" priority="7755" operator="lessThan">
      <formula>20</formula>
    </cfRule>
    <cfRule type="cellIs" dxfId="1" priority="6986" operator="greaterThan">
      <formula>120</formula>
    </cfRule>
    <cfRule type="containsText" dxfId="2" priority="6217" operator="between" text="库存为">
      <formula>NOT(ISERROR(SEARCH("库存为",AU309)))</formula>
    </cfRule>
  </conditionalFormatting>
  <conditionalFormatting sqref="AU310">
    <cfRule type="cellIs" dxfId="0" priority="7754" operator="lessThan">
      <formula>20</formula>
    </cfRule>
    <cfRule type="cellIs" dxfId="1" priority="6985" operator="greaterThan">
      <formula>120</formula>
    </cfRule>
    <cfRule type="containsText" dxfId="2" priority="6216" operator="between" text="库存为">
      <formula>NOT(ISERROR(SEARCH("库存为",AU310)))</formula>
    </cfRule>
  </conditionalFormatting>
  <conditionalFormatting sqref="AU311">
    <cfRule type="cellIs" dxfId="0" priority="7753" operator="lessThan">
      <formula>20</formula>
    </cfRule>
    <cfRule type="cellIs" dxfId="1" priority="6984" operator="greaterThan">
      <formula>120</formula>
    </cfRule>
    <cfRule type="containsText" dxfId="2" priority="6215" operator="between" text="库存为">
      <formula>NOT(ISERROR(SEARCH("库存为",AU311)))</formula>
    </cfRule>
  </conditionalFormatting>
  <conditionalFormatting sqref="AU312">
    <cfRule type="cellIs" dxfId="0" priority="7752" operator="lessThan">
      <formula>20</formula>
    </cfRule>
    <cfRule type="cellIs" dxfId="1" priority="6983" operator="greaterThan">
      <formula>120</formula>
    </cfRule>
    <cfRule type="containsText" dxfId="2" priority="6214" operator="between" text="库存为">
      <formula>NOT(ISERROR(SEARCH("库存为",AU312)))</formula>
    </cfRule>
  </conditionalFormatting>
  <conditionalFormatting sqref="AU313">
    <cfRule type="cellIs" dxfId="0" priority="7751" operator="lessThan">
      <formula>20</formula>
    </cfRule>
    <cfRule type="cellIs" dxfId="1" priority="6982" operator="greaterThan">
      <formula>120</formula>
    </cfRule>
    <cfRule type="containsText" dxfId="2" priority="6213" operator="between" text="库存为">
      <formula>NOT(ISERROR(SEARCH("库存为",AU313)))</formula>
    </cfRule>
  </conditionalFormatting>
  <conditionalFormatting sqref="AU314">
    <cfRule type="cellIs" dxfId="0" priority="7750" operator="lessThan">
      <formula>20</formula>
    </cfRule>
    <cfRule type="cellIs" dxfId="1" priority="6981" operator="greaterThan">
      <formula>120</formula>
    </cfRule>
    <cfRule type="containsText" dxfId="2" priority="6212" operator="between" text="库存为">
      <formula>NOT(ISERROR(SEARCH("库存为",AU314)))</formula>
    </cfRule>
  </conditionalFormatting>
  <conditionalFormatting sqref="AU315">
    <cfRule type="cellIs" dxfId="0" priority="7749" operator="lessThan">
      <formula>20</formula>
    </cfRule>
    <cfRule type="cellIs" dxfId="1" priority="6980" operator="greaterThan">
      <formula>120</formula>
    </cfRule>
    <cfRule type="containsText" dxfId="2" priority="6211" operator="between" text="库存为">
      <formula>NOT(ISERROR(SEARCH("库存为",AU315)))</formula>
    </cfRule>
  </conditionalFormatting>
  <conditionalFormatting sqref="AU316">
    <cfRule type="cellIs" dxfId="0" priority="7748" operator="lessThan">
      <formula>20</formula>
    </cfRule>
    <cfRule type="cellIs" dxfId="1" priority="6979" operator="greaterThan">
      <formula>120</formula>
    </cfRule>
    <cfRule type="containsText" dxfId="2" priority="6210" operator="between" text="库存为">
      <formula>NOT(ISERROR(SEARCH("库存为",AU316)))</formula>
    </cfRule>
  </conditionalFormatting>
  <conditionalFormatting sqref="AU317">
    <cfRule type="cellIs" dxfId="0" priority="7747" operator="lessThan">
      <formula>20</formula>
    </cfRule>
    <cfRule type="cellIs" dxfId="1" priority="6978" operator="greaterThan">
      <formula>120</formula>
    </cfRule>
    <cfRule type="containsText" dxfId="2" priority="6209" operator="between" text="库存为">
      <formula>NOT(ISERROR(SEARCH("库存为",AU317)))</formula>
    </cfRule>
  </conditionalFormatting>
  <conditionalFormatting sqref="AU318">
    <cfRule type="cellIs" dxfId="0" priority="7746" operator="lessThan">
      <formula>20</formula>
    </cfRule>
    <cfRule type="cellIs" dxfId="1" priority="6977" operator="greaterThan">
      <formula>120</formula>
    </cfRule>
    <cfRule type="containsText" dxfId="2" priority="6208" operator="between" text="库存为">
      <formula>NOT(ISERROR(SEARCH("库存为",AU318)))</formula>
    </cfRule>
  </conditionalFormatting>
  <conditionalFormatting sqref="AU319">
    <cfRule type="cellIs" dxfId="0" priority="7745" operator="lessThan">
      <formula>20</formula>
    </cfRule>
    <cfRule type="cellIs" dxfId="1" priority="6976" operator="greaterThan">
      <formula>120</formula>
    </cfRule>
    <cfRule type="containsText" dxfId="2" priority="6207" operator="between" text="库存为">
      <formula>NOT(ISERROR(SEARCH("库存为",AU319)))</formula>
    </cfRule>
  </conditionalFormatting>
  <conditionalFormatting sqref="AU320">
    <cfRule type="cellIs" dxfId="0" priority="7744" operator="lessThan">
      <formula>20</formula>
    </cfRule>
    <cfRule type="cellIs" dxfId="1" priority="6975" operator="greaterThan">
      <formula>120</formula>
    </cfRule>
    <cfRule type="containsText" dxfId="2" priority="6206" operator="between" text="库存为">
      <formula>NOT(ISERROR(SEARCH("库存为",AU320)))</formula>
    </cfRule>
  </conditionalFormatting>
  <conditionalFormatting sqref="AU321">
    <cfRule type="cellIs" dxfId="0" priority="7743" operator="lessThan">
      <formula>20</formula>
    </cfRule>
    <cfRule type="cellIs" dxfId="1" priority="6974" operator="greaterThan">
      <formula>120</formula>
    </cfRule>
    <cfRule type="containsText" dxfId="2" priority="6205" operator="between" text="库存为">
      <formula>NOT(ISERROR(SEARCH("库存为",AU321)))</formula>
    </cfRule>
  </conditionalFormatting>
  <conditionalFormatting sqref="AU322">
    <cfRule type="cellIs" dxfId="0" priority="7742" operator="lessThan">
      <formula>20</formula>
    </cfRule>
    <cfRule type="cellIs" dxfId="1" priority="6973" operator="greaterThan">
      <formula>120</formula>
    </cfRule>
    <cfRule type="containsText" dxfId="2" priority="6204" operator="between" text="库存为">
      <formula>NOT(ISERROR(SEARCH("库存为",AU322)))</formula>
    </cfRule>
  </conditionalFormatting>
  <conditionalFormatting sqref="AU323">
    <cfRule type="cellIs" dxfId="0" priority="7741" operator="lessThan">
      <formula>20</formula>
    </cfRule>
    <cfRule type="cellIs" dxfId="1" priority="6972" operator="greaterThan">
      <formula>120</formula>
    </cfRule>
    <cfRule type="containsText" dxfId="2" priority="6203" operator="between" text="库存为">
      <formula>NOT(ISERROR(SEARCH("库存为",AU323)))</formula>
    </cfRule>
  </conditionalFormatting>
  <conditionalFormatting sqref="AU324">
    <cfRule type="cellIs" dxfId="0" priority="7740" operator="lessThan">
      <formula>20</formula>
    </cfRule>
    <cfRule type="cellIs" dxfId="1" priority="6971" operator="greaterThan">
      <formula>120</formula>
    </cfRule>
    <cfRule type="containsText" dxfId="2" priority="6202" operator="between" text="库存为">
      <formula>NOT(ISERROR(SEARCH("库存为",AU324)))</formula>
    </cfRule>
  </conditionalFormatting>
  <conditionalFormatting sqref="AU325">
    <cfRule type="cellIs" dxfId="0" priority="7739" operator="lessThan">
      <formula>20</formula>
    </cfRule>
    <cfRule type="cellIs" dxfId="1" priority="6970" operator="greaterThan">
      <formula>120</formula>
    </cfRule>
    <cfRule type="containsText" dxfId="2" priority="6201" operator="between" text="库存为">
      <formula>NOT(ISERROR(SEARCH("库存为",AU325)))</formula>
    </cfRule>
  </conditionalFormatting>
  <conditionalFormatting sqref="AU326">
    <cfRule type="cellIs" dxfId="0" priority="7738" operator="lessThan">
      <formula>20</formula>
    </cfRule>
    <cfRule type="cellIs" dxfId="1" priority="6969" operator="greaterThan">
      <formula>120</formula>
    </cfRule>
    <cfRule type="containsText" dxfId="2" priority="6200" operator="between" text="库存为">
      <formula>NOT(ISERROR(SEARCH("库存为",AU326)))</formula>
    </cfRule>
  </conditionalFormatting>
  <conditionalFormatting sqref="AU327">
    <cfRule type="cellIs" dxfId="0" priority="7737" operator="lessThan">
      <formula>20</formula>
    </cfRule>
    <cfRule type="cellIs" dxfId="1" priority="6968" operator="greaterThan">
      <formula>120</formula>
    </cfRule>
    <cfRule type="containsText" dxfId="2" priority="6199" operator="between" text="库存为">
      <formula>NOT(ISERROR(SEARCH("库存为",AU327)))</formula>
    </cfRule>
  </conditionalFormatting>
  <conditionalFormatting sqref="AU328">
    <cfRule type="cellIs" dxfId="0" priority="7736" operator="lessThan">
      <formula>20</formula>
    </cfRule>
    <cfRule type="cellIs" dxfId="1" priority="6967" operator="greaterThan">
      <formula>120</formula>
    </cfRule>
    <cfRule type="containsText" dxfId="2" priority="6198" operator="between" text="库存为">
      <formula>NOT(ISERROR(SEARCH("库存为",AU328)))</formula>
    </cfRule>
  </conditionalFormatting>
  <conditionalFormatting sqref="AU329">
    <cfRule type="cellIs" dxfId="0" priority="7735" operator="lessThan">
      <formula>20</formula>
    </cfRule>
    <cfRule type="cellIs" dxfId="1" priority="6966" operator="greaterThan">
      <formula>120</formula>
    </cfRule>
    <cfRule type="containsText" dxfId="2" priority="6197" operator="between" text="库存为">
      <formula>NOT(ISERROR(SEARCH("库存为",AU329)))</formula>
    </cfRule>
  </conditionalFormatting>
  <conditionalFormatting sqref="AU330">
    <cfRule type="cellIs" dxfId="0" priority="7734" operator="lessThan">
      <formula>20</formula>
    </cfRule>
    <cfRule type="cellIs" dxfId="1" priority="6965" operator="greaterThan">
      <formula>120</formula>
    </cfRule>
    <cfRule type="containsText" dxfId="2" priority="6196" operator="between" text="库存为">
      <formula>NOT(ISERROR(SEARCH("库存为",AU330)))</formula>
    </cfRule>
  </conditionalFormatting>
  <conditionalFormatting sqref="AU331">
    <cfRule type="cellIs" dxfId="0" priority="7733" operator="lessThan">
      <formula>20</formula>
    </cfRule>
    <cfRule type="cellIs" dxfId="1" priority="6964" operator="greaterThan">
      <formula>120</formula>
    </cfRule>
    <cfRule type="containsText" dxfId="2" priority="6195" operator="between" text="库存为">
      <formula>NOT(ISERROR(SEARCH("库存为",AU331)))</formula>
    </cfRule>
  </conditionalFormatting>
  <conditionalFormatting sqref="AU332">
    <cfRule type="cellIs" dxfId="0" priority="7732" operator="lessThan">
      <formula>20</formula>
    </cfRule>
    <cfRule type="cellIs" dxfId="1" priority="6963" operator="greaterThan">
      <formula>120</formula>
    </cfRule>
    <cfRule type="containsText" dxfId="2" priority="6194" operator="between" text="库存为">
      <formula>NOT(ISERROR(SEARCH("库存为",AU332)))</formula>
    </cfRule>
  </conditionalFormatting>
  <conditionalFormatting sqref="AU333">
    <cfRule type="cellIs" dxfId="0" priority="7731" operator="lessThan">
      <formula>20</formula>
    </cfRule>
    <cfRule type="cellIs" dxfId="1" priority="6962" operator="greaterThan">
      <formula>120</formula>
    </cfRule>
    <cfRule type="containsText" dxfId="2" priority="6193" operator="between" text="库存为">
      <formula>NOT(ISERROR(SEARCH("库存为",AU333)))</formula>
    </cfRule>
  </conditionalFormatting>
  <conditionalFormatting sqref="AU334">
    <cfRule type="cellIs" dxfId="0" priority="7730" operator="lessThan">
      <formula>20</formula>
    </cfRule>
    <cfRule type="cellIs" dxfId="1" priority="6961" operator="greaterThan">
      <formula>120</formula>
    </cfRule>
    <cfRule type="containsText" dxfId="2" priority="6192" operator="between" text="库存为">
      <formula>NOT(ISERROR(SEARCH("库存为",AU334)))</formula>
    </cfRule>
  </conditionalFormatting>
  <conditionalFormatting sqref="AU335">
    <cfRule type="cellIs" dxfId="0" priority="7729" operator="lessThan">
      <formula>20</formula>
    </cfRule>
    <cfRule type="cellIs" dxfId="1" priority="6960" operator="greaterThan">
      <formula>120</formula>
    </cfRule>
    <cfRule type="containsText" dxfId="2" priority="6191" operator="between" text="库存为">
      <formula>NOT(ISERROR(SEARCH("库存为",AU335)))</formula>
    </cfRule>
  </conditionalFormatting>
  <conditionalFormatting sqref="AU336">
    <cfRule type="cellIs" dxfId="0" priority="7728" operator="lessThan">
      <formula>20</formula>
    </cfRule>
    <cfRule type="cellIs" dxfId="1" priority="6959" operator="greaterThan">
      <formula>120</formula>
    </cfRule>
    <cfRule type="containsText" dxfId="2" priority="6190" operator="between" text="库存为">
      <formula>NOT(ISERROR(SEARCH("库存为",AU336)))</formula>
    </cfRule>
  </conditionalFormatting>
  <conditionalFormatting sqref="AU337">
    <cfRule type="cellIs" dxfId="0" priority="7727" operator="lessThan">
      <formula>20</formula>
    </cfRule>
    <cfRule type="cellIs" dxfId="1" priority="6958" operator="greaterThan">
      <formula>120</formula>
    </cfRule>
    <cfRule type="containsText" dxfId="2" priority="6189" operator="between" text="库存为">
      <formula>NOT(ISERROR(SEARCH("库存为",AU337)))</formula>
    </cfRule>
  </conditionalFormatting>
  <conditionalFormatting sqref="AU338">
    <cfRule type="cellIs" dxfId="0" priority="7726" operator="lessThan">
      <formula>20</formula>
    </cfRule>
    <cfRule type="cellIs" dxfId="1" priority="6957" operator="greaterThan">
      <formula>120</formula>
    </cfRule>
    <cfRule type="containsText" dxfId="2" priority="6188" operator="between" text="库存为">
      <formula>NOT(ISERROR(SEARCH("库存为",AU338)))</formula>
    </cfRule>
  </conditionalFormatting>
  <conditionalFormatting sqref="AU339">
    <cfRule type="cellIs" dxfId="0" priority="7725" operator="lessThan">
      <formula>20</formula>
    </cfRule>
    <cfRule type="cellIs" dxfId="1" priority="6956" operator="greaterThan">
      <formula>120</formula>
    </cfRule>
    <cfRule type="containsText" dxfId="2" priority="6187" operator="between" text="库存为">
      <formula>NOT(ISERROR(SEARCH("库存为",AU339)))</formula>
    </cfRule>
  </conditionalFormatting>
  <conditionalFormatting sqref="AU340">
    <cfRule type="cellIs" dxfId="0" priority="7724" operator="lessThan">
      <formula>20</formula>
    </cfRule>
    <cfRule type="cellIs" dxfId="1" priority="6955" operator="greaterThan">
      <formula>120</formula>
    </cfRule>
    <cfRule type="containsText" dxfId="2" priority="6186" operator="between" text="库存为">
      <formula>NOT(ISERROR(SEARCH("库存为",AU340)))</formula>
    </cfRule>
  </conditionalFormatting>
  <conditionalFormatting sqref="AU341">
    <cfRule type="cellIs" dxfId="0" priority="7723" operator="lessThan">
      <formula>20</formula>
    </cfRule>
    <cfRule type="cellIs" dxfId="1" priority="6954" operator="greaterThan">
      <formula>120</formula>
    </cfRule>
    <cfRule type="containsText" dxfId="2" priority="6185" operator="between" text="库存为">
      <formula>NOT(ISERROR(SEARCH("库存为",AU341)))</formula>
    </cfRule>
  </conditionalFormatting>
  <conditionalFormatting sqref="AU342">
    <cfRule type="cellIs" dxfId="0" priority="7722" operator="lessThan">
      <formula>20</formula>
    </cfRule>
    <cfRule type="cellIs" dxfId="1" priority="6953" operator="greaterThan">
      <formula>120</formula>
    </cfRule>
    <cfRule type="containsText" dxfId="2" priority="6184" operator="between" text="库存为">
      <formula>NOT(ISERROR(SEARCH("库存为",AU342)))</formula>
    </cfRule>
  </conditionalFormatting>
  <conditionalFormatting sqref="AU343">
    <cfRule type="cellIs" dxfId="0" priority="7721" operator="lessThan">
      <formula>20</formula>
    </cfRule>
    <cfRule type="cellIs" dxfId="1" priority="6952" operator="greaterThan">
      <formula>120</formula>
    </cfRule>
    <cfRule type="containsText" dxfId="2" priority="6183" operator="between" text="库存为">
      <formula>NOT(ISERROR(SEARCH("库存为",AU343)))</formula>
    </cfRule>
  </conditionalFormatting>
  <conditionalFormatting sqref="AU344">
    <cfRule type="cellIs" dxfId="0" priority="7720" operator="lessThan">
      <formula>20</formula>
    </cfRule>
    <cfRule type="cellIs" dxfId="1" priority="6951" operator="greaterThan">
      <formula>120</formula>
    </cfRule>
    <cfRule type="containsText" dxfId="2" priority="6182" operator="between" text="库存为">
      <formula>NOT(ISERROR(SEARCH("库存为",AU344)))</formula>
    </cfRule>
  </conditionalFormatting>
  <conditionalFormatting sqref="AU345">
    <cfRule type="cellIs" dxfId="0" priority="7719" operator="lessThan">
      <formula>20</formula>
    </cfRule>
    <cfRule type="cellIs" dxfId="1" priority="6950" operator="greaterThan">
      <formula>120</formula>
    </cfRule>
    <cfRule type="containsText" dxfId="2" priority="6181" operator="between" text="库存为">
      <formula>NOT(ISERROR(SEARCH("库存为",AU345)))</formula>
    </cfRule>
  </conditionalFormatting>
  <conditionalFormatting sqref="AU346">
    <cfRule type="cellIs" dxfId="0" priority="7718" operator="lessThan">
      <formula>20</formula>
    </cfRule>
    <cfRule type="cellIs" dxfId="1" priority="6949" operator="greaterThan">
      <formula>120</formula>
    </cfRule>
    <cfRule type="containsText" dxfId="2" priority="6180" operator="between" text="库存为">
      <formula>NOT(ISERROR(SEARCH("库存为",AU346)))</formula>
    </cfRule>
  </conditionalFormatting>
  <conditionalFormatting sqref="AU347">
    <cfRule type="cellIs" dxfId="0" priority="7717" operator="lessThan">
      <formula>20</formula>
    </cfRule>
    <cfRule type="cellIs" dxfId="1" priority="6948" operator="greaterThan">
      <formula>120</formula>
    </cfRule>
    <cfRule type="containsText" dxfId="2" priority="6179" operator="between" text="库存为">
      <formula>NOT(ISERROR(SEARCH("库存为",AU347)))</formula>
    </cfRule>
  </conditionalFormatting>
  <conditionalFormatting sqref="AU348">
    <cfRule type="cellIs" dxfId="0" priority="7716" operator="lessThan">
      <formula>20</formula>
    </cfRule>
    <cfRule type="cellIs" dxfId="1" priority="6947" operator="greaterThan">
      <formula>120</formula>
    </cfRule>
    <cfRule type="containsText" dxfId="2" priority="6178" operator="between" text="库存为">
      <formula>NOT(ISERROR(SEARCH("库存为",AU348)))</formula>
    </cfRule>
  </conditionalFormatting>
  <conditionalFormatting sqref="AU349">
    <cfRule type="cellIs" dxfId="0" priority="7715" operator="lessThan">
      <formula>20</formula>
    </cfRule>
    <cfRule type="cellIs" dxfId="1" priority="6946" operator="greaterThan">
      <formula>120</formula>
    </cfRule>
    <cfRule type="containsText" dxfId="2" priority="6177" operator="between" text="库存为">
      <formula>NOT(ISERROR(SEARCH("库存为",AU349)))</formula>
    </cfRule>
  </conditionalFormatting>
  <conditionalFormatting sqref="AU350">
    <cfRule type="cellIs" dxfId="0" priority="7714" operator="lessThan">
      <formula>20</formula>
    </cfRule>
    <cfRule type="cellIs" dxfId="1" priority="6945" operator="greaterThan">
      <formula>120</formula>
    </cfRule>
    <cfRule type="containsText" dxfId="2" priority="6176" operator="between" text="库存为">
      <formula>NOT(ISERROR(SEARCH("库存为",AU350)))</formula>
    </cfRule>
  </conditionalFormatting>
  <conditionalFormatting sqref="AU351">
    <cfRule type="cellIs" dxfId="0" priority="7713" operator="lessThan">
      <formula>20</formula>
    </cfRule>
    <cfRule type="cellIs" dxfId="1" priority="6944" operator="greaterThan">
      <formula>120</formula>
    </cfRule>
    <cfRule type="containsText" dxfId="2" priority="6175" operator="between" text="库存为">
      <formula>NOT(ISERROR(SEARCH("库存为",AU351)))</formula>
    </cfRule>
  </conditionalFormatting>
  <conditionalFormatting sqref="AU352">
    <cfRule type="cellIs" dxfId="0" priority="7712" operator="lessThan">
      <formula>20</formula>
    </cfRule>
    <cfRule type="cellIs" dxfId="1" priority="6943" operator="greaterThan">
      <formula>120</formula>
    </cfRule>
    <cfRule type="containsText" dxfId="2" priority="6174" operator="between" text="库存为">
      <formula>NOT(ISERROR(SEARCH("库存为",AU352)))</formula>
    </cfRule>
  </conditionalFormatting>
  <conditionalFormatting sqref="AU353">
    <cfRule type="cellIs" dxfId="0" priority="7711" operator="lessThan">
      <formula>20</formula>
    </cfRule>
    <cfRule type="cellIs" dxfId="1" priority="6942" operator="greaterThan">
      <formula>120</formula>
    </cfRule>
    <cfRule type="containsText" dxfId="2" priority="6173" operator="between" text="库存为">
      <formula>NOT(ISERROR(SEARCH("库存为",AU353)))</formula>
    </cfRule>
  </conditionalFormatting>
  <conditionalFormatting sqref="AU354">
    <cfRule type="cellIs" dxfId="0" priority="7710" operator="lessThan">
      <formula>20</formula>
    </cfRule>
    <cfRule type="cellIs" dxfId="1" priority="6941" operator="greaterThan">
      <formula>120</formula>
    </cfRule>
    <cfRule type="containsText" dxfId="2" priority="6172" operator="between" text="库存为">
      <formula>NOT(ISERROR(SEARCH("库存为",AU354)))</formula>
    </cfRule>
  </conditionalFormatting>
  <conditionalFormatting sqref="AU355">
    <cfRule type="cellIs" dxfId="0" priority="7709" operator="lessThan">
      <formula>20</formula>
    </cfRule>
    <cfRule type="cellIs" dxfId="1" priority="6940" operator="greaterThan">
      <formula>120</formula>
    </cfRule>
    <cfRule type="containsText" dxfId="2" priority="6171" operator="between" text="库存为">
      <formula>NOT(ISERROR(SEARCH("库存为",AU355)))</formula>
    </cfRule>
  </conditionalFormatting>
  <conditionalFormatting sqref="AU356">
    <cfRule type="cellIs" dxfId="0" priority="7708" operator="lessThan">
      <formula>20</formula>
    </cfRule>
    <cfRule type="cellIs" dxfId="1" priority="6939" operator="greaterThan">
      <formula>120</formula>
    </cfRule>
    <cfRule type="containsText" dxfId="2" priority="6170" operator="between" text="库存为">
      <formula>NOT(ISERROR(SEARCH("库存为",AU356)))</formula>
    </cfRule>
  </conditionalFormatting>
  <conditionalFormatting sqref="AU357">
    <cfRule type="cellIs" dxfId="0" priority="7707" operator="lessThan">
      <formula>20</formula>
    </cfRule>
    <cfRule type="cellIs" dxfId="1" priority="6938" operator="greaterThan">
      <formula>120</formula>
    </cfRule>
    <cfRule type="containsText" dxfId="2" priority="6169" operator="between" text="库存为">
      <formula>NOT(ISERROR(SEARCH("库存为",AU357)))</formula>
    </cfRule>
  </conditionalFormatting>
  <conditionalFormatting sqref="AU358">
    <cfRule type="cellIs" dxfId="0" priority="7706" operator="lessThan">
      <formula>20</formula>
    </cfRule>
    <cfRule type="cellIs" dxfId="1" priority="6937" operator="greaterThan">
      <formula>120</formula>
    </cfRule>
    <cfRule type="containsText" dxfId="2" priority="6168" operator="between" text="库存为">
      <formula>NOT(ISERROR(SEARCH("库存为",AU358)))</formula>
    </cfRule>
  </conditionalFormatting>
  <conditionalFormatting sqref="AU359">
    <cfRule type="cellIs" dxfId="0" priority="7705" operator="lessThan">
      <formula>20</formula>
    </cfRule>
    <cfRule type="cellIs" dxfId="1" priority="6936" operator="greaterThan">
      <formula>120</formula>
    </cfRule>
    <cfRule type="containsText" dxfId="2" priority="6167" operator="between" text="库存为">
      <formula>NOT(ISERROR(SEARCH("库存为",AU359)))</formula>
    </cfRule>
  </conditionalFormatting>
  <conditionalFormatting sqref="AU360">
    <cfRule type="cellIs" dxfId="0" priority="7704" operator="lessThan">
      <formula>20</formula>
    </cfRule>
    <cfRule type="cellIs" dxfId="1" priority="6935" operator="greaterThan">
      <formula>120</formula>
    </cfRule>
    <cfRule type="containsText" dxfId="2" priority="6166" operator="between" text="库存为">
      <formula>NOT(ISERROR(SEARCH("库存为",AU360)))</formula>
    </cfRule>
  </conditionalFormatting>
  <conditionalFormatting sqref="AU361">
    <cfRule type="cellIs" dxfId="0" priority="7703" operator="lessThan">
      <formula>20</formula>
    </cfRule>
    <cfRule type="cellIs" dxfId="1" priority="6934" operator="greaterThan">
      <formula>120</formula>
    </cfRule>
    <cfRule type="containsText" dxfId="2" priority="6165" operator="between" text="库存为">
      <formula>NOT(ISERROR(SEARCH("库存为",AU361)))</formula>
    </cfRule>
  </conditionalFormatting>
  <conditionalFormatting sqref="AU362">
    <cfRule type="cellIs" dxfId="0" priority="7702" operator="lessThan">
      <formula>20</formula>
    </cfRule>
    <cfRule type="cellIs" dxfId="1" priority="6933" operator="greaterThan">
      <formula>120</formula>
    </cfRule>
    <cfRule type="containsText" dxfId="2" priority="6164" operator="between" text="库存为">
      <formula>NOT(ISERROR(SEARCH("库存为",AU362)))</formula>
    </cfRule>
  </conditionalFormatting>
  <conditionalFormatting sqref="AU363">
    <cfRule type="cellIs" dxfId="0" priority="7701" operator="lessThan">
      <formula>20</formula>
    </cfRule>
    <cfRule type="cellIs" dxfId="1" priority="6932" operator="greaterThan">
      <formula>120</formula>
    </cfRule>
    <cfRule type="containsText" dxfId="2" priority="6163" operator="between" text="库存为">
      <formula>NOT(ISERROR(SEARCH("库存为",AU363)))</formula>
    </cfRule>
  </conditionalFormatting>
  <conditionalFormatting sqref="AU364">
    <cfRule type="cellIs" dxfId="0" priority="7700" operator="lessThan">
      <formula>20</formula>
    </cfRule>
    <cfRule type="cellIs" dxfId="1" priority="6931" operator="greaterThan">
      <formula>120</formula>
    </cfRule>
    <cfRule type="containsText" dxfId="2" priority="6162" operator="between" text="库存为">
      <formula>NOT(ISERROR(SEARCH("库存为",AU364)))</formula>
    </cfRule>
  </conditionalFormatting>
  <conditionalFormatting sqref="AU365">
    <cfRule type="cellIs" dxfId="0" priority="7699" operator="lessThan">
      <formula>20</formula>
    </cfRule>
    <cfRule type="cellIs" dxfId="1" priority="6930" operator="greaterThan">
      <formula>120</formula>
    </cfRule>
    <cfRule type="containsText" dxfId="2" priority="6161" operator="between" text="库存为">
      <formula>NOT(ISERROR(SEARCH("库存为",AU365)))</formula>
    </cfRule>
  </conditionalFormatting>
  <conditionalFormatting sqref="AU366">
    <cfRule type="cellIs" dxfId="0" priority="7698" operator="lessThan">
      <formula>20</formula>
    </cfRule>
    <cfRule type="cellIs" dxfId="1" priority="6929" operator="greaterThan">
      <formula>120</formula>
    </cfRule>
    <cfRule type="containsText" dxfId="2" priority="6160" operator="between" text="库存为">
      <formula>NOT(ISERROR(SEARCH("库存为",AU366)))</formula>
    </cfRule>
  </conditionalFormatting>
  <conditionalFormatting sqref="AU367">
    <cfRule type="cellIs" dxfId="0" priority="7697" operator="lessThan">
      <formula>20</formula>
    </cfRule>
    <cfRule type="cellIs" dxfId="1" priority="6928" operator="greaterThan">
      <formula>120</formula>
    </cfRule>
    <cfRule type="containsText" dxfId="2" priority="6159" operator="between" text="库存为">
      <formula>NOT(ISERROR(SEARCH("库存为",AU367)))</formula>
    </cfRule>
  </conditionalFormatting>
  <conditionalFormatting sqref="AU368">
    <cfRule type="cellIs" dxfId="0" priority="7696" operator="lessThan">
      <formula>20</formula>
    </cfRule>
    <cfRule type="cellIs" dxfId="1" priority="6927" operator="greaterThan">
      <formula>120</formula>
    </cfRule>
    <cfRule type="containsText" dxfId="2" priority="6158" operator="between" text="库存为">
      <formula>NOT(ISERROR(SEARCH("库存为",AU368)))</formula>
    </cfRule>
  </conditionalFormatting>
  <conditionalFormatting sqref="AU369">
    <cfRule type="cellIs" dxfId="0" priority="7695" operator="lessThan">
      <formula>20</formula>
    </cfRule>
    <cfRule type="cellIs" dxfId="1" priority="6926" operator="greaterThan">
      <formula>120</formula>
    </cfRule>
    <cfRule type="containsText" dxfId="2" priority="6157" operator="between" text="库存为">
      <formula>NOT(ISERROR(SEARCH("库存为",AU369)))</formula>
    </cfRule>
  </conditionalFormatting>
  <conditionalFormatting sqref="AU370">
    <cfRule type="cellIs" dxfId="0" priority="7694" operator="lessThan">
      <formula>20</formula>
    </cfRule>
    <cfRule type="cellIs" dxfId="1" priority="6925" operator="greaterThan">
      <formula>120</formula>
    </cfRule>
    <cfRule type="containsText" dxfId="2" priority="6156" operator="between" text="库存为">
      <formula>NOT(ISERROR(SEARCH("库存为",AU370)))</formula>
    </cfRule>
  </conditionalFormatting>
  <conditionalFormatting sqref="AU371">
    <cfRule type="cellIs" dxfId="0" priority="7693" operator="lessThan">
      <formula>20</formula>
    </cfRule>
    <cfRule type="cellIs" dxfId="1" priority="6924" operator="greaterThan">
      <formula>120</formula>
    </cfRule>
    <cfRule type="containsText" dxfId="2" priority="6155" operator="between" text="库存为">
      <formula>NOT(ISERROR(SEARCH("库存为",AU371)))</formula>
    </cfRule>
  </conditionalFormatting>
  <conditionalFormatting sqref="AU372">
    <cfRule type="cellIs" dxfId="0" priority="7692" operator="lessThan">
      <formula>20</formula>
    </cfRule>
    <cfRule type="cellIs" dxfId="1" priority="6923" operator="greaterThan">
      <formula>120</formula>
    </cfRule>
    <cfRule type="containsText" dxfId="2" priority="6154" operator="between" text="库存为">
      <formula>NOT(ISERROR(SEARCH("库存为",AU372)))</formula>
    </cfRule>
  </conditionalFormatting>
  <conditionalFormatting sqref="AU373">
    <cfRule type="cellIs" dxfId="0" priority="7691" operator="lessThan">
      <formula>20</formula>
    </cfRule>
    <cfRule type="cellIs" dxfId="1" priority="6922" operator="greaterThan">
      <formula>120</formula>
    </cfRule>
    <cfRule type="containsText" dxfId="2" priority="6153" operator="between" text="库存为">
      <formula>NOT(ISERROR(SEARCH("库存为",AU373)))</formula>
    </cfRule>
  </conditionalFormatting>
  <conditionalFormatting sqref="AU374">
    <cfRule type="cellIs" dxfId="0" priority="7690" operator="lessThan">
      <formula>20</formula>
    </cfRule>
    <cfRule type="cellIs" dxfId="1" priority="6921" operator="greaterThan">
      <formula>120</formula>
    </cfRule>
    <cfRule type="containsText" dxfId="2" priority="6152" operator="between" text="库存为">
      <formula>NOT(ISERROR(SEARCH("库存为",AU374)))</formula>
    </cfRule>
  </conditionalFormatting>
  <conditionalFormatting sqref="AU375">
    <cfRule type="cellIs" dxfId="0" priority="7689" operator="lessThan">
      <formula>20</formula>
    </cfRule>
    <cfRule type="cellIs" dxfId="1" priority="6920" operator="greaterThan">
      <formula>120</formula>
    </cfRule>
    <cfRule type="containsText" dxfId="2" priority="6151" operator="between" text="库存为">
      <formula>NOT(ISERROR(SEARCH("库存为",AU375)))</formula>
    </cfRule>
  </conditionalFormatting>
  <conditionalFormatting sqref="AU376">
    <cfRule type="cellIs" dxfId="0" priority="7688" operator="lessThan">
      <formula>20</formula>
    </cfRule>
    <cfRule type="cellIs" dxfId="1" priority="6919" operator="greaterThan">
      <formula>120</formula>
    </cfRule>
    <cfRule type="containsText" dxfId="2" priority="6150" operator="between" text="库存为">
      <formula>NOT(ISERROR(SEARCH("库存为",AU376)))</formula>
    </cfRule>
  </conditionalFormatting>
  <conditionalFormatting sqref="AU377">
    <cfRule type="cellIs" dxfId="0" priority="7687" operator="lessThan">
      <formula>20</formula>
    </cfRule>
    <cfRule type="cellIs" dxfId="1" priority="6918" operator="greaterThan">
      <formula>120</formula>
    </cfRule>
    <cfRule type="containsText" dxfId="2" priority="6149" operator="between" text="库存为">
      <formula>NOT(ISERROR(SEARCH("库存为",AU377)))</formula>
    </cfRule>
  </conditionalFormatting>
  <conditionalFormatting sqref="AU378">
    <cfRule type="cellIs" dxfId="0" priority="7686" operator="lessThan">
      <formula>20</formula>
    </cfRule>
    <cfRule type="cellIs" dxfId="1" priority="6917" operator="greaterThan">
      <formula>120</formula>
    </cfRule>
    <cfRule type="containsText" dxfId="2" priority="6148" operator="between" text="库存为">
      <formula>NOT(ISERROR(SEARCH("库存为",AU378)))</formula>
    </cfRule>
  </conditionalFormatting>
  <conditionalFormatting sqref="AU379">
    <cfRule type="cellIs" dxfId="0" priority="7685" operator="lessThan">
      <formula>20</formula>
    </cfRule>
    <cfRule type="cellIs" dxfId="1" priority="6916" operator="greaterThan">
      <formula>120</formula>
    </cfRule>
    <cfRule type="containsText" dxfId="2" priority="6147" operator="between" text="库存为">
      <formula>NOT(ISERROR(SEARCH("库存为",AU379)))</formula>
    </cfRule>
  </conditionalFormatting>
  <conditionalFormatting sqref="AU380">
    <cfRule type="cellIs" dxfId="0" priority="7684" operator="lessThan">
      <formula>20</formula>
    </cfRule>
    <cfRule type="cellIs" dxfId="1" priority="6915" operator="greaterThan">
      <formula>120</formula>
    </cfRule>
    <cfRule type="containsText" dxfId="2" priority="6146" operator="between" text="库存为">
      <formula>NOT(ISERROR(SEARCH("库存为",AU380)))</formula>
    </cfRule>
  </conditionalFormatting>
  <conditionalFormatting sqref="AU381">
    <cfRule type="cellIs" dxfId="0" priority="7683" operator="lessThan">
      <formula>20</formula>
    </cfRule>
    <cfRule type="cellIs" dxfId="1" priority="6914" operator="greaterThan">
      <formula>120</formula>
    </cfRule>
    <cfRule type="containsText" dxfId="2" priority="6145" operator="between" text="库存为">
      <formula>NOT(ISERROR(SEARCH("库存为",AU381)))</formula>
    </cfRule>
  </conditionalFormatting>
  <conditionalFormatting sqref="AU382">
    <cfRule type="cellIs" dxfId="0" priority="7682" operator="lessThan">
      <formula>20</formula>
    </cfRule>
    <cfRule type="cellIs" dxfId="1" priority="6913" operator="greaterThan">
      <formula>120</formula>
    </cfRule>
    <cfRule type="containsText" dxfId="2" priority="6144" operator="between" text="库存为">
      <formula>NOT(ISERROR(SEARCH("库存为",AU382)))</formula>
    </cfRule>
  </conditionalFormatting>
  <conditionalFormatting sqref="AU383">
    <cfRule type="cellIs" dxfId="0" priority="7681" operator="lessThan">
      <formula>20</formula>
    </cfRule>
    <cfRule type="cellIs" dxfId="1" priority="6912" operator="greaterThan">
      <formula>120</formula>
    </cfRule>
    <cfRule type="containsText" dxfId="2" priority="6143" operator="between" text="库存为">
      <formula>NOT(ISERROR(SEARCH("库存为",AU383)))</formula>
    </cfRule>
  </conditionalFormatting>
  <conditionalFormatting sqref="AU384">
    <cfRule type="cellIs" dxfId="0" priority="7680" operator="lessThan">
      <formula>20</formula>
    </cfRule>
    <cfRule type="cellIs" dxfId="1" priority="6911" operator="greaterThan">
      <formula>120</formula>
    </cfRule>
    <cfRule type="containsText" dxfId="2" priority="6142" operator="between" text="库存为">
      <formula>NOT(ISERROR(SEARCH("库存为",AU384)))</formula>
    </cfRule>
  </conditionalFormatting>
  <conditionalFormatting sqref="AU385">
    <cfRule type="cellIs" dxfId="0" priority="7679" operator="lessThan">
      <formula>20</formula>
    </cfRule>
    <cfRule type="cellIs" dxfId="1" priority="6910" operator="greaterThan">
      <formula>120</formula>
    </cfRule>
    <cfRule type="containsText" dxfId="2" priority="6141" operator="between" text="库存为">
      <formula>NOT(ISERROR(SEARCH("库存为",AU385)))</formula>
    </cfRule>
  </conditionalFormatting>
  <conditionalFormatting sqref="AU386">
    <cfRule type="cellIs" dxfId="0" priority="7678" operator="lessThan">
      <formula>20</formula>
    </cfRule>
    <cfRule type="cellIs" dxfId="1" priority="6909" operator="greaterThan">
      <formula>120</formula>
    </cfRule>
    <cfRule type="containsText" dxfId="2" priority="6140" operator="between" text="库存为">
      <formula>NOT(ISERROR(SEARCH("库存为",AU386)))</formula>
    </cfRule>
  </conditionalFormatting>
  <conditionalFormatting sqref="AU387">
    <cfRule type="cellIs" dxfId="0" priority="7677" operator="lessThan">
      <formula>20</formula>
    </cfRule>
    <cfRule type="cellIs" dxfId="1" priority="6908" operator="greaterThan">
      <formula>120</formula>
    </cfRule>
    <cfRule type="containsText" dxfId="2" priority="6139" operator="between" text="库存为">
      <formula>NOT(ISERROR(SEARCH("库存为",AU387)))</formula>
    </cfRule>
  </conditionalFormatting>
  <conditionalFormatting sqref="AU388">
    <cfRule type="cellIs" dxfId="0" priority="7676" operator="lessThan">
      <formula>20</formula>
    </cfRule>
    <cfRule type="cellIs" dxfId="1" priority="6907" operator="greaterThan">
      <formula>120</formula>
    </cfRule>
    <cfRule type="containsText" dxfId="2" priority="6138" operator="between" text="库存为">
      <formula>NOT(ISERROR(SEARCH("库存为",AU388)))</formula>
    </cfRule>
  </conditionalFormatting>
  <conditionalFormatting sqref="AU389">
    <cfRule type="cellIs" dxfId="0" priority="7675" operator="lessThan">
      <formula>20</formula>
    </cfRule>
    <cfRule type="cellIs" dxfId="1" priority="6906" operator="greaterThan">
      <formula>120</formula>
    </cfRule>
    <cfRule type="containsText" dxfId="2" priority="6137" operator="between" text="库存为">
      <formula>NOT(ISERROR(SEARCH("库存为",AU389)))</formula>
    </cfRule>
  </conditionalFormatting>
  <conditionalFormatting sqref="AU390">
    <cfRule type="cellIs" dxfId="0" priority="7674" operator="lessThan">
      <formula>20</formula>
    </cfRule>
    <cfRule type="cellIs" dxfId="1" priority="6905" operator="greaterThan">
      <formula>120</formula>
    </cfRule>
    <cfRule type="containsText" dxfId="2" priority="6136" operator="between" text="库存为">
      <formula>NOT(ISERROR(SEARCH("库存为",AU390)))</formula>
    </cfRule>
  </conditionalFormatting>
  <conditionalFormatting sqref="AU391">
    <cfRule type="cellIs" dxfId="0" priority="7673" operator="lessThan">
      <formula>20</formula>
    </cfRule>
    <cfRule type="cellIs" dxfId="1" priority="6904" operator="greaterThan">
      <formula>120</formula>
    </cfRule>
    <cfRule type="containsText" dxfId="2" priority="6135" operator="between" text="库存为">
      <formula>NOT(ISERROR(SEARCH("库存为",AU391)))</formula>
    </cfRule>
  </conditionalFormatting>
  <conditionalFormatting sqref="AU392">
    <cfRule type="cellIs" dxfId="0" priority="7672" operator="lessThan">
      <formula>20</formula>
    </cfRule>
    <cfRule type="cellIs" dxfId="1" priority="6903" operator="greaterThan">
      <formula>120</formula>
    </cfRule>
    <cfRule type="containsText" dxfId="2" priority="6134" operator="between" text="库存为">
      <formula>NOT(ISERROR(SEARCH("库存为",AU392)))</formula>
    </cfRule>
  </conditionalFormatting>
  <conditionalFormatting sqref="AU393">
    <cfRule type="cellIs" dxfId="0" priority="7671" operator="lessThan">
      <formula>20</formula>
    </cfRule>
    <cfRule type="cellIs" dxfId="1" priority="6902" operator="greaterThan">
      <formula>120</formula>
    </cfRule>
    <cfRule type="containsText" dxfId="2" priority="6133" operator="between" text="库存为">
      <formula>NOT(ISERROR(SEARCH("库存为",AU393)))</formula>
    </cfRule>
  </conditionalFormatting>
  <conditionalFormatting sqref="AU394">
    <cfRule type="cellIs" dxfId="0" priority="7670" operator="lessThan">
      <formula>20</formula>
    </cfRule>
    <cfRule type="cellIs" dxfId="1" priority="6901" operator="greaterThan">
      <formula>120</formula>
    </cfRule>
    <cfRule type="containsText" dxfId="2" priority="6132" operator="between" text="库存为">
      <formula>NOT(ISERROR(SEARCH("库存为",AU394)))</formula>
    </cfRule>
  </conditionalFormatting>
  <conditionalFormatting sqref="AU395">
    <cfRule type="cellIs" dxfId="0" priority="7669" operator="lessThan">
      <formula>20</formula>
    </cfRule>
    <cfRule type="cellIs" dxfId="1" priority="6900" operator="greaterThan">
      <formula>120</formula>
    </cfRule>
    <cfRule type="containsText" dxfId="2" priority="6131" operator="between" text="库存为">
      <formula>NOT(ISERROR(SEARCH("库存为",AU395)))</formula>
    </cfRule>
  </conditionalFormatting>
  <conditionalFormatting sqref="AU396">
    <cfRule type="cellIs" dxfId="0" priority="7668" operator="lessThan">
      <formula>20</formula>
    </cfRule>
    <cfRule type="cellIs" dxfId="1" priority="6899" operator="greaterThan">
      <formula>120</formula>
    </cfRule>
    <cfRule type="containsText" dxfId="2" priority="6130" operator="between" text="库存为">
      <formula>NOT(ISERROR(SEARCH("库存为",AU396)))</formula>
    </cfRule>
  </conditionalFormatting>
  <conditionalFormatting sqref="AU397">
    <cfRule type="cellIs" dxfId="0" priority="7667" operator="lessThan">
      <formula>20</formula>
    </cfRule>
    <cfRule type="cellIs" dxfId="1" priority="6898" operator="greaterThan">
      <formula>120</formula>
    </cfRule>
    <cfRule type="containsText" dxfId="2" priority="6129" operator="between" text="库存为">
      <formula>NOT(ISERROR(SEARCH("库存为",AU397)))</formula>
    </cfRule>
  </conditionalFormatting>
  <conditionalFormatting sqref="AU398">
    <cfRule type="cellIs" dxfId="0" priority="7666" operator="lessThan">
      <formula>20</formula>
    </cfRule>
    <cfRule type="cellIs" dxfId="1" priority="6897" operator="greaterThan">
      <formula>120</formula>
    </cfRule>
    <cfRule type="containsText" dxfId="2" priority="6128" operator="between" text="库存为">
      <formula>NOT(ISERROR(SEARCH("库存为",AU398)))</formula>
    </cfRule>
  </conditionalFormatting>
  <conditionalFormatting sqref="AU399">
    <cfRule type="cellIs" dxfId="0" priority="7665" operator="lessThan">
      <formula>20</formula>
    </cfRule>
    <cfRule type="cellIs" dxfId="1" priority="6896" operator="greaterThan">
      <formula>120</formula>
    </cfRule>
    <cfRule type="containsText" dxfId="2" priority="6127" operator="between" text="库存为">
      <formula>NOT(ISERROR(SEARCH("库存为",AU399)))</formula>
    </cfRule>
  </conditionalFormatting>
  <conditionalFormatting sqref="AU400">
    <cfRule type="cellIs" dxfId="0" priority="7664" operator="lessThan">
      <formula>20</formula>
    </cfRule>
    <cfRule type="cellIs" dxfId="1" priority="6895" operator="greaterThan">
      <formula>120</formula>
    </cfRule>
    <cfRule type="containsText" dxfId="2" priority="6126" operator="between" text="库存为">
      <formula>NOT(ISERROR(SEARCH("库存为",AU400)))</formula>
    </cfRule>
  </conditionalFormatting>
  <conditionalFormatting sqref="AU401">
    <cfRule type="cellIs" dxfId="0" priority="7663" operator="lessThan">
      <formula>20</formula>
    </cfRule>
    <cfRule type="cellIs" dxfId="1" priority="6894" operator="greaterThan">
      <formula>120</formula>
    </cfRule>
    <cfRule type="containsText" dxfId="2" priority="6125" operator="between" text="库存为">
      <formula>NOT(ISERROR(SEARCH("库存为",AU401)))</formula>
    </cfRule>
  </conditionalFormatting>
  <conditionalFormatting sqref="AU402">
    <cfRule type="cellIs" dxfId="0" priority="7662" operator="lessThan">
      <formula>20</formula>
    </cfRule>
    <cfRule type="cellIs" dxfId="1" priority="6893" operator="greaterThan">
      <formula>120</formula>
    </cfRule>
    <cfRule type="containsText" dxfId="2" priority="6124" operator="between" text="库存为">
      <formula>NOT(ISERROR(SEARCH("库存为",AU402)))</formula>
    </cfRule>
  </conditionalFormatting>
  <conditionalFormatting sqref="AU403">
    <cfRule type="cellIs" dxfId="0" priority="7661" operator="lessThan">
      <formula>20</formula>
    </cfRule>
    <cfRule type="cellIs" dxfId="1" priority="6892" operator="greaterThan">
      <formula>120</formula>
    </cfRule>
    <cfRule type="containsText" dxfId="2" priority="6123" operator="between" text="库存为">
      <formula>NOT(ISERROR(SEARCH("库存为",AU403)))</formula>
    </cfRule>
  </conditionalFormatting>
  <conditionalFormatting sqref="AU404">
    <cfRule type="cellIs" dxfId="0" priority="7660" operator="lessThan">
      <formula>20</formula>
    </cfRule>
    <cfRule type="cellIs" dxfId="1" priority="6891" operator="greaterThan">
      <formula>120</formula>
    </cfRule>
    <cfRule type="containsText" dxfId="2" priority="6122" operator="between" text="库存为">
      <formula>NOT(ISERROR(SEARCH("库存为",AU404)))</formula>
    </cfRule>
  </conditionalFormatting>
  <conditionalFormatting sqref="AU405">
    <cfRule type="cellIs" dxfId="0" priority="7659" operator="lessThan">
      <formula>20</formula>
    </cfRule>
    <cfRule type="cellIs" dxfId="1" priority="6890" operator="greaterThan">
      <formula>120</formula>
    </cfRule>
    <cfRule type="containsText" dxfId="2" priority="6121" operator="between" text="库存为">
      <formula>NOT(ISERROR(SEARCH("库存为",AU405)))</formula>
    </cfRule>
  </conditionalFormatting>
  <conditionalFormatting sqref="AU406">
    <cfRule type="cellIs" dxfId="0" priority="7658" operator="lessThan">
      <formula>20</formula>
    </cfRule>
    <cfRule type="cellIs" dxfId="1" priority="6889" operator="greaterThan">
      <formula>120</formula>
    </cfRule>
    <cfRule type="containsText" dxfId="2" priority="6120" operator="between" text="库存为">
      <formula>NOT(ISERROR(SEARCH("库存为",AU406)))</formula>
    </cfRule>
  </conditionalFormatting>
  <conditionalFormatting sqref="AU407">
    <cfRule type="cellIs" dxfId="0" priority="7657" operator="lessThan">
      <formula>20</formula>
    </cfRule>
    <cfRule type="cellIs" dxfId="1" priority="6888" operator="greaterThan">
      <formula>120</formula>
    </cfRule>
    <cfRule type="containsText" dxfId="2" priority="6119" operator="between" text="库存为">
      <formula>NOT(ISERROR(SEARCH("库存为",AU407)))</formula>
    </cfRule>
  </conditionalFormatting>
  <conditionalFormatting sqref="AU408">
    <cfRule type="cellIs" dxfId="0" priority="7656" operator="lessThan">
      <formula>20</formula>
    </cfRule>
    <cfRule type="cellIs" dxfId="1" priority="6887" operator="greaterThan">
      <formula>120</formula>
    </cfRule>
    <cfRule type="containsText" dxfId="2" priority="6118" operator="between" text="库存为">
      <formula>NOT(ISERROR(SEARCH("库存为",AU408)))</formula>
    </cfRule>
  </conditionalFormatting>
  <conditionalFormatting sqref="AU409">
    <cfRule type="cellIs" dxfId="0" priority="7655" operator="lessThan">
      <formula>20</formula>
    </cfRule>
    <cfRule type="cellIs" dxfId="1" priority="6886" operator="greaterThan">
      <formula>120</formula>
    </cfRule>
    <cfRule type="containsText" dxfId="2" priority="6117" operator="between" text="库存为">
      <formula>NOT(ISERROR(SEARCH("库存为",AU409)))</formula>
    </cfRule>
  </conditionalFormatting>
  <conditionalFormatting sqref="AU410">
    <cfRule type="cellIs" dxfId="0" priority="7654" operator="lessThan">
      <formula>20</formula>
    </cfRule>
    <cfRule type="cellIs" dxfId="1" priority="6885" operator="greaterThan">
      <formula>120</formula>
    </cfRule>
    <cfRule type="containsText" dxfId="2" priority="6116" operator="between" text="库存为">
      <formula>NOT(ISERROR(SEARCH("库存为",AU410)))</formula>
    </cfRule>
  </conditionalFormatting>
  <conditionalFormatting sqref="AU411">
    <cfRule type="cellIs" dxfId="0" priority="7653" operator="lessThan">
      <formula>20</formula>
    </cfRule>
    <cfRule type="cellIs" dxfId="1" priority="6884" operator="greaterThan">
      <formula>120</formula>
    </cfRule>
    <cfRule type="containsText" dxfId="2" priority="6115" operator="between" text="库存为">
      <formula>NOT(ISERROR(SEARCH("库存为",AU411)))</formula>
    </cfRule>
  </conditionalFormatting>
  <conditionalFormatting sqref="AU412">
    <cfRule type="cellIs" dxfId="0" priority="7652" operator="lessThan">
      <formula>20</formula>
    </cfRule>
    <cfRule type="cellIs" dxfId="1" priority="6883" operator="greaterThan">
      <formula>120</formula>
    </cfRule>
    <cfRule type="containsText" dxfId="2" priority="6114" operator="between" text="库存为">
      <formula>NOT(ISERROR(SEARCH("库存为",AU412)))</formula>
    </cfRule>
  </conditionalFormatting>
  <conditionalFormatting sqref="AU413">
    <cfRule type="cellIs" dxfId="0" priority="7651" operator="lessThan">
      <formula>20</formula>
    </cfRule>
    <cfRule type="cellIs" dxfId="1" priority="6882" operator="greaterThan">
      <formula>120</formula>
    </cfRule>
    <cfRule type="containsText" dxfId="2" priority="6113" operator="between" text="库存为">
      <formula>NOT(ISERROR(SEARCH("库存为",AU413)))</formula>
    </cfRule>
  </conditionalFormatting>
  <conditionalFormatting sqref="AU414">
    <cfRule type="cellIs" dxfId="0" priority="7650" operator="lessThan">
      <formula>20</formula>
    </cfRule>
    <cfRule type="cellIs" dxfId="1" priority="6881" operator="greaterThan">
      <formula>120</formula>
    </cfRule>
    <cfRule type="containsText" dxfId="2" priority="6112" operator="between" text="库存为">
      <formula>NOT(ISERROR(SEARCH("库存为",AU414)))</formula>
    </cfRule>
  </conditionalFormatting>
  <conditionalFormatting sqref="AU415">
    <cfRule type="cellIs" dxfId="0" priority="7649" operator="lessThan">
      <formula>20</formula>
    </cfRule>
    <cfRule type="cellIs" dxfId="1" priority="6880" operator="greaterThan">
      <formula>120</formula>
    </cfRule>
    <cfRule type="containsText" dxfId="2" priority="6111" operator="between" text="库存为">
      <formula>NOT(ISERROR(SEARCH("库存为",AU415)))</formula>
    </cfRule>
  </conditionalFormatting>
  <conditionalFormatting sqref="AU416">
    <cfRule type="cellIs" dxfId="0" priority="7648" operator="lessThan">
      <formula>20</formula>
    </cfRule>
    <cfRule type="cellIs" dxfId="1" priority="6879" operator="greaterThan">
      <formula>120</formula>
    </cfRule>
    <cfRule type="containsText" dxfId="2" priority="6110" operator="between" text="库存为">
      <formula>NOT(ISERROR(SEARCH("库存为",AU416)))</formula>
    </cfRule>
  </conditionalFormatting>
  <conditionalFormatting sqref="AU417">
    <cfRule type="cellIs" dxfId="0" priority="7647" operator="lessThan">
      <formula>20</formula>
    </cfRule>
    <cfRule type="cellIs" dxfId="1" priority="6878" operator="greaterThan">
      <formula>120</formula>
    </cfRule>
    <cfRule type="containsText" dxfId="2" priority="6109" operator="between" text="库存为">
      <formula>NOT(ISERROR(SEARCH("库存为",AU417)))</formula>
    </cfRule>
  </conditionalFormatting>
  <conditionalFormatting sqref="AU418">
    <cfRule type="cellIs" dxfId="0" priority="7646" operator="lessThan">
      <formula>20</formula>
    </cfRule>
    <cfRule type="cellIs" dxfId="1" priority="6877" operator="greaterThan">
      <formula>120</formula>
    </cfRule>
    <cfRule type="containsText" dxfId="2" priority="6108" operator="between" text="库存为">
      <formula>NOT(ISERROR(SEARCH("库存为",AU418)))</formula>
    </cfRule>
  </conditionalFormatting>
  <conditionalFormatting sqref="AU419">
    <cfRule type="cellIs" dxfId="0" priority="7645" operator="lessThan">
      <formula>20</formula>
    </cfRule>
    <cfRule type="cellIs" dxfId="1" priority="6876" operator="greaterThan">
      <formula>120</formula>
    </cfRule>
    <cfRule type="containsText" dxfId="2" priority="6107" operator="between" text="库存为">
      <formula>NOT(ISERROR(SEARCH("库存为",AU419)))</formula>
    </cfRule>
  </conditionalFormatting>
  <conditionalFormatting sqref="AU420">
    <cfRule type="cellIs" dxfId="0" priority="7644" operator="lessThan">
      <formula>20</formula>
    </cfRule>
    <cfRule type="cellIs" dxfId="1" priority="6875" operator="greaterThan">
      <formula>120</formula>
    </cfRule>
    <cfRule type="containsText" dxfId="2" priority="6106" operator="between" text="库存为">
      <formula>NOT(ISERROR(SEARCH("库存为",AU420)))</formula>
    </cfRule>
  </conditionalFormatting>
  <conditionalFormatting sqref="AU421">
    <cfRule type="cellIs" dxfId="0" priority="7643" operator="lessThan">
      <formula>20</formula>
    </cfRule>
    <cfRule type="cellIs" dxfId="1" priority="6874" operator="greaterThan">
      <formula>120</formula>
    </cfRule>
    <cfRule type="containsText" dxfId="2" priority="6105" operator="between" text="库存为">
      <formula>NOT(ISERROR(SEARCH("库存为",AU421)))</formula>
    </cfRule>
  </conditionalFormatting>
  <conditionalFormatting sqref="AU422">
    <cfRule type="cellIs" dxfId="0" priority="7642" operator="lessThan">
      <formula>20</formula>
    </cfRule>
    <cfRule type="cellIs" dxfId="1" priority="6873" operator="greaterThan">
      <formula>120</formula>
    </cfRule>
    <cfRule type="containsText" dxfId="2" priority="6104" operator="between" text="库存为">
      <formula>NOT(ISERROR(SEARCH("库存为",AU422)))</formula>
    </cfRule>
  </conditionalFormatting>
  <conditionalFormatting sqref="AU423">
    <cfRule type="cellIs" dxfId="0" priority="7641" operator="lessThan">
      <formula>20</formula>
    </cfRule>
    <cfRule type="cellIs" dxfId="1" priority="6872" operator="greaterThan">
      <formula>120</formula>
    </cfRule>
    <cfRule type="containsText" dxfId="2" priority="6103" operator="between" text="库存为">
      <formula>NOT(ISERROR(SEARCH("库存为",AU423)))</formula>
    </cfRule>
  </conditionalFormatting>
  <conditionalFormatting sqref="AU424">
    <cfRule type="cellIs" dxfId="0" priority="7640" operator="lessThan">
      <formula>20</formula>
    </cfRule>
    <cfRule type="cellIs" dxfId="1" priority="6871" operator="greaterThan">
      <formula>120</formula>
    </cfRule>
    <cfRule type="containsText" dxfId="2" priority="6102" operator="between" text="库存为">
      <formula>NOT(ISERROR(SEARCH("库存为",AU424)))</formula>
    </cfRule>
  </conditionalFormatting>
  <conditionalFormatting sqref="AU425">
    <cfRule type="cellIs" dxfId="0" priority="7639" operator="lessThan">
      <formula>20</formula>
    </cfRule>
    <cfRule type="cellIs" dxfId="1" priority="6870" operator="greaterThan">
      <formula>120</formula>
    </cfRule>
    <cfRule type="containsText" dxfId="2" priority="6101" operator="between" text="库存为">
      <formula>NOT(ISERROR(SEARCH("库存为",AU425)))</formula>
    </cfRule>
  </conditionalFormatting>
  <conditionalFormatting sqref="AU426">
    <cfRule type="cellIs" dxfId="0" priority="7638" operator="lessThan">
      <formula>20</formula>
    </cfRule>
    <cfRule type="cellIs" dxfId="1" priority="6869" operator="greaterThan">
      <formula>120</formula>
    </cfRule>
    <cfRule type="containsText" dxfId="2" priority="6100" operator="between" text="库存为">
      <formula>NOT(ISERROR(SEARCH("库存为",AU426)))</formula>
    </cfRule>
  </conditionalFormatting>
  <conditionalFormatting sqref="AU427">
    <cfRule type="cellIs" dxfId="0" priority="7637" operator="lessThan">
      <formula>20</formula>
    </cfRule>
    <cfRule type="cellIs" dxfId="1" priority="6868" operator="greaterThan">
      <formula>120</formula>
    </cfRule>
    <cfRule type="containsText" dxfId="2" priority="6099" operator="between" text="库存为">
      <formula>NOT(ISERROR(SEARCH("库存为",AU427)))</formula>
    </cfRule>
  </conditionalFormatting>
  <conditionalFormatting sqref="AU428">
    <cfRule type="cellIs" dxfId="0" priority="7636" operator="lessThan">
      <formula>20</formula>
    </cfRule>
    <cfRule type="cellIs" dxfId="1" priority="6867" operator="greaterThan">
      <formula>120</formula>
    </cfRule>
    <cfRule type="containsText" dxfId="2" priority="6098" operator="between" text="库存为">
      <formula>NOT(ISERROR(SEARCH("库存为",AU428)))</formula>
    </cfRule>
  </conditionalFormatting>
  <conditionalFormatting sqref="AU429">
    <cfRule type="cellIs" dxfId="0" priority="7635" operator="lessThan">
      <formula>20</formula>
    </cfRule>
    <cfRule type="cellIs" dxfId="1" priority="6866" operator="greaterThan">
      <formula>120</formula>
    </cfRule>
    <cfRule type="containsText" dxfId="2" priority="6097" operator="between" text="库存为">
      <formula>NOT(ISERROR(SEARCH("库存为",AU429)))</formula>
    </cfRule>
  </conditionalFormatting>
  <conditionalFormatting sqref="AU430">
    <cfRule type="cellIs" dxfId="0" priority="7634" operator="lessThan">
      <formula>20</formula>
    </cfRule>
    <cfRule type="cellIs" dxfId="1" priority="6865" operator="greaterThan">
      <formula>120</formula>
    </cfRule>
    <cfRule type="containsText" dxfId="2" priority="6096" operator="between" text="库存为">
      <formula>NOT(ISERROR(SEARCH("库存为",AU430)))</formula>
    </cfRule>
  </conditionalFormatting>
  <conditionalFormatting sqref="AU431">
    <cfRule type="cellIs" dxfId="0" priority="7633" operator="lessThan">
      <formula>20</formula>
    </cfRule>
    <cfRule type="cellIs" dxfId="1" priority="6864" operator="greaterThan">
      <formula>120</formula>
    </cfRule>
    <cfRule type="containsText" dxfId="2" priority="6095" operator="between" text="库存为">
      <formula>NOT(ISERROR(SEARCH("库存为",AU431)))</formula>
    </cfRule>
  </conditionalFormatting>
  <conditionalFormatting sqref="AU432">
    <cfRule type="cellIs" dxfId="0" priority="7632" operator="lessThan">
      <formula>20</formula>
    </cfRule>
    <cfRule type="cellIs" dxfId="1" priority="6863" operator="greaterThan">
      <formula>120</formula>
    </cfRule>
    <cfRule type="containsText" dxfId="2" priority="6094" operator="between" text="库存为">
      <formula>NOT(ISERROR(SEARCH("库存为",AU432)))</formula>
    </cfRule>
  </conditionalFormatting>
  <conditionalFormatting sqref="AU433">
    <cfRule type="cellIs" dxfId="0" priority="7631" operator="lessThan">
      <formula>20</formula>
    </cfRule>
    <cfRule type="cellIs" dxfId="1" priority="6862" operator="greaterThan">
      <formula>120</formula>
    </cfRule>
    <cfRule type="containsText" dxfId="2" priority="6093" operator="between" text="库存为">
      <formula>NOT(ISERROR(SEARCH("库存为",AU433)))</formula>
    </cfRule>
  </conditionalFormatting>
  <conditionalFormatting sqref="AU434">
    <cfRule type="cellIs" dxfId="0" priority="7630" operator="lessThan">
      <formula>20</formula>
    </cfRule>
    <cfRule type="cellIs" dxfId="1" priority="6861" operator="greaterThan">
      <formula>120</formula>
    </cfRule>
    <cfRule type="containsText" dxfId="2" priority="6092" operator="between" text="库存为">
      <formula>NOT(ISERROR(SEARCH("库存为",AU434)))</formula>
    </cfRule>
  </conditionalFormatting>
  <conditionalFormatting sqref="AU435">
    <cfRule type="cellIs" dxfId="0" priority="7629" operator="lessThan">
      <formula>20</formula>
    </cfRule>
    <cfRule type="cellIs" dxfId="1" priority="6860" operator="greaterThan">
      <formula>120</formula>
    </cfRule>
    <cfRule type="containsText" dxfId="2" priority="6091" operator="between" text="库存为">
      <formula>NOT(ISERROR(SEARCH("库存为",AU435)))</formula>
    </cfRule>
  </conditionalFormatting>
  <conditionalFormatting sqref="AU436">
    <cfRule type="cellIs" dxfId="0" priority="7628" operator="lessThan">
      <formula>20</formula>
    </cfRule>
    <cfRule type="cellIs" dxfId="1" priority="6859" operator="greaterThan">
      <formula>120</formula>
    </cfRule>
    <cfRule type="containsText" dxfId="2" priority="6090" operator="between" text="库存为">
      <formula>NOT(ISERROR(SEARCH("库存为",AU436)))</formula>
    </cfRule>
  </conditionalFormatting>
  <conditionalFormatting sqref="AU437">
    <cfRule type="cellIs" dxfId="0" priority="7627" operator="lessThan">
      <formula>20</formula>
    </cfRule>
    <cfRule type="cellIs" dxfId="1" priority="6858" operator="greaterThan">
      <formula>120</formula>
    </cfRule>
    <cfRule type="containsText" dxfId="2" priority="6089" operator="between" text="库存为">
      <formula>NOT(ISERROR(SEARCH("库存为",AU437)))</formula>
    </cfRule>
  </conditionalFormatting>
  <conditionalFormatting sqref="AU438">
    <cfRule type="cellIs" dxfId="0" priority="7626" operator="lessThan">
      <formula>20</formula>
    </cfRule>
    <cfRule type="cellIs" dxfId="1" priority="6857" operator="greaterThan">
      <formula>120</formula>
    </cfRule>
    <cfRule type="containsText" dxfId="2" priority="6088" operator="between" text="库存为">
      <formula>NOT(ISERROR(SEARCH("库存为",AU438)))</formula>
    </cfRule>
  </conditionalFormatting>
  <conditionalFormatting sqref="AU439">
    <cfRule type="cellIs" dxfId="0" priority="7625" operator="lessThan">
      <formula>20</formula>
    </cfRule>
    <cfRule type="cellIs" dxfId="1" priority="6856" operator="greaterThan">
      <formula>120</formula>
    </cfRule>
    <cfRule type="containsText" dxfId="2" priority="6087" operator="between" text="库存为">
      <formula>NOT(ISERROR(SEARCH("库存为",AU439)))</formula>
    </cfRule>
  </conditionalFormatting>
  <conditionalFormatting sqref="AU440">
    <cfRule type="cellIs" dxfId="0" priority="7624" operator="lessThan">
      <formula>20</formula>
    </cfRule>
    <cfRule type="cellIs" dxfId="1" priority="6855" operator="greaterThan">
      <formula>120</formula>
    </cfRule>
    <cfRule type="containsText" dxfId="2" priority="6086" operator="between" text="库存为">
      <formula>NOT(ISERROR(SEARCH("库存为",AU440)))</formula>
    </cfRule>
  </conditionalFormatting>
  <conditionalFormatting sqref="AU441">
    <cfRule type="cellIs" dxfId="0" priority="7623" operator="lessThan">
      <formula>20</formula>
    </cfRule>
    <cfRule type="cellIs" dxfId="1" priority="6854" operator="greaterThan">
      <formula>120</formula>
    </cfRule>
    <cfRule type="containsText" dxfId="2" priority="6085" operator="between" text="库存为">
      <formula>NOT(ISERROR(SEARCH("库存为",AU441)))</formula>
    </cfRule>
  </conditionalFormatting>
  <conditionalFormatting sqref="AU442">
    <cfRule type="cellIs" dxfId="0" priority="7622" operator="lessThan">
      <formula>20</formula>
    </cfRule>
    <cfRule type="cellIs" dxfId="1" priority="6853" operator="greaterThan">
      <formula>120</formula>
    </cfRule>
    <cfRule type="containsText" dxfId="2" priority="6084" operator="between" text="库存为">
      <formula>NOT(ISERROR(SEARCH("库存为",AU442)))</formula>
    </cfRule>
  </conditionalFormatting>
  <conditionalFormatting sqref="AU443">
    <cfRule type="cellIs" dxfId="0" priority="7621" operator="lessThan">
      <formula>20</formula>
    </cfRule>
    <cfRule type="cellIs" dxfId="1" priority="6852" operator="greaterThan">
      <formula>120</formula>
    </cfRule>
    <cfRule type="containsText" dxfId="2" priority="6083" operator="between" text="库存为">
      <formula>NOT(ISERROR(SEARCH("库存为",AU443)))</formula>
    </cfRule>
  </conditionalFormatting>
  <conditionalFormatting sqref="AU444">
    <cfRule type="cellIs" dxfId="0" priority="7620" operator="lessThan">
      <formula>20</formula>
    </cfRule>
    <cfRule type="cellIs" dxfId="1" priority="6851" operator="greaterThan">
      <formula>120</formula>
    </cfRule>
    <cfRule type="containsText" dxfId="2" priority="6082" operator="between" text="库存为">
      <formula>NOT(ISERROR(SEARCH("库存为",AU444)))</formula>
    </cfRule>
  </conditionalFormatting>
  <conditionalFormatting sqref="AU445">
    <cfRule type="cellIs" dxfId="0" priority="7619" operator="lessThan">
      <formula>20</formula>
    </cfRule>
    <cfRule type="cellIs" dxfId="1" priority="6850" operator="greaterThan">
      <formula>120</formula>
    </cfRule>
    <cfRule type="containsText" dxfId="2" priority="6081" operator="between" text="库存为">
      <formula>NOT(ISERROR(SEARCH("库存为",AU445)))</formula>
    </cfRule>
  </conditionalFormatting>
  <conditionalFormatting sqref="AU446">
    <cfRule type="cellIs" dxfId="0" priority="7618" operator="lessThan">
      <formula>20</formula>
    </cfRule>
    <cfRule type="cellIs" dxfId="1" priority="6849" operator="greaterThan">
      <formula>120</formula>
    </cfRule>
    <cfRule type="containsText" dxfId="2" priority="6080" operator="between" text="库存为">
      <formula>NOT(ISERROR(SEARCH("库存为",AU446)))</formula>
    </cfRule>
  </conditionalFormatting>
  <conditionalFormatting sqref="AU447">
    <cfRule type="cellIs" dxfId="0" priority="7617" operator="lessThan">
      <formula>20</formula>
    </cfRule>
    <cfRule type="cellIs" dxfId="1" priority="6848" operator="greaterThan">
      <formula>120</formula>
    </cfRule>
    <cfRule type="containsText" dxfId="2" priority="6079" operator="between" text="库存为">
      <formula>NOT(ISERROR(SEARCH("库存为",AU447)))</formula>
    </cfRule>
  </conditionalFormatting>
  <conditionalFormatting sqref="AU448">
    <cfRule type="cellIs" dxfId="0" priority="7616" operator="lessThan">
      <formula>20</formula>
    </cfRule>
    <cfRule type="cellIs" dxfId="1" priority="6847" operator="greaterThan">
      <formula>120</formula>
    </cfRule>
    <cfRule type="containsText" dxfId="2" priority="6078" operator="between" text="库存为">
      <formula>NOT(ISERROR(SEARCH("库存为",AU448)))</formula>
    </cfRule>
  </conditionalFormatting>
  <conditionalFormatting sqref="AU449">
    <cfRule type="cellIs" dxfId="0" priority="7615" operator="lessThan">
      <formula>20</formula>
    </cfRule>
    <cfRule type="cellIs" dxfId="1" priority="6846" operator="greaterThan">
      <formula>120</formula>
    </cfRule>
    <cfRule type="containsText" dxfId="2" priority="6077" operator="between" text="库存为">
      <formula>NOT(ISERROR(SEARCH("库存为",AU449)))</formula>
    </cfRule>
  </conditionalFormatting>
  <conditionalFormatting sqref="AU450">
    <cfRule type="cellIs" dxfId="0" priority="7614" operator="lessThan">
      <formula>20</formula>
    </cfRule>
    <cfRule type="cellIs" dxfId="1" priority="6845" operator="greaterThan">
      <formula>120</formula>
    </cfRule>
    <cfRule type="containsText" dxfId="2" priority="6076" operator="between" text="库存为">
      <formula>NOT(ISERROR(SEARCH("库存为",AU450)))</formula>
    </cfRule>
  </conditionalFormatting>
  <conditionalFormatting sqref="AU451">
    <cfRule type="cellIs" dxfId="0" priority="7613" operator="lessThan">
      <formula>20</formula>
    </cfRule>
    <cfRule type="cellIs" dxfId="1" priority="6844" operator="greaterThan">
      <formula>120</formula>
    </cfRule>
    <cfRule type="containsText" dxfId="2" priority="6075" operator="between" text="库存为">
      <formula>NOT(ISERROR(SEARCH("库存为",AU451)))</formula>
    </cfRule>
  </conditionalFormatting>
  <conditionalFormatting sqref="AU452">
    <cfRule type="cellIs" dxfId="0" priority="7612" operator="lessThan">
      <formula>20</formula>
    </cfRule>
    <cfRule type="cellIs" dxfId="1" priority="6843" operator="greaterThan">
      <formula>120</formula>
    </cfRule>
    <cfRule type="containsText" dxfId="2" priority="6074" operator="between" text="库存为">
      <formula>NOT(ISERROR(SEARCH("库存为",AU452)))</formula>
    </cfRule>
  </conditionalFormatting>
  <conditionalFormatting sqref="AU453">
    <cfRule type="cellIs" dxfId="0" priority="7611" operator="lessThan">
      <formula>20</formula>
    </cfRule>
    <cfRule type="cellIs" dxfId="1" priority="6842" operator="greaterThan">
      <formula>120</formula>
    </cfRule>
    <cfRule type="containsText" dxfId="2" priority="6073" operator="between" text="库存为">
      <formula>NOT(ISERROR(SEARCH("库存为",AU453)))</formula>
    </cfRule>
  </conditionalFormatting>
  <conditionalFormatting sqref="AU454">
    <cfRule type="cellIs" dxfId="0" priority="7610" operator="lessThan">
      <formula>20</formula>
    </cfRule>
    <cfRule type="cellIs" dxfId="1" priority="6841" operator="greaterThan">
      <formula>120</formula>
    </cfRule>
    <cfRule type="containsText" dxfId="2" priority="6072" operator="between" text="库存为">
      <formula>NOT(ISERROR(SEARCH("库存为",AU454)))</formula>
    </cfRule>
  </conditionalFormatting>
  <conditionalFormatting sqref="AU455">
    <cfRule type="cellIs" dxfId="0" priority="7609" operator="lessThan">
      <formula>20</formula>
    </cfRule>
    <cfRule type="cellIs" dxfId="1" priority="6840" operator="greaterThan">
      <formula>120</formula>
    </cfRule>
    <cfRule type="containsText" dxfId="2" priority="6071" operator="between" text="库存为">
      <formula>NOT(ISERROR(SEARCH("库存为",AU455)))</formula>
    </cfRule>
  </conditionalFormatting>
  <conditionalFormatting sqref="AU456">
    <cfRule type="cellIs" dxfId="0" priority="7608" operator="lessThan">
      <formula>20</formula>
    </cfRule>
    <cfRule type="cellIs" dxfId="1" priority="6839" operator="greaterThan">
      <formula>120</formula>
    </cfRule>
    <cfRule type="containsText" dxfId="2" priority="6070" operator="between" text="库存为">
      <formula>NOT(ISERROR(SEARCH("库存为",AU456)))</formula>
    </cfRule>
  </conditionalFormatting>
  <conditionalFormatting sqref="AU457">
    <cfRule type="cellIs" dxfId="0" priority="7607" operator="lessThan">
      <formula>20</formula>
    </cfRule>
    <cfRule type="cellIs" dxfId="1" priority="6838" operator="greaterThan">
      <formula>120</formula>
    </cfRule>
    <cfRule type="containsText" dxfId="2" priority="6069" operator="between" text="库存为">
      <formula>NOT(ISERROR(SEARCH("库存为",AU457)))</formula>
    </cfRule>
  </conditionalFormatting>
  <conditionalFormatting sqref="AU458">
    <cfRule type="cellIs" dxfId="0" priority="7606" operator="lessThan">
      <formula>20</formula>
    </cfRule>
    <cfRule type="cellIs" dxfId="1" priority="6837" operator="greaterThan">
      <formula>120</formula>
    </cfRule>
    <cfRule type="containsText" dxfId="2" priority="6068" operator="between" text="库存为">
      <formula>NOT(ISERROR(SEARCH("库存为",AU458)))</formula>
    </cfRule>
  </conditionalFormatting>
  <conditionalFormatting sqref="AU459">
    <cfRule type="cellIs" dxfId="0" priority="7605" operator="lessThan">
      <formula>20</formula>
    </cfRule>
    <cfRule type="cellIs" dxfId="1" priority="6836" operator="greaterThan">
      <formula>120</formula>
    </cfRule>
    <cfRule type="containsText" dxfId="2" priority="6067" operator="between" text="库存为">
      <formula>NOT(ISERROR(SEARCH("库存为",AU459)))</formula>
    </cfRule>
  </conditionalFormatting>
  <conditionalFormatting sqref="AU460">
    <cfRule type="cellIs" dxfId="0" priority="7604" operator="lessThan">
      <formula>20</formula>
    </cfRule>
    <cfRule type="cellIs" dxfId="1" priority="6835" operator="greaterThan">
      <formula>120</formula>
    </cfRule>
    <cfRule type="containsText" dxfId="2" priority="6066" operator="between" text="库存为">
      <formula>NOT(ISERROR(SEARCH("库存为",AU460)))</formula>
    </cfRule>
  </conditionalFormatting>
  <conditionalFormatting sqref="AU461">
    <cfRule type="cellIs" dxfId="0" priority="7603" operator="lessThan">
      <formula>20</formula>
    </cfRule>
    <cfRule type="cellIs" dxfId="1" priority="6834" operator="greaterThan">
      <formula>120</formula>
    </cfRule>
    <cfRule type="containsText" dxfId="2" priority="6065" operator="between" text="库存为">
      <formula>NOT(ISERROR(SEARCH("库存为",AU461)))</formula>
    </cfRule>
  </conditionalFormatting>
  <conditionalFormatting sqref="AU462">
    <cfRule type="cellIs" dxfId="0" priority="7602" operator="lessThan">
      <formula>20</formula>
    </cfRule>
    <cfRule type="cellIs" dxfId="1" priority="6833" operator="greaterThan">
      <formula>120</formula>
    </cfRule>
    <cfRule type="containsText" dxfId="2" priority="6064" operator="between" text="库存为">
      <formula>NOT(ISERROR(SEARCH("库存为",AU462)))</formula>
    </cfRule>
  </conditionalFormatting>
  <conditionalFormatting sqref="AU463">
    <cfRule type="cellIs" dxfId="0" priority="7601" operator="lessThan">
      <formula>20</formula>
    </cfRule>
    <cfRule type="cellIs" dxfId="1" priority="6832" operator="greaterThan">
      <formula>120</formula>
    </cfRule>
    <cfRule type="containsText" dxfId="2" priority="6063" operator="between" text="库存为">
      <formula>NOT(ISERROR(SEARCH("库存为",AU463)))</formula>
    </cfRule>
  </conditionalFormatting>
  <conditionalFormatting sqref="AU464">
    <cfRule type="cellIs" dxfId="0" priority="7600" operator="lessThan">
      <formula>20</formula>
    </cfRule>
    <cfRule type="cellIs" dxfId="1" priority="6831" operator="greaterThan">
      <formula>120</formula>
    </cfRule>
    <cfRule type="containsText" dxfId="2" priority="6062" operator="between" text="库存为">
      <formula>NOT(ISERROR(SEARCH("库存为",AU464)))</formula>
    </cfRule>
  </conditionalFormatting>
  <conditionalFormatting sqref="AU465">
    <cfRule type="cellIs" dxfId="0" priority="7599" operator="lessThan">
      <formula>20</formula>
    </cfRule>
    <cfRule type="cellIs" dxfId="1" priority="6830" operator="greaterThan">
      <formula>120</formula>
    </cfRule>
    <cfRule type="containsText" dxfId="2" priority="6061" operator="between" text="库存为">
      <formula>NOT(ISERROR(SEARCH("库存为",AU465)))</formula>
    </cfRule>
  </conditionalFormatting>
  <conditionalFormatting sqref="AU466">
    <cfRule type="cellIs" dxfId="0" priority="7598" operator="lessThan">
      <formula>20</formula>
    </cfRule>
    <cfRule type="cellIs" dxfId="1" priority="6829" operator="greaterThan">
      <formula>120</formula>
    </cfRule>
    <cfRule type="containsText" dxfId="2" priority="6060" operator="between" text="库存为">
      <formula>NOT(ISERROR(SEARCH("库存为",AU466)))</formula>
    </cfRule>
  </conditionalFormatting>
  <conditionalFormatting sqref="AU467">
    <cfRule type="cellIs" dxfId="0" priority="7597" operator="lessThan">
      <formula>20</formula>
    </cfRule>
    <cfRule type="cellIs" dxfId="1" priority="6828" operator="greaterThan">
      <formula>120</formula>
    </cfRule>
    <cfRule type="containsText" dxfId="2" priority="6059" operator="between" text="库存为">
      <formula>NOT(ISERROR(SEARCH("库存为",AU467)))</formula>
    </cfRule>
  </conditionalFormatting>
  <conditionalFormatting sqref="AU468">
    <cfRule type="cellIs" dxfId="0" priority="7596" operator="lessThan">
      <formula>20</formula>
    </cfRule>
    <cfRule type="cellIs" dxfId="1" priority="6827" operator="greaterThan">
      <formula>120</formula>
    </cfRule>
    <cfRule type="containsText" dxfId="2" priority="6058" operator="between" text="库存为">
      <formula>NOT(ISERROR(SEARCH("库存为",AU468)))</formula>
    </cfRule>
  </conditionalFormatting>
  <conditionalFormatting sqref="AU469">
    <cfRule type="cellIs" dxfId="0" priority="7595" operator="lessThan">
      <formula>20</formula>
    </cfRule>
    <cfRule type="cellIs" dxfId="1" priority="6826" operator="greaterThan">
      <formula>120</formula>
    </cfRule>
    <cfRule type="containsText" dxfId="2" priority="6057" operator="between" text="库存为">
      <formula>NOT(ISERROR(SEARCH("库存为",AU469)))</formula>
    </cfRule>
  </conditionalFormatting>
  <conditionalFormatting sqref="AU470">
    <cfRule type="cellIs" dxfId="0" priority="7594" operator="lessThan">
      <formula>20</formula>
    </cfRule>
    <cfRule type="cellIs" dxfId="1" priority="6825" operator="greaterThan">
      <formula>120</formula>
    </cfRule>
    <cfRule type="containsText" dxfId="2" priority="6056" operator="between" text="库存为">
      <formula>NOT(ISERROR(SEARCH("库存为",AU470)))</formula>
    </cfRule>
  </conditionalFormatting>
  <conditionalFormatting sqref="AU471">
    <cfRule type="cellIs" dxfId="0" priority="7593" operator="lessThan">
      <formula>20</formula>
    </cfRule>
    <cfRule type="cellIs" dxfId="1" priority="6824" operator="greaterThan">
      <formula>120</formula>
    </cfRule>
    <cfRule type="containsText" dxfId="2" priority="6055" operator="between" text="库存为">
      <formula>NOT(ISERROR(SEARCH("库存为",AU471)))</formula>
    </cfRule>
  </conditionalFormatting>
  <conditionalFormatting sqref="AU472">
    <cfRule type="cellIs" dxfId="0" priority="7592" operator="lessThan">
      <formula>20</formula>
    </cfRule>
    <cfRule type="cellIs" dxfId="1" priority="6823" operator="greaterThan">
      <formula>120</formula>
    </cfRule>
    <cfRule type="containsText" dxfId="2" priority="6054" operator="between" text="库存为">
      <formula>NOT(ISERROR(SEARCH("库存为",AU472)))</formula>
    </cfRule>
  </conditionalFormatting>
  <conditionalFormatting sqref="AU473">
    <cfRule type="cellIs" dxfId="0" priority="7591" operator="lessThan">
      <formula>20</formula>
    </cfRule>
    <cfRule type="cellIs" dxfId="1" priority="6822" operator="greaterThan">
      <formula>120</formula>
    </cfRule>
    <cfRule type="containsText" dxfId="2" priority="6053" operator="between" text="库存为">
      <formula>NOT(ISERROR(SEARCH("库存为",AU473)))</formula>
    </cfRule>
  </conditionalFormatting>
  <conditionalFormatting sqref="AU474">
    <cfRule type="cellIs" dxfId="0" priority="7590" operator="lessThan">
      <formula>20</formula>
    </cfRule>
    <cfRule type="cellIs" dxfId="1" priority="6821" operator="greaterThan">
      <formula>120</formula>
    </cfRule>
    <cfRule type="containsText" dxfId="2" priority="6052" operator="between" text="库存为">
      <formula>NOT(ISERROR(SEARCH("库存为",AU474)))</formula>
    </cfRule>
  </conditionalFormatting>
  <conditionalFormatting sqref="AU475">
    <cfRule type="cellIs" dxfId="0" priority="7589" operator="lessThan">
      <formula>20</formula>
    </cfRule>
    <cfRule type="cellIs" dxfId="1" priority="6820" operator="greaterThan">
      <formula>120</formula>
    </cfRule>
    <cfRule type="containsText" dxfId="2" priority="6051" operator="between" text="库存为">
      <formula>NOT(ISERROR(SEARCH("库存为",AU475)))</formula>
    </cfRule>
  </conditionalFormatting>
  <conditionalFormatting sqref="AU476">
    <cfRule type="cellIs" dxfId="0" priority="7588" operator="lessThan">
      <formula>20</formula>
    </cfRule>
    <cfRule type="cellIs" dxfId="1" priority="6819" operator="greaterThan">
      <formula>120</formula>
    </cfRule>
    <cfRule type="containsText" dxfId="2" priority="6050" operator="between" text="库存为">
      <formula>NOT(ISERROR(SEARCH("库存为",AU476)))</formula>
    </cfRule>
  </conditionalFormatting>
  <conditionalFormatting sqref="AU477">
    <cfRule type="cellIs" dxfId="0" priority="7587" operator="lessThan">
      <formula>20</formula>
    </cfRule>
    <cfRule type="cellIs" dxfId="1" priority="6818" operator="greaterThan">
      <formula>120</formula>
    </cfRule>
    <cfRule type="containsText" dxfId="2" priority="6049" operator="between" text="库存为">
      <formula>NOT(ISERROR(SEARCH("库存为",AU477)))</formula>
    </cfRule>
  </conditionalFormatting>
  <conditionalFormatting sqref="AU478">
    <cfRule type="cellIs" dxfId="0" priority="7586" operator="lessThan">
      <formula>20</formula>
    </cfRule>
    <cfRule type="cellIs" dxfId="1" priority="6817" operator="greaterThan">
      <formula>120</formula>
    </cfRule>
    <cfRule type="containsText" dxfId="2" priority="6048" operator="between" text="库存为">
      <formula>NOT(ISERROR(SEARCH("库存为",AU478)))</formula>
    </cfRule>
  </conditionalFormatting>
  <conditionalFormatting sqref="AU479">
    <cfRule type="cellIs" dxfId="0" priority="7585" operator="lessThan">
      <formula>20</formula>
    </cfRule>
    <cfRule type="cellIs" dxfId="1" priority="6816" operator="greaterThan">
      <formula>120</formula>
    </cfRule>
    <cfRule type="containsText" dxfId="2" priority="6047" operator="between" text="库存为">
      <formula>NOT(ISERROR(SEARCH("库存为",AU479)))</formula>
    </cfRule>
  </conditionalFormatting>
  <conditionalFormatting sqref="AU480">
    <cfRule type="cellIs" dxfId="0" priority="7584" operator="lessThan">
      <formula>20</formula>
    </cfRule>
    <cfRule type="cellIs" dxfId="1" priority="6815" operator="greaterThan">
      <formula>120</formula>
    </cfRule>
    <cfRule type="containsText" dxfId="2" priority="6046" operator="between" text="库存为">
      <formula>NOT(ISERROR(SEARCH("库存为",AU480)))</formula>
    </cfRule>
  </conditionalFormatting>
  <conditionalFormatting sqref="AU481">
    <cfRule type="cellIs" dxfId="0" priority="7583" operator="lessThan">
      <formula>20</formula>
    </cfRule>
    <cfRule type="cellIs" dxfId="1" priority="6814" operator="greaterThan">
      <formula>120</formula>
    </cfRule>
    <cfRule type="containsText" dxfId="2" priority="6045" operator="between" text="库存为">
      <formula>NOT(ISERROR(SEARCH("库存为",AU481)))</formula>
    </cfRule>
  </conditionalFormatting>
  <conditionalFormatting sqref="AU482">
    <cfRule type="cellIs" dxfId="0" priority="7582" operator="lessThan">
      <formula>20</formula>
    </cfRule>
    <cfRule type="cellIs" dxfId="1" priority="6813" operator="greaterThan">
      <formula>120</formula>
    </cfRule>
    <cfRule type="containsText" dxfId="2" priority="6044" operator="between" text="库存为">
      <formula>NOT(ISERROR(SEARCH("库存为",AU482)))</formula>
    </cfRule>
  </conditionalFormatting>
  <conditionalFormatting sqref="AU483">
    <cfRule type="cellIs" dxfId="0" priority="7581" operator="lessThan">
      <formula>20</formula>
    </cfRule>
    <cfRule type="cellIs" dxfId="1" priority="6812" operator="greaterThan">
      <formula>120</formula>
    </cfRule>
    <cfRule type="containsText" dxfId="2" priority="6043" operator="between" text="库存为">
      <formula>NOT(ISERROR(SEARCH("库存为",AU483)))</formula>
    </cfRule>
  </conditionalFormatting>
  <conditionalFormatting sqref="AU484">
    <cfRule type="cellIs" dxfId="0" priority="7580" operator="lessThan">
      <formula>20</formula>
    </cfRule>
    <cfRule type="cellIs" dxfId="1" priority="6811" operator="greaterThan">
      <formula>120</formula>
    </cfRule>
    <cfRule type="containsText" dxfId="2" priority="6042" operator="between" text="库存为">
      <formula>NOT(ISERROR(SEARCH("库存为",AU484)))</formula>
    </cfRule>
  </conditionalFormatting>
  <conditionalFormatting sqref="AU485">
    <cfRule type="cellIs" dxfId="0" priority="7579" operator="lessThan">
      <formula>20</formula>
    </cfRule>
    <cfRule type="cellIs" dxfId="1" priority="6810" operator="greaterThan">
      <formula>120</formula>
    </cfRule>
    <cfRule type="containsText" dxfId="2" priority="6041" operator="between" text="库存为">
      <formula>NOT(ISERROR(SEARCH("库存为",AU485)))</formula>
    </cfRule>
  </conditionalFormatting>
  <conditionalFormatting sqref="AU486">
    <cfRule type="cellIs" dxfId="0" priority="7578" operator="lessThan">
      <formula>20</formula>
    </cfRule>
    <cfRule type="cellIs" dxfId="1" priority="6809" operator="greaterThan">
      <formula>120</formula>
    </cfRule>
    <cfRule type="containsText" dxfId="2" priority="6040" operator="between" text="库存为">
      <formula>NOT(ISERROR(SEARCH("库存为",AU486)))</formula>
    </cfRule>
  </conditionalFormatting>
  <conditionalFormatting sqref="AU487">
    <cfRule type="cellIs" dxfId="0" priority="7577" operator="lessThan">
      <formula>20</formula>
    </cfRule>
    <cfRule type="cellIs" dxfId="1" priority="6808" operator="greaterThan">
      <formula>120</formula>
    </cfRule>
    <cfRule type="containsText" dxfId="2" priority="6039" operator="between" text="库存为">
      <formula>NOT(ISERROR(SEARCH("库存为",AU487)))</formula>
    </cfRule>
  </conditionalFormatting>
  <conditionalFormatting sqref="AU488">
    <cfRule type="cellIs" dxfId="0" priority="7576" operator="lessThan">
      <formula>20</formula>
    </cfRule>
    <cfRule type="cellIs" dxfId="1" priority="6807" operator="greaterThan">
      <formula>120</formula>
    </cfRule>
    <cfRule type="containsText" dxfId="2" priority="6038" operator="between" text="库存为">
      <formula>NOT(ISERROR(SEARCH("库存为",AU488)))</formula>
    </cfRule>
  </conditionalFormatting>
  <conditionalFormatting sqref="AU489">
    <cfRule type="cellIs" dxfId="0" priority="7575" operator="lessThan">
      <formula>20</formula>
    </cfRule>
    <cfRule type="cellIs" dxfId="1" priority="6806" operator="greaterThan">
      <formula>120</formula>
    </cfRule>
    <cfRule type="containsText" dxfId="2" priority="6037" operator="between" text="库存为">
      <formula>NOT(ISERROR(SEARCH("库存为",AU489)))</formula>
    </cfRule>
  </conditionalFormatting>
  <conditionalFormatting sqref="AU490">
    <cfRule type="cellIs" dxfId="0" priority="7574" operator="lessThan">
      <formula>20</formula>
    </cfRule>
    <cfRule type="cellIs" dxfId="1" priority="6805" operator="greaterThan">
      <formula>120</formula>
    </cfRule>
    <cfRule type="containsText" dxfId="2" priority="6036" operator="between" text="库存为">
      <formula>NOT(ISERROR(SEARCH("库存为",AU490)))</formula>
    </cfRule>
  </conditionalFormatting>
  <conditionalFormatting sqref="AU491">
    <cfRule type="cellIs" dxfId="0" priority="7573" operator="lessThan">
      <formula>20</formula>
    </cfRule>
    <cfRule type="cellIs" dxfId="1" priority="6804" operator="greaterThan">
      <formula>120</formula>
    </cfRule>
    <cfRule type="containsText" dxfId="2" priority="6035" operator="between" text="库存为">
      <formula>NOT(ISERROR(SEARCH("库存为",AU491)))</formula>
    </cfRule>
  </conditionalFormatting>
  <conditionalFormatting sqref="AU492">
    <cfRule type="cellIs" dxfId="0" priority="7572" operator="lessThan">
      <formula>20</formula>
    </cfRule>
    <cfRule type="cellIs" dxfId="1" priority="6803" operator="greaterThan">
      <formula>120</formula>
    </cfRule>
    <cfRule type="containsText" dxfId="2" priority="6034" operator="between" text="库存为">
      <formula>NOT(ISERROR(SEARCH("库存为",AU492)))</formula>
    </cfRule>
  </conditionalFormatting>
  <conditionalFormatting sqref="AU493">
    <cfRule type="cellIs" dxfId="0" priority="7571" operator="lessThan">
      <formula>20</formula>
    </cfRule>
    <cfRule type="cellIs" dxfId="1" priority="6802" operator="greaterThan">
      <formula>120</formula>
    </cfRule>
    <cfRule type="containsText" dxfId="2" priority="6033" operator="between" text="库存为">
      <formula>NOT(ISERROR(SEARCH("库存为",AU493)))</formula>
    </cfRule>
  </conditionalFormatting>
  <conditionalFormatting sqref="AU494">
    <cfRule type="cellIs" dxfId="0" priority="7570" operator="lessThan">
      <formula>20</formula>
    </cfRule>
    <cfRule type="cellIs" dxfId="1" priority="6801" operator="greaterThan">
      <formula>120</formula>
    </cfRule>
    <cfRule type="containsText" dxfId="2" priority="6032" operator="between" text="库存为">
      <formula>NOT(ISERROR(SEARCH("库存为",AU494)))</formula>
    </cfRule>
  </conditionalFormatting>
  <conditionalFormatting sqref="AU495">
    <cfRule type="cellIs" dxfId="0" priority="7569" operator="lessThan">
      <formula>20</formula>
    </cfRule>
    <cfRule type="cellIs" dxfId="1" priority="6800" operator="greaterThan">
      <formula>120</formula>
    </cfRule>
    <cfRule type="containsText" dxfId="2" priority="6031" operator="between" text="库存为">
      <formula>NOT(ISERROR(SEARCH("库存为",AU495)))</formula>
    </cfRule>
  </conditionalFormatting>
  <conditionalFormatting sqref="AU496">
    <cfRule type="cellIs" dxfId="0" priority="7568" operator="lessThan">
      <formula>20</formula>
    </cfRule>
    <cfRule type="cellIs" dxfId="1" priority="6799" operator="greaterThan">
      <formula>120</formula>
    </cfRule>
    <cfRule type="containsText" dxfId="2" priority="6030" operator="between" text="库存为">
      <formula>NOT(ISERROR(SEARCH("库存为",AU496)))</formula>
    </cfRule>
  </conditionalFormatting>
  <conditionalFormatting sqref="AU497">
    <cfRule type="cellIs" dxfId="0" priority="7567" operator="lessThan">
      <formula>20</formula>
    </cfRule>
    <cfRule type="cellIs" dxfId="1" priority="6798" operator="greaterThan">
      <formula>120</formula>
    </cfRule>
    <cfRule type="containsText" dxfId="2" priority="6029" operator="between" text="库存为">
      <formula>NOT(ISERROR(SEARCH("库存为",AU497)))</formula>
    </cfRule>
  </conditionalFormatting>
  <conditionalFormatting sqref="AU498">
    <cfRule type="cellIs" dxfId="0" priority="7566" operator="lessThan">
      <formula>20</formula>
    </cfRule>
    <cfRule type="cellIs" dxfId="1" priority="6797" operator="greaterThan">
      <formula>120</formula>
    </cfRule>
    <cfRule type="containsText" dxfId="2" priority="6028" operator="between" text="库存为">
      <formula>NOT(ISERROR(SEARCH("库存为",AU498)))</formula>
    </cfRule>
  </conditionalFormatting>
  <conditionalFormatting sqref="AU499">
    <cfRule type="cellIs" dxfId="0" priority="7565" operator="lessThan">
      <formula>20</formula>
    </cfRule>
    <cfRule type="cellIs" dxfId="1" priority="6796" operator="greaterThan">
      <formula>120</formula>
    </cfRule>
    <cfRule type="containsText" dxfId="2" priority="6027" operator="between" text="库存为">
      <formula>NOT(ISERROR(SEARCH("库存为",AU499)))</formula>
    </cfRule>
  </conditionalFormatting>
  <conditionalFormatting sqref="AU500">
    <cfRule type="cellIs" dxfId="0" priority="7564" operator="lessThan">
      <formula>20</formula>
    </cfRule>
    <cfRule type="cellIs" dxfId="1" priority="6795" operator="greaterThan">
      <formula>120</formula>
    </cfRule>
    <cfRule type="containsText" dxfId="2" priority="6026" operator="between" text="库存为">
      <formula>NOT(ISERROR(SEARCH("库存为",AU500)))</formula>
    </cfRule>
  </conditionalFormatting>
  <conditionalFormatting sqref="AU501">
    <cfRule type="cellIs" dxfId="0" priority="7563" operator="lessThan">
      <formula>20</formula>
    </cfRule>
    <cfRule type="cellIs" dxfId="1" priority="6794" operator="greaterThan">
      <formula>120</formula>
    </cfRule>
    <cfRule type="containsText" dxfId="2" priority="6025" operator="between" text="库存为">
      <formula>NOT(ISERROR(SEARCH("库存为",AU501)))</formula>
    </cfRule>
  </conditionalFormatting>
  <conditionalFormatting sqref="AU502">
    <cfRule type="cellIs" dxfId="0" priority="7562" operator="lessThan">
      <formula>20</formula>
    </cfRule>
    <cfRule type="cellIs" dxfId="1" priority="6793" operator="greaterThan">
      <formula>120</formula>
    </cfRule>
    <cfRule type="containsText" dxfId="2" priority="6024" operator="between" text="库存为">
      <formula>NOT(ISERROR(SEARCH("库存为",AU502)))</formula>
    </cfRule>
  </conditionalFormatting>
  <conditionalFormatting sqref="AU503">
    <cfRule type="cellIs" dxfId="0" priority="7561" operator="lessThan">
      <formula>20</formula>
    </cfRule>
    <cfRule type="cellIs" dxfId="1" priority="6792" operator="greaterThan">
      <formula>120</formula>
    </cfRule>
    <cfRule type="containsText" dxfId="2" priority="6023" operator="between" text="库存为">
      <formula>NOT(ISERROR(SEARCH("库存为",AU503)))</formula>
    </cfRule>
  </conditionalFormatting>
  <conditionalFormatting sqref="AU504">
    <cfRule type="cellIs" dxfId="0" priority="7560" operator="lessThan">
      <formula>20</formula>
    </cfRule>
    <cfRule type="cellIs" dxfId="1" priority="6791" operator="greaterThan">
      <formula>120</formula>
    </cfRule>
    <cfRule type="containsText" dxfId="2" priority="6022" operator="between" text="库存为">
      <formula>NOT(ISERROR(SEARCH("库存为",AU504)))</formula>
    </cfRule>
  </conditionalFormatting>
  <conditionalFormatting sqref="AU505">
    <cfRule type="cellIs" dxfId="0" priority="7559" operator="lessThan">
      <formula>20</formula>
    </cfRule>
    <cfRule type="cellIs" dxfId="1" priority="6790" operator="greaterThan">
      <formula>120</formula>
    </cfRule>
    <cfRule type="containsText" dxfId="2" priority="6021" operator="between" text="库存为">
      <formula>NOT(ISERROR(SEARCH("库存为",AU505)))</formula>
    </cfRule>
  </conditionalFormatting>
  <conditionalFormatting sqref="AU506">
    <cfRule type="cellIs" dxfId="0" priority="7558" operator="lessThan">
      <formula>20</formula>
    </cfRule>
    <cfRule type="cellIs" dxfId="1" priority="6789" operator="greaterThan">
      <formula>120</formula>
    </cfRule>
    <cfRule type="containsText" dxfId="2" priority="6020" operator="between" text="库存为">
      <formula>NOT(ISERROR(SEARCH("库存为",AU506)))</formula>
    </cfRule>
  </conditionalFormatting>
  <conditionalFormatting sqref="AU507">
    <cfRule type="cellIs" dxfId="0" priority="7557" operator="lessThan">
      <formula>20</formula>
    </cfRule>
    <cfRule type="cellIs" dxfId="1" priority="6788" operator="greaterThan">
      <formula>120</formula>
    </cfRule>
    <cfRule type="containsText" dxfId="2" priority="6019" operator="between" text="库存为">
      <formula>NOT(ISERROR(SEARCH("库存为",AU507)))</formula>
    </cfRule>
  </conditionalFormatting>
  <conditionalFormatting sqref="AU508">
    <cfRule type="cellIs" dxfId="0" priority="7556" operator="lessThan">
      <formula>20</formula>
    </cfRule>
    <cfRule type="cellIs" dxfId="1" priority="6787" operator="greaterThan">
      <formula>120</formula>
    </cfRule>
    <cfRule type="containsText" dxfId="2" priority="6018" operator="between" text="库存为">
      <formula>NOT(ISERROR(SEARCH("库存为",AU508)))</formula>
    </cfRule>
  </conditionalFormatting>
  <conditionalFormatting sqref="AU509">
    <cfRule type="cellIs" dxfId="0" priority="7555" operator="lessThan">
      <formula>20</formula>
    </cfRule>
    <cfRule type="cellIs" dxfId="1" priority="6786" operator="greaterThan">
      <formula>120</formula>
    </cfRule>
    <cfRule type="containsText" dxfId="2" priority="6017" operator="between" text="库存为">
      <formula>NOT(ISERROR(SEARCH("库存为",AU509)))</formula>
    </cfRule>
  </conditionalFormatting>
  <conditionalFormatting sqref="AU510">
    <cfRule type="cellIs" dxfId="0" priority="7554" operator="lessThan">
      <formula>20</formula>
    </cfRule>
    <cfRule type="cellIs" dxfId="1" priority="6785" operator="greaterThan">
      <formula>120</formula>
    </cfRule>
    <cfRule type="containsText" dxfId="2" priority="6016" operator="between" text="库存为">
      <formula>NOT(ISERROR(SEARCH("库存为",AU510)))</formula>
    </cfRule>
  </conditionalFormatting>
  <conditionalFormatting sqref="AU511">
    <cfRule type="cellIs" dxfId="0" priority="7553" operator="lessThan">
      <formula>20</formula>
    </cfRule>
    <cfRule type="cellIs" dxfId="1" priority="6784" operator="greaterThan">
      <formula>120</formula>
    </cfRule>
    <cfRule type="containsText" dxfId="2" priority="6015" operator="between" text="库存为">
      <formula>NOT(ISERROR(SEARCH("库存为",AU511)))</formula>
    </cfRule>
  </conditionalFormatting>
  <conditionalFormatting sqref="AU512">
    <cfRule type="cellIs" dxfId="0" priority="7552" operator="lessThan">
      <formula>20</formula>
    </cfRule>
    <cfRule type="cellIs" dxfId="1" priority="6783" operator="greaterThan">
      <formula>120</formula>
    </cfRule>
    <cfRule type="containsText" dxfId="2" priority="6014" operator="between" text="库存为">
      <formula>NOT(ISERROR(SEARCH("库存为",AU512)))</formula>
    </cfRule>
  </conditionalFormatting>
  <conditionalFormatting sqref="AU513">
    <cfRule type="cellIs" dxfId="0" priority="7551" operator="lessThan">
      <formula>20</formula>
    </cfRule>
    <cfRule type="cellIs" dxfId="1" priority="6782" operator="greaterThan">
      <formula>120</formula>
    </cfRule>
    <cfRule type="containsText" dxfId="2" priority="6013" operator="between" text="库存为">
      <formula>NOT(ISERROR(SEARCH("库存为",AU513)))</formula>
    </cfRule>
  </conditionalFormatting>
  <conditionalFormatting sqref="AU514">
    <cfRule type="cellIs" dxfId="0" priority="7550" operator="lessThan">
      <formula>20</formula>
    </cfRule>
    <cfRule type="cellIs" dxfId="1" priority="6781" operator="greaterThan">
      <formula>120</formula>
    </cfRule>
    <cfRule type="containsText" dxfId="2" priority="6012" operator="between" text="库存为">
      <formula>NOT(ISERROR(SEARCH("库存为",AU514)))</formula>
    </cfRule>
  </conditionalFormatting>
  <conditionalFormatting sqref="AU515">
    <cfRule type="cellIs" dxfId="0" priority="7549" operator="lessThan">
      <formula>20</formula>
    </cfRule>
    <cfRule type="cellIs" dxfId="1" priority="6780" operator="greaterThan">
      <formula>120</formula>
    </cfRule>
    <cfRule type="containsText" dxfId="2" priority="6011" operator="between" text="库存为">
      <formula>NOT(ISERROR(SEARCH("库存为",AU515)))</formula>
    </cfRule>
  </conditionalFormatting>
  <conditionalFormatting sqref="AU516">
    <cfRule type="cellIs" dxfId="0" priority="7548" operator="lessThan">
      <formula>20</formula>
    </cfRule>
    <cfRule type="cellIs" dxfId="1" priority="6779" operator="greaterThan">
      <formula>120</formula>
    </cfRule>
    <cfRule type="containsText" dxfId="2" priority="6010" operator="between" text="库存为">
      <formula>NOT(ISERROR(SEARCH("库存为",AU516)))</formula>
    </cfRule>
  </conditionalFormatting>
  <conditionalFormatting sqref="AU517">
    <cfRule type="cellIs" dxfId="0" priority="7547" operator="lessThan">
      <formula>20</formula>
    </cfRule>
    <cfRule type="cellIs" dxfId="1" priority="6778" operator="greaterThan">
      <formula>120</formula>
    </cfRule>
    <cfRule type="containsText" dxfId="2" priority="6009" operator="between" text="库存为">
      <formula>NOT(ISERROR(SEARCH("库存为",AU517)))</formula>
    </cfRule>
  </conditionalFormatting>
  <conditionalFormatting sqref="AU518">
    <cfRule type="cellIs" dxfId="0" priority="7546" operator="lessThan">
      <formula>20</formula>
    </cfRule>
    <cfRule type="cellIs" dxfId="1" priority="6777" operator="greaterThan">
      <formula>120</formula>
    </cfRule>
    <cfRule type="containsText" dxfId="2" priority="6008" operator="between" text="库存为">
      <formula>NOT(ISERROR(SEARCH("库存为",AU518)))</formula>
    </cfRule>
  </conditionalFormatting>
  <conditionalFormatting sqref="AU519">
    <cfRule type="cellIs" dxfId="0" priority="7545" operator="lessThan">
      <formula>20</formula>
    </cfRule>
    <cfRule type="cellIs" dxfId="1" priority="6776" operator="greaterThan">
      <formula>120</formula>
    </cfRule>
    <cfRule type="containsText" dxfId="2" priority="6007" operator="between" text="库存为">
      <formula>NOT(ISERROR(SEARCH("库存为",AU519)))</formula>
    </cfRule>
  </conditionalFormatting>
  <conditionalFormatting sqref="AU520">
    <cfRule type="cellIs" dxfId="0" priority="7544" operator="lessThan">
      <formula>20</formula>
    </cfRule>
    <cfRule type="cellIs" dxfId="1" priority="6775" operator="greaterThan">
      <formula>120</formula>
    </cfRule>
    <cfRule type="containsText" dxfId="2" priority="6006" operator="between" text="库存为">
      <formula>NOT(ISERROR(SEARCH("库存为",AU520)))</formula>
    </cfRule>
  </conditionalFormatting>
  <conditionalFormatting sqref="AU521">
    <cfRule type="cellIs" dxfId="0" priority="7543" operator="lessThan">
      <formula>20</formula>
    </cfRule>
    <cfRule type="cellIs" dxfId="1" priority="6774" operator="greaterThan">
      <formula>120</formula>
    </cfRule>
    <cfRule type="containsText" dxfId="2" priority="6005" operator="between" text="库存为">
      <formula>NOT(ISERROR(SEARCH("库存为",AU521)))</formula>
    </cfRule>
  </conditionalFormatting>
  <conditionalFormatting sqref="AU522">
    <cfRule type="cellIs" dxfId="0" priority="7542" operator="lessThan">
      <formula>20</formula>
    </cfRule>
    <cfRule type="cellIs" dxfId="1" priority="6773" operator="greaterThan">
      <formula>120</formula>
    </cfRule>
    <cfRule type="containsText" dxfId="2" priority="6004" operator="between" text="库存为">
      <formula>NOT(ISERROR(SEARCH("库存为",AU522)))</formula>
    </cfRule>
  </conditionalFormatting>
  <conditionalFormatting sqref="AU523">
    <cfRule type="cellIs" dxfId="0" priority="7541" operator="lessThan">
      <formula>20</formula>
    </cfRule>
    <cfRule type="cellIs" dxfId="1" priority="6772" operator="greaterThan">
      <formula>120</formula>
    </cfRule>
    <cfRule type="containsText" dxfId="2" priority="6003" operator="between" text="库存为">
      <formula>NOT(ISERROR(SEARCH("库存为",AU523)))</formula>
    </cfRule>
  </conditionalFormatting>
  <conditionalFormatting sqref="AU524">
    <cfRule type="cellIs" dxfId="0" priority="7540" operator="lessThan">
      <formula>20</formula>
    </cfRule>
    <cfRule type="cellIs" dxfId="1" priority="6771" operator="greaterThan">
      <formula>120</formula>
    </cfRule>
    <cfRule type="containsText" dxfId="2" priority="6002" operator="between" text="库存为">
      <formula>NOT(ISERROR(SEARCH("库存为",AU524)))</formula>
    </cfRule>
  </conditionalFormatting>
  <conditionalFormatting sqref="AU525">
    <cfRule type="cellIs" dxfId="0" priority="7539" operator="lessThan">
      <formula>20</formula>
    </cfRule>
    <cfRule type="cellIs" dxfId="1" priority="6770" operator="greaterThan">
      <formula>120</formula>
    </cfRule>
    <cfRule type="containsText" dxfId="2" priority="6001" operator="between" text="库存为">
      <formula>NOT(ISERROR(SEARCH("库存为",AU525)))</formula>
    </cfRule>
  </conditionalFormatting>
  <conditionalFormatting sqref="AU526">
    <cfRule type="cellIs" dxfId="0" priority="7538" operator="lessThan">
      <formula>20</formula>
    </cfRule>
    <cfRule type="cellIs" dxfId="1" priority="6769" operator="greaterThan">
      <formula>120</formula>
    </cfRule>
    <cfRule type="containsText" dxfId="2" priority="6000" operator="between" text="库存为">
      <formula>NOT(ISERROR(SEARCH("库存为",AU526)))</formula>
    </cfRule>
  </conditionalFormatting>
  <conditionalFormatting sqref="AU527">
    <cfRule type="cellIs" dxfId="0" priority="7537" operator="lessThan">
      <formula>20</formula>
    </cfRule>
    <cfRule type="cellIs" dxfId="1" priority="6768" operator="greaterThan">
      <formula>120</formula>
    </cfRule>
    <cfRule type="containsText" dxfId="2" priority="5999" operator="between" text="库存为">
      <formula>NOT(ISERROR(SEARCH("库存为",AU527)))</formula>
    </cfRule>
  </conditionalFormatting>
  <conditionalFormatting sqref="AU528">
    <cfRule type="cellIs" dxfId="0" priority="7536" operator="lessThan">
      <formula>20</formula>
    </cfRule>
    <cfRule type="cellIs" dxfId="1" priority="6767" operator="greaterThan">
      <formula>120</formula>
    </cfRule>
    <cfRule type="containsText" dxfId="2" priority="5998" operator="between" text="库存为">
      <formula>NOT(ISERROR(SEARCH("库存为",AU528)))</formula>
    </cfRule>
  </conditionalFormatting>
  <conditionalFormatting sqref="AU529">
    <cfRule type="cellIs" dxfId="0" priority="7535" operator="lessThan">
      <formula>20</formula>
    </cfRule>
    <cfRule type="cellIs" dxfId="1" priority="6766" operator="greaterThan">
      <formula>120</formula>
    </cfRule>
    <cfRule type="containsText" dxfId="2" priority="5997" operator="between" text="库存为">
      <formula>NOT(ISERROR(SEARCH("库存为",AU529)))</formula>
    </cfRule>
  </conditionalFormatting>
  <conditionalFormatting sqref="AU530">
    <cfRule type="cellIs" dxfId="0" priority="7534" operator="lessThan">
      <formula>20</formula>
    </cfRule>
    <cfRule type="cellIs" dxfId="1" priority="6765" operator="greaterThan">
      <formula>120</formula>
    </cfRule>
    <cfRule type="containsText" dxfId="2" priority="5996" operator="between" text="库存为">
      <formula>NOT(ISERROR(SEARCH("库存为",AU530)))</formula>
    </cfRule>
  </conditionalFormatting>
  <conditionalFormatting sqref="AU531">
    <cfRule type="cellIs" dxfId="0" priority="7533" operator="lessThan">
      <formula>20</formula>
    </cfRule>
    <cfRule type="cellIs" dxfId="1" priority="6764" operator="greaterThan">
      <formula>120</formula>
    </cfRule>
    <cfRule type="containsText" dxfId="2" priority="5995" operator="between" text="库存为">
      <formula>NOT(ISERROR(SEARCH("库存为",AU531)))</formula>
    </cfRule>
  </conditionalFormatting>
  <conditionalFormatting sqref="AU532">
    <cfRule type="cellIs" dxfId="0" priority="7532" operator="lessThan">
      <formula>20</formula>
    </cfRule>
    <cfRule type="cellIs" dxfId="1" priority="6763" operator="greaterThan">
      <formula>120</formula>
    </cfRule>
    <cfRule type="containsText" dxfId="2" priority="5994" operator="between" text="库存为">
      <formula>NOT(ISERROR(SEARCH("库存为",AU532)))</formula>
    </cfRule>
  </conditionalFormatting>
  <conditionalFormatting sqref="AU533">
    <cfRule type="cellIs" dxfId="0" priority="7531" operator="lessThan">
      <formula>20</formula>
    </cfRule>
    <cfRule type="cellIs" dxfId="1" priority="6762" operator="greaterThan">
      <formula>120</formula>
    </cfRule>
    <cfRule type="containsText" dxfId="2" priority="5993" operator="between" text="库存为">
      <formula>NOT(ISERROR(SEARCH("库存为",AU533)))</formula>
    </cfRule>
  </conditionalFormatting>
  <conditionalFormatting sqref="AU534">
    <cfRule type="cellIs" dxfId="0" priority="7530" operator="lessThan">
      <formula>20</formula>
    </cfRule>
    <cfRule type="cellIs" dxfId="1" priority="6761" operator="greaterThan">
      <formula>120</formula>
    </cfRule>
    <cfRule type="containsText" dxfId="2" priority="5992" operator="between" text="库存为">
      <formula>NOT(ISERROR(SEARCH("库存为",AU534)))</formula>
    </cfRule>
  </conditionalFormatting>
  <conditionalFormatting sqref="AU535">
    <cfRule type="cellIs" dxfId="0" priority="7529" operator="lessThan">
      <formula>20</formula>
    </cfRule>
    <cfRule type="cellIs" dxfId="1" priority="6760" operator="greaterThan">
      <formula>120</formula>
    </cfRule>
    <cfRule type="containsText" dxfId="2" priority="5991" operator="between" text="库存为">
      <formula>NOT(ISERROR(SEARCH("库存为",AU535)))</formula>
    </cfRule>
  </conditionalFormatting>
  <conditionalFormatting sqref="AU536">
    <cfRule type="cellIs" dxfId="0" priority="7528" operator="lessThan">
      <formula>20</formula>
    </cfRule>
    <cfRule type="cellIs" dxfId="1" priority="6759" operator="greaterThan">
      <formula>120</formula>
    </cfRule>
    <cfRule type="containsText" dxfId="2" priority="5990" operator="between" text="库存为">
      <formula>NOT(ISERROR(SEARCH("库存为",AU536)))</formula>
    </cfRule>
  </conditionalFormatting>
  <conditionalFormatting sqref="AU537">
    <cfRule type="cellIs" dxfId="0" priority="7527" operator="lessThan">
      <formula>20</formula>
    </cfRule>
    <cfRule type="cellIs" dxfId="1" priority="6758" operator="greaterThan">
      <formula>120</formula>
    </cfRule>
    <cfRule type="containsText" dxfId="2" priority="5989" operator="between" text="库存为">
      <formula>NOT(ISERROR(SEARCH("库存为",AU537)))</formula>
    </cfRule>
  </conditionalFormatting>
  <conditionalFormatting sqref="AU538">
    <cfRule type="cellIs" dxfId="0" priority="7526" operator="lessThan">
      <formula>20</formula>
    </cfRule>
    <cfRule type="cellIs" dxfId="1" priority="6757" operator="greaterThan">
      <formula>120</formula>
    </cfRule>
    <cfRule type="containsText" dxfId="2" priority="5988" operator="between" text="库存为">
      <formula>NOT(ISERROR(SEARCH("库存为",AU538)))</formula>
    </cfRule>
  </conditionalFormatting>
  <conditionalFormatting sqref="AU539">
    <cfRule type="cellIs" dxfId="0" priority="7525" operator="lessThan">
      <formula>20</formula>
    </cfRule>
    <cfRule type="cellIs" dxfId="1" priority="6756" operator="greaterThan">
      <formula>120</formula>
    </cfRule>
    <cfRule type="containsText" dxfId="2" priority="5987" operator="between" text="库存为">
      <formula>NOT(ISERROR(SEARCH("库存为",AU539)))</formula>
    </cfRule>
  </conditionalFormatting>
  <conditionalFormatting sqref="AU540">
    <cfRule type="cellIs" dxfId="0" priority="7524" operator="lessThan">
      <formula>20</formula>
    </cfRule>
    <cfRule type="cellIs" dxfId="1" priority="6755" operator="greaterThan">
      <formula>120</formula>
    </cfRule>
    <cfRule type="containsText" dxfId="2" priority="5986" operator="between" text="库存为">
      <formula>NOT(ISERROR(SEARCH("库存为",AU540)))</formula>
    </cfRule>
  </conditionalFormatting>
  <conditionalFormatting sqref="AU541">
    <cfRule type="cellIs" dxfId="0" priority="7523" operator="lessThan">
      <formula>20</formula>
    </cfRule>
    <cfRule type="cellIs" dxfId="1" priority="6754" operator="greaterThan">
      <formula>120</formula>
    </cfRule>
    <cfRule type="containsText" dxfId="2" priority="5985" operator="between" text="库存为">
      <formula>NOT(ISERROR(SEARCH("库存为",AU541)))</formula>
    </cfRule>
  </conditionalFormatting>
  <conditionalFormatting sqref="AU542">
    <cfRule type="cellIs" dxfId="0" priority="7522" operator="lessThan">
      <formula>20</formula>
    </cfRule>
    <cfRule type="cellIs" dxfId="1" priority="6753" operator="greaterThan">
      <formula>120</formula>
    </cfRule>
    <cfRule type="containsText" dxfId="2" priority="5984" operator="between" text="库存为">
      <formula>NOT(ISERROR(SEARCH("库存为",AU542)))</formula>
    </cfRule>
  </conditionalFormatting>
  <conditionalFormatting sqref="AU543">
    <cfRule type="cellIs" dxfId="0" priority="7521" operator="lessThan">
      <formula>20</formula>
    </cfRule>
    <cfRule type="cellIs" dxfId="1" priority="6752" operator="greaterThan">
      <formula>120</formula>
    </cfRule>
    <cfRule type="containsText" dxfId="2" priority="5983" operator="between" text="库存为">
      <formula>NOT(ISERROR(SEARCH("库存为",AU543)))</formula>
    </cfRule>
  </conditionalFormatting>
  <conditionalFormatting sqref="AU544">
    <cfRule type="cellIs" dxfId="0" priority="7520" operator="lessThan">
      <formula>20</formula>
    </cfRule>
    <cfRule type="cellIs" dxfId="1" priority="6751" operator="greaterThan">
      <formula>120</formula>
    </cfRule>
    <cfRule type="containsText" dxfId="2" priority="5982" operator="between" text="库存为">
      <formula>NOT(ISERROR(SEARCH("库存为",AU544)))</formula>
    </cfRule>
  </conditionalFormatting>
  <conditionalFormatting sqref="AU545">
    <cfRule type="cellIs" dxfId="0" priority="7519" operator="lessThan">
      <formula>20</formula>
    </cfRule>
    <cfRule type="cellIs" dxfId="1" priority="6750" operator="greaterThan">
      <formula>120</formula>
    </cfRule>
    <cfRule type="containsText" dxfId="2" priority="5981" operator="between" text="库存为">
      <formula>NOT(ISERROR(SEARCH("库存为",AU545)))</formula>
    </cfRule>
  </conditionalFormatting>
  <conditionalFormatting sqref="AU546">
    <cfRule type="cellIs" dxfId="0" priority="7518" operator="lessThan">
      <formula>20</formula>
    </cfRule>
    <cfRule type="cellIs" dxfId="1" priority="6749" operator="greaterThan">
      <formula>120</formula>
    </cfRule>
    <cfRule type="containsText" dxfId="2" priority="5980" operator="between" text="库存为">
      <formula>NOT(ISERROR(SEARCH("库存为",AU546)))</formula>
    </cfRule>
  </conditionalFormatting>
  <conditionalFormatting sqref="AU547">
    <cfRule type="cellIs" dxfId="0" priority="7517" operator="lessThan">
      <formula>20</formula>
    </cfRule>
    <cfRule type="cellIs" dxfId="1" priority="6748" operator="greaterThan">
      <formula>120</formula>
    </cfRule>
    <cfRule type="containsText" dxfId="2" priority="5979" operator="between" text="库存为">
      <formula>NOT(ISERROR(SEARCH("库存为",AU547)))</formula>
    </cfRule>
  </conditionalFormatting>
  <conditionalFormatting sqref="AU548">
    <cfRule type="cellIs" dxfId="0" priority="7516" operator="lessThan">
      <formula>20</formula>
    </cfRule>
    <cfRule type="cellIs" dxfId="1" priority="6747" operator="greaterThan">
      <formula>120</formula>
    </cfRule>
    <cfRule type="containsText" dxfId="2" priority="5978" operator="between" text="库存为">
      <formula>NOT(ISERROR(SEARCH("库存为",AU548)))</formula>
    </cfRule>
  </conditionalFormatting>
  <conditionalFormatting sqref="AU549">
    <cfRule type="cellIs" dxfId="0" priority="7515" operator="lessThan">
      <formula>20</formula>
    </cfRule>
    <cfRule type="cellIs" dxfId="1" priority="6746" operator="greaterThan">
      <formula>120</formula>
    </cfRule>
    <cfRule type="containsText" dxfId="2" priority="5977" operator="between" text="库存为">
      <formula>NOT(ISERROR(SEARCH("库存为",AU549)))</formula>
    </cfRule>
  </conditionalFormatting>
  <conditionalFormatting sqref="AU550">
    <cfRule type="cellIs" dxfId="0" priority="7514" operator="lessThan">
      <formula>20</formula>
    </cfRule>
    <cfRule type="cellIs" dxfId="1" priority="6745" operator="greaterThan">
      <formula>120</formula>
    </cfRule>
    <cfRule type="containsText" dxfId="2" priority="5976" operator="between" text="库存为">
      <formula>NOT(ISERROR(SEARCH("库存为",AU550)))</formula>
    </cfRule>
  </conditionalFormatting>
  <conditionalFormatting sqref="AU551">
    <cfRule type="cellIs" dxfId="0" priority="7513" operator="lessThan">
      <formula>20</formula>
    </cfRule>
    <cfRule type="cellIs" dxfId="1" priority="6744" operator="greaterThan">
      <formula>120</formula>
    </cfRule>
    <cfRule type="containsText" dxfId="2" priority="5975" operator="between" text="库存为">
      <formula>NOT(ISERROR(SEARCH("库存为",AU551)))</formula>
    </cfRule>
  </conditionalFormatting>
  <conditionalFormatting sqref="AU552">
    <cfRule type="cellIs" dxfId="0" priority="7512" operator="lessThan">
      <formula>20</formula>
    </cfRule>
    <cfRule type="cellIs" dxfId="1" priority="6743" operator="greaterThan">
      <formula>120</formula>
    </cfRule>
    <cfRule type="containsText" dxfId="2" priority="5974" operator="between" text="库存为">
      <formula>NOT(ISERROR(SEARCH("库存为",AU552)))</formula>
    </cfRule>
  </conditionalFormatting>
  <conditionalFormatting sqref="AU553">
    <cfRule type="cellIs" dxfId="0" priority="7511" operator="lessThan">
      <formula>20</formula>
    </cfRule>
    <cfRule type="cellIs" dxfId="1" priority="6742" operator="greaterThan">
      <formula>120</formula>
    </cfRule>
    <cfRule type="containsText" dxfId="2" priority="5973" operator="between" text="库存为">
      <formula>NOT(ISERROR(SEARCH("库存为",AU553)))</formula>
    </cfRule>
  </conditionalFormatting>
  <conditionalFormatting sqref="AU554">
    <cfRule type="cellIs" dxfId="0" priority="7510" operator="lessThan">
      <formula>20</formula>
    </cfRule>
    <cfRule type="cellIs" dxfId="1" priority="6741" operator="greaterThan">
      <formula>120</formula>
    </cfRule>
    <cfRule type="containsText" dxfId="2" priority="5972" operator="between" text="库存为">
      <formula>NOT(ISERROR(SEARCH("库存为",AU554)))</formula>
    </cfRule>
  </conditionalFormatting>
  <conditionalFormatting sqref="AU555">
    <cfRule type="cellIs" dxfId="0" priority="7509" operator="lessThan">
      <formula>20</formula>
    </cfRule>
    <cfRule type="cellIs" dxfId="1" priority="6740" operator="greaterThan">
      <formula>120</formula>
    </cfRule>
    <cfRule type="containsText" dxfId="2" priority="5971" operator="between" text="库存为">
      <formula>NOT(ISERROR(SEARCH("库存为",AU555)))</formula>
    </cfRule>
  </conditionalFormatting>
  <conditionalFormatting sqref="AU556">
    <cfRule type="cellIs" dxfId="0" priority="7508" operator="lessThan">
      <formula>20</formula>
    </cfRule>
    <cfRule type="cellIs" dxfId="1" priority="6739" operator="greaterThan">
      <formula>120</formula>
    </cfRule>
    <cfRule type="containsText" dxfId="2" priority="5970" operator="between" text="库存为">
      <formula>NOT(ISERROR(SEARCH("库存为",AU556)))</formula>
    </cfRule>
  </conditionalFormatting>
  <conditionalFormatting sqref="AU557">
    <cfRule type="cellIs" dxfId="0" priority="7507" operator="lessThan">
      <formula>20</formula>
    </cfRule>
    <cfRule type="cellIs" dxfId="1" priority="6738" operator="greaterThan">
      <formula>120</formula>
    </cfRule>
    <cfRule type="containsText" dxfId="2" priority="5969" operator="between" text="库存为">
      <formula>NOT(ISERROR(SEARCH("库存为",AU557)))</formula>
    </cfRule>
  </conditionalFormatting>
  <conditionalFormatting sqref="AU558">
    <cfRule type="cellIs" dxfId="0" priority="7506" operator="lessThan">
      <formula>20</formula>
    </cfRule>
    <cfRule type="cellIs" dxfId="1" priority="6737" operator="greaterThan">
      <formula>120</formula>
    </cfRule>
    <cfRule type="containsText" dxfId="2" priority="5968" operator="between" text="库存为">
      <formula>NOT(ISERROR(SEARCH("库存为",AU558)))</formula>
    </cfRule>
  </conditionalFormatting>
  <conditionalFormatting sqref="AU559">
    <cfRule type="cellIs" dxfId="0" priority="7505" operator="lessThan">
      <formula>20</formula>
    </cfRule>
    <cfRule type="cellIs" dxfId="1" priority="6736" operator="greaterThan">
      <formula>120</formula>
    </cfRule>
    <cfRule type="containsText" dxfId="2" priority="5967" operator="between" text="库存为">
      <formula>NOT(ISERROR(SEARCH("库存为",AU559)))</formula>
    </cfRule>
  </conditionalFormatting>
  <conditionalFormatting sqref="AU560">
    <cfRule type="cellIs" dxfId="0" priority="7504" operator="lessThan">
      <formula>20</formula>
    </cfRule>
    <cfRule type="cellIs" dxfId="1" priority="6735" operator="greaterThan">
      <formula>120</formula>
    </cfRule>
    <cfRule type="containsText" dxfId="2" priority="5966" operator="between" text="库存为">
      <formula>NOT(ISERROR(SEARCH("库存为",AU560)))</formula>
    </cfRule>
  </conditionalFormatting>
  <conditionalFormatting sqref="AU561">
    <cfRule type="cellIs" dxfId="0" priority="7503" operator="lessThan">
      <formula>20</formula>
    </cfRule>
    <cfRule type="cellIs" dxfId="1" priority="6734" operator="greaterThan">
      <formula>120</formula>
    </cfRule>
    <cfRule type="containsText" dxfId="2" priority="5965" operator="between" text="库存为">
      <formula>NOT(ISERROR(SEARCH("库存为",AU561)))</formula>
    </cfRule>
  </conditionalFormatting>
  <conditionalFormatting sqref="AU562">
    <cfRule type="cellIs" dxfId="0" priority="7502" operator="lessThan">
      <formula>20</formula>
    </cfRule>
    <cfRule type="cellIs" dxfId="1" priority="6733" operator="greaterThan">
      <formula>120</formula>
    </cfRule>
    <cfRule type="containsText" dxfId="2" priority="5964" operator="between" text="库存为">
      <formula>NOT(ISERROR(SEARCH("库存为",AU562)))</formula>
    </cfRule>
  </conditionalFormatting>
  <conditionalFormatting sqref="AU563">
    <cfRule type="cellIs" dxfId="0" priority="7501" operator="lessThan">
      <formula>20</formula>
    </cfRule>
    <cfRule type="cellIs" dxfId="1" priority="6732" operator="greaterThan">
      <formula>120</formula>
    </cfRule>
    <cfRule type="containsText" dxfId="2" priority="5963" operator="between" text="库存为">
      <formula>NOT(ISERROR(SEARCH("库存为",AU563)))</formula>
    </cfRule>
  </conditionalFormatting>
  <conditionalFormatting sqref="AU564">
    <cfRule type="cellIs" dxfId="0" priority="7500" operator="lessThan">
      <formula>20</formula>
    </cfRule>
    <cfRule type="cellIs" dxfId="1" priority="6731" operator="greaterThan">
      <formula>120</formula>
    </cfRule>
    <cfRule type="containsText" dxfId="2" priority="5962" operator="between" text="库存为">
      <formula>NOT(ISERROR(SEARCH("库存为",AU564)))</formula>
    </cfRule>
  </conditionalFormatting>
  <conditionalFormatting sqref="AU565">
    <cfRule type="cellIs" dxfId="0" priority="7499" operator="lessThan">
      <formula>20</formula>
    </cfRule>
    <cfRule type="cellIs" dxfId="1" priority="6730" operator="greaterThan">
      <formula>120</formula>
    </cfRule>
    <cfRule type="containsText" dxfId="2" priority="5961" operator="between" text="库存为">
      <formula>NOT(ISERROR(SEARCH("库存为",AU565)))</formula>
    </cfRule>
  </conditionalFormatting>
  <conditionalFormatting sqref="AU566">
    <cfRule type="cellIs" dxfId="0" priority="7498" operator="lessThan">
      <formula>20</formula>
    </cfRule>
    <cfRule type="cellIs" dxfId="1" priority="6729" operator="greaterThan">
      <formula>120</formula>
    </cfRule>
    <cfRule type="containsText" dxfId="2" priority="5960" operator="between" text="库存为">
      <formula>NOT(ISERROR(SEARCH("库存为",AU566)))</formula>
    </cfRule>
  </conditionalFormatting>
  <conditionalFormatting sqref="AU567">
    <cfRule type="cellIs" dxfId="0" priority="7497" operator="lessThan">
      <formula>20</formula>
    </cfRule>
    <cfRule type="cellIs" dxfId="1" priority="6728" operator="greaterThan">
      <formula>120</formula>
    </cfRule>
    <cfRule type="containsText" dxfId="2" priority="5959" operator="between" text="库存为">
      <formula>NOT(ISERROR(SEARCH("库存为",AU567)))</formula>
    </cfRule>
  </conditionalFormatting>
  <conditionalFormatting sqref="AU568">
    <cfRule type="cellIs" dxfId="0" priority="7496" operator="lessThan">
      <formula>20</formula>
    </cfRule>
    <cfRule type="cellIs" dxfId="1" priority="6727" operator="greaterThan">
      <formula>120</formula>
    </cfRule>
    <cfRule type="containsText" dxfId="2" priority="5958" operator="between" text="库存为">
      <formula>NOT(ISERROR(SEARCH("库存为",AU568)))</formula>
    </cfRule>
  </conditionalFormatting>
  <conditionalFormatting sqref="AU569">
    <cfRule type="cellIs" dxfId="0" priority="7495" operator="lessThan">
      <formula>20</formula>
    </cfRule>
    <cfRule type="cellIs" dxfId="1" priority="6726" operator="greaterThan">
      <formula>120</formula>
    </cfRule>
    <cfRule type="containsText" dxfId="2" priority="5957" operator="between" text="库存为">
      <formula>NOT(ISERROR(SEARCH("库存为",AU569)))</formula>
    </cfRule>
  </conditionalFormatting>
  <conditionalFormatting sqref="AU570">
    <cfRule type="cellIs" dxfId="0" priority="7494" operator="lessThan">
      <formula>20</formula>
    </cfRule>
    <cfRule type="cellIs" dxfId="1" priority="6725" operator="greaterThan">
      <formula>120</formula>
    </cfRule>
    <cfRule type="containsText" dxfId="2" priority="5956" operator="between" text="库存为">
      <formula>NOT(ISERROR(SEARCH("库存为",AU570)))</formula>
    </cfRule>
  </conditionalFormatting>
  <conditionalFormatting sqref="AU571">
    <cfRule type="cellIs" dxfId="0" priority="7493" operator="lessThan">
      <formula>20</formula>
    </cfRule>
    <cfRule type="cellIs" dxfId="1" priority="6724" operator="greaterThan">
      <formula>120</formula>
    </cfRule>
    <cfRule type="containsText" dxfId="2" priority="5955" operator="between" text="库存为">
      <formula>NOT(ISERROR(SEARCH("库存为",AU571)))</formula>
    </cfRule>
  </conditionalFormatting>
  <conditionalFormatting sqref="AU572">
    <cfRule type="cellIs" dxfId="0" priority="7492" operator="lessThan">
      <formula>20</formula>
    </cfRule>
    <cfRule type="cellIs" dxfId="1" priority="6723" operator="greaterThan">
      <formula>120</formula>
    </cfRule>
    <cfRule type="containsText" dxfId="2" priority="5954" operator="between" text="库存为">
      <formula>NOT(ISERROR(SEARCH("库存为",AU572)))</formula>
    </cfRule>
  </conditionalFormatting>
  <conditionalFormatting sqref="AU573">
    <cfRule type="cellIs" dxfId="0" priority="7491" operator="lessThan">
      <formula>20</formula>
    </cfRule>
    <cfRule type="cellIs" dxfId="1" priority="6722" operator="greaterThan">
      <formula>120</formula>
    </cfRule>
    <cfRule type="containsText" dxfId="2" priority="5953" operator="between" text="库存为">
      <formula>NOT(ISERROR(SEARCH("库存为",AU573)))</formula>
    </cfRule>
  </conditionalFormatting>
  <conditionalFormatting sqref="AU574">
    <cfRule type="cellIs" dxfId="0" priority="7490" operator="lessThan">
      <formula>20</formula>
    </cfRule>
    <cfRule type="cellIs" dxfId="1" priority="6721" operator="greaterThan">
      <formula>120</formula>
    </cfRule>
    <cfRule type="containsText" dxfId="2" priority="5952" operator="between" text="库存为">
      <formula>NOT(ISERROR(SEARCH("库存为",AU574)))</formula>
    </cfRule>
  </conditionalFormatting>
  <conditionalFormatting sqref="AU575">
    <cfRule type="cellIs" dxfId="0" priority="7489" operator="lessThan">
      <formula>20</formula>
    </cfRule>
    <cfRule type="cellIs" dxfId="1" priority="6720" operator="greaterThan">
      <formula>120</formula>
    </cfRule>
    <cfRule type="containsText" dxfId="2" priority="5951" operator="between" text="库存为">
      <formula>NOT(ISERROR(SEARCH("库存为",AU575)))</formula>
    </cfRule>
  </conditionalFormatting>
  <conditionalFormatting sqref="AU576">
    <cfRule type="cellIs" dxfId="0" priority="7488" operator="lessThan">
      <formula>20</formula>
    </cfRule>
    <cfRule type="cellIs" dxfId="1" priority="6719" operator="greaterThan">
      <formula>120</formula>
    </cfRule>
    <cfRule type="containsText" dxfId="2" priority="5950" operator="between" text="库存为">
      <formula>NOT(ISERROR(SEARCH("库存为",AU576)))</formula>
    </cfRule>
  </conditionalFormatting>
  <conditionalFormatting sqref="AU577">
    <cfRule type="cellIs" dxfId="0" priority="7487" operator="lessThan">
      <formula>20</formula>
    </cfRule>
    <cfRule type="cellIs" dxfId="1" priority="6718" operator="greaterThan">
      <formula>120</formula>
    </cfRule>
    <cfRule type="containsText" dxfId="2" priority="5949" operator="between" text="库存为">
      <formula>NOT(ISERROR(SEARCH("库存为",AU577)))</formula>
    </cfRule>
  </conditionalFormatting>
  <conditionalFormatting sqref="AU578">
    <cfRule type="cellIs" dxfId="0" priority="7486" operator="lessThan">
      <formula>20</formula>
    </cfRule>
    <cfRule type="cellIs" dxfId="1" priority="6717" operator="greaterThan">
      <formula>120</formula>
    </cfRule>
    <cfRule type="containsText" dxfId="2" priority="5948" operator="between" text="库存为">
      <formula>NOT(ISERROR(SEARCH("库存为",AU578)))</formula>
    </cfRule>
  </conditionalFormatting>
  <conditionalFormatting sqref="AU579">
    <cfRule type="cellIs" dxfId="0" priority="7485" operator="lessThan">
      <formula>20</formula>
    </cfRule>
    <cfRule type="cellIs" dxfId="1" priority="6716" operator="greaterThan">
      <formula>120</formula>
    </cfRule>
    <cfRule type="containsText" dxfId="2" priority="5947" operator="between" text="库存为">
      <formula>NOT(ISERROR(SEARCH("库存为",AU579)))</formula>
    </cfRule>
  </conditionalFormatting>
  <conditionalFormatting sqref="AU580">
    <cfRule type="cellIs" dxfId="0" priority="7484" operator="lessThan">
      <formula>20</formula>
    </cfRule>
    <cfRule type="cellIs" dxfId="1" priority="6715" operator="greaterThan">
      <formula>120</formula>
    </cfRule>
    <cfRule type="containsText" dxfId="2" priority="5946" operator="between" text="库存为">
      <formula>NOT(ISERROR(SEARCH("库存为",AU580)))</formula>
    </cfRule>
  </conditionalFormatting>
  <conditionalFormatting sqref="AU581">
    <cfRule type="cellIs" dxfId="0" priority="7483" operator="lessThan">
      <formula>20</formula>
    </cfRule>
    <cfRule type="cellIs" dxfId="1" priority="6714" operator="greaterThan">
      <formula>120</formula>
    </cfRule>
    <cfRule type="containsText" dxfId="2" priority="5945" operator="between" text="库存为">
      <formula>NOT(ISERROR(SEARCH("库存为",AU581)))</formula>
    </cfRule>
  </conditionalFormatting>
  <conditionalFormatting sqref="AU582">
    <cfRule type="cellIs" dxfId="0" priority="7482" operator="lessThan">
      <formula>20</formula>
    </cfRule>
    <cfRule type="cellIs" dxfId="1" priority="6713" operator="greaterThan">
      <formula>120</formula>
    </cfRule>
    <cfRule type="containsText" dxfId="2" priority="5944" operator="between" text="库存为">
      <formula>NOT(ISERROR(SEARCH("库存为",AU582)))</formula>
    </cfRule>
  </conditionalFormatting>
  <conditionalFormatting sqref="AU583">
    <cfRule type="cellIs" dxfId="0" priority="7481" operator="lessThan">
      <formula>20</formula>
    </cfRule>
    <cfRule type="cellIs" dxfId="1" priority="6712" operator="greaterThan">
      <formula>120</formula>
    </cfRule>
    <cfRule type="containsText" dxfId="2" priority="5943" operator="between" text="库存为">
      <formula>NOT(ISERROR(SEARCH("库存为",AU583)))</formula>
    </cfRule>
  </conditionalFormatting>
  <conditionalFormatting sqref="AU584">
    <cfRule type="cellIs" dxfId="0" priority="7480" operator="lessThan">
      <formula>20</formula>
    </cfRule>
    <cfRule type="cellIs" dxfId="1" priority="6711" operator="greaterThan">
      <formula>120</formula>
    </cfRule>
    <cfRule type="containsText" dxfId="2" priority="5942" operator="between" text="库存为">
      <formula>NOT(ISERROR(SEARCH("库存为",AU584)))</formula>
    </cfRule>
  </conditionalFormatting>
  <conditionalFormatting sqref="AU585">
    <cfRule type="cellIs" dxfId="0" priority="7479" operator="lessThan">
      <formula>20</formula>
    </cfRule>
    <cfRule type="cellIs" dxfId="1" priority="6710" operator="greaterThan">
      <formula>120</formula>
    </cfRule>
    <cfRule type="containsText" dxfId="2" priority="5941" operator="between" text="库存为">
      <formula>NOT(ISERROR(SEARCH("库存为",AU585)))</formula>
    </cfRule>
  </conditionalFormatting>
  <conditionalFormatting sqref="AU586">
    <cfRule type="cellIs" dxfId="0" priority="7478" operator="lessThan">
      <formula>20</formula>
    </cfRule>
    <cfRule type="cellIs" dxfId="1" priority="6709" operator="greaterThan">
      <formula>120</formula>
    </cfRule>
    <cfRule type="containsText" dxfId="2" priority="5940" operator="between" text="库存为">
      <formula>NOT(ISERROR(SEARCH("库存为",AU586)))</formula>
    </cfRule>
  </conditionalFormatting>
  <conditionalFormatting sqref="AU587">
    <cfRule type="cellIs" dxfId="0" priority="7477" operator="lessThan">
      <formula>20</formula>
    </cfRule>
    <cfRule type="cellIs" dxfId="1" priority="6708" operator="greaterThan">
      <formula>120</formula>
    </cfRule>
    <cfRule type="containsText" dxfId="2" priority="5939" operator="between" text="库存为">
      <formula>NOT(ISERROR(SEARCH("库存为",AU587)))</formula>
    </cfRule>
  </conditionalFormatting>
  <conditionalFormatting sqref="AU588">
    <cfRule type="cellIs" dxfId="0" priority="7476" operator="lessThan">
      <formula>20</formula>
    </cfRule>
    <cfRule type="cellIs" dxfId="1" priority="6707" operator="greaterThan">
      <formula>120</formula>
    </cfRule>
    <cfRule type="containsText" dxfId="2" priority="5938" operator="between" text="库存为">
      <formula>NOT(ISERROR(SEARCH("库存为",AU588)))</formula>
    </cfRule>
  </conditionalFormatting>
  <conditionalFormatting sqref="AU589">
    <cfRule type="cellIs" dxfId="0" priority="7475" operator="lessThan">
      <formula>20</formula>
    </cfRule>
    <cfRule type="cellIs" dxfId="1" priority="6706" operator="greaterThan">
      <formula>120</formula>
    </cfRule>
    <cfRule type="containsText" dxfId="2" priority="5937" operator="between" text="库存为">
      <formula>NOT(ISERROR(SEARCH("库存为",AU589)))</formula>
    </cfRule>
  </conditionalFormatting>
  <conditionalFormatting sqref="AU590">
    <cfRule type="cellIs" dxfId="0" priority="7474" operator="lessThan">
      <formula>20</formula>
    </cfRule>
    <cfRule type="cellIs" dxfId="1" priority="6705" operator="greaterThan">
      <formula>120</formula>
    </cfRule>
    <cfRule type="containsText" dxfId="2" priority="5936" operator="between" text="库存为">
      <formula>NOT(ISERROR(SEARCH("库存为",AU590)))</formula>
    </cfRule>
  </conditionalFormatting>
  <conditionalFormatting sqref="AU591">
    <cfRule type="cellIs" dxfId="0" priority="7473" operator="lessThan">
      <formula>20</formula>
    </cfRule>
    <cfRule type="cellIs" dxfId="1" priority="6704" operator="greaterThan">
      <formula>120</formula>
    </cfRule>
    <cfRule type="containsText" dxfId="2" priority="5935" operator="between" text="库存为">
      <formula>NOT(ISERROR(SEARCH("库存为",AU591)))</formula>
    </cfRule>
  </conditionalFormatting>
  <conditionalFormatting sqref="AU592">
    <cfRule type="cellIs" dxfId="0" priority="7472" operator="lessThan">
      <formula>20</formula>
    </cfRule>
    <cfRule type="cellIs" dxfId="1" priority="6703" operator="greaterThan">
      <formula>120</formula>
    </cfRule>
    <cfRule type="containsText" dxfId="2" priority="5934" operator="between" text="库存为">
      <formula>NOT(ISERROR(SEARCH("库存为",AU592)))</formula>
    </cfRule>
  </conditionalFormatting>
  <conditionalFormatting sqref="AU593">
    <cfRule type="cellIs" dxfId="0" priority="7471" operator="lessThan">
      <formula>20</formula>
    </cfRule>
    <cfRule type="cellIs" dxfId="1" priority="6702" operator="greaterThan">
      <formula>120</formula>
    </cfRule>
    <cfRule type="containsText" dxfId="2" priority="5933" operator="between" text="库存为">
      <formula>NOT(ISERROR(SEARCH("库存为",AU593)))</formula>
    </cfRule>
  </conditionalFormatting>
  <conditionalFormatting sqref="AU594">
    <cfRule type="cellIs" dxfId="0" priority="7470" operator="lessThan">
      <formula>20</formula>
    </cfRule>
    <cfRule type="cellIs" dxfId="1" priority="6701" operator="greaterThan">
      <formula>120</formula>
    </cfRule>
    <cfRule type="containsText" dxfId="2" priority="5932" operator="between" text="库存为">
      <formula>NOT(ISERROR(SEARCH("库存为",AU594)))</formula>
    </cfRule>
  </conditionalFormatting>
  <conditionalFormatting sqref="AU595">
    <cfRule type="cellIs" dxfId="0" priority="7469" operator="lessThan">
      <formula>20</formula>
    </cfRule>
    <cfRule type="cellIs" dxfId="1" priority="6700" operator="greaterThan">
      <formula>120</formula>
    </cfRule>
    <cfRule type="containsText" dxfId="2" priority="5931" operator="between" text="库存为">
      <formula>NOT(ISERROR(SEARCH("库存为",AU595)))</formula>
    </cfRule>
  </conditionalFormatting>
  <conditionalFormatting sqref="AU596">
    <cfRule type="cellIs" dxfId="0" priority="7468" operator="lessThan">
      <formula>20</formula>
    </cfRule>
    <cfRule type="cellIs" dxfId="1" priority="6699" operator="greaterThan">
      <formula>120</formula>
    </cfRule>
    <cfRule type="containsText" dxfId="2" priority="5930" operator="between" text="库存为">
      <formula>NOT(ISERROR(SEARCH("库存为",AU596)))</formula>
    </cfRule>
  </conditionalFormatting>
  <conditionalFormatting sqref="AU597">
    <cfRule type="cellIs" dxfId="0" priority="7467" operator="lessThan">
      <formula>20</formula>
    </cfRule>
    <cfRule type="cellIs" dxfId="1" priority="6698" operator="greaterThan">
      <formula>120</formula>
    </cfRule>
    <cfRule type="containsText" dxfId="2" priority="5929" operator="between" text="库存为">
      <formula>NOT(ISERROR(SEARCH("库存为",AU597)))</formula>
    </cfRule>
  </conditionalFormatting>
  <conditionalFormatting sqref="AU598">
    <cfRule type="cellIs" dxfId="0" priority="7466" operator="lessThan">
      <formula>20</formula>
    </cfRule>
    <cfRule type="cellIs" dxfId="1" priority="6697" operator="greaterThan">
      <formula>120</formula>
    </cfRule>
    <cfRule type="containsText" dxfId="2" priority="5928" operator="between" text="库存为">
      <formula>NOT(ISERROR(SEARCH("库存为",AU598)))</formula>
    </cfRule>
  </conditionalFormatting>
  <conditionalFormatting sqref="AU599">
    <cfRule type="cellIs" dxfId="0" priority="7465" operator="lessThan">
      <formula>20</formula>
    </cfRule>
    <cfRule type="cellIs" dxfId="1" priority="6696" operator="greaterThan">
      <formula>120</formula>
    </cfRule>
    <cfRule type="containsText" dxfId="2" priority="5927" operator="between" text="库存为">
      <formula>NOT(ISERROR(SEARCH("库存为",AU599)))</formula>
    </cfRule>
  </conditionalFormatting>
  <conditionalFormatting sqref="AU600">
    <cfRule type="cellIs" dxfId="0" priority="7464" operator="lessThan">
      <formula>20</formula>
    </cfRule>
    <cfRule type="cellIs" dxfId="1" priority="6695" operator="greaterThan">
      <formula>120</formula>
    </cfRule>
    <cfRule type="containsText" dxfId="2" priority="5926" operator="between" text="库存为">
      <formula>NOT(ISERROR(SEARCH("库存为",AU600)))</formula>
    </cfRule>
  </conditionalFormatting>
  <conditionalFormatting sqref="AU601">
    <cfRule type="cellIs" dxfId="0" priority="7463" operator="lessThan">
      <formula>20</formula>
    </cfRule>
    <cfRule type="cellIs" dxfId="1" priority="6694" operator="greaterThan">
      <formula>120</formula>
    </cfRule>
    <cfRule type="containsText" dxfId="2" priority="5925" operator="between" text="库存为">
      <formula>NOT(ISERROR(SEARCH("库存为",AU601)))</formula>
    </cfRule>
  </conditionalFormatting>
  <conditionalFormatting sqref="AU602">
    <cfRule type="cellIs" dxfId="0" priority="7462" operator="lessThan">
      <formula>20</formula>
    </cfRule>
    <cfRule type="cellIs" dxfId="1" priority="6693" operator="greaterThan">
      <formula>120</formula>
    </cfRule>
    <cfRule type="containsText" dxfId="2" priority="5924" operator="between" text="库存为">
      <formula>NOT(ISERROR(SEARCH("库存为",AU602)))</formula>
    </cfRule>
  </conditionalFormatting>
  <conditionalFormatting sqref="AU603">
    <cfRule type="cellIs" dxfId="0" priority="7461" operator="lessThan">
      <formula>20</formula>
    </cfRule>
    <cfRule type="cellIs" dxfId="1" priority="6692" operator="greaterThan">
      <formula>120</formula>
    </cfRule>
    <cfRule type="containsText" dxfId="2" priority="5923" operator="between" text="库存为">
      <formula>NOT(ISERROR(SEARCH("库存为",AU603)))</formula>
    </cfRule>
  </conditionalFormatting>
  <conditionalFormatting sqref="AU604">
    <cfRule type="cellIs" dxfId="0" priority="7460" operator="lessThan">
      <formula>20</formula>
    </cfRule>
    <cfRule type="cellIs" dxfId="1" priority="6691" operator="greaterThan">
      <formula>120</formula>
    </cfRule>
    <cfRule type="containsText" dxfId="2" priority="5922" operator="between" text="库存为">
      <formula>NOT(ISERROR(SEARCH("库存为",AU604)))</formula>
    </cfRule>
  </conditionalFormatting>
  <conditionalFormatting sqref="AU605">
    <cfRule type="cellIs" dxfId="0" priority="7459" operator="lessThan">
      <formula>20</formula>
    </cfRule>
    <cfRule type="cellIs" dxfId="1" priority="6690" operator="greaterThan">
      <formula>120</formula>
    </cfRule>
    <cfRule type="containsText" dxfId="2" priority="5921" operator="between" text="库存为">
      <formula>NOT(ISERROR(SEARCH("库存为",AU605)))</formula>
    </cfRule>
  </conditionalFormatting>
  <conditionalFormatting sqref="AU606">
    <cfRule type="cellIs" dxfId="0" priority="7458" operator="lessThan">
      <formula>20</formula>
    </cfRule>
    <cfRule type="cellIs" dxfId="1" priority="6689" operator="greaterThan">
      <formula>120</formula>
    </cfRule>
    <cfRule type="containsText" dxfId="2" priority="5920" operator="between" text="库存为">
      <formula>NOT(ISERROR(SEARCH("库存为",AU606)))</formula>
    </cfRule>
  </conditionalFormatting>
  <conditionalFormatting sqref="AU607">
    <cfRule type="cellIs" dxfId="0" priority="7457" operator="lessThan">
      <formula>20</formula>
    </cfRule>
    <cfRule type="cellIs" dxfId="1" priority="6688" operator="greaterThan">
      <formula>120</formula>
    </cfRule>
    <cfRule type="containsText" dxfId="2" priority="5919" operator="between" text="库存为">
      <formula>NOT(ISERROR(SEARCH("库存为",AU607)))</formula>
    </cfRule>
  </conditionalFormatting>
  <conditionalFormatting sqref="AU608">
    <cfRule type="cellIs" dxfId="0" priority="7456" operator="lessThan">
      <formula>20</formula>
    </cfRule>
    <cfRule type="cellIs" dxfId="1" priority="6687" operator="greaterThan">
      <formula>120</formula>
    </cfRule>
    <cfRule type="containsText" dxfId="2" priority="5918" operator="between" text="库存为">
      <formula>NOT(ISERROR(SEARCH("库存为",AU608)))</formula>
    </cfRule>
  </conditionalFormatting>
  <conditionalFormatting sqref="AU609">
    <cfRule type="cellIs" dxfId="0" priority="7455" operator="lessThan">
      <formula>20</formula>
    </cfRule>
    <cfRule type="cellIs" dxfId="1" priority="6686" operator="greaterThan">
      <formula>120</formula>
    </cfRule>
    <cfRule type="containsText" dxfId="2" priority="5917" operator="between" text="库存为">
      <formula>NOT(ISERROR(SEARCH("库存为",AU609)))</formula>
    </cfRule>
  </conditionalFormatting>
  <conditionalFormatting sqref="AU610">
    <cfRule type="cellIs" dxfId="0" priority="7454" operator="lessThan">
      <formula>20</formula>
    </cfRule>
    <cfRule type="cellIs" dxfId="1" priority="6685" operator="greaterThan">
      <formula>120</formula>
    </cfRule>
    <cfRule type="containsText" dxfId="2" priority="5916" operator="between" text="库存为">
      <formula>NOT(ISERROR(SEARCH("库存为",AU610)))</formula>
    </cfRule>
  </conditionalFormatting>
  <conditionalFormatting sqref="AU611">
    <cfRule type="cellIs" dxfId="0" priority="7453" operator="lessThan">
      <formula>20</formula>
    </cfRule>
    <cfRule type="cellIs" dxfId="1" priority="6684" operator="greaterThan">
      <formula>120</formula>
    </cfRule>
    <cfRule type="containsText" dxfId="2" priority="5915" operator="between" text="库存为">
      <formula>NOT(ISERROR(SEARCH("库存为",AU611)))</formula>
    </cfRule>
  </conditionalFormatting>
  <conditionalFormatting sqref="AU612">
    <cfRule type="cellIs" dxfId="0" priority="7452" operator="lessThan">
      <formula>20</formula>
    </cfRule>
    <cfRule type="cellIs" dxfId="1" priority="6683" operator="greaterThan">
      <formula>120</formula>
    </cfRule>
    <cfRule type="containsText" dxfId="2" priority="5914" operator="between" text="库存为">
      <formula>NOT(ISERROR(SEARCH("库存为",AU612)))</formula>
    </cfRule>
  </conditionalFormatting>
  <conditionalFormatting sqref="AU613">
    <cfRule type="cellIs" dxfId="0" priority="7451" operator="lessThan">
      <formula>20</formula>
    </cfRule>
    <cfRule type="cellIs" dxfId="1" priority="6682" operator="greaterThan">
      <formula>120</formula>
    </cfRule>
    <cfRule type="containsText" dxfId="2" priority="5913" operator="between" text="库存为">
      <formula>NOT(ISERROR(SEARCH("库存为",AU613)))</formula>
    </cfRule>
  </conditionalFormatting>
  <conditionalFormatting sqref="AU614">
    <cfRule type="cellIs" dxfId="0" priority="7450" operator="lessThan">
      <formula>20</formula>
    </cfRule>
    <cfRule type="cellIs" dxfId="1" priority="6681" operator="greaterThan">
      <formula>120</formula>
    </cfRule>
    <cfRule type="containsText" dxfId="2" priority="5912" operator="between" text="库存为">
      <formula>NOT(ISERROR(SEARCH("库存为",AU614)))</formula>
    </cfRule>
  </conditionalFormatting>
  <conditionalFormatting sqref="AU615">
    <cfRule type="cellIs" dxfId="0" priority="7449" operator="lessThan">
      <formula>20</formula>
    </cfRule>
    <cfRule type="cellIs" dxfId="1" priority="6680" operator="greaterThan">
      <formula>120</formula>
    </cfRule>
    <cfRule type="containsText" dxfId="2" priority="5911" operator="between" text="库存为">
      <formula>NOT(ISERROR(SEARCH("库存为",AU615)))</formula>
    </cfRule>
  </conditionalFormatting>
  <conditionalFormatting sqref="AU616">
    <cfRule type="cellIs" dxfId="0" priority="7448" operator="lessThan">
      <formula>20</formula>
    </cfRule>
    <cfRule type="cellIs" dxfId="1" priority="6679" operator="greaterThan">
      <formula>120</formula>
    </cfRule>
    <cfRule type="containsText" dxfId="2" priority="5910" operator="between" text="库存为">
      <formula>NOT(ISERROR(SEARCH("库存为",AU616)))</formula>
    </cfRule>
  </conditionalFormatting>
  <conditionalFormatting sqref="AU617">
    <cfRule type="cellIs" dxfId="0" priority="7447" operator="lessThan">
      <formula>20</formula>
    </cfRule>
    <cfRule type="cellIs" dxfId="1" priority="6678" operator="greaterThan">
      <formula>120</formula>
    </cfRule>
    <cfRule type="containsText" dxfId="2" priority="5909" operator="between" text="库存为">
      <formula>NOT(ISERROR(SEARCH("库存为",AU617)))</formula>
    </cfRule>
  </conditionalFormatting>
  <conditionalFormatting sqref="AU618">
    <cfRule type="cellIs" dxfId="0" priority="7446" operator="lessThan">
      <formula>20</formula>
    </cfRule>
    <cfRule type="cellIs" dxfId="1" priority="6677" operator="greaterThan">
      <formula>120</formula>
    </cfRule>
    <cfRule type="containsText" dxfId="2" priority="5908" operator="between" text="库存为">
      <formula>NOT(ISERROR(SEARCH("库存为",AU618)))</formula>
    </cfRule>
  </conditionalFormatting>
  <conditionalFormatting sqref="AU619">
    <cfRule type="cellIs" dxfId="0" priority="7445" operator="lessThan">
      <formula>20</formula>
    </cfRule>
    <cfRule type="cellIs" dxfId="1" priority="6676" operator="greaterThan">
      <formula>120</formula>
    </cfRule>
    <cfRule type="containsText" dxfId="2" priority="5907" operator="between" text="库存为">
      <formula>NOT(ISERROR(SEARCH("库存为",AU619)))</formula>
    </cfRule>
  </conditionalFormatting>
  <conditionalFormatting sqref="AU620">
    <cfRule type="cellIs" dxfId="0" priority="7444" operator="lessThan">
      <formula>20</formula>
    </cfRule>
    <cfRule type="cellIs" dxfId="1" priority="6675" operator="greaterThan">
      <formula>120</formula>
    </cfRule>
    <cfRule type="containsText" dxfId="2" priority="5906" operator="between" text="库存为">
      <formula>NOT(ISERROR(SEARCH("库存为",AU620)))</formula>
    </cfRule>
  </conditionalFormatting>
  <conditionalFormatting sqref="AU621">
    <cfRule type="cellIs" dxfId="0" priority="7443" operator="lessThan">
      <formula>20</formula>
    </cfRule>
    <cfRule type="cellIs" dxfId="1" priority="6674" operator="greaterThan">
      <formula>120</formula>
    </cfRule>
    <cfRule type="containsText" dxfId="2" priority="5905" operator="between" text="库存为">
      <formula>NOT(ISERROR(SEARCH("库存为",AU621)))</formula>
    </cfRule>
  </conditionalFormatting>
  <conditionalFormatting sqref="AU622">
    <cfRule type="cellIs" dxfId="0" priority="7442" operator="lessThan">
      <formula>20</formula>
    </cfRule>
    <cfRule type="cellIs" dxfId="1" priority="6673" operator="greaterThan">
      <formula>120</formula>
    </cfRule>
    <cfRule type="containsText" dxfId="2" priority="5904" operator="between" text="库存为">
      <formula>NOT(ISERROR(SEARCH("库存为",AU622)))</formula>
    </cfRule>
  </conditionalFormatting>
  <conditionalFormatting sqref="AU623">
    <cfRule type="cellIs" dxfId="0" priority="7441" operator="lessThan">
      <formula>20</formula>
    </cfRule>
    <cfRule type="cellIs" dxfId="1" priority="6672" operator="greaterThan">
      <formula>120</formula>
    </cfRule>
    <cfRule type="containsText" dxfId="2" priority="5903" operator="between" text="库存为">
      <formula>NOT(ISERROR(SEARCH("库存为",AU623)))</formula>
    </cfRule>
  </conditionalFormatting>
  <conditionalFormatting sqref="AU624">
    <cfRule type="cellIs" dxfId="0" priority="7440" operator="lessThan">
      <formula>20</formula>
    </cfRule>
    <cfRule type="cellIs" dxfId="1" priority="6671" operator="greaterThan">
      <formula>120</formula>
    </cfRule>
    <cfRule type="containsText" dxfId="2" priority="5902" operator="between" text="库存为">
      <formula>NOT(ISERROR(SEARCH("库存为",AU624)))</formula>
    </cfRule>
  </conditionalFormatting>
  <conditionalFormatting sqref="AU625">
    <cfRule type="cellIs" dxfId="0" priority="7439" operator="lessThan">
      <formula>20</formula>
    </cfRule>
    <cfRule type="cellIs" dxfId="1" priority="6670" operator="greaterThan">
      <formula>120</formula>
    </cfRule>
    <cfRule type="containsText" dxfId="2" priority="5901" operator="between" text="库存为">
      <formula>NOT(ISERROR(SEARCH("库存为",AU625)))</formula>
    </cfRule>
  </conditionalFormatting>
  <conditionalFormatting sqref="AU626">
    <cfRule type="cellIs" dxfId="0" priority="7438" operator="lessThan">
      <formula>20</formula>
    </cfRule>
    <cfRule type="cellIs" dxfId="1" priority="6669" operator="greaterThan">
      <formula>120</formula>
    </cfRule>
    <cfRule type="containsText" dxfId="2" priority="5900" operator="between" text="库存为">
      <formula>NOT(ISERROR(SEARCH("库存为",AU626)))</formula>
    </cfRule>
  </conditionalFormatting>
  <conditionalFormatting sqref="AU627">
    <cfRule type="cellIs" dxfId="0" priority="7437" operator="lessThan">
      <formula>20</formula>
    </cfRule>
    <cfRule type="cellIs" dxfId="1" priority="6668" operator="greaterThan">
      <formula>120</formula>
    </cfRule>
    <cfRule type="containsText" dxfId="2" priority="5899" operator="between" text="库存为">
      <formula>NOT(ISERROR(SEARCH("库存为",AU627)))</formula>
    </cfRule>
  </conditionalFormatting>
  <conditionalFormatting sqref="AU628">
    <cfRule type="cellIs" dxfId="0" priority="7436" operator="lessThan">
      <formula>20</formula>
    </cfRule>
    <cfRule type="cellIs" dxfId="1" priority="6667" operator="greaterThan">
      <formula>120</formula>
    </cfRule>
    <cfRule type="containsText" dxfId="2" priority="5898" operator="between" text="库存为">
      <formula>NOT(ISERROR(SEARCH("库存为",AU628)))</formula>
    </cfRule>
  </conditionalFormatting>
  <conditionalFormatting sqref="AU629">
    <cfRule type="cellIs" dxfId="0" priority="7435" operator="lessThan">
      <formula>20</formula>
    </cfRule>
    <cfRule type="cellIs" dxfId="1" priority="6666" operator="greaterThan">
      <formula>120</formula>
    </cfRule>
    <cfRule type="containsText" dxfId="2" priority="5897" operator="between" text="库存为">
      <formula>NOT(ISERROR(SEARCH("库存为",AU629)))</formula>
    </cfRule>
  </conditionalFormatting>
  <conditionalFormatting sqref="AU630">
    <cfRule type="cellIs" dxfId="0" priority="7434" operator="lessThan">
      <formula>20</formula>
    </cfRule>
    <cfRule type="cellIs" dxfId="1" priority="6665" operator="greaterThan">
      <formula>120</formula>
    </cfRule>
    <cfRule type="containsText" dxfId="2" priority="5896" operator="between" text="库存为">
      <formula>NOT(ISERROR(SEARCH("库存为",AU630)))</formula>
    </cfRule>
  </conditionalFormatting>
  <conditionalFormatting sqref="AU631">
    <cfRule type="cellIs" dxfId="0" priority="7433" operator="lessThan">
      <formula>20</formula>
    </cfRule>
    <cfRule type="cellIs" dxfId="1" priority="6664" operator="greaterThan">
      <formula>120</formula>
    </cfRule>
    <cfRule type="containsText" dxfId="2" priority="5895" operator="between" text="库存为">
      <formula>NOT(ISERROR(SEARCH("库存为",AU631)))</formula>
    </cfRule>
  </conditionalFormatting>
  <conditionalFormatting sqref="AU632">
    <cfRule type="cellIs" dxfId="0" priority="7432" operator="lessThan">
      <formula>20</formula>
    </cfRule>
    <cfRule type="cellIs" dxfId="1" priority="6663" operator="greaterThan">
      <formula>120</formula>
    </cfRule>
    <cfRule type="containsText" dxfId="2" priority="5894" operator="between" text="库存为">
      <formula>NOT(ISERROR(SEARCH("库存为",AU632)))</formula>
    </cfRule>
  </conditionalFormatting>
  <conditionalFormatting sqref="AU633">
    <cfRule type="cellIs" dxfId="0" priority="7431" operator="lessThan">
      <formula>20</formula>
    </cfRule>
    <cfRule type="cellIs" dxfId="1" priority="6662" operator="greaterThan">
      <formula>120</formula>
    </cfRule>
    <cfRule type="containsText" dxfId="2" priority="5893" operator="between" text="库存为">
      <formula>NOT(ISERROR(SEARCH("库存为",AU633)))</formula>
    </cfRule>
  </conditionalFormatting>
  <conditionalFormatting sqref="AU634">
    <cfRule type="cellIs" dxfId="0" priority="7430" operator="lessThan">
      <formula>20</formula>
    </cfRule>
    <cfRule type="cellIs" dxfId="1" priority="6661" operator="greaterThan">
      <formula>120</formula>
    </cfRule>
    <cfRule type="containsText" dxfId="2" priority="5892" operator="between" text="库存为">
      <formula>NOT(ISERROR(SEARCH("库存为",AU634)))</formula>
    </cfRule>
  </conditionalFormatting>
  <conditionalFormatting sqref="AU635">
    <cfRule type="cellIs" dxfId="0" priority="7429" operator="lessThan">
      <formula>20</formula>
    </cfRule>
    <cfRule type="cellIs" dxfId="1" priority="6660" operator="greaterThan">
      <formula>120</formula>
    </cfRule>
    <cfRule type="containsText" dxfId="2" priority="5891" operator="between" text="库存为">
      <formula>NOT(ISERROR(SEARCH("库存为",AU635)))</formula>
    </cfRule>
  </conditionalFormatting>
  <conditionalFormatting sqref="AU636">
    <cfRule type="cellIs" dxfId="0" priority="7428" operator="lessThan">
      <formula>20</formula>
    </cfRule>
    <cfRule type="cellIs" dxfId="1" priority="6659" operator="greaterThan">
      <formula>120</formula>
    </cfRule>
    <cfRule type="containsText" dxfId="2" priority="5890" operator="between" text="库存为">
      <formula>NOT(ISERROR(SEARCH("库存为",AU636)))</formula>
    </cfRule>
  </conditionalFormatting>
  <conditionalFormatting sqref="AU637">
    <cfRule type="cellIs" dxfId="0" priority="7427" operator="lessThan">
      <formula>20</formula>
    </cfRule>
    <cfRule type="cellIs" dxfId="1" priority="6658" operator="greaterThan">
      <formula>120</formula>
    </cfRule>
    <cfRule type="containsText" dxfId="2" priority="5889" operator="between" text="库存为">
      <formula>NOT(ISERROR(SEARCH("库存为",AU637)))</formula>
    </cfRule>
  </conditionalFormatting>
  <conditionalFormatting sqref="AU638">
    <cfRule type="cellIs" dxfId="0" priority="7426" operator="lessThan">
      <formula>20</formula>
    </cfRule>
    <cfRule type="cellIs" dxfId="1" priority="6657" operator="greaterThan">
      <formula>120</formula>
    </cfRule>
    <cfRule type="containsText" dxfId="2" priority="5888" operator="between" text="库存为">
      <formula>NOT(ISERROR(SEARCH("库存为",AU638)))</formula>
    </cfRule>
  </conditionalFormatting>
  <conditionalFormatting sqref="AU639">
    <cfRule type="cellIs" dxfId="0" priority="7425" operator="lessThan">
      <formula>20</formula>
    </cfRule>
    <cfRule type="cellIs" dxfId="1" priority="6656" operator="greaterThan">
      <formula>120</formula>
    </cfRule>
    <cfRule type="containsText" dxfId="2" priority="5887" operator="between" text="库存为">
      <formula>NOT(ISERROR(SEARCH("库存为",AU639)))</formula>
    </cfRule>
  </conditionalFormatting>
  <conditionalFormatting sqref="AU640">
    <cfRule type="cellIs" dxfId="0" priority="7424" operator="lessThan">
      <formula>20</formula>
    </cfRule>
    <cfRule type="cellIs" dxfId="1" priority="6655" operator="greaterThan">
      <formula>120</formula>
    </cfRule>
    <cfRule type="containsText" dxfId="2" priority="5886" operator="between" text="库存为">
      <formula>NOT(ISERROR(SEARCH("库存为",AU640)))</formula>
    </cfRule>
  </conditionalFormatting>
  <conditionalFormatting sqref="AU641">
    <cfRule type="cellIs" dxfId="0" priority="7423" operator="lessThan">
      <formula>20</formula>
    </cfRule>
    <cfRule type="cellIs" dxfId="1" priority="6654" operator="greaterThan">
      <formula>120</formula>
    </cfRule>
    <cfRule type="containsText" dxfId="2" priority="5885" operator="between" text="库存为">
      <formula>NOT(ISERROR(SEARCH("库存为",AU641)))</formula>
    </cfRule>
  </conditionalFormatting>
  <conditionalFormatting sqref="AU642">
    <cfRule type="cellIs" dxfId="0" priority="7422" operator="lessThan">
      <formula>20</formula>
    </cfRule>
    <cfRule type="cellIs" dxfId="1" priority="6653" operator="greaterThan">
      <formula>120</formula>
    </cfRule>
    <cfRule type="containsText" dxfId="2" priority="5884" operator="between" text="库存为">
      <formula>NOT(ISERROR(SEARCH("库存为",AU642)))</formula>
    </cfRule>
  </conditionalFormatting>
  <conditionalFormatting sqref="AU643">
    <cfRule type="cellIs" dxfId="0" priority="7421" operator="lessThan">
      <formula>20</formula>
    </cfRule>
    <cfRule type="cellIs" dxfId="1" priority="6652" operator="greaterThan">
      <formula>120</formula>
    </cfRule>
    <cfRule type="containsText" dxfId="2" priority="5883" operator="between" text="库存为">
      <formula>NOT(ISERROR(SEARCH("库存为",AU643)))</formula>
    </cfRule>
  </conditionalFormatting>
  <conditionalFormatting sqref="AU644">
    <cfRule type="cellIs" dxfId="0" priority="7420" operator="lessThan">
      <formula>20</formula>
    </cfRule>
    <cfRule type="cellIs" dxfId="1" priority="6651" operator="greaterThan">
      <formula>120</formula>
    </cfRule>
    <cfRule type="containsText" dxfId="2" priority="5882" operator="between" text="库存为">
      <formula>NOT(ISERROR(SEARCH("库存为",AU644)))</formula>
    </cfRule>
  </conditionalFormatting>
  <conditionalFormatting sqref="AU645">
    <cfRule type="cellIs" dxfId="0" priority="7419" operator="lessThan">
      <formula>20</formula>
    </cfRule>
    <cfRule type="cellIs" dxfId="1" priority="6650" operator="greaterThan">
      <formula>120</formula>
    </cfRule>
    <cfRule type="containsText" dxfId="2" priority="5881" operator="between" text="库存为">
      <formula>NOT(ISERROR(SEARCH("库存为",AU645)))</formula>
    </cfRule>
  </conditionalFormatting>
  <conditionalFormatting sqref="AU646">
    <cfRule type="cellIs" dxfId="0" priority="7418" operator="lessThan">
      <formula>20</formula>
    </cfRule>
    <cfRule type="cellIs" dxfId="1" priority="6649" operator="greaterThan">
      <formula>120</formula>
    </cfRule>
    <cfRule type="containsText" dxfId="2" priority="5880" operator="between" text="库存为">
      <formula>NOT(ISERROR(SEARCH("库存为",AU646)))</formula>
    </cfRule>
  </conditionalFormatting>
  <conditionalFormatting sqref="AU647">
    <cfRule type="cellIs" dxfId="0" priority="7417" operator="lessThan">
      <formula>20</formula>
    </cfRule>
    <cfRule type="cellIs" dxfId="1" priority="6648" operator="greaterThan">
      <formula>120</formula>
    </cfRule>
    <cfRule type="containsText" dxfId="2" priority="5879" operator="between" text="库存为">
      <formula>NOT(ISERROR(SEARCH("库存为",AU647)))</formula>
    </cfRule>
  </conditionalFormatting>
  <conditionalFormatting sqref="AU648">
    <cfRule type="cellIs" dxfId="0" priority="7416" operator="lessThan">
      <formula>20</formula>
    </cfRule>
    <cfRule type="cellIs" dxfId="1" priority="6647" operator="greaterThan">
      <formula>120</formula>
    </cfRule>
    <cfRule type="containsText" dxfId="2" priority="5878" operator="between" text="库存为">
      <formula>NOT(ISERROR(SEARCH("库存为",AU648)))</formula>
    </cfRule>
  </conditionalFormatting>
  <conditionalFormatting sqref="AU649">
    <cfRule type="cellIs" dxfId="0" priority="7415" operator="lessThan">
      <formula>20</formula>
    </cfRule>
    <cfRule type="cellIs" dxfId="1" priority="6646" operator="greaterThan">
      <formula>120</formula>
    </cfRule>
    <cfRule type="containsText" dxfId="2" priority="5877" operator="between" text="库存为">
      <formula>NOT(ISERROR(SEARCH("库存为",AU649)))</formula>
    </cfRule>
  </conditionalFormatting>
  <conditionalFormatting sqref="AU650">
    <cfRule type="cellIs" dxfId="0" priority="7414" operator="lessThan">
      <formula>20</formula>
    </cfRule>
    <cfRule type="cellIs" dxfId="1" priority="6645" operator="greaterThan">
      <formula>120</formula>
    </cfRule>
    <cfRule type="containsText" dxfId="2" priority="5876" operator="between" text="库存为">
      <formula>NOT(ISERROR(SEARCH("库存为",AU650)))</formula>
    </cfRule>
  </conditionalFormatting>
  <conditionalFormatting sqref="AU651">
    <cfRule type="cellIs" dxfId="0" priority="7413" operator="lessThan">
      <formula>20</formula>
    </cfRule>
    <cfRule type="cellIs" dxfId="1" priority="6644" operator="greaterThan">
      <formula>120</formula>
    </cfRule>
    <cfRule type="containsText" dxfId="2" priority="5875" operator="between" text="库存为">
      <formula>NOT(ISERROR(SEARCH("库存为",AU651)))</formula>
    </cfRule>
  </conditionalFormatting>
  <conditionalFormatting sqref="AU652">
    <cfRule type="cellIs" dxfId="0" priority="7412" operator="lessThan">
      <formula>20</formula>
    </cfRule>
    <cfRule type="cellIs" dxfId="1" priority="6643" operator="greaterThan">
      <formula>120</formula>
    </cfRule>
    <cfRule type="containsText" dxfId="2" priority="5874" operator="between" text="库存为">
      <formula>NOT(ISERROR(SEARCH("库存为",AU652)))</formula>
    </cfRule>
  </conditionalFormatting>
  <conditionalFormatting sqref="AU653">
    <cfRule type="cellIs" dxfId="0" priority="7411" operator="lessThan">
      <formula>20</formula>
    </cfRule>
    <cfRule type="cellIs" dxfId="1" priority="6642" operator="greaterThan">
      <formula>120</formula>
    </cfRule>
    <cfRule type="containsText" dxfId="2" priority="5873" operator="between" text="库存为">
      <formula>NOT(ISERROR(SEARCH("库存为",AU653)))</formula>
    </cfRule>
  </conditionalFormatting>
  <conditionalFormatting sqref="AU654">
    <cfRule type="cellIs" dxfId="0" priority="7410" operator="lessThan">
      <formula>20</formula>
    </cfRule>
    <cfRule type="cellIs" dxfId="1" priority="6641" operator="greaterThan">
      <formula>120</formula>
    </cfRule>
    <cfRule type="containsText" dxfId="2" priority="5872" operator="between" text="库存为">
      <formula>NOT(ISERROR(SEARCH("库存为",AU654)))</formula>
    </cfRule>
  </conditionalFormatting>
  <conditionalFormatting sqref="AU655">
    <cfRule type="cellIs" dxfId="0" priority="7409" operator="lessThan">
      <formula>20</formula>
    </cfRule>
    <cfRule type="cellIs" dxfId="1" priority="6640" operator="greaterThan">
      <formula>120</formula>
    </cfRule>
    <cfRule type="containsText" dxfId="2" priority="5871" operator="between" text="库存为">
      <formula>NOT(ISERROR(SEARCH("库存为",AU655)))</formula>
    </cfRule>
  </conditionalFormatting>
  <conditionalFormatting sqref="AU656">
    <cfRule type="cellIs" dxfId="0" priority="7408" operator="lessThan">
      <formula>20</formula>
    </cfRule>
    <cfRule type="cellIs" dxfId="1" priority="6639" operator="greaterThan">
      <formula>120</formula>
    </cfRule>
    <cfRule type="containsText" dxfId="2" priority="5870" operator="between" text="库存为">
      <formula>NOT(ISERROR(SEARCH("库存为",AU656)))</formula>
    </cfRule>
  </conditionalFormatting>
  <conditionalFormatting sqref="AU657">
    <cfRule type="cellIs" dxfId="0" priority="7407" operator="lessThan">
      <formula>20</formula>
    </cfRule>
    <cfRule type="cellIs" dxfId="1" priority="6638" operator="greaterThan">
      <formula>120</formula>
    </cfRule>
    <cfRule type="containsText" dxfId="2" priority="5869" operator="between" text="库存为">
      <formula>NOT(ISERROR(SEARCH("库存为",AU657)))</formula>
    </cfRule>
  </conditionalFormatting>
  <conditionalFormatting sqref="AU658">
    <cfRule type="cellIs" dxfId="0" priority="7406" operator="lessThan">
      <formula>20</formula>
    </cfRule>
    <cfRule type="cellIs" dxfId="1" priority="6637" operator="greaterThan">
      <formula>120</formula>
    </cfRule>
    <cfRule type="containsText" dxfId="2" priority="5868" operator="between" text="库存为">
      <formula>NOT(ISERROR(SEARCH("库存为",AU658)))</formula>
    </cfRule>
  </conditionalFormatting>
  <conditionalFormatting sqref="AU659">
    <cfRule type="cellIs" dxfId="0" priority="7405" operator="lessThan">
      <formula>20</formula>
    </cfRule>
    <cfRule type="cellIs" dxfId="1" priority="6636" operator="greaterThan">
      <formula>120</formula>
    </cfRule>
    <cfRule type="containsText" dxfId="2" priority="5867" operator="between" text="库存为">
      <formula>NOT(ISERROR(SEARCH("库存为",AU659)))</formula>
    </cfRule>
  </conditionalFormatting>
  <conditionalFormatting sqref="AU660">
    <cfRule type="cellIs" dxfId="0" priority="7404" operator="lessThan">
      <formula>20</formula>
    </cfRule>
    <cfRule type="cellIs" dxfId="1" priority="6635" operator="greaterThan">
      <formula>120</formula>
    </cfRule>
    <cfRule type="containsText" dxfId="2" priority="5866" operator="between" text="库存为">
      <formula>NOT(ISERROR(SEARCH("库存为",AU660)))</formula>
    </cfRule>
  </conditionalFormatting>
  <conditionalFormatting sqref="AU661">
    <cfRule type="cellIs" dxfId="0" priority="7403" operator="lessThan">
      <formula>20</formula>
    </cfRule>
    <cfRule type="cellIs" dxfId="1" priority="6634" operator="greaterThan">
      <formula>120</formula>
    </cfRule>
    <cfRule type="containsText" dxfId="2" priority="5865" operator="between" text="库存为">
      <formula>NOT(ISERROR(SEARCH("库存为",AU661)))</formula>
    </cfRule>
  </conditionalFormatting>
  <conditionalFormatting sqref="AU662">
    <cfRule type="cellIs" dxfId="0" priority="7402" operator="lessThan">
      <formula>20</formula>
    </cfRule>
    <cfRule type="cellIs" dxfId="1" priority="6633" operator="greaterThan">
      <formula>120</formula>
    </cfRule>
    <cfRule type="containsText" dxfId="2" priority="5864" operator="between" text="库存为">
      <formula>NOT(ISERROR(SEARCH("库存为",AU662)))</formula>
    </cfRule>
  </conditionalFormatting>
  <conditionalFormatting sqref="AU663">
    <cfRule type="cellIs" dxfId="0" priority="7401" operator="lessThan">
      <formula>20</formula>
    </cfRule>
    <cfRule type="cellIs" dxfId="1" priority="6632" operator="greaterThan">
      <formula>120</formula>
    </cfRule>
    <cfRule type="containsText" dxfId="2" priority="5863" operator="between" text="库存为">
      <formula>NOT(ISERROR(SEARCH("库存为",AU663)))</formula>
    </cfRule>
  </conditionalFormatting>
  <conditionalFormatting sqref="AU664">
    <cfRule type="cellIs" dxfId="0" priority="7400" operator="lessThan">
      <formula>20</formula>
    </cfRule>
    <cfRule type="cellIs" dxfId="1" priority="6631" operator="greaterThan">
      <formula>120</formula>
    </cfRule>
    <cfRule type="containsText" dxfId="2" priority="5862" operator="between" text="库存为">
      <formula>NOT(ISERROR(SEARCH("库存为",AU664)))</formula>
    </cfRule>
  </conditionalFormatting>
  <conditionalFormatting sqref="AU665">
    <cfRule type="cellIs" dxfId="0" priority="7399" operator="lessThan">
      <formula>20</formula>
    </cfRule>
    <cfRule type="cellIs" dxfId="1" priority="6630" operator="greaterThan">
      <formula>120</formula>
    </cfRule>
    <cfRule type="containsText" dxfId="2" priority="5861" operator="between" text="库存为">
      <formula>NOT(ISERROR(SEARCH("库存为",AU665)))</formula>
    </cfRule>
  </conditionalFormatting>
  <conditionalFormatting sqref="AU666">
    <cfRule type="cellIs" dxfId="0" priority="7398" operator="lessThan">
      <formula>20</formula>
    </cfRule>
    <cfRule type="cellIs" dxfId="1" priority="6629" operator="greaterThan">
      <formula>120</formula>
    </cfRule>
    <cfRule type="containsText" dxfId="2" priority="5860" operator="between" text="库存为">
      <formula>NOT(ISERROR(SEARCH("库存为",AU666)))</formula>
    </cfRule>
  </conditionalFormatting>
  <conditionalFormatting sqref="AU667">
    <cfRule type="cellIs" dxfId="0" priority="7397" operator="lessThan">
      <formula>20</formula>
    </cfRule>
    <cfRule type="cellIs" dxfId="1" priority="6628" operator="greaterThan">
      <formula>120</formula>
    </cfRule>
    <cfRule type="containsText" dxfId="2" priority="5859" operator="between" text="库存为">
      <formula>NOT(ISERROR(SEARCH("库存为",AU667)))</formula>
    </cfRule>
  </conditionalFormatting>
  <conditionalFormatting sqref="AU668">
    <cfRule type="cellIs" dxfId="0" priority="7396" operator="lessThan">
      <formula>20</formula>
    </cfRule>
    <cfRule type="cellIs" dxfId="1" priority="6627" operator="greaterThan">
      <formula>120</formula>
    </cfRule>
    <cfRule type="containsText" dxfId="2" priority="5858" operator="between" text="库存为">
      <formula>NOT(ISERROR(SEARCH("库存为",AU668)))</formula>
    </cfRule>
  </conditionalFormatting>
  <conditionalFormatting sqref="AU669">
    <cfRule type="cellIs" dxfId="0" priority="7395" operator="lessThan">
      <formula>20</formula>
    </cfRule>
    <cfRule type="cellIs" dxfId="1" priority="6626" operator="greaterThan">
      <formula>120</formula>
    </cfRule>
    <cfRule type="containsText" dxfId="2" priority="5857" operator="between" text="库存为">
      <formula>NOT(ISERROR(SEARCH("库存为",AU669)))</formula>
    </cfRule>
  </conditionalFormatting>
  <conditionalFormatting sqref="AU670">
    <cfRule type="cellIs" dxfId="0" priority="7394" operator="lessThan">
      <formula>20</formula>
    </cfRule>
    <cfRule type="cellIs" dxfId="1" priority="6625" operator="greaterThan">
      <formula>120</formula>
    </cfRule>
    <cfRule type="containsText" dxfId="2" priority="5856" operator="between" text="库存为">
      <formula>NOT(ISERROR(SEARCH("库存为",AU670)))</formula>
    </cfRule>
  </conditionalFormatting>
  <conditionalFormatting sqref="AU671">
    <cfRule type="cellIs" dxfId="0" priority="7393" operator="lessThan">
      <formula>20</formula>
    </cfRule>
    <cfRule type="cellIs" dxfId="1" priority="6624" operator="greaterThan">
      <formula>120</formula>
    </cfRule>
    <cfRule type="containsText" dxfId="2" priority="5855" operator="between" text="库存为">
      <formula>NOT(ISERROR(SEARCH("库存为",AU671)))</formula>
    </cfRule>
  </conditionalFormatting>
  <conditionalFormatting sqref="AU672">
    <cfRule type="cellIs" dxfId="0" priority="7392" operator="lessThan">
      <formula>20</formula>
    </cfRule>
    <cfRule type="cellIs" dxfId="1" priority="6623" operator="greaterThan">
      <formula>120</formula>
    </cfRule>
    <cfRule type="containsText" dxfId="2" priority="5854" operator="between" text="库存为">
      <formula>NOT(ISERROR(SEARCH("库存为",AU672)))</formula>
    </cfRule>
  </conditionalFormatting>
  <conditionalFormatting sqref="AU673">
    <cfRule type="cellIs" dxfId="0" priority="7391" operator="lessThan">
      <formula>20</formula>
    </cfRule>
    <cfRule type="cellIs" dxfId="1" priority="6622" operator="greaterThan">
      <formula>120</formula>
    </cfRule>
    <cfRule type="containsText" dxfId="2" priority="5853" operator="between" text="库存为">
      <formula>NOT(ISERROR(SEARCH("库存为",AU673)))</formula>
    </cfRule>
  </conditionalFormatting>
  <conditionalFormatting sqref="AU674">
    <cfRule type="cellIs" dxfId="0" priority="7390" operator="lessThan">
      <formula>20</formula>
    </cfRule>
    <cfRule type="cellIs" dxfId="1" priority="6621" operator="greaterThan">
      <formula>120</formula>
    </cfRule>
    <cfRule type="containsText" dxfId="2" priority="5852" operator="between" text="库存为">
      <formula>NOT(ISERROR(SEARCH("库存为",AU674)))</formula>
    </cfRule>
  </conditionalFormatting>
  <conditionalFormatting sqref="AU675">
    <cfRule type="cellIs" dxfId="0" priority="7389" operator="lessThan">
      <formula>20</formula>
    </cfRule>
    <cfRule type="cellIs" dxfId="1" priority="6620" operator="greaterThan">
      <formula>120</formula>
    </cfRule>
    <cfRule type="containsText" dxfId="2" priority="5851" operator="between" text="库存为">
      <formula>NOT(ISERROR(SEARCH("库存为",AU675)))</formula>
    </cfRule>
  </conditionalFormatting>
  <conditionalFormatting sqref="AU676">
    <cfRule type="cellIs" dxfId="0" priority="7388" operator="lessThan">
      <formula>20</formula>
    </cfRule>
    <cfRule type="cellIs" dxfId="1" priority="6619" operator="greaterThan">
      <formula>120</formula>
    </cfRule>
    <cfRule type="containsText" dxfId="2" priority="5850" operator="between" text="库存为">
      <formula>NOT(ISERROR(SEARCH("库存为",AU676)))</formula>
    </cfRule>
  </conditionalFormatting>
  <conditionalFormatting sqref="AU677">
    <cfRule type="cellIs" dxfId="0" priority="7387" operator="lessThan">
      <formula>20</formula>
    </cfRule>
    <cfRule type="cellIs" dxfId="1" priority="6618" operator="greaterThan">
      <formula>120</formula>
    </cfRule>
    <cfRule type="containsText" dxfId="2" priority="5849" operator="between" text="库存为">
      <formula>NOT(ISERROR(SEARCH("库存为",AU677)))</formula>
    </cfRule>
  </conditionalFormatting>
  <conditionalFormatting sqref="AU678">
    <cfRule type="cellIs" dxfId="0" priority="7386" operator="lessThan">
      <formula>20</formula>
    </cfRule>
    <cfRule type="cellIs" dxfId="1" priority="6617" operator="greaterThan">
      <formula>120</formula>
    </cfRule>
    <cfRule type="containsText" dxfId="2" priority="5848" operator="between" text="库存为">
      <formula>NOT(ISERROR(SEARCH("库存为",AU678)))</formula>
    </cfRule>
  </conditionalFormatting>
  <conditionalFormatting sqref="AU679">
    <cfRule type="cellIs" dxfId="0" priority="7385" operator="lessThan">
      <formula>20</formula>
    </cfRule>
    <cfRule type="cellIs" dxfId="1" priority="6616" operator="greaterThan">
      <formula>120</formula>
    </cfRule>
    <cfRule type="containsText" dxfId="2" priority="5847" operator="between" text="库存为">
      <formula>NOT(ISERROR(SEARCH("库存为",AU679)))</formula>
    </cfRule>
  </conditionalFormatting>
  <conditionalFormatting sqref="AU680">
    <cfRule type="cellIs" dxfId="0" priority="7384" operator="lessThan">
      <formula>20</formula>
    </cfRule>
    <cfRule type="cellIs" dxfId="1" priority="6615" operator="greaterThan">
      <formula>120</formula>
    </cfRule>
    <cfRule type="containsText" dxfId="2" priority="5846" operator="between" text="库存为">
      <formula>NOT(ISERROR(SEARCH("库存为",AU680)))</formula>
    </cfRule>
  </conditionalFormatting>
  <conditionalFormatting sqref="AU681">
    <cfRule type="cellIs" dxfId="0" priority="7383" operator="lessThan">
      <formula>20</formula>
    </cfRule>
    <cfRule type="cellIs" dxfId="1" priority="6614" operator="greaterThan">
      <formula>120</formula>
    </cfRule>
    <cfRule type="containsText" dxfId="2" priority="5845" operator="between" text="库存为">
      <formula>NOT(ISERROR(SEARCH("库存为",AU681)))</formula>
    </cfRule>
  </conditionalFormatting>
  <conditionalFormatting sqref="AU682">
    <cfRule type="cellIs" dxfId="0" priority="7382" operator="lessThan">
      <formula>20</formula>
    </cfRule>
    <cfRule type="cellIs" dxfId="1" priority="6613" operator="greaterThan">
      <formula>120</formula>
    </cfRule>
    <cfRule type="containsText" dxfId="2" priority="5844" operator="between" text="库存为">
      <formula>NOT(ISERROR(SEARCH("库存为",AU682)))</formula>
    </cfRule>
  </conditionalFormatting>
  <conditionalFormatting sqref="AU683">
    <cfRule type="cellIs" dxfId="0" priority="7381" operator="lessThan">
      <formula>20</formula>
    </cfRule>
    <cfRule type="cellIs" dxfId="1" priority="6612" operator="greaterThan">
      <formula>120</formula>
    </cfRule>
    <cfRule type="containsText" dxfId="2" priority="5843" operator="between" text="库存为">
      <formula>NOT(ISERROR(SEARCH("库存为",AU683)))</formula>
    </cfRule>
  </conditionalFormatting>
  <conditionalFormatting sqref="AU684">
    <cfRule type="cellIs" dxfId="0" priority="7380" operator="lessThan">
      <formula>20</formula>
    </cfRule>
    <cfRule type="cellIs" dxfId="1" priority="6611" operator="greaterThan">
      <formula>120</formula>
    </cfRule>
    <cfRule type="containsText" dxfId="2" priority="5842" operator="between" text="库存为">
      <formula>NOT(ISERROR(SEARCH("库存为",AU684)))</formula>
    </cfRule>
  </conditionalFormatting>
  <conditionalFormatting sqref="AU685">
    <cfRule type="cellIs" dxfId="0" priority="7379" operator="lessThan">
      <formula>20</formula>
    </cfRule>
    <cfRule type="cellIs" dxfId="1" priority="6610" operator="greaterThan">
      <formula>120</formula>
    </cfRule>
    <cfRule type="containsText" dxfId="2" priority="5841" operator="between" text="库存为">
      <formula>NOT(ISERROR(SEARCH("库存为",AU685)))</formula>
    </cfRule>
  </conditionalFormatting>
  <conditionalFormatting sqref="AU686">
    <cfRule type="cellIs" dxfId="0" priority="7378" operator="lessThan">
      <formula>20</formula>
    </cfRule>
    <cfRule type="cellIs" dxfId="1" priority="6609" operator="greaterThan">
      <formula>120</formula>
    </cfRule>
    <cfRule type="containsText" dxfId="2" priority="5840" operator="between" text="库存为">
      <formula>NOT(ISERROR(SEARCH("库存为",AU686)))</formula>
    </cfRule>
  </conditionalFormatting>
  <conditionalFormatting sqref="AU687">
    <cfRule type="cellIs" dxfId="0" priority="7377" operator="lessThan">
      <formula>20</formula>
    </cfRule>
    <cfRule type="cellIs" dxfId="1" priority="6608" operator="greaterThan">
      <formula>120</formula>
    </cfRule>
    <cfRule type="containsText" dxfId="2" priority="5839" operator="between" text="库存为">
      <formula>NOT(ISERROR(SEARCH("库存为",AU687)))</formula>
    </cfRule>
  </conditionalFormatting>
  <conditionalFormatting sqref="AU688">
    <cfRule type="cellIs" dxfId="0" priority="7376" operator="lessThan">
      <formula>20</formula>
    </cfRule>
    <cfRule type="cellIs" dxfId="1" priority="6607" operator="greaterThan">
      <formula>120</formula>
    </cfRule>
    <cfRule type="containsText" dxfId="2" priority="5838" operator="between" text="库存为">
      <formula>NOT(ISERROR(SEARCH("库存为",AU688)))</formula>
    </cfRule>
  </conditionalFormatting>
  <conditionalFormatting sqref="AU689">
    <cfRule type="cellIs" dxfId="0" priority="7375" operator="lessThan">
      <formula>20</formula>
    </cfRule>
    <cfRule type="cellIs" dxfId="1" priority="6606" operator="greaterThan">
      <formula>120</formula>
    </cfRule>
    <cfRule type="containsText" dxfId="2" priority="5837" operator="between" text="库存为">
      <formula>NOT(ISERROR(SEARCH("库存为",AU689)))</formula>
    </cfRule>
  </conditionalFormatting>
  <conditionalFormatting sqref="AU690">
    <cfRule type="cellIs" dxfId="0" priority="7374" operator="lessThan">
      <formula>20</formula>
    </cfRule>
    <cfRule type="cellIs" dxfId="1" priority="6605" operator="greaterThan">
      <formula>120</formula>
    </cfRule>
    <cfRule type="containsText" dxfId="2" priority="5836" operator="between" text="库存为">
      <formula>NOT(ISERROR(SEARCH("库存为",AU690)))</formula>
    </cfRule>
  </conditionalFormatting>
  <conditionalFormatting sqref="AU691">
    <cfRule type="cellIs" dxfId="0" priority="7373" operator="lessThan">
      <formula>20</formula>
    </cfRule>
    <cfRule type="cellIs" dxfId="1" priority="6604" operator="greaterThan">
      <formula>120</formula>
    </cfRule>
    <cfRule type="containsText" dxfId="2" priority="5835" operator="between" text="库存为">
      <formula>NOT(ISERROR(SEARCH("库存为",AU691)))</formula>
    </cfRule>
  </conditionalFormatting>
  <conditionalFormatting sqref="AU692">
    <cfRule type="cellIs" dxfId="0" priority="7372" operator="lessThan">
      <formula>20</formula>
    </cfRule>
    <cfRule type="cellIs" dxfId="1" priority="6603" operator="greaterThan">
      <formula>120</formula>
    </cfRule>
    <cfRule type="containsText" dxfId="2" priority="5834" operator="between" text="库存为">
      <formula>NOT(ISERROR(SEARCH("库存为",AU692)))</formula>
    </cfRule>
  </conditionalFormatting>
  <conditionalFormatting sqref="AU693">
    <cfRule type="cellIs" dxfId="0" priority="7371" operator="lessThan">
      <formula>20</formula>
    </cfRule>
    <cfRule type="cellIs" dxfId="1" priority="6602" operator="greaterThan">
      <formula>120</formula>
    </cfRule>
    <cfRule type="containsText" dxfId="2" priority="5833" operator="between" text="库存为">
      <formula>NOT(ISERROR(SEARCH("库存为",AU693)))</formula>
    </cfRule>
  </conditionalFormatting>
  <conditionalFormatting sqref="AU694">
    <cfRule type="cellIs" dxfId="0" priority="7370" operator="lessThan">
      <formula>20</formula>
    </cfRule>
    <cfRule type="cellIs" dxfId="1" priority="6601" operator="greaterThan">
      <formula>120</formula>
    </cfRule>
    <cfRule type="containsText" dxfId="2" priority="5832" operator="between" text="库存为">
      <formula>NOT(ISERROR(SEARCH("库存为",AU694)))</formula>
    </cfRule>
  </conditionalFormatting>
  <conditionalFormatting sqref="AU695">
    <cfRule type="cellIs" dxfId="0" priority="7369" operator="lessThan">
      <formula>20</formula>
    </cfRule>
    <cfRule type="cellIs" dxfId="1" priority="6600" operator="greaterThan">
      <formula>120</formula>
    </cfRule>
    <cfRule type="containsText" dxfId="2" priority="5831" operator="between" text="库存为">
      <formula>NOT(ISERROR(SEARCH("库存为",AU695)))</formula>
    </cfRule>
  </conditionalFormatting>
  <conditionalFormatting sqref="AU696">
    <cfRule type="cellIs" dxfId="0" priority="7368" operator="lessThan">
      <formula>20</formula>
    </cfRule>
    <cfRule type="cellIs" dxfId="1" priority="6599" operator="greaterThan">
      <formula>120</formula>
    </cfRule>
    <cfRule type="containsText" dxfId="2" priority="5830" operator="between" text="库存为">
      <formula>NOT(ISERROR(SEARCH("库存为",AU696)))</formula>
    </cfRule>
  </conditionalFormatting>
  <conditionalFormatting sqref="AU697">
    <cfRule type="cellIs" dxfId="0" priority="7367" operator="lessThan">
      <formula>20</formula>
    </cfRule>
    <cfRule type="cellIs" dxfId="1" priority="6598" operator="greaterThan">
      <formula>120</formula>
    </cfRule>
    <cfRule type="containsText" dxfId="2" priority="5829" operator="between" text="库存为">
      <formula>NOT(ISERROR(SEARCH("库存为",AU697)))</formula>
    </cfRule>
  </conditionalFormatting>
  <conditionalFormatting sqref="AU698">
    <cfRule type="cellIs" dxfId="0" priority="7366" operator="lessThan">
      <formula>20</formula>
    </cfRule>
    <cfRule type="cellIs" dxfId="1" priority="6597" operator="greaterThan">
      <formula>120</formula>
    </cfRule>
    <cfRule type="containsText" dxfId="2" priority="5828" operator="between" text="库存为">
      <formula>NOT(ISERROR(SEARCH("库存为",AU698)))</formula>
    </cfRule>
  </conditionalFormatting>
  <conditionalFormatting sqref="AU699">
    <cfRule type="cellIs" dxfId="0" priority="7365" operator="lessThan">
      <formula>20</formula>
    </cfRule>
    <cfRule type="cellIs" dxfId="1" priority="6596" operator="greaterThan">
      <formula>120</formula>
    </cfRule>
    <cfRule type="containsText" dxfId="2" priority="5827" operator="between" text="库存为">
      <formula>NOT(ISERROR(SEARCH("库存为",AU699)))</formula>
    </cfRule>
  </conditionalFormatting>
  <conditionalFormatting sqref="AU700">
    <cfRule type="cellIs" dxfId="0" priority="7364" operator="lessThan">
      <formula>20</formula>
    </cfRule>
    <cfRule type="cellIs" dxfId="1" priority="6595" operator="greaterThan">
      <formula>120</formula>
    </cfRule>
    <cfRule type="containsText" dxfId="2" priority="5826" operator="between" text="库存为">
      <formula>NOT(ISERROR(SEARCH("库存为",AU700)))</formula>
    </cfRule>
  </conditionalFormatting>
  <conditionalFormatting sqref="AU701">
    <cfRule type="cellIs" dxfId="0" priority="7363" operator="lessThan">
      <formula>20</formula>
    </cfRule>
    <cfRule type="cellIs" dxfId="1" priority="6594" operator="greaterThan">
      <formula>120</formula>
    </cfRule>
    <cfRule type="containsText" dxfId="2" priority="5825" operator="between" text="库存为">
      <formula>NOT(ISERROR(SEARCH("库存为",AU701)))</formula>
    </cfRule>
  </conditionalFormatting>
  <conditionalFormatting sqref="AU702">
    <cfRule type="cellIs" dxfId="0" priority="7362" operator="lessThan">
      <formula>20</formula>
    </cfRule>
    <cfRule type="cellIs" dxfId="1" priority="6593" operator="greaterThan">
      <formula>120</formula>
    </cfRule>
    <cfRule type="containsText" dxfId="2" priority="5824" operator="between" text="库存为">
      <formula>NOT(ISERROR(SEARCH("库存为",AU702)))</formula>
    </cfRule>
  </conditionalFormatting>
  <conditionalFormatting sqref="AU703">
    <cfRule type="cellIs" dxfId="0" priority="7361" operator="lessThan">
      <formula>20</formula>
    </cfRule>
    <cfRule type="cellIs" dxfId="1" priority="6592" operator="greaterThan">
      <formula>120</formula>
    </cfRule>
    <cfRule type="containsText" dxfId="2" priority="5823" operator="between" text="库存为">
      <formula>NOT(ISERROR(SEARCH("库存为",AU703)))</formula>
    </cfRule>
  </conditionalFormatting>
  <conditionalFormatting sqref="AU704">
    <cfRule type="cellIs" dxfId="0" priority="7360" operator="lessThan">
      <formula>20</formula>
    </cfRule>
    <cfRule type="cellIs" dxfId="1" priority="6591" operator="greaterThan">
      <formula>120</formula>
    </cfRule>
    <cfRule type="containsText" dxfId="2" priority="5822" operator="between" text="库存为">
      <formula>NOT(ISERROR(SEARCH("库存为",AU704)))</formula>
    </cfRule>
  </conditionalFormatting>
  <conditionalFormatting sqref="AU705">
    <cfRule type="cellIs" dxfId="0" priority="7359" operator="lessThan">
      <formula>20</formula>
    </cfRule>
    <cfRule type="cellIs" dxfId="1" priority="6590" operator="greaterThan">
      <formula>120</formula>
    </cfRule>
    <cfRule type="containsText" dxfId="2" priority="5821" operator="between" text="库存为">
      <formula>NOT(ISERROR(SEARCH("库存为",AU705)))</formula>
    </cfRule>
  </conditionalFormatting>
  <conditionalFormatting sqref="AU706">
    <cfRule type="cellIs" dxfId="0" priority="7358" operator="lessThan">
      <formula>20</formula>
    </cfRule>
    <cfRule type="cellIs" dxfId="1" priority="6589" operator="greaterThan">
      <formula>120</formula>
    </cfRule>
    <cfRule type="containsText" dxfId="2" priority="5820" operator="between" text="库存为">
      <formula>NOT(ISERROR(SEARCH("库存为",AU706)))</formula>
    </cfRule>
  </conditionalFormatting>
  <conditionalFormatting sqref="AU707">
    <cfRule type="cellIs" dxfId="0" priority="7357" operator="lessThan">
      <formula>20</formula>
    </cfRule>
    <cfRule type="cellIs" dxfId="1" priority="6588" operator="greaterThan">
      <formula>120</formula>
    </cfRule>
    <cfRule type="containsText" dxfId="2" priority="5819" operator="between" text="库存为">
      <formula>NOT(ISERROR(SEARCH("库存为",AU707)))</formula>
    </cfRule>
  </conditionalFormatting>
  <conditionalFormatting sqref="AU708">
    <cfRule type="cellIs" dxfId="0" priority="7356" operator="lessThan">
      <formula>20</formula>
    </cfRule>
    <cfRule type="cellIs" dxfId="1" priority="6587" operator="greaterThan">
      <formula>120</formula>
    </cfRule>
    <cfRule type="containsText" dxfId="2" priority="5818" operator="between" text="库存为">
      <formula>NOT(ISERROR(SEARCH("库存为",AU708)))</formula>
    </cfRule>
  </conditionalFormatting>
  <conditionalFormatting sqref="AU709">
    <cfRule type="cellIs" dxfId="0" priority="7355" operator="lessThan">
      <formula>20</formula>
    </cfRule>
    <cfRule type="cellIs" dxfId="1" priority="6586" operator="greaterThan">
      <formula>120</formula>
    </cfRule>
    <cfRule type="containsText" dxfId="2" priority="5817" operator="between" text="库存为">
      <formula>NOT(ISERROR(SEARCH("库存为",AU709)))</formula>
    </cfRule>
  </conditionalFormatting>
  <conditionalFormatting sqref="AU710">
    <cfRule type="cellIs" dxfId="0" priority="7354" operator="lessThan">
      <formula>20</formula>
    </cfRule>
    <cfRule type="cellIs" dxfId="1" priority="6585" operator="greaterThan">
      <formula>120</formula>
    </cfRule>
    <cfRule type="containsText" dxfId="2" priority="5816" operator="between" text="库存为">
      <formula>NOT(ISERROR(SEARCH("库存为",AU710)))</formula>
    </cfRule>
  </conditionalFormatting>
  <conditionalFormatting sqref="AU711">
    <cfRule type="cellIs" dxfId="0" priority="7353" operator="lessThan">
      <formula>20</formula>
    </cfRule>
    <cfRule type="cellIs" dxfId="1" priority="6584" operator="greaterThan">
      <formula>120</formula>
    </cfRule>
    <cfRule type="containsText" dxfId="2" priority="5815" operator="between" text="库存为">
      <formula>NOT(ISERROR(SEARCH("库存为",AU711)))</formula>
    </cfRule>
  </conditionalFormatting>
  <conditionalFormatting sqref="AU712">
    <cfRule type="cellIs" dxfId="0" priority="7352" operator="lessThan">
      <formula>20</formula>
    </cfRule>
    <cfRule type="cellIs" dxfId="1" priority="6583" operator="greaterThan">
      <formula>120</formula>
    </cfRule>
    <cfRule type="containsText" dxfId="2" priority="5814" operator="between" text="库存为">
      <formula>NOT(ISERROR(SEARCH("库存为",AU712)))</formula>
    </cfRule>
  </conditionalFormatting>
  <conditionalFormatting sqref="AU713">
    <cfRule type="cellIs" dxfId="0" priority="7351" operator="lessThan">
      <formula>20</formula>
    </cfRule>
    <cfRule type="cellIs" dxfId="1" priority="6582" operator="greaterThan">
      <formula>120</formula>
    </cfRule>
    <cfRule type="containsText" dxfId="2" priority="5813" operator="between" text="库存为">
      <formula>NOT(ISERROR(SEARCH("库存为",AU713)))</formula>
    </cfRule>
  </conditionalFormatting>
  <conditionalFormatting sqref="AU714">
    <cfRule type="cellIs" dxfId="0" priority="7350" operator="lessThan">
      <formula>20</formula>
    </cfRule>
    <cfRule type="cellIs" dxfId="1" priority="6581" operator="greaterThan">
      <formula>120</formula>
    </cfRule>
    <cfRule type="containsText" dxfId="2" priority="5812" operator="between" text="库存为">
      <formula>NOT(ISERROR(SEARCH("库存为",AU714)))</formula>
    </cfRule>
  </conditionalFormatting>
  <conditionalFormatting sqref="AU715">
    <cfRule type="cellIs" dxfId="0" priority="7349" operator="lessThan">
      <formula>20</formula>
    </cfRule>
    <cfRule type="cellIs" dxfId="1" priority="6580" operator="greaterThan">
      <formula>120</formula>
    </cfRule>
    <cfRule type="containsText" dxfId="2" priority="5811" operator="between" text="库存为">
      <formula>NOT(ISERROR(SEARCH("库存为",AU715)))</formula>
    </cfRule>
  </conditionalFormatting>
  <conditionalFormatting sqref="AU716">
    <cfRule type="cellIs" dxfId="0" priority="7348" operator="lessThan">
      <formula>20</formula>
    </cfRule>
    <cfRule type="cellIs" dxfId="1" priority="6579" operator="greaterThan">
      <formula>120</formula>
    </cfRule>
    <cfRule type="containsText" dxfId="2" priority="5810" operator="between" text="库存为">
      <formula>NOT(ISERROR(SEARCH("库存为",AU716)))</formula>
    </cfRule>
  </conditionalFormatting>
  <conditionalFormatting sqref="AU717">
    <cfRule type="cellIs" dxfId="0" priority="7347" operator="lessThan">
      <formula>20</formula>
    </cfRule>
    <cfRule type="cellIs" dxfId="1" priority="6578" operator="greaterThan">
      <formula>120</formula>
    </cfRule>
    <cfRule type="containsText" dxfId="2" priority="5809" operator="between" text="库存为">
      <formula>NOT(ISERROR(SEARCH("库存为",AU717)))</formula>
    </cfRule>
  </conditionalFormatting>
  <conditionalFormatting sqref="AU718">
    <cfRule type="cellIs" dxfId="0" priority="7346" operator="lessThan">
      <formula>20</formula>
    </cfRule>
    <cfRule type="cellIs" dxfId="1" priority="6577" operator="greaterThan">
      <formula>120</formula>
    </cfRule>
    <cfRule type="containsText" dxfId="2" priority="5808" operator="between" text="库存为">
      <formula>NOT(ISERROR(SEARCH("库存为",AU718)))</formula>
    </cfRule>
  </conditionalFormatting>
  <conditionalFormatting sqref="AU719">
    <cfRule type="cellIs" dxfId="0" priority="7345" operator="lessThan">
      <formula>20</formula>
    </cfRule>
    <cfRule type="cellIs" dxfId="1" priority="6576" operator="greaterThan">
      <formula>120</formula>
    </cfRule>
    <cfRule type="containsText" dxfId="2" priority="5807" operator="between" text="库存为">
      <formula>NOT(ISERROR(SEARCH("库存为",AU719)))</formula>
    </cfRule>
  </conditionalFormatting>
  <conditionalFormatting sqref="AU720">
    <cfRule type="cellIs" dxfId="0" priority="7344" operator="lessThan">
      <formula>20</formula>
    </cfRule>
    <cfRule type="cellIs" dxfId="1" priority="6575" operator="greaterThan">
      <formula>120</formula>
    </cfRule>
    <cfRule type="containsText" dxfId="2" priority="5806" operator="between" text="库存为">
      <formula>NOT(ISERROR(SEARCH("库存为",AU720)))</formula>
    </cfRule>
  </conditionalFormatting>
  <conditionalFormatting sqref="AU721">
    <cfRule type="cellIs" dxfId="0" priority="7343" operator="lessThan">
      <formula>20</formula>
    </cfRule>
    <cfRule type="cellIs" dxfId="1" priority="6574" operator="greaterThan">
      <formula>120</formula>
    </cfRule>
    <cfRule type="containsText" dxfId="2" priority="5805" operator="between" text="库存为">
      <formula>NOT(ISERROR(SEARCH("库存为",AU721)))</formula>
    </cfRule>
  </conditionalFormatting>
  <conditionalFormatting sqref="AU722">
    <cfRule type="cellIs" dxfId="0" priority="7342" operator="lessThan">
      <formula>20</formula>
    </cfRule>
    <cfRule type="cellIs" dxfId="1" priority="6573" operator="greaterThan">
      <formula>120</formula>
    </cfRule>
    <cfRule type="containsText" dxfId="2" priority="5804" operator="between" text="库存为">
      <formula>NOT(ISERROR(SEARCH("库存为",AU722)))</formula>
    </cfRule>
  </conditionalFormatting>
  <conditionalFormatting sqref="AU723">
    <cfRule type="cellIs" dxfId="0" priority="7341" operator="lessThan">
      <formula>20</formula>
    </cfRule>
    <cfRule type="cellIs" dxfId="1" priority="6572" operator="greaterThan">
      <formula>120</formula>
    </cfRule>
    <cfRule type="containsText" dxfId="2" priority="5803" operator="between" text="库存为">
      <formula>NOT(ISERROR(SEARCH("库存为",AU723)))</formula>
    </cfRule>
  </conditionalFormatting>
  <conditionalFormatting sqref="AU724">
    <cfRule type="cellIs" dxfId="0" priority="7340" operator="lessThan">
      <formula>20</formula>
    </cfRule>
    <cfRule type="cellIs" dxfId="1" priority="6571" operator="greaterThan">
      <formula>120</formula>
    </cfRule>
    <cfRule type="containsText" dxfId="2" priority="5802" operator="between" text="库存为">
      <formula>NOT(ISERROR(SEARCH("库存为",AU724)))</formula>
    </cfRule>
  </conditionalFormatting>
  <conditionalFormatting sqref="AU725">
    <cfRule type="cellIs" dxfId="0" priority="7339" operator="lessThan">
      <formula>20</formula>
    </cfRule>
    <cfRule type="cellIs" dxfId="1" priority="6570" operator="greaterThan">
      <formula>120</formula>
    </cfRule>
    <cfRule type="containsText" dxfId="2" priority="5801" operator="between" text="库存为">
      <formula>NOT(ISERROR(SEARCH("库存为",AU725)))</formula>
    </cfRule>
  </conditionalFormatting>
  <conditionalFormatting sqref="AU726">
    <cfRule type="cellIs" dxfId="0" priority="7338" operator="lessThan">
      <formula>20</formula>
    </cfRule>
    <cfRule type="cellIs" dxfId="1" priority="6569" operator="greaterThan">
      <formula>120</formula>
    </cfRule>
    <cfRule type="containsText" dxfId="2" priority="5800" operator="between" text="库存为">
      <formula>NOT(ISERROR(SEARCH("库存为",AU726)))</formula>
    </cfRule>
  </conditionalFormatting>
  <conditionalFormatting sqref="AU727">
    <cfRule type="cellIs" dxfId="0" priority="7337" operator="lessThan">
      <formula>20</formula>
    </cfRule>
    <cfRule type="cellIs" dxfId="1" priority="6568" operator="greaterThan">
      <formula>120</formula>
    </cfRule>
    <cfRule type="containsText" dxfId="2" priority="5799" operator="between" text="库存为">
      <formula>NOT(ISERROR(SEARCH("库存为",AU727)))</formula>
    </cfRule>
  </conditionalFormatting>
  <conditionalFormatting sqref="AU728">
    <cfRule type="cellIs" dxfId="0" priority="7336" operator="lessThan">
      <formula>20</formula>
    </cfRule>
    <cfRule type="cellIs" dxfId="1" priority="6567" operator="greaterThan">
      <formula>120</formula>
    </cfRule>
    <cfRule type="containsText" dxfId="2" priority="5798" operator="between" text="库存为">
      <formula>NOT(ISERROR(SEARCH("库存为",AU728)))</formula>
    </cfRule>
  </conditionalFormatting>
  <conditionalFormatting sqref="AU729">
    <cfRule type="cellIs" dxfId="0" priority="7335" operator="lessThan">
      <formula>20</formula>
    </cfRule>
    <cfRule type="cellIs" dxfId="1" priority="6566" operator="greaterThan">
      <formula>120</formula>
    </cfRule>
    <cfRule type="containsText" dxfId="2" priority="5797" operator="between" text="库存为">
      <formula>NOT(ISERROR(SEARCH("库存为",AU729)))</formula>
    </cfRule>
  </conditionalFormatting>
  <conditionalFormatting sqref="AU730">
    <cfRule type="cellIs" dxfId="0" priority="7334" operator="lessThan">
      <formula>20</formula>
    </cfRule>
    <cfRule type="cellIs" dxfId="1" priority="6565" operator="greaterThan">
      <formula>120</formula>
    </cfRule>
    <cfRule type="containsText" dxfId="2" priority="5796" operator="between" text="库存为">
      <formula>NOT(ISERROR(SEARCH("库存为",AU730)))</formula>
    </cfRule>
  </conditionalFormatting>
  <conditionalFormatting sqref="AU731">
    <cfRule type="cellIs" dxfId="0" priority="7333" operator="lessThan">
      <formula>20</formula>
    </cfRule>
    <cfRule type="cellIs" dxfId="1" priority="6564" operator="greaterThan">
      <formula>120</formula>
    </cfRule>
    <cfRule type="containsText" dxfId="2" priority="5795" operator="between" text="库存为">
      <formula>NOT(ISERROR(SEARCH("库存为",AU731)))</formula>
    </cfRule>
  </conditionalFormatting>
  <conditionalFormatting sqref="AU732">
    <cfRule type="cellIs" dxfId="0" priority="7332" operator="lessThan">
      <formula>20</formula>
    </cfRule>
    <cfRule type="cellIs" dxfId="1" priority="6563" operator="greaterThan">
      <formula>120</formula>
    </cfRule>
    <cfRule type="containsText" dxfId="2" priority="5794" operator="between" text="库存为">
      <formula>NOT(ISERROR(SEARCH("库存为",AU732)))</formula>
    </cfRule>
  </conditionalFormatting>
  <conditionalFormatting sqref="AU733">
    <cfRule type="cellIs" dxfId="0" priority="7331" operator="lessThan">
      <formula>20</formula>
    </cfRule>
    <cfRule type="cellIs" dxfId="1" priority="6562" operator="greaterThan">
      <formula>120</formula>
    </cfRule>
    <cfRule type="containsText" dxfId="2" priority="5793" operator="between" text="库存为">
      <formula>NOT(ISERROR(SEARCH("库存为",AU733)))</formula>
    </cfRule>
  </conditionalFormatting>
  <conditionalFormatting sqref="AU734">
    <cfRule type="cellIs" dxfId="0" priority="7330" operator="lessThan">
      <formula>20</formula>
    </cfRule>
    <cfRule type="cellIs" dxfId="1" priority="6561" operator="greaterThan">
      <formula>120</formula>
    </cfRule>
    <cfRule type="containsText" dxfId="2" priority="5792" operator="between" text="库存为">
      <formula>NOT(ISERROR(SEARCH("库存为",AU734)))</formula>
    </cfRule>
  </conditionalFormatting>
  <conditionalFormatting sqref="AU735">
    <cfRule type="cellIs" dxfId="0" priority="7329" operator="lessThan">
      <formula>20</formula>
    </cfRule>
    <cfRule type="cellIs" dxfId="1" priority="6560" operator="greaterThan">
      <formula>120</formula>
    </cfRule>
    <cfRule type="containsText" dxfId="2" priority="5791" operator="between" text="库存为">
      <formula>NOT(ISERROR(SEARCH("库存为",AU735)))</formula>
    </cfRule>
  </conditionalFormatting>
  <conditionalFormatting sqref="AU736">
    <cfRule type="cellIs" dxfId="0" priority="7328" operator="lessThan">
      <formula>20</formula>
    </cfRule>
    <cfRule type="cellIs" dxfId="1" priority="6559" operator="greaterThan">
      <formula>120</formula>
    </cfRule>
    <cfRule type="containsText" dxfId="2" priority="5790" operator="between" text="库存为">
      <formula>NOT(ISERROR(SEARCH("库存为",AU736)))</formula>
    </cfRule>
  </conditionalFormatting>
  <conditionalFormatting sqref="AU737">
    <cfRule type="cellIs" dxfId="0" priority="7327" operator="lessThan">
      <formula>20</formula>
    </cfRule>
    <cfRule type="cellIs" dxfId="1" priority="6558" operator="greaterThan">
      <formula>120</formula>
    </cfRule>
    <cfRule type="containsText" dxfId="2" priority="5789" operator="between" text="库存为">
      <formula>NOT(ISERROR(SEARCH("库存为",AU737)))</formula>
    </cfRule>
  </conditionalFormatting>
  <conditionalFormatting sqref="AU738">
    <cfRule type="cellIs" dxfId="0" priority="7326" operator="lessThan">
      <formula>20</formula>
    </cfRule>
    <cfRule type="cellIs" dxfId="1" priority="6557" operator="greaterThan">
      <formula>120</formula>
    </cfRule>
    <cfRule type="containsText" dxfId="2" priority="5788" operator="between" text="库存为">
      <formula>NOT(ISERROR(SEARCH("库存为",AU738)))</formula>
    </cfRule>
  </conditionalFormatting>
  <conditionalFormatting sqref="AU739">
    <cfRule type="cellIs" dxfId="0" priority="7325" operator="lessThan">
      <formula>20</formula>
    </cfRule>
    <cfRule type="cellIs" dxfId="1" priority="6556" operator="greaterThan">
      <formula>120</formula>
    </cfRule>
    <cfRule type="containsText" dxfId="2" priority="5787" operator="between" text="库存为">
      <formula>NOT(ISERROR(SEARCH("库存为",AU739)))</formula>
    </cfRule>
  </conditionalFormatting>
  <conditionalFormatting sqref="AU740">
    <cfRule type="cellIs" dxfId="0" priority="7324" operator="lessThan">
      <formula>20</formula>
    </cfRule>
    <cfRule type="cellIs" dxfId="1" priority="6555" operator="greaterThan">
      <formula>120</formula>
    </cfRule>
    <cfRule type="containsText" dxfId="2" priority="5786" operator="between" text="库存为">
      <formula>NOT(ISERROR(SEARCH("库存为",AU740)))</formula>
    </cfRule>
  </conditionalFormatting>
  <conditionalFormatting sqref="AU741">
    <cfRule type="cellIs" dxfId="0" priority="7323" operator="lessThan">
      <formula>20</formula>
    </cfRule>
    <cfRule type="cellIs" dxfId="1" priority="6554" operator="greaterThan">
      <formula>120</formula>
    </cfRule>
    <cfRule type="containsText" dxfId="2" priority="5785" operator="between" text="库存为">
      <formula>NOT(ISERROR(SEARCH("库存为",AU741)))</formula>
    </cfRule>
  </conditionalFormatting>
  <conditionalFormatting sqref="AU742">
    <cfRule type="cellIs" dxfId="0" priority="7322" operator="lessThan">
      <formula>20</formula>
    </cfRule>
    <cfRule type="cellIs" dxfId="1" priority="6553" operator="greaterThan">
      <formula>120</formula>
    </cfRule>
    <cfRule type="containsText" dxfId="2" priority="5784" operator="between" text="库存为">
      <formula>NOT(ISERROR(SEARCH("库存为",AU742)))</formula>
    </cfRule>
  </conditionalFormatting>
  <conditionalFormatting sqref="AU743">
    <cfRule type="cellIs" dxfId="0" priority="7321" operator="lessThan">
      <formula>20</formula>
    </cfRule>
    <cfRule type="cellIs" dxfId="1" priority="6552" operator="greaterThan">
      <formula>120</formula>
    </cfRule>
    <cfRule type="containsText" dxfId="2" priority="5783" operator="between" text="库存为">
      <formula>NOT(ISERROR(SEARCH("库存为",AU743)))</formula>
    </cfRule>
  </conditionalFormatting>
  <conditionalFormatting sqref="AU744">
    <cfRule type="cellIs" dxfId="0" priority="7320" operator="lessThan">
      <formula>20</formula>
    </cfRule>
    <cfRule type="cellIs" dxfId="1" priority="6551" operator="greaterThan">
      <formula>120</formula>
    </cfRule>
    <cfRule type="containsText" dxfId="2" priority="5782" operator="between" text="库存为">
      <formula>NOT(ISERROR(SEARCH("库存为",AU744)))</formula>
    </cfRule>
  </conditionalFormatting>
  <conditionalFormatting sqref="AU745">
    <cfRule type="cellIs" dxfId="0" priority="7319" operator="lessThan">
      <formula>20</formula>
    </cfRule>
    <cfRule type="cellIs" dxfId="1" priority="6550" operator="greaterThan">
      <formula>120</formula>
    </cfRule>
    <cfRule type="containsText" dxfId="2" priority="5781" operator="between" text="库存为">
      <formula>NOT(ISERROR(SEARCH("库存为",AU745)))</formula>
    </cfRule>
  </conditionalFormatting>
  <conditionalFormatting sqref="AU746">
    <cfRule type="cellIs" dxfId="0" priority="7318" operator="lessThan">
      <formula>20</formula>
    </cfRule>
    <cfRule type="cellIs" dxfId="1" priority="6549" operator="greaterThan">
      <formula>120</formula>
    </cfRule>
    <cfRule type="containsText" dxfId="2" priority="5780" operator="between" text="库存为">
      <formula>NOT(ISERROR(SEARCH("库存为",AU746)))</formula>
    </cfRule>
  </conditionalFormatting>
  <conditionalFormatting sqref="AU747">
    <cfRule type="cellIs" dxfId="0" priority="7317" operator="lessThan">
      <formula>20</formula>
    </cfRule>
    <cfRule type="cellIs" dxfId="1" priority="6548" operator="greaterThan">
      <formula>120</formula>
    </cfRule>
    <cfRule type="containsText" dxfId="2" priority="5779" operator="between" text="库存为">
      <formula>NOT(ISERROR(SEARCH("库存为",AU747)))</formula>
    </cfRule>
  </conditionalFormatting>
  <conditionalFormatting sqref="AU748">
    <cfRule type="cellIs" dxfId="0" priority="7316" operator="lessThan">
      <formula>20</formula>
    </cfRule>
    <cfRule type="cellIs" dxfId="1" priority="6547" operator="greaterThan">
      <formula>120</formula>
    </cfRule>
    <cfRule type="containsText" dxfId="2" priority="5778" operator="between" text="库存为">
      <formula>NOT(ISERROR(SEARCH("库存为",AU748)))</formula>
    </cfRule>
  </conditionalFormatting>
  <conditionalFormatting sqref="AU749">
    <cfRule type="cellIs" dxfId="0" priority="7315" operator="lessThan">
      <formula>20</formula>
    </cfRule>
    <cfRule type="cellIs" dxfId="1" priority="6546" operator="greaterThan">
      <formula>120</formula>
    </cfRule>
    <cfRule type="containsText" dxfId="2" priority="5777" operator="between" text="库存为">
      <formula>NOT(ISERROR(SEARCH("库存为",AU749)))</formula>
    </cfRule>
  </conditionalFormatting>
  <conditionalFormatting sqref="AU750">
    <cfRule type="cellIs" dxfId="0" priority="7314" operator="lessThan">
      <formula>20</formula>
    </cfRule>
    <cfRule type="cellIs" dxfId="1" priority="6545" operator="greaterThan">
      <formula>120</formula>
    </cfRule>
    <cfRule type="containsText" dxfId="2" priority="5776" operator="between" text="库存为">
      <formula>NOT(ISERROR(SEARCH("库存为",AU750)))</formula>
    </cfRule>
  </conditionalFormatting>
  <conditionalFormatting sqref="AU751">
    <cfRule type="cellIs" dxfId="0" priority="7313" operator="lessThan">
      <formula>20</formula>
    </cfRule>
    <cfRule type="cellIs" dxfId="1" priority="6544" operator="greaterThan">
      <formula>120</formula>
    </cfRule>
    <cfRule type="containsText" dxfId="2" priority="5775" operator="between" text="库存为">
      <formula>NOT(ISERROR(SEARCH("库存为",AU751)))</formula>
    </cfRule>
  </conditionalFormatting>
  <conditionalFormatting sqref="AU752">
    <cfRule type="cellIs" dxfId="0" priority="7312" operator="lessThan">
      <formula>20</formula>
    </cfRule>
    <cfRule type="cellIs" dxfId="1" priority="6543" operator="greaterThan">
      <formula>120</formula>
    </cfRule>
    <cfRule type="containsText" dxfId="2" priority="5774" operator="between" text="库存为">
      <formula>NOT(ISERROR(SEARCH("库存为",AU752)))</formula>
    </cfRule>
  </conditionalFormatting>
  <conditionalFormatting sqref="AU753">
    <cfRule type="cellIs" dxfId="0" priority="7311" operator="lessThan">
      <formula>20</formula>
    </cfRule>
    <cfRule type="cellIs" dxfId="1" priority="6542" operator="greaterThan">
      <formula>120</formula>
    </cfRule>
    <cfRule type="containsText" dxfId="2" priority="5773" operator="between" text="库存为">
      <formula>NOT(ISERROR(SEARCH("库存为",AU753)))</formula>
    </cfRule>
  </conditionalFormatting>
  <conditionalFormatting sqref="AU754">
    <cfRule type="cellIs" dxfId="0" priority="7310" operator="lessThan">
      <formula>20</formula>
    </cfRule>
    <cfRule type="cellIs" dxfId="1" priority="6541" operator="greaterThan">
      <formula>120</formula>
    </cfRule>
    <cfRule type="containsText" dxfId="2" priority="5772" operator="between" text="库存为">
      <formula>NOT(ISERROR(SEARCH("库存为",AU754)))</formula>
    </cfRule>
  </conditionalFormatting>
  <conditionalFormatting sqref="AU755">
    <cfRule type="cellIs" dxfId="0" priority="7309" operator="lessThan">
      <formula>20</formula>
    </cfRule>
    <cfRule type="cellIs" dxfId="1" priority="6540" operator="greaterThan">
      <formula>120</formula>
    </cfRule>
    <cfRule type="containsText" dxfId="2" priority="5771" operator="between" text="库存为">
      <formula>NOT(ISERROR(SEARCH("库存为",AU755)))</formula>
    </cfRule>
  </conditionalFormatting>
  <conditionalFormatting sqref="AU756">
    <cfRule type="cellIs" dxfId="0" priority="7308" operator="lessThan">
      <formula>20</formula>
    </cfRule>
    <cfRule type="cellIs" dxfId="1" priority="6539" operator="greaterThan">
      <formula>120</formula>
    </cfRule>
    <cfRule type="containsText" dxfId="2" priority="5770" operator="between" text="库存为">
      <formula>NOT(ISERROR(SEARCH("库存为",AU756)))</formula>
    </cfRule>
  </conditionalFormatting>
  <conditionalFormatting sqref="AU757">
    <cfRule type="cellIs" dxfId="0" priority="7307" operator="lessThan">
      <formula>20</formula>
    </cfRule>
    <cfRule type="cellIs" dxfId="1" priority="6538" operator="greaterThan">
      <formula>120</formula>
    </cfRule>
    <cfRule type="containsText" dxfId="2" priority="5769" operator="between" text="库存为">
      <formula>NOT(ISERROR(SEARCH("库存为",AU757)))</formula>
    </cfRule>
  </conditionalFormatting>
  <conditionalFormatting sqref="AU758">
    <cfRule type="cellIs" dxfId="0" priority="7306" operator="lessThan">
      <formula>20</formula>
    </cfRule>
    <cfRule type="cellIs" dxfId="1" priority="6537" operator="greaterThan">
      <formula>120</formula>
    </cfRule>
    <cfRule type="containsText" dxfId="2" priority="5768" operator="between" text="库存为">
      <formula>NOT(ISERROR(SEARCH("库存为",AU758)))</formula>
    </cfRule>
  </conditionalFormatting>
  <conditionalFormatting sqref="AU759">
    <cfRule type="cellIs" dxfId="0" priority="7305" operator="lessThan">
      <formula>20</formula>
    </cfRule>
    <cfRule type="cellIs" dxfId="1" priority="6536" operator="greaterThan">
      <formula>120</formula>
    </cfRule>
    <cfRule type="containsText" dxfId="2" priority="5767" operator="between" text="库存为">
      <formula>NOT(ISERROR(SEARCH("库存为",AU759)))</formula>
    </cfRule>
  </conditionalFormatting>
  <conditionalFormatting sqref="AU760">
    <cfRule type="cellIs" dxfId="0" priority="7304" operator="lessThan">
      <formula>20</formula>
    </cfRule>
    <cfRule type="cellIs" dxfId="1" priority="6535" operator="greaterThan">
      <formula>120</formula>
    </cfRule>
    <cfRule type="containsText" dxfId="2" priority="5766" operator="between" text="库存为">
      <formula>NOT(ISERROR(SEARCH("库存为",AU760)))</formula>
    </cfRule>
  </conditionalFormatting>
  <conditionalFormatting sqref="AU761">
    <cfRule type="cellIs" dxfId="0" priority="7303" operator="lessThan">
      <formula>20</formula>
    </cfRule>
    <cfRule type="cellIs" dxfId="1" priority="6534" operator="greaterThan">
      <formula>120</formula>
    </cfRule>
    <cfRule type="containsText" dxfId="2" priority="5765" operator="between" text="库存为">
      <formula>NOT(ISERROR(SEARCH("库存为",AU761)))</formula>
    </cfRule>
  </conditionalFormatting>
  <conditionalFormatting sqref="AU762">
    <cfRule type="cellIs" dxfId="0" priority="7302" operator="lessThan">
      <formula>20</formula>
    </cfRule>
    <cfRule type="cellIs" dxfId="1" priority="6533" operator="greaterThan">
      <formula>120</formula>
    </cfRule>
    <cfRule type="containsText" dxfId="2" priority="5764" operator="between" text="库存为">
      <formula>NOT(ISERROR(SEARCH("库存为",AU762)))</formula>
    </cfRule>
  </conditionalFormatting>
  <conditionalFormatting sqref="AU763">
    <cfRule type="cellIs" dxfId="0" priority="7301" operator="lessThan">
      <formula>20</formula>
    </cfRule>
    <cfRule type="cellIs" dxfId="1" priority="6532" operator="greaterThan">
      <formula>120</formula>
    </cfRule>
    <cfRule type="containsText" dxfId="2" priority="5763" operator="between" text="库存为">
      <formula>NOT(ISERROR(SEARCH("库存为",AU763)))</formula>
    </cfRule>
  </conditionalFormatting>
  <conditionalFormatting sqref="AU764">
    <cfRule type="cellIs" dxfId="0" priority="7300" operator="lessThan">
      <formula>20</formula>
    </cfRule>
    <cfRule type="cellIs" dxfId="1" priority="6531" operator="greaterThan">
      <formula>120</formula>
    </cfRule>
    <cfRule type="containsText" dxfId="2" priority="5762" operator="between" text="库存为">
      <formula>NOT(ISERROR(SEARCH("库存为",AU764)))</formula>
    </cfRule>
  </conditionalFormatting>
  <conditionalFormatting sqref="AU765">
    <cfRule type="cellIs" dxfId="0" priority="7299" operator="lessThan">
      <formula>20</formula>
    </cfRule>
    <cfRule type="cellIs" dxfId="1" priority="6530" operator="greaterThan">
      <formula>120</formula>
    </cfRule>
    <cfRule type="containsText" dxfId="2" priority="5761" operator="between" text="库存为">
      <formula>NOT(ISERROR(SEARCH("库存为",AU765)))</formula>
    </cfRule>
  </conditionalFormatting>
  <conditionalFormatting sqref="AU766">
    <cfRule type="cellIs" dxfId="0" priority="7298" operator="lessThan">
      <formula>20</formula>
    </cfRule>
    <cfRule type="cellIs" dxfId="1" priority="6529" operator="greaterThan">
      <formula>120</formula>
    </cfRule>
    <cfRule type="containsText" dxfId="2" priority="5760" operator="between" text="库存为">
      <formula>NOT(ISERROR(SEARCH("库存为",AU766)))</formula>
    </cfRule>
  </conditionalFormatting>
  <conditionalFormatting sqref="AU767">
    <cfRule type="cellIs" dxfId="0" priority="7297" operator="lessThan">
      <formula>20</formula>
    </cfRule>
    <cfRule type="cellIs" dxfId="1" priority="6528" operator="greaterThan">
      <formula>120</formula>
    </cfRule>
    <cfRule type="containsText" dxfId="2" priority="5759" operator="between" text="库存为">
      <formula>NOT(ISERROR(SEARCH("库存为",AU767)))</formula>
    </cfRule>
  </conditionalFormatting>
  <conditionalFormatting sqref="AU768">
    <cfRule type="cellIs" dxfId="0" priority="7296" operator="lessThan">
      <formula>20</formula>
    </cfRule>
    <cfRule type="cellIs" dxfId="1" priority="6527" operator="greaterThan">
      <formula>120</formula>
    </cfRule>
    <cfRule type="containsText" dxfId="2" priority="5758" operator="between" text="库存为">
      <formula>NOT(ISERROR(SEARCH("库存为",AU768)))</formula>
    </cfRule>
  </conditionalFormatting>
  <conditionalFormatting sqref="AU769">
    <cfRule type="cellIs" dxfId="0" priority="7295" operator="lessThan">
      <formula>20</formula>
    </cfRule>
    <cfRule type="cellIs" dxfId="1" priority="6526" operator="greaterThan">
      <formula>120</formula>
    </cfRule>
    <cfRule type="containsText" dxfId="2" priority="5757" operator="between" text="库存为">
      <formula>NOT(ISERROR(SEARCH("库存为",AU769)))</formula>
    </cfRule>
  </conditionalFormatting>
  <conditionalFormatting sqref="AU770">
    <cfRule type="cellIs" dxfId="0" priority="7294" operator="lessThan">
      <formula>20</formula>
    </cfRule>
    <cfRule type="cellIs" dxfId="1" priority="6525" operator="greaterThan">
      <formula>120</formula>
    </cfRule>
    <cfRule type="containsText" dxfId="2" priority="5756" operator="between" text="库存为">
      <formula>NOT(ISERROR(SEARCH("库存为",AU770)))</formula>
    </cfRule>
  </conditionalFormatting>
  <conditionalFormatting sqref="AU771">
    <cfRule type="cellIs" dxfId="0" priority="7293" operator="lessThan">
      <formula>20</formula>
    </cfRule>
    <cfRule type="cellIs" dxfId="1" priority="6524" operator="greaterThan">
      <formula>120</formula>
    </cfRule>
    <cfRule type="containsText" dxfId="2" priority="5755" operator="between" text="库存为">
      <formula>NOT(ISERROR(SEARCH("库存为",AU771)))</formula>
    </cfRule>
  </conditionalFormatting>
  <conditionalFormatting sqref="AU772">
    <cfRule type="cellIs" dxfId="0" priority="7292" operator="lessThan">
      <formula>20</formula>
    </cfRule>
    <cfRule type="cellIs" dxfId="1" priority="6523" operator="greaterThan">
      <formula>120</formula>
    </cfRule>
    <cfRule type="containsText" dxfId="2" priority="5754" operator="between" text="库存为">
      <formula>NOT(ISERROR(SEARCH("库存为",AU772)))</formula>
    </cfRule>
  </conditionalFormatting>
  <conditionalFormatting sqref="AU773">
    <cfRule type="cellIs" dxfId="0" priority="7291" operator="lessThan">
      <formula>20</formula>
    </cfRule>
    <cfRule type="cellIs" dxfId="1" priority="6522" operator="greaterThan">
      <formula>120</formula>
    </cfRule>
    <cfRule type="containsText" dxfId="2" priority="5753" operator="between" text="库存为">
      <formula>NOT(ISERROR(SEARCH("库存为",AU773)))</formula>
    </cfRule>
  </conditionalFormatting>
  <conditionalFormatting sqref="AU774">
    <cfRule type="cellIs" dxfId="0" priority="7290" operator="lessThan">
      <formula>20</formula>
    </cfRule>
    <cfRule type="cellIs" dxfId="1" priority="6521" operator="greaterThan">
      <formula>120</formula>
    </cfRule>
    <cfRule type="containsText" dxfId="2" priority="5752" operator="between" text="库存为">
      <formula>NOT(ISERROR(SEARCH("库存为",AU774)))</formula>
    </cfRule>
  </conditionalFormatting>
  <conditionalFormatting sqref="AU775">
    <cfRule type="cellIs" dxfId="0" priority="40797" operator="lessThan">
      <formula>20</formula>
    </cfRule>
    <cfRule type="cellIs" dxfId="1" priority="40757" operator="greaterThan">
      <formula>120</formula>
    </cfRule>
    <cfRule type="containsText" dxfId="2" priority="40717" operator="between" text="库存为">
      <formula>NOT(ISERROR(SEARCH("库存为",AU775)))</formula>
    </cfRule>
  </conditionalFormatting>
  <conditionalFormatting sqref="AU776:AU2760">
    <cfRule type="containsText" dxfId="2" priority="66697" operator="between" text="库存为">
      <formula>NOT(ISERROR(SEARCH("库存为",AU776)))</formula>
    </cfRule>
    <cfRule type="cellIs" dxfId="1" priority="66698" operator="greaterThan">
      <formula>120</formula>
    </cfRule>
    <cfRule type="cellIs" dxfId="0" priority="6669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0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658</v>
      </c>
      <c r="O1" s="10"/>
      <c r="P1" s="10"/>
      <c r="Q1" s="10"/>
      <c r="R1" s="10" t="s">
        <v>659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660</v>
      </c>
      <c r="AI1" s="10"/>
      <c r="AJ1" s="10"/>
      <c r="AK1" s="10"/>
      <c r="AL1" s="10" t="s">
        <v>661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43297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2018/8/6-2018/8/12</v>
      </c>
      <c r="C3" s="13" t="str">
        <f>TEXT(时间!$B$8,"yyyy/M/d")&amp;"-"&amp;TEXT(时间!$B$7,"yyyy/Md")</f>
        <v>2018/7/30-2018/85</v>
      </c>
      <c r="D3" s="13" t="str">
        <f>TEXT(时间!$B$10,"yyyy/M/d")&amp;"-"&amp;TEXT(时间!$B$9,"yyyy/M/d")</f>
        <v>2018/7/23-2018/7/29</v>
      </c>
      <c r="E3" s="13" t="str">
        <f>TEXT(时间!$B$12,"yyyy/M/d")&amp;"-"&amp;TEXT(时间!$B$11,"yyyy/M/d")</f>
        <v>2018/7/16-2018/7/22</v>
      </c>
      <c r="F3" s="14"/>
      <c r="G3" s="15"/>
      <c r="H3" s="15"/>
      <c r="I3" s="15"/>
      <c r="J3" s="15"/>
      <c r="K3" s="15"/>
      <c r="L3" s="15"/>
      <c r="M3" s="18" t="s">
        <v>662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663</v>
      </c>
      <c r="C4" s="5" t="s">
        <v>664</v>
      </c>
      <c r="D4" s="5" t="s">
        <v>665</v>
      </c>
      <c r="E4" s="5" t="s">
        <v>666</v>
      </c>
      <c r="F4" s="6" t="s">
        <v>19</v>
      </c>
      <c r="G4" t="s">
        <v>20</v>
      </c>
      <c r="H4" t="s">
        <v>21</v>
      </c>
      <c r="I4" t="s">
        <v>667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2018/8/6-2018/8/12</v>
      </c>
      <c r="AE4" s="20" t="str">
        <f>TEXT(时间!$B$8,"yyyy/M/d")&amp;"-"&amp;TEXT(时间!$B$7,"yyyy/Md")</f>
        <v>2018/7/30-2018/85</v>
      </c>
      <c r="AF4" s="20" t="str">
        <f>TEXT(时间!$B$10,"yyyy/M/d")&amp;"-"&amp;TEXT(时间!$B$9,"yyyy/M/d")</f>
        <v>2018/7/23-2018/7/29</v>
      </c>
      <c r="AG4" s="20" t="str">
        <f>TEXT(时间!$B$12,"yyyy/M/d")&amp;"-"&amp;TEXT(时间!$B$11,"yyyy/M/d")</f>
        <v>2018/7/16-2018/7/22</v>
      </c>
      <c r="AH4" s="20" t="str">
        <f>TEXT(时间!$B$6,"yyyy/M/d")&amp;"-"&amp;TEXT(时间!$B$5,"yyyy/M/d")</f>
        <v>2018/8/6-2018/8/12</v>
      </c>
      <c r="AI4" s="20" t="str">
        <f>TEXT(时间!$B$8,"yyyy/M/d")&amp;"-"&amp;TEXT(时间!$B$7,"yyyy/Md")</f>
        <v>2018/7/30-2018/85</v>
      </c>
      <c r="AJ4" s="20" t="str">
        <f>TEXT(时间!$B$10,"yyyy/M/d")&amp;"-"&amp;TEXT(时间!$B$9,"yyyy/M/d")</f>
        <v>2018/7/23-2018/7/29</v>
      </c>
      <c r="AK4" s="20" t="str">
        <f>TEXT(时间!$B$12,"yyyy/M/d")&amp;"-"&amp;TEXT(时间!$B$11,"yyyy/M/d")</f>
        <v>2018/7/16-2018/7/22</v>
      </c>
      <c r="AL4" s="20" t="str">
        <f>TEXT(时间!$B$6,"yyyy/M/d")&amp;"-"&amp;TEXT(时间!$B$5,"yyyy/M/d")</f>
        <v>2018/8/6-2018/8/12</v>
      </c>
      <c r="AM4" s="20" t="str">
        <f>TEXT(时间!$B$8,"yyyy/M/d")&amp;"-"&amp;TEXT(时间!$B$7,"yyyy/Md")</f>
        <v>2018/7/30-2018/85</v>
      </c>
      <c r="AN4" s="20" t="str">
        <f>TEXT(时间!$B$10,"yyyy/M/d")&amp;"-"&amp;TEXT(时间!$B$9,"yyyy/M/d")</f>
        <v>2018/7/23-2018/7/29</v>
      </c>
      <c r="AO4" s="20" t="str">
        <f>TEXT(时间!$B$12,"yyyy/M/d")&amp;"-"&amp;TEXT(时间!$B$11,"yyyy/M/d")</f>
        <v>2018/7/16-2018/7/22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89</v>
      </c>
      <c r="C5" s="16">
        <f t="shared" si="14"/>
        <v>115</v>
      </c>
      <c r="D5" s="16">
        <f t="shared" si="14"/>
        <v>99</v>
      </c>
      <c r="E5" s="16">
        <f t="shared" si="14"/>
        <v>148</v>
      </c>
      <c r="F5" s="17"/>
      <c r="G5" s="4">
        <f t="shared" si="14"/>
        <v>1991</v>
      </c>
      <c r="H5" s="4">
        <f t="shared" si="14"/>
        <v>50</v>
      </c>
      <c r="I5" s="4">
        <f t="shared" si="14"/>
        <v>1</v>
      </c>
      <c r="J5" s="4">
        <f t="shared" si="14"/>
        <v>9</v>
      </c>
      <c r="K5" s="4">
        <f t="shared" si="14"/>
        <v>2051</v>
      </c>
      <c r="L5" s="4">
        <f t="shared" si="14"/>
        <v>15</v>
      </c>
      <c r="M5" s="4">
        <f t="shared" si="14"/>
        <v>1071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260.11</v>
      </c>
      <c r="AA5" s="4">
        <f>SUM(AA6:AA9999)</f>
        <v>443.18</v>
      </c>
      <c r="AB5" s="4">
        <f>SUM(AB6:AB9999)</f>
        <v>225.47</v>
      </c>
      <c r="AC5" s="4">
        <f>SUM(AC6:AC9999)</f>
        <v>229.82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0</v>
      </c>
      <c r="C6" s="5">
        <f>SUMIF('库存（子SKU）'!$C:$C,$A6,'库存（子SKU）'!E:E)</f>
        <v>4</v>
      </c>
      <c r="D6" s="5">
        <f>SUMIF('库存（子SKU）'!$C:$C,$A6,'库存（子SKU）'!F:F)</f>
        <v>1</v>
      </c>
      <c r="E6" s="5">
        <f>SUMIF('库存（子SKU）'!$C:$C,$A6,'库存（子SKU）'!G:G)</f>
        <v>0</v>
      </c>
      <c r="F6" s="6">
        <v>16.59</v>
      </c>
      <c r="G6">
        <f>SUMIF('库存（子SKU）'!$C:$C,$A6,'库存（子SKU）'!I:I)</f>
        <v>136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136</v>
      </c>
      <c r="L6">
        <f>SUMIF('库存（子SKU）'!$C:$C,$A6,'库存（子SKU）'!N:N)</f>
        <v>3</v>
      </c>
      <c r="M6">
        <f>SUMIF('库存（子SKU）'!$C:$C,$A6,'库存（子SKU）'!O:O)</f>
        <v>137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>
        <f t="shared" si="3"/>
        <v>0</v>
      </c>
      <c r="AF6" s="22">
        <f t="shared" si="4"/>
        <v>0</v>
      </c>
      <c r="AG6" s="22" t="str">
        <f t="shared" si="5"/>
        <v/>
      </c>
      <c r="AH6">
        <f>SUMIF('库存（子SKU）'!$C:$C,$A6,'库存（子SKU）'!AJ:AJ)</f>
        <v>49</v>
      </c>
      <c r="AI6">
        <f>SUMIF('库存（子SKU）'!$C:$C,$A6,'库存（子SKU）'!AK:AK)</f>
        <v>55</v>
      </c>
      <c r="AJ6">
        <f>SUMIF('库存（子SKU）'!$C:$C,$A6,'库存（子SKU）'!AL:AL)</f>
        <v>32</v>
      </c>
      <c r="AK6">
        <f>SUMIF('库存（子SKU）'!$C:$C,$A6,'库存（子SKU）'!AM:AM)</f>
        <v>24</v>
      </c>
      <c r="AL6" s="22">
        <f t="shared" si="6"/>
        <v>0</v>
      </c>
      <c r="AM6" s="22">
        <f t="shared" si="7"/>
        <v>0.0727272727272727</v>
      </c>
      <c r="AN6" s="22">
        <f t="shared" si="8"/>
        <v>0.03125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136</v>
      </c>
      <c r="AS6" t="str">
        <f t="shared" si="13"/>
        <v>库存为136</v>
      </c>
      <c r="AT6" s="2" t="str">
        <f>IFERROR(时间!$B$4+AS6,"上周无销量")</f>
        <v>上周无销量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2" t="str">
        <f t="shared" si="6"/>
        <v/>
      </c>
      <c r="AM7" s="22" t="str">
        <f t="shared" si="7"/>
        <v/>
      </c>
      <c r="AN7" s="22" t="str">
        <f t="shared" si="8"/>
        <v/>
      </c>
      <c r="AO7" s="22" t="str">
        <f t="shared" si="9"/>
        <v/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71</v>
      </c>
      <c r="B8" s="5">
        <f>SUMIF('库存（子SKU）'!$C:$C,$A8,'库存（子SKU）'!D:D)</f>
        <v>2</v>
      </c>
      <c r="C8" s="5">
        <f>SUMIF('库存（子SKU）'!$C:$C,$A8,'库存（子SKU）'!E:E)</f>
        <v>2</v>
      </c>
      <c r="D8" s="5">
        <f>SUMIF('库存（子SKU）'!$C:$C,$A8,'库存（子SKU）'!F:F)</f>
        <v>1</v>
      </c>
      <c r="E8" s="5">
        <f>SUMIF('库存（子SKU）'!$C:$C,$A8,'库存（子SKU）'!G:G)</f>
        <v>0</v>
      </c>
      <c r="F8" s="6">
        <v>9.9</v>
      </c>
      <c r="G8">
        <f>SUMIF('库存（子SKU）'!$C:$C,$A8,'库存（子SKU）'!I:I)</f>
        <v>9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9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202</v>
      </c>
      <c r="O8">
        <f>SUMIF('库存（子SKU）'!$C:$C,$A8,'库存（子SKU）'!Q:Q)</f>
        <v>873</v>
      </c>
      <c r="P8">
        <f>SUMIF('库存（子SKU）'!$C:$C,$A8,'库存（子SKU）'!R:R)</f>
        <v>537</v>
      </c>
      <c r="Q8">
        <f>SUMIF('库存（子SKU）'!$C:$C,$A8,'库存（子SKU）'!S:S)</f>
        <v>6405</v>
      </c>
      <c r="R8">
        <f>SUMIF('库存（子SKU）'!$C:$C,$A8,'库存（子SKU）'!T:T)</f>
        <v>0</v>
      </c>
      <c r="S8">
        <f>SUMIF('库存（子SKU）'!$C:$C,$A8,'库存（子SKU）'!U:U)</f>
        <v>4</v>
      </c>
      <c r="T8">
        <f>SUMIF('库存（子SKU）'!$C:$C,$A8,'库存（子SKU）'!V:V)</f>
        <v>7</v>
      </c>
      <c r="U8">
        <f>SUMIF('库存（子SKU）'!$C:$C,$A8,'库存（子SKU）'!W:W)</f>
        <v>29</v>
      </c>
      <c r="V8" s="22">
        <f t="shared" si="15"/>
        <v>0</v>
      </c>
      <c r="W8" s="22">
        <f t="shared" si="16"/>
        <v>0.00458190148911798</v>
      </c>
      <c r="X8" s="22">
        <f t="shared" si="17"/>
        <v>0.0130353817504655</v>
      </c>
      <c r="Y8" s="22">
        <f t="shared" si="18"/>
        <v>0.00452771272443404</v>
      </c>
      <c r="Z8">
        <f>SUMIF('库存（子SKU）'!$C:$C,$A8,'库存（子SKU）'!AB:AB)</f>
        <v>0</v>
      </c>
      <c r="AA8">
        <f>SUMIF('库存（子SKU）'!$C:$C,$A8,'库存（子SKU）'!AC:AC)</f>
        <v>1.14</v>
      </c>
      <c r="AB8">
        <f>SUMIF('库存（子SKU）'!$C:$C,$A8,'库存（子SKU）'!AD:AD)</f>
        <v>1.65</v>
      </c>
      <c r="AC8">
        <f>SUMIF('库存（子SKU）'!$C:$C,$A8,'库存（子SKU）'!AE:AE)</f>
        <v>9.85</v>
      </c>
      <c r="AD8" s="22">
        <f t="shared" si="2"/>
        <v>0</v>
      </c>
      <c r="AE8" s="22">
        <f t="shared" si="3"/>
        <v>0.0575757575757576</v>
      </c>
      <c r="AF8" s="22">
        <f t="shared" si="4"/>
        <v>0.166666666666667</v>
      </c>
      <c r="AG8" s="22" t="str">
        <f t="shared" si="5"/>
        <v>无销量广告费为9.85</v>
      </c>
      <c r="AH8">
        <f>SUMIF('库存（子SKU）'!$C:$C,$A8,'库存（子SKU）'!AJ:AJ)</f>
        <v>53</v>
      </c>
      <c r="AI8">
        <f>SUMIF('库存（子SKU）'!$C:$C,$A8,'库存（子SKU）'!AK:AK)</f>
        <v>50</v>
      </c>
      <c r="AJ8">
        <f>SUMIF('库存（子SKU）'!$C:$C,$A8,'库存（子SKU）'!AL:AL)</f>
        <v>46</v>
      </c>
      <c r="AK8">
        <f>SUMIF('库存（子SKU）'!$C:$C,$A8,'库存（子SKU）'!AM:AM)</f>
        <v>74</v>
      </c>
      <c r="AL8" s="22">
        <f t="shared" si="6"/>
        <v>0.0377358490566038</v>
      </c>
      <c r="AM8" s="22">
        <f t="shared" si="7"/>
        <v>0.04</v>
      </c>
      <c r="AN8" s="22">
        <f t="shared" si="8"/>
        <v>0.0217391304347826</v>
      </c>
      <c r="AO8" s="22">
        <f t="shared" si="9"/>
        <v>0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-8.14285714285714</v>
      </c>
      <c r="AS8">
        <f t="shared" si="13"/>
        <v>31</v>
      </c>
      <c r="AT8" s="2">
        <f>IFERROR(时间!$B$4+AS8,"上周无销量")</f>
        <v>43356</v>
      </c>
    </row>
    <row r="9" spans="1:46">
      <c r="A9" t="s">
        <v>88</v>
      </c>
      <c r="B9" s="5">
        <f>SUMIF('库存（子SKU）'!$C:$C,$A9,'库存（子SKU）'!D:D)</f>
        <v>9</v>
      </c>
      <c r="C9" s="5">
        <f>SUMIF('库存（子SKU）'!$C:$C,$A9,'库存（子SKU）'!E:E)</f>
        <v>11</v>
      </c>
      <c r="D9" s="5">
        <f>SUMIF('库存（子SKU）'!$C:$C,$A9,'库存（子SKU）'!F:F)</f>
        <v>7</v>
      </c>
      <c r="E9" s="5">
        <f>SUMIF('库存（子SKU）'!$C:$C,$A9,'库存（子SKU）'!G:G)</f>
        <v>6</v>
      </c>
      <c r="F9" s="6">
        <v>9.77121212121212</v>
      </c>
      <c r="G9">
        <f>SUMIF('库存（子SKU）'!$C:$C,$A9,'库存（子SKU）'!I:I)</f>
        <v>10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10</v>
      </c>
      <c r="L9">
        <f>SUMIF('库存（子SKU）'!$C:$C,$A9,'库存（子SKU）'!N:N)</f>
        <v>0</v>
      </c>
      <c r="M9">
        <f>SUMIF('库存（子SKU）'!$C:$C,$A9,'库存（子SKU）'!O:O)</f>
        <v>15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73</v>
      </c>
      <c r="AI9">
        <f>SUMIF('库存（子SKU）'!$C:$C,$A9,'库存（子SKU）'!AK:AK)</f>
        <v>93</v>
      </c>
      <c r="AJ9">
        <f>SUMIF('库存（子SKU）'!$C:$C,$A9,'库存（子SKU）'!AL:AL)</f>
        <v>85</v>
      </c>
      <c r="AK9">
        <f>SUMIF('库存（子SKU）'!$C:$C,$A9,'库存（子SKU）'!AM:AM)</f>
        <v>43</v>
      </c>
      <c r="AL9" s="22">
        <f t="shared" si="6"/>
        <v>0.123287671232877</v>
      </c>
      <c r="AM9" s="22">
        <f t="shared" si="7"/>
        <v>0.118279569892473</v>
      </c>
      <c r="AN9" s="22">
        <f t="shared" si="8"/>
        <v>0.0823529411764706</v>
      </c>
      <c r="AO9" s="22">
        <f t="shared" si="9"/>
        <v>0.13953488372093</v>
      </c>
      <c r="AP9" s="7">
        <f t="shared" si="10"/>
        <v>1.28571428571429</v>
      </c>
      <c r="AQ9" s="7">
        <f t="shared" si="11"/>
        <v>77.1428571428572</v>
      </c>
      <c r="AR9" s="7">
        <f t="shared" si="12"/>
        <v>-67.1428571428572</v>
      </c>
      <c r="AS9">
        <f t="shared" si="13"/>
        <v>7</v>
      </c>
      <c r="AT9" s="2">
        <f>IFERROR(时间!$B$4+AS9,"上周无销量")</f>
        <v>43332</v>
      </c>
    </row>
    <row r="10" spans="1:46">
      <c r="A10" t="s">
        <v>99</v>
      </c>
      <c r="B10" s="5">
        <f>SUMIF('库存（子SKU）'!$C:$C,$A10,'库存（子SKU）'!D:D)</f>
        <v>1</v>
      </c>
      <c r="C10" s="5">
        <f>SUMIF('库存（子SKU）'!$C:$C,$A10,'库存（子SKU）'!E:E)</f>
        <v>3</v>
      </c>
      <c r="D10" s="5">
        <f>SUMIF('库存（子SKU）'!$C:$C,$A10,'库存（子SKU）'!F:F)</f>
        <v>5</v>
      </c>
      <c r="E10" s="5">
        <f>SUMIF('库存（子SKU）'!$C:$C,$A10,'库存（子SKU）'!G:G)</f>
        <v>3</v>
      </c>
      <c r="F10" s="6">
        <v>9.99</v>
      </c>
      <c r="G10">
        <f>SUMIF('库存（子SKU）'!$C:$C,$A10,'库存（子SKU）'!I:I)</f>
        <v>71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71</v>
      </c>
      <c r="L10">
        <f>SUMIF('库存（子SKU）'!$C:$C,$A10,'库存（子SKU）'!N:N)</f>
        <v>1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69</v>
      </c>
      <c r="AI10">
        <f>SUMIF('库存（子SKU）'!$C:$C,$A10,'库存（子SKU）'!AK:AK)</f>
        <v>52</v>
      </c>
      <c r="AJ10">
        <f>SUMIF('库存（子SKU）'!$C:$C,$A10,'库存（子SKU）'!AL:AL)</f>
        <v>43</v>
      </c>
      <c r="AK10">
        <f>SUMIF('库存（子SKU）'!$C:$C,$A10,'库存（子SKU）'!AM:AM)</f>
        <v>29</v>
      </c>
      <c r="AL10" s="22">
        <f t="shared" si="6"/>
        <v>0.0144927536231884</v>
      </c>
      <c r="AM10" s="22">
        <f t="shared" si="7"/>
        <v>0.0576923076923077</v>
      </c>
      <c r="AN10" s="22">
        <f t="shared" si="8"/>
        <v>0.116279069767442</v>
      </c>
      <c r="AO10" s="22">
        <f t="shared" si="9"/>
        <v>0.103448275862069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62.4285714285714</v>
      </c>
      <c r="AS10">
        <f t="shared" si="13"/>
        <v>497</v>
      </c>
      <c r="AT10" s="2">
        <f>IFERROR(时间!$B$4+AS10,"上周无销量")</f>
        <v>43822</v>
      </c>
    </row>
    <row r="11" spans="1:46">
      <c r="A11" t="s">
        <v>112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2</v>
      </c>
      <c r="F11" s="6">
        <v>8.99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8</v>
      </c>
      <c r="L11">
        <f>SUMIF('库存（子SKU）'!$C:$C,$A11,'库存（子SKU）'!N:N)</f>
        <v>0</v>
      </c>
      <c r="M11">
        <f>SUMIF('库存（子SKU）'!$C:$C,$A11,'库存（子SKU）'!O:O)</f>
        <v>6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 t="str">
        <f t="shared" si="4"/>
        <v/>
      </c>
      <c r="AG11" s="22">
        <f t="shared" si="5"/>
        <v>0</v>
      </c>
      <c r="AH11">
        <f>SUMIF('库存（子SKU）'!$C:$C,$A11,'库存（子SKU）'!AJ:AJ)</f>
        <v>6</v>
      </c>
      <c r="AI11">
        <f>SUMIF('库存（子SKU）'!$C:$C,$A11,'库存（子SKU）'!AK:AK)</f>
        <v>10</v>
      </c>
      <c r="AJ11">
        <f>SUMIF('库存（子SKU）'!$C:$C,$A11,'库存（子SKU）'!AL:AL)</f>
        <v>12</v>
      </c>
      <c r="AK11">
        <f>SUMIF('库存（子SKU）'!$C:$C,$A11,'库存（子SKU）'!AM:AM)</f>
        <v>10</v>
      </c>
      <c r="AL11" s="22">
        <f t="shared" si="6"/>
        <v>0</v>
      </c>
      <c r="AM11" s="22">
        <f t="shared" si="7"/>
        <v>0</v>
      </c>
      <c r="AN11" s="22">
        <f t="shared" si="8"/>
        <v>0</v>
      </c>
      <c r="AO11" s="22">
        <f t="shared" si="9"/>
        <v>0.2</v>
      </c>
      <c r="AP11" s="7">
        <f t="shared" si="10"/>
        <v>0</v>
      </c>
      <c r="AQ11" s="7">
        <f t="shared" si="11"/>
        <v>0</v>
      </c>
      <c r="AR11" s="7">
        <f t="shared" si="12"/>
        <v>8</v>
      </c>
      <c r="AS11" t="str">
        <f t="shared" si="13"/>
        <v>库存为8</v>
      </c>
      <c r="AT11" s="2" t="str">
        <f>IFERROR(时间!$B$4+AS11,"上周无销量")</f>
        <v>上周无销量</v>
      </c>
    </row>
    <row r="12" spans="1:46">
      <c r="A12" t="s">
        <v>115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120</v>
      </c>
      <c r="B13" s="5">
        <f>SUMIF('库存（子SKU）'!$C:$C,$A13,'库存（子SKU）'!D:D)</f>
        <v>0</v>
      </c>
      <c r="C13" s="5">
        <f>SUMIF('库存（子SKU）'!$C:$C,$A13,'库存（子SKU）'!E:E)</f>
        <v>2</v>
      </c>
      <c r="D13" s="5">
        <f>SUMIF('库存（子SKU）'!$C:$C,$A13,'库存（子SKU）'!F:F)</f>
        <v>3</v>
      </c>
      <c r="E13" s="5">
        <f>SUMIF('库存（子SKU）'!$C:$C,$A13,'库存（子SKU）'!G:G)</f>
        <v>2</v>
      </c>
      <c r="F13" s="6">
        <v>9.27571428571429</v>
      </c>
      <c r="G13">
        <f>SUMIF('库存（子SKU）'!$C:$C,$A13,'库存（子SKU）'!I:I)</f>
        <v>81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81</v>
      </c>
      <c r="L13">
        <f>SUMIF('库存（子SKU）'!$C:$C,$A13,'库存（子SKU）'!N:N)</f>
        <v>0</v>
      </c>
      <c r="M13">
        <f>SUMIF('库存（子SKU）'!$C:$C,$A13,'库存（子SKU）'!O:O)</f>
        <v>79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>
        <f t="shared" si="3"/>
        <v>0</v>
      </c>
      <c r="AF13" s="22">
        <f t="shared" si="4"/>
        <v>0</v>
      </c>
      <c r="AG13" s="22">
        <f t="shared" si="5"/>
        <v>0</v>
      </c>
      <c r="AH13">
        <f>SUMIF('库存（子SKU）'!$C:$C,$A13,'库存（子SKU）'!AJ:AJ)</f>
        <v>77</v>
      </c>
      <c r="AI13">
        <f>SUMIF('库存（子SKU）'!$C:$C,$A13,'库存（子SKU）'!AK:AK)</f>
        <v>44</v>
      </c>
      <c r="AJ13">
        <f>SUMIF('库存（子SKU）'!$C:$C,$A13,'库存（子SKU）'!AL:AL)</f>
        <v>46</v>
      </c>
      <c r="AK13">
        <f>SUMIF('库存（子SKU）'!$C:$C,$A13,'库存（子SKU）'!AM:AM)</f>
        <v>53</v>
      </c>
      <c r="AL13" s="22">
        <f t="shared" si="6"/>
        <v>0</v>
      </c>
      <c r="AM13" s="22">
        <f t="shared" si="7"/>
        <v>0.0454545454545455</v>
      </c>
      <c r="AN13" s="22">
        <f t="shared" si="8"/>
        <v>0.0652173913043478</v>
      </c>
      <c r="AO13" s="22">
        <f t="shared" si="9"/>
        <v>0.0377358490566038</v>
      </c>
      <c r="AP13" s="7">
        <f t="shared" si="10"/>
        <v>0</v>
      </c>
      <c r="AQ13" s="7">
        <f t="shared" si="11"/>
        <v>0</v>
      </c>
      <c r="AR13" s="7">
        <f t="shared" si="12"/>
        <v>81</v>
      </c>
      <c r="AS13" t="str">
        <f t="shared" si="13"/>
        <v>库存为81</v>
      </c>
      <c r="AT13" s="2" t="str">
        <f>IFERROR(时间!$B$4+AS13,"上周无销量")</f>
        <v>上周无销量</v>
      </c>
    </row>
    <row r="14" spans="1:46">
      <c r="A14" t="s">
        <v>129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134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10</v>
      </c>
      <c r="AI15">
        <f>SUMIF('库存（子SKU）'!$C:$C,$A15,'库存（子SKU）'!AK:AK)</f>
        <v>1</v>
      </c>
      <c r="AJ15">
        <f>SUMIF('库存（子SKU）'!$C:$C,$A15,'库存（子SKU）'!AL:AL)</f>
        <v>9</v>
      </c>
      <c r="AK15">
        <f>SUMIF('库存（子SKU）'!$C:$C,$A15,'库存（子SKU）'!AM:AM)</f>
        <v>2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143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154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157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2" t="str">
        <f t="shared" si="6"/>
        <v/>
      </c>
      <c r="AM18" s="22" t="str">
        <f t="shared" si="7"/>
        <v/>
      </c>
      <c r="AN18" s="22" t="str">
        <f t="shared" si="8"/>
        <v/>
      </c>
      <c r="AO18" s="22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162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2" t="str">
        <f t="shared" si="6"/>
        <v/>
      </c>
      <c r="AM19" s="22" t="str">
        <f t="shared" si="7"/>
        <v/>
      </c>
      <c r="AN19" s="22" t="str">
        <f t="shared" si="8"/>
        <v/>
      </c>
      <c r="AO19" s="22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172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19</v>
      </c>
      <c r="AI20">
        <f>SUMIF('库存（子SKU）'!$C:$C,$A20,'库存（子SKU）'!AK:AK)</f>
        <v>1</v>
      </c>
      <c r="AJ20">
        <f>SUMIF('库存（子SKU）'!$C:$C,$A20,'库存（子SKU）'!AL:AL)</f>
        <v>11</v>
      </c>
      <c r="AK20">
        <f>SUMIF('库存（子SKU）'!$C:$C,$A20,'库存（子SKU）'!AM:AM)</f>
        <v>5</v>
      </c>
      <c r="AL20" s="22">
        <f t="shared" si="6"/>
        <v>0</v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22</v>
      </c>
      <c r="AS20" t="str">
        <f t="shared" si="13"/>
        <v>库存为22</v>
      </c>
      <c r="AT20" s="2" t="str">
        <f>IFERROR(时间!$B$4+AS20,"上周无销量")</f>
        <v>上周无销量</v>
      </c>
    </row>
    <row r="21" spans="1:46">
      <c r="A21" t="s">
        <v>177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184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187</v>
      </c>
      <c r="B23" s="5">
        <f>SUMIF('库存（子SKU）'!$C:$C,$A23,'库存（子SKU）'!D:D)</f>
        <v>4</v>
      </c>
      <c r="C23" s="5">
        <f>SUMIF('库存（子SKU）'!$C:$C,$A23,'库存（子SKU）'!E:E)</f>
        <v>2</v>
      </c>
      <c r="D23" s="5">
        <f>SUMIF('库存（子SKU）'!$C:$C,$A23,'库存（子SKU）'!F:F)</f>
        <v>3</v>
      </c>
      <c r="E23" s="5">
        <f>SUMIF('库存（子SKU）'!$C:$C,$A23,'库存（子SKU）'!G:G)</f>
        <v>3</v>
      </c>
      <c r="F23" s="6">
        <v>13.4625</v>
      </c>
      <c r="G23">
        <f>SUMIF('库存（子SKU）'!$C:$C,$A23,'库存（子SKU）'!I:I)</f>
        <v>63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63</v>
      </c>
      <c r="L23">
        <f>SUMIF('库存（子SKU）'!$C:$C,$A23,'库存（子SKU）'!N:N)</f>
        <v>2</v>
      </c>
      <c r="M23">
        <f>SUMIF('库存（子SKU）'!$C:$C,$A23,'库存（子SKU）'!O:O)</f>
        <v>22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92</v>
      </c>
      <c r="AI23">
        <f>SUMIF('库存（子SKU）'!$C:$C,$A23,'库存（子SKU）'!AK:AK)</f>
        <v>83</v>
      </c>
      <c r="AJ23">
        <f>SUMIF('库存（子SKU）'!$C:$C,$A23,'库存（子SKU）'!AL:AL)</f>
        <v>99</v>
      </c>
      <c r="AK23">
        <f>SUMIF('库存（子SKU）'!$C:$C,$A23,'库存（子SKU）'!AM:AM)</f>
        <v>66</v>
      </c>
      <c r="AL23" s="22">
        <f t="shared" si="6"/>
        <v>0.0434782608695652</v>
      </c>
      <c r="AM23" s="22">
        <f t="shared" si="7"/>
        <v>0.0240963855421687</v>
      </c>
      <c r="AN23" s="22">
        <f t="shared" si="8"/>
        <v>0.0303030303030303</v>
      </c>
      <c r="AO23" s="22">
        <f t="shared" si="9"/>
        <v>0.0454545454545455</v>
      </c>
      <c r="AP23" s="7">
        <f t="shared" si="10"/>
        <v>0.571428571428571</v>
      </c>
      <c r="AQ23" s="7">
        <f t="shared" si="11"/>
        <v>34.2857142857143</v>
      </c>
      <c r="AR23" s="7">
        <f t="shared" si="12"/>
        <v>28.7142857142857</v>
      </c>
      <c r="AS23">
        <f t="shared" si="13"/>
        <v>110</v>
      </c>
      <c r="AT23" s="2">
        <f>IFERROR(时间!$B$4+AS23,"上周无销量")</f>
        <v>43435</v>
      </c>
    </row>
    <row r="24" spans="1:46">
      <c r="A24" t="s">
        <v>212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2</v>
      </c>
      <c r="E24" s="5">
        <f>SUMIF('库存（子SKU）'!$C:$C,$A24,'库存（子SKU）'!G:G)</f>
        <v>1</v>
      </c>
      <c r="F24" s="6">
        <v>16.99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11742</v>
      </c>
      <c r="Q24">
        <f>SUMIF('库存（子SKU）'!$C:$C,$A24,'库存（子SKU）'!S:S)</f>
        <v>19233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39</v>
      </c>
      <c r="U24">
        <f>SUMIF('库存（子SKU）'!$C:$C,$A24,'库存（子SKU）'!W:W)</f>
        <v>92</v>
      </c>
      <c r="V24" s="22" t="str">
        <f t="shared" si="15"/>
        <v/>
      </c>
      <c r="W24" s="22" t="str">
        <f t="shared" si="16"/>
        <v/>
      </c>
      <c r="X24" s="22">
        <f t="shared" si="17"/>
        <v>0.00332141032192131</v>
      </c>
      <c r="Y24" s="22">
        <f t="shared" si="18"/>
        <v>0.00478344512036604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11.84</v>
      </c>
      <c r="AC24">
        <f>SUMIF('库存（子SKU）'!$C:$C,$A24,'库存（子SKU）'!AE:AE)</f>
        <v>30.13</v>
      </c>
      <c r="AD24" s="22" t="str">
        <f t="shared" si="2"/>
        <v/>
      </c>
      <c r="AE24" s="22" t="str">
        <f t="shared" si="3"/>
        <v/>
      </c>
      <c r="AF24" s="22">
        <f t="shared" si="4"/>
        <v>0.348440258975868</v>
      </c>
      <c r="AG24" s="22">
        <f t="shared" si="5"/>
        <v>1.77339611536198</v>
      </c>
      <c r="AH24">
        <f>SUMIF('库存（子SKU）'!$C:$C,$A24,'库存（子SKU）'!AJ:AJ)</f>
        <v>24</v>
      </c>
      <c r="AI24">
        <f>SUMIF('库存（子SKU）'!$C:$C,$A24,'库存（子SKU）'!AK:AK)</f>
        <v>15</v>
      </c>
      <c r="AJ24">
        <f>SUMIF('库存（子SKU）'!$C:$C,$A24,'库存（子SKU）'!AL:AL)</f>
        <v>37</v>
      </c>
      <c r="AK24">
        <f>SUMIF('库存（子SKU）'!$C:$C,$A24,'库存（子SKU）'!AM:AM)</f>
        <v>41</v>
      </c>
      <c r="AL24" s="22">
        <f t="shared" si="6"/>
        <v>0</v>
      </c>
      <c r="AM24" s="22">
        <f t="shared" si="7"/>
        <v>0</v>
      </c>
      <c r="AN24" s="22">
        <f t="shared" si="8"/>
        <v>0.0540540540540541</v>
      </c>
      <c r="AO24" s="22">
        <f t="shared" si="9"/>
        <v>0.024390243902439</v>
      </c>
      <c r="AP24" s="7">
        <f t="shared" si="10"/>
        <v>0</v>
      </c>
      <c r="AQ24" s="7">
        <f t="shared" si="11"/>
        <v>0</v>
      </c>
      <c r="AR24" s="7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221</v>
      </c>
      <c r="B25" s="5">
        <f>SUMIF('库存（子SKU）'!$C:$C,$A25,'库存（子SKU）'!D:D)</f>
        <v>0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v>8.99</v>
      </c>
      <c r="G25">
        <f>SUMIF('库存（子SKU）'!$C:$C,$A25,'库存（子SKU）'!I:I)</f>
        <v>8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8</v>
      </c>
      <c r="L25">
        <f>SUMIF('库存（子SKU）'!$C:$C,$A25,'库存（子SKU）'!N:N)</f>
        <v>0</v>
      </c>
      <c r="M25">
        <f>SUMIF('库存（子SKU）'!$C:$C,$A25,'库存（子SKU）'!O:O)</f>
        <v>8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 t="str">
        <f t="shared" si="4"/>
        <v/>
      </c>
      <c r="AG25" s="22">
        <f t="shared" si="5"/>
        <v>0</v>
      </c>
      <c r="AH25">
        <f>SUMIF('库存（子SKU）'!$C:$C,$A25,'库存（子SKU）'!AJ:AJ)</f>
        <v>22</v>
      </c>
      <c r="AI25">
        <f>SUMIF('库存（子SKU）'!$C:$C,$A25,'库存（子SKU）'!AK:AK)</f>
        <v>4</v>
      </c>
      <c r="AJ25">
        <f>SUMIF('库存（子SKU）'!$C:$C,$A25,'库存（子SKU）'!AL:AL)</f>
        <v>6</v>
      </c>
      <c r="AK25">
        <f>SUMIF('库存（子SKU）'!$C:$C,$A25,'库存（子SKU）'!AM:AM)</f>
        <v>17</v>
      </c>
      <c r="AL25" s="22">
        <f t="shared" si="6"/>
        <v>0</v>
      </c>
      <c r="AM25" s="22">
        <f t="shared" si="7"/>
        <v>0.25</v>
      </c>
      <c r="AN25" s="22">
        <f t="shared" si="8"/>
        <v>0</v>
      </c>
      <c r="AO25" s="22">
        <f t="shared" si="9"/>
        <v>0.0588235294117647</v>
      </c>
      <c r="AP25" s="7">
        <f t="shared" si="10"/>
        <v>0</v>
      </c>
      <c r="AQ25" s="7">
        <f t="shared" si="11"/>
        <v>0</v>
      </c>
      <c r="AR25" s="7">
        <f t="shared" si="12"/>
        <v>8</v>
      </c>
      <c r="AS25" t="str">
        <f t="shared" si="13"/>
        <v>库存为8</v>
      </c>
      <c r="AT25" s="2" t="str">
        <f>IFERROR(时间!$B$4+AS25,"上周无销量")</f>
        <v>上周无销量</v>
      </c>
    </row>
    <row r="26" spans="1:46">
      <c r="A26" t="s">
        <v>224</v>
      </c>
      <c r="B26" s="5">
        <f>SUMIF('库存（子SKU）'!$C:$C,$A26,'库存（子SKU）'!D:D)</f>
        <v>2</v>
      </c>
      <c r="C26" s="5">
        <f>SUMIF('库存（子SKU）'!$C:$C,$A26,'库存（子SKU）'!E:E)</f>
        <v>2</v>
      </c>
      <c r="D26" s="5">
        <f>SUMIF('库存（子SKU）'!$C:$C,$A26,'库存（子SKU）'!F:F)</f>
        <v>1</v>
      </c>
      <c r="E26" s="5">
        <f>SUMIF('库存（子SKU）'!$C:$C,$A26,'库存（子SKU）'!G:G)</f>
        <v>2</v>
      </c>
      <c r="F26" s="6">
        <v>13.4585714285714</v>
      </c>
      <c r="G26">
        <f>SUMIF('库存（子SKU）'!$C:$C,$A26,'库存（子SKU）'!I:I)</f>
        <v>38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38</v>
      </c>
      <c r="L26">
        <f>SUMIF('库存（子SKU）'!$C:$C,$A26,'库存（子SKU）'!N:N)</f>
        <v>1</v>
      </c>
      <c r="M26">
        <f>SUMIF('库存（子SKU）'!$C:$C,$A26,'库存（子SKU）'!O:O)</f>
        <v>36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</v>
      </c>
      <c r="AE26" s="22">
        <f t="shared" si="3"/>
        <v>0</v>
      </c>
      <c r="AF26" s="22">
        <f t="shared" si="4"/>
        <v>0</v>
      </c>
      <c r="AG26" s="22">
        <f t="shared" si="5"/>
        <v>0</v>
      </c>
      <c r="AH26">
        <f>SUMIF('库存（子SKU）'!$C:$C,$A26,'库存（子SKU）'!AJ:AJ)</f>
        <v>57</v>
      </c>
      <c r="AI26">
        <f>SUMIF('库存（子SKU）'!$C:$C,$A26,'库存（子SKU）'!AK:AK)</f>
        <v>62</v>
      </c>
      <c r="AJ26">
        <f>SUMIF('库存（子SKU）'!$C:$C,$A26,'库存（子SKU）'!AL:AL)</f>
        <v>57</v>
      </c>
      <c r="AK26">
        <f>SUMIF('库存（子SKU）'!$C:$C,$A26,'库存（子SKU）'!AM:AM)</f>
        <v>59</v>
      </c>
      <c r="AL26" s="22">
        <f t="shared" si="6"/>
        <v>0.0350877192982456</v>
      </c>
      <c r="AM26" s="22">
        <f t="shared" si="7"/>
        <v>0.032258064516129</v>
      </c>
      <c r="AN26" s="22">
        <f t="shared" si="8"/>
        <v>0.0175438596491228</v>
      </c>
      <c r="AO26" s="22">
        <f t="shared" si="9"/>
        <v>0.0338983050847458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20.8571428571429</v>
      </c>
      <c r="AS26">
        <f t="shared" si="13"/>
        <v>133</v>
      </c>
      <c r="AT26" s="2">
        <f>IFERROR(时间!$B$4+AS26,"上周无销量")</f>
        <v>43458</v>
      </c>
    </row>
    <row r="27" spans="1:46">
      <c r="A27" t="s">
        <v>241</v>
      </c>
      <c r="B27" s="5">
        <f>SUMIF('库存（子SKU）'!$C:$C,$A27,'库存（子SKU）'!D:D)</f>
        <v>1</v>
      </c>
      <c r="C27" s="5">
        <f>SUMIF('库存（子SKU）'!$C:$C,$A27,'库存（子SKU）'!E:E)</f>
        <v>0</v>
      </c>
      <c r="D27" s="5">
        <f>SUMIF('库存（子SKU）'!$C:$C,$A27,'库存（子SKU）'!F:F)</f>
        <v>1</v>
      </c>
      <c r="E27" s="5">
        <f>SUMIF('库存（子SKU）'!$C:$C,$A27,'库存（子SKU）'!G:G)</f>
        <v>1</v>
      </c>
      <c r="F27" s="6">
        <v>13.99</v>
      </c>
      <c r="G27">
        <f>SUMIF('库存（子SKU）'!$C:$C,$A27,'库存（子SKU）'!I:I)</f>
        <v>16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16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>
        <f t="shared" si="2"/>
        <v>0</v>
      </c>
      <c r="AE27" s="22" t="str">
        <f t="shared" si="3"/>
        <v/>
      </c>
      <c r="AF27" s="22">
        <f t="shared" si="4"/>
        <v>0</v>
      </c>
      <c r="AG27" s="22">
        <f t="shared" si="5"/>
        <v>0</v>
      </c>
      <c r="AH27">
        <f>SUMIF('库存（子SKU）'!$C:$C,$A27,'库存（子SKU）'!AJ:AJ)</f>
        <v>33</v>
      </c>
      <c r="AI27">
        <f>SUMIF('库存（子SKU）'!$C:$C,$A27,'库存（子SKU）'!AK:AK)</f>
        <v>37</v>
      </c>
      <c r="AJ27">
        <f>SUMIF('库存（子SKU）'!$C:$C,$A27,'库存（子SKU）'!AL:AL)</f>
        <v>27</v>
      </c>
      <c r="AK27">
        <f>SUMIF('库存（子SKU）'!$C:$C,$A27,'库存（子SKU）'!AM:AM)</f>
        <v>29</v>
      </c>
      <c r="AL27" s="22">
        <f t="shared" si="6"/>
        <v>0.0303030303030303</v>
      </c>
      <c r="AM27" s="22">
        <f t="shared" si="7"/>
        <v>0</v>
      </c>
      <c r="AN27" s="22">
        <f t="shared" si="8"/>
        <v>0.037037037037037</v>
      </c>
      <c r="AO27" s="22">
        <f t="shared" si="9"/>
        <v>0.0344827586206897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7.42857142857143</v>
      </c>
      <c r="AS27">
        <f t="shared" si="13"/>
        <v>112</v>
      </c>
      <c r="AT27" s="2">
        <f>IFERROR(时间!$B$4+AS27,"上周无销量")</f>
        <v>43437</v>
      </c>
    </row>
    <row r="28" spans="1:46">
      <c r="A28" t="s">
        <v>250</v>
      </c>
      <c r="B28" s="5">
        <f>SUMIF('库存（子SKU）'!$C:$C,$A28,'库存（子SKU）'!D:D)</f>
        <v>0</v>
      </c>
      <c r="C28" s="5">
        <f>SUMIF('库存（子SKU）'!$C:$C,$A28,'库存（子SKU）'!E:E)</f>
        <v>1</v>
      </c>
      <c r="D28" s="5">
        <f>SUMIF('库存（子SKU）'!$C:$C,$A28,'库存（子SKU）'!F:F)</f>
        <v>0</v>
      </c>
      <c r="E28" s="5">
        <f>SUMIF('库存（子SKU）'!$C:$C,$A28,'库存（子SKU）'!G:G)</f>
        <v>1</v>
      </c>
      <c r="F28" s="6">
        <v>10</v>
      </c>
      <c r="G28">
        <f>SUMIF('库存（子SKU）'!$C:$C,$A28,'库存（子SKU）'!I:I)</f>
        <v>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</v>
      </c>
      <c r="L28">
        <f>SUMIF('库存（子SKU）'!$C:$C,$A28,'库存（子SKU）'!N:N)</f>
        <v>0</v>
      </c>
      <c r="M28">
        <f>SUMIF('库存（子SKU）'!$C:$C,$A28,'库存（子SKU）'!O:O)</f>
        <v>4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>
        <f t="shared" si="3"/>
        <v>0</v>
      </c>
      <c r="AF28" s="22" t="str">
        <f t="shared" si="4"/>
        <v/>
      </c>
      <c r="AG28" s="22">
        <f t="shared" si="5"/>
        <v>0</v>
      </c>
      <c r="AH28">
        <f>SUMIF('库存（子SKU）'!$C:$C,$A28,'库存（子SKU）'!AJ:AJ)</f>
        <v>15</v>
      </c>
      <c r="AI28">
        <f>SUMIF('库存（子SKU）'!$C:$C,$A28,'库存（子SKU）'!AK:AK)</f>
        <v>12</v>
      </c>
      <c r="AJ28">
        <f>SUMIF('库存（子SKU）'!$C:$C,$A28,'库存（子SKU）'!AL:AL)</f>
        <v>7</v>
      </c>
      <c r="AK28">
        <f>SUMIF('库存（子SKU）'!$C:$C,$A28,'库存（子SKU）'!AM:AM)</f>
        <v>30</v>
      </c>
      <c r="AL28" s="22">
        <f t="shared" si="6"/>
        <v>0</v>
      </c>
      <c r="AM28" s="22">
        <f t="shared" si="7"/>
        <v>0.0833333333333333</v>
      </c>
      <c r="AN28" s="22">
        <f t="shared" si="8"/>
        <v>0</v>
      </c>
      <c r="AO28" s="22">
        <f t="shared" si="9"/>
        <v>0.0333333333333333</v>
      </c>
      <c r="AP28" s="7">
        <f t="shared" si="10"/>
        <v>0</v>
      </c>
      <c r="AQ28" s="7">
        <f t="shared" si="11"/>
        <v>0</v>
      </c>
      <c r="AR28" s="7">
        <f t="shared" si="12"/>
        <v>4</v>
      </c>
      <c r="AS28" t="str">
        <f t="shared" si="13"/>
        <v>库存为4</v>
      </c>
      <c r="AT28" s="2" t="str">
        <f>IFERROR(时间!$B$4+AS28,"上周无销量")</f>
        <v>上周无销量</v>
      </c>
    </row>
    <row r="29" spans="1:46">
      <c r="A29" t="s">
        <v>255</v>
      </c>
      <c r="B29" s="5">
        <f>SUMIF('库存（子SKU）'!$C:$C,$A29,'库存（子SKU）'!D:D)</f>
        <v>3</v>
      </c>
      <c r="C29" s="5">
        <f>SUMIF('库存（子SKU）'!$C:$C,$A29,'库存（子SKU）'!E:E)</f>
        <v>4</v>
      </c>
      <c r="D29" s="5">
        <f>SUMIF('库存（子SKU）'!$C:$C,$A29,'库存（子SKU）'!F:F)</f>
        <v>2</v>
      </c>
      <c r="E29" s="5">
        <f>SUMIF('库存（子SKU）'!$C:$C,$A29,'库存（子SKU）'!G:G)</f>
        <v>5</v>
      </c>
      <c r="F29" s="6">
        <v>18.9278571428571</v>
      </c>
      <c r="G29">
        <f>SUMIF('库存（子SKU）'!$C:$C,$A29,'库存（子SKU）'!I:I)</f>
        <v>58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6</v>
      </c>
      <c r="K29">
        <f t="shared" si="0"/>
        <v>64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7252</v>
      </c>
      <c r="O29">
        <f>SUMIF('库存（子SKU）'!$C:$C,$A29,'库存（子SKU）'!Q:Q)</f>
        <v>13593</v>
      </c>
      <c r="P29">
        <f>SUMIF('库存（子SKU）'!$C:$C,$A29,'库存（子SKU）'!R:R)</f>
        <v>11136</v>
      </c>
      <c r="Q29">
        <f>SUMIF('库存（子SKU）'!$C:$C,$A29,'库存（子SKU）'!S:S)</f>
        <v>3563</v>
      </c>
      <c r="R29">
        <f>SUMIF('库存（子SKU）'!$C:$C,$A29,'库存（子SKU）'!T:T)</f>
        <v>16</v>
      </c>
      <c r="S29">
        <f>SUMIF('库存（子SKU）'!$C:$C,$A29,'库存（子SKU）'!U:U)</f>
        <v>44</v>
      </c>
      <c r="T29">
        <f>SUMIF('库存（子SKU）'!$C:$C,$A29,'库存（子SKU）'!V:V)</f>
        <v>22</v>
      </c>
      <c r="U29">
        <f>SUMIF('库存（子SKU）'!$C:$C,$A29,'库存（子SKU）'!W:W)</f>
        <v>17</v>
      </c>
      <c r="V29" s="22">
        <f t="shared" si="15"/>
        <v>0.00220628792057364</v>
      </c>
      <c r="W29" s="22">
        <f t="shared" si="16"/>
        <v>0.00323696020010299</v>
      </c>
      <c r="X29" s="22">
        <f t="shared" si="17"/>
        <v>0.00197557471264368</v>
      </c>
      <c r="Y29" s="22">
        <f t="shared" si="18"/>
        <v>0.00477126017401067</v>
      </c>
      <c r="Z29">
        <f>SUMIF('库存（子SKU）'!$C:$C,$A29,'库存（子SKU）'!AB:AB)</f>
        <v>15.45</v>
      </c>
      <c r="AA29">
        <f>SUMIF('库存（子SKU）'!$C:$C,$A29,'库存（子SKU）'!AC:AC)</f>
        <v>47.27</v>
      </c>
      <c r="AB29">
        <f>SUMIF('库存（子SKU）'!$C:$C,$A29,'库存（子SKU）'!AD:AD)</f>
        <v>28.76</v>
      </c>
      <c r="AC29">
        <f>SUMIF('库存（子SKU）'!$C:$C,$A29,'库存（子SKU）'!AE:AE)</f>
        <v>17.95</v>
      </c>
      <c r="AD29" s="22">
        <f t="shared" si="2"/>
        <v>0.272085739084494</v>
      </c>
      <c r="AE29" s="22">
        <f t="shared" si="3"/>
        <v>0.624344314879808</v>
      </c>
      <c r="AF29" s="22">
        <f t="shared" si="4"/>
        <v>0.759726782142724</v>
      </c>
      <c r="AG29" s="22">
        <f t="shared" si="5"/>
        <v>0.189667534623948</v>
      </c>
      <c r="AH29">
        <f>SUMIF('库存（子SKU）'!$C:$C,$A29,'库存（子SKU）'!AJ:AJ)</f>
        <v>100</v>
      </c>
      <c r="AI29">
        <f>SUMIF('库存（子SKU）'!$C:$C,$A29,'库存（子SKU）'!AK:AK)</f>
        <v>62</v>
      </c>
      <c r="AJ29">
        <f>SUMIF('库存（子SKU）'!$C:$C,$A29,'库存（子SKU）'!AL:AL)</f>
        <v>63</v>
      </c>
      <c r="AK29">
        <f>SUMIF('库存（子SKU）'!$C:$C,$A29,'库存（子SKU）'!AM:AM)</f>
        <v>64</v>
      </c>
      <c r="AL29" s="22">
        <f t="shared" si="6"/>
        <v>0.03</v>
      </c>
      <c r="AM29" s="22">
        <f t="shared" si="7"/>
        <v>0.0645161290322581</v>
      </c>
      <c r="AN29" s="22">
        <f t="shared" si="8"/>
        <v>0.0317460317460317</v>
      </c>
      <c r="AO29" s="22">
        <f t="shared" si="9"/>
        <v>0.078125</v>
      </c>
      <c r="AP29" s="7">
        <f t="shared" si="10"/>
        <v>0.428571428571429</v>
      </c>
      <c r="AQ29" s="7">
        <f t="shared" si="11"/>
        <v>25.7142857142857</v>
      </c>
      <c r="AR29" s="7">
        <f t="shared" si="12"/>
        <v>38.2857142857143</v>
      </c>
      <c r="AS29">
        <f t="shared" si="13"/>
        <v>149</v>
      </c>
      <c r="AT29" s="2">
        <f>IFERROR(时间!$B$4+AS29,"上周无销量")</f>
        <v>43474</v>
      </c>
    </row>
    <row r="30" spans="1:46">
      <c r="A30" t="s">
        <v>277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292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4</v>
      </c>
      <c r="AJ31">
        <f>SUMIF('库存（子SKU）'!$C:$C,$A31,'库存（子SKU）'!AL:AL)</f>
        <v>4</v>
      </c>
      <c r="AK31">
        <f>SUMIF('库存（子SKU）'!$C:$C,$A31,'库存（子SKU）'!AM:AM)</f>
        <v>2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295</v>
      </c>
      <c r="B32" s="5">
        <f>SUMIF('库存（子SKU）'!$C:$C,$A32,'库存（子SKU）'!D:D)</f>
        <v>3</v>
      </c>
      <c r="C32" s="5">
        <f>SUMIF('库存（子SKU）'!$C:$C,$A32,'库存（子SKU）'!E:E)</f>
        <v>9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>
        <v>9.99</v>
      </c>
      <c r="G32">
        <f>SUMIF('库存（子SKU）'!$C:$C,$A32,'库存（子SKU）'!I:I)</f>
        <v>71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71</v>
      </c>
      <c r="L32">
        <f>SUMIF('库存（子SKU）'!$C:$C,$A32,'库存（子SKU）'!N:N)</f>
        <v>0</v>
      </c>
      <c r="M32">
        <f>SUMIF('库存（子SKU）'!$C:$C,$A32,'库存（子SKU）'!O:O)</f>
        <v>74</v>
      </c>
      <c r="N32">
        <f>SUMIF('库存（子SKU）'!$C:$C,$A32,'库存（子SKU）'!P:P)</f>
        <v>15275</v>
      </c>
      <c r="O32">
        <f>SUMIF('库存（子SKU）'!$C:$C,$A32,'库存（子SKU）'!Q:Q)</f>
        <v>63429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139</v>
      </c>
      <c r="S32">
        <f>SUMIF('库存（子SKU）'!$C:$C,$A32,'库存（子SKU）'!U:U)</f>
        <v>217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>
        <f t="shared" si="15"/>
        <v>0.00909983633387889</v>
      </c>
      <c r="W32" s="22">
        <f t="shared" si="16"/>
        <v>0.00342114805530593</v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90.76</v>
      </c>
      <c r="AA32">
        <f>SUMIF('库存（子SKU）'!$C:$C,$A32,'库存（子SKU）'!AC:AC)</f>
        <v>124.69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>
        <f t="shared" si="2"/>
        <v>3.02836169502836</v>
      </c>
      <c r="AE32" s="22">
        <f t="shared" si="3"/>
        <v>1.38683127572016</v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256</v>
      </c>
      <c r="AI32">
        <f>SUMIF('库存（子SKU）'!$C:$C,$A32,'库存（子SKU）'!AK:AK)</f>
        <v>255</v>
      </c>
      <c r="AJ32">
        <f>SUMIF('库存（子SKU）'!$C:$C,$A32,'库存（子SKU）'!AL:AL)</f>
        <v>88</v>
      </c>
      <c r="AK32">
        <f>SUMIF('库存（子SKU）'!$C:$C,$A32,'库存（子SKU）'!AM:AM)</f>
        <v>65</v>
      </c>
      <c r="AL32" s="22">
        <f t="shared" si="6"/>
        <v>0.01171875</v>
      </c>
      <c r="AM32" s="22">
        <f t="shared" si="7"/>
        <v>0.0352941176470588</v>
      </c>
      <c r="AN32" s="22">
        <f t="shared" si="8"/>
        <v>0</v>
      </c>
      <c r="AO32" s="22">
        <f t="shared" si="9"/>
        <v>0</v>
      </c>
      <c r="AP32" s="7">
        <f t="shared" si="10"/>
        <v>0.428571428571429</v>
      </c>
      <c r="AQ32" s="7">
        <f t="shared" si="11"/>
        <v>25.7142857142857</v>
      </c>
      <c r="AR32" s="7">
        <f t="shared" si="12"/>
        <v>45.2857142857143</v>
      </c>
      <c r="AS32">
        <f t="shared" si="13"/>
        <v>165</v>
      </c>
      <c r="AT32" s="2">
        <f>IFERROR(时间!$B$4+AS32,"上周无销量")</f>
        <v>43490</v>
      </c>
    </row>
    <row r="33" spans="1:46">
      <c r="A33" t="s">
        <v>344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347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53</v>
      </c>
      <c r="G34">
        <f>SUMIF('库存（子SKU）'!$C:$C,$A34,'库存（子SKU）'!I:I)</f>
        <v>337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337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 t="str">
        <f t="shared" si="2"/>
        <v/>
      </c>
      <c r="AE34" s="22" t="str">
        <f t="shared" si="3"/>
        <v/>
      </c>
      <c r="AF34" s="22" t="str">
        <f t="shared" si="4"/>
        <v/>
      </c>
      <c r="AG34" s="22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2" t="str">
        <f t="shared" si="6"/>
        <v/>
      </c>
      <c r="AM34" s="22" t="str">
        <f t="shared" si="7"/>
        <v/>
      </c>
      <c r="AN34" s="22" t="str">
        <f t="shared" si="8"/>
        <v/>
      </c>
      <c r="AO34" s="22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337</v>
      </c>
      <c r="AS34" t="str">
        <f t="shared" si="13"/>
        <v>库存为337</v>
      </c>
      <c r="AT34" s="2" t="str">
        <f>IFERROR(时间!$B$4+AS34,"上周无销量")</f>
        <v>上周无销量</v>
      </c>
    </row>
    <row r="35" spans="1:46">
      <c r="A35" t="s">
        <v>353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354</v>
      </c>
      <c r="B36" s="5">
        <f>SUMIF('库存（子SKU）'!$C:$C,$A36,'库存（子SKU）'!D:D)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1</v>
      </c>
      <c r="E36" s="5">
        <f>SUMIF('库存（子SKU）'!$C:$C,$A36,'库存（子SKU）'!G:G)</f>
        <v>2</v>
      </c>
      <c r="F36" s="6">
        <v>8.99</v>
      </c>
      <c r="G36">
        <f>SUMIF('库存（子SKU）'!$C:$C,$A36,'库存（子SKU）'!I:I)</f>
        <v>16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16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9538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18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>
        <f t="shared" si="18"/>
        <v>0.00188718808974628</v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18.54</v>
      </c>
      <c r="AD36" s="22" t="str">
        <f t="shared" si="2"/>
        <v/>
      </c>
      <c r="AE36" s="22">
        <f t="shared" si="3"/>
        <v>0</v>
      </c>
      <c r="AF36" s="22">
        <f t="shared" si="4"/>
        <v>0</v>
      </c>
      <c r="AG36" s="22">
        <f t="shared" si="5"/>
        <v>1.03114571746385</v>
      </c>
      <c r="AH36">
        <f>SUMIF('库存（子SKU）'!$C:$C,$A36,'库存（子SKU）'!AJ:AJ)</f>
        <v>11</v>
      </c>
      <c r="AI36">
        <f>SUMIF('库存（子SKU）'!$C:$C,$A36,'库存（子SKU）'!AK:AK)</f>
        <v>7</v>
      </c>
      <c r="AJ36">
        <f>SUMIF('库存（子SKU）'!$C:$C,$A36,'库存（子SKU）'!AL:AL)</f>
        <v>10</v>
      </c>
      <c r="AK36">
        <f>SUMIF('库存（子SKU）'!$C:$C,$A36,'库存（子SKU）'!AM:AM)</f>
        <v>29</v>
      </c>
      <c r="AL36" s="22">
        <f t="shared" si="6"/>
        <v>0</v>
      </c>
      <c r="AM36" s="22">
        <f t="shared" si="7"/>
        <v>0.142857142857143</v>
      </c>
      <c r="AN36" s="22">
        <f t="shared" si="8"/>
        <v>0.1</v>
      </c>
      <c r="AO36" s="22">
        <f t="shared" si="9"/>
        <v>0.0689655172413793</v>
      </c>
      <c r="AP36" s="7">
        <f t="shared" si="10"/>
        <v>0</v>
      </c>
      <c r="AQ36" s="7">
        <f t="shared" si="11"/>
        <v>0</v>
      </c>
      <c r="AR36" s="7">
        <f t="shared" si="12"/>
        <v>16</v>
      </c>
      <c r="AS36" t="str">
        <f t="shared" si="13"/>
        <v>库存为16</v>
      </c>
      <c r="AT36" s="2" t="str">
        <f>IFERROR(时间!$B$4+AS36,"上周无销量")</f>
        <v>上周无销量</v>
      </c>
    </row>
    <row r="37" spans="1:46">
      <c r="A37" t="s">
        <v>358</v>
      </c>
      <c r="B37" s="5">
        <f>SUMIF('库存（子SKU）'!$C:$C,$A37,'库存（子SKU）'!D:D)</f>
        <v>1</v>
      </c>
      <c r="C37" s="5">
        <f>SUMIF('库存（子SKU）'!$C:$C,$A37,'库存（子SKU）'!E:E)</f>
        <v>3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v>14.08</v>
      </c>
      <c r="G37">
        <f>SUMIF('库存（子SKU）'!$C:$C,$A37,'库存（子SKU）'!I:I)</f>
        <v>23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23</v>
      </c>
      <c r="L37">
        <f>SUMIF('库存（子SKU）'!$C:$C,$A37,'库存（子SKU）'!N:N)</f>
        <v>0</v>
      </c>
      <c r="M37">
        <f>SUMIF('库存（子SKU）'!$C:$C,$A37,'库存（子SKU）'!O:O)</f>
        <v>24</v>
      </c>
      <c r="N37">
        <f>SUMIF('库存（子SKU）'!$C:$C,$A37,'库存（子SKU）'!P:P)</f>
        <v>15629</v>
      </c>
      <c r="O37">
        <f>SUMIF('库存（子SKU）'!$C:$C,$A37,'库存（子SKU）'!Q:Q)</f>
        <v>25192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9</v>
      </c>
      <c r="S37">
        <f>SUMIF('库存（子SKU）'!$C:$C,$A37,'库存（子SKU）'!U:U)</f>
        <v>66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>
        <f t="shared" si="15"/>
        <v>0.000575852581739075</v>
      </c>
      <c r="W37" s="22">
        <f t="shared" si="16"/>
        <v>0.0026198793267704</v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6.03</v>
      </c>
      <c r="AA37">
        <f>SUMIF('库存（子SKU）'!$C:$C,$A37,'库存（子SKU）'!AC:AC)</f>
        <v>43.2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>
        <f t="shared" si="2"/>
        <v>0.428267045454545</v>
      </c>
      <c r="AE37" s="22">
        <f t="shared" si="3"/>
        <v>1.02272727272727</v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37</v>
      </c>
      <c r="AI37">
        <f>SUMIF('库存（子SKU）'!$C:$C,$A37,'库存（子SKU）'!AK:AK)</f>
        <v>55</v>
      </c>
      <c r="AJ37">
        <f>SUMIF('库存（子SKU）'!$C:$C,$A37,'库存（子SKU）'!AL:AL)</f>
        <v>8</v>
      </c>
      <c r="AK37">
        <f>SUMIF('库存（子SKU）'!$C:$C,$A37,'库存（子SKU）'!AM:AM)</f>
        <v>10</v>
      </c>
      <c r="AL37" s="22">
        <f t="shared" si="6"/>
        <v>0.027027027027027</v>
      </c>
      <c r="AM37" s="22">
        <f t="shared" si="7"/>
        <v>0.0545454545454545</v>
      </c>
      <c r="AN37" s="22">
        <f t="shared" si="8"/>
        <v>0</v>
      </c>
      <c r="AO37" s="22">
        <f t="shared" si="9"/>
        <v>0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14.4285714285714</v>
      </c>
      <c r="AS37">
        <f t="shared" si="13"/>
        <v>161</v>
      </c>
      <c r="AT37" s="2">
        <f>IFERROR(时间!$B$4+AS37,"上周无销量")</f>
        <v>43486</v>
      </c>
    </row>
    <row r="38" spans="1:46">
      <c r="A38" t="s">
        <v>367</v>
      </c>
      <c r="B38" s="5">
        <f>SUMIF('库存（子SKU）'!$C:$C,$A38,'库存（子SKU）'!D:D)</f>
        <v>10</v>
      </c>
      <c r="C38" s="5">
        <f>SUMIF('库存（子SKU）'!$C:$C,$A38,'库存（子SKU）'!E:E)</f>
        <v>9</v>
      </c>
      <c r="D38" s="5">
        <f>SUMIF('库存（子SKU）'!$C:$C,$A38,'库存（子SKU）'!F:F)</f>
        <v>10</v>
      </c>
      <c r="E38" s="5">
        <f>SUMIF('库存（子SKU）'!$C:$C,$A38,'库存（子SKU）'!G:G)</f>
        <v>3</v>
      </c>
      <c r="F38" s="6">
        <v>13.2778125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570</v>
      </c>
      <c r="O38">
        <f>SUMIF('库存（子SKU）'!$C:$C,$A38,'库存（子SKU）'!Q:Q)</f>
        <v>20313</v>
      </c>
      <c r="P38">
        <f>SUMIF('库存（子SKU）'!$C:$C,$A38,'库存（子SKU）'!R:R)</f>
        <v>28398</v>
      </c>
      <c r="Q38">
        <f>SUMIF('库存（子SKU）'!$C:$C,$A38,'库存（子SKU）'!S:S)</f>
        <v>3285</v>
      </c>
      <c r="R38">
        <f>SUMIF('库存（子SKU）'!$C:$C,$A38,'库存（子SKU）'!T:T)</f>
        <v>7</v>
      </c>
      <c r="S38">
        <f>SUMIF('库存（子SKU）'!$C:$C,$A38,'库存（子SKU）'!U:U)</f>
        <v>77</v>
      </c>
      <c r="T38">
        <f>SUMIF('库存（子SKU）'!$C:$C,$A38,'库存（子SKU）'!V:V)</f>
        <v>152</v>
      </c>
      <c r="U38">
        <f>SUMIF('库存（子SKU）'!$C:$C,$A38,'库存（子SKU）'!W:W)</f>
        <v>29</v>
      </c>
      <c r="V38" s="22">
        <f t="shared" si="15"/>
        <v>0.012280701754386</v>
      </c>
      <c r="W38" s="22">
        <f t="shared" si="16"/>
        <v>0.00379067592182346</v>
      </c>
      <c r="X38" s="22">
        <f t="shared" si="17"/>
        <v>0.0053524896119445</v>
      </c>
      <c r="Y38" s="22">
        <f t="shared" si="18"/>
        <v>0.00882800608828006</v>
      </c>
      <c r="Z38">
        <f>SUMIF('库存（子SKU）'!$C:$C,$A38,'库存（子SKU）'!AB:AB)</f>
        <v>3.91</v>
      </c>
      <c r="AA38">
        <f>SUMIF('库存（子SKU）'!$C:$C,$A38,'库存（子SKU）'!AC:AC)</f>
        <v>31.31</v>
      </c>
      <c r="AB38">
        <f>SUMIF('库存（子SKU）'!$C:$C,$A38,'库存（子SKU）'!AD:AD)</f>
        <v>56.73</v>
      </c>
      <c r="AC38">
        <f>SUMIF('库存（子SKU）'!$C:$C,$A38,'库存（子SKU）'!AE:AE)</f>
        <v>8.59</v>
      </c>
      <c r="AD38" s="22">
        <f t="shared" si="2"/>
        <v>0.0294476217373909</v>
      </c>
      <c r="AE38" s="22">
        <f t="shared" si="3"/>
        <v>0.262007683034302</v>
      </c>
      <c r="AF38" s="22">
        <f t="shared" si="4"/>
        <v>0.427254112829203</v>
      </c>
      <c r="AG38" s="22">
        <f t="shared" si="5"/>
        <v>0.215647971631873</v>
      </c>
      <c r="AH38">
        <f>SUMIF('库存（子SKU）'!$C:$C,$A38,'库存（子SKU）'!AJ:AJ)</f>
        <v>53</v>
      </c>
      <c r="AI38">
        <f>SUMIF('库存（子SKU）'!$C:$C,$A38,'库存（子SKU）'!AK:AK)</f>
        <v>68</v>
      </c>
      <c r="AJ38">
        <f>SUMIF('库存（子SKU）'!$C:$C,$A38,'库存（子SKU）'!AL:AL)</f>
        <v>112</v>
      </c>
      <c r="AK38">
        <f>SUMIF('库存（子SKU）'!$C:$C,$A38,'库存（子SKU）'!AM:AM)</f>
        <v>32</v>
      </c>
      <c r="AL38" s="22">
        <f t="shared" si="6"/>
        <v>0.188679245283019</v>
      </c>
      <c r="AM38" s="22">
        <f t="shared" si="7"/>
        <v>0.132352941176471</v>
      </c>
      <c r="AN38" s="22">
        <f t="shared" si="8"/>
        <v>0.0892857142857143</v>
      </c>
      <c r="AO38" s="22">
        <f t="shared" si="9"/>
        <v>0.09375</v>
      </c>
      <c r="AP38" s="7">
        <f t="shared" si="10"/>
        <v>1.42857142857143</v>
      </c>
      <c r="AQ38" s="7">
        <f t="shared" si="11"/>
        <v>85.7142857142857</v>
      </c>
      <c r="AR38" s="7">
        <f t="shared" si="12"/>
        <v>-85.7142857142857</v>
      </c>
      <c r="AS38">
        <f t="shared" si="13"/>
        <v>0</v>
      </c>
      <c r="AT38" s="2">
        <f>IFERROR(时间!$B$4+AS38,"上周无销量")</f>
        <v>43325</v>
      </c>
    </row>
    <row r="39" spans="1:46">
      <c r="A39" t="s">
        <v>376</v>
      </c>
      <c r="B39" s="5">
        <f>SUMIF('库存（子SKU）'!$C:$C,$A39,'库存（子SKU）'!D:D)</f>
        <v>4</v>
      </c>
      <c r="C39" s="5">
        <f>SUMIF('库存（子SKU）'!$C:$C,$A39,'库存（子SKU）'!E:E)</f>
        <v>5</v>
      </c>
      <c r="D39" s="5">
        <f>SUMIF('库存（子SKU）'!$C:$C,$A39,'库存（子SKU）'!F:F)</f>
        <v>0</v>
      </c>
      <c r="E39" s="5">
        <f>SUMIF('库存（子SKU）'!$C:$C,$A39,'库存（子SKU）'!G:G)</f>
        <v>1</v>
      </c>
      <c r="F39" s="6">
        <v>13.79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>
        <f t="shared" si="2"/>
        <v>0</v>
      </c>
      <c r="AE39" s="22">
        <f t="shared" si="3"/>
        <v>0</v>
      </c>
      <c r="AF39" s="22" t="str">
        <f t="shared" si="4"/>
        <v/>
      </c>
      <c r="AG39" s="22">
        <f t="shared" si="5"/>
        <v>0</v>
      </c>
      <c r="AH39">
        <f>SUMIF('库存（子SKU）'!$C:$C,$A39,'库存（子SKU）'!AJ:AJ)</f>
        <v>18</v>
      </c>
      <c r="AI39">
        <f>SUMIF('库存（子SKU）'!$C:$C,$A39,'库存（子SKU）'!AK:AK)</f>
        <v>21</v>
      </c>
      <c r="AJ39">
        <f>SUMIF('库存（子SKU）'!$C:$C,$A39,'库存（子SKU）'!AL:AL)</f>
        <v>27</v>
      </c>
      <c r="AK39">
        <f>SUMIF('库存（子SKU）'!$C:$C,$A39,'库存（子SKU）'!AM:AM)</f>
        <v>15</v>
      </c>
      <c r="AL39" s="22">
        <f t="shared" si="6"/>
        <v>0.222222222222222</v>
      </c>
      <c r="AM39" s="22">
        <f t="shared" si="7"/>
        <v>0.238095238095238</v>
      </c>
      <c r="AN39" s="22">
        <f t="shared" si="8"/>
        <v>0</v>
      </c>
      <c r="AO39" s="22">
        <f t="shared" si="9"/>
        <v>0.0666666666666667</v>
      </c>
      <c r="AP39" s="7">
        <f t="shared" si="10"/>
        <v>0.571428571428571</v>
      </c>
      <c r="AQ39" s="7">
        <f t="shared" si="11"/>
        <v>34.2857142857143</v>
      </c>
      <c r="AR39" s="7">
        <f t="shared" si="12"/>
        <v>-34.2857142857143</v>
      </c>
      <c r="AS39">
        <f t="shared" si="13"/>
        <v>0</v>
      </c>
      <c r="AT39" s="2">
        <f>IFERROR(时间!$B$4+AS39,"上周无销量")</f>
        <v>43325</v>
      </c>
    </row>
    <row r="40" spans="1:46">
      <c r="A40" t="s">
        <v>379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14</v>
      </c>
      <c r="AI40">
        <f>SUMIF('库存（子SKU）'!$C:$C,$A40,'库存（子SKU）'!AK:AK)</f>
        <v>16</v>
      </c>
      <c r="AJ40">
        <f>SUMIF('库存（子SKU）'!$C:$C,$A40,'库存（子SKU）'!AL:AL)</f>
        <v>15</v>
      </c>
      <c r="AK40">
        <f>SUMIF('库存（子SKU）'!$C:$C,$A40,'库存（子SKU）'!AM:AM)</f>
        <v>14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390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0</v>
      </c>
      <c r="M41">
        <f>SUMIF('库存（子SKU）'!$C:$C,$A41,'库存（子SKU）'!O:O)</f>
        <v>235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19</v>
      </c>
      <c r="AI41">
        <f>SUMIF('库存（子SKU）'!$C:$C,$A41,'库存（子SKU）'!AK:AK)</f>
        <v>6</v>
      </c>
      <c r="AJ41">
        <f>SUMIF('库存（子SKU）'!$C:$C,$A41,'库存（子SKU）'!AL:AL)</f>
        <v>9</v>
      </c>
      <c r="AK41">
        <f>SUMIF('库存（子SKU）'!$C:$C,$A41,'库存（子SKU）'!AM:AM)</f>
        <v>4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397</v>
      </c>
      <c r="B42" s="5">
        <f>SUMIF('库存（子SKU）'!$C:$C,$A42,'库存（子SKU）'!D:D)</f>
        <v>1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v>28</v>
      </c>
      <c r="G42">
        <f>SUMIF('库存（子SKU）'!$C:$C,$A42,'库存（子SKU）'!I:I)</f>
        <v>18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18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2075</v>
      </c>
      <c r="O42">
        <f>SUMIF('库存（子SKU）'!$C:$C,$A42,'库存（子SKU）'!Q:Q)</f>
        <v>2053</v>
      </c>
      <c r="P42">
        <f>SUMIF('库存（子SKU）'!$C:$C,$A42,'库存（子SKU）'!R:R)</f>
        <v>1710</v>
      </c>
      <c r="Q42">
        <f>SUMIF('库存（子SKU）'!$C:$C,$A42,'库存（子SKU）'!S:S)</f>
        <v>9680</v>
      </c>
      <c r="R42">
        <f>SUMIF('库存（子SKU）'!$C:$C,$A42,'库存（子SKU）'!T:T)</f>
        <v>1</v>
      </c>
      <c r="S42">
        <f>SUMIF('库存（子SKU）'!$C:$C,$A42,'库存（子SKU）'!U:U)</f>
        <v>3</v>
      </c>
      <c r="T42">
        <f>SUMIF('库存（子SKU）'!$C:$C,$A42,'库存（子SKU）'!V:V)</f>
        <v>1</v>
      </c>
      <c r="U42">
        <f>SUMIF('库存（子SKU）'!$C:$C,$A42,'库存（子SKU）'!W:W)</f>
        <v>1</v>
      </c>
      <c r="V42" s="22">
        <f t="shared" si="15"/>
        <v>0.000481927710843373</v>
      </c>
      <c r="W42" s="22">
        <f t="shared" si="16"/>
        <v>0.00146127618119825</v>
      </c>
      <c r="X42" s="22">
        <f t="shared" si="17"/>
        <v>0.000584795321637427</v>
      </c>
      <c r="Y42" s="22">
        <f t="shared" si="18"/>
        <v>0.000103305785123967</v>
      </c>
      <c r="Z42">
        <f>SUMIF('库存（子SKU）'!$C:$C,$A42,'库存（子SKU）'!AB:AB)</f>
        <v>0.84</v>
      </c>
      <c r="AA42">
        <f>SUMIF('库存（子SKU）'!$C:$C,$A42,'库存（子SKU）'!AC:AC)</f>
        <v>3.11</v>
      </c>
      <c r="AB42">
        <f>SUMIF('库存（子SKU）'!$C:$C,$A42,'库存（子SKU）'!AD:AD)</f>
        <v>1.22</v>
      </c>
      <c r="AC42">
        <f>SUMIF('库存（子SKU）'!$C:$C,$A42,'库存（子SKU）'!AE:AE)</f>
        <v>0.5</v>
      </c>
      <c r="AD42" s="22">
        <f t="shared" si="2"/>
        <v>0.03</v>
      </c>
      <c r="AE42" s="22">
        <f t="shared" si="3"/>
        <v>0.111071428571429</v>
      </c>
      <c r="AF42" s="22" t="str">
        <f t="shared" si="4"/>
        <v>无销量广告费为1.22</v>
      </c>
      <c r="AG42" s="22" t="str">
        <f t="shared" si="5"/>
        <v>无销量广告费为0.5</v>
      </c>
      <c r="AH42">
        <f>SUMIF('库存（子SKU）'!$C:$C,$A42,'库存（子SKU）'!AJ:AJ)</f>
        <v>15</v>
      </c>
      <c r="AI42">
        <f>SUMIF('库存（子SKU）'!$C:$C,$A42,'库存（子SKU）'!AK:AK)</f>
        <v>2</v>
      </c>
      <c r="AJ42">
        <f>SUMIF('库存（子SKU）'!$C:$C,$A42,'库存（子SKU）'!AL:AL)</f>
        <v>8</v>
      </c>
      <c r="AK42">
        <f>SUMIF('库存（子SKU）'!$C:$C,$A42,'库存（子SKU）'!AM:AM)</f>
        <v>2</v>
      </c>
      <c r="AL42" s="22">
        <f t="shared" si="6"/>
        <v>0.0666666666666667</v>
      </c>
      <c r="AM42" s="22">
        <f t="shared" si="7"/>
        <v>0.5</v>
      </c>
      <c r="AN42" s="22">
        <f t="shared" si="8"/>
        <v>0</v>
      </c>
      <c r="AO42" s="22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9.42857142857143</v>
      </c>
      <c r="AS42">
        <f t="shared" si="13"/>
        <v>126</v>
      </c>
      <c r="AT42" s="2">
        <f>IFERROR(时间!$B$4+AS42,"上周无销量")</f>
        <v>43451</v>
      </c>
    </row>
    <row r="43" spans="1:46">
      <c r="A43" t="s">
        <v>402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19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19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5</v>
      </c>
      <c r="AI43">
        <f>SUMIF('库存（子SKU）'!$C:$C,$A43,'库存（子SKU）'!AK:AK)</f>
        <v>5</v>
      </c>
      <c r="AJ43">
        <f>SUMIF('库存（子SKU）'!$C:$C,$A43,'库存（子SKU）'!AL:AL)</f>
        <v>6</v>
      </c>
      <c r="AK43">
        <f>SUMIF('库存（子SKU）'!$C:$C,$A43,'库存（子SKU）'!AM:AM)</f>
        <v>2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19</v>
      </c>
      <c r="AS43" t="str">
        <f t="shared" si="13"/>
        <v>库存为19</v>
      </c>
      <c r="AT43" s="2" t="str">
        <f>IFERROR(时间!$B$4+AS43,"上周无销量")</f>
        <v>上周无销量</v>
      </c>
    </row>
    <row r="44" spans="1:46">
      <c r="A44" t="s">
        <v>405</v>
      </c>
      <c r="B44" s="5">
        <f>SUMIF('库存（子SKU）'!$C:$C,$A44,'库存（子SKU）'!D:D)</f>
        <v>2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3</v>
      </c>
      <c r="F44" s="6">
        <v>16.59</v>
      </c>
      <c r="G44">
        <f>SUMIF('库存（子SKU）'!$C:$C,$A44,'库存（子SKU）'!I:I)</f>
        <v>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5</v>
      </c>
      <c r="L44">
        <f>SUMIF('库存（子SKU）'!$C:$C,$A44,'库存（子SKU）'!N:N)</f>
        <v>0</v>
      </c>
      <c r="M44">
        <f>SUMIF('库存（子SKU）'!$C:$C,$A44,'库存（子SKU）'!O:O)</f>
        <v>6</v>
      </c>
      <c r="N44">
        <f>SUMIF('库存（子SKU）'!$C:$C,$A44,'库存（子SKU）'!P:P)</f>
        <v>7919</v>
      </c>
      <c r="O44">
        <f>SUMIF('库存（子SKU）'!$C:$C,$A44,'库存（子SKU）'!Q:Q)</f>
        <v>4684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41</v>
      </c>
      <c r="S44">
        <f>SUMIF('库存（子SKU）'!$C:$C,$A44,'库存（子SKU）'!U:U)</f>
        <v>22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>
        <f t="shared" si="15"/>
        <v>0.00517742139158985</v>
      </c>
      <c r="W44" s="22">
        <f t="shared" si="16"/>
        <v>0.00469684030742955</v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14.97</v>
      </c>
      <c r="AA44">
        <f>SUMIF('库存（子SKU）'!$C:$C,$A44,'库存（子SKU）'!AC:AC)</f>
        <v>8.29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>
        <f t="shared" si="2"/>
        <v>0.451175406871609</v>
      </c>
      <c r="AE44" s="22" t="str">
        <f t="shared" si="3"/>
        <v>无销量广告费为8.29</v>
      </c>
      <c r="AF44" s="22" t="str">
        <f t="shared" si="4"/>
        <v/>
      </c>
      <c r="AG44" s="22">
        <f t="shared" si="5"/>
        <v>0</v>
      </c>
      <c r="AH44">
        <f>SUMIF('库存（子SKU）'!$C:$C,$A44,'库存（子SKU）'!AJ:AJ)</f>
        <v>34</v>
      </c>
      <c r="AI44">
        <f>SUMIF('库存（子SKU）'!$C:$C,$A44,'库存（子SKU）'!AK:AK)</f>
        <v>19</v>
      </c>
      <c r="AJ44">
        <f>SUMIF('库存（子SKU）'!$C:$C,$A44,'库存（子SKU）'!AL:AL)</f>
        <v>8</v>
      </c>
      <c r="AK44">
        <f>SUMIF('库存（子SKU）'!$C:$C,$A44,'库存（子SKU）'!AM:AM)</f>
        <v>15</v>
      </c>
      <c r="AL44" s="22">
        <f t="shared" si="6"/>
        <v>0.0588235294117647</v>
      </c>
      <c r="AM44" s="22">
        <f t="shared" si="7"/>
        <v>0</v>
      </c>
      <c r="AN44" s="22">
        <f t="shared" si="8"/>
        <v>0</v>
      </c>
      <c r="AO44" s="22">
        <f t="shared" si="9"/>
        <v>0.2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-12.1428571428571</v>
      </c>
      <c r="AS44">
        <f t="shared" si="13"/>
        <v>17</v>
      </c>
      <c r="AT44" s="2">
        <f>IFERROR(时间!$B$4+AS44,"上周无销量")</f>
        <v>43342</v>
      </c>
    </row>
    <row r="45" spans="1:46">
      <c r="A45" t="s">
        <v>416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419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424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 t="str">
        <f t="shared" si="6"/>
        <v/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429</v>
      </c>
      <c r="B48" s="5">
        <f>SUMIF('库存（子SKU）'!$C:$C,$A48,'库存（子SKU）'!D:D)</f>
        <v>3</v>
      </c>
      <c r="C48" s="5">
        <f>SUMIF('库存（子SKU）'!$C:$C,$A48,'库存（子SKU）'!E:E)</f>
        <v>2</v>
      </c>
      <c r="D48" s="5">
        <f>SUMIF('库存（子SKU）'!$C:$C,$A48,'库存（子SKU）'!F:F)</f>
        <v>9</v>
      </c>
      <c r="E48" s="5">
        <f>SUMIF('库存（子SKU）'!$C:$C,$A48,'库存（子SKU）'!G:G)</f>
        <v>15</v>
      </c>
      <c r="F48" s="6">
        <v>8.95551724137931</v>
      </c>
      <c r="G48">
        <f>SUMIF('库存（子SKU）'!$C:$C,$A48,'库存（子SKU）'!I:I)</f>
        <v>12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12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550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4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>
        <f t="shared" si="18"/>
        <v>0.00727272727272727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1.99</v>
      </c>
      <c r="AD48" s="22">
        <f t="shared" si="2"/>
        <v>0</v>
      </c>
      <c r="AE48" s="22">
        <f t="shared" si="3"/>
        <v>0</v>
      </c>
      <c r="AF48" s="22">
        <f t="shared" si="4"/>
        <v>0</v>
      </c>
      <c r="AG48" s="22">
        <f t="shared" si="5"/>
        <v>0.0148139591595754</v>
      </c>
      <c r="AH48">
        <f>SUMIF('库存（子SKU）'!$C:$C,$A48,'库存（子SKU）'!AJ:AJ)</f>
        <v>108</v>
      </c>
      <c r="AI48">
        <f>SUMIF('库存（子SKU）'!$C:$C,$A48,'库存（子SKU）'!AK:AK)</f>
        <v>80</v>
      </c>
      <c r="AJ48">
        <f>SUMIF('库存（子SKU）'!$C:$C,$A48,'库存（子SKU）'!AL:AL)</f>
        <v>153</v>
      </c>
      <c r="AK48">
        <f>SUMIF('库存（子SKU）'!$C:$C,$A48,'库存（子SKU）'!AM:AM)</f>
        <v>111</v>
      </c>
      <c r="AL48" s="22">
        <f t="shared" si="6"/>
        <v>0.0277777777777778</v>
      </c>
      <c r="AM48" s="22">
        <f t="shared" si="7"/>
        <v>0.025</v>
      </c>
      <c r="AN48" s="22">
        <f t="shared" si="8"/>
        <v>0.0588235294117647</v>
      </c>
      <c r="AO48" s="22">
        <f t="shared" si="9"/>
        <v>0.135135135135135</v>
      </c>
      <c r="AP48" s="7">
        <f t="shared" si="10"/>
        <v>0.428571428571429</v>
      </c>
      <c r="AQ48" s="7">
        <f t="shared" si="11"/>
        <v>25.7142857142857</v>
      </c>
      <c r="AR48" s="7">
        <f t="shared" si="12"/>
        <v>-13.7142857142857</v>
      </c>
      <c r="AS48">
        <f t="shared" si="13"/>
        <v>28</v>
      </c>
      <c r="AT48" s="2">
        <f>IFERROR(时间!$B$4+AS48,"上周无销量")</f>
        <v>43353</v>
      </c>
    </row>
    <row r="49" spans="1:46">
      <c r="A49" t="s">
        <v>456</v>
      </c>
      <c r="B49" s="5">
        <f>SUMIF('库存（子SKU）'!$C:$C,$A49,'库存（子SKU）'!D:D)</f>
        <v>10</v>
      </c>
      <c r="C49" s="5">
        <f>SUMIF('库存（子SKU）'!$C:$C,$A49,'库存（子SKU）'!E:E)</f>
        <v>16</v>
      </c>
      <c r="D49" s="5">
        <f>SUMIF('库存（子SKU）'!$C:$C,$A49,'库存（子SKU）'!F:F)</f>
        <v>18</v>
      </c>
      <c r="E49" s="5">
        <f>SUMIF('库存（子SKU）'!$C:$C,$A49,'库存（子SKU）'!G:G)</f>
        <v>53</v>
      </c>
      <c r="F49" s="6">
        <v>20.2580412371134</v>
      </c>
      <c r="G49">
        <f>SUMIF('库存（子SKU）'!$C:$C,$A49,'库存（子SKU）'!I:I)</f>
        <v>135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135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8893</v>
      </c>
      <c r="O49">
        <f>SUMIF('库存（子SKU）'!$C:$C,$A49,'库存（子SKU）'!Q:Q)</f>
        <v>41198</v>
      </c>
      <c r="P49">
        <f>SUMIF('库存（子SKU）'!$C:$C,$A49,'库存（子SKU）'!R:R)</f>
        <v>49045</v>
      </c>
      <c r="Q49">
        <f>SUMIF('库存（子SKU）'!$C:$C,$A49,'库存（子SKU）'!S:S)</f>
        <v>12718</v>
      </c>
      <c r="R49">
        <f>SUMIF('库存（子SKU）'!$C:$C,$A49,'库存（子SKU）'!T:T)</f>
        <v>32</v>
      </c>
      <c r="S49">
        <f>SUMIF('库存（子SKU）'!$C:$C,$A49,'库存（子SKU）'!U:U)</f>
        <v>84</v>
      </c>
      <c r="T49">
        <f>SUMIF('库存（子SKU）'!$C:$C,$A49,'库存（子SKU）'!V:V)</f>
        <v>118</v>
      </c>
      <c r="U49">
        <f>SUMIF('库存（子SKU）'!$C:$C,$A49,'库存（子SKU）'!W:W)</f>
        <v>73</v>
      </c>
      <c r="V49" s="22">
        <f t="shared" si="15"/>
        <v>0.00359833576970651</v>
      </c>
      <c r="W49" s="22">
        <f t="shared" si="16"/>
        <v>0.0020389339288315</v>
      </c>
      <c r="X49" s="22">
        <f t="shared" si="17"/>
        <v>0.00240595371597512</v>
      </c>
      <c r="Y49" s="22">
        <f t="shared" si="18"/>
        <v>0.00573989621009593</v>
      </c>
      <c r="Z49">
        <f>SUMIF('库存（子SKU）'!$C:$C,$A49,'库存（子SKU）'!AB:AB)</f>
        <v>24.51</v>
      </c>
      <c r="AA49">
        <f>SUMIF('库存（子SKU）'!$C:$C,$A49,'库存（子SKU）'!AC:AC)</f>
        <v>56.92</v>
      </c>
      <c r="AB49">
        <f>SUMIF('库存（子SKU）'!$C:$C,$A49,'库存（子SKU）'!AD:AD)</f>
        <v>79.11</v>
      </c>
      <c r="AC49">
        <f>SUMIF('库存（子SKU）'!$C:$C,$A49,'库存（子SKU）'!AE:AE)</f>
        <v>48.43</v>
      </c>
      <c r="AD49" s="22">
        <f t="shared" si="2"/>
        <v>0.120988992534465</v>
      </c>
      <c r="AE49" s="22">
        <f t="shared" si="3"/>
        <v>0.175609278229849</v>
      </c>
      <c r="AF49" s="22">
        <f t="shared" si="4"/>
        <v>0.216950886246012</v>
      </c>
      <c r="AG49" s="22">
        <f t="shared" si="5"/>
        <v>0.0451067096867982</v>
      </c>
      <c r="AH49">
        <f>SUMIF('库存（子SKU）'!$C:$C,$A49,'库存（子SKU）'!AJ:AJ)</f>
        <v>65</v>
      </c>
      <c r="AI49">
        <f>SUMIF('库存（子SKU）'!$C:$C,$A49,'库存（子SKU）'!AK:AK)</f>
        <v>83</v>
      </c>
      <c r="AJ49">
        <f>SUMIF('库存（子SKU）'!$C:$C,$A49,'库存（子SKU）'!AL:AL)</f>
        <v>131</v>
      </c>
      <c r="AK49">
        <f>SUMIF('库存（子SKU）'!$C:$C,$A49,'库存（子SKU）'!AM:AM)</f>
        <v>140</v>
      </c>
      <c r="AL49" s="22">
        <f t="shared" si="6"/>
        <v>0.153846153846154</v>
      </c>
      <c r="AM49" s="22">
        <f t="shared" si="7"/>
        <v>0.192771084337349</v>
      </c>
      <c r="AN49" s="22">
        <f t="shared" si="8"/>
        <v>0.137404580152672</v>
      </c>
      <c r="AO49" s="22">
        <f t="shared" si="9"/>
        <v>0.378571428571429</v>
      </c>
      <c r="AP49" s="7">
        <f t="shared" si="10"/>
        <v>1.42857142857143</v>
      </c>
      <c r="AQ49" s="7">
        <f t="shared" si="11"/>
        <v>85.7142857142857</v>
      </c>
      <c r="AR49" s="7">
        <f t="shared" si="12"/>
        <v>49.2857142857143</v>
      </c>
      <c r="AS49">
        <f t="shared" si="13"/>
        <v>94</v>
      </c>
      <c r="AT49" s="2">
        <f>IFERROR(时间!$B$4+AS49,"上周无销量")</f>
        <v>43419</v>
      </c>
    </row>
    <row r="50" spans="1:46">
      <c r="A50" t="s">
        <v>470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25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24</v>
      </c>
      <c r="AI50">
        <f>SUMIF('库存（子SKU）'!$C:$C,$A50,'库存（子SKU）'!AK:AK)</f>
        <v>17</v>
      </c>
      <c r="AJ50">
        <f>SUMIF('库存（子SKU）'!$C:$C,$A50,'库存（子SKU）'!AL:AL)</f>
        <v>17</v>
      </c>
      <c r="AK50">
        <f>SUMIF('库存（子SKU）'!$C:$C,$A50,'库存（子SKU）'!AM:AM)</f>
        <v>13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483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1585</v>
      </c>
      <c r="O51">
        <f>SUMIF('库存（子SKU）'!$C:$C,$A51,'库存（子SKU）'!Q:Q)</f>
        <v>1815</v>
      </c>
      <c r="P51">
        <f>SUMIF('库存（子SKU）'!$C:$C,$A51,'库存（子SKU）'!R:R)</f>
        <v>1699</v>
      </c>
      <c r="Q51">
        <f>SUMIF('库存（子SKU）'!$C:$C,$A51,'库存（子SKU）'!S:S)</f>
        <v>1192</v>
      </c>
      <c r="R51">
        <f>SUMIF('库存（子SKU）'!$C:$C,$A51,'库存（子SKU）'!T:T)</f>
        <v>5</v>
      </c>
      <c r="S51">
        <f>SUMIF('库存（子SKU）'!$C:$C,$A51,'库存（子SKU）'!U:U)</f>
        <v>7</v>
      </c>
      <c r="T51">
        <f>SUMIF('库存（子SKU）'!$C:$C,$A51,'库存（子SKU）'!V:V)</f>
        <v>7</v>
      </c>
      <c r="U51">
        <f>SUMIF('库存（子SKU）'!$C:$C,$A51,'库存（子SKU）'!W:W)</f>
        <v>11</v>
      </c>
      <c r="V51" s="22">
        <f t="shared" si="15"/>
        <v>0.00315457413249211</v>
      </c>
      <c r="W51" s="22">
        <f t="shared" si="16"/>
        <v>0.00385674931129477</v>
      </c>
      <c r="X51" s="22">
        <f t="shared" si="17"/>
        <v>0.00412007062978222</v>
      </c>
      <c r="Y51" s="22">
        <f t="shared" si="18"/>
        <v>0.00922818791946309</v>
      </c>
      <c r="Z51">
        <f>SUMIF('库存（子SKU）'!$C:$C,$A51,'库存（子SKU）'!AB:AB)</f>
        <v>2.73</v>
      </c>
      <c r="AA51">
        <f>SUMIF('库存（子SKU）'!$C:$C,$A51,'库存（子SKU）'!AC:AC)</f>
        <v>2.97</v>
      </c>
      <c r="AB51">
        <f>SUMIF('库存（子SKU）'!$C:$C,$A51,'库存（子SKU）'!AD:AD)</f>
        <v>2.51</v>
      </c>
      <c r="AC51">
        <f>SUMIF('库存（子SKU）'!$C:$C,$A51,'库存（子SKU）'!AE:AE)</f>
        <v>11.68</v>
      </c>
      <c r="AD51" s="22" t="str">
        <f t="shared" si="2"/>
        <v>无销量广告费为2.73</v>
      </c>
      <c r="AE51" s="22" t="str">
        <f t="shared" si="3"/>
        <v>无销量广告费为2.97</v>
      </c>
      <c r="AF51" s="22" t="str">
        <f t="shared" si="4"/>
        <v>无销量广告费为2.51</v>
      </c>
      <c r="AG51" s="22" t="str">
        <f t="shared" si="5"/>
        <v>无销量广告费为11.68</v>
      </c>
      <c r="AH51">
        <f>SUMIF('库存（子SKU）'!$C:$C,$A51,'库存（子SKU）'!AJ:AJ)</f>
        <v>18</v>
      </c>
      <c r="AI51">
        <f>SUMIF('库存（子SKU）'!$C:$C,$A51,'库存（子SKU）'!AK:AK)</f>
        <v>7</v>
      </c>
      <c r="AJ51">
        <f>SUMIF('库存（子SKU）'!$C:$C,$A51,'库存（子SKU）'!AL:AL)</f>
        <v>11</v>
      </c>
      <c r="AK51">
        <f>SUMIF('库存（子SKU）'!$C:$C,$A51,'库存（子SKU）'!AM:AM)</f>
        <v>14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24</v>
      </c>
      <c r="AS51" t="str">
        <f t="shared" si="13"/>
        <v>库存为24</v>
      </c>
      <c r="AT51" s="2" t="str">
        <f>IFERROR(时间!$B$4+AS51,"上周无销量")</f>
        <v>上周无销量</v>
      </c>
    </row>
    <row r="52" spans="1:46">
      <c r="A52" t="s">
        <v>488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492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497</v>
      </c>
      <c r="B54" s="5">
        <f>SUMIF('库存（子SKU）'!$C:$C,$A54,'库存（子SKU）'!D:D)</f>
        <v>7</v>
      </c>
      <c r="C54" s="5">
        <f>SUMIF('库存（子SKU）'!$C:$C,$A54,'库存（子SKU）'!E:E)</f>
        <v>7</v>
      </c>
      <c r="D54" s="5">
        <f>SUMIF('库存（子SKU）'!$C:$C,$A54,'库存（子SKU）'!F:F)</f>
        <v>1</v>
      </c>
      <c r="E54" s="5">
        <f>SUMIF('库存（子SKU）'!$C:$C,$A54,'库存（子SKU）'!G:G)</f>
        <v>0</v>
      </c>
      <c r="F54" s="6">
        <v>11</v>
      </c>
      <c r="G54">
        <f>SUMIF('库存（子SKU）'!$C:$C,$A54,'库存（子SKU）'!I:I)</f>
        <v>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5930</v>
      </c>
      <c r="O54">
        <f>SUMIF('库存（子SKU）'!$C:$C,$A54,'库存（子SKU）'!Q:Q)</f>
        <v>22227</v>
      </c>
      <c r="P54">
        <f>SUMIF('库存（子SKU）'!$C:$C,$A54,'库存（子SKU）'!R:R)</f>
        <v>11774</v>
      </c>
      <c r="Q54">
        <f>SUMIF('库存（子SKU）'!$C:$C,$A54,'库存（子SKU）'!S:S)</f>
        <v>5490</v>
      </c>
      <c r="R54">
        <f>SUMIF('库存（子SKU）'!$C:$C,$A54,'库存（子SKU）'!T:T)</f>
        <v>99</v>
      </c>
      <c r="S54">
        <f>SUMIF('库存（子SKU）'!$C:$C,$A54,'库存（子SKU）'!U:U)</f>
        <v>198</v>
      </c>
      <c r="T54">
        <f>SUMIF('库存（子SKU）'!$C:$C,$A54,'库存（子SKU）'!V:V)</f>
        <v>41</v>
      </c>
      <c r="U54">
        <f>SUMIF('库存（子SKU）'!$C:$C,$A54,'库存（子SKU）'!W:W)</f>
        <v>32</v>
      </c>
      <c r="V54" s="22">
        <f t="shared" si="15"/>
        <v>0.0166947723440135</v>
      </c>
      <c r="W54" s="22">
        <f t="shared" si="16"/>
        <v>0.00890808476177622</v>
      </c>
      <c r="X54" s="22">
        <f t="shared" si="17"/>
        <v>0.00348224902327162</v>
      </c>
      <c r="Y54" s="22">
        <f t="shared" si="18"/>
        <v>0.0058287795992714</v>
      </c>
      <c r="Z54">
        <f>SUMIF('库存（子SKU）'!$C:$C,$A54,'库存（子SKU）'!AB:AB)</f>
        <v>30.78</v>
      </c>
      <c r="AA54">
        <f>SUMIF('库存（子SKU）'!$C:$C,$A54,'库存（子SKU）'!AC:AC)</f>
        <v>54.33</v>
      </c>
      <c r="AB54">
        <f>SUMIF('库存（子SKU）'!$C:$C,$A54,'库存（子SKU）'!AD:AD)</f>
        <v>9.49</v>
      </c>
      <c r="AC54">
        <f>SUMIF('库存（子SKU）'!$C:$C,$A54,'库存（子SKU）'!AE:AE)</f>
        <v>19.02</v>
      </c>
      <c r="AD54" s="22">
        <f t="shared" si="2"/>
        <v>0.39974025974026</v>
      </c>
      <c r="AE54" s="22">
        <f t="shared" si="3"/>
        <v>0.705584415584416</v>
      </c>
      <c r="AF54" s="22">
        <f t="shared" si="4"/>
        <v>0.862727272727273</v>
      </c>
      <c r="AG54" s="22" t="str">
        <f t="shared" si="5"/>
        <v>无销量广告费为19.02</v>
      </c>
      <c r="AH54">
        <f>SUMIF('库存（子SKU）'!$C:$C,$A54,'库存（子SKU）'!AJ:AJ)</f>
        <v>134</v>
      </c>
      <c r="AI54">
        <f>SUMIF('库存（子SKU）'!$C:$C,$A54,'库存（子SKU）'!AK:AK)</f>
        <v>134</v>
      </c>
      <c r="AJ54">
        <f>SUMIF('库存（子SKU）'!$C:$C,$A54,'库存（子SKU）'!AL:AL)</f>
        <v>56</v>
      </c>
      <c r="AK54">
        <f>SUMIF('库存（子SKU）'!$C:$C,$A54,'库存（子SKU）'!AM:AM)</f>
        <v>39</v>
      </c>
      <c r="AL54" s="22">
        <f t="shared" si="6"/>
        <v>0.0522388059701493</v>
      </c>
      <c r="AM54" s="22">
        <f t="shared" si="7"/>
        <v>0.0522388059701493</v>
      </c>
      <c r="AN54" s="22">
        <f t="shared" si="8"/>
        <v>0.0178571428571429</v>
      </c>
      <c r="AO54" s="22">
        <f t="shared" si="9"/>
        <v>0</v>
      </c>
      <c r="AP54" s="7">
        <f t="shared" si="10"/>
        <v>1</v>
      </c>
      <c r="AQ54" s="7">
        <f t="shared" si="11"/>
        <v>60</v>
      </c>
      <c r="AR54" s="7">
        <f t="shared" si="12"/>
        <v>-57</v>
      </c>
      <c r="AS54">
        <f t="shared" si="13"/>
        <v>3</v>
      </c>
      <c r="AT54" s="2">
        <f>IFERROR(时间!$B$4+AS54,"上周无销量")</f>
        <v>43328</v>
      </c>
    </row>
    <row r="55" spans="1:46">
      <c r="A55" t="s">
        <v>511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61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61</v>
      </c>
      <c r="L55">
        <f>SUMIF('库存（子SKU）'!$C:$C,$A55,'库存（子SKU）'!N:N)</f>
        <v>1</v>
      </c>
      <c r="M55">
        <f>SUMIF('库存（子SKU）'!$C:$C,$A55,'库存（子SKU）'!O:O)</f>
        <v>60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65</v>
      </c>
      <c r="AI55">
        <f>SUMIF('库存（子SKU）'!$C:$C,$A55,'库存（子SKU）'!AK:AK)</f>
        <v>28</v>
      </c>
      <c r="AJ55">
        <f>SUMIF('库存（子SKU）'!$C:$C,$A55,'库存（子SKU）'!AL:AL)</f>
        <v>51</v>
      </c>
      <c r="AK55">
        <f>SUMIF('库存（子SKU）'!$C:$C,$A55,'库存（子SKU）'!AM:AM)</f>
        <v>35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61</v>
      </c>
      <c r="AS55" t="str">
        <f t="shared" si="13"/>
        <v>库存为61</v>
      </c>
      <c r="AT55" s="2" t="str">
        <f>IFERROR(时间!$B$4+AS55,"上周无销量")</f>
        <v>上周无销量</v>
      </c>
    </row>
    <row r="56" spans="1:46">
      <c r="A56" t="s">
        <v>544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1</v>
      </c>
      <c r="E56" s="5">
        <f>SUMIF('库存（子SKU）'!$C:$C,$A56,'库存（子SKU）'!G:G)</f>
        <v>0</v>
      </c>
      <c r="F56" s="6">
        <v>21.98</v>
      </c>
      <c r="G56">
        <f>SUMIF('库存（子SKU）'!$C:$C,$A56,'库存（子SKU）'!I:I)</f>
        <v>24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24</v>
      </c>
      <c r="L56">
        <f>SUMIF('库存（子SKU）'!$C:$C,$A56,'库存（子SKU）'!N:N)</f>
        <v>0</v>
      </c>
      <c r="M56">
        <f>SUMIF('库存（子SKU）'!$C:$C,$A56,'库存（子SKU）'!O:O)</f>
        <v>23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>
        <f t="shared" si="4"/>
        <v>0</v>
      </c>
      <c r="AG56" s="22" t="str">
        <f t="shared" si="5"/>
        <v/>
      </c>
      <c r="AH56">
        <f>SUMIF('库存（子SKU）'!$C:$C,$A56,'库存（子SKU）'!AJ:AJ)</f>
        <v>35</v>
      </c>
      <c r="AI56">
        <f>SUMIF('库存（子SKU）'!$C:$C,$A56,'库存（子SKU）'!AK:AK)</f>
        <v>10</v>
      </c>
      <c r="AJ56">
        <f>SUMIF('库存（子SKU）'!$C:$C,$A56,'库存（子SKU）'!AL:AL)</f>
        <v>17</v>
      </c>
      <c r="AK56">
        <f>SUMIF('库存（子SKU）'!$C:$C,$A56,'库存（子SKU）'!AM:AM)</f>
        <v>25</v>
      </c>
      <c r="AL56" s="22">
        <f t="shared" si="6"/>
        <v>0</v>
      </c>
      <c r="AM56" s="22">
        <f t="shared" si="7"/>
        <v>0</v>
      </c>
      <c r="AN56" s="22">
        <f t="shared" si="8"/>
        <v>0.0588235294117647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24</v>
      </c>
      <c r="AS56" t="str">
        <f t="shared" si="13"/>
        <v>库存为24</v>
      </c>
      <c r="AT56" s="2" t="str">
        <f>IFERROR(时间!$B$4+AS56,"上周无销量")</f>
        <v>上周无销量</v>
      </c>
    </row>
    <row r="57" spans="1:46">
      <c r="A57" t="s">
        <v>561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9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6</v>
      </c>
      <c r="O57">
        <f>SUMIF('库存（子SKU）'!$C:$C,$A57,'库存（子SKU）'!Q:Q)</f>
        <v>14</v>
      </c>
      <c r="P57">
        <f>SUMIF('库存（子SKU）'!$C:$C,$A57,'库存（子SKU）'!R:R)</f>
        <v>8</v>
      </c>
      <c r="Q57">
        <f>SUMIF('库存（子SKU）'!$C:$C,$A57,'库存（子SKU）'!S:S)</f>
        <v>10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>
        <f t="shared" si="15"/>
        <v>0</v>
      </c>
      <c r="W57" s="22">
        <f t="shared" si="16"/>
        <v>0</v>
      </c>
      <c r="X57" s="22">
        <f t="shared" si="17"/>
        <v>0</v>
      </c>
      <c r="Y57" s="22">
        <f t="shared" si="18"/>
        <v>0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5</v>
      </c>
      <c r="AI57">
        <f>SUMIF('库存（子SKU）'!$C:$C,$A57,'库存（子SKU）'!AK:AK)</f>
        <v>6</v>
      </c>
      <c r="AJ57">
        <f>SUMIF('库存（子SKU）'!$C:$C,$A57,'库存（子SKU）'!AL:AL)</f>
        <v>10</v>
      </c>
      <c r="AK57">
        <f>SUMIF('库存（子SKU）'!$C:$C,$A57,'库存（子SKU）'!AM:AM)</f>
        <v>13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9</v>
      </c>
      <c r="AS57" t="str">
        <f t="shared" si="13"/>
        <v>库存为9</v>
      </c>
      <c r="AT57" s="2" t="str">
        <f>IFERROR(时间!$B$4+AS57,"上周无销量")</f>
        <v>上周无销量</v>
      </c>
    </row>
    <row r="58" spans="1:46">
      <c r="A58" t="s">
        <v>572</v>
      </c>
      <c r="B58" s="5">
        <f>SUMIF('库存（子SKU）'!$C:$C,$A58,'库存（子SKU）'!D:D)</f>
        <v>0</v>
      </c>
      <c r="C58" s="5">
        <f>SUMIF('库存（子SKU）'!$C:$C,$A58,'库存（子SKU）'!E:E)</f>
        <v>4</v>
      </c>
      <c r="D58" s="5">
        <f>SUMIF('库存（子SKU）'!$C:$C,$A58,'库存（子SKU）'!F:F)</f>
        <v>2</v>
      </c>
      <c r="E58" s="5">
        <f>SUMIF('库存（子SKU）'!$C:$C,$A58,'库存（子SKU）'!G:G)</f>
        <v>3</v>
      </c>
      <c r="F58" s="6">
        <v>13.7677777777778</v>
      </c>
      <c r="G58">
        <f>SUMIF('库存（子SKU）'!$C:$C,$A58,'库存（子SKU）'!I:I)</f>
        <v>55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55</v>
      </c>
      <c r="L58">
        <f>SUMIF('库存（子SKU）'!$C:$C,$A58,'库存（子SKU）'!N:N)</f>
        <v>1</v>
      </c>
      <c r="M58">
        <f>SUMIF('库存（子SKU）'!$C:$C,$A58,'库存（子SKU）'!O:O)</f>
        <v>0</v>
      </c>
      <c r="N58">
        <f>SUMIF('库存（子SKU）'!$C:$C,$A58,'库存（子SKU）'!P:P)</f>
        <v>148</v>
      </c>
      <c r="O58">
        <f>SUMIF('库存（子SKU）'!$C:$C,$A58,'库存（子SKU）'!Q:Q)</f>
        <v>368</v>
      </c>
      <c r="P58">
        <f>SUMIF('库存（子SKU）'!$C:$C,$A58,'库存（子SKU）'!R:R)</f>
        <v>352</v>
      </c>
      <c r="Q58">
        <f>SUMIF('库存（子SKU）'!$C:$C,$A58,'库存（子SKU）'!S:S)</f>
        <v>295</v>
      </c>
      <c r="R58">
        <f>SUMIF('库存（子SKU）'!$C:$C,$A58,'库存（子SKU）'!T:T)</f>
        <v>4</v>
      </c>
      <c r="S58">
        <f>SUMIF('库存（子SKU）'!$C:$C,$A58,'库存（子SKU）'!U:U)</f>
        <v>1</v>
      </c>
      <c r="T58">
        <f>SUMIF('库存（子SKU）'!$C:$C,$A58,'库存（子SKU）'!V:V)</f>
        <v>2</v>
      </c>
      <c r="U58">
        <f>SUMIF('库存（子SKU）'!$C:$C,$A58,'库存（子SKU）'!W:W)</f>
        <v>0</v>
      </c>
      <c r="V58" s="22">
        <f t="shared" si="15"/>
        <v>0.027027027027027</v>
      </c>
      <c r="W58" s="22">
        <f t="shared" si="16"/>
        <v>0.00271739130434783</v>
      </c>
      <c r="X58" s="22">
        <f t="shared" si="17"/>
        <v>0.00568181818181818</v>
      </c>
      <c r="Y58" s="22">
        <f t="shared" si="18"/>
        <v>0</v>
      </c>
      <c r="Z58">
        <f>SUMIF('库存（子SKU）'!$C:$C,$A58,'库存（子SKU）'!AB:AB)</f>
        <v>2.12</v>
      </c>
      <c r="AA58">
        <f>SUMIF('库存（子SKU）'!$C:$C,$A58,'库存（子SKU）'!AC:AC)</f>
        <v>0.75</v>
      </c>
      <c r="AB58">
        <f>SUMIF('库存（子SKU）'!$C:$C,$A58,'库存（子SKU）'!AD:AD)</f>
        <v>1.33</v>
      </c>
      <c r="AC58">
        <f>SUMIF('库存（子SKU）'!$C:$C,$A58,'库存（子SKU）'!AE:AE)</f>
        <v>0</v>
      </c>
      <c r="AD58" s="22" t="str">
        <f t="shared" si="2"/>
        <v>无销量广告费为2.12</v>
      </c>
      <c r="AE58" s="22">
        <f t="shared" si="3"/>
        <v>0.0136187555483819</v>
      </c>
      <c r="AF58" s="22">
        <f t="shared" si="4"/>
        <v>0.0483011863449277</v>
      </c>
      <c r="AG58" s="22">
        <f t="shared" si="5"/>
        <v>0</v>
      </c>
      <c r="AH58">
        <f>SUMIF('库存（子SKU）'!$C:$C,$A58,'库存（子SKU）'!AJ:AJ)</f>
        <v>22</v>
      </c>
      <c r="AI58">
        <f>SUMIF('库存（子SKU）'!$C:$C,$A58,'库存（子SKU）'!AK:AK)</f>
        <v>23</v>
      </c>
      <c r="AJ58">
        <f>SUMIF('库存（子SKU）'!$C:$C,$A58,'库存（子SKU）'!AL:AL)</f>
        <v>44</v>
      </c>
      <c r="AK58">
        <f>SUMIF('库存（子SKU）'!$C:$C,$A58,'库存（子SKU）'!AM:AM)</f>
        <v>29</v>
      </c>
      <c r="AL58" s="22">
        <f t="shared" si="6"/>
        <v>0</v>
      </c>
      <c r="AM58" s="22">
        <f t="shared" si="7"/>
        <v>0.173913043478261</v>
      </c>
      <c r="AN58" s="22">
        <f t="shared" si="8"/>
        <v>0.0454545454545455</v>
      </c>
      <c r="AO58" s="22">
        <f t="shared" si="9"/>
        <v>0.103448275862069</v>
      </c>
      <c r="AP58" s="7">
        <f t="shared" si="10"/>
        <v>0</v>
      </c>
      <c r="AQ58" s="7">
        <f t="shared" si="11"/>
        <v>0</v>
      </c>
      <c r="AR58" s="7">
        <f t="shared" si="12"/>
        <v>55</v>
      </c>
      <c r="AS58" t="str">
        <f t="shared" si="13"/>
        <v>库存为55</v>
      </c>
      <c r="AT58" s="2" t="str">
        <f>IFERROR(时间!$B$4+AS58,"上周无销量")</f>
        <v>上周无销量</v>
      </c>
    </row>
    <row r="59" spans="1:46">
      <c r="A59" t="s">
        <v>586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589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592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595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2" t="str">
        <f t="shared" si="6"/>
        <v/>
      </c>
      <c r="AM62" s="22" t="str">
        <f t="shared" si="7"/>
        <v/>
      </c>
      <c r="AN62" s="22" t="str">
        <f t="shared" si="8"/>
        <v/>
      </c>
      <c r="AO62" s="22" t="str">
        <f t="shared" si="9"/>
        <v/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598</v>
      </c>
      <c r="B63" s="5">
        <f>SUMIF('库存（子SKU）'!$C:$C,$A63,'库存（子SKU）'!D:D)</f>
        <v>0</v>
      </c>
      <c r="C63" s="5">
        <f>SUMIF('库存（子SKU）'!$C:$C,$A63,'库存（子SKU）'!E:E)</f>
        <v>2</v>
      </c>
      <c r="D63" s="5">
        <f>SUMIF('库存（子SKU）'!$C:$C,$A63,'库存（子SKU）'!F:F)</f>
        <v>4</v>
      </c>
      <c r="E63" s="5">
        <f>SUMIF('库存（子SKU）'!$C:$C,$A63,'库存（子SKU）'!G:G)</f>
        <v>4</v>
      </c>
      <c r="F63" s="6">
        <v>10.19</v>
      </c>
      <c r="G63">
        <f>SUMIF('库存（子SKU）'!$C:$C,$A63,'库存（子SKU）'!I:I)</f>
        <v>29</v>
      </c>
      <c r="H63">
        <f>SUMIF('库存（子SKU）'!$C:$C,$A63,'库存（子SKU）'!J:J)</f>
        <v>50</v>
      </c>
      <c r="I63">
        <f>SUMIF('库存（子SKU）'!$C:$C,$A63,'库存（子SKU）'!K:K)</f>
        <v>1</v>
      </c>
      <c r="J63">
        <f>SUMIF('库存（子SKU）'!$C:$C,$A63,'库存（子SKU）'!L:L)</f>
        <v>3</v>
      </c>
      <c r="K63">
        <f t="shared" si="0"/>
        <v>83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2123</v>
      </c>
      <c r="O63">
        <f>SUMIF('库存（子SKU）'!$C:$C,$A63,'库存（子SKU）'!Q:Q)</f>
        <v>4110</v>
      </c>
      <c r="P63">
        <f>SUMIF('库存（子SKU）'!$C:$C,$A63,'库存（子SKU）'!R:R)</f>
        <v>3222</v>
      </c>
      <c r="Q63">
        <f>SUMIF('库存（子SKU）'!$C:$C,$A63,'库存（子SKU）'!S:S)</f>
        <v>19397</v>
      </c>
      <c r="R63">
        <f>SUMIF('库存（子SKU）'!$C:$C,$A63,'库存（子SKU）'!T:T)</f>
        <v>5</v>
      </c>
      <c r="S63">
        <f>SUMIF('库存（子SKU）'!$C:$C,$A63,'库存（子SKU）'!U:U)</f>
        <v>11</v>
      </c>
      <c r="T63">
        <f>SUMIF('库存（子SKU）'!$C:$C,$A63,'库存（子SKU）'!V:V)</f>
        <v>7</v>
      </c>
      <c r="U63">
        <f>SUMIF('库存（子SKU）'!$C:$C,$A63,'库存（子SKU）'!W:W)</f>
        <v>45</v>
      </c>
      <c r="V63" s="22">
        <f t="shared" si="15"/>
        <v>0.0023551577955723</v>
      </c>
      <c r="W63" s="22">
        <f t="shared" si="16"/>
        <v>0.00267639902676399</v>
      </c>
      <c r="X63" s="22">
        <f t="shared" si="17"/>
        <v>0.00217256362507759</v>
      </c>
      <c r="Y63" s="22">
        <f t="shared" si="18"/>
        <v>0.00231994638346136</v>
      </c>
      <c r="Z63">
        <f>SUMIF('库存（子SKU）'!$C:$C,$A63,'库存（子SKU）'!AB:AB)</f>
        <v>4.33</v>
      </c>
      <c r="AA63">
        <f>SUMIF('库存（子SKU）'!$C:$C,$A63,'库存（子SKU）'!AC:AC)</f>
        <v>10.64</v>
      </c>
      <c r="AB63">
        <f>SUMIF('库存（子SKU）'!$C:$C,$A63,'库存（子SKU）'!AD:AD)</f>
        <v>6.68</v>
      </c>
      <c r="AC63">
        <f>SUMIF('库存（子SKU）'!$C:$C,$A63,'库存（子SKU）'!AE:AE)</f>
        <v>41.71</v>
      </c>
      <c r="AD63" s="22" t="str">
        <f t="shared" si="2"/>
        <v>无销量广告费为4.33</v>
      </c>
      <c r="AE63" s="22">
        <f t="shared" si="3"/>
        <v>0.522080471050049</v>
      </c>
      <c r="AF63" s="22">
        <f t="shared" si="4"/>
        <v>0.163886162904809</v>
      </c>
      <c r="AG63" s="22">
        <f t="shared" si="5"/>
        <v>1.02330716388616</v>
      </c>
      <c r="AH63">
        <f>SUMIF('库存（子SKU）'!$C:$C,$A63,'库存（子SKU）'!AJ:AJ)</f>
        <v>23</v>
      </c>
      <c r="AI63">
        <f>SUMIF('库存（子SKU）'!$C:$C,$A63,'库存（子SKU）'!AK:AK)</f>
        <v>25</v>
      </c>
      <c r="AJ63">
        <f>SUMIF('库存（子SKU）'!$C:$C,$A63,'库存（子SKU）'!AL:AL)</f>
        <v>36</v>
      </c>
      <c r="AK63">
        <f>SUMIF('库存（子SKU）'!$C:$C,$A63,'库存（子SKU）'!AM:AM)</f>
        <v>26</v>
      </c>
      <c r="AL63" s="22">
        <f t="shared" si="6"/>
        <v>0</v>
      </c>
      <c r="AM63" s="22">
        <f t="shared" si="7"/>
        <v>0.08</v>
      </c>
      <c r="AN63" s="22">
        <f t="shared" si="8"/>
        <v>0.111111111111111</v>
      </c>
      <c r="AO63" s="22">
        <f t="shared" si="9"/>
        <v>0.153846153846154</v>
      </c>
      <c r="AP63" s="7">
        <f t="shared" si="10"/>
        <v>0</v>
      </c>
      <c r="AQ63" s="7">
        <f t="shared" si="11"/>
        <v>0</v>
      </c>
      <c r="AR63" s="7">
        <f t="shared" si="12"/>
        <v>83</v>
      </c>
      <c r="AS63" t="str">
        <f t="shared" si="13"/>
        <v>库存为83</v>
      </c>
      <c r="AT63" s="2" t="str">
        <f>IFERROR(时间!$B$4+AS63,"上周无销量")</f>
        <v>上周无销量</v>
      </c>
    </row>
    <row r="64" spans="1:46">
      <c r="A64" t="s">
        <v>606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15</v>
      </c>
      <c r="L64">
        <f>SUMIF('库存（子SKU）'!$C:$C,$A64,'库存（子SKU）'!N:N)</f>
        <v>0</v>
      </c>
      <c r="M64">
        <f>SUMIF('库存（子SKU）'!$C:$C,$A64,'库存（子SKU）'!O:O)</f>
        <v>15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18</v>
      </c>
      <c r="AI64">
        <f>SUMIF('库存（子SKU）'!$C:$C,$A64,'库存（子SKU）'!AK:AK)</f>
        <v>12</v>
      </c>
      <c r="AJ64">
        <f>SUMIF('库存（子SKU）'!$C:$C,$A64,'库存（子SKU）'!AL:AL)</f>
        <v>14</v>
      </c>
      <c r="AK64">
        <f>SUMIF('库存（子SKU）'!$C:$C,$A64,'库存（子SKU）'!AM:AM)</f>
        <v>16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15</v>
      </c>
      <c r="AS64" t="str">
        <f t="shared" si="13"/>
        <v>库存为15</v>
      </c>
      <c r="AT64" s="2" t="str">
        <f>IFERROR(时间!$B$4+AS64,"上周无销量")</f>
        <v>上周无销量</v>
      </c>
    </row>
    <row r="65" spans="1:46">
      <c r="A65" t="s">
        <v>615</v>
      </c>
      <c r="B65" s="5">
        <f>SUMIF('库存（子SKU）'!$C:$C,$A65,'库存（子SKU）'!D:D)</f>
        <v>1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>
        <v>15.99</v>
      </c>
      <c r="G65">
        <f>SUMIF('库存（子SKU）'!$C:$C,$A65,'库存（子SKU）'!I:I)</f>
        <v>7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7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>
        <f t="shared" si="2"/>
        <v>0</v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13</v>
      </c>
      <c r="AI65">
        <f>SUMIF('库存（子SKU）'!$C:$C,$A65,'库存（子SKU）'!AK:AK)</f>
        <v>5</v>
      </c>
      <c r="AJ65">
        <f>SUMIF('库存（子SKU）'!$C:$C,$A65,'库存（子SKU）'!AL:AL)</f>
        <v>1</v>
      </c>
      <c r="AK65">
        <f>SUMIF('库存（子SKU）'!$C:$C,$A65,'库存（子SKU）'!AM:AM)</f>
        <v>12</v>
      </c>
      <c r="AL65" s="22">
        <f t="shared" si="6"/>
        <v>0.0769230769230769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0.142857142857143</v>
      </c>
      <c r="AQ65" s="7">
        <f t="shared" si="11"/>
        <v>8.57142857142857</v>
      </c>
      <c r="AR65" s="7">
        <f t="shared" si="12"/>
        <v>-1.57142857142857</v>
      </c>
      <c r="AS65">
        <f t="shared" si="13"/>
        <v>49</v>
      </c>
      <c r="AT65" s="2">
        <f>IFERROR(时间!$B$4+AS65,"上周无销量")</f>
        <v>43374</v>
      </c>
    </row>
    <row r="66" spans="1:46">
      <c r="A66" t="s">
        <v>618</v>
      </c>
      <c r="B66" s="5">
        <f>SUMIF('库存（子SKU）'!$C:$C,$A66,'库存（子SKU）'!D:D)</f>
        <v>2</v>
      </c>
      <c r="C66" s="5">
        <f>SUMIF('库存（子SKU）'!$C:$C,$A66,'库存（子SKU）'!E:E)</f>
        <v>0</v>
      </c>
      <c r="D66" s="5">
        <f>SUMIF('库存（子SKU）'!$C:$C,$A66,'库存（子SKU）'!F:F)</f>
        <v>1</v>
      </c>
      <c r="E66" s="5">
        <f>SUMIF('库存（子SKU）'!$C:$C,$A66,'库存（子SKU）'!G:G)</f>
        <v>2</v>
      </c>
      <c r="F66" s="6">
        <v>14.792</v>
      </c>
      <c r="G66">
        <f>SUMIF('库存（子SKU）'!$C:$C,$A66,'库存（子SKU）'!I:I)</f>
        <v>48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48</v>
      </c>
      <c r="L66">
        <f>SUMIF('库存（子SKU）'!$C:$C,$A66,'库存（子SKU）'!N:N)</f>
        <v>1</v>
      </c>
      <c r="M66">
        <f>SUMIF('库存（子SKU）'!$C:$C,$A66,'库存（子SKU）'!O:O)</f>
        <v>46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>
        <f t="shared" si="2"/>
        <v>0</v>
      </c>
      <c r="AE66" s="22" t="str">
        <f t="shared" si="3"/>
        <v/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39</v>
      </c>
      <c r="AI66">
        <f>SUMIF('库存（子SKU）'!$C:$C,$A66,'库存（子SKU）'!AK:AK)</f>
        <v>11</v>
      </c>
      <c r="AJ66">
        <f>SUMIF('库存（子SKU）'!$C:$C,$A66,'库存（子SKU）'!AL:AL)</f>
        <v>17</v>
      </c>
      <c r="AK66">
        <f>SUMIF('库存（子SKU）'!$C:$C,$A66,'库存（子SKU）'!AM:AM)</f>
        <v>47</v>
      </c>
      <c r="AL66" s="22">
        <f t="shared" si="6"/>
        <v>0.0512820512820513</v>
      </c>
      <c r="AM66" s="22">
        <f t="shared" si="7"/>
        <v>0</v>
      </c>
      <c r="AN66" s="22">
        <f t="shared" si="8"/>
        <v>0.0588235294117647</v>
      </c>
      <c r="AO66" s="22">
        <f t="shared" si="9"/>
        <v>0.0425531914893617</v>
      </c>
      <c r="AP66" s="7">
        <f t="shared" si="10"/>
        <v>0.285714285714286</v>
      </c>
      <c r="AQ66" s="7">
        <f t="shared" si="11"/>
        <v>17.1428571428571</v>
      </c>
      <c r="AR66" s="7">
        <f t="shared" si="12"/>
        <v>30.8571428571429</v>
      </c>
      <c r="AS66">
        <f t="shared" si="13"/>
        <v>168</v>
      </c>
      <c r="AT66" s="2">
        <f>IFERROR(时间!$B$4+AS66,"上周无销量")</f>
        <v>43493</v>
      </c>
    </row>
    <row r="67" spans="1:46">
      <c r="A67" t="s">
        <v>627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</v>
      </c>
      <c r="L67">
        <f>SUMIF('库存（子SKU）'!$C:$C,$A67,'库存（子SKU）'!N:N)</f>
        <v>0</v>
      </c>
      <c r="M67">
        <f>SUMIF('库存（子SKU）'!$C:$C,$A67,'库存（子SKU）'!O:O)</f>
        <v>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2</v>
      </c>
      <c r="AI67">
        <f>SUMIF('库存（子SKU）'!$C:$C,$A67,'库存（子SKU）'!AK:AK)</f>
        <v>5</v>
      </c>
      <c r="AJ67">
        <f>SUMIF('库存（子SKU）'!$C:$C,$A67,'库存（子SKU）'!AL:AL)</f>
        <v>9</v>
      </c>
      <c r="AK67">
        <f>SUMIF('库存（子SKU）'!$C:$C,$A67,'库存（子SKU）'!AM:AM)</f>
        <v>6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6</v>
      </c>
      <c r="AS67" t="str">
        <f t="shared" si="13"/>
        <v>库存为6</v>
      </c>
      <c r="AT67" s="2" t="str">
        <f>IFERROR(时间!$B$4+AS67,"上周无销量")</f>
        <v>上周无销量</v>
      </c>
    </row>
    <row r="68" spans="1:46">
      <c r="A68" t="s">
        <v>632</v>
      </c>
      <c r="B68" s="5">
        <f>SUMIF('库存（子SKU）'!$C:$C,$A68,'库存（子SKU）'!D:D)</f>
        <v>8</v>
      </c>
      <c r="C68" s="5">
        <f>SUMIF('库存（子SKU）'!$C:$C,$A68,'库存（子SKU）'!E:E)</f>
        <v>16</v>
      </c>
      <c r="D68" s="5">
        <f>SUMIF('库存（子SKU）'!$C:$C,$A68,'库存（子SKU）'!F:F)</f>
        <v>15</v>
      </c>
      <c r="E68" s="5">
        <f>SUMIF('库存（子SKU）'!$C:$C,$A68,'库存（子SKU）'!G:G)</f>
        <v>24</v>
      </c>
      <c r="F68" s="6">
        <v>15.0693650793651</v>
      </c>
      <c r="G68">
        <f>SUMIF('库存（子SKU）'!$C:$C,$A68,'库存（子SKU）'!I:I)</f>
        <v>52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52</v>
      </c>
      <c r="L68">
        <f>SUMIF('库存（子SKU）'!$C:$C,$A68,'库存（子SKU）'!N:N)</f>
        <v>1</v>
      </c>
      <c r="M68">
        <f>SUMIF('库存（子SKU）'!$C:$C,$A68,'库存（子SKU）'!O:O)</f>
        <v>53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1360</v>
      </c>
      <c r="Q68">
        <f>SUMIF('库存（子SKU）'!$C:$C,$A68,'库存（子SKU）'!S:S)</f>
        <v>1439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9</v>
      </c>
      <c r="U68">
        <f>SUMIF('库存（子SKU）'!$C:$C,$A68,'库存（子SKU）'!W:W)</f>
        <v>8</v>
      </c>
      <c r="V68" s="22" t="str">
        <f t="shared" si="15"/>
        <v/>
      </c>
      <c r="W68" s="22" t="str">
        <f t="shared" si="16"/>
        <v/>
      </c>
      <c r="X68" s="22">
        <f t="shared" si="17"/>
        <v>0.00661764705882353</v>
      </c>
      <c r="Y68" s="22">
        <f t="shared" si="18"/>
        <v>0.00555941626129256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2.43</v>
      </c>
      <c r="AC68">
        <f>SUMIF('库存（子SKU）'!$C:$C,$A68,'库存（子SKU）'!AE:AE)</f>
        <v>2.02</v>
      </c>
      <c r="AD68" s="22">
        <f t="shared" si="2"/>
        <v>0</v>
      </c>
      <c r="AE68" s="22">
        <f t="shared" si="3"/>
        <v>0</v>
      </c>
      <c r="AF68" s="22">
        <f t="shared" si="4"/>
        <v>0.0107502870324531</v>
      </c>
      <c r="AG68" s="22">
        <f t="shared" si="5"/>
        <v>0.00558528287179919</v>
      </c>
      <c r="AH68">
        <f>SUMIF('库存（子SKU）'!$C:$C,$A68,'库存（子SKU）'!AJ:AJ)</f>
        <v>134</v>
      </c>
      <c r="AI68">
        <f>SUMIF('库存（子SKU）'!$C:$C,$A68,'库存（子SKU）'!AK:AK)</f>
        <v>116</v>
      </c>
      <c r="AJ68">
        <f>SUMIF('库存（子SKU）'!$C:$C,$A68,'库存（子SKU）'!AL:AL)</f>
        <v>124</v>
      </c>
      <c r="AK68">
        <f>SUMIF('库存（子SKU）'!$C:$C,$A68,'库存（子SKU）'!AM:AM)</f>
        <v>124</v>
      </c>
      <c r="AL68" s="22">
        <f t="shared" si="6"/>
        <v>0.0597014925373134</v>
      </c>
      <c r="AM68" s="22">
        <f t="shared" si="7"/>
        <v>0.137931034482759</v>
      </c>
      <c r="AN68" s="22">
        <f t="shared" si="8"/>
        <v>0.120967741935484</v>
      </c>
      <c r="AO68" s="22">
        <f t="shared" si="9"/>
        <v>0.193548387096774</v>
      </c>
      <c r="AP68" s="7">
        <f t="shared" si="10"/>
        <v>1.14285714285714</v>
      </c>
      <c r="AQ68" s="7">
        <f t="shared" si="11"/>
        <v>68.5714285714286</v>
      </c>
      <c r="AR68" s="7">
        <f t="shared" si="12"/>
        <v>-16.5714285714286</v>
      </c>
      <c r="AS68">
        <f t="shared" si="13"/>
        <v>45</v>
      </c>
      <c r="AT68" s="2">
        <f>IFERROR(时间!$B$4+AS68,"上周无销量")</f>
        <v>43370</v>
      </c>
    </row>
    <row r="69" spans="1:46">
      <c r="A69" t="s">
        <v>641</v>
      </c>
      <c r="B69" s="5">
        <f>SUMIF('库存（子SKU）'!$C:$C,$A69,'库存（子SKU）'!D:D)</f>
        <v>2</v>
      </c>
      <c r="C69" s="5">
        <f>SUMIF('库存（子SKU）'!$C:$C,$A69,'库存（子SKU）'!E:E)</f>
        <v>5</v>
      </c>
      <c r="D69" s="5">
        <f>SUMIF('库存（子SKU）'!$C:$C,$A69,'库存（子SKU）'!F:F)</f>
        <v>0</v>
      </c>
      <c r="E69" s="5">
        <f>SUMIF('库存（子SKU）'!$C:$C,$A69,'库存（子SKU）'!G:G)</f>
        <v>1</v>
      </c>
      <c r="F69" s="6">
        <v>14.99</v>
      </c>
      <c r="G69">
        <f>SUMIF('库存（子SKU）'!$C:$C,$A69,'库存（子SKU）'!I:I)</f>
        <v>62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>SUM(G69:J69)</f>
        <v>62</v>
      </c>
      <c r="L69">
        <f>SUMIF('库存（子SKU）'!$C:$C,$A69,'库存（子SKU）'!N:N)</f>
        <v>0</v>
      </c>
      <c r="M69">
        <f>SUMIF('库存（子SKU）'!$C:$C,$A69,'库存（子SKU）'!O:O)</f>
        <v>41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>
        <f>IF(AND(Z69&gt;0,B69=0),"无销量广告费为"&amp;Z69,IFERROR(Z69/(B69*$F69),""))</f>
        <v>0</v>
      </c>
      <c r="AE69" s="22">
        <f>IF(AND(AA69&gt;0,C69=0),"无销量广告费为"&amp;AA69,IFERROR(AA69/(C69*$F69),""))</f>
        <v>0</v>
      </c>
      <c r="AF69" s="22" t="str">
        <f>IF(AND(AB69&gt;0,D69=0),"无销量广告费为"&amp;AB69,IFERROR(AB69/(D69*$F69),""))</f>
        <v/>
      </c>
      <c r="AG69" s="22">
        <f>IF(AND(AC69&gt;0,E69=0),"无销量广告费为"&amp;AC69,IFERROR(AC69/(E69*$F69),""))</f>
        <v>0</v>
      </c>
      <c r="AH69">
        <f>SUMIF('库存（子SKU）'!$C:$C,$A69,'库存（子SKU）'!AJ:AJ)</f>
        <v>47</v>
      </c>
      <c r="AI69">
        <f>SUMIF('库存（子SKU）'!$C:$C,$A69,'库存（子SKU）'!AK:AK)</f>
        <v>50</v>
      </c>
      <c r="AJ69">
        <f>SUMIF('库存（子SKU）'!$C:$C,$A69,'库存（子SKU）'!AL:AL)</f>
        <v>28</v>
      </c>
      <c r="AK69">
        <f>SUMIF('库存（子SKU）'!$C:$C,$A69,'库存（子SKU）'!AM:AM)</f>
        <v>23</v>
      </c>
      <c r="AL69" s="22">
        <f>IFERROR(B69/AH69,"")</f>
        <v>0.0425531914893617</v>
      </c>
      <c r="AM69" s="22">
        <f>IFERROR(C69/AI69,"")</f>
        <v>0.1</v>
      </c>
      <c r="AN69" s="22">
        <f>IFERROR(D69/AJ69,"")</f>
        <v>0</v>
      </c>
      <c r="AO69" s="22">
        <f>IFERROR(E69/AK69,"")</f>
        <v>0.0434782608695652</v>
      </c>
      <c r="AP69" s="7">
        <f>B69/7</f>
        <v>0.285714285714286</v>
      </c>
      <c r="AQ69" s="7">
        <f>AP69*60</f>
        <v>17.1428571428571</v>
      </c>
      <c r="AR69" s="7">
        <f>K69-AQ69</f>
        <v>44.8571428571429</v>
      </c>
      <c r="AS69">
        <f>IF(AP69=0,"库存为"&amp;K69,INT(K69/AP69))</f>
        <v>217</v>
      </c>
      <c r="AT69" s="2">
        <f>IFERROR(时间!$B$4+AS69,"上周无销量")</f>
        <v>43542</v>
      </c>
    </row>
    <row r="70" spans="1:46">
      <c r="A70" t="s">
        <v>648</v>
      </c>
      <c r="B70" s="5">
        <f>SUMIF('库存（子SKU）'!$C:$C,$A70,'库存（子SKU）'!D:D)</f>
        <v>13</v>
      </c>
      <c r="C70" s="5">
        <f>SUMIF('库存（子SKU）'!$C:$C,$A70,'库存（子SKU）'!E:E)</f>
        <v>3</v>
      </c>
      <c r="D70" s="5">
        <f>SUMIF('库存（子SKU）'!$C:$C,$A70,'库存（子SKU）'!F:F)</f>
        <v>11</v>
      </c>
      <c r="E70" s="5">
        <f>SUMIF('库存（子SKU）'!$C:$C,$A70,'库存（子SKU）'!G:G)</f>
        <v>10</v>
      </c>
      <c r="F70" s="6">
        <v>13.3167567567568</v>
      </c>
      <c r="G70">
        <f>SUMIF('库存（子SKU）'!$C:$C,$A70,'库存（子SKU）'!I:I)</f>
        <v>144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>SUM(G70:J70)</f>
        <v>144</v>
      </c>
      <c r="L70">
        <f>SUMIF('库存（子SKU）'!$C:$C,$A70,'库存（子SKU）'!N:N)</f>
        <v>2</v>
      </c>
      <c r="M70">
        <f>SUMIF('库存（子SKU）'!$C:$C,$A70,'库存（子SKU）'!O:O)</f>
        <v>127</v>
      </c>
      <c r="N70">
        <f>SUMIF('库存（子SKU）'!$C:$C,$A70,'库存（子SKU）'!P:P)</f>
        <v>25109</v>
      </c>
      <c r="O70">
        <f>SUMIF('库存（子SKU）'!$C:$C,$A70,'库存（子SKU）'!Q:Q)</f>
        <v>71415</v>
      </c>
      <c r="P70">
        <f>SUMIF('库存（子SKU）'!$C:$C,$A70,'库存（子SKU）'!R:R)</f>
        <v>7443</v>
      </c>
      <c r="Q70">
        <f>SUMIF('库存（子SKU）'!$C:$C,$A70,'库存（子SKU）'!S:S)</f>
        <v>8764</v>
      </c>
      <c r="R70">
        <f>SUMIF('库存（子SKU）'!$C:$C,$A70,'库存（子SKU）'!T:T)</f>
        <v>105</v>
      </c>
      <c r="S70">
        <f>SUMIF('库存（子SKU）'!$C:$C,$A70,'库存（子SKU）'!U:U)</f>
        <v>106</v>
      </c>
      <c r="T70">
        <f>SUMIF('库存（子SKU）'!$C:$C,$A70,'库存（子SKU）'!V:V)</f>
        <v>43</v>
      </c>
      <c r="U70">
        <f>SUMIF('库存（子SKU）'!$C:$C,$A70,'库存（子SKU）'!W:W)</f>
        <v>32</v>
      </c>
      <c r="V70" s="22">
        <f t="shared" ref="V70:Y70" si="19">IFERROR(R70/N70,"")</f>
        <v>0.00418176749372735</v>
      </c>
      <c r="W70" s="22">
        <f t="shared" si="19"/>
        <v>0.00148428201358258</v>
      </c>
      <c r="X70" s="22">
        <f t="shared" si="19"/>
        <v>0.00577724036006986</v>
      </c>
      <c r="Y70" s="22">
        <f t="shared" si="19"/>
        <v>0.00365130077590141</v>
      </c>
      <c r="Z70">
        <f>SUMIF('库存（子SKU）'!$C:$C,$A70,'库存（子SKU）'!AB:AB)</f>
        <v>63.68</v>
      </c>
      <c r="AA70">
        <f>SUMIF('库存（子SKU）'!$C:$C,$A70,'库存（子SKU）'!AC:AC)</f>
        <v>58.56</v>
      </c>
      <c r="AB70">
        <f>SUMIF('库存（子SKU）'!$C:$C,$A70,'库存（子SKU）'!AD:AD)</f>
        <v>23.72</v>
      </c>
      <c r="AC70">
        <f>SUMIF('库存（子SKU）'!$C:$C,$A70,'库存（子SKU）'!AE:AE)</f>
        <v>19.41</v>
      </c>
      <c r="AD70" s="22">
        <f>IF(AND(Z70&gt;0,B70=0),"无销量广告费为"&amp;Z70,IFERROR(Z70/(B70*$F70),""))</f>
        <v>0.367841932381629</v>
      </c>
      <c r="AE70" s="22">
        <f>IF(AND(AA70&gt;0,C70=0),"无销量广告费为"&amp;AA70,IFERROR(AA70/(C70*$F70),""))</f>
        <v>1.46582237376197</v>
      </c>
      <c r="AF70" s="22">
        <f>IF(AND(AB70&gt;0,D70=0),"无销量广告费为"&amp;AB70,IFERROR(AB70/(D70*$F70),""))</f>
        <v>0.161928589351872</v>
      </c>
      <c r="AG70" s="22">
        <f>IF(AND(AC70&gt;0,E70=0),"无销量广告费为"&amp;AC70,IFERROR(AC70/(E70*$F70),""))</f>
        <v>0.14575621042377</v>
      </c>
      <c r="AH70">
        <f>SUMIF('库存（子SKU）'!$C:$C,$A70,'库存（子SKU）'!AJ:AJ)</f>
        <v>147</v>
      </c>
      <c r="AI70">
        <f>SUMIF('库存（子SKU）'!$C:$C,$A70,'库存（子SKU）'!AK:AK)</f>
        <v>122</v>
      </c>
      <c r="AJ70">
        <f>SUMIF('库存（子SKU）'!$C:$C,$A70,'库存（子SKU）'!AL:AL)</f>
        <v>108</v>
      </c>
      <c r="AK70">
        <f>SUMIF('库存（子SKU）'!$C:$C,$A70,'库存（子SKU）'!AM:AM)</f>
        <v>80</v>
      </c>
      <c r="AL70" s="22">
        <f>IFERROR(B70/AH70,"")</f>
        <v>0.0884353741496599</v>
      </c>
      <c r="AM70" s="22">
        <f>IFERROR(C70/AI70,"")</f>
        <v>0.0245901639344262</v>
      </c>
      <c r="AN70" s="22">
        <f>IFERROR(D70/AJ70,"")</f>
        <v>0.101851851851852</v>
      </c>
      <c r="AO70" s="22">
        <f>IFERROR(E70/AK70,"")</f>
        <v>0.125</v>
      </c>
      <c r="AP70" s="7">
        <f>B70/7</f>
        <v>1.85714285714286</v>
      </c>
      <c r="AQ70" s="7">
        <f>AP70*60</f>
        <v>111.428571428571</v>
      </c>
      <c r="AR70" s="7">
        <f>K70-AQ70</f>
        <v>32.5714285714286</v>
      </c>
      <c r="AS70">
        <f>IF(AP70=0,"库存为"&amp;K70,INT(K70/AP70))</f>
        <v>77</v>
      </c>
      <c r="AT70" s="2">
        <f>IFERROR(时间!$B$4+AS70,"上周无销量")</f>
        <v>43402</v>
      </c>
    </row>
    <row r="71" spans="1:46">
      <c r="A71"/>
      <c r="V71" s="22"/>
      <c r="W71" s="22"/>
      <c r="X71" s="22"/>
      <c r="Y71" s="22"/>
      <c r="AD71" s="22"/>
      <c r="AE71" s="22"/>
      <c r="AF71" s="22"/>
      <c r="AG71" s="22"/>
      <c r="AL71" s="22"/>
      <c r="AM71" s="22"/>
      <c r="AN71" s="22"/>
      <c r="AO71" s="22"/>
      <c r="AP71" s="7"/>
      <c r="AT71" s="2"/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774" operator="lessThan">
      <formula>20</formula>
    </cfRule>
    <cfRule type="cellIs" dxfId="1" priority="3773" operator="greaterThan">
      <formula>120</formula>
    </cfRule>
    <cfRule type="containsText" dxfId="3" priority="3772" operator="between" text="库存">
      <formula>NOT(ISERROR(SEARCH("库存",AS2)))</formula>
    </cfRule>
  </conditionalFormatting>
  <conditionalFormatting sqref="AS6">
    <cfRule type="cellIs" dxfId="0" priority="195" operator="lessThan">
      <formula>20</formula>
    </cfRule>
    <cfRule type="cellIs" dxfId="1" priority="130" operator="greaterThan">
      <formula>120</formula>
    </cfRule>
    <cfRule type="containsText" dxfId="3" priority="65" operator="between" text="库存">
      <formula>NOT(ISERROR(SEARCH("库存",AS6)))</formula>
    </cfRule>
  </conditionalFormatting>
  <conditionalFormatting sqref="AS7">
    <cfRule type="cellIs" dxfId="0" priority="194" operator="lessThan">
      <formula>20</formula>
    </cfRule>
    <cfRule type="cellIs" dxfId="1" priority="129" operator="greaterThan">
      <formula>120</formula>
    </cfRule>
    <cfRule type="containsText" dxfId="3" priority="64" operator="between" text="库存">
      <formula>NOT(ISERROR(SEARCH("库存",AS7)))</formula>
    </cfRule>
  </conditionalFormatting>
  <conditionalFormatting sqref="AS8">
    <cfRule type="cellIs" dxfId="0" priority="193" operator="lessThan">
      <formula>20</formula>
    </cfRule>
    <cfRule type="cellIs" dxfId="1" priority="128" operator="greaterThan">
      <formula>120</formula>
    </cfRule>
    <cfRule type="containsText" dxfId="3" priority="63" operator="between" text="库存">
      <formula>NOT(ISERROR(SEARCH("库存",AS8)))</formula>
    </cfRule>
  </conditionalFormatting>
  <conditionalFormatting sqref="AS9">
    <cfRule type="cellIs" dxfId="0" priority="192" operator="lessThan">
      <formula>20</formula>
    </cfRule>
    <cfRule type="cellIs" dxfId="1" priority="127" operator="greaterThan">
      <formula>120</formula>
    </cfRule>
    <cfRule type="containsText" dxfId="3" priority="62" operator="between" text="库存">
      <formula>NOT(ISERROR(SEARCH("库存",AS9)))</formula>
    </cfRule>
  </conditionalFormatting>
  <conditionalFormatting sqref="AS10">
    <cfRule type="cellIs" dxfId="0" priority="191" operator="lessThan">
      <formula>20</formula>
    </cfRule>
    <cfRule type="cellIs" dxfId="1" priority="126" operator="greaterThan">
      <formula>120</formula>
    </cfRule>
    <cfRule type="containsText" dxfId="3" priority="61" operator="between" text="库存">
      <formula>NOT(ISERROR(SEARCH("库存",AS10)))</formula>
    </cfRule>
  </conditionalFormatting>
  <conditionalFormatting sqref="AS11">
    <cfRule type="cellIs" dxfId="0" priority="190" operator="lessThan">
      <formula>20</formula>
    </cfRule>
    <cfRule type="cellIs" dxfId="1" priority="125" operator="greaterThan">
      <formula>120</formula>
    </cfRule>
    <cfRule type="containsText" dxfId="3" priority="60" operator="between" text="库存">
      <formula>NOT(ISERROR(SEARCH("库存",AS11)))</formula>
    </cfRule>
  </conditionalFormatting>
  <conditionalFormatting sqref="AS12">
    <cfRule type="cellIs" dxfId="0" priority="189" operator="lessThan">
      <formula>20</formula>
    </cfRule>
    <cfRule type="cellIs" dxfId="1" priority="124" operator="greaterThan">
      <formula>120</formula>
    </cfRule>
    <cfRule type="containsText" dxfId="3" priority="59" operator="between" text="库存">
      <formula>NOT(ISERROR(SEARCH("库存",AS12)))</formula>
    </cfRule>
  </conditionalFormatting>
  <conditionalFormatting sqref="AS13">
    <cfRule type="cellIs" dxfId="0" priority="188" operator="lessThan">
      <formula>20</formula>
    </cfRule>
    <cfRule type="cellIs" dxfId="1" priority="123" operator="greaterThan">
      <formula>120</formula>
    </cfRule>
    <cfRule type="containsText" dxfId="3" priority="58" operator="between" text="库存">
      <formula>NOT(ISERROR(SEARCH("库存",AS13)))</formula>
    </cfRule>
  </conditionalFormatting>
  <conditionalFormatting sqref="AS14">
    <cfRule type="cellIs" dxfId="0" priority="187" operator="lessThan">
      <formula>20</formula>
    </cfRule>
    <cfRule type="cellIs" dxfId="1" priority="122" operator="greaterThan">
      <formula>120</formula>
    </cfRule>
    <cfRule type="containsText" dxfId="3" priority="57" operator="between" text="库存">
      <formula>NOT(ISERROR(SEARCH("库存",AS14)))</formula>
    </cfRule>
  </conditionalFormatting>
  <conditionalFormatting sqref="AS15">
    <cfRule type="cellIs" dxfId="0" priority="186" operator="lessThan">
      <formula>20</formula>
    </cfRule>
    <cfRule type="cellIs" dxfId="1" priority="121" operator="greaterThan">
      <formula>120</formula>
    </cfRule>
    <cfRule type="containsText" dxfId="3" priority="56" operator="between" text="库存">
      <formula>NOT(ISERROR(SEARCH("库存",AS15)))</formula>
    </cfRule>
  </conditionalFormatting>
  <conditionalFormatting sqref="AS16">
    <cfRule type="cellIs" dxfId="0" priority="185" operator="lessThan">
      <formula>20</formula>
    </cfRule>
    <cfRule type="cellIs" dxfId="1" priority="120" operator="greaterThan">
      <formula>120</formula>
    </cfRule>
    <cfRule type="containsText" dxfId="3" priority="55" operator="between" text="库存">
      <formula>NOT(ISERROR(SEARCH("库存",AS16)))</formula>
    </cfRule>
  </conditionalFormatting>
  <conditionalFormatting sqref="AS17">
    <cfRule type="cellIs" dxfId="0" priority="184" operator="lessThan">
      <formula>20</formula>
    </cfRule>
    <cfRule type="cellIs" dxfId="1" priority="119" operator="greaterThan">
      <formula>120</formula>
    </cfRule>
    <cfRule type="containsText" dxfId="3" priority="54" operator="between" text="库存">
      <formula>NOT(ISERROR(SEARCH("库存",AS17)))</formula>
    </cfRule>
  </conditionalFormatting>
  <conditionalFormatting sqref="AS18">
    <cfRule type="cellIs" dxfId="0" priority="183" operator="lessThan">
      <formula>20</formula>
    </cfRule>
    <cfRule type="cellIs" dxfId="1" priority="118" operator="greaterThan">
      <formula>120</formula>
    </cfRule>
    <cfRule type="containsText" dxfId="3" priority="53" operator="between" text="库存">
      <formula>NOT(ISERROR(SEARCH("库存",AS18)))</formula>
    </cfRule>
  </conditionalFormatting>
  <conditionalFormatting sqref="AS19">
    <cfRule type="cellIs" dxfId="0" priority="182" operator="lessThan">
      <formula>20</formula>
    </cfRule>
    <cfRule type="cellIs" dxfId="1" priority="117" operator="greaterThan">
      <formula>120</formula>
    </cfRule>
    <cfRule type="containsText" dxfId="3" priority="52" operator="between" text="库存">
      <formula>NOT(ISERROR(SEARCH("库存",AS19)))</formula>
    </cfRule>
  </conditionalFormatting>
  <conditionalFormatting sqref="AS20">
    <cfRule type="cellIs" dxfId="0" priority="181" operator="lessThan">
      <formula>20</formula>
    </cfRule>
    <cfRule type="cellIs" dxfId="1" priority="116" operator="greaterThan">
      <formula>120</formula>
    </cfRule>
    <cfRule type="containsText" dxfId="3" priority="51" operator="between" text="库存">
      <formula>NOT(ISERROR(SEARCH("库存",AS20)))</formula>
    </cfRule>
  </conditionalFormatting>
  <conditionalFormatting sqref="AS21">
    <cfRule type="cellIs" dxfId="0" priority="180" operator="lessThan">
      <formula>20</formula>
    </cfRule>
    <cfRule type="cellIs" dxfId="1" priority="115" operator="greaterThan">
      <formula>120</formula>
    </cfRule>
    <cfRule type="containsText" dxfId="3" priority="50" operator="between" text="库存">
      <formula>NOT(ISERROR(SEARCH("库存",AS21)))</formula>
    </cfRule>
  </conditionalFormatting>
  <conditionalFormatting sqref="AS22">
    <cfRule type="cellIs" dxfId="0" priority="179" operator="lessThan">
      <formula>20</formula>
    </cfRule>
    <cfRule type="cellIs" dxfId="1" priority="114" operator="greaterThan">
      <formula>120</formula>
    </cfRule>
    <cfRule type="containsText" dxfId="3" priority="49" operator="between" text="库存">
      <formula>NOT(ISERROR(SEARCH("库存",AS22)))</formula>
    </cfRule>
  </conditionalFormatting>
  <conditionalFormatting sqref="AS23">
    <cfRule type="cellIs" dxfId="0" priority="178" operator="lessThan">
      <formula>20</formula>
    </cfRule>
    <cfRule type="cellIs" dxfId="1" priority="113" operator="greaterThan">
      <formula>120</formula>
    </cfRule>
    <cfRule type="containsText" dxfId="3" priority="48" operator="between" text="库存">
      <formula>NOT(ISERROR(SEARCH("库存",AS23)))</formula>
    </cfRule>
  </conditionalFormatting>
  <conditionalFormatting sqref="AS24">
    <cfRule type="cellIs" dxfId="0" priority="177" operator="lessThan">
      <formula>20</formula>
    </cfRule>
    <cfRule type="cellIs" dxfId="1" priority="112" operator="greaterThan">
      <formula>120</formula>
    </cfRule>
    <cfRule type="containsText" dxfId="3" priority="47" operator="between" text="库存">
      <formula>NOT(ISERROR(SEARCH("库存",AS24)))</formula>
    </cfRule>
  </conditionalFormatting>
  <conditionalFormatting sqref="AS25">
    <cfRule type="cellIs" dxfId="0" priority="176" operator="lessThan">
      <formula>20</formula>
    </cfRule>
    <cfRule type="cellIs" dxfId="1" priority="111" operator="greaterThan">
      <formula>120</formula>
    </cfRule>
    <cfRule type="containsText" dxfId="3" priority="46" operator="between" text="库存">
      <formula>NOT(ISERROR(SEARCH("库存",AS25)))</formula>
    </cfRule>
  </conditionalFormatting>
  <conditionalFormatting sqref="AS26">
    <cfRule type="cellIs" dxfId="0" priority="175" operator="lessThan">
      <formula>20</formula>
    </cfRule>
    <cfRule type="cellIs" dxfId="1" priority="110" operator="greaterThan">
      <formula>120</formula>
    </cfRule>
    <cfRule type="containsText" dxfId="3" priority="45" operator="between" text="库存">
      <formula>NOT(ISERROR(SEARCH("库存",AS26)))</formula>
    </cfRule>
  </conditionalFormatting>
  <conditionalFormatting sqref="AS27">
    <cfRule type="cellIs" dxfId="0" priority="174" operator="lessThan">
      <formula>20</formula>
    </cfRule>
    <cfRule type="cellIs" dxfId="1" priority="109" operator="greaterThan">
      <formula>120</formula>
    </cfRule>
    <cfRule type="containsText" dxfId="3" priority="44" operator="between" text="库存">
      <formula>NOT(ISERROR(SEARCH("库存",AS27)))</formula>
    </cfRule>
  </conditionalFormatting>
  <conditionalFormatting sqref="AS28">
    <cfRule type="cellIs" dxfId="0" priority="173" operator="lessThan">
      <formula>20</formula>
    </cfRule>
    <cfRule type="cellIs" dxfId="1" priority="108" operator="greaterThan">
      <formula>120</formula>
    </cfRule>
    <cfRule type="containsText" dxfId="3" priority="43" operator="between" text="库存">
      <formula>NOT(ISERROR(SEARCH("库存",AS28)))</formula>
    </cfRule>
  </conditionalFormatting>
  <conditionalFormatting sqref="AS29">
    <cfRule type="cellIs" dxfId="0" priority="172" operator="lessThan">
      <formula>20</formula>
    </cfRule>
    <cfRule type="cellIs" dxfId="1" priority="107" operator="greaterThan">
      <formula>120</formula>
    </cfRule>
    <cfRule type="containsText" dxfId="3" priority="42" operator="between" text="库存">
      <formula>NOT(ISERROR(SEARCH("库存",AS29)))</formula>
    </cfRule>
  </conditionalFormatting>
  <conditionalFormatting sqref="AS30">
    <cfRule type="cellIs" dxfId="0" priority="171" operator="lessThan">
      <formula>20</formula>
    </cfRule>
    <cfRule type="cellIs" dxfId="1" priority="106" operator="greaterThan">
      <formula>120</formula>
    </cfRule>
    <cfRule type="containsText" dxfId="3" priority="41" operator="between" text="库存">
      <formula>NOT(ISERROR(SEARCH("库存",AS30)))</formula>
    </cfRule>
  </conditionalFormatting>
  <conditionalFormatting sqref="AS31">
    <cfRule type="cellIs" dxfId="0" priority="170" operator="lessThan">
      <formula>20</formula>
    </cfRule>
    <cfRule type="cellIs" dxfId="1" priority="105" operator="greaterThan">
      <formula>120</formula>
    </cfRule>
    <cfRule type="containsText" dxfId="3" priority="40" operator="between" text="库存">
      <formula>NOT(ISERROR(SEARCH("库存",AS31)))</formula>
    </cfRule>
  </conditionalFormatting>
  <conditionalFormatting sqref="AS32">
    <cfRule type="cellIs" dxfId="0" priority="169" operator="lessThan">
      <formula>20</formula>
    </cfRule>
    <cfRule type="cellIs" dxfId="1" priority="104" operator="greaterThan">
      <formula>120</formula>
    </cfRule>
    <cfRule type="containsText" dxfId="3" priority="39" operator="between" text="库存">
      <formula>NOT(ISERROR(SEARCH("库存",AS32)))</formula>
    </cfRule>
  </conditionalFormatting>
  <conditionalFormatting sqref="AS33">
    <cfRule type="cellIs" dxfId="0" priority="168" operator="lessThan">
      <formula>20</formula>
    </cfRule>
    <cfRule type="cellIs" dxfId="1" priority="103" operator="greaterThan">
      <formula>120</formula>
    </cfRule>
    <cfRule type="containsText" dxfId="3" priority="38" operator="between" text="库存">
      <formula>NOT(ISERROR(SEARCH("库存",AS33)))</formula>
    </cfRule>
  </conditionalFormatting>
  <conditionalFormatting sqref="AS34">
    <cfRule type="cellIs" dxfId="0" priority="167" operator="lessThan">
      <formula>20</formula>
    </cfRule>
    <cfRule type="cellIs" dxfId="1" priority="102" operator="greaterThan">
      <formula>120</formula>
    </cfRule>
    <cfRule type="containsText" dxfId="3" priority="37" operator="between" text="库存">
      <formula>NOT(ISERROR(SEARCH("库存",AS34)))</formula>
    </cfRule>
  </conditionalFormatting>
  <conditionalFormatting sqref="AS35">
    <cfRule type="cellIs" dxfId="0" priority="166" operator="lessThan">
      <formula>20</formula>
    </cfRule>
    <cfRule type="cellIs" dxfId="1" priority="101" operator="greaterThan">
      <formula>120</formula>
    </cfRule>
    <cfRule type="containsText" dxfId="3" priority="36" operator="between" text="库存">
      <formula>NOT(ISERROR(SEARCH("库存",AS35)))</formula>
    </cfRule>
  </conditionalFormatting>
  <conditionalFormatting sqref="AS36">
    <cfRule type="cellIs" dxfId="0" priority="165" operator="lessThan">
      <formula>20</formula>
    </cfRule>
    <cfRule type="cellIs" dxfId="1" priority="100" operator="greaterThan">
      <formula>120</formula>
    </cfRule>
    <cfRule type="containsText" dxfId="3" priority="35" operator="between" text="库存">
      <formula>NOT(ISERROR(SEARCH("库存",AS36)))</formula>
    </cfRule>
  </conditionalFormatting>
  <conditionalFormatting sqref="AS37">
    <cfRule type="cellIs" dxfId="0" priority="164" operator="lessThan">
      <formula>20</formula>
    </cfRule>
    <cfRule type="cellIs" dxfId="1" priority="99" operator="greaterThan">
      <formula>120</formula>
    </cfRule>
    <cfRule type="containsText" dxfId="3" priority="34" operator="between" text="库存">
      <formula>NOT(ISERROR(SEARCH("库存",AS37)))</formula>
    </cfRule>
  </conditionalFormatting>
  <conditionalFormatting sqref="AS38">
    <cfRule type="cellIs" dxfId="0" priority="163" operator="lessThan">
      <formula>20</formula>
    </cfRule>
    <cfRule type="cellIs" dxfId="1" priority="98" operator="greaterThan">
      <formula>120</formula>
    </cfRule>
    <cfRule type="containsText" dxfId="3" priority="33" operator="between" text="库存">
      <formula>NOT(ISERROR(SEARCH("库存",AS38)))</formula>
    </cfRule>
  </conditionalFormatting>
  <conditionalFormatting sqref="AS39">
    <cfRule type="cellIs" dxfId="0" priority="162" operator="lessThan">
      <formula>20</formula>
    </cfRule>
    <cfRule type="cellIs" dxfId="1" priority="97" operator="greaterThan">
      <formula>120</formula>
    </cfRule>
    <cfRule type="containsText" dxfId="3" priority="32" operator="between" text="库存">
      <formula>NOT(ISERROR(SEARCH("库存",AS39)))</formula>
    </cfRule>
  </conditionalFormatting>
  <conditionalFormatting sqref="AS40">
    <cfRule type="cellIs" dxfId="0" priority="161" operator="lessThan">
      <formula>20</formula>
    </cfRule>
    <cfRule type="cellIs" dxfId="1" priority="96" operator="greaterThan">
      <formula>120</formula>
    </cfRule>
    <cfRule type="containsText" dxfId="3" priority="31" operator="between" text="库存">
      <formula>NOT(ISERROR(SEARCH("库存",AS40)))</formula>
    </cfRule>
  </conditionalFormatting>
  <conditionalFormatting sqref="AS41">
    <cfRule type="cellIs" dxfId="0" priority="160" operator="lessThan">
      <formula>20</formula>
    </cfRule>
    <cfRule type="cellIs" dxfId="1" priority="95" operator="greaterThan">
      <formula>120</formula>
    </cfRule>
    <cfRule type="containsText" dxfId="3" priority="30" operator="between" text="库存">
      <formula>NOT(ISERROR(SEARCH("库存",AS41)))</formula>
    </cfRule>
  </conditionalFormatting>
  <conditionalFormatting sqref="AS42">
    <cfRule type="cellIs" dxfId="0" priority="159" operator="lessThan">
      <formula>20</formula>
    </cfRule>
    <cfRule type="cellIs" dxfId="1" priority="94" operator="greaterThan">
      <formula>120</formula>
    </cfRule>
    <cfRule type="containsText" dxfId="3" priority="29" operator="between" text="库存">
      <formula>NOT(ISERROR(SEARCH("库存",AS42)))</formula>
    </cfRule>
  </conditionalFormatting>
  <conditionalFormatting sqref="AS43">
    <cfRule type="cellIs" dxfId="0" priority="158" operator="lessThan">
      <formula>20</formula>
    </cfRule>
    <cfRule type="cellIs" dxfId="1" priority="93" operator="greaterThan">
      <formula>120</formula>
    </cfRule>
    <cfRule type="containsText" dxfId="3" priority="28" operator="between" text="库存">
      <formula>NOT(ISERROR(SEARCH("库存",AS43)))</formula>
    </cfRule>
  </conditionalFormatting>
  <conditionalFormatting sqref="AS44">
    <cfRule type="cellIs" dxfId="0" priority="157" operator="lessThan">
      <formula>20</formula>
    </cfRule>
    <cfRule type="cellIs" dxfId="1" priority="92" operator="greaterThan">
      <formula>120</formula>
    </cfRule>
    <cfRule type="containsText" dxfId="3" priority="27" operator="between" text="库存">
      <formula>NOT(ISERROR(SEARCH("库存",AS44)))</formula>
    </cfRule>
  </conditionalFormatting>
  <conditionalFormatting sqref="AS45">
    <cfRule type="cellIs" dxfId="0" priority="156" operator="lessThan">
      <formula>20</formula>
    </cfRule>
    <cfRule type="cellIs" dxfId="1" priority="91" operator="greaterThan">
      <formula>120</formula>
    </cfRule>
    <cfRule type="containsText" dxfId="3" priority="26" operator="between" text="库存">
      <formula>NOT(ISERROR(SEARCH("库存",AS45)))</formula>
    </cfRule>
  </conditionalFormatting>
  <conditionalFormatting sqref="AS46">
    <cfRule type="cellIs" dxfId="0" priority="155" operator="lessThan">
      <formula>20</formula>
    </cfRule>
    <cfRule type="cellIs" dxfId="1" priority="90" operator="greaterThan">
      <formula>120</formula>
    </cfRule>
    <cfRule type="containsText" dxfId="3" priority="25" operator="between" text="库存">
      <formula>NOT(ISERROR(SEARCH("库存",AS46)))</formula>
    </cfRule>
  </conditionalFormatting>
  <conditionalFormatting sqref="AS47">
    <cfRule type="cellIs" dxfId="0" priority="154" operator="lessThan">
      <formula>20</formula>
    </cfRule>
    <cfRule type="cellIs" dxfId="1" priority="89" operator="greaterThan">
      <formula>120</formula>
    </cfRule>
    <cfRule type="containsText" dxfId="3" priority="24" operator="between" text="库存">
      <formula>NOT(ISERROR(SEARCH("库存",AS47)))</formula>
    </cfRule>
  </conditionalFormatting>
  <conditionalFormatting sqref="AS48">
    <cfRule type="cellIs" dxfId="0" priority="153" operator="lessThan">
      <formula>20</formula>
    </cfRule>
    <cfRule type="cellIs" dxfId="1" priority="88" operator="greaterThan">
      <formula>120</formula>
    </cfRule>
    <cfRule type="containsText" dxfId="3" priority="23" operator="between" text="库存">
      <formula>NOT(ISERROR(SEARCH("库存",AS48)))</formula>
    </cfRule>
  </conditionalFormatting>
  <conditionalFormatting sqref="AS49">
    <cfRule type="cellIs" dxfId="0" priority="152" operator="lessThan">
      <formula>20</formula>
    </cfRule>
    <cfRule type="cellIs" dxfId="1" priority="87" operator="greaterThan">
      <formula>120</formula>
    </cfRule>
    <cfRule type="containsText" dxfId="3" priority="22" operator="between" text="库存">
      <formula>NOT(ISERROR(SEARCH("库存",AS49)))</formula>
    </cfRule>
  </conditionalFormatting>
  <conditionalFormatting sqref="AS50">
    <cfRule type="cellIs" dxfId="0" priority="151" operator="lessThan">
      <formula>20</formula>
    </cfRule>
    <cfRule type="cellIs" dxfId="1" priority="86" operator="greaterThan">
      <formula>120</formula>
    </cfRule>
    <cfRule type="containsText" dxfId="3" priority="21" operator="between" text="库存">
      <formula>NOT(ISERROR(SEARCH("库存",AS50)))</formula>
    </cfRule>
  </conditionalFormatting>
  <conditionalFormatting sqref="AS51">
    <cfRule type="cellIs" dxfId="0" priority="150" operator="lessThan">
      <formula>20</formula>
    </cfRule>
    <cfRule type="cellIs" dxfId="1" priority="85" operator="greaterThan">
      <formula>120</formula>
    </cfRule>
    <cfRule type="containsText" dxfId="3" priority="20" operator="between" text="库存">
      <formula>NOT(ISERROR(SEARCH("库存",AS51)))</formula>
    </cfRule>
  </conditionalFormatting>
  <conditionalFormatting sqref="AS52">
    <cfRule type="cellIs" dxfId="0" priority="149" operator="lessThan">
      <formula>20</formula>
    </cfRule>
    <cfRule type="cellIs" dxfId="1" priority="84" operator="greaterThan">
      <formula>120</formula>
    </cfRule>
    <cfRule type="containsText" dxfId="3" priority="19" operator="between" text="库存">
      <formula>NOT(ISERROR(SEARCH("库存",AS52)))</formula>
    </cfRule>
  </conditionalFormatting>
  <conditionalFormatting sqref="AS53">
    <cfRule type="cellIs" dxfId="0" priority="148" operator="lessThan">
      <formula>20</formula>
    </cfRule>
    <cfRule type="cellIs" dxfId="1" priority="83" operator="greaterThan">
      <formula>120</formula>
    </cfRule>
    <cfRule type="containsText" dxfId="3" priority="18" operator="between" text="库存">
      <formula>NOT(ISERROR(SEARCH("库存",AS53)))</formula>
    </cfRule>
  </conditionalFormatting>
  <conditionalFormatting sqref="AS54">
    <cfRule type="cellIs" dxfId="0" priority="147" operator="lessThan">
      <formula>20</formula>
    </cfRule>
    <cfRule type="cellIs" dxfId="1" priority="82" operator="greaterThan">
      <formula>120</formula>
    </cfRule>
    <cfRule type="containsText" dxfId="3" priority="17" operator="between" text="库存">
      <formula>NOT(ISERROR(SEARCH("库存",AS54)))</formula>
    </cfRule>
  </conditionalFormatting>
  <conditionalFormatting sqref="AS55">
    <cfRule type="cellIs" dxfId="0" priority="146" operator="lessThan">
      <formula>20</formula>
    </cfRule>
    <cfRule type="cellIs" dxfId="1" priority="81" operator="greaterThan">
      <formula>120</formula>
    </cfRule>
    <cfRule type="containsText" dxfId="3" priority="16" operator="between" text="库存">
      <formula>NOT(ISERROR(SEARCH("库存",AS55)))</formula>
    </cfRule>
  </conditionalFormatting>
  <conditionalFormatting sqref="AS56">
    <cfRule type="cellIs" dxfId="0" priority="145" operator="lessThan">
      <formula>20</formula>
    </cfRule>
    <cfRule type="cellIs" dxfId="1" priority="80" operator="greaterThan">
      <formula>120</formula>
    </cfRule>
    <cfRule type="containsText" dxfId="3" priority="15" operator="between" text="库存">
      <formula>NOT(ISERROR(SEARCH("库存",AS56)))</formula>
    </cfRule>
  </conditionalFormatting>
  <conditionalFormatting sqref="AS57">
    <cfRule type="cellIs" dxfId="0" priority="144" operator="lessThan">
      <formula>20</formula>
    </cfRule>
    <cfRule type="cellIs" dxfId="1" priority="79" operator="greaterThan">
      <formula>120</formula>
    </cfRule>
    <cfRule type="containsText" dxfId="3" priority="14" operator="between" text="库存">
      <formula>NOT(ISERROR(SEARCH("库存",AS57)))</formula>
    </cfRule>
  </conditionalFormatting>
  <conditionalFormatting sqref="AS58">
    <cfRule type="cellIs" dxfId="0" priority="143" operator="lessThan">
      <formula>20</formula>
    </cfRule>
    <cfRule type="cellIs" dxfId="1" priority="78" operator="greaterThan">
      <formula>120</formula>
    </cfRule>
    <cfRule type="containsText" dxfId="3" priority="13" operator="between" text="库存">
      <formula>NOT(ISERROR(SEARCH("库存",AS58)))</formula>
    </cfRule>
  </conditionalFormatting>
  <conditionalFormatting sqref="AS59">
    <cfRule type="cellIs" dxfId="0" priority="142" operator="lessThan">
      <formula>20</formula>
    </cfRule>
    <cfRule type="cellIs" dxfId="1" priority="77" operator="greaterThan">
      <formula>120</formula>
    </cfRule>
    <cfRule type="containsText" dxfId="3" priority="12" operator="between" text="库存">
      <formula>NOT(ISERROR(SEARCH("库存",AS59)))</formula>
    </cfRule>
  </conditionalFormatting>
  <conditionalFormatting sqref="AS60">
    <cfRule type="cellIs" dxfId="0" priority="141" operator="lessThan">
      <formula>20</formula>
    </cfRule>
    <cfRule type="cellIs" dxfId="1" priority="76" operator="greaterThan">
      <formula>120</formula>
    </cfRule>
    <cfRule type="containsText" dxfId="3" priority="11" operator="between" text="库存">
      <formula>NOT(ISERROR(SEARCH("库存",AS60)))</formula>
    </cfRule>
  </conditionalFormatting>
  <conditionalFormatting sqref="AS61">
    <cfRule type="cellIs" dxfId="0" priority="140" operator="lessThan">
      <formula>20</formula>
    </cfRule>
    <cfRule type="cellIs" dxfId="1" priority="75" operator="greaterThan">
      <formula>120</formula>
    </cfRule>
    <cfRule type="containsText" dxfId="3" priority="10" operator="between" text="库存">
      <formula>NOT(ISERROR(SEARCH("库存",AS61)))</formula>
    </cfRule>
  </conditionalFormatting>
  <conditionalFormatting sqref="AS62">
    <cfRule type="cellIs" dxfId="0" priority="139" operator="lessThan">
      <formula>20</formula>
    </cfRule>
    <cfRule type="cellIs" dxfId="1" priority="74" operator="greaterThan">
      <formula>120</formula>
    </cfRule>
    <cfRule type="containsText" dxfId="3" priority="9" operator="between" text="库存">
      <formula>NOT(ISERROR(SEARCH("库存",AS62)))</formula>
    </cfRule>
  </conditionalFormatting>
  <conditionalFormatting sqref="AS63">
    <cfRule type="cellIs" dxfId="0" priority="138" operator="lessThan">
      <formula>20</formula>
    </cfRule>
    <cfRule type="cellIs" dxfId="1" priority="73" operator="greaterThan">
      <formula>120</formula>
    </cfRule>
    <cfRule type="containsText" dxfId="3" priority="8" operator="between" text="库存">
      <formula>NOT(ISERROR(SEARCH("库存",AS63)))</formula>
    </cfRule>
  </conditionalFormatting>
  <conditionalFormatting sqref="AS64">
    <cfRule type="cellIs" dxfId="0" priority="137" operator="lessThan">
      <formula>20</formula>
    </cfRule>
    <cfRule type="cellIs" dxfId="1" priority="72" operator="greaterThan">
      <formula>120</formula>
    </cfRule>
    <cfRule type="containsText" dxfId="3" priority="7" operator="between" text="库存">
      <formula>NOT(ISERROR(SEARCH("库存",AS64)))</formula>
    </cfRule>
  </conditionalFormatting>
  <conditionalFormatting sqref="AS65">
    <cfRule type="cellIs" dxfId="0" priority="136" operator="lessThan">
      <formula>20</formula>
    </cfRule>
    <cfRule type="cellIs" dxfId="1" priority="71" operator="greaterThan">
      <formula>120</formula>
    </cfRule>
    <cfRule type="containsText" dxfId="3" priority="6" operator="between" text="库存">
      <formula>NOT(ISERROR(SEARCH("库存",AS65)))</formula>
    </cfRule>
  </conditionalFormatting>
  <conditionalFormatting sqref="AS66">
    <cfRule type="cellIs" dxfId="0" priority="135" operator="lessThan">
      <formula>20</formula>
    </cfRule>
    <cfRule type="cellIs" dxfId="1" priority="70" operator="greaterThan">
      <formula>120</formula>
    </cfRule>
    <cfRule type="containsText" dxfId="3" priority="5" operator="between" text="库存">
      <formula>NOT(ISERROR(SEARCH("库存",AS66)))</formula>
    </cfRule>
  </conditionalFormatting>
  <conditionalFormatting sqref="AS67">
    <cfRule type="cellIs" dxfId="0" priority="134" operator="lessThan">
      <formula>20</formula>
    </cfRule>
    <cfRule type="cellIs" dxfId="1" priority="69" operator="greaterThan">
      <formula>120</formula>
    </cfRule>
    <cfRule type="containsText" dxfId="3" priority="4" operator="between" text="库存">
      <formula>NOT(ISERROR(SEARCH("库存",AS67)))</formula>
    </cfRule>
  </conditionalFormatting>
  <conditionalFormatting sqref="AS68">
    <cfRule type="cellIs" dxfId="0" priority="133" operator="lessThan">
      <formula>20</formula>
    </cfRule>
    <cfRule type="cellIs" dxfId="1" priority="68" operator="greaterThan">
      <formula>120</formula>
    </cfRule>
    <cfRule type="containsText" dxfId="3" priority="3" operator="between" text="库存">
      <formula>NOT(ISERROR(SEARCH("库存",AS68)))</formula>
    </cfRule>
  </conditionalFormatting>
  <conditionalFormatting sqref="AS69">
    <cfRule type="cellIs" dxfId="0" priority="132" operator="lessThan">
      <formula>20</formula>
    </cfRule>
    <cfRule type="cellIs" dxfId="1" priority="67" operator="greaterThan">
      <formula>120</formula>
    </cfRule>
    <cfRule type="containsText" dxfId="3" priority="2" operator="between" text="库存">
      <formula>NOT(ISERROR(SEARCH("库存",AS69)))</formula>
    </cfRule>
  </conditionalFormatting>
  <conditionalFormatting sqref="AS70">
    <cfRule type="cellIs" dxfId="0" priority="131" operator="lessThan">
      <formula>20</formula>
    </cfRule>
    <cfRule type="cellIs" dxfId="1" priority="66" operator="greaterThan">
      <formula>120</formula>
    </cfRule>
    <cfRule type="containsText" dxfId="3" priority="1" operator="between" text="库存">
      <formula>NOT(ISERROR(SEARCH("库存",AS70)))</formula>
    </cfRule>
  </conditionalFormatting>
  <conditionalFormatting sqref="AS71">
    <cfRule type="cellIs" dxfId="0" priority="523" operator="lessThan">
      <formula>20</formula>
    </cfRule>
    <cfRule type="cellIs" dxfId="1" priority="457" operator="greaterThan">
      <formula>120</formula>
    </cfRule>
    <cfRule type="containsText" dxfId="3" priority="391" operator="between" text="库存">
      <formula>NOT(ISERROR(SEARCH("库存",AS71)))</formula>
    </cfRule>
  </conditionalFormatting>
  <conditionalFormatting sqref="AS72">
    <cfRule type="cellIs" dxfId="0" priority="1119" operator="lessThan">
      <formula>20</formula>
    </cfRule>
    <cfRule type="cellIs" dxfId="1" priority="1052" operator="greaterThan">
      <formula>120</formula>
    </cfRule>
    <cfRule type="containsText" dxfId="3" priority="985" operator="between" text="库存">
      <formula>NOT(ISERROR(SEARCH("库存",AS72)))</formula>
    </cfRule>
  </conditionalFormatting>
  <conditionalFormatting sqref="AS73">
    <cfRule type="cellIs" dxfId="0" priority="1736" operator="lessThan">
      <formula>20</formula>
    </cfRule>
    <cfRule type="cellIs" dxfId="1" priority="1664" operator="greaterThan">
      <formula>120</formula>
    </cfRule>
    <cfRule type="containsText" dxfId="3" priority="1592" operator="between" text="库存">
      <formula>NOT(ISERROR(SEARCH("库存",AS73)))</formula>
    </cfRule>
  </conditionalFormatting>
  <conditionalFormatting sqref="AS74">
    <cfRule type="cellIs" dxfId="0" priority="1735" operator="lessThan">
      <formula>20</formula>
    </cfRule>
    <cfRule type="cellIs" dxfId="1" priority="1663" operator="greaterThan">
      <formula>120</formula>
    </cfRule>
    <cfRule type="containsText" dxfId="3" priority="1591" operator="between" text="库存">
      <formula>NOT(ISERROR(SEARCH("库存",AS74)))</formula>
    </cfRule>
  </conditionalFormatting>
  <conditionalFormatting sqref="AS75">
    <cfRule type="cellIs" dxfId="0" priority="1734" operator="lessThan">
      <formula>20</formula>
    </cfRule>
    <cfRule type="cellIs" dxfId="1" priority="1662" operator="greaterThan">
      <formula>120</formula>
    </cfRule>
    <cfRule type="containsText" dxfId="3" priority="1590" operator="between" text="库存">
      <formula>NOT(ISERROR(SEARCH("库存",AS75)))</formula>
    </cfRule>
  </conditionalFormatting>
  <conditionalFormatting sqref="AS76">
    <cfRule type="cellIs" dxfId="0" priority="1733" operator="lessThan">
      <formula>20</formula>
    </cfRule>
    <cfRule type="cellIs" dxfId="1" priority="1661" operator="greaterThan">
      <formula>120</formula>
    </cfRule>
    <cfRule type="containsText" dxfId="3" priority="1589" operator="between" text="库存">
      <formula>NOT(ISERROR(SEARCH("库存",AS76)))</formula>
    </cfRule>
  </conditionalFormatting>
  <conditionalFormatting sqref="AS77">
    <cfRule type="cellIs" dxfId="0" priority="1732" operator="lessThan">
      <formula>20</formula>
    </cfRule>
    <cfRule type="cellIs" dxfId="1" priority="1660" operator="greaterThan">
      <formula>120</formula>
    </cfRule>
    <cfRule type="containsText" dxfId="3" priority="1588" operator="between" text="库存">
      <formula>NOT(ISERROR(SEARCH("库存",AS77)))</formula>
    </cfRule>
  </conditionalFormatting>
  <conditionalFormatting sqref="AS78">
    <cfRule type="cellIs" dxfId="0" priority="2163" operator="lessThan">
      <formula>20</formula>
    </cfRule>
    <cfRule type="cellIs" dxfId="1" priority="2019" operator="greaterThan">
      <formula>120</formula>
    </cfRule>
    <cfRule type="containsText" dxfId="3" priority="1875" operator="between" text="库存">
      <formula>NOT(ISERROR(SEARCH("库存",AS78)))</formula>
    </cfRule>
  </conditionalFormatting>
  <conditionalFormatting sqref="AS79">
    <cfRule type="cellIs" dxfId="0" priority="2162" operator="lessThan">
      <formula>20</formula>
    </cfRule>
    <cfRule type="cellIs" dxfId="1" priority="2018" operator="greaterThan">
      <formula>120</formula>
    </cfRule>
    <cfRule type="containsText" dxfId="3" priority="1874" operator="between" text="库存">
      <formula>NOT(ISERROR(SEARCH("库存",AS79)))</formula>
    </cfRule>
  </conditionalFormatting>
  <conditionalFormatting sqref="AS80">
    <cfRule type="cellIs" dxfId="0" priority="2161" operator="lessThan">
      <formula>20</formula>
    </cfRule>
    <cfRule type="cellIs" dxfId="1" priority="2017" operator="greaterThan">
      <formula>120</formula>
    </cfRule>
    <cfRule type="containsText" dxfId="3" priority="1873" operator="between" text="库存">
      <formula>NOT(ISERROR(SEARCH("库存",AS80)))</formula>
    </cfRule>
  </conditionalFormatting>
  <conditionalFormatting sqref="AS81">
    <cfRule type="cellIs" dxfId="0" priority="2160" operator="lessThan">
      <formula>20</formula>
    </cfRule>
    <cfRule type="cellIs" dxfId="1" priority="2016" operator="greaterThan">
      <formula>120</formula>
    </cfRule>
    <cfRule type="containsText" dxfId="3" priority="1872" operator="between" text="库存">
      <formula>NOT(ISERROR(SEARCH("库存",AS81)))</formula>
    </cfRule>
  </conditionalFormatting>
  <conditionalFormatting sqref="AS82">
    <cfRule type="cellIs" dxfId="0" priority="2159" operator="lessThan">
      <formula>20</formula>
    </cfRule>
    <cfRule type="cellIs" dxfId="1" priority="2015" operator="greaterThan">
      <formula>120</formula>
    </cfRule>
    <cfRule type="containsText" dxfId="3" priority="1871" operator="between" text="库存">
      <formula>NOT(ISERROR(SEARCH("库存",AS82)))</formula>
    </cfRule>
  </conditionalFormatting>
  <conditionalFormatting sqref="AS83">
    <cfRule type="cellIs" dxfId="0" priority="2158" operator="lessThan">
      <formula>20</formula>
    </cfRule>
    <cfRule type="cellIs" dxfId="1" priority="2014" operator="greaterThan">
      <formula>120</formula>
    </cfRule>
    <cfRule type="containsText" dxfId="3" priority="1870" operator="between" text="库存">
      <formula>NOT(ISERROR(SEARCH("库存",AS83)))</formula>
    </cfRule>
  </conditionalFormatting>
  <conditionalFormatting sqref="AS84">
    <cfRule type="cellIs" dxfId="0" priority="2157" operator="lessThan">
      <formula>20</formula>
    </cfRule>
    <cfRule type="cellIs" dxfId="1" priority="2013" operator="greaterThan">
      <formula>120</formula>
    </cfRule>
    <cfRule type="containsText" dxfId="3" priority="1869" operator="between" text="库存">
      <formula>NOT(ISERROR(SEARCH("库存",AS84)))</formula>
    </cfRule>
  </conditionalFormatting>
  <conditionalFormatting sqref="AS85">
    <cfRule type="cellIs" dxfId="0" priority="2156" operator="lessThan">
      <formula>20</formula>
    </cfRule>
    <cfRule type="cellIs" dxfId="1" priority="2012" operator="greaterThan">
      <formula>120</formula>
    </cfRule>
    <cfRule type="containsText" dxfId="3" priority="1868" operator="between" text="库存">
      <formula>NOT(ISERROR(SEARCH("库存",AS85)))</formula>
    </cfRule>
  </conditionalFormatting>
  <conditionalFormatting sqref="AS86">
    <cfRule type="cellIs" dxfId="0" priority="2155" operator="lessThan">
      <formula>20</formula>
    </cfRule>
    <cfRule type="cellIs" dxfId="1" priority="2011" operator="greaterThan">
      <formula>120</formula>
    </cfRule>
    <cfRule type="containsText" dxfId="3" priority="1867" operator="between" text="库存">
      <formula>NOT(ISERROR(SEARCH("库存",AS86)))</formula>
    </cfRule>
  </conditionalFormatting>
  <conditionalFormatting sqref="AS87">
    <cfRule type="cellIs" dxfId="0" priority="2154" operator="lessThan">
      <formula>20</formula>
    </cfRule>
    <cfRule type="cellIs" dxfId="1" priority="2010" operator="greaterThan">
      <formula>120</formula>
    </cfRule>
    <cfRule type="containsText" dxfId="3" priority="1866" operator="between" text="库存">
      <formula>NOT(ISERROR(SEARCH("库存",AS87)))</formula>
    </cfRule>
  </conditionalFormatting>
  <conditionalFormatting sqref="AS88">
    <cfRule type="cellIs" dxfId="0" priority="2153" operator="lessThan">
      <formula>20</formula>
    </cfRule>
    <cfRule type="cellIs" dxfId="1" priority="2009" operator="greaterThan">
      <formula>120</formula>
    </cfRule>
    <cfRule type="containsText" dxfId="3" priority="1865" operator="between" text="库存">
      <formula>NOT(ISERROR(SEARCH("库存",AS88)))</formula>
    </cfRule>
  </conditionalFormatting>
  <conditionalFormatting sqref="AS89">
    <cfRule type="cellIs" dxfId="0" priority="2152" operator="lessThan">
      <formula>20</formula>
    </cfRule>
    <cfRule type="cellIs" dxfId="1" priority="2008" operator="greaterThan">
      <formula>120</formula>
    </cfRule>
    <cfRule type="containsText" dxfId="3" priority="1864" operator="between" text="库存">
      <formula>NOT(ISERROR(SEARCH("库存",AS89)))</formula>
    </cfRule>
  </conditionalFormatting>
  <conditionalFormatting sqref="AS90">
    <cfRule type="cellIs" dxfId="0" priority="2151" operator="lessThan">
      <formula>20</formula>
    </cfRule>
    <cfRule type="cellIs" dxfId="1" priority="2007" operator="greaterThan">
      <formula>120</formula>
    </cfRule>
    <cfRule type="containsText" dxfId="3" priority="1863" operator="between" text="库存">
      <formula>NOT(ISERROR(SEARCH("库存",AS90)))</formula>
    </cfRule>
  </conditionalFormatting>
  <conditionalFormatting sqref="AS91">
    <cfRule type="cellIs" dxfId="0" priority="2150" operator="lessThan">
      <formula>20</formula>
    </cfRule>
    <cfRule type="cellIs" dxfId="1" priority="2006" operator="greaterThan">
      <formula>120</formula>
    </cfRule>
    <cfRule type="containsText" dxfId="3" priority="1862" operator="between" text="库存">
      <formula>NOT(ISERROR(SEARCH("库存",AS91)))</formula>
    </cfRule>
  </conditionalFormatting>
  <conditionalFormatting sqref="AS92">
    <cfRule type="cellIs" dxfId="0" priority="2149" operator="lessThan">
      <formula>20</formula>
    </cfRule>
    <cfRule type="cellIs" dxfId="1" priority="2005" operator="greaterThan">
      <formula>120</formula>
    </cfRule>
    <cfRule type="containsText" dxfId="3" priority="1861" operator="between" text="库存">
      <formula>NOT(ISERROR(SEARCH("库存",AS92)))</formula>
    </cfRule>
  </conditionalFormatting>
  <conditionalFormatting sqref="AS93">
    <cfRule type="cellIs" dxfId="0" priority="2148" operator="lessThan">
      <formula>20</formula>
    </cfRule>
    <cfRule type="cellIs" dxfId="1" priority="2004" operator="greaterThan">
      <formula>120</formula>
    </cfRule>
    <cfRule type="containsText" dxfId="3" priority="1860" operator="between" text="库存">
      <formula>NOT(ISERROR(SEARCH("库存",AS93)))</formula>
    </cfRule>
  </conditionalFormatting>
  <conditionalFormatting sqref="AS94">
    <cfRule type="cellIs" dxfId="0" priority="2147" operator="lessThan">
      <formula>20</formula>
    </cfRule>
    <cfRule type="cellIs" dxfId="1" priority="2003" operator="greaterThan">
      <formula>120</formula>
    </cfRule>
    <cfRule type="containsText" dxfId="3" priority="1859" operator="between" text="库存">
      <formula>NOT(ISERROR(SEARCH("库存",AS94)))</formula>
    </cfRule>
  </conditionalFormatting>
  <conditionalFormatting sqref="AS95">
    <cfRule type="cellIs" dxfId="0" priority="2146" operator="lessThan">
      <formula>20</formula>
    </cfRule>
    <cfRule type="cellIs" dxfId="1" priority="2002" operator="greaterThan">
      <formula>120</formula>
    </cfRule>
    <cfRule type="containsText" dxfId="3" priority="1858" operator="between" text="库存">
      <formula>NOT(ISERROR(SEARCH("库存",AS95)))</formula>
    </cfRule>
  </conditionalFormatting>
  <conditionalFormatting sqref="AS96">
    <cfRule type="cellIs" dxfId="0" priority="2145" operator="lessThan">
      <formula>20</formula>
    </cfRule>
    <cfRule type="cellIs" dxfId="1" priority="2001" operator="greaterThan">
      <formula>120</formula>
    </cfRule>
    <cfRule type="containsText" dxfId="3" priority="1857" operator="between" text="库存">
      <formula>NOT(ISERROR(SEARCH("库存",AS96)))</formula>
    </cfRule>
  </conditionalFormatting>
  <conditionalFormatting sqref="AS97">
    <cfRule type="cellIs" dxfId="0" priority="2144" operator="lessThan">
      <formula>20</formula>
    </cfRule>
    <cfRule type="cellIs" dxfId="1" priority="2000" operator="greaterThan">
      <formula>120</formula>
    </cfRule>
    <cfRule type="containsText" dxfId="3" priority="1856" operator="between" text="库存">
      <formula>NOT(ISERROR(SEARCH("库存",AS97)))</formula>
    </cfRule>
  </conditionalFormatting>
  <conditionalFormatting sqref="AS98">
    <cfRule type="cellIs" dxfId="0" priority="2143" operator="lessThan">
      <formula>20</formula>
    </cfRule>
    <cfRule type="cellIs" dxfId="1" priority="1999" operator="greaterThan">
      <formula>120</formula>
    </cfRule>
    <cfRule type="containsText" dxfId="3" priority="1855" operator="between" text="库存">
      <formula>NOT(ISERROR(SEARCH("库存",AS98)))</formula>
    </cfRule>
  </conditionalFormatting>
  <conditionalFormatting sqref="AS99">
    <cfRule type="cellIs" dxfId="0" priority="2142" operator="lessThan">
      <formula>20</formula>
    </cfRule>
    <cfRule type="cellIs" dxfId="1" priority="1998" operator="greaterThan">
      <formula>120</formula>
    </cfRule>
    <cfRule type="containsText" dxfId="3" priority="1854" operator="between" text="库存">
      <formula>NOT(ISERROR(SEARCH("库存",AS99)))</formula>
    </cfRule>
  </conditionalFormatting>
  <conditionalFormatting sqref="AS100">
    <cfRule type="cellIs" dxfId="0" priority="2141" operator="lessThan">
      <formula>20</formula>
    </cfRule>
    <cfRule type="cellIs" dxfId="1" priority="1997" operator="greaterThan">
      <formula>120</formula>
    </cfRule>
    <cfRule type="containsText" dxfId="3" priority="1853" operator="between" text="库存">
      <formula>NOT(ISERROR(SEARCH("库存",AS100)))</formula>
    </cfRule>
  </conditionalFormatting>
  <conditionalFormatting sqref="AS101">
    <cfRule type="cellIs" dxfId="0" priority="2140" operator="lessThan">
      <formula>20</formula>
    </cfRule>
    <cfRule type="cellIs" dxfId="1" priority="1996" operator="greaterThan">
      <formula>120</formula>
    </cfRule>
    <cfRule type="containsText" dxfId="3" priority="1852" operator="between" text="库存">
      <formula>NOT(ISERROR(SEARCH("库存",AS101)))</formula>
    </cfRule>
  </conditionalFormatting>
  <conditionalFormatting sqref="AS102">
    <cfRule type="cellIs" dxfId="0" priority="2139" operator="lessThan">
      <formula>20</formula>
    </cfRule>
    <cfRule type="cellIs" dxfId="1" priority="1995" operator="greaterThan">
      <formula>120</formula>
    </cfRule>
    <cfRule type="containsText" dxfId="3" priority="1851" operator="between" text="库存">
      <formula>NOT(ISERROR(SEARCH("库存",AS102)))</formula>
    </cfRule>
  </conditionalFormatting>
  <conditionalFormatting sqref="AS103">
    <cfRule type="cellIs" dxfId="0" priority="2138" operator="lessThan">
      <formula>20</formula>
    </cfRule>
    <cfRule type="cellIs" dxfId="1" priority="1994" operator="greaterThan">
      <formula>120</formula>
    </cfRule>
    <cfRule type="containsText" dxfId="3" priority="1850" operator="between" text="库存">
      <formula>NOT(ISERROR(SEARCH("库存",AS103)))</formula>
    </cfRule>
  </conditionalFormatting>
  <conditionalFormatting sqref="AS104">
    <cfRule type="cellIs" dxfId="0" priority="2137" operator="lessThan">
      <formula>20</formula>
    </cfRule>
    <cfRule type="cellIs" dxfId="1" priority="1993" operator="greaterThan">
      <formula>120</formula>
    </cfRule>
    <cfRule type="containsText" dxfId="3" priority="1849" operator="between" text="库存">
      <formula>NOT(ISERROR(SEARCH("库存",AS104)))</formula>
    </cfRule>
  </conditionalFormatting>
  <conditionalFormatting sqref="AS105">
    <cfRule type="cellIs" dxfId="0" priority="2136" operator="lessThan">
      <formula>20</formula>
    </cfRule>
    <cfRule type="cellIs" dxfId="1" priority="1992" operator="greaterThan">
      <formula>120</formula>
    </cfRule>
    <cfRule type="containsText" dxfId="3" priority="1848" operator="between" text="库存">
      <formula>NOT(ISERROR(SEARCH("库存",AS105)))</formula>
    </cfRule>
  </conditionalFormatting>
  <conditionalFormatting sqref="AS106">
    <cfRule type="cellIs" dxfId="0" priority="2135" operator="lessThan">
      <formula>20</formula>
    </cfRule>
    <cfRule type="cellIs" dxfId="1" priority="1991" operator="greaterThan">
      <formula>120</formula>
    </cfRule>
    <cfRule type="containsText" dxfId="3" priority="1847" operator="between" text="库存">
      <formula>NOT(ISERROR(SEARCH("库存",AS106)))</formula>
    </cfRule>
  </conditionalFormatting>
  <conditionalFormatting sqref="AS107">
    <cfRule type="cellIs" dxfId="0" priority="2134" operator="lessThan">
      <formula>20</formula>
    </cfRule>
    <cfRule type="cellIs" dxfId="1" priority="1990" operator="greaterThan">
      <formula>120</formula>
    </cfRule>
    <cfRule type="containsText" dxfId="3" priority="1846" operator="between" text="库存">
      <formula>NOT(ISERROR(SEARCH("库存",AS107)))</formula>
    </cfRule>
  </conditionalFormatting>
  <conditionalFormatting sqref="AS108">
    <cfRule type="cellIs" dxfId="0" priority="2133" operator="lessThan">
      <formula>20</formula>
    </cfRule>
    <cfRule type="cellIs" dxfId="1" priority="1989" operator="greaterThan">
      <formula>120</formula>
    </cfRule>
    <cfRule type="containsText" dxfId="3" priority="1845" operator="between" text="库存">
      <formula>NOT(ISERROR(SEARCH("库存",AS108)))</formula>
    </cfRule>
  </conditionalFormatting>
  <conditionalFormatting sqref="AS109">
    <cfRule type="cellIs" dxfId="0" priority="2132" operator="lessThan">
      <formula>20</formula>
    </cfRule>
    <cfRule type="cellIs" dxfId="1" priority="1988" operator="greaterThan">
      <formula>120</formula>
    </cfRule>
    <cfRule type="containsText" dxfId="3" priority="1844" operator="between" text="库存">
      <formula>NOT(ISERROR(SEARCH("库存",AS109)))</formula>
    </cfRule>
  </conditionalFormatting>
  <conditionalFormatting sqref="AS110">
    <cfRule type="cellIs" dxfId="0" priority="2131" operator="lessThan">
      <formula>20</formula>
    </cfRule>
    <cfRule type="cellIs" dxfId="1" priority="1987" operator="greaterThan">
      <formula>120</formula>
    </cfRule>
    <cfRule type="containsText" dxfId="3" priority="1843" operator="between" text="库存">
      <formula>NOT(ISERROR(SEARCH("库存",AS110)))</formula>
    </cfRule>
  </conditionalFormatting>
  <conditionalFormatting sqref="AS111">
    <cfRule type="cellIs" dxfId="0" priority="2130" operator="lessThan">
      <formula>20</formula>
    </cfRule>
    <cfRule type="cellIs" dxfId="1" priority="1986" operator="greaterThan">
      <formula>120</formula>
    </cfRule>
    <cfRule type="containsText" dxfId="3" priority="1842" operator="between" text="库存">
      <formula>NOT(ISERROR(SEARCH("库存",AS111)))</formula>
    </cfRule>
  </conditionalFormatting>
  <conditionalFormatting sqref="AS112">
    <cfRule type="cellIs" dxfId="0" priority="2129" operator="lessThan">
      <formula>20</formula>
    </cfRule>
    <cfRule type="cellIs" dxfId="1" priority="1985" operator="greaterThan">
      <formula>120</formula>
    </cfRule>
    <cfRule type="containsText" dxfId="3" priority="1841" operator="between" text="库存">
      <formula>NOT(ISERROR(SEARCH("库存",AS112)))</formula>
    </cfRule>
  </conditionalFormatting>
  <conditionalFormatting sqref="AS113">
    <cfRule type="cellIs" dxfId="0" priority="2128" operator="lessThan">
      <formula>20</formula>
    </cfRule>
    <cfRule type="cellIs" dxfId="1" priority="1984" operator="greaterThan">
      <formula>120</formula>
    </cfRule>
    <cfRule type="containsText" dxfId="3" priority="1840" operator="between" text="库存">
      <formula>NOT(ISERROR(SEARCH("库存",AS113)))</formula>
    </cfRule>
  </conditionalFormatting>
  <conditionalFormatting sqref="AS114">
    <cfRule type="cellIs" dxfId="0" priority="2127" operator="lessThan">
      <formula>20</formula>
    </cfRule>
    <cfRule type="cellIs" dxfId="1" priority="1983" operator="greaterThan">
      <formula>120</formula>
    </cfRule>
    <cfRule type="containsText" dxfId="3" priority="1839" operator="between" text="库存">
      <formula>NOT(ISERROR(SEARCH("库存",AS114)))</formula>
    </cfRule>
  </conditionalFormatting>
  <conditionalFormatting sqref="AS115">
    <cfRule type="cellIs" dxfId="0" priority="2126" operator="lessThan">
      <formula>20</formula>
    </cfRule>
    <cfRule type="cellIs" dxfId="1" priority="1982" operator="greaterThan">
      <formula>120</formula>
    </cfRule>
    <cfRule type="containsText" dxfId="3" priority="1838" operator="between" text="库存">
      <formula>NOT(ISERROR(SEARCH("库存",AS115)))</formula>
    </cfRule>
  </conditionalFormatting>
  <conditionalFormatting sqref="AS116">
    <cfRule type="cellIs" dxfId="0" priority="2125" operator="lessThan">
      <formula>20</formula>
    </cfRule>
    <cfRule type="cellIs" dxfId="1" priority="1981" operator="greaterThan">
      <formula>120</formula>
    </cfRule>
    <cfRule type="containsText" dxfId="3" priority="1837" operator="between" text="库存">
      <formula>NOT(ISERROR(SEARCH("库存",AS116)))</formula>
    </cfRule>
  </conditionalFormatting>
  <conditionalFormatting sqref="AS117">
    <cfRule type="cellIs" dxfId="0" priority="2124" operator="lessThan">
      <formula>20</formula>
    </cfRule>
    <cfRule type="cellIs" dxfId="1" priority="1980" operator="greaterThan">
      <formula>120</formula>
    </cfRule>
    <cfRule type="containsText" dxfId="3" priority="1836" operator="between" text="库存">
      <formula>NOT(ISERROR(SEARCH("库存",AS117)))</formula>
    </cfRule>
  </conditionalFormatting>
  <conditionalFormatting sqref="AS118">
    <cfRule type="cellIs" dxfId="0" priority="2123" operator="lessThan">
      <formula>20</formula>
    </cfRule>
    <cfRule type="cellIs" dxfId="1" priority="1979" operator="greaterThan">
      <formula>120</formula>
    </cfRule>
    <cfRule type="containsText" dxfId="3" priority="1835" operator="between" text="库存">
      <formula>NOT(ISERROR(SEARCH("库存",AS118)))</formula>
    </cfRule>
  </conditionalFormatting>
  <conditionalFormatting sqref="AS119">
    <cfRule type="cellIs" dxfId="0" priority="2122" operator="lessThan">
      <formula>20</formula>
    </cfRule>
    <cfRule type="cellIs" dxfId="1" priority="1978" operator="greaterThan">
      <formula>120</formula>
    </cfRule>
    <cfRule type="containsText" dxfId="3" priority="1834" operator="between" text="库存">
      <formula>NOT(ISERROR(SEARCH("库存",AS119)))</formula>
    </cfRule>
  </conditionalFormatting>
  <conditionalFormatting sqref="AS120">
    <cfRule type="cellIs" dxfId="0" priority="2121" operator="lessThan">
      <formula>20</formula>
    </cfRule>
    <cfRule type="cellIs" dxfId="1" priority="1977" operator="greaterThan">
      <formula>120</formula>
    </cfRule>
    <cfRule type="containsText" dxfId="3" priority="1833" operator="between" text="库存">
      <formula>NOT(ISERROR(SEARCH("库存",AS120)))</formula>
    </cfRule>
  </conditionalFormatting>
  <conditionalFormatting sqref="AS121">
    <cfRule type="cellIs" dxfId="0" priority="2120" operator="lessThan">
      <formula>20</formula>
    </cfRule>
    <cfRule type="cellIs" dxfId="1" priority="1976" operator="greaterThan">
      <formula>120</formula>
    </cfRule>
    <cfRule type="containsText" dxfId="3" priority="1832" operator="between" text="库存">
      <formula>NOT(ISERROR(SEARCH("库存",AS121)))</formula>
    </cfRule>
  </conditionalFormatting>
  <conditionalFormatting sqref="AS122">
    <cfRule type="cellIs" dxfId="0" priority="2119" operator="lessThan">
      <formula>20</formula>
    </cfRule>
    <cfRule type="cellIs" dxfId="1" priority="1975" operator="greaterThan">
      <formula>120</formula>
    </cfRule>
    <cfRule type="containsText" dxfId="3" priority="1831" operator="between" text="库存">
      <formula>NOT(ISERROR(SEARCH("库存",AS122)))</formula>
    </cfRule>
  </conditionalFormatting>
  <conditionalFormatting sqref="AS123">
    <cfRule type="cellIs" dxfId="0" priority="2118" operator="lessThan">
      <formula>20</formula>
    </cfRule>
    <cfRule type="cellIs" dxfId="1" priority="1974" operator="greaterThan">
      <formula>120</formula>
    </cfRule>
    <cfRule type="containsText" dxfId="3" priority="1830" operator="between" text="库存">
      <formula>NOT(ISERROR(SEARCH("库存",AS123)))</formula>
    </cfRule>
  </conditionalFormatting>
  <conditionalFormatting sqref="AS124">
    <cfRule type="cellIs" dxfId="0" priority="2117" operator="lessThan">
      <formula>20</formula>
    </cfRule>
    <cfRule type="cellIs" dxfId="1" priority="1973" operator="greaterThan">
      <formula>120</formula>
    </cfRule>
    <cfRule type="containsText" dxfId="3" priority="1829" operator="between" text="库存">
      <formula>NOT(ISERROR(SEARCH("库存",AS124)))</formula>
    </cfRule>
  </conditionalFormatting>
  <conditionalFormatting sqref="AS125">
    <cfRule type="cellIs" dxfId="0" priority="2116" operator="lessThan">
      <formula>20</formula>
    </cfRule>
    <cfRule type="cellIs" dxfId="1" priority="1972" operator="greaterThan">
      <formula>120</formula>
    </cfRule>
    <cfRule type="containsText" dxfId="3" priority="1828" operator="between" text="库存">
      <formula>NOT(ISERROR(SEARCH("库存",AS125)))</formula>
    </cfRule>
  </conditionalFormatting>
  <conditionalFormatting sqref="AS126">
    <cfRule type="cellIs" dxfId="0" priority="2115" operator="lessThan">
      <formula>20</formula>
    </cfRule>
    <cfRule type="cellIs" dxfId="1" priority="1971" operator="greaterThan">
      <formula>120</formula>
    </cfRule>
    <cfRule type="containsText" dxfId="3" priority="1827" operator="between" text="库存">
      <formula>NOT(ISERROR(SEARCH("库存",AS126)))</formula>
    </cfRule>
  </conditionalFormatting>
  <conditionalFormatting sqref="AS127">
    <cfRule type="cellIs" dxfId="0" priority="2114" operator="lessThan">
      <formula>20</formula>
    </cfRule>
    <cfRule type="cellIs" dxfId="1" priority="1970" operator="greaterThan">
      <formula>120</formula>
    </cfRule>
    <cfRule type="containsText" dxfId="3" priority="1826" operator="between" text="库存">
      <formula>NOT(ISERROR(SEARCH("库存",AS127)))</formula>
    </cfRule>
  </conditionalFormatting>
  <conditionalFormatting sqref="AS128">
    <cfRule type="cellIs" dxfId="0" priority="2113" operator="lessThan">
      <formula>20</formula>
    </cfRule>
    <cfRule type="cellIs" dxfId="1" priority="1969" operator="greaterThan">
      <formula>120</formula>
    </cfRule>
    <cfRule type="containsText" dxfId="3" priority="1825" operator="between" text="库存">
      <formula>NOT(ISERROR(SEARCH("库存",AS128)))</formula>
    </cfRule>
  </conditionalFormatting>
  <conditionalFormatting sqref="AS129">
    <cfRule type="cellIs" dxfId="0" priority="2112" operator="lessThan">
      <formula>20</formula>
    </cfRule>
    <cfRule type="cellIs" dxfId="1" priority="1968" operator="greaterThan">
      <formula>120</formula>
    </cfRule>
    <cfRule type="containsText" dxfId="3" priority="1824" operator="between" text="库存">
      <formula>NOT(ISERROR(SEARCH("库存",AS129)))</formula>
    </cfRule>
  </conditionalFormatting>
  <conditionalFormatting sqref="AS130">
    <cfRule type="cellIs" dxfId="0" priority="2111" operator="lessThan">
      <formula>20</formula>
    </cfRule>
    <cfRule type="cellIs" dxfId="1" priority="1967" operator="greaterThan">
      <formula>120</formula>
    </cfRule>
    <cfRule type="containsText" dxfId="3" priority="1823" operator="between" text="库存">
      <formula>NOT(ISERROR(SEARCH("库存",AS130)))</formula>
    </cfRule>
  </conditionalFormatting>
  <conditionalFormatting sqref="AS131">
    <cfRule type="cellIs" dxfId="0" priority="2110" operator="lessThan">
      <formula>20</formula>
    </cfRule>
    <cfRule type="cellIs" dxfId="1" priority="1966" operator="greaterThan">
      <formula>120</formula>
    </cfRule>
    <cfRule type="containsText" dxfId="3" priority="1822" operator="between" text="库存">
      <formula>NOT(ISERROR(SEARCH("库存",AS131)))</formula>
    </cfRule>
  </conditionalFormatting>
  <conditionalFormatting sqref="AS132">
    <cfRule type="cellIs" dxfId="0" priority="2109" operator="lessThan">
      <formula>20</formula>
    </cfRule>
    <cfRule type="cellIs" dxfId="1" priority="1965" operator="greaterThan">
      <formula>120</formula>
    </cfRule>
    <cfRule type="containsText" dxfId="3" priority="1821" operator="between" text="库存">
      <formula>NOT(ISERROR(SEARCH("库存",AS132)))</formula>
    </cfRule>
  </conditionalFormatting>
  <conditionalFormatting sqref="AS133">
    <cfRule type="cellIs" dxfId="0" priority="2108" operator="lessThan">
      <formula>20</formula>
    </cfRule>
    <cfRule type="cellIs" dxfId="1" priority="1964" operator="greaterThan">
      <formula>120</formula>
    </cfRule>
    <cfRule type="containsText" dxfId="3" priority="1820" operator="between" text="库存">
      <formula>NOT(ISERROR(SEARCH("库存",AS133)))</formula>
    </cfRule>
  </conditionalFormatting>
  <conditionalFormatting sqref="AS134">
    <cfRule type="cellIs" dxfId="0" priority="2107" operator="lessThan">
      <formula>20</formula>
    </cfRule>
    <cfRule type="cellIs" dxfId="1" priority="1963" operator="greaterThan">
      <formula>120</formula>
    </cfRule>
    <cfRule type="containsText" dxfId="3" priority="1819" operator="between" text="库存">
      <formula>NOT(ISERROR(SEARCH("库存",AS134)))</formula>
    </cfRule>
  </conditionalFormatting>
  <conditionalFormatting sqref="AS135">
    <cfRule type="cellIs" dxfId="0" priority="2106" operator="lessThan">
      <formula>20</formula>
    </cfRule>
    <cfRule type="cellIs" dxfId="1" priority="1962" operator="greaterThan">
      <formula>120</formula>
    </cfRule>
    <cfRule type="containsText" dxfId="3" priority="1818" operator="between" text="库存">
      <formula>NOT(ISERROR(SEARCH("库存",AS135)))</formula>
    </cfRule>
  </conditionalFormatting>
  <conditionalFormatting sqref="AS136">
    <cfRule type="cellIs" dxfId="0" priority="2105" operator="lessThan">
      <formula>20</formula>
    </cfRule>
    <cfRule type="cellIs" dxfId="1" priority="1961" operator="greaterThan">
      <formula>120</formula>
    </cfRule>
    <cfRule type="containsText" dxfId="3" priority="1817" operator="between" text="库存">
      <formula>NOT(ISERROR(SEARCH("库存",AS136)))</formula>
    </cfRule>
  </conditionalFormatting>
  <conditionalFormatting sqref="AS137">
    <cfRule type="cellIs" dxfId="0" priority="2104" operator="lessThan">
      <formula>20</formula>
    </cfRule>
    <cfRule type="cellIs" dxfId="1" priority="1960" operator="greaterThan">
      <formula>120</formula>
    </cfRule>
    <cfRule type="containsText" dxfId="3" priority="1816" operator="between" text="库存">
      <formula>NOT(ISERROR(SEARCH("库存",AS137)))</formula>
    </cfRule>
  </conditionalFormatting>
  <conditionalFormatting sqref="AS138">
    <cfRule type="cellIs" dxfId="0" priority="2103" operator="lessThan">
      <formula>20</formula>
    </cfRule>
    <cfRule type="cellIs" dxfId="1" priority="1959" operator="greaterThan">
      <formula>120</formula>
    </cfRule>
    <cfRule type="containsText" dxfId="3" priority="1815" operator="between" text="库存">
      <formula>NOT(ISERROR(SEARCH("库存",AS138)))</formula>
    </cfRule>
  </conditionalFormatting>
  <conditionalFormatting sqref="AS139">
    <cfRule type="cellIs" dxfId="0" priority="2102" operator="lessThan">
      <formula>20</formula>
    </cfRule>
    <cfRule type="cellIs" dxfId="1" priority="1958" operator="greaterThan">
      <formula>120</formula>
    </cfRule>
    <cfRule type="containsText" dxfId="3" priority="1814" operator="between" text="库存">
      <formula>NOT(ISERROR(SEARCH("库存",AS139)))</formula>
    </cfRule>
  </conditionalFormatting>
  <conditionalFormatting sqref="AS140">
    <cfRule type="cellIs" dxfId="0" priority="2101" operator="lessThan">
      <formula>20</formula>
    </cfRule>
    <cfRule type="cellIs" dxfId="1" priority="1957" operator="greaterThan">
      <formula>120</formula>
    </cfRule>
    <cfRule type="containsText" dxfId="3" priority="1813" operator="between" text="库存">
      <formula>NOT(ISERROR(SEARCH("库存",AS140)))</formula>
    </cfRule>
  </conditionalFormatting>
  <conditionalFormatting sqref="AS141">
    <cfRule type="cellIs" dxfId="0" priority="2100" operator="lessThan">
      <formula>20</formula>
    </cfRule>
    <cfRule type="cellIs" dxfId="1" priority="1956" operator="greaterThan">
      <formula>120</formula>
    </cfRule>
    <cfRule type="containsText" dxfId="3" priority="1812" operator="between" text="库存">
      <formula>NOT(ISERROR(SEARCH("库存",AS141)))</formula>
    </cfRule>
  </conditionalFormatting>
  <conditionalFormatting sqref="AS142">
    <cfRule type="cellIs" dxfId="0" priority="2099" operator="lessThan">
      <formula>20</formula>
    </cfRule>
    <cfRule type="cellIs" dxfId="1" priority="1955" operator="greaterThan">
      <formula>120</formula>
    </cfRule>
    <cfRule type="containsText" dxfId="3" priority="1811" operator="between" text="库存">
      <formula>NOT(ISERROR(SEARCH("库存",AS142)))</formula>
    </cfRule>
  </conditionalFormatting>
  <conditionalFormatting sqref="AS143">
    <cfRule type="cellIs" dxfId="0" priority="2098" operator="lessThan">
      <formula>20</formula>
    </cfRule>
    <cfRule type="cellIs" dxfId="1" priority="1954" operator="greaterThan">
      <formula>120</formula>
    </cfRule>
    <cfRule type="containsText" dxfId="3" priority="1810" operator="between" text="库存">
      <formula>NOT(ISERROR(SEARCH("库存",AS143)))</formula>
    </cfRule>
  </conditionalFormatting>
  <conditionalFormatting sqref="AS144">
    <cfRule type="cellIs" dxfId="0" priority="2097" operator="lessThan">
      <formula>20</formula>
    </cfRule>
    <cfRule type="cellIs" dxfId="1" priority="1953" operator="greaterThan">
      <formula>120</formula>
    </cfRule>
    <cfRule type="containsText" dxfId="3" priority="1809" operator="between" text="库存">
      <formula>NOT(ISERROR(SEARCH("库存",AS144)))</formula>
    </cfRule>
  </conditionalFormatting>
  <conditionalFormatting sqref="AS145">
    <cfRule type="cellIs" dxfId="0" priority="2096" operator="lessThan">
      <formula>20</formula>
    </cfRule>
    <cfRule type="cellIs" dxfId="1" priority="1952" operator="greaterThan">
      <formula>120</formula>
    </cfRule>
    <cfRule type="containsText" dxfId="3" priority="1808" operator="between" text="库存">
      <formula>NOT(ISERROR(SEARCH("库存",AS145)))</formula>
    </cfRule>
  </conditionalFormatting>
  <conditionalFormatting sqref="AS146">
    <cfRule type="cellIs" dxfId="0" priority="2095" operator="lessThan">
      <formula>20</formula>
    </cfRule>
    <cfRule type="cellIs" dxfId="1" priority="1951" operator="greaterThan">
      <formula>120</formula>
    </cfRule>
    <cfRule type="containsText" dxfId="3" priority="1807" operator="between" text="库存">
      <formula>NOT(ISERROR(SEARCH("库存",AS146)))</formula>
    </cfRule>
  </conditionalFormatting>
  <conditionalFormatting sqref="AS147">
    <cfRule type="cellIs" dxfId="0" priority="2094" operator="lessThan">
      <formula>20</formula>
    </cfRule>
    <cfRule type="cellIs" dxfId="1" priority="1950" operator="greaterThan">
      <formula>120</formula>
    </cfRule>
    <cfRule type="containsText" dxfId="3" priority="1806" operator="between" text="库存">
      <formula>NOT(ISERROR(SEARCH("库存",AS147)))</formula>
    </cfRule>
  </conditionalFormatting>
  <conditionalFormatting sqref="AS148">
    <cfRule type="cellIs" dxfId="0" priority="2093" operator="lessThan">
      <formula>20</formula>
    </cfRule>
    <cfRule type="cellIs" dxfId="1" priority="1949" operator="greaterThan">
      <formula>120</formula>
    </cfRule>
    <cfRule type="containsText" dxfId="3" priority="1805" operator="between" text="库存">
      <formula>NOT(ISERROR(SEARCH("库存",AS148)))</formula>
    </cfRule>
  </conditionalFormatting>
  <conditionalFormatting sqref="AS149">
    <cfRule type="cellIs" dxfId="0" priority="2092" operator="lessThan">
      <formula>20</formula>
    </cfRule>
    <cfRule type="cellIs" dxfId="1" priority="1948" operator="greaterThan">
      <formula>120</formula>
    </cfRule>
    <cfRule type="containsText" dxfId="3" priority="1804" operator="between" text="库存">
      <formula>NOT(ISERROR(SEARCH("库存",AS149)))</formula>
    </cfRule>
  </conditionalFormatting>
  <conditionalFormatting sqref="AS1 AS3:AS5 AS150:AS1048576">
    <cfRule type="cellIs" dxfId="0" priority="3777" operator="lessThan">
      <formula>20</formula>
    </cfRule>
    <cfRule type="cellIs" dxfId="1" priority="3776" operator="greaterThan">
      <formula>120</formula>
    </cfRule>
    <cfRule type="containsText" dxfId="3" priority="377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6" sqref="F16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668</v>
      </c>
      <c r="B1" s="1">
        <f>B12</f>
        <v>43297</v>
      </c>
    </row>
    <row r="2" spans="1:2">
      <c r="A2" t="s">
        <v>669</v>
      </c>
      <c r="B2" s="1">
        <v>43324</v>
      </c>
    </row>
    <row r="4" spans="1:2">
      <c r="A4" t="s">
        <v>670</v>
      </c>
      <c r="B4" s="2">
        <f>B2+1</f>
        <v>43325</v>
      </c>
    </row>
    <row r="5" spans="1:2">
      <c r="A5" t="s">
        <v>671</v>
      </c>
      <c r="B5" s="3">
        <f>B2</f>
        <v>43324</v>
      </c>
    </row>
    <row r="6" spans="1:2">
      <c r="A6" t="s">
        <v>672</v>
      </c>
      <c r="B6" s="2">
        <f>B5-6</f>
        <v>43318</v>
      </c>
    </row>
    <row r="7" spans="1:2">
      <c r="A7" t="s">
        <v>673</v>
      </c>
      <c r="B7" s="2">
        <f>B5-7</f>
        <v>43317</v>
      </c>
    </row>
    <row r="8" spans="1:2">
      <c r="A8" t="s">
        <v>674</v>
      </c>
      <c r="B8" s="2">
        <f>B5-13</f>
        <v>43311</v>
      </c>
    </row>
    <row r="9" spans="1:2">
      <c r="A9" t="s">
        <v>675</v>
      </c>
      <c r="B9" s="2">
        <f>B5-14</f>
        <v>43310</v>
      </c>
    </row>
    <row r="10" spans="1:2">
      <c r="A10" t="s">
        <v>676</v>
      </c>
      <c r="B10" s="2">
        <f>B5-20</f>
        <v>43304</v>
      </c>
    </row>
    <row r="11" spans="1:2">
      <c r="A11" t="s">
        <v>677</v>
      </c>
      <c r="B11" s="2">
        <f>B5-21</f>
        <v>43303</v>
      </c>
    </row>
    <row r="12" spans="1:2">
      <c r="A12" t="s">
        <v>678</v>
      </c>
      <c r="B12" s="2">
        <f>B5-27</f>
        <v>43297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2018-08-14T06:37:54Z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